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22260" windowHeight="12645"/>
  </bookViews>
  <sheets>
    <sheet name="Main" sheetId="1" r:id="rId1"/>
    <sheet name="Main Data" sheetId="6" r:id="rId2"/>
    <sheet name="BalSht" sheetId="2" r:id="rId3"/>
    <sheet name="BalSht Data" sheetId="4" r:id="rId4"/>
    <sheet name="IncStmt" sheetId="3" r:id="rId5"/>
    <sheet name="IncStmt Data" sheetId="5" r:id="rId6"/>
  </sheets>
  <definedNames>
    <definedName name="ProjectNames">Main!$A$8:$B$101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0" i="1" l="1"/>
  <c r="F24" i="1"/>
  <c r="F25" i="1"/>
  <c r="F36" i="1"/>
  <c r="F40" i="1"/>
  <c r="F41" i="1"/>
  <c r="F52" i="1"/>
  <c r="F56" i="1"/>
  <c r="F57" i="1"/>
  <c r="F68" i="1"/>
  <c r="F72" i="1"/>
  <c r="F73" i="1"/>
  <c r="F84" i="1"/>
  <c r="F88" i="1"/>
  <c r="F89" i="1"/>
  <c r="F100" i="1"/>
  <c r="F104" i="1"/>
  <c r="F105" i="1"/>
  <c r="F116" i="1"/>
  <c r="F120" i="1"/>
  <c r="F121" i="1"/>
  <c r="F132" i="1"/>
  <c r="F136" i="1"/>
  <c r="F137" i="1"/>
  <c r="F148" i="1"/>
  <c r="F152" i="1"/>
  <c r="E10" i="1"/>
  <c r="F10" i="1" s="1"/>
  <c r="E11" i="1"/>
  <c r="F11" i="1" s="1"/>
  <c r="E12" i="1"/>
  <c r="F12" i="1" s="1"/>
  <c r="E13" i="1"/>
  <c r="F13" i="1" s="1"/>
  <c r="E14" i="1"/>
  <c r="F14" i="1" s="1"/>
  <c r="E15" i="1"/>
  <c r="F15" i="1" s="1"/>
  <c r="E16" i="1"/>
  <c r="F16" i="1" s="1"/>
  <c r="E17" i="1"/>
  <c r="F17" i="1" s="1"/>
  <c r="E18" i="1"/>
  <c r="F18" i="1" s="1"/>
  <c r="E19" i="1"/>
  <c r="F19" i="1" s="1"/>
  <c r="E20" i="1"/>
  <c r="E21" i="1"/>
  <c r="F21" i="1" s="1"/>
  <c r="E22" i="1"/>
  <c r="F22" i="1" s="1"/>
  <c r="E23" i="1"/>
  <c r="F23" i="1" s="1"/>
  <c r="E24" i="1"/>
  <c r="E25" i="1"/>
  <c r="E26" i="1"/>
  <c r="F26" i="1" s="1"/>
  <c r="E27" i="1"/>
  <c r="F27" i="1" s="1"/>
  <c r="E28" i="1"/>
  <c r="F28" i="1" s="1"/>
  <c r="E29" i="1"/>
  <c r="F29" i="1" s="1"/>
  <c r="E30" i="1"/>
  <c r="F30" i="1" s="1"/>
  <c r="E31" i="1"/>
  <c r="F31" i="1" s="1"/>
  <c r="E32" i="1"/>
  <c r="F32" i="1" s="1"/>
  <c r="E33" i="1"/>
  <c r="F33" i="1" s="1"/>
  <c r="E34" i="1"/>
  <c r="F34" i="1" s="1"/>
  <c r="E35" i="1"/>
  <c r="F35" i="1" s="1"/>
  <c r="E36" i="1"/>
  <c r="E37" i="1"/>
  <c r="F37" i="1" s="1"/>
  <c r="E38" i="1"/>
  <c r="F38" i="1" s="1"/>
  <c r="E39" i="1"/>
  <c r="F39" i="1" s="1"/>
  <c r="E40" i="1"/>
  <c r="E41" i="1"/>
  <c r="E42" i="1"/>
  <c r="F42" i="1" s="1"/>
  <c r="E43" i="1"/>
  <c r="F43" i="1" s="1"/>
  <c r="E44" i="1"/>
  <c r="F44" i="1" s="1"/>
  <c r="E45" i="1"/>
  <c r="F45" i="1" s="1"/>
  <c r="E46" i="1"/>
  <c r="F46" i="1" s="1"/>
  <c r="E47" i="1"/>
  <c r="F47" i="1" s="1"/>
  <c r="E48" i="1"/>
  <c r="F48" i="1" s="1"/>
  <c r="E49" i="1"/>
  <c r="F49" i="1" s="1"/>
  <c r="E50" i="1"/>
  <c r="F50" i="1" s="1"/>
  <c r="E51" i="1"/>
  <c r="F51" i="1" s="1"/>
  <c r="E52" i="1"/>
  <c r="E53" i="1"/>
  <c r="F53" i="1" s="1"/>
  <c r="E54" i="1"/>
  <c r="F54" i="1" s="1"/>
  <c r="E55" i="1"/>
  <c r="F55" i="1" s="1"/>
  <c r="E56" i="1"/>
  <c r="E57" i="1"/>
  <c r="E58" i="1"/>
  <c r="F58" i="1" s="1"/>
  <c r="E59" i="1"/>
  <c r="F59" i="1" s="1"/>
  <c r="E60" i="1"/>
  <c r="F60" i="1" s="1"/>
  <c r="E61" i="1"/>
  <c r="F61" i="1" s="1"/>
  <c r="E62" i="1"/>
  <c r="F62" i="1" s="1"/>
  <c r="E63" i="1"/>
  <c r="F63" i="1" s="1"/>
  <c r="E64" i="1"/>
  <c r="F64" i="1" s="1"/>
  <c r="E65" i="1"/>
  <c r="F65" i="1" s="1"/>
  <c r="E66" i="1"/>
  <c r="F66" i="1" s="1"/>
  <c r="E67" i="1"/>
  <c r="F67" i="1" s="1"/>
  <c r="E68" i="1"/>
  <c r="E69" i="1"/>
  <c r="F69" i="1" s="1"/>
  <c r="E70" i="1"/>
  <c r="F70" i="1" s="1"/>
  <c r="E71" i="1"/>
  <c r="F71" i="1" s="1"/>
  <c r="E72" i="1"/>
  <c r="E73" i="1"/>
  <c r="E74" i="1"/>
  <c r="F74" i="1" s="1"/>
  <c r="E75" i="1"/>
  <c r="F75" i="1" s="1"/>
  <c r="E76" i="1"/>
  <c r="F76" i="1" s="1"/>
  <c r="E77" i="1"/>
  <c r="F77" i="1" s="1"/>
  <c r="E78" i="1"/>
  <c r="F78" i="1" s="1"/>
  <c r="E79" i="1"/>
  <c r="F79" i="1" s="1"/>
  <c r="E80" i="1"/>
  <c r="F80" i="1" s="1"/>
  <c r="E81" i="1"/>
  <c r="F81" i="1" s="1"/>
  <c r="E82" i="1"/>
  <c r="F82" i="1" s="1"/>
  <c r="E83" i="1"/>
  <c r="F83" i="1" s="1"/>
  <c r="E84" i="1"/>
  <c r="E85" i="1"/>
  <c r="F85" i="1" s="1"/>
  <c r="E86" i="1"/>
  <c r="F86" i="1" s="1"/>
  <c r="E87" i="1"/>
  <c r="F87" i="1" s="1"/>
  <c r="E88" i="1"/>
  <c r="E89" i="1"/>
  <c r="E90" i="1"/>
  <c r="F90" i="1" s="1"/>
  <c r="E91" i="1"/>
  <c r="F91" i="1" s="1"/>
  <c r="E92" i="1"/>
  <c r="F92" i="1" s="1"/>
  <c r="E93" i="1"/>
  <c r="F93" i="1" s="1"/>
  <c r="E94" i="1"/>
  <c r="F94" i="1" s="1"/>
  <c r="E95" i="1"/>
  <c r="F95" i="1" s="1"/>
  <c r="E96" i="1"/>
  <c r="F96" i="1" s="1"/>
  <c r="E97" i="1"/>
  <c r="F97" i="1" s="1"/>
  <c r="E98" i="1"/>
  <c r="F98" i="1" s="1"/>
  <c r="E99" i="1"/>
  <c r="F99" i="1" s="1"/>
  <c r="E100" i="1"/>
  <c r="E101" i="1"/>
  <c r="F101" i="1" s="1"/>
  <c r="E102" i="1"/>
  <c r="F102" i="1" s="1"/>
  <c r="E103" i="1"/>
  <c r="F103" i="1" s="1"/>
  <c r="E104" i="1"/>
  <c r="E105" i="1"/>
  <c r="E106" i="1"/>
  <c r="F106" i="1" s="1"/>
  <c r="E107" i="1"/>
  <c r="F107" i="1" s="1"/>
  <c r="E108" i="1"/>
  <c r="F108" i="1" s="1"/>
  <c r="E109" i="1"/>
  <c r="F109" i="1" s="1"/>
  <c r="E110" i="1"/>
  <c r="F110" i="1" s="1"/>
  <c r="E111" i="1"/>
  <c r="F111" i="1" s="1"/>
  <c r="E112" i="1"/>
  <c r="F112" i="1" s="1"/>
  <c r="E113" i="1"/>
  <c r="F113" i="1" s="1"/>
  <c r="E114" i="1"/>
  <c r="F114" i="1" s="1"/>
  <c r="E115" i="1"/>
  <c r="F115" i="1" s="1"/>
  <c r="E116" i="1"/>
  <c r="E117" i="1"/>
  <c r="F117" i="1" s="1"/>
  <c r="E118" i="1"/>
  <c r="F118" i="1" s="1"/>
  <c r="E119" i="1"/>
  <c r="F119" i="1" s="1"/>
  <c r="E120" i="1"/>
  <c r="E121" i="1"/>
  <c r="E122" i="1"/>
  <c r="F122" i="1" s="1"/>
  <c r="E123" i="1"/>
  <c r="F123" i="1" s="1"/>
  <c r="E124" i="1"/>
  <c r="F124" i="1" s="1"/>
  <c r="E125" i="1"/>
  <c r="F125" i="1" s="1"/>
  <c r="E126" i="1"/>
  <c r="F126" i="1" s="1"/>
  <c r="E127" i="1"/>
  <c r="F127" i="1" s="1"/>
  <c r="E128" i="1"/>
  <c r="F128" i="1" s="1"/>
  <c r="E129" i="1"/>
  <c r="F129" i="1" s="1"/>
  <c r="E130" i="1"/>
  <c r="F130" i="1" s="1"/>
  <c r="E131" i="1"/>
  <c r="F131" i="1" s="1"/>
  <c r="E132" i="1"/>
  <c r="E133" i="1"/>
  <c r="F133" i="1" s="1"/>
  <c r="E134" i="1"/>
  <c r="F134" i="1" s="1"/>
  <c r="E135" i="1"/>
  <c r="F135" i="1" s="1"/>
  <c r="E136" i="1"/>
  <c r="E137" i="1"/>
  <c r="E138" i="1"/>
  <c r="F138" i="1" s="1"/>
  <c r="E139" i="1"/>
  <c r="F139" i="1" s="1"/>
  <c r="E140" i="1"/>
  <c r="F140" i="1" s="1"/>
  <c r="E141" i="1"/>
  <c r="F141" i="1" s="1"/>
  <c r="E142" i="1"/>
  <c r="F142" i="1" s="1"/>
  <c r="E143" i="1"/>
  <c r="F143" i="1" s="1"/>
  <c r="E144" i="1"/>
  <c r="F144" i="1" s="1"/>
  <c r="E145" i="1"/>
  <c r="F145" i="1" s="1"/>
  <c r="E146" i="1"/>
  <c r="F146" i="1" s="1"/>
  <c r="E147" i="1"/>
  <c r="F147" i="1" s="1"/>
  <c r="E148" i="1"/>
  <c r="E149" i="1"/>
  <c r="F149" i="1" s="1"/>
  <c r="E150" i="1"/>
  <c r="F150" i="1" s="1"/>
  <c r="E151" i="1"/>
  <c r="F151" i="1" s="1"/>
  <c r="E152" i="1"/>
  <c r="K26" i="3" l="1"/>
  <c r="L26" i="3"/>
  <c r="M26" i="3"/>
  <c r="N26" i="3"/>
  <c r="O26" i="3"/>
  <c r="P26" i="3"/>
  <c r="Q26" i="3"/>
  <c r="R26" i="3"/>
  <c r="S26" i="3"/>
  <c r="T26" i="3"/>
  <c r="U26" i="3"/>
  <c r="V26" i="3"/>
  <c r="W26" i="3"/>
  <c r="X26" i="3"/>
  <c r="Y26" i="3"/>
  <c r="Z26" i="3"/>
  <c r="AA26" i="3"/>
  <c r="AB26" i="3"/>
  <c r="AC26" i="3"/>
  <c r="AD26" i="3"/>
  <c r="AE26" i="3"/>
  <c r="AF26" i="3"/>
  <c r="AG26" i="3"/>
  <c r="AH26" i="3"/>
  <c r="AI26" i="3"/>
  <c r="AJ26" i="3"/>
  <c r="AK26" i="3"/>
  <c r="AL26" i="3"/>
  <c r="AM26" i="3"/>
  <c r="AN26" i="3"/>
  <c r="AO26" i="3"/>
  <c r="AP26" i="3"/>
  <c r="AQ26" i="3"/>
  <c r="AR26" i="3"/>
  <c r="AS26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S7" i="3"/>
  <c r="AS8" i="3"/>
  <c r="AS9" i="3"/>
  <c r="AS10" i="3"/>
  <c r="AS11" i="3"/>
  <c r="AS12" i="3"/>
  <c r="AS13" i="3"/>
  <c r="AS14" i="3"/>
  <c r="AS15" i="3"/>
  <c r="AS16" i="3"/>
  <c r="AS17" i="3"/>
  <c r="AS21" i="3"/>
  <c r="AS22" i="3"/>
  <c r="AS23" i="3"/>
  <c r="AR7" i="3"/>
  <c r="AR8" i="3"/>
  <c r="AR9" i="3"/>
  <c r="AR10" i="3"/>
  <c r="AR11" i="3"/>
  <c r="AR12" i="3"/>
  <c r="AR13" i="3"/>
  <c r="AR14" i="3"/>
  <c r="AR15" i="3"/>
  <c r="AR16" i="3"/>
  <c r="AR17" i="3"/>
  <c r="AR21" i="3"/>
  <c r="AR22" i="3"/>
  <c r="AR23" i="3"/>
  <c r="AQ7" i="3"/>
  <c r="AQ8" i="3"/>
  <c r="AQ9" i="3"/>
  <c r="AQ10" i="3"/>
  <c r="AQ11" i="3"/>
  <c r="AQ12" i="3"/>
  <c r="AQ13" i="3"/>
  <c r="AQ14" i="3"/>
  <c r="AQ15" i="3"/>
  <c r="AQ16" i="3"/>
  <c r="AQ17" i="3"/>
  <c r="AQ21" i="3"/>
  <c r="AQ22" i="3"/>
  <c r="AQ23" i="3"/>
  <c r="AP7" i="3"/>
  <c r="AP8" i="3"/>
  <c r="AP9" i="3"/>
  <c r="AP10" i="3"/>
  <c r="AP11" i="3"/>
  <c r="AP12" i="3"/>
  <c r="AP13" i="3"/>
  <c r="AP14" i="3"/>
  <c r="AP15" i="3"/>
  <c r="AP16" i="3"/>
  <c r="AP17" i="3"/>
  <c r="AP21" i="3"/>
  <c r="AP22" i="3"/>
  <c r="AP23" i="3"/>
  <c r="AO7" i="3"/>
  <c r="AO8" i="3"/>
  <c r="AO9" i="3"/>
  <c r="AO10" i="3"/>
  <c r="AO11" i="3"/>
  <c r="AO12" i="3"/>
  <c r="AO13" i="3"/>
  <c r="AO14" i="3"/>
  <c r="AO15" i="3"/>
  <c r="AO16" i="3"/>
  <c r="AO17" i="3"/>
  <c r="AO21" i="3"/>
  <c r="AO22" i="3"/>
  <c r="AO23" i="3"/>
  <c r="AN7" i="3"/>
  <c r="AN8" i="3"/>
  <c r="AN9" i="3"/>
  <c r="AN10" i="3"/>
  <c r="AN11" i="3"/>
  <c r="AN12" i="3"/>
  <c r="AN13" i="3"/>
  <c r="AN14" i="3"/>
  <c r="AN15" i="3"/>
  <c r="AN16" i="3"/>
  <c r="AN17" i="3"/>
  <c r="AN21" i="3"/>
  <c r="AN22" i="3"/>
  <c r="AN23" i="3"/>
  <c r="AM7" i="3"/>
  <c r="AM8" i="3"/>
  <c r="AM9" i="3"/>
  <c r="AM10" i="3"/>
  <c r="AM11" i="3"/>
  <c r="AM12" i="3"/>
  <c r="AM13" i="3"/>
  <c r="AM14" i="3"/>
  <c r="AM15" i="3"/>
  <c r="AM16" i="3"/>
  <c r="AM17" i="3"/>
  <c r="AM21" i="3"/>
  <c r="AM22" i="3"/>
  <c r="AM23" i="3"/>
  <c r="AL7" i="3"/>
  <c r="AL8" i="3"/>
  <c r="AL9" i="3"/>
  <c r="AL10" i="3"/>
  <c r="AL11" i="3"/>
  <c r="AL12" i="3"/>
  <c r="AL13" i="3"/>
  <c r="AL14" i="3"/>
  <c r="AL15" i="3"/>
  <c r="AL16" i="3"/>
  <c r="AL17" i="3"/>
  <c r="AL21" i="3"/>
  <c r="AL22" i="3"/>
  <c r="AL23" i="3"/>
  <c r="AK7" i="3"/>
  <c r="AK8" i="3"/>
  <c r="AK9" i="3"/>
  <c r="AK10" i="3"/>
  <c r="AK11" i="3"/>
  <c r="AK12" i="3"/>
  <c r="AK13" i="3"/>
  <c r="AK14" i="3"/>
  <c r="AK15" i="3"/>
  <c r="AK16" i="3"/>
  <c r="AK17" i="3"/>
  <c r="AK21" i="3"/>
  <c r="AK22" i="3"/>
  <c r="AK23" i="3"/>
  <c r="AJ7" i="3"/>
  <c r="AJ8" i="3"/>
  <c r="AJ9" i="3"/>
  <c r="AJ10" i="3"/>
  <c r="AJ11" i="3"/>
  <c r="AJ12" i="3"/>
  <c r="AJ13" i="3"/>
  <c r="AJ14" i="3"/>
  <c r="AJ15" i="3"/>
  <c r="AJ16" i="3"/>
  <c r="AJ17" i="3"/>
  <c r="AJ21" i="3"/>
  <c r="AJ22" i="3"/>
  <c r="AJ23" i="3"/>
  <c r="AI7" i="3"/>
  <c r="AI8" i="3"/>
  <c r="AI9" i="3"/>
  <c r="AI10" i="3"/>
  <c r="AI11" i="3"/>
  <c r="AI12" i="3"/>
  <c r="AI13" i="3"/>
  <c r="AI14" i="3"/>
  <c r="AI15" i="3"/>
  <c r="AI16" i="3"/>
  <c r="AI17" i="3"/>
  <c r="AI21" i="3"/>
  <c r="AI22" i="3"/>
  <c r="AI23" i="3"/>
  <c r="AH7" i="3"/>
  <c r="AH8" i="3"/>
  <c r="AH9" i="3"/>
  <c r="AH10" i="3"/>
  <c r="AH11" i="3"/>
  <c r="AH12" i="3"/>
  <c r="AH13" i="3"/>
  <c r="AH14" i="3"/>
  <c r="AH15" i="3"/>
  <c r="AH16" i="3"/>
  <c r="AH17" i="3"/>
  <c r="AH21" i="3"/>
  <c r="AH22" i="3"/>
  <c r="AH23" i="3"/>
  <c r="AG7" i="3"/>
  <c r="AG8" i="3"/>
  <c r="AG9" i="3"/>
  <c r="AG10" i="3"/>
  <c r="AG11" i="3"/>
  <c r="AG12" i="3"/>
  <c r="AG13" i="3"/>
  <c r="AG14" i="3"/>
  <c r="AG15" i="3"/>
  <c r="AG16" i="3"/>
  <c r="AG17" i="3"/>
  <c r="AG21" i="3"/>
  <c r="AG22" i="3"/>
  <c r="AG23" i="3"/>
  <c r="AF7" i="3"/>
  <c r="AF8" i="3"/>
  <c r="AF9" i="3"/>
  <c r="AF10" i="3"/>
  <c r="AF11" i="3"/>
  <c r="AF12" i="3"/>
  <c r="AF13" i="3"/>
  <c r="AF14" i="3"/>
  <c r="AF15" i="3"/>
  <c r="AF16" i="3"/>
  <c r="AF17" i="3"/>
  <c r="AF21" i="3"/>
  <c r="AF22" i="3"/>
  <c r="AF23" i="3"/>
  <c r="AE7" i="3"/>
  <c r="AE8" i="3"/>
  <c r="AE9" i="3"/>
  <c r="AE10" i="3"/>
  <c r="AE11" i="3"/>
  <c r="AE12" i="3"/>
  <c r="AE13" i="3"/>
  <c r="AE14" i="3"/>
  <c r="AE15" i="3"/>
  <c r="AE16" i="3"/>
  <c r="AE17" i="3"/>
  <c r="AE21" i="3"/>
  <c r="AE22" i="3"/>
  <c r="AE23" i="3"/>
  <c r="AD7" i="3"/>
  <c r="AD8" i="3"/>
  <c r="AD9" i="3"/>
  <c r="AD10" i="3"/>
  <c r="AD11" i="3"/>
  <c r="AD12" i="3"/>
  <c r="AD13" i="3"/>
  <c r="AD14" i="3"/>
  <c r="AD15" i="3"/>
  <c r="AD16" i="3"/>
  <c r="AD17" i="3"/>
  <c r="AD21" i="3"/>
  <c r="AD22" i="3"/>
  <c r="AD23" i="3"/>
  <c r="AC7" i="3"/>
  <c r="AC8" i="3"/>
  <c r="AC9" i="3"/>
  <c r="AC10" i="3"/>
  <c r="AC11" i="3"/>
  <c r="AC12" i="3"/>
  <c r="AC13" i="3"/>
  <c r="AC14" i="3"/>
  <c r="AC15" i="3"/>
  <c r="AC16" i="3"/>
  <c r="AC17" i="3"/>
  <c r="AC21" i="3"/>
  <c r="AC22" i="3"/>
  <c r="AC23" i="3"/>
  <c r="AB7" i="3"/>
  <c r="AB8" i="3"/>
  <c r="AB9" i="3"/>
  <c r="AB10" i="3"/>
  <c r="AB11" i="3"/>
  <c r="AB12" i="3"/>
  <c r="AB13" i="3"/>
  <c r="AB14" i="3"/>
  <c r="AB15" i="3"/>
  <c r="AB16" i="3"/>
  <c r="AB17" i="3"/>
  <c r="AB21" i="3"/>
  <c r="AB22" i="3"/>
  <c r="AB23" i="3"/>
  <c r="AA7" i="3"/>
  <c r="AA8" i="3"/>
  <c r="AA9" i="3"/>
  <c r="AA10" i="3"/>
  <c r="AA11" i="3"/>
  <c r="AA12" i="3"/>
  <c r="AA13" i="3"/>
  <c r="AA14" i="3"/>
  <c r="AA15" i="3"/>
  <c r="AA16" i="3"/>
  <c r="AA17" i="3"/>
  <c r="AA21" i="3"/>
  <c r="AA22" i="3"/>
  <c r="AA23" i="3"/>
  <c r="Z7" i="3"/>
  <c r="Z8" i="3"/>
  <c r="Z9" i="3"/>
  <c r="Z10" i="3"/>
  <c r="Z11" i="3"/>
  <c r="Z12" i="3"/>
  <c r="Z13" i="3"/>
  <c r="Z14" i="3"/>
  <c r="Z15" i="3"/>
  <c r="Z16" i="3"/>
  <c r="Z17" i="3"/>
  <c r="Z21" i="3"/>
  <c r="Z22" i="3"/>
  <c r="Z23" i="3"/>
  <c r="Y7" i="3"/>
  <c r="Y8" i="3"/>
  <c r="Y9" i="3"/>
  <c r="Y10" i="3"/>
  <c r="Y11" i="3"/>
  <c r="Y12" i="3"/>
  <c r="Y13" i="3"/>
  <c r="Y14" i="3"/>
  <c r="Y15" i="3"/>
  <c r="Y16" i="3"/>
  <c r="Y17" i="3"/>
  <c r="Y21" i="3"/>
  <c r="Y22" i="3"/>
  <c r="Y23" i="3"/>
  <c r="X7" i="3"/>
  <c r="X8" i="3"/>
  <c r="X9" i="3"/>
  <c r="X10" i="3"/>
  <c r="X11" i="3"/>
  <c r="X12" i="3"/>
  <c r="X13" i="3"/>
  <c r="X14" i="3"/>
  <c r="X15" i="3"/>
  <c r="X16" i="3"/>
  <c r="X17" i="3"/>
  <c r="X21" i="3"/>
  <c r="X22" i="3"/>
  <c r="X23" i="3"/>
  <c r="W7" i="3"/>
  <c r="W8" i="3"/>
  <c r="W9" i="3"/>
  <c r="W10" i="3"/>
  <c r="W11" i="3"/>
  <c r="W12" i="3"/>
  <c r="W13" i="3"/>
  <c r="W14" i="3"/>
  <c r="W15" i="3"/>
  <c r="W16" i="3"/>
  <c r="W17" i="3"/>
  <c r="W21" i="3"/>
  <c r="W22" i="3"/>
  <c r="W23" i="3"/>
  <c r="V7" i="3"/>
  <c r="V8" i="3"/>
  <c r="V9" i="3"/>
  <c r="V10" i="3"/>
  <c r="V11" i="3"/>
  <c r="V12" i="3"/>
  <c r="V13" i="3"/>
  <c r="V14" i="3"/>
  <c r="V15" i="3"/>
  <c r="V16" i="3"/>
  <c r="V17" i="3"/>
  <c r="V21" i="3"/>
  <c r="V22" i="3"/>
  <c r="V23" i="3"/>
  <c r="U7" i="3"/>
  <c r="U8" i="3"/>
  <c r="U9" i="3"/>
  <c r="U10" i="3"/>
  <c r="U11" i="3"/>
  <c r="U12" i="3"/>
  <c r="U13" i="3"/>
  <c r="U14" i="3"/>
  <c r="U15" i="3"/>
  <c r="U16" i="3"/>
  <c r="U17" i="3"/>
  <c r="U21" i="3"/>
  <c r="U22" i="3"/>
  <c r="U23" i="3"/>
  <c r="T7" i="3"/>
  <c r="T8" i="3"/>
  <c r="T9" i="3"/>
  <c r="T10" i="3"/>
  <c r="T11" i="3"/>
  <c r="T12" i="3"/>
  <c r="T13" i="3"/>
  <c r="T14" i="3"/>
  <c r="T15" i="3"/>
  <c r="T16" i="3"/>
  <c r="T17" i="3"/>
  <c r="T21" i="3"/>
  <c r="T22" i="3"/>
  <c r="T23" i="3"/>
  <c r="S7" i="3"/>
  <c r="S8" i="3"/>
  <c r="S9" i="3"/>
  <c r="S10" i="3"/>
  <c r="S11" i="3"/>
  <c r="S12" i="3"/>
  <c r="S13" i="3"/>
  <c r="S14" i="3"/>
  <c r="S15" i="3"/>
  <c r="S16" i="3"/>
  <c r="S17" i="3"/>
  <c r="S21" i="3"/>
  <c r="S22" i="3"/>
  <c r="S23" i="3"/>
  <c r="R7" i="3"/>
  <c r="R8" i="3"/>
  <c r="R9" i="3"/>
  <c r="R10" i="3"/>
  <c r="R11" i="3"/>
  <c r="R12" i="3"/>
  <c r="R13" i="3"/>
  <c r="R14" i="3"/>
  <c r="R15" i="3"/>
  <c r="R16" i="3"/>
  <c r="R17" i="3"/>
  <c r="R21" i="3"/>
  <c r="R22" i="3"/>
  <c r="R23" i="3"/>
  <c r="Q7" i="3"/>
  <c r="Q8" i="3"/>
  <c r="Q9" i="3"/>
  <c r="Q10" i="3"/>
  <c r="Q11" i="3"/>
  <c r="Q12" i="3"/>
  <c r="Q13" i="3"/>
  <c r="Q14" i="3"/>
  <c r="Q15" i="3"/>
  <c r="Q16" i="3"/>
  <c r="Q17" i="3"/>
  <c r="Q21" i="3"/>
  <c r="Q22" i="3"/>
  <c r="Q23" i="3"/>
  <c r="P7" i="3"/>
  <c r="P8" i="3"/>
  <c r="P9" i="3"/>
  <c r="P10" i="3"/>
  <c r="P11" i="3"/>
  <c r="P12" i="3"/>
  <c r="P13" i="3"/>
  <c r="P14" i="3"/>
  <c r="P15" i="3"/>
  <c r="P16" i="3"/>
  <c r="P17" i="3"/>
  <c r="P21" i="3"/>
  <c r="P22" i="3"/>
  <c r="P23" i="3"/>
  <c r="O7" i="3"/>
  <c r="O8" i="3"/>
  <c r="O9" i="3"/>
  <c r="O10" i="3"/>
  <c r="O11" i="3"/>
  <c r="O12" i="3"/>
  <c r="O13" i="3"/>
  <c r="O14" i="3"/>
  <c r="O15" i="3"/>
  <c r="O16" i="3"/>
  <c r="O17" i="3"/>
  <c r="O21" i="3"/>
  <c r="O22" i="3"/>
  <c r="O23" i="3"/>
  <c r="N7" i="3"/>
  <c r="N8" i="3"/>
  <c r="N9" i="3"/>
  <c r="N10" i="3"/>
  <c r="N11" i="3"/>
  <c r="N12" i="3"/>
  <c r="N13" i="3"/>
  <c r="N14" i="3"/>
  <c r="N15" i="3"/>
  <c r="N16" i="3"/>
  <c r="N17" i="3"/>
  <c r="N21" i="3"/>
  <c r="N22" i="3"/>
  <c r="N23" i="3"/>
  <c r="M7" i="3"/>
  <c r="M8" i="3"/>
  <c r="M9" i="3"/>
  <c r="M10" i="3"/>
  <c r="M11" i="3"/>
  <c r="M12" i="3"/>
  <c r="M13" i="3"/>
  <c r="M14" i="3"/>
  <c r="M15" i="3"/>
  <c r="M16" i="3"/>
  <c r="M17" i="3"/>
  <c r="M21" i="3"/>
  <c r="M22" i="3"/>
  <c r="M23" i="3"/>
  <c r="L7" i="3"/>
  <c r="L8" i="3"/>
  <c r="L9" i="3"/>
  <c r="L10" i="3"/>
  <c r="L11" i="3"/>
  <c r="L12" i="3"/>
  <c r="L13" i="3"/>
  <c r="L14" i="3"/>
  <c r="L15" i="3"/>
  <c r="L16" i="3"/>
  <c r="L17" i="3"/>
  <c r="L21" i="3"/>
  <c r="L22" i="3"/>
  <c r="L23" i="3"/>
  <c r="K7" i="3"/>
  <c r="K8" i="3"/>
  <c r="K9" i="3"/>
  <c r="K10" i="3"/>
  <c r="K11" i="3"/>
  <c r="K12" i="3"/>
  <c r="K13" i="3"/>
  <c r="K14" i="3"/>
  <c r="K15" i="3"/>
  <c r="K16" i="3"/>
  <c r="K17" i="3"/>
  <c r="K21" i="3"/>
  <c r="K22" i="3"/>
  <c r="K23" i="3"/>
  <c r="J7" i="3"/>
  <c r="J8" i="3"/>
  <c r="J9" i="3"/>
  <c r="J10" i="3"/>
  <c r="J11" i="3"/>
  <c r="J12" i="3"/>
  <c r="J13" i="3"/>
  <c r="J14" i="3"/>
  <c r="J15" i="3"/>
  <c r="J16" i="3"/>
  <c r="J17" i="3"/>
  <c r="J21" i="3"/>
  <c r="J22" i="3"/>
  <c r="J23" i="3"/>
  <c r="I7" i="3"/>
  <c r="I8" i="3"/>
  <c r="I9" i="3"/>
  <c r="I10" i="3"/>
  <c r="I11" i="3"/>
  <c r="I12" i="3"/>
  <c r="I13" i="3"/>
  <c r="I14" i="3"/>
  <c r="I15" i="3"/>
  <c r="I16" i="3"/>
  <c r="I17" i="3"/>
  <c r="I21" i="3"/>
  <c r="I22" i="3"/>
  <c r="I23" i="3"/>
  <c r="H7" i="3"/>
  <c r="H8" i="3"/>
  <c r="H9" i="3"/>
  <c r="H10" i="3"/>
  <c r="H11" i="3"/>
  <c r="H12" i="3"/>
  <c r="H13" i="3"/>
  <c r="H14" i="3"/>
  <c r="H15" i="3"/>
  <c r="H16" i="3"/>
  <c r="H17" i="3"/>
  <c r="H21" i="3"/>
  <c r="H22" i="3"/>
  <c r="H23" i="3"/>
  <c r="G7" i="3"/>
  <c r="G8" i="3"/>
  <c r="G9" i="3"/>
  <c r="G10" i="3"/>
  <c r="G11" i="3"/>
  <c r="G12" i="3"/>
  <c r="G13" i="3"/>
  <c r="G14" i="3"/>
  <c r="G15" i="3"/>
  <c r="G16" i="3"/>
  <c r="G17" i="3"/>
  <c r="G21" i="3"/>
  <c r="G22" i="3"/>
  <c r="G23" i="3"/>
  <c r="F7" i="3"/>
  <c r="F8" i="3"/>
  <c r="F9" i="3"/>
  <c r="F10" i="3"/>
  <c r="F11" i="3"/>
  <c r="F12" i="3"/>
  <c r="F13" i="3"/>
  <c r="F14" i="3"/>
  <c r="F15" i="3"/>
  <c r="F16" i="3"/>
  <c r="F17" i="3"/>
  <c r="F21" i="3"/>
  <c r="F22" i="3"/>
  <c r="F23" i="3"/>
  <c r="E7" i="3"/>
  <c r="E8" i="3"/>
  <c r="E9" i="3"/>
  <c r="E10" i="3"/>
  <c r="E11" i="3"/>
  <c r="E12" i="3"/>
  <c r="E13" i="3"/>
  <c r="E14" i="3"/>
  <c r="E15" i="3"/>
  <c r="E16" i="3"/>
  <c r="E17" i="3"/>
  <c r="E21" i="3"/>
  <c r="E22" i="3"/>
  <c r="E23" i="3"/>
  <c r="D7" i="3"/>
  <c r="D8" i="3"/>
  <c r="D9" i="3"/>
  <c r="D10" i="3"/>
  <c r="D11" i="3"/>
  <c r="D12" i="3"/>
  <c r="D13" i="3"/>
  <c r="D14" i="3"/>
  <c r="D15" i="3"/>
  <c r="D16" i="3"/>
  <c r="D17" i="3"/>
  <c r="D21" i="3"/>
  <c r="D22" i="3"/>
  <c r="D23" i="3"/>
  <c r="C7" i="3"/>
  <c r="C8" i="3"/>
  <c r="C9" i="3"/>
  <c r="C10" i="3"/>
  <c r="C11" i="3"/>
  <c r="C12" i="3"/>
  <c r="C13" i="3"/>
  <c r="C14" i="3"/>
  <c r="C15" i="3"/>
  <c r="C16" i="3"/>
  <c r="C17" i="3"/>
  <c r="C21" i="3"/>
  <c r="C22" i="3"/>
  <c r="C23" i="3"/>
  <c r="B7" i="3"/>
  <c r="B8" i="3"/>
  <c r="B9" i="3"/>
  <c r="B10" i="3"/>
  <c r="B11" i="3"/>
  <c r="B12" i="3"/>
  <c r="B13" i="3"/>
  <c r="B14" i="3"/>
  <c r="B15" i="3"/>
  <c r="B16" i="3"/>
  <c r="B17" i="3"/>
  <c r="B21" i="3"/>
  <c r="B22" i="3"/>
  <c r="B23" i="3"/>
  <c r="AS6" i="3"/>
  <c r="AR6" i="3"/>
  <c r="AQ6" i="3"/>
  <c r="AP6" i="3"/>
  <c r="AO6" i="3"/>
  <c r="AN6" i="3"/>
  <c r="AM6" i="3"/>
  <c r="AL6" i="3"/>
  <c r="AK6" i="3"/>
  <c r="AJ6" i="3"/>
  <c r="AI6" i="3"/>
  <c r="AH6" i="3"/>
  <c r="AG6" i="3"/>
  <c r="AF6" i="3"/>
  <c r="AE6" i="3"/>
  <c r="AD6" i="3"/>
  <c r="AC6" i="3"/>
  <c r="AB6" i="3"/>
  <c r="AA6" i="3"/>
  <c r="Z6" i="3"/>
  <c r="Y6" i="3"/>
  <c r="X6" i="3"/>
  <c r="W6" i="3"/>
  <c r="V6" i="3"/>
  <c r="U6" i="3"/>
  <c r="T6" i="3"/>
  <c r="S6" i="3"/>
  <c r="R6" i="3"/>
  <c r="Q6" i="3"/>
  <c r="P6" i="3"/>
  <c r="O6" i="3"/>
  <c r="N6" i="3"/>
  <c r="M6" i="3"/>
  <c r="L6" i="3"/>
  <c r="K6" i="3"/>
  <c r="J6" i="3"/>
  <c r="J18" i="3" s="1"/>
  <c r="I6" i="3"/>
  <c r="I18" i="3" s="1"/>
  <c r="H6" i="3"/>
  <c r="G6" i="3"/>
  <c r="F6" i="3"/>
  <c r="E6" i="3"/>
  <c r="D6" i="3"/>
  <c r="C6" i="3"/>
  <c r="B6" i="3"/>
  <c r="BE7" i="2"/>
  <c r="BE8" i="2"/>
  <c r="BE9" i="2"/>
  <c r="BE10" i="2"/>
  <c r="BE14" i="2"/>
  <c r="BE15" i="2"/>
  <c r="BE16" i="2"/>
  <c r="BE17" i="2"/>
  <c r="BE18" i="2"/>
  <c r="BE19" i="2"/>
  <c r="BE20" i="2"/>
  <c r="BE21" i="2"/>
  <c r="BE26" i="2"/>
  <c r="BE27" i="2"/>
  <c r="BE28" i="2"/>
  <c r="BE29" i="2"/>
  <c r="BE30" i="2"/>
  <c r="BE31" i="2"/>
  <c r="BE32" i="2"/>
  <c r="BE33" i="2"/>
  <c r="BE34" i="2"/>
  <c r="BE37" i="2"/>
  <c r="BD7" i="2"/>
  <c r="BD8" i="2"/>
  <c r="BD9" i="2"/>
  <c r="BD10" i="2"/>
  <c r="BD14" i="2"/>
  <c r="BD15" i="2"/>
  <c r="BD16" i="2"/>
  <c r="BD17" i="2"/>
  <c r="BD18" i="2"/>
  <c r="BD19" i="2"/>
  <c r="BD20" i="2"/>
  <c r="BD21" i="2"/>
  <c r="BD26" i="2"/>
  <c r="BD27" i="2"/>
  <c r="BD28" i="2"/>
  <c r="BD29" i="2"/>
  <c r="BD30" i="2"/>
  <c r="BD31" i="2"/>
  <c r="BD32" i="2"/>
  <c r="BD33" i="2"/>
  <c r="BD34" i="2"/>
  <c r="BD37" i="2"/>
  <c r="BC7" i="2"/>
  <c r="BC8" i="2"/>
  <c r="BC9" i="2"/>
  <c r="BC10" i="2"/>
  <c r="BC14" i="2"/>
  <c r="BC15" i="2"/>
  <c r="BC16" i="2"/>
  <c r="BC17" i="2"/>
  <c r="BC18" i="2"/>
  <c r="BC19" i="2"/>
  <c r="BC20" i="2"/>
  <c r="BC21" i="2"/>
  <c r="BC26" i="2"/>
  <c r="BC27" i="2"/>
  <c r="BC28" i="2"/>
  <c r="BC29" i="2"/>
  <c r="BC30" i="2"/>
  <c r="BC31" i="2"/>
  <c r="BC32" i="2"/>
  <c r="BC33" i="2"/>
  <c r="BC34" i="2"/>
  <c r="BC37" i="2"/>
  <c r="BB7" i="2"/>
  <c r="BB8" i="2"/>
  <c r="BB9" i="2"/>
  <c r="BB10" i="2"/>
  <c r="BB14" i="2"/>
  <c r="BB15" i="2"/>
  <c r="BB16" i="2"/>
  <c r="BB17" i="2"/>
  <c r="BB18" i="2"/>
  <c r="BB19" i="2"/>
  <c r="BB20" i="2"/>
  <c r="BB21" i="2"/>
  <c r="BB26" i="2"/>
  <c r="BB27" i="2"/>
  <c r="BB28" i="2"/>
  <c r="BB29" i="2"/>
  <c r="BB30" i="2"/>
  <c r="BB31" i="2"/>
  <c r="BB32" i="2"/>
  <c r="BB33" i="2"/>
  <c r="BB34" i="2"/>
  <c r="BB37" i="2"/>
  <c r="BA7" i="2"/>
  <c r="BA8" i="2"/>
  <c r="BA9" i="2"/>
  <c r="BA10" i="2"/>
  <c r="BA14" i="2"/>
  <c r="BA15" i="2"/>
  <c r="BA16" i="2"/>
  <c r="BA17" i="2"/>
  <c r="BA18" i="2"/>
  <c r="BA19" i="2"/>
  <c r="BA20" i="2"/>
  <c r="BA21" i="2"/>
  <c r="BA26" i="2"/>
  <c r="BA27" i="2"/>
  <c r="BA28" i="2"/>
  <c r="BA29" i="2"/>
  <c r="BA30" i="2"/>
  <c r="BA31" i="2"/>
  <c r="BA32" i="2"/>
  <c r="BA33" i="2"/>
  <c r="BA34" i="2"/>
  <c r="BA37" i="2"/>
  <c r="AZ7" i="2"/>
  <c r="AZ8" i="2"/>
  <c r="AZ9" i="2"/>
  <c r="AZ10" i="2"/>
  <c r="AZ14" i="2"/>
  <c r="AZ15" i="2"/>
  <c r="AZ16" i="2"/>
  <c r="AZ17" i="2"/>
  <c r="AZ18" i="2"/>
  <c r="AZ19" i="2"/>
  <c r="AZ20" i="2"/>
  <c r="AZ21" i="2"/>
  <c r="AZ26" i="2"/>
  <c r="AZ27" i="2"/>
  <c r="AZ28" i="2"/>
  <c r="AZ29" i="2"/>
  <c r="AZ30" i="2"/>
  <c r="AZ31" i="2"/>
  <c r="AZ32" i="2"/>
  <c r="AZ33" i="2"/>
  <c r="AZ34" i="2"/>
  <c r="AZ37" i="2"/>
  <c r="AY7" i="2"/>
  <c r="AY8" i="2"/>
  <c r="AY9" i="2"/>
  <c r="AY10" i="2"/>
  <c r="AY14" i="2"/>
  <c r="AY15" i="2"/>
  <c r="AY16" i="2"/>
  <c r="AY17" i="2"/>
  <c r="AY18" i="2"/>
  <c r="AY19" i="2"/>
  <c r="AY20" i="2"/>
  <c r="AY21" i="2"/>
  <c r="AY26" i="2"/>
  <c r="AY27" i="2"/>
  <c r="AY28" i="2"/>
  <c r="AY29" i="2"/>
  <c r="AY30" i="2"/>
  <c r="AY31" i="2"/>
  <c r="AY32" i="2"/>
  <c r="AY33" i="2"/>
  <c r="AY34" i="2"/>
  <c r="AY37" i="2"/>
  <c r="AX7" i="2"/>
  <c r="AX8" i="2"/>
  <c r="AX9" i="2"/>
  <c r="AX10" i="2"/>
  <c r="AX14" i="2"/>
  <c r="AX15" i="2"/>
  <c r="AX16" i="2"/>
  <c r="AX17" i="2"/>
  <c r="AX18" i="2"/>
  <c r="AX19" i="2"/>
  <c r="AX20" i="2"/>
  <c r="AX21" i="2"/>
  <c r="AX26" i="2"/>
  <c r="AX27" i="2"/>
  <c r="AX28" i="2"/>
  <c r="AX29" i="2"/>
  <c r="AX30" i="2"/>
  <c r="AX31" i="2"/>
  <c r="AX32" i="2"/>
  <c r="AX33" i="2"/>
  <c r="AX34" i="2"/>
  <c r="AX37" i="2"/>
  <c r="AW7" i="2"/>
  <c r="AW8" i="2"/>
  <c r="AW9" i="2"/>
  <c r="AW10" i="2"/>
  <c r="AW14" i="2"/>
  <c r="AW15" i="2"/>
  <c r="AW16" i="2"/>
  <c r="AW17" i="2"/>
  <c r="AW18" i="2"/>
  <c r="AW19" i="2"/>
  <c r="AW20" i="2"/>
  <c r="AW21" i="2"/>
  <c r="AW26" i="2"/>
  <c r="AW27" i="2"/>
  <c r="AW28" i="2"/>
  <c r="AW29" i="2"/>
  <c r="AW30" i="2"/>
  <c r="AW31" i="2"/>
  <c r="AW32" i="2"/>
  <c r="AW33" i="2"/>
  <c r="AW34" i="2"/>
  <c r="AW37" i="2"/>
  <c r="AV7" i="2"/>
  <c r="AV8" i="2"/>
  <c r="AV9" i="2"/>
  <c r="AV10" i="2"/>
  <c r="AV14" i="2"/>
  <c r="AV15" i="2"/>
  <c r="AV16" i="2"/>
  <c r="AV17" i="2"/>
  <c r="AV18" i="2"/>
  <c r="AV19" i="2"/>
  <c r="AV20" i="2"/>
  <c r="AV21" i="2"/>
  <c r="AV26" i="2"/>
  <c r="AV27" i="2"/>
  <c r="AV28" i="2"/>
  <c r="AV29" i="2"/>
  <c r="AV30" i="2"/>
  <c r="AV31" i="2"/>
  <c r="AV32" i="2"/>
  <c r="AV33" i="2"/>
  <c r="AV34" i="2"/>
  <c r="AV37" i="2"/>
  <c r="AU7" i="2"/>
  <c r="AU8" i="2"/>
  <c r="AU9" i="2"/>
  <c r="AU10" i="2"/>
  <c r="AU14" i="2"/>
  <c r="AU15" i="2"/>
  <c r="AU16" i="2"/>
  <c r="AU17" i="2"/>
  <c r="AU18" i="2"/>
  <c r="AU19" i="2"/>
  <c r="AU20" i="2"/>
  <c r="AU21" i="2"/>
  <c r="AU26" i="2"/>
  <c r="AU27" i="2"/>
  <c r="AU28" i="2"/>
  <c r="AU29" i="2"/>
  <c r="AU30" i="2"/>
  <c r="AU31" i="2"/>
  <c r="AU32" i="2"/>
  <c r="AU33" i="2"/>
  <c r="AU34" i="2"/>
  <c r="AU37" i="2"/>
  <c r="AT7" i="2"/>
  <c r="AT8" i="2"/>
  <c r="AT9" i="2"/>
  <c r="AT10" i="2"/>
  <c r="AT14" i="2"/>
  <c r="AT15" i="2"/>
  <c r="AT16" i="2"/>
  <c r="AT17" i="2"/>
  <c r="AT18" i="2"/>
  <c r="AT19" i="2"/>
  <c r="AT20" i="2"/>
  <c r="AT21" i="2"/>
  <c r="AT26" i="2"/>
  <c r="AT27" i="2"/>
  <c r="AT28" i="2"/>
  <c r="AT29" i="2"/>
  <c r="AT30" i="2"/>
  <c r="AT31" i="2"/>
  <c r="AT32" i="2"/>
  <c r="AT33" i="2"/>
  <c r="AT34" i="2"/>
  <c r="AT37" i="2"/>
  <c r="AS7" i="2"/>
  <c r="AS8" i="2"/>
  <c r="AS9" i="2"/>
  <c r="AS10" i="2"/>
  <c r="AS14" i="2"/>
  <c r="AS15" i="2"/>
  <c r="AS16" i="2"/>
  <c r="AS17" i="2"/>
  <c r="AS18" i="2"/>
  <c r="AS19" i="2"/>
  <c r="AS20" i="2"/>
  <c r="AS21" i="2"/>
  <c r="AS26" i="2"/>
  <c r="AS27" i="2"/>
  <c r="AS28" i="2"/>
  <c r="AS29" i="2"/>
  <c r="AS30" i="2"/>
  <c r="AS31" i="2"/>
  <c r="AS32" i="2"/>
  <c r="AS33" i="2"/>
  <c r="AS34" i="2"/>
  <c r="AS37" i="2"/>
  <c r="AR7" i="2"/>
  <c r="AR8" i="2"/>
  <c r="AR9" i="2"/>
  <c r="AR10" i="2"/>
  <c r="AR14" i="2"/>
  <c r="AR15" i="2"/>
  <c r="AR16" i="2"/>
  <c r="AR17" i="2"/>
  <c r="AR18" i="2"/>
  <c r="AR19" i="2"/>
  <c r="AR20" i="2"/>
  <c r="AR21" i="2"/>
  <c r="AR26" i="2"/>
  <c r="AR27" i="2"/>
  <c r="AR28" i="2"/>
  <c r="AR29" i="2"/>
  <c r="AR30" i="2"/>
  <c r="AR31" i="2"/>
  <c r="AR32" i="2"/>
  <c r="AR33" i="2"/>
  <c r="AR34" i="2"/>
  <c r="AR37" i="2"/>
  <c r="AQ37" i="2"/>
  <c r="AQ7" i="2"/>
  <c r="AQ8" i="2"/>
  <c r="AQ9" i="2"/>
  <c r="AQ10" i="2"/>
  <c r="AQ14" i="2"/>
  <c r="AQ15" i="2"/>
  <c r="AQ16" i="2"/>
  <c r="AQ17" i="2"/>
  <c r="AQ18" i="2"/>
  <c r="AQ19" i="2"/>
  <c r="AQ20" i="2"/>
  <c r="AQ21" i="2"/>
  <c r="AQ26" i="2"/>
  <c r="AQ27" i="2"/>
  <c r="AQ28" i="2"/>
  <c r="AQ29" i="2"/>
  <c r="AQ30" i="2"/>
  <c r="AQ31" i="2"/>
  <c r="AQ32" i="2"/>
  <c r="AQ33" i="2"/>
  <c r="AQ34" i="2"/>
  <c r="AP7" i="2"/>
  <c r="AP8" i="2"/>
  <c r="AP9" i="2"/>
  <c r="AP10" i="2"/>
  <c r="AP14" i="2"/>
  <c r="AP15" i="2"/>
  <c r="AP16" i="2"/>
  <c r="AP17" i="2"/>
  <c r="AP18" i="2"/>
  <c r="AP19" i="2"/>
  <c r="AP20" i="2"/>
  <c r="AP21" i="2"/>
  <c r="AP26" i="2"/>
  <c r="AP27" i="2"/>
  <c r="AP28" i="2"/>
  <c r="AP29" i="2"/>
  <c r="AP30" i="2"/>
  <c r="AP31" i="2"/>
  <c r="AP32" i="2"/>
  <c r="AP33" i="2"/>
  <c r="AP34" i="2"/>
  <c r="AP37" i="2"/>
  <c r="AO7" i="2"/>
  <c r="AO8" i="2"/>
  <c r="AO9" i="2"/>
  <c r="AO10" i="2"/>
  <c r="AO14" i="2"/>
  <c r="AO15" i="2"/>
  <c r="AO16" i="2"/>
  <c r="AO17" i="2"/>
  <c r="AO18" i="2"/>
  <c r="AO19" i="2"/>
  <c r="AO20" i="2"/>
  <c r="AO21" i="2"/>
  <c r="AO26" i="2"/>
  <c r="AO27" i="2"/>
  <c r="AO28" i="2"/>
  <c r="AO29" i="2"/>
  <c r="AO30" i="2"/>
  <c r="AO31" i="2"/>
  <c r="AO32" i="2"/>
  <c r="AO33" i="2"/>
  <c r="AO34" i="2"/>
  <c r="AO37" i="2"/>
  <c r="AN7" i="2"/>
  <c r="AN8" i="2"/>
  <c r="AN9" i="2"/>
  <c r="AN10" i="2"/>
  <c r="AN14" i="2"/>
  <c r="AN15" i="2"/>
  <c r="AN16" i="2"/>
  <c r="AN17" i="2"/>
  <c r="AN18" i="2"/>
  <c r="AN19" i="2"/>
  <c r="AN20" i="2"/>
  <c r="AN21" i="2"/>
  <c r="AN26" i="2"/>
  <c r="AN27" i="2"/>
  <c r="AN28" i="2"/>
  <c r="AN29" i="2"/>
  <c r="AN30" i="2"/>
  <c r="AN31" i="2"/>
  <c r="AN32" i="2"/>
  <c r="AN33" i="2"/>
  <c r="AN34" i="2"/>
  <c r="AN37" i="2"/>
  <c r="AM7" i="2"/>
  <c r="AM8" i="2"/>
  <c r="AM9" i="2"/>
  <c r="AM10" i="2"/>
  <c r="AM14" i="2"/>
  <c r="AM15" i="2"/>
  <c r="AM16" i="2"/>
  <c r="AM17" i="2"/>
  <c r="AM18" i="2"/>
  <c r="AM19" i="2"/>
  <c r="AM20" i="2"/>
  <c r="AM21" i="2"/>
  <c r="AM26" i="2"/>
  <c r="AM27" i="2"/>
  <c r="AM28" i="2"/>
  <c r="AM29" i="2"/>
  <c r="AM30" i="2"/>
  <c r="AM31" i="2"/>
  <c r="AM32" i="2"/>
  <c r="AM33" i="2"/>
  <c r="AM34" i="2"/>
  <c r="AM37" i="2"/>
  <c r="AL7" i="2"/>
  <c r="AL8" i="2"/>
  <c r="AL9" i="2"/>
  <c r="AL10" i="2"/>
  <c r="AL14" i="2"/>
  <c r="AL15" i="2"/>
  <c r="AL16" i="2"/>
  <c r="AL17" i="2"/>
  <c r="AL18" i="2"/>
  <c r="AL19" i="2"/>
  <c r="AL20" i="2"/>
  <c r="AL21" i="2"/>
  <c r="AL26" i="2"/>
  <c r="AL27" i="2"/>
  <c r="AL28" i="2"/>
  <c r="AL29" i="2"/>
  <c r="AL30" i="2"/>
  <c r="AL31" i="2"/>
  <c r="AL32" i="2"/>
  <c r="AL33" i="2"/>
  <c r="AL34" i="2"/>
  <c r="AL37" i="2"/>
  <c r="AK7" i="2"/>
  <c r="AK8" i="2"/>
  <c r="AK9" i="2"/>
  <c r="AK10" i="2"/>
  <c r="AK14" i="2"/>
  <c r="AK15" i="2"/>
  <c r="AK16" i="2"/>
  <c r="AK17" i="2"/>
  <c r="AK18" i="2"/>
  <c r="AK19" i="2"/>
  <c r="AK20" i="2"/>
  <c r="AK21" i="2"/>
  <c r="AK26" i="2"/>
  <c r="AK27" i="2"/>
  <c r="AK28" i="2"/>
  <c r="AK29" i="2"/>
  <c r="AK30" i="2"/>
  <c r="AK31" i="2"/>
  <c r="AK32" i="2"/>
  <c r="AK33" i="2"/>
  <c r="AK34" i="2"/>
  <c r="AK37" i="2"/>
  <c r="AJ7" i="2"/>
  <c r="AJ8" i="2"/>
  <c r="AJ9" i="2"/>
  <c r="AJ10" i="2"/>
  <c r="AJ14" i="2"/>
  <c r="AJ15" i="2"/>
  <c r="AJ16" i="2"/>
  <c r="AJ17" i="2"/>
  <c r="AJ18" i="2"/>
  <c r="AJ19" i="2"/>
  <c r="AJ20" i="2"/>
  <c r="AJ21" i="2"/>
  <c r="AJ26" i="2"/>
  <c r="AJ27" i="2"/>
  <c r="AJ28" i="2"/>
  <c r="AJ29" i="2"/>
  <c r="AJ30" i="2"/>
  <c r="AJ31" i="2"/>
  <c r="AJ32" i="2"/>
  <c r="AJ33" i="2"/>
  <c r="AJ34" i="2"/>
  <c r="AJ37" i="2"/>
  <c r="AI7" i="2"/>
  <c r="AI8" i="2"/>
  <c r="AI9" i="2"/>
  <c r="AI10" i="2"/>
  <c r="AI14" i="2"/>
  <c r="AI15" i="2"/>
  <c r="AI16" i="2"/>
  <c r="AI17" i="2"/>
  <c r="AI18" i="2"/>
  <c r="AI19" i="2"/>
  <c r="AI20" i="2"/>
  <c r="AI21" i="2"/>
  <c r="AI26" i="2"/>
  <c r="AI27" i="2"/>
  <c r="AI28" i="2"/>
  <c r="AI29" i="2"/>
  <c r="AI30" i="2"/>
  <c r="AI31" i="2"/>
  <c r="AI32" i="2"/>
  <c r="AI33" i="2"/>
  <c r="AI34" i="2"/>
  <c r="AI37" i="2"/>
  <c r="AH7" i="2"/>
  <c r="AH8" i="2"/>
  <c r="AH9" i="2"/>
  <c r="AH10" i="2"/>
  <c r="AH14" i="2"/>
  <c r="AH15" i="2"/>
  <c r="AH16" i="2"/>
  <c r="AH17" i="2"/>
  <c r="AH18" i="2"/>
  <c r="AH19" i="2"/>
  <c r="AH20" i="2"/>
  <c r="AH21" i="2"/>
  <c r="AH26" i="2"/>
  <c r="AH27" i="2"/>
  <c r="AH28" i="2"/>
  <c r="AH29" i="2"/>
  <c r="AH30" i="2"/>
  <c r="AH31" i="2"/>
  <c r="AH32" i="2"/>
  <c r="AH33" i="2"/>
  <c r="AH34" i="2"/>
  <c r="AH37" i="2"/>
  <c r="AG7" i="2"/>
  <c r="AG8" i="2"/>
  <c r="AG9" i="2"/>
  <c r="AG10" i="2"/>
  <c r="AG14" i="2"/>
  <c r="AG15" i="2"/>
  <c r="AG16" i="2"/>
  <c r="AG17" i="2"/>
  <c r="AG18" i="2"/>
  <c r="AG19" i="2"/>
  <c r="AG20" i="2"/>
  <c r="AG21" i="2"/>
  <c r="AG26" i="2"/>
  <c r="AG27" i="2"/>
  <c r="AG28" i="2"/>
  <c r="AG29" i="2"/>
  <c r="AG30" i="2"/>
  <c r="AG31" i="2"/>
  <c r="AG32" i="2"/>
  <c r="AG33" i="2"/>
  <c r="AG34" i="2"/>
  <c r="AG37" i="2"/>
  <c r="AF7" i="2"/>
  <c r="AF8" i="2"/>
  <c r="AF9" i="2"/>
  <c r="AF10" i="2"/>
  <c r="AF14" i="2"/>
  <c r="AF15" i="2"/>
  <c r="AF16" i="2"/>
  <c r="AF17" i="2"/>
  <c r="AF18" i="2"/>
  <c r="AF19" i="2"/>
  <c r="AF20" i="2"/>
  <c r="AF21" i="2"/>
  <c r="AF26" i="2"/>
  <c r="AF27" i="2"/>
  <c r="AF28" i="2"/>
  <c r="AF29" i="2"/>
  <c r="AF30" i="2"/>
  <c r="AF31" i="2"/>
  <c r="AF32" i="2"/>
  <c r="AF33" i="2"/>
  <c r="AF34" i="2"/>
  <c r="AF37" i="2"/>
  <c r="AE7" i="2"/>
  <c r="AE8" i="2"/>
  <c r="AE9" i="2"/>
  <c r="AE10" i="2"/>
  <c r="AE14" i="2"/>
  <c r="AE15" i="2"/>
  <c r="AE16" i="2"/>
  <c r="AE17" i="2"/>
  <c r="AE18" i="2"/>
  <c r="AE19" i="2"/>
  <c r="AE20" i="2"/>
  <c r="AE21" i="2"/>
  <c r="AE26" i="2"/>
  <c r="AE27" i="2"/>
  <c r="AE28" i="2"/>
  <c r="AE29" i="2"/>
  <c r="AE30" i="2"/>
  <c r="AE31" i="2"/>
  <c r="AE32" i="2"/>
  <c r="AE33" i="2"/>
  <c r="AE34" i="2"/>
  <c r="AE37" i="2"/>
  <c r="AD7" i="2"/>
  <c r="AD8" i="2"/>
  <c r="AD9" i="2"/>
  <c r="AD10" i="2"/>
  <c r="AD14" i="2"/>
  <c r="AD15" i="2"/>
  <c r="AD16" i="2"/>
  <c r="AD17" i="2"/>
  <c r="AD18" i="2"/>
  <c r="AD19" i="2"/>
  <c r="AD20" i="2"/>
  <c r="AD21" i="2"/>
  <c r="AD26" i="2"/>
  <c r="AD27" i="2"/>
  <c r="AD28" i="2"/>
  <c r="AD29" i="2"/>
  <c r="AD30" i="2"/>
  <c r="AD31" i="2"/>
  <c r="AD32" i="2"/>
  <c r="AD33" i="2"/>
  <c r="AD34" i="2"/>
  <c r="AD37" i="2"/>
  <c r="AC7" i="2"/>
  <c r="AC8" i="2"/>
  <c r="AC9" i="2"/>
  <c r="AC10" i="2"/>
  <c r="AC14" i="2"/>
  <c r="AC15" i="2"/>
  <c r="AC16" i="2"/>
  <c r="AC17" i="2"/>
  <c r="AC18" i="2"/>
  <c r="AC19" i="2"/>
  <c r="AC20" i="2"/>
  <c r="AC21" i="2"/>
  <c r="AC26" i="2"/>
  <c r="AC27" i="2"/>
  <c r="AC28" i="2"/>
  <c r="AC29" i="2"/>
  <c r="AC30" i="2"/>
  <c r="AC31" i="2"/>
  <c r="AC32" i="2"/>
  <c r="AC33" i="2"/>
  <c r="AC34" i="2"/>
  <c r="AC37" i="2"/>
  <c r="AB7" i="2"/>
  <c r="AB8" i="2"/>
  <c r="AB9" i="2"/>
  <c r="AB10" i="2"/>
  <c r="AB14" i="2"/>
  <c r="AB15" i="2"/>
  <c r="AB16" i="2"/>
  <c r="AB17" i="2"/>
  <c r="AB18" i="2"/>
  <c r="AB19" i="2"/>
  <c r="AB20" i="2"/>
  <c r="AB21" i="2"/>
  <c r="AB26" i="2"/>
  <c r="AB27" i="2"/>
  <c r="AB28" i="2"/>
  <c r="AB29" i="2"/>
  <c r="AB30" i="2"/>
  <c r="AB31" i="2"/>
  <c r="AB32" i="2"/>
  <c r="AB33" i="2"/>
  <c r="AB34" i="2"/>
  <c r="AB37" i="2"/>
  <c r="AA7" i="2"/>
  <c r="AA8" i="2"/>
  <c r="AA9" i="2"/>
  <c r="AA10" i="2"/>
  <c r="AA14" i="2"/>
  <c r="AA15" i="2"/>
  <c r="AA16" i="2"/>
  <c r="AA17" i="2"/>
  <c r="AA18" i="2"/>
  <c r="AA19" i="2"/>
  <c r="AA20" i="2"/>
  <c r="AA21" i="2"/>
  <c r="AA26" i="2"/>
  <c r="AA27" i="2"/>
  <c r="AA28" i="2"/>
  <c r="AA29" i="2"/>
  <c r="AA30" i="2"/>
  <c r="AA31" i="2"/>
  <c r="AA32" i="2"/>
  <c r="AA33" i="2"/>
  <c r="AA34" i="2"/>
  <c r="AA37" i="2"/>
  <c r="Z7" i="2"/>
  <c r="Z8" i="2"/>
  <c r="Z9" i="2"/>
  <c r="Z10" i="2"/>
  <c r="Z14" i="2"/>
  <c r="Z15" i="2"/>
  <c r="Z16" i="2"/>
  <c r="Z17" i="2"/>
  <c r="Z18" i="2"/>
  <c r="Z19" i="2"/>
  <c r="Z20" i="2"/>
  <c r="Z21" i="2"/>
  <c r="Z26" i="2"/>
  <c r="Z27" i="2"/>
  <c r="Z28" i="2"/>
  <c r="Z29" i="2"/>
  <c r="Z30" i="2"/>
  <c r="Z31" i="2"/>
  <c r="Z32" i="2"/>
  <c r="Z33" i="2"/>
  <c r="Z34" i="2"/>
  <c r="Z37" i="2"/>
  <c r="Y7" i="2"/>
  <c r="Y8" i="2"/>
  <c r="Y9" i="2"/>
  <c r="Y10" i="2"/>
  <c r="Y14" i="2"/>
  <c r="Y15" i="2"/>
  <c r="Y16" i="2"/>
  <c r="Y17" i="2"/>
  <c r="Y18" i="2"/>
  <c r="Y19" i="2"/>
  <c r="Y20" i="2"/>
  <c r="Y21" i="2"/>
  <c r="Y26" i="2"/>
  <c r="Y27" i="2"/>
  <c r="Y28" i="2"/>
  <c r="Y29" i="2"/>
  <c r="Y30" i="2"/>
  <c r="Y31" i="2"/>
  <c r="Y32" i="2"/>
  <c r="Y33" i="2"/>
  <c r="Y34" i="2"/>
  <c r="Y37" i="2"/>
  <c r="X7" i="2"/>
  <c r="X8" i="2"/>
  <c r="X9" i="2"/>
  <c r="X10" i="2"/>
  <c r="X14" i="2"/>
  <c r="X15" i="2"/>
  <c r="X16" i="2"/>
  <c r="X17" i="2"/>
  <c r="X18" i="2"/>
  <c r="X19" i="2"/>
  <c r="X20" i="2"/>
  <c r="X21" i="2"/>
  <c r="X26" i="2"/>
  <c r="X27" i="2"/>
  <c r="X28" i="2"/>
  <c r="X29" i="2"/>
  <c r="X30" i="2"/>
  <c r="X31" i="2"/>
  <c r="X32" i="2"/>
  <c r="X33" i="2"/>
  <c r="X34" i="2"/>
  <c r="X37" i="2"/>
  <c r="W7" i="2"/>
  <c r="W8" i="2"/>
  <c r="W9" i="2"/>
  <c r="W10" i="2"/>
  <c r="W14" i="2"/>
  <c r="W15" i="2"/>
  <c r="W16" i="2"/>
  <c r="W17" i="2"/>
  <c r="W18" i="2"/>
  <c r="W19" i="2"/>
  <c r="W20" i="2"/>
  <c r="W21" i="2"/>
  <c r="W26" i="2"/>
  <c r="W27" i="2"/>
  <c r="W28" i="2"/>
  <c r="W29" i="2"/>
  <c r="W30" i="2"/>
  <c r="W31" i="2"/>
  <c r="W32" i="2"/>
  <c r="W33" i="2"/>
  <c r="W34" i="2"/>
  <c r="W37" i="2"/>
  <c r="V7" i="2"/>
  <c r="V8" i="2"/>
  <c r="V9" i="2"/>
  <c r="V10" i="2"/>
  <c r="V14" i="2"/>
  <c r="V15" i="2"/>
  <c r="V16" i="2"/>
  <c r="V17" i="2"/>
  <c r="V18" i="2"/>
  <c r="V19" i="2"/>
  <c r="V20" i="2"/>
  <c r="V21" i="2"/>
  <c r="V26" i="2"/>
  <c r="V27" i="2"/>
  <c r="V28" i="2"/>
  <c r="V29" i="2"/>
  <c r="V30" i="2"/>
  <c r="V31" i="2"/>
  <c r="V32" i="2"/>
  <c r="V33" i="2"/>
  <c r="V34" i="2"/>
  <c r="V37" i="2"/>
  <c r="U7" i="2"/>
  <c r="U8" i="2"/>
  <c r="U9" i="2"/>
  <c r="U10" i="2"/>
  <c r="U14" i="2"/>
  <c r="U15" i="2"/>
  <c r="U16" i="2"/>
  <c r="U17" i="2"/>
  <c r="U18" i="2"/>
  <c r="U19" i="2"/>
  <c r="U20" i="2"/>
  <c r="U21" i="2"/>
  <c r="U26" i="2"/>
  <c r="U27" i="2"/>
  <c r="U28" i="2"/>
  <c r="U29" i="2"/>
  <c r="U30" i="2"/>
  <c r="U31" i="2"/>
  <c r="U32" i="2"/>
  <c r="U33" i="2"/>
  <c r="U34" i="2"/>
  <c r="U37" i="2"/>
  <c r="T7" i="2"/>
  <c r="T8" i="2"/>
  <c r="T9" i="2"/>
  <c r="T10" i="2"/>
  <c r="T14" i="2"/>
  <c r="T15" i="2"/>
  <c r="T16" i="2"/>
  <c r="T17" i="2"/>
  <c r="T18" i="2"/>
  <c r="T19" i="2"/>
  <c r="T20" i="2"/>
  <c r="T21" i="2"/>
  <c r="T26" i="2"/>
  <c r="T27" i="2"/>
  <c r="T28" i="2"/>
  <c r="T29" i="2"/>
  <c r="T30" i="2"/>
  <c r="T31" i="2"/>
  <c r="T32" i="2"/>
  <c r="T33" i="2"/>
  <c r="T34" i="2"/>
  <c r="T37" i="2"/>
  <c r="S7" i="2"/>
  <c r="S8" i="2"/>
  <c r="S9" i="2"/>
  <c r="S10" i="2"/>
  <c r="S14" i="2"/>
  <c r="S15" i="2"/>
  <c r="S16" i="2"/>
  <c r="S17" i="2"/>
  <c r="S18" i="2"/>
  <c r="S19" i="2"/>
  <c r="S20" i="2"/>
  <c r="S21" i="2"/>
  <c r="S26" i="2"/>
  <c r="S27" i="2"/>
  <c r="S28" i="2"/>
  <c r="S29" i="2"/>
  <c r="S30" i="2"/>
  <c r="S31" i="2"/>
  <c r="S32" i="2"/>
  <c r="S33" i="2"/>
  <c r="S34" i="2"/>
  <c r="S37" i="2"/>
  <c r="R7" i="2"/>
  <c r="R8" i="2"/>
  <c r="R9" i="2"/>
  <c r="R10" i="2"/>
  <c r="R14" i="2"/>
  <c r="R15" i="2"/>
  <c r="R16" i="2"/>
  <c r="R17" i="2"/>
  <c r="R18" i="2"/>
  <c r="R19" i="2"/>
  <c r="R20" i="2"/>
  <c r="R21" i="2"/>
  <c r="R26" i="2"/>
  <c r="R27" i="2"/>
  <c r="R28" i="2"/>
  <c r="R29" i="2"/>
  <c r="R30" i="2"/>
  <c r="R31" i="2"/>
  <c r="R32" i="2"/>
  <c r="R33" i="2"/>
  <c r="R34" i="2"/>
  <c r="R37" i="2"/>
  <c r="Q7" i="2"/>
  <c r="Q8" i="2"/>
  <c r="Q9" i="2"/>
  <c r="Q10" i="2"/>
  <c r="Q14" i="2"/>
  <c r="Q15" i="2"/>
  <c r="Q16" i="2"/>
  <c r="Q17" i="2"/>
  <c r="Q18" i="2"/>
  <c r="Q19" i="2"/>
  <c r="Q20" i="2"/>
  <c r="Q21" i="2"/>
  <c r="Q26" i="2"/>
  <c r="Q27" i="2"/>
  <c r="Q28" i="2"/>
  <c r="Q29" i="2"/>
  <c r="Q30" i="2"/>
  <c r="Q31" i="2"/>
  <c r="Q32" i="2"/>
  <c r="Q33" i="2"/>
  <c r="Q34" i="2"/>
  <c r="Q37" i="2"/>
  <c r="P7" i="2"/>
  <c r="P8" i="2"/>
  <c r="P9" i="2"/>
  <c r="P10" i="2"/>
  <c r="P14" i="2"/>
  <c r="P15" i="2"/>
  <c r="P16" i="2"/>
  <c r="P17" i="2"/>
  <c r="P18" i="2"/>
  <c r="P19" i="2"/>
  <c r="P20" i="2"/>
  <c r="P21" i="2"/>
  <c r="P26" i="2"/>
  <c r="P27" i="2"/>
  <c r="P28" i="2"/>
  <c r="P29" i="2"/>
  <c r="P30" i="2"/>
  <c r="P31" i="2"/>
  <c r="P32" i="2"/>
  <c r="P33" i="2"/>
  <c r="P34" i="2"/>
  <c r="P37" i="2"/>
  <c r="O7" i="2"/>
  <c r="O8" i="2"/>
  <c r="O9" i="2"/>
  <c r="O10" i="2"/>
  <c r="O14" i="2"/>
  <c r="O15" i="2"/>
  <c r="O16" i="2"/>
  <c r="O17" i="2"/>
  <c r="O18" i="2"/>
  <c r="O19" i="2"/>
  <c r="O20" i="2"/>
  <c r="O21" i="2"/>
  <c r="O26" i="2"/>
  <c r="O27" i="2"/>
  <c r="O28" i="2"/>
  <c r="O29" i="2"/>
  <c r="O30" i="2"/>
  <c r="O31" i="2"/>
  <c r="O32" i="2"/>
  <c r="O33" i="2"/>
  <c r="O34" i="2"/>
  <c r="O37" i="2"/>
  <c r="N7" i="2"/>
  <c r="N8" i="2"/>
  <c r="N9" i="2"/>
  <c r="N10" i="2"/>
  <c r="N14" i="2"/>
  <c r="N15" i="2"/>
  <c r="N16" i="2"/>
  <c r="N17" i="2"/>
  <c r="N18" i="2"/>
  <c r="N19" i="2"/>
  <c r="N20" i="2"/>
  <c r="N21" i="2"/>
  <c r="N26" i="2"/>
  <c r="N27" i="2"/>
  <c r="N28" i="2"/>
  <c r="N29" i="2"/>
  <c r="N30" i="2"/>
  <c r="N31" i="2"/>
  <c r="N32" i="2"/>
  <c r="N33" i="2"/>
  <c r="N34" i="2"/>
  <c r="N37" i="2"/>
  <c r="M7" i="2"/>
  <c r="M8" i="2"/>
  <c r="M9" i="2"/>
  <c r="M10" i="2"/>
  <c r="M14" i="2"/>
  <c r="M15" i="2"/>
  <c r="M16" i="2"/>
  <c r="M17" i="2"/>
  <c r="M18" i="2"/>
  <c r="M19" i="2"/>
  <c r="M20" i="2"/>
  <c r="M21" i="2"/>
  <c r="M26" i="2"/>
  <c r="M27" i="2"/>
  <c r="M28" i="2"/>
  <c r="M29" i="2"/>
  <c r="M30" i="2"/>
  <c r="M31" i="2"/>
  <c r="M32" i="2"/>
  <c r="M33" i="2"/>
  <c r="M34" i="2"/>
  <c r="M37" i="2"/>
  <c r="L7" i="2"/>
  <c r="L8" i="2"/>
  <c r="L9" i="2"/>
  <c r="L10" i="2"/>
  <c r="L14" i="2"/>
  <c r="L15" i="2"/>
  <c r="L16" i="2"/>
  <c r="L17" i="2"/>
  <c r="L18" i="2"/>
  <c r="L19" i="2"/>
  <c r="L20" i="2"/>
  <c r="L21" i="2"/>
  <c r="L26" i="2"/>
  <c r="L27" i="2"/>
  <c r="L28" i="2"/>
  <c r="L29" i="2"/>
  <c r="L30" i="2"/>
  <c r="L31" i="2"/>
  <c r="L32" i="2"/>
  <c r="L33" i="2"/>
  <c r="L34" i="2"/>
  <c r="L37" i="2"/>
  <c r="K7" i="2"/>
  <c r="K8" i="2"/>
  <c r="K9" i="2"/>
  <c r="K10" i="2"/>
  <c r="K14" i="2"/>
  <c r="K15" i="2"/>
  <c r="K16" i="2"/>
  <c r="K17" i="2"/>
  <c r="K18" i="2"/>
  <c r="K19" i="2"/>
  <c r="K20" i="2"/>
  <c r="K21" i="2"/>
  <c r="K26" i="2"/>
  <c r="K27" i="2"/>
  <c r="K28" i="2"/>
  <c r="K29" i="2"/>
  <c r="K30" i="2"/>
  <c r="K31" i="2"/>
  <c r="K32" i="2"/>
  <c r="K33" i="2"/>
  <c r="K34" i="2"/>
  <c r="K37" i="2"/>
  <c r="J7" i="2"/>
  <c r="J8" i="2"/>
  <c r="J9" i="2"/>
  <c r="J10" i="2"/>
  <c r="J14" i="2"/>
  <c r="J15" i="2"/>
  <c r="J16" i="2"/>
  <c r="J17" i="2"/>
  <c r="J18" i="2"/>
  <c r="J19" i="2"/>
  <c r="J20" i="2"/>
  <c r="J21" i="2"/>
  <c r="J26" i="2"/>
  <c r="J27" i="2"/>
  <c r="J28" i="2"/>
  <c r="J29" i="2"/>
  <c r="J30" i="2"/>
  <c r="J31" i="2"/>
  <c r="J32" i="2"/>
  <c r="J33" i="2"/>
  <c r="J34" i="2"/>
  <c r="J37" i="2"/>
  <c r="I7" i="2"/>
  <c r="I8" i="2"/>
  <c r="I9" i="2"/>
  <c r="I10" i="2"/>
  <c r="I14" i="2"/>
  <c r="I15" i="2"/>
  <c r="I16" i="2"/>
  <c r="I17" i="2"/>
  <c r="I18" i="2"/>
  <c r="I19" i="2"/>
  <c r="I20" i="2"/>
  <c r="I21" i="2"/>
  <c r="I26" i="2"/>
  <c r="I27" i="2"/>
  <c r="I28" i="2"/>
  <c r="I29" i="2"/>
  <c r="I30" i="2"/>
  <c r="I31" i="2"/>
  <c r="I32" i="2"/>
  <c r="I33" i="2"/>
  <c r="I34" i="2"/>
  <c r="I37" i="2"/>
  <c r="H7" i="2"/>
  <c r="H8" i="2"/>
  <c r="H9" i="2"/>
  <c r="H10" i="2"/>
  <c r="H14" i="2"/>
  <c r="H15" i="2"/>
  <c r="H16" i="2"/>
  <c r="H17" i="2"/>
  <c r="H18" i="2"/>
  <c r="H19" i="2"/>
  <c r="H20" i="2"/>
  <c r="H21" i="2"/>
  <c r="H26" i="2"/>
  <c r="H27" i="2"/>
  <c r="H28" i="2"/>
  <c r="H29" i="2"/>
  <c r="H30" i="2"/>
  <c r="H31" i="2"/>
  <c r="H32" i="2"/>
  <c r="H33" i="2"/>
  <c r="H34" i="2"/>
  <c r="H37" i="2"/>
  <c r="G7" i="2"/>
  <c r="G8" i="2"/>
  <c r="G9" i="2"/>
  <c r="G10" i="2"/>
  <c r="G14" i="2"/>
  <c r="G15" i="2"/>
  <c r="G16" i="2"/>
  <c r="G17" i="2"/>
  <c r="G18" i="2"/>
  <c r="G19" i="2"/>
  <c r="G20" i="2"/>
  <c r="G21" i="2"/>
  <c r="G26" i="2"/>
  <c r="G27" i="2"/>
  <c r="G28" i="2"/>
  <c r="G29" i="2"/>
  <c r="G30" i="2"/>
  <c r="G31" i="2"/>
  <c r="G32" i="2"/>
  <c r="G33" i="2"/>
  <c r="G34" i="2"/>
  <c r="G37" i="2"/>
  <c r="F7" i="2"/>
  <c r="F8" i="2"/>
  <c r="F9" i="2"/>
  <c r="F10" i="2"/>
  <c r="F14" i="2"/>
  <c r="F15" i="2"/>
  <c r="F16" i="2"/>
  <c r="F17" i="2"/>
  <c r="F18" i="2"/>
  <c r="F19" i="2"/>
  <c r="F20" i="2"/>
  <c r="F21" i="2"/>
  <c r="F26" i="2"/>
  <c r="F27" i="2"/>
  <c r="F28" i="2"/>
  <c r="F29" i="2"/>
  <c r="F30" i="2"/>
  <c r="F31" i="2"/>
  <c r="F32" i="2"/>
  <c r="F33" i="2"/>
  <c r="F34" i="2"/>
  <c r="F37" i="2"/>
  <c r="E7" i="2"/>
  <c r="E8" i="2"/>
  <c r="E9" i="2"/>
  <c r="E10" i="2"/>
  <c r="E14" i="2"/>
  <c r="E15" i="2"/>
  <c r="E16" i="2"/>
  <c r="E17" i="2"/>
  <c r="E18" i="2"/>
  <c r="E19" i="2"/>
  <c r="E20" i="2"/>
  <c r="E21" i="2"/>
  <c r="E26" i="2"/>
  <c r="E27" i="2"/>
  <c r="E28" i="2"/>
  <c r="E29" i="2"/>
  <c r="E30" i="2"/>
  <c r="E31" i="2"/>
  <c r="E32" i="2"/>
  <c r="E33" i="2"/>
  <c r="E34" i="2"/>
  <c r="E37" i="2"/>
  <c r="D7" i="2"/>
  <c r="D8" i="2"/>
  <c r="D9" i="2"/>
  <c r="D10" i="2"/>
  <c r="D14" i="2"/>
  <c r="D15" i="2"/>
  <c r="D16" i="2"/>
  <c r="D17" i="2"/>
  <c r="D18" i="2"/>
  <c r="D19" i="2"/>
  <c r="D20" i="2"/>
  <c r="D21" i="2"/>
  <c r="D26" i="2"/>
  <c r="D27" i="2"/>
  <c r="D28" i="2"/>
  <c r="D29" i="2"/>
  <c r="D30" i="2"/>
  <c r="D31" i="2"/>
  <c r="D32" i="2"/>
  <c r="D33" i="2"/>
  <c r="D34" i="2"/>
  <c r="D37" i="2"/>
  <c r="BE6" i="2"/>
  <c r="BD6" i="2"/>
  <c r="BC6" i="2"/>
  <c r="BB6" i="2"/>
  <c r="BA6" i="2"/>
  <c r="AZ6" i="2"/>
  <c r="AY6" i="2"/>
  <c r="AX6" i="2"/>
  <c r="AW6" i="2"/>
  <c r="AV6" i="2"/>
  <c r="AU6" i="2"/>
  <c r="AT6" i="2"/>
  <c r="AS6" i="2"/>
  <c r="AR6" i="2"/>
  <c r="AQ6" i="2"/>
  <c r="AP6" i="2"/>
  <c r="AO6" i="2"/>
  <c r="AN6" i="2"/>
  <c r="AM6" i="2"/>
  <c r="AL6" i="2"/>
  <c r="AK6" i="2"/>
  <c r="AJ6" i="2"/>
  <c r="AI6" i="2"/>
  <c r="AH6" i="2"/>
  <c r="AG6" i="2"/>
  <c r="AF6" i="2"/>
  <c r="AE6" i="2"/>
  <c r="AD6" i="2"/>
  <c r="AC6" i="2"/>
  <c r="AB6" i="2"/>
  <c r="AA6" i="2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K6" i="2"/>
  <c r="J6" i="2"/>
  <c r="I6" i="2"/>
  <c r="H6" i="2"/>
  <c r="G6" i="2"/>
  <c r="F6" i="2"/>
  <c r="E6" i="2"/>
  <c r="D6" i="2"/>
  <c r="B7" i="2"/>
  <c r="B8" i="2"/>
  <c r="B9" i="2"/>
  <c r="B10" i="2"/>
  <c r="B14" i="2"/>
  <c r="B15" i="2"/>
  <c r="B16" i="2"/>
  <c r="B17" i="2"/>
  <c r="B18" i="2"/>
  <c r="B19" i="2"/>
  <c r="B20" i="2"/>
  <c r="B21" i="2"/>
  <c r="B26" i="2"/>
  <c r="B27" i="2"/>
  <c r="B28" i="2"/>
  <c r="B29" i="2"/>
  <c r="B30" i="2"/>
  <c r="B31" i="2"/>
  <c r="B32" i="2"/>
  <c r="B33" i="2"/>
  <c r="B34" i="2"/>
  <c r="B37" i="2"/>
  <c r="B6" i="2"/>
  <c r="H18" i="3" l="1"/>
  <c r="G18" i="3"/>
  <c r="E18" i="3"/>
  <c r="F18" i="3"/>
  <c r="B18" i="3"/>
  <c r="D18" i="3"/>
  <c r="C18" i="3"/>
  <c r="R24" i="3" l="1"/>
  <c r="K24" i="3" l="1"/>
  <c r="L24" i="3"/>
  <c r="M24" i="3"/>
  <c r="N24" i="3"/>
  <c r="O24" i="3"/>
  <c r="P24" i="3"/>
  <c r="Q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D24" i="3"/>
  <c r="D26" i="3" s="1"/>
  <c r="E24" i="3"/>
  <c r="E26" i="3" s="1"/>
  <c r="F24" i="3"/>
  <c r="F26" i="3" s="1"/>
  <c r="G24" i="3"/>
  <c r="G26" i="3" s="1"/>
  <c r="H24" i="3"/>
  <c r="H26" i="3" s="1"/>
  <c r="I24" i="3"/>
  <c r="I26" i="3" s="1"/>
  <c r="J24" i="3"/>
  <c r="J26" i="3" s="1"/>
  <c r="B24" i="3"/>
  <c r="B26" i="3" s="1"/>
  <c r="C24" i="3" l="1"/>
  <c r="C26" i="3" s="1"/>
  <c r="E9" i="1"/>
  <c r="F9" i="1" s="1"/>
  <c r="C6" i="2" l="1"/>
  <c r="C7" i="2"/>
  <c r="C8" i="2"/>
  <c r="C9" i="2"/>
  <c r="C10" i="2"/>
  <c r="C14" i="2"/>
  <c r="C15" i="2"/>
  <c r="C16" i="2"/>
  <c r="C17" i="2"/>
  <c r="C18" i="2"/>
  <c r="C19" i="2"/>
  <c r="C20" i="2"/>
  <c r="C21" i="2"/>
  <c r="C26" i="2"/>
  <c r="C27" i="2"/>
  <c r="C28" i="2"/>
  <c r="C29" i="2"/>
  <c r="C30" i="2"/>
  <c r="C31" i="2"/>
  <c r="C32" i="2"/>
  <c r="C33" i="2"/>
  <c r="C34" i="2"/>
  <c r="C37" i="2"/>
  <c r="CZ2" i="3" l="1"/>
  <c r="CY2" i="3"/>
  <c r="CX2" i="3"/>
  <c r="CW2" i="3"/>
  <c r="CV2" i="3"/>
  <c r="CU2" i="3"/>
  <c r="CT2" i="3"/>
  <c r="CS2" i="3"/>
  <c r="CR2" i="3"/>
  <c r="CQ2" i="3"/>
  <c r="CP2" i="3"/>
  <c r="CO2" i="3"/>
  <c r="CN2" i="3"/>
  <c r="CM2" i="3"/>
  <c r="CL2" i="3"/>
  <c r="CK2" i="3"/>
  <c r="CJ2" i="3"/>
  <c r="CI2" i="3"/>
  <c r="CH2" i="3"/>
  <c r="CG2" i="3"/>
  <c r="CF2" i="3"/>
  <c r="CE2" i="3"/>
  <c r="CD2" i="3"/>
  <c r="CC2" i="3"/>
  <c r="CB2" i="3"/>
  <c r="CA2" i="3"/>
  <c r="BZ2" i="3"/>
  <c r="BY2" i="3"/>
  <c r="BX2" i="3"/>
  <c r="BW2" i="3"/>
  <c r="BV2" i="3"/>
  <c r="BU2" i="3"/>
  <c r="BT2" i="3"/>
  <c r="BS2" i="3"/>
  <c r="BR2" i="3"/>
  <c r="BQ2" i="3"/>
  <c r="BP2" i="3"/>
  <c r="BO2" i="3"/>
  <c r="BN2" i="3"/>
  <c r="BM2" i="3"/>
  <c r="BL2" i="3"/>
  <c r="BK2" i="3"/>
  <c r="BJ2" i="3"/>
  <c r="BI2" i="3"/>
  <c r="BH2" i="3"/>
  <c r="BG2" i="3"/>
  <c r="BF2" i="3"/>
  <c r="BE2" i="3"/>
  <c r="BD2" i="3"/>
  <c r="BC2" i="3"/>
  <c r="BB2" i="3"/>
  <c r="BA2" i="3"/>
  <c r="AZ2" i="3"/>
  <c r="AY2" i="3"/>
  <c r="AX2" i="3"/>
  <c r="AW2" i="3"/>
  <c r="AV2" i="3"/>
  <c r="AU2" i="3"/>
  <c r="AT2" i="3"/>
  <c r="AS2" i="3"/>
  <c r="AR2" i="3"/>
  <c r="AQ2" i="3"/>
  <c r="AP2" i="3"/>
  <c r="AO2" i="3"/>
  <c r="AN2" i="3"/>
  <c r="AM2" i="3"/>
  <c r="AL2" i="3"/>
  <c r="AK2" i="3"/>
  <c r="AJ2" i="3"/>
  <c r="AI2" i="3"/>
  <c r="AH2" i="3"/>
  <c r="AG2" i="3"/>
  <c r="AF2" i="3"/>
  <c r="AE2" i="3"/>
  <c r="AD2" i="3"/>
  <c r="AC2" i="3"/>
  <c r="AB2" i="3"/>
  <c r="AA2" i="3"/>
  <c r="Z2" i="3"/>
  <c r="Y2" i="3"/>
  <c r="X2" i="3"/>
  <c r="W2" i="3"/>
  <c r="V2" i="3"/>
  <c r="U2" i="3"/>
  <c r="T2" i="3"/>
  <c r="S2" i="3"/>
  <c r="R2" i="3"/>
  <c r="Q2" i="3"/>
  <c r="P2" i="3"/>
  <c r="O2" i="3"/>
  <c r="N2" i="3"/>
  <c r="M2" i="3"/>
  <c r="L2" i="3"/>
  <c r="K2" i="3"/>
  <c r="J2" i="3"/>
  <c r="I2" i="3"/>
  <c r="H2" i="3"/>
  <c r="G2" i="3"/>
  <c r="F2" i="3"/>
  <c r="E2" i="3"/>
  <c r="D2" i="3"/>
  <c r="C2" i="3"/>
  <c r="B2" i="3"/>
  <c r="B2" i="2"/>
  <c r="B6" i="1" l="1" a="1"/>
  <c r="C2" i="2" l="1"/>
  <c r="B6" i="1"/>
  <c r="D2" i="2" l="1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Z2" i="2"/>
  <c r="AA2" i="2"/>
  <c r="AB2" i="2"/>
  <c r="AC2" i="2"/>
  <c r="AD2" i="2"/>
  <c r="AE2" i="2"/>
  <c r="AF2" i="2"/>
  <c r="AG2" i="2"/>
  <c r="AH2" i="2"/>
  <c r="AI2" i="2"/>
  <c r="AJ2" i="2"/>
  <c r="AK2" i="2"/>
  <c r="AL2" i="2"/>
  <c r="AM2" i="2"/>
  <c r="AN2" i="2"/>
  <c r="AO2" i="2"/>
  <c r="AP2" i="2"/>
  <c r="AQ2" i="2"/>
  <c r="AR2" i="2"/>
  <c r="AS2" i="2"/>
  <c r="AT2" i="2"/>
  <c r="AU2" i="2"/>
  <c r="AV2" i="2"/>
  <c r="AW2" i="2"/>
  <c r="AX2" i="2"/>
  <c r="AY2" i="2"/>
  <c r="AZ2" i="2"/>
  <c r="BA2" i="2"/>
  <c r="BB2" i="2"/>
  <c r="BC2" i="2"/>
  <c r="BD2" i="2"/>
  <c r="BE2" i="2"/>
  <c r="BF2" i="2"/>
  <c r="BG2" i="2"/>
  <c r="BH2" i="2"/>
  <c r="BI2" i="2"/>
  <c r="BJ2" i="2"/>
  <c r="BK2" i="2"/>
  <c r="BL2" i="2"/>
  <c r="BM2" i="2"/>
  <c r="BN2" i="2"/>
  <c r="BO2" i="2"/>
  <c r="BP2" i="2"/>
  <c r="BQ2" i="2"/>
  <c r="BR2" i="2"/>
  <c r="BS2" i="2"/>
  <c r="BT2" i="2"/>
  <c r="BU2" i="2"/>
  <c r="BV2" i="2"/>
  <c r="BW2" i="2"/>
  <c r="BX2" i="2"/>
  <c r="BY2" i="2"/>
  <c r="BZ2" i="2"/>
  <c r="CA2" i="2"/>
  <c r="CB2" i="2"/>
  <c r="CC2" i="2"/>
  <c r="CD2" i="2"/>
  <c r="CE2" i="2"/>
  <c r="CF2" i="2"/>
  <c r="CG2" i="2"/>
  <c r="CH2" i="2"/>
  <c r="CI2" i="2"/>
  <c r="CJ2" i="2"/>
  <c r="CK2" i="2"/>
  <c r="CL2" i="2"/>
  <c r="CM2" i="2"/>
  <c r="CN2" i="2"/>
  <c r="CO2" i="2"/>
  <c r="CP2" i="2"/>
  <c r="CQ2" i="2"/>
  <c r="CR2" i="2"/>
  <c r="CS2" i="2"/>
  <c r="CT2" i="2"/>
  <c r="CU2" i="2"/>
  <c r="CV2" i="2"/>
  <c r="CW2" i="2"/>
  <c r="CX2" i="2"/>
  <c r="CY2" i="2"/>
  <c r="CZ2" i="2"/>
</calcChain>
</file>

<file path=xl/sharedStrings.xml><?xml version="1.0" encoding="utf-8"?>
<sst xmlns="http://schemas.openxmlformats.org/spreadsheetml/2006/main" count="75" uniqueCount="59">
  <si>
    <t>ENTER QTR</t>
  </si>
  <si>
    <t>ENTER YEAR</t>
  </si>
  <si>
    <t>TOTALS</t>
  </si>
  <si>
    <t>= Number of Projects</t>
  </si>
  <si>
    <t>Project Name</t>
  </si>
  <si>
    <t>Project Losses @ 100%</t>
  </si>
  <si>
    <t>Project Losses @ Project Level</t>
  </si>
  <si>
    <t>Project Id</t>
  </si>
  <si>
    <t>Stm Year</t>
  </si>
  <si>
    <t>Qtr</t>
  </si>
  <si>
    <t>Supplemental Category</t>
  </si>
  <si>
    <t>Supplemental Sub-category</t>
  </si>
  <si>
    <t>Amount</t>
  </si>
  <si>
    <t>Accumulated depreciation</t>
  </si>
  <si>
    <t>Building and improvements</t>
  </si>
  <si>
    <t>Construction in progress</t>
  </si>
  <si>
    <t>Furnishings and equipment</t>
  </si>
  <si>
    <t>Land</t>
  </si>
  <si>
    <t>INVESTMENT IN REAL ESTATE - AT COST</t>
  </si>
  <si>
    <t>OTHER ASSETS</t>
  </si>
  <si>
    <t>Accounts receivable</t>
  </si>
  <si>
    <t>Accounts receivable - affiliates</t>
  </si>
  <si>
    <t>Cash and cash equivalents</t>
  </si>
  <si>
    <t>Funded reserves and restricted cash</t>
  </si>
  <si>
    <t>Intangible assets - net</t>
  </si>
  <si>
    <t>Investment in Operating Partnerships</t>
  </si>
  <si>
    <t>Other assets</t>
  </si>
  <si>
    <t>Prepaid expense - other</t>
  </si>
  <si>
    <t>LIABILITIES</t>
  </si>
  <si>
    <t>Accounts payable - construction</t>
  </si>
  <si>
    <t>Accounts payable - trade</t>
  </si>
  <si>
    <t>Accrued expenses</t>
  </si>
  <si>
    <t>Accrued interest</t>
  </si>
  <si>
    <t>Deferred rental income</t>
  </si>
  <si>
    <t>Due to partner and affiliates</t>
  </si>
  <si>
    <t>Land lease obligation</t>
  </si>
  <si>
    <t>Mortgages payable</t>
  </si>
  <si>
    <t>Tenant security deposits</t>
  </si>
  <si>
    <t>PARTNERS' CAPITAL</t>
  </si>
  <si>
    <t>Ownership %</t>
  </si>
  <si>
    <t>Project Status</t>
  </si>
  <si>
    <t>test_project</t>
  </si>
  <si>
    <t>2017</t>
  </si>
  <si>
    <t>Operating Expense</t>
  </si>
  <si>
    <t>Administrative</t>
  </si>
  <si>
    <t>Depreciation &amp; amortization</t>
  </si>
  <si>
    <t>Interest expense</t>
  </si>
  <si>
    <t>Management fees</t>
  </si>
  <si>
    <t>Miscellaneous expense</t>
  </si>
  <si>
    <t>Professional fees</t>
  </si>
  <si>
    <t>Repairs &amp; maintenance</t>
  </si>
  <si>
    <t>Taxes &amp; insurance</t>
  </si>
  <si>
    <t>Utilities</t>
  </si>
  <si>
    <t>Interest Income</t>
  </si>
  <si>
    <t>Other Income</t>
  </si>
  <si>
    <t>Rental Income</t>
  </si>
  <si>
    <t>OPERATING EXPENSE</t>
  </si>
  <si>
    <t>REVENUE</t>
  </si>
  <si>
    <t>NET INCOME / LOSS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</si>
</sst>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64" formatCode="0.00000%"/>
    <numFmt numFmtId="165" formatCode="_(* #,##0_);_(* \(#,##0\);_(* &quot;-&quot;??_);_(@_)"/>
    <numFmt numFmtId="166" formatCode="_([$$-409]* #,##0_);_([$$-409]* \(#,##0\);_([$$-409]* &quot;-&quot;_);_(@_)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</cellStyleXfs>
  <cellXfs count="28">
    <xf numFmtId="0" fontId="0" fillId="0" borderId="0" xfId="0"/>
    <xf numFmtId="0" fontId="1" fillId="0" borderId="0" xfId="0" applyFont="1"/>
    <xf numFmtId="0" fontId="2" fillId="0" borderId="0" xfId="0" applyFont="1" applyProtection="1">
      <protection locked="0"/>
    </xf>
    <xf numFmtId="0" fontId="3" fillId="0" borderId="0" xfId="0" applyFont="1"/>
    <xf numFmtId="0" fontId="4" fillId="0" borderId="0" xfId="0" applyFont="1"/>
    <xf numFmtId="0" fontId="4" fillId="0" borderId="0" xfId="0" applyFont="1" applyAlignment="1">
      <alignment horizontal="left" indent="1"/>
    </xf>
    <xf numFmtId="0" fontId="7" fillId="0" borderId="0" xfId="0" applyFont="1"/>
    <xf numFmtId="9" fontId="0" fillId="0" borderId="0" xfId="2" applyFont="1"/>
    <xf numFmtId="164" fontId="0" fillId="0" borderId="0" xfId="0" applyNumberFormat="1"/>
    <xf numFmtId="165" fontId="0" fillId="0" borderId="0" xfId="0" applyNumberFormat="1"/>
    <xf numFmtId="9" fontId="5" fillId="0" borderId="0" xfId="2" applyFont="1"/>
    <xf numFmtId="9" fontId="1" fillId="0" borderId="0" xfId="2" applyFont="1"/>
    <xf numFmtId="9" fontId="1" fillId="0" borderId="0" xfId="2" quotePrefix="1" applyFont="1"/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65" fontId="3" fillId="0" borderId="0" xfId="0" applyNumberFormat="1" applyFont="1"/>
    <xf numFmtId="165" fontId="3" fillId="0" borderId="0" xfId="0" applyNumberFormat="1" applyFont="1" applyAlignment="1">
      <alignment wrapText="1"/>
    </xf>
    <xf numFmtId="166" fontId="0" fillId="0" borderId="0" xfId="0" applyNumberFormat="1"/>
    <xf numFmtId="42" fontId="1" fillId="0" borderId="0" xfId="0" applyNumberFormat="1" applyFont="1"/>
    <xf numFmtId="42" fontId="0" fillId="0" borderId="0" xfId="1" applyNumberFormat="1" applyFont="1"/>
    <xf numFmtId="42" fontId="0" fillId="0" borderId="0" xfId="0" applyNumberFormat="1"/>
    <xf numFmtId="0" fontId="1" fillId="0" borderId="0" xfId="0" applyFont="1" applyAlignment="1">
      <alignment horizontal="center" vertical="center" wrapText="1"/>
    </xf>
    <xf numFmtId="9" fontId="1" fillId="0" borderId="0" xfId="2" applyFont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  <xf numFmtId="165" fontId="7" fillId="0" borderId="0" xfId="0" applyNumberFormat="1" applyFont="1"/>
    <xf numFmtId="165" fontId="9" fillId="0" borderId="0" xfId="0" applyNumberFormat="1" applyFont="1"/>
    <xf numFmtId="165" fontId="9" fillId="0" borderId="0" xfId="0" applyNumberFormat="1" applyFont="1" applyAlignment="1">
      <alignment wrapText="1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104775</xdr:rowOff>
        </xdr:from>
        <xdr:to>
          <xdr:col>4</xdr:col>
          <xdr:colOff>9525</xdr:colOff>
          <xdr:row>4</xdr:row>
          <xdr:rowOff>161925</xdr:rowOff>
        </xdr:to>
        <xdr:sp macro="" textlink="">
          <xdr:nvSpPr>
            <xdr:cNvPr id="1025" name="GetData" descr="Get Da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Selected Supplemental and Apportionment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152"/>
  <sheetViews>
    <sheetView tabSelected="1" workbookViewId="0">
      <selection activeCell="E12" sqref="E12"/>
    </sheetView>
  </sheetViews>
  <sheetFormatPr defaultRowHeight="15" x14ac:dyDescent="0.25"/>
  <cols>
    <col min="1" max="1" width="9.140625" bestFit="1" customWidth="1"/>
    <col min="2" max="2" width="30.7109375" bestFit="1" customWidth="1"/>
    <col min="3" max="3" width="12.42578125" style="7" customWidth="1"/>
    <col min="4" max="4" width="36.140625" bestFit="1" customWidth="1"/>
    <col min="5" max="5" width="20.5703125" customWidth="1"/>
    <col min="6" max="6" width="26.5703125" bestFit="1" customWidth="1"/>
    <col min="8" max="8" width="10.140625" bestFit="1" customWidth="1"/>
  </cols>
  <sheetData>
    <row r="1" spans="1:6" ht="18.75" x14ac:dyDescent="0.3">
      <c r="C1" s="10" t="s">
        <v>6</v>
      </c>
    </row>
    <row r="3" spans="1:6" x14ac:dyDescent="0.25">
      <c r="A3" s="1">
        <v>2</v>
      </c>
      <c r="B3" s="1" t="s">
        <v>0</v>
      </c>
      <c r="C3" s="11"/>
    </row>
    <row r="4" spans="1:6" x14ac:dyDescent="0.25">
      <c r="A4" s="1">
        <v>2017</v>
      </c>
      <c r="B4" s="1" t="s">
        <v>1</v>
      </c>
      <c r="C4" s="11"/>
    </row>
    <row r="5" spans="1:6" x14ac:dyDescent="0.25">
      <c r="A5" s="1"/>
      <c r="B5" s="1"/>
      <c r="C5" s="11"/>
    </row>
    <row r="6" spans="1:6" x14ac:dyDescent="0.25">
      <c r="A6" s="1" t="s">
        <v>2</v>
      </c>
      <c r="B6" s="1">
        <f t="array" ref="B6">SUBTOTAL(2,A9:A120)</f>
        <v>0</v>
      </c>
      <c r="C6" s="12" t="s">
        <v>3</v>
      </c>
    </row>
    <row r="8" spans="1:6" s="14" customFormat="1" ht="30" x14ac:dyDescent="0.25">
      <c r="A8" s="21" t="s">
        <v>7</v>
      </c>
      <c r="B8" s="21" t="s">
        <v>4</v>
      </c>
      <c r="C8" s="22" t="s">
        <v>39</v>
      </c>
      <c r="D8" s="21" t="s">
        <v>40</v>
      </c>
      <c r="E8" s="21" t="s">
        <v>5</v>
      </c>
      <c r="F8" s="21" t="s">
        <v>6</v>
      </c>
    </row>
    <row r="9" spans="1:6" ht="13.5" customHeight="1" x14ac:dyDescent="0.25">
      <c r="C9" s="8"/>
      <c r="E9" s="9" t="e">
        <f>INDEX(IncStmt!$B$2:AS$26,MATCH("NET INCOME / LOSS",IncStmt!$A$2:$A$26,0),MATCH(Main!A9,IncStmt!$B$1:$AS$1,0))</f>
        <v>#N/A</v>
      </c>
      <c r="F9" s="9" t="e">
        <f>IF(ISTEXT(E9),E9,E9*C9)</f>
        <v>#N/A</v>
      </c>
    </row>
    <row r="10" spans="1:6" ht="13.5" customHeight="1" x14ac:dyDescent="0.25">
      <c r="C10" s="8"/>
      <c r="E10" s="9" t="e">
        <f>INDEX(IncStmt!$B$2:AS$26,MATCH("NET INCOME / LOSS",IncStmt!$A$2:$A$26,0),MATCH(Main!A10,IncStmt!$B$1:$AS$1,0))</f>
        <v>#N/A</v>
      </c>
      <c r="F10" s="9" t="e">
        <f t="shared" ref="F10:F73" si="0">IF(ISTEXT(E10),E10,E10*C10)</f>
        <v>#N/A</v>
      </c>
    </row>
    <row r="11" spans="1:6" ht="13.5" customHeight="1" x14ac:dyDescent="0.25">
      <c r="C11" s="8"/>
      <c r="E11" s="9" t="e">
        <f>INDEX(IncStmt!$B$2:AS$26,MATCH("NET INCOME / LOSS",IncStmt!$A$2:$A$26,0),MATCH(Main!A11,IncStmt!$B$1:$AS$1,0))</f>
        <v>#N/A</v>
      </c>
      <c r="F11" s="9" t="e">
        <f t="shared" si="0"/>
        <v>#N/A</v>
      </c>
    </row>
    <row r="12" spans="1:6" ht="13.5" customHeight="1" x14ac:dyDescent="0.25">
      <c r="C12" s="8"/>
      <c r="E12" s="9" t="e">
        <f>INDEX(IncStmt!$B$2:AS$26,MATCH("NET INCOME / LOSS",IncStmt!$A$2:$A$26,0),MATCH(Main!A12,IncStmt!$B$1:$AS$1,0))</f>
        <v>#N/A</v>
      </c>
      <c r="F12" s="9" t="e">
        <f t="shared" si="0"/>
        <v>#N/A</v>
      </c>
    </row>
    <row r="13" spans="1:6" ht="13.5" customHeight="1" x14ac:dyDescent="0.25">
      <c r="C13" s="8"/>
      <c r="E13" s="9" t="e">
        <f>INDEX(IncStmt!$B$2:AS$26,MATCH("NET INCOME / LOSS",IncStmt!$A$2:$A$26,0),MATCH(Main!A13,IncStmt!$B$1:$AS$1,0))</f>
        <v>#N/A</v>
      </c>
      <c r="F13" s="9" t="e">
        <f t="shared" si="0"/>
        <v>#N/A</v>
      </c>
    </row>
    <row r="14" spans="1:6" ht="13.5" customHeight="1" x14ac:dyDescent="0.25">
      <c r="C14" s="8"/>
      <c r="E14" s="9" t="e">
        <f>INDEX(IncStmt!$B$2:AS$26,MATCH("NET INCOME / LOSS",IncStmt!$A$2:$A$26,0),MATCH(Main!A14,IncStmt!$B$1:$AS$1,0))</f>
        <v>#N/A</v>
      </c>
      <c r="F14" s="9" t="e">
        <f t="shared" si="0"/>
        <v>#N/A</v>
      </c>
    </row>
    <row r="15" spans="1:6" ht="13.5" customHeight="1" x14ac:dyDescent="0.25">
      <c r="C15" s="8"/>
      <c r="E15" s="9" t="e">
        <f>INDEX(IncStmt!$B$2:AS$26,MATCH("NET INCOME / LOSS",IncStmt!$A$2:$A$26,0),MATCH(Main!A15,IncStmt!$B$1:$AS$1,0))</f>
        <v>#N/A</v>
      </c>
      <c r="F15" s="9" t="e">
        <f t="shared" si="0"/>
        <v>#N/A</v>
      </c>
    </row>
    <row r="16" spans="1:6" ht="13.5" customHeight="1" x14ac:dyDescent="0.25">
      <c r="C16" s="8"/>
      <c r="E16" s="9" t="e">
        <f>INDEX(IncStmt!$B$2:AS$26,MATCH("NET INCOME / LOSS",IncStmt!$A$2:$A$26,0),MATCH(Main!A16,IncStmt!$B$1:$AS$1,0))</f>
        <v>#N/A</v>
      </c>
      <c r="F16" s="9" t="e">
        <f t="shared" si="0"/>
        <v>#N/A</v>
      </c>
    </row>
    <row r="17" spans="3:6" ht="13.5" customHeight="1" x14ac:dyDescent="0.25">
      <c r="C17" s="8"/>
      <c r="E17" s="9" t="e">
        <f>INDEX(IncStmt!$B$2:AS$26,MATCH("NET INCOME / LOSS",IncStmt!$A$2:$A$26,0),MATCH(Main!A17,IncStmt!$B$1:$AS$1,0))</f>
        <v>#N/A</v>
      </c>
      <c r="F17" s="9" t="e">
        <f t="shared" si="0"/>
        <v>#N/A</v>
      </c>
    </row>
    <row r="18" spans="3:6" ht="13.5" customHeight="1" x14ac:dyDescent="0.25">
      <c r="C18" s="8"/>
      <c r="E18" s="9" t="e">
        <f>INDEX(IncStmt!$B$2:AS$26,MATCH("NET INCOME / LOSS",IncStmt!$A$2:$A$26,0),MATCH(Main!A18,IncStmt!$B$1:$AS$1,0))</f>
        <v>#N/A</v>
      </c>
      <c r="F18" s="9" t="e">
        <f t="shared" si="0"/>
        <v>#N/A</v>
      </c>
    </row>
    <row r="19" spans="3:6" ht="13.5" customHeight="1" x14ac:dyDescent="0.25">
      <c r="C19" s="8"/>
      <c r="E19" s="9" t="e">
        <f>INDEX(IncStmt!$B$2:AS$26,MATCH("NET INCOME / LOSS",IncStmt!$A$2:$A$26,0),MATCH(Main!A19,IncStmt!$B$1:$AS$1,0))</f>
        <v>#N/A</v>
      </c>
      <c r="F19" s="9" t="e">
        <f t="shared" si="0"/>
        <v>#N/A</v>
      </c>
    </row>
    <row r="20" spans="3:6" ht="13.5" customHeight="1" x14ac:dyDescent="0.25">
      <c r="C20" s="8"/>
      <c r="E20" s="9" t="e">
        <f>INDEX(IncStmt!$B$2:AS$26,MATCH("NET INCOME / LOSS",IncStmt!$A$2:$A$26,0),MATCH(Main!A20,IncStmt!$B$1:$AS$1,0))</f>
        <v>#N/A</v>
      </c>
      <c r="F20" s="9" t="e">
        <f t="shared" si="0"/>
        <v>#N/A</v>
      </c>
    </row>
    <row r="21" spans="3:6" ht="13.5" customHeight="1" x14ac:dyDescent="0.25">
      <c r="C21" s="8"/>
      <c r="E21" s="9" t="e">
        <f>INDEX(IncStmt!$B$2:AS$26,MATCH("NET INCOME / LOSS",IncStmt!$A$2:$A$26,0),MATCH(Main!A21,IncStmt!$B$1:$AS$1,0))</f>
        <v>#N/A</v>
      </c>
      <c r="F21" s="9" t="e">
        <f t="shared" si="0"/>
        <v>#N/A</v>
      </c>
    </row>
    <row r="22" spans="3:6" ht="13.5" customHeight="1" x14ac:dyDescent="0.25">
      <c r="C22" s="8"/>
      <c r="E22" s="9" t="e">
        <f>INDEX(IncStmt!$B$2:AS$26,MATCH("NET INCOME / LOSS",IncStmt!$A$2:$A$26,0),MATCH(Main!A22,IncStmt!$B$1:$AS$1,0))</f>
        <v>#N/A</v>
      </c>
      <c r="F22" s="9" t="e">
        <f t="shared" si="0"/>
        <v>#N/A</v>
      </c>
    </row>
    <row r="23" spans="3:6" ht="13.5" customHeight="1" x14ac:dyDescent="0.25">
      <c r="C23" s="8"/>
      <c r="E23" s="9" t="e">
        <f>INDEX(IncStmt!$B$2:AS$26,MATCH("NET INCOME / LOSS",IncStmt!$A$2:$A$26,0),MATCH(Main!A23,IncStmt!$B$1:$AS$1,0))</f>
        <v>#N/A</v>
      </c>
      <c r="F23" s="9" t="e">
        <f t="shared" si="0"/>
        <v>#N/A</v>
      </c>
    </row>
    <row r="24" spans="3:6" ht="13.5" customHeight="1" x14ac:dyDescent="0.25">
      <c r="C24" s="8"/>
      <c r="E24" s="9" t="e">
        <f>INDEX(IncStmt!$B$2:AS$26,MATCH("NET INCOME / LOSS",IncStmt!$A$2:$A$26,0),MATCH(Main!A24,IncStmt!$B$1:$AS$1,0))</f>
        <v>#N/A</v>
      </c>
      <c r="F24" s="9" t="e">
        <f t="shared" si="0"/>
        <v>#N/A</v>
      </c>
    </row>
    <row r="25" spans="3:6" ht="13.5" customHeight="1" x14ac:dyDescent="0.25">
      <c r="C25" s="8"/>
      <c r="E25" s="9" t="e">
        <f>INDEX(IncStmt!$B$2:AS$26,MATCH("NET INCOME / LOSS",IncStmt!$A$2:$A$26,0),MATCH(Main!A25,IncStmt!$B$1:$AS$1,0))</f>
        <v>#N/A</v>
      </c>
      <c r="F25" s="9" t="e">
        <f t="shared" si="0"/>
        <v>#N/A</v>
      </c>
    </row>
    <row r="26" spans="3:6" ht="13.5" customHeight="1" x14ac:dyDescent="0.25">
      <c r="C26" s="8"/>
      <c r="E26" s="9" t="e">
        <f>INDEX(IncStmt!$B$2:AS$26,MATCH("NET INCOME / LOSS",IncStmt!$A$2:$A$26,0),MATCH(Main!A26,IncStmt!$B$1:$AS$1,0))</f>
        <v>#N/A</v>
      </c>
      <c r="F26" s="9" t="e">
        <f t="shared" si="0"/>
        <v>#N/A</v>
      </c>
    </row>
    <row r="27" spans="3:6" ht="13.5" customHeight="1" x14ac:dyDescent="0.25">
      <c r="C27" s="8"/>
      <c r="E27" s="9" t="e">
        <f>INDEX(IncStmt!$B$2:AS$26,MATCH("NET INCOME / LOSS",IncStmt!$A$2:$A$26,0),MATCH(Main!A27,IncStmt!$B$1:$AS$1,0))</f>
        <v>#N/A</v>
      </c>
      <c r="F27" s="9" t="e">
        <f t="shared" si="0"/>
        <v>#N/A</v>
      </c>
    </row>
    <row r="28" spans="3:6" ht="13.5" customHeight="1" x14ac:dyDescent="0.25">
      <c r="C28" s="8"/>
      <c r="E28" s="9" t="e">
        <f>INDEX(IncStmt!$B$2:AS$26,MATCH("NET INCOME / LOSS",IncStmt!$A$2:$A$26,0),MATCH(Main!A28,IncStmt!$B$1:$AS$1,0))</f>
        <v>#N/A</v>
      </c>
      <c r="F28" s="9" t="e">
        <f t="shared" si="0"/>
        <v>#N/A</v>
      </c>
    </row>
    <row r="29" spans="3:6" ht="13.5" customHeight="1" x14ac:dyDescent="0.25">
      <c r="C29" s="8"/>
      <c r="E29" s="9" t="e">
        <f>INDEX(IncStmt!$B$2:AS$26,MATCH("NET INCOME / LOSS",IncStmt!$A$2:$A$26,0),MATCH(Main!A29,IncStmt!$B$1:$AS$1,0))</f>
        <v>#N/A</v>
      </c>
      <c r="F29" s="9" t="e">
        <f t="shared" si="0"/>
        <v>#N/A</v>
      </c>
    </row>
    <row r="30" spans="3:6" ht="13.5" customHeight="1" x14ac:dyDescent="0.25">
      <c r="C30" s="8"/>
      <c r="E30" s="9" t="e">
        <f>INDEX(IncStmt!$B$2:AS$26,MATCH("NET INCOME / LOSS",IncStmt!$A$2:$A$26,0),MATCH(Main!A30,IncStmt!$B$1:$AS$1,0))</f>
        <v>#N/A</v>
      </c>
      <c r="F30" s="9" t="e">
        <f t="shared" si="0"/>
        <v>#N/A</v>
      </c>
    </row>
    <row r="31" spans="3:6" ht="13.5" customHeight="1" x14ac:dyDescent="0.25">
      <c r="C31" s="8"/>
      <c r="E31" s="9" t="e">
        <f>INDEX(IncStmt!$B$2:AS$26,MATCH("NET INCOME / LOSS",IncStmt!$A$2:$A$26,0),MATCH(Main!A31,IncStmt!$B$1:$AS$1,0))</f>
        <v>#N/A</v>
      </c>
      <c r="F31" s="9" t="e">
        <f t="shared" si="0"/>
        <v>#N/A</v>
      </c>
    </row>
    <row r="32" spans="3:6" ht="13.5" customHeight="1" x14ac:dyDescent="0.25">
      <c r="C32" s="8"/>
      <c r="E32" s="9" t="e">
        <f>INDEX(IncStmt!$B$2:AS$26,MATCH("NET INCOME / LOSS",IncStmt!$A$2:$A$26,0),MATCH(Main!A32,IncStmt!$B$1:$AS$1,0))</f>
        <v>#N/A</v>
      </c>
      <c r="F32" s="9" t="e">
        <f t="shared" si="0"/>
        <v>#N/A</v>
      </c>
    </row>
    <row r="33" spans="3:6" ht="13.5" customHeight="1" x14ac:dyDescent="0.25">
      <c r="C33" s="8"/>
      <c r="E33" s="9" t="e">
        <f>INDEX(IncStmt!$B$2:AS$26,MATCH("NET INCOME / LOSS",IncStmt!$A$2:$A$26,0),MATCH(Main!A33,IncStmt!$B$1:$AS$1,0))</f>
        <v>#N/A</v>
      </c>
      <c r="F33" s="9" t="e">
        <f t="shared" si="0"/>
        <v>#N/A</v>
      </c>
    </row>
    <row r="34" spans="3:6" ht="13.5" customHeight="1" x14ac:dyDescent="0.25">
      <c r="C34" s="8"/>
      <c r="E34" s="9" t="e">
        <f>INDEX(IncStmt!$B$2:AS$26,MATCH("NET INCOME / LOSS",IncStmt!$A$2:$A$26,0),MATCH(Main!A34,IncStmt!$B$1:$AS$1,0))</f>
        <v>#N/A</v>
      </c>
      <c r="F34" s="9" t="e">
        <f t="shared" si="0"/>
        <v>#N/A</v>
      </c>
    </row>
    <row r="35" spans="3:6" ht="13.5" customHeight="1" x14ac:dyDescent="0.25">
      <c r="C35" s="8"/>
      <c r="E35" s="9" t="e">
        <f>INDEX(IncStmt!$B$2:AS$26,MATCH("NET INCOME / LOSS",IncStmt!$A$2:$A$26,0),MATCH(Main!A35,IncStmt!$B$1:$AS$1,0))</f>
        <v>#N/A</v>
      </c>
      <c r="F35" s="9" t="e">
        <f t="shared" si="0"/>
        <v>#N/A</v>
      </c>
    </row>
    <row r="36" spans="3:6" ht="13.5" customHeight="1" x14ac:dyDescent="0.25">
      <c r="C36" s="8"/>
      <c r="E36" s="9" t="e">
        <f>INDEX(IncStmt!$B$2:AS$26,MATCH("NET INCOME / LOSS",IncStmt!$A$2:$A$26,0),MATCH(Main!A36,IncStmt!$B$1:$AS$1,0))</f>
        <v>#N/A</v>
      </c>
      <c r="F36" s="9" t="e">
        <f t="shared" si="0"/>
        <v>#N/A</v>
      </c>
    </row>
    <row r="37" spans="3:6" ht="13.5" customHeight="1" x14ac:dyDescent="0.25">
      <c r="C37" s="8"/>
      <c r="E37" s="9" t="e">
        <f>INDEX(IncStmt!$B$2:AS$26,MATCH("NET INCOME / LOSS",IncStmt!$A$2:$A$26,0),MATCH(Main!A37,IncStmt!$B$1:$AS$1,0))</f>
        <v>#N/A</v>
      </c>
      <c r="F37" s="9" t="e">
        <f t="shared" si="0"/>
        <v>#N/A</v>
      </c>
    </row>
    <row r="38" spans="3:6" ht="13.5" customHeight="1" x14ac:dyDescent="0.25">
      <c r="C38" s="8"/>
      <c r="E38" s="9" t="e">
        <f>INDEX(IncStmt!$B$2:AS$26,MATCH("NET INCOME / LOSS",IncStmt!$A$2:$A$26,0),MATCH(Main!A38,IncStmt!$B$1:$AS$1,0))</f>
        <v>#N/A</v>
      </c>
      <c r="F38" s="9" t="e">
        <f t="shared" si="0"/>
        <v>#N/A</v>
      </c>
    </row>
    <row r="39" spans="3:6" ht="13.5" customHeight="1" x14ac:dyDescent="0.25">
      <c r="C39" s="8"/>
      <c r="E39" s="9" t="e">
        <f>INDEX(IncStmt!$B$2:AS$26,MATCH("NET INCOME / LOSS",IncStmt!$A$2:$A$26,0),MATCH(Main!A39,IncStmt!$B$1:$AS$1,0))</f>
        <v>#N/A</v>
      </c>
      <c r="F39" s="9" t="e">
        <f t="shared" si="0"/>
        <v>#N/A</v>
      </c>
    </row>
    <row r="40" spans="3:6" ht="13.5" customHeight="1" x14ac:dyDescent="0.25">
      <c r="C40" s="8"/>
      <c r="E40" s="9" t="e">
        <f>INDEX(IncStmt!$B$2:AS$26,MATCH("NET INCOME / LOSS",IncStmt!$A$2:$A$26,0),MATCH(Main!A40,IncStmt!$B$1:$AS$1,0))</f>
        <v>#N/A</v>
      </c>
      <c r="F40" s="9" t="e">
        <f t="shared" si="0"/>
        <v>#N/A</v>
      </c>
    </row>
    <row r="41" spans="3:6" ht="13.5" customHeight="1" x14ac:dyDescent="0.25">
      <c r="C41" s="8"/>
      <c r="E41" s="9" t="e">
        <f>INDEX(IncStmt!$B$2:AS$26,MATCH("NET INCOME / LOSS",IncStmt!$A$2:$A$26,0),MATCH(Main!A41,IncStmt!$B$1:$AS$1,0))</f>
        <v>#N/A</v>
      </c>
      <c r="F41" s="9" t="e">
        <f t="shared" si="0"/>
        <v>#N/A</v>
      </c>
    </row>
    <row r="42" spans="3:6" ht="13.5" customHeight="1" x14ac:dyDescent="0.25">
      <c r="C42" s="8"/>
      <c r="E42" s="9" t="e">
        <f>INDEX(IncStmt!$B$2:AS$26,MATCH("NET INCOME / LOSS",IncStmt!$A$2:$A$26,0),MATCH(Main!A42,IncStmt!$B$1:$AS$1,0))</f>
        <v>#N/A</v>
      </c>
      <c r="F42" s="9" t="e">
        <f t="shared" si="0"/>
        <v>#N/A</v>
      </c>
    </row>
    <row r="43" spans="3:6" ht="13.5" customHeight="1" x14ac:dyDescent="0.25">
      <c r="C43" s="8"/>
      <c r="E43" s="9" t="e">
        <f>INDEX(IncStmt!$B$2:AS$26,MATCH("NET INCOME / LOSS",IncStmt!$A$2:$A$26,0),MATCH(Main!A43,IncStmt!$B$1:$AS$1,0))</f>
        <v>#N/A</v>
      </c>
      <c r="F43" s="9" t="e">
        <f t="shared" si="0"/>
        <v>#N/A</v>
      </c>
    </row>
    <row r="44" spans="3:6" ht="13.5" customHeight="1" x14ac:dyDescent="0.25">
      <c r="C44" s="8"/>
      <c r="E44" s="9" t="e">
        <f>INDEX(IncStmt!$B$2:AS$26,MATCH("NET INCOME / LOSS",IncStmt!$A$2:$A$26,0),MATCH(Main!A44,IncStmt!$B$1:$AS$1,0))</f>
        <v>#N/A</v>
      </c>
      <c r="F44" s="9" t="e">
        <f t="shared" si="0"/>
        <v>#N/A</v>
      </c>
    </row>
    <row r="45" spans="3:6" ht="13.5" customHeight="1" x14ac:dyDescent="0.25">
      <c r="E45" s="9" t="e">
        <f>INDEX(IncStmt!$B$2:AS$26,MATCH("NET INCOME / LOSS",IncStmt!$A$2:$A$26,0),MATCH(Main!A45,IncStmt!$B$1:$AS$1,0))</f>
        <v>#N/A</v>
      </c>
      <c r="F45" s="9" t="e">
        <f t="shared" si="0"/>
        <v>#N/A</v>
      </c>
    </row>
    <row r="46" spans="3:6" ht="13.5" customHeight="1" x14ac:dyDescent="0.25">
      <c r="E46" s="9" t="e">
        <f>INDEX(IncStmt!$B$2:AS$26,MATCH("NET INCOME / LOSS",IncStmt!$A$2:$A$26,0),MATCH(Main!A46,IncStmt!$B$1:$AS$1,0))</f>
        <v>#N/A</v>
      </c>
      <c r="F46" s="9" t="e">
        <f t="shared" si="0"/>
        <v>#N/A</v>
      </c>
    </row>
    <row r="47" spans="3:6" ht="13.5" customHeight="1" x14ac:dyDescent="0.25">
      <c r="E47" s="9" t="e">
        <f>INDEX(IncStmt!$B$2:AS$26,MATCH("NET INCOME / LOSS",IncStmt!$A$2:$A$26,0),MATCH(Main!A47,IncStmt!$B$1:$AS$1,0))</f>
        <v>#N/A</v>
      </c>
      <c r="F47" s="9" t="e">
        <f t="shared" si="0"/>
        <v>#N/A</v>
      </c>
    </row>
    <row r="48" spans="3:6" ht="13.5" customHeight="1" x14ac:dyDescent="0.25">
      <c r="E48" s="9" t="e">
        <f>INDEX(IncStmt!$B$2:AS$26,MATCH("NET INCOME / LOSS",IncStmt!$A$2:$A$26,0),MATCH(Main!A48,IncStmt!$B$1:$AS$1,0))</f>
        <v>#N/A</v>
      </c>
      <c r="F48" s="9" t="e">
        <f t="shared" si="0"/>
        <v>#N/A</v>
      </c>
    </row>
    <row r="49" spans="5:6" ht="13.5" customHeight="1" x14ac:dyDescent="0.25">
      <c r="E49" s="9" t="e">
        <f>INDEX(IncStmt!$B$2:AS$26,MATCH("NET INCOME / LOSS",IncStmt!$A$2:$A$26,0),MATCH(Main!A49,IncStmt!$B$1:$AS$1,0))</f>
        <v>#N/A</v>
      </c>
      <c r="F49" s="9" t="e">
        <f t="shared" si="0"/>
        <v>#N/A</v>
      </c>
    </row>
    <row r="50" spans="5:6" ht="13.5" customHeight="1" x14ac:dyDescent="0.25">
      <c r="E50" s="9" t="e">
        <f>INDEX(IncStmt!$B$2:AS$26,MATCH("NET INCOME / LOSS",IncStmt!$A$2:$A$26,0),MATCH(Main!A50,IncStmt!$B$1:$AS$1,0))</f>
        <v>#N/A</v>
      </c>
      <c r="F50" s="9" t="e">
        <f t="shared" si="0"/>
        <v>#N/A</v>
      </c>
    </row>
    <row r="51" spans="5:6" ht="13.5" customHeight="1" x14ac:dyDescent="0.25">
      <c r="E51" s="9" t="e">
        <f>INDEX(IncStmt!$B$2:AS$26,MATCH("NET INCOME / LOSS",IncStmt!$A$2:$A$26,0),MATCH(Main!A51,IncStmt!$B$1:$AS$1,0))</f>
        <v>#N/A</v>
      </c>
      <c r="F51" s="9" t="e">
        <f t="shared" si="0"/>
        <v>#N/A</v>
      </c>
    </row>
    <row r="52" spans="5:6" x14ac:dyDescent="0.25">
      <c r="E52" s="9" t="e">
        <f>INDEX(IncStmt!$B$2:AS$26,MATCH("NET INCOME / LOSS",IncStmt!$A$2:$A$26,0),MATCH(Main!A52,IncStmt!$B$1:$AS$1,0))</f>
        <v>#N/A</v>
      </c>
      <c r="F52" s="9" t="e">
        <f t="shared" si="0"/>
        <v>#N/A</v>
      </c>
    </row>
    <row r="53" spans="5:6" x14ac:dyDescent="0.25">
      <c r="E53" s="9" t="e">
        <f>INDEX(IncStmt!$B$2:AS$26,MATCH("NET INCOME / LOSS",IncStmt!$A$2:$A$26,0),MATCH(Main!A53,IncStmt!$B$1:$AS$1,0))</f>
        <v>#N/A</v>
      </c>
      <c r="F53" s="9" t="e">
        <f t="shared" si="0"/>
        <v>#N/A</v>
      </c>
    </row>
    <row r="54" spans="5:6" x14ac:dyDescent="0.25">
      <c r="E54" s="9" t="e">
        <f>INDEX(IncStmt!$B$2:AS$26,MATCH("NET INCOME / LOSS",IncStmt!$A$2:$A$26,0),MATCH(Main!A54,IncStmt!$B$1:$AS$1,0))</f>
        <v>#N/A</v>
      </c>
      <c r="F54" s="9" t="e">
        <f t="shared" si="0"/>
        <v>#N/A</v>
      </c>
    </row>
    <row r="55" spans="5:6" x14ac:dyDescent="0.25">
      <c r="E55" s="9" t="e">
        <f>INDEX(IncStmt!$B$2:AS$26,MATCH("NET INCOME / LOSS",IncStmt!$A$2:$A$26,0),MATCH(Main!A55,IncStmt!$B$1:$AS$1,0))</f>
        <v>#N/A</v>
      </c>
      <c r="F55" s="9" t="e">
        <f t="shared" si="0"/>
        <v>#N/A</v>
      </c>
    </row>
    <row r="56" spans="5:6" x14ac:dyDescent="0.25">
      <c r="E56" s="9" t="e">
        <f>INDEX(IncStmt!$B$2:AS$26,MATCH("NET INCOME / LOSS",IncStmt!$A$2:$A$26,0),MATCH(Main!A56,IncStmt!$B$1:$AS$1,0))</f>
        <v>#N/A</v>
      </c>
      <c r="F56" s="9" t="e">
        <f t="shared" si="0"/>
        <v>#N/A</v>
      </c>
    </row>
    <row r="57" spans="5:6" x14ac:dyDescent="0.25">
      <c r="E57" s="9" t="e">
        <f>INDEX(IncStmt!$B$2:AS$26,MATCH("NET INCOME / LOSS",IncStmt!$A$2:$A$26,0),MATCH(Main!A57,IncStmt!$B$1:$AS$1,0))</f>
        <v>#N/A</v>
      </c>
      <c r="F57" s="9" t="e">
        <f t="shared" si="0"/>
        <v>#N/A</v>
      </c>
    </row>
    <row r="58" spans="5:6" x14ac:dyDescent="0.25">
      <c r="E58" s="9" t="e">
        <f>INDEX(IncStmt!$B$2:AS$26,MATCH("NET INCOME / LOSS",IncStmt!$A$2:$A$26,0),MATCH(Main!A58,IncStmt!$B$1:$AS$1,0))</f>
        <v>#N/A</v>
      </c>
      <c r="F58" s="9" t="e">
        <f t="shared" si="0"/>
        <v>#N/A</v>
      </c>
    </row>
    <row r="59" spans="5:6" x14ac:dyDescent="0.25">
      <c r="E59" s="9" t="e">
        <f>INDEX(IncStmt!$B$2:AS$26,MATCH("NET INCOME / LOSS",IncStmt!$A$2:$A$26,0),MATCH(Main!A59,IncStmt!$B$1:$AS$1,0))</f>
        <v>#N/A</v>
      </c>
      <c r="F59" s="9" t="e">
        <f t="shared" si="0"/>
        <v>#N/A</v>
      </c>
    </row>
    <row r="60" spans="5:6" x14ac:dyDescent="0.25">
      <c r="E60" s="9" t="e">
        <f>INDEX(IncStmt!$B$2:AS$26,MATCH("NET INCOME / LOSS",IncStmt!$A$2:$A$26,0),MATCH(Main!A60,IncStmt!$B$1:$AS$1,0))</f>
        <v>#N/A</v>
      </c>
      <c r="F60" s="9" t="e">
        <f t="shared" si="0"/>
        <v>#N/A</v>
      </c>
    </row>
    <row r="61" spans="5:6" x14ac:dyDescent="0.25">
      <c r="E61" s="9" t="e">
        <f>INDEX(IncStmt!$B$2:AS$26,MATCH("NET INCOME / LOSS",IncStmt!$A$2:$A$26,0),MATCH(Main!A61,IncStmt!$B$1:$AS$1,0))</f>
        <v>#N/A</v>
      </c>
      <c r="F61" s="9" t="e">
        <f t="shared" si="0"/>
        <v>#N/A</v>
      </c>
    </row>
    <row r="62" spans="5:6" x14ac:dyDescent="0.25">
      <c r="E62" s="9" t="e">
        <f>INDEX(IncStmt!$B$2:AS$26,MATCH("NET INCOME / LOSS",IncStmt!$A$2:$A$26,0),MATCH(Main!A62,IncStmt!$B$1:$AS$1,0))</f>
        <v>#N/A</v>
      </c>
      <c r="F62" s="9" t="e">
        <f t="shared" si="0"/>
        <v>#N/A</v>
      </c>
    </row>
    <row r="63" spans="5:6" x14ac:dyDescent="0.25">
      <c r="E63" s="9" t="e">
        <f>INDEX(IncStmt!$B$2:AS$26,MATCH("NET INCOME / LOSS",IncStmt!$A$2:$A$26,0),MATCH(Main!A63,IncStmt!$B$1:$AS$1,0))</f>
        <v>#N/A</v>
      </c>
      <c r="F63" s="9" t="e">
        <f t="shared" si="0"/>
        <v>#N/A</v>
      </c>
    </row>
    <row r="64" spans="5:6" x14ac:dyDescent="0.25">
      <c r="E64" s="9" t="e">
        <f>INDEX(IncStmt!$B$2:AS$26,MATCH("NET INCOME / LOSS",IncStmt!$A$2:$A$26,0),MATCH(Main!A64,IncStmt!$B$1:$AS$1,0))</f>
        <v>#N/A</v>
      </c>
      <c r="F64" s="9" t="e">
        <f t="shared" si="0"/>
        <v>#N/A</v>
      </c>
    </row>
    <row r="65" spans="5:6" x14ac:dyDescent="0.25">
      <c r="E65" s="9" t="e">
        <f>INDEX(IncStmt!$B$2:AS$26,MATCH("NET INCOME / LOSS",IncStmt!$A$2:$A$26,0),MATCH(Main!A65,IncStmt!$B$1:$AS$1,0))</f>
        <v>#N/A</v>
      </c>
      <c r="F65" s="9" t="e">
        <f t="shared" si="0"/>
        <v>#N/A</v>
      </c>
    </row>
    <row r="66" spans="5:6" x14ac:dyDescent="0.25">
      <c r="E66" s="9" t="e">
        <f>INDEX(IncStmt!$B$2:AS$26,MATCH("NET INCOME / LOSS",IncStmt!$A$2:$A$26,0),MATCH(Main!A66,IncStmt!$B$1:$AS$1,0))</f>
        <v>#N/A</v>
      </c>
      <c r="F66" s="9" t="e">
        <f t="shared" si="0"/>
        <v>#N/A</v>
      </c>
    </row>
    <row r="67" spans="5:6" x14ac:dyDescent="0.25">
      <c r="E67" s="9" t="e">
        <f>INDEX(IncStmt!$B$2:AS$26,MATCH("NET INCOME / LOSS",IncStmt!$A$2:$A$26,0),MATCH(Main!A67,IncStmt!$B$1:$AS$1,0))</f>
        <v>#N/A</v>
      </c>
      <c r="F67" s="9" t="e">
        <f t="shared" si="0"/>
        <v>#N/A</v>
      </c>
    </row>
    <row r="68" spans="5:6" x14ac:dyDescent="0.25">
      <c r="E68" s="9" t="e">
        <f>INDEX(IncStmt!$B$2:AS$26,MATCH("NET INCOME / LOSS",IncStmt!$A$2:$A$26,0),MATCH(Main!A68,IncStmt!$B$1:$AS$1,0))</f>
        <v>#N/A</v>
      </c>
      <c r="F68" s="9" t="e">
        <f t="shared" si="0"/>
        <v>#N/A</v>
      </c>
    </row>
    <row r="69" spans="5:6" x14ac:dyDescent="0.25">
      <c r="E69" s="9" t="e">
        <f>INDEX(IncStmt!$B$2:AS$26,MATCH("NET INCOME / LOSS",IncStmt!$A$2:$A$26,0),MATCH(Main!A69,IncStmt!$B$1:$AS$1,0))</f>
        <v>#N/A</v>
      </c>
      <c r="F69" s="9" t="e">
        <f t="shared" si="0"/>
        <v>#N/A</v>
      </c>
    </row>
    <row r="70" spans="5:6" x14ac:dyDescent="0.25">
      <c r="E70" s="9" t="e">
        <f>INDEX(IncStmt!$B$2:AS$26,MATCH("NET INCOME / LOSS",IncStmt!$A$2:$A$26,0),MATCH(Main!A70,IncStmt!$B$1:$AS$1,0))</f>
        <v>#N/A</v>
      </c>
      <c r="F70" s="9" t="e">
        <f t="shared" si="0"/>
        <v>#N/A</v>
      </c>
    </row>
    <row r="71" spans="5:6" x14ac:dyDescent="0.25">
      <c r="E71" s="9" t="e">
        <f>INDEX(IncStmt!$B$2:AS$26,MATCH("NET INCOME / LOSS",IncStmt!$A$2:$A$26,0),MATCH(Main!A71,IncStmt!$B$1:$AS$1,0))</f>
        <v>#N/A</v>
      </c>
      <c r="F71" s="9" t="e">
        <f t="shared" si="0"/>
        <v>#N/A</v>
      </c>
    </row>
    <row r="72" spans="5:6" x14ac:dyDescent="0.25">
      <c r="E72" s="9" t="e">
        <f>INDEX(IncStmt!$B$2:AS$26,MATCH("NET INCOME / LOSS",IncStmt!$A$2:$A$26,0),MATCH(Main!A72,IncStmt!$B$1:$AS$1,0))</f>
        <v>#N/A</v>
      </c>
      <c r="F72" s="9" t="e">
        <f t="shared" si="0"/>
        <v>#N/A</v>
      </c>
    </row>
    <row r="73" spans="5:6" x14ac:dyDescent="0.25">
      <c r="E73" s="9" t="e">
        <f>INDEX(IncStmt!$B$2:AS$26,MATCH("NET INCOME / LOSS",IncStmt!$A$2:$A$26,0),MATCH(Main!A73,IncStmt!$B$1:$AS$1,0))</f>
        <v>#N/A</v>
      </c>
      <c r="F73" s="9" t="e">
        <f t="shared" si="0"/>
        <v>#N/A</v>
      </c>
    </row>
    <row r="74" spans="5:6" x14ac:dyDescent="0.25">
      <c r="E74" s="9" t="e">
        <f>INDEX(IncStmt!$B$2:AS$26,MATCH("NET INCOME / LOSS",IncStmt!$A$2:$A$26,0),MATCH(Main!A74,IncStmt!$B$1:$AS$1,0))</f>
        <v>#N/A</v>
      </c>
      <c r="F74" s="9" t="e">
        <f t="shared" ref="F74:F137" si="1">IF(ISTEXT(E74),E74,E74*C74)</f>
        <v>#N/A</v>
      </c>
    </row>
    <row r="75" spans="5:6" x14ac:dyDescent="0.25">
      <c r="E75" s="9" t="e">
        <f>INDEX(IncStmt!$B$2:AS$26,MATCH("NET INCOME / LOSS",IncStmt!$A$2:$A$26,0),MATCH(Main!A75,IncStmt!$B$1:$AS$1,0))</f>
        <v>#N/A</v>
      </c>
      <c r="F75" s="9" t="e">
        <f t="shared" si="1"/>
        <v>#N/A</v>
      </c>
    </row>
    <row r="76" spans="5:6" x14ac:dyDescent="0.25">
      <c r="E76" s="9" t="e">
        <f>INDEX(IncStmt!$B$2:AS$26,MATCH("NET INCOME / LOSS",IncStmt!$A$2:$A$26,0),MATCH(Main!A76,IncStmt!$B$1:$AS$1,0))</f>
        <v>#N/A</v>
      </c>
      <c r="F76" s="9" t="e">
        <f t="shared" si="1"/>
        <v>#N/A</v>
      </c>
    </row>
    <row r="77" spans="5:6" x14ac:dyDescent="0.25">
      <c r="E77" s="9" t="e">
        <f>INDEX(IncStmt!$B$2:AS$26,MATCH("NET INCOME / LOSS",IncStmt!$A$2:$A$26,0),MATCH(Main!A77,IncStmt!$B$1:$AS$1,0))</f>
        <v>#N/A</v>
      </c>
      <c r="F77" s="9" t="e">
        <f t="shared" si="1"/>
        <v>#N/A</v>
      </c>
    </row>
    <row r="78" spans="5:6" x14ac:dyDescent="0.25">
      <c r="E78" s="9" t="e">
        <f>INDEX(IncStmt!$B$2:AS$26,MATCH("NET INCOME / LOSS",IncStmt!$A$2:$A$26,0),MATCH(Main!A78,IncStmt!$B$1:$AS$1,0))</f>
        <v>#N/A</v>
      </c>
      <c r="F78" s="9" t="e">
        <f t="shared" si="1"/>
        <v>#N/A</v>
      </c>
    </row>
    <row r="79" spans="5:6" x14ac:dyDescent="0.25">
      <c r="E79" s="9" t="e">
        <f>INDEX(IncStmt!$B$2:AS$26,MATCH("NET INCOME / LOSS",IncStmt!$A$2:$A$26,0),MATCH(Main!A79,IncStmt!$B$1:$AS$1,0))</f>
        <v>#N/A</v>
      </c>
      <c r="F79" s="9" t="e">
        <f t="shared" si="1"/>
        <v>#N/A</v>
      </c>
    </row>
    <row r="80" spans="5:6" x14ac:dyDescent="0.25">
      <c r="E80" s="9" t="e">
        <f>INDEX(IncStmt!$B$2:AS$26,MATCH("NET INCOME / LOSS",IncStmt!$A$2:$A$26,0),MATCH(Main!A80,IncStmt!$B$1:$AS$1,0))</f>
        <v>#N/A</v>
      </c>
      <c r="F80" s="9" t="e">
        <f t="shared" si="1"/>
        <v>#N/A</v>
      </c>
    </row>
    <row r="81" spans="5:6" x14ac:dyDescent="0.25">
      <c r="E81" s="9" t="e">
        <f>INDEX(IncStmt!$B$2:AS$26,MATCH("NET INCOME / LOSS",IncStmt!$A$2:$A$26,0),MATCH(Main!A81,IncStmt!$B$1:$AS$1,0))</f>
        <v>#N/A</v>
      </c>
      <c r="F81" s="9" t="e">
        <f t="shared" si="1"/>
        <v>#N/A</v>
      </c>
    </row>
    <row r="82" spans="5:6" x14ac:dyDescent="0.25">
      <c r="E82" s="9" t="e">
        <f>INDEX(IncStmt!$B$2:AS$26,MATCH("NET INCOME / LOSS",IncStmt!$A$2:$A$26,0),MATCH(Main!A82,IncStmt!$B$1:$AS$1,0))</f>
        <v>#N/A</v>
      </c>
      <c r="F82" s="9" t="e">
        <f t="shared" si="1"/>
        <v>#N/A</v>
      </c>
    </row>
    <row r="83" spans="5:6" x14ac:dyDescent="0.25">
      <c r="E83" s="9" t="e">
        <f>INDEX(IncStmt!$B$2:AS$26,MATCH("NET INCOME / LOSS",IncStmt!$A$2:$A$26,0),MATCH(Main!A83,IncStmt!$B$1:$AS$1,0))</f>
        <v>#N/A</v>
      </c>
      <c r="F83" s="9" t="e">
        <f t="shared" si="1"/>
        <v>#N/A</v>
      </c>
    </row>
    <row r="84" spans="5:6" x14ac:dyDescent="0.25">
      <c r="E84" s="9" t="e">
        <f>INDEX(IncStmt!$B$2:AS$26,MATCH("NET INCOME / LOSS",IncStmt!$A$2:$A$26,0),MATCH(Main!A84,IncStmt!$B$1:$AS$1,0))</f>
        <v>#N/A</v>
      </c>
      <c r="F84" s="9" t="e">
        <f t="shared" si="1"/>
        <v>#N/A</v>
      </c>
    </row>
    <row r="85" spans="5:6" x14ac:dyDescent="0.25">
      <c r="E85" s="9" t="e">
        <f>INDEX(IncStmt!$B$2:AS$26,MATCH("NET INCOME / LOSS",IncStmt!$A$2:$A$26,0),MATCH(Main!A85,IncStmt!$B$1:$AS$1,0))</f>
        <v>#N/A</v>
      </c>
      <c r="F85" s="9" t="e">
        <f t="shared" si="1"/>
        <v>#N/A</v>
      </c>
    </row>
    <row r="86" spans="5:6" x14ac:dyDescent="0.25">
      <c r="E86" s="9" t="e">
        <f>INDEX(IncStmt!$B$2:AS$26,MATCH("NET INCOME / LOSS",IncStmt!$A$2:$A$26,0),MATCH(Main!A86,IncStmt!$B$1:$AS$1,0))</f>
        <v>#N/A</v>
      </c>
      <c r="F86" s="9" t="e">
        <f t="shared" si="1"/>
        <v>#N/A</v>
      </c>
    </row>
    <row r="87" spans="5:6" x14ac:dyDescent="0.25">
      <c r="E87" s="9" t="e">
        <f>INDEX(IncStmt!$B$2:AS$26,MATCH("NET INCOME / LOSS",IncStmt!$A$2:$A$26,0),MATCH(Main!A87,IncStmt!$B$1:$AS$1,0))</f>
        <v>#N/A</v>
      </c>
      <c r="F87" s="9" t="e">
        <f t="shared" si="1"/>
        <v>#N/A</v>
      </c>
    </row>
    <row r="88" spans="5:6" x14ac:dyDescent="0.25">
      <c r="E88" s="9" t="e">
        <f>INDEX(IncStmt!$B$2:AS$26,MATCH("NET INCOME / LOSS",IncStmt!$A$2:$A$26,0),MATCH(Main!A88,IncStmt!$B$1:$AS$1,0))</f>
        <v>#N/A</v>
      </c>
      <c r="F88" s="9" t="e">
        <f t="shared" si="1"/>
        <v>#N/A</v>
      </c>
    </row>
    <row r="89" spans="5:6" x14ac:dyDescent="0.25">
      <c r="E89" s="9" t="e">
        <f>INDEX(IncStmt!$B$2:AS$26,MATCH("NET INCOME / LOSS",IncStmt!$A$2:$A$26,0),MATCH(Main!A89,IncStmt!$B$1:$AS$1,0))</f>
        <v>#N/A</v>
      </c>
      <c r="F89" s="9" t="e">
        <f t="shared" si="1"/>
        <v>#N/A</v>
      </c>
    </row>
    <row r="90" spans="5:6" x14ac:dyDescent="0.25">
      <c r="E90" s="9" t="e">
        <f>INDEX(IncStmt!$B$2:AS$26,MATCH("NET INCOME / LOSS",IncStmt!$A$2:$A$26,0),MATCH(Main!A90,IncStmt!$B$1:$AS$1,0))</f>
        <v>#N/A</v>
      </c>
      <c r="F90" s="9" t="e">
        <f t="shared" si="1"/>
        <v>#N/A</v>
      </c>
    </row>
    <row r="91" spans="5:6" x14ac:dyDescent="0.25">
      <c r="E91" s="9" t="e">
        <f>INDEX(IncStmt!$B$2:AS$26,MATCH("NET INCOME / LOSS",IncStmt!$A$2:$A$26,0),MATCH(Main!A91,IncStmt!$B$1:$AS$1,0))</f>
        <v>#N/A</v>
      </c>
      <c r="F91" s="9" t="e">
        <f t="shared" si="1"/>
        <v>#N/A</v>
      </c>
    </row>
    <row r="92" spans="5:6" x14ac:dyDescent="0.25">
      <c r="E92" s="9" t="e">
        <f>INDEX(IncStmt!$B$2:AS$26,MATCH("NET INCOME / LOSS",IncStmt!$A$2:$A$26,0),MATCH(Main!A92,IncStmt!$B$1:$AS$1,0))</f>
        <v>#N/A</v>
      </c>
      <c r="F92" s="9" t="e">
        <f t="shared" si="1"/>
        <v>#N/A</v>
      </c>
    </row>
    <row r="93" spans="5:6" x14ac:dyDescent="0.25">
      <c r="E93" s="9" t="e">
        <f>INDEX(IncStmt!$B$2:AS$26,MATCH("NET INCOME / LOSS",IncStmt!$A$2:$A$26,0),MATCH(Main!A93,IncStmt!$B$1:$AS$1,0))</f>
        <v>#N/A</v>
      </c>
      <c r="F93" s="9" t="e">
        <f t="shared" si="1"/>
        <v>#N/A</v>
      </c>
    </row>
    <row r="94" spans="5:6" x14ac:dyDescent="0.25">
      <c r="E94" s="9" t="e">
        <f>INDEX(IncStmt!$B$2:AS$26,MATCH("NET INCOME / LOSS",IncStmt!$A$2:$A$26,0),MATCH(Main!A94,IncStmt!$B$1:$AS$1,0))</f>
        <v>#N/A</v>
      </c>
      <c r="F94" s="9" t="e">
        <f t="shared" si="1"/>
        <v>#N/A</v>
      </c>
    </row>
    <row r="95" spans="5:6" x14ac:dyDescent="0.25">
      <c r="E95" s="9" t="e">
        <f>INDEX(IncStmt!$B$2:AS$26,MATCH("NET INCOME / LOSS",IncStmt!$A$2:$A$26,0),MATCH(Main!A95,IncStmt!$B$1:$AS$1,0))</f>
        <v>#N/A</v>
      </c>
      <c r="F95" s="9" t="e">
        <f t="shared" si="1"/>
        <v>#N/A</v>
      </c>
    </row>
    <row r="96" spans="5:6" x14ac:dyDescent="0.25">
      <c r="E96" s="9" t="e">
        <f>INDEX(IncStmt!$B$2:AS$26,MATCH("NET INCOME / LOSS",IncStmt!$A$2:$A$26,0),MATCH(Main!A96,IncStmt!$B$1:$AS$1,0))</f>
        <v>#N/A</v>
      </c>
      <c r="F96" s="9" t="e">
        <f t="shared" si="1"/>
        <v>#N/A</v>
      </c>
    </row>
    <row r="97" spans="5:6" x14ac:dyDescent="0.25">
      <c r="E97" s="9" t="e">
        <f>INDEX(IncStmt!$B$2:AS$26,MATCH("NET INCOME / LOSS",IncStmt!$A$2:$A$26,0),MATCH(Main!A97,IncStmt!$B$1:$AS$1,0))</f>
        <v>#N/A</v>
      </c>
      <c r="F97" s="9" t="e">
        <f t="shared" si="1"/>
        <v>#N/A</v>
      </c>
    </row>
    <row r="98" spans="5:6" x14ac:dyDescent="0.25">
      <c r="E98" s="9" t="e">
        <f>INDEX(IncStmt!$B$2:AS$26,MATCH("NET INCOME / LOSS",IncStmt!$A$2:$A$26,0),MATCH(Main!A98,IncStmt!$B$1:$AS$1,0))</f>
        <v>#N/A</v>
      </c>
      <c r="F98" s="9" t="e">
        <f t="shared" si="1"/>
        <v>#N/A</v>
      </c>
    </row>
    <row r="99" spans="5:6" x14ac:dyDescent="0.25">
      <c r="E99" s="9" t="e">
        <f>INDEX(IncStmt!$B$2:AS$26,MATCH("NET INCOME / LOSS",IncStmt!$A$2:$A$26,0),MATCH(Main!A99,IncStmt!$B$1:$AS$1,0))</f>
        <v>#N/A</v>
      </c>
      <c r="F99" s="9" t="e">
        <f t="shared" si="1"/>
        <v>#N/A</v>
      </c>
    </row>
    <row r="100" spans="5:6" x14ac:dyDescent="0.25">
      <c r="E100" s="9" t="e">
        <f>INDEX(IncStmt!$B$2:AS$26,MATCH("NET INCOME / LOSS",IncStmt!$A$2:$A$26,0),MATCH(Main!A100,IncStmt!$B$1:$AS$1,0))</f>
        <v>#N/A</v>
      </c>
      <c r="F100" s="9" t="e">
        <f t="shared" si="1"/>
        <v>#N/A</v>
      </c>
    </row>
    <row r="101" spans="5:6" x14ac:dyDescent="0.25">
      <c r="E101" s="9" t="e">
        <f>INDEX(IncStmt!$B$2:AS$26,MATCH("NET INCOME / LOSS",IncStmt!$A$2:$A$26,0),MATCH(Main!A101,IncStmt!$B$1:$AS$1,0))</f>
        <v>#N/A</v>
      </c>
      <c r="F101" s="9" t="e">
        <f t="shared" si="1"/>
        <v>#N/A</v>
      </c>
    </row>
    <row r="102" spans="5:6" x14ac:dyDescent="0.25">
      <c r="E102" s="9" t="e">
        <f>INDEX(IncStmt!$B$2:AS$26,MATCH("NET INCOME / LOSS",IncStmt!$A$2:$A$26,0),MATCH(Main!A102,IncStmt!$B$1:$AS$1,0))</f>
        <v>#N/A</v>
      </c>
      <c r="F102" s="9" t="e">
        <f t="shared" si="1"/>
        <v>#N/A</v>
      </c>
    </row>
    <row r="103" spans="5:6" x14ac:dyDescent="0.25">
      <c r="E103" s="9" t="e">
        <f>INDEX(IncStmt!$B$2:AS$26,MATCH("NET INCOME / LOSS",IncStmt!$A$2:$A$26,0),MATCH(Main!A103,IncStmt!$B$1:$AS$1,0))</f>
        <v>#N/A</v>
      </c>
      <c r="F103" s="9" t="e">
        <f t="shared" si="1"/>
        <v>#N/A</v>
      </c>
    </row>
    <row r="104" spans="5:6" x14ac:dyDescent="0.25">
      <c r="E104" s="9" t="e">
        <f>INDEX(IncStmt!$B$2:AS$26,MATCH("NET INCOME / LOSS",IncStmt!$A$2:$A$26,0),MATCH(Main!A104,IncStmt!$B$1:$AS$1,0))</f>
        <v>#N/A</v>
      </c>
      <c r="F104" s="9" t="e">
        <f t="shared" si="1"/>
        <v>#N/A</v>
      </c>
    </row>
    <row r="105" spans="5:6" x14ac:dyDescent="0.25">
      <c r="E105" s="9" t="e">
        <f>INDEX(IncStmt!$B$2:AS$26,MATCH("NET INCOME / LOSS",IncStmt!$A$2:$A$26,0),MATCH(Main!A105,IncStmt!$B$1:$AS$1,0))</f>
        <v>#N/A</v>
      </c>
      <c r="F105" s="9" t="e">
        <f t="shared" si="1"/>
        <v>#N/A</v>
      </c>
    </row>
    <row r="106" spans="5:6" x14ac:dyDescent="0.25">
      <c r="E106" s="9" t="e">
        <f>INDEX(IncStmt!$B$2:AS$26,MATCH("NET INCOME / LOSS",IncStmt!$A$2:$A$26,0),MATCH(Main!A106,IncStmt!$B$1:$AS$1,0))</f>
        <v>#N/A</v>
      </c>
      <c r="F106" s="9" t="e">
        <f t="shared" si="1"/>
        <v>#N/A</v>
      </c>
    </row>
    <row r="107" spans="5:6" x14ac:dyDescent="0.25">
      <c r="E107" s="9" t="e">
        <f>INDEX(IncStmt!$B$2:AS$26,MATCH("NET INCOME / LOSS",IncStmt!$A$2:$A$26,0),MATCH(Main!A107,IncStmt!$B$1:$AS$1,0))</f>
        <v>#N/A</v>
      </c>
      <c r="F107" s="9" t="e">
        <f t="shared" si="1"/>
        <v>#N/A</v>
      </c>
    </row>
    <row r="108" spans="5:6" x14ac:dyDescent="0.25">
      <c r="E108" s="9" t="e">
        <f>INDEX(IncStmt!$B$2:AS$26,MATCH("NET INCOME / LOSS",IncStmt!$A$2:$A$26,0),MATCH(Main!A108,IncStmt!$B$1:$AS$1,0))</f>
        <v>#N/A</v>
      </c>
      <c r="F108" s="9" t="e">
        <f t="shared" si="1"/>
        <v>#N/A</v>
      </c>
    </row>
    <row r="109" spans="5:6" x14ac:dyDescent="0.25">
      <c r="E109" s="9" t="e">
        <f>INDEX(IncStmt!$B$2:AS$26,MATCH("NET INCOME / LOSS",IncStmt!$A$2:$A$26,0),MATCH(Main!A109,IncStmt!$B$1:$AS$1,0))</f>
        <v>#N/A</v>
      </c>
      <c r="F109" s="9" t="e">
        <f t="shared" si="1"/>
        <v>#N/A</v>
      </c>
    </row>
    <row r="110" spans="5:6" x14ac:dyDescent="0.25">
      <c r="E110" s="9" t="e">
        <f>INDEX(IncStmt!$B$2:AS$26,MATCH("NET INCOME / LOSS",IncStmt!$A$2:$A$26,0),MATCH(Main!A110,IncStmt!$B$1:$AS$1,0))</f>
        <v>#N/A</v>
      </c>
      <c r="F110" s="9" t="e">
        <f t="shared" si="1"/>
        <v>#N/A</v>
      </c>
    </row>
    <row r="111" spans="5:6" x14ac:dyDescent="0.25">
      <c r="E111" s="9" t="e">
        <f>INDEX(IncStmt!$B$2:AS$26,MATCH("NET INCOME / LOSS",IncStmt!$A$2:$A$26,0),MATCH(Main!A111,IncStmt!$B$1:$AS$1,0))</f>
        <v>#N/A</v>
      </c>
      <c r="F111" s="9" t="e">
        <f t="shared" si="1"/>
        <v>#N/A</v>
      </c>
    </row>
    <row r="112" spans="5:6" x14ac:dyDescent="0.25">
      <c r="E112" s="9" t="e">
        <f>INDEX(IncStmt!$B$2:AS$26,MATCH("NET INCOME / LOSS",IncStmt!$A$2:$A$26,0),MATCH(Main!A112,IncStmt!$B$1:$AS$1,0))</f>
        <v>#N/A</v>
      </c>
      <c r="F112" s="9" t="e">
        <f t="shared" si="1"/>
        <v>#N/A</v>
      </c>
    </row>
    <row r="113" spans="5:6" x14ac:dyDescent="0.25">
      <c r="E113" s="9" t="e">
        <f>INDEX(IncStmt!$B$2:AS$26,MATCH("NET INCOME / LOSS",IncStmt!$A$2:$A$26,0),MATCH(Main!A113,IncStmt!$B$1:$AS$1,0))</f>
        <v>#N/A</v>
      </c>
      <c r="F113" s="9" t="e">
        <f t="shared" si="1"/>
        <v>#N/A</v>
      </c>
    </row>
    <row r="114" spans="5:6" x14ac:dyDescent="0.25">
      <c r="E114" s="9" t="e">
        <f>INDEX(IncStmt!$B$2:AS$26,MATCH("NET INCOME / LOSS",IncStmt!$A$2:$A$26,0),MATCH(Main!A114,IncStmt!$B$1:$AS$1,0))</f>
        <v>#N/A</v>
      </c>
      <c r="F114" s="9" t="e">
        <f t="shared" si="1"/>
        <v>#N/A</v>
      </c>
    </row>
    <row r="115" spans="5:6" x14ac:dyDescent="0.25">
      <c r="E115" s="9" t="e">
        <f>INDEX(IncStmt!$B$2:AS$26,MATCH("NET INCOME / LOSS",IncStmt!$A$2:$A$26,0),MATCH(Main!A115,IncStmt!$B$1:$AS$1,0))</f>
        <v>#N/A</v>
      </c>
      <c r="F115" s="9" t="e">
        <f t="shared" si="1"/>
        <v>#N/A</v>
      </c>
    </row>
    <row r="116" spans="5:6" x14ac:dyDescent="0.25">
      <c r="E116" s="9" t="e">
        <f>INDEX(IncStmt!$B$2:AS$26,MATCH("NET INCOME / LOSS",IncStmt!$A$2:$A$26,0),MATCH(Main!A116,IncStmt!$B$1:$AS$1,0))</f>
        <v>#N/A</v>
      </c>
      <c r="F116" s="9" t="e">
        <f t="shared" si="1"/>
        <v>#N/A</v>
      </c>
    </row>
    <row r="117" spans="5:6" x14ac:dyDescent="0.25">
      <c r="E117" s="9" t="e">
        <f>INDEX(IncStmt!$B$2:AS$26,MATCH("NET INCOME / LOSS",IncStmt!$A$2:$A$26,0),MATCH(Main!A117,IncStmt!$B$1:$AS$1,0))</f>
        <v>#N/A</v>
      </c>
      <c r="F117" s="9" t="e">
        <f t="shared" si="1"/>
        <v>#N/A</v>
      </c>
    </row>
    <row r="118" spans="5:6" x14ac:dyDescent="0.25">
      <c r="E118" s="9" t="e">
        <f>INDEX(IncStmt!$B$2:AS$26,MATCH("NET INCOME / LOSS",IncStmt!$A$2:$A$26,0),MATCH(Main!A118,IncStmt!$B$1:$AS$1,0))</f>
        <v>#N/A</v>
      </c>
      <c r="F118" s="9" t="e">
        <f t="shared" si="1"/>
        <v>#N/A</v>
      </c>
    </row>
    <row r="119" spans="5:6" x14ac:dyDescent="0.25">
      <c r="E119" s="9" t="e">
        <f>INDEX(IncStmt!$B$2:AS$26,MATCH("NET INCOME / LOSS",IncStmt!$A$2:$A$26,0),MATCH(Main!A119,IncStmt!$B$1:$AS$1,0))</f>
        <v>#N/A</v>
      </c>
      <c r="F119" s="9" t="e">
        <f t="shared" si="1"/>
        <v>#N/A</v>
      </c>
    </row>
    <row r="120" spans="5:6" x14ac:dyDescent="0.25">
      <c r="E120" s="9" t="e">
        <f>INDEX(IncStmt!$B$2:AS$26,MATCH("NET INCOME / LOSS",IncStmt!$A$2:$A$26,0),MATCH(Main!A120,IncStmt!$B$1:$AS$1,0))</f>
        <v>#N/A</v>
      </c>
      <c r="F120" s="9" t="e">
        <f t="shared" si="1"/>
        <v>#N/A</v>
      </c>
    </row>
    <row r="121" spans="5:6" x14ac:dyDescent="0.25">
      <c r="E121" s="9" t="e">
        <f>INDEX(IncStmt!$B$2:AS$26,MATCH("NET INCOME / LOSS",IncStmt!$A$2:$A$26,0),MATCH(Main!A121,IncStmt!$B$1:$AS$1,0))</f>
        <v>#N/A</v>
      </c>
      <c r="F121" s="9" t="e">
        <f t="shared" si="1"/>
        <v>#N/A</v>
      </c>
    </row>
    <row r="122" spans="5:6" x14ac:dyDescent="0.25">
      <c r="E122" s="9" t="e">
        <f>INDEX(IncStmt!$B$2:AS$26,MATCH("NET INCOME / LOSS",IncStmt!$A$2:$A$26,0),MATCH(Main!A122,IncStmt!$B$1:$AS$1,0))</f>
        <v>#N/A</v>
      </c>
      <c r="F122" s="9" t="e">
        <f t="shared" si="1"/>
        <v>#N/A</v>
      </c>
    </row>
    <row r="123" spans="5:6" x14ac:dyDescent="0.25">
      <c r="E123" s="9" t="e">
        <f>INDEX(IncStmt!$B$2:AS$26,MATCH("NET INCOME / LOSS",IncStmt!$A$2:$A$26,0),MATCH(Main!A123,IncStmt!$B$1:$AS$1,0))</f>
        <v>#N/A</v>
      </c>
      <c r="F123" s="9" t="e">
        <f t="shared" si="1"/>
        <v>#N/A</v>
      </c>
    </row>
    <row r="124" spans="5:6" x14ac:dyDescent="0.25">
      <c r="E124" s="9" t="e">
        <f>INDEX(IncStmt!$B$2:AS$26,MATCH("NET INCOME / LOSS",IncStmt!$A$2:$A$26,0),MATCH(Main!A124,IncStmt!$B$1:$AS$1,0))</f>
        <v>#N/A</v>
      </c>
      <c r="F124" s="9" t="e">
        <f t="shared" si="1"/>
        <v>#N/A</v>
      </c>
    </row>
    <row r="125" spans="5:6" x14ac:dyDescent="0.25">
      <c r="E125" s="9" t="e">
        <f>INDEX(IncStmt!$B$2:AS$26,MATCH("NET INCOME / LOSS",IncStmt!$A$2:$A$26,0),MATCH(Main!A125,IncStmt!$B$1:$AS$1,0))</f>
        <v>#N/A</v>
      </c>
      <c r="F125" s="9" t="e">
        <f t="shared" si="1"/>
        <v>#N/A</v>
      </c>
    </row>
    <row r="126" spans="5:6" x14ac:dyDescent="0.25">
      <c r="E126" s="9" t="e">
        <f>INDEX(IncStmt!$B$2:AS$26,MATCH("NET INCOME / LOSS",IncStmt!$A$2:$A$26,0),MATCH(Main!A126,IncStmt!$B$1:$AS$1,0))</f>
        <v>#N/A</v>
      </c>
      <c r="F126" s="9" t="e">
        <f t="shared" si="1"/>
        <v>#N/A</v>
      </c>
    </row>
    <row r="127" spans="5:6" x14ac:dyDescent="0.25">
      <c r="E127" s="9" t="e">
        <f>INDEX(IncStmt!$B$2:AS$26,MATCH("NET INCOME / LOSS",IncStmt!$A$2:$A$26,0),MATCH(Main!A127,IncStmt!$B$1:$AS$1,0))</f>
        <v>#N/A</v>
      </c>
      <c r="F127" s="9" t="e">
        <f t="shared" si="1"/>
        <v>#N/A</v>
      </c>
    </row>
    <row r="128" spans="5:6" x14ac:dyDescent="0.25">
      <c r="E128" s="9" t="e">
        <f>INDEX(IncStmt!$B$2:AS$26,MATCH("NET INCOME / LOSS",IncStmt!$A$2:$A$26,0),MATCH(Main!A128,IncStmt!$B$1:$AS$1,0))</f>
        <v>#N/A</v>
      </c>
      <c r="F128" s="9" t="e">
        <f t="shared" si="1"/>
        <v>#N/A</v>
      </c>
    </row>
    <row r="129" spans="5:6" x14ac:dyDescent="0.25">
      <c r="E129" s="9" t="e">
        <f>INDEX(IncStmt!$B$2:AS$26,MATCH("NET INCOME / LOSS",IncStmt!$A$2:$A$26,0),MATCH(Main!A129,IncStmt!$B$1:$AS$1,0))</f>
        <v>#N/A</v>
      </c>
      <c r="F129" s="9" t="e">
        <f t="shared" si="1"/>
        <v>#N/A</v>
      </c>
    </row>
    <row r="130" spans="5:6" x14ac:dyDescent="0.25">
      <c r="E130" s="9" t="e">
        <f>INDEX(IncStmt!$B$2:AS$26,MATCH("NET INCOME / LOSS",IncStmt!$A$2:$A$26,0),MATCH(Main!A130,IncStmt!$B$1:$AS$1,0))</f>
        <v>#N/A</v>
      </c>
      <c r="F130" s="9" t="e">
        <f t="shared" si="1"/>
        <v>#N/A</v>
      </c>
    </row>
    <row r="131" spans="5:6" x14ac:dyDescent="0.25">
      <c r="E131" s="9" t="e">
        <f>INDEX(IncStmt!$B$2:AS$26,MATCH("NET INCOME / LOSS",IncStmt!$A$2:$A$26,0),MATCH(Main!A131,IncStmt!$B$1:$AS$1,0))</f>
        <v>#N/A</v>
      </c>
      <c r="F131" s="9" t="e">
        <f t="shared" si="1"/>
        <v>#N/A</v>
      </c>
    </row>
    <row r="132" spans="5:6" x14ac:dyDescent="0.25">
      <c r="E132" s="9" t="e">
        <f>INDEX(IncStmt!$B$2:AS$26,MATCH("NET INCOME / LOSS",IncStmt!$A$2:$A$26,0),MATCH(Main!A132,IncStmt!$B$1:$AS$1,0))</f>
        <v>#N/A</v>
      </c>
      <c r="F132" s="9" t="e">
        <f t="shared" si="1"/>
        <v>#N/A</v>
      </c>
    </row>
    <row r="133" spans="5:6" x14ac:dyDescent="0.25">
      <c r="E133" s="9" t="e">
        <f>INDEX(IncStmt!$B$2:AS$26,MATCH("NET INCOME / LOSS",IncStmt!$A$2:$A$26,0),MATCH(Main!A133,IncStmt!$B$1:$AS$1,0))</f>
        <v>#N/A</v>
      </c>
      <c r="F133" s="9" t="e">
        <f t="shared" si="1"/>
        <v>#N/A</v>
      </c>
    </row>
    <row r="134" spans="5:6" x14ac:dyDescent="0.25">
      <c r="E134" s="9" t="e">
        <f>INDEX(IncStmt!$B$2:AS$26,MATCH("NET INCOME / LOSS",IncStmt!$A$2:$A$26,0),MATCH(Main!A134,IncStmt!$B$1:$AS$1,0))</f>
        <v>#N/A</v>
      </c>
      <c r="F134" s="9" t="e">
        <f t="shared" si="1"/>
        <v>#N/A</v>
      </c>
    </row>
    <row r="135" spans="5:6" x14ac:dyDescent="0.25">
      <c r="E135" s="9" t="e">
        <f>INDEX(IncStmt!$B$2:AS$26,MATCH("NET INCOME / LOSS",IncStmt!$A$2:$A$26,0),MATCH(Main!A135,IncStmt!$B$1:$AS$1,0))</f>
        <v>#N/A</v>
      </c>
      <c r="F135" s="9" t="e">
        <f t="shared" si="1"/>
        <v>#N/A</v>
      </c>
    </row>
    <row r="136" spans="5:6" x14ac:dyDescent="0.25">
      <c r="E136" s="9" t="e">
        <f>INDEX(IncStmt!$B$2:AS$26,MATCH("NET INCOME / LOSS",IncStmt!$A$2:$A$26,0),MATCH(Main!A136,IncStmt!$B$1:$AS$1,0))</f>
        <v>#N/A</v>
      </c>
      <c r="F136" s="9" t="e">
        <f t="shared" si="1"/>
        <v>#N/A</v>
      </c>
    </row>
    <row r="137" spans="5:6" x14ac:dyDescent="0.25">
      <c r="E137" s="9" t="e">
        <f>INDEX(IncStmt!$B$2:AS$26,MATCH("NET INCOME / LOSS",IncStmt!$A$2:$A$26,0),MATCH(Main!A137,IncStmt!$B$1:$AS$1,0))</f>
        <v>#N/A</v>
      </c>
      <c r="F137" s="9" t="e">
        <f t="shared" si="1"/>
        <v>#N/A</v>
      </c>
    </row>
    <row r="138" spans="5:6" x14ac:dyDescent="0.25">
      <c r="E138" s="9" t="e">
        <f>INDEX(IncStmt!$B$2:AS$26,MATCH("NET INCOME / LOSS",IncStmt!$A$2:$A$26,0),MATCH(Main!A138,IncStmt!$B$1:$AS$1,0))</f>
        <v>#N/A</v>
      </c>
      <c r="F138" s="9" t="e">
        <f t="shared" ref="F138:F152" si="2">IF(ISTEXT(E138),E138,E138*C138)</f>
        <v>#N/A</v>
      </c>
    </row>
    <row r="139" spans="5:6" x14ac:dyDescent="0.25">
      <c r="E139" s="9" t="e">
        <f>INDEX(IncStmt!$B$2:AS$26,MATCH("NET INCOME / LOSS",IncStmt!$A$2:$A$26,0),MATCH(Main!A139,IncStmt!$B$1:$AS$1,0))</f>
        <v>#N/A</v>
      </c>
      <c r="F139" s="9" t="e">
        <f t="shared" si="2"/>
        <v>#N/A</v>
      </c>
    </row>
    <row r="140" spans="5:6" x14ac:dyDescent="0.25">
      <c r="E140" s="9" t="e">
        <f>INDEX(IncStmt!$B$2:AS$26,MATCH("NET INCOME / LOSS",IncStmt!$A$2:$A$26,0),MATCH(Main!A140,IncStmt!$B$1:$AS$1,0))</f>
        <v>#N/A</v>
      </c>
      <c r="F140" s="9" t="e">
        <f t="shared" si="2"/>
        <v>#N/A</v>
      </c>
    </row>
    <row r="141" spans="5:6" x14ac:dyDescent="0.25">
      <c r="E141" s="9" t="e">
        <f>INDEX(IncStmt!$B$2:AS$26,MATCH("NET INCOME / LOSS",IncStmt!$A$2:$A$26,0),MATCH(Main!A141,IncStmt!$B$1:$AS$1,0))</f>
        <v>#N/A</v>
      </c>
      <c r="F141" s="9" t="e">
        <f t="shared" si="2"/>
        <v>#N/A</v>
      </c>
    </row>
    <row r="142" spans="5:6" x14ac:dyDescent="0.25">
      <c r="E142" s="9" t="e">
        <f>INDEX(IncStmt!$B$2:AS$26,MATCH("NET INCOME / LOSS",IncStmt!$A$2:$A$26,0),MATCH(Main!A142,IncStmt!$B$1:$AS$1,0))</f>
        <v>#N/A</v>
      </c>
      <c r="F142" s="9" t="e">
        <f t="shared" si="2"/>
        <v>#N/A</v>
      </c>
    </row>
    <row r="143" spans="5:6" x14ac:dyDescent="0.25">
      <c r="E143" s="9" t="e">
        <f>INDEX(IncStmt!$B$2:AS$26,MATCH("NET INCOME / LOSS",IncStmt!$A$2:$A$26,0),MATCH(Main!A143,IncStmt!$B$1:$AS$1,0))</f>
        <v>#N/A</v>
      </c>
      <c r="F143" s="9" t="e">
        <f t="shared" si="2"/>
        <v>#N/A</v>
      </c>
    </row>
    <row r="144" spans="5:6" x14ac:dyDescent="0.25">
      <c r="E144" s="9" t="e">
        <f>INDEX(IncStmt!$B$2:AS$26,MATCH("NET INCOME / LOSS",IncStmt!$A$2:$A$26,0),MATCH(Main!A144,IncStmt!$B$1:$AS$1,0))</f>
        <v>#N/A</v>
      </c>
      <c r="F144" s="9" t="e">
        <f t="shared" si="2"/>
        <v>#N/A</v>
      </c>
    </row>
    <row r="145" spans="5:6" x14ac:dyDescent="0.25">
      <c r="E145" s="9" t="e">
        <f>INDEX(IncStmt!$B$2:AS$26,MATCH("NET INCOME / LOSS",IncStmt!$A$2:$A$26,0),MATCH(Main!A145,IncStmt!$B$1:$AS$1,0))</f>
        <v>#N/A</v>
      </c>
      <c r="F145" s="9" t="e">
        <f t="shared" si="2"/>
        <v>#N/A</v>
      </c>
    </row>
    <row r="146" spans="5:6" x14ac:dyDescent="0.25">
      <c r="E146" s="9" t="e">
        <f>INDEX(IncStmt!$B$2:AS$26,MATCH("NET INCOME / LOSS",IncStmt!$A$2:$A$26,0),MATCH(Main!A146,IncStmt!$B$1:$AS$1,0))</f>
        <v>#N/A</v>
      </c>
      <c r="F146" s="9" t="e">
        <f t="shared" si="2"/>
        <v>#N/A</v>
      </c>
    </row>
    <row r="147" spans="5:6" x14ac:dyDescent="0.25">
      <c r="E147" s="9" t="e">
        <f>INDEX(IncStmt!$B$2:AS$26,MATCH("NET INCOME / LOSS",IncStmt!$A$2:$A$26,0),MATCH(Main!A147,IncStmt!$B$1:$AS$1,0))</f>
        <v>#N/A</v>
      </c>
      <c r="F147" s="9" t="e">
        <f t="shared" si="2"/>
        <v>#N/A</v>
      </c>
    </row>
    <row r="148" spans="5:6" x14ac:dyDescent="0.25">
      <c r="E148" s="9" t="e">
        <f>INDEX(IncStmt!$B$2:AS$26,MATCH("NET INCOME / LOSS",IncStmt!$A$2:$A$26,0),MATCH(Main!A148,IncStmt!$B$1:$AS$1,0))</f>
        <v>#N/A</v>
      </c>
      <c r="F148" s="9" t="e">
        <f t="shared" si="2"/>
        <v>#N/A</v>
      </c>
    </row>
    <row r="149" spans="5:6" x14ac:dyDescent="0.25">
      <c r="E149" s="9" t="e">
        <f>INDEX(IncStmt!$B$2:AS$26,MATCH("NET INCOME / LOSS",IncStmt!$A$2:$A$26,0),MATCH(Main!A149,IncStmt!$B$1:$AS$1,0))</f>
        <v>#N/A</v>
      </c>
      <c r="F149" s="9" t="e">
        <f t="shared" si="2"/>
        <v>#N/A</v>
      </c>
    </row>
    <row r="150" spans="5:6" x14ac:dyDescent="0.25">
      <c r="E150" s="9" t="e">
        <f>INDEX(IncStmt!$B$2:AS$26,MATCH("NET INCOME / LOSS",IncStmt!$A$2:$A$26,0),MATCH(Main!A150,IncStmt!$B$1:$AS$1,0))</f>
        <v>#N/A</v>
      </c>
      <c r="F150" s="9" t="e">
        <f t="shared" si="2"/>
        <v>#N/A</v>
      </c>
    </row>
    <row r="151" spans="5:6" x14ac:dyDescent="0.25">
      <c r="E151" s="9" t="e">
        <f>INDEX(IncStmt!$B$2:AS$26,MATCH("NET INCOME / LOSS",IncStmt!$A$2:$A$26,0),MATCH(Main!A151,IncStmt!$B$1:$AS$1,0))</f>
        <v>#N/A</v>
      </c>
      <c r="F151" s="9" t="e">
        <f t="shared" si="2"/>
        <v>#N/A</v>
      </c>
    </row>
    <row r="152" spans="5:6" x14ac:dyDescent="0.25">
      <c r="E152" s="9" t="e">
        <f>INDEX(IncStmt!$B$2:AS$26,MATCH("NET INCOME / LOSS",IncStmt!$A$2:$A$26,0),MATCH(Main!A152,IncStmt!$B$1:$AS$1,0))</f>
        <v>#N/A</v>
      </c>
      <c r="F152" s="9" t="e">
        <f t="shared" si="2"/>
        <v>#N/A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GetData">
              <controlPr defaultSize="0" print="0" autoFill="0" autoPict="0" macro="[0]!GetData_Click" altText="Get Data">
                <anchor moveWithCells="1" sizeWithCells="1">
                  <from>
                    <xdr:col>3</xdr:col>
                    <xdr:colOff>0</xdr:colOff>
                    <xdr:row>1</xdr:row>
                    <xdr:rowOff>104775</xdr:rowOff>
                  </from>
                  <to>
                    <xdr:col>4</xdr:col>
                    <xdr:colOff>9525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topLeftCell="A7" workbookViewId="0">
      <selection activeCell="A2" sqref="A2:XFD37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Z37"/>
  <sheetViews>
    <sheetView topLeftCell="A2" zoomScaleNormal="100" workbookViewId="0">
      <selection activeCell="B9" sqref="B9"/>
    </sheetView>
  </sheetViews>
  <sheetFormatPr defaultColWidth="8.85546875" defaultRowHeight="12.75" x14ac:dyDescent="0.2"/>
  <cols>
    <col min="1" max="1" width="41.42578125" style="3" customWidth="1"/>
    <col min="2" max="2" width="11.42578125" style="3" customWidth="1"/>
    <col min="3" max="3" width="11.140625" style="3" customWidth="1"/>
    <col min="4" max="4" width="10.28515625" style="3" bestFit="1" customWidth="1"/>
    <col min="5" max="57" width="9" style="3" bestFit="1" customWidth="1"/>
    <col min="58" max="58" width="10.28515625" style="3" bestFit="1" customWidth="1"/>
    <col min="59" max="16384" width="8.85546875" style="3"/>
  </cols>
  <sheetData>
    <row r="1" spans="1:104" ht="15" hidden="1" x14ac:dyDescent="0.25">
      <c r="B1" s="5">
        <v>70340</v>
      </c>
      <c r="C1" s="5">
        <v>70341</v>
      </c>
      <c r="D1" s="5">
        <v>70342</v>
      </c>
      <c r="E1" s="5">
        <v>70343</v>
      </c>
      <c r="F1" s="5">
        <v>70344</v>
      </c>
      <c r="G1" s="5">
        <v>70345</v>
      </c>
      <c r="H1" s="5">
        <v>70346</v>
      </c>
      <c r="I1" s="5">
        <v>70347</v>
      </c>
      <c r="J1" s="5">
        <v>70348</v>
      </c>
      <c r="K1" s="5">
        <v>70349</v>
      </c>
      <c r="L1" s="5">
        <v>70350</v>
      </c>
      <c r="M1" s="5">
        <v>70352</v>
      </c>
      <c r="N1" s="5">
        <v>70354</v>
      </c>
      <c r="O1" s="3">
        <v>70357</v>
      </c>
      <c r="P1" s="2">
        <v>70358</v>
      </c>
      <c r="Q1" s="3">
        <v>70361</v>
      </c>
      <c r="R1" s="5">
        <v>70362</v>
      </c>
      <c r="S1" s="5">
        <v>70363</v>
      </c>
      <c r="T1" s="5">
        <v>70364</v>
      </c>
      <c r="U1" s="5">
        <v>70365</v>
      </c>
      <c r="V1" s="5">
        <v>70366</v>
      </c>
      <c r="W1" s="5">
        <v>70367</v>
      </c>
      <c r="X1" s="5">
        <v>70368</v>
      </c>
      <c r="Y1" s="5">
        <v>70369</v>
      </c>
      <c r="Z1" s="5">
        <v>70370</v>
      </c>
      <c r="AA1" s="3">
        <v>70371</v>
      </c>
      <c r="AB1" s="2">
        <v>70372</v>
      </c>
      <c r="AC1" s="3">
        <v>70373</v>
      </c>
      <c r="AD1" s="3">
        <v>70374</v>
      </c>
      <c r="AE1" s="3">
        <v>70375</v>
      </c>
      <c r="AF1" s="3">
        <v>70376</v>
      </c>
      <c r="AG1" s="3">
        <v>70377</v>
      </c>
      <c r="AH1" s="3">
        <v>70378</v>
      </c>
      <c r="AI1" s="3">
        <v>70379</v>
      </c>
      <c r="AJ1" s="3">
        <v>70381</v>
      </c>
      <c r="AK1" s="3">
        <v>70416</v>
      </c>
      <c r="CP1"/>
    </row>
    <row r="2" spans="1:104" s="23" customFormat="1" ht="63.75" x14ac:dyDescent="0.25">
      <c r="B2" s="24" t="e">
        <f>VLOOKUP(B$1,ProjectNames,2,FALSE)</f>
        <v>#N/A</v>
      </c>
      <c r="C2" s="24" t="e">
        <f>VLOOKUP(C$1,ProjectNames,2,FALSE)</f>
        <v>#N/A</v>
      </c>
      <c r="D2" s="24" t="e">
        <f t="shared" ref="D2:AG2" si="0">VLOOKUP(D$1,ProjectNames,2,FALSE)</f>
        <v>#N/A</v>
      </c>
      <c r="E2" s="24" t="e">
        <f t="shared" si="0"/>
        <v>#N/A</v>
      </c>
      <c r="F2" s="24" t="e">
        <f t="shared" si="0"/>
        <v>#N/A</v>
      </c>
      <c r="G2" s="24" t="e">
        <f t="shared" si="0"/>
        <v>#N/A</v>
      </c>
      <c r="H2" s="24" t="e">
        <f t="shared" si="0"/>
        <v>#N/A</v>
      </c>
      <c r="I2" s="24" t="e">
        <f t="shared" si="0"/>
        <v>#N/A</v>
      </c>
      <c r="J2" s="24" t="e">
        <f t="shared" si="0"/>
        <v>#N/A</v>
      </c>
      <c r="K2" s="24" t="e">
        <f t="shared" si="0"/>
        <v>#N/A</v>
      </c>
      <c r="L2" s="24" t="e">
        <f t="shared" si="0"/>
        <v>#N/A</v>
      </c>
      <c r="M2" s="24" t="e">
        <f t="shared" si="0"/>
        <v>#N/A</v>
      </c>
      <c r="N2" s="24" t="e">
        <f t="shared" si="0"/>
        <v>#N/A</v>
      </c>
      <c r="O2" s="24" t="e">
        <f t="shared" si="0"/>
        <v>#N/A</v>
      </c>
      <c r="P2" s="24" t="e">
        <f t="shared" si="0"/>
        <v>#N/A</v>
      </c>
      <c r="Q2" s="24" t="e">
        <f t="shared" si="0"/>
        <v>#N/A</v>
      </c>
      <c r="R2" s="24" t="e">
        <f t="shared" si="0"/>
        <v>#N/A</v>
      </c>
      <c r="S2" s="24" t="e">
        <f t="shared" si="0"/>
        <v>#N/A</v>
      </c>
      <c r="T2" s="24" t="e">
        <f t="shared" si="0"/>
        <v>#N/A</v>
      </c>
      <c r="U2" s="24" t="e">
        <f t="shared" si="0"/>
        <v>#N/A</v>
      </c>
      <c r="V2" s="24" t="e">
        <f t="shared" si="0"/>
        <v>#N/A</v>
      </c>
      <c r="W2" s="24" t="e">
        <f t="shared" si="0"/>
        <v>#N/A</v>
      </c>
      <c r="X2" s="24" t="e">
        <f t="shared" si="0"/>
        <v>#N/A</v>
      </c>
      <c r="Y2" s="24" t="e">
        <f t="shared" si="0"/>
        <v>#N/A</v>
      </c>
      <c r="Z2" s="24" t="e">
        <f t="shared" si="0"/>
        <v>#N/A</v>
      </c>
      <c r="AA2" s="24" t="e">
        <f t="shared" si="0"/>
        <v>#N/A</v>
      </c>
      <c r="AB2" s="24" t="e">
        <f t="shared" si="0"/>
        <v>#N/A</v>
      </c>
      <c r="AC2" s="24" t="e">
        <f t="shared" si="0"/>
        <v>#N/A</v>
      </c>
      <c r="AD2" s="24" t="e">
        <f t="shared" si="0"/>
        <v>#N/A</v>
      </c>
      <c r="AE2" s="24" t="e">
        <f t="shared" si="0"/>
        <v>#N/A</v>
      </c>
      <c r="AF2" s="24" t="e">
        <f t="shared" si="0"/>
        <v>#N/A</v>
      </c>
      <c r="AG2" s="24" t="e">
        <f t="shared" si="0"/>
        <v>#N/A</v>
      </c>
      <c r="AH2" s="24" t="e">
        <f t="shared" ref="AH2:BM2" si="1">VLOOKUP(AH$1,ProjectNames,2,FALSE)</f>
        <v>#N/A</v>
      </c>
      <c r="AI2" s="24" t="e">
        <f t="shared" si="1"/>
        <v>#N/A</v>
      </c>
      <c r="AJ2" s="24" t="e">
        <f t="shared" si="1"/>
        <v>#N/A</v>
      </c>
      <c r="AK2" s="24" t="e">
        <f t="shared" si="1"/>
        <v>#N/A</v>
      </c>
      <c r="AL2" s="24" t="e">
        <f t="shared" si="1"/>
        <v>#N/A</v>
      </c>
      <c r="AM2" s="24" t="e">
        <f t="shared" si="1"/>
        <v>#N/A</v>
      </c>
      <c r="AN2" s="24" t="e">
        <f t="shared" si="1"/>
        <v>#N/A</v>
      </c>
      <c r="AO2" s="24" t="e">
        <f t="shared" si="1"/>
        <v>#N/A</v>
      </c>
      <c r="AP2" s="24" t="e">
        <f t="shared" si="1"/>
        <v>#N/A</v>
      </c>
      <c r="AQ2" s="24" t="e">
        <f t="shared" si="1"/>
        <v>#N/A</v>
      </c>
      <c r="AR2" s="24" t="e">
        <f t="shared" si="1"/>
        <v>#N/A</v>
      </c>
      <c r="AS2" s="24" t="e">
        <f t="shared" si="1"/>
        <v>#N/A</v>
      </c>
      <c r="AT2" s="24" t="e">
        <f t="shared" si="1"/>
        <v>#N/A</v>
      </c>
      <c r="AU2" s="24" t="e">
        <f t="shared" si="1"/>
        <v>#N/A</v>
      </c>
      <c r="AV2" s="24" t="e">
        <f t="shared" si="1"/>
        <v>#N/A</v>
      </c>
      <c r="AW2" s="24" t="e">
        <f t="shared" si="1"/>
        <v>#N/A</v>
      </c>
      <c r="AX2" s="24" t="e">
        <f t="shared" si="1"/>
        <v>#N/A</v>
      </c>
      <c r="AY2" s="24" t="e">
        <f t="shared" si="1"/>
        <v>#N/A</v>
      </c>
      <c r="AZ2" s="24" t="e">
        <f t="shared" si="1"/>
        <v>#N/A</v>
      </c>
      <c r="BA2" s="24" t="e">
        <f t="shared" si="1"/>
        <v>#N/A</v>
      </c>
      <c r="BB2" s="24" t="e">
        <f t="shared" si="1"/>
        <v>#N/A</v>
      </c>
      <c r="BC2" s="24" t="e">
        <f t="shared" si="1"/>
        <v>#N/A</v>
      </c>
      <c r="BD2" s="24" t="e">
        <f t="shared" si="1"/>
        <v>#N/A</v>
      </c>
      <c r="BE2" s="24" t="e">
        <f t="shared" si="1"/>
        <v>#N/A</v>
      </c>
      <c r="BF2" s="24" t="e">
        <f t="shared" si="1"/>
        <v>#N/A</v>
      </c>
      <c r="BG2" s="24" t="e">
        <f t="shared" si="1"/>
        <v>#N/A</v>
      </c>
      <c r="BH2" s="24" t="e">
        <f t="shared" si="1"/>
        <v>#N/A</v>
      </c>
      <c r="BI2" s="24" t="e">
        <f t="shared" si="1"/>
        <v>#N/A</v>
      </c>
      <c r="BJ2" s="24" t="e">
        <f t="shared" si="1"/>
        <v>#N/A</v>
      </c>
      <c r="BK2" s="24" t="e">
        <f t="shared" si="1"/>
        <v>#N/A</v>
      </c>
      <c r="BL2" s="24" t="e">
        <f t="shared" si="1"/>
        <v>#N/A</v>
      </c>
      <c r="BM2" s="24" t="e">
        <f t="shared" si="1"/>
        <v>#N/A</v>
      </c>
      <c r="BN2" s="24" t="e">
        <f t="shared" ref="BN2:CS2" si="2">VLOOKUP(BN$1,ProjectNames,2,FALSE)</f>
        <v>#N/A</v>
      </c>
      <c r="BO2" s="24" t="e">
        <f t="shared" si="2"/>
        <v>#N/A</v>
      </c>
      <c r="BP2" s="24" t="e">
        <f t="shared" si="2"/>
        <v>#N/A</v>
      </c>
      <c r="BQ2" s="24" t="e">
        <f t="shared" si="2"/>
        <v>#N/A</v>
      </c>
      <c r="BR2" s="24" t="e">
        <f t="shared" si="2"/>
        <v>#N/A</v>
      </c>
      <c r="BS2" s="24" t="e">
        <f t="shared" si="2"/>
        <v>#N/A</v>
      </c>
      <c r="BT2" s="24" t="e">
        <f t="shared" si="2"/>
        <v>#N/A</v>
      </c>
      <c r="BU2" s="24" t="e">
        <f t="shared" si="2"/>
        <v>#N/A</v>
      </c>
      <c r="BV2" s="24" t="e">
        <f t="shared" si="2"/>
        <v>#N/A</v>
      </c>
      <c r="BW2" s="24" t="e">
        <f t="shared" si="2"/>
        <v>#N/A</v>
      </c>
      <c r="BX2" s="24" t="e">
        <f t="shared" si="2"/>
        <v>#N/A</v>
      </c>
      <c r="BY2" s="24" t="e">
        <f t="shared" si="2"/>
        <v>#N/A</v>
      </c>
      <c r="BZ2" s="24" t="e">
        <f t="shared" si="2"/>
        <v>#N/A</v>
      </c>
      <c r="CA2" s="24" t="e">
        <f t="shared" si="2"/>
        <v>#N/A</v>
      </c>
      <c r="CB2" s="24" t="e">
        <f t="shared" si="2"/>
        <v>#N/A</v>
      </c>
      <c r="CC2" s="24" t="e">
        <f t="shared" si="2"/>
        <v>#N/A</v>
      </c>
      <c r="CD2" s="24" t="e">
        <f t="shared" si="2"/>
        <v>#N/A</v>
      </c>
      <c r="CE2" s="24" t="e">
        <f t="shared" si="2"/>
        <v>#N/A</v>
      </c>
      <c r="CF2" s="24" t="e">
        <f t="shared" si="2"/>
        <v>#N/A</v>
      </c>
      <c r="CG2" s="24" t="e">
        <f t="shared" si="2"/>
        <v>#N/A</v>
      </c>
      <c r="CH2" s="24" t="e">
        <f t="shared" si="2"/>
        <v>#N/A</v>
      </c>
      <c r="CI2" s="24" t="e">
        <f t="shared" si="2"/>
        <v>#N/A</v>
      </c>
      <c r="CJ2" s="24" t="e">
        <f t="shared" si="2"/>
        <v>#N/A</v>
      </c>
      <c r="CK2" s="24" t="e">
        <f t="shared" si="2"/>
        <v>#N/A</v>
      </c>
      <c r="CL2" s="24" t="e">
        <f t="shared" si="2"/>
        <v>#N/A</v>
      </c>
      <c r="CM2" s="24" t="e">
        <f t="shared" si="2"/>
        <v>#N/A</v>
      </c>
      <c r="CN2" s="24" t="e">
        <f t="shared" si="2"/>
        <v>#N/A</v>
      </c>
      <c r="CO2" s="24" t="e">
        <f t="shared" si="2"/>
        <v>#N/A</v>
      </c>
      <c r="CP2" s="24" t="e">
        <f t="shared" si="2"/>
        <v>#N/A</v>
      </c>
      <c r="CQ2" s="24" t="e">
        <f t="shared" si="2"/>
        <v>#N/A</v>
      </c>
      <c r="CR2" s="24" t="e">
        <f t="shared" si="2"/>
        <v>#N/A</v>
      </c>
      <c r="CS2" s="24" t="e">
        <f t="shared" si="2"/>
        <v>#N/A</v>
      </c>
      <c r="CT2" s="24" t="e">
        <f t="shared" ref="CT2:CZ2" si="3">VLOOKUP(CT$1,ProjectNames,2,FALSE)</f>
        <v>#N/A</v>
      </c>
      <c r="CU2" s="24" t="e">
        <f t="shared" si="3"/>
        <v>#N/A</v>
      </c>
      <c r="CV2" s="24" t="e">
        <f t="shared" si="3"/>
        <v>#N/A</v>
      </c>
      <c r="CW2" s="24" t="e">
        <f t="shared" si="3"/>
        <v>#N/A</v>
      </c>
      <c r="CX2" s="24" t="e">
        <f t="shared" si="3"/>
        <v>#N/A</v>
      </c>
      <c r="CY2" s="24" t="e">
        <f t="shared" si="3"/>
        <v>#N/A</v>
      </c>
      <c r="CZ2" s="24" t="e">
        <f t="shared" si="3"/>
        <v>#N/A</v>
      </c>
    </row>
    <row r="4" spans="1:104" x14ac:dyDescent="0.2">
      <c r="A4" s="2" t="s">
        <v>18</v>
      </c>
    </row>
    <row r="6" spans="1:104" x14ac:dyDescent="0.2">
      <c r="A6" s="5" t="s">
        <v>13</v>
      </c>
      <c r="B6" s="15" t="str">
        <f>IFERROR(INDEX('BalSht Data'!H$2:H$2999,MATCH(A6,IF('BalSht Data'!A$2=B$1,'BalSht Data'!G$2:G$2999),0)),"")</f>
        <v/>
      </c>
      <c r="C6" s="15" t="str">
        <f>IFERROR(INDEX('BalSht Data'!H$25:H$2999,MATCH(A6,IF('BalSht Data'!A$25=C$1,'BalSht Data'!G$2:G$2999),0)),"")</f>
        <v/>
      </c>
      <c r="D6" s="15" t="str">
        <f>IFERROR(INDEX('BalSht Data'!H$48:H$2999,MATCH(A6,IF('BalSht Data'!A$48=D$1,'BalSht Data'!G$48:G$2999),0)),"")</f>
        <v/>
      </c>
      <c r="E6" s="15" t="str">
        <f>IFERROR(INDEX('BalSht Data'!H$71:H$2999,MATCH(A6,IF('BalSht Data'!A$71=E$1,'BalSht Data'!G$71:G$2999),0)),"")</f>
        <v/>
      </c>
      <c r="F6" s="15" t="str">
        <f>IFERROR(INDEX('BalSht Data'!H$94:H$2999,MATCH(A6,IF('BalSht Data'!A$94=F$1,'BalSht Data'!G$94:G$2999),0)),"")</f>
        <v/>
      </c>
      <c r="G6" s="15" t="str">
        <f>IFERROR(INDEX('BalSht Data'!H$117:H$2999,MATCH(A6,IF('BalSht Data'!A$117=G$1,'BalSht Data'!G$117:G$2999),0)),"")</f>
        <v/>
      </c>
      <c r="H6" s="15" t="str">
        <f>IFERROR(INDEX('BalSht Data'!H$140:H$2999,MATCH(A6,IF('BalSht Data'!A$140=H$1,'BalSht Data'!G$140:G$2999),0)),"")</f>
        <v/>
      </c>
      <c r="I6" s="15" t="str">
        <f>IFERROR(INDEX('BalSht Data'!H$163:H$2999,MATCH(A6,IF('BalSht Data'!A$163=I$1,'BalSht Data'!G$163:G$2999),0)),"")</f>
        <v/>
      </c>
      <c r="J6" s="15" t="str">
        <f>IFERROR(INDEX('BalSht Data'!H$186:H$2999,MATCH(A6,IF('BalSht Data'!A$186=J$1,'BalSht Data'!G$186:G$2999),0)),"")</f>
        <v/>
      </c>
      <c r="K6" s="15" t="str">
        <f>IFERROR(INDEX('BalSht Data'!H$209:H$2999,MATCH(A6,IF('BalSht Data'!A$209=K$1,'BalSht Data'!G$209:G$2999),0)),"")</f>
        <v/>
      </c>
      <c r="L6" s="15" t="str">
        <f>IFERROR(INDEX('BalSht Data'!H$232:H$2999,MATCH(A6,IF('BalSht Data'!A$232=L$1,'BalSht Data'!G$232:G$2999),0)),"")</f>
        <v/>
      </c>
      <c r="M6" s="15" t="str">
        <f>IFERROR(INDEX('BalSht Data'!H$255:H$2999,MATCH(A6,IF('BalSht Data'!A$255=M$1,'BalSht Data'!G$255:G$2999),0)),"")</f>
        <v/>
      </c>
      <c r="N6" s="15" t="str">
        <f>IFERROR(INDEX('BalSht Data'!H$278:H$2999,MATCH(A6,IF('BalSht Data'!A$278=N$1,'BalSht Data'!G$278:G$2999),0)),"")</f>
        <v/>
      </c>
      <c r="O6" s="15" t="str">
        <f>IFERROR(INDEX('BalSht Data'!H$301:H$2999,MATCH(A6,IF('BalSht Data'!A$301=O$1,'BalSht Data'!G$301:G$2999),0)),"")</f>
        <v/>
      </c>
      <c r="P6" s="15" t="str">
        <f>IFERROR(INDEX('BalSht Data'!H$324:H$2999,MATCH(A6,IF('BalSht Data'!A$324=P$1,'BalSht Data'!G$324:G$2999),0)),"")</f>
        <v/>
      </c>
      <c r="Q6" s="15" t="str">
        <f>IFERROR(INDEX('BalSht Data'!H$347:H$2999,MATCH(A6,IF('BalSht Data'!A$347=Q$1,'BalSht Data'!G$347:G$2999),0)),"")</f>
        <v/>
      </c>
      <c r="R6" s="15" t="str">
        <f>IFERROR(INDEX('BalSht Data'!H$370:H$2999,MATCH(A6,IF('BalSht Data'!A$370=R$1,'BalSht Data'!G$370:G$2999),0)),"")</f>
        <v/>
      </c>
      <c r="S6" s="15" t="str">
        <f>IFERROR(INDEX('BalSht Data'!H$393:H$2999,MATCH(A6,IF('BalSht Data'!A$393=S$1,'BalSht Data'!G$393:G$2999),0)),"")</f>
        <v/>
      </c>
      <c r="T6" s="15" t="str">
        <f>IFERROR(INDEX('BalSht Data'!H$416:H$2999,MATCH(A6,IF('BalSht Data'!A$416=T$1,'BalSht Data'!G$416:G$2999),0)),"")</f>
        <v/>
      </c>
      <c r="U6" s="15" t="str">
        <f>IFERROR(INDEX('BalSht Data'!H$439:H$2999,MATCH(A6,IF('BalSht Data'!A$439=U$1,'BalSht Data'!G$439:G$2999),0)),"")</f>
        <v/>
      </c>
      <c r="V6" s="15" t="str">
        <f>IFERROR(INDEX('BalSht Data'!H$462:H$2999,MATCH(A6,IF('BalSht Data'!A$462=V$1,'BalSht Data'!G$462:G$2999),0)),"")</f>
        <v/>
      </c>
      <c r="W6" s="15" t="str">
        <f>IFERROR(INDEX('BalSht Data'!H$485:H$2999,MATCH(A6,IF('BalSht Data'!A$485=W$1,'BalSht Data'!G$485:G$2999),0)),"")</f>
        <v/>
      </c>
      <c r="X6" s="15" t="str">
        <f>IFERROR(INDEX('BalSht Data'!H$508:H$2999,MATCH(A6,IF('BalSht Data'!A$508=X$1,'BalSht Data'!G$508:G$2999),0)),"")</f>
        <v/>
      </c>
      <c r="Y6" s="15" t="str">
        <f>IFERROR(INDEX('BalSht Data'!H$531:H$2999,MATCH(A6,IF('BalSht Data'!A$531=Y$1,'BalSht Data'!G$531:G$2999),0)),"")</f>
        <v/>
      </c>
      <c r="Z6" s="15" t="str">
        <f>IFERROR(INDEX('BalSht Data'!H$554:H$2999,MATCH(A6,IF('BalSht Data'!A$554=Z$1,'BalSht Data'!G$554:G$2999),0)),"")</f>
        <v/>
      </c>
      <c r="AA6" s="15" t="str">
        <f>IFERROR(INDEX('BalSht Data'!H$577:H$2999,MATCH(A6,IF('BalSht Data'!A$577=AA$1,'BalSht Data'!G$577:G$2999),0)),"")</f>
        <v/>
      </c>
      <c r="AB6" s="15" t="str">
        <f>IFERROR(INDEX('BalSht Data'!H$600:H$2999,MATCH(A6,IF('BalSht Data'!A$600=AB$1,'BalSht Data'!G$600:G$2999),0)),"")</f>
        <v/>
      </c>
      <c r="AC6" s="15" t="str">
        <f>IFERROR(INDEX('BalSht Data'!H$623:H$2999,MATCH(A6,IF('BalSht Data'!A$623=AC$1,'BalSht Data'!G$623:G$2999),0)),"")</f>
        <v/>
      </c>
      <c r="AD6" s="15" t="str">
        <f>IFERROR(INDEX('BalSht Data'!H$646:H$2999,MATCH(A6,IF('BalSht Data'!A$646=AD$1,'BalSht Data'!G$646:G$2999),0)),"")</f>
        <v/>
      </c>
      <c r="AE6" s="15" t="str">
        <f>IFERROR(INDEX('BalSht Data'!H$669:H$2999,MATCH(A6,IF('BalSht Data'!A$669=AE$1,'BalSht Data'!G$669:G$2999),0)),"")</f>
        <v/>
      </c>
      <c r="AF6" s="15" t="str">
        <f>IFERROR(INDEX('BalSht Data'!H$692:H$2999,MATCH(A6,IF('BalSht Data'!A$692=AF$1,'BalSht Data'!G$692:G$2999),0)),"")</f>
        <v/>
      </c>
      <c r="AG6" s="15" t="str">
        <f>IFERROR(INDEX('BalSht Data'!H$715:H$2999,MATCH(A6,IF('BalSht Data'!A$715=AG$1,'BalSht Data'!G$715:G$2999),0)),"")</f>
        <v/>
      </c>
      <c r="AH6" s="15" t="str">
        <f>IFERROR(INDEX('BalSht Data'!H$738:H$2999,MATCH(A6,IF('BalSht Data'!A$738=AH$1,'BalSht Data'!G$738:G$2999),0)),"")</f>
        <v/>
      </c>
      <c r="AI6" s="15" t="str">
        <f>IFERROR(INDEX('BalSht Data'!H$761:H$2999,MATCH(A6,IF('BalSht Data'!A$761=AI$1,'BalSht Data'!G$761:G$2999),0)),"")</f>
        <v/>
      </c>
      <c r="AJ6" s="15" t="str">
        <f>IFERROR(INDEX('BalSht Data'!H$784:H$2999,MATCH(A6,IF('BalSht Data'!A$784=AJ$1,'BalSht Data'!G$784:G$2999),0)),"")</f>
        <v/>
      </c>
      <c r="AK6" s="15" t="str">
        <f>IFERROR(INDEX('BalSht Data'!H$807:H$2999,MATCH(A6,IF('BalSht Data'!A$807=AK$1,'BalSht Data'!G$807:G$2999),0)),"")</f>
        <v/>
      </c>
      <c r="AL6" s="15" t="str">
        <f>IFERROR(INDEX('BalSht Data'!H$830:H$2999,MATCH(A6,IF('BalSht Data'!A$830=AL$1,'BalSht Data'!G$830:G$2999),0)),"")</f>
        <v/>
      </c>
      <c r="AM6" s="15" t="str">
        <f>IFERROR(INDEX('BalSht Data'!H$853:H$2999,MATCH(A6,IF('BalSht Data'!A$853=AM$1,'BalSht Data'!G$853:G$2999),0)),"")</f>
        <v/>
      </c>
      <c r="AN6" s="15" t="str">
        <f>IFERROR(INDEX('BalSht Data'!H$876:H$2999,MATCH(A6,IF('BalSht Data'!A$876=AN$1,'BalSht Data'!G$876:G$2999),0)),"")</f>
        <v/>
      </c>
      <c r="AO6" s="15" t="str">
        <f>IFERROR(INDEX('BalSht Data'!H$899:H$2999,MATCH(A6,IF('BalSht Data'!A$899=AO$1,'BalSht Data'!G$899:G$2999),0)),"")</f>
        <v/>
      </c>
      <c r="AP6" s="15" t="str">
        <f>IFERROR(INDEX('BalSht Data'!H$922:H$2999,MATCH(A6,IF('BalSht Data'!A$922=AP$1,'BalSht Data'!G$922:G$2999),0)),"")</f>
        <v/>
      </c>
      <c r="AQ6" s="15" t="str">
        <f>IFERROR(INDEX('BalSht Data'!H$945:H$2999,MATCH(A6,IF('BalSht Data'!A$945=AQ$1,'BalSht Data'!G$945:G$2999),0)),"")</f>
        <v/>
      </c>
      <c r="AR6" s="15" t="str">
        <f>IFERROR(INDEX('BalSht Data'!H$968:H$2999,MATCH(A6,IF('BalSht Data'!A$968=AR$1,'BalSht Data'!G$968:G$2999),0)),"")</f>
        <v/>
      </c>
      <c r="AS6" s="15" t="str">
        <f>IFERROR(INDEX('BalSht Data'!H$991:H$2999,MATCH(A6,IF('BalSht Data'!A$991=AS$1,'BalSht Data'!G$991:G$2999),0)),"")</f>
        <v/>
      </c>
      <c r="AT6" s="15" t="str">
        <f>IFERROR(INDEX('BalSht Data'!H$1014:H$2999,MATCH(A6,IF('BalSht Data'!A$1014=AT$1,'BalSht Data'!G$1014:G$2999),0)),"")</f>
        <v/>
      </c>
      <c r="AU6" s="15" t="str">
        <f>IFERROR(INDEX('BalSht Data'!H$1037:H$2999,MATCH(A6,IF('BalSht Data'!A$1037=AU$1,'BalSht Data'!G$1037:G$2999),0)),"")</f>
        <v/>
      </c>
      <c r="AV6" s="15" t="str">
        <f>IFERROR(INDEX('BalSht Data'!H$1060:H$2999,MATCH(A6,IF('BalSht Data'!A$1060=AV$1,'BalSht Data'!G$1060:G$2999),0)),"")</f>
        <v/>
      </c>
      <c r="AW6" s="15" t="str">
        <f>IFERROR(INDEX('BalSht Data'!H$1083:H$2999,MATCH(A6,IF('BalSht Data'!A$1083=AW$1,'BalSht Data'!G$1083:G$2999),0)),"")</f>
        <v/>
      </c>
      <c r="AX6" s="15" t="str">
        <f>IFERROR(INDEX('BalSht Data'!H$1106:H$2999,MATCH(A6,IF('BalSht Data'!A$1106=AX$1,'BalSht Data'!G$1106:G$2999),0)),"")</f>
        <v/>
      </c>
      <c r="AY6" s="15" t="str">
        <f>IFERROR(INDEX('BalSht Data'!H$1129:H$2999,MATCH(A6,IF('BalSht Data'!A$1129=AY$1,'BalSht Data'!G$1129:G$2999),0)),"")</f>
        <v/>
      </c>
      <c r="AZ6" s="15" t="str">
        <f>IFERROR(INDEX('BalSht Data'!H$1152:H$2999,MATCH(A6,IF('BalSht Data'!A$1152=AZ$1,'BalSht Data'!G$1152:G$2999),0)),"")</f>
        <v/>
      </c>
      <c r="BA6" s="15" t="str">
        <f>IFERROR(INDEX('BalSht Data'!H$1175:H$2999,MATCH(A6,IF('BalSht Data'!A$1175=BA$1,'BalSht Data'!G$1175:G$2999),0)),"")</f>
        <v/>
      </c>
      <c r="BB6" s="15" t="str">
        <f>IFERROR(INDEX('BalSht Data'!H$1198:H$2999,MATCH(A6,IF('BalSht Data'!A$1198=BB$1,'BalSht Data'!G$1198:G$2999),0)),"")</f>
        <v/>
      </c>
      <c r="BC6" s="15" t="str">
        <f>IFERROR(INDEX('BalSht Data'!H$1221:H$2999,MATCH(A6,IF('BalSht Data'!A$1221=BC$1,'BalSht Data'!G$1221:G$2999),0)),"")</f>
        <v/>
      </c>
      <c r="BD6" s="15" t="str">
        <f>IFERROR(INDEX('BalSht Data'!H$1244:H$2999,MATCH(A6,IF('BalSht Data'!A$1244=BD$1,'BalSht Data'!G$1244:G$2999),0)),"")</f>
        <v/>
      </c>
      <c r="BE6" s="15" t="str">
        <f>IFERROR(INDEX('BalSht Data'!H$1267:H$2999,MATCH(A6,IF('BalSht Data'!A$1267=BE$1,'BalSht Data'!G$1267:G$2999),0)),"")</f>
        <v/>
      </c>
      <c r="BF6" s="15">
        <v>1111111</v>
      </c>
    </row>
    <row r="7" spans="1:104" x14ac:dyDescent="0.2">
      <c r="A7" s="5" t="s">
        <v>14</v>
      </c>
      <c r="B7" s="15" t="str">
        <f>IFERROR(INDEX('BalSht Data'!H$2:H$2999,MATCH(A7,IF('BalSht Data'!A$2=B$1,'BalSht Data'!G$2:G$2999),0)),"")</f>
        <v/>
      </c>
      <c r="C7" s="15" t="str">
        <f>IFERROR(INDEX('BalSht Data'!H$25:H$2999,MATCH(A7,IF('BalSht Data'!A$25=C$1,'BalSht Data'!G$2:G$2999),0)),"")</f>
        <v/>
      </c>
      <c r="D7" s="15" t="str">
        <f>IFERROR(INDEX('BalSht Data'!H$48:H$2999,MATCH(A7,IF('BalSht Data'!A$48=D$1,'BalSht Data'!G$48:G$2999),0)),"")</f>
        <v/>
      </c>
      <c r="E7" s="15" t="str">
        <f>IFERROR(INDEX('BalSht Data'!H$71:H$2999,MATCH(A7,IF('BalSht Data'!A$71=E$1,'BalSht Data'!G$71:G$2999),0)),"")</f>
        <v/>
      </c>
      <c r="F7" s="15" t="str">
        <f>IFERROR(INDEX('BalSht Data'!H$94:H$2999,MATCH(A7,IF('BalSht Data'!A$94=F$1,'BalSht Data'!G$94:G$2999),0)),"")</f>
        <v/>
      </c>
      <c r="G7" s="15" t="str">
        <f>IFERROR(INDEX('BalSht Data'!H$117:H$2999,MATCH(A7,IF('BalSht Data'!A$117=G$1,'BalSht Data'!G$117:G$2999),0)),"")</f>
        <v/>
      </c>
      <c r="H7" s="15" t="str">
        <f>IFERROR(INDEX('BalSht Data'!H$140:H$2999,MATCH(A7,IF('BalSht Data'!A$140=H$1,'BalSht Data'!G$140:G$2999),0)),"")</f>
        <v/>
      </c>
      <c r="I7" s="15" t="str">
        <f>IFERROR(INDEX('BalSht Data'!H$163:H$2999,MATCH(A7,IF('BalSht Data'!A$163=I$1,'BalSht Data'!G$163:G$2999),0)),"")</f>
        <v/>
      </c>
      <c r="J7" s="15" t="str">
        <f>IFERROR(INDEX('BalSht Data'!H$186:H$2999,MATCH(A7,IF('BalSht Data'!A$186=J$1,'BalSht Data'!G$186:G$2999),0)),"")</f>
        <v/>
      </c>
      <c r="K7" s="15" t="str">
        <f>IFERROR(INDEX('BalSht Data'!H$209:H$2999,MATCH(A7,IF('BalSht Data'!A$209=K$1,'BalSht Data'!G$209:G$2999),0)),"")</f>
        <v/>
      </c>
      <c r="L7" s="15" t="str">
        <f>IFERROR(INDEX('BalSht Data'!H$232:H$2999,MATCH(A7,IF('BalSht Data'!A$232=L$1,'BalSht Data'!G$232:G$2999),0)),"")</f>
        <v/>
      </c>
      <c r="M7" s="15" t="str">
        <f>IFERROR(INDEX('BalSht Data'!H$255:H$2999,MATCH(A7,IF('BalSht Data'!A$255=M$1,'BalSht Data'!G$255:G$2999),0)),"")</f>
        <v/>
      </c>
      <c r="N7" s="15" t="str">
        <f>IFERROR(INDEX('BalSht Data'!H$278:H$2999,MATCH(A7,IF('BalSht Data'!A$278=N$1,'BalSht Data'!G$278:G$2999),0)),"")</f>
        <v/>
      </c>
      <c r="O7" s="15" t="str">
        <f>IFERROR(INDEX('BalSht Data'!H$301:H$2999,MATCH(A7,IF('BalSht Data'!A$301=O$1,'BalSht Data'!G$301:G$2999),0)),"")</f>
        <v/>
      </c>
      <c r="P7" s="15" t="str">
        <f>IFERROR(INDEX('BalSht Data'!H$324:H$2999,MATCH(A7,IF('BalSht Data'!A$324=P$1,'BalSht Data'!G$324:G$2999),0)),"")</f>
        <v/>
      </c>
      <c r="Q7" s="15" t="str">
        <f>IFERROR(INDEX('BalSht Data'!H$347:H$2999,MATCH(A7,IF('BalSht Data'!A$347=Q$1,'BalSht Data'!G$347:G$2999),0)),"")</f>
        <v/>
      </c>
      <c r="R7" s="15" t="str">
        <f>IFERROR(INDEX('BalSht Data'!H$370:H$2999,MATCH(A7,IF('BalSht Data'!A$370=R$1,'BalSht Data'!G$370:G$2999),0)),"")</f>
        <v/>
      </c>
      <c r="S7" s="15" t="str">
        <f>IFERROR(INDEX('BalSht Data'!H$393:H$2999,MATCH(A7,IF('BalSht Data'!A$393=S$1,'BalSht Data'!G$393:G$2999),0)),"")</f>
        <v/>
      </c>
      <c r="T7" s="15" t="str">
        <f>IFERROR(INDEX('BalSht Data'!H$416:H$2999,MATCH(A7,IF('BalSht Data'!A$416=T$1,'BalSht Data'!G$416:G$2999),0)),"")</f>
        <v/>
      </c>
      <c r="U7" s="15" t="str">
        <f>IFERROR(INDEX('BalSht Data'!H$439:H$2999,MATCH(A7,IF('BalSht Data'!A$439=U$1,'BalSht Data'!G$439:G$2999),0)),"")</f>
        <v/>
      </c>
      <c r="V7" s="15" t="str">
        <f>IFERROR(INDEX('BalSht Data'!H$462:H$2999,MATCH(A7,IF('BalSht Data'!A$462=V$1,'BalSht Data'!G$462:G$2999),0)),"")</f>
        <v/>
      </c>
      <c r="W7" s="15" t="str">
        <f>IFERROR(INDEX('BalSht Data'!H$485:H$2999,MATCH(A7,IF('BalSht Data'!A$485=W$1,'BalSht Data'!G$485:G$2999),0)),"")</f>
        <v/>
      </c>
      <c r="X7" s="15" t="str">
        <f>IFERROR(INDEX('BalSht Data'!H$508:H$2999,MATCH(A7,IF('BalSht Data'!A$508=X$1,'BalSht Data'!G$508:G$2999),0)),"")</f>
        <v/>
      </c>
      <c r="Y7" s="15" t="str">
        <f>IFERROR(INDEX('BalSht Data'!H$531:H$2999,MATCH(A7,IF('BalSht Data'!A$531=Y$1,'BalSht Data'!G$531:G$2999),0)),"")</f>
        <v/>
      </c>
      <c r="Z7" s="15" t="str">
        <f>IFERROR(INDEX('BalSht Data'!H$554:H$2999,MATCH(A7,IF('BalSht Data'!A$554=Z$1,'BalSht Data'!G$554:G$2999),0)),"")</f>
        <v/>
      </c>
      <c r="AA7" s="15" t="str">
        <f>IFERROR(INDEX('BalSht Data'!H$577:H$2999,MATCH(A7,IF('BalSht Data'!A$577=AA$1,'BalSht Data'!G$577:G$2999),0)),"")</f>
        <v/>
      </c>
      <c r="AB7" s="15" t="str">
        <f>IFERROR(INDEX('BalSht Data'!H$600:H$2999,MATCH(A7,IF('BalSht Data'!A$600=AB$1,'BalSht Data'!G$600:G$2999),0)),"")</f>
        <v/>
      </c>
      <c r="AC7" s="15" t="str">
        <f>IFERROR(INDEX('BalSht Data'!H$623:H$2999,MATCH(A7,IF('BalSht Data'!A$623=AC$1,'BalSht Data'!G$623:G$2999),0)),"")</f>
        <v/>
      </c>
      <c r="AD7" s="15" t="str">
        <f>IFERROR(INDEX('BalSht Data'!H$646:H$2999,MATCH(A7,IF('BalSht Data'!A$646=AD$1,'BalSht Data'!G$646:G$2999),0)),"")</f>
        <v/>
      </c>
      <c r="AE7" s="15" t="str">
        <f>IFERROR(INDEX('BalSht Data'!H$669:H$2999,MATCH(A7,IF('BalSht Data'!A$669=AE$1,'BalSht Data'!G$669:G$2999),0)),"")</f>
        <v/>
      </c>
      <c r="AF7" s="15" t="str">
        <f>IFERROR(INDEX('BalSht Data'!H$692:H$2999,MATCH(A7,IF('BalSht Data'!A$692=AF$1,'BalSht Data'!G$692:G$2999),0)),"")</f>
        <v/>
      </c>
      <c r="AG7" s="15" t="str">
        <f>IFERROR(INDEX('BalSht Data'!H$715:H$2999,MATCH(A7,IF('BalSht Data'!A$715=AG$1,'BalSht Data'!G$715:G$2999),0)),"")</f>
        <v/>
      </c>
      <c r="AH7" s="15" t="str">
        <f>IFERROR(INDEX('BalSht Data'!H$738:H$2999,MATCH(A7,IF('BalSht Data'!A$738=AH$1,'BalSht Data'!G$738:G$2999),0)),"")</f>
        <v/>
      </c>
      <c r="AI7" s="15" t="str">
        <f>IFERROR(INDEX('BalSht Data'!H$761:H$2999,MATCH(A7,IF('BalSht Data'!A$761=AI$1,'BalSht Data'!G$761:G$2999),0)),"")</f>
        <v/>
      </c>
      <c r="AJ7" s="15" t="str">
        <f>IFERROR(INDEX('BalSht Data'!H$784:H$2999,MATCH(A7,IF('BalSht Data'!A$784=AJ$1,'BalSht Data'!G$784:G$2999),0)),"")</f>
        <v/>
      </c>
      <c r="AK7" s="15" t="str">
        <f>IFERROR(INDEX('BalSht Data'!H$807:H$2999,MATCH(A7,IF('BalSht Data'!A$807=AK$1,'BalSht Data'!G$807:G$2999),0)),"")</f>
        <v/>
      </c>
      <c r="AL7" s="15" t="str">
        <f>IFERROR(INDEX('BalSht Data'!H$830:H$2999,MATCH(A7,IF('BalSht Data'!A$830=AL$1,'BalSht Data'!G$830:G$2999),0)),"")</f>
        <v/>
      </c>
      <c r="AM7" s="15" t="str">
        <f>IFERROR(INDEX('BalSht Data'!H$853:H$2999,MATCH(A7,IF('BalSht Data'!A$853=AM$1,'BalSht Data'!G$853:G$2999),0)),"")</f>
        <v/>
      </c>
      <c r="AN7" s="15" t="str">
        <f>IFERROR(INDEX('BalSht Data'!H$876:H$2999,MATCH(A7,IF('BalSht Data'!A$876=AN$1,'BalSht Data'!G$876:G$2999),0)),"")</f>
        <v/>
      </c>
      <c r="AO7" s="15" t="str">
        <f>IFERROR(INDEX('BalSht Data'!H$899:H$2999,MATCH(A7,IF('BalSht Data'!A$899=AO$1,'BalSht Data'!G$899:G$2999),0)),"")</f>
        <v/>
      </c>
      <c r="AP7" s="15" t="str">
        <f>IFERROR(INDEX('BalSht Data'!H$922:H$2999,MATCH(A7,IF('BalSht Data'!A$922=AP$1,'BalSht Data'!G$922:G$2999),0)),"")</f>
        <v/>
      </c>
      <c r="AQ7" s="15" t="str">
        <f>IFERROR(INDEX('BalSht Data'!H$945:H$2999,MATCH(A7,IF('BalSht Data'!A$945=AQ$1,'BalSht Data'!G$945:G$2999),0)),"")</f>
        <v/>
      </c>
      <c r="AR7" s="15" t="str">
        <f>IFERROR(INDEX('BalSht Data'!H$968:H$2999,MATCH(A7,IF('BalSht Data'!A$968=AR$1,'BalSht Data'!G$968:G$2999),0)),"")</f>
        <v/>
      </c>
      <c r="AS7" s="15" t="str">
        <f>IFERROR(INDEX('BalSht Data'!H$991:H$2999,MATCH(A7,IF('BalSht Data'!A$991=AS$1,'BalSht Data'!G$991:G$2999),0)),"")</f>
        <v/>
      </c>
      <c r="AT7" s="15" t="str">
        <f>IFERROR(INDEX('BalSht Data'!H$1014:H$2999,MATCH(A7,IF('BalSht Data'!A$1014=AT$1,'BalSht Data'!G$1014:G$2999),0)),"")</f>
        <v/>
      </c>
      <c r="AU7" s="15" t="str">
        <f>IFERROR(INDEX('BalSht Data'!H$1037:H$2999,MATCH(A7,IF('BalSht Data'!A$1037=AU$1,'BalSht Data'!G$1037:G$2999),0)),"")</f>
        <v/>
      </c>
      <c r="AV7" s="15" t="str">
        <f>IFERROR(INDEX('BalSht Data'!H$1060:H$2999,MATCH(A7,IF('BalSht Data'!A$1060=AV$1,'BalSht Data'!G$1060:G$2999),0)),"")</f>
        <v/>
      </c>
      <c r="AW7" s="15" t="str">
        <f>IFERROR(INDEX('BalSht Data'!H$1083:H$2999,MATCH(A7,IF('BalSht Data'!A$1083=AW$1,'BalSht Data'!G$1083:G$2999),0)),"")</f>
        <v/>
      </c>
      <c r="AX7" s="15" t="str">
        <f>IFERROR(INDEX('BalSht Data'!H$1106:H$2999,MATCH(A7,IF('BalSht Data'!A$1106=AX$1,'BalSht Data'!G$1106:G$2999),0)),"")</f>
        <v/>
      </c>
      <c r="AY7" s="15" t="str">
        <f>IFERROR(INDEX('BalSht Data'!H$1129:H$2999,MATCH(A7,IF('BalSht Data'!A$1129=AY$1,'BalSht Data'!G$1129:G$2999),0)),"")</f>
        <v/>
      </c>
      <c r="AZ7" s="15" t="str">
        <f>IFERROR(INDEX('BalSht Data'!H$1152:H$2999,MATCH(A7,IF('BalSht Data'!A$1152=AZ$1,'BalSht Data'!G$1152:G$2999),0)),"")</f>
        <v/>
      </c>
      <c r="BA7" s="15" t="str">
        <f>IFERROR(INDEX('BalSht Data'!H$1175:H$2999,MATCH(A7,IF('BalSht Data'!A$1175=BA$1,'BalSht Data'!G$1175:G$2999),0)),"")</f>
        <v/>
      </c>
      <c r="BB7" s="15" t="str">
        <f>IFERROR(INDEX('BalSht Data'!H$1198:H$2999,MATCH(A7,IF('BalSht Data'!A$1198=BB$1,'BalSht Data'!G$1198:G$2999),0)),"")</f>
        <v/>
      </c>
      <c r="BC7" s="15" t="str">
        <f>IFERROR(INDEX('BalSht Data'!H$1221:H$2999,MATCH(A7,IF('BalSht Data'!A$1221=BC$1,'BalSht Data'!G$1221:G$2999),0)),"")</f>
        <v/>
      </c>
      <c r="BD7" s="15" t="str">
        <f>IFERROR(INDEX('BalSht Data'!H$1244:H$2999,MATCH(A7,IF('BalSht Data'!A$1244=BD$1,'BalSht Data'!G$1244:G$2999),0)),"")</f>
        <v/>
      </c>
      <c r="BE7" s="15" t="str">
        <f>IFERROR(INDEX('BalSht Data'!H$1267:H$2999,MATCH(A7,IF('BalSht Data'!A$1267=BE$1,'BalSht Data'!G$1267:G$2999),0)),"")</f>
        <v/>
      </c>
      <c r="BF7" s="15"/>
    </row>
    <row r="8" spans="1:104" x14ac:dyDescent="0.2">
      <c r="A8" s="5" t="s">
        <v>15</v>
      </c>
      <c r="B8" s="15" t="str">
        <f>IFERROR(INDEX('BalSht Data'!H$2:H$2999,MATCH(A8,IF('BalSht Data'!A$2=B$1,'BalSht Data'!G$2:G$2999),0)),"")</f>
        <v/>
      </c>
      <c r="C8" s="15" t="str">
        <f>IFERROR(INDEX('BalSht Data'!H$25:H$2999,MATCH(A8,IF('BalSht Data'!A$25=C$1,'BalSht Data'!G$2:G$2999),0)),"")</f>
        <v/>
      </c>
      <c r="D8" s="15" t="str">
        <f>IFERROR(INDEX('BalSht Data'!H$48:H$2999,MATCH(A8,IF('BalSht Data'!A$48=D$1,'BalSht Data'!G$48:G$2999),0)),"")</f>
        <v/>
      </c>
      <c r="E8" s="15" t="str">
        <f>IFERROR(INDEX('BalSht Data'!H$71:H$2999,MATCH(A8,IF('BalSht Data'!A$71=E$1,'BalSht Data'!G$71:G$2999),0)),"")</f>
        <v/>
      </c>
      <c r="F8" s="15" t="str">
        <f>IFERROR(INDEX('BalSht Data'!H$94:H$2999,MATCH(A8,IF('BalSht Data'!A$94=F$1,'BalSht Data'!G$94:G$2999),0)),"")</f>
        <v/>
      </c>
      <c r="G8" s="15" t="str">
        <f>IFERROR(INDEX('BalSht Data'!H$117:H$2999,MATCH(A8,IF('BalSht Data'!A$117=G$1,'BalSht Data'!G$117:G$2999),0)),"")</f>
        <v/>
      </c>
      <c r="H8" s="15" t="str">
        <f>IFERROR(INDEX('BalSht Data'!H$140:H$2999,MATCH(A8,IF('BalSht Data'!A$140=H$1,'BalSht Data'!G$140:G$2999),0)),"")</f>
        <v/>
      </c>
      <c r="I8" s="15" t="str">
        <f>IFERROR(INDEX('BalSht Data'!H$163:H$2999,MATCH(A8,IF('BalSht Data'!A$163=I$1,'BalSht Data'!G$163:G$2999),0)),"")</f>
        <v/>
      </c>
      <c r="J8" s="15" t="str">
        <f>IFERROR(INDEX('BalSht Data'!H$186:H$2999,MATCH(A8,IF('BalSht Data'!A$186=J$1,'BalSht Data'!G$186:G$2999),0)),"")</f>
        <v/>
      </c>
      <c r="K8" s="15" t="str">
        <f>IFERROR(INDEX('BalSht Data'!H$209:H$2999,MATCH(A8,IF('BalSht Data'!A$209=K$1,'BalSht Data'!G$209:G$2999),0)),"")</f>
        <v/>
      </c>
      <c r="L8" s="15" t="str">
        <f>IFERROR(INDEX('BalSht Data'!H$232:H$2999,MATCH(A8,IF('BalSht Data'!A$232=L$1,'BalSht Data'!G$232:G$2999),0)),"")</f>
        <v/>
      </c>
      <c r="M8" s="15" t="str">
        <f>IFERROR(INDEX('BalSht Data'!H$255:H$2999,MATCH(A8,IF('BalSht Data'!A$255=M$1,'BalSht Data'!G$255:G$2999),0)),"")</f>
        <v/>
      </c>
      <c r="N8" s="15" t="str">
        <f>IFERROR(INDEX('BalSht Data'!H$278:H$2999,MATCH(A8,IF('BalSht Data'!A$278=N$1,'BalSht Data'!G$278:G$2999),0)),"")</f>
        <v/>
      </c>
      <c r="O8" s="15" t="str">
        <f>IFERROR(INDEX('BalSht Data'!H$301:H$2999,MATCH(A8,IF('BalSht Data'!A$301=O$1,'BalSht Data'!G$301:G$2999),0)),"")</f>
        <v/>
      </c>
      <c r="P8" s="15" t="str">
        <f>IFERROR(INDEX('BalSht Data'!H$324:H$2999,MATCH(A8,IF('BalSht Data'!A$324=P$1,'BalSht Data'!G$324:G$2999),0)),"")</f>
        <v/>
      </c>
      <c r="Q8" s="15" t="str">
        <f>IFERROR(INDEX('BalSht Data'!H$347:H$2999,MATCH(A8,IF('BalSht Data'!A$347=Q$1,'BalSht Data'!G$347:G$2999),0)),"")</f>
        <v/>
      </c>
      <c r="R8" s="15" t="str">
        <f>IFERROR(INDEX('BalSht Data'!H$370:H$2999,MATCH(A8,IF('BalSht Data'!A$370=R$1,'BalSht Data'!G$370:G$2999),0)),"")</f>
        <v/>
      </c>
      <c r="S8" s="15" t="str">
        <f>IFERROR(INDEX('BalSht Data'!H$393:H$2999,MATCH(A8,IF('BalSht Data'!A$393=S$1,'BalSht Data'!G$393:G$2999),0)),"")</f>
        <v/>
      </c>
      <c r="T8" s="15" t="str">
        <f>IFERROR(INDEX('BalSht Data'!H$416:H$2999,MATCH(A8,IF('BalSht Data'!A$416=T$1,'BalSht Data'!G$416:G$2999),0)),"")</f>
        <v/>
      </c>
      <c r="U8" s="15" t="str">
        <f>IFERROR(INDEX('BalSht Data'!H$439:H$2999,MATCH(A8,IF('BalSht Data'!A$439=U$1,'BalSht Data'!G$439:G$2999),0)),"")</f>
        <v/>
      </c>
      <c r="V8" s="15" t="str">
        <f>IFERROR(INDEX('BalSht Data'!H$462:H$2999,MATCH(A8,IF('BalSht Data'!A$462=V$1,'BalSht Data'!G$462:G$2999),0)),"")</f>
        <v/>
      </c>
      <c r="W8" s="15" t="str">
        <f>IFERROR(INDEX('BalSht Data'!H$485:H$2999,MATCH(A8,IF('BalSht Data'!A$485=W$1,'BalSht Data'!G$485:G$2999),0)),"")</f>
        <v/>
      </c>
      <c r="X8" s="15" t="str">
        <f>IFERROR(INDEX('BalSht Data'!H$508:H$2999,MATCH(A8,IF('BalSht Data'!A$508=X$1,'BalSht Data'!G$508:G$2999),0)),"")</f>
        <v/>
      </c>
      <c r="Y8" s="15" t="str">
        <f>IFERROR(INDEX('BalSht Data'!H$531:H$2999,MATCH(A8,IF('BalSht Data'!A$531=Y$1,'BalSht Data'!G$531:G$2999),0)),"")</f>
        <v/>
      </c>
      <c r="Z8" s="15" t="str">
        <f>IFERROR(INDEX('BalSht Data'!H$554:H$2999,MATCH(A8,IF('BalSht Data'!A$554=Z$1,'BalSht Data'!G$554:G$2999),0)),"")</f>
        <v/>
      </c>
      <c r="AA8" s="15" t="str">
        <f>IFERROR(INDEX('BalSht Data'!H$577:H$2999,MATCH(A8,IF('BalSht Data'!A$577=AA$1,'BalSht Data'!G$577:G$2999),0)),"")</f>
        <v/>
      </c>
      <c r="AB8" s="15" t="str">
        <f>IFERROR(INDEX('BalSht Data'!H$600:H$2999,MATCH(A8,IF('BalSht Data'!A$600=AB$1,'BalSht Data'!G$600:G$2999),0)),"")</f>
        <v/>
      </c>
      <c r="AC8" s="15" t="str">
        <f>IFERROR(INDEX('BalSht Data'!H$623:H$2999,MATCH(A8,IF('BalSht Data'!A$623=AC$1,'BalSht Data'!G$623:G$2999),0)),"")</f>
        <v/>
      </c>
      <c r="AD8" s="15" t="str">
        <f>IFERROR(INDEX('BalSht Data'!H$646:H$2999,MATCH(A8,IF('BalSht Data'!A$646=AD$1,'BalSht Data'!G$646:G$2999),0)),"")</f>
        <v/>
      </c>
      <c r="AE8" s="15" t="str">
        <f>IFERROR(INDEX('BalSht Data'!H$669:H$2999,MATCH(A8,IF('BalSht Data'!A$669=AE$1,'BalSht Data'!G$669:G$2999),0)),"")</f>
        <v/>
      </c>
      <c r="AF8" s="15" t="str">
        <f>IFERROR(INDEX('BalSht Data'!H$692:H$2999,MATCH(A8,IF('BalSht Data'!A$692=AF$1,'BalSht Data'!G$692:G$2999),0)),"")</f>
        <v/>
      </c>
      <c r="AG8" s="15" t="str">
        <f>IFERROR(INDEX('BalSht Data'!H$715:H$2999,MATCH(A8,IF('BalSht Data'!A$715=AG$1,'BalSht Data'!G$715:G$2999),0)),"")</f>
        <v/>
      </c>
      <c r="AH8" s="15" t="str">
        <f>IFERROR(INDEX('BalSht Data'!H$738:H$2999,MATCH(A8,IF('BalSht Data'!A$738=AH$1,'BalSht Data'!G$738:G$2999),0)),"")</f>
        <v/>
      </c>
      <c r="AI8" s="15" t="str">
        <f>IFERROR(INDEX('BalSht Data'!H$761:H$2999,MATCH(A8,IF('BalSht Data'!A$761=AI$1,'BalSht Data'!G$761:G$2999),0)),"")</f>
        <v/>
      </c>
      <c r="AJ8" s="15" t="str">
        <f>IFERROR(INDEX('BalSht Data'!H$784:H$2999,MATCH(A8,IF('BalSht Data'!A$784=AJ$1,'BalSht Data'!G$784:G$2999),0)),"")</f>
        <v/>
      </c>
      <c r="AK8" s="15" t="str">
        <f>IFERROR(INDEX('BalSht Data'!H$807:H$2999,MATCH(A8,IF('BalSht Data'!A$807=AK$1,'BalSht Data'!G$807:G$2999),0)),"")</f>
        <v/>
      </c>
      <c r="AL8" s="15" t="str">
        <f>IFERROR(INDEX('BalSht Data'!H$830:H$2999,MATCH(A8,IF('BalSht Data'!A$830=AL$1,'BalSht Data'!G$830:G$2999),0)),"")</f>
        <v/>
      </c>
      <c r="AM8" s="15" t="str">
        <f>IFERROR(INDEX('BalSht Data'!H$853:H$2999,MATCH(A8,IF('BalSht Data'!A$853=AM$1,'BalSht Data'!G$853:G$2999),0)),"")</f>
        <v/>
      </c>
      <c r="AN8" s="15" t="str">
        <f>IFERROR(INDEX('BalSht Data'!H$876:H$2999,MATCH(A8,IF('BalSht Data'!A$876=AN$1,'BalSht Data'!G$876:G$2999),0)),"")</f>
        <v/>
      </c>
      <c r="AO8" s="15" t="str">
        <f>IFERROR(INDEX('BalSht Data'!H$899:H$2999,MATCH(A8,IF('BalSht Data'!A$899=AO$1,'BalSht Data'!G$899:G$2999),0)),"")</f>
        <v/>
      </c>
      <c r="AP8" s="15" t="str">
        <f>IFERROR(INDEX('BalSht Data'!H$922:H$2999,MATCH(A8,IF('BalSht Data'!A$922=AP$1,'BalSht Data'!G$922:G$2999),0)),"")</f>
        <v/>
      </c>
      <c r="AQ8" s="15" t="str">
        <f>IFERROR(INDEX('BalSht Data'!H$945:H$2999,MATCH(A8,IF('BalSht Data'!A$945=AQ$1,'BalSht Data'!G$945:G$2999),0)),"")</f>
        <v/>
      </c>
      <c r="AR8" s="15" t="str">
        <f>IFERROR(INDEX('BalSht Data'!H$968:H$2999,MATCH(A8,IF('BalSht Data'!A$968=AR$1,'BalSht Data'!G$968:G$2999),0)),"")</f>
        <v/>
      </c>
      <c r="AS8" s="15" t="str">
        <f>IFERROR(INDEX('BalSht Data'!H$991:H$2999,MATCH(A8,IF('BalSht Data'!A$991=AS$1,'BalSht Data'!G$991:G$2999),0)),"")</f>
        <v/>
      </c>
      <c r="AT8" s="15" t="str">
        <f>IFERROR(INDEX('BalSht Data'!H$1014:H$2999,MATCH(A8,IF('BalSht Data'!A$1014=AT$1,'BalSht Data'!G$1014:G$2999),0)),"")</f>
        <v/>
      </c>
      <c r="AU8" s="15" t="str">
        <f>IFERROR(INDEX('BalSht Data'!H$1037:H$2999,MATCH(A8,IF('BalSht Data'!A$1037=AU$1,'BalSht Data'!G$1037:G$2999),0)),"")</f>
        <v/>
      </c>
      <c r="AV8" s="15" t="str">
        <f>IFERROR(INDEX('BalSht Data'!H$1060:H$2999,MATCH(A8,IF('BalSht Data'!A$1060=AV$1,'BalSht Data'!G$1060:G$2999),0)),"")</f>
        <v/>
      </c>
      <c r="AW8" s="15" t="str">
        <f>IFERROR(INDEX('BalSht Data'!H$1083:H$2999,MATCH(A8,IF('BalSht Data'!A$1083=AW$1,'BalSht Data'!G$1083:G$2999),0)),"")</f>
        <v/>
      </c>
      <c r="AX8" s="15" t="str">
        <f>IFERROR(INDEX('BalSht Data'!H$1106:H$2999,MATCH(A8,IF('BalSht Data'!A$1106=AX$1,'BalSht Data'!G$1106:G$2999),0)),"")</f>
        <v/>
      </c>
      <c r="AY8" s="15" t="str">
        <f>IFERROR(INDEX('BalSht Data'!H$1129:H$2999,MATCH(A8,IF('BalSht Data'!A$1129=AY$1,'BalSht Data'!G$1129:G$2999),0)),"")</f>
        <v/>
      </c>
      <c r="AZ8" s="15" t="str">
        <f>IFERROR(INDEX('BalSht Data'!H$1152:H$2999,MATCH(A8,IF('BalSht Data'!A$1152=AZ$1,'BalSht Data'!G$1152:G$2999),0)),"")</f>
        <v/>
      </c>
      <c r="BA8" s="15" t="str">
        <f>IFERROR(INDEX('BalSht Data'!H$1175:H$2999,MATCH(A8,IF('BalSht Data'!A$1175=BA$1,'BalSht Data'!G$1175:G$2999),0)),"")</f>
        <v/>
      </c>
      <c r="BB8" s="15" t="str">
        <f>IFERROR(INDEX('BalSht Data'!H$1198:H$2999,MATCH(A8,IF('BalSht Data'!A$1198=BB$1,'BalSht Data'!G$1198:G$2999),0)),"")</f>
        <v/>
      </c>
      <c r="BC8" s="15" t="str">
        <f>IFERROR(INDEX('BalSht Data'!H$1221:H$2999,MATCH(A8,IF('BalSht Data'!A$1221=BC$1,'BalSht Data'!G$1221:G$2999),0)),"")</f>
        <v/>
      </c>
      <c r="BD8" s="15" t="str">
        <f>IFERROR(INDEX('BalSht Data'!H$1244:H$2999,MATCH(A8,IF('BalSht Data'!A$1244=BD$1,'BalSht Data'!G$1244:G$2999),0)),"")</f>
        <v/>
      </c>
      <c r="BE8" s="15" t="str">
        <f>IFERROR(INDEX('BalSht Data'!H$1267:H$2999,MATCH(A8,IF('BalSht Data'!A$1267=BE$1,'BalSht Data'!G$1267:G$2999),0)),"")</f>
        <v/>
      </c>
      <c r="BF8" s="15"/>
    </row>
    <row r="9" spans="1:104" x14ac:dyDescent="0.2">
      <c r="A9" s="5" t="s">
        <v>16</v>
      </c>
      <c r="B9" s="15" t="str">
        <f>IFERROR(INDEX('BalSht Data'!H$2:H$2999,MATCH(A9,IF('BalSht Data'!A$2=B$1,'BalSht Data'!G$2:G$2999),0)),"")</f>
        <v/>
      </c>
      <c r="C9" s="15" t="str">
        <f>IFERROR(INDEX('BalSht Data'!H$25:H$2999,MATCH(A9,IF('BalSht Data'!A$25=C$1,'BalSht Data'!G$2:G$2999),0)),"")</f>
        <v/>
      </c>
      <c r="D9" s="15" t="str">
        <f>IFERROR(INDEX('BalSht Data'!H$48:H$2999,MATCH(A9,IF('BalSht Data'!A$48=D$1,'BalSht Data'!G$48:G$2999),0)),"")</f>
        <v/>
      </c>
      <c r="E9" s="15" t="str">
        <f>IFERROR(INDEX('BalSht Data'!H$71:H$2999,MATCH(A9,IF('BalSht Data'!A$71=E$1,'BalSht Data'!G$71:G$2999),0)),"")</f>
        <v/>
      </c>
      <c r="F9" s="15" t="str">
        <f>IFERROR(INDEX('BalSht Data'!H$94:H$2999,MATCH(A9,IF('BalSht Data'!A$94=F$1,'BalSht Data'!G$94:G$2999),0)),"")</f>
        <v/>
      </c>
      <c r="G9" s="15" t="str">
        <f>IFERROR(INDEX('BalSht Data'!H$117:H$2999,MATCH(A9,IF('BalSht Data'!A$117=G$1,'BalSht Data'!G$117:G$2999),0)),"")</f>
        <v/>
      </c>
      <c r="H9" s="15" t="str">
        <f>IFERROR(INDEX('BalSht Data'!H$140:H$2999,MATCH(A9,IF('BalSht Data'!A$140=H$1,'BalSht Data'!G$140:G$2999),0)),"")</f>
        <v/>
      </c>
      <c r="I9" s="15" t="str">
        <f>IFERROR(INDEX('BalSht Data'!H$163:H$2999,MATCH(A9,IF('BalSht Data'!A$163=I$1,'BalSht Data'!G$163:G$2999),0)),"")</f>
        <v/>
      </c>
      <c r="J9" s="15" t="str">
        <f>IFERROR(INDEX('BalSht Data'!H$186:H$2999,MATCH(A9,IF('BalSht Data'!A$186=J$1,'BalSht Data'!G$186:G$2999),0)),"")</f>
        <v/>
      </c>
      <c r="K9" s="15" t="str">
        <f>IFERROR(INDEX('BalSht Data'!H$209:H$2999,MATCH(A9,IF('BalSht Data'!A$209=K$1,'BalSht Data'!G$209:G$2999),0)),"")</f>
        <v/>
      </c>
      <c r="L9" s="15" t="str">
        <f>IFERROR(INDEX('BalSht Data'!H$232:H$2999,MATCH(A9,IF('BalSht Data'!A$232=L$1,'BalSht Data'!G$232:G$2999),0)),"")</f>
        <v/>
      </c>
      <c r="M9" s="15" t="str">
        <f>IFERROR(INDEX('BalSht Data'!H$255:H$2999,MATCH(A9,IF('BalSht Data'!A$255=M$1,'BalSht Data'!G$255:G$2999),0)),"")</f>
        <v/>
      </c>
      <c r="N9" s="15" t="str">
        <f>IFERROR(INDEX('BalSht Data'!H$278:H$2999,MATCH(A9,IF('BalSht Data'!A$278=N$1,'BalSht Data'!G$278:G$2999),0)),"")</f>
        <v/>
      </c>
      <c r="O9" s="15" t="str">
        <f>IFERROR(INDEX('BalSht Data'!H$301:H$2999,MATCH(A9,IF('BalSht Data'!A$301=O$1,'BalSht Data'!G$301:G$2999),0)),"")</f>
        <v/>
      </c>
      <c r="P9" s="15" t="str">
        <f>IFERROR(INDEX('BalSht Data'!H$324:H$2999,MATCH(A9,IF('BalSht Data'!A$324=P$1,'BalSht Data'!G$324:G$2999),0)),"")</f>
        <v/>
      </c>
      <c r="Q9" s="15" t="str">
        <f>IFERROR(INDEX('BalSht Data'!H$347:H$2999,MATCH(A9,IF('BalSht Data'!A$347=Q$1,'BalSht Data'!G$347:G$2999),0)),"")</f>
        <v/>
      </c>
      <c r="R9" s="15" t="str">
        <f>IFERROR(INDEX('BalSht Data'!H$370:H$2999,MATCH(A9,IF('BalSht Data'!A$370=R$1,'BalSht Data'!G$370:G$2999),0)),"")</f>
        <v/>
      </c>
      <c r="S9" s="15" t="str">
        <f>IFERROR(INDEX('BalSht Data'!H$393:H$2999,MATCH(A9,IF('BalSht Data'!A$393=S$1,'BalSht Data'!G$393:G$2999),0)),"")</f>
        <v/>
      </c>
      <c r="T9" s="15" t="str">
        <f>IFERROR(INDEX('BalSht Data'!H$416:H$2999,MATCH(A9,IF('BalSht Data'!A$416=T$1,'BalSht Data'!G$416:G$2999),0)),"")</f>
        <v/>
      </c>
      <c r="U9" s="15" t="str">
        <f>IFERROR(INDEX('BalSht Data'!H$439:H$2999,MATCH(A9,IF('BalSht Data'!A$439=U$1,'BalSht Data'!G$439:G$2999),0)),"")</f>
        <v/>
      </c>
      <c r="V9" s="15" t="str">
        <f>IFERROR(INDEX('BalSht Data'!H$462:H$2999,MATCH(A9,IF('BalSht Data'!A$462=V$1,'BalSht Data'!G$462:G$2999),0)),"")</f>
        <v/>
      </c>
      <c r="W9" s="15" t="str">
        <f>IFERROR(INDEX('BalSht Data'!H$485:H$2999,MATCH(A9,IF('BalSht Data'!A$485=W$1,'BalSht Data'!G$485:G$2999),0)),"")</f>
        <v/>
      </c>
      <c r="X9" s="15" t="str">
        <f>IFERROR(INDEX('BalSht Data'!H$508:H$2999,MATCH(A9,IF('BalSht Data'!A$508=X$1,'BalSht Data'!G$508:G$2999),0)),"")</f>
        <v/>
      </c>
      <c r="Y9" s="15" t="str">
        <f>IFERROR(INDEX('BalSht Data'!H$531:H$2999,MATCH(A9,IF('BalSht Data'!A$531=Y$1,'BalSht Data'!G$531:G$2999),0)),"")</f>
        <v/>
      </c>
      <c r="Z9" s="15" t="str">
        <f>IFERROR(INDEX('BalSht Data'!H$554:H$2999,MATCH(A9,IF('BalSht Data'!A$554=Z$1,'BalSht Data'!G$554:G$2999),0)),"")</f>
        <v/>
      </c>
      <c r="AA9" s="15" t="str">
        <f>IFERROR(INDEX('BalSht Data'!H$577:H$2999,MATCH(A9,IF('BalSht Data'!A$577=AA$1,'BalSht Data'!G$577:G$2999),0)),"")</f>
        <v/>
      </c>
      <c r="AB9" s="15" t="str">
        <f>IFERROR(INDEX('BalSht Data'!H$600:H$2999,MATCH(A9,IF('BalSht Data'!A$600=AB$1,'BalSht Data'!G$600:G$2999),0)),"")</f>
        <v/>
      </c>
      <c r="AC9" s="15" t="str">
        <f>IFERROR(INDEX('BalSht Data'!H$623:H$2999,MATCH(A9,IF('BalSht Data'!A$623=AC$1,'BalSht Data'!G$623:G$2999),0)),"")</f>
        <v/>
      </c>
      <c r="AD9" s="15" t="str">
        <f>IFERROR(INDEX('BalSht Data'!H$646:H$2999,MATCH(A9,IF('BalSht Data'!A$646=AD$1,'BalSht Data'!G$646:G$2999),0)),"")</f>
        <v/>
      </c>
      <c r="AE9" s="15" t="str">
        <f>IFERROR(INDEX('BalSht Data'!H$669:H$2999,MATCH(A9,IF('BalSht Data'!A$669=AE$1,'BalSht Data'!G$669:G$2999),0)),"")</f>
        <v/>
      </c>
      <c r="AF9" s="15" t="str">
        <f>IFERROR(INDEX('BalSht Data'!H$692:H$2999,MATCH(A9,IF('BalSht Data'!A$692=AF$1,'BalSht Data'!G$692:G$2999),0)),"")</f>
        <v/>
      </c>
      <c r="AG9" s="15" t="str">
        <f>IFERROR(INDEX('BalSht Data'!H$715:H$2999,MATCH(A9,IF('BalSht Data'!A$715=AG$1,'BalSht Data'!G$715:G$2999),0)),"")</f>
        <v/>
      </c>
      <c r="AH9" s="15" t="str">
        <f>IFERROR(INDEX('BalSht Data'!H$738:H$2999,MATCH(A9,IF('BalSht Data'!A$738=AH$1,'BalSht Data'!G$738:G$2999),0)),"")</f>
        <v/>
      </c>
      <c r="AI9" s="15" t="str">
        <f>IFERROR(INDEX('BalSht Data'!H$761:H$2999,MATCH(A9,IF('BalSht Data'!A$761=AI$1,'BalSht Data'!G$761:G$2999),0)),"")</f>
        <v/>
      </c>
      <c r="AJ9" s="15" t="str">
        <f>IFERROR(INDEX('BalSht Data'!H$784:H$2999,MATCH(A9,IF('BalSht Data'!A$784=AJ$1,'BalSht Data'!G$784:G$2999),0)),"")</f>
        <v/>
      </c>
      <c r="AK9" s="15" t="str">
        <f>IFERROR(INDEX('BalSht Data'!H$807:H$2999,MATCH(A9,IF('BalSht Data'!A$807=AK$1,'BalSht Data'!G$807:G$2999),0)),"")</f>
        <v/>
      </c>
      <c r="AL9" s="15" t="str">
        <f>IFERROR(INDEX('BalSht Data'!H$830:H$2999,MATCH(A9,IF('BalSht Data'!A$830=AL$1,'BalSht Data'!G$830:G$2999),0)),"")</f>
        <v/>
      </c>
      <c r="AM9" s="15" t="str">
        <f>IFERROR(INDEX('BalSht Data'!H$853:H$2999,MATCH(A9,IF('BalSht Data'!A$853=AM$1,'BalSht Data'!G$853:G$2999),0)),"")</f>
        <v/>
      </c>
      <c r="AN9" s="15" t="str">
        <f>IFERROR(INDEX('BalSht Data'!H$876:H$2999,MATCH(A9,IF('BalSht Data'!A$876=AN$1,'BalSht Data'!G$876:G$2999),0)),"")</f>
        <v/>
      </c>
      <c r="AO9" s="15" t="str">
        <f>IFERROR(INDEX('BalSht Data'!H$899:H$2999,MATCH(A9,IF('BalSht Data'!A$899=AO$1,'BalSht Data'!G$899:G$2999),0)),"")</f>
        <v/>
      </c>
      <c r="AP9" s="15" t="str">
        <f>IFERROR(INDEX('BalSht Data'!H$922:H$2999,MATCH(A9,IF('BalSht Data'!A$922=AP$1,'BalSht Data'!G$922:G$2999),0)),"")</f>
        <v/>
      </c>
      <c r="AQ9" s="15" t="str">
        <f>IFERROR(INDEX('BalSht Data'!H$945:H$2999,MATCH(A9,IF('BalSht Data'!A$945=AQ$1,'BalSht Data'!G$945:G$2999),0)),"")</f>
        <v/>
      </c>
      <c r="AR9" s="15" t="str">
        <f>IFERROR(INDEX('BalSht Data'!H$968:H$2999,MATCH(A9,IF('BalSht Data'!A$968=AR$1,'BalSht Data'!G$968:G$2999),0)),"")</f>
        <v/>
      </c>
      <c r="AS9" s="15" t="str">
        <f>IFERROR(INDEX('BalSht Data'!H$991:H$2999,MATCH(A9,IF('BalSht Data'!A$991=AS$1,'BalSht Data'!G$991:G$2999),0)),"")</f>
        <v/>
      </c>
      <c r="AT9" s="15" t="str">
        <f>IFERROR(INDEX('BalSht Data'!H$1014:H$2999,MATCH(A9,IF('BalSht Data'!A$1014=AT$1,'BalSht Data'!G$1014:G$2999),0)),"")</f>
        <v/>
      </c>
      <c r="AU9" s="15" t="str">
        <f>IFERROR(INDEX('BalSht Data'!H$1037:H$2999,MATCH(A9,IF('BalSht Data'!A$1037=AU$1,'BalSht Data'!G$1037:G$2999),0)),"")</f>
        <v/>
      </c>
      <c r="AV9" s="15" t="str">
        <f>IFERROR(INDEX('BalSht Data'!H$1060:H$2999,MATCH(A9,IF('BalSht Data'!A$1060=AV$1,'BalSht Data'!G$1060:G$2999),0)),"")</f>
        <v/>
      </c>
      <c r="AW9" s="15" t="str">
        <f>IFERROR(INDEX('BalSht Data'!H$1083:H$2999,MATCH(A9,IF('BalSht Data'!A$1083=AW$1,'BalSht Data'!G$1083:G$2999),0)),"")</f>
        <v/>
      </c>
      <c r="AX9" s="15" t="str">
        <f>IFERROR(INDEX('BalSht Data'!H$1106:H$2999,MATCH(A9,IF('BalSht Data'!A$1106=AX$1,'BalSht Data'!G$1106:G$2999),0)),"")</f>
        <v/>
      </c>
      <c r="AY9" s="15" t="str">
        <f>IFERROR(INDEX('BalSht Data'!H$1129:H$2999,MATCH(A9,IF('BalSht Data'!A$1129=AY$1,'BalSht Data'!G$1129:G$2999),0)),"")</f>
        <v/>
      </c>
      <c r="AZ9" s="15" t="str">
        <f>IFERROR(INDEX('BalSht Data'!H$1152:H$2999,MATCH(A9,IF('BalSht Data'!A$1152=AZ$1,'BalSht Data'!G$1152:G$2999),0)),"")</f>
        <v/>
      </c>
      <c r="BA9" s="15" t="str">
        <f>IFERROR(INDEX('BalSht Data'!H$1175:H$2999,MATCH(A9,IF('BalSht Data'!A$1175=BA$1,'BalSht Data'!G$1175:G$2999),0)),"")</f>
        <v/>
      </c>
      <c r="BB9" s="15" t="str">
        <f>IFERROR(INDEX('BalSht Data'!H$1198:H$2999,MATCH(A9,IF('BalSht Data'!A$1198=BB$1,'BalSht Data'!G$1198:G$2999),0)),"")</f>
        <v/>
      </c>
      <c r="BC9" s="15" t="str">
        <f>IFERROR(INDEX('BalSht Data'!H$1221:H$2999,MATCH(A9,IF('BalSht Data'!A$1221=BC$1,'BalSht Data'!G$1221:G$2999),0)),"")</f>
        <v/>
      </c>
      <c r="BD9" s="15" t="str">
        <f>IFERROR(INDEX('BalSht Data'!H$1244:H$2999,MATCH(A9,IF('BalSht Data'!A$1244=BD$1,'BalSht Data'!G$1244:G$2999),0)),"")</f>
        <v/>
      </c>
      <c r="BE9" s="15" t="str">
        <f>IFERROR(INDEX('BalSht Data'!H$1267:H$2999,MATCH(A9,IF('BalSht Data'!A$1267=BE$1,'BalSht Data'!G$1267:G$2999),0)),"")</f>
        <v/>
      </c>
      <c r="BF9" s="15"/>
    </row>
    <row r="10" spans="1:104" x14ac:dyDescent="0.2">
      <c r="A10" s="5" t="s">
        <v>17</v>
      </c>
      <c r="B10" s="15" t="str">
        <f>IFERROR(INDEX('BalSht Data'!H$2:H$2999,MATCH(A10,IF('BalSht Data'!A$2=B$1,'BalSht Data'!G$2:G$2999),0)),"")</f>
        <v/>
      </c>
      <c r="C10" s="15" t="str">
        <f>IFERROR(INDEX('BalSht Data'!H$25:H$2999,MATCH(A10,IF('BalSht Data'!A$25=C$1,'BalSht Data'!G$2:G$2999),0)),"")</f>
        <v/>
      </c>
      <c r="D10" s="15" t="str">
        <f>IFERROR(INDEX('BalSht Data'!H$48:H$2999,MATCH(A10,IF('BalSht Data'!A$48=D$1,'BalSht Data'!G$48:G$2999),0)),"")</f>
        <v/>
      </c>
      <c r="E10" s="15" t="str">
        <f>IFERROR(INDEX('BalSht Data'!H$71:H$2999,MATCH(A10,IF('BalSht Data'!A$71=E$1,'BalSht Data'!G$71:G$2999),0)),"")</f>
        <v/>
      </c>
      <c r="F10" s="15" t="str">
        <f>IFERROR(INDEX('BalSht Data'!H$94:H$2999,MATCH(A10,IF('BalSht Data'!A$94=F$1,'BalSht Data'!G$94:G$2999),0)),"")</f>
        <v/>
      </c>
      <c r="G10" s="15" t="str">
        <f>IFERROR(INDEX('BalSht Data'!H$117:H$2999,MATCH(A10,IF('BalSht Data'!A$117=G$1,'BalSht Data'!G$117:G$2999),0)),"")</f>
        <v/>
      </c>
      <c r="H10" s="15" t="str">
        <f>IFERROR(INDEX('BalSht Data'!H$140:H$2999,MATCH(A10,IF('BalSht Data'!A$140=H$1,'BalSht Data'!G$140:G$2999),0)),"")</f>
        <v/>
      </c>
      <c r="I10" s="15" t="str">
        <f>IFERROR(INDEX('BalSht Data'!H$163:H$2999,MATCH(A10,IF('BalSht Data'!A$163=I$1,'BalSht Data'!G$163:G$2999),0)),"")</f>
        <v/>
      </c>
      <c r="J10" s="15" t="str">
        <f>IFERROR(INDEX('BalSht Data'!H$186:H$2999,MATCH(A10,IF('BalSht Data'!A$186=J$1,'BalSht Data'!G$186:G$2999),0)),"")</f>
        <v/>
      </c>
      <c r="K10" s="15" t="str">
        <f>IFERROR(INDEX('BalSht Data'!H$209:H$2999,MATCH(A10,IF('BalSht Data'!A$209=K$1,'BalSht Data'!G$209:G$2999),0)),"")</f>
        <v/>
      </c>
      <c r="L10" s="15" t="str">
        <f>IFERROR(INDEX('BalSht Data'!H$232:H$2999,MATCH(A10,IF('BalSht Data'!A$232=L$1,'BalSht Data'!G$232:G$2999),0)),"")</f>
        <v/>
      </c>
      <c r="M10" s="15" t="str">
        <f>IFERROR(INDEX('BalSht Data'!H$255:H$2999,MATCH(A10,IF('BalSht Data'!A$255=M$1,'BalSht Data'!G$255:G$2999),0)),"")</f>
        <v/>
      </c>
      <c r="N10" s="15" t="str">
        <f>IFERROR(INDEX('BalSht Data'!H$278:H$2999,MATCH(A10,IF('BalSht Data'!A$278=N$1,'BalSht Data'!G$278:G$2999),0)),"")</f>
        <v/>
      </c>
      <c r="O10" s="15" t="str">
        <f>IFERROR(INDEX('BalSht Data'!H$301:H$2999,MATCH(A10,IF('BalSht Data'!A$301=O$1,'BalSht Data'!G$301:G$2999),0)),"")</f>
        <v/>
      </c>
      <c r="P10" s="15" t="str">
        <f>IFERROR(INDEX('BalSht Data'!H$324:H$2999,MATCH(A10,IF('BalSht Data'!A$324=P$1,'BalSht Data'!G$324:G$2999),0)),"")</f>
        <v/>
      </c>
      <c r="Q10" s="15" t="str">
        <f>IFERROR(INDEX('BalSht Data'!H$347:H$2999,MATCH(A10,IF('BalSht Data'!A$347=Q$1,'BalSht Data'!G$347:G$2999),0)),"")</f>
        <v/>
      </c>
      <c r="R10" s="15" t="str">
        <f>IFERROR(INDEX('BalSht Data'!H$370:H$2999,MATCH(A10,IF('BalSht Data'!A$370=R$1,'BalSht Data'!G$370:G$2999),0)),"")</f>
        <v/>
      </c>
      <c r="S10" s="15" t="str">
        <f>IFERROR(INDEX('BalSht Data'!H$393:H$2999,MATCH(A10,IF('BalSht Data'!A$393=S$1,'BalSht Data'!G$393:G$2999),0)),"")</f>
        <v/>
      </c>
      <c r="T10" s="15" t="str">
        <f>IFERROR(INDEX('BalSht Data'!H$416:H$2999,MATCH(A10,IF('BalSht Data'!A$416=T$1,'BalSht Data'!G$416:G$2999),0)),"")</f>
        <v/>
      </c>
      <c r="U10" s="15" t="str">
        <f>IFERROR(INDEX('BalSht Data'!H$439:H$2999,MATCH(A10,IF('BalSht Data'!A$439=U$1,'BalSht Data'!G$439:G$2999),0)),"")</f>
        <v/>
      </c>
      <c r="V10" s="15" t="str">
        <f>IFERROR(INDEX('BalSht Data'!H$462:H$2999,MATCH(A10,IF('BalSht Data'!A$462=V$1,'BalSht Data'!G$462:G$2999),0)),"")</f>
        <v/>
      </c>
      <c r="W10" s="15" t="str">
        <f>IFERROR(INDEX('BalSht Data'!H$485:H$2999,MATCH(A10,IF('BalSht Data'!A$485=W$1,'BalSht Data'!G$485:G$2999),0)),"")</f>
        <v/>
      </c>
      <c r="X10" s="15" t="str">
        <f>IFERROR(INDEX('BalSht Data'!H$508:H$2999,MATCH(A10,IF('BalSht Data'!A$508=X$1,'BalSht Data'!G$508:G$2999),0)),"")</f>
        <v/>
      </c>
      <c r="Y10" s="15" t="str">
        <f>IFERROR(INDEX('BalSht Data'!H$531:H$2999,MATCH(A10,IF('BalSht Data'!A$531=Y$1,'BalSht Data'!G$531:G$2999),0)),"")</f>
        <v/>
      </c>
      <c r="Z10" s="15" t="str">
        <f>IFERROR(INDEX('BalSht Data'!H$554:H$2999,MATCH(A10,IF('BalSht Data'!A$554=Z$1,'BalSht Data'!G$554:G$2999),0)),"")</f>
        <v/>
      </c>
      <c r="AA10" s="15" t="str">
        <f>IFERROR(INDEX('BalSht Data'!H$577:H$2999,MATCH(A10,IF('BalSht Data'!A$577=AA$1,'BalSht Data'!G$577:G$2999),0)),"")</f>
        <v/>
      </c>
      <c r="AB10" s="15" t="str">
        <f>IFERROR(INDEX('BalSht Data'!H$600:H$2999,MATCH(A10,IF('BalSht Data'!A$600=AB$1,'BalSht Data'!G$600:G$2999),0)),"")</f>
        <v/>
      </c>
      <c r="AC10" s="15" t="str">
        <f>IFERROR(INDEX('BalSht Data'!H$623:H$2999,MATCH(A10,IF('BalSht Data'!A$623=AC$1,'BalSht Data'!G$623:G$2999),0)),"")</f>
        <v/>
      </c>
      <c r="AD10" s="15" t="str">
        <f>IFERROR(INDEX('BalSht Data'!H$646:H$2999,MATCH(A10,IF('BalSht Data'!A$646=AD$1,'BalSht Data'!G$646:G$2999),0)),"")</f>
        <v/>
      </c>
      <c r="AE10" s="15" t="str">
        <f>IFERROR(INDEX('BalSht Data'!H$669:H$2999,MATCH(A10,IF('BalSht Data'!A$669=AE$1,'BalSht Data'!G$669:G$2999),0)),"")</f>
        <v/>
      </c>
      <c r="AF10" s="15" t="str">
        <f>IFERROR(INDEX('BalSht Data'!H$692:H$2999,MATCH(A10,IF('BalSht Data'!A$692=AF$1,'BalSht Data'!G$692:G$2999),0)),"")</f>
        <v/>
      </c>
      <c r="AG10" s="15" t="str">
        <f>IFERROR(INDEX('BalSht Data'!H$715:H$2999,MATCH(A10,IF('BalSht Data'!A$715=AG$1,'BalSht Data'!G$715:G$2999),0)),"")</f>
        <v/>
      </c>
      <c r="AH10" s="15" t="str">
        <f>IFERROR(INDEX('BalSht Data'!H$738:H$2999,MATCH(A10,IF('BalSht Data'!A$738=AH$1,'BalSht Data'!G$738:G$2999),0)),"")</f>
        <v/>
      </c>
      <c r="AI10" s="15" t="str">
        <f>IFERROR(INDEX('BalSht Data'!H$761:H$2999,MATCH(A10,IF('BalSht Data'!A$761=AI$1,'BalSht Data'!G$761:G$2999),0)),"")</f>
        <v/>
      </c>
      <c r="AJ10" s="15" t="str">
        <f>IFERROR(INDEX('BalSht Data'!H$784:H$2999,MATCH(A10,IF('BalSht Data'!A$784=AJ$1,'BalSht Data'!G$784:G$2999),0)),"")</f>
        <v/>
      </c>
      <c r="AK10" s="15" t="str">
        <f>IFERROR(INDEX('BalSht Data'!H$807:H$2999,MATCH(A10,IF('BalSht Data'!A$807=AK$1,'BalSht Data'!G$807:G$2999),0)),"")</f>
        <v/>
      </c>
      <c r="AL10" s="15" t="str">
        <f>IFERROR(INDEX('BalSht Data'!H$830:H$2999,MATCH(A10,IF('BalSht Data'!A$830=AL$1,'BalSht Data'!G$830:G$2999),0)),"")</f>
        <v/>
      </c>
      <c r="AM10" s="15" t="str">
        <f>IFERROR(INDEX('BalSht Data'!H$853:H$2999,MATCH(A10,IF('BalSht Data'!A$853=AM$1,'BalSht Data'!G$853:G$2999),0)),"")</f>
        <v/>
      </c>
      <c r="AN10" s="15" t="str">
        <f>IFERROR(INDEX('BalSht Data'!H$876:H$2999,MATCH(A10,IF('BalSht Data'!A$876=AN$1,'BalSht Data'!G$876:G$2999),0)),"")</f>
        <v/>
      </c>
      <c r="AO10" s="15" t="str">
        <f>IFERROR(INDEX('BalSht Data'!H$899:H$2999,MATCH(A10,IF('BalSht Data'!A$899=AO$1,'BalSht Data'!G$899:G$2999),0)),"")</f>
        <v/>
      </c>
      <c r="AP10" s="15" t="str">
        <f>IFERROR(INDEX('BalSht Data'!H$922:H$2999,MATCH(A10,IF('BalSht Data'!A$922=AP$1,'BalSht Data'!G$922:G$2999),0)),"")</f>
        <v/>
      </c>
      <c r="AQ10" s="15" t="str">
        <f>IFERROR(INDEX('BalSht Data'!H$945:H$2999,MATCH(A10,IF('BalSht Data'!A$945=AQ$1,'BalSht Data'!G$945:G$2999),0)),"")</f>
        <v/>
      </c>
      <c r="AR10" s="15" t="str">
        <f>IFERROR(INDEX('BalSht Data'!H$968:H$2999,MATCH(A10,IF('BalSht Data'!A$968=AR$1,'BalSht Data'!G$968:G$2999),0)),"")</f>
        <v/>
      </c>
      <c r="AS10" s="15" t="str">
        <f>IFERROR(INDEX('BalSht Data'!H$991:H$2999,MATCH(A10,IF('BalSht Data'!A$991=AS$1,'BalSht Data'!G$991:G$2999),0)),"")</f>
        <v/>
      </c>
      <c r="AT10" s="15" t="str">
        <f>IFERROR(INDEX('BalSht Data'!H$1014:H$2999,MATCH(A10,IF('BalSht Data'!A$1014=AT$1,'BalSht Data'!G$1014:G$2999),0)),"")</f>
        <v/>
      </c>
      <c r="AU10" s="15" t="str">
        <f>IFERROR(INDEX('BalSht Data'!H$1037:H$2999,MATCH(A10,IF('BalSht Data'!A$1037=AU$1,'BalSht Data'!G$1037:G$2999),0)),"")</f>
        <v/>
      </c>
      <c r="AV10" s="15" t="str">
        <f>IFERROR(INDEX('BalSht Data'!H$1060:H$2999,MATCH(A10,IF('BalSht Data'!A$1060=AV$1,'BalSht Data'!G$1060:G$2999),0)),"")</f>
        <v/>
      </c>
      <c r="AW10" s="15" t="str">
        <f>IFERROR(INDEX('BalSht Data'!H$1083:H$2999,MATCH(A10,IF('BalSht Data'!A$1083=AW$1,'BalSht Data'!G$1083:G$2999),0)),"")</f>
        <v/>
      </c>
      <c r="AX10" s="15" t="str">
        <f>IFERROR(INDEX('BalSht Data'!H$1106:H$2999,MATCH(A10,IF('BalSht Data'!A$1106=AX$1,'BalSht Data'!G$1106:G$2999),0)),"")</f>
        <v/>
      </c>
      <c r="AY10" s="15" t="str">
        <f>IFERROR(INDEX('BalSht Data'!H$1129:H$2999,MATCH(A10,IF('BalSht Data'!A$1129=AY$1,'BalSht Data'!G$1129:G$2999),0)),"")</f>
        <v/>
      </c>
      <c r="AZ10" s="15" t="str">
        <f>IFERROR(INDEX('BalSht Data'!H$1152:H$2999,MATCH(A10,IF('BalSht Data'!A$1152=AZ$1,'BalSht Data'!G$1152:G$2999),0)),"")</f>
        <v/>
      </c>
      <c r="BA10" s="15" t="str">
        <f>IFERROR(INDEX('BalSht Data'!H$1175:H$2999,MATCH(A10,IF('BalSht Data'!A$1175=BA$1,'BalSht Data'!G$1175:G$2999),0)),"")</f>
        <v/>
      </c>
      <c r="BB10" s="15" t="str">
        <f>IFERROR(INDEX('BalSht Data'!H$1198:H$2999,MATCH(A10,IF('BalSht Data'!A$1198=BB$1,'BalSht Data'!G$1198:G$2999),0)),"")</f>
        <v/>
      </c>
      <c r="BC10" s="15" t="str">
        <f>IFERROR(INDEX('BalSht Data'!H$1221:H$2999,MATCH(A10,IF('BalSht Data'!A$1221=BC$1,'BalSht Data'!G$1221:G$2999),0)),"")</f>
        <v/>
      </c>
      <c r="BD10" s="15" t="str">
        <f>IFERROR(INDEX('BalSht Data'!H$1244:H$2999,MATCH(A10,IF('BalSht Data'!A$1244=BD$1,'BalSht Data'!G$1244:G$2999),0)),"")</f>
        <v/>
      </c>
      <c r="BE10" s="15" t="str">
        <f>IFERROR(INDEX('BalSht Data'!H$1267:H$2999,MATCH(A10,IF('BalSht Data'!A$1267=BE$1,'BalSht Data'!G$1267:G$2999),0)),"")</f>
        <v/>
      </c>
      <c r="BF10" s="15"/>
    </row>
    <row r="11" spans="1:104" x14ac:dyDescent="0.2"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</row>
    <row r="12" spans="1:104" x14ac:dyDescent="0.2">
      <c r="A12" s="4" t="s">
        <v>19</v>
      </c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  <c r="BF12" s="15"/>
    </row>
    <row r="13" spans="1:104" x14ac:dyDescent="0.2"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</row>
    <row r="14" spans="1:104" x14ac:dyDescent="0.2">
      <c r="A14" s="5" t="s">
        <v>20</v>
      </c>
      <c r="B14" s="15" t="str">
        <f>IFERROR(INDEX('BalSht Data'!H$2:H$2999,MATCH(A14,IF('BalSht Data'!A$2=B$1,'BalSht Data'!G$2:G$2999),0)),"")</f>
        <v/>
      </c>
      <c r="C14" s="15" t="str">
        <f>IFERROR(INDEX('BalSht Data'!H$25:H$2999,MATCH(A14,IF('BalSht Data'!A$25=C$1,'BalSht Data'!G$2:G$2999),0)),"")</f>
        <v/>
      </c>
      <c r="D14" s="15" t="str">
        <f>IFERROR(INDEX('BalSht Data'!H$48:H$2999,MATCH(A14,IF('BalSht Data'!A$48=D$1,'BalSht Data'!G$48:G$2999),0)),"")</f>
        <v/>
      </c>
      <c r="E14" s="15" t="str">
        <f>IFERROR(INDEX('BalSht Data'!H$71:H$2999,MATCH(A14,IF('BalSht Data'!A$71=E$1,'BalSht Data'!G$71:G$2999),0)),"")</f>
        <v/>
      </c>
      <c r="F14" s="15" t="str">
        <f>IFERROR(INDEX('BalSht Data'!H$94:H$2999,MATCH(A14,IF('BalSht Data'!A$94=F$1,'BalSht Data'!G$94:G$2999),0)),"")</f>
        <v/>
      </c>
      <c r="G14" s="15" t="str">
        <f>IFERROR(INDEX('BalSht Data'!H$117:H$2999,MATCH(A14,IF('BalSht Data'!A$117=G$1,'BalSht Data'!G$117:G$2999),0)),"")</f>
        <v/>
      </c>
      <c r="H14" s="15" t="str">
        <f>IFERROR(INDEX('BalSht Data'!H$140:H$2999,MATCH(A14,IF('BalSht Data'!A$140=H$1,'BalSht Data'!G$140:G$2999),0)),"")</f>
        <v/>
      </c>
      <c r="I14" s="15" t="str">
        <f>IFERROR(INDEX('BalSht Data'!H$163:H$2999,MATCH(A14,IF('BalSht Data'!A$163=I$1,'BalSht Data'!G$163:G$2999),0)),"")</f>
        <v/>
      </c>
      <c r="J14" s="15" t="str">
        <f>IFERROR(INDEX('BalSht Data'!H$186:H$2999,MATCH(A14,IF('BalSht Data'!A$186=J$1,'BalSht Data'!G$186:G$2999),0)),"")</f>
        <v/>
      </c>
      <c r="K14" s="15" t="str">
        <f>IFERROR(INDEX('BalSht Data'!H$209:H$2999,MATCH(A14,IF('BalSht Data'!A$209=K$1,'BalSht Data'!G$209:G$2999),0)),"")</f>
        <v/>
      </c>
      <c r="L14" s="15" t="str">
        <f>IFERROR(INDEX('BalSht Data'!H$232:H$2999,MATCH(A14,IF('BalSht Data'!A$232=L$1,'BalSht Data'!G$232:G$2999),0)),"")</f>
        <v/>
      </c>
      <c r="M14" s="15" t="str">
        <f>IFERROR(INDEX('BalSht Data'!H$255:H$2999,MATCH(A14,IF('BalSht Data'!A$255=M$1,'BalSht Data'!G$255:G$2999),0)),"")</f>
        <v/>
      </c>
      <c r="N14" s="15" t="str">
        <f>IFERROR(INDEX('BalSht Data'!H$278:H$2999,MATCH(A14,IF('BalSht Data'!A$278=N$1,'BalSht Data'!G$278:G$2999),0)),"")</f>
        <v/>
      </c>
      <c r="O14" s="15" t="str">
        <f>IFERROR(INDEX('BalSht Data'!H$301:H$2999,MATCH(A14,IF('BalSht Data'!A$301=O$1,'BalSht Data'!G$301:G$2999),0)),"")</f>
        <v/>
      </c>
      <c r="P14" s="15" t="str">
        <f>IFERROR(INDEX('BalSht Data'!H$324:H$2999,MATCH(A14,IF('BalSht Data'!A$324=P$1,'BalSht Data'!G$324:G$2999),0)),"")</f>
        <v/>
      </c>
      <c r="Q14" s="15" t="str">
        <f>IFERROR(INDEX('BalSht Data'!H$347:H$2999,MATCH(A14,IF('BalSht Data'!A$347=Q$1,'BalSht Data'!G$347:G$2999),0)),"")</f>
        <v/>
      </c>
      <c r="R14" s="15" t="str">
        <f>IFERROR(INDEX('BalSht Data'!H$370:H$2999,MATCH(A14,IF('BalSht Data'!A$370=R$1,'BalSht Data'!G$370:G$2999),0)),"")</f>
        <v/>
      </c>
      <c r="S14" s="15" t="str">
        <f>IFERROR(INDEX('BalSht Data'!H$393:H$2999,MATCH(A14,IF('BalSht Data'!A$393=S$1,'BalSht Data'!G$393:G$2999),0)),"")</f>
        <v/>
      </c>
      <c r="T14" s="15" t="str">
        <f>IFERROR(INDEX('BalSht Data'!H$416:H$2999,MATCH(A14,IF('BalSht Data'!A$416=T$1,'BalSht Data'!G$416:G$2999),0)),"")</f>
        <v/>
      </c>
      <c r="U14" s="15" t="str">
        <f>IFERROR(INDEX('BalSht Data'!H$439:H$2999,MATCH(A14,IF('BalSht Data'!A$439=U$1,'BalSht Data'!G$439:G$2999),0)),"")</f>
        <v/>
      </c>
      <c r="V14" s="15" t="str">
        <f>IFERROR(INDEX('BalSht Data'!H$462:H$2999,MATCH(A14,IF('BalSht Data'!A$462=V$1,'BalSht Data'!G$462:G$2999),0)),"")</f>
        <v/>
      </c>
      <c r="W14" s="15" t="str">
        <f>IFERROR(INDEX('BalSht Data'!H$485:H$2999,MATCH(A14,IF('BalSht Data'!A$485=W$1,'BalSht Data'!G$485:G$2999),0)),"")</f>
        <v/>
      </c>
      <c r="X14" s="15" t="str">
        <f>IFERROR(INDEX('BalSht Data'!H$508:H$2999,MATCH(A14,IF('BalSht Data'!A$508=X$1,'BalSht Data'!G$508:G$2999),0)),"")</f>
        <v/>
      </c>
      <c r="Y14" s="15" t="str">
        <f>IFERROR(INDEX('BalSht Data'!H$531:H$2999,MATCH(A14,IF('BalSht Data'!A$531=Y$1,'BalSht Data'!G$531:G$2999),0)),"")</f>
        <v/>
      </c>
      <c r="Z14" s="15" t="str">
        <f>IFERROR(INDEX('BalSht Data'!H$554:H$2999,MATCH(A14,IF('BalSht Data'!A$554=Z$1,'BalSht Data'!G$554:G$2999),0)),"")</f>
        <v/>
      </c>
      <c r="AA14" s="15" t="str">
        <f>IFERROR(INDEX('BalSht Data'!H$577:H$2999,MATCH(A14,IF('BalSht Data'!A$577=AA$1,'BalSht Data'!G$577:G$2999),0)),"")</f>
        <v/>
      </c>
      <c r="AB14" s="15" t="str">
        <f>IFERROR(INDEX('BalSht Data'!H$600:H$2999,MATCH(A14,IF('BalSht Data'!A$600=AB$1,'BalSht Data'!G$600:G$2999),0)),"")</f>
        <v/>
      </c>
      <c r="AC14" s="15" t="str">
        <f>IFERROR(INDEX('BalSht Data'!H$623:H$2999,MATCH(A14,IF('BalSht Data'!A$623=AC$1,'BalSht Data'!G$623:G$2999),0)),"")</f>
        <v/>
      </c>
      <c r="AD14" s="15" t="str">
        <f>IFERROR(INDEX('BalSht Data'!H$646:H$2999,MATCH(A14,IF('BalSht Data'!A$646=AD$1,'BalSht Data'!G$646:G$2999),0)),"")</f>
        <v/>
      </c>
      <c r="AE14" s="15" t="str">
        <f>IFERROR(INDEX('BalSht Data'!H$669:H$2999,MATCH(A14,IF('BalSht Data'!A$669=AE$1,'BalSht Data'!G$669:G$2999),0)),"")</f>
        <v/>
      </c>
      <c r="AF14" s="15" t="str">
        <f>IFERROR(INDEX('BalSht Data'!H$692:H$2999,MATCH(A14,IF('BalSht Data'!A$692=AF$1,'BalSht Data'!G$692:G$2999),0)),"")</f>
        <v/>
      </c>
      <c r="AG14" s="15" t="str">
        <f>IFERROR(INDEX('BalSht Data'!H$715:H$2999,MATCH(A14,IF('BalSht Data'!A$715=AG$1,'BalSht Data'!G$715:G$2999),0)),"")</f>
        <v/>
      </c>
      <c r="AH14" s="15" t="str">
        <f>IFERROR(INDEX('BalSht Data'!H$738:H$2999,MATCH(A14,IF('BalSht Data'!A$738=AH$1,'BalSht Data'!G$738:G$2999),0)),"")</f>
        <v/>
      </c>
      <c r="AI14" s="15" t="str">
        <f>IFERROR(INDEX('BalSht Data'!H$761:H$2999,MATCH(A14,IF('BalSht Data'!A$761=AI$1,'BalSht Data'!G$761:G$2999),0)),"")</f>
        <v/>
      </c>
      <c r="AJ14" s="15" t="str">
        <f>IFERROR(INDEX('BalSht Data'!H$784:H$2999,MATCH(A14,IF('BalSht Data'!A$784=AJ$1,'BalSht Data'!G$784:G$2999),0)),"")</f>
        <v/>
      </c>
      <c r="AK14" s="15" t="str">
        <f>IFERROR(INDEX('BalSht Data'!H$807:H$2999,MATCH(A14,IF('BalSht Data'!A$807=AK$1,'BalSht Data'!G$807:G$2999),0)),"")</f>
        <v/>
      </c>
      <c r="AL14" s="15" t="str">
        <f>IFERROR(INDEX('BalSht Data'!H$830:H$2999,MATCH(A14,IF('BalSht Data'!A$830=AL$1,'BalSht Data'!G$830:G$2999),0)),"")</f>
        <v/>
      </c>
      <c r="AM14" s="15" t="str">
        <f>IFERROR(INDEX('BalSht Data'!H$853:H$2999,MATCH(A14,IF('BalSht Data'!A$853=AM$1,'BalSht Data'!G$853:G$2999),0)),"")</f>
        <v/>
      </c>
      <c r="AN14" s="15" t="str">
        <f>IFERROR(INDEX('BalSht Data'!H$876:H$2999,MATCH(A14,IF('BalSht Data'!A$876=AN$1,'BalSht Data'!G$876:G$2999),0)),"")</f>
        <v/>
      </c>
      <c r="AO14" s="15" t="str">
        <f>IFERROR(INDEX('BalSht Data'!H$899:H$2999,MATCH(A14,IF('BalSht Data'!A$899=AO$1,'BalSht Data'!G$899:G$2999),0)),"")</f>
        <v/>
      </c>
      <c r="AP14" s="15" t="str">
        <f>IFERROR(INDEX('BalSht Data'!H$922:H$2999,MATCH(A14,IF('BalSht Data'!A$922=AP$1,'BalSht Data'!G$922:G$2999),0)),"")</f>
        <v/>
      </c>
      <c r="AQ14" s="15" t="str">
        <f>IFERROR(INDEX('BalSht Data'!H$945:H$2999,MATCH(A14,IF('BalSht Data'!A$945=AQ$1,'BalSht Data'!G$945:G$2999),0)),"")</f>
        <v/>
      </c>
      <c r="AR14" s="15" t="str">
        <f>IFERROR(INDEX('BalSht Data'!H$968:H$2999,MATCH(A14,IF('BalSht Data'!A$968=AR$1,'BalSht Data'!G$968:G$2999),0)),"")</f>
        <v/>
      </c>
      <c r="AS14" s="15" t="str">
        <f>IFERROR(INDEX('BalSht Data'!H$991:H$2999,MATCH(A14,IF('BalSht Data'!A$991=AS$1,'BalSht Data'!G$991:G$2999),0)),"")</f>
        <v/>
      </c>
      <c r="AT14" s="15" t="str">
        <f>IFERROR(INDEX('BalSht Data'!H$1014:H$2999,MATCH(A14,IF('BalSht Data'!A$1014=AT$1,'BalSht Data'!G$1014:G$2999),0)),"")</f>
        <v/>
      </c>
      <c r="AU14" s="15" t="str">
        <f>IFERROR(INDEX('BalSht Data'!H$1037:H$2999,MATCH(A14,IF('BalSht Data'!A$1037=AU$1,'BalSht Data'!G$1037:G$2999),0)),"")</f>
        <v/>
      </c>
      <c r="AV14" s="15" t="str">
        <f>IFERROR(INDEX('BalSht Data'!H$1060:H$2999,MATCH(A14,IF('BalSht Data'!A$1060=AV$1,'BalSht Data'!G$1060:G$2999),0)),"")</f>
        <v/>
      </c>
      <c r="AW14" s="15" t="str">
        <f>IFERROR(INDEX('BalSht Data'!H$1083:H$2999,MATCH(A14,IF('BalSht Data'!A$1083=AW$1,'BalSht Data'!G$1083:G$2999),0)),"")</f>
        <v/>
      </c>
      <c r="AX14" s="15" t="str">
        <f>IFERROR(INDEX('BalSht Data'!H$1106:H$2999,MATCH(A14,IF('BalSht Data'!A$1106=AX$1,'BalSht Data'!G$1106:G$2999),0)),"")</f>
        <v/>
      </c>
      <c r="AY14" s="15" t="str">
        <f>IFERROR(INDEX('BalSht Data'!H$1129:H$2999,MATCH(A14,IF('BalSht Data'!A$1129=AY$1,'BalSht Data'!G$1129:G$2999),0)),"")</f>
        <v/>
      </c>
      <c r="AZ14" s="15" t="str">
        <f>IFERROR(INDEX('BalSht Data'!H$1152:H$2999,MATCH(A14,IF('BalSht Data'!A$1152=AZ$1,'BalSht Data'!G$1152:G$2999),0)),"")</f>
        <v/>
      </c>
      <c r="BA14" s="15" t="str">
        <f>IFERROR(INDEX('BalSht Data'!H$1175:H$2999,MATCH(A14,IF('BalSht Data'!A$1175=BA$1,'BalSht Data'!G$1175:G$2999),0)),"")</f>
        <v/>
      </c>
      <c r="BB14" s="15" t="str">
        <f>IFERROR(INDEX('BalSht Data'!H$1198:H$2999,MATCH(A14,IF('BalSht Data'!A$1198=BB$1,'BalSht Data'!G$1198:G$2999),0)),"")</f>
        <v/>
      </c>
      <c r="BC14" s="15" t="str">
        <f>IFERROR(INDEX('BalSht Data'!H$1221:H$2999,MATCH(A14,IF('BalSht Data'!A$1221=BC$1,'BalSht Data'!G$1221:G$2999),0)),"")</f>
        <v/>
      </c>
      <c r="BD14" s="15" t="str">
        <f>IFERROR(INDEX('BalSht Data'!H$1244:H$2999,MATCH(A14,IF('BalSht Data'!A$1244=BD$1,'BalSht Data'!G$1244:G$2999),0)),"")</f>
        <v/>
      </c>
      <c r="BE14" s="15" t="str">
        <f>IFERROR(INDEX('BalSht Data'!H$1267:H$2999,MATCH(A14,IF('BalSht Data'!A$1267=BE$1,'BalSht Data'!G$1267:G$2999),0)),"")</f>
        <v/>
      </c>
      <c r="BF14" s="15"/>
    </row>
    <row r="15" spans="1:104" x14ac:dyDescent="0.2">
      <c r="A15" s="5" t="s">
        <v>21</v>
      </c>
      <c r="B15" s="15" t="str">
        <f>IFERROR(INDEX('BalSht Data'!H$2:H$2999,MATCH(A15,IF('BalSht Data'!A$2=B$1,'BalSht Data'!G$2:G$2999),0)),"")</f>
        <v/>
      </c>
      <c r="C15" s="15" t="str">
        <f>IFERROR(INDEX('BalSht Data'!H$25:H$2999,MATCH(A15,IF('BalSht Data'!A$25=C$1,'BalSht Data'!G$2:G$2999),0)),"")</f>
        <v/>
      </c>
      <c r="D15" s="15" t="str">
        <f>IFERROR(INDEX('BalSht Data'!H$48:H$2999,MATCH(A15,IF('BalSht Data'!A$48=D$1,'BalSht Data'!G$48:G$2999),0)),"")</f>
        <v/>
      </c>
      <c r="E15" s="15" t="str">
        <f>IFERROR(INDEX('BalSht Data'!H$71:H$2999,MATCH(A15,IF('BalSht Data'!A$71=E$1,'BalSht Data'!G$71:G$2999),0)),"")</f>
        <v/>
      </c>
      <c r="F15" s="15" t="str">
        <f>IFERROR(INDEX('BalSht Data'!H$94:H$2999,MATCH(A15,IF('BalSht Data'!A$94=F$1,'BalSht Data'!G$94:G$2999),0)),"")</f>
        <v/>
      </c>
      <c r="G15" s="15" t="str">
        <f>IFERROR(INDEX('BalSht Data'!H$117:H$2999,MATCH(A15,IF('BalSht Data'!A$117=G$1,'BalSht Data'!G$117:G$2999),0)),"")</f>
        <v/>
      </c>
      <c r="H15" s="15" t="str">
        <f>IFERROR(INDEX('BalSht Data'!H$140:H$2999,MATCH(A15,IF('BalSht Data'!A$140=H$1,'BalSht Data'!G$140:G$2999),0)),"")</f>
        <v/>
      </c>
      <c r="I15" s="15" t="str">
        <f>IFERROR(INDEX('BalSht Data'!H$163:H$2999,MATCH(A15,IF('BalSht Data'!A$163=I$1,'BalSht Data'!G$163:G$2999),0)),"")</f>
        <v/>
      </c>
      <c r="J15" s="15" t="str">
        <f>IFERROR(INDEX('BalSht Data'!H$186:H$2999,MATCH(A15,IF('BalSht Data'!A$186=J$1,'BalSht Data'!G$186:G$2999),0)),"")</f>
        <v/>
      </c>
      <c r="K15" s="15" t="str">
        <f>IFERROR(INDEX('BalSht Data'!H$209:H$2999,MATCH(A15,IF('BalSht Data'!A$209=K$1,'BalSht Data'!G$209:G$2999),0)),"")</f>
        <v/>
      </c>
      <c r="L15" s="15" t="str">
        <f>IFERROR(INDEX('BalSht Data'!H$232:H$2999,MATCH(A15,IF('BalSht Data'!A$232=L$1,'BalSht Data'!G$232:G$2999),0)),"")</f>
        <v/>
      </c>
      <c r="M15" s="15" t="str">
        <f>IFERROR(INDEX('BalSht Data'!H$255:H$2999,MATCH(A15,IF('BalSht Data'!A$255=M$1,'BalSht Data'!G$255:G$2999),0)),"")</f>
        <v/>
      </c>
      <c r="N15" s="15" t="str">
        <f>IFERROR(INDEX('BalSht Data'!H$278:H$2999,MATCH(A15,IF('BalSht Data'!A$278=N$1,'BalSht Data'!G$278:G$2999),0)),"")</f>
        <v/>
      </c>
      <c r="O15" s="15" t="str">
        <f>IFERROR(INDEX('BalSht Data'!H$301:H$2999,MATCH(A15,IF('BalSht Data'!A$301=O$1,'BalSht Data'!G$301:G$2999),0)),"")</f>
        <v/>
      </c>
      <c r="P15" s="15" t="str">
        <f>IFERROR(INDEX('BalSht Data'!H$324:H$2999,MATCH(A15,IF('BalSht Data'!A$324=P$1,'BalSht Data'!G$324:G$2999),0)),"")</f>
        <v/>
      </c>
      <c r="Q15" s="15" t="str">
        <f>IFERROR(INDEX('BalSht Data'!H$347:H$2999,MATCH(A15,IF('BalSht Data'!A$347=Q$1,'BalSht Data'!G$347:G$2999),0)),"")</f>
        <v/>
      </c>
      <c r="R15" s="15" t="str">
        <f>IFERROR(INDEX('BalSht Data'!H$370:H$2999,MATCH(A15,IF('BalSht Data'!A$370=R$1,'BalSht Data'!G$370:G$2999),0)),"")</f>
        <v/>
      </c>
      <c r="S15" s="15" t="str">
        <f>IFERROR(INDEX('BalSht Data'!H$393:H$2999,MATCH(A15,IF('BalSht Data'!A$393=S$1,'BalSht Data'!G$393:G$2999),0)),"")</f>
        <v/>
      </c>
      <c r="T15" s="15" t="str">
        <f>IFERROR(INDEX('BalSht Data'!H$416:H$2999,MATCH(A15,IF('BalSht Data'!A$416=T$1,'BalSht Data'!G$416:G$2999),0)),"")</f>
        <v/>
      </c>
      <c r="U15" s="15" t="str">
        <f>IFERROR(INDEX('BalSht Data'!H$439:H$2999,MATCH(A15,IF('BalSht Data'!A$439=U$1,'BalSht Data'!G$439:G$2999),0)),"")</f>
        <v/>
      </c>
      <c r="V15" s="15" t="str">
        <f>IFERROR(INDEX('BalSht Data'!H$462:H$2999,MATCH(A15,IF('BalSht Data'!A$462=V$1,'BalSht Data'!G$462:G$2999),0)),"")</f>
        <v/>
      </c>
      <c r="W15" s="15" t="str">
        <f>IFERROR(INDEX('BalSht Data'!H$485:H$2999,MATCH(A15,IF('BalSht Data'!A$485=W$1,'BalSht Data'!G$485:G$2999),0)),"")</f>
        <v/>
      </c>
      <c r="X15" s="15" t="str">
        <f>IFERROR(INDEX('BalSht Data'!H$508:H$2999,MATCH(A15,IF('BalSht Data'!A$508=X$1,'BalSht Data'!G$508:G$2999),0)),"")</f>
        <v/>
      </c>
      <c r="Y15" s="15" t="str">
        <f>IFERROR(INDEX('BalSht Data'!H$531:H$2999,MATCH(A15,IF('BalSht Data'!A$531=Y$1,'BalSht Data'!G$531:G$2999),0)),"")</f>
        <v/>
      </c>
      <c r="Z15" s="15" t="str">
        <f>IFERROR(INDEX('BalSht Data'!H$554:H$2999,MATCH(A15,IF('BalSht Data'!A$554=Z$1,'BalSht Data'!G$554:G$2999),0)),"")</f>
        <v/>
      </c>
      <c r="AA15" s="15" t="str">
        <f>IFERROR(INDEX('BalSht Data'!H$577:H$2999,MATCH(A15,IF('BalSht Data'!A$577=AA$1,'BalSht Data'!G$577:G$2999),0)),"")</f>
        <v/>
      </c>
      <c r="AB15" s="15" t="str">
        <f>IFERROR(INDEX('BalSht Data'!H$600:H$2999,MATCH(A15,IF('BalSht Data'!A$600=AB$1,'BalSht Data'!G$600:G$2999),0)),"")</f>
        <v/>
      </c>
      <c r="AC15" s="15" t="str">
        <f>IFERROR(INDEX('BalSht Data'!H$623:H$2999,MATCH(A15,IF('BalSht Data'!A$623=AC$1,'BalSht Data'!G$623:G$2999),0)),"")</f>
        <v/>
      </c>
      <c r="AD15" s="15" t="str">
        <f>IFERROR(INDEX('BalSht Data'!H$646:H$2999,MATCH(A15,IF('BalSht Data'!A$646=AD$1,'BalSht Data'!G$646:G$2999),0)),"")</f>
        <v/>
      </c>
      <c r="AE15" s="15" t="str">
        <f>IFERROR(INDEX('BalSht Data'!H$669:H$2999,MATCH(A15,IF('BalSht Data'!A$669=AE$1,'BalSht Data'!G$669:G$2999),0)),"")</f>
        <v/>
      </c>
      <c r="AF15" s="15" t="str">
        <f>IFERROR(INDEX('BalSht Data'!H$692:H$2999,MATCH(A15,IF('BalSht Data'!A$692=AF$1,'BalSht Data'!G$692:G$2999),0)),"")</f>
        <v/>
      </c>
      <c r="AG15" s="15" t="str">
        <f>IFERROR(INDEX('BalSht Data'!H$715:H$2999,MATCH(A15,IF('BalSht Data'!A$715=AG$1,'BalSht Data'!G$715:G$2999),0)),"")</f>
        <v/>
      </c>
      <c r="AH15" s="15" t="str">
        <f>IFERROR(INDEX('BalSht Data'!H$738:H$2999,MATCH(A15,IF('BalSht Data'!A$738=AH$1,'BalSht Data'!G$738:G$2999),0)),"")</f>
        <v/>
      </c>
      <c r="AI15" s="15" t="str">
        <f>IFERROR(INDEX('BalSht Data'!H$761:H$2999,MATCH(A15,IF('BalSht Data'!A$761=AI$1,'BalSht Data'!G$761:G$2999),0)),"")</f>
        <v/>
      </c>
      <c r="AJ15" s="15" t="str">
        <f>IFERROR(INDEX('BalSht Data'!H$784:H$2999,MATCH(A15,IF('BalSht Data'!A$784=AJ$1,'BalSht Data'!G$784:G$2999),0)),"")</f>
        <v/>
      </c>
      <c r="AK15" s="15" t="str">
        <f>IFERROR(INDEX('BalSht Data'!H$807:H$2999,MATCH(A15,IF('BalSht Data'!A$807=AK$1,'BalSht Data'!G$807:G$2999),0)),"")</f>
        <v/>
      </c>
      <c r="AL15" s="15" t="str">
        <f>IFERROR(INDEX('BalSht Data'!H$830:H$2999,MATCH(A15,IF('BalSht Data'!A$830=AL$1,'BalSht Data'!G$830:G$2999),0)),"")</f>
        <v/>
      </c>
      <c r="AM15" s="15" t="str">
        <f>IFERROR(INDEX('BalSht Data'!H$853:H$2999,MATCH(A15,IF('BalSht Data'!A$853=AM$1,'BalSht Data'!G$853:G$2999),0)),"")</f>
        <v/>
      </c>
      <c r="AN15" s="15" t="str">
        <f>IFERROR(INDEX('BalSht Data'!H$876:H$2999,MATCH(A15,IF('BalSht Data'!A$876=AN$1,'BalSht Data'!G$876:G$2999),0)),"")</f>
        <v/>
      </c>
      <c r="AO15" s="15" t="str">
        <f>IFERROR(INDEX('BalSht Data'!H$899:H$2999,MATCH(A15,IF('BalSht Data'!A$899=AO$1,'BalSht Data'!G$899:G$2999),0)),"")</f>
        <v/>
      </c>
      <c r="AP15" s="15" t="str">
        <f>IFERROR(INDEX('BalSht Data'!H$922:H$2999,MATCH(A15,IF('BalSht Data'!A$922=AP$1,'BalSht Data'!G$922:G$2999),0)),"")</f>
        <v/>
      </c>
      <c r="AQ15" s="15" t="str">
        <f>IFERROR(INDEX('BalSht Data'!H$945:H$2999,MATCH(A15,IF('BalSht Data'!A$945=AQ$1,'BalSht Data'!G$945:G$2999),0)),"")</f>
        <v/>
      </c>
      <c r="AR15" s="15" t="str">
        <f>IFERROR(INDEX('BalSht Data'!H$968:H$2999,MATCH(A15,IF('BalSht Data'!A$968=AR$1,'BalSht Data'!G$968:G$2999),0)),"")</f>
        <v/>
      </c>
      <c r="AS15" s="15" t="str">
        <f>IFERROR(INDEX('BalSht Data'!H$991:H$2999,MATCH(A15,IF('BalSht Data'!A$991=AS$1,'BalSht Data'!G$991:G$2999),0)),"")</f>
        <v/>
      </c>
      <c r="AT15" s="15" t="str">
        <f>IFERROR(INDEX('BalSht Data'!H$1014:H$2999,MATCH(A15,IF('BalSht Data'!A$1014=AT$1,'BalSht Data'!G$1014:G$2999),0)),"")</f>
        <v/>
      </c>
      <c r="AU15" s="15" t="str">
        <f>IFERROR(INDEX('BalSht Data'!H$1037:H$2999,MATCH(A15,IF('BalSht Data'!A$1037=AU$1,'BalSht Data'!G$1037:G$2999),0)),"")</f>
        <v/>
      </c>
      <c r="AV15" s="15" t="str">
        <f>IFERROR(INDEX('BalSht Data'!H$1060:H$2999,MATCH(A15,IF('BalSht Data'!A$1060=AV$1,'BalSht Data'!G$1060:G$2999),0)),"")</f>
        <v/>
      </c>
      <c r="AW15" s="15" t="str">
        <f>IFERROR(INDEX('BalSht Data'!H$1083:H$2999,MATCH(A15,IF('BalSht Data'!A$1083=AW$1,'BalSht Data'!G$1083:G$2999),0)),"")</f>
        <v/>
      </c>
      <c r="AX15" s="15" t="str">
        <f>IFERROR(INDEX('BalSht Data'!H$1106:H$2999,MATCH(A15,IF('BalSht Data'!A$1106=AX$1,'BalSht Data'!G$1106:G$2999),0)),"")</f>
        <v/>
      </c>
      <c r="AY15" s="15" t="str">
        <f>IFERROR(INDEX('BalSht Data'!H$1129:H$2999,MATCH(A15,IF('BalSht Data'!A$1129=AY$1,'BalSht Data'!G$1129:G$2999),0)),"")</f>
        <v/>
      </c>
      <c r="AZ15" s="15" t="str">
        <f>IFERROR(INDEX('BalSht Data'!H$1152:H$2999,MATCH(A15,IF('BalSht Data'!A$1152=AZ$1,'BalSht Data'!G$1152:G$2999),0)),"")</f>
        <v/>
      </c>
      <c r="BA15" s="15" t="str">
        <f>IFERROR(INDEX('BalSht Data'!H$1175:H$2999,MATCH(A15,IF('BalSht Data'!A$1175=BA$1,'BalSht Data'!G$1175:G$2999),0)),"")</f>
        <v/>
      </c>
      <c r="BB15" s="15" t="str">
        <f>IFERROR(INDEX('BalSht Data'!H$1198:H$2999,MATCH(A15,IF('BalSht Data'!A$1198=BB$1,'BalSht Data'!G$1198:G$2999),0)),"")</f>
        <v/>
      </c>
      <c r="BC15" s="15" t="str">
        <f>IFERROR(INDEX('BalSht Data'!H$1221:H$2999,MATCH(A15,IF('BalSht Data'!A$1221=BC$1,'BalSht Data'!G$1221:G$2999),0)),"")</f>
        <v/>
      </c>
      <c r="BD15" s="15" t="str">
        <f>IFERROR(INDEX('BalSht Data'!H$1244:H$2999,MATCH(A15,IF('BalSht Data'!A$1244=BD$1,'BalSht Data'!G$1244:G$2999),0)),"")</f>
        <v/>
      </c>
      <c r="BE15" s="15" t="str">
        <f>IFERROR(INDEX('BalSht Data'!H$1267:H$2999,MATCH(A15,IF('BalSht Data'!A$1267=BE$1,'BalSht Data'!G$1267:G$2999),0)),"")</f>
        <v/>
      </c>
      <c r="BF15" s="15"/>
    </row>
    <row r="16" spans="1:104" x14ac:dyDescent="0.2">
      <c r="A16" s="5" t="s">
        <v>22</v>
      </c>
      <c r="B16" s="15" t="str">
        <f>IFERROR(INDEX('BalSht Data'!H$2:H$2999,MATCH(A16,IF('BalSht Data'!A$2=B$1,'BalSht Data'!G$2:G$2999),0)),"")</f>
        <v/>
      </c>
      <c r="C16" s="15" t="str">
        <f>IFERROR(INDEX('BalSht Data'!H$25:H$2999,MATCH(A16,IF('BalSht Data'!A$25=C$1,'BalSht Data'!G$2:G$2999),0)),"")</f>
        <v/>
      </c>
      <c r="D16" s="15" t="str">
        <f>IFERROR(INDEX('BalSht Data'!H$48:H$2999,MATCH(A16,IF('BalSht Data'!A$48=D$1,'BalSht Data'!G$48:G$2999),0)),"")</f>
        <v/>
      </c>
      <c r="E16" s="15" t="str">
        <f>IFERROR(INDEX('BalSht Data'!H$71:H$2999,MATCH(A16,IF('BalSht Data'!A$71=E$1,'BalSht Data'!G$71:G$2999),0)),"")</f>
        <v/>
      </c>
      <c r="F16" s="15" t="str">
        <f>IFERROR(INDEX('BalSht Data'!H$94:H$2999,MATCH(A16,IF('BalSht Data'!A$94=F$1,'BalSht Data'!G$94:G$2999),0)),"")</f>
        <v/>
      </c>
      <c r="G16" s="15" t="str">
        <f>IFERROR(INDEX('BalSht Data'!H$117:H$2999,MATCH(A16,IF('BalSht Data'!A$117=G$1,'BalSht Data'!G$117:G$2999),0)),"")</f>
        <v/>
      </c>
      <c r="H16" s="15" t="str">
        <f>IFERROR(INDEX('BalSht Data'!H$140:H$2999,MATCH(A16,IF('BalSht Data'!A$140=H$1,'BalSht Data'!G$140:G$2999),0)),"")</f>
        <v/>
      </c>
      <c r="I16" s="15" t="str">
        <f>IFERROR(INDEX('BalSht Data'!H$163:H$2999,MATCH(A16,IF('BalSht Data'!A$163=I$1,'BalSht Data'!G$163:G$2999),0)),"")</f>
        <v/>
      </c>
      <c r="J16" s="15" t="str">
        <f>IFERROR(INDEX('BalSht Data'!H$186:H$2999,MATCH(A16,IF('BalSht Data'!A$186=J$1,'BalSht Data'!G$186:G$2999),0)),"")</f>
        <v/>
      </c>
      <c r="K16" s="15" t="str">
        <f>IFERROR(INDEX('BalSht Data'!H$209:H$2999,MATCH(A16,IF('BalSht Data'!A$209=K$1,'BalSht Data'!G$209:G$2999),0)),"")</f>
        <v/>
      </c>
      <c r="L16" s="15" t="str">
        <f>IFERROR(INDEX('BalSht Data'!H$232:H$2999,MATCH(A16,IF('BalSht Data'!A$232=L$1,'BalSht Data'!G$232:G$2999),0)),"")</f>
        <v/>
      </c>
      <c r="M16" s="15" t="str">
        <f>IFERROR(INDEX('BalSht Data'!H$255:H$2999,MATCH(A16,IF('BalSht Data'!A$255=M$1,'BalSht Data'!G$255:G$2999),0)),"")</f>
        <v/>
      </c>
      <c r="N16" s="15" t="str">
        <f>IFERROR(INDEX('BalSht Data'!H$278:H$2999,MATCH(A16,IF('BalSht Data'!A$278=N$1,'BalSht Data'!G$278:G$2999),0)),"")</f>
        <v/>
      </c>
      <c r="O16" s="15" t="str">
        <f>IFERROR(INDEX('BalSht Data'!H$301:H$2999,MATCH(A16,IF('BalSht Data'!A$301=O$1,'BalSht Data'!G$301:G$2999),0)),"")</f>
        <v/>
      </c>
      <c r="P16" s="15" t="str">
        <f>IFERROR(INDEX('BalSht Data'!H$324:H$2999,MATCH(A16,IF('BalSht Data'!A$324=P$1,'BalSht Data'!G$324:G$2999),0)),"")</f>
        <v/>
      </c>
      <c r="Q16" s="15" t="str">
        <f>IFERROR(INDEX('BalSht Data'!H$347:H$2999,MATCH(A16,IF('BalSht Data'!A$347=Q$1,'BalSht Data'!G$347:G$2999),0)),"")</f>
        <v/>
      </c>
      <c r="R16" s="15" t="str">
        <f>IFERROR(INDEX('BalSht Data'!H$370:H$2999,MATCH(A16,IF('BalSht Data'!A$370=R$1,'BalSht Data'!G$370:G$2999),0)),"")</f>
        <v/>
      </c>
      <c r="S16" s="15" t="str">
        <f>IFERROR(INDEX('BalSht Data'!H$393:H$2999,MATCH(A16,IF('BalSht Data'!A$393=S$1,'BalSht Data'!G$393:G$2999),0)),"")</f>
        <v/>
      </c>
      <c r="T16" s="15" t="str">
        <f>IFERROR(INDEX('BalSht Data'!H$416:H$2999,MATCH(A16,IF('BalSht Data'!A$416=T$1,'BalSht Data'!G$416:G$2999),0)),"")</f>
        <v/>
      </c>
      <c r="U16" s="15" t="str">
        <f>IFERROR(INDEX('BalSht Data'!H$439:H$2999,MATCH(A16,IF('BalSht Data'!A$439=U$1,'BalSht Data'!G$439:G$2999),0)),"")</f>
        <v/>
      </c>
      <c r="V16" s="15" t="str">
        <f>IFERROR(INDEX('BalSht Data'!H$462:H$2999,MATCH(A16,IF('BalSht Data'!A$462=V$1,'BalSht Data'!G$462:G$2999),0)),"")</f>
        <v/>
      </c>
      <c r="W16" s="15" t="str">
        <f>IFERROR(INDEX('BalSht Data'!H$485:H$2999,MATCH(A16,IF('BalSht Data'!A$485=W$1,'BalSht Data'!G$485:G$2999),0)),"")</f>
        <v/>
      </c>
      <c r="X16" s="15" t="str">
        <f>IFERROR(INDEX('BalSht Data'!H$508:H$2999,MATCH(A16,IF('BalSht Data'!A$508=X$1,'BalSht Data'!G$508:G$2999),0)),"")</f>
        <v/>
      </c>
      <c r="Y16" s="15" t="str">
        <f>IFERROR(INDEX('BalSht Data'!H$531:H$2999,MATCH(A16,IF('BalSht Data'!A$531=Y$1,'BalSht Data'!G$531:G$2999),0)),"")</f>
        <v/>
      </c>
      <c r="Z16" s="15" t="str">
        <f>IFERROR(INDEX('BalSht Data'!H$554:H$2999,MATCH(A16,IF('BalSht Data'!A$554=Z$1,'BalSht Data'!G$554:G$2999),0)),"")</f>
        <v/>
      </c>
      <c r="AA16" s="15" t="str">
        <f>IFERROR(INDEX('BalSht Data'!H$577:H$2999,MATCH(A16,IF('BalSht Data'!A$577=AA$1,'BalSht Data'!G$577:G$2999),0)),"")</f>
        <v/>
      </c>
      <c r="AB16" s="15" t="str">
        <f>IFERROR(INDEX('BalSht Data'!H$600:H$2999,MATCH(A16,IF('BalSht Data'!A$600=AB$1,'BalSht Data'!G$600:G$2999),0)),"")</f>
        <v/>
      </c>
      <c r="AC16" s="15" t="str">
        <f>IFERROR(INDEX('BalSht Data'!H$623:H$2999,MATCH(A16,IF('BalSht Data'!A$623=AC$1,'BalSht Data'!G$623:G$2999),0)),"")</f>
        <v/>
      </c>
      <c r="AD16" s="15" t="str">
        <f>IFERROR(INDEX('BalSht Data'!H$646:H$2999,MATCH(A16,IF('BalSht Data'!A$646=AD$1,'BalSht Data'!G$646:G$2999),0)),"")</f>
        <v/>
      </c>
      <c r="AE16" s="15" t="str">
        <f>IFERROR(INDEX('BalSht Data'!H$669:H$2999,MATCH(A16,IF('BalSht Data'!A$669=AE$1,'BalSht Data'!G$669:G$2999),0)),"")</f>
        <v/>
      </c>
      <c r="AF16" s="15" t="str">
        <f>IFERROR(INDEX('BalSht Data'!H$692:H$2999,MATCH(A16,IF('BalSht Data'!A$692=AF$1,'BalSht Data'!G$692:G$2999),0)),"")</f>
        <v/>
      </c>
      <c r="AG16" s="15" t="str">
        <f>IFERROR(INDEX('BalSht Data'!H$715:H$2999,MATCH(A16,IF('BalSht Data'!A$715=AG$1,'BalSht Data'!G$715:G$2999),0)),"")</f>
        <v/>
      </c>
      <c r="AH16" s="15" t="str">
        <f>IFERROR(INDEX('BalSht Data'!H$738:H$2999,MATCH(A16,IF('BalSht Data'!A$738=AH$1,'BalSht Data'!G$738:G$2999),0)),"")</f>
        <v/>
      </c>
      <c r="AI16" s="15" t="str">
        <f>IFERROR(INDEX('BalSht Data'!H$761:H$2999,MATCH(A16,IF('BalSht Data'!A$761=AI$1,'BalSht Data'!G$761:G$2999),0)),"")</f>
        <v/>
      </c>
      <c r="AJ16" s="15" t="str">
        <f>IFERROR(INDEX('BalSht Data'!H$784:H$2999,MATCH(A16,IF('BalSht Data'!A$784=AJ$1,'BalSht Data'!G$784:G$2999),0)),"")</f>
        <v/>
      </c>
      <c r="AK16" s="15" t="str">
        <f>IFERROR(INDEX('BalSht Data'!H$807:H$2999,MATCH(A16,IF('BalSht Data'!A$807=AK$1,'BalSht Data'!G$807:G$2999),0)),"")</f>
        <v/>
      </c>
      <c r="AL16" s="15" t="str">
        <f>IFERROR(INDEX('BalSht Data'!H$830:H$2999,MATCH(A16,IF('BalSht Data'!A$830=AL$1,'BalSht Data'!G$830:G$2999),0)),"")</f>
        <v/>
      </c>
      <c r="AM16" s="15" t="str">
        <f>IFERROR(INDEX('BalSht Data'!H$853:H$2999,MATCH(A16,IF('BalSht Data'!A$853=AM$1,'BalSht Data'!G$853:G$2999),0)),"")</f>
        <v/>
      </c>
      <c r="AN16" s="15" t="str">
        <f>IFERROR(INDEX('BalSht Data'!H$876:H$2999,MATCH(A16,IF('BalSht Data'!A$876=AN$1,'BalSht Data'!G$876:G$2999),0)),"")</f>
        <v/>
      </c>
      <c r="AO16" s="15" t="str">
        <f>IFERROR(INDEX('BalSht Data'!H$899:H$2999,MATCH(A16,IF('BalSht Data'!A$899=AO$1,'BalSht Data'!G$899:G$2999),0)),"")</f>
        <v/>
      </c>
      <c r="AP16" s="15" t="str">
        <f>IFERROR(INDEX('BalSht Data'!H$922:H$2999,MATCH(A16,IF('BalSht Data'!A$922=AP$1,'BalSht Data'!G$922:G$2999),0)),"")</f>
        <v/>
      </c>
      <c r="AQ16" s="15" t="str">
        <f>IFERROR(INDEX('BalSht Data'!H$945:H$2999,MATCH(A16,IF('BalSht Data'!A$945=AQ$1,'BalSht Data'!G$945:G$2999),0)),"")</f>
        <v/>
      </c>
      <c r="AR16" s="15" t="str">
        <f>IFERROR(INDEX('BalSht Data'!H$968:H$2999,MATCH(A16,IF('BalSht Data'!A$968=AR$1,'BalSht Data'!G$968:G$2999),0)),"")</f>
        <v/>
      </c>
      <c r="AS16" s="15" t="str">
        <f>IFERROR(INDEX('BalSht Data'!H$991:H$2999,MATCH(A16,IF('BalSht Data'!A$991=AS$1,'BalSht Data'!G$991:G$2999),0)),"")</f>
        <v/>
      </c>
      <c r="AT16" s="15" t="str">
        <f>IFERROR(INDEX('BalSht Data'!H$1014:H$2999,MATCH(A16,IF('BalSht Data'!A$1014=AT$1,'BalSht Data'!G$1014:G$2999),0)),"")</f>
        <v/>
      </c>
      <c r="AU16" s="15" t="str">
        <f>IFERROR(INDEX('BalSht Data'!H$1037:H$2999,MATCH(A16,IF('BalSht Data'!A$1037=AU$1,'BalSht Data'!G$1037:G$2999),0)),"")</f>
        <v/>
      </c>
      <c r="AV16" s="15" t="str">
        <f>IFERROR(INDEX('BalSht Data'!H$1060:H$2999,MATCH(A16,IF('BalSht Data'!A$1060=AV$1,'BalSht Data'!G$1060:G$2999),0)),"")</f>
        <v/>
      </c>
      <c r="AW16" s="15" t="str">
        <f>IFERROR(INDEX('BalSht Data'!H$1083:H$2999,MATCH(A16,IF('BalSht Data'!A$1083=AW$1,'BalSht Data'!G$1083:G$2999),0)),"")</f>
        <v/>
      </c>
      <c r="AX16" s="15" t="str">
        <f>IFERROR(INDEX('BalSht Data'!H$1106:H$2999,MATCH(A16,IF('BalSht Data'!A$1106=AX$1,'BalSht Data'!G$1106:G$2999),0)),"")</f>
        <v/>
      </c>
      <c r="AY16" s="15" t="str">
        <f>IFERROR(INDEX('BalSht Data'!H$1129:H$2999,MATCH(A16,IF('BalSht Data'!A$1129=AY$1,'BalSht Data'!G$1129:G$2999),0)),"")</f>
        <v/>
      </c>
      <c r="AZ16" s="15" t="str">
        <f>IFERROR(INDEX('BalSht Data'!H$1152:H$2999,MATCH(A16,IF('BalSht Data'!A$1152=AZ$1,'BalSht Data'!G$1152:G$2999),0)),"")</f>
        <v/>
      </c>
      <c r="BA16" s="15" t="str">
        <f>IFERROR(INDEX('BalSht Data'!H$1175:H$2999,MATCH(A16,IF('BalSht Data'!A$1175=BA$1,'BalSht Data'!G$1175:G$2999),0)),"")</f>
        <v/>
      </c>
      <c r="BB16" s="15" t="str">
        <f>IFERROR(INDEX('BalSht Data'!H$1198:H$2999,MATCH(A16,IF('BalSht Data'!A$1198=BB$1,'BalSht Data'!G$1198:G$2999),0)),"")</f>
        <v/>
      </c>
      <c r="BC16" s="15" t="str">
        <f>IFERROR(INDEX('BalSht Data'!H$1221:H$2999,MATCH(A16,IF('BalSht Data'!A$1221=BC$1,'BalSht Data'!G$1221:G$2999),0)),"")</f>
        <v/>
      </c>
      <c r="BD16" s="15" t="str">
        <f>IFERROR(INDEX('BalSht Data'!H$1244:H$2999,MATCH(A16,IF('BalSht Data'!A$1244=BD$1,'BalSht Data'!G$1244:G$2999),0)),"")</f>
        <v/>
      </c>
      <c r="BE16" s="15" t="str">
        <f>IFERROR(INDEX('BalSht Data'!H$1267:H$2999,MATCH(A16,IF('BalSht Data'!A$1267=BE$1,'BalSht Data'!G$1267:G$2999),0)),"")</f>
        <v/>
      </c>
      <c r="BF16" s="15"/>
    </row>
    <row r="17" spans="1:58" x14ac:dyDescent="0.2">
      <c r="A17" s="5" t="s">
        <v>23</v>
      </c>
      <c r="B17" s="15" t="str">
        <f>IFERROR(INDEX('BalSht Data'!H$2:H$2999,MATCH(A17,IF('BalSht Data'!A$2=B$1,'BalSht Data'!G$2:G$2999),0)),"")</f>
        <v/>
      </c>
      <c r="C17" s="15" t="str">
        <f>IFERROR(INDEX('BalSht Data'!H$25:H$2999,MATCH(A17,IF('BalSht Data'!A$25=C$1,'BalSht Data'!G$2:G$2999),0)),"")</f>
        <v/>
      </c>
      <c r="D17" s="15" t="str">
        <f>IFERROR(INDEX('BalSht Data'!H$48:H$2999,MATCH(A17,IF('BalSht Data'!A$48=D$1,'BalSht Data'!G$48:G$2999),0)),"")</f>
        <v/>
      </c>
      <c r="E17" s="15" t="str">
        <f>IFERROR(INDEX('BalSht Data'!H$71:H$2999,MATCH(A17,IF('BalSht Data'!A$71=E$1,'BalSht Data'!G$71:G$2999),0)),"")</f>
        <v/>
      </c>
      <c r="F17" s="15" t="str">
        <f>IFERROR(INDEX('BalSht Data'!H$94:H$2999,MATCH(A17,IF('BalSht Data'!A$94=F$1,'BalSht Data'!G$94:G$2999),0)),"")</f>
        <v/>
      </c>
      <c r="G17" s="15" t="str">
        <f>IFERROR(INDEX('BalSht Data'!H$117:H$2999,MATCH(A17,IF('BalSht Data'!A$117=G$1,'BalSht Data'!G$117:G$2999),0)),"")</f>
        <v/>
      </c>
      <c r="H17" s="15" t="str">
        <f>IFERROR(INDEX('BalSht Data'!H$140:H$2999,MATCH(A17,IF('BalSht Data'!A$140=H$1,'BalSht Data'!G$140:G$2999),0)),"")</f>
        <v/>
      </c>
      <c r="I17" s="15" t="str">
        <f>IFERROR(INDEX('BalSht Data'!H$163:H$2999,MATCH(A17,IF('BalSht Data'!A$163=I$1,'BalSht Data'!G$163:G$2999),0)),"")</f>
        <v/>
      </c>
      <c r="J17" s="15" t="str">
        <f>IFERROR(INDEX('BalSht Data'!H$186:H$2999,MATCH(A17,IF('BalSht Data'!A$186=J$1,'BalSht Data'!G$186:G$2999),0)),"")</f>
        <v/>
      </c>
      <c r="K17" s="15" t="str">
        <f>IFERROR(INDEX('BalSht Data'!H$209:H$2999,MATCH(A17,IF('BalSht Data'!A$209=K$1,'BalSht Data'!G$209:G$2999),0)),"")</f>
        <v/>
      </c>
      <c r="L17" s="15" t="str">
        <f>IFERROR(INDEX('BalSht Data'!H$232:H$2999,MATCH(A17,IF('BalSht Data'!A$232=L$1,'BalSht Data'!G$232:G$2999),0)),"")</f>
        <v/>
      </c>
      <c r="M17" s="15" t="str">
        <f>IFERROR(INDEX('BalSht Data'!H$255:H$2999,MATCH(A17,IF('BalSht Data'!A$255=M$1,'BalSht Data'!G$255:G$2999),0)),"")</f>
        <v/>
      </c>
      <c r="N17" s="15" t="str">
        <f>IFERROR(INDEX('BalSht Data'!H$278:H$2999,MATCH(A17,IF('BalSht Data'!A$278=N$1,'BalSht Data'!G$278:G$2999),0)),"")</f>
        <v/>
      </c>
      <c r="O17" s="15" t="str">
        <f>IFERROR(INDEX('BalSht Data'!H$301:H$2999,MATCH(A17,IF('BalSht Data'!A$301=O$1,'BalSht Data'!G$301:G$2999),0)),"")</f>
        <v/>
      </c>
      <c r="P17" s="15" t="str">
        <f>IFERROR(INDEX('BalSht Data'!H$324:H$2999,MATCH(A17,IF('BalSht Data'!A$324=P$1,'BalSht Data'!G$324:G$2999),0)),"")</f>
        <v/>
      </c>
      <c r="Q17" s="15" t="str">
        <f>IFERROR(INDEX('BalSht Data'!H$347:H$2999,MATCH(A17,IF('BalSht Data'!A$347=Q$1,'BalSht Data'!G$347:G$2999),0)),"")</f>
        <v/>
      </c>
      <c r="R17" s="15" t="str">
        <f>IFERROR(INDEX('BalSht Data'!H$370:H$2999,MATCH(A17,IF('BalSht Data'!A$370=R$1,'BalSht Data'!G$370:G$2999),0)),"")</f>
        <v/>
      </c>
      <c r="S17" s="15" t="str">
        <f>IFERROR(INDEX('BalSht Data'!H$393:H$2999,MATCH(A17,IF('BalSht Data'!A$393=S$1,'BalSht Data'!G$393:G$2999),0)),"")</f>
        <v/>
      </c>
      <c r="T17" s="15" t="str">
        <f>IFERROR(INDEX('BalSht Data'!H$416:H$2999,MATCH(A17,IF('BalSht Data'!A$416=T$1,'BalSht Data'!G$416:G$2999),0)),"")</f>
        <v/>
      </c>
      <c r="U17" s="15" t="str">
        <f>IFERROR(INDEX('BalSht Data'!H$439:H$2999,MATCH(A17,IF('BalSht Data'!A$439=U$1,'BalSht Data'!G$439:G$2999),0)),"")</f>
        <v/>
      </c>
      <c r="V17" s="15" t="str">
        <f>IFERROR(INDEX('BalSht Data'!H$462:H$2999,MATCH(A17,IF('BalSht Data'!A$462=V$1,'BalSht Data'!G$462:G$2999),0)),"")</f>
        <v/>
      </c>
      <c r="W17" s="15" t="str">
        <f>IFERROR(INDEX('BalSht Data'!H$485:H$2999,MATCH(A17,IF('BalSht Data'!A$485=W$1,'BalSht Data'!G$485:G$2999),0)),"")</f>
        <v/>
      </c>
      <c r="X17" s="15" t="str">
        <f>IFERROR(INDEX('BalSht Data'!H$508:H$2999,MATCH(A17,IF('BalSht Data'!A$508=X$1,'BalSht Data'!G$508:G$2999),0)),"")</f>
        <v/>
      </c>
      <c r="Y17" s="15" t="str">
        <f>IFERROR(INDEX('BalSht Data'!H$531:H$2999,MATCH(A17,IF('BalSht Data'!A$531=Y$1,'BalSht Data'!G$531:G$2999),0)),"")</f>
        <v/>
      </c>
      <c r="Z17" s="15" t="str">
        <f>IFERROR(INDEX('BalSht Data'!H$554:H$2999,MATCH(A17,IF('BalSht Data'!A$554=Z$1,'BalSht Data'!G$554:G$2999),0)),"")</f>
        <v/>
      </c>
      <c r="AA17" s="15" t="str">
        <f>IFERROR(INDEX('BalSht Data'!H$577:H$2999,MATCH(A17,IF('BalSht Data'!A$577=AA$1,'BalSht Data'!G$577:G$2999),0)),"")</f>
        <v/>
      </c>
      <c r="AB17" s="15" t="str">
        <f>IFERROR(INDEX('BalSht Data'!H$600:H$2999,MATCH(A17,IF('BalSht Data'!A$600=AB$1,'BalSht Data'!G$600:G$2999),0)),"")</f>
        <v/>
      </c>
      <c r="AC17" s="15" t="str">
        <f>IFERROR(INDEX('BalSht Data'!H$623:H$2999,MATCH(A17,IF('BalSht Data'!A$623=AC$1,'BalSht Data'!G$623:G$2999),0)),"")</f>
        <v/>
      </c>
      <c r="AD17" s="15" t="str">
        <f>IFERROR(INDEX('BalSht Data'!H$646:H$2999,MATCH(A17,IF('BalSht Data'!A$646=AD$1,'BalSht Data'!G$646:G$2999),0)),"")</f>
        <v/>
      </c>
      <c r="AE17" s="15" t="str">
        <f>IFERROR(INDEX('BalSht Data'!H$669:H$2999,MATCH(A17,IF('BalSht Data'!A$669=AE$1,'BalSht Data'!G$669:G$2999),0)),"")</f>
        <v/>
      </c>
      <c r="AF17" s="15" t="str">
        <f>IFERROR(INDEX('BalSht Data'!H$692:H$2999,MATCH(A17,IF('BalSht Data'!A$692=AF$1,'BalSht Data'!G$692:G$2999),0)),"")</f>
        <v/>
      </c>
      <c r="AG17" s="15" t="str">
        <f>IFERROR(INDEX('BalSht Data'!H$715:H$2999,MATCH(A17,IF('BalSht Data'!A$715=AG$1,'BalSht Data'!G$715:G$2999),0)),"")</f>
        <v/>
      </c>
      <c r="AH17" s="15" t="str">
        <f>IFERROR(INDEX('BalSht Data'!H$738:H$2999,MATCH(A17,IF('BalSht Data'!A$738=AH$1,'BalSht Data'!G$738:G$2999),0)),"")</f>
        <v/>
      </c>
      <c r="AI17" s="15" t="str">
        <f>IFERROR(INDEX('BalSht Data'!H$761:H$2999,MATCH(A17,IF('BalSht Data'!A$761=AI$1,'BalSht Data'!G$761:G$2999),0)),"")</f>
        <v/>
      </c>
      <c r="AJ17" s="15" t="str">
        <f>IFERROR(INDEX('BalSht Data'!H$784:H$2999,MATCH(A17,IF('BalSht Data'!A$784=AJ$1,'BalSht Data'!G$784:G$2999),0)),"")</f>
        <v/>
      </c>
      <c r="AK17" s="15" t="str">
        <f>IFERROR(INDEX('BalSht Data'!H$807:H$2999,MATCH(A17,IF('BalSht Data'!A$807=AK$1,'BalSht Data'!G$807:G$2999),0)),"")</f>
        <v/>
      </c>
      <c r="AL17" s="15" t="str">
        <f>IFERROR(INDEX('BalSht Data'!H$830:H$2999,MATCH(A17,IF('BalSht Data'!A$830=AL$1,'BalSht Data'!G$830:G$2999),0)),"")</f>
        <v/>
      </c>
      <c r="AM17" s="15" t="str">
        <f>IFERROR(INDEX('BalSht Data'!H$853:H$2999,MATCH(A17,IF('BalSht Data'!A$853=AM$1,'BalSht Data'!G$853:G$2999),0)),"")</f>
        <v/>
      </c>
      <c r="AN17" s="15" t="str">
        <f>IFERROR(INDEX('BalSht Data'!H$876:H$2999,MATCH(A17,IF('BalSht Data'!A$876=AN$1,'BalSht Data'!G$876:G$2999),0)),"")</f>
        <v/>
      </c>
      <c r="AO17" s="15" t="str">
        <f>IFERROR(INDEX('BalSht Data'!H$899:H$2999,MATCH(A17,IF('BalSht Data'!A$899=AO$1,'BalSht Data'!G$899:G$2999),0)),"")</f>
        <v/>
      </c>
      <c r="AP17" s="15" t="str">
        <f>IFERROR(INDEX('BalSht Data'!H$922:H$2999,MATCH(A17,IF('BalSht Data'!A$922=AP$1,'BalSht Data'!G$922:G$2999),0)),"")</f>
        <v/>
      </c>
      <c r="AQ17" s="15" t="str">
        <f>IFERROR(INDEX('BalSht Data'!H$945:H$2999,MATCH(A17,IF('BalSht Data'!A$945=AQ$1,'BalSht Data'!G$945:G$2999),0)),"")</f>
        <v/>
      </c>
      <c r="AR17" s="15" t="str">
        <f>IFERROR(INDEX('BalSht Data'!H$968:H$2999,MATCH(A17,IF('BalSht Data'!A$968=AR$1,'BalSht Data'!G$968:G$2999),0)),"")</f>
        <v/>
      </c>
      <c r="AS17" s="15" t="str">
        <f>IFERROR(INDEX('BalSht Data'!H$991:H$2999,MATCH(A17,IF('BalSht Data'!A$991=AS$1,'BalSht Data'!G$991:G$2999),0)),"")</f>
        <v/>
      </c>
      <c r="AT17" s="15" t="str">
        <f>IFERROR(INDEX('BalSht Data'!H$1014:H$2999,MATCH(A17,IF('BalSht Data'!A$1014=AT$1,'BalSht Data'!G$1014:G$2999),0)),"")</f>
        <v/>
      </c>
      <c r="AU17" s="15" t="str">
        <f>IFERROR(INDEX('BalSht Data'!H$1037:H$2999,MATCH(A17,IF('BalSht Data'!A$1037=AU$1,'BalSht Data'!G$1037:G$2999),0)),"")</f>
        <v/>
      </c>
      <c r="AV17" s="15" t="str">
        <f>IFERROR(INDEX('BalSht Data'!H$1060:H$2999,MATCH(A17,IF('BalSht Data'!A$1060=AV$1,'BalSht Data'!G$1060:G$2999),0)),"")</f>
        <v/>
      </c>
      <c r="AW17" s="15" t="str">
        <f>IFERROR(INDEX('BalSht Data'!H$1083:H$2999,MATCH(A17,IF('BalSht Data'!A$1083=AW$1,'BalSht Data'!G$1083:G$2999),0)),"")</f>
        <v/>
      </c>
      <c r="AX17" s="15" t="str">
        <f>IFERROR(INDEX('BalSht Data'!H$1106:H$2999,MATCH(A17,IF('BalSht Data'!A$1106=AX$1,'BalSht Data'!G$1106:G$2999),0)),"")</f>
        <v/>
      </c>
      <c r="AY17" s="15" t="str">
        <f>IFERROR(INDEX('BalSht Data'!H$1129:H$2999,MATCH(A17,IF('BalSht Data'!A$1129=AY$1,'BalSht Data'!G$1129:G$2999),0)),"")</f>
        <v/>
      </c>
      <c r="AZ17" s="15" t="str">
        <f>IFERROR(INDEX('BalSht Data'!H$1152:H$2999,MATCH(A17,IF('BalSht Data'!A$1152=AZ$1,'BalSht Data'!G$1152:G$2999),0)),"")</f>
        <v/>
      </c>
      <c r="BA17" s="15" t="str">
        <f>IFERROR(INDEX('BalSht Data'!H$1175:H$2999,MATCH(A17,IF('BalSht Data'!A$1175=BA$1,'BalSht Data'!G$1175:G$2999),0)),"")</f>
        <v/>
      </c>
      <c r="BB17" s="15" t="str">
        <f>IFERROR(INDEX('BalSht Data'!H$1198:H$2999,MATCH(A17,IF('BalSht Data'!A$1198=BB$1,'BalSht Data'!G$1198:G$2999),0)),"")</f>
        <v/>
      </c>
      <c r="BC17" s="15" t="str">
        <f>IFERROR(INDEX('BalSht Data'!H$1221:H$2999,MATCH(A17,IF('BalSht Data'!A$1221=BC$1,'BalSht Data'!G$1221:G$2999),0)),"")</f>
        <v/>
      </c>
      <c r="BD17" s="15" t="str">
        <f>IFERROR(INDEX('BalSht Data'!H$1244:H$2999,MATCH(A17,IF('BalSht Data'!A$1244=BD$1,'BalSht Data'!G$1244:G$2999),0)),"")</f>
        <v/>
      </c>
      <c r="BE17" s="15" t="str">
        <f>IFERROR(INDEX('BalSht Data'!H$1267:H$2999,MATCH(A17,IF('BalSht Data'!A$1267=BE$1,'BalSht Data'!G$1267:G$2999),0)),"")</f>
        <v/>
      </c>
      <c r="BF17" s="15"/>
    </row>
    <row r="18" spans="1:58" x14ac:dyDescent="0.2">
      <c r="A18" s="5" t="s">
        <v>24</v>
      </c>
      <c r="B18" s="15" t="str">
        <f>IFERROR(INDEX('BalSht Data'!H$2:H$2999,MATCH(A18,IF('BalSht Data'!A$2=B$1,'BalSht Data'!G$2:G$2999),0)),"")</f>
        <v/>
      </c>
      <c r="C18" s="15" t="str">
        <f>IFERROR(INDEX('BalSht Data'!H$25:H$2999,MATCH(A18,IF('BalSht Data'!A$25=C$1,'BalSht Data'!G$2:G$2999),0)),"")</f>
        <v/>
      </c>
      <c r="D18" s="15" t="str">
        <f>IFERROR(INDEX('BalSht Data'!H$48:H$2999,MATCH(A18,IF('BalSht Data'!A$48=D$1,'BalSht Data'!G$48:G$2999),0)),"")</f>
        <v/>
      </c>
      <c r="E18" s="15" t="str">
        <f>IFERROR(INDEX('BalSht Data'!H$71:H$2999,MATCH(A18,IF('BalSht Data'!A$71=E$1,'BalSht Data'!G$71:G$2999),0)),"")</f>
        <v/>
      </c>
      <c r="F18" s="15" t="str">
        <f>IFERROR(INDEX('BalSht Data'!H$94:H$2999,MATCH(A18,IF('BalSht Data'!A$94=F$1,'BalSht Data'!G$94:G$2999),0)),"")</f>
        <v/>
      </c>
      <c r="G18" s="15" t="str">
        <f>IFERROR(INDEX('BalSht Data'!H$117:H$2999,MATCH(A18,IF('BalSht Data'!A$117=G$1,'BalSht Data'!G$117:G$2999),0)),"")</f>
        <v/>
      </c>
      <c r="H18" s="15" t="str">
        <f>IFERROR(INDEX('BalSht Data'!H$140:H$2999,MATCH(A18,IF('BalSht Data'!A$140=H$1,'BalSht Data'!G$140:G$2999),0)),"")</f>
        <v/>
      </c>
      <c r="I18" s="15" t="str">
        <f>IFERROR(INDEX('BalSht Data'!H$163:H$2999,MATCH(A18,IF('BalSht Data'!A$163=I$1,'BalSht Data'!G$163:G$2999),0)),"")</f>
        <v/>
      </c>
      <c r="J18" s="15" t="str">
        <f>IFERROR(INDEX('BalSht Data'!H$186:H$2999,MATCH(A18,IF('BalSht Data'!A$186=J$1,'BalSht Data'!G$186:G$2999),0)),"")</f>
        <v/>
      </c>
      <c r="K18" s="15" t="str">
        <f>IFERROR(INDEX('BalSht Data'!H$209:H$2999,MATCH(A18,IF('BalSht Data'!A$209=K$1,'BalSht Data'!G$209:G$2999),0)),"")</f>
        <v/>
      </c>
      <c r="L18" s="15" t="str">
        <f>IFERROR(INDEX('BalSht Data'!H$232:H$2999,MATCH(A18,IF('BalSht Data'!A$232=L$1,'BalSht Data'!G$232:G$2999),0)),"")</f>
        <v/>
      </c>
      <c r="M18" s="15" t="str">
        <f>IFERROR(INDEX('BalSht Data'!H$255:H$2999,MATCH(A18,IF('BalSht Data'!A$255=M$1,'BalSht Data'!G$255:G$2999),0)),"")</f>
        <v/>
      </c>
      <c r="N18" s="15" t="str">
        <f>IFERROR(INDEX('BalSht Data'!H$278:H$2999,MATCH(A18,IF('BalSht Data'!A$278=N$1,'BalSht Data'!G$278:G$2999),0)),"")</f>
        <v/>
      </c>
      <c r="O18" s="15" t="str">
        <f>IFERROR(INDEX('BalSht Data'!H$301:H$2999,MATCH(A18,IF('BalSht Data'!A$301=O$1,'BalSht Data'!G$301:G$2999),0)),"")</f>
        <v/>
      </c>
      <c r="P18" s="15" t="str">
        <f>IFERROR(INDEX('BalSht Data'!H$324:H$2999,MATCH(A18,IF('BalSht Data'!A$324=P$1,'BalSht Data'!G$324:G$2999),0)),"")</f>
        <v/>
      </c>
      <c r="Q18" s="15" t="str">
        <f>IFERROR(INDEX('BalSht Data'!H$347:H$2999,MATCH(A18,IF('BalSht Data'!A$347=Q$1,'BalSht Data'!G$347:G$2999),0)),"")</f>
        <v/>
      </c>
      <c r="R18" s="15" t="str">
        <f>IFERROR(INDEX('BalSht Data'!H$370:H$2999,MATCH(A18,IF('BalSht Data'!A$370=R$1,'BalSht Data'!G$370:G$2999),0)),"")</f>
        <v/>
      </c>
      <c r="S18" s="15" t="str">
        <f>IFERROR(INDEX('BalSht Data'!H$393:H$2999,MATCH(A18,IF('BalSht Data'!A$393=S$1,'BalSht Data'!G$393:G$2999),0)),"")</f>
        <v/>
      </c>
      <c r="T18" s="15" t="str">
        <f>IFERROR(INDEX('BalSht Data'!H$416:H$2999,MATCH(A18,IF('BalSht Data'!A$416=T$1,'BalSht Data'!G$416:G$2999),0)),"")</f>
        <v/>
      </c>
      <c r="U18" s="15" t="str">
        <f>IFERROR(INDEX('BalSht Data'!H$439:H$2999,MATCH(A18,IF('BalSht Data'!A$439=U$1,'BalSht Data'!G$439:G$2999),0)),"")</f>
        <v/>
      </c>
      <c r="V18" s="15" t="str">
        <f>IFERROR(INDEX('BalSht Data'!H$462:H$2999,MATCH(A18,IF('BalSht Data'!A$462=V$1,'BalSht Data'!G$462:G$2999),0)),"")</f>
        <v/>
      </c>
      <c r="W18" s="15" t="str">
        <f>IFERROR(INDEX('BalSht Data'!H$485:H$2999,MATCH(A18,IF('BalSht Data'!A$485=W$1,'BalSht Data'!G$485:G$2999),0)),"")</f>
        <v/>
      </c>
      <c r="X18" s="15" t="str">
        <f>IFERROR(INDEX('BalSht Data'!H$508:H$2999,MATCH(A18,IF('BalSht Data'!A$508=X$1,'BalSht Data'!G$508:G$2999),0)),"")</f>
        <v/>
      </c>
      <c r="Y18" s="15" t="str">
        <f>IFERROR(INDEX('BalSht Data'!H$531:H$2999,MATCH(A18,IF('BalSht Data'!A$531=Y$1,'BalSht Data'!G$531:G$2999),0)),"")</f>
        <v/>
      </c>
      <c r="Z18" s="15" t="str">
        <f>IFERROR(INDEX('BalSht Data'!H$554:H$2999,MATCH(A18,IF('BalSht Data'!A$554=Z$1,'BalSht Data'!G$554:G$2999),0)),"")</f>
        <v/>
      </c>
      <c r="AA18" s="15" t="str">
        <f>IFERROR(INDEX('BalSht Data'!H$577:H$2999,MATCH(A18,IF('BalSht Data'!A$577=AA$1,'BalSht Data'!G$577:G$2999),0)),"")</f>
        <v/>
      </c>
      <c r="AB18" s="15" t="str">
        <f>IFERROR(INDEX('BalSht Data'!H$600:H$2999,MATCH(A18,IF('BalSht Data'!A$600=AB$1,'BalSht Data'!G$600:G$2999),0)),"")</f>
        <v/>
      </c>
      <c r="AC18" s="15" t="str">
        <f>IFERROR(INDEX('BalSht Data'!H$623:H$2999,MATCH(A18,IF('BalSht Data'!A$623=AC$1,'BalSht Data'!G$623:G$2999),0)),"")</f>
        <v/>
      </c>
      <c r="AD18" s="15" t="str">
        <f>IFERROR(INDEX('BalSht Data'!H$646:H$2999,MATCH(A18,IF('BalSht Data'!A$646=AD$1,'BalSht Data'!G$646:G$2999),0)),"")</f>
        <v/>
      </c>
      <c r="AE18" s="15" t="str">
        <f>IFERROR(INDEX('BalSht Data'!H$669:H$2999,MATCH(A18,IF('BalSht Data'!A$669=AE$1,'BalSht Data'!G$669:G$2999),0)),"")</f>
        <v/>
      </c>
      <c r="AF18" s="15" t="str">
        <f>IFERROR(INDEX('BalSht Data'!H$692:H$2999,MATCH(A18,IF('BalSht Data'!A$692=AF$1,'BalSht Data'!G$692:G$2999),0)),"")</f>
        <v/>
      </c>
      <c r="AG18" s="15" t="str">
        <f>IFERROR(INDEX('BalSht Data'!H$715:H$2999,MATCH(A18,IF('BalSht Data'!A$715=AG$1,'BalSht Data'!G$715:G$2999),0)),"")</f>
        <v/>
      </c>
      <c r="AH18" s="15" t="str">
        <f>IFERROR(INDEX('BalSht Data'!H$738:H$2999,MATCH(A18,IF('BalSht Data'!A$738=AH$1,'BalSht Data'!G$738:G$2999),0)),"")</f>
        <v/>
      </c>
      <c r="AI18" s="15" t="str">
        <f>IFERROR(INDEX('BalSht Data'!H$761:H$2999,MATCH(A18,IF('BalSht Data'!A$761=AI$1,'BalSht Data'!G$761:G$2999),0)),"")</f>
        <v/>
      </c>
      <c r="AJ18" s="15" t="str">
        <f>IFERROR(INDEX('BalSht Data'!H$784:H$2999,MATCH(A18,IF('BalSht Data'!A$784=AJ$1,'BalSht Data'!G$784:G$2999),0)),"")</f>
        <v/>
      </c>
      <c r="AK18" s="15" t="str">
        <f>IFERROR(INDEX('BalSht Data'!H$807:H$2999,MATCH(A18,IF('BalSht Data'!A$807=AK$1,'BalSht Data'!G$807:G$2999),0)),"")</f>
        <v/>
      </c>
      <c r="AL18" s="15" t="str">
        <f>IFERROR(INDEX('BalSht Data'!H$830:H$2999,MATCH(A18,IF('BalSht Data'!A$830=AL$1,'BalSht Data'!G$830:G$2999),0)),"")</f>
        <v/>
      </c>
      <c r="AM18" s="15" t="str">
        <f>IFERROR(INDEX('BalSht Data'!H$853:H$2999,MATCH(A18,IF('BalSht Data'!A$853=AM$1,'BalSht Data'!G$853:G$2999),0)),"")</f>
        <v/>
      </c>
      <c r="AN18" s="15" t="str">
        <f>IFERROR(INDEX('BalSht Data'!H$876:H$2999,MATCH(A18,IF('BalSht Data'!A$876=AN$1,'BalSht Data'!G$876:G$2999),0)),"")</f>
        <v/>
      </c>
      <c r="AO18" s="15" t="str">
        <f>IFERROR(INDEX('BalSht Data'!H$899:H$2999,MATCH(A18,IF('BalSht Data'!A$899=AO$1,'BalSht Data'!G$899:G$2999),0)),"")</f>
        <v/>
      </c>
      <c r="AP18" s="15" t="str">
        <f>IFERROR(INDEX('BalSht Data'!H$922:H$2999,MATCH(A18,IF('BalSht Data'!A$922=AP$1,'BalSht Data'!G$922:G$2999),0)),"")</f>
        <v/>
      </c>
      <c r="AQ18" s="15" t="str">
        <f>IFERROR(INDEX('BalSht Data'!H$945:H$2999,MATCH(A18,IF('BalSht Data'!A$945=AQ$1,'BalSht Data'!G$945:G$2999),0)),"")</f>
        <v/>
      </c>
      <c r="AR18" s="15" t="str">
        <f>IFERROR(INDEX('BalSht Data'!H$968:H$2999,MATCH(A18,IF('BalSht Data'!A$968=AR$1,'BalSht Data'!G$968:G$2999),0)),"")</f>
        <v/>
      </c>
      <c r="AS18" s="15" t="str">
        <f>IFERROR(INDEX('BalSht Data'!H$991:H$2999,MATCH(A18,IF('BalSht Data'!A$991=AS$1,'BalSht Data'!G$991:G$2999),0)),"")</f>
        <v/>
      </c>
      <c r="AT18" s="15" t="str">
        <f>IFERROR(INDEX('BalSht Data'!H$1014:H$2999,MATCH(A18,IF('BalSht Data'!A$1014=AT$1,'BalSht Data'!G$1014:G$2999),0)),"")</f>
        <v/>
      </c>
      <c r="AU18" s="15" t="str">
        <f>IFERROR(INDEX('BalSht Data'!H$1037:H$2999,MATCH(A18,IF('BalSht Data'!A$1037=AU$1,'BalSht Data'!G$1037:G$2999),0)),"")</f>
        <v/>
      </c>
      <c r="AV18" s="15" t="str">
        <f>IFERROR(INDEX('BalSht Data'!H$1060:H$2999,MATCH(A18,IF('BalSht Data'!A$1060=AV$1,'BalSht Data'!G$1060:G$2999),0)),"")</f>
        <v/>
      </c>
      <c r="AW18" s="15" t="str">
        <f>IFERROR(INDEX('BalSht Data'!H$1083:H$2999,MATCH(A18,IF('BalSht Data'!A$1083=AW$1,'BalSht Data'!G$1083:G$2999),0)),"")</f>
        <v/>
      </c>
      <c r="AX18" s="15" t="str">
        <f>IFERROR(INDEX('BalSht Data'!H$1106:H$2999,MATCH(A18,IF('BalSht Data'!A$1106=AX$1,'BalSht Data'!G$1106:G$2999),0)),"")</f>
        <v/>
      </c>
      <c r="AY18" s="15" t="str">
        <f>IFERROR(INDEX('BalSht Data'!H$1129:H$2999,MATCH(A18,IF('BalSht Data'!A$1129=AY$1,'BalSht Data'!G$1129:G$2999),0)),"")</f>
        <v/>
      </c>
      <c r="AZ18" s="15" t="str">
        <f>IFERROR(INDEX('BalSht Data'!H$1152:H$2999,MATCH(A18,IF('BalSht Data'!A$1152=AZ$1,'BalSht Data'!G$1152:G$2999),0)),"")</f>
        <v/>
      </c>
      <c r="BA18" s="15" t="str">
        <f>IFERROR(INDEX('BalSht Data'!H$1175:H$2999,MATCH(A18,IF('BalSht Data'!A$1175=BA$1,'BalSht Data'!G$1175:G$2999),0)),"")</f>
        <v/>
      </c>
      <c r="BB18" s="15" t="str">
        <f>IFERROR(INDEX('BalSht Data'!H$1198:H$2999,MATCH(A18,IF('BalSht Data'!A$1198=BB$1,'BalSht Data'!G$1198:G$2999),0)),"")</f>
        <v/>
      </c>
      <c r="BC18" s="15" t="str">
        <f>IFERROR(INDEX('BalSht Data'!H$1221:H$2999,MATCH(A18,IF('BalSht Data'!A$1221=BC$1,'BalSht Data'!G$1221:G$2999),0)),"")</f>
        <v/>
      </c>
      <c r="BD18" s="15" t="str">
        <f>IFERROR(INDEX('BalSht Data'!H$1244:H$2999,MATCH(A18,IF('BalSht Data'!A$1244=BD$1,'BalSht Data'!G$1244:G$2999),0)),"")</f>
        <v/>
      </c>
      <c r="BE18" s="15" t="str">
        <f>IFERROR(INDEX('BalSht Data'!H$1267:H$2999,MATCH(A18,IF('BalSht Data'!A$1267=BE$1,'BalSht Data'!G$1267:G$2999),0)),"")</f>
        <v/>
      </c>
      <c r="BF18" s="15"/>
    </row>
    <row r="19" spans="1:58" x14ac:dyDescent="0.2">
      <c r="A19" s="5" t="s">
        <v>25</v>
      </c>
      <c r="B19" s="15" t="str">
        <f>IFERROR(INDEX('BalSht Data'!H$2:H$2999,MATCH(A19,IF('BalSht Data'!A$2=B$1,'BalSht Data'!G$2:G$2999),0)),"")</f>
        <v/>
      </c>
      <c r="C19" s="15" t="str">
        <f>IFERROR(INDEX('BalSht Data'!H$25:H$2999,MATCH(A19,IF('BalSht Data'!A$25=C$1,'BalSht Data'!G$2:G$2999),0)),"")</f>
        <v/>
      </c>
      <c r="D19" s="15" t="str">
        <f>IFERROR(INDEX('BalSht Data'!H$48:H$2999,MATCH(A19,IF('BalSht Data'!A$48=D$1,'BalSht Data'!G$48:G$2999),0)),"")</f>
        <v/>
      </c>
      <c r="E19" s="15" t="str">
        <f>IFERROR(INDEX('BalSht Data'!H$71:H$2999,MATCH(A19,IF('BalSht Data'!A$71=E$1,'BalSht Data'!G$71:G$2999),0)),"")</f>
        <v/>
      </c>
      <c r="F19" s="15" t="str">
        <f>IFERROR(INDEX('BalSht Data'!H$94:H$2999,MATCH(A19,IF('BalSht Data'!A$94=F$1,'BalSht Data'!G$94:G$2999),0)),"")</f>
        <v/>
      </c>
      <c r="G19" s="15" t="str">
        <f>IFERROR(INDEX('BalSht Data'!H$117:H$2999,MATCH(A19,IF('BalSht Data'!A$117=G$1,'BalSht Data'!G$117:G$2999),0)),"")</f>
        <v/>
      </c>
      <c r="H19" s="15" t="str">
        <f>IFERROR(INDEX('BalSht Data'!H$140:H$2999,MATCH(A19,IF('BalSht Data'!A$140=H$1,'BalSht Data'!G$140:G$2999),0)),"")</f>
        <v/>
      </c>
      <c r="I19" s="15" t="str">
        <f>IFERROR(INDEX('BalSht Data'!H$163:H$2999,MATCH(A19,IF('BalSht Data'!A$163=I$1,'BalSht Data'!G$163:G$2999),0)),"")</f>
        <v/>
      </c>
      <c r="J19" s="15" t="str">
        <f>IFERROR(INDEX('BalSht Data'!H$186:H$2999,MATCH(A19,IF('BalSht Data'!A$186=J$1,'BalSht Data'!G$186:G$2999),0)),"")</f>
        <v/>
      </c>
      <c r="K19" s="15" t="str">
        <f>IFERROR(INDEX('BalSht Data'!H$209:H$2999,MATCH(A19,IF('BalSht Data'!A$209=K$1,'BalSht Data'!G$209:G$2999),0)),"")</f>
        <v/>
      </c>
      <c r="L19" s="15" t="str">
        <f>IFERROR(INDEX('BalSht Data'!H$232:H$2999,MATCH(A19,IF('BalSht Data'!A$232=L$1,'BalSht Data'!G$232:G$2999),0)),"")</f>
        <v/>
      </c>
      <c r="M19" s="15" t="str">
        <f>IFERROR(INDEX('BalSht Data'!H$255:H$2999,MATCH(A19,IF('BalSht Data'!A$255=M$1,'BalSht Data'!G$255:G$2999),0)),"")</f>
        <v/>
      </c>
      <c r="N19" s="15" t="str">
        <f>IFERROR(INDEX('BalSht Data'!H$278:H$2999,MATCH(A19,IF('BalSht Data'!A$278=N$1,'BalSht Data'!G$278:G$2999),0)),"")</f>
        <v/>
      </c>
      <c r="O19" s="15" t="str">
        <f>IFERROR(INDEX('BalSht Data'!H$301:H$2999,MATCH(A19,IF('BalSht Data'!A$301=O$1,'BalSht Data'!G$301:G$2999),0)),"")</f>
        <v/>
      </c>
      <c r="P19" s="15" t="str">
        <f>IFERROR(INDEX('BalSht Data'!H$324:H$2999,MATCH(A19,IF('BalSht Data'!A$324=P$1,'BalSht Data'!G$324:G$2999),0)),"")</f>
        <v/>
      </c>
      <c r="Q19" s="15" t="str">
        <f>IFERROR(INDEX('BalSht Data'!H$347:H$2999,MATCH(A19,IF('BalSht Data'!A$347=Q$1,'BalSht Data'!G$347:G$2999),0)),"")</f>
        <v/>
      </c>
      <c r="R19" s="15" t="str">
        <f>IFERROR(INDEX('BalSht Data'!H$370:H$2999,MATCH(A19,IF('BalSht Data'!A$370=R$1,'BalSht Data'!G$370:G$2999),0)),"")</f>
        <v/>
      </c>
      <c r="S19" s="15" t="str">
        <f>IFERROR(INDEX('BalSht Data'!H$393:H$2999,MATCH(A19,IF('BalSht Data'!A$393=S$1,'BalSht Data'!G$393:G$2999),0)),"")</f>
        <v/>
      </c>
      <c r="T19" s="15" t="str">
        <f>IFERROR(INDEX('BalSht Data'!H$416:H$2999,MATCH(A19,IF('BalSht Data'!A$416=T$1,'BalSht Data'!G$416:G$2999),0)),"")</f>
        <v/>
      </c>
      <c r="U19" s="15" t="str">
        <f>IFERROR(INDEX('BalSht Data'!H$439:H$2999,MATCH(A19,IF('BalSht Data'!A$439=U$1,'BalSht Data'!G$439:G$2999),0)),"")</f>
        <v/>
      </c>
      <c r="V19" s="15" t="str">
        <f>IFERROR(INDEX('BalSht Data'!H$462:H$2999,MATCH(A19,IF('BalSht Data'!A$462=V$1,'BalSht Data'!G$462:G$2999),0)),"")</f>
        <v/>
      </c>
      <c r="W19" s="15" t="str">
        <f>IFERROR(INDEX('BalSht Data'!H$485:H$2999,MATCH(A19,IF('BalSht Data'!A$485=W$1,'BalSht Data'!G$485:G$2999),0)),"")</f>
        <v/>
      </c>
      <c r="X19" s="15" t="str">
        <f>IFERROR(INDEX('BalSht Data'!H$508:H$2999,MATCH(A19,IF('BalSht Data'!A$508=X$1,'BalSht Data'!G$508:G$2999),0)),"")</f>
        <v/>
      </c>
      <c r="Y19" s="15" t="str">
        <f>IFERROR(INDEX('BalSht Data'!H$531:H$2999,MATCH(A19,IF('BalSht Data'!A$531=Y$1,'BalSht Data'!G$531:G$2999),0)),"")</f>
        <v/>
      </c>
      <c r="Z19" s="15" t="str">
        <f>IFERROR(INDEX('BalSht Data'!H$554:H$2999,MATCH(A19,IF('BalSht Data'!A$554=Z$1,'BalSht Data'!G$554:G$2999),0)),"")</f>
        <v/>
      </c>
      <c r="AA19" s="15" t="str">
        <f>IFERROR(INDEX('BalSht Data'!H$577:H$2999,MATCH(A19,IF('BalSht Data'!A$577=AA$1,'BalSht Data'!G$577:G$2999),0)),"")</f>
        <v/>
      </c>
      <c r="AB19" s="15" t="str">
        <f>IFERROR(INDEX('BalSht Data'!H$600:H$2999,MATCH(A19,IF('BalSht Data'!A$600=AB$1,'BalSht Data'!G$600:G$2999),0)),"")</f>
        <v/>
      </c>
      <c r="AC19" s="15" t="str">
        <f>IFERROR(INDEX('BalSht Data'!H$623:H$2999,MATCH(A19,IF('BalSht Data'!A$623=AC$1,'BalSht Data'!G$623:G$2999),0)),"")</f>
        <v/>
      </c>
      <c r="AD19" s="15" t="str">
        <f>IFERROR(INDEX('BalSht Data'!H$646:H$2999,MATCH(A19,IF('BalSht Data'!A$646=AD$1,'BalSht Data'!G$646:G$2999),0)),"")</f>
        <v/>
      </c>
      <c r="AE19" s="15" t="str">
        <f>IFERROR(INDEX('BalSht Data'!H$669:H$2999,MATCH(A19,IF('BalSht Data'!A$669=AE$1,'BalSht Data'!G$669:G$2999),0)),"")</f>
        <v/>
      </c>
      <c r="AF19" s="15" t="str">
        <f>IFERROR(INDEX('BalSht Data'!H$692:H$2999,MATCH(A19,IF('BalSht Data'!A$692=AF$1,'BalSht Data'!G$692:G$2999),0)),"")</f>
        <v/>
      </c>
      <c r="AG19" s="15" t="str">
        <f>IFERROR(INDEX('BalSht Data'!H$715:H$2999,MATCH(A19,IF('BalSht Data'!A$715=AG$1,'BalSht Data'!G$715:G$2999),0)),"")</f>
        <v/>
      </c>
      <c r="AH19" s="15" t="str">
        <f>IFERROR(INDEX('BalSht Data'!H$738:H$2999,MATCH(A19,IF('BalSht Data'!A$738=AH$1,'BalSht Data'!G$738:G$2999),0)),"")</f>
        <v/>
      </c>
      <c r="AI19" s="15" t="str">
        <f>IFERROR(INDEX('BalSht Data'!H$761:H$2999,MATCH(A19,IF('BalSht Data'!A$761=AI$1,'BalSht Data'!G$761:G$2999),0)),"")</f>
        <v/>
      </c>
      <c r="AJ19" s="15" t="str">
        <f>IFERROR(INDEX('BalSht Data'!H$784:H$2999,MATCH(A19,IF('BalSht Data'!A$784=AJ$1,'BalSht Data'!G$784:G$2999),0)),"")</f>
        <v/>
      </c>
      <c r="AK19" s="15" t="str">
        <f>IFERROR(INDEX('BalSht Data'!H$807:H$2999,MATCH(A19,IF('BalSht Data'!A$807=AK$1,'BalSht Data'!G$807:G$2999),0)),"")</f>
        <v/>
      </c>
      <c r="AL19" s="15" t="str">
        <f>IFERROR(INDEX('BalSht Data'!H$830:H$2999,MATCH(A19,IF('BalSht Data'!A$830=AL$1,'BalSht Data'!G$830:G$2999),0)),"")</f>
        <v/>
      </c>
      <c r="AM19" s="15" t="str">
        <f>IFERROR(INDEX('BalSht Data'!H$853:H$2999,MATCH(A19,IF('BalSht Data'!A$853=AM$1,'BalSht Data'!G$853:G$2999),0)),"")</f>
        <v/>
      </c>
      <c r="AN19" s="15" t="str">
        <f>IFERROR(INDEX('BalSht Data'!H$876:H$2999,MATCH(A19,IF('BalSht Data'!A$876=AN$1,'BalSht Data'!G$876:G$2999),0)),"")</f>
        <v/>
      </c>
      <c r="AO19" s="15" t="str">
        <f>IFERROR(INDEX('BalSht Data'!H$899:H$2999,MATCH(A19,IF('BalSht Data'!A$899=AO$1,'BalSht Data'!G$899:G$2999),0)),"")</f>
        <v/>
      </c>
      <c r="AP19" s="15" t="str">
        <f>IFERROR(INDEX('BalSht Data'!H$922:H$2999,MATCH(A19,IF('BalSht Data'!A$922=AP$1,'BalSht Data'!G$922:G$2999),0)),"")</f>
        <v/>
      </c>
      <c r="AQ19" s="15" t="str">
        <f>IFERROR(INDEX('BalSht Data'!H$945:H$2999,MATCH(A19,IF('BalSht Data'!A$945=AQ$1,'BalSht Data'!G$945:G$2999),0)),"")</f>
        <v/>
      </c>
      <c r="AR19" s="15" t="str">
        <f>IFERROR(INDEX('BalSht Data'!H$968:H$2999,MATCH(A19,IF('BalSht Data'!A$968=AR$1,'BalSht Data'!G$968:G$2999),0)),"")</f>
        <v/>
      </c>
      <c r="AS19" s="15" t="str">
        <f>IFERROR(INDEX('BalSht Data'!H$991:H$2999,MATCH(A19,IF('BalSht Data'!A$991=AS$1,'BalSht Data'!G$991:G$2999),0)),"")</f>
        <v/>
      </c>
      <c r="AT19" s="15" t="str">
        <f>IFERROR(INDEX('BalSht Data'!H$1014:H$2999,MATCH(A19,IF('BalSht Data'!A$1014=AT$1,'BalSht Data'!G$1014:G$2999),0)),"")</f>
        <v/>
      </c>
      <c r="AU19" s="15" t="str">
        <f>IFERROR(INDEX('BalSht Data'!H$1037:H$2999,MATCH(A19,IF('BalSht Data'!A$1037=AU$1,'BalSht Data'!G$1037:G$2999),0)),"")</f>
        <v/>
      </c>
      <c r="AV19" s="15" t="str">
        <f>IFERROR(INDEX('BalSht Data'!H$1060:H$2999,MATCH(A19,IF('BalSht Data'!A$1060=AV$1,'BalSht Data'!G$1060:G$2999),0)),"")</f>
        <v/>
      </c>
      <c r="AW19" s="15" t="str">
        <f>IFERROR(INDEX('BalSht Data'!H$1083:H$2999,MATCH(A19,IF('BalSht Data'!A$1083=AW$1,'BalSht Data'!G$1083:G$2999),0)),"")</f>
        <v/>
      </c>
      <c r="AX19" s="15" t="str">
        <f>IFERROR(INDEX('BalSht Data'!H$1106:H$2999,MATCH(A19,IF('BalSht Data'!A$1106=AX$1,'BalSht Data'!G$1106:G$2999),0)),"")</f>
        <v/>
      </c>
      <c r="AY19" s="15" t="str">
        <f>IFERROR(INDEX('BalSht Data'!H$1129:H$2999,MATCH(A19,IF('BalSht Data'!A$1129=AY$1,'BalSht Data'!G$1129:G$2999),0)),"")</f>
        <v/>
      </c>
      <c r="AZ19" s="15" t="str">
        <f>IFERROR(INDEX('BalSht Data'!H$1152:H$2999,MATCH(A19,IF('BalSht Data'!A$1152=AZ$1,'BalSht Data'!G$1152:G$2999),0)),"")</f>
        <v/>
      </c>
      <c r="BA19" s="15" t="str">
        <f>IFERROR(INDEX('BalSht Data'!H$1175:H$2999,MATCH(A19,IF('BalSht Data'!A$1175=BA$1,'BalSht Data'!G$1175:G$2999),0)),"")</f>
        <v/>
      </c>
      <c r="BB19" s="15" t="str">
        <f>IFERROR(INDEX('BalSht Data'!H$1198:H$2999,MATCH(A19,IF('BalSht Data'!A$1198=BB$1,'BalSht Data'!G$1198:G$2999),0)),"")</f>
        <v/>
      </c>
      <c r="BC19" s="15" t="str">
        <f>IFERROR(INDEX('BalSht Data'!H$1221:H$2999,MATCH(A19,IF('BalSht Data'!A$1221=BC$1,'BalSht Data'!G$1221:G$2999),0)),"")</f>
        <v/>
      </c>
      <c r="BD19" s="15" t="str">
        <f>IFERROR(INDEX('BalSht Data'!H$1244:H$2999,MATCH(A19,IF('BalSht Data'!A$1244=BD$1,'BalSht Data'!G$1244:G$2999),0)),"")</f>
        <v/>
      </c>
      <c r="BE19" s="15" t="str">
        <f>IFERROR(INDEX('BalSht Data'!H$1267:H$2999,MATCH(A19,IF('BalSht Data'!A$1267=BE$1,'BalSht Data'!G$1267:G$2999),0)),"")</f>
        <v/>
      </c>
      <c r="BF19" s="15"/>
    </row>
    <row r="20" spans="1:58" x14ac:dyDescent="0.2">
      <c r="A20" s="5" t="s">
        <v>26</v>
      </c>
      <c r="B20" s="15" t="str">
        <f>IFERROR(INDEX('BalSht Data'!H$2:H$2999,MATCH(A20,IF('BalSht Data'!A$2=B$1,'BalSht Data'!G$2:G$2999),0)),"")</f>
        <v/>
      </c>
      <c r="C20" s="15" t="str">
        <f>IFERROR(INDEX('BalSht Data'!H$25:H$2999,MATCH(A20,IF('BalSht Data'!A$25=C$1,'BalSht Data'!G$2:G$2999),0)),"")</f>
        <v/>
      </c>
      <c r="D20" s="15" t="str">
        <f>IFERROR(INDEX('BalSht Data'!H$48:H$2999,MATCH(A20,IF('BalSht Data'!A$48=D$1,'BalSht Data'!G$48:G$2999),0)),"")</f>
        <v/>
      </c>
      <c r="E20" s="15" t="str">
        <f>IFERROR(INDEX('BalSht Data'!H$71:H$2999,MATCH(A20,IF('BalSht Data'!A$71=E$1,'BalSht Data'!G$71:G$2999),0)),"")</f>
        <v/>
      </c>
      <c r="F20" s="15" t="str">
        <f>IFERROR(INDEX('BalSht Data'!H$94:H$2999,MATCH(A20,IF('BalSht Data'!A$94=F$1,'BalSht Data'!G$94:G$2999),0)),"")</f>
        <v/>
      </c>
      <c r="G20" s="15" t="str">
        <f>IFERROR(INDEX('BalSht Data'!H$117:H$2999,MATCH(A20,IF('BalSht Data'!A$117=G$1,'BalSht Data'!G$117:G$2999),0)),"")</f>
        <v/>
      </c>
      <c r="H20" s="15" t="str">
        <f>IFERROR(INDEX('BalSht Data'!H$140:H$2999,MATCH(A20,IF('BalSht Data'!A$140=H$1,'BalSht Data'!G$140:G$2999),0)),"")</f>
        <v/>
      </c>
      <c r="I20" s="15" t="str">
        <f>IFERROR(INDEX('BalSht Data'!H$163:H$2999,MATCH(A20,IF('BalSht Data'!A$163=I$1,'BalSht Data'!G$163:G$2999),0)),"")</f>
        <v/>
      </c>
      <c r="J20" s="15" t="str">
        <f>IFERROR(INDEX('BalSht Data'!H$186:H$2999,MATCH(A20,IF('BalSht Data'!A$186=J$1,'BalSht Data'!G$186:G$2999),0)),"")</f>
        <v/>
      </c>
      <c r="K20" s="15" t="str">
        <f>IFERROR(INDEX('BalSht Data'!H$209:H$2999,MATCH(A20,IF('BalSht Data'!A$209=K$1,'BalSht Data'!G$209:G$2999),0)),"")</f>
        <v/>
      </c>
      <c r="L20" s="15" t="str">
        <f>IFERROR(INDEX('BalSht Data'!H$232:H$2999,MATCH(A20,IF('BalSht Data'!A$232=L$1,'BalSht Data'!G$232:G$2999),0)),"")</f>
        <v/>
      </c>
      <c r="M20" s="15" t="str">
        <f>IFERROR(INDEX('BalSht Data'!H$255:H$2999,MATCH(A20,IF('BalSht Data'!A$255=M$1,'BalSht Data'!G$255:G$2999),0)),"")</f>
        <v/>
      </c>
      <c r="N20" s="15" t="str">
        <f>IFERROR(INDEX('BalSht Data'!H$278:H$2999,MATCH(A20,IF('BalSht Data'!A$278=N$1,'BalSht Data'!G$278:G$2999),0)),"")</f>
        <v/>
      </c>
      <c r="O20" s="15" t="str">
        <f>IFERROR(INDEX('BalSht Data'!H$301:H$2999,MATCH(A20,IF('BalSht Data'!A$301=O$1,'BalSht Data'!G$301:G$2999),0)),"")</f>
        <v/>
      </c>
      <c r="P20" s="15" t="str">
        <f>IFERROR(INDEX('BalSht Data'!H$324:H$2999,MATCH(A20,IF('BalSht Data'!A$324=P$1,'BalSht Data'!G$324:G$2999),0)),"")</f>
        <v/>
      </c>
      <c r="Q20" s="15" t="str">
        <f>IFERROR(INDEX('BalSht Data'!H$347:H$2999,MATCH(A20,IF('BalSht Data'!A$347=Q$1,'BalSht Data'!G$347:G$2999),0)),"")</f>
        <v/>
      </c>
      <c r="R20" s="15" t="str">
        <f>IFERROR(INDEX('BalSht Data'!H$370:H$2999,MATCH(A20,IF('BalSht Data'!A$370=R$1,'BalSht Data'!G$370:G$2999),0)),"")</f>
        <v/>
      </c>
      <c r="S20" s="15" t="str">
        <f>IFERROR(INDEX('BalSht Data'!H$393:H$2999,MATCH(A20,IF('BalSht Data'!A$393=S$1,'BalSht Data'!G$393:G$2999),0)),"")</f>
        <v/>
      </c>
      <c r="T20" s="15" t="str">
        <f>IFERROR(INDEX('BalSht Data'!H$416:H$2999,MATCH(A20,IF('BalSht Data'!A$416=T$1,'BalSht Data'!G$416:G$2999),0)),"")</f>
        <v/>
      </c>
      <c r="U20" s="15" t="str">
        <f>IFERROR(INDEX('BalSht Data'!H$439:H$2999,MATCH(A20,IF('BalSht Data'!A$439=U$1,'BalSht Data'!G$439:G$2999),0)),"")</f>
        <v/>
      </c>
      <c r="V20" s="15" t="str">
        <f>IFERROR(INDEX('BalSht Data'!H$462:H$2999,MATCH(A20,IF('BalSht Data'!A$462=V$1,'BalSht Data'!G$462:G$2999),0)),"")</f>
        <v/>
      </c>
      <c r="W20" s="15" t="str">
        <f>IFERROR(INDEX('BalSht Data'!H$485:H$2999,MATCH(A20,IF('BalSht Data'!A$485=W$1,'BalSht Data'!G$485:G$2999),0)),"")</f>
        <v/>
      </c>
      <c r="X20" s="15" t="str">
        <f>IFERROR(INDEX('BalSht Data'!H$508:H$2999,MATCH(A20,IF('BalSht Data'!A$508=X$1,'BalSht Data'!G$508:G$2999),0)),"")</f>
        <v/>
      </c>
      <c r="Y20" s="15" t="str">
        <f>IFERROR(INDEX('BalSht Data'!H$531:H$2999,MATCH(A20,IF('BalSht Data'!A$531=Y$1,'BalSht Data'!G$531:G$2999),0)),"")</f>
        <v/>
      </c>
      <c r="Z20" s="15" t="str">
        <f>IFERROR(INDEX('BalSht Data'!H$554:H$2999,MATCH(A20,IF('BalSht Data'!A$554=Z$1,'BalSht Data'!G$554:G$2999),0)),"")</f>
        <v/>
      </c>
      <c r="AA20" s="15" t="str">
        <f>IFERROR(INDEX('BalSht Data'!H$577:H$2999,MATCH(A20,IF('BalSht Data'!A$577=AA$1,'BalSht Data'!G$577:G$2999),0)),"")</f>
        <v/>
      </c>
      <c r="AB20" s="15" t="str">
        <f>IFERROR(INDEX('BalSht Data'!H$600:H$2999,MATCH(A20,IF('BalSht Data'!A$600=AB$1,'BalSht Data'!G$600:G$2999),0)),"")</f>
        <v/>
      </c>
      <c r="AC20" s="15" t="str">
        <f>IFERROR(INDEX('BalSht Data'!H$623:H$2999,MATCH(A20,IF('BalSht Data'!A$623=AC$1,'BalSht Data'!G$623:G$2999),0)),"")</f>
        <v/>
      </c>
      <c r="AD20" s="15" t="str">
        <f>IFERROR(INDEX('BalSht Data'!H$646:H$2999,MATCH(A20,IF('BalSht Data'!A$646=AD$1,'BalSht Data'!G$646:G$2999),0)),"")</f>
        <v/>
      </c>
      <c r="AE20" s="15" t="str">
        <f>IFERROR(INDEX('BalSht Data'!H$669:H$2999,MATCH(A20,IF('BalSht Data'!A$669=AE$1,'BalSht Data'!G$669:G$2999),0)),"")</f>
        <v/>
      </c>
      <c r="AF20" s="15" t="str">
        <f>IFERROR(INDEX('BalSht Data'!H$692:H$2999,MATCH(A20,IF('BalSht Data'!A$692=AF$1,'BalSht Data'!G$692:G$2999),0)),"")</f>
        <v/>
      </c>
      <c r="AG20" s="15" t="str">
        <f>IFERROR(INDEX('BalSht Data'!H$715:H$2999,MATCH(A20,IF('BalSht Data'!A$715=AG$1,'BalSht Data'!G$715:G$2999),0)),"")</f>
        <v/>
      </c>
      <c r="AH20" s="15" t="str">
        <f>IFERROR(INDEX('BalSht Data'!H$738:H$2999,MATCH(A20,IF('BalSht Data'!A$738=AH$1,'BalSht Data'!G$738:G$2999),0)),"")</f>
        <v/>
      </c>
      <c r="AI20" s="15" t="str">
        <f>IFERROR(INDEX('BalSht Data'!H$761:H$2999,MATCH(A20,IF('BalSht Data'!A$761=AI$1,'BalSht Data'!G$761:G$2999),0)),"")</f>
        <v/>
      </c>
      <c r="AJ20" s="15" t="str">
        <f>IFERROR(INDEX('BalSht Data'!H$784:H$2999,MATCH(A20,IF('BalSht Data'!A$784=AJ$1,'BalSht Data'!G$784:G$2999),0)),"")</f>
        <v/>
      </c>
      <c r="AK20" s="15" t="str">
        <f>IFERROR(INDEX('BalSht Data'!H$807:H$2999,MATCH(A20,IF('BalSht Data'!A$807=AK$1,'BalSht Data'!G$807:G$2999),0)),"")</f>
        <v/>
      </c>
      <c r="AL20" s="15" t="str">
        <f>IFERROR(INDEX('BalSht Data'!H$830:H$2999,MATCH(A20,IF('BalSht Data'!A$830=AL$1,'BalSht Data'!G$830:G$2999),0)),"")</f>
        <v/>
      </c>
      <c r="AM20" s="15" t="str">
        <f>IFERROR(INDEX('BalSht Data'!H$853:H$2999,MATCH(A20,IF('BalSht Data'!A$853=AM$1,'BalSht Data'!G$853:G$2999),0)),"")</f>
        <v/>
      </c>
      <c r="AN20" s="15" t="str">
        <f>IFERROR(INDEX('BalSht Data'!H$876:H$2999,MATCH(A20,IF('BalSht Data'!A$876=AN$1,'BalSht Data'!G$876:G$2999),0)),"")</f>
        <v/>
      </c>
      <c r="AO20" s="15" t="str">
        <f>IFERROR(INDEX('BalSht Data'!H$899:H$2999,MATCH(A20,IF('BalSht Data'!A$899=AO$1,'BalSht Data'!G$899:G$2999),0)),"")</f>
        <v/>
      </c>
      <c r="AP20" s="15" t="str">
        <f>IFERROR(INDEX('BalSht Data'!H$922:H$2999,MATCH(A20,IF('BalSht Data'!A$922=AP$1,'BalSht Data'!G$922:G$2999),0)),"")</f>
        <v/>
      </c>
      <c r="AQ20" s="15" t="str">
        <f>IFERROR(INDEX('BalSht Data'!H$945:H$2999,MATCH(A20,IF('BalSht Data'!A$945=AQ$1,'BalSht Data'!G$945:G$2999),0)),"")</f>
        <v/>
      </c>
      <c r="AR20" s="15" t="str">
        <f>IFERROR(INDEX('BalSht Data'!H$968:H$2999,MATCH(A20,IF('BalSht Data'!A$968=AR$1,'BalSht Data'!G$968:G$2999),0)),"")</f>
        <v/>
      </c>
      <c r="AS20" s="15" t="str">
        <f>IFERROR(INDEX('BalSht Data'!H$991:H$2999,MATCH(A20,IF('BalSht Data'!A$991=AS$1,'BalSht Data'!G$991:G$2999),0)),"")</f>
        <v/>
      </c>
      <c r="AT20" s="15" t="str">
        <f>IFERROR(INDEX('BalSht Data'!H$1014:H$2999,MATCH(A20,IF('BalSht Data'!A$1014=AT$1,'BalSht Data'!G$1014:G$2999),0)),"")</f>
        <v/>
      </c>
      <c r="AU20" s="15" t="str">
        <f>IFERROR(INDEX('BalSht Data'!H$1037:H$2999,MATCH(A20,IF('BalSht Data'!A$1037=AU$1,'BalSht Data'!G$1037:G$2999),0)),"")</f>
        <v/>
      </c>
      <c r="AV20" s="15" t="str">
        <f>IFERROR(INDEX('BalSht Data'!H$1060:H$2999,MATCH(A20,IF('BalSht Data'!A$1060=AV$1,'BalSht Data'!G$1060:G$2999),0)),"")</f>
        <v/>
      </c>
      <c r="AW20" s="15" t="str">
        <f>IFERROR(INDEX('BalSht Data'!H$1083:H$2999,MATCH(A20,IF('BalSht Data'!A$1083=AW$1,'BalSht Data'!G$1083:G$2999),0)),"")</f>
        <v/>
      </c>
      <c r="AX20" s="15" t="str">
        <f>IFERROR(INDEX('BalSht Data'!H$1106:H$2999,MATCH(A20,IF('BalSht Data'!A$1106=AX$1,'BalSht Data'!G$1106:G$2999),0)),"")</f>
        <v/>
      </c>
      <c r="AY20" s="15" t="str">
        <f>IFERROR(INDEX('BalSht Data'!H$1129:H$2999,MATCH(A20,IF('BalSht Data'!A$1129=AY$1,'BalSht Data'!G$1129:G$2999),0)),"")</f>
        <v/>
      </c>
      <c r="AZ20" s="15" t="str">
        <f>IFERROR(INDEX('BalSht Data'!H$1152:H$2999,MATCH(A20,IF('BalSht Data'!A$1152=AZ$1,'BalSht Data'!G$1152:G$2999),0)),"")</f>
        <v/>
      </c>
      <c r="BA20" s="15" t="str">
        <f>IFERROR(INDEX('BalSht Data'!H$1175:H$2999,MATCH(A20,IF('BalSht Data'!A$1175=BA$1,'BalSht Data'!G$1175:G$2999),0)),"")</f>
        <v/>
      </c>
      <c r="BB20" s="15" t="str">
        <f>IFERROR(INDEX('BalSht Data'!H$1198:H$2999,MATCH(A20,IF('BalSht Data'!A$1198=BB$1,'BalSht Data'!G$1198:G$2999),0)),"")</f>
        <v/>
      </c>
      <c r="BC20" s="15" t="str">
        <f>IFERROR(INDEX('BalSht Data'!H$1221:H$2999,MATCH(A20,IF('BalSht Data'!A$1221=BC$1,'BalSht Data'!G$1221:G$2999),0)),"")</f>
        <v/>
      </c>
      <c r="BD20" s="15" t="str">
        <f>IFERROR(INDEX('BalSht Data'!H$1244:H$2999,MATCH(A20,IF('BalSht Data'!A$1244=BD$1,'BalSht Data'!G$1244:G$2999),0)),"")</f>
        <v/>
      </c>
      <c r="BE20" s="15" t="str">
        <f>IFERROR(INDEX('BalSht Data'!H$1267:H$2999,MATCH(A20,IF('BalSht Data'!A$1267=BE$1,'BalSht Data'!G$1267:G$2999),0)),"")</f>
        <v/>
      </c>
      <c r="BF20" s="15"/>
    </row>
    <row r="21" spans="1:58" x14ac:dyDescent="0.2">
      <c r="A21" s="5" t="s">
        <v>27</v>
      </c>
      <c r="B21" s="15" t="str">
        <f>IFERROR(INDEX('BalSht Data'!H$2:H$2999,MATCH(A21,IF('BalSht Data'!A$2=B$1,'BalSht Data'!G$2:G$2999),0)),"")</f>
        <v/>
      </c>
      <c r="C21" s="15" t="str">
        <f>IFERROR(INDEX('BalSht Data'!H$25:H$2999,MATCH(A21,IF('BalSht Data'!A$25=C$1,'BalSht Data'!G$2:G$2999),0)),"")</f>
        <v/>
      </c>
      <c r="D21" s="15" t="str">
        <f>IFERROR(INDEX('BalSht Data'!H$48:H$2999,MATCH(A21,IF('BalSht Data'!A$48=D$1,'BalSht Data'!G$48:G$2999),0)),"")</f>
        <v/>
      </c>
      <c r="E21" s="15" t="str">
        <f>IFERROR(INDEX('BalSht Data'!H$71:H$2999,MATCH(A21,IF('BalSht Data'!A$71=E$1,'BalSht Data'!G$71:G$2999),0)),"")</f>
        <v/>
      </c>
      <c r="F21" s="15" t="str">
        <f>IFERROR(INDEX('BalSht Data'!H$94:H$2999,MATCH(A21,IF('BalSht Data'!A$94=F$1,'BalSht Data'!G$94:G$2999),0)),"")</f>
        <v/>
      </c>
      <c r="G21" s="15" t="str">
        <f>IFERROR(INDEX('BalSht Data'!H$117:H$2999,MATCH(A21,IF('BalSht Data'!A$117=G$1,'BalSht Data'!G$117:G$2999),0)),"")</f>
        <v/>
      </c>
      <c r="H21" s="15" t="str">
        <f>IFERROR(INDEX('BalSht Data'!H$140:H$2999,MATCH(A21,IF('BalSht Data'!A$140=H$1,'BalSht Data'!G$140:G$2999),0)),"")</f>
        <v/>
      </c>
      <c r="I21" s="15" t="str">
        <f>IFERROR(INDEX('BalSht Data'!H$163:H$2999,MATCH(A21,IF('BalSht Data'!A$163=I$1,'BalSht Data'!G$163:G$2999),0)),"")</f>
        <v/>
      </c>
      <c r="J21" s="15" t="str">
        <f>IFERROR(INDEX('BalSht Data'!H$186:H$2999,MATCH(A21,IF('BalSht Data'!A$186=J$1,'BalSht Data'!G$186:G$2999),0)),"")</f>
        <v/>
      </c>
      <c r="K21" s="15" t="str">
        <f>IFERROR(INDEX('BalSht Data'!H$209:H$2999,MATCH(A21,IF('BalSht Data'!A$209=K$1,'BalSht Data'!G$209:G$2999),0)),"")</f>
        <v/>
      </c>
      <c r="L21" s="15" t="str">
        <f>IFERROR(INDEX('BalSht Data'!H$232:H$2999,MATCH(A21,IF('BalSht Data'!A$232=L$1,'BalSht Data'!G$232:G$2999),0)),"")</f>
        <v/>
      </c>
      <c r="M21" s="15" t="str">
        <f>IFERROR(INDEX('BalSht Data'!H$255:H$2999,MATCH(A21,IF('BalSht Data'!A$255=M$1,'BalSht Data'!G$255:G$2999),0)),"")</f>
        <v/>
      </c>
      <c r="N21" s="15" t="str">
        <f>IFERROR(INDEX('BalSht Data'!H$278:H$2999,MATCH(A21,IF('BalSht Data'!A$278=N$1,'BalSht Data'!G$278:G$2999),0)),"")</f>
        <v/>
      </c>
      <c r="O21" s="15" t="str">
        <f>IFERROR(INDEX('BalSht Data'!H$301:H$2999,MATCH(A21,IF('BalSht Data'!A$301=O$1,'BalSht Data'!G$301:G$2999),0)),"")</f>
        <v/>
      </c>
      <c r="P21" s="15" t="str">
        <f>IFERROR(INDEX('BalSht Data'!H$324:H$2999,MATCH(A21,IF('BalSht Data'!A$324=P$1,'BalSht Data'!G$324:G$2999),0)),"")</f>
        <v/>
      </c>
      <c r="Q21" s="15" t="str">
        <f>IFERROR(INDEX('BalSht Data'!H$347:H$2999,MATCH(A21,IF('BalSht Data'!A$347=Q$1,'BalSht Data'!G$347:G$2999),0)),"")</f>
        <v/>
      </c>
      <c r="R21" s="15" t="str">
        <f>IFERROR(INDEX('BalSht Data'!H$370:H$2999,MATCH(A21,IF('BalSht Data'!A$370=R$1,'BalSht Data'!G$370:G$2999),0)),"")</f>
        <v/>
      </c>
      <c r="S21" s="15" t="str">
        <f>IFERROR(INDEX('BalSht Data'!H$393:H$2999,MATCH(A21,IF('BalSht Data'!A$393=S$1,'BalSht Data'!G$393:G$2999),0)),"")</f>
        <v/>
      </c>
      <c r="T21" s="15" t="str">
        <f>IFERROR(INDEX('BalSht Data'!H$416:H$2999,MATCH(A21,IF('BalSht Data'!A$416=T$1,'BalSht Data'!G$416:G$2999),0)),"")</f>
        <v/>
      </c>
      <c r="U21" s="15" t="str">
        <f>IFERROR(INDEX('BalSht Data'!H$439:H$2999,MATCH(A21,IF('BalSht Data'!A$439=U$1,'BalSht Data'!G$439:G$2999),0)),"")</f>
        <v/>
      </c>
      <c r="V21" s="15" t="str">
        <f>IFERROR(INDEX('BalSht Data'!H$462:H$2999,MATCH(A21,IF('BalSht Data'!A$462=V$1,'BalSht Data'!G$462:G$2999),0)),"")</f>
        <v/>
      </c>
      <c r="W21" s="15" t="str">
        <f>IFERROR(INDEX('BalSht Data'!H$485:H$2999,MATCH(A21,IF('BalSht Data'!A$485=W$1,'BalSht Data'!G$485:G$2999),0)),"")</f>
        <v/>
      </c>
      <c r="X21" s="15" t="str">
        <f>IFERROR(INDEX('BalSht Data'!H$508:H$2999,MATCH(A21,IF('BalSht Data'!A$508=X$1,'BalSht Data'!G$508:G$2999),0)),"")</f>
        <v/>
      </c>
      <c r="Y21" s="15" t="str">
        <f>IFERROR(INDEX('BalSht Data'!H$531:H$2999,MATCH(A21,IF('BalSht Data'!A$531=Y$1,'BalSht Data'!G$531:G$2999),0)),"")</f>
        <v/>
      </c>
      <c r="Z21" s="15" t="str">
        <f>IFERROR(INDEX('BalSht Data'!H$554:H$2999,MATCH(A21,IF('BalSht Data'!A$554=Z$1,'BalSht Data'!G$554:G$2999),0)),"")</f>
        <v/>
      </c>
      <c r="AA21" s="15" t="str">
        <f>IFERROR(INDEX('BalSht Data'!H$577:H$2999,MATCH(A21,IF('BalSht Data'!A$577=AA$1,'BalSht Data'!G$577:G$2999),0)),"")</f>
        <v/>
      </c>
      <c r="AB21" s="15" t="str">
        <f>IFERROR(INDEX('BalSht Data'!H$600:H$2999,MATCH(A21,IF('BalSht Data'!A$600=AB$1,'BalSht Data'!G$600:G$2999),0)),"")</f>
        <v/>
      </c>
      <c r="AC21" s="15" t="str">
        <f>IFERROR(INDEX('BalSht Data'!H$623:H$2999,MATCH(A21,IF('BalSht Data'!A$623=AC$1,'BalSht Data'!G$623:G$2999),0)),"")</f>
        <v/>
      </c>
      <c r="AD21" s="15" t="str">
        <f>IFERROR(INDEX('BalSht Data'!H$646:H$2999,MATCH(A21,IF('BalSht Data'!A$646=AD$1,'BalSht Data'!G$646:G$2999),0)),"")</f>
        <v/>
      </c>
      <c r="AE21" s="15" t="str">
        <f>IFERROR(INDEX('BalSht Data'!H$669:H$2999,MATCH(A21,IF('BalSht Data'!A$669=AE$1,'BalSht Data'!G$669:G$2999),0)),"")</f>
        <v/>
      </c>
      <c r="AF21" s="15" t="str">
        <f>IFERROR(INDEX('BalSht Data'!H$692:H$2999,MATCH(A21,IF('BalSht Data'!A$692=AF$1,'BalSht Data'!G$692:G$2999),0)),"")</f>
        <v/>
      </c>
      <c r="AG21" s="15" t="str">
        <f>IFERROR(INDEX('BalSht Data'!H$715:H$2999,MATCH(A21,IF('BalSht Data'!A$715=AG$1,'BalSht Data'!G$715:G$2999),0)),"")</f>
        <v/>
      </c>
      <c r="AH21" s="15" t="str">
        <f>IFERROR(INDEX('BalSht Data'!H$738:H$2999,MATCH(A21,IF('BalSht Data'!A$738=AH$1,'BalSht Data'!G$738:G$2999),0)),"")</f>
        <v/>
      </c>
      <c r="AI21" s="15" t="str">
        <f>IFERROR(INDEX('BalSht Data'!H$761:H$2999,MATCH(A21,IF('BalSht Data'!A$761=AI$1,'BalSht Data'!G$761:G$2999),0)),"")</f>
        <v/>
      </c>
      <c r="AJ21" s="15" t="str">
        <f>IFERROR(INDEX('BalSht Data'!H$784:H$2999,MATCH(A21,IF('BalSht Data'!A$784=AJ$1,'BalSht Data'!G$784:G$2999),0)),"")</f>
        <v/>
      </c>
      <c r="AK21" s="15" t="str">
        <f>IFERROR(INDEX('BalSht Data'!H$807:H$2999,MATCH(A21,IF('BalSht Data'!A$807=AK$1,'BalSht Data'!G$807:G$2999),0)),"")</f>
        <v/>
      </c>
      <c r="AL21" s="15" t="str">
        <f>IFERROR(INDEX('BalSht Data'!H$830:H$2999,MATCH(A21,IF('BalSht Data'!A$830=AL$1,'BalSht Data'!G$830:G$2999),0)),"")</f>
        <v/>
      </c>
      <c r="AM21" s="15" t="str">
        <f>IFERROR(INDEX('BalSht Data'!H$853:H$2999,MATCH(A21,IF('BalSht Data'!A$853=AM$1,'BalSht Data'!G$853:G$2999),0)),"")</f>
        <v/>
      </c>
      <c r="AN21" s="15" t="str">
        <f>IFERROR(INDEX('BalSht Data'!H$876:H$2999,MATCH(A21,IF('BalSht Data'!A$876=AN$1,'BalSht Data'!G$876:G$2999),0)),"")</f>
        <v/>
      </c>
      <c r="AO21" s="15" t="str">
        <f>IFERROR(INDEX('BalSht Data'!H$899:H$2999,MATCH(A21,IF('BalSht Data'!A$899=AO$1,'BalSht Data'!G$899:G$2999),0)),"")</f>
        <v/>
      </c>
      <c r="AP21" s="15" t="str">
        <f>IFERROR(INDEX('BalSht Data'!H$922:H$2999,MATCH(A21,IF('BalSht Data'!A$922=AP$1,'BalSht Data'!G$922:G$2999),0)),"")</f>
        <v/>
      </c>
      <c r="AQ21" s="15" t="str">
        <f>IFERROR(INDEX('BalSht Data'!H$945:H$2999,MATCH(A21,IF('BalSht Data'!A$945=AQ$1,'BalSht Data'!G$945:G$2999),0)),"")</f>
        <v/>
      </c>
      <c r="AR21" s="15" t="str">
        <f>IFERROR(INDEX('BalSht Data'!H$968:H$2999,MATCH(A21,IF('BalSht Data'!A$968=AR$1,'BalSht Data'!G$968:G$2999),0)),"")</f>
        <v/>
      </c>
      <c r="AS21" s="15" t="str">
        <f>IFERROR(INDEX('BalSht Data'!H$991:H$2999,MATCH(A21,IF('BalSht Data'!A$991=AS$1,'BalSht Data'!G$991:G$2999),0)),"")</f>
        <v/>
      </c>
      <c r="AT21" s="15" t="str">
        <f>IFERROR(INDEX('BalSht Data'!H$1014:H$2999,MATCH(A21,IF('BalSht Data'!A$1014=AT$1,'BalSht Data'!G$1014:G$2999),0)),"")</f>
        <v/>
      </c>
      <c r="AU21" s="15" t="str">
        <f>IFERROR(INDEX('BalSht Data'!H$1037:H$2999,MATCH(A21,IF('BalSht Data'!A$1037=AU$1,'BalSht Data'!G$1037:G$2999),0)),"")</f>
        <v/>
      </c>
      <c r="AV21" s="15" t="str">
        <f>IFERROR(INDEX('BalSht Data'!H$1060:H$2999,MATCH(A21,IF('BalSht Data'!A$1060=AV$1,'BalSht Data'!G$1060:G$2999),0)),"")</f>
        <v/>
      </c>
      <c r="AW21" s="15" t="str">
        <f>IFERROR(INDEX('BalSht Data'!H$1083:H$2999,MATCH(A21,IF('BalSht Data'!A$1083=AW$1,'BalSht Data'!G$1083:G$2999),0)),"")</f>
        <v/>
      </c>
      <c r="AX21" s="15" t="str">
        <f>IFERROR(INDEX('BalSht Data'!H$1106:H$2999,MATCH(A21,IF('BalSht Data'!A$1106=AX$1,'BalSht Data'!G$1106:G$2999),0)),"")</f>
        <v/>
      </c>
      <c r="AY21" s="15" t="str">
        <f>IFERROR(INDEX('BalSht Data'!H$1129:H$2999,MATCH(A21,IF('BalSht Data'!A$1129=AY$1,'BalSht Data'!G$1129:G$2999),0)),"")</f>
        <v/>
      </c>
      <c r="AZ21" s="15" t="str">
        <f>IFERROR(INDEX('BalSht Data'!H$1152:H$2999,MATCH(A21,IF('BalSht Data'!A$1152=AZ$1,'BalSht Data'!G$1152:G$2999),0)),"")</f>
        <v/>
      </c>
      <c r="BA21" s="15" t="str">
        <f>IFERROR(INDEX('BalSht Data'!H$1175:H$2999,MATCH(A21,IF('BalSht Data'!A$1175=BA$1,'BalSht Data'!G$1175:G$2999),0)),"")</f>
        <v/>
      </c>
      <c r="BB21" s="15" t="str">
        <f>IFERROR(INDEX('BalSht Data'!H$1198:H$2999,MATCH(A21,IF('BalSht Data'!A$1198=BB$1,'BalSht Data'!G$1198:G$2999),0)),"")</f>
        <v/>
      </c>
      <c r="BC21" s="15" t="str">
        <f>IFERROR(INDEX('BalSht Data'!H$1221:H$2999,MATCH(A21,IF('BalSht Data'!A$1221=BC$1,'BalSht Data'!G$1221:G$2999),0)),"")</f>
        <v/>
      </c>
      <c r="BD21" s="15" t="str">
        <f>IFERROR(INDEX('BalSht Data'!H$1244:H$2999,MATCH(A21,IF('BalSht Data'!A$1244=BD$1,'BalSht Data'!G$1244:G$2999),0)),"")</f>
        <v/>
      </c>
      <c r="BE21" s="15" t="str">
        <f>IFERROR(INDEX('BalSht Data'!H$1267:H$2999,MATCH(A21,IF('BalSht Data'!A$1267=BE$1,'BalSht Data'!G$1267:G$2999),0)),"")</f>
        <v/>
      </c>
      <c r="BF21" s="15"/>
    </row>
    <row r="22" spans="1:58" x14ac:dyDescent="0.2">
      <c r="A22" s="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  <c r="BF22" s="15"/>
    </row>
    <row r="23" spans="1:58" x14ac:dyDescent="0.2"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  <c r="BF23" s="15"/>
    </row>
    <row r="24" spans="1:58" x14ac:dyDescent="0.2">
      <c r="A24" s="2" t="s">
        <v>28</v>
      </c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  <c r="BF24" s="15"/>
    </row>
    <row r="25" spans="1:58" x14ac:dyDescent="0.2"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  <c r="BC25" s="15"/>
      <c r="BD25" s="15"/>
      <c r="BE25" s="15"/>
      <c r="BF25" s="15"/>
    </row>
    <row r="26" spans="1:58" x14ac:dyDescent="0.2">
      <c r="A26" s="5" t="s">
        <v>29</v>
      </c>
      <c r="B26" s="15" t="str">
        <f>IFERROR(INDEX('BalSht Data'!H$2:H$2999,MATCH(A26,IF('BalSht Data'!A$2=B$1,'BalSht Data'!G$2:G$2999),0)),"")</f>
        <v/>
      </c>
      <c r="C26" s="15" t="str">
        <f>IFERROR(INDEX('BalSht Data'!H$25:H$2999,MATCH(A26,IF('BalSht Data'!A$25=C$1,'BalSht Data'!G$2:G$2999),0)),"")</f>
        <v/>
      </c>
      <c r="D26" s="15" t="str">
        <f>IFERROR(INDEX('BalSht Data'!H$48:H$2999,MATCH(A26,IF('BalSht Data'!A$48=D$1,'BalSht Data'!G$48:G$2999),0)),"")</f>
        <v/>
      </c>
      <c r="E26" s="15" t="str">
        <f>IFERROR(INDEX('BalSht Data'!H$71:H$2999,MATCH(A26,IF('BalSht Data'!A$71=E$1,'BalSht Data'!G$71:G$2999),0)),"")</f>
        <v/>
      </c>
      <c r="F26" s="15" t="str">
        <f>IFERROR(INDEX('BalSht Data'!H$94:H$2999,MATCH(A26,IF('BalSht Data'!A$94=F$1,'BalSht Data'!G$94:G$2999),0)),"")</f>
        <v/>
      </c>
      <c r="G26" s="15" t="str">
        <f>IFERROR(INDEX('BalSht Data'!H$117:H$2999,MATCH(A26,IF('BalSht Data'!A$117=G$1,'BalSht Data'!G$117:G$2999),0)),"")</f>
        <v/>
      </c>
      <c r="H26" s="15" t="str">
        <f>IFERROR(INDEX('BalSht Data'!H$140:H$2999,MATCH(A26,IF('BalSht Data'!A$140=H$1,'BalSht Data'!G$140:G$2999),0)),"")</f>
        <v/>
      </c>
      <c r="I26" s="15" t="str">
        <f>IFERROR(INDEX('BalSht Data'!H$163:H$2999,MATCH(A26,IF('BalSht Data'!A$163=I$1,'BalSht Data'!G$163:G$2999),0)),"")</f>
        <v/>
      </c>
      <c r="J26" s="15" t="str">
        <f>IFERROR(INDEX('BalSht Data'!H$186:H$2999,MATCH(A26,IF('BalSht Data'!A$186=J$1,'BalSht Data'!G$186:G$2999),0)),"")</f>
        <v/>
      </c>
      <c r="K26" s="15" t="str">
        <f>IFERROR(INDEX('BalSht Data'!H$209:H$2999,MATCH(A26,IF('BalSht Data'!A$209=K$1,'BalSht Data'!G$209:G$2999),0)),"")</f>
        <v/>
      </c>
      <c r="L26" s="15" t="str">
        <f>IFERROR(INDEX('BalSht Data'!H$232:H$2999,MATCH(A26,IF('BalSht Data'!A$232=L$1,'BalSht Data'!G$232:G$2999),0)),"")</f>
        <v/>
      </c>
      <c r="M26" s="15" t="str">
        <f>IFERROR(INDEX('BalSht Data'!H$255:H$2999,MATCH(A26,IF('BalSht Data'!A$255=M$1,'BalSht Data'!G$255:G$2999),0)),"")</f>
        <v/>
      </c>
      <c r="N26" s="15" t="str">
        <f>IFERROR(INDEX('BalSht Data'!H$278:H$2999,MATCH(A26,IF('BalSht Data'!A$278=N$1,'BalSht Data'!G$278:G$2999),0)),"")</f>
        <v/>
      </c>
      <c r="O26" s="15" t="str">
        <f>IFERROR(INDEX('BalSht Data'!H$301:H$2999,MATCH(A26,IF('BalSht Data'!A$301=O$1,'BalSht Data'!G$301:G$2999),0)),"")</f>
        <v/>
      </c>
      <c r="P26" s="15" t="str">
        <f>IFERROR(INDEX('BalSht Data'!H$324:H$2999,MATCH(A26,IF('BalSht Data'!A$324=P$1,'BalSht Data'!G$324:G$2999),0)),"")</f>
        <v/>
      </c>
      <c r="Q26" s="15" t="str">
        <f>IFERROR(INDEX('BalSht Data'!H$347:H$2999,MATCH(A26,IF('BalSht Data'!A$347=Q$1,'BalSht Data'!G$347:G$2999),0)),"")</f>
        <v/>
      </c>
      <c r="R26" s="15" t="str">
        <f>IFERROR(INDEX('BalSht Data'!H$370:H$2999,MATCH(A26,IF('BalSht Data'!A$370=R$1,'BalSht Data'!G$370:G$2999),0)),"")</f>
        <v/>
      </c>
      <c r="S26" s="15" t="str">
        <f>IFERROR(INDEX('BalSht Data'!H$393:H$2999,MATCH(A26,IF('BalSht Data'!A$393=S$1,'BalSht Data'!G$393:G$2999),0)),"")</f>
        <v/>
      </c>
      <c r="T26" s="15" t="str">
        <f>IFERROR(INDEX('BalSht Data'!H$416:H$2999,MATCH(A26,IF('BalSht Data'!A$416=T$1,'BalSht Data'!G$416:G$2999),0)),"")</f>
        <v/>
      </c>
      <c r="U26" s="15" t="str">
        <f>IFERROR(INDEX('BalSht Data'!H$439:H$2999,MATCH(A26,IF('BalSht Data'!A$439=U$1,'BalSht Data'!G$439:G$2999),0)),"")</f>
        <v/>
      </c>
      <c r="V26" s="15" t="str">
        <f>IFERROR(INDEX('BalSht Data'!H$462:H$2999,MATCH(A26,IF('BalSht Data'!A$462=V$1,'BalSht Data'!G$462:G$2999),0)),"")</f>
        <v/>
      </c>
      <c r="W26" s="15" t="str">
        <f>IFERROR(INDEX('BalSht Data'!H$485:H$2999,MATCH(A26,IF('BalSht Data'!A$485=W$1,'BalSht Data'!G$485:G$2999),0)),"")</f>
        <v/>
      </c>
      <c r="X26" s="15" t="str">
        <f>IFERROR(INDEX('BalSht Data'!H$508:H$2999,MATCH(A26,IF('BalSht Data'!A$508=X$1,'BalSht Data'!G$508:G$2999),0)),"")</f>
        <v/>
      </c>
      <c r="Y26" s="15" t="str">
        <f>IFERROR(INDEX('BalSht Data'!H$531:H$2999,MATCH(A26,IF('BalSht Data'!A$531=Y$1,'BalSht Data'!G$531:G$2999),0)),"")</f>
        <v/>
      </c>
      <c r="Z26" s="15" t="str">
        <f>IFERROR(INDEX('BalSht Data'!H$554:H$2999,MATCH(A26,IF('BalSht Data'!A$554=Z$1,'BalSht Data'!G$554:G$2999),0)),"")</f>
        <v/>
      </c>
      <c r="AA26" s="15" t="str">
        <f>IFERROR(INDEX('BalSht Data'!H$577:H$2999,MATCH(A26,IF('BalSht Data'!A$577=AA$1,'BalSht Data'!G$577:G$2999),0)),"")</f>
        <v/>
      </c>
      <c r="AB26" s="15" t="str">
        <f>IFERROR(INDEX('BalSht Data'!H$600:H$2999,MATCH(A26,IF('BalSht Data'!A$600=AB$1,'BalSht Data'!G$600:G$2999),0)),"")</f>
        <v/>
      </c>
      <c r="AC26" s="15" t="str">
        <f>IFERROR(INDEX('BalSht Data'!H$623:H$2999,MATCH(A26,IF('BalSht Data'!A$623=AC$1,'BalSht Data'!G$623:G$2999),0)),"")</f>
        <v/>
      </c>
      <c r="AD26" s="15" t="str">
        <f>IFERROR(INDEX('BalSht Data'!H$646:H$2999,MATCH(A26,IF('BalSht Data'!A$646=AD$1,'BalSht Data'!G$646:G$2999),0)),"")</f>
        <v/>
      </c>
      <c r="AE26" s="15" t="str">
        <f>IFERROR(INDEX('BalSht Data'!H$669:H$2999,MATCH(A26,IF('BalSht Data'!A$669=AE$1,'BalSht Data'!G$669:G$2999),0)),"")</f>
        <v/>
      </c>
      <c r="AF26" s="15" t="str">
        <f>IFERROR(INDEX('BalSht Data'!H$692:H$2999,MATCH(A26,IF('BalSht Data'!A$692=AF$1,'BalSht Data'!G$692:G$2999),0)),"")</f>
        <v/>
      </c>
      <c r="AG26" s="15" t="str">
        <f>IFERROR(INDEX('BalSht Data'!H$715:H$2999,MATCH(A26,IF('BalSht Data'!A$715=AG$1,'BalSht Data'!G$715:G$2999),0)),"")</f>
        <v/>
      </c>
      <c r="AH26" s="15" t="str">
        <f>IFERROR(INDEX('BalSht Data'!H$738:H$2999,MATCH(A26,IF('BalSht Data'!A$738=AH$1,'BalSht Data'!G$738:G$2999),0)),"")</f>
        <v/>
      </c>
      <c r="AI26" s="15" t="str">
        <f>IFERROR(INDEX('BalSht Data'!H$761:H$2999,MATCH(A26,IF('BalSht Data'!A$761=AI$1,'BalSht Data'!G$761:G$2999),0)),"")</f>
        <v/>
      </c>
      <c r="AJ26" s="15" t="str">
        <f>IFERROR(INDEX('BalSht Data'!H$784:H$2999,MATCH(A26,IF('BalSht Data'!A$784=AJ$1,'BalSht Data'!G$784:G$2999),0)),"")</f>
        <v/>
      </c>
      <c r="AK26" s="15" t="str">
        <f>IFERROR(INDEX('BalSht Data'!H$807:H$2999,MATCH(A26,IF('BalSht Data'!A$807=AK$1,'BalSht Data'!G$807:G$2999),0)),"")</f>
        <v/>
      </c>
      <c r="AL26" s="15" t="str">
        <f>IFERROR(INDEX('BalSht Data'!H$830:H$2999,MATCH(A26,IF('BalSht Data'!A$830=AL$1,'BalSht Data'!G$830:G$2999),0)),"")</f>
        <v/>
      </c>
      <c r="AM26" s="15" t="str">
        <f>IFERROR(INDEX('BalSht Data'!H$853:H$2999,MATCH(A26,IF('BalSht Data'!A$853=AM$1,'BalSht Data'!G$853:G$2999),0)),"")</f>
        <v/>
      </c>
      <c r="AN26" s="15" t="str">
        <f>IFERROR(INDEX('BalSht Data'!H$876:H$2999,MATCH(A26,IF('BalSht Data'!A$876=AN$1,'BalSht Data'!G$876:G$2999),0)),"")</f>
        <v/>
      </c>
      <c r="AO26" s="15" t="str">
        <f>IFERROR(INDEX('BalSht Data'!H$899:H$2999,MATCH(A26,IF('BalSht Data'!A$899=AO$1,'BalSht Data'!G$899:G$2999),0)),"")</f>
        <v/>
      </c>
      <c r="AP26" s="15" t="str">
        <f>IFERROR(INDEX('BalSht Data'!H$922:H$2999,MATCH(A26,IF('BalSht Data'!A$922=AP$1,'BalSht Data'!G$922:G$2999),0)),"")</f>
        <v/>
      </c>
      <c r="AQ26" s="15" t="str">
        <f>IFERROR(INDEX('BalSht Data'!H$945:H$2999,MATCH(A26,IF('BalSht Data'!A$945=AQ$1,'BalSht Data'!G$945:G$2999),0)),"")</f>
        <v/>
      </c>
      <c r="AR26" s="15" t="str">
        <f>IFERROR(INDEX('BalSht Data'!H$968:H$2999,MATCH(A26,IF('BalSht Data'!A$968=AR$1,'BalSht Data'!G$968:G$2999),0)),"")</f>
        <v/>
      </c>
      <c r="AS26" s="15" t="str">
        <f>IFERROR(INDEX('BalSht Data'!H$991:H$2999,MATCH(A26,IF('BalSht Data'!A$991=AS$1,'BalSht Data'!G$991:G$2999),0)),"")</f>
        <v/>
      </c>
      <c r="AT26" s="15" t="str">
        <f>IFERROR(INDEX('BalSht Data'!H$1014:H$2999,MATCH(A26,IF('BalSht Data'!A$1014=AT$1,'BalSht Data'!G$1014:G$2999),0)),"")</f>
        <v/>
      </c>
      <c r="AU26" s="15" t="str">
        <f>IFERROR(INDEX('BalSht Data'!H$1037:H$2999,MATCH(A26,IF('BalSht Data'!A$1037=AU$1,'BalSht Data'!G$1037:G$2999),0)),"")</f>
        <v/>
      </c>
      <c r="AV26" s="15" t="str">
        <f>IFERROR(INDEX('BalSht Data'!H$1060:H$2999,MATCH(A26,IF('BalSht Data'!A$1060=AV$1,'BalSht Data'!G$1060:G$2999),0)),"")</f>
        <v/>
      </c>
      <c r="AW26" s="15" t="str">
        <f>IFERROR(INDEX('BalSht Data'!H$1083:H$2999,MATCH(A26,IF('BalSht Data'!A$1083=AW$1,'BalSht Data'!G$1083:G$2999),0)),"")</f>
        <v/>
      </c>
      <c r="AX26" s="15" t="str">
        <f>IFERROR(INDEX('BalSht Data'!H$1106:H$2999,MATCH(A26,IF('BalSht Data'!A$1106=AX$1,'BalSht Data'!G$1106:G$2999),0)),"")</f>
        <v/>
      </c>
      <c r="AY26" s="15" t="str">
        <f>IFERROR(INDEX('BalSht Data'!H$1129:H$2999,MATCH(A26,IF('BalSht Data'!A$1129=AY$1,'BalSht Data'!G$1129:G$2999),0)),"")</f>
        <v/>
      </c>
      <c r="AZ26" s="15" t="str">
        <f>IFERROR(INDEX('BalSht Data'!H$1152:H$2999,MATCH(A26,IF('BalSht Data'!A$1152=AZ$1,'BalSht Data'!G$1152:G$2999),0)),"")</f>
        <v/>
      </c>
      <c r="BA26" s="15" t="str">
        <f>IFERROR(INDEX('BalSht Data'!H$1175:H$2999,MATCH(A26,IF('BalSht Data'!A$1175=BA$1,'BalSht Data'!G$1175:G$2999),0)),"")</f>
        <v/>
      </c>
      <c r="BB26" s="15" t="str">
        <f>IFERROR(INDEX('BalSht Data'!H$1198:H$2999,MATCH(A26,IF('BalSht Data'!A$1198=BB$1,'BalSht Data'!G$1198:G$2999),0)),"")</f>
        <v/>
      </c>
      <c r="BC26" s="15" t="str">
        <f>IFERROR(INDEX('BalSht Data'!H$1221:H$2999,MATCH(A26,IF('BalSht Data'!A$1221=BC$1,'BalSht Data'!G$1221:G$2999),0)),"")</f>
        <v/>
      </c>
      <c r="BD26" s="15" t="str">
        <f>IFERROR(INDEX('BalSht Data'!H$1244:H$2999,MATCH(A26,IF('BalSht Data'!A$1244=BD$1,'BalSht Data'!G$1244:G$2999),0)),"")</f>
        <v/>
      </c>
      <c r="BE26" s="15" t="str">
        <f>IFERROR(INDEX('BalSht Data'!H$1267:H$2999,MATCH(A26,IF('BalSht Data'!A$1267=BE$1,'BalSht Data'!G$1267:G$2999),0)),"")</f>
        <v/>
      </c>
      <c r="BF26" s="15"/>
    </row>
    <row r="27" spans="1:58" x14ac:dyDescent="0.2">
      <c r="A27" s="5" t="s">
        <v>30</v>
      </c>
      <c r="B27" s="15" t="str">
        <f>IFERROR(INDEX('BalSht Data'!H$2:H$2999,MATCH(A27,IF('BalSht Data'!A$2=B$1,'BalSht Data'!G$2:G$2999),0)),"")</f>
        <v/>
      </c>
      <c r="C27" s="15" t="str">
        <f>IFERROR(INDEX('BalSht Data'!H$25:H$2999,MATCH(A27,IF('BalSht Data'!A$25=C$1,'BalSht Data'!G$2:G$2999),0)),"")</f>
        <v/>
      </c>
      <c r="D27" s="15" t="str">
        <f>IFERROR(INDEX('BalSht Data'!H$48:H$2999,MATCH(A27,IF('BalSht Data'!A$48=D$1,'BalSht Data'!G$48:G$2999),0)),"")</f>
        <v/>
      </c>
      <c r="E27" s="15" t="str">
        <f>IFERROR(INDEX('BalSht Data'!H$71:H$2999,MATCH(A27,IF('BalSht Data'!A$71=E$1,'BalSht Data'!G$71:G$2999),0)),"")</f>
        <v/>
      </c>
      <c r="F27" s="15" t="str">
        <f>IFERROR(INDEX('BalSht Data'!H$94:H$2999,MATCH(A27,IF('BalSht Data'!A$94=F$1,'BalSht Data'!G$94:G$2999),0)),"")</f>
        <v/>
      </c>
      <c r="G27" s="15" t="str">
        <f>IFERROR(INDEX('BalSht Data'!H$117:H$2999,MATCH(A27,IF('BalSht Data'!A$117=G$1,'BalSht Data'!G$117:G$2999),0)),"")</f>
        <v/>
      </c>
      <c r="H27" s="15" t="str">
        <f>IFERROR(INDEX('BalSht Data'!H$140:H$2999,MATCH(A27,IF('BalSht Data'!A$140=H$1,'BalSht Data'!G$140:G$2999),0)),"")</f>
        <v/>
      </c>
      <c r="I27" s="15" t="str">
        <f>IFERROR(INDEX('BalSht Data'!H$163:H$2999,MATCH(A27,IF('BalSht Data'!A$163=I$1,'BalSht Data'!G$163:G$2999),0)),"")</f>
        <v/>
      </c>
      <c r="J27" s="15" t="str">
        <f>IFERROR(INDEX('BalSht Data'!H$186:H$2999,MATCH(A27,IF('BalSht Data'!A$186=J$1,'BalSht Data'!G$186:G$2999),0)),"")</f>
        <v/>
      </c>
      <c r="K27" s="15" t="str">
        <f>IFERROR(INDEX('BalSht Data'!H$209:H$2999,MATCH(A27,IF('BalSht Data'!A$209=K$1,'BalSht Data'!G$209:G$2999),0)),"")</f>
        <v/>
      </c>
      <c r="L27" s="15" t="str">
        <f>IFERROR(INDEX('BalSht Data'!H$232:H$2999,MATCH(A27,IF('BalSht Data'!A$232=L$1,'BalSht Data'!G$232:G$2999),0)),"")</f>
        <v/>
      </c>
      <c r="M27" s="15" t="str">
        <f>IFERROR(INDEX('BalSht Data'!H$255:H$2999,MATCH(A27,IF('BalSht Data'!A$255=M$1,'BalSht Data'!G$255:G$2999),0)),"")</f>
        <v/>
      </c>
      <c r="N27" s="15" t="str">
        <f>IFERROR(INDEX('BalSht Data'!H$278:H$2999,MATCH(A27,IF('BalSht Data'!A$278=N$1,'BalSht Data'!G$278:G$2999),0)),"")</f>
        <v/>
      </c>
      <c r="O27" s="15" t="str">
        <f>IFERROR(INDEX('BalSht Data'!H$301:H$2999,MATCH(A27,IF('BalSht Data'!A$301=O$1,'BalSht Data'!G$301:G$2999),0)),"")</f>
        <v/>
      </c>
      <c r="P27" s="15" t="str">
        <f>IFERROR(INDEX('BalSht Data'!H$324:H$2999,MATCH(A27,IF('BalSht Data'!A$324=P$1,'BalSht Data'!G$324:G$2999),0)),"")</f>
        <v/>
      </c>
      <c r="Q27" s="15" t="str">
        <f>IFERROR(INDEX('BalSht Data'!H$347:H$2999,MATCH(A27,IF('BalSht Data'!A$347=Q$1,'BalSht Data'!G$347:G$2999),0)),"")</f>
        <v/>
      </c>
      <c r="R27" s="15" t="str">
        <f>IFERROR(INDEX('BalSht Data'!H$370:H$2999,MATCH(A27,IF('BalSht Data'!A$370=R$1,'BalSht Data'!G$370:G$2999),0)),"")</f>
        <v/>
      </c>
      <c r="S27" s="15" t="str">
        <f>IFERROR(INDEX('BalSht Data'!H$393:H$2999,MATCH(A27,IF('BalSht Data'!A$393=S$1,'BalSht Data'!G$393:G$2999),0)),"")</f>
        <v/>
      </c>
      <c r="T27" s="15" t="str">
        <f>IFERROR(INDEX('BalSht Data'!H$416:H$2999,MATCH(A27,IF('BalSht Data'!A$416=T$1,'BalSht Data'!G$416:G$2999),0)),"")</f>
        <v/>
      </c>
      <c r="U27" s="15" t="str">
        <f>IFERROR(INDEX('BalSht Data'!H$439:H$2999,MATCH(A27,IF('BalSht Data'!A$439=U$1,'BalSht Data'!G$439:G$2999),0)),"")</f>
        <v/>
      </c>
      <c r="V27" s="15" t="str">
        <f>IFERROR(INDEX('BalSht Data'!H$462:H$2999,MATCH(A27,IF('BalSht Data'!A$462=V$1,'BalSht Data'!G$462:G$2999),0)),"")</f>
        <v/>
      </c>
      <c r="W27" s="15" t="str">
        <f>IFERROR(INDEX('BalSht Data'!H$485:H$2999,MATCH(A27,IF('BalSht Data'!A$485=W$1,'BalSht Data'!G$485:G$2999),0)),"")</f>
        <v/>
      </c>
      <c r="X27" s="15" t="str">
        <f>IFERROR(INDEX('BalSht Data'!H$508:H$2999,MATCH(A27,IF('BalSht Data'!A$508=X$1,'BalSht Data'!G$508:G$2999),0)),"")</f>
        <v/>
      </c>
      <c r="Y27" s="15" t="str">
        <f>IFERROR(INDEX('BalSht Data'!H$531:H$2999,MATCH(A27,IF('BalSht Data'!A$531=Y$1,'BalSht Data'!G$531:G$2999),0)),"")</f>
        <v/>
      </c>
      <c r="Z27" s="15" t="str">
        <f>IFERROR(INDEX('BalSht Data'!H$554:H$2999,MATCH(A27,IF('BalSht Data'!A$554=Z$1,'BalSht Data'!G$554:G$2999),0)),"")</f>
        <v/>
      </c>
      <c r="AA27" s="15" t="str">
        <f>IFERROR(INDEX('BalSht Data'!H$577:H$2999,MATCH(A27,IF('BalSht Data'!A$577=AA$1,'BalSht Data'!G$577:G$2999),0)),"")</f>
        <v/>
      </c>
      <c r="AB27" s="15" t="str">
        <f>IFERROR(INDEX('BalSht Data'!H$600:H$2999,MATCH(A27,IF('BalSht Data'!A$600=AB$1,'BalSht Data'!G$600:G$2999),0)),"")</f>
        <v/>
      </c>
      <c r="AC27" s="15" t="str">
        <f>IFERROR(INDEX('BalSht Data'!H$623:H$2999,MATCH(A27,IF('BalSht Data'!A$623=AC$1,'BalSht Data'!G$623:G$2999),0)),"")</f>
        <v/>
      </c>
      <c r="AD27" s="15" t="str">
        <f>IFERROR(INDEX('BalSht Data'!H$646:H$2999,MATCH(A27,IF('BalSht Data'!A$646=AD$1,'BalSht Data'!G$646:G$2999),0)),"")</f>
        <v/>
      </c>
      <c r="AE27" s="15" t="str">
        <f>IFERROR(INDEX('BalSht Data'!H$669:H$2999,MATCH(A27,IF('BalSht Data'!A$669=AE$1,'BalSht Data'!G$669:G$2999),0)),"")</f>
        <v/>
      </c>
      <c r="AF27" s="15" t="str">
        <f>IFERROR(INDEX('BalSht Data'!H$692:H$2999,MATCH(A27,IF('BalSht Data'!A$692=AF$1,'BalSht Data'!G$692:G$2999),0)),"")</f>
        <v/>
      </c>
      <c r="AG27" s="15" t="str">
        <f>IFERROR(INDEX('BalSht Data'!H$715:H$2999,MATCH(A27,IF('BalSht Data'!A$715=AG$1,'BalSht Data'!G$715:G$2999),0)),"")</f>
        <v/>
      </c>
      <c r="AH27" s="15" t="str">
        <f>IFERROR(INDEX('BalSht Data'!H$738:H$2999,MATCH(A27,IF('BalSht Data'!A$738=AH$1,'BalSht Data'!G$738:G$2999),0)),"")</f>
        <v/>
      </c>
      <c r="AI27" s="15" t="str">
        <f>IFERROR(INDEX('BalSht Data'!H$761:H$2999,MATCH(A27,IF('BalSht Data'!A$761=AI$1,'BalSht Data'!G$761:G$2999),0)),"")</f>
        <v/>
      </c>
      <c r="AJ27" s="15" t="str">
        <f>IFERROR(INDEX('BalSht Data'!H$784:H$2999,MATCH(A27,IF('BalSht Data'!A$784=AJ$1,'BalSht Data'!G$784:G$2999),0)),"")</f>
        <v/>
      </c>
      <c r="AK27" s="15" t="str">
        <f>IFERROR(INDEX('BalSht Data'!H$807:H$2999,MATCH(A27,IF('BalSht Data'!A$807=AK$1,'BalSht Data'!G$807:G$2999),0)),"")</f>
        <v/>
      </c>
      <c r="AL27" s="15" t="str">
        <f>IFERROR(INDEX('BalSht Data'!H$830:H$2999,MATCH(A27,IF('BalSht Data'!A$830=AL$1,'BalSht Data'!G$830:G$2999),0)),"")</f>
        <v/>
      </c>
      <c r="AM27" s="15" t="str">
        <f>IFERROR(INDEX('BalSht Data'!H$853:H$2999,MATCH(A27,IF('BalSht Data'!A$853=AM$1,'BalSht Data'!G$853:G$2999),0)),"")</f>
        <v/>
      </c>
      <c r="AN27" s="15" t="str">
        <f>IFERROR(INDEX('BalSht Data'!H$876:H$2999,MATCH(A27,IF('BalSht Data'!A$876=AN$1,'BalSht Data'!G$876:G$2999),0)),"")</f>
        <v/>
      </c>
      <c r="AO27" s="15" t="str">
        <f>IFERROR(INDEX('BalSht Data'!H$899:H$2999,MATCH(A27,IF('BalSht Data'!A$899=AO$1,'BalSht Data'!G$899:G$2999),0)),"")</f>
        <v/>
      </c>
      <c r="AP27" s="15" t="str">
        <f>IFERROR(INDEX('BalSht Data'!H$922:H$2999,MATCH(A27,IF('BalSht Data'!A$922=AP$1,'BalSht Data'!G$922:G$2999),0)),"")</f>
        <v/>
      </c>
      <c r="AQ27" s="15" t="str">
        <f>IFERROR(INDEX('BalSht Data'!H$945:H$2999,MATCH(A27,IF('BalSht Data'!A$945=AQ$1,'BalSht Data'!G$945:G$2999),0)),"")</f>
        <v/>
      </c>
      <c r="AR27" s="15" t="str">
        <f>IFERROR(INDEX('BalSht Data'!H$968:H$2999,MATCH(A27,IF('BalSht Data'!A$968=AR$1,'BalSht Data'!G$968:G$2999),0)),"")</f>
        <v/>
      </c>
      <c r="AS27" s="15" t="str">
        <f>IFERROR(INDEX('BalSht Data'!H$991:H$2999,MATCH(A27,IF('BalSht Data'!A$991=AS$1,'BalSht Data'!G$991:G$2999),0)),"")</f>
        <v/>
      </c>
      <c r="AT27" s="15" t="str">
        <f>IFERROR(INDEX('BalSht Data'!H$1014:H$2999,MATCH(A27,IF('BalSht Data'!A$1014=AT$1,'BalSht Data'!G$1014:G$2999),0)),"")</f>
        <v/>
      </c>
      <c r="AU27" s="15" t="str">
        <f>IFERROR(INDEX('BalSht Data'!H$1037:H$2999,MATCH(A27,IF('BalSht Data'!A$1037=AU$1,'BalSht Data'!G$1037:G$2999),0)),"")</f>
        <v/>
      </c>
      <c r="AV27" s="15" t="str">
        <f>IFERROR(INDEX('BalSht Data'!H$1060:H$2999,MATCH(A27,IF('BalSht Data'!A$1060=AV$1,'BalSht Data'!G$1060:G$2999),0)),"")</f>
        <v/>
      </c>
      <c r="AW27" s="15" t="str">
        <f>IFERROR(INDEX('BalSht Data'!H$1083:H$2999,MATCH(A27,IF('BalSht Data'!A$1083=AW$1,'BalSht Data'!G$1083:G$2999),0)),"")</f>
        <v/>
      </c>
      <c r="AX27" s="15" t="str">
        <f>IFERROR(INDEX('BalSht Data'!H$1106:H$2999,MATCH(A27,IF('BalSht Data'!A$1106=AX$1,'BalSht Data'!G$1106:G$2999),0)),"")</f>
        <v/>
      </c>
      <c r="AY27" s="15" t="str">
        <f>IFERROR(INDEX('BalSht Data'!H$1129:H$2999,MATCH(A27,IF('BalSht Data'!A$1129=AY$1,'BalSht Data'!G$1129:G$2999),0)),"")</f>
        <v/>
      </c>
      <c r="AZ27" s="15" t="str">
        <f>IFERROR(INDEX('BalSht Data'!H$1152:H$2999,MATCH(A27,IF('BalSht Data'!A$1152=AZ$1,'BalSht Data'!G$1152:G$2999),0)),"")</f>
        <v/>
      </c>
      <c r="BA27" s="15" t="str">
        <f>IFERROR(INDEX('BalSht Data'!H$1175:H$2999,MATCH(A27,IF('BalSht Data'!A$1175=BA$1,'BalSht Data'!G$1175:G$2999),0)),"")</f>
        <v/>
      </c>
      <c r="BB27" s="15" t="str">
        <f>IFERROR(INDEX('BalSht Data'!H$1198:H$2999,MATCH(A27,IF('BalSht Data'!A$1198=BB$1,'BalSht Data'!G$1198:G$2999),0)),"")</f>
        <v/>
      </c>
      <c r="BC27" s="15" t="str">
        <f>IFERROR(INDEX('BalSht Data'!H$1221:H$2999,MATCH(A27,IF('BalSht Data'!A$1221=BC$1,'BalSht Data'!G$1221:G$2999),0)),"")</f>
        <v/>
      </c>
      <c r="BD27" s="15" t="str">
        <f>IFERROR(INDEX('BalSht Data'!H$1244:H$2999,MATCH(A27,IF('BalSht Data'!A$1244=BD$1,'BalSht Data'!G$1244:G$2999),0)),"")</f>
        <v/>
      </c>
      <c r="BE27" s="15" t="str">
        <f>IFERROR(INDEX('BalSht Data'!H$1267:H$2999,MATCH(A27,IF('BalSht Data'!A$1267=BE$1,'BalSht Data'!G$1267:G$2999),0)),"")</f>
        <v/>
      </c>
      <c r="BF27" s="15"/>
    </row>
    <row r="28" spans="1:58" x14ac:dyDescent="0.2">
      <c r="A28" s="5" t="s">
        <v>31</v>
      </c>
      <c r="B28" s="15" t="str">
        <f>IFERROR(INDEX('BalSht Data'!H$2:H$2999,MATCH(A28,IF('BalSht Data'!A$2=B$1,'BalSht Data'!G$2:G$2999),0)),"")</f>
        <v/>
      </c>
      <c r="C28" s="15" t="str">
        <f>IFERROR(INDEX('BalSht Data'!H$25:H$2999,MATCH(A28,IF('BalSht Data'!A$25=C$1,'BalSht Data'!G$2:G$2999),0)),"")</f>
        <v/>
      </c>
      <c r="D28" s="15" t="str">
        <f>IFERROR(INDEX('BalSht Data'!H$48:H$2999,MATCH(A28,IF('BalSht Data'!A$48=D$1,'BalSht Data'!G$48:G$2999),0)),"")</f>
        <v/>
      </c>
      <c r="E28" s="15" t="str">
        <f>IFERROR(INDEX('BalSht Data'!H$71:H$2999,MATCH(A28,IF('BalSht Data'!A$71=E$1,'BalSht Data'!G$71:G$2999),0)),"")</f>
        <v/>
      </c>
      <c r="F28" s="15" t="str">
        <f>IFERROR(INDEX('BalSht Data'!H$94:H$2999,MATCH(A28,IF('BalSht Data'!A$94=F$1,'BalSht Data'!G$94:G$2999),0)),"")</f>
        <v/>
      </c>
      <c r="G28" s="15" t="str">
        <f>IFERROR(INDEX('BalSht Data'!H$117:H$2999,MATCH(A28,IF('BalSht Data'!A$117=G$1,'BalSht Data'!G$117:G$2999),0)),"")</f>
        <v/>
      </c>
      <c r="H28" s="15" t="str">
        <f>IFERROR(INDEX('BalSht Data'!H$140:H$2999,MATCH(A28,IF('BalSht Data'!A$140=H$1,'BalSht Data'!G$140:G$2999),0)),"")</f>
        <v/>
      </c>
      <c r="I28" s="15" t="str">
        <f>IFERROR(INDEX('BalSht Data'!H$163:H$2999,MATCH(A28,IF('BalSht Data'!A$163=I$1,'BalSht Data'!G$163:G$2999),0)),"")</f>
        <v/>
      </c>
      <c r="J28" s="15" t="str">
        <f>IFERROR(INDEX('BalSht Data'!H$186:H$2999,MATCH(A28,IF('BalSht Data'!A$186=J$1,'BalSht Data'!G$186:G$2999),0)),"")</f>
        <v/>
      </c>
      <c r="K28" s="15" t="str">
        <f>IFERROR(INDEX('BalSht Data'!H$209:H$2999,MATCH(A28,IF('BalSht Data'!A$209=K$1,'BalSht Data'!G$209:G$2999),0)),"")</f>
        <v/>
      </c>
      <c r="L28" s="15" t="str">
        <f>IFERROR(INDEX('BalSht Data'!H$232:H$2999,MATCH(A28,IF('BalSht Data'!A$232=L$1,'BalSht Data'!G$232:G$2999),0)),"")</f>
        <v/>
      </c>
      <c r="M28" s="15" t="str">
        <f>IFERROR(INDEX('BalSht Data'!H$255:H$2999,MATCH(A28,IF('BalSht Data'!A$255=M$1,'BalSht Data'!G$255:G$2999),0)),"")</f>
        <v/>
      </c>
      <c r="N28" s="15" t="str">
        <f>IFERROR(INDEX('BalSht Data'!H$278:H$2999,MATCH(A28,IF('BalSht Data'!A$278=N$1,'BalSht Data'!G$278:G$2999),0)),"")</f>
        <v/>
      </c>
      <c r="O28" s="15" t="str">
        <f>IFERROR(INDEX('BalSht Data'!H$301:H$2999,MATCH(A28,IF('BalSht Data'!A$301=O$1,'BalSht Data'!G$301:G$2999),0)),"")</f>
        <v/>
      </c>
      <c r="P28" s="15" t="str">
        <f>IFERROR(INDEX('BalSht Data'!H$324:H$2999,MATCH(A28,IF('BalSht Data'!A$324=P$1,'BalSht Data'!G$324:G$2999),0)),"")</f>
        <v/>
      </c>
      <c r="Q28" s="15" t="str">
        <f>IFERROR(INDEX('BalSht Data'!H$347:H$2999,MATCH(A28,IF('BalSht Data'!A$347=Q$1,'BalSht Data'!G$347:G$2999),0)),"")</f>
        <v/>
      </c>
      <c r="R28" s="15" t="str">
        <f>IFERROR(INDEX('BalSht Data'!H$370:H$2999,MATCH(A28,IF('BalSht Data'!A$370=R$1,'BalSht Data'!G$370:G$2999),0)),"")</f>
        <v/>
      </c>
      <c r="S28" s="15" t="str">
        <f>IFERROR(INDEX('BalSht Data'!H$393:H$2999,MATCH(A28,IF('BalSht Data'!A$393=S$1,'BalSht Data'!G$393:G$2999),0)),"")</f>
        <v/>
      </c>
      <c r="T28" s="15" t="str">
        <f>IFERROR(INDEX('BalSht Data'!H$416:H$2999,MATCH(A28,IF('BalSht Data'!A$416=T$1,'BalSht Data'!G$416:G$2999),0)),"")</f>
        <v/>
      </c>
      <c r="U28" s="15" t="str">
        <f>IFERROR(INDEX('BalSht Data'!H$439:H$2999,MATCH(A28,IF('BalSht Data'!A$439=U$1,'BalSht Data'!G$439:G$2999),0)),"")</f>
        <v/>
      </c>
      <c r="V28" s="15" t="str">
        <f>IFERROR(INDEX('BalSht Data'!H$462:H$2999,MATCH(A28,IF('BalSht Data'!A$462=V$1,'BalSht Data'!G$462:G$2999),0)),"")</f>
        <v/>
      </c>
      <c r="W28" s="15" t="str">
        <f>IFERROR(INDEX('BalSht Data'!H$485:H$2999,MATCH(A28,IF('BalSht Data'!A$485=W$1,'BalSht Data'!G$485:G$2999),0)),"")</f>
        <v/>
      </c>
      <c r="X28" s="15" t="str">
        <f>IFERROR(INDEX('BalSht Data'!H$508:H$2999,MATCH(A28,IF('BalSht Data'!A$508=X$1,'BalSht Data'!G$508:G$2999),0)),"")</f>
        <v/>
      </c>
      <c r="Y28" s="15" t="str">
        <f>IFERROR(INDEX('BalSht Data'!H$531:H$2999,MATCH(A28,IF('BalSht Data'!A$531=Y$1,'BalSht Data'!G$531:G$2999),0)),"")</f>
        <v/>
      </c>
      <c r="Z28" s="15" t="str">
        <f>IFERROR(INDEX('BalSht Data'!H$554:H$2999,MATCH(A28,IF('BalSht Data'!A$554=Z$1,'BalSht Data'!G$554:G$2999),0)),"")</f>
        <v/>
      </c>
      <c r="AA28" s="15" t="str">
        <f>IFERROR(INDEX('BalSht Data'!H$577:H$2999,MATCH(A28,IF('BalSht Data'!A$577=AA$1,'BalSht Data'!G$577:G$2999),0)),"")</f>
        <v/>
      </c>
      <c r="AB28" s="15" t="str">
        <f>IFERROR(INDEX('BalSht Data'!H$600:H$2999,MATCH(A28,IF('BalSht Data'!A$600=AB$1,'BalSht Data'!G$600:G$2999),0)),"")</f>
        <v/>
      </c>
      <c r="AC28" s="15" t="str">
        <f>IFERROR(INDEX('BalSht Data'!H$623:H$2999,MATCH(A28,IF('BalSht Data'!A$623=AC$1,'BalSht Data'!G$623:G$2999),0)),"")</f>
        <v/>
      </c>
      <c r="AD28" s="15" t="str">
        <f>IFERROR(INDEX('BalSht Data'!H$646:H$2999,MATCH(A28,IF('BalSht Data'!A$646=AD$1,'BalSht Data'!G$646:G$2999),0)),"")</f>
        <v/>
      </c>
      <c r="AE28" s="15" t="str">
        <f>IFERROR(INDEX('BalSht Data'!H$669:H$2999,MATCH(A28,IF('BalSht Data'!A$669=AE$1,'BalSht Data'!G$669:G$2999),0)),"")</f>
        <v/>
      </c>
      <c r="AF28" s="15" t="str">
        <f>IFERROR(INDEX('BalSht Data'!H$692:H$2999,MATCH(A28,IF('BalSht Data'!A$692=AF$1,'BalSht Data'!G$692:G$2999),0)),"")</f>
        <v/>
      </c>
      <c r="AG28" s="15" t="str">
        <f>IFERROR(INDEX('BalSht Data'!H$715:H$2999,MATCH(A28,IF('BalSht Data'!A$715=AG$1,'BalSht Data'!G$715:G$2999),0)),"")</f>
        <v/>
      </c>
      <c r="AH28" s="15" t="str">
        <f>IFERROR(INDEX('BalSht Data'!H$738:H$2999,MATCH(A28,IF('BalSht Data'!A$738=AH$1,'BalSht Data'!G$738:G$2999),0)),"")</f>
        <v/>
      </c>
      <c r="AI28" s="15" t="str">
        <f>IFERROR(INDEX('BalSht Data'!H$761:H$2999,MATCH(A28,IF('BalSht Data'!A$761=AI$1,'BalSht Data'!G$761:G$2999),0)),"")</f>
        <v/>
      </c>
      <c r="AJ28" s="15" t="str">
        <f>IFERROR(INDEX('BalSht Data'!H$784:H$2999,MATCH(A28,IF('BalSht Data'!A$784=AJ$1,'BalSht Data'!G$784:G$2999),0)),"")</f>
        <v/>
      </c>
      <c r="AK28" s="15" t="str">
        <f>IFERROR(INDEX('BalSht Data'!H$807:H$2999,MATCH(A28,IF('BalSht Data'!A$807=AK$1,'BalSht Data'!G$807:G$2999),0)),"")</f>
        <v/>
      </c>
      <c r="AL28" s="15" t="str">
        <f>IFERROR(INDEX('BalSht Data'!H$830:H$2999,MATCH(A28,IF('BalSht Data'!A$830=AL$1,'BalSht Data'!G$830:G$2999),0)),"")</f>
        <v/>
      </c>
      <c r="AM28" s="15" t="str">
        <f>IFERROR(INDEX('BalSht Data'!H$853:H$2999,MATCH(A28,IF('BalSht Data'!A$853=AM$1,'BalSht Data'!G$853:G$2999),0)),"")</f>
        <v/>
      </c>
      <c r="AN28" s="15" t="str">
        <f>IFERROR(INDEX('BalSht Data'!H$876:H$2999,MATCH(A28,IF('BalSht Data'!A$876=AN$1,'BalSht Data'!G$876:G$2999),0)),"")</f>
        <v/>
      </c>
      <c r="AO28" s="15" t="str">
        <f>IFERROR(INDEX('BalSht Data'!H$899:H$2999,MATCH(A28,IF('BalSht Data'!A$899=AO$1,'BalSht Data'!G$899:G$2999),0)),"")</f>
        <v/>
      </c>
      <c r="AP28" s="15" t="str">
        <f>IFERROR(INDEX('BalSht Data'!H$922:H$2999,MATCH(A28,IF('BalSht Data'!A$922=AP$1,'BalSht Data'!G$922:G$2999),0)),"")</f>
        <v/>
      </c>
      <c r="AQ28" s="15" t="str">
        <f>IFERROR(INDEX('BalSht Data'!H$945:H$2999,MATCH(A28,IF('BalSht Data'!A$945=AQ$1,'BalSht Data'!G$945:G$2999),0)),"")</f>
        <v/>
      </c>
      <c r="AR28" s="15" t="str">
        <f>IFERROR(INDEX('BalSht Data'!H$968:H$2999,MATCH(A28,IF('BalSht Data'!A$968=AR$1,'BalSht Data'!G$968:G$2999),0)),"")</f>
        <v/>
      </c>
      <c r="AS28" s="15" t="str">
        <f>IFERROR(INDEX('BalSht Data'!H$991:H$2999,MATCH(A28,IF('BalSht Data'!A$991=AS$1,'BalSht Data'!G$991:G$2999),0)),"")</f>
        <v/>
      </c>
      <c r="AT28" s="15" t="str">
        <f>IFERROR(INDEX('BalSht Data'!H$1014:H$2999,MATCH(A28,IF('BalSht Data'!A$1014=AT$1,'BalSht Data'!G$1014:G$2999),0)),"")</f>
        <v/>
      </c>
      <c r="AU28" s="15" t="str">
        <f>IFERROR(INDEX('BalSht Data'!H$1037:H$2999,MATCH(A28,IF('BalSht Data'!A$1037=AU$1,'BalSht Data'!G$1037:G$2999),0)),"")</f>
        <v/>
      </c>
      <c r="AV28" s="15" t="str">
        <f>IFERROR(INDEX('BalSht Data'!H$1060:H$2999,MATCH(A28,IF('BalSht Data'!A$1060=AV$1,'BalSht Data'!G$1060:G$2999),0)),"")</f>
        <v/>
      </c>
      <c r="AW28" s="15" t="str">
        <f>IFERROR(INDEX('BalSht Data'!H$1083:H$2999,MATCH(A28,IF('BalSht Data'!A$1083=AW$1,'BalSht Data'!G$1083:G$2999),0)),"")</f>
        <v/>
      </c>
      <c r="AX28" s="15" t="str">
        <f>IFERROR(INDEX('BalSht Data'!H$1106:H$2999,MATCH(A28,IF('BalSht Data'!A$1106=AX$1,'BalSht Data'!G$1106:G$2999),0)),"")</f>
        <v/>
      </c>
      <c r="AY28" s="15" t="str">
        <f>IFERROR(INDEX('BalSht Data'!H$1129:H$2999,MATCH(A28,IF('BalSht Data'!A$1129=AY$1,'BalSht Data'!G$1129:G$2999),0)),"")</f>
        <v/>
      </c>
      <c r="AZ28" s="15" t="str">
        <f>IFERROR(INDEX('BalSht Data'!H$1152:H$2999,MATCH(A28,IF('BalSht Data'!A$1152=AZ$1,'BalSht Data'!G$1152:G$2999),0)),"")</f>
        <v/>
      </c>
      <c r="BA28" s="15" t="str">
        <f>IFERROR(INDEX('BalSht Data'!H$1175:H$2999,MATCH(A28,IF('BalSht Data'!A$1175=BA$1,'BalSht Data'!G$1175:G$2999),0)),"")</f>
        <v/>
      </c>
      <c r="BB28" s="15" t="str">
        <f>IFERROR(INDEX('BalSht Data'!H$1198:H$2999,MATCH(A28,IF('BalSht Data'!A$1198=BB$1,'BalSht Data'!G$1198:G$2999),0)),"")</f>
        <v/>
      </c>
      <c r="BC28" s="15" t="str">
        <f>IFERROR(INDEX('BalSht Data'!H$1221:H$2999,MATCH(A28,IF('BalSht Data'!A$1221=BC$1,'BalSht Data'!G$1221:G$2999),0)),"")</f>
        <v/>
      </c>
      <c r="BD28" s="15" t="str">
        <f>IFERROR(INDEX('BalSht Data'!H$1244:H$2999,MATCH(A28,IF('BalSht Data'!A$1244=BD$1,'BalSht Data'!G$1244:G$2999),0)),"")</f>
        <v/>
      </c>
      <c r="BE28" s="15" t="str">
        <f>IFERROR(INDEX('BalSht Data'!H$1267:H$2999,MATCH(A28,IF('BalSht Data'!A$1267=BE$1,'BalSht Data'!G$1267:G$2999),0)),"")</f>
        <v/>
      </c>
      <c r="BF28" s="15"/>
    </row>
    <row r="29" spans="1:58" x14ac:dyDescent="0.2">
      <c r="A29" s="5" t="s">
        <v>32</v>
      </c>
      <c r="B29" s="15" t="str">
        <f>IFERROR(INDEX('BalSht Data'!H$2:H$2999,MATCH(A29,IF('BalSht Data'!A$2=B$1,'BalSht Data'!G$2:G$2999),0)),"")</f>
        <v/>
      </c>
      <c r="C29" s="15" t="str">
        <f>IFERROR(INDEX('BalSht Data'!H$25:H$2999,MATCH(A29,IF('BalSht Data'!A$25=C$1,'BalSht Data'!G$2:G$2999),0)),"")</f>
        <v/>
      </c>
      <c r="D29" s="15" t="str">
        <f>IFERROR(INDEX('BalSht Data'!H$48:H$2999,MATCH(A29,IF('BalSht Data'!A$48=D$1,'BalSht Data'!G$48:G$2999),0)),"")</f>
        <v/>
      </c>
      <c r="E29" s="15" t="str">
        <f>IFERROR(INDEX('BalSht Data'!H$71:H$2999,MATCH(A29,IF('BalSht Data'!A$71=E$1,'BalSht Data'!G$71:G$2999),0)),"")</f>
        <v/>
      </c>
      <c r="F29" s="15" t="str">
        <f>IFERROR(INDEX('BalSht Data'!H$94:H$2999,MATCH(A29,IF('BalSht Data'!A$94=F$1,'BalSht Data'!G$94:G$2999),0)),"")</f>
        <v/>
      </c>
      <c r="G29" s="15" t="str">
        <f>IFERROR(INDEX('BalSht Data'!H$117:H$2999,MATCH(A29,IF('BalSht Data'!A$117=G$1,'BalSht Data'!G$117:G$2999),0)),"")</f>
        <v/>
      </c>
      <c r="H29" s="15" t="str">
        <f>IFERROR(INDEX('BalSht Data'!H$140:H$2999,MATCH(A29,IF('BalSht Data'!A$140=H$1,'BalSht Data'!G$140:G$2999),0)),"")</f>
        <v/>
      </c>
      <c r="I29" s="15" t="str">
        <f>IFERROR(INDEX('BalSht Data'!H$163:H$2999,MATCH(A29,IF('BalSht Data'!A$163=I$1,'BalSht Data'!G$163:G$2999),0)),"")</f>
        <v/>
      </c>
      <c r="J29" s="15" t="str">
        <f>IFERROR(INDEX('BalSht Data'!H$186:H$2999,MATCH(A29,IF('BalSht Data'!A$186=J$1,'BalSht Data'!G$186:G$2999),0)),"")</f>
        <v/>
      </c>
      <c r="K29" s="15" t="str">
        <f>IFERROR(INDEX('BalSht Data'!H$209:H$2999,MATCH(A29,IF('BalSht Data'!A$209=K$1,'BalSht Data'!G$209:G$2999),0)),"")</f>
        <v/>
      </c>
      <c r="L29" s="15" t="str">
        <f>IFERROR(INDEX('BalSht Data'!H$232:H$2999,MATCH(A29,IF('BalSht Data'!A$232=L$1,'BalSht Data'!G$232:G$2999),0)),"")</f>
        <v/>
      </c>
      <c r="M29" s="15" t="str">
        <f>IFERROR(INDEX('BalSht Data'!H$255:H$2999,MATCH(A29,IF('BalSht Data'!A$255=M$1,'BalSht Data'!G$255:G$2999),0)),"")</f>
        <v/>
      </c>
      <c r="N29" s="15" t="str">
        <f>IFERROR(INDEX('BalSht Data'!H$278:H$2999,MATCH(A29,IF('BalSht Data'!A$278=N$1,'BalSht Data'!G$278:G$2999),0)),"")</f>
        <v/>
      </c>
      <c r="O29" s="15" t="str">
        <f>IFERROR(INDEX('BalSht Data'!H$301:H$2999,MATCH(A29,IF('BalSht Data'!A$301=O$1,'BalSht Data'!G$301:G$2999),0)),"")</f>
        <v/>
      </c>
      <c r="P29" s="15" t="str">
        <f>IFERROR(INDEX('BalSht Data'!H$324:H$2999,MATCH(A29,IF('BalSht Data'!A$324=P$1,'BalSht Data'!G$324:G$2999),0)),"")</f>
        <v/>
      </c>
      <c r="Q29" s="15" t="str">
        <f>IFERROR(INDEX('BalSht Data'!H$347:H$2999,MATCH(A29,IF('BalSht Data'!A$347=Q$1,'BalSht Data'!G$347:G$2999),0)),"")</f>
        <v/>
      </c>
      <c r="R29" s="15" t="str">
        <f>IFERROR(INDEX('BalSht Data'!H$370:H$2999,MATCH(A29,IF('BalSht Data'!A$370=R$1,'BalSht Data'!G$370:G$2999),0)),"")</f>
        <v/>
      </c>
      <c r="S29" s="15" t="str">
        <f>IFERROR(INDEX('BalSht Data'!H$393:H$2999,MATCH(A29,IF('BalSht Data'!A$393=S$1,'BalSht Data'!G$393:G$2999),0)),"")</f>
        <v/>
      </c>
      <c r="T29" s="15" t="str">
        <f>IFERROR(INDEX('BalSht Data'!H$416:H$2999,MATCH(A29,IF('BalSht Data'!A$416=T$1,'BalSht Data'!G$416:G$2999),0)),"")</f>
        <v/>
      </c>
      <c r="U29" s="15" t="str">
        <f>IFERROR(INDEX('BalSht Data'!H$439:H$2999,MATCH(A29,IF('BalSht Data'!A$439=U$1,'BalSht Data'!G$439:G$2999),0)),"")</f>
        <v/>
      </c>
      <c r="V29" s="15" t="str">
        <f>IFERROR(INDEX('BalSht Data'!H$462:H$2999,MATCH(A29,IF('BalSht Data'!A$462=V$1,'BalSht Data'!G$462:G$2999),0)),"")</f>
        <v/>
      </c>
      <c r="W29" s="15" t="str">
        <f>IFERROR(INDEX('BalSht Data'!H$485:H$2999,MATCH(A29,IF('BalSht Data'!A$485=W$1,'BalSht Data'!G$485:G$2999),0)),"")</f>
        <v/>
      </c>
      <c r="X29" s="15" t="str">
        <f>IFERROR(INDEX('BalSht Data'!H$508:H$2999,MATCH(A29,IF('BalSht Data'!A$508=X$1,'BalSht Data'!G$508:G$2999),0)),"")</f>
        <v/>
      </c>
      <c r="Y29" s="15" t="str">
        <f>IFERROR(INDEX('BalSht Data'!H$531:H$2999,MATCH(A29,IF('BalSht Data'!A$531=Y$1,'BalSht Data'!G$531:G$2999),0)),"")</f>
        <v/>
      </c>
      <c r="Z29" s="15" t="str">
        <f>IFERROR(INDEX('BalSht Data'!H$554:H$2999,MATCH(A29,IF('BalSht Data'!A$554=Z$1,'BalSht Data'!G$554:G$2999),0)),"")</f>
        <v/>
      </c>
      <c r="AA29" s="15" t="str">
        <f>IFERROR(INDEX('BalSht Data'!H$577:H$2999,MATCH(A29,IF('BalSht Data'!A$577=AA$1,'BalSht Data'!G$577:G$2999),0)),"")</f>
        <v/>
      </c>
      <c r="AB29" s="15" t="str">
        <f>IFERROR(INDEX('BalSht Data'!H$600:H$2999,MATCH(A29,IF('BalSht Data'!A$600=AB$1,'BalSht Data'!G$600:G$2999),0)),"")</f>
        <v/>
      </c>
      <c r="AC29" s="15" t="str">
        <f>IFERROR(INDEX('BalSht Data'!H$623:H$2999,MATCH(A29,IF('BalSht Data'!A$623=AC$1,'BalSht Data'!G$623:G$2999),0)),"")</f>
        <v/>
      </c>
      <c r="AD29" s="15" t="str">
        <f>IFERROR(INDEX('BalSht Data'!H$646:H$2999,MATCH(A29,IF('BalSht Data'!A$646=AD$1,'BalSht Data'!G$646:G$2999),0)),"")</f>
        <v/>
      </c>
      <c r="AE29" s="15" t="str">
        <f>IFERROR(INDEX('BalSht Data'!H$669:H$2999,MATCH(A29,IF('BalSht Data'!A$669=AE$1,'BalSht Data'!G$669:G$2999),0)),"")</f>
        <v/>
      </c>
      <c r="AF29" s="15" t="str">
        <f>IFERROR(INDEX('BalSht Data'!H$692:H$2999,MATCH(A29,IF('BalSht Data'!A$692=AF$1,'BalSht Data'!G$692:G$2999),0)),"")</f>
        <v/>
      </c>
      <c r="AG29" s="15" t="str">
        <f>IFERROR(INDEX('BalSht Data'!H$715:H$2999,MATCH(A29,IF('BalSht Data'!A$715=AG$1,'BalSht Data'!G$715:G$2999),0)),"")</f>
        <v/>
      </c>
      <c r="AH29" s="15" t="str">
        <f>IFERROR(INDEX('BalSht Data'!H$738:H$2999,MATCH(A29,IF('BalSht Data'!A$738=AH$1,'BalSht Data'!G$738:G$2999),0)),"")</f>
        <v/>
      </c>
      <c r="AI29" s="15" t="str">
        <f>IFERROR(INDEX('BalSht Data'!H$761:H$2999,MATCH(A29,IF('BalSht Data'!A$761=AI$1,'BalSht Data'!G$761:G$2999),0)),"")</f>
        <v/>
      </c>
      <c r="AJ29" s="15" t="str">
        <f>IFERROR(INDEX('BalSht Data'!H$784:H$2999,MATCH(A29,IF('BalSht Data'!A$784=AJ$1,'BalSht Data'!G$784:G$2999),0)),"")</f>
        <v/>
      </c>
      <c r="AK29" s="15" t="str">
        <f>IFERROR(INDEX('BalSht Data'!H$807:H$2999,MATCH(A29,IF('BalSht Data'!A$807=AK$1,'BalSht Data'!G$807:G$2999),0)),"")</f>
        <v/>
      </c>
      <c r="AL29" s="15" t="str">
        <f>IFERROR(INDEX('BalSht Data'!H$830:H$2999,MATCH(A29,IF('BalSht Data'!A$830=AL$1,'BalSht Data'!G$830:G$2999),0)),"")</f>
        <v/>
      </c>
      <c r="AM29" s="15" t="str">
        <f>IFERROR(INDEX('BalSht Data'!H$853:H$2999,MATCH(A29,IF('BalSht Data'!A$853=AM$1,'BalSht Data'!G$853:G$2999),0)),"")</f>
        <v/>
      </c>
      <c r="AN29" s="15" t="str">
        <f>IFERROR(INDEX('BalSht Data'!H$876:H$2999,MATCH(A29,IF('BalSht Data'!A$876=AN$1,'BalSht Data'!G$876:G$2999),0)),"")</f>
        <v/>
      </c>
      <c r="AO29" s="15" t="str">
        <f>IFERROR(INDEX('BalSht Data'!H$899:H$2999,MATCH(A29,IF('BalSht Data'!A$899=AO$1,'BalSht Data'!G$899:G$2999),0)),"")</f>
        <v/>
      </c>
      <c r="AP29" s="15" t="str">
        <f>IFERROR(INDEX('BalSht Data'!H$922:H$2999,MATCH(A29,IF('BalSht Data'!A$922=AP$1,'BalSht Data'!G$922:G$2999),0)),"")</f>
        <v/>
      </c>
      <c r="AQ29" s="15" t="str">
        <f>IFERROR(INDEX('BalSht Data'!H$945:H$2999,MATCH(A29,IF('BalSht Data'!A$945=AQ$1,'BalSht Data'!G$945:G$2999),0)),"")</f>
        <v/>
      </c>
      <c r="AR29" s="15" t="str">
        <f>IFERROR(INDEX('BalSht Data'!H$968:H$2999,MATCH(A29,IF('BalSht Data'!A$968=AR$1,'BalSht Data'!G$968:G$2999),0)),"")</f>
        <v/>
      </c>
      <c r="AS29" s="15" t="str">
        <f>IFERROR(INDEX('BalSht Data'!H$991:H$2999,MATCH(A29,IF('BalSht Data'!A$991=AS$1,'BalSht Data'!G$991:G$2999),0)),"")</f>
        <v/>
      </c>
      <c r="AT29" s="15" t="str">
        <f>IFERROR(INDEX('BalSht Data'!H$1014:H$2999,MATCH(A29,IF('BalSht Data'!A$1014=AT$1,'BalSht Data'!G$1014:G$2999),0)),"")</f>
        <v/>
      </c>
      <c r="AU29" s="15" t="str">
        <f>IFERROR(INDEX('BalSht Data'!H$1037:H$2999,MATCH(A29,IF('BalSht Data'!A$1037=AU$1,'BalSht Data'!G$1037:G$2999),0)),"")</f>
        <v/>
      </c>
      <c r="AV29" s="15" t="str">
        <f>IFERROR(INDEX('BalSht Data'!H$1060:H$2999,MATCH(A29,IF('BalSht Data'!A$1060=AV$1,'BalSht Data'!G$1060:G$2999),0)),"")</f>
        <v/>
      </c>
      <c r="AW29" s="15" t="str">
        <f>IFERROR(INDEX('BalSht Data'!H$1083:H$2999,MATCH(A29,IF('BalSht Data'!A$1083=AW$1,'BalSht Data'!G$1083:G$2999),0)),"")</f>
        <v/>
      </c>
      <c r="AX29" s="15" t="str">
        <f>IFERROR(INDEX('BalSht Data'!H$1106:H$2999,MATCH(A29,IF('BalSht Data'!A$1106=AX$1,'BalSht Data'!G$1106:G$2999),0)),"")</f>
        <v/>
      </c>
      <c r="AY29" s="15" t="str">
        <f>IFERROR(INDEX('BalSht Data'!H$1129:H$2999,MATCH(A29,IF('BalSht Data'!A$1129=AY$1,'BalSht Data'!G$1129:G$2999),0)),"")</f>
        <v/>
      </c>
      <c r="AZ29" s="15" t="str">
        <f>IFERROR(INDEX('BalSht Data'!H$1152:H$2999,MATCH(A29,IF('BalSht Data'!A$1152=AZ$1,'BalSht Data'!G$1152:G$2999),0)),"")</f>
        <v/>
      </c>
      <c r="BA29" s="15" t="str">
        <f>IFERROR(INDEX('BalSht Data'!H$1175:H$2999,MATCH(A29,IF('BalSht Data'!A$1175=BA$1,'BalSht Data'!G$1175:G$2999),0)),"")</f>
        <v/>
      </c>
      <c r="BB29" s="15" t="str">
        <f>IFERROR(INDEX('BalSht Data'!H$1198:H$2999,MATCH(A29,IF('BalSht Data'!A$1198=BB$1,'BalSht Data'!G$1198:G$2999),0)),"")</f>
        <v/>
      </c>
      <c r="BC29" s="15" t="str">
        <f>IFERROR(INDEX('BalSht Data'!H$1221:H$2999,MATCH(A29,IF('BalSht Data'!A$1221=BC$1,'BalSht Data'!G$1221:G$2999),0)),"")</f>
        <v/>
      </c>
      <c r="BD29" s="15" t="str">
        <f>IFERROR(INDEX('BalSht Data'!H$1244:H$2999,MATCH(A29,IF('BalSht Data'!A$1244=BD$1,'BalSht Data'!G$1244:G$2999),0)),"")</f>
        <v/>
      </c>
      <c r="BE29" s="15" t="str">
        <f>IFERROR(INDEX('BalSht Data'!H$1267:H$2999,MATCH(A29,IF('BalSht Data'!A$1267=BE$1,'BalSht Data'!G$1267:G$2999),0)),"")</f>
        <v/>
      </c>
      <c r="BF29" s="15"/>
    </row>
    <row r="30" spans="1:58" x14ac:dyDescent="0.2">
      <c r="A30" s="5" t="s">
        <v>33</v>
      </c>
      <c r="B30" s="15" t="str">
        <f>IFERROR(INDEX('BalSht Data'!H$2:H$2999,MATCH(A30,IF('BalSht Data'!A$2=B$1,'BalSht Data'!G$2:G$2999),0)),"")</f>
        <v/>
      </c>
      <c r="C30" s="15" t="str">
        <f>IFERROR(INDEX('BalSht Data'!H$25:H$2999,MATCH(A30,IF('BalSht Data'!A$25=C$1,'BalSht Data'!G$2:G$2999),0)),"")</f>
        <v/>
      </c>
      <c r="D30" s="15" t="str">
        <f>IFERROR(INDEX('BalSht Data'!H$48:H$2999,MATCH(A30,IF('BalSht Data'!A$48=D$1,'BalSht Data'!G$48:G$2999),0)),"")</f>
        <v/>
      </c>
      <c r="E30" s="15" t="str">
        <f>IFERROR(INDEX('BalSht Data'!H$71:H$2999,MATCH(A30,IF('BalSht Data'!A$71=E$1,'BalSht Data'!G$71:G$2999),0)),"")</f>
        <v/>
      </c>
      <c r="F30" s="15" t="str">
        <f>IFERROR(INDEX('BalSht Data'!H$94:H$2999,MATCH(A30,IF('BalSht Data'!A$94=F$1,'BalSht Data'!G$94:G$2999),0)),"")</f>
        <v/>
      </c>
      <c r="G30" s="15" t="str">
        <f>IFERROR(INDEX('BalSht Data'!H$117:H$2999,MATCH(A30,IF('BalSht Data'!A$117=G$1,'BalSht Data'!G$117:G$2999),0)),"")</f>
        <v/>
      </c>
      <c r="H30" s="15" t="str">
        <f>IFERROR(INDEX('BalSht Data'!H$140:H$2999,MATCH(A30,IF('BalSht Data'!A$140=H$1,'BalSht Data'!G$140:G$2999),0)),"")</f>
        <v/>
      </c>
      <c r="I30" s="15" t="str">
        <f>IFERROR(INDEX('BalSht Data'!H$163:H$2999,MATCH(A30,IF('BalSht Data'!A$163=I$1,'BalSht Data'!G$163:G$2999),0)),"")</f>
        <v/>
      </c>
      <c r="J30" s="15" t="str">
        <f>IFERROR(INDEX('BalSht Data'!H$186:H$2999,MATCH(A30,IF('BalSht Data'!A$186=J$1,'BalSht Data'!G$186:G$2999),0)),"")</f>
        <v/>
      </c>
      <c r="K30" s="15" t="str">
        <f>IFERROR(INDEX('BalSht Data'!H$209:H$2999,MATCH(A30,IF('BalSht Data'!A$209=K$1,'BalSht Data'!G$209:G$2999),0)),"")</f>
        <v/>
      </c>
      <c r="L30" s="15" t="str">
        <f>IFERROR(INDEX('BalSht Data'!H$232:H$2999,MATCH(A30,IF('BalSht Data'!A$232=L$1,'BalSht Data'!G$232:G$2999),0)),"")</f>
        <v/>
      </c>
      <c r="M30" s="15" t="str">
        <f>IFERROR(INDEX('BalSht Data'!H$255:H$2999,MATCH(A30,IF('BalSht Data'!A$255=M$1,'BalSht Data'!G$255:G$2999),0)),"")</f>
        <v/>
      </c>
      <c r="N30" s="15" t="str">
        <f>IFERROR(INDEX('BalSht Data'!H$278:H$2999,MATCH(A30,IF('BalSht Data'!A$278=N$1,'BalSht Data'!G$278:G$2999),0)),"")</f>
        <v/>
      </c>
      <c r="O30" s="15" t="str">
        <f>IFERROR(INDEX('BalSht Data'!H$301:H$2999,MATCH(A30,IF('BalSht Data'!A$301=O$1,'BalSht Data'!G$301:G$2999),0)),"")</f>
        <v/>
      </c>
      <c r="P30" s="15" t="str">
        <f>IFERROR(INDEX('BalSht Data'!H$324:H$2999,MATCH(A30,IF('BalSht Data'!A$324=P$1,'BalSht Data'!G$324:G$2999),0)),"")</f>
        <v/>
      </c>
      <c r="Q30" s="15" t="str">
        <f>IFERROR(INDEX('BalSht Data'!H$347:H$2999,MATCH(A30,IF('BalSht Data'!A$347=Q$1,'BalSht Data'!G$347:G$2999),0)),"")</f>
        <v/>
      </c>
      <c r="R30" s="15" t="str">
        <f>IFERROR(INDEX('BalSht Data'!H$370:H$2999,MATCH(A30,IF('BalSht Data'!A$370=R$1,'BalSht Data'!G$370:G$2999),0)),"")</f>
        <v/>
      </c>
      <c r="S30" s="15" t="str">
        <f>IFERROR(INDEX('BalSht Data'!H$393:H$2999,MATCH(A30,IF('BalSht Data'!A$393=S$1,'BalSht Data'!G$393:G$2999),0)),"")</f>
        <v/>
      </c>
      <c r="T30" s="15" t="str">
        <f>IFERROR(INDEX('BalSht Data'!H$416:H$2999,MATCH(A30,IF('BalSht Data'!A$416=T$1,'BalSht Data'!G$416:G$2999),0)),"")</f>
        <v/>
      </c>
      <c r="U30" s="15" t="str">
        <f>IFERROR(INDEX('BalSht Data'!H$439:H$2999,MATCH(A30,IF('BalSht Data'!A$439=U$1,'BalSht Data'!G$439:G$2999),0)),"")</f>
        <v/>
      </c>
      <c r="V30" s="15" t="str">
        <f>IFERROR(INDEX('BalSht Data'!H$462:H$2999,MATCH(A30,IF('BalSht Data'!A$462=V$1,'BalSht Data'!G$462:G$2999),0)),"")</f>
        <v/>
      </c>
      <c r="W30" s="15" t="str">
        <f>IFERROR(INDEX('BalSht Data'!H$485:H$2999,MATCH(A30,IF('BalSht Data'!A$485=W$1,'BalSht Data'!G$485:G$2999),0)),"")</f>
        <v/>
      </c>
      <c r="X30" s="15" t="str">
        <f>IFERROR(INDEX('BalSht Data'!H$508:H$2999,MATCH(A30,IF('BalSht Data'!A$508=X$1,'BalSht Data'!G$508:G$2999),0)),"")</f>
        <v/>
      </c>
      <c r="Y30" s="15" t="str">
        <f>IFERROR(INDEX('BalSht Data'!H$531:H$2999,MATCH(A30,IF('BalSht Data'!A$531=Y$1,'BalSht Data'!G$531:G$2999),0)),"")</f>
        <v/>
      </c>
      <c r="Z30" s="15" t="str">
        <f>IFERROR(INDEX('BalSht Data'!H$554:H$2999,MATCH(A30,IF('BalSht Data'!A$554=Z$1,'BalSht Data'!G$554:G$2999),0)),"")</f>
        <v/>
      </c>
      <c r="AA30" s="15" t="str">
        <f>IFERROR(INDEX('BalSht Data'!H$577:H$2999,MATCH(A30,IF('BalSht Data'!A$577=AA$1,'BalSht Data'!G$577:G$2999),0)),"")</f>
        <v/>
      </c>
      <c r="AB30" s="15" t="str">
        <f>IFERROR(INDEX('BalSht Data'!H$600:H$2999,MATCH(A30,IF('BalSht Data'!A$600=AB$1,'BalSht Data'!G$600:G$2999),0)),"")</f>
        <v/>
      </c>
      <c r="AC30" s="15" t="str">
        <f>IFERROR(INDEX('BalSht Data'!H$623:H$2999,MATCH(A30,IF('BalSht Data'!A$623=AC$1,'BalSht Data'!G$623:G$2999),0)),"")</f>
        <v/>
      </c>
      <c r="AD30" s="15" t="str">
        <f>IFERROR(INDEX('BalSht Data'!H$646:H$2999,MATCH(A30,IF('BalSht Data'!A$646=AD$1,'BalSht Data'!G$646:G$2999),0)),"")</f>
        <v/>
      </c>
      <c r="AE30" s="15" t="str">
        <f>IFERROR(INDEX('BalSht Data'!H$669:H$2999,MATCH(A30,IF('BalSht Data'!A$669=AE$1,'BalSht Data'!G$669:G$2999),0)),"")</f>
        <v/>
      </c>
      <c r="AF30" s="15" t="str">
        <f>IFERROR(INDEX('BalSht Data'!H$692:H$2999,MATCH(A30,IF('BalSht Data'!A$692=AF$1,'BalSht Data'!G$692:G$2999),0)),"")</f>
        <v/>
      </c>
      <c r="AG30" s="15" t="str">
        <f>IFERROR(INDEX('BalSht Data'!H$715:H$2999,MATCH(A30,IF('BalSht Data'!A$715=AG$1,'BalSht Data'!G$715:G$2999),0)),"")</f>
        <v/>
      </c>
      <c r="AH30" s="15" t="str">
        <f>IFERROR(INDEX('BalSht Data'!H$738:H$2999,MATCH(A30,IF('BalSht Data'!A$738=AH$1,'BalSht Data'!G$738:G$2999),0)),"")</f>
        <v/>
      </c>
      <c r="AI30" s="15" t="str">
        <f>IFERROR(INDEX('BalSht Data'!H$761:H$2999,MATCH(A30,IF('BalSht Data'!A$761=AI$1,'BalSht Data'!G$761:G$2999),0)),"")</f>
        <v/>
      </c>
      <c r="AJ30" s="15" t="str">
        <f>IFERROR(INDEX('BalSht Data'!H$784:H$2999,MATCH(A30,IF('BalSht Data'!A$784=AJ$1,'BalSht Data'!G$784:G$2999),0)),"")</f>
        <v/>
      </c>
      <c r="AK30" s="15" t="str">
        <f>IFERROR(INDEX('BalSht Data'!H$807:H$2999,MATCH(A30,IF('BalSht Data'!A$807=AK$1,'BalSht Data'!G$807:G$2999),0)),"")</f>
        <v/>
      </c>
      <c r="AL30" s="15" t="str">
        <f>IFERROR(INDEX('BalSht Data'!H$830:H$2999,MATCH(A30,IF('BalSht Data'!A$830=AL$1,'BalSht Data'!G$830:G$2999),0)),"")</f>
        <v/>
      </c>
      <c r="AM30" s="15" t="str">
        <f>IFERROR(INDEX('BalSht Data'!H$853:H$2999,MATCH(A30,IF('BalSht Data'!A$853=AM$1,'BalSht Data'!G$853:G$2999),0)),"")</f>
        <v/>
      </c>
      <c r="AN30" s="15" t="str">
        <f>IFERROR(INDEX('BalSht Data'!H$876:H$2999,MATCH(A30,IF('BalSht Data'!A$876=AN$1,'BalSht Data'!G$876:G$2999),0)),"")</f>
        <v/>
      </c>
      <c r="AO30" s="15" t="str">
        <f>IFERROR(INDEX('BalSht Data'!H$899:H$2999,MATCH(A30,IF('BalSht Data'!A$899=AO$1,'BalSht Data'!G$899:G$2999),0)),"")</f>
        <v/>
      </c>
      <c r="AP30" s="15" t="str">
        <f>IFERROR(INDEX('BalSht Data'!H$922:H$2999,MATCH(A30,IF('BalSht Data'!A$922=AP$1,'BalSht Data'!G$922:G$2999),0)),"")</f>
        <v/>
      </c>
      <c r="AQ30" s="15" t="str">
        <f>IFERROR(INDEX('BalSht Data'!H$945:H$2999,MATCH(A30,IF('BalSht Data'!A$945=AQ$1,'BalSht Data'!G$945:G$2999),0)),"")</f>
        <v/>
      </c>
      <c r="AR30" s="15" t="str">
        <f>IFERROR(INDEX('BalSht Data'!H$968:H$2999,MATCH(A30,IF('BalSht Data'!A$968=AR$1,'BalSht Data'!G$968:G$2999),0)),"")</f>
        <v/>
      </c>
      <c r="AS30" s="15" t="str">
        <f>IFERROR(INDEX('BalSht Data'!H$991:H$2999,MATCH(A30,IF('BalSht Data'!A$991=AS$1,'BalSht Data'!G$991:G$2999),0)),"")</f>
        <v/>
      </c>
      <c r="AT30" s="15" t="str">
        <f>IFERROR(INDEX('BalSht Data'!H$1014:H$2999,MATCH(A30,IF('BalSht Data'!A$1014=AT$1,'BalSht Data'!G$1014:G$2999),0)),"")</f>
        <v/>
      </c>
      <c r="AU30" s="15" t="str">
        <f>IFERROR(INDEX('BalSht Data'!H$1037:H$2999,MATCH(A30,IF('BalSht Data'!A$1037=AU$1,'BalSht Data'!G$1037:G$2999),0)),"")</f>
        <v/>
      </c>
      <c r="AV30" s="15" t="str">
        <f>IFERROR(INDEX('BalSht Data'!H$1060:H$2999,MATCH(A30,IF('BalSht Data'!A$1060=AV$1,'BalSht Data'!G$1060:G$2999),0)),"")</f>
        <v/>
      </c>
      <c r="AW30" s="15" t="str">
        <f>IFERROR(INDEX('BalSht Data'!H$1083:H$2999,MATCH(A30,IF('BalSht Data'!A$1083=AW$1,'BalSht Data'!G$1083:G$2999),0)),"")</f>
        <v/>
      </c>
      <c r="AX30" s="15" t="str">
        <f>IFERROR(INDEX('BalSht Data'!H$1106:H$2999,MATCH(A30,IF('BalSht Data'!A$1106=AX$1,'BalSht Data'!G$1106:G$2999),0)),"")</f>
        <v/>
      </c>
      <c r="AY30" s="15" t="str">
        <f>IFERROR(INDEX('BalSht Data'!H$1129:H$2999,MATCH(A30,IF('BalSht Data'!A$1129=AY$1,'BalSht Data'!G$1129:G$2999),0)),"")</f>
        <v/>
      </c>
      <c r="AZ30" s="15" t="str">
        <f>IFERROR(INDEX('BalSht Data'!H$1152:H$2999,MATCH(A30,IF('BalSht Data'!A$1152=AZ$1,'BalSht Data'!G$1152:G$2999),0)),"")</f>
        <v/>
      </c>
      <c r="BA30" s="15" t="str">
        <f>IFERROR(INDEX('BalSht Data'!H$1175:H$2999,MATCH(A30,IF('BalSht Data'!A$1175=BA$1,'BalSht Data'!G$1175:G$2999),0)),"")</f>
        <v/>
      </c>
      <c r="BB30" s="15" t="str">
        <f>IFERROR(INDEX('BalSht Data'!H$1198:H$2999,MATCH(A30,IF('BalSht Data'!A$1198=BB$1,'BalSht Data'!G$1198:G$2999),0)),"")</f>
        <v/>
      </c>
      <c r="BC30" s="15" t="str">
        <f>IFERROR(INDEX('BalSht Data'!H$1221:H$2999,MATCH(A30,IF('BalSht Data'!A$1221=BC$1,'BalSht Data'!G$1221:G$2999),0)),"")</f>
        <v/>
      </c>
      <c r="BD30" s="15" t="str">
        <f>IFERROR(INDEX('BalSht Data'!H$1244:H$2999,MATCH(A30,IF('BalSht Data'!A$1244=BD$1,'BalSht Data'!G$1244:G$2999),0)),"")</f>
        <v/>
      </c>
      <c r="BE30" s="15" t="str">
        <f>IFERROR(INDEX('BalSht Data'!H$1267:H$2999,MATCH(A30,IF('BalSht Data'!A$1267=BE$1,'BalSht Data'!G$1267:G$2999),0)),"")</f>
        <v/>
      </c>
      <c r="BF30" s="15"/>
    </row>
    <row r="31" spans="1:58" x14ac:dyDescent="0.2">
      <c r="A31" s="5" t="s">
        <v>34</v>
      </c>
      <c r="B31" s="15" t="str">
        <f>IFERROR(INDEX('BalSht Data'!H$2:H$2999,MATCH(A31,IF('BalSht Data'!A$2=B$1,'BalSht Data'!G$2:G$2999),0)),"")</f>
        <v/>
      </c>
      <c r="C31" s="15" t="str">
        <f>IFERROR(INDEX('BalSht Data'!H$25:H$2999,MATCH(A31,IF('BalSht Data'!A$25=C$1,'BalSht Data'!G$2:G$2999),0)),"")</f>
        <v/>
      </c>
      <c r="D31" s="15" t="str">
        <f>IFERROR(INDEX('BalSht Data'!H$48:H$2999,MATCH(A31,IF('BalSht Data'!A$48=D$1,'BalSht Data'!G$48:G$2999),0)),"")</f>
        <v/>
      </c>
      <c r="E31" s="15" t="str">
        <f>IFERROR(INDEX('BalSht Data'!H$71:H$2999,MATCH(A31,IF('BalSht Data'!A$71=E$1,'BalSht Data'!G$71:G$2999),0)),"")</f>
        <v/>
      </c>
      <c r="F31" s="15" t="str">
        <f>IFERROR(INDEX('BalSht Data'!H$94:H$2999,MATCH(A31,IF('BalSht Data'!A$94=F$1,'BalSht Data'!G$94:G$2999),0)),"")</f>
        <v/>
      </c>
      <c r="G31" s="15" t="str">
        <f>IFERROR(INDEX('BalSht Data'!H$117:H$2999,MATCH(A31,IF('BalSht Data'!A$117=G$1,'BalSht Data'!G$117:G$2999),0)),"")</f>
        <v/>
      </c>
      <c r="H31" s="15" t="str">
        <f>IFERROR(INDEX('BalSht Data'!H$140:H$2999,MATCH(A31,IF('BalSht Data'!A$140=H$1,'BalSht Data'!G$140:G$2999),0)),"")</f>
        <v/>
      </c>
      <c r="I31" s="15" t="str">
        <f>IFERROR(INDEX('BalSht Data'!H$163:H$2999,MATCH(A31,IF('BalSht Data'!A$163=I$1,'BalSht Data'!G$163:G$2999),0)),"")</f>
        <v/>
      </c>
      <c r="J31" s="15" t="str">
        <f>IFERROR(INDEX('BalSht Data'!H$186:H$2999,MATCH(A31,IF('BalSht Data'!A$186=J$1,'BalSht Data'!G$186:G$2999),0)),"")</f>
        <v/>
      </c>
      <c r="K31" s="15" t="str">
        <f>IFERROR(INDEX('BalSht Data'!H$209:H$2999,MATCH(A31,IF('BalSht Data'!A$209=K$1,'BalSht Data'!G$209:G$2999),0)),"")</f>
        <v/>
      </c>
      <c r="L31" s="15" t="str">
        <f>IFERROR(INDEX('BalSht Data'!H$232:H$2999,MATCH(A31,IF('BalSht Data'!A$232=L$1,'BalSht Data'!G$232:G$2999),0)),"")</f>
        <v/>
      </c>
      <c r="M31" s="15" t="str">
        <f>IFERROR(INDEX('BalSht Data'!H$255:H$2999,MATCH(A31,IF('BalSht Data'!A$255=M$1,'BalSht Data'!G$255:G$2999),0)),"")</f>
        <v/>
      </c>
      <c r="N31" s="15" t="str">
        <f>IFERROR(INDEX('BalSht Data'!H$278:H$2999,MATCH(A31,IF('BalSht Data'!A$278=N$1,'BalSht Data'!G$278:G$2999),0)),"")</f>
        <v/>
      </c>
      <c r="O31" s="15" t="str">
        <f>IFERROR(INDEX('BalSht Data'!H$301:H$2999,MATCH(A31,IF('BalSht Data'!A$301=O$1,'BalSht Data'!G$301:G$2999),0)),"")</f>
        <v/>
      </c>
      <c r="P31" s="15" t="str">
        <f>IFERROR(INDEX('BalSht Data'!H$324:H$2999,MATCH(A31,IF('BalSht Data'!A$324=P$1,'BalSht Data'!G$324:G$2999),0)),"")</f>
        <v/>
      </c>
      <c r="Q31" s="15" t="str">
        <f>IFERROR(INDEX('BalSht Data'!H$347:H$2999,MATCH(A31,IF('BalSht Data'!A$347=Q$1,'BalSht Data'!G$347:G$2999),0)),"")</f>
        <v/>
      </c>
      <c r="R31" s="15" t="str">
        <f>IFERROR(INDEX('BalSht Data'!H$370:H$2999,MATCH(A31,IF('BalSht Data'!A$370=R$1,'BalSht Data'!G$370:G$2999),0)),"")</f>
        <v/>
      </c>
      <c r="S31" s="15" t="str">
        <f>IFERROR(INDEX('BalSht Data'!H$393:H$2999,MATCH(A31,IF('BalSht Data'!A$393=S$1,'BalSht Data'!G$393:G$2999),0)),"")</f>
        <v/>
      </c>
      <c r="T31" s="15" t="str">
        <f>IFERROR(INDEX('BalSht Data'!H$416:H$2999,MATCH(A31,IF('BalSht Data'!A$416=T$1,'BalSht Data'!G$416:G$2999),0)),"")</f>
        <v/>
      </c>
      <c r="U31" s="15" t="str">
        <f>IFERROR(INDEX('BalSht Data'!H$439:H$2999,MATCH(A31,IF('BalSht Data'!A$439=U$1,'BalSht Data'!G$439:G$2999),0)),"")</f>
        <v/>
      </c>
      <c r="V31" s="15" t="str">
        <f>IFERROR(INDEX('BalSht Data'!H$462:H$2999,MATCH(A31,IF('BalSht Data'!A$462=V$1,'BalSht Data'!G$462:G$2999),0)),"")</f>
        <v/>
      </c>
      <c r="W31" s="15" t="str">
        <f>IFERROR(INDEX('BalSht Data'!H$485:H$2999,MATCH(A31,IF('BalSht Data'!A$485=W$1,'BalSht Data'!G$485:G$2999),0)),"")</f>
        <v/>
      </c>
      <c r="X31" s="15" t="str">
        <f>IFERROR(INDEX('BalSht Data'!H$508:H$2999,MATCH(A31,IF('BalSht Data'!A$508=X$1,'BalSht Data'!G$508:G$2999),0)),"")</f>
        <v/>
      </c>
      <c r="Y31" s="15" t="str">
        <f>IFERROR(INDEX('BalSht Data'!H$531:H$2999,MATCH(A31,IF('BalSht Data'!A$531=Y$1,'BalSht Data'!G$531:G$2999),0)),"")</f>
        <v/>
      </c>
      <c r="Z31" s="15" t="str">
        <f>IFERROR(INDEX('BalSht Data'!H$554:H$2999,MATCH(A31,IF('BalSht Data'!A$554=Z$1,'BalSht Data'!G$554:G$2999),0)),"")</f>
        <v/>
      </c>
      <c r="AA31" s="15" t="str">
        <f>IFERROR(INDEX('BalSht Data'!H$577:H$2999,MATCH(A31,IF('BalSht Data'!A$577=AA$1,'BalSht Data'!G$577:G$2999),0)),"")</f>
        <v/>
      </c>
      <c r="AB31" s="15" t="str">
        <f>IFERROR(INDEX('BalSht Data'!H$600:H$2999,MATCH(A31,IF('BalSht Data'!A$600=AB$1,'BalSht Data'!G$600:G$2999),0)),"")</f>
        <v/>
      </c>
      <c r="AC31" s="15" t="str">
        <f>IFERROR(INDEX('BalSht Data'!H$623:H$2999,MATCH(A31,IF('BalSht Data'!A$623=AC$1,'BalSht Data'!G$623:G$2999),0)),"")</f>
        <v/>
      </c>
      <c r="AD31" s="15" t="str">
        <f>IFERROR(INDEX('BalSht Data'!H$646:H$2999,MATCH(A31,IF('BalSht Data'!A$646=AD$1,'BalSht Data'!G$646:G$2999),0)),"")</f>
        <v/>
      </c>
      <c r="AE31" s="15" t="str">
        <f>IFERROR(INDEX('BalSht Data'!H$669:H$2999,MATCH(A31,IF('BalSht Data'!A$669=AE$1,'BalSht Data'!G$669:G$2999),0)),"")</f>
        <v/>
      </c>
      <c r="AF31" s="15" t="str">
        <f>IFERROR(INDEX('BalSht Data'!H$692:H$2999,MATCH(A31,IF('BalSht Data'!A$692=AF$1,'BalSht Data'!G$692:G$2999),0)),"")</f>
        <v/>
      </c>
      <c r="AG31" s="15" t="str">
        <f>IFERROR(INDEX('BalSht Data'!H$715:H$2999,MATCH(A31,IF('BalSht Data'!A$715=AG$1,'BalSht Data'!G$715:G$2999),0)),"")</f>
        <v/>
      </c>
      <c r="AH31" s="15" t="str">
        <f>IFERROR(INDEX('BalSht Data'!H$738:H$2999,MATCH(A31,IF('BalSht Data'!A$738=AH$1,'BalSht Data'!G$738:G$2999),0)),"")</f>
        <v/>
      </c>
      <c r="AI31" s="15" t="str">
        <f>IFERROR(INDEX('BalSht Data'!H$761:H$2999,MATCH(A31,IF('BalSht Data'!A$761=AI$1,'BalSht Data'!G$761:G$2999),0)),"")</f>
        <v/>
      </c>
      <c r="AJ31" s="15" t="str">
        <f>IFERROR(INDEX('BalSht Data'!H$784:H$2999,MATCH(A31,IF('BalSht Data'!A$784=AJ$1,'BalSht Data'!G$784:G$2999),0)),"")</f>
        <v/>
      </c>
      <c r="AK31" s="15" t="str">
        <f>IFERROR(INDEX('BalSht Data'!H$807:H$2999,MATCH(A31,IF('BalSht Data'!A$807=AK$1,'BalSht Data'!G$807:G$2999),0)),"")</f>
        <v/>
      </c>
      <c r="AL31" s="15" t="str">
        <f>IFERROR(INDEX('BalSht Data'!H$830:H$2999,MATCH(A31,IF('BalSht Data'!A$830=AL$1,'BalSht Data'!G$830:G$2999),0)),"")</f>
        <v/>
      </c>
      <c r="AM31" s="15" t="str">
        <f>IFERROR(INDEX('BalSht Data'!H$853:H$2999,MATCH(A31,IF('BalSht Data'!A$853=AM$1,'BalSht Data'!G$853:G$2999),0)),"")</f>
        <v/>
      </c>
      <c r="AN31" s="15" t="str">
        <f>IFERROR(INDEX('BalSht Data'!H$876:H$2999,MATCH(A31,IF('BalSht Data'!A$876=AN$1,'BalSht Data'!G$876:G$2999),0)),"")</f>
        <v/>
      </c>
      <c r="AO31" s="15" t="str">
        <f>IFERROR(INDEX('BalSht Data'!H$899:H$2999,MATCH(A31,IF('BalSht Data'!A$899=AO$1,'BalSht Data'!G$899:G$2999),0)),"")</f>
        <v/>
      </c>
      <c r="AP31" s="15" t="str">
        <f>IFERROR(INDEX('BalSht Data'!H$922:H$2999,MATCH(A31,IF('BalSht Data'!A$922=AP$1,'BalSht Data'!G$922:G$2999),0)),"")</f>
        <v/>
      </c>
      <c r="AQ31" s="15" t="str">
        <f>IFERROR(INDEX('BalSht Data'!H$945:H$2999,MATCH(A31,IF('BalSht Data'!A$945=AQ$1,'BalSht Data'!G$945:G$2999),0)),"")</f>
        <v/>
      </c>
      <c r="AR31" s="15" t="str">
        <f>IFERROR(INDEX('BalSht Data'!H$968:H$2999,MATCH(A31,IF('BalSht Data'!A$968=AR$1,'BalSht Data'!G$968:G$2999),0)),"")</f>
        <v/>
      </c>
      <c r="AS31" s="15" t="str">
        <f>IFERROR(INDEX('BalSht Data'!H$991:H$2999,MATCH(A31,IF('BalSht Data'!A$991=AS$1,'BalSht Data'!G$991:G$2999),0)),"")</f>
        <v/>
      </c>
      <c r="AT31" s="15" t="str">
        <f>IFERROR(INDEX('BalSht Data'!H$1014:H$2999,MATCH(A31,IF('BalSht Data'!A$1014=AT$1,'BalSht Data'!G$1014:G$2999),0)),"")</f>
        <v/>
      </c>
      <c r="AU31" s="15" t="str">
        <f>IFERROR(INDEX('BalSht Data'!H$1037:H$2999,MATCH(A31,IF('BalSht Data'!A$1037=AU$1,'BalSht Data'!G$1037:G$2999),0)),"")</f>
        <v/>
      </c>
      <c r="AV31" s="15" t="str">
        <f>IFERROR(INDEX('BalSht Data'!H$1060:H$2999,MATCH(A31,IF('BalSht Data'!A$1060=AV$1,'BalSht Data'!G$1060:G$2999),0)),"")</f>
        <v/>
      </c>
      <c r="AW31" s="15" t="str">
        <f>IFERROR(INDEX('BalSht Data'!H$1083:H$2999,MATCH(A31,IF('BalSht Data'!A$1083=AW$1,'BalSht Data'!G$1083:G$2999),0)),"")</f>
        <v/>
      </c>
      <c r="AX31" s="15" t="str">
        <f>IFERROR(INDEX('BalSht Data'!H$1106:H$2999,MATCH(A31,IF('BalSht Data'!A$1106=AX$1,'BalSht Data'!G$1106:G$2999),0)),"")</f>
        <v/>
      </c>
      <c r="AY31" s="15" t="str">
        <f>IFERROR(INDEX('BalSht Data'!H$1129:H$2999,MATCH(A31,IF('BalSht Data'!A$1129=AY$1,'BalSht Data'!G$1129:G$2999),0)),"")</f>
        <v/>
      </c>
      <c r="AZ31" s="15" t="str">
        <f>IFERROR(INDEX('BalSht Data'!H$1152:H$2999,MATCH(A31,IF('BalSht Data'!A$1152=AZ$1,'BalSht Data'!G$1152:G$2999),0)),"")</f>
        <v/>
      </c>
      <c r="BA31" s="15" t="str">
        <f>IFERROR(INDEX('BalSht Data'!H$1175:H$2999,MATCH(A31,IF('BalSht Data'!A$1175=BA$1,'BalSht Data'!G$1175:G$2999),0)),"")</f>
        <v/>
      </c>
      <c r="BB31" s="15" t="str">
        <f>IFERROR(INDEX('BalSht Data'!H$1198:H$2999,MATCH(A31,IF('BalSht Data'!A$1198=BB$1,'BalSht Data'!G$1198:G$2999),0)),"")</f>
        <v/>
      </c>
      <c r="BC31" s="15" t="str">
        <f>IFERROR(INDEX('BalSht Data'!H$1221:H$2999,MATCH(A31,IF('BalSht Data'!A$1221=BC$1,'BalSht Data'!G$1221:G$2999),0)),"")</f>
        <v/>
      </c>
      <c r="BD31" s="15" t="str">
        <f>IFERROR(INDEX('BalSht Data'!H$1244:H$2999,MATCH(A31,IF('BalSht Data'!A$1244=BD$1,'BalSht Data'!G$1244:G$2999),0)),"")</f>
        <v/>
      </c>
      <c r="BE31" s="15" t="str">
        <f>IFERROR(INDEX('BalSht Data'!H$1267:H$2999,MATCH(A31,IF('BalSht Data'!A$1267=BE$1,'BalSht Data'!G$1267:G$2999),0)),"")</f>
        <v/>
      </c>
      <c r="BF31" s="15"/>
    </row>
    <row r="32" spans="1:58" x14ac:dyDescent="0.2">
      <c r="A32" s="5" t="s">
        <v>35</v>
      </c>
      <c r="B32" s="15" t="str">
        <f>IFERROR(INDEX('BalSht Data'!H$2:H$2999,MATCH(A32,IF('BalSht Data'!A$2=B$1,'BalSht Data'!G$2:G$2999),0)),"")</f>
        <v/>
      </c>
      <c r="C32" s="15" t="str">
        <f>IFERROR(INDEX('BalSht Data'!H$25:H$2999,MATCH(A32,IF('BalSht Data'!A$25=C$1,'BalSht Data'!G$2:G$2999),0)),"")</f>
        <v/>
      </c>
      <c r="D32" s="15" t="str">
        <f>IFERROR(INDEX('BalSht Data'!H$48:H$2999,MATCH(A32,IF('BalSht Data'!A$48=D$1,'BalSht Data'!G$48:G$2999),0)),"")</f>
        <v/>
      </c>
      <c r="E32" s="15" t="str">
        <f>IFERROR(INDEX('BalSht Data'!H$71:H$2999,MATCH(A32,IF('BalSht Data'!A$71=E$1,'BalSht Data'!G$71:G$2999),0)),"")</f>
        <v/>
      </c>
      <c r="F32" s="15" t="str">
        <f>IFERROR(INDEX('BalSht Data'!H$94:H$2999,MATCH(A32,IF('BalSht Data'!A$94=F$1,'BalSht Data'!G$94:G$2999),0)),"")</f>
        <v/>
      </c>
      <c r="G32" s="15" t="str">
        <f>IFERROR(INDEX('BalSht Data'!H$117:H$2999,MATCH(A32,IF('BalSht Data'!A$117=G$1,'BalSht Data'!G$117:G$2999),0)),"")</f>
        <v/>
      </c>
      <c r="H32" s="15" t="str">
        <f>IFERROR(INDEX('BalSht Data'!H$140:H$2999,MATCH(A32,IF('BalSht Data'!A$140=H$1,'BalSht Data'!G$140:G$2999),0)),"")</f>
        <v/>
      </c>
      <c r="I32" s="15" t="str">
        <f>IFERROR(INDEX('BalSht Data'!H$163:H$2999,MATCH(A32,IF('BalSht Data'!A$163=I$1,'BalSht Data'!G$163:G$2999),0)),"")</f>
        <v/>
      </c>
      <c r="J32" s="15" t="str">
        <f>IFERROR(INDEX('BalSht Data'!H$186:H$2999,MATCH(A32,IF('BalSht Data'!A$186=J$1,'BalSht Data'!G$186:G$2999),0)),"")</f>
        <v/>
      </c>
      <c r="K32" s="15" t="str">
        <f>IFERROR(INDEX('BalSht Data'!H$209:H$2999,MATCH(A32,IF('BalSht Data'!A$209=K$1,'BalSht Data'!G$209:G$2999),0)),"")</f>
        <v/>
      </c>
      <c r="L32" s="15" t="str">
        <f>IFERROR(INDEX('BalSht Data'!H$232:H$2999,MATCH(A32,IF('BalSht Data'!A$232=L$1,'BalSht Data'!G$232:G$2999),0)),"")</f>
        <v/>
      </c>
      <c r="M32" s="15" t="str">
        <f>IFERROR(INDEX('BalSht Data'!H$255:H$2999,MATCH(A32,IF('BalSht Data'!A$255=M$1,'BalSht Data'!G$255:G$2999),0)),"")</f>
        <v/>
      </c>
      <c r="N32" s="15" t="str">
        <f>IFERROR(INDEX('BalSht Data'!H$278:H$2999,MATCH(A32,IF('BalSht Data'!A$278=N$1,'BalSht Data'!G$278:G$2999),0)),"")</f>
        <v/>
      </c>
      <c r="O32" s="15" t="str">
        <f>IFERROR(INDEX('BalSht Data'!H$301:H$2999,MATCH(A32,IF('BalSht Data'!A$301=O$1,'BalSht Data'!G$301:G$2999),0)),"")</f>
        <v/>
      </c>
      <c r="P32" s="15" t="str">
        <f>IFERROR(INDEX('BalSht Data'!H$324:H$2999,MATCH(A32,IF('BalSht Data'!A$324=P$1,'BalSht Data'!G$324:G$2999),0)),"")</f>
        <v/>
      </c>
      <c r="Q32" s="15" t="str">
        <f>IFERROR(INDEX('BalSht Data'!H$347:H$2999,MATCH(A32,IF('BalSht Data'!A$347=Q$1,'BalSht Data'!G$347:G$2999),0)),"")</f>
        <v/>
      </c>
      <c r="R32" s="15" t="str">
        <f>IFERROR(INDEX('BalSht Data'!H$370:H$2999,MATCH(A32,IF('BalSht Data'!A$370=R$1,'BalSht Data'!G$370:G$2999),0)),"")</f>
        <v/>
      </c>
      <c r="S32" s="15" t="str">
        <f>IFERROR(INDEX('BalSht Data'!H$393:H$2999,MATCH(A32,IF('BalSht Data'!A$393=S$1,'BalSht Data'!G$393:G$2999),0)),"")</f>
        <v/>
      </c>
      <c r="T32" s="15" t="str">
        <f>IFERROR(INDEX('BalSht Data'!H$416:H$2999,MATCH(A32,IF('BalSht Data'!A$416=T$1,'BalSht Data'!G$416:G$2999),0)),"")</f>
        <v/>
      </c>
      <c r="U32" s="15" t="str">
        <f>IFERROR(INDEX('BalSht Data'!H$439:H$2999,MATCH(A32,IF('BalSht Data'!A$439=U$1,'BalSht Data'!G$439:G$2999),0)),"")</f>
        <v/>
      </c>
      <c r="V32" s="15" t="str">
        <f>IFERROR(INDEX('BalSht Data'!H$462:H$2999,MATCH(A32,IF('BalSht Data'!A$462=V$1,'BalSht Data'!G$462:G$2999),0)),"")</f>
        <v/>
      </c>
      <c r="W32" s="15" t="str">
        <f>IFERROR(INDEX('BalSht Data'!H$485:H$2999,MATCH(A32,IF('BalSht Data'!A$485=W$1,'BalSht Data'!G$485:G$2999),0)),"")</f>
        <v/>
      </c>
      <c r="X32" s="15" t="str">
        <f>IFERROR(INDEX('BalSht Data'!H$508:H$2999,MATCH(A32,IF('BalSht Data'!A$508=X$1,'BalSht Data'!G$508:G$2999),0)),"")</f>
        <v/>
      </c>
      <c r="Y32" s="15" t="str">
        <f>IFERROR(INDEX('BalSht Data'!H$531:H$2999,MATCH(A32,IF('BalSht Data'!A$531=Y$1,'BalSht Data'!G$531:G$2999),0)),"")</f>
        <v/>
      </c>
      <c r="Z32" s="15" t="str">
        <f>IFERROR(INDEX('BalSht Data'!H$554:H$2999,MATCH(A32,IF('BalSht Data'!A$554=Z$1,'BalSht Data'!G$554:G$2999),0)),"")</f>
        <v/>
      </c>
      <c r="AA32" s="15" t="str">
        <f>IFERROR(INDEX('BalSht Data'!H$577:H$2999,MATCH(A32,IF('BalSht Data'!A$577=AA$1,'BalSht Data'!G$577:G$2999),0)),"")</f>
        <v/>
      </c>
      <c r="AB32" s="15" t="str">
        <f>IFERROR(INDEX('BalSht Data'!H$600:H$2999,MATCH(A32,IF('BalSht Data'!A$600=AB$1,'BalSht Data'!G$600:G$2999),0)),"")</f>
        <v/>
      </c>
      <c r="AC32" s="15" t="str">
        <f>IFERROR(INDEX('BalSht Data'!H$623:H$2999,MATCH(A32,IF('BalSht Data'!A$623=AC$1,'BalSht Data'!G$623:G$2999),0)),"")</f>
        <v/>
      </c>
      <c r="AD32" s="15" t="str">
        <f>IFERROR(INDEX('BalSht Data'!H$646:H$2999,MATCH(A32,IF('BalSht Data'!A$646=AD$1,'BalSht Data'!G$646:G$2999),0)),"")</f>
        <v/>
      </c>
      <c r="AE32" s="15" t="str">
        <f>IFERROR(INDEX('BalSht Data'!H$669:H$2999,MATCH(A32,IF('BalSht Data'!A$669=AE$1,'BalSht Data'!G$669:G$2999),0)),"")</f>
        <v/>
      </c>
      <c r="AF32" s="15" t="str">
        <f>IFERROR(INDEX('BalSht Data'!H$692:H$2999,MATCH(A32,IF('BalSht Data'!A$692=AF$1,'BalSht Data'!G$692:G$2999),0)),"")</f>
        <v/>
      </c>
      <c r="AG32" s="15" t="str">
        <f>IFERROR(INDEX('BalSht Data'!H$715:H$2999,MATCH(A32,IF('BalSht Data'!A$715=AG$1,'BalSht Data'!G$715:G$2999),0)),"")</f>
        <v/>
      </c>
      <c r="AH32" s="15" t="str">
        <f>IFERROR(INDEX('BalSht Data'!H$738:H$2999,MATCH(A32,IF('BalSht Data'!A$738=AH$1,'BalSht Data'!G$738:G$2999),0)),"")</f>
        <v/>
      </c>
      <c r="AI32" s="15" t="str">
        <f>IFERROR(INDEX('BalSht Data'!H$761:H$2999,MATCH(A32,IF('BalSht Data'!A$761=AI$1,'BalSht Data'!G$761:G$2999),0)),"")</f>
        <v/>
      </c>
      <c r="AJ32" s="15" t="str">
        <f>IFERROR(INDEX('BalSht Data'!H$784:H$2999,MATCH(A32,IF('BalSht Data'!A$784=AJ$1,'BalSht Data'!G$784:G$2999),0)),"")</f>
        <v/>
      </c>
      <c r="AK32" s="15" t="str">
        <f>IFERROR(INDEX('BalSht Data'!H$807:H$2999,MATCH(A32,IF('BalSht Data'!A$807=AK$1,'BalSht Data'!G$807:G$2999),0)),"")</f>
        <v/>
      </c>
      <c r="AL32" s="15" t="str">
        <f>IFERROR(INDEX('BalSht Data'!H$830:H$2999,MATCH(A32,IF('BalSht Data'!A$830=AL$1,'BalSht Data'!G$830:G$2999),0)),"")</f>
        <v/>
      </c>
      <c r="AM32" s="15" t="str">
        <f>IFERROR(INDEX('BalSht Data'!H$853:H$2999,MATCH(A32,IF('BalSht Data'!A$853=AM$1,'BalSht Data'!G$853:G$2999),0)),"")</f>
        <v/>
      </c>
      <c r="AN32" s="15" t="str">
        <f>IFERROR(INDEX('BalSht Data'!H$876:H$2999,MATCH(A32,IF('BalSht Data'!A$876=AN$1,'BalSht Data'!G$876:G$2999),0)),"")</f>
        <v/>
      </c>
      <c r="AO32" s="15" t="str">
        <f>IFERROR(INDEX('BalSht Data'!H$899:H$2999,MATCH(A32,IF('BalSht Data'!A$899=AO$1,'BalSht Data'!G$899:G$2999),0)),"")</f>
        <v/>
      </c>
      <c r="AP32" s="15" t="str">
        <f>IFERROR(INDEX('BalSht Data'!H$922:H$2999,MATCH(A32,IF('BalSht Data'!A$922=AP$1,'BalSht Data'!G$922:G$2999),0)),"")</f>
        <v/>
      </c>
      <c r="AQ32" s="15" t="str">
        <f>IFERROR(INDEX('BalSht Data'!H$945:H$2999,MATCH(A32,IF('BalSht Data'!A$945=AQ$1,'BalSht Data'!G$945:G$2999),0)),"")</f>
        <v/>
      </c>
      <c r="AR32" s="15" t="str">
        <f>IFERROR(INDEX('BalSht Data'!H$968:H$2999,MATCH(A32,IF('BalSht Data'!A$968=AR$1,'BalSht Data'!G$968:G$2999),0)),"")</f>
        <v/>
      </c>
      <c r="AS32" s="15" t="str">
        <f>IFERROR(INDEX('BalSht Data'!H$991:H$2999,MATCH(A32,IF('BalSht Data'!A$991=AS$1,'BalSht Data'!G$991:G$2999),0)),"")</f>
        <v/>
      </c>
      <c r="AT32" s="15" t="str">
        <f>IFERROR(INDEX('BalSht Data'!H$1014:H$2999,MATCH(A32,IF('BalSht Data'!A$1014=AT$1,'BalSht Data'!G$1014:G$2999),0)),"")</f>
        <v/>
      </c>
      <c r="AU32" s="15" t="str">
        <f>IFERROR(INDEX('BalSht Data'!H$1037:H$2999,MATCH(A32,IF('BalSht Data'!A$1037=AU$1,'BalSht Data'!G$1037:G$2999),0)),"")</f>
        <v/>
      </c>
      <c r="AV32" s="15" t="str">
        <f>IFERROR(INDEX('BalSht Data'!H$1060:H$2999,MATCH(A32,IF('BalSht Data'!A$1060=AV$1,'BalSht Data'!G$1060:G$2999),0)),"")</f>
        <v/>
      </c>
      <c r="AW32" s="15" t="str">
        <f>IFERROR(INDEX('BalSht Data'!H$1083:H$2999,MATCH(A32,IF('BalSht Data'!A$1083=AW$1,'BalSht Data'!G$1083:G$2999),0)),"")</f>
        <v/>
      </c>
      <c r="AX32" s="15" t="str">
        <f>IFERROR(INDEX('BalSht Data'!H$1106:H$2999,MATCH(A32,IF('BalSht Data'!A$1106=AX$1,'BalSht Data'!G$1106:G$2999),0)),"")</f>
        <v/>
      </c>
      <c r="AY32" s="15" t="str">
        <f>IFERROR(INDEX('BalSht Data'!H$1129:H$2999,MATCH(A32,IF('BalSht Data'!A$1129=AY$1,'BalSht Data'!G$1129:G$2999),0)),"")</f>
        <v/>
      </c>
      <c r="AZ32" s="15" t="str">
        <f>IFERROR(INDEX('BalSht Data'!H$1152:H$2999,MATCH(A32,IF('BalSht Data'!A$1152=AZ$1,'BalSht Data'!G$1152:G$2999),0)),"")</f>
        <v/>
      </c>
      <c r="BA32" s="15" t="str">
        <f>IFERROR(INDEX('BalSht Data'!H$1175:H$2999,MATCH(A32,IF('BalSht Data'!A$1175=BA$1,'BalSht Data'!G$1175:G$2999),0)),"")</f>
        <v/>
      </c>
      <c r="BB32" s="15" t="str">
        <f>IFERROR(INDEX('BalSht Data'!H$1198:H$2999,MATCH(A32,IF('BalSht Data'!A$1198=BB$1,'BalSht Data'!G$1198:G$2999),0)),"")</f>
        <v/>
      </c>
      <c r="BC32" s="15" t="str">
        <f>IFERROR(INDEX('BalSht Data'!H$1221:H$2999,MATCH(A32,IF('BalSht Data'!A$1221=BC$1,'BalSht Data'!G$1221:G$2999),0)),"")</f>
        <v/>
      </c>
      <c r="BD32" s="15" t="str">
        <f>IFERROR(INDEX('BalSht Data'!H$1244:H$2999,MATCH(A32,IF('BalSht Data'!A$1244=BD$1,'BalSht Data'!G$1244:G$2999),0)),"")</f>
        <v/>
      </c>
      <c r="BE32" s="15" t="str">
        <f>IFERROR(INDEX('BalSht Data'!H$1267:H$2999,MATCH(A32,IF('BalSht Data'!A$1267=BE$1,'BalSht Data'!G$1267:G$2999),0)),"")</f>
        <v/>
      </c>
      <c r="BF32" s="15"/>
    </row>
    <row r="33" spans="1:58" x14ac:dyDescent="0.2">
      <c r="A33" s="5" t="s">
        <v>36</v>
      </c>
      <c r="B33" s="15" t="str">
        <f>IFERROR(INDEX('BalSht Data'!H$2:H$2999,MATCH(A33,IF('BalSht Data'!A$2=B$1,'BalSht Data'!G$2:G$2999),0)),"")</f>
        <v/>
      </c>
      <c r="C33" s="15" t="str">
        <f>IFERROR(INDEX('BalSht Data'!H$25:H$2999,MATCH(A33,IF('BalSht Data'!A$25=C$1,'BalSht Data'!G$2:G$2999),0)),"")</f>
        <v/>
      </c>
      <c r="D33" s="15" t="str">
        <f>IFERROR(INDEX('BalSht Data'!H$48:H$2999,MATCH(A33,IF('BalSht Data'!A$48=D$1,'BalSht Data'!G$48:G$2999),0)),"")</f>
        <v/>
      </c>
      <c r="E33" s="15" t="str">
        <f>IFERROR(INDEX('BalSht Data'!H$71:H$2999,MATCH(A33,IF('BalSht Data'!A$71=E$1,'BalSht Data'!G$71:G$2999),0)),"")</f>
        <v/>
      </c>
      <c r="F33" s="15" t="str">
        <f>IFERROR(INDEX('BalSht Data'!H$94:H$2999,MATCH(A33,IF('BalSht Data'!A$94=F$1,'BalSht Data'!G$94:G$2999),0)),"")</f>
        <v/>
      </c>
      <c r="G33" s="15" t="str">
        <f>IFERROR(INDEX('BalSht Data'!H$117:H$2999,MATCH(A33,IF('BalSht Data'!A$117=G$1,'BalSht Data'!G$117:G$2999),0)),"")</f>
        <v/>
      </c>
      <c r="H33" s="15" t="str">
        <f>IFERROR(INDEX('BalSht Data'!H$140:H$2999,MATCH(A33,IF('BalSht Data'!A$140=H$1,'BalSht Data'!G$140:G$2999),0)),"")</f>
        <v/>
      </c>
      <c r="I33" s="15" t="str">
        <f>IFERROR(INDEX('BalSht Data'!H$163:H$2999,MATCH(A33,IF('BalSht Data'!A$163=I$1,'BalSht Data'!G$163:G$2999),0)),"")</f>
        <v/>
      </c>
      <c r="J33" s="15" t="str">
        <f>IFERROR(INDEX('BalSht Data'!H$186:H$2999,MATCH(A33,IF('BalSht Data'!A$186=J$1,'BalSht Data'!G$186:G$2999),0)),"")</f>
        <v/>
      </c>
      <c r="K33" s="15" t="str">
        <f>IFERROR(INDEX('BalSht Data'!H$209:H$2999,MATCH(A33,IF('BalSht Data'!A$209=K$1,'BalSht Data'!G$209:G$2999),0)),"")</f>
        <v/>
      </c>
      <c r="L33" s="15" t="str">
        <f>IFERROR(INDEX('BalSht Data'!H$232:H$2999,MATCH(A33,IF('BalSht Data'!A$232=L$1,'BalSht Data'!G$232:G$2999),0)),"")</f>
        <v/>
      </c>
      <c r="M33" s="15" t="str">
        <f>IFERROR(INDEX('BalSht Data'!H$255:H$2999,MATCH(A33,IF('BalSht Data'!A$255=M$1,'BalSht Data'!G$255:G$2999),0)),"")</f>
        <v/>
      </c>
      <c r="N33" s="15" t="str">
        <f>IFERROR(INDEX('BalSht Data'!H$278:H$2999,MATCH(A33,IF('BalSht Data'!A$278=N$1,'BalSht Data'!G$278:G$2999),0)),"")</f>
        <v/>
      </c>
      <c r="O33" s="15" t="str">
        <f>IFERROR(INDEX('BalSht Data'!H$301:H$2999,MATCH(A33,IF('BalSht Data'!A$301=O$1,'BalSht Data'!G$301:G$2999),0)),"")</f>
        <v/>
      </c>
      <c r="P33" s="15" t="str">
        <f>IFERROR(INDEX('BalSht Data'!H$324:H$2999,MATCH(A33,IF('BalSht Data'!A$324=P$1,'BalSht Data'!G$324:G$2999),0)),"")</f>
        <v/>
      </c>
      <c r="Q33" s="15" t="str">
        <f>IFERROR(INDEX('BalSht Data'!H$347:H$2999,MATCH(A33,IF('BalSht Data'!A$347=Q$1,'BalSht Data'!G$347:G$2999),0)),"")</f>
        <v/>
      </c>
      <c r="R33" s="15" t="str">
        <f>IFERROR(INDEX('BalSht Data'!H$370:H$2999,MATCH(A33,IF('BalSht Data'!A$370=R$1,'BalSht Data'!G$370:G$2999),0)),"")</f>
        <v/>
      </c>
      <c r="S33" s="15" t="str">
        <f>IFERROR(INDEX('BalSht Data'!H$393:H$2999,MATCH(A33,IF('BalSht Data'!A$393=S$1,'BalSht Data'!G$393:G$2999),0)),"")</f>
        <v/>
      </c>
      <c r="T33" s="15" t="str">
        <f>IFERROR(INDEX('BalSht Data'!H$416:H$2999,MATCH(A33,IF('BalSht Data'!A$416=T$1,'BalSht Data'!G$416:G$2999),0)),"")</f>
        <v/>
      </c>
      <c r="U33" s="15" t="str">
        <f>IFERROR(INDEX('BalSht Data'!H$439:H$2999,MATCH(A33,IF('BalSht Data'!A$439=U$1,'BalSht Data'!G$439:G$2999),0)),"")</f>
        <v/>
      </c>
      <c r="V33" s="15" t="str">
        <f>IFERROR(INDEX('BalSht Data'!H$462:H$2999,MATCH(A33,IF('BalSht Data'!A$462=V$1,'BalSht Data'!G$462:G$2999),0)),"")</f>
        <v/>
      </c>
      <c r="W33" s="15" t="str">
        <f>IFERROR(INDEX('BalSht Data'!H$485:H$2999,MATCH(A33,IF('BalSht Data'!A$485=W$1,'BalSht Data'!G$485:G$2999),0)),"")</f>
        <v/>
      </c>
      <c r="X33" s="15" t="str">
        <f>IFERROR(INDEX('BalSht Data'!H$508:H$2999,MATCH(A33,IF('BalSht Data'!A$508=X$1,'BalSht Data'!G$508:G$2999),0)),"")</f>
        <v/>
      </c>
      <c r="Y33" s="15" t="str">
        <f>IFERROR(INDEX('BalSht Data'!H$531:H$2999,MATCH(A33,IF('BalSht Data'!A$531=Y$1,'BalSht Data'!G$531:G$2999),0)),"")</f>
        <v/>
      </c>
      <c r="Z33" s="15" t="str">
        <f>IFERROR(INDEX('BalSht Data'!H$554:H$2999,MATCH(A33,IF('BalSht Data'!A$554=Z$1,'BalSht Data'!G$554:G$2999),0)),"")</f>
        <v/>
      </c>
      <c r="AA33" s="15" t="str">
        <f>IFERROR(INDEX('BalSht Data'!H$577:H$2999,MATCH(A33,IF('BalSht Data'!A$577=AA$1,'BalSht Data'!G$577:G$2999),0)),"")</f>
        <v/>
      </c>
      <c r="AB33" s="15" t="str">
        <f>IFERROR(INDEX('BalSht Data'!H$600:H$2999,MATCH(A33,IF('BalSht Data'!A$600=AB$1,'BalSht Data'!G$600:G$2999),0)),"")</f>
        <v/>
      </c>
      <c r="AC33" s="15" t="str">
        <f>IFERROR(INDEX('BalSht Data'!H$623:H$2999,MATCH(A33,IF('BalSht Data'!A$623=AC$1,'BalSht Data'!G$623:G$2999),0)),"")</f>
        <v/>
      </c>
      <c r="AD33" s="15" t="str">
        <f>IFERROR(INDEX('BalSht Data'!H$646:H$2999,MATCH(A33,IF('BalSht Data'!A$646=AD$1,'BalSht Data'!G$646:G$2999),0)),"")</f>
        <v/>
      </c>
      <c r="AE33" s="15" t="str">
        <f>IFERROR(INDEX('BalSht Data'!H$669:H$2999,MATCH(A33,IF('BalSht Data'!A$669=AE$1,'BalSht Data'!G$669:G$2999),0)),"")</f>
        <v/>
      </c>
      <c r="AF33" s="15" t="str">
        <f>IFERROR(INDEX('BalSht Data'!H$692:H$2999,MATCH(A33,IF('BalSht Data'!A$692=AF$1,'BalSht Data'!G$692:G$2999),0)),"")</f>
        <v/>
      </c>
      <c r="AG33" s="15" t="str">
        <f>IFERROR(INDEX('BalSht Data'!H$715:H$2999,MATCH(A33,IF('BalSht Data'!A$715=AG$1,'BalSht Data'!G$715:G$2999),0)),"")</f>
        <v/>
      </c>
      <c r="AH33" s="15" t="str">
        <f>IFERROR(INDEX('BalSht Data'!H$738:H$2999,MATCH(A33,IF('BalSht Data'!A$738=AH$1,'BalSht Data'!G$738:G$2999),0)),"")</f>
        <v/>
      </c>
      <c r="AI33" s="15" t="str">
        <f>IFERROR(INDEX('BalSht Data'!H$761:H$2999,MATCH(A33,IF('BalSht Data'!A$761=AI$1,'BalSht Data'!G$761:G$2999),0)),"")</f>
        <v/>
      </c>
      <c r="AJ33" s="15" t="str">
        <f>IFERROR(INDEX('BalSht Data'!H$784:H$2999,MATCH(A33,IF('BalSht Data'!A$784=AJ$1,'BalSht Data'!G$784:G$2999),0)),"")</f>
        <v/>
      </c>
      <c r="AK33" s="15" t="str">
        <f>IFERROR(INDEX('BalSht Data'!H$807:H$2999,MATCH(A33,IF('BalSht Data'!A$807=AK$1,'BalSht Data'!G$807:G$2999),0)),"")</f>
        <v/>
      </c>
      <c r="AL33" s="15" t="str">
        <f>IFERROR(INDEX('BalSht Data'!H$830:H$2999,MATCH(A33,IF('BalSht Data'!A$830=AL$1,'BalSht Data'!G$830:G$2999),0)),"")</f>
        <v/>
      </c>
      <c r="AM33" s="15" t="str">
        <f>IFERROR(INDEX('BalSht Data'!H$853:H$2999,MATCH(A33,IF('BalSht Data'!A$853=AM$1,'BalSht Data'!G$853:G$2999),0)),"")</f>
        <v/>
      </c>
      <c r="AN33" s="15" t="str">
        <f>IFERROR(INDEX('BalSht Data'!H$876:H$2999,MATCH(A33,IF('BalSht Data'!A$876=AN$1,'BalSht Data'!G$876:G$2999),0)),"")</f>
        <v/>
      </c>
      <c r="AO33" s="15" t="str">
        <f>IFERROR(INDEX('BalSht Data'!H$899:H$2999,MATCH(A33,IF('BalSht Data'!A$899=AO$1,'BalSht Data'!G$899:G$2999),0)),"")</f>
        <v/>
      </c>
      <c r="AP33" s="15" t="str">
        <f>IFERROR(INDEX('BalSht Data'!H$922:H$2999,MATCH(A33,IF('BalSht Data'!A$922=AP$1,'BalSht Data'!G$922:G$2999),0)),"")</f>
        <v/>
      </c>
      <c r="AQ33" s="15" t="str">
        <f>IFERROR(INDEX('BalSht Data'!H$945:H$2999,MATCH(A33,IF('BalSht Data'!A$945=AQ$1,'BalSht Data'!G$945:G$2999),0)),"")</f>
        <v/>
      </c>
      <c r="AR33" s="15" t="str">
        <f>IFERROR(INDEX('BalSht Data'!H$968:H$2999,MATCH(A33,IF('BalSht Data'!A$968=AR$1,'BalSht Data'!G$968:G$2999),0)),"")</f>
        <v/>
      </c>
      <c r="AS33" s="15" t="str">
        <f>IFERROR(INDEX('BalSht Data'!H$991:H$2999,MATCH(A33,IF('BalSht Data'!A$991=AS$1,'BalSht Data'!G$991:G$2999),0)),"")</f>
        <v/>
      </c>
      <c r="AT33" s="15" t="str">
        <f>IFERROR(INDEX('BalSht Data'!H$1014:H$2999,MATCH(A33,IF('BalSht Data'!A$1014=AT$1,'BalSht Data'!G$1014:G$2999),0)),"")</f>
        <v/>
      </c>
      <c r="AU33" s="15" t="str">
        <f>IFERROR(INDEX('BalSht Data'!H$1037:H$2999,MATCH(A33,IF('BalSht Data'!A$1037=AU$1,'BalSht Data'!G$1037:G$2999),0)),"")</f>
        <v/>
      </c>
      <c r="AV33" s="15" t="str">
        <f>IFERROR(INDEX('BalSht Data'!H$1060:H$2999,MATCH(A33,IF('BalSht Data'!A$1060=AV$1,'BalSht Data'!G$1060:G$2999),0)),"")</f>
        <v/>
      </c>
      <c r="AW33" s="15" t="str">
        <f>IFERROR(INDEX('BalSht Data'!H$1083:H$2999,MATCH(A33,IF('BalSht Data'!A$1083=AW$1,'BalSht Data'!G$1083:G$2999),0)),"")</f>
        <v/>
      </c>
      <c r="AX33" s="15" t="str">
        <f>IFERROR(INDEX('BalSht Data'!H$1106:H$2999,MATCH(A33,IF('BalSht Data'!A$1106=AX$1,'BalSht Data'!G$1106:G$2999),0)),"")</f>
        <v/>
      </c>
      <c r="AY33" s="15" t="str">
        <f>IFERROR(INDEX('BalSht Data'!H$1129:H$2999,MATCH(A33,IF('BalSht Data'!A$1129=AY$1,'BalSht Data'!G$1129:G$2999),0)),"")</f>
        <v/>
      </c>
      <c r="AZ33" s="15" t="str">
        <f>IFERROR(INDEX('BalSht Data'!H$1152:H$2999,MATCH(A33,IF('BalSht Data'!A$1152=AZ$1,'BalSht Data'!G$1152:G$2999),0)),"")</f>
        <v/>
      </c>
      <c r="BA33" s="15" t="str">
        <f>IFERROR(INDEX('BalSht Data'!H$1175:H$2999,MATCH(A33,IF('BalSht Data'!A$1175=BA$1,'BalSht Data'!G$1175:G$2999),0)),"")</f>
        <v/>
      </c>
      <c r="BB33" s="15" t="str">
        <f>IFERROR(INDEX('BalSht Data'!H$1198:H$2999,MATCH(A33,IF('BalSht Data'!A$1198=BB$1,'BalSht Data'!G$1198:G$2999),0)),"")</f>
        <v/>
      </c>
      <c r="BC33" s="15" t="str">
        <f>IFERROR(INDEX('BalSht Data'!H$1221:H$2999,MATCH(A33,IF('BalSht Data'!A$1221=BC$1,'BalSht Data'!G$1221:G$2999),0)),"")</f>
        <v/>
      </c>
      <c r="BD33" s="15" t="str">
        <f>IFERROR(INDEX('BalSht Data'!H$1244:H$2999,MATCH(A33,IF('BalSht Data'!A$1244=BD$1,'BalSht Data'!G$1244:G$2999),0)),"")</f>
        <v/>
      </c>
      <c r="BE33" s="15" t="str">
        <f>IFERROR(INDEX('BalSht Data'!H$1267:H$2999,MATCH(A33,IF('BalSht Data'!A$1267=BE$1,'BalSht Data'!G$1267:G$2999),0)),"")</f>
        <v/>
      </c>
      <c r="BF33" s="15"/>
    </row>
    <row r="34" spans="1:58" x14ac:dyDescent="0.2">
      <c r="A34" s="5" t="s">
        <v>37</v>
      </c>
      <c r="B34" s="15" t="str">
        <f>IFERROR(INDEX('BalSht Data'!H$2:H$2999,MATCH(A34,IF('BalSht Data'!A$2=B$1,'BalSht Data'!G$2:G$2999),0)),"")</f>
        <v/>
      </c>
      <c r="C34" s="15" t="str">
        <f>IFERROR(INDEX('BalSht Data'!H$25:H$2999,MATCH(A34,IF('BalSht Data'!A$25=C$1,'BalSht Data'!G$2:G$2999),0)),"")</f>
        <v/>
      </c>
      <c r="D34" s="15" t="str">
        <f>IFERROR(INDEX('BalSht Data'!H$48:H$2999,MATCH(A34,IF('BalSht Data'!A$48=D$1,'BalSht Data'!G$48:G$2999),0)),"")</f>
        <v/>
      </c>
      <c r="E34" s="15" t="str">
        <f>IFERROR(INDEX('BalSht Data'!H$71:H$2999,MATCH(A34,IF('BalSht Data'!A$71=E$1,'BalSht Data'!G$71:G$2999),0)),"")</f>
        <v/>
      </c>
      <c r="F34" s="15" t="str">
        <f>IFERROR(INDEX('BalSht Data'!H$94:H$2999,MATCH(A34,IF('BalSht Data'!A$94=F$1,'BalSht Data'!G$94:G$2999),0)),"")</f>
        <v/>
      </c>
      <c r="G34" s="15" t="str">
        <f>IFERROR(INDEX('BalSht Data'!H$117:H$2999,MATCH(A34,IF('BalSht Data'!A$117=G$1,'BalSht Data'!G$117:G$2999),0)),"")</f>
        <v/>
      </c>
      <c r="H34" s="15" t="str">
        <f>IFERROR(INDEX('BalSht Data'!H$140:H$2999,MATCH(A34,IF('BalSht Data'!A$140=H$1,'BalSht Data'!G$140:G$2999),0)),"")</f>
        <v/>
      </c>
      <c r="I34" s="15" t="str">
        <f>IFERROR(INDEX('BalSht Data'!H$163:H$2999,MATCH(A34,IF('BalSht Data'!A$163=I$1,'BalSht Data'!G$163:G$2999),0)),"")</f>
        <v/>
      </c>
      <c r="J34" s="15" t="str">
        <f>IFERROR(INDEX('BalSht Data'!H$186:H$2999,MATCH(A34,IF('BalSht Data'!A$186=J$1,'BalSht Data'!G$186:G$2999),0)),"")</f>
        <v/>
      </c>
      <c r="K34" s="15" t="str">
        <f>IFERROR(INDEX('BalSht Data'!H$209:H$2999,MATCH(A34,IF('BalSht Data'!A$209=K$1,'BalSht Data'!G$209:G$2999),0)),"")</f>
        <v/>
      </c>
      <c r="L34" s="15" t="str">
        <f>IFERROR(INDEX('BalSht Data'!H$232:H$2999,MATCH(A34,IF('BalSht Data'!A$232=L$1,'BalSht Data'!G$232:G$2999),0)),"")</f>
        <v/>
      </c>
      <c r="M34" s="15" t="str">
        <f>IFERROR(INDEX('BalSht Data'!H$255:H$2999,MATCH(A34,IF('BalSht Data'!A$255=M$1,'BalSht Data'!G$255:G$2999),0)),"")</f>
        <v/>
      </c>
      <c r="N34" s="15" t="str">
        <f>IFERROR(INDEX('BalSht Data'!H$278:H$2999,MATCH(A34,IF('BalSht Data'!A$278=N$1,'BalSht Data'!G$278:G$2999),0)),"")</f>
        <v/>
      </c>
      <c r="O34" s="15" t="str">
        <f>IFERROR(INDEX('BalSht Data'!H$301:H$2999,MATCH(A34,IF('BalSht Data'!A$301=O$1,'BalSht Data'!G$301:G$2999),0)),"")</f>
        <v/>
      </c>
      <c r="P34" s="15" t="str">
        <f>IFERROR(INDEX('BalSht Data'!H$324:H$2999,MATCH(A34,IF('BalSht Data'!A$324=P$1,'BalSht Data'!G$324:G$2999),0)),"")</f>
        <v/>
      </c>
      <c r="Q34" s="15" t="str">
        <f>IFERROR(INDEX('BalSht Data'!H$347:H$2999,MATCH(A34,IF('BalSht Data'!A$347=Q$1,'BalSht Data'!G$347:G$2999),0)),"")</f>
        <v/>
      </c>
      <c r="R34" s="15" t="str">
        <f>IFERROR(INDEX('BalSht Data'!H$370:H$2999,MATCH(A34,IF('BalSht Data'!A$370=R$1,'BalSht Data'!G$370:G$2999),0)),"")</f>
        <v/>
      </c>
      <c r="S34" s="15" t="str">
        <f>IFERROR(INDEX('BalSht Data'!H$393:H$2999,MATCH(A34,IF('BalSht Data'!A$393=S$1,'BalSht Data'!G$393:G$2999),0)),"")</f>
        <v/>
      </c>
      <c r="T34" s="15" t="str">
        <f>IFERROR(INDEX('BalSht Data'!H$416:H$2999,MATCH(A34,IF('BalSht Data'!A$416=T$1,'BalSht Data'!G$416:G$2999),0)),"")</f>
        <v/>
      </c>
      <c r="U34" s="15" t="str">
        <f>IFERROR(INDEX('BalSht Data'!H$439:H$2999,MATCH(A34,IF('BalSht Data'!A$439=U$1,'BalSht Data'!G$439:G$2999),0)),"")</f>
        <v/>
      </c>
      <c r="V34" s="15" t="str">
        <f>IFERROR(INDEX('BalSht Data'!H$462:H$2999,MATCH(A34,IF('BalSht Data'!A$462=V$1,'BalSht Data'!G$462:G$2999),0)),"")</f>
        <v/>
      </c>
      <c r="W34" s="15" t="str">
        <f>IFERROR(INDEX('BalSht Data'!H$485:H$2999,MATCH(A34,IF('BalSht Data'!A$485=W$1,'BalSht Data'!G$485:G$2999),0)),"")</f>
        <v/>
      </c>
      <c r="X34" s="15" t="str">
        <f>IFERROR(INDEX('BalSht Data'!H$508:H$2999,MATCH(A34,IF('BalSht Data'!A$508=X$1,'BalSht Data'!G$508:G$2999),0)),"")</f>
        <v/>
      </c>
      <c r="Y34" s="15" t="str">
        <f>IFERROR(INDEX('BalSht Data'!H$531:H$2999,MATCH(A34,IF('BalSht Data'!A$531=Y$1,'BalSht Data'!G$531:G$2999),0)),"")</f>
        <v/>
      </c>
      <c r="Z34" s="15" t="str">
        <f>IFERROR(INDEX('BalSht Data'!H$554:H$2999,MATCH(A34,IF('BalSht Data'!A$554=Z$1,'BalSht Data'!G$554:G$2999),0)),"")</f>
        <v/>
      </c>
      <c r="AA34" s="15" t="str">
        <f>IFERROR(INDEX('BalSht Data'!H$577:H$2999,MATCH(A34,IF('BalSht Data'!A$577=AA$1,'BalSht Data'!G$577:G$2999),0)),"")</f>
        <v/>
      </c>
      <c r="AB34" s="15" t="str">
        <f>IFERROR(INDEX('BalSht Data'!H$600:H$2999,MATCH(A34,IF('BalSht Data'!A$600=AB$1,'BalSht Data'!G$600:G$2999),0)),"")</f>
        <v/>
      </c>
      <c r="AC34" s="15" t="str">
        <f>IFERROR(INDEX('BalSht Data'!H$623:H$2999,MATCH(A34,IF('BalSht Data'!A$623=AC$1,'BalSht Data'!G$623:G$2999),0)),"")</f>
        <v/>
      </c>
      <c r="AD34" s="15" t="str">
        <f>IFERROR(INDEX('BalSht Data'!H$646:H$2999,MATCH(A34,IF('BalSht Data'!A$646=AD$1,'BalSht Data'!G$646:G$2999),0)),"")</f>
        <v/>
      </c>
      <c r="AE34" s="15" t="str">
        <f>IFERROR(INDEX('BalSht Data'!H$669:H$2999,MATCH(A34,IF('BalSht Data'!A$669=AE$1,'BalSht Data'!G$669:G$2999),0)),"")</f>
        <v/>
      </c>
      <c r="AF34" s="15" t="str">
        <f>IFERROR(INDEX('BalSht Data'!H$692:H$2999,MATCH(A34,IF('BalSht Data'!A$692=AF$1,'BalSht Data'!G$692:G$2999),0)),"")</f>
        <v/>
      </c>
      <c r="AG34" s="15" t="str">
        <f>IFERROR(INDEX('BalSht Data'!H$715:H$2999,MATCH(A34,IF('BalSht Data'!A$715=AG$1,'BalSht Data'!G$715:G$2999),0)),"")</f>
        <v/>
      </c>
      <c r="AH34" s="15" t="str">
        <f>IFERROR(INDEX('BalSht Data'!H$738:H$2999,MATCH(A34,IF('BalSht Data'!A$738=AH$1,'BalSht Data'!G$738:G$2999),0)),"")</f>
        <v/>
      </c>
      <c r="AI34" s="15" t="str">
        <f>IFERROR(INDEX('BalSht Data'!H$761:H$2999,MATCH(A34,IF('BalSht Data'!A$761=AI$1,'BalSht Data'!G$761:G$2999),0)),"")</f>
        <v/>
      </c>
      <c r="AJ34" s="15" t="str">
        <f>IFERROR(INDEX('BalSht Data'!H$784:H$2999,MATCH(A34,IF('BalSht Data'!A$784=AJ$1,'BalSht Data'!G$784:G$2999),0)),"")</f>
        <v/>
      </c>
      <c r="AK34" s="15" t="str">
        <f>IFERROR(INDEX('BalSht Data'!H$807:H$2999,MATCH(A34,IF('BalSht Data'!A$807=AK$1,'BalSht Data'!G$807:G$2999),0)),"")</f>
        <v/>
      </c>
      <c r="AL34" s="15" t="str">
        <f>IFERROR(INDEX('BalSht Data'!H$830:H$2999,MATCH(A34,IF('BalSht Data'!A$830=AL$1,'BalSht Data'!G$830:G$2999),0)),"")</f>
        <v/>
      </c>
      <c r="AM34" s="15" t="str">
        <f>IFERROR(INDEX('BalSht Data'!H$853:H$2999,MATCH(A34,IF('BalSht Data'!A$853=AM$1,'BalSht Data'!G$853:G$2999),0)),"")</f>
        <v/>
      </c>
      <c r="AN34" s="15" t="str">
        <f>IFERROR(INDEX('BalSht Data'!H$876:H$2999,MATCH(A34,IF('BalSht Data'!A$876=AN$1,'BalSht Data'!G$876:G$2999),0)),"")</f>
        <v/>
      </c>
      <c r="AO34" s="15" t="str">
        <f>IFERROR(INDEX('BalSht Data'!H$899:H$2999,MATCH(A34,IF('BalSht Data'!A$899=AO$1,'BalSht Data'!G$899:G$2999),0)),"")</f>
        <v/>
      </c>
      <c r="AP34" s="15" t="str">
        <f>IFERROR(INDEX('BalSht Data'!H$922:H$2999,MATCH(A34,IF('BalSht Data'!A$922=AP$1,'BalSht Data'!G$922:G$2999),0)),"")</f>
        <v/>
      </c>
      <c r="AQ34" s="15" t="str">
        <f>IFERROR(INDEX('BalSht Data'!H$945:H$2999,MATCH(A34,IF('BalSht Data'!A$945=AQ$1,'BalSht Data'!G$945:G$2999),0)),"")</f>
        <v/>
      </c>
      <c r="AR34" s="15" t="str">
        <f>IFERROR(INDEX('BalSht Data'!H$968:H$2999,MATCH(A34,IF('BalSht Data'!A$968=AR$1,'BalSht Data'!G$968:G$2999),0)),"")</f>
        <v/>
      </c>
      <c r="AS34" s="15" t="str">
        <f>IFERROR(INDEX('BalSht Data'!H$991:H$2999,MATCH(A34,IF('BalSht Data'!A$991=AS$1,'BalSht Data'!G$991:G$2999),0)),"")</f>
        <v/>
      </c>
      <c r="AT34" s="15" t="str">
        <f>IFERROR(INDEX('BalSht Data'!H$1014:H$2999,MATCH(A34,IF('BalSht Data'!A$1014=AT$1,'BalSht Data'!G$1014:G$2999),0)),"")</f>
        <v/>
      </c>
      <c r="AU34" s="15" t="str">
        <f>IFERROR(INDEX('BalSht Data'!H$1037:H$2999,MATCH(A34,IF('BalSht Data'!A$1037=AU$1,'BalSht Data'!G$1037:G$2999),0)),"")</f>
        <v/>
      </c>
      <c r="AV34" s="15" t="str">
        <f>IFERROR(INDEX('BalSht Data'!H$1060:H$2999,MATCH(A34,IF('BalSht Data'!A$1060=AV$1,'BalSht Data'!G$1060:G$2999),0)),"")</f>
        <v/>
      </c>
      <c r="AW34" s="15" t="str">
        <f>IFERROR(INDEX('BalSht Data'!H$1083:H$2999,MATCH(A34,IF('BalSht Data'!A$1083=AW$1,'BalSht Data'!G$1083:G$2999),0)),"")</f>
        <v/>
      </c>
      <c r="AX34" s="15" t="str">
        <f>IFERROR(INDEX('BalSht Data'!H$1106:H$2999,MATCH(A34,IF('BalSht Data'!A$1106=AX$1,'BalSht Data'!G$1106:G$2999),0)),"")</f>
        <v/>
      </c>
      <c r="AY34" s="15" t="str">
        <f>IFERROR(INDEX('BalSht Data'!H$1129:H$2999,MATCH(A34,IF('BalSht Data'!A$1129=AY$1,'BalSht Data'!G$1129:G$2999),0)),"")</f>
        <v/>
      </c>
      <c r="AZ34" s="15" t="str">
        <f>IFERROR(INDEX('BalSht Data'!H$1152:H$2999,MATCH(A34,IF('BalSht Data'!A$1152=AZ$1,'BalSht Data'!G$1152:G$2999),0)),"")</f>
        <v/>
      </c>
      <c r="BA34" s="15" t="str">
        <f>IFERROR(INDEX('BalSht Data'!H$1175:H$2999,MATCH(A34,IF('BalSht Data'!A$1175=BA$1,'BalSht Data'!G$1175:G$2999),0)),"")</f>
        <v/>
      </c>
      <c r="BB34" s="15" t="str">
        <f>IFERROR(INDEX('BalSht Data'!H$1198:H$2999,MATCH(A34,IF('BalSht Data'!A$1198=BB$1,'BalSht Data'!G$1198:G$2999),0)),"")</f>
        <v/>
      </c>
      <c r="BC34" s="15" t="str">
        <f>IFERROR(INDEX('BalSht Data'!H$1221:H$2999,MATCH(A34,IF('BalSht Data'!A$1221=BC$1,'BalSht Data'!G$1221:G$2999),0)),"")</f>
        <v/>
      </c>
      <c r="BD34" s="15" t="str">
        <f>IFERROR(INDEX('BalSht Data'!H$1244:H$2999,MATCH(A34,IF('BalSht Data'!A$1244=BD$1,'BalSht Data'!G$1244:G$2999),0)),"")</f>
        <v/>
      </c>
      <c r="BE34" s="15" t="str">
        <f>IFERROR(INDEX('BalSht Data'!H$1267:H$2999,MATCH(A34,IF('BalSht Data'!A$1267=BE$1,'BalSht Data'!G$1267:G$2999),0)),"")</f>
        <v/>
      </c>
      <c r="BF34" s="15"/>
    </row>
    <row r="35" spans="1:58" x14ac:dyDescent="0.2">
      <c r="A35" s="5"/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  <c r="AH35" s="15"/>
      <c r="AI35" s="15"/>
      <c r="AJ35" s="15"/>
      <c r="AK35" s="15"/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  <c r="BF35" s="15"/>
    </row>
    <row r="36" spans="1:58" x14ac:dyDescent="0.2"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5"/>
      <c r="AG36" s="15"/>
      <c r="AH36" s="15"/>
      <c r="AI36" s="15"/>
      <c r="AJ36" s="15"/>
      <c r="AK36" s="15"/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15"/>
      <c r="BE36" s="15"/>
      <c r="BF36" s="15"/>
    </row>
    <row r="37" spans="1:58" x14ac:dyDescent="0.2">
      <c r="A37" s="2" t="s">
        <v>38</v>
      </c>
      <c r="B37" s="15" t="str">
        <f>IFERROR(INDEX('BalSht Data'!H$2:H$2999,MATCH(A37,IF('BalSht Data'!A$2=B$1,'BalSht Data'!G$2:G$2999),0)),"")</f>
        <v/>
      </c>
      <c r="C37" s="15" t="str">
        <f>IFERROR(INDEX('BalSht Data'!H$25:H$2999,MATCH(A37,IF('BalSht Data'!A$25=C$1,'BalSht Data'!G$2:G$2999),0)),"")</f>
        <v/>
      </c>
      <c r="D37" s="15" t="str">
        <f>IFERROR(INDEX('BalSht Data'!H$48:H$2999,MATCH(A37,IF('BalSht Data'!A$48=D$1,'BalSht Data'!G$48:G$2999),0)),"")</f>
        <v/>
      </c>
      <c r="E37" s="15" t="str">
        <f>IFERROR(INDEX('BalSht Data'!H$71:H$2999,MATCH(A37,IF('BalSht Data'!A$71=E$1,'BalSht Data'!G$71:G$2999),0)),"")</f>
        <v/>
      </c>
      <c r="F37" s="15" t="str">
        <f>IFERROR(INDEX('BalSht Data'!H$94:H$2999,MATCH(A37,IF('BalSht Data'!A$94=F$1,'BalSht Data'!G$94:G$2999),0)),"")</f>
        <v/>
      </c>
      <c r="G37" s="15" t="str">
        <f>IFERROR(INDEX('BalSht Data'!H$117:H$2999,MATCH(A37,IF('BalSht Data'!A$117=G$1,'BalSht Data'!G$117:G$2999),0)),"")</f>
        <v/>
      </c>
      <c r="H37" s="15" t="str">
        <f>IFERROR(INDEX('BalSht Data'!H$140:H$2999,MATCH(A37,IF('BalSht Data'!A$140=H$1,'BalSht Data'!G$140:G$2999),0)),"")</f>
        <v/>
      </c>
      <c r="I37" s="15" t="str">
        <f>IFERROR(INDEX('BalSht Data'!H$163:H$2999,MATCH(A37,IF('BalSht Data'!A$163=I$1,'BalSht Data'!G$163:G$2999),0)),"")</f>
        <v/>
      </c>
      <c r="J37" s="15" t="str">
        <f>IFERROR(INDEX('BalSht Data'!H$186:H$2999,MATCH(A37,IF('BalSht Data'!A$186=J$1,'BalSht Data'!G$186:G$2999),0)),"")</f>
        <v/>
      </c>
      <c r="K37" s="15" t="str">
        <f>IFERROR(INDEX('BalSht Data'!H$209:H$2999,MATCH(A37,IF('BalSht Data'!A$209=K$1,'BalSht Data'!G$209:G$2999),0)),"")</f>
        <v/>
      </c>
      <c r="L37" s="15" t="str">
        <f>IFERROR(INDEX('BalSht Data'!H$232:H$2999,MATCH(A37,IF('BalSht Data'!A$232=L$1,'BalSht Data'!G$232:G$2999),0)),"")</f>
        <v/>
      </c>
      <c r="M37" s="15" t="str">
        <f>IFERROR(INDEX('BalSht Data'!H$255:H$2999,MATCH(A37,IF('BalSht Data'!A$255=M$1,'BalSht Data'!G$255:G$2999),0)),"")</f>
        <v/>
      </c>
      <c r="N37" s="15" t="str">
        <f>IFERROR(INDEX('BalSht Data'!H$278:H$2999,MATCH(A37,IF('BalSht Data'!A$278=N$1,'BalSht Data'!G$278:G$2999),0)),"")</f>
        <v/>
      </c>
      <c r="O37" s="15" t="str">
        <f>IFERROR(INDEX('BalSht Data'!H$301:H$2999,MATCH(A37,IF('BalSht Data'!A$301=O$1,'BalSht Data'!G$301:G$2999),0)),"")</f>
        <v/>
      </c>
      <c r="P37" s="15" t="str">
        <f>IFERROR(INDEX('BalSht Data'!H$324:H$2999,MATCH(A37,IF('BalSht Data'!A$324=P$1,'BalSht Data'!G$324:G$2999),0)),"")</f>
        <v/>
      </c>
      <c r="Q37" s="15" t="str">
        <f>IFERROR(INDEX('BalSht Data'!H$347:H$2999,MATCH(A37,IF('BalSht Data'!A$347=Q$1,'BalSht Data'!G$347:G$2999),0)),"")</f>
        <v/>
      </c>
      <c r="R37" s="15" t="str">
        <f>IFERROR(INDEX('BalSht Data'!H$370:H$2999,MATCH(A37,IF('BalSht Data'!A$370=R$1,'BalSht Data'!G$370:G$2999),0)),"")</f>
        <v/>
      </c>
      <c r="S37" s="15" t="str">
        <f>IFERROR(INDEX('BalSht Data'!H$393:H$2999,MATCH(A37,IF('BalSht Data'!A$393=S$1,'BalSht Data'!G$393:G$2999),0)),"")</f>
        <v/>
      </c>
      <c r="T37" s="15" t="str">
        <f>IFERROR(INDEX('BalSht Data'!H$416:H$2999,MATCH(A37,IF('BalSht Data'!A$416=T$1,'BalSht Data'!G$416:G$2999),0)),"")</f>
        <v/>
      </c>
      <c r="U37" s="15" t="str">
        <f>IFERROR(INDEX('BalSht Data'!H$439:H$2999,MATCH(A37,IF('BalSht Data'!A$439=U$1,'BalSht Data'!G$439:G$2999),0)),"")</f>
        <v/>
      </c>
      <c r="V37" s="15" t="str">
        <f>IFERROR(INDEX('BalSht Data'!H$462:H$2999,MATCH(A37,IF('BalSht Data'!A$462=V$1,'BalSht Data'!G$462:G$2999),0)),"")</f>
        <v/>
      </c>
      <c r="W37" s="15" t="str">
        <f>IFERROR(INDEX('BalSht Data'!H$485:H$2999,MATCH(A37,IF('BalSht Data'!A$485=W$1,'BalSht Data'!G$485:G$2999),0)),"")</f>
        <v/>
      </c>
      <c r="X37" s="15" t="str">
        <f>IFERROR(INDEX('BalSht Data'!H$508:H$2999,MATCH(A37,IF('BalSht Data'!A$508=X$1,'BalSht Data'!G$508:G$2999),0)),"")</f>
        <v/>
      </c>
      <c r="Y37" s="15" t="str">
        <f>IFERROR(INDEX('BalSht Data'!H$531:H$2999,MATCH(A37,IF('BalSht Data'!A$531=Y$1,'BalSht Data'!G$531:G$2999),0)),"")</f>
        <v/>
      </c>
      <c r="Z37" s="15" t="str">
        <f>IFERROR(INDEX('BalSht Data'!H$554:H$2999,MATCH(A37,IF('BalSht Data'!A$554=Z$1,'BalSht Data'!G$554:G$2999),0)),"")</f>
        <v/>
      </c>
      <c r="AA37" s="15" t="str">
        <f>IFERROR(INDEX('BalSht Data'!H$577:H$2999,MATCH(A37,IF('BalSht Data'!A$577=AA$1,'BalSht Data'!G$577:G$2999),0)),"")</f>
        <v/>
      </c>
      <c r="AB37" s="15" t="str">
        <f>IFERROR(INDEX('BalSht Data'!H$600:H$2999,MATCH(A37,IF('BalSht Data'!A$600=AB$1,'BalSht Data'!G$600:G$2999),0)),"")</f>
        <v/>
      </c>
      <c r="AC37" s="15" t="str">
        <f>IFERROR(INDEX('BalSht Data'!H$623:H$2999,MATCH(A37,IF('BalSht Data'!A$623=AC$1,'BalSht Data'!G$623:G$2999),0)),"")</f>
        <v/>
      </c>
      <c r="AD37" s="15" t="str">
        <f>IFERROR(INDEX('BalSht Data'!H$646:H$2999,MATCH(A37,IF('BalSht Data'!A$646=AD$1,'BalSht Data'!G$646:G$2999),0)),"")</f>
        <v/>
      </c>
      <c r="AE37" s="15" t="str">
        <f>IFERROR(INDEX('BalSht Data'!H$669:H$2999,MATCH(A37,IF('BalSht Data'!A$669=AE$1,'BalSht Data'!G$669:G$2999),0)),"")</f>
        <v/>
      </c>
      <c r="AF37" s="15" t="str">
        <f>IFERROR(INDEX('BalSht Data'!H$692:H$2999,MATCH(A37,IF('BalSht Data'!A$692=AF$1,'BalSht Data'!G$692:G$2999),0)),"")</f>
        <v/>
      </c>
      <c r="AG37" s="15" t="str">
        <f>IFERROR(INDEX('BalSht Data'!H$715:H$2999,MATCH(A37,IF('BalSht Data'!A$715=AG$1,'BalSht Data'!G$715:G$2999),0)),"")</f>
        <v/>
      </c>
      <c r="AH37" s="15" t="str">
        <f>IFERROR(INDEX('BalSht Data'!H$738:H$2999,MATCH(A37,IF('BalSht Data'!A$738=AH$1,'BalSht Data'!G$738:G$2999),0)),"")</f>
        <v/>
      </c>
      <c r="AI37" s="15" t="str">
        <f>IFERROR(INDEX('BalSht Data'!H$761:H$2999,MATCH(A37,IF('BalSht Data'!A$761=AI$1,'BalSht Data'!G$761:G$2999),0)),"")</f>
        <v/>
      </c>
      <c r="AJ37" s="15" t="str">
        <f>IFERROR(INDEX('BalSht Data'!H$784:H$2999,MATCH(A37,IF('BalSht Data'!A$784=AJ$1,'BalSht Data'!G$784:G$2999),0)),"")</f>
        <v/>
      </c>
      <c r="AK37" s="15" t="str">
        <f>IFERROR(INDEX('BalSht Data'!H$807:H$2999,MATCH(A37,IF('BalSht Data'!A$807=AK$1,'BalSht Data'!G$807:G$2999),0)),"")</f>
        <v/>
      </c>
      <c r="AL37" s="15" t="str">
        <f>IFERROR(INDEX('BalSht Data'!H$830:H$2999,MATCH(A37,IF('BalSht Data'!A$830=AL$1,'BalSht Data'!G$830:G$2999),0)),"")</f>
        <v/>
      </c>
      <c r="AM37" s="15" t="str">
        <f>IFERROR(INDEX('BalSht Data'!H$853:H$2999,MATCH(A37,IF('BalSht Data'!A$853=AM$1,'BalSht Data'!G$853:G$2999),0)),"")</f>
        <v/>
      </c>
      <c r="AN37" s="15" t="str">
        <f>IFERROR(INDEX('BalSht Data'!H$876:H$2999,MATCH(A37,IF('BalSht Data'!A$876=AN$1,'BalSht Data'!G$876:G$2999),0)),"")</f>
        <v/>
      </c>
      <c r="AO37" s="15" t="str">
        <f>IFERROR(INDEX('BalSht Data'!H$899:H$2999,MATCH(A37,IF('BalSht Data'!A$899=AO$1,'BalSht Data'!G$899:G$2999),0)),"")</f>
        <v/>
      </c>
      <c r="AP37" s="15" t="str">
        <f>IFERROR(INDEX('BalSht Data'!H$922:H$2999,MATCH(A37,IF('BalSht Data'!A$922=AP$1,'BalSht Data'!G$922:G$2999),0)),"")</f>
        <v/>
      </c>
      <c r="AQ37" s="15" t="str">
        <f>IFERROR(INDEX('BalSht Data'!H$945:H$2999,MATCH(A37,IF('BalSht Data'!A$945=AQ$1,'BalSht Data'!G$945:G$2999),0)),"")</f>
        <v/>
      </c>
      <c r="AR37" s="15" t="str">
        <f>IFERROR(INDEX('BalSht Data'!H$968:H$2999,MATCH(A37,IF('BalSht Data'!A$968=AR$1,'BalSht Data'!G$968:G$2999),0)),"")</f>
        <v/>
      </c>
      <c r="AS37" s="15" t="str">
        <f>IFERROR(INDEX('BalSht Data'!H$991:H$2999,MATCH(A37,IF('BalSht Data'!A$991=AS$1,'BalSht Data'!G$991:G$2999),0)),"")</f>
        <v/>
      </c>
      <c r="AT37" s="15" t="str">
        <f>IFERROR(INDEX('BalSht Data'!H$1014:H$2999,MATCH(A37,IF('BalSht Data'!A$1014=AT$1,'BalSht Data'!G$1014:G$2999),0)),"")</f>
        <v/>
      </c>
      <c r="AU37" s="15" t="str">
        <f>IFERROR(INDEX('BalSht Data'!H$1037:H$2999,MATCH(A37,IF('BalSht Data'!A$1037=AU$1,'BalSht Data'!G$1037:G$2999),0)),"")</f>
        <v/>
      </c>
      <c r="AV37" s="15" t="str">
        <f>IFERROR(INDEX('BalSht Data'!H$1060:H$2999,MATCH(A37,IF('BalSht Data'!A$1060=AV$1,'BalSht Data'!G$1060:G$2999),0)),"")</f>
        <v/>
      </c>
      <c r="AW37" s="15" t="str">
        <f>IFERROR(INDEX('BalSht Data'!H$1083:H$2999,MATCH(A37,IF('BalSht Data'!A$1083=AW$1,'BalSht Data'!G$1083:G$2999),0)),"")</f>
        <v/>
      </c>
      <c r="AX37" s="15" t="str">
        <f>IFERROR(INDEX('BalSht Data'!H$1106:H$2999,MATCH(A37,IF('BalSht Data'!A$1106=AX$1,'BalSht Data'!G$1106:G$2999),0)),"")</f>
        <v/>
      </c>
      <c r="AY37" s="15" t="str">
        <f>IFERROR(INDEX('BalSht Data'!H$1129:H$2999,MATCH(A37,IF('BalSht Data'!A$1129=AY$1,'BalSht Data'!G$1129:G$2999),0)),"")</f>
        <v/>
      </c>
      <c r="AZ37" s="15" t="str">
        <f>IFERROR(INDEX('BalSht Data'!H$1152:H$2999,MATCH(A37,IF('BalSht Data'!A$1152=AZ$1,'BalSht Data'!G$1152:G$2999),0)),"")</f>
        <v/>
      </c>
      <c r="BA37" s="15" t="str">
        <f>IFERROR(INDEX('BalSht Data'!H$1175:H$2999,MATCH(A37,IF('BalSht Data'!A$1175=BA$1,'BalSht Data'!G$1175:G$2999),0)),"")</f>
        <v/>
      </c>
      <c r="BB37" s="15" t="str">
        <f>IFERROR(INDEX('BalSht Data'!H$1198:H$2999,MATCH(A37,IF('BalSht Data'!A$1198=BB$1,'BalSht Data'!G$1198:G$2999),0)),"")</f>
        <v/>
      </c>
      <c r="BC37" s="15" t="str">
        <f>IFERROR(INDEX('BalSht Data'!H$1221:H$2999,MATCH(A37,IF('BalSht Data'!A$1221=BC$1,'BalSht Data'!G$1221:G$2999),0)),"")</f>
        <v/>
      </c>
      <c r="BD37" s="15" t="str">
        <f>IFERROR(INDEX('BalSht Data'!H$1244:H$2999,MATCH(A37,IF('BalSht Data'!A$1244=BD$1,'BalSht Data'!G$1244:G$2999),0)),"")</f>
        <v/>
      </c>
      <c r="BE37" s="15" t="str">
        <f>IFERROR(INDEX('BalSht Data'!H$1267:H$2999,MATCH(A37,IF('BalSht Data'!A$1267=BE$1,'BalSht Data'!G$1267:G$2999),0)),"")</f>
        <v/>
      </c>
      <c r="BF37" s="1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"/>
  <sheetViews>
    <sheetView workbookViewId="0">
      <selection activeCell="E2" sqref="E2"/>
    </sheetView>
  </sheetViews>
  <sheetFormatPr defaultRowHeight="15" x14ac:dyDescent="0.25"/>
  <cols>
    <col min="1" max="1" width="9.140625" bestFit="1" customWidth="1"/>
    <col min="2" max="2" width="12.42578125" bestFit="1" customWidth="1"/>
    <col min="3" max="3" width="8.42578125" bestFit="1" customWidth="1"/>
    <col min="4" max="4" width="3.5703125" bestFit="1" customWidth="1"/>
    <col min="5" max="5" width="19.85546875" bestFit="1" customWidth="1"/>
    <col min="6" max="6" width="32" bestFit="1" customWidth="1"/>
    <col min="7" max="7" width="35" bestFit="1" customWidth="1"/>
    <col min="8" max="8" width="7.85546875" bestFit="1" customWidth="1"/>
  </cols>
  <sheetData>
    <row r="1" spans="1:8" x14ac:dyDescent="0.25">
      <c r="A1" s="1" t="s">
        <v>7</v>
      </c>
      <c r="B1" s="1" t="s">
        <v>4</v>
      </c>
      <c r="C1" s="1" t="s">
        <v>8</v>
      </c>
      <c r="D1" s="1" t="s">
        <v>9</v>
      </c>
      <c r="E1" s="1" t="s">
        <v>5</v>
      </c>
      <c r="F1" s="1" t="s">
        <v>10</v>
      </c>
      <c r="G1" s="1" t="s">
        <v>11</v>
      </c>
      <c r="H1" s="1" t="s">
        <v>12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Z26"/>
  <sheetViews>
    <sheetView workbookViewId="0">
      <selection activeCell="B6" sqref="B6"/>
    </sheetView>
  </sheetViews>
  <sheetFormatPr defaultRowHeight="15" x14ac:dyDescent="0.25"/>
  <cols>
    <col min="1" max="1" width="26.7109375" bestFit="1" customWidth="1"/>
    <col min="2" max="2" width="15.28515625" bestFit="1" customWidth="1"/>
    <col min="3" max="9" width="12.5703125" bestFit="1" customWidth="1"/>
    <col min="10" max="45" width="9.28515625" bestFit="1" customWidth="1"/>
  </cols>
  <sheetData>
    <row r="1" spans="1:104" x14ac:dyDescent="0.25">
      <c r="B1">
        <v>70340</v>
      </c>
      <c r="C1">
        <v>70341</v>
      </c>
      <c r="D1">
        <v>70342</v>
      </c>
      <c r="E1">
        <v>70343</v>
      </c>
      <c r="F1">
        <v>70344</v>
      </c>
      <c r="G1">
        <v>70345</v>
      </c>
      <c r="H1">
        <v>70346</v>
      </c>
      <c r="I1">
        <v>70347</v>
      </c>
      <c r="J1">
        <v>70348</v>
      </c>
      <c r="K1">
        <v>70349</v>
      </c>
      <c r="L1">
        <v>70350</v>
      </c>
      <c r="M1">
        <v>70352</v>
      </c>
      <c r="N1">
        <v>70354</v>
      </c>
      <c r="O1">
        <v>70357</v>
      </c>
      <c r="P1">
        <v>70358</v>
      </c>
      <c r="Q1">
        <v>70361</v>
      </c>
      <c r="R1">
        <v>70362</v>
      </c>
      <c r="S1">
        <v>70363</v>
      </c>
      <c r="T1">
        <v>70364</v>
      </c>
      <c r="U1">
        <v>70365</v>
      </c>
      <c r="V1">
        <v>70366</v>
      </c>
      <c r="W1">
        <v>70367</v>
      </c>
      <c r="X1">
        <v>70368</v>
      </c>
      <c r="Y1">
        <v>70369</v>
      </c>
      <c r="Z1">
        <v>70370</v>
      </c>
      <c r="AA1">
        <v>70371</v>
      </c>
      <c r="AB1">
        <v>70372</v>
      </c>
      <c r="AC1">
        <v>70373</v>
      </c>
      <c r="AD1">
        <v>70374</v>
      </c>
      <c r="AE1">
        <v>70375</v>
      </c>
      <c r="AF1">
        <v>70376</v>
      </c>
      <c r="AG1">
        <v>70377</v>
      </c>
      <c r="AH1">
        <v>70378</v>
      </c>
      <c r="AI1">
        <v>70379</v>
      </c>
      <c r="AJ1">
        <v>70381</v>
      </c>
      <c r="AK1">
        <v>70416</v>
      </c>
    </row>
    <row r="2" spans="1:104" s="14" customFormat="1" ht="51" x14ac:dyDescent="0.25">
      <c r="B2" s="13" t="e">
        <f>VLOOKUP(B$1,ProjectNames,2,FALSE)</f>
        <v>#N/A</v>
      </c>
      <c r="C2" s="13" t="e">
        <f>VLOOKUP(C$1,ProjectNames,2,FALSE)</f>
        <v>#N/A</v>
      </c>
      <c r="D2" s="13" t="e">
        <f t="shared" ref="D2:BO2" si="0">VLOOKUP(D$1,ProjectNames,2,FALSE)</f>
        <v>#N/A</v>
      </c>
      <c r="E2" s="13" t="e">
        <f t="shared" si="0"/>
        <v>#N/A</v>
      </c>
      <c r="F2" s="13" t="e">
        <f t="shared" si="0"/>
        <v>#N/A</v>
      </c>
      <c r="G2" s="13" t="e">
        <f t="shared" si="0"/>
        <v>#N/A</v>
      </c>
      <c r="H2" s="13" t="e">
        <f t="shared" si="0"/>
        <v>#N/A</v>
      </c>
      <c r="I2" s="13" t="e">
        <f t="shared" si="0"/>
        <v>#N/A</v>
      </c>
      <c r="J2" s="13" t="e">
        <f t="shared" si="0"/>
        <v>#N/A</v>
      </c>
      <c r="K2" s="13" t="e">
        <f t="shared" si="0"/>
        <v>#N/A</v>
      </c>
      <c r="L2" s="13" t="e">
        <f t="shared" si="0"/>
        <v>#N/A</v>
      </c>
      <c r="M2" s="13" t="e">
        <f t="shared" si="0"/>
        <v>#N/A</v>
      </c>
      <c r="N2" s="13" t="e">
        <f t="shared" si="0"/>
        <v>#N/A</v>
      </c>
      <c r="O2" s="13" t="e">
        <f t="shared" si="0"/>
        <v>#N/A</v>
      </c>
      <c r="P2" s="13" t="e">
        <f t="shared" si="0"/>
        <v>#N/A</v>
      </c>
      <c r="Q2" s="13" t="e">
        <f t="shared" si="0"/>
        <v>#N/A</v>
      </c>
      <c r="R2" s="13" t="e">
        <f t="shared" si="0"/>
        <v>#N/A</v>
      </c>
      <c r="S2" s="13" t="e">
        <f t="shared" si="0"/>
        <v>#N/A</v>
      </c>
      <c r="T2" s="13" t="e">
        <f t="shared" si="0"/>
        <v>#N/A</v>
      </c>
      <c r="U2" s="13" t="e">
        <f t="shared" si="0"/>
        <v>#N/A</v>
      </c>
      <c r="V2" s="13" t="e">
        <f t="shared" si="0"/>
        <v>#N/A</v>
      </c>
      <c r="W2" s="13" t="e">
        <f t="shared" si="0"/>
        <v>#N/A</v>
      </c>
      <c r="X2" s="13" t="e">
        <f t="shared" si="0"/>
        <v>#N/A</v>
      </c>
      <c r="Y2" s="13" t="e">
        <f t="shared" si="0"/>
        <v>#N/A</v>
      </c>
      <c r="Z2" s="13" t="e">
        <f t="shared" si="0"/>
        <v>#N/A</v>
      </c>
      <c r="AA2" s="13" t="e">
        <f t="shared" si="0"/>
        <v>#N/A</v>
      </c>
      <c r="AB2" s="13" t="e">
        <f t="shared" si="0"/>
        <v>#N/A</v>
      </c>
      <c r="AC2" s="13" t="e">
        <f t="shared" si="0"/>
        <v>#N/A</v>
      </c>
      <c r="AD2" s="13" t="e">
        <f t="shared" si="0"/>
        <v>#N/A</v>
      </c>
      <c r="AE2" s="13" t="e">
        <f t="shared" si="0"/>
        <v>#N/A</v>
      </c>
      <c r="AF2" s="13" t="e">
        <f t="shared" si="0"/>
        <v>#N/A</v>
      </c>
      <c r="AG2" s="13" t="e">
        <f t="shared" si="0"/>
        <v>#N/A</v>
      </c>
      <c r="AH2" s="13" t="e">
        <f t="shared" si="0"/>
        <v>#N/A</v>
      </c>
      <c r="AI2" s="13" t="e">
        <f t="shared" si="0"/>
        <v>#N/A</v>
      </c>
      <c r="AJ2" s="13" t="e">
        <f t="shared" si="0"/>
        <v>#N/A</v>
      </c>
      <c r="AK2" s="13" t="e">
        <f t="shared" si="0"/>
        <v>#N/A</v>
      </c>
      <c r="AL2" s="13" t="e">
        <f t="shared" si="0"/>
        <v>#N/A</v>
      </c>
      <c r="AM2" s="13" t="e">
        <f t="shared" si="0"/>
        <v>#N/A</v>
      </c>
      <c r="AN2" s="13" t="e">
        <f t="shared" si="0"/>
        <v>#N/A</v>
      </c>
      <c r="AO2" s="13" t="e">
        <f t="shared" si="0"/>
        <v>#N/A</v>
      </c>
      <c r="AP2" s="13" t="e">
        <f t="shared" si="0"/>
        <v>#N/A</v>
      </c>
      <c r="AQ2" s="13" t="e">
        <f t="shared" si="0"/>
        <v>#N/A</v>
      </c>
      <c r="AR2" s="13" t="e">
        <f t="shared" si="0"/>
        <v>#N/A</v>
      </c>
      <c r="AS2" s="13" t="e">
        <f t="shared" si="0"/>
        <v>#N/A</v>
      </c>
      <c r="AT2" s="13" t="e">
        <f t="shared" si="0"/>
        <v>#N/A</v>
      </c>
      <c r="AU2" s="13" t="e">
        <f t="shared" si="0"/>
        <v>#N/A</v>
      </c>
      <c r="AV2" s="13" t="e">
        <f t="shared" si="0"/>
        <v>#N/A</v>
      </c>
      <c r="AW2" s="13" t="e">
        <f t="shared" si="0"/>
        <v>#N/A</v>
      </c>
      <c r="AX2" s="13" t="e">
        <f t="shared" si="0"/>
        <v>#N/A</v>
      </c>
      <c r="AY2" s="13" t="e">
        <f t="shared" si="0"/>
        <v>#N/A</v>
      </c>
      <c r="AZ2" s="13" t="e">
        <f t="shared" si="0"/>
        <v>#N/A</v>
      </c>
      <c r="BA2" s="13" t="e">
        <f t="shared" si="0"/>
        <v>#N/A</v>
      </c>
      <c r="BB2" s="13" t="e">
        <f t="shared" si="0"/>
        <v>#N/A</v>
      </c>
      <c r="BC2" s="13" t="e">
        <f t="shared" si="0"/>
        <v>#N/A</v>
      </c>
      <c r="BD2" s="13" t="e">
        <f t="shared" si="0"/>
        <v>#N/A</v>
      </c>
      <c r="BE2" s="13" t="e">
        <f t="shared" si="0"/>
        <v>#N/A</v>
      </c>
      <c r="BF2" s="13" t="e">
        <f t="shared" si="0"/>
        <v>#N/A</v>
      </c>
      <c r="BG2" s="13" t="e">
        <f t="shared" si="0"/>
        <v>#N/A</v>
      </c>
      <c r="BH2" s="13" t="e">
        <f t="shared" si="0"/>
        <v>#N/A</v>
      </c>
      <c r="BI2" s="13" t="e">
        <f t="shared" si="0"/>
        <v>#N/A</v>
      </c>
      <c r="BJ2" s="13" t="e">
        <f t="shared" si="0"/>
        <v>#N/A</v>
      </c>
      <c r="BK2" s="13" t="e">
        <f t="shared" si="0"/>
        <v>#N/A</v>
      </c>
      <c r="BL2" s="13" t="e">
        <f t="shared" si="0"/>
        <v>#N/A</v>
      </c>
      <c r="BM2" s="13" t="e">
        <f t="shared" si="0"/>
        <v>#N/A</v>
      </c>
      <c r="BN2" s="13" t="e">
        <f t="shared" si="0"/>
        <v>#N/A</v>
      </c>
      <c r="BO2" s="13" t="e">
        <f t="shared" si="0"/>
        <v>#N/A</v>
      </c>
      <c r="BP2" s="13" t="e">
        <f t="shared" ref="BP2:CZ2" si="1">VLOOKUP(BP$1,ProjectNames,2,FALSE)</f>
        <v>#N/A</v>
      </c>
      <c r="BQ2" s="13" t="e">
        <f t="shared" si="1"/>
        <v>#N/A</v>
      </c>
      <c r="BR2" s="13" t="e">
        <f t="shared" si="1"/>
        <v>#N/A</v>
      </c>
      <c r="BS2" s="13" t="e">
        <f t="shared" si="1"/>
        <v>#N/A</v>
      </c>
      <c r="BT2" s="13" t="e">
        <f t="shared" si="1"/>
        <v>#N/A</v>
      </c>
      <c r="BU2" s="13" t="e">
        <f t="shared" si="1"/>
        <v>#N/A</v>
      </c>
      <c r="BV2" s="13" t="e">
        <f t="shared" si="1"/>
        <v>#N/A</v>
      </c>
      <c r="BW2" s="13" t="e">
        <f t="shared" si="1"/>
        <v>#N/A</v>
      </c>
      <c r="BX2" s="13" t="e">
        <f t="shared" si="1"/>
        <v>#N/A</v>
      </c>
      <c r="BY2" s="13" t="e">
        <f t="shared" si="1"/>
        <v>#N/A</v>
      </c>
      <c r="BZ2" s="13" t="e">
        <f t="shared" si="1"/>
        <v>#N/A</v>
      </c>
      <c r="CA2" s="13" t="e">
        <f t="shared" si="1"/>
        <v>#N/A</v>
      </c>
      <c r="CB2" s="13" t="e">
        <f t="shared" si="1"/>
        <v>#N/A</v>
      </c>
      <c r="CC2" s="13" t="e">
        <f t="shared" si="1"/>
        <v>#N/A</v>
      </c>
      <c r="CD2" s="13" t="e">
        <f t="shared" si="1"/>
        <v>#N/A</v>
      </c>
      <c r="CE2" s="13" t="e">
        <f t="shared" si="1"/>
        <v>#N/A</v>
      </c>
      <c r="CF2" s="13" t="e">
        <f t="shared" si="1"/>
        <v>#N/A</v>
      </c>
      <c r="CG2" s="13" t="e">
        <f t="shared" si="1"/>
        <v>#N/A</v>
      </c>
      <c r="CH2" s="13" t="e">
        <f t="shared" si="1"/>
        <v>#N/A</v>
      </c>
      <c r="CI2" s="13" t="e">
        <f t="shared" si="1"/>
        <v>#N/A</v>
      </c>
      <c r="CJ2" s="13" t="e">
        <f t="shared" si="1"/>
        <v>#N/A</v>
      </c>
      <c r="CK2" s="13" t="e">
        <f t="shared" si="1"/>
        <v>#N/A</v>
      </c>
      <c r="CL2" s="13" t="e">
        <f t="shared" si="1"/>
        <v>#N/A</v>
      </c>
      <c r="CM2" s="13" t="e">
        <f t="shared" si="1"/>
        <v>#N/A</v>
      </c>
      <c r="CN2" s="13" t="e">
        <f t="shared" si="1"/>
        <v>#N/A</v>
      </c>
      <c r="CO2" s="13" t="e">
        <f t="shared" si="1"/>
        <v>#N/A</v>
      </c>
      <c r="CP2" s="13" t="e">
        <f t="shared" si="1"/>
        <v>#N/A</v>
      </c>
      <c r="CQ2" s="13" t="e">
        <f t="shared" si="1"/>
        <v>#N/A</v>
      </c>
      <c r="CR2" s="13" t="e">
        <f t="shared" si="1"/>
        <v>#N/A</v>
      </c>
      <c r="CS2" s="13" t="e">
        <f t="shared" si="1"/>
        <v>#N/A</v>
      </c>
      <c r="CT2" s="13" t="e">
        <f t="shared" si="1"/>
        <v>#N/A</v>
      </c>
      <c r="CU2" s="13" t="e">
        <f t="shared" si="1"/>
        <v>#N/A</v>
      </c>
      <c r="CV2" s="13" t="e">
        <f t="shared" si="1"/>
        <v>#N/A</v>
      </c>
      <c r="CW2" s="13" t="e">
        <f t="shared" si="1"/>
        <v>#N/A</v>
      </c>
      <c r="CX2" s="13" t="e">
        <f t="shared" si="1"/>
        <v>#N/A</v>
      </c>
      <c r="CY2" s="13" t="e">
        <f t="shared" si="1"/>
        <v>#N/A</v>
      </c>
      <c r="CZ2" s="13" t="e">
        <f t="shared" si="1"/>
        <v>#N/A</v>
      </c>
    </row>
    <row r="4" spans="1:104" x14ac:dyDescent="0.25">
      <c r="A4" s="1" t="s">
        <v>56</v>
      </c>
    </row>
    <row r="5" spans="1:104" x14ac:dyDescent="0.25">
      <c r="A5" s="1"/>
    </row>
    <row r="6" spans="1:104" x14ac:dyDescent="0.25">
      <c r="A6" s="1" t="s">
        <v>44</v>
      </c>
      <c r="B6" s="9" t="str">
        <f>IFERROR(INDEX('IncStmt Data'!H$2:H$2999,MATCH(A6,IF('IncStmt Data'!A$2=B$1,'IncStmt Data'!G$2:G$2999),0)),"")</f>
        <v/>
      </c>
      <c r="C6" s="9" t="str">
        <f>IFERROR(INDEX('IncStmt Data'!H$17:H$2999,MATCH(A6,IF('IncStmt Data'!A$17=C$1,'IncStmt Data'!G$17:G$2999),0)),"")</f>
        <v/>
      </c>
      <c r="D6" s="15" t="str">
        <f>IFERROR(INDEX('IncStmt Data'!H$32:H$2999,MATCH(A6,IF('IncStmt Data'!A$32=D$1,'IncStmt Data'!G$32:G$2999),0)),"")</f>
        <v/>
      </c>
      <c r="E6" s="15" t="str">
        <f>IFERROR(INDEX('IncStmt Data'!H$47:H$2999,MATCH(A6,IF('IncStmt Data'!A$47=E$1,'IncStmt Data'!G$47:G$2999),0)),"")</f>
        <v/>
      </c>
      <c r="F6" s="15" t="str">
        <f>IFERROR(INDEX('IncStmt Data'!H$62:H$2999,MATCH(A6,IF('IncStmt Data'!A$62=F$1,'IncStmt Data'!G$62:G$2999),0)),"")</f>
        <v/>
      </c>
      <c r="G6" s="15" t="str">
        <f>IFERROR(INDEX('IncStmt Data'!H$77:H$2999,MATCH(A6,IF('IncStmt Data'!A$77=G$1,'IncStmt Data'!G$77:G$2999),0)),"")</f>
        <v/>
      </c>
      <c r="H6" s="15" t="str">
        <f>IFERROR(INDEX('IncStmt Data'!H$92:H$2999,MATCH(A6,IF('IncStmt Data'!A$92=H$1,'IncStmt Data'!G$92:G$2999),0)),"")</f>
        <v/>
      </c>
      <c r="I6" s="16" t="str">
        <f>IFERROR(INDEX('IncStmt Data'!H$107:H$2999,MATCH(A6,IF('IncStmt Data'!A$107=I$1,'IncStmt Data'!G$107:G$2999),0)),"")</f>
        <v/>
      </c>
      <c r="J6" s="15" t="str">
        <f>IFERROR(INDEX('IncStmt Data'!H$122:H$2999,MATCH(A6,IF('IncStmt Data'!A$122=J$1,'IncStmt Data'!G$122:G$2999),0)),"")</f>
        <v/>
      </c>
      <c r="K6" s="15" t="str">
        <f>IFERROR(INDEX('IncStmt Data'!H$137:H$2999,MATCH(A6,IF('IncStmt Data'!A$137=K$1,'IncStmt Data'!G$137:G$2999),0)),"")</f>
        <v/>
      </c>
      <c r="L6" s="15" t="str">
        <f>IFERROR(INDEX('IncStmt Data'!H$152:H$2999,MATCH(A6,IF('IncStmt Data'!A$152=L$1,'IncStmt Data'!G$152:G$2999),0)),"")</f>
        <v/>
      </c>
      <c r="M6" s="15" t="str">
        <f>IFERROR(INDEX('IncStmt Data'!H$167:H$2999,MATCH(A6,IF('IncStmt Data'!A$167=M$1,'IncStmt Data'!G$167:G$2999),0)),"")</f>
        <v/>
      </c>
      <c r="N6" s="15" t="str">
        <f>IFERROR(INDEX('IncStmt Data'!H$182:H$2999,MATCH(A6,IF('IncStmt Data'!A$182=N$1,'IncStmt Data'!G$182:G$2999),0)),"")</f>
        <v/>
      </c>
      <c r="O6" s="15" t="str">
        <f>IFERROR(INDEX('IncStmt Data'!H$197:H$2999,MATCH(A6,IF('IncStmt Data'!A$197=O$1,'IncStmt Data'!G$197:G$2999),0)),"")</f>
        <v/>
      </c>
      <c r="P6" s="15" t="str">
        <f>IFERROR(INDEX('IncStmt Data'!H$212:H$2999,MATCH(A6,IF('IncStmt Data'!A$212=P$1,'IncStmt Data'!G$212:G$2999),0)),"")</f>
        <v/>
      </c>
      <c r="Q6" s="15" t="str">
        <f>IFERROR(INDEX('IncStmt Data'!H$227:H$2999,MATCH(A6,IF('IncStmt Data'!A$227=Q$1,'IncStmt Data'!G$227:G$2999),0)),"")</f>
        <v/>
      </c>
      <c r="R6" s="15" t="str">
        <f>IFERROR(INDEX('IncStmt Data'!H$242:H$2999,MATCH(A6,IF('IncStmt Data'!A$242=R$1,'IncStmt Data'!G$242:G$2999),0)),"")</f>
        <v/>
      </c>
      <c r="S6" s="15" t="str">
        <f>IFERROR(INDEX('IncStmt Data'!H$257:H$2999,MATCH(A6,IF('IncStmt Data'!A$257=S$1,'IncStmt Data'!G$257:G$2999),0)),"")</f>
        <v/>
      </c>
      <c r="T6" s="15" t="str">
        <f>IFERROR(INDEX('IncStmt Data'!H$272:H$2999,MATCH(A6,IF('IncStmt Data'!A$272=T$1,'IncStmt Data'!G$272:G$2999),0)),"")</f>
        <v/>
      </c>
      <c r="U6" s="15" t="str">
        <f>IFERROR(INDEX('IncStmt Data'!H$287:H$2999,MATCH(A6,IF('IncStmt Data'!A$287=U$1,'IncStmt Data'!G$287:G$2999),0)),"")</f>
        <v/>
      </c>
      <c r="V6" s="15" t="str">
        <f>IFERROR(INDEX('IncStmt Data'!H$302:H$2999,MATCH(A6,IF('IncStmt Data'!A$302=V$1,'IncStmt Data'!G$302:G$2999),0)),"")</f>
        <v/>
      </c>
      <c r="W6" s="15" t="str">
        <f>IFERROR(INDEX('IncStmt Data'!H$317:H$2999,MATCH(A6,IF('IncStmt Data'!A$317=W$1,'IncStmt Data'!G$317:G$2999),0)),"")</f>
        <v/>
      </c>
      <c r="X6" s="15" t="str">
        <f>IFERROR(INDEX('IncStmt Data'!H$332:H$2999,MATCH(A6,IF('IncStmt Data'!A$332=X$1,'IncStmt Data'!G$332:G$2999),0)),"")</f>
        <v/>
      </c>
      <c r="Y6" s="15" t="str">
        <f>IFERROR(INDEX('IncStmt Data'!H$347:H$2999,MATCH(A6,IF('IncStmt Data'!A$347=Y$1,'IncStmt Data'!G$347:G$2999),0)),"")</f>
        <v/>
      </c>
      <c r="Z6" s="15" t="str">
        <f>IFERROR(INDEX('IncStmt Data'!H$362:H$2999,MATCH(A6,IF('IncStmt Data'!A$362=Z$1,'IncStmt Data'!G$362:G$2999),0)),"")</f>
        <v/>
      </c>
      <c r="AA6" s="15" t="str">
        <f>IFERROR(INDEX('IncStmt Data'!H$377:H$2999,MATCH(A6,IF('IncStmt Data'!A$377=AA$1,'IncStmt Data'!G$377:G$2999),0)),"")</f>
        <v/>
      </c>
      <c r="AB6" s="15" t="str">
        <f>IFERROR(INDEX('IncStmt Data'!H$392:H$2999,MATCH(A6,IF('IncStmt Data'!A$392=AB$1,'IncStmt Data'!G$392:G$2999),0)),"")</f>
        <v/>
      </c>
      <c r="AC6" s="15" t="str">
        <f>IFERROR(INDEX('IncStmt Data'!H$407:H$2999,MATCH(A6,IF('IncStmt Data'!A$407=AC$1,'IncStmt Data'!G$407:G$2999),0)),"")</f>
        <v/>
      </c>
      <c r="AD6" s="15" t="str">
        <f>IFERROR(INDEX('IncStmt Data'!H$422:H$2999,MATCH(A6,IF('IncStmt Data'!A$422=AD$1,'IncStmt Data'!G$422:G$2999),0)),"")</f>
        <v/>
      </c>
      <c r="AE6" s="15" t="str">
        <f>IFERROR(INDEX('IncStmt Data'!H$437:H$2999,MATCH(A6,IF('IncStmt Data'!A$437=AE$1,'IncStmt Data'!G$437:G$2999),0)),"")</f>
        <v/>
      </c>
      <c r="AF6" s="15" t="str">
        <f>IFERROR(INDEX('IncStmt Data'!H$452:H$2999,MATCH(A6,IF('IncStmt Data'!A$452=AF$1,'IncStmt Data'!G$452:G$2999),0)),"")</f>
        <v/>
      </c>
      <c r="AG6" s="15" t="str">
        <f>IFERROR(INDEX('IncStmt Data'!H$467:H$2999,MATCH(A6,IF('IncStmt Data'!A$467=AG$1,'IncStmt Data'!G$467:G$2999),0)),"")</f>
        <v/>
      </c>
      <c r="AH6" s="15" t="str">
        <f>IFERROR(INDEX('IncStmt Data'!H$482:H$2999,MATCH(A6,IF('IncStmt Data'!A$482=AH$1,'IncStmt Data'!G$482:G$2999),0)),"")</f>
        <v/>
      </c>
      <c r="AI6" s="15" t="str">
        <f>IFERROR(INDEX('IncStmt Data'!H$497:H$2999,MATCH(A6,IF('IncStmt Data'!A$497=AI$1,'IncStmt Data'!G$497:G$2999),0)),"")</f>
        <v/>
      </c>
      <c r="AJ6" s="15" t="str">
        <f>IFERROR(INDEX('IncStmt Data'!H$512:H$2999,MATCH(A6,IF('IncStmt Data'!A$512=AJ$1,'IncStmt Data'!G$512:G$2999),0)),"")</f>
        <v/>
      </c>
      <c r="AK6" s="15" t="str">
        <f>IFERROR(INDEX('IncStmt Data'!H$527:H$2999,MATCH(A6,IF('IncStmt Data'!A$527=AK$1,'IncStmt Data'!G$527:G$2999),0)),"")</f>
        <v/>
      </c>
      <c r="AL6" s="15">
        <f>IFERROR(INDEX('IncStmt Data'!H$542:H$2999,MATCH(A6,IF('IncStmt Data'!A$542=AL$1,'IncStmt Data'!G$542:G$2999),0)),"")</f>
        <v>1245</v>
      </c>
      <c r="AM6" s="15">
        <f>IFERROR(INDEX('IncStmt Data'!H$557:H$2999,MATCH(A6,IF('IncStmt Data'!A$557=AM$1,'IncStmt Data'!G$557:G$2999),0)),"")</f>
        <v>1245</v>
      </c>
      <c r="AN6" s="15">
        <f>IFERROR(INDEX('IncStmt Data'!H$572:H$2999,MATCH(A6,IF('IncStmt Data'!A$572=AN$1,'IncStmt Data'!G$572:G$2999),0)),"")</f>
        <v>1245</v>
      </c>
      <c r="AO6" s="15">
        <f>IFERROR(INDEX('IncStmt Data'!H$587:H$2999,MATCH(A6,IF('IncStmt Data'!A$587=AO$1,'IncStmt Data'!G$587:G$2999),0)),"")</f>
        <v>1245</v>
      </c>
      <c r="AP6" s="15">
        <f>IFERROR(INDEX('IncStmt Data'!H$602:H$2999,MATCH(A6,IF('IncStmt Data'!A$602=AP$1,'IncStmt Data'!G$602:G$2999),0)),"")</f>
        <v>1245</v>
      </c>
      <c r="AQ6" s="15">
        <f>IFERROR(INDEX('IncStmt Data'!H$617:H$2999,MATCH(A6,IF('IncStmt Data'!A$617=AQ$1,'IncStmt Data'!G$617:G$2999),0)),"")</f>
        <v>1245</v>
      </c>
      <c r="AR6" s="15">
        <f>IFERROR(INDEX('IncStmt Data'!H$632:H$2999,MATCH(A6,IF('IncStmt Data'!A$632=AR$1,'IncStmt Data'!G$632:G$2999),0)),"")</f>
        <v>1245</v>
      </c>
      <c r="AS6" s="15" t="str">
        <f>IFERROR(INDEX('IncStmt Data'!H$647:H$2999,MATCH(A6,IF('IncStmt Data'!A$647=AS$1,'IncStmt Data'!G$647:G$2999),0)),"")</f>
        <v/>
      </c>
    </row>
    <row r="7" spans="1:104" x14ac:dyDescent="0.25">
      <c r="A7" s="1" t="s">
        <v>44</v>
      </c>
      <c r="B7" s="9" t="str">
        <f>IFERROR(INDEX('IncStmt Data'!H$2:H$2999,MATCH(A7,IF('IncStmt Data'!A$2=B$1,'IncStmt Data'!G$2:G$2999),0)),"")</f>
        <v/>
      </c>
      <c r="C7" s="9" t="str">
        <f>IFERROR(INDEX('IncStmt Data'!H$17:H$2999,MATCH(A7,IF('IncStmt Data'!A$17=C$1,'IncStmt Data'!G$17:G$2999),0)),"")</f>
        <v/>
      </c>
      <c r="D7" s="15" t="str">
        <f>IFERROR(INDEX('IncStmt Data'!H$32:H$2999,MATCH(A7,IF('IncStmt Data'!A$32=D$1,'IncStmt Data'!G$32:G$2999),0)),"")</f>
        <v/>
      </c>
      <c r="E7" s="15" t="str">
        <f>IFERROR(INDEX('IncStmt Data'!H$47:H$2999,MATCH(A7,IF('IncStmt Data'!A$47=E$1,'IncStmt Data'!G$47:G$2999),0)),"")</f>
        <v/>
      </c>
      <c r="F7" s="15" t="str">
        <f>IFERROR(INDEX('IncStmt Data'!H$62:H$2999,MATCH(A7,IF('IncStmt Data'!A$62=F$1,'IncStmt Data'!G$62:G$2999),0)),"")</f>
        <v/>
      </c>
      <c r="G7" s="15" t="str">
        <f>IFERROR(INDEX('IncStmt Data'!H$77:H$2999,MATCH(A7,IF('IncStmt Data'!A$77=G$1,'IncStmt Data'!G$77:G$2999),0)),"")</f>
        <v/>
      </c>
      <c r="H7" s="15" t="str">
        <f>IFERROR(INDEX('IncStmt Data'!H$92:H$2999,MATCH(A7,IF('IncStmt Data'!A$92=H$1,'IncStmt Data'!G$92:G$2999),0)),"")</f>
        <v/>
      </c>
      <c r="I7" s="16" t="str">
        <f>IFERROR(INDEX('IncStmt Data'!H$107:H$2999,MATCH(A7,IF('IncStmt Data'!A$107=I$1,'IncStmt Data'!G$107:G$2999),0)),"")</f>
        <v/>
      </c>
      <c r="J7" s="15" t="str">
        <f>IFERROR(INDEX('IncStmt Data'!H$122:H$2999,MATCH(A7,IF('IncStmt Data'!A$122=J$1,'IncStmt Data'!G$122:G$2999),0)),"")</f>
        <v/>
      </c>
      <c r="K7" s="15" t="str">
        <f>IFERROR(INDEX('IncStmt Data'!H$137:H$2999,MATCH(A7,IF('IncStmt Data'!A$137=K$1,'IncStmt Data'!G$137:G$2999),0)),"")</f>
        <v/>
      </c>
      <c r="L7" s="15" t="str">
        <f>IFERROR(INDEX('IncStmt Data'!H$152:H$2999,MATCH(A7,IF('IncStmt Data'!A$152=L$1,'IncStmt Data'!G$152:G$2999),0)),"")</f>
        <v/>
      </c>
      <c r="M7" s="15" t="str">
        <f>IFERROR(INDEX('IncStmt Data'!H$167:H$2999,MATCH(A7,IF('IncStmt Data'!A$167=M$1,'IncStmt Data'!G$167:G$2999),0)),"")</f>
        <v/>
      </c>
      <c r="N7" s="15" t="str">
        <f>IFERROR(INDEX('IncStmt Data'!H$182:H$2999,MATCH(A7,IF('IncStmt Data'!A$182=N$1,'IncStmt Data'!G$182:G$2999),0)),"")</f>
        <v/>
      </c>
      <c r="O7" s="15" t="str">
        <f>IFERROR(INDEX('IncStmt Data'!H$197:H$2999,MATCH(A7,IF('IncStmt Data'!A$197=O$1,'IncStmt Data'!G$197:G$2999),0)),"")</f>
        <v/>
      </c>
      <c r="P7" s="15" t="str">
        <f>IFERROR(INDEX('IncStmt Data'!H$212:H$2999,MATCH(A7,IF('IncStmt Data'!A$212=P$1,'IncStmt Data'!G$212:G$2999),0)),"")</f>
        <v/>
      </c>
      <c r="Q7" s="15" t="str">
        <f>IFERROR(INDEX('IncStmt Data'!H$227:H$2999,MATCH(A7,IF('IncStmt Data'!A$227=Q$1,'IncStmt Data'!G$227:G$2999),0)),"")</f>
        <v/>
      </c>
      <c r="R7" s="15" t="str">
        <f>IFERROR(INDEX('IncStmt Data'!H$242:H$2999,MATCH(A7,IF('IncStmt Data'!A$242=R$1,'IncStmt Data'!G$242:G$2999),0)),"")</f>
        <v/>
      </c>
      <c r="S7" s="15" t="str">
        <f>IFERROR(INDEX('IncStmt Data'!H$257:H$2999,MATCH(A7,IF('IncStmt Data'!A$257=S$1,'IncStmt Data'!G$257:G$2999),0)),"")</f>
        <v/>
      </c>
      <c r="T7" s="15" t="str">
        <f>IFERROR(INDEX('IncStmt Data'!H$272:H$2999,MATCH(A7,IF('IncStmt Data'!A$272=T$1,'IncStmt Data'!G$272:G$2999),0)),"")</f>
        <v/>
      </c>
      <c r="U7" s="15" t="str">
        <f>IFERROR(INDEX('IncStmt Data'!H$287:H$2999,MATCH(A7,IF('IncStmt Data'!A$287=U$1,'IncStmt Data'!G$287:G$2999),0)),"")</f>
        <v/>
      </c>
      <c r="V7" s="15" t="str">
        <f>IFERROR(INDEX('IncStmt Data'!H$302:H$2999,MATCH(A7,IF('IncStmt Data'!A$302=V$1,'IncStmt Data'!G$302:G$2999),0)),"")</f>
        <v/>
      </c>
      <c r="W7" s="15" t="str">
        <f>IFERROR(INDEX('IncStmt Data'!H$317:H$2999,MATCH(A7,IF('IncStmt Data'!A$317=W$1,'IncStmt Data'!G$317:G$2999),0)),"")</f>
        <v/>
      </c>
      <c r="X7" s="15" t="str">
        <f>IFERROR(INDEX('IncStmt Data'!H$332:H$2999,MATCH(A7,IF('IncStmt Data'!A$332=X$1,'IncStmt Data'!G$332:G$2999),0)),"")</f>
        <v/>
      </c>
      <c r="Y7" s="15" t="str">
        <f>IFERROR(INDEX('IncStmt Data'!H$347:H$2999,MATCH(A7,IF('IncStmt Data'!A$347=Y$1,'IncStmt Data'!G$347:G$2999),0)),"")</f>
        <v/>
      </c>
      <c r="Z7" s="15" t="str">
        <f>IFERROR(INDEX('IncStmt Data'!H$362:H$2999,MATCH(A7,IF('IncStmt Data'!A$362=Z$1,'IncStmt Data'!G$362:G$2999),0)),"")</f>
        <v/>
      </c>
      <c r="AA7" s="15" t="str">
        <f>IFERROR(INDEX('IncStmt Data'!H$377:H$2999,MATCH(A7,IF('IncStmt Data'!A$377=AA$1,'IncStmt Data'!G$377:G$2999),0)),"")</f>
        <v/>
      </c>
      <c r="AB7" s="15" t="str">
        <f>IFERROR(INDEX('IncStmt Data'!H$392:H$2999,MATCH(A7,IF('IncStmt Data'!A$392=AB$1,'IncStmt Data'!G$392:G$2999),0)),"")</f>
        <v/>
      </c>
      <c r="AC7" s="15" t="str">
        <f>IFERROR(INDEX('IncStmt Data'!H$407:H$2999,MATCH(A7,IF('IncStmt Data'!A$407=AC$1,'IncStmt Data'!G$407:G$2999),0)),"")</f>
        <v/>
      </c>
      <c r="AD7" s="15" t="str">
        <f>IFERROR(INDEX('IncStmt Data'!H$422:H$2999,MATCH(A7,IF('IncStmt Data'!A$422=AD$1,'IncStmt Data'!G$422:G$2999),0)),"")</f>
        <v/>
      </c>
      <c r="AE7" s="15" t="str">
        <f>IFERROR(INDEX('IncStmt Data'!H$437:H$2999,MATCH(A7,IF('IncStmt Data'!A$437=AE$1,'IncStmt Data'!G$437:G$2999),0)),"")</f>
        <v/>
      </c>
      <c r="AF7" s="15" t="str">
        <f>IFERROR(INDEX('IncStmt Data'!H$452:H$2999,MATCH(A7,IF('IncStmt Data'!A$452=AF$1,'IncStmt Data'!G$452:G$2999),0)),"")</f>
        <v/>
      </c>
      <c r="AG7" s="15" t="str">
        <f>IFERROR(INDEX('IncStmt Data'!H$467:H$2999,MATCH(A7,IF('IncStmt Data'!A$467=AG$1,'IncStmt Data'!G$467:G$2999),0)),"")</f>
        <v/>
      </c>
      <c r="AH7" s="15" t="str">
        <f>IFERROR(INDEX('IncStmt Data'!H$482:H$2999,MATCH(A7,IF('IncStmt Data'!A$482=AH$1,'IncStmt Data'!G$482:G$2999),0)),"")</f>
        <v/>
      </c>
      <c r="AI7" s="15" t="str">
        <f>IFERROR(INDEX('IncStmt Data'!H$497:H$2999,MATCH(A7,IF('IncStmt Data'!A$497=AI$1,'IncStmt Data'!G$497:G$2999),0)),"")</f>
        <v/>
      </c>
      <c r="AJ7" s="15" t="str">
        <f>IFERROR(INDEX('IncStmt Data'!H$512:H$2999,MATCH(A7,IF('IncStmt Data'!A$512=AJ$1,'IncStmt Data'!G$512:G$2999),0)),"")</f>
        <v/>
      </c>
      <c r="AK7" s="15" t="str">
        <f>IFERROR(INDEX('IncStmt Data'!H$527:H$2999,MATCH(A7,IF('IncStmt Data'!A$527=AK$1,'IncStmt Data'!G$527:G$2999),0)),"")</f>
        <v/>
      </c>
      <c r="AL7" s="15">
        <f>IFERROR(INDEX('IncStmt Data'!H$542:H$2999,MATCH(A7,IF('IncStmt Data'!A$542=AL$1,'IncStmt Data'!G$542:G$2999),0)),"")</f>
        <v>1245</v>
      </c>
      <c r="AM7" s="15">
        <f>IFERROR(INDEX('IncStmt Data'!H$557:H$2999,MATCH(A7,IF('IncStmt Data'!A$557=AM$1,'IncStmt Data'!G$557:G$2999),0)),"")</f>
        <v>1245</v>
      </c>
      <c r="AN7" s="15">
        <f>IFERROR(INDEX('IncStmt Data'!H$572:H$2999,MATCH(A7,IF('IncStmt Data'!A$572=AN$1,'IncStmt Data'!G$572:G$2999),0)),"")</f>
        <v>1245</v>
      </c>
      <c r="AO7" s="15">
        <f>IFERROR(INDEX('IncStmt Data'!H$587:H$2999,MATCH(A7,IF('IncStmt Data'!A$587=AO$1,'IncStmt Data'!G$587:G$2999),0)),"")</f>
        <v>1245</v>
      </c>
      <c r="AP7" s="15">
        <f>IFERROR(INDEX('IncStmt Data'!H$602:H$2999,MATCH(A7,IF('IncStmt Data'!A$602=AP$1,'IncStmt Data'!G$602:G$2999),0)),"")</f>
        <v>1245</v>
      </c>
      <c r="AQ7" s="15">
        <f>IFERROR(INDEX('IncStmt Data'!H$617:H$2999,MATCH(A7,IF('IncStmt Data'!A$617=AQ$1,'IncStmt Data'!G$617:G$2999),0)),"")</f>
        <v>1245</v>
      </c>
      <c r="AR7" s="15">
        <f>IFERROR(INDEX('IncStmt Data'!H$632:H$2999,MATCH(A7,IF('IncStmt Data'!A$632=AR$1,'IncStmt Data'!G$632:G$2999),0)),"")</f>
        <v>1245</v>
      </c>
      <c r="AS7" s="15" t="str">
        <f>IFERROR(INDEX('IncStmt Data'!H$647:H$2999,MATCH(A7,IF('IncStmt Data'!A$647=AS$1,'IncStmt Data'!G$647:G$2999),0)),"")</f>
        <v/>
      </c>
    </row>
    <row r="8" spans="1:104" x14ac:dyDescent="0.25">
      <c r="A8" s="1" t="s">
        <v>45</v>
      </c>
      <c r="B8" s="9" t="str">
        <f>IFERROR(INDEX('IncStmt Data'!H$2:H$2999,MATCH(A8,IF('IncStmt Data'!A$2=B$1,'IncStmt Data'!G$2:G$2999),0)),"")</f>
        <v/>
      </c>
      <c r="C8" s="9" t="str">
        <f>IFERROR(INDEX('IncStmt Data'!H$17:H$2999,MATCH(A8,IF('IncStmt Data'!A$17=C$1,'IncStmt Data'!G$17:G$2999),0)),"")</f>
        <v/>
      </c>
      <c r="D8" s="15" t="str">
        <f>IFERROR(INDEX('IncStmt Data'!H$32:H$2999,MATCH(A8,IF('IncStmt Data'!A$32=D$1,'IncStmt Data'!G$32:G$2999),0)),"")</f>
        <v/>
      </c>
      <c r="E8" s="15" t="str">
        <f>IFERROR(INDEX('IncStmt Data'!H$47:H$2999,MATCH(A8,IF('IncStmt Data'!A$47=E$1,'IncStmt Data'!G$47:G$2999),0)),"")</f>
        <v/>
      </c>
      <c r="F8" s="15" t="str">
        <f>IFERROR(INDEX('IncStmt Data'!H$62:H$2999,MATCH(A8,IF('IncStmt Data'!A$62=F$1,'IncStmt Data'!G$62:G$2999),0)),"")</f>
        <v/>
      </c>
      <c r="G8" s="15" t="str">
        <f>IFERROR(INDEX('IncStmt Data'!H$77:H$2999,MATCH(A8,IF('IncStmt Data'!A$77=G$1,'IncStmt Data'!G$77:G$2999),0)),"")</f>
        <v/>
      </c>
      <c r="H8" s="15" t="str">
        <f>IFERROR(INDEX('IncStmt Data'!H$92:H$2999,MATCH(A8,IF('IncStmt Data'!A$92=H$1,'IncStmt Data'!G$92:G$2999),0)),"")</f>
        <v/>
      </c>
      <c r="I8" s="16" t="str">
        <f>IFERROR(INDEX('IncStmt Data'!H$107:H$2999,MATCH(A8,IF('IncStmt Data'!A$107=I$1,'IncStmt Data'!G$107:G$2999),0)),"")</f>
        <v/>
      </c>
      <c r="J8" s="15" t="str">
        <f>IFERROR(INDEX('IncStmt Data'!H$122:H$2999,MATCH(A8,IF('IncStmt Data'!A$122=J$1,'IncStmt Data'!G$122:G$2999),0)),"")</f>
        <v/>
      </c>
      <c r="K8" s="15" t="str">
        <f>IFERROR(INDEX('IncStmt Data'!H$137:H$2999,MATCH(A8,IF('IncStmt Data'!A$137=K$1,'IncStmt Data'!G$137:G$2999),0)),"")</f>
        <v/>
      </c>
      <c r="L8" s="15" t="str">
        <f>IFERROR(INDEX('IncStmt Data'!H$152:H$2999,MATCH(A8,IF('IncStmt Data'!A$152=L$1,'IncStmt Data'!G$152:G$2999),0)),"")</f>
        <v/>
      </c>
      <c r="M8" s="15" t="str">
        <f>IFERROR(INDEX('IncStmt Data'!H$167:H$2999,MATCH(A8,IF('IncStmt Data'!A$167=M$1,'IncStmt Data'!G$167:G$2999),0)),"")</f>
        <v/>
      </c>
      <c r="N8" s="15" t="str">
        <f>IFERROR(INDEX('IncStmt Data'!H$182:H$2999,MATCH(A8,IF('IncStmt Data'!A$182=N$1,'IncStmt Data'!G$182:G$2999),0)),"")</f>
        <v/>
      </c>
      <c r="O8" s="15" t="str">
        <f>IFERROR(INDEX('IncStmt Data'!H$197:H$2999,MATCH(A8,IF('IncStmt Data'!A$197=O$1,'IncStmt Data'!G$197:G$2999),0)),"")</f>
        <v/>
      </c>
      <c r="P8" s="15" t="str">
        <f>IFERROR(INDEX('IncStmt Data'!H$212:H$2999,MATCH(A8,IF('IncStmt Data'!A$212=P$1,'IncStmt Data'!G$212:G$2999),0)),"")</f>
        <v/>
      </c>
      <c r="Q8" s="15" t="str">
        <f>IFERROR(INDEX('IncStmt Data'!H$227:H$2999,MATCH(A8,IF('IncStmt Data'!A$227=Q$1,'IncStmt Data'!G$227:G$2999),0)),"")</f>
        <v/>
      </c>
      <c r="R8" s="15" t="str">
        <f>IFERROR(INDEX('IncStmt Data'!H$242:H$2999,MATCH(A8,IF('IncStmt Data'!A$242=R$1,'IncStmt Data'!G$242:G$2999),0)),"")</f>
        <v/>
      </c>
      <c r="S8" s="15" t="str">
        <f>IFERROR(INDEX('IncStmt Data'!H$257:H$2999,MATCH(A8,IF('IncStmt Data'!A$257=S$1,'IncStmt Data'!G$257:G$2999),0)),"")</f>
        <v/>
      </c>
      <c r="T8" s="15" t="str">
        <f>IFERROR(INDEX('IncStmt Data'!H$272:H$2999,MATCH(A8,IF('IncStmt Data'!A$272=T$1,'IncStmt Data'!G$272:G$2999),0)),"")</f>
        <v/>
      </c>
      <c r="U8" s="15" t="str">
        <f>IFERROR(INDEX('IncStmt Data'!H$287:H$2999,MATCH(A8,IF('IncStmt Data'!A$287=U$1,'IncStmt Data'!G$287:G$2999),0)),"")</f>
        <v/>
      </c>
      <c r="V8" s="15" t="str">
        <f>IFERROR(INDEX('IncStmt Data'!H$302:H$2999,MATCH(A8,IF('IncStmt Data'!A$302=V$1,'IncStmt Data'!G$302:G$2999),0)),"")</f>
        <v/>
      </c>
      <c r="W8" s="15" t="str">
        <f>IFERROR(INDEX('IncStmt Data'!H$317:H$2999,MATCH(A8,IF('IncStmt Data'!A$317=W$1,'IncStmt Data'!G$317:G$2999),0)),"")</f>
        <v/>
      </c>
      <c r="X8" s="15" t="str">
        <f>IFERROR(INDEX('IncStmt Data'!H$332:H$2999,MATCH(A8,IF('IncStmt Data'!A$332=X$1,'IncStmt Data'!G$332:G$2999),0)),"")</f>
        <v/>
      </c>
      <c r="Y8" s="15" t="str">
        <f>IFERROR(INDEX('IncStmt Data'!H$347:H$2999,MATCH(A8,IF('IncStmt Data'!A$347=Y$1,'IncStmt Data'!G$347:G$2999),0)),"")</f>
        <v/>
      </c>
      <c r="Z8" s="15" t="str">
        <f>IFERROR(INDEX('IncStmt Data'!H$362:H$2999,MATCH(A8,IF('IncStmt Data'!A$362=Z$1,'IncStmt Data'!G$362:G$2999),0)),"")</f>
        <v/>
      </c>
      <c r="AA8" s="15" t="str">
        <f>IFERROR(INDEX('IncStmt Data'!H$377:H$2999,MATCH(A8,IF('IncStmt Data'!A$377=AA$1,'IncStmt Data'!G$377:G$2999),0)),"")</f>
        <v/>
      </c>
      <c r="AB8" s="15" t="str">
        <f>IFERROR(INDEX('IncStmt Data'!H$392:H$2999,MATCH(A8,IF('IncStmt Data'!A$392=AB$1,'IncStmt Data'!G$392:G$2999),0)),"")</f>
        <v/>
      </c>
      <c r="AC8" s="15" t="str">
        <f>IFERROR(INDEX('IncStmt Data'!H$407:H$2999,MATCH(A8,IF('IncStmt Data'!A$407=AC$1,'IncStmt Data'!G$407:G$2999),0)),"")</f>
        <v/>
      </c>
      <c r="AD8" s="15" t="str">
        <f>IFERROR(INDEX('IncStmt Data'!H$422:H$2999,MATCH(A8,IF('IncStmt Data'!A$422=AD$1,'IncStmt Data'!G$422:G$2999),0)),"")</f>
        <v/>
      </c>
      <c r="AE8" s="15" t="str">
        <f>IFERROR(INDEX('IncStmt Data'!H$437:H$2999,MATCH(A8,IF('IncStmt Data'!A$437=AE$1,'IncStmt Data'!G$437:G$2999),0)),"")</f>
        <v/>
      </c>
      <c r="AF8" s="15" t="str">
        <f>IFERROR(INDEX('IncStmt Data'!H$452:H$2999,MATCH(A8,IF('IncStmt Data'!A$452=AF$1,'IncStmt Data'!G$452:G$2999),0)),"")</f>
        <v/>
      </c>
      <c r="AG8" s="15" t="str">
        <f>IFERROR(INDEX('IncStmt Data'!H$467:H$2999,MATCH(A8,IF('IncStmt Data'!A$467=AG$1,'IncStmt Data'!G$467:G$2999),0)),"")</f>
        <v/>
      </c>
      <c r="AH8" s="15" t="str">
        <f>IFERROR(INDEX('IncStmt Data'!H$482:H$2999,MATCH(A8,IF('IncStmt Data'!A$482=AH$1,'IncStmt Data'!G$482:G$2999),0)),"")</f>
        <v/>
      </c>
      <c r="AI8" s="15" t="str">
        <f>IFERROR(INDEX('IncStmt Data'!H$497:H$2999,MATCH(A8,IF('IncStmt Data'!A$497=AI$1,'IncStmt Data'!G$497:G$2999),0)),"")</f>
        <v/>
      </c>
      <c r="AJ8" s="15" t="str">
        <f>IFERROR(INDEX('IncStmt Data'!H$512:H$2999,MATCH(A8,IF('IncStmt Data'!A$512=AJ$1,'IncStmt Data'!G$512:G$2999),0)),"")</f>
        <v/>
      </c>
      <c r="AK8" s="15" t="str">
        <f>IFERROR(INDEX('IncStmt Data'!H$527:H$2999,MATCH(A8,IF('IncStmt Data'!A$527=AK$1,'IncStmt Data'!G$527:G$2999),0)),"")</f>
        <v/>
      </c>
      <c r="AL8" s="15" t="str">
        <f>IFERROR(INDEX('IncStmt Data'!H$542:H$2999,MATCH(A8,IF('IncStmt Data'!A$542=AL$1,'IncStmt Data'!G$542:G$2999),0)),"")</f>
        <v/>
      </c>
      <c r="AM8" s="15" t="str">
        <f>IFERROR(INDEX('IncStmt Data'!H$557:H$2999,MATCH(A8,IF('IncStmt Data'!A$557=AM$1,'IncStmt Data'!G$557:G$2999),0)),"")</f>
        <v/>
      </c>
      <c r="AN8" s="15" t="str">
        <f>IFERROR(INDEX('IncStmt Data'!H$572:H$2999,MATCH(A8,IF('IncStmt Data'!A$572=AN$1,'IncStmt Data'!G$572:G$2999),0)),"")</f>
        <v/>
      </c>
      <c r="AO8" s="15" t="str">
        <f>IFERROR(INDEX('IncStmt Data'!H$587:H$2999,MATCH(A8,IF('IncStmt Data'!A$587=AO$1,'IncStmt Data'!G$587:G$2999),0)),"")</f>
        <v/>
      </c>
      <c r="AP8" s="15" t="str">
        <f>IFERROR(INDEX('IncStmt Data'!H$602:H$2999,MATCH(A8,IF('IncStmt Data'!A$602=AP$1,'IncStmt Data'!G$602:G$2999),0)),"")</f>
        <v/>
      </c>
      <c r="AQ8" s="15" t="str">
        <f>IFERROR(INDEX('IncStmt Data'!H$617:H$2999,MATCH(A8,IF('IncStmt Data'!A$617=AQ$1,'IncStmt Data'!G$617:G$2999),0)),"")</f>
        <v/>
      </c>
      <c r="AR8" s="15" t="str">
        <f>IFERROR(INDEX('IncStmt Data'!H$632:H$2999,MATCH(A8,IF('IncStmt Data'!A$632=AR$1,'IncStmt Data'!G$632:G$2999),0)),"")</f>
        <v/>
      </c>
      <c r="AS8" s="15" t="str">
        <f>IFERROR(INDEX('IncStmt Data'!H$647:H$2999,MATCH(A8,IF('IncStmt Data'!A$647=AS$1,'IncStmt Data'!G$647:G$2999),0)),"")</f>
        <v/>
      </c>
    </row>
    <row r="9" spans="1:104" x14ac:dyDescent="0.25">
      <c r="A9" s="1" t="s">
        <v>46</v>
      </c>
      <c r="B9" s="9" t="str">
        <f>IFERROR(INDEX('IncStmt Data'!H$2:H$2999,MATCH(A9,IF('IncStmt Data'!A$2=B$1,'IncStmt Data'!G$2:G$2999),0)),"")</f>
        <v/>
      </c>
      <c r="C9" s="9" t="str">
        <f>IFERROR(INDEX('IncStmt Data'!H$17:H$2999,MATCH(A9,IF('IncStmt Data'!A$17=C$1,'IncStmt Data'!G$17:G$2999),0)),"")</f>
        <v/>
      </c>
      <c r="D9" s="15" t="str">
        <f>IFERROR(INDEX('IncStmt Data'!H$32:H$2999,MATCH(A9,IF('IncStmt Data'!A$32=D$1,'IncStmt Data'!G$32:G$2999),0)),"")</f>
        <v/>
      </c>
      <c r="E9" s="15" t="str">
        <f>IFERROR(INDEX('IncStmt Data'!H$47:H$2999,MATCH(A9,IF('IncStmt Data'!A$47=E$1,'IncStmt Data'!G$47:G$2999),0)),"")</f>
        <v/>
      </c>
      <c r="F9" s="15" t="str">
        <f>IFERROR(INDEX('IncStmt Data'!H$62:H$2999,MATCH(A9,IF('IncStmt Data'!A$62=F$1,'IncStmt Data'!G$62:G$2999),0)),"")</f>
        <v/>
      </c>
      <c r="G9" s="15" t="str">
        <f>IFERROR(INDEX('IncStmt Data'!H$77:H$2999,MATCH(A9,IF('IncStmt Data'!A$77=G$1,'IncStmt Data'!G$77:G$2999),0)),"")</f>
        <v/>
      </c>
      <c r="H9" s="15" t="str">
        <f>IFERROR(INDEX('IncStmt Data'!H$92:H$2999,MATCH(A9,IF('IncStmt Data'!A$92=H$1,'IncStmt Data'!G$92:G$2999),0)),"")</f>
        <v/>
      </c>
      <c r="I9" s="16" t="str">
        <f>IFERROR(INDEX('IncStmt Data'!H$107:H$2999,MATCH(A9,IF('IncStmt Data'!A$107=I$1,'IncStmt Data'!G$107:G$2999),0)),"")</f>
        <v/>
      </c>
      <c r="J9" s="15" t="str">
        <f>IFERROR(INDEX('IncStmt Data'!H$122:H$2999,MATCH(A9,IF('IncStmt Data'!A$122=J$1,'IncStmt Data'!G$122:G$2999),0)),"")</f>
        <v/>
      </c>
      <c r="K9" s="15" t="str">
        <f>IFERROR(INDEX('IncStmt Data'!H$137:H$2999,MATCH(A9,IF('IncStmt Data'!A$137=K$1,'IncStmt Data'!G$137:G$2999),0)),"")</f>
        <v/>
      </c>
      <c r="L9" s="15" t="str">
        <f>IFERROR(INDEX('IncStmt Data'!H$152:H$2999,MATCH(A9,IF('IncStmt Data'!A$152=L$1,'IncStmt Data'!G$152:G$2999),0)),"")</f>
        <v/>
      </c>
      <c r="M9" s="15" t="str">
        <f>IFERROR(INDEX('IncStmt Data'!H$167:H$2999,MATCH(A9,IF('IncStmt Data'!A$167=M$1,'IncStmt Data'!G$167:G$2999),0)),"")</f>
        <v/>
      </c>
      <c r="N9" s="15" t="str">
        <f>IFERROR(INDEX('IncStmt Data'!H$182:H$2999,MATCH(A9,IF('IncStmt Data'!A$182=N$1,'IncStmt Data'!G$182:G$2999),0)),"")</f>
        <v/>
      </c>
      <c r="O9" s="15" t="str">
        <f>IFERROR(INDEX('IncStmt Data'!H$197:H$2999,MATCH(A9,IF('IncStmt Data'!A$197=O$1,'IncStmt Data'!G$197:G$2999),0)),"")</f>
        <v/>
      </c>
      <c r="P9" s="15" t="str">
        <f>IFERROR(INDEX('IncStmt Data'!H$212:H$2999,MATCH(A9,IF('IncStmt Data'!A$212=P$1,'IncStmt Data'!G$212:G$2999),0)),"")</f>
        <v/>
      </c>
      <c r="Q9" s="15" t="str">
        <f>IFERROR(INDEX('IncStmt Data'!H$227:H$2999,MATCH(A9,IF('IncStmt Data'!A$227=Q$1,'IncStmt Data'!G$227:G$2999),0)),"")</f>
        <v/>
      </c>
      <c r="R9" s="15" t="str">
        <f>IFERROR(INDEX('IncStmt Data'!H$242:H$2999,MATCH(A9,IF('IncStmt Data'!A$242=R$1,'IncStmt Data'!G$242:G$2999),0)),"")</f>
        <v/>
      </c>
      <c r="S9" s="15" t="str">
        <f>IFERROR(INDEX('IncStmt Data'!H$257:H$2999,MATCH(A9,IF('IncStmt Data'!A$257=S$1,'IncStmt Data'!G$257:G$2999),0)),"")</f>
        <v/>
      </c>
      <c r="T9" s="15" t="str">
        <f>IFERROR(INDEX('IncStmt Data'!H$272:H$2999,MATCH(A9,IF('IncStmt Data'!A$272=T$1,'IncStmt Data'!G$272:G$2999),0)),"")</f>
        <v/>
      </c>
      <c r="U9" s="15" t="str">
        <f>IFERROR(INDEX('IncStmt Data'!H$287:H$2999,MATCH(A9,IF('IncStmt Data'!A$287=U$1,'IncStmt Data'!G$287:G$2999),0)),"")</f>
        <v/>
      </c>
      <c r="V9" s="15" t="str">
        <f>IFERROR(INDEX('IncStmt Data'!H$302:H$2999,MATCH(A9,IF('IncStmt Data'!A$302=V$1,'IncStmt Data'!G$302:G$2999),0)),"")</f>
        <v/>
      </c>
      <c r="W9" s="15" t="str">
        <f>IFERROR(INDEX('IncStmt Data'!H$317:H$2999,MATCH(A9,IF('IncStmt Data'!A$317=W$1,'IncStmt Data'!G$317:G$2999),0)),"")</f>
        <v/>
      </c>
      <c r="X9" s="15" t="str">
        <f>IFERROR(INDEX('IncStmt Data'!H$332:H$2999,MATCH(A9,IF('IncStmt Data'!A$332=X$1,'IncStmt Data'!G$332:G$2999),0)),"")</f>
        <v/>
      </c>
      <c r="Y9" s="15" t="str">
        <f>IFERROR(INDEX('IncStmt Data'!H$347:H$2999,MATCH(A9,IF('IncStmt Data'!A$347=Y$1,'IncStmt Data'!G$347:G$2999),0)),"")</f>
        <v/>
      </c>
      <c r="Z9" s="15" t="str">
        <f>IFERROR(INDEX('IncStmt Data'!H$362:H$2999,MATCH(A9,IF('IncStmt Data'!A$362=Z$1,'IncStmt Data'!G$362:G$2999),0)),"")</f>
        <v/>
      </c>
      <c r="AA9" s="15" t="str">
        <f>IFERROR(INDEX('IncStmt Data'!H$377:H$2999,MATCH(A9,IF('IncStmt Data'!A$377=AA$1,'IncStmt Data'!G$377:G$2999),0)),"")</f>
        <v/>
      </c>
      <c r="AB9" s="15" t="str">
        <f>IFERROR(INDEX('IncStmt Data'!H$392:H$2999,MATCH(A9,IF('IncStmt Data'!A$392=AB$1,'IncStmt Data'!G$392:G$2999),0)),"")</f>
        <v/>
      </c>
      <c r="AC9" s="15" t="str">
        <f>IFERROR(INDEX('IncStmt Data'!H$407:H$2999,MATCH(A9,IF('IncStmt Data'!A$407=AC$1,'IncStmt Data'!G$407:G$2999),0)),"")</f>
        <v/>
      </c>
      <c r="AD9" s="15" t="str">
        <f>IFERROR(INDEX('IncStmt Data'!H$422:H$2999,MATCH(A9,IF('IncStmt Data'!A$422=AD$1,'IncStmt Data'!G$422:G$2999),0)),"")</f>
        <v/>
      </c>
      <c r="AE9" s="15" t="str">
        <f>IFERROR(INDEX('IncStmt Data'!H$437:H$2999,MATCH(A9,IF('IncStmt Data'!A$437=AE$1,'IncStmt Data'!G$437:G$2999),0)),"")</f>
        <v/>
      </c>
      <c r="AF9" s="15" t="str">
        <f>IFERROR(INDEX('IncStmt Data'!H$452:H$2999,MATCH(A9,IF('IncStmt Data'!A$452=AF$1,'IncStmt Data'!G$452:G$2999),0)),"")</f>
        <v/>
      </c>
      <c r="AG9" s="15" t="str">
        <f>IFERROR(INDEX('IncStmt Data'!H$467:H$2999,MATCH(A9,IF('IncStmt Data'!A$467=AG$1,'IncStmt Data'!G$467:G$2999),0)),"")</f>
        <v/>
      </c>
      <c r="AH9" s="15" t="str">
        <f>IFERROR(INDEX('IncStmt Data'!H$482:H$2999,MATCH(A9,IF('IncStmt Data'!A$482=AH$1,'IncStmt Data'!G$482:G$2999),0)),"")</f>
        <v/>
      </c>
      <c r="AI9" s="15" t="str">
        <f>IFERROR(INDEX('IncStmt Data'!H$497:H$2999,MATCH(A9,IF('IncStmt Data'!A$497=AI$1,'IncStmt Data'!G$497:G$2999),0)),"")</f>
        <v/>
      </c>
      <c r="AJ9" s="15" t="str">
        <f>IFERROR(INDEX('IncStmt Data'!H$512:H$2999,MATCH(A9,IF('IncStmt Data'!A$512=AJ$1,'IncStmt Data'!G$512:G$2999),0)),"")</f>
        <v/>
      </c>
      <c r="AK9" s="15" t="str">
        <f>IFERROR(INDEX('IncStmt Data'!H$527:H$2999,MATCH(A9,IF('IncStmt Data'!A$527=AK$1,'IncStmt Data'!G$527:G$2999),0)),"")</f>
        <v/>
      </c>
      <c r="AL9" s="15" t="str">
        <f>IFERROR(INDEX('IncStmt Data'!H$542:H$2999,MATCH(A9,IF('IncStmt Data'!A$542=AL$1,'IncStmt Data'!G$542:G$2999),0)),"")</f>
        <v/>
      </c>
      <c r="AM9" s="15" t="str">
        <f>IFERROR(INDEX('IncStmt Data'!H$557:H$2999,MATCH(A9,IF('IncStmt Data'!A$557=AM$1,'IncStmt Data'!G$557:G$2999),0)),"")</f>
        <v/>
      </c>
      <c r="AN9" s="15" t="str">
        <f>IFERROR(INDEX('IncStmt Data'!H$572:H$2999,MATCH(A9,IF('IncStmt Data'!A$572=AN$1,'IncStmt Data'!G$572:G$2999),0)),"")</f>
        <v/>
      </c>
      <c r="AO9" s="15" t="str">
        <f>IFERROR(INDEX('IncStmt Data'!H$587:H$2999,MATCH(A9,IF('IncStmt Data'!A$587=AO$1,'IncStmt Data'!G$587:G$2999),0)),"")</f>
        <v/>
      </c>
      <c r="AP9" s="15" t="str">
        <f>IFERROR(INDEX('IncStmt Data'!H$602:H$2999,MATCH(A9,IF('IncStmt Data'!A$602=AP$1,'IncStmt Data'!G$602:G$2999),0)),"")</f>
        <v/>
      </c>
      <c r="AQ9" s="15" t="str">
        <f>IFERROR(INDEX('IncStmt Data'!H$617:H$2999,MATCH(A9,IF('IncStmt Data'!A$617=AQ$1,'IncStmt Data'!G$617:G$2999),0)),"")</f>
        <v/>
      </c>
      <c r="AR9" s="15" t="str">
        <f>IFERROR(INDEX('IncStmt Data'!H$632:H$2999,MATCH(A9,IF('IncStmt Data'!A$632=AR$1,'IncStmt Data'!G$632:G$2999),0)),"")</f>
        <v/>
      </c>
      <c r="AS9" s="15" t="str">
        <f>IFERROR(INDEX('IncStmt Data'!H$647:H$2999,MATCH(A9,IF('IncStmt Data'!A$647=AS$1,'IncStmt Data'!G$647:G$2999),0)),"")</f>
        <v/>
      </c>
    </row>
    <row r="10" spans="1:104" x14ac:dyDescent="0.25">
      <c r="A10" s="1" t="s">
        <v>47</v>
      </c>
      <c r="B10" s="9" t="str">
        <f>IFERROR(INDEX('IncStmt Data'!H$2:H$2999,MATCH(A10,IF('IncStmt Data'!A$2=B$1,'IncStmt Data'!G$2:G$2999),0)),"")</f>
        <v/>
      </c>
      <c r="C10" s="9" t="str">
        <f>IFERROR(INDEX('IncStmt Data'!H$17:H$2999,MATCH(A10,IF('IncStmt Data'!A$17=C$1,'IncStmt Data'!G$17:G$2999),0)),"")</f>
        <v/>
      </c>
      <c r="D10" s="15" t="str">
        <f>IFERROR(INDEX('IncStmt Data'!H$32:H$2999,MATCH(A10,IF('IncStmt Data'!A$32=D$1,'IncStmt Data'!G$32:G$2999),0)),"")</f>
        <v/>
      </c>
      <c r="E10" s="15" t="str">
        <f>IFERROR(INDEX('IncStmt Data'!H$47:H$2999,MATCH(A10,IF('IncStmt Data'!A$47=E$1,'IncStmt Data'!G$47:G$2999),0)),"")</f>
        <v/>
      </c>
      <c r="F10" s="15" t="str">
        <f>IFERROR(INDEX('IncStmt Data'!H$62:H$2999,MATCH(A10,IF('IncStmt Data'!A$62=F$1,'IncStmt Data'!G$62:G$2999),0)),"")</f>
        <v/>
      </c>
      <c r="G10" s="15" t="str">
        <f>IFERROR(INDEX('IncStmt Data'!H$77:H$2999,MATCH(A10,IF('IncStmt Data'!A$77=G$1,'IncStmt Data'!G$77:G$2999),0)),"")</f>
        <v/>
      </c>
      <c r="H10" s="15" t="str">
        <f>IFERROR(INDEX('IncStmt Data'!H$92:H$2999,MATCH(A10,IF('IncStmt Data'!A$92=H$1,'IncStmt Data'!G$92:G$2999),0)),"")</f>
        <v/>
      </c>
      <c r="I10" s="16" t="str">
        <f>IFERROR(INDEX('IncStmt Data'!H$107:H$2999,MATCH(A10,IF('IncStmt Data'!A$107=I$1,'IncStmt Data'!G$107:G$2999),0)),"")</f>
        <v/>
      </c>
      <c r="J10" s="15" t="str">
        <f>IFERROR(INDEX('IncStmt Data'!H$122:H$2999,MATCH(A10,IF('IncStmt Data'!A$122=J$1,'IncStmt Data'!G$122:G$2999),0)),"")</f>
        <v/>
      </c>
      <c r="K10" s="15" t="str">
        <f>IFERROR(INDEX('IncStmt Data'!H$137:H$2999,MATCH(A10,IF('IncStmt Data'!A$137=K$1,'IncStmt Data'!G$137:G$2999),0)),"")</f>
        <v/>
      </c>
      <c r="L10" s="15" t="str">
        <f>IFERROR(INDEX('IncStmt Data'!H$152:H$2999,MATCH(A10,IF('IncStmt Data'!A$152=L$1,'IncStmt Data'!G$152:G$2999),0)),"")</f>
        <v/>
      </c>
      <c r="M10" s="15" t="str">
        <f>IFERROR(INDEX('IncStmt Data'!H$167:H$2999,MATCH(A10,IF('IncStmt Data'!A$167=M$1,'IncStmt Data'!G$167:G$2999),0)),"")</f>
        <v/>
      </c>
      <c r="N10" s="15" t="str">
        <f>IFERROR(INDEX('IncStmt Data'!H$182:H$2999,MATCH(A10,IF('IncStmt Data'!A$182=N$1,'IncStmt Data'!G$182:G$2999),0)),"")</f>
        <v/>
      </c>
      <c r="O10" s="15" t="str">
        <f>IFERROR(INDEX('IncStmt Data'!H$197:H$2999,MATCH(A10,IF('IncStmt Data'!A$197=O$1,'IncStmt Data'!G$197:G$2999),0)),"")</f>
        <v/>
      </c>
      <c r="P10" s="15" t="str">
        <f>IFERROR(INDEX('IncStmt Data'!H$212:H$2999,MATCH(A10,IF('IncStmt Data'!A$212=P$1,'IncStmt Data'!G$212:G$2999),0)),"")</f>
        <v/>
      </c>
      <c r="Q10" s="15" t="str">
        <f>IFERROR(INDEX('IncStmt Data'!H$227:H$2999,MATCH(A10,IF('IncStmt Data'!A$227=Q$1,'IncStmt Data'!G$227:G$2999),0)),"")</f>
        <v/>
      </c>
      <c r="R10" s="15" t="str">
        <f>IFERROR(INDEX('IncStmt Data'!H$242:H$2999,MATCH(A10,IF('IncStmt Data'!A$242=R$1,'IncStmt Data'!G$242:G$2999),0)),"")</f>
        <v/>
      </c>
      <c r="S10" s="15" t="str">
        <f>IFERROR(INDEX('IncStmt Data'!H$257:H$2999,MATCH(A10,IF('IncStmt Data'!A$257=S$1,'IncStmt Data'!G$257:G$2999),0)),"")</f>
        <v/>
      </c>
      <c r="T10" s="15" t="str">
        <f>IFERROR(INDEX('IncStmt Data'!H$272:H$2999,MATCH(A10,IF('IncStmt Data'!A$272=T$1,'IncStmt Data'!G$272:G$2999),0)),"")</f>
        <v/>
      </c>
      <c r="U10" s="15" t="str">
        <f>IFERROR(INDEX('IncStmt Data'!H$287:H$2999,MATCH(A10,IF('IncStmt Data'!A$287=U$1,'IncStmt Data'!G$287:G$2999),0)),"")</f>
        <v/>
      </c>
      <c r="V10" s="15" t="str">
        <f>IFERROR(INDEX('IncStmt Data'!H$302:H$2999,MATCH(A10,IF('IncStmt Data'!A$302=V$1,'IncStmt Data'!G$302:G$2999),0)),"")</f>
        <v/>
      </c>
      <c r="W10" s="15" t="str">
        <f>IFERROR(INDEX('IncStmt Data'!H$317:H$2999,MATCH(A10,IF('IncStmt Data'!A$317=W$1,'IncStmt Data'!G$317:G$2999),0)),"")</f>
        <v/>
      </c>
      <c r="X10" s="15" t="str">
        <f>IFERROR(INDEX('IncStmt Data'!H$332:H$2999,MATCH(A10,IF('IncStmt Data'!A$332=X$1,'IncStmt Data'!G$332:G$2999),0)),"")</f>
        <v/>
      </c>
      <c r="Y10" s="15" t="str">
        <f>IFERROR(INDEX('IncStmt Data'!H$347:H$2999,MATCH(A10,IF('IncStmt Data'!A$347=Y$1,'IncStmt Data'!G$347:G$2999),0)),"")</f>
        <v/>
      </c>
      <c r="Z10" s="15" t="str">
        <f>IFERROR(INDEX('IncStmt Data'!H$362:H$2999,MATCH(A10,IF('IncStmt Data'!A$362=Z$1,'IncStmt Data'!G$362:G$2999),0)),"")</f>
        <v/>
      </c>
      <c r="AA10" s="15" t="str">
        <f>IFERROR(INDEX('IncStmt Data'!H$377:H$2999,MATCH(A10,IF('IncStmt Data'!A$377=AA$1,'IncStmt Data'!G$377:G$2999),0)),"")</f>
        <v/>
      </c>
      <c r="AB10" s="15" t="str">
        <f>IFERROR(INDEX('IncStmt Data'!H$392:H$2999,MATCH(A10,IF('IncStmt Data'!A$392=AB$1,'IncStmt Data'!G$392:G$2999),0)),"")</f>
        <v/>
      </c>
      <c r="AC10" s="15" t="str">
        <f>IFERROR(INDEX('IncStmt Data'!H$407:H$2999,MATCH(A10,IF('IncStmt Data'!A$407=AC$1,'IncStmt Data'!G$407:G$2999),0)),"")</f>
        <v/>
      </c>
      <c r="AD10" s="15" t="str">
        <f>IFERROR(INDEX('IncStmt Data'!H$422:H$2999,MATCH(A10,IF('IncStmt Data'!A$422=AD$1,'IncStmt Data'!G$422:G$2999),0)),"")</f>
        <v/>
      </c>
      <c r="AE10" s="15" t="str">
        <f>IFERROR(INDEX('IncStmt Data'!H$437:H$2999,MATCH(A10,IF('IncStmt Data'!A$437=AE$1,'IncStmt Data'!G$437:G$2999),0)),"")</f>
        <v/>
      </c>
      <c r="AF10" s="15" t="str">
        <f>IFERROR(INDEX('IncStmt Data'!H$452:H$2999,MATCH(A10,IF('IncStmt Data'!A$452=AF$1,'IncStmt Data'!G$452:G$2999),0)),"")</f>
        <v/>
      </c>
      <c r="AG10" s="15" t="str">
        <f>IFERROR(INDEX('IncStmt Data'!H$467:H$2999,MATCH(A10,IF('IncStmt Data'!A$467=AG$1,'IncStmt Data'!G$467:G$2999),0)),"")</f>
        <v/>
      </c>
      <c r="AH10" s="15" t="str">
        <f>IFERROR(INDEX('IncStmt Data'!H$482:H$2999,MATCH(A10,IF('IncStmt Data'!A$482=AH$1,'IncStmt Data'!G$482:G$2999),0)),"")</f>
        <v/>
      </c>
      <c r="AI10" s="15" t="str">
        <f>IFERROR(INDEX('IncStmt Data'!H$497:H$2999,MATCH(A10,IF('IncStmt Data'!A$497=AI$1,'IncStmt Data'!G$497:G$2999),0)),"")</f>
        <v/>
      </c>
      <c r="AJ10" s="15" t="str">
        <f>IFERROR(INDEX('IncStmt Data'!H$512:H$2999,MATCH(A10,IF('IncStmt Data'!A$512=AJ$1,'IncStmt Data'!G$512:G$2999),0)),"")</f>
        <v/>
      </c>
      <c r="AK10" s="15" t="str">
        <f>IFERROR(INDEX('IncStmt Data'!H$527:H$2999,MATCH(A10,IF('IncStmt Data'!A$527=AK$1,'IncStmt Data'!G$527:G$2999),0)),"")</f>
        <v/>
      </c>
      <c r="AL10" s="15" t="str">
        <f>IFERROR(INDEX('IncStmt Data'!H$542:H$2999,MATCH(A10,IF('IncStmt Data'!A$542=AL$1,'IncStmt Data'!G$542:G$2999),0)),"")</f>
        <v/>
      </c>
      <c r="AM10" s="15" t="str">
        <f>IFERROR(INDEX('IncStmt Data'!H$557:H$2999,MATCH(A10,IF('IncStmt Data'!A$557=AM$1,'IncStmt Data'!G$557:G$2999),0)),"")</f>
        <v/>
      </c>
      <c r="AN10" s="15" t="str">
        <f>IFERROR(INDEX('IncStmt Data'!H$572:H$2999,MATCH(A10,IF('IncStmt Data'!A$572=AN$1,'IncStmt Data'!G$572:G$2999),0)),"")</f>
        <v/>
      </c>
      <c r="AO10" s="15" t="str">
        <f>IFERROR(INDEX('IncStmt Data'!H$587:H$2999,MATCH(A10,IF('IncStmt Data'!A$587=AO$1,'IncStmt Data'!G$587:G$2999),0)),"")</f>
        <v/>
      </c>
      <c r="AP10" s="15" t="str">
        <f>IFERROR(INDEX('IncStmt Data'!H$602:H$2999,MATCH(A10,IF('IncStmt Data'!A$602=AP$1,'IncStmt Data'!G$602:G$2999),0)),"")</f>
        <v/>
      </c>
      <c r="AQ10" s="15" t="str">
        <f>IFERROR(INDEX('IncStmt Data'!H$617:H$2999,MATCH(A10,IF('IncStmt Data'!A$617=AQ$1,'IncStmt Data'!G$617:G$2999),0)),"")</f>
        <v/>
      </c>
      <c r="AR10" s="15" t="str">
        <f>IFERROR(INDEX('IncStmt Data'!H$632:H$2999,MATCH(A10,IF('IncStmt Data'!A$632=AR$1,'IncStmt Data'!G$632:G$2999),0)),"")</f>
        <v/>
      </c>
      <c r="AS10" s="15" t="str">
        <f>IFERROR(INDEX('IncStmt Data'!H$647:H$2999,MATCH(A10,IF('IncStmt Data'!A$647=AS$1,'IncStmt Data'!G$647:G$2999),0)),"")</f>
        <v/>
      </c>
    </row>
    <row r="11" spans="1:104" x14ac:dyDescent="0.25">
      <c r="A11" s="1" t="s">
        <v>47</v>
      </c>
      <c r="B11" s="9" t="str">
        <f>IFERROR(INDEX('IncStmt Data'!H$2:H$2999,MATCH(A11,IF('IncStmt Data'!A$2=B$1,'IncStmt Data'!G$2:G$2999),0)),"")</f>
        <v/>
      </c>
      <c r="C11" s="9" t="str">
        <f>IFERROR(INDEX('IncStmt Data'!H$17:H$2999,MATCH(A11,IF('IncStmt Data'!A$17=C$1,'IncStmt Data'!G$17:G$2999),0)),"")</f>
        <v/>
      </c>
      <c r="D11" s="15" t="str">
        <f>IFERROR(INDEX('IncStmt Data'!H$32:H$2999,MATCH(A11,IF('IncStmt Data'!A$32=D$1,'IncStmt Data'!G$32:G$2999),0)),"")</f>
        <v/>
      </c>
      <c r="E11" s="15" t="str">
        <f>IFERROR(INDEX('IncStmt Data'!H$47:H$2999,MATCH(A11,IF('IncStmt Data'!A$47=E$1,'IncStmt Data'!G$47:G$2999),0)),"")</f>
        <v/>
      </c>
      <c r="F11" s="15" t="str">
        <f>IFERROR(INDEX('IncStmt Data'!H$62:H$2999,MATCH(A11,IF('IncStmt Data'!A$62=F$1,'IncStmt Data'!G$62:G$2999),0)),"")</f>
        <v/>
      </c>
      <c r="G11" s="15" t="str">
        <f>IFERROR(INDEX('IncStmt Data'!H$77:H$2999,MATCH(A11,IF('IncStmt Data'!A$77=G$1,'IncStmt Data'!G$77:G$2999),0)),"")</f>
        <v/>
      </c>
      <c r="H11" s="15" t="str">
        <f>IFERROR(INDEX('IncStmt Data'!H$92:H$2999,MATCH(A11,IF('IncStmt Data'!A$92=H$1,'IncStmt Data'!G$92:G$2999),0)),"")</f>
        <v/>
      </c>
      <c r="I11" s="16" t="str">
        <f>IFERROR(INDEX('IncStmt Data'!H$107:H$2999,MATCH(A11,IF('IncStmt Data'!A$107=I$1,'IncStmt Data'!G$107:G$2999),0)),"")</f>
        <v/>
      </c>
      <c r="J11" s="15" t="str">
        <f>IFERROR(INDEX('IncStmt Data'!H$122:H$2999,MATCH(A11,IF('IncStmt Data'!A$122=J$1,'IncStmt Data'!G$122:G$2999),0)),"")</f>
        <v/>
      </c>
      <c r="K11" s="15" t="str">
        <f>IFERROR(INDEX('IncStmt Data'!H$137:H$2999,MATCH(A11,IF('IncStmt Data'!A$137=K$1,'IncStmt Data'!G$137:G$2999),0)),"")</f>
        <v/>
      </c>
      <c r="L11" s="15" t="str">
        <f>IFERROR(INDEX('IncStmt Data'!H$152:H$2999,MATCH(A11,IF('IncStmt Data'!A$152=L$1,'IncStmt Data'!G$152:G$2999),0)),"")</f>
        <v/>
      </c>
      <c r="M11" s="15" t="str">
        <f>IFERROR(INDEX('IncStmt Data'!H$167:H$2999,MATCH(A11,IF('IncStmt Data'!A$167=M$1,'IncStmt Data'!G$167:G$2999),0)),"")</f>
        <v/>
      </c>
      <c r="N11" s="15" t="str">
        <f>IFERROR(INDEX('IncStmt Data'!H$182:H$2999,MATCH(A11,IF('IncStmt Data'!A$182=N$1,'IncStmt Data'!G$182:G$2999),0)),"")</f>
        <v/>
      </c>
      <c r="O11" s="15" t="str">
        <f>IFERROR(INDEX('IncStmt Data'!H$197:H$2999,MATCH(A11,IF('IncStmt Data'!A$197=O$1,'IncStmt Data'!G$197:G$2999),0)),"")</f>
        <v/>
      </c>
      <c r="P11" s="15" t="str">
        <f>IFERROR(INDEX('IncStmt Data'!H$212:H$2999,MATCH(A11,IF('IncStmt Data'!A$212=P$1,'IncStmt Data'!G$212:G$2999),0)),"")</f>
        <v/>
      </c>
      <c r="Q11" s="15" t="str">
        <f>IFERROR(INDEX('IncStmt Data'!H$227:H$2999,MATCH(A11,IF('IncStmt Data'!A$227=Q$1,'IncStmt Data'!G$227:G$2999),0)),"")</f>
        <v/>
      </c>
      <c r="R11" s="15" t="str">
        <f>IFERROR(INDEX('IncStmt Data'!H$242:H$2999,MATCH(A11,IF('IncStmt Data'!A$242=R$1,'IncStmt Data'!G$242:G$2999),0)),"")</f>
        <v/>
      </c>
      <c r="S11" s="15" t="str">
        <f>IFERROR(INDEX('IncStmt Data'!H$257:H$2999,MATCH(A11,IF('IncStmt Data'!A$257=S$1,'IncStmt Data'!G$257:G$2999),0)),"")</f>
        <v/>
      </c>
      <c r="T11" s="15" t="str">
        <f>IFERROR(INDEX('IncStmt Data'!H$272:H$2999,MATCH(A11,IF('IncStmt Data'!A$272=T$1,'IncStmt Data'!G$272:G$2999),0)),"")</f>
        <v/>
      </c>
      <c r="U11" s="15" t="str">
        <f>IFERROR(INDEX('IncStmt Data'!H$287:H$2999,MATCH(A11,IF('IncStmt Data'!A$287=U$1,'IncStmt Data'!G$287:G$2999),0)),"")</f>
        <v/>
      </c>
      <c r="V11" s="15" t="str">
        <f>IFERROR(INDEX('IncStmt Data'!H$302:H$2999,MATCH(A11,IF('IncStmt Data'!A$302=V$1,'IncStmt Data'!G$302:G$2999),0)),"")</f>
        <v/>
      </c>
      <c r="W11" s="15" t="str">
        <f>IFERROR(INDEX('IncStmt Data'!H$317:H$2999,MATCH(A11,IF('IncStmt Data'!A$317=W$1,'IncStmt Data'!G$317:G$2999),0)),"")</f>
        <v/>
      </c>
      <c r="X11" s="15" t="str">
        <f>IFERROR(INDEX('IncStmt Data'!H$332:H$2999,MATCH(A11,IF('IncStmt Data'!A$332=X$1,'IncStmt Data'!G$332:G$2999),0)),"")</f>
        <v/>
      </c>
      <c r="Y11" s="15" t="str">
        <f>IFERROR(INDEX('IncStmt Data'!H$347:H$2999,MATCH(A11,IF('IncStmt Data'!A$347=Y$1,'IncStmt Data'!G$347:G$2999),0)),"")</f>
        <v/>
      </c>
      <c r="Z11" s="15" t="str">
        <f>IFERROR(INDEX('IncStmt Data'!H$362:H$2999,MATCH(A11,IF('IncStmt Data'!A$362=Z$1,'IncStmt Data'!G$362:G$2999),0)),"")</f>
        <v/>
      </c>
      <c r="AA11" s="15" t="str">
        <f>IFERROR(INDEX('IncStmt Data'!H$377:H$2999,MATCH(A11,IF('IncStmt Data'!A$377=AA$1,'IncStmt Data'!G$377:G$2999),0)),"")</f>
        <v/>
      </c>
      <c r="AB11" s="15" t="str">
        <f>IFERROR(INDEX('IncStmt Data'!H$392:H$2999,MATCH(A11,IF('IncStmt Data'!A$392=AB$1,'IncStmt Data'!G$392:G$2999),0)),"")</f>
        <v/>
      </c>
      <c r="AC11" s="15" t="str">
        <f>IFERROR(INDEX('IncStmt Data'!H$407:H$2999,MATCH(A11,IF('IncStmt Data'!A$407=AC$1,'IncStmt Data'!G$407:G$2999),0)),"")</f>
        <v/>
      </c>
      <c r="AD11" s="15" t="str">
        <f>IFERROR(INDEX('IncStmt Data'!H$422:H$2999,MATCH(A11,IF('IncStmt Data'!A$422=AD$1,'IncStmt Data'!G$422:G$2999),0)),"")</f>
        <v/>
      </c>
      <c r="AE11" s="15" t="str">
        <f>IFERROR(INDEX('IncStmt Data'!H$437:H$2999,MATCH(A11,IF('IncStmt Data'!A$437=AE$1,'IncStmt Data'!G$437:G$2999),0)),"")</f>
        <v/>
      </c>
      <c r="AF11" s="15" t="str">
        <f>IFERROR(INDEX('IncStmt Data'!H$452:H$2999,MATCH(A11,IF('IncStmt Data'!A$452=AF$1,'IncStmt Data'!G$452:G$2999),0)),"")</f>
        <v/>
      </c>
      <c r="AG11" s="15" t="str">
        <f>IFERROR(INDEX('IncStmt Data'!H$467:H$2999,MATCH(A11,IF('IncStmt Data'!A$467=AG$1,'IncStmt Data'!G$467:G$2999),0)),"")</f>
        <v/>
      </c>
      <c r="AH11" s="15" t="str">
        <f>IFERROR(INDEX('IncStmt Data'!H$482:H$2999,MATCH(A11,IF('IncStmt Data'!A$482=AH$1,'IncStmt Data'!G$482:G$2999),0)),"")</f>
        <v/>
      </c>
      <c r="AI11" s="15" t="str">
        <f>IFERROR(INDEX('IncStmt Data'!H$497:H$2999,MATCH(A11,IF('IncStmt Data'!A$497=AI$1,'IncStmt Data'!G$497:G$2999),0)),"")</f>
        <v/>
      </c>
      <c r="AJ11" s="15" t="str">
        <f>IFERROR(INDEX('IncStmt Data'!H$512:H$2999,MATCH(A11,IF('IncStmt Data'!A$512=AJ$1,'IncStmt Data'!G$512:G$2999),0)),"")</f>
        <v/>
      </c>
      <c r="AK11" s="15" t="str">
        <f>IFERROR(INDEX('IncStmt Data'!H$527:H$2999,MATCH(A11,IF('IncStmt Data'!A$527=AK$1,'IncStmt Data'!G$527:G$2999),0)),"")</f>
        <v/>
      </c>
      <c r="AL11" s="15" t="str">
        <f>IFERROR(INDEX('IncStmt Data'!H$542:H$2999,MATCH(A11,IF('IncStmt Data'!A$542=AL$1,'IncStmt Data'!G$542:G$2999),0)),"")</f>
        <v/>
      </c>
      <c r="AM11" s="15" t="str">
        <f>IFERROR(INDEX('IncStmt Data'!H$557:H$2999,MATCH(A11,IF('IncStmt Data'!A$557=AM$1,'IncStmt Data'!G$557:G$2999),0)),"")</f>
        <v/>
      </c>
      <c r="AN11" s="15" t="str">
        <f>IFERROR(INDEX('IncStmt Data'!H$572:H$2999,MATCH(A11,IF('IncStmt Data'!A$572=AN$1,'IncStmt Data'!G$572:G$2999),0)),"")</f>
        <v/>
      </c>
      <c r="AO11" s="15" t="str">
        <f>IFERROR(INDEX('IncStmt Data'!H$587:H$2999,MATCH(A11,IF('IncStmt Data'!A$587=AO$1,'IncStmt Data'!G$587:G$2999),0)),"")</f>
        <v/>
      </c>
      <c r="AP11" s="15" t="str">
        <f>IFERROR(INDEX('IncStmt Data'!H$602:H$2999,MATCH(A11,IF('IncStmt Data'!A$602=AP$1,'IncStmt Data'!G$602:G$2999),0)),"")</f>
        <v/>
      </c>
      <c r="AQ11" s="15" t="str">
        <f>IFERROR(INDEX('IncStmt Data'!H$617:H$2999,MATCH(A11,IF('IncStmt Data'!A$617=AQ$1,'IncStmt Data'!G$617:G$2999),0)),"")</f>
        <v/>
      </c>
      <c r="AR11" s="15" t="str">
        <f>IFERROR(INDEX('IncStmt Data'!H$632:H$2999,MATCH(A11,IF('IncStmt Data'!A$632=AR$1,'IncStmt Data'!G$632:G$2999),0)),"")</f>
        <v/>
      </c>
      <c r="AS11" s="15" t="str">
        <f>IFERROR(INDEX('IncStmt Data'!H$647:H$2999,MATCH(A11,IF('IncStmt Data'!A$647=AS$1,'IncStmt Data'!G$647:G$2999),0)),"")</f>
        <v/>
      </c>
    </row>
    <row r="12" spans="1:104" x14ac:dyDescent="0.25">
      <c r="A12" s="1" t="s">
        <v>48</v>
      </c>
      <c r="B12" s="9" t="str">
        <f>IFERROR(INDEX('IncStmt Data'!H$2:H$2999,MATCH(A12,IF('IncStmt Data'!A$2=B$1,'IncStmt Data'!G$2:G$2999),0)),"")</f>
        <v/>
      </c>
      <c r="C12" s="9" t="str">
        <f>IFERROR(INDEX('IncStmt Data'!H$17:H$2999,MATCH(A12,IF('IncStmt Data'!A$17=C$1,'IncStmt Data'!G$17:G$2999),0)),"")</f>
        <v/>
      </c>
      <c r="D12" s="15" t="str">
        <f>IFERROR(INDEX('IncStmt Data'!H$32:H$2999,MATCH(A12,IF('IncStmt Data'!A$32=D$1,'IncStmt Data'!G$32:G$2999),0)),"")</f>
        <v/>
      </c>
      <c r="E12" s="15" t="str">
        <f>IFERROR(INDEX('IncStmt Data'!H$47:H$2999,MATCH(A12,IF('IncStmt Data'!A$47=E$1,'IncStmt Data'!G$47:G$2999),0)),"")</f>
        <v/>
      </c>
      <c r="F12" s="15" t="str">
        <f>IFERROR(INDEX('IncStmt Data'!H$62:H$2999,MATCH(A12,IF('IncStmt Data'!A$62=F$1,'IncStmt Data'!G$62:G$2999),0)),"")</f>
        <v/>
      </c>
      <c r="G12" s="15" t="str">
        <f>IFERROR(INDEX('IncStmt Data'!H$77:H$2999,MATCH(A12,IF('IncStmt Data'!A$77=G$1,'IncStmt Data'!G$77:G$2999),0)),"")</f>
        <v/>
      </c>
      <c r="H12" s="15" t="str">
        <f>IFERROR(INDEX('IncStmt Data'!H$92:H$2999,MATCH(A12,IF('IncStmt Data'!A$92=H$1,'IncStmt Data'!G$92:G$2999),0)),"")</f>
        <v/>
      </c>
      <c r="I12" s="16" t="str">
        <f>IFERROR(INDEX('IncStmt Data'!H$107:H$2999,MATCH(A12,IF('IncStmt Data'!A$107=I$1,'IncStmt Data'!G$107:G$2999),0)),"")</f>
        <v/>
      </c>
      <c r="J12" s="15" t="str">
        <f>IFERROR(INDEX('IncStmt Data'!H$122:H$2999,MATCH(A12,IF('IncStmt Data'!A$122=J$1,'IncStmt Data'!G$122:G$2999),0)),"")</f>
        <v/>
      </c>
      <c r="K12" s="15" t="str">
        <f>IFERROR(INDEX('IncStmt Data'!H$137:H$2999,MATCH(A12,IF('IncStmt Data'!A$137=K$1,'IncStmt Data'!G$137:G$2999),0)),"")</f>
        <v/>
      </c>
      <c r="L12" s="15" t="str">
        <f>IFERROR(INDEX('IncStmt Data'!H$152:H$2999,MATCH(A12,IF('IncStmt Data'!A$152=L$1,'IncStmt Data'!G$152:G$2999),0)),"")</f>
        <v/>
      </c>
      <c r="M12" s="15" t="str">
        <f>IFERROR(INDEX('IncStmt Data'!H$167:H$2999,MATCH(A12,IF('IncStmt Data'!A$167=M$1,'IncStmt Data'!G$167:G$2999),0)),"")</f>
        <v/>
      </c>
      <c r="N12" s="15" t="str">
        <f>IFERROR(INDEX('IncStmt Data'!H$182:H$2999,MATCH(A12,IF('IncStmt Data'!A$182=N$1,'IncStmt Data'!G$182:G$2999),0)),"")</f>
        <v/>
      </c>
      <c r="O12" s="15" t="str">
        <f>IFERROR(INDEX('IncStmt Data'!H$197:H$2999,MATCH(A12,IF('IncStmt Data'!A$197=O$1,'IncStmt Data'!G$197:G$2999),0)),"")</f>
        <v/>
      </c>
      <c r="P12" s="15" t="str">
        <f>IFERROR(INDEX('IncStmt Data'!H$212:H$2999,MATCH(A12,IF('IncStmt Data'!A$212=P$1,'IncStmt Data'!G$212:G$2999),0)),"")</f>
        <v/>
      </c>
      <c r="Q12" s="15" t="str">
        <f>IFERROR(INDEX('IncStmt Data'!H$227:H$2999,MATCH(A12,IF('IncStmt Data'!A$227=Q$1,'IncStmt Data'!G$227:G$2999),0)),"")</f>
        <v/>
      </c>
      <c r="R12" s="15" t="str">
        <f>IFERROR(INDEX('IncStmt Data'!H$242:H$2999,MATCH(A12,IF('IncStmt Data'!A$242=R$1,'IncStmt Data'!G$242:G$2999),0)),"")</f>
        <v/>
      </c>
      <c r="S12" s="15" t="str">
        <f>IFERROR(INDEX('IncStmt Data'!H$257:H$2999,MATCH(A12,IF('IncStmt Data'!A$257=S$1,'IncStmt Data'!G$257:G$2999),0)),"")</f>
        <v/>
      </c>
      <c r="T12" s="15" t="str">
        <f>IFERROR(INDEX('IncStmt Data'!H$272:H$2999,MATCH(A12,IF('IncStmt Data'!A$272=T$1,'IncStmt Data'!G$272:G$2999),0)),"")</f>
        <v/>
      </c>
      <c r="U12" s="15" t="str">
        <f>IFERROR(INDEX('IncStmt Data'!H$287:H$2999,MATCH(A12,IF('IncStmt Data'!A$287=U$1,'IncStmt Data'!G$287:G$2999),0)),"")</f>
        <v/>
      </c>
      <c r="V12" s="15" t="str">
        <f>IFERROR(INDEX('IncStmt Data'!H$302:H$2999,MATCH(A12,IF('IncStmt Data'!A$302=V$1,'IncStmt Data'!G$302:G$2999),0)),"")</f>
        <v/>
      </c>
      <c r="W12" s="15" t="str">
        <f>IFERROR(INDEX('IncStmt Data'!H$317:H$2999,MATCH(A12,IF('IncStmt Data'!A$317=W$1,'IncStmt Data'!G$317:G$2999),0)),"")</f>
        <v/>
      </c>
      <c r="X12" s="15" t="str">
        <f>IFERROR(INDEX('IncStmt Data'!H$332:H$2999,MATCH(A12,IF('IncStmt Data'!A$332=X$1,'IncStmt Data'!G$332:G$2999),0)),"")</f>
        <v/>
      </c>
      <c r="Y12" s="15" t="str">
        <f>IFERROR(INDEX('IncStmt Data'!H$347:H$2999,MATCH(A12,IF('IncStmt Data'!A$347=Y$1,'IncStmt Data'!G$347:G$2999),0)),"")</f>
        <v/>
      </c>
      <c r="Z12" s="15" t="str">
        <f>IFERROR(INDEX('IncStmt Data'!H$362:H$2999,MATCH(A12,IF('IncStmt Data'!A$362=Z$1,'IncStmt Data'!G$362:G$2999),0)),"")</f>
        <v/>
      </c>
      <c r="AA12" s="15" t="str">
        <f>IFERROR(INDEX('IncStmt Data'!H$377:H$2999,MATCH(A12,IF('IncStmt Data'!A$377=AA$1,'IncStmt Data'!G$377:G$2999),0)),"")</f>
        <v/>
      </c>
      <c r="AB12" s="15" t="str">
        <f>IFERROR(INDEX('IncStmt Data'!H$392:H$2999,MATCH(A12,IF('IncStmt Data'!A$392=AB$1,'IncStmt Data'!G$392:G$2999),0)),"")</f>
        <v/>
      </c>
      <c r="AC12" s="15" t="str">
        <f>IFERROR(INDEX('IncStmt Data'!H$407:H$2999,MATCH(A12,IF('IncStmt Data'!A$407=AC$1,'IncStmt Data'!G$407:G$2999),0)),"")</f>
        <v/>
      </c>
      <c r="AD12" s="15" t="str">
        <f>IFERROR(INDEX('IncStmt Data'!H$422:H$2999,MATCH(A12,IF('IncStmt Data'!A$422=AD$1,'IncStmt Data'!G$422:G$2999),0)),"")</f>
        <v/>
      </c>
      <c r="AE12" s="15" t="str">
        <f>IFERROR(INDEX('IncStmt Data'!H$437:H$2999,MATCH(A12,IF('IncStmt Data'!A$437=AE$1,'IncStmt Data'!G$437:G$2999),0)),"")</f>
        <v/>
      </c>
      <c r="AF12" s="15" t="str">
        <f>IFERROR(INDEX('IncStmt Data'!H$452:H$2999,MATCH(A12,IF('IncStmt Data'!A$452=AF$1,'IncStmt Data'!G$452:G$2999),0)),"")</f>
        <v/>
      </c>
      <c r="AG12" s="15" t="str">
        <f>IFERROR(INDEX('IncStmt Data'!H$467:H$2999,MATCH(A12,IF('IncStmt Data'!A$467=AG$1,'IncStmt Data'!G$467:G$2999),0)),"")</f>
        <v/>
      </c>
      <c r="AH12" s="15" t="str">
        <f>IFERROR(INDEX('IncStmt Data'!H$482:H$2999,MATCH(A12,IF('IncStmt Data'!A$482=AH$1,'IncStmt Data'!G$482:G$2999),0)),"")</f>
        <v/>
      </c>
      <c r="AI12" s="15" t="str">
        <f>IFERROR(INDEX('IncStmt Data'!H$497:H$2999,MATCH(A12,IF('IncStmt Data'!A$497=AI$1,'IncStmt Data'!G$497:G$2999),0)),"")</f>
        <v/>
      </c>
      <c r="AJ12" s="15" t="str">
        <f>IFERROR(INDEX('IncStmt Data'!H$512:H$2999,MATCH(A12,IF('IncStmt Data'!A$512=AJ$1,'IncStmt Data'!G$512:G$2999),0)),"")</f>
        <v/>
      </c>
      <c r="AK12" s="15" t="str">
        <f>IFERROR(INDEX('IncStmt Data'!H$527:H$2999,MATCH(A12,IF('IncStmt Data'!A$527=AK$1,'IncStmt Data'!G$527:G$2999),0)),"")</f>
        <v/>
      </c>
      <c r="AL12" s="15" t="str">
        <f>IFERROR(INDEX('IncStmt Data'!H$542:H$2999,MATCH(A12,IF('IncStmt Data'!A$542=AL$1,'IncStmt Data'!G$542:G$2999),0)),"")</f>
        <v/>
      </c>
      <c r="AM12" s="15" t="str">
        <f>IFERROR(INDEX('IncStmt Data'!H$557:H$2999,MATCH(A12,IF('IncStmt Data'!A$557=AM$1,'IncStmt Data'!G$557:G$2999),0)),"")</f>
        <v/>
      </c>
      <c r="AN12" s="15" t="str">
        <f>IFERROR(INDEX('IncStmt Data'!H$572:H$2999,MATCH(A12,IF('IncStmt Data'!A$572=AN$1,'IncStmt Data'!G$572:G$2999),0)),"")</f>
        <v/>
      </c>
      <c r="AO12" s="15" t="str">
        <f>IFERROR(INDEX('IncStmt Data'!H$587:H$2999,MATCH(A12,IF('IncStmt Data'!A$587=AO$1,'IncStmt Data'!G$587:G$2999),0)),"")</f>
        <v/>
      </c>
      <c r="AP12" s="15" t="str">
        <f>IFERROR(INDEX('IncStmt Data'!H$602:H$2999,MATCH(A12,IF('IncStmt Data'!A$602=AP$1,'IncStmt Data'!G$602:G$2999),0)),"")</f>
        <v/>
      </c>
      <c r="AQ12" s="15" t="str">
        <f>IFERROR(INDEX('IncStmt Data'!H$617:H$2999,MATCH(A12,IF('IncStmt Data'!A$617=AQ$1,'IncStmt Data'!G$617:G$2999),0)),"")</f>
        <v/>
      </c>
      <c r="AR12" s="15" t="str">
        <f>IFERROR(INDEX('IncStmt Data'!H$632:H$2999,MATCH(A12,IF('IncStmt Data'!A$632=AR$1,'IncStmt Data'!G$632:G$2999),0)),"")</f>
        <v/>
      </c>
      <c r="AS12" s="15" t="str">
        <f>IFERROR(INDEX('IncStmt Data'!H$647:H$2999,MATCH(A12,IF('IncStmt Data'!A$647=AS$1,'IncStmt Data'!G$647:G$2999),0)),"")</f>
        <v/>
      </c>
    </row>
    <row r="13" spans="1:104" x14ac:dyDescent="0.25">
      <c r="A13" s="1" t="s">
        <v>49</v>
      </c>
      <c r="B13" s="9" t="str">
        <f>IFERROR(INDEX('IncStmt Data'!H$2:H$2999,MATCH(A13,IF('IncStmt Data'!A$2=B$1,'IncStmt Data'!G$2:G$2999),0)),"")</f>
        <v/>
      </c>
      <c r="C13" s="9" t="str">
        <f>IFERROR(INDEX('IncStmt Data'!H$17:H$2999,MATCH(A13,IF('IncStmt Data'!A$17=C$1,'IncStmt Data'!G$17:G$2999),0)),"")</f>
        <v/>
      </c>
      <c r="D13" s="15" t="str">
        <f>IFERROR(INDEX('IncStmt Data'!H$32:H$2999,MATCH(A13,IF('IncStmt Data'!A$32=D$1,'IncStmt Data'!G$32:G$2999),0)),"")</f>
        <v/>
      </c>
      <c r="E13" s="15" t="str">
        <f>IFERROR(INDEX('IncStmt Data'!H$47:H$2999,MATCH(A13,IF('IncStmt Data'!A$47=E$1,'IncStmt Data'!G$47:G$2999),0)),"")</f>
        <v/>
      </c>
      <c r="F13" s="15" t="str">
        <f>IFERROR(INDEX('IncStmt Data'!H$62:H$2999,MATCH(A13,IF('IncStmt Data'!A$62=F$1,'IncStmt Data'!G$62:G$2999),0)),"")</f>
        <v/>
      </c>
      <c r="G13" s="15" t="str">
        <f>IFERROR(INDEX('IncStmt Data'!H$77:H$2999,MATCH(A13,IF('IncStmt Data'!A$77=G$1,'IncStmt Data'!G$77:G$2999),0)),"")</f>
        <v/>
      </c>
      <c r="H13" s="15" t="str">
        <f>IFERROR(INDEX('IncStmt Data'!H$92:H$2999,MATCH(A13,IF('IncStmt Data'!A$92=H$1,'IncStmt Data'!G$92:G$2999),0)),"")</f>
        <v/>
      </c>
      <c r="I13" s="16" t="str">
        <f>IFERROR(INDEX('IncStmt Data'!H$107:H$2999,MATCH(A13,IF('IncStmt Data'!A$107=I$1,'IncStmt Data'!G$107:G$2999),0)),"")</f>
        <v/>
      </c>
      <c r="J13" s="15" t="str">
        <f>IFERROR(INDEX('IncStmt Data'!H$122:H$2999,MATCH(A13,IF('IncStmt Data'!A$122=J$1,'IncStmt Data'!G$122:G$2999),0)),"")</f>
        <v/>
      </c>
      <c r="K13" s="15" t="str">
        <f>IFERROR(INDEX('IncStmt Data'!H$137:H$2999,MATCH(A13,IF('IncStmt Data'!A$137=K$1,'IncStmt Data'!G$137:G$2999),0)),"")</f>
        <v/>
      </c>
      <c r="L13" s="15" t="str">
        <f>IFERROR(INDEX('IncStmt Data'!H$152:H$2999,MATCH(A13,IF('IncStmt Data'!A$152=L$1,'IncStmt Data'!G$152:G$2999),0)),"")</f>
        <v/>
      </c>
      <c r="M13" s="15" t="str">
        <f>IFERROR(INDEX('IncStmt Data'!H$167:H$2999,MATCH(A13,IF('IncStmt Data'!A$167=M$1,'IncStmt Data'!G$167:G$2999),0)),"")</f>
        <v/>
      </c>
      <c r="N13" s="15" t="str">
        <f>IFERROR(INDEX('IncStmt Data'!H$182:H$2999,MATCH(A13,IF('IncStmt Data'!A$182=N$1,'IncStmt Data'!G$182:G$2999),0)),"")</f>
        <v/>
      </c>
      <c r="O13" s="15" t="str">
        <f>IFERROR(INDEX('IncStmt Data'!H$197:H$2999,MATCH(A13,IF('IncStmt Data'!A$197=O$1,'IncStmt Data'!G$197:G$2999),0)),"")</f>
        <v/>
      </c>
      <c r="P13" s="15" t="str">
        <f>IFERROR(INDEX('IncStmt Data'!H$212:H$2999,MATCH(A13,IF('IncStmt Data'!A$212=P$1,'IncStmt Data'!G$212:G$2999),0)),"")</f>
        <v/>
      </c>
      <c r="Q13" s="15" t="str">
        <f>IFERROR(INDEX('IncStmt Data'!H$227:H$2999,MATCH(A13,IF('IncStmt Data'!A$227=Q$1,'IncStmt Data'!G$227:G$2999),0)),"")</f>
        <v/>
      </c>
      <c r="R13" s="15" t="str">
        <f>IFERROR(INDEX('IncStmt Data'!H$242:H$2999,MATCH(A13,IF('IncStmt Data'!A$242=R$1,'IncStmt Data'!G$242:G$2999),0)),"")</f>
        <v/>
      </c>
      <c r="S13" s="15" t="str">
        <f>IFERROR(INDEX('IncStmt Data'!H$257:H$2999,MATCH(A13,IF('IncStmt Data'!A$257=S$1,'IncStmt Data'!G$257:G$2999),0)),"")</f>
        <v/>
      </c>
      <c r="T13" s="15" t="str">
        <f>IFERROR(INDEX('IncStmt Data'!H$272:H$2999,MATCH(A13,IF('IncStmt Data'!A$272=T$1,'IncStmt Data'!G$272:G$2999),0)),"")</f>
        <v/>
      </c>
      <c r="U13" s="15" t="str">
        <f>IFERROR(INDEX('IncStmt Data'!H$287:H$2999,MATCH(A13,IF('IncStmt Data'!A$287=U$1,'IncStmt Data'!G$287:G$2999),0)),"")</f>
        <v/>
      </c>
      <c r="V13" s="15" t="str">
        <f>IFERROR(INDEX('IncStmt Data'!H$302:H$2999,MATCH(A13,IF('IncStmt Data'!A$302=V$1,'IncStmt Data'!G$302:G$2999),0)),"")</f>
        <v/>
      </c>
      <c r="W13" s="15" t="str">
        <f>IFERROR(INDEX('IncStmt Data'!H$317:H$2999,MATCH(A13,IF('IncStmt Data'!A$317=W$1,'IncStmt Data'!G$317:G$2999),0)),"")</f>
        <v/>
      </c>
      <c r="X13" s="15" t="str">
        <f>IFERROR(INDEX('IncStmt Data'!H$332:H$2999,MATCH(A13,IF('IncStmt Data'!A$332=X$1,'IncStmt Data'!G$332:G$2999),0)),"")</f>
        <v/>
      </c>
      <c r="Y13" s="15" t="str">
        <f>IFERROR(INDEX('IncStmt Data'!H$347:H$2999,MATCH(A13,IF('IncStmt Data'!A$347=Y$1,'IncStmt Data'!G$347:G$2999),0)),"")</f>
        <v/>
      </c>
      <c r="Z13" s="15" t="str">
        <f>IFERROR(INDEX('IncStmt Data'!H$362:H$2999,MATCH(A13,IF('IncStmt Data'!A$362=Z$1,'IncStmt Data'!G$362:G$2999),0)),"")</f>
        <v/>
      </c>
      <c r="AA13" s="15" t="str">
        <f>IFERROR(INDEX('IncStmt Data'!H$377:H$2999,MATCH(A13,IF('IncStmt Data'!A$377=AA$1,'IncStmt Data'!G$377:G$2999),0)),"")</f>
        <v/>
      </c>
      <c r="AB13" s="15" t="str">
        <f>IFERROR(INDEX('IncStmt Data'!H$392:H$2999,MATCH(A13,IF('IncStmt Data'!A$392=AB$1,'IncStmt Data'!G$392:G$2999),0)),"")</f>
        <v/>
      </c>
      <c r="AC13" s="15" t="str">
        <f>IFERROR(INDEX('IncStmt Data'!H$407:H$2999,MATCH(A13,IF('IncStmt Data'!A$407=AC$1,'IncStmt Data'!G$407:G$2999),0)),"")</f>
        <v/>
      </c>
      <c r="AD13" s="15" t="str">
        <f>IFERROR(INDEX('IncStmt Data'!H$422:H$2999,MATCH(A13,IF('IncStmt Data'!A$422=AD$1,'IncStmt Data'!G$422:G$2999),0)),"")</f>
        <v/>
      </c>
      <c r="AE13" s="15" t="str">
        <f>IFERROR(INDEX('IncStmt Data'!H$437:H$2999,MATCH(A13,IF('IncStmt Data'!A$437=AE$1,'IncStmt Data'!G$437:G$2999),0)),"")</f>
        <v/>
      </c>
      <c r="AF13" s="15" t="str">
        <f>IFERROR(INDEX('IncStmt Data'!H$452:H$2999,MATCH(A13,IF('IncStmt Data'!A$452=AF$1,'IncStmt Data'!G$452:G$2999),0)),"")</f>
        <v/>
      </c>
      <c r="AG13" s="15" t="str">
        <f>IFERROR(INDEX('IncStmt Data'!H$467:H$2999,MATCH(A13,IF('IncStmt Data'!A$467=AG$1,'IncStmt Data'!G$467:G$2999),0)),"")</f>
        <v/>
      </c>
      <c r="AH13" s="15" t="str">
        <f>IFERROR(INDEX('IncStmt Data'!H$482:H$2999,MATCH(A13,IF('IncStmt Data'!A$482=AH$1,'IncStmt Data'!G$482:G$2999),0)),"")</f>
        <v/>
      </c>
      <c r="AI13" s="15" t="str">
        <f>IFERROR(INDEX('IncStmt Data'!H$497:H$2999,MATCH(A13,IF('IncStmt Data'!A$497=AI$1,'IncStmt Data'!G$497:G$2999),0)),"")</f>
        <v/>
      </c>
      <c r="AJ13" s="15" t="str">
        <f>IFERROR(INDEX('IncStmt Data'!H$512:H$2999,MATCH(A13,IF('IncStmt Data'!A$512=AJ$1,'IncStmt Data'!G$512:G$2999),0)),"")</f>
        <v/>
      </c>
      <c r="AK13" s="15" t="str">
        <f>IFERROR(INDEX('IncStmt Data'!H$527:H$2999,MATCH(A13,IF('IncStmt Data'!A$527=AK$1,'IncStmt Data'!G$527:G$2999),0)),"")</f>
        <v/>
      </c>
      <c r="AL13" s="15" t="str">
        <f>IFERROR(INDEX('IncStmt Data'!H$542:H$2999,MATCH(A13,IF('IncStmt Data'!A$542=AL$1,'IncStmt Data'!G$542:G$2999),0)),"")</f>
        <v/>
      </c>
      <c r="AM13" s="15" t="str">
        <f>IFERROR(INDEX('IncStmt Data'!H$557:H$2999,MATCH(A13,IF('IncStmt Data'!A$557=AM$1,'IncStmt Data'!G$557:G$2999),0)),"")</f>
        <v/>
      </c>
      <c r="AN13" s="15" t="str">
        <f>IFERROR(INDEX('IncStmt Data'!H$572:H$2999,MATCH(A13,IF('IncStmt Data'!A$572=AN$1,'IncStmt Data'!G$572:G$2999),0)),"")</f>
        <v/>
      </c>
      <c r="AO13" s="15" t="str">
        <f>IFERROR(INDEX('IncStmt Data'!H$587:H$2999,MATCH(A13,IF('IncStmt Data'!A$587=AO$1,'IncStmt Data'!G$587:G$2999),0)),"")</f>
        <v/>
      </c>
      <c r="AP13" s="15" t="str">
        <f>IFERROR(INDEX('IncStmt Data'!H$602:H$2999,MATCH(A13,IF('IncStmt Data'!A$602=AP$1,'IncStmt Data'!G$602:G$2999),0)),"")</f>
        <v/>
      </c>
      <c r="AQ13" s="15" t="str">
        <f>IFERROR(INDEX('IncStmt Data'!H$617:H$2999,MATCH(A13,IF('IncStmt Data'!A$617=AQ$1,'IncStmt Data'!G$617:G$2999),0)),"")</f>
        <v/>
      </c>
      <c r="AR13" s="15" t="str">
        <f>IFERROR(INDEX('IncStmt Data'!H$632:H$2999,MATCH(A13,IF('IncStmt Data'!A$632=AR$1,'IncStmt Data'!G$632:G$2999),0)),"")</f>
        <v/>
      </c>
      <c r="AS13" s="15" t="str">
        <f>IFERROR(INDEX('IncStmt Data'!H$647:H$2999,MATCH(A13,IF('IncStmt Data'!A$647=AS$1,'IncStmt Data'!G$647:G$2999),0)),"")</f>
        <v/>
      </c>
    </row>
    <row r="14" spans="1:104" x14ac:dyDescent="0.25">
      <c r="A14" s="1" t="s">
        <v>50</v>
      </c>
      <c r="B14" s="9" t="str">
        <f>IFERROR(INDEX('IncStmt Data'!H$2:H$2999,MATCH(A14,IF('IncStmt Data'!A$2=B$1,'IncStmt Data'!G$2:G$2999),0)),"")</f>
        <v/>
      </c>
      <c r="C14" s="9" t="str">
        <f>IFERROR(INDEX('IncStmt Data'!H$17:H$2999,MATCH(A14,IF('IncStmt Data'!A$17=C$1,'IncStmt Data'!G$17:G$2999),0)),"")</f>
        <v/>
      </c>
      <c r="D14" s="15" t="str">
        <f>IFERROR(INDEX('IncStmt Data'!H$32:H$2999,MATCH(A14,IF('IncStmt Data'!A$32=D$1,'IncStmt Data'!G$32:G$2999),0)),"")</f>
        <v/>
      </c>
      <c r="E14" s="15" t="str">
        <f>IFERROR(INDEX('IncStmt Data'!H$47:H$2999,MATCH(A14,IF('IncStmt Data'!A$47=E$1,'IncStmt Data'!G$47:G$2999),0)),"")</f>
        <v/>
      </c>
      <c r="F14" s="15" t="str">
        <f>IFERROR(INDEX('IncStmt Data'!H$62:H$2999,MATCH(A14,IF('IncStmt Data'!A$62=F$1,'IncStmt Data'!G$62:G$2999),0)),"")</f>
        <v/>
      </c>
      <c r="G14" s="15" t="str">
        <f>IFERROR(INDEX('IncStmt Data'!H$77:H$2999,MATCH(A14,IF('IncStmt Data'!A$77=G$1,'IncStmt Data'!G$77:G$2999),0)),"")</f>
        <v/>
      </c>
      <c r="H14" s="15" t="str">
        <f>IFERROR(INDEX('IncStmt Data'!H$92:H$2999,MATCH(A14,IF('IncStmt Data'!A$92=H$1,'IncStmt Data'!G$92:G$2999),0)),"")</f>
        <v/>
      </c>
      <c r="I14" s="16" t="str">
        <f>IFERROR(INDEX('IncStmt Data'!H$107:H$2999,MATCH(A14,IF('IncStmt Data'!A$107=I$1,'IncStmt Data'!G$107:G$2999),0)),"")</f>
        <v/>
      </c>
      <c r="J14" s="15" t="str">
        <f>IFERROR(INDEX('IncStmt Data'!H$122:H$2999,MATCH(A14,IF('IncStmt Data'!A$122=J$1,'IncStmt Data'!G$122:G$2999),0)),"")</f>
        <v/>
      </c>
      <c r="K14" s="15" t="str">
        <f>IFERROR(INDEX('IncStmt Data'!H$137:H$2999,MATCH(A14,IF('IncStmt Data'!A$137=K$1,'IncStmt Data'!G$137:G$2999),0)),"")</f>
        <v/>
      </c>
      <c r="L14" s="15" t="str">
        <f>IFERROR(INDEX('IncStmt Data'!H$152:H$2999,MATCH(A14,IF('IncStmt Data'!A$152=L$1,'IncStmt Data'!G$152:G$2999),0)),"")</f>
        <v/>
      </c>
      <c r="M14" s="15" t="str">
        <f>IFERROR(INDEX('IncStmt Data'!H$167:H$2999,MATCH(A14,IF('IncStmt Data'!A$167=M$1,'IncStmt Data'!G$167:G$2999),0)),"")</f>
        <v/>
      </c>
      <c r="N14" s="15" t="str">
        <f>IFERROR(INDEX('IncStmt Data'!H$182:H$2999,MATCH(A14,IF('IncStmt Data'!A$182=N$1,'IncStmt Data'!G$182:G$2999),0)),"")</f>
        <v/>
      </c>
      <c r="O14" s="15" t="str">
        <f>IFERROR(INDEX('IncStmt Data'!H$197:H$2999,MATCH(A14,IF('IncStmt Data'!A$197=O$1,'IncStmt Data'!G$197:G$2999),0)),"")</f>
        <v/>
      </c>
      <c r="P14" s="15" t="str">
        <f>IFERROR(INDEX('IncStmt Data'!H$212:H$2999,MATCH(A14,IF('IncStmt Data'!A$212=P$1,'IncStmt Data'!G$212:G$2999),0)),"")</f>
        <v/>
      </c>
      <c r="Q14" s="15" t="str">
        <f>IFERROR(INDEX('IncStmt Data'!H$227:H$2999,MATCH(A14,IF('IncStmt Data'!A$227=Q$1,'IncStmt Data'!G$227:G$2999),0)),"")</f>
        <v/>
      </c>
      <c r="R14" s="15" t="str">
        <f>IFERROR(INDEX('IncStmt Data'!H$242:H$2999,MATCH(A14,IF('IncStmt Data'!A$242=R$1,'IncStmt Data'!G$242:G$2999),0)),"")</f>
        <v/>
      </c>
      <c r="S14" s="15" t="str">
        <f>IFERROR(INDEX('IncStmt Data'!H$257:H$2999,MATCH(A14,IF('IncStmt Data'!A$257=S$1,'IncStmt Data'!G$257:G$2999),0)),"")</f>
        <v/>
      </c>
      <c r="T14" s="15" t="str">
        <f>IFERROR(INDEX('IncStmt Data'!H$272:H$2999,MATCH(A14,IF('IncStmt Data'!A$272=T$1,'IncStmt Data'!G$272:G$2999),0)),"")</f>
        <v/>
      </c>
      <c r="U14" s="15" t="str">
        <f>IFERROR(INDEX('IncStmt Data'!H$287:H$2999,MATCH(A14,IF('IncStmt Data'!A$287=U$1,'IncStmt Data'!G$287:G$2999),0)),"")</f>
        <v/>
      </c>
      <c r="V14" s="15" t="str">
        <f>IFERROR(INDEX('IncStmt Data'!H$302:H$2999,MATCH(A14,IF('IncStmt Data'!A$302=V$1,'IncStmt Data'!G$302:G$2999),0)),"")</f>
        <v/>
      </c>
      <c r="W14" s="15" t="str">
        <f>IFERROR(INDEX('IncStmt Data'!H$317:H$2999,MATCH(A14,IF('IncStmt Data'!A$317=W$1,'IncStmt Data'!G$317:G$2999),0)),"")</f>
        <v/>
      </c>
      <c r="X14" s="15" t="str">
        <f>IFERROR(INDEX('IncStmt Data'!H$332:H$2999,MATCH(A14,IF('IncStmt Data'!A$332=X$1,'IncStmt Data'!G$332:G$2999),0)),"")</f>
        <v/>
      </c>
      <c r="Y14" s="15" t="str">
        <f>IFERROR(INDEX('IncStmt Data'!H$347:H$2999,MATCH(A14,IF('IncStmt Data'!A$347=Y$1,'IncStmt Data'!G$347:G$2999),0)),"")</f>
        <v/>
      </c>
      <c r="Z14" s="15" t="str">
        <f>IFERROR(INDEX('IncStmt Data'!H$362:H$2999,MATCH(A14,IF('IncStmt Data'!A$362=Z$1,'IncStmt Data'!G$362:G$2999),0)),"")</f>
        <v/>
      </c>
      <c r="AA14" s="15" t="str">
        <f>IFERROR(INDEX('IncStmt Data'!H$377:H$2999,MATCH(A14,IF('IncStmt Data'!A$377=AA$1,'IncStmt Data'!G$377:G$2999),0)),"")</f>
        <v/>
      </c>
      <c r="AB14" s="15" t="str">
        <f>IFERROR(INDEX('IncStmt Data'!H$392:H$2999,MATCH(A14,IF('IncStmt Data'!A$392=AB$1,'IncStmt Data'!G$392:G$2999),0)),"")</f>
        <v/>
      </c>
      <c r="AC14" s="15" t="str">
        <f>IFERROR(INDEX('IncStmt Data'!H$407:H$2999,MATCH(A14,IF('IncStmt Data'!A$407=AC$1,'IncStmt Data'!G$407:G$2999),0)),"")</f>
        <v/>
      </c>
      <c r="AD14" s="15" t="str">
        <f>IFERROR(INDEX('IncStmt Data'!H$422:H$2999,MATCH(A14,IF('IncStmt Data'!A$422=AD$1,'IncStmt Data'!G$422:G$2999),0)),"")</f>
        <v/>
      </c>
      <c r="AE14" s="15" t="str">
        <f>IFERROR(INDEX('IncStmt Data'!H$437:H$2999,MATCH(A14,IF('IncStmt Data'!A$437=AE$1,'IncStmt Data'!G$437:G$2999),0)),"")</f>
        <v/>
      </c>
      <c r="AF14" s="15" t="str">
        <f>IFERROR(INDEX('IncStmt Data'!H$452:H$2999,MATCH(A14,IF('IncStmt Data'!A$452=AF$1,'IncStmt Data'!G$452:G$2999),0)),"")</f>
        <v/>
      </c>
      <c r="AG14" s="15" t="str">
        <f>IFERROR(INDEX('IncStmt Data'!H$467:H$2999,MATCH(A14,IF('IncStmt Data'!A$467=AG$1,'IncStmt Data'!G$467:G$2999),0)),"")</f>
        <v/>
      </c>
      <c r="AH14" s="15" t="str">
        <f>IFERROR(INDEX('IncStmt Data'!H$482:H$2999,MATCH(A14,IF('IncStmt Data'!A$482=AH$1,'IncStmt Data'!G$482:G$2999),0)),"")</f>
        <v/>
      </c>
      <c r="AI14" s="15" t="str">
        <f>IFERROR(INDEX('IncStmt Data'!H$497:H$2999,MATCH(A14,IF('IncStmt Data'!A$497=AI$1,'IncStmt Data'!G$497:G$2999),0)),"")</f>
        <v/>
      </c>
      <c r="AJ14" s="15" t="str">
        <f>IFERROR(INDEX('IncStmt Data'!H$512:H$2999,MATCH(A14,IF('IncStmt Data'!A$512=AJ$1,'IncStmt Data'!G$512:G$2999),0)),"")</f>
        <v/>
      </c>
      <c r="AK14" s="15" t="str">
        <f>IFERROR(INDEX('IncStmt Data'!H$527:H$2999,MATCH(A14,IF('IncStmt Data'!A$527=AK$1,'IncStmt Data'!G$527:G$2999),0)),"")</f>
        <v/>
      </c>
      <c r="AL14" s="15" t="str">
        <f>IFERROR(INDEX('IncStmt Data'!H$542:H$2999,MATCH(A14,IF('IncStmt Data'!A$542=AL$1,'IncStmt Data'!G$542:G$2999),0)),"")</f>
        <v/>
      </c>
      <c r="AM14" s="15" t="str">
        <f>IFERROR(INDEX('IncStmt Data'!H$557:H$2999,MATCH(A14,IF('IncStmt Data'!A$557=AM$1,'IncStmt Data'!G$557:G$2999),0)),"")</f>
        <v/>
      </c>
      <c r="AN14" s="15" t="str">
        <f>IFERROR(INDEX('IncStmt Data'!H$572:H$2999,MATCH(A14,IF('IncStmt Data'!A$572=AN$1,'IncStmt Data'!G$572:G$2999),0)),"")</f>
        <v/>
      </c>
      <c r="AO14" s="15" t="str">
        <f>IFERROR(INDEX('IncStmt Data'!H$587:H$2999,MATCH(A14,IF('IncStmt Data'!A$587=AO$1,'IncStmt Data'!G$587:G$2999),0)),"")</f>
        <v/>
      </c>
      <c r="AP14" s="15" t="str">
        <f>IFERROR(INDEX('IncStmt Data'!H$602:H$2999,MATCH(A14,IF('IncStmt Data'!A$602=AP$1,'IncStmt Data'!G$602:G$2999),0)),"")</f>
        <v/>
      </c>
      <c r="AQ14" s="15" t="str">
        <f>IFERROR(INDEX('IncStmt Data'!H$617:H$2999,MATCH(A14,IF('IncStmt Data'!A$617=AQ$1,'IncStmt Data'!G$617:G$2999),0)),"")</f>
        <v/>
      </c>
      <c r="AR14" s="15" t="str">
        <f>IFERROR(INDEX('IncStmt Data'!H$632:H$2999,MATCH(A14,IF('IncStmt Data'!A$632=AR$1,'IncStmt Data'!G$632:G$2999),0)),"")</f>
        <v/>
      </c>
      <c r="AS14" s="15" t="str">
        <f>IFERROR(INDEX('IncStmt Data'!H$647:H$2999,MATCH(A14,IF('IncStmt Data'!A$647=AS$1,'IncStmt Data'!G$647:G$2999),0)),"")</f>
        <v/>
      </c>
    </row>
    <row r="15" spans="1:104" x14ac:dyDescent="0.25">
      <c r="A15" s="1" t="s">
        <v>51</v>
      </c>
      <c r="B15" s="9" t="str">
        <f>IFERROR(INDEX('IncStmt Data'!H$2:H$2999,MATCH(A15,IF('IncStmt Data'!A$2=B$1,'IncStmt Data'!G$2:G$2999),0)),"")</f>
        <v/>
      </c>
      <c r="C15" s="9" t="str">
        <f>IFERROR(INDEX('IncStmt Data'!H$17:H$2999,MATCH(A15,IF('IncStmt Data'!A$17=C$1,'IncStmt Data'!G$17:G$2999),0)),"")</f>
        <v/>
      </c>
      <c r="D15" s="15" t="str">
        <f>IFERROR(INDEX('IncStmt Data'!H$32:H$2999,MATCH(A15,IF('IncStmt Data'!A$32=D$1,'IncStmt Data'!G$32:G$2999),0)),"")</f>
        <v/>
      </c>
      <c r="E15" s="15" t="str">
        <f>IFERROR(INDEX('IncStmt Data'!H$47:H$2999,MATCH(A15,IF('IncStmt Data'!A$47=E$1,'IncStmt Data'!G$47:G$2999),0)),"")</f>
        <v/>
      </c>
      <c r="F15" s="15" t="str">
        <f>IFERROR(INDEX('IncStmt Data'!H$62:H$2999,MATCH(A15,IF('IncStmt Data'!A$62=F$1,'IncStmt Data'!G$62:G$2999),0)),"")</f>
        <v/>
      </c>
      <c r="G15" s="15" t="str">
        <f>IFERROR(INDEX('IncStmt Data'!H$77:H$2999,MATCH(A15,IF('IncStmt Data'!A$77=G$1,'IncStmt Data'!G$77:G$2999),0)),"")</f>
        <v/>
      </c>
      <c r="H15" s="15" t="str">
        <f>IFERROR(INDEX('IncStmt Data'!H$92:H$2999,MATCH(A15,IF('IncStmt Data'!A$92=H$1,'IncStmt Data'!G$92:G$2999),0)),"")</f>
        <v/>
      </c>
      <c r="I15" s="16" t="str">
        <f>IFERROR(INDEX('IncStmt Data'!H$107:H$2999,MATCH(A15,IF('IncStmt Data'!A$107=I$1,'IncStmt Data'!G$107:G$2999),0)),"")</f>
        <v/>
      </c>
      <c r="J15" s="15" t="str">
        <f>IFERROR(INDEX('IncStmt Data'!H$122:H$2999,MATCH(A15,IF('IncStmt Data'!A$122=J$1,'IncStmt Data'!G$122:G$2999),0)),"")</f>
        <v/>
      </c>
      <c r="K15" s="15" t="str">
        <f>IFERROR(INDEX('IncStmt Data'!H$137:H$2999,MATCH(A15,IF('IncStmt Data'!A$137=K$1,'IncStmt Data'!G$137:G$2999),0)),"")</f>
        <v/>
      </c>
      <c r="L15" s="15" t="str">
        <f>IFERROR(INDEX('IncStmt Data'!H$152:H$2999,MATCH(A15,IF('IncStmt Data'!A$152=L$1,'IncStmt Data'!G$152:G$2999),0)),"")</f>
        <v/>
      </c>
      <c r="M15" s="15" t="str">
        <f>IFERROR(INDEX('IncStmt Data'!H$167:H$2999,MATCH(A15,IF('IncStmt Data'!A$167=M$1,'IncStmt Data'!G$167:G$2999),0)),"")</f>
        <v/>
      </c>
      <c r="N15" s="15" t="str">
        <f>IFERROR(INDEX('IncStmt Data'!H$182:H$2999,MATCH(A15,IF('IncStmt Data'!A$182=N$1,'IncStmt Data'!G$182:G$2999),0)),"")</f>
        <v/>
      </c>
      <c r="O15" s="15" t="str">
        <f>IFERROR(INDEX('IncStmt Data'!H$197:H$2999,MATCH(A15,IF('IncStmt Data'!A$197=O$1,'IncStmt Data'!G$197:G$2999),0)),"")</f>
        <v/>
      </c>
      <c r="P15" s="15" t="str">
        <f>IFERROR(INDEX('IncStmt Data'!H$212:H$2999,MATCH(A15,IF('IncStmt Data'!A$212=P$1,'IncStmt Data'!G$212:G$2999),0)),"")</f>
        <v/>
      </c>
      <c r="Q15" s="15" t="str">
        <f>IFERROR(INDEX('IncStmt Data'!H$227:H$2999,MATCH(A15,IF('IncStmt Data'!A$227=Q$1,'IncStmt Data'!G$227:G$2999),0)),"")</f>
        <v/>
      </c>
      <c r="R15" s="15" t="str">
        <f>IFERROR(INDEX('IncStmt Data'!H$242:H$2999,MATCH(A15,IF('IncStmt Data'!A$242=R$1,'IncStmt Data'!G$242:G$2999),0)),"")</f>
        <v/>
      </c>
      <c r="S15" s="15" t="str">
        <f>IFERROR(INDEX('IncStmt Data'!H$257:H$2999,MATCH(A15,IF('IncStmt Data'!A$257=S$1,'IncStmt Data'!G$257:G$2999),0)),"")</f>
        <v/>
      </c>
      <c r="T15" s="15" t="str">
        <f>IFERROR(INDEX('IncStmt Data'!H$272:H$2999,MATCH(A15,IF('IncStmt Data'!A$272=T$1,'IncStmt Data'!G$272:G$2999),0)),"")</f>
        <v/>
      </c>
      <c r="U15" s="15" t="str">
        <f>IFERROR(INDEX('IncStmt Data'!H$287:H$2999,MATCH(A15,IF('IncStmt Data'!A$287=U$1,'IncStmt Data'!G$287:G$2999),0)),"")</f>
        <v/>
      </c>
      <c r="V15" s="15" t="str">
        <f>IFERROR(INDEX('IncStmt Data'!H$302:H$2999,MATCH(A15,IF('IncStmt Data'!A$302=V$1,'IncStmt Data'!G$302:G$2999),0)),"")</f>
        <v/>
      </c>
      <c r="W15" s="15" t="str">
        <f>IFERROR(INDEX('IncStmt Data'!H$317:H$2999,MATCH(A15,IF('IncStmt Data'!A$317=W$1,'IncStmt Data'!G$317:G$2999),0)),"")</f>
        <v/>
      </c>
      <c r="X15" s="15" t="str">
        <f>IFERROR(INDEX('IncStmt Data'!H$332:H$2999,MATCH(A15,IF('IncStmt Data'!A$332=X$1,'IncStmt Data'!G$332:G$2999),0)),"")</f>
        <v/>
      </c>
      <c r="Y15" s="15" t="str">
        <f>IFERROR(INDEX('IncStmt Data'!H$347:H$2999,MATCH(A15,IF('IncStmt Data'!A$347=Y$1,'IncStmt Data'!G$347:G$2999),0)),"")</f>
        <v/>
      </c>
      <c r="Z15" s="15" t="str">
        <f>IFERROR(INDEX('IncStmt Data'!H$362:H$2999,MATCH(A15,IF('IncStmt Data'!A$362=Z$1,'IncStmt Data'!G$362:G$2999),0)),"")</f>
        <v/>
      </c>
      <c r="AA15" s="15" t="str">
        <f>IFERROR(INDEX('IncStmt Data'!H$377:H$2999,MATCH(A15,IF('IncStmt Data'!A$377=AA$1,'IncStmt Data'!G$377:G$2999),0)),"")</f>
        <v/>
      </c>
      <c r="AB15" s="15" t="str">
        <f>IFERROR(INDEX('IncStmt Data'!H$392:H$2999,MATCH(A15,IF('IncStmt Data'!A$392=AB$1,'IncStmt Data'!G$392:G$2999),0)),"")</f>
        <v/>
      </c>
      <c r="AC15" s="15" t="str">
        <f>IFERROR(INDEX('IncStmt Data'!H$407:H$2999,MATCH(A15,IF('IncStmt Data'!A$407=AC$1,'IncStmt Data'!G$407:G$2999),0)),"")</f>
        <v/>
      </c>
      <c r="AD15" s="15" t="str">
        <f>IFERROR(INDEX('IncStmt Data'!H$422:H$2999,MATCH(A15,IF('IncStmt Data'!A$422=AD$1,'IncStmt Data'!G$422:G$2999),0)),"")</f>
        <v/>
      </c>
      <c r="AE15" s="15" t="str">
        <f>IFERROR(INDEX('IncStmt Data'!H$437:H$2999,MATCH(A15,IF('IncStmt Data'!A$437=AE$1,'IncStmt Data'!G$437:G$2999),0)),"")</f>
        <v/>
      </c>
      <c r="AF15" s="15" t="str">
        <f>IFERROR(INDEX('IncStmt Data'!H$452:H$2999,MATCH(A15,IF('IncStmt Data'!A$452=AF$1,'IncStmt Data'!G$452:G$2999),0)),"")</f>
        <v/>
      </c>
      <c r="AG15" s="15" t="str">
        <f>IFERROR(INDEX('IncStmt Data'!H$467:H$2999,MATCH(A15,IF('IncStmt Data'!A$467=AG$1,'IncStmt Data'!G$467:G$2999),0)),"")</f>
        <v/>
      </c>
      <c r="AH15" s="15" t="str">
        <f>IFERROR(INDEX('IncStmt Data'!H$482:H$2999,MATCH(A15,IF('IncStmt Data'!A$482=AH$1,'IncStmt Data'!G$482:G$2999),0)),"")</f>
        <v/>
      </c>
      <c r="AI15" s="15" t="str">
        <f>IFERROR(INDEX('IncStmt Data'!H$497:H$2999,MATCH(A15,IF('IncStmt Data'!A$497=AI$1,'IncStmt Data'!G$497:G$2999),0)),"")</f>
        <v/>
      </c>
      <c r="AJ15" s="15" t="str">
        <f>IFERROR(INDEX('IncStmt Data'!H$512:H$2999,MATCH(A15,IF('IncStmt Data'!A$512=AJ$1,'IncStmt Data'!G$512:G$2999),0)),"")</f>
        <v/>
      </c>
      <c r="AK15" s="15" t="str">
        <f>IFERROR(INDEX('IncStmt Data'!H$527:H$2999,MATCH(A15,IF('IncStmt Data'!A$527=AK$1,'IncStmt Data'!G$527:G$2999),0)),"")</f>
        <v/>
      </c>
      <c r="AL15" s="15" t="str">
        <f>IFERROR(INDEX('IncStmt Data'!H$542:H$2999,MATCH(A15,IF('IncStmt Data'!A$542=AL$1,'IncStmt Data'!G$542:G$2999),0)),"")</f>
        <v/>
      </c>
      <c r="AM15" s="15" t="str">
        <f>IFERROR(INDEX('IncStmt Data'!H$557:H$2999,MATCH(A15,IF('IncStmt Data'!A$557=AM$1,'IncStmt Data'!G$557:G$2999),0)),"")</f>
        <v/>
      </c>
      <c r="AN15" s="15" t="str">
        <f>IFERROR(INDEX('IncStmt Data'!H$572:H$2999,MATCH(A15,IF('IncStmt Data'!A$572=AN$1,'IncStmt Data'!G$572:G$2999),0)),"")</f>
        <v/>
      </c>
      <c r="AO15" s="15" t="str">
        <f>IFERROR(INDEX('IncStmt Data'!H$587:H$2999,MATCH(A15,IF('IncStmt Data'!A$587=AO$1,'IncStmt Data'!G$587:G$2999),0)),"")</f>
        <v/>
      </c>
      <c r="AP15" s="15" t="str">
        <f>IFERROR(INDEX('IncStmt Data'!H$602:H$2999,MATCH(A15,IF('IncStmt Data'!A$602=AP$1,'IncStmt Data'!G$602:G$2999),0)),"")</f>
        <v/>
      </c>
      <c r="AQ15" s="15" t="str">
        <f>IFERROR(INDEX('IncStmt Data'!H$617:H$2999,MATCH(A15,IF('IncStmt Data'!A$617=AQ$1,'IncStmt Data'!G$617:G$2999),0)),"")</f>
        <v/>
      </c>
      <c r="AR15" s="15" t="str">
        <f>IFERROR(INDEX('IncStmt Data'!H$632:H$2999,MATCH(A15,IF('IncStmt Data'!A$632=AR$1,'IncStmt Data'!G$632:G$2999),0)),"")</f>
        <v/>
      </c>
      <c r="AS15" s="15" t="str">
        <f>IFERROR(INDEX('IncStmt Data'!H$647:H$2999,MATCH(A15,IF('IncStmt Data'!A$647=AS$1,'IncStmt Data'!G$647:G$2999),0)),"")</f>
        <v/>
      </c>
    </row>
    <row r="16" spans="1:104" x14ac:dyDescent="0.25">
      <c r="A16" s="1" t="s">
        <v>51</v>
      </c>
      <c r="B16" s="9" t="str">
        <f>IFERROR(INDEX('IncStmt Data'!H$2:H$2999,MATCH(A16,IF('IncStmt Data'!A$2=B$1,'IncStmt Data'!G$2:G$2999),0)),"")</f>
        <v/>
      </c>
      <c r="C16" s="9" t="str">
        <f>IFERROR(INDEX('IncStmt Data'!H$17:H$2999,MATCH(A16,IF('IncStmt Data'!A$17=C$1,'IncStmt Data'!G$17:G$2999),0)),"")</f>
        <v/>
      </c>
      <c r="D16" s="15" t="str">
        <f>IFERROR(INDEX('IncStmt Data'!H$32:H$2999,MATCH(A16,IF('IncStmt Data'!A$32=D$1,'IncStmt Data'!G$32:G$2999),0)),"")</f>
        <v/>
      </c>
      <c r="E16" s="15" t="str">
        <f>IFERROR(INDEX('IncStmt Data'!H$47:H$2999,MATCH(A16,IF('IncStmt Data'!A$47=E$1,'IncStmt Data'!G$47:G$2999),0)),"")</f>
        <v/>
      </c>
      <c r="F16" s="15" t="str">
        <f>IFERROR(INDEX('IncStmt Data'!H$62:H$2999,MATCH(A16,IF('IncStmt Data'!A$62=F$1,'IncStmt Data'!G$62:G$2999),0)),"")</f>
        <v/>
      </c>
      <c r="G16" s="15" t="str">
        <f>IFERROR(INDEX('IncStmt Data'!H$77:H$2999,MATCH(A16,IF('IncStmt Data'!A$77=G$1,'IncStmt Data'!G$77:G$2999),0)),"")</f>
        <v/>
      </c>
      <c r="H16" s="15" t="str">
        <f>IFERROR(INDEX('IncStmt Data'!H$92:H$2999,MATCH(A16,IF('IncStmt Data'!A$92=H$1,'IncStmt Data'!G$92:G$2999),0)),"")</f>
        <v/>
      </c>
      <c r="I16" s="16" t="str">
        <f>IFERROR(INDEX('IncStmt Data'!H$107:H$2999,MATCH(A16,IF('IncStmt Data'!A$107=I$1,'IncStmt Data'!G$107:G$2999),0)),"")</f>
        <v/>
      </c>
      <c r="J16" s="15" t="str">
        <f>IFERROR(INDEX('IncStmt Data'!H$122:H$2999,MATCH(A16,IF('IncStmt Data'!A$122=J$1,'IncStmt Data'!G$122:G$2999),0)),"")</f>
        <v/>
      </c>
      <c r="K16" s="15" t="str">
        <f>IFERROR(INDEX('IncStmt Data'!H$137:H$2999,MATCH(A16,IF('IncStmt Data'!A$137=K$1,'IncStmt Data'!G$137:G$2999),0)),"")</f>
        <v/>
      </c>
      <c r="L16" s="15" t="str">
        <f>IFERROR(INDEX('IncStmt Data'!H$152:H$2999,MATCH(A16,IF('IncStmt Data'!A$152=L$1,'IncStmt Data'!G$152:G$2999),0)),"")</f>
        <v/>
      </c>
      <c r="M16" s="15" t="str">
        <f>IFERROR(INDEX('IncStmt Data'!H$167:H$2999,MATCH(A16,IF('IncStmt Data'!A$167=M$1,'IncStmt Data'!G$167:G$2999),0)),"")</f>
        <v/>
      </c>
      <c r="N16" s="15" t="str">
        <f>IFERROR(INDEX('IncStmt Data'!H$182:H$2999,MATCH(A16,IF('IncStmt Data'!A$182=N$1,'IncStmt Data'!G$182:G$2999),0)),"")</f>
        <v/>
      </c>
      <c r="O16" s="15" t="str">
        <f>IFERROR(INDEX('IncStmt Data'!H$197:H$2999,MATCH(A16,IF('IncStmt Data'!A$197=O$1,'IncStmt Data'!G$197:G$2999),0)),"")</f>
        <v/>
      </c>
      <c r="P16" s="15" t="str">
        <f>IFERROR(INDEX('IncStmt Data'!H$212:H$2999,MATCH(A16,IF('IncStmt Data'!A$212=P$1,'IncStmt Data'!G$212:G$2999),0)),"")</f>
        <v/>
      </c>
      <c r="Q16" s="15" t="str">
        <f>IFERROR(INDEX('IncStmt Data'!H$227:H$2999,MATCH(A16,IF('IncStmt Data'!A$227=Q$1,'IncStmt Data'!G$227:G$2999),0)),"")</f>
        <v/>
      </c>
      <c r="R16" s="15" t="str">
        <f>IFERROR(INDEX('IncStmt Data'!H$242:H$2999,MATCH(A16,IF('IncStmt Data'!A$242=R$1,'IncStmt Data'!G$242:G$2999),0)),"")</f>
        <v/>
      </c>
      <c r="S16" s="15" t="str">
        <f>IFERROR(INDEX('IncStmt Data'!H$257:H$2999,MATCH(A16,IF('IncStmt Data'!A$257=S$1,'IncStmt Data'!G$257:G$2999),0)),"")</f>
        <v/>
      </c>
      <c r="T16" s="15" t="str">
        <f>IFERROR(INDEX('IncStmt Data'!H$272:H$2999,MATCH(A16,IF('IncStmt Data'!A$272=T$1,'IncStmt Data'!G$272:G$2999),0)),"")</f>
        <v/>
      </c>
      <c r="U16" s="15" t="str">
        <f>IFERROR(INDEX('IncStmt Data'!H$287:H$2999,MATCH(A16,IF('IncStmt Data'!A$287=U$1,'IncStmt Data'!G$287:G$2999),0)),"")</f>
        <v/>
      </c>
      <c r="V16" s="15" t="str">
        <f>IFERROR(INDEX('IncStmt Data'!H$302:H$2999,MATCH(A16,IF('IncStmt Data'!A$302=V$1,'IncStmt Data'!G$302:G$2999),0)),"")</f>
        <v/>
      </c>
      <c r="W16" s="15" t="str">
        <f>IFERROR(INDEX('IncStmt Data'!H$317:H$2999,MATCH(A16,IF('IncStmt Data'!A$317=W$1,'IncStmt Data'!G$317:G$2999),0)),"")</f>
        <v/>
      </c>
      <c r="X16" s="15" t="str">
        <f>IFERROR(INDEX('IncStmt Data'!H$332:H$2999,MATCH(A16,IF('IncStmt Data'!A$332=X$1,'IncStmt Data'!G$332:G$2999),0)),"")</f>
        <v/>
      </c>
      <c r="Y16" s="15" t="str">
        <f>IFERROR(INDEX('IncStmt Data'!H$347:H$2999,MATCH(A16,IF('IncStmt Data'!A$347=Y$1,'IncStmt Data'!G$347:G$2999),0)),"")</f>
        <v/>
      </c>
      <c r="Z16" s="15" t="str">
        <f>IFERROR(INDEX('IncStmt Data'!H$362:H$2999,MATCH(A16,IF('IncStmt Data'!A$362=Z$1,'IncStmt Data'!G$362:G$2999),0)),"")</f>
        <v/>
      </c>
      <c r="AA16" s="15" t="str">
        <f>IFERROR(INDEX('IncStmt Data'!H$377:H$2999,MATCH(A16,IF('IncStmt Data'!A$377=AA$1,'IncStmt Data'!G$377:G$2999),0)),"")</f>
        <v/>
      </c>
      <c r="AB16" s="15" t="str">
        <f>IFERROR(INDEX('IncStmt Data'!H$392:H$2999,MATCH(A16,IF('IncStmt Data'!A$392=AB$1,'IncStmt Data'!G$392:G$2999),0)),"")</f>
        <v/>
      </c>
      <c r="AC16" s="15" t="str">
        <f>IFERROR(INDEX('IncStmt Data'!H$407:H$2999,MATCH(A16,IF('IncStmt Data'!A$407=AC$1,'IncStmt Data'!G$407:G$2999),0)),"")</f>
        <v/>
      </c>
      <c r="AD16" s="15" t="str">
        <f>IFERROR(INDEX('IncStmt Data'!H$422:H$2999,MATCH(A16,IF('IncStmt Data'!A$422=AD$1,'IncStmt Data'!G$422:G$2999),0)),"")</f>
        <v/>
      </c>
      <c r="AE16" s="15" t="str">
        <f>IFERROR(INDEX('IncStmt Data'!H$437:H$2999,MATCH(A16,IF('IncStmt Data'!A$437=AE$1,'IncStmt Data'!G$437:G$2999),0)),"")</f>
        <v/>
      </c>
      <c r="AF16" s="15" t="str">
        <f>IFERROR(INDEX('IncStmt Data'!H$452:H$2999,MATCH(A16,IF('IncStmt Data'!A$452=AF$1,'IncStmt Data'!G$452:G$2999),0)),"")</f>
        <v/>
      </c>
      <c r="AG16" s="15" t="str">
        <f>IFERROR(INDEX('IncStmt Data'!H$467:H$2999,MATCH(A16,IF('IncStmt Data'!A$467=AG$1,'IncStmt Data'!G$467:G$2999),0)),"")</f>
        <v/>
      </c>
      <c r="AH16" s="15" t="str">
        <f>IFERROR(INDEX('IncStmt Data'!H$482:H$2999,MATCH(A16,IF('IncStmt Data'!A$482=AH$1,'IncStmt Data'!G$482:G$2999),0)),"")</f>
        <v/>
      </c>
      <c r="AI16" s="15" t="str">
        <f>IFERROR(INDEX('IncStmt Data'!H$497:H$2999,MATCH(A16,IF('IncStmt Data'!A$497=AI$1,'IncStmt Data'!G$497:G$2999),0)),"")</f>
        <v/>
      </c>
      <c r="AJ16" s="15" t="str">
        <f>IFERROR(INDEX('IncStmt Data'!H$512:H$2999,MATCH(A16,IF('IncStmt Data'!A$512=AJ$1,'IncStmt Data'!G$512:G$2999),0)),"")</f>
        <v/>
      </c>
      <c r="AK16" s="15" t="str">
        <f>IFERROR(INDEX('IncStmt Data'!H$527:H$2999,MATCH(A16,IF('IncStmt Data'!A$527=AK$1,'IncStmt Data'!G$527:G$2999),0)),"")</f>
        <v/>
      </c>
      <c r="AL16" s="15" t="str">
        <f>IFERROR(INDEX('IncStmt Data'!H$542:H$2999,MATCH(A16,IF('IncStmt Data'!A$542=AL$1,'IncStmt Data'!G$542:G$2999),0)),"")</f>
        <v/>
      </c>
      <c r="AM16" s="15" t="str">
        <f>IFERROR(INDEX('IncStmt Data'!H$557:H$2999,MATCH(A16,IF('IncStmt Data'!A$557=AM$1,'IncStmt Data'!G$557:G$2999),0)),"")</f>
        <v/>
      </c>
      <c r="AN16" s="15" t="str">
        <f>IFERROR(INDEX('IncStmt Data'!H$572:H$2999,MATCH(A16,IF('IncStmt Data'!A$572=AN$1,'IncStmt Data'!G$572:G$2999),0)),"")</f>
        <v/>
      </c>
      <c r="AO16" s="15" t="str">
        <f>IFERROR(INDEX('IncStmt Data'!H$587:H$2999,MATCH(A16,IF('IncStmt Data'!A$587=AO$1,'IncStmt Data'!G$587:G$2999),0)),"")</f>
        <v/>
      </c>
      <c r="AP16" s="15" t="str">
        <f>IFERROR(INDEX('IncStmt Data'!H$602:H$2999,MATCH(A16,IF('IncStmt Data'!A$602=AP$1,'IncStmt Data'!G$602:G$2999),0)),"")</f>
        <v/>
      </c>
      <c r="AQ16" s="15" t="str">
        <f>IFERROR(INDEX('IncStmt Data'!H$617:H$2999,MATCH(A16,IF('IncStmt Data'!A$617=AQ$1,'IncStmt Data'!G$617:G$2999),0)),"")</f>
        <v/>
      </c>
      <c r="AR16" s="15" t="str">
        <f>IFERROR(INDEX('IncStmt Data'!H$632:H$2999,MATCH(A16,IF('IncStmt Data'!A$632=AR$1,'IncStmt Data'!G$632:G$2999),0)),"")</f>
        <v/>
      </c>
      <c r="AS16" s="15" t="str">
        <f>IFERROR(INDEX('IncStmt Data'!H$647:H$2999,MATCH(A16,IF('IncStmt Data'!A$647=AS$1,'IncStmt Data'!G$647:G$2999),0)),"")</f>
        <v/>
      </c>
    </row>
    <row r="17" spans="1:48" s="6" customFormat="1" x14ac:dyDescent="0.25">
      <c r="A17" s="1" t="s">
        <v>52</v>
      </c>
      <c r="B17" s="25" t="str">
        <f>IFERROR(INDEX('IncStmt Data'!H$2:H$2999,MATCH(A17,IF('IncStmt Data'!A$2=B$1,'IncStmt Data'!G$2:G$2999),0)),"")</f>
        <v/>
      </c>
      <c r="C17" s="25" t="str">
        <f>IFERROR(INDEX('IncStmt Data'!H$17:H$2999,MATCH(A17,IF('IncStmt Data'!A$17=C$1,'IncStmt Data'!G$17:G$2999),0)),"")</f>
        <v/>
      </c>
      <c r="D17" s="26" t="str">
        <f>IFERROR(INDEX('IncStmt Data'!H$32:H$2999,MATCH(A17,IF('IncStmt Data'!A$32=D$1,'IncStmt Data'!G$32:G$2999),0)),"")</f>
        <v/>
      </c>
      <c r="E17" s="26" t="str">
        <f>IFERROR(INDEX('IncStmt Data'!H$47:H$2999,MATCH(A17,IF('IncStmt Data'!A$47=E$1,'IncStmt Data'!G$47:G$2999),0)),"")</f>
        <v/>
      </c>
      <c r="F17" s="26" t="str">
        <f>IFERROR(INDEX('IncStmt Data'!H$62:H$2999,MATCH(A17,IF('IncStmt Data'!A$62=F$1,'IncStmt Data'!G$62:G$2999),0)),"")</f>
        <v/>
      </c>
      <c r="G17" s="26" t="str">
        <f>IFERROR(INDEX('IncStmt Data'!H$77:H$2999,MATCH(A17,IF('IncStmt Data'!A$77=G$1,'IncStmt Data'!G$77:G$2999),0)),"")</f>
        <v/>
      </c>
      <c r="H17" s="26" t="str">
        <f>IFERROR(INDEX('IncStmt Data'!H$92:H$2999,MATCH(A17,IF('IncStmt Data'!A$92=H$1,'IncStmt Data'!G$92:G$2999),0)),"")</f>
        <v/>
      </c>
      <c r="I17" s="27" t="str">
        <f>IFERROR(INDEX('IncStmt Data'!H$107:H$2999,MATCH(A17,IF('IncStmt Data'!A$107=I$1,'IncStmt Data'!G$107:G$2999),0)),"")</f>
        <v/>
      </c>
      <c r="J17" s="26" t="str">
        <f>IFERROR(INDEX('IncStmt Data'!H$122:H$2999,MATCH(A17,IF('IncStmt Data'!A$122=J$1,'IncStmt Data'!G$122:G$2999),0)),"")</f>
        <v/>
      </c>
      <c r="K17" s="26" t="str">
        <f>IFERROR(INDEX('IncStmt Data'!H$137:H$2999,MATCH(A17,IF('IncStmt Data'!A$137=K$1,'IncStmt Data'!G$137:G$2999),0)),"")</f>
        <v/>
      </c>
      <c r="L17" s="26" t="str">
        <f>IFERROR(INDEX('IncStmt Data'!H$152:H$2999,MATCH(A17,IF('IncStmt Data'!A$152=L$1,'IncStmt Data'!G$152:G$2999),0)),"")</f>
        <v/>
      </c>
      <c r="M17" s="26" t="str">
        <f>IFERROR(INDEX('IncStmt Data'!H$167:H$2999,MATCH(A17,IF('IncStmt Data'!A$167=M$1,'IncStmt Data'!G$167:G$2999),0)),"")</f>
        <v/>
      </c>
      <c r="N17" s="26" t="str">
        <f>IFERROR(INDEX('IncStmt Data'!H$182:H$2999,MATCH(A17,IF('IncStmt Data'!A$182=N$1,'IncStmt Data'!G$182:G$2999),0)),"")</f>
        <v/>
      </c>
      <c r="O17" s="26" t="str">
        <f>IFERROR(INDEX('IncStmt Data'!H$197:H$2999,MATCH(A17,IF('IncStmt Data'!A$197=O$1,'IncStmt Data'!G$197:G$2999),0)),"")</f>
        <v/>
      </c>
      <c r="P17" s="26" t="str">
        <f>IFERROR(INDEX('IncStmt Data'!H$212:H$2999,MATCH(A17,IF('IncStmt Data'!A$212=P$1,'IncStmt Data'!G$212:G$2999),0)),"")</f>
        <v/>
      </c>
      <c r="Q17" s="26" t="str">
        <f>IFERROR(INDEX('IncStmt Data'!H$227:H$2999,MATCH(A17,IF('IncStmt Data'!A$227=Q$1,'IncStmt Data'!G$227:G$2999),0)),"")</f>
        <v/>
      </c>
      <c r="R17" s="26" t="str">
        <f>IFERROR(INDEX('IncStmt Data'!H$242:H$2999,MATCH(A17,IF('IncStmt Data'!A$242=R$1,'IncStmt Data'!G$242:G$2999),0)),"")</f>
        <v/>
      </c>
      <c r="S17" s="26" t="str">
        <f>IFERROR(INDEX('IncStmt Data'!H$257:H$2999,MATCH(A17,IF('IncStmt Data'!A$257=S$1,'IncStmt Data'!G$257:G$2999),0)),"")</f>
        <v/>
      </c>
      <c r="T17" s="26" t="str">
        <f>IFERROR(INDEX('IncStmt Data'!H$272:H$2999,MATCH(A17,IF('IncStmt Data'!A$272=T$1,'IncStmt Data'!G$272:G$2999),0)),"")</f>
        <v/>
      </c>
      <c r="U17" s="26" t="str">
        <f>IFERROR(INDEX('IncStmt Data'!H$287:H$2999,MATCH(A17,IF('IncStmt Data'!A$287=U$1,'IncStmt Data'!G$287:G$2999),0)),"")</f>
        <v/>
      </c>
      <c r="V17" s="26" t="str">
        <f>IFERROR(INDEX('IncStmt Data'!H$302:H$2999,MATCH(A17,IF('IncStmt Data'!A$302=V$1,'IncStmt Data'!G$302:G$2999),0)),"")</f>
        <v/>
      </c>
      <c r="W17" s="26" t="str">
        <f>IFERROR(INDEX('IncStmt Data'!H$317:H$2999,MATCH(A17,IF('IncStmt Data'!A$317=W$1,'IncStmt Data'!G$317:G$2999),0)),"")</f>
        <v/>
      </c>
      <c r="X17" s="26" t="str">
        <f>IFERROR(INDEX('IncStmt Data'!H$332:H$2999,MATCH(A17,IF('IncStmt Data'!A$332=X$1,'IncStmt Data'!G$332:G$2999),0)),"")</f>
        <v/>
      </c>
      <c r="Y17" s="26" t="str">
        <f>IFERROR(INDEX('IncStmt Data'!H$347:H$2999,MATCH(A17,IF('IncStmt Data'!A$347=Y$1,'IncStmt Data'!G$347:G$2999),0)),"")</f>
        <v/>
      </c>
      <c r="Z17" s="26" t="str">
        <f>IFERROR(INDEX('IncStmt Data'!H$362:H$2999,MATCH(A17,IF('IncStmt Data'!A$362=Z$1,'IncStmt Data'!G$362:G$2999),0)),"")</f>
        <v/>
      </c>
      <c r="AA17" s="26" t="str">
        <f>IFERROR(INDEX('IncStmt Data'!H$377:H$2999,MATCH(A17,IF('IncStmt Data'!A$377=AA$1,'IncStmt Data'!G$377:G$2999),0)),"")</f>
        <v/>
      </c>
      <c r="AB17" s="26" t="str">
        <f>IFERROR(INDEX('IncStmt Data'!H$392:H$2999,MATCH(A17,IF('IncStmt Data'!A$392=AB$1,'IncStmt Data'!G$392:G$2999),0)),"")</f>
        <v/>
      </c>
      <c r="AC17" s="26" t="str">
        <f>IFERROR(INDEX('IncStmt Data'!H$407:H$2999,MATCH(A17,IF('IncStmt Data'!A$407=AC$1,'IncStmt Data'!G$407:G$2999),0)),"")</f>
        <v/>
      </c>
      <c r="AD17" s="26" t="str">
        <f>IFERROR(INDEX('IncStmt Data'!H$422:H$2999,MATCH(A17,IF('IncStmt Data'!A$422=AD$1,'IncStmt Data'!G$422:G$2999),0)),"")</f>
        <v/>
      </c>
      <c r="AE17" s="26" t="str">
        <f>IFERROR(INDEX('IncStmt Data'!H$437:H$2999,MATCH(A17,IF('IncStmt Data'!A$437=AE$1,'IncStmt Data'!G$437:G$2999),0)),"")</f>
        <v/>
      </c>
      <c r="AF17" s="26" t="str">
        <f>IFERROR(INDEX('IncStmt Data'!H$452:H$2999,MATCH(A17,IF('IncStmt Data'!A$452=AF$1,'IncStmt Data'!G$452:G$2999),0)),"")</f>
        <v/>
      </c>
      <c r="AG17" s="26" t="str">
        <f>IFERROR(INDEX('IncStmt Data'!H$467:H$2999,MATCH(A17,IF('IncStmt Data'!A$467=AG$1,'IncStmt Data'!G$467:G$2999),0)),"")</f>
        <v/>
      </c>
      <c r="AH17" s="26" t="str">
        <f>IFERROR(INDEX('IncStmt Data'!H$482:H$2999,MATCH(A17,IF('IncStmt Data'!A$482=AH$1,'IncStmt Data'!G$482:G$2999),0)),"")</f>
        <v/>
      </c>
      <c r="AI17" s="26" t="str">
        <f>IFERROR(INDEX('IncStmt Data'!H$497:H$2999,MATCH(A17,IF('IncStmt Data'!A$497=AI$1,'IncStmt Data'!G$497:G$2999),0)),"")</f>
        <v/>
      </c>
      <c r="AJ17" s="26" t="str">
        <f>IFERROR(INDEX('IncStmt Data'!H$512:H$2999,MATCH(A17,IF('IncStmt Data'!A$512=AJ$1,'IncStmt Data'!G$512:G$2999),0)),"")</f>
        <v/>
      </c>
      <c r="AK17" s="26" t="str">
        <f>IFERROR(INDEX('IncStmt Data'!H$527:H$2999,MATCH(A17,IF('IncStmt Data'!A$527=AK$1,'IncStmt Data'!G$527:G$2999),0)),"")</f>
        <v/>
      </c>
      <c r="AL17" s="26" t="str">
        <f>IFERROR(INDEX('IncStmt Data'!H$542:H$2999,MATCH(A17,IF('IncStmt Data'!A$542=AL$1,'IncStmt Data'!G$542:G$2999),0)),"")</f>
        <v/>
      </c>
      <c r="AM17" s="26" t="str">
        <f>IFERROR(INDEX('IncStmt Data'!H$557:H$2999,MATCH(A17,IF('IncStmt Data'!A$557=AM$1,'IncStmt Data'!G$557:G$2999),0)),"")</f>
        <v/>
      </c>
      <c r="AN17" s="26" t="str">
        <f>IFERROR(INDEX('IncStmt Data'!H$572:H$2999,MATCH(A17,IF('IncStmt Data'!A$572=AN$1,'IncStmt Data'!G$572:G$2999),0)),"")</f>
        <v/>
      </c>
      <c r="AO17" s="26" t="str">
        <f>IFERROR(INDEX('IncStmt Data'!H$587:H$2999,MATCH(A17,IF('IncStmt Data'!A$587=AO$1,'IncStmt Data'!G$587:G$2999),0)),"")</f>
        <v/>
      </c>
      <c r="AP17" s="26" t="str">
        <f>IFERROR(INDEX('IncStmt Data'!H$602:H$2999,MATCH(A17,IF('IncStmt Data'!A$602=AP$1,'IncStmt Data'!G$602:G$2999),0)),"")</f>
        <v/>
      </c>
      <c r="AQ17" s="26" t="str">
        <f>IFERROR(INDEX('IncStmt Data'!H$617:H$2999,MATCH(A17,IF('IncStmt Data'!A$617=AQ$1,'IncStmt Data'!G$617:G$2999),0)),"")</f>
        <v/>
      </c>
      <c r="AR17" s="26" t="str">
        <f>IFERROR(INDEX('IncStmt Data'!H$632:H$2999,MATCH(A17,IF('IncStmt Data'!A$632=AR$1,'IncStmt Data'!G$632:G$2999),0)),"")</f>
        <v/>
      </c>
      <c r="AS17" s="26" t="str">
        <f>IFERROR(INDEX('IncStmt Data'!H$647:H$2999,MATCH(A17,IF('IncStmt Data'!A$647=AS$1,'IncStmt Data'!G$647:G$2999),0)),"")</f>
        <v/>
      </c>
    </row>
    <row r="18" spans="1:48" s="17" customFormat="1" x14ac:dyDescent="0.25">
      <c r="B18" s="17">
        <f t="shared" ref="B18:AS18" si="2">SUM(B6:B17)</f>
        <v>0</v>
      </c>
      <c r="C18" s="17">
        <f t="shared" si="2"/>
        <v>0</v>
      </c>
      <c r="D18" s="17">
        <f t="shared" si="2"/>
        <v>0</v>
      </c>
      <c r="E18" s="17">
        <f t="shared" si="2"/>
        <v>0</v>
      </c>
      <c r="F18" s="17">
        <f t="shared" si="2"/>
        <v>0</v>
      </c>
      <c r="G18" s="17">
        <f t="shared" si="2"/>
        <v>0</v>
      </c>
      <c r="H18" s="17">
        <f t="shared" si="2"/>
        <v>0</v>
      </c>
      <c r="I18" s="17">
        <f t="shared" si="2"/>
        <v>0</v>
      </c>
      <c r="J18" s="17">
        <f t="shared" si="2"/>
        <v>0</v>
      </c>
      <c r="K18" s="17">
        <f t="shared" si="2"/>
        <v>0</v>
      </c>
      <c r="L18" s="17">
        <f t="shared" si="2"/>
        <v>0</v>
      </c>
      <c r="M18" s="17">
        <f t="shared" si="2"/>
        <v>0</v>
      </c>
      <c r="N18" s="17">
        <f t="shared" si="2"/>
        <v>0</v>
      </c>
      <c r="O18" s="17">
        <f t="shared" si="2"/>
        <v>0</v>
      </c>
      <c r="P18" s="17">
        <f t="shared" si="2"/>
        <v>0</v>
      </c>
      <c r="Q18" s="17">
        <f t="shared" si="2"/>
        <v>0</v>
      </c>
      <c r="R18" s="17">
        <f t="shared" si="2"/>
        <v>0</v>
      </c>
      <c r="S18" s="17">
        <f t="shared" si="2"/>
        <v>0</v>
      </c>
      <c r="T18" s="17">
        <f t="shared" si="2"/>
        <v>0</v>
      </c>
      <c r="U18" s="17">
        <f t="shared" si="2"/>
        <v>0</v>
      </c>
      <c r="V18" s="17">
        <f t="shared" si="2"/>
        <v>0</v>
      </c>
      <c r="W18" s="17">
        <f t="shared" si="2"/>
        <v>0</v>
      </c>
      <c r="X18" s="17">
        <f t="shared" si="2"/>
        <v>0</v>
      </c>
      <c r="Y18" s="17">
        <f t="shared" si="2"/>
        <v>0</v>
      </c>
      <c r="Z18" s="17">
        <f t="shared" si="2"/>
        <v>0</v>
      </c>
      <c r="AA18" s="17">
        <f t="shared" si="2"/>
        <v>0</v>
      </c>
      <c r="AB18" s="17">
        <f t="shared" si="2"/>
        <v>0</v>
      </c>
      <c r="AC18" s="17">
        <f t="shared" si="2"/>
        <v>0</v>
      </c>
      <c r="AD18" s="17">
        <f t="shared" si="2"/>
        <v>0</v>
      </c>
      <c r="AE18" s="17">
        <f t="shared" si="2"/>
        <v>0</v>
      </c>
      <c r="AF18" s="17">
        <f t="shared" si="2"/>
        <v>0</v>
      </c>
      <c r="AG18" s="17">
        <f t="shared" si="2"/>
        <v>0</v>
      </c>
      <c r="AH18" s="17">
        <f t="shared" si="2"/>
        <v>0</v>
      </c>
      <c r="AI18" s="17">
        <f t="shared" si="2"/>
        <v>0</v>
      </c>
      <c r="AJ18" s="17">
        <f t="shared" si="2"/>
        <v>0</v>
      </c>
      <c r="AK18" s="17">
        <f t="shared" si="2"/>
        <v>0</v>
      </c>
      <c r="AL18" s="17">
        <f t="shared" si="2"/>
        <v>2490</v>
      </c>
      <c r="AM18" s="17">
        <f t="shared" si="2"/>
        <v>2490</v>
      </c>
      <c r="AN18" s="17">
        <f t="shared" si="2"/>
        <v>2490</v>
      </c>
      <c r="AO18" s="17">
        <f t="shared" si="2"/>
        <v>2490</v>
      </c>
      <c r="AP18" s="17">
        <f t="shared" si="2"/>
        <v>2490</v>
      </c>
      <c r="AQ18" s="17">
        <f t="shared" si="2"/>
        <v>2490</v>
      </c>
      <c r="AR18" s="17">
        <f t="shared" si="2"/>
        <v>2490</v>
      </c>
      <c r="AS18" s="17">
        <f t="shared" si="2"/>
        <v>0</v>
      </c>
    </row>
    <row r="19" spans="1:48" x14ac:dyDescent="0.25">
      <c r="B19" s="9"/>
      <c r="C19" s="9"/>
      <c r="D19" s="15"/>
      <c r="E19" s="15"/>
      <c r="F19" s="15"/>
      <c r="G19" s="15"/>
      <c r="H19" s="15"/>
      <c r="I19" s="16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</row>
    <row r="20" spans="1:48" x14ac:dyDescent="0.25">
      <c r="A20" s="1" t="s">
        <v>57</v>
      </c>
      <c r="B20" s="9"/>
      <c r="C20" s="9"/>
      <c r="D20" s="15"/>
      <c r="E20" s="15"/>
      <c r="F20" s="15"/>
      <c r="G20" s="15"/>
      <c r="H20" s="15"/>
      <c r="I20" s="16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</row>
    <row r="21" spans="1:48" x14ac:dyDescent="0.25">
      <c r="A21" s="1" t="s">
        <v>53</v>
      </c>
      <c r="B21" s="9" t="str">
        <f>IFERROR(INDEX('IncStmt Data'!H$2:H$2999,MATCH(A21,IF('IncStmt Data'!A$2=B$1,'IncStmt Data'!G$2:G$2999),0)),"")</f>
        <v/>
      </c>
      <c r="C21" s="9" t="str">
        <f>IFERROR(INDEX('IncStmt Data'!H$17:H$2999,MATCH(A21,IF('IncStmt Data'!A$17=C$1,'IncStmt Data'!G$17:G$2999),0)),"")</f>
        <v/>
      </c>
      <c r="D21" s="15" t="str">
        <f>IFERROR(INDEX('IncStmt Data'!H$32:H$2999,MATCH(A21,IF('IncStmt Data'!A$32=D$1,'IncStmt Data'!G$32:G$2999),0)),"")</f>
        <v/>
      </c>
      <c r="E21" s="15" t="str">
        <f>IFERROR(INDEX('IncStmt Data'!H$47:H$2999,MATCH(A21,IF('IncStmt Data'!A$47=E$1,'IncStmt Data'!G$47:G$2999),0)),"")</f>
        <v/>
      </c>
      <c r="F21" s="15" t="str">
        <f>IFERROR(INDEX('IncStmt Data'!H$62:H$2999,MATCH(A21,IF('IncStmt Data'!A$62=F$1,'IncStmt Data'!G$62:G$2999),0)),"")</f>
        <v/>
      </c>
      <c r="G21" s="15" t="str">
        <f>IFERROR(INDEX('IncStmt Data'!H$77:H$2999,MATCH(A21,IF('IncStmt Data'!A$77=G$1,'IncStmt Data'!G$77:G$2999),0)),"")</f>
        <v/>
      </c>
      <c r="H21" s="15" t="str">
        <f>IFERROR(INDEX('IncStmt Data'!H$92:H$2999,MATCH(A21,IF('IncStmt Data'!A$92=H$1,'IncStmt Data'!G$92:G$2999),0)),"")</f>
        <v/>
      </c>
      <c r="I21" s="16" t="str">
        <f>IFERROR(INDEX('IncStmt Data'!H$107:H$2999,MATCH(A21,IF('IncStmt Data'!A$107=I$1,'IncStmt Data'!G$107:G$2999),0)),"")</f>
        <v/>
      </c>
      <c r="J21" s="15" t="str">
        <f>IFERROR(INDEX('IncStmt Data'!H$122:H$2999,MATCH(A21,IF('IncStmt Data'!A$122=J$1,'IncStmt Data'!G$122:G$2999),0)),"")</f>
        <v/>
      </c>
      <c r="K21" s="15" t="str">
        <f>IFERROR(INDEX('IncStmt Data'!H$137:H$2999,MATCH(A21,IF('IncStmt Data'!A$137=K$1,'IncStmt Data'!G$137:G$2999),0)),"")</f>
        <v/>
      </c>
      <c r="L21" s="15" t="str">
        <f>IFERROR(INDEX('IncStmt Data'!H$152:H$2999,MATCH(A21,IF('IncStmt Data'!A$152=L$1,'IncStmt Data'!G$152:G$2999),0)),"")</f>
        <v/>
      </c>
      <c r="M21" s="15" t="str">
        <f>IFERROR(INDEX('IncStmt Data'!H$167:H$2999,MATCH(A21,IF('IncStmt Data'!A$167=M$1,'IncStmt Data'!G$167:G$2999),0)),"")</f>
        <v/>
      </c>
      <c r="N21" s="15" t="str">
        <f>IFERROR(INDEX('IncStmt Data'!H$182:H$2999,MATCH(A21,IF('IncStmt Data'!A$182=N$1,'IncStmt Data'!G$182:G$2999),0)),"")</f>
        <v/>
      </c>
      <c r="O21" s="15" t="str">
        <f>IFERROR(INDEX('IncStmt Data'!H$197:H$2999,MATCH(A21,IF('IncStmt Data'!A$197=O$1,'IncStmt Data'!G$197:G$2999),0)),"")</f>
        <v/>
      </c>
      <c r="P21" s="15" t="str">
        <f>IFERROR(INDEX('IncStmt Data'!H$212:H$2999,MATCH(A21,IF('IncStmt Data'!A$212=P$1,'IncStmt Data'!G$212:G$2999),0)),"")</f>
        <v/>
      </c>
      <c r="Q21" s="15" t="str">
        <f>IFERROR(INDEX('IncStmt Data'!H$227:H$2999,MATCH(A21,IF('IncStmt Data'!A$227=Q$1,'IncStmt Data'!G$227:G$2999),0)),"")</f>
        <v/>
      </c>
      <c r="R21" s="15" t="str">
        <f>IFERROR(INDEX('IncStmt Data'!H$242:H$2999,MATCH(A21,IF('IncStmt Data'!A$242=R$1,'IncStmt Data'!G$242:G$2999),0)),"")</f>
        <v/>
      </c>
      <c r="S21" s="15" t="str">
        <f>IFERROR(INDEX('IncStmt Data'!H$257:H$2999,MATCH(A21,IF('IncStmt Data'!A$257=S$1,'IncStmt Data'!G$257:G$2999),0)),"")</f>
        <v/>
      </c>
      <c r="T21" s="15" t="str">
        <f>IFERROR(INDEX('IncStmt Data'!H$272:H$2999,MATCH(A21,IF('IncStmt Data'!A$272=T$1,'IncStmt Data'!G$272:G$2999),0)),"")</f>
        <v/>
      </c>
      <c r="U21" s="15" t="str">
        <f>IFERROR(INDEX('IncStmt Data'!H$287:H$2999,MATCH(A21,IF('IncStmt Data'!A$287=U$1,'IncStmt Data'!G$287:G$2999),0)),"")</f>
        <v/>
      </c>
      <c r="V21" s="15" t="str">
        <f>IFERROR(INDEX('IncStmt Data'!H$302:H$2999,MATCH(A21,IF('IncStmt Data'!A$302=V$1,'IncStmt Data'!G$302:G$2999),0)),"")</f>
        <v/>
      </c>
      <c r="W21" s="15" t="str">
        <f>IFERROR(INDEX('IncStmt Data'!H$317:H$2999,MATCH(A21,IF('IncStmt Data'!A$317=W$1,'IncStmt Data'!G$317:G$2999),0)),"")</f>
        <v/>
      </c>
      <c r="X21" s="15" t="str">
        <f>IFERROR(INDEX('IncStmt Data'!H$332:H$2999,MATCH(A21,IF('IncStmt Data'!A$332=X$1,'IncStmt Data'!G$332:G$2999),0)),"")</f>
        <v/>
      </c>
      <c r="Y21" s="15" t="str">
        <f>IFERROR(INDEX('IncStmt Data'!H$347:H$2999,MATCH(A21,IF('IncStmt Data'!A$347=Y$1,'IncStmt Data'!G$347:G$2999),0)),"")</f>
        <v/>
      </c>
      <c r="Z21" s="15" t="str">
        <f>IFERROR(INDEX('IncStmt Data'!H$362:H$2999,MATCH(A21,IF('IncStmt Data'!A$362=Z$1,'IncStmt Data'!G$362:G$2999),0)),"")</f>
        <v/>
      </c>
      <c r="AA21" s="15" t="str">
        <f>IFERROR(INDEX('IncStmt Data'!H$377:H$2999,MATCH(A21,IF('IncStmt Data'!A$377=AA$1,'IncStmt Data'!G$377:G$2999),0)),"")</f>
        <v/>
      </c>
      <c r="AB21" s="15" t="str">
        <f>IFERROR(INDEX('IncStmt Data'!H$392:H$2999,MATCH(A21,IF('IncStmt Data'!A$392=AB$1,'IncStmt Data'!G$392:G$2999),0)),"")</f>
        <v/>
      </c>
      <c r="AC21" s="15" t="str">
        <f>IFERROR(INDEX('IncStmt Data'!H$407:H$2999,MATCH(A21,IF('IncStmt Data'!A$407=AC$1,'IncStmt Data'!G$407:G$2999),0)),"")</f>
        <v/>
      </c>
      <c r="AD21" s="15" t="str">
        <f>IFERROR(INDEX('IncStmt Data'!H$422:H$2999,MATCH(A21,IF('IncStmt Data'!A$422=AD$1,'IncStmt Data'!G$422:G$2999),0)),"")</f>
        <v/>
      </c>
      <c r="AE21" s="15" t="str">
        <f>IFERROR(INDEX('IncStmt Data'!H$437:H$2999,MATCH(A21,IF('IncStmt Data'!A$437=AE$1,'IncStmt Data'!G$437:G$2999),0)),"")</f>
        <v/>
      </c>
      <c r="AF21" s="15" t="str">
        <f>IFERROR(INDEX('IncStmt Data'!H$452:H$2999,MATCH(A21,IF('IncStmt Data'!A$452=AF$1,'IncStmt Data'!G$452:G$2999),0)),"")</f>
        <v/>
      </c>
      <c r="AG21" s="15" t="str">
        <f>IFERROR(INDEX('IncStmt Data'!H$467:H$2999,MATCH(A21,IF('IncStmt Data'!A$467=AG$1,'IncStmt Data'!G$467:G$2999),0)),"")</f>
        <v/>
      </c>
      <c r="AH21" s="15" t="str">
        <f>IFERROR(INDEX('IncStmt Data'!H$482:H$2999,MATCH(A21,IF('IncStmt Data'!A$482=AH$1,'IncStmt Data'!G$482:G$2999),0)),"")</f>
        <v/>
      </c>
      <c r="AI21" s="15" t="str">
        <f>IFERROR(INDEX('IncStmt Data'!H$497:H$2999,MATCH(A21,IF('IncStmt Data'!A$497=AI$1,'IncStmt Data'!G$497:G$2999),0)),"")</f>
        <v/>
      </c>
      <c r="AJ21" s="15" t="str">
        <f>IFERROR(INDEX('IncStmt Data'!H$512:H$2999,MATCH(A21,IF('IncStmt Data'!A$512=AJ$1,'IncStmt Data'!G$512:G$2999),0)),"")</f>
        <v/>
      </c>
      <c r="AK21" s="15" t="str">
        <f>IFERROR(INDEX('IncStmt Data'!H$527:H$2999,MATCH(A21,IF('IncStmt Data'!A$527=AK$1,'IncStmt Data'!G$527:G$2999),0)),"")</f>
        <v/>
      </c>
      <c r="AL21" s="15" t="str">
        <f>IFERROR(INDEX('IncStmt Data'!H$542:H$2999,MATCH(A21,IF('IncStmt Data'!A$542=AL$1,'IncStmt Data'!G$542:G$2999),0)),"")</f>
        <v/>
      </c>
      <c r="AM21" s="15" t="str">
        <f>IFERROR(INDEX('IncStmt Data'!H$557:H$2999,MATCH(A21,IF('IncStmt Data'!A$557=AM$1,'IncStmt Data'!G$557:G$2999),0)),"")</f>
        <v/>
      </c>
      <c r="AN21" s="15" t="str">
        <f>IFERROR(INDEX('IncStmt Data'!H$572:H$2999,MATCH(A21,IF('IncStmt Data'!A$572=AN$1,'IncStmt Data'!G$572:G$2999),0)),"")</f>
        <v/>
      </c>
      <c r="AO21" s="15" t="str">
        <f>IFERROR(INDEX('IncStmt Data'!H$587:H$2999,MATCH(A21,IF('IncStmt Data'!A$587=AO$1,'IncStmt Data'!G$587:G$2999),0)),"")</f>
        <v/>
      </c>
      <c r="AP21" s="15" t="str">
        <f>IFERROR(INDEX('IncStmt Data'!H$602:H$2999,MATCH(A21,IF('IncStmt Data'!A$602=AP$1,'IncStmt Data'!G$602:G$2999),0)),"")</f>
        <v/>
      </c>
      <c r="AQ21" s="15" t="str">
        <f>IFERROR(INDEX('IncStmt Data'!H$617:H$2999,MATCH(A21,IF('IncStmt Data'!A$617=AQ$1,'IncStmt Data'!G$617:G$2999),0)),"")</f>
        <v/>
      </c>
      <c r="AR21" s="15" t="str">
        <f>IFERROR(INDEX('IncStmt Data'!H$632:H$2999,MATCH(A21,IF('IncStmt Data'!A$632=AR$1,'IncStmt Data'!G$632:G$2999),0)),"")</f>
        <v/>
      </c>
      <c r="AS21" s="15" t="str">
        <f>IFERROR(INDEX('IncStmt Data'!H$647:H$2999,MATCH(A21,IF('IncStmt Data'!A$647=AS$1,'IncStmt Data'!G$647:G$2999),0)),"")</f>
        <v/>
      </c>
    </row>
    <row r="22" spans="1:48" x14ac:dyDescent="0.25">
      <c r="A22" s="1" t="s">
        <v>54</v>
      </c>
      <c r="B22" s="9" t="str">
        <f>IFERROR(INDEX('IncStmt Data'!H$2:H$2999,MATCH(A22,IF('IncStmt Data'!A$2=B$1,'IncStmt Data'!G$2:G$2999),0)),"")</f>
        <v/>
      </c>
      <c r="C22" s="9" t="str">
        <f>IFERROR(INDEX('IncStmt Data'!H$17:H$2999,MATCH(A22,IF('IncStmt Data'!A$17=C$1,'IncStmt Data'!G$17:G$2999),0)),"")</f>
        <v/>
      </c>
      <c r="D22" s="15" t="str">
        <f>IFERROR(INDEX('IncStmt Data'!H$32:H$2999,MATCH(A22,IF('IncStmt Data'!A$32=D$1,'IncStmt Data'!G$32:G$2999),0)),"")</f>
        <v/>
      </c>
      <c r="E22" s="15" t="str">
        <f>IFERROR(INDEX('IncStmt Data'!H$47:H$2999,MATCH(A22,IF('IncStmt Data'!A$47=E$1,'IncStmt Data'!G$47:G$2999),0)),"")</f>
        <v/>
      </c>
      <c r="F22" s="15" t="str">
        <f>IFERROR(INDEX('IncStmt Data'!H$62:H$2999,MATCH(A22,IF('IncStmt Data'!A$62=F$1,'IncStmt Data'!G$62:G$2999),0)),"")</f>
        <v/>
      </c>
      <c r="G22" s="15" t="str">
        <f>IFERROR(INDEX('IncStmt Data'!H$77:H$2999,MATCH(A22,IF('IncStmt Data'!A$77=G$1,'IncStmt Data'!G$77:G$2999),0)),"")</f>
        <v/>
      </c>
      <c r="H22" s="15" t="str">
        <f>IFERROR(INDEX('IncStmt Data'!H$92:H$2999,MATCH(A22,IF('IncStmt Data'!A$92=H$1,'IncStmt Data'!G$92:G$2999),0)),"")</f>
        <v/>
      </c>
      <c r="I22" s="16" t="str">
        <f>IFERROR(INDEX('IncStmt Data'!H$107:H$2999,MATCH(A22,IF('IncStmt Data'!A$107=I$1,'IncStmt Data'!G$107:G$2999),0)),"")</f>
        <v/>
      </c>
      <c r="J22" s="15" t="str">
        <f>IFERROR(INDEX('IncStmt Data'!H$122:H$2999,MATCH(A22,IF('IncStmt Data'!A$122=J$1,'IncStmt Data'!G$122:G$2999),0)),"")</f>
        <v/>
      </c>
      <c r="K22" s="15" t="str">
        <f>IFERROR(INDEX('IncStmt Data'!H$137:H$2999,MATCH(A22,IF('IncStmt Data'!A$137=K$1,'IncStmt Data'!G$137:G$2999),0)),"")</f>
        <v/>
      </c>
      <c r="L22" s="15" t="str">
        <f>IFERROR(INDEX('IncStmt Data'!H$152:H$2999,MATCH(A22,IF('IncStmt Data'!A$152=L$1,'IncStmt Data'!G$152:G$2999),0)),"")</f>
        <v/>
      </c>
      <c r="M22" s="15" t="str">
        <f>IFERROR(INDEX('IncStmt Data'!H$167:H$2999,MATCH(A22,IF('IncStmt Data'!A$167=M$1,'IncStmt Data'!G$167:G$2999),0)),"")</f>
        <v/>
      </c>
      <c r="N22" s="15" t="str">
        <f>IFERROR(INDEX('IncStmt Data'!H$182:H$2999,MATCH(A22,IF('IncStmt Data'!A$182=N$1,'IncStmt Data'!G$182:G$2999),0)),"")</f>
        <v/>
      </c>
      <c r="O22" s="15" t="str">
        <f>IFERROR(INDEX('IncStmt Data'!H$197:H$2999,MATCH(A22,IF('IncStmt Data'!A$197=O$1,'IncStmt Data'!G$197:G$2999),0)),"")</f>
        <v/>
      </c>
      <c r="P22" s="15" t="str">
        <f>IFERROR(INDEX('IncStmt Data'!H$212:H$2999,MATCH(A22,IF('IncStmt Data'!A$212=P$1,'IncStmt Data'!G$212:G$2999),0)),"")</f>
        <v/>
      </c>
      <c r="Q22" s="15" t="str">
        <f>IFERROR(INDEX('IncStmt Data'!H$227:H$2999,MATCH(A22,IF('IncStmt Data'!A$227=Q$1,'IncStmt Data'!G$227:G$2999),0)),"")</f>
        <v/>
      </c>
      <c r="R22" s="15" t="str">
        <f>IFERROR(INDEX('IncStmt Data'!H$242:H$2999,MATCH(A22,IF('IncStmt Data'!A$242=R$1,'IncStmt Data'!G$242:G$2999),0)),"")</f>
        <v/>
      </c>
      <c r="S22" s="15" t="str">
        <f>IFERROR(INDEX('IncStmt Data'!H$257:H$2999,MATCH(A22,IF('IncStmt Data'!A$257=S$1,'IncStmt Data'!G$257:G$2999),0)),"")</f>
        <v/>
      </c>
      <c r="T22" s="15" t="str">
        <f>IFERROR(INDEX('IncStmt Data'!H$272:H$2999,MATCH(A22,IF('IncStmt Data'!A$272=T$1,'IncStmt Data'!G$272:G$2999),0)),"")</f>
        <v/>
      </c>
      <c r="U22" s="15" t="str">
        <f>IFERROR(INDEX('IncStmt Data'!H$287:H$2999,MATCH(A22,IF('IncStmt Data'!A$287=U$1,'IncStmt Data'!G$287:G$2999),0)),"")</f>
        <v/>
      </c>
      <c r="V22" s="15" t="str">
        <f>IFERROR(INDEX('IncStmt Data'!H$302:H$2999,MATCH(A22,IF('IncStmt Data'!A$302=V$1,'IncStmt Data'!G$302:G$2999),0)),"")</f>
        <v/>
      </c>
      <c r="W22" s="15" t="str">
        <f>IFERROR(INDEX('IncStmt Data'!H$317:H$2999,MATCH(A22,IF('IncStmt Data'!A$317=W$1,'IncStmt Data'!G$317:G$2999),0)),"")</f>
        <v/>
      </c>
      <c r="X22" s="15" t="str">
        <f>IFERROR(INDEX('IncStmt Data'!H$332:H$2999,MATCH(A22,IF('IncStmt Data'!A$332=X$1,'IncStmt Data'!G$332:G$2999),0)),"")</f>
        <v/>
      </c>
      <c r="Y22" s="15" t="str">
        <f>IFERROR(INDEX('IncStmt Data'!H$347:H$2999,MATCH(A22,IF('IncStmt Data'!A$347=Y$1,'IncStmt Data'!G$347:G$2999),0)),"")</f>
        <v/>
      </c>
      <c r="Z22" s="15" t="str">
        <f>IFERROR(INDEX('IncStmt Data'!H$362:H$2999,MATCH(A22,IF('IncStmt Data'!A$362=Z$1,'IncStmt Data'!G$362:G$2999),0)),"")</f>
        <v/>
      </c>
      <c r="AA22" s="15" t="str">
        <f>IFERROR(INDEX('IncStmt Data'!H$377:H$2999,MATCH(A22,IF('IncStmt Data'!A$377=AA$1,'IncStmt Data'!G$377:G$2999),0)),"")</f>
        <v/>
      </c>
      <c r="AB22" s="15" t="str">
        <f>IFERROR(INDEX('IncStmt Data'!H$392:H$2999,MATCH(A22,IF('IncStmt Data'!A$392=AB$1,'IncStmt Data'!G$392:G$2999),0)),"")</f>
        <v/>
      </c>
      <c r="AC22" s="15" t="str">
        <f>IFERROR(INDEX('IncStmt Data'!H$407:H$2999,MATCH(A22,IF('IncStmt Data'!A$407=AC$1,'IncStmt Data'!G$407:G$2999),0)),"")</f>
        <v/>
      </c>
      <c r="AD22" s="15" t="str">
        <f>IFERROR(INDEX('IncStmt Data'!H$422:H$2999,MATCH(A22,IF('IncStmt Data'!A$422=AD$1,'IncStmt Data'!G$422:G$2999),0)),"")</f>
        <v/>
      </c>
      <c r="AE22" s="15" t="str">
        <f>IFERROR(INDEX('IncStmt Data'!H$437:H$2999,MATCH(A22,IF('IncStmt Data'!A$437=AE$1,'IncStmt Data'!G$437:G$2999),0)),"")</f>
        <v/>
      </c>
      <c r="AF22" s="15" t="str">
        <f>IFERROR(INDEX('IncStmt Data'!H$452:H$2999,MATCH(A22,IF('IncStmt Data'!A$452=AF$1,'IncStmt Data'!G$452:G$2999),0)),"")</f>
        <v/>
      </c>
      <c r="AG22" s="15" t="str">
        <f>IFERROR(INDEX('IncStmt Data'!H$467:H$2999,MATCH(A22,IF('IncStmt Data'!A$467=AG$1,'IncStmt Data'!G$467:G$2999),0)),"")</f>
        <v/>
      </c>
      <c r="AH22" s="15" t="str">
        <f>IFERROR(INDEX('IncStmt Data'!H$482:H$2999,MATCH(A22,IF('IncStmt Data'!A$482=AH$1,'IncStmt Data'!G$482:G$2999),0)),"")</f>
        <v/>
      </c>
      <c r="AI22" s="15" t="str">
        <f>IFERROR(INDEX('IncStmt Data'!H$497:H$2999,MATCH(A22,IF('IncStmt Data'!A$497=AI$1,'IncStmt Data'!G$497:G$2999),0)),"")</f>
        <v/>
      </c>
      <c r="AJ22" s="15" t="str">
        <f>IFERROR(INDEX('IncStmt Data'!H$512:H$2999,MATCH(A22,IF('IncStmt Data'!A$512=AJ$1,'IncStmt Data'!G$512:G$2999),0)),"")</f>
        <v/>
      </c>
      <c r="AK22" s="15" t="str">
        <f>IFERROR(INDEX('IncStmt Data'!H$527:H$2999,MATCH(A22,IF('IncStmt Data'!A$527=AK$1,'IncStmt Data'!G$527:G$2999),0)),"")</f>
        <v/>
      </c>
      <c r="AL22" s="15" t="str">
        <f>IFERROR(INDEX('IncStmt Data'!H$542:H$2999,MATCH(A22,IF('IncStmt Data'!A$542=AL$1,'IncStmt Data'!G$542:G$2999),0)),"")</f>
        <v/>
      </c>
      <c r="AM22" s="15" t="str">
        <f>IFERROR(INDEX('IncStmt Data'!H$557:H$2999,MATCH(A22,IF('IncStmt Data'!A$557=AM$1,'IncStmt Data'!G$557:G$2999),0)),"")</f>
        <v/>
      </c>
      <c r="AN22" s="15" t="str">
        <f>IFERROR(INDEX('IncStmt Data'!H$572:H$2999,MATCH(A22,IF('IncStmt Data'!A$572=AN$1,'IncStmt Data'!G$572:G$2999),0)),"")</f>
        <v/>
      </c>
      <c r="AO22" s="15" t="str">
        <f>IFERROR(INDEX('IncStmt Data'!H$587:H$2999,MATCH(A22,IF('IncStmt Data'!A$587=AO$1,'IncStmt Data'!G$587:G$2999),0)),"")</f>
        <v/>
      </c>
      <c r="AP22" s="15" t="str">
        <f>IFERROR(INDEX('IncStmt Data'!H$602:H$2999,MATCH(A22,IF('IncStmt Data'!A$602=AP$1,'IncStmt Data'!G$602:G$2999),0)),"")</f>
        <v/>
      </c>
      <c r="AQ22" s="15" t="str">
        <f>IFERROR(INDEX('IncStmt Data'!H$617:H$2999,MATCH(A22,IF('IncStmt Data'!A$617=AQ$1,'IncStmt Data'!G$617:G$2999),0)),"")</f>
        <v/>
      </c>
      <c r="AR22" s="15" t="str">
        <f>IFERROR(INDEX('IncStmt Data'!H$632:H$2999,MATCH(A22,IF('IncStmt Data'!A$632=AR$1,'IncStmt Data'!G$632:G$2999),0)),"")</f>
        <v/>
      </c>
      <c r="AS22" s="15" t="str">
        <f>IFERROR(INDEX('IncStmt Data'!H$647:H$2999,MATCH(A22,IF('IncStmt Data'!A$647=AS$1,'IncStmt Data'!G$647:G$2999),0)),"")</f>
        <v/>
      </c>
    </row>
    <row r="23" spans="1:48" s="6" customFormat="1" x14ac:dyDescent="0.25">
      <c r="A23" s="1" t="s">
        <v>55</v>
      </c>
      <c r="B23" s="25" t="str">
        <f>IFERROR(INDEX('IncStmt Data'!H$2:H$2999,MATCH(A23,IF('IncStmt Data'!A$2=B$1,'IncStmt Data'!G$2:G$2999),0)),"")</f>
        <v/>
      </c>
      <c r="C23" s="25" t="str">
        <f>IFERROR(INDEX('IncStmt Data'!H$17:H$2999,MATCH(A23,IF('IncStmt Data'!A$17=C$1,'IncStmt Data'!G$17:G$2999),0)),"")</f>
        <v/>
      </c>
      <c r="D23" s="26" t="str">
        <f>IFERROR(INDEX('IncStmt Data'!H$32:H$2999,MATCH(A23,IF('IncStmt Data'!A$32=D$1,'IncStmt Data'!G$32:G$2999),0)),"")</f>
        <v/>
      </c>
      <c r="E23" s="26" t="str">
        <f>IFERROR(INDEX('IncStmt Data'!H$47:H$2999,MATCH(A23,IF('IncStmt Data'!A$47=E$1,'IncStmt Data'!G$47:G$2999),0)),"")</f>
        <v/>
      </c>
      <c r="F23" s="26" t="str">
        <f>IFERROR(INDEX('IncStmt Data'!H$62:H$2999,MATCH(A23,IF('IncStmt Data'!A$62=F$1,'IncStmt Data'!G$62:G$2999),0)),"")</f>
        <v/>
      </c>
      <c r="G23" s="26" t="str">
        <f>IFERROR(INDEX('IncStmt Data'!H$77:H$2999,MATCH(A23,IF('IncStmt Data'!A$77=G$1,'IncStmt Data'!G$77:G$2999),0)),"")</f>
        <v/>
      </c>
      <c r="H23" s="26" t="str">
        <f>IFERROR(INDEX('IncStmt Data'!H$92:H$2999,MATCH(A23,IF('IncStmt Data'!A$92=H$1,'IncStmt Data'!G$92:G$2999),0)),"")</f>
        <v/>
      </c>
      <c r="I23" s="27" t="str">
        <f>IFERROR(INDEX('IncStmt Data'!H$107:H$2999,MATCH(A23,IF('IncStmt Data'!A$107=I$1,'IncStmt Data'!G$107:G$2999),0)),"")</f>
        <v/>
      </c>
      <c r="J23" s="26" t="str">
        <f>IFERROR(INDEX('IncStmt Data'!H$122:H$2999,MATCH(A23,IF('IncStmt Data'!A$122=J$1,'IncStmt Data'!G$122:G$2999),0)),"")</f>
        <v/>
      </c>
      <c r="K23" s="26" t="str">
        <f>IFERROR(INDEX('IncStmt Data'!H$137:H$2999,MATCH(A23,IF('IncStmt Data'!A$137=K$1,'IncStmt Data'!G$137:G$2999),0)),"")</f>
        <v/>
      </c>
      <c r="L23" s="26" t="str">
        <f>IFERROR(INDEX('IncStmt Data'!H$152:H$2999,MATCH(A23,IF('IncStmt Data'!A$152=L$1,'IncStmt Data'!G$152:G$2999),0)),"")</f>
        <v/>
      </c>
      <c r="M23" s="26" t="str">
        <f>IFERROR(INDEX('IncStmt Data'!H$167:H$2999,MATCH(A23,IF('IncStmt Data'!A$167=M$1,'IncStmt Data'!G$167:G$2999),0)),"")</f>
        <v/>
      </c>
      <c r="N23" s="26" t="str">
        <f>IFERROR(INDEX('IncStmt Data'!H$182:H$2999,MATCH(A23,IF('IncStmt Data'!A$182=N$1,'IncStmt Data'!G$182:G$2999),0)),"")</f>
        <v/>
      </c>
      <c r="O23" s="26" t="str">
        <f>IFERROR(INDEX('IncStmt Data'!H$197:H$2999,MATCH(A23,IF('IncStmt Data'!A$197=O$1,'IncStmt Data'!G$197:G$2999),0)),"")</f>
        <v/>
      </c>
      <c r="P23" s="26" t="str">
        <f>IFERROR(INDEX('IncStmt Data'!H$212:H$2999,MATCH(A23,IF('IncStmt Data'!A$212=P$1,'IncStmt Data'!G$212:G$2999),0)),"")</f>
        <v/>
      </c>
      <c r="Q23" s="26" t="str">
        <f>IFERROR(INDEX('IncStmt Data'!H$227:H$2999,MATCH(A23,IF('IncStmt Data'!A$227=Q$1,'IncStmt Data'!G$227:G$2999),0)),"")</f>
        <v/>
      </c>
      <c r="R23" s="26" t="str">
        <f>IFERROR(INDEX('IncStmt Data'!H$242:H$2999,MATCH(A23,IF('IncStmt Data'!A$242=R$1,'IncStmt Data'!G$242:G$2999),0)),"")</f>
        <v/>
      </c>
      <c r="S23" s="26" t="str">
        <f>IFERROR(INDEX('IncStmt Data'!H$257:H$2999,MATCH(A23,IF('IncStmt Data'!A$257=S$1,'IncStmt Data'!G$257:G$2999),0)),"")</f>
        <v/>
      </c>
      <c r="T23" s="26" t="str">
        <f>IFERROR(INDEX('IncStmt Data'!H$272:H$2999,MATCH(A23,IF('IncStmt Data'!A$272=T$1,'IncStmt Data'!G$272:G$2999),0)),"")</f>
        <v/>
      </c>
      <c r="U23" s="26" t="str">
        <f>IFERROR(INDEX('IncStmt Data'!H$287:H$2999,MATCH(A23,IF('IncStmt Data'!A$287=U$1,'IncStmt Data'!G$287:G$2999),0)),"")</f>
        <v/>
      </c>
      <c r="V23" s="26" t="str">
        <f>IFERROR(INDEX('IncStmt Data'!H$302:H$2999,MATCH(A23,IF('IncStmt Data'!A$302=V$1,'IncStmt Data'!G$302:G$2999),0)),"")</f>
        <v/>
      </c>
      <c r="W23" s="26" t="str">
        <f>IFERROR(INDEX('IncStmt Data'!H$317:H$2999,MATCH(A23,IF('IncStmt Data'!A$317=W$1,'IncStmt Data'!G$317:G$2999),0)),"")</f>
        <v/>
      </c>
      <c r="X23" s="26" t="str">
        <f>IFERROR(INDEX('IncStmt Data'!H$332:H$2999,MATCH(A23,IF('IncStmt Data'!A$332=X$1,'IncStmt Data'!G$332:G$2999),0)),"")</f>
        <v/>
      </c>
      <c r="Y23" s="26" t="str">
        <f>IFERROR(INDEX('IncStmt Data'!H$347:H$2999,MATCH(A23,IF('IncStmt Data'!A$347=Y$1,'IncStmt Data'!G$347:G$2999),0)),"")</f>
        <v/>
      </c>
      <c r="Z23" s="26" t="str">
        <f>IFERROR(INDEX('IncStmt Data'!H$362:H$2999,MATCH(A23,IF('IncStmt Data'!A$362=Z$1,'IncStmt Data'!G$362:G$2999),0)),"")</f>
        <v/>
      </c>
      <c r="AA23" s="26" t="str">
        <f>IFERROR(INDEX('IncStmt Data'!H$377:H$2999,MATCH(A23,IF('IncStmt Data'!A$377=AA$1,'IncStmt Data'!G$377:G$2999),0)),"")</f>
        <v/>
      </c>
      <c r="AB23" s="26" t="str">
        <f>IFERROR(INDEX('IncStmt Data'!H$392:H$2999,MATCH(A23,IF('IncStmt Data'!A$392=AB$1,'IncStmt Data'!G$392:G$2999),0)),"")</f>
        <v/>
      </c>
      <c r="AC23" s="26" t="str">
        <f>IFERROR(INDEX('IncStmt Data'!H$407:H$2999,MATCH(A23,IF('IncStmt Data'!A$407=AC$1,'IncStmt Data'!G$407:G$2999),0)),"")</f>
        <v/>
      </c>
      <c r="AD23" s="26" t="str">
        <f>IFERROR(INDEX('IncStmt Data'!H$422:H$2999,MATCH(A23,IF('IncStmt Data'!A$422=AD$1,'IncStmt Data'!G$422:G$2999),0)),"")</f>
        <v/>
      </c>
      <c r="AE23" s="26" t="str">
        <f>IFERROR(INDEX('IncStmt Data'!H$437:H$2999,MATCH(A23,IF('IncStmt Data'!A$437=AE$1,'IncStmt Data'!G$437:G$2999),0)),"")</f>
        <v/>
      </c>
      <c r="AF23" s="26" t="str">
        <f>IFERROR(INDEX('IncStmt Data'!H$452:H$2999,MATCH(A23,IF('IncStmt Data'!A$452=AF$1,'IncStmt Data'!G$452:G$2999),0)),"")</f>
        <v/>
      </c>
      <c r="AG23" s="26" t="str">
        <f>IFERROR(INDEX('IncStmt Data'!H$467:H$2999,MATCH(A23,IF('IncStmt Data'!A$467=AG$1,'IncStmt Data'!G$467:G$2999),0)),"")</f>
        <v/>
      </c>
      <c r="AH23" s="26" t="str">
        <f>IFERROR(INDEX('IncStmt Data'!H$482:H$2999,MATCH(A23,IF('IncStmt Data'!A$482=AH$1,'IncStmt Data'!G$482:G$2999),0)),"")</f>
        <v/>
      </c>
      <c r="AI23" s="26" t="str">
        <f>IFERROR(INDEX('IncStmt Data'!H$497:H$2999,MATCH(A23,IF('IncStmt Data'!A$497=AI$1,'IncStmt Data'!G$497:G$2999),0)),"")</f>
        <v/>
      </c>
      <c r="AJ23" s="26" t="str">
        <f>IFERROR(INDEX('IncStmt Data'!H$512:H$2999,MATCH(A23,IF('IncStmt Data'!A$512=AJ$1,'IncStmt Data'!G$512:G$2999),0)),"")</f>
        <v/>
      </c>
      <c r="AK23" s="26" t="str">
        <f>IFERROR(INDEX('IncStmt Data'!H$527:H$2999,MATCH(A23,IF('IncStmt Data'!A$527=AK$1,'IncStmt Data'!G$527:G$2999),0)),"")</f>
        <v/>
      </c>
      <c r="AL23" s="26" t="str">
        <f>IFERROR(INDEX('IncStmt Data'!H$542:H$2999,MATCH(A23,IF('IncStmt Data'!A$542=AL$1,'IncStmt Data'!G$542:G$2999),0)),"")</f>
        <v/>
      </c>
      <c r="AM23" s="26" t="str">
        <f>IFERROR(INDEX('IncStmt Data'!H$557:H$2999,MATCH(A23,IF('IncStmt Data'!A$557=AM$1,'IncStmt Data'!G$557:G$2999),0)),"")</f>
        <v/>
      </c>
      <c r="AN23" s="26" t="str">
        <f>IFERROR(INDEX('IncStmt Data'!H$572:H$2999,MATCH(A23,IF('IncStmt Data'!A$572=AN$1,'IncStmt Data'!G$572:G$2999),0)),"")</f>
        <v/>
      </c>
      <c r="AO23" s="26" t="str">
        <f>IFERROR(INDEX('IncStmt Data'!H$587:H$2999,MATCH(A23,IF('IncStmt Data'!A$587=AO$1,'IncStmt Data'!G$587:G$2999),0)),"")</f>
        <v/>
      </c>
      <c r="AP23" s="26" t="str">
        <f>IFERROR(INDEX('IncStmt Data'!H$602:H$2999,MATCH(A23,IF('IncStmt Data'!A$602=AP$1,'IncStmt Data'!G$602:G$2999),0)),"")</f>
        <v/>
      </c>
      <c r="AQ23" s="26" t="str">
        <f>IFERROR(INDEX('IncStmt Data'!H$617:H$2999,MATCH(A23,IF('IncStmt Data'!A$617=AQ$1,'IncStmt Data'!G$617:G$2999),0)),"")</f>
        <v/>
      </c>
      <c r="AR23" s="26" t="str">
        <f>IFERROR(INDEX('IncStmt Data'!H$632:H$2999,MATCH(A23,IF('IncStmt Data'!A$632=AR$1,'IncStmt Data'!G$632:G$2999),0)),"")</f>
        <v/>
      </c>
      <c r="AS23" s="26" t="str">
        <f>IFERROR(INDEX('IncStmt Data'!H$647:H$2999,MATCH(A23,IF('IncStmt Data'!A$647=AS$1,'IncStmt Data'!G$647:G$2999),0)),"")</f>
        <v/>
      </c>
    </row>
    <row r="24" spans="1:48" s="20" customFormat="1" x14ac:dyDescent="0.25">
      <c r="B24" s="20">
        <f>SUM(B21:B23)</f>
        <v>0</v>
      </c>
      <c r="C24" s="20">
        <f>SUM(C21:C23)</f>
        <v>0</v>
      </c>
      <c r="D24" s="20">
        <f t="shared" ref="D24:J24" si="3">SUM(D21:D23)</f>
        <v>0</v>
      </c>
      <c r="E24" s="20">
        <f t="shared" si="3"/>
        <v>0</v>
      </c>
      <c r="F24" s="20">
        <f t="shared" si="3"/>
        <v>0</v>
      </c>
      <c r="G24" s="20">
        <f t="shared" si="3"/>
        <v>0</v>
      </c>
      <c r="H24" s="20">
        <f t="shared" si="3"/>
        <v>0</v>
      </c>
      <c r="I24" s="20">
        <f t="shared" si="3"/>
        <v>0</v>
      </c>
      <c r="J24" s="20">
        <f t="shared" si="3"/>
        <v>0</v>
      </c>
      <c r="K24" s="20">
        <f t="shared" ref="K24" si="4">SUM(K21:K23)</f>
        <v>0</v>
      </c>
      <c r="L24" s="20">
        <f t="shared" ref="L24" si="5">SUM(L21:L23)</f>
        <v>0</v>
      </c>
      <c r="M24" s="20">
        <f t="shared" ref="M24" si="6">SUM(M21:M23)</f>
        <v>0</v>
      </c>
      <c r="N24" s="20">
        <f t="shared" ref="N24" si="7">SUM(N21:N23)</f>
        <v>0</v>
      </c>
      <c r="O24" s="20">
        <f t="shared" ref="O24" si="8">SUM(O21:O23)</f>
        <v>0</v>
      </c>
      <c r="P24" s="20">
        <f t="shared" ref="P24" si="9">SUM(P21:P23)</f>
        <v>0</v>
      </c>
      <c r="Q24" s="20">
        <f t="shared" ref="Q24:R24" si="10">SUM(Q21:Q23)</f>
        <v>0</v>
      </c>
      <c r="R24" s="20">
        <f t="shared" si="10"/>
        <v>0</v>
      </c>
      <c r="S24" s="20">
        <f t="shared" ref="S24" si="11">SUM(S21:S23)</f>
        <v>0</v>
      </c>
      <c r="T24" s="20">
        <f t="shared" ref="T24" si="12">SUM(T21:T23)</f>
        <v>0</v>
      </c>
      <c r="U24" s="20">
        <f t="shared" ref="U24" si="13">SUM(U21:U23)</f>
        <v>0</v>
      </c>
      <c r="V24" s="20">
        <f t="shared" ref="V24" si="14">SUM(V21:V23)</f>
        <v>0</v>
      </c>
      <c r="W24" s="20">
        <f t="shared" ref="W24" si="15">SUM(W21:W23)</f>
        <v>0</v>
      </c>
      <c r="X24" s="20">
        <f t="shared" ref="X24" si="16">SUM(X21:X23)</f>
        <v>0</v>
      </c>
      <c r="Y24" s="20">
        <f t="shared" ref="Y24" si="17">SUM(Y21:Y23)</f>
        <v>0</v>
      </c>
      <c r="Z24" s="20">
        <f t="shared" ref="Z24" si="18">SUM(Z21:Z23)</f>
        <v>0</v>
      </c>
      <c r="AA24" s="20">
        <f t="shared" ref="AA24" si="19">SUM(AA21:AA23)</f>
        <v>0</v>
      </c>
      <c r="AB24" s="20">
        <f t="shared" ref="AB24" si="20">SUM(AB21:AB23)</f>
        <v>0</v>
      </c>
      <c r="AC24" s="20">
        <f t="shared" ref="AC24" si="21">SUM(AC21:AC23)</f>
        <v>0</v>
      </c>
      <c r="AD24" s="20">
        <f t="shared" ref="AD24" si="22">SUM(AD21:AD23)</f>
        <v>0</v>
      </c>
      <c r="AE24" s="20">
        <f t="shared" ref="AE24" si="23">SUM(AE21:AE23)</f>
        <v>0</v>
      </c>
      <c r="AF24" s="20">
        <f t="shared" ref="AF24" si="24">SUM(AF21:AF23)</f>
        <v>0</v>
      </c>
      <c r="AG24" s="20">
        <f t="shared" ref="AG24" si="25">SUM(AG21:AG23)</f>
        <v>0</v>
      </c>
      <c r="AH24" s="20">
        <f t="shared" ref="AH24" si="26">SUM(AH21:AH23)</f>
        <v>0</v>
      </c>
      <c r="AI24" s="20">
        <f t="shared" ref="AI24" si="27">SUM(AI21:AI23)</f>
        <v>0</v>
      </c>
      <c r="AJ24" s="20">
        <f t="shared" ref="AJ24" si="28">SUM(AJ21:AJ23)</f>
        <v>0</v>
      </c>
      <c r="AK24" s="20">
        <f t="shared" ref="AK24" si="29">SUM(AK21:AK23)</f>
        <v>0</v>
      </c>
      <c r="AL24" s="20">
        <f t="shared" ref="AL24" si="30">SUM(AL21:AL23)</f>
        <v>0</v>
      </c>
      <c r="AM24" s="20">
        <f t="shared" ref="AM24" si="31">SUM(AM21:AM23)</f>
        <v>0</v>
      </c>
      <c r="AN24" s="20">
        <f t="shared" ref="AN24" si="32">SUM(AN21:AN23)</f>
        <v>0</v>
      </c>
      <c r="AO24" s="20">
        <f t="shared" ref="AO24" si="33">SUM(AO21:AO23)</f>
        <v>0</v>
      </c>
      <c r="AP24" s="20">
        <f t="shared" ref="AP24" si="34">SUM(AP21:AP23)</f>
        <v>0</v>
      </c>
      <c r="AQ24" s="20">
        <f t="shared" ref="AQ24" si="35">SUM(AQ21:AQ23)</f>
        <v>0</v>
      </c>
      <c r="AR24" s="20">
        <f t="shared" ref="AR24" si="36">SUM(AR21:AR23)</f>
        <v>0</v>
      </c>
      <c r="AS24" s="20">
        <f t="shared" ref="AS24" si="37">SUM(AS21:AS23)</f>
        <v>0</v>
      </c>
    </row>
    <row r="25" spans="1:48" x14ac:dyDescent="0.25"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</row>
    <row r="26" spans="1:48" s="20" customFormat="1" x14ac:dyDescent="0.25">
      <c r="A26" s="18" t="s">
        <v>58</v>
      </c>
      <c r="B26" s="19">
        <f>B24-B18</f>
        <v>0</v>
      </c>
      <c r="C26" s="19">
        <f>C24-C18</f>
        <v>0</v>
      </c>
      <c r="D26" s="19">
        <f t="shared" ref="D26:AS26" si="38">D24-D18</f>
        <v>0</v>
      </c>
      <c r="E26" s="19">
        <f t="shared" si="38"/>
        <v>0</v>
      </c>
      <c r="F26" s="19">
        <f t="shared" si="38"/>
        <v>0</v>
      </c>
      <c r="G26" s="19">
        <f t="shared" si="38"/>
        <v>0</v>
      </c>
      <c r="H26" s="19">
        <f t="shared" si="38"/>
        <v>0</v>
      </c>
      <c r="I26" s="19">
        <f t="shared" si="38"/>
        <v>0</v>
      </c>
      <c r="J26" s="19">
        <f t="shared" si="38"/>
        <v>0</v>
      </c>
      <c r="K26" s="19">
        <f t="shared" si="38"/>
        <v>0</v>
      </c>
      <c r="L26" s="19">
        <f t="shared" si="38"/>
        <v>0</v>
      </c>
      <c r="M26" s="19">
        <f t="shared" si="38"/>
        <v>0</v>
      </c>
      <c r="N26" s="19">
        <f t="shared" si="38"/>
        <v>0</v>
      </c>
      <c r="O26" s="19">
        <f t="shared" si="38"/>
        <v>0</v>
      </c>
      <c r="P26" s="19">
        <f t="shared" si="38"/>
        <v>0</v>
      </c>
      <c r="Q26" s="19">
        <f t="shared" si="38"/>
        <v>0</v>
      </c>
      <c r="R26" s="19">
        <f t="shared" si="38"/>
        <v>0</v>
      </c>
      <c r="S26" s="19">
        <f t="shared" si="38"/>
        <v>0</v>
      </c>
      <c r="T26" s="19">
        <f t="shared" si="38"/>
        <v>0</v>
      </c>
      <c r="U26" s="19">
        <f t="shared" si="38"/>
        <v>0</v>
      </c>
      <c r="V26" s="19">
        <f t="shared" si="38"/>
        <v>0</v>
      </c>
      <c r="W26" s="19">
        <f t="shared" si="38"/>
        <v>0</v>
      </c>
      <c r="X26" s="19">
        <f t="shared" si="38"/>
        <v>0</v>
      </c>
      <c r="Y26" s="19">
        <f t="shared" si="38"/>
        <v>0</v>
      </c>
      <c r="Z26" s="19">
        <f t="shared" si="38"/>
        <v>0</v>
      </c>
      <c r="AA26" s="19">
        <f t="shared" si="38"/>
        <v>0</v>
      </c>
      <c r="AB26" s="19">
        <f t="shared" si="38"/>
        <v>0</v>
      </c>
      <c r="AC26" s="19">
        <f t="shared" si="38"/>
        <v>0</v>
      </c>
      <c r="AD26" s="19">
        <f t="shared" si="38"/>
        <v>0</v>
      </c>
      <c r="AE26" s="19">
        <f t="shared" si="38"/>
        <v>0</v>
      </c>
      <c r="AF26" s="19">
        <f t="shared" si="38"/>
        <v>0</v>
      </c>
      <c r="AG26" s="19">
        <f t="shared" si="38"/>
        <v>0</v>
      </c>
      <c r="AH26" s="19">
        <f t="shared" si="38"/>
        <v>0</v>
      </c>
      <c r="AI26" s="19">
        <f t="shared" si="38"/>
        <v>0</v>
      </c>
      <c r="AJ26" s="19">
        <f t="shared" si="38"/>
        <v>0</v>
      </c>
      <c r="AK26" s="19">
        <f t="shared" si="38"/>
        <v>0</v>
      </c>
      <c r="AL26" s="19">
        <f t="shared" si="38"/>
        <v>-2490</v>
      </c>
      <c r="AM26" s="19">
        <f t="shared" si="38"/>
        <v>-2490</v>
      </c>
      <c r="AN26" s="19">
        <f t="shared" si="38"/>
        <v>-2490</v>
      </c>
      <c r="AO26" s="19">
        <f t="shared" si="38"/>
        <v>-2490</v>
      </c>
      <c r="AP26" s="19">
        <f t="shared" si="38"/>
        <v>-2490</v>
      </c>
      <c r="AQ26" s="19">
        <f t="shared" si="38"/>
        <v>-2490</v>
      </c>
      <c r="AR26" s="19">
        <f t="shared" si="38"/>
        <v>-2490</v>
      </c>
      <c r="AS26" s="19">
        <f t="shared" si="38"/>
        <v>0</v>
      </c>
      <c r="AT26" s="19"/>
      <c r="AU26" s="19"/>
      <c r="AV26" s="19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647"/>
  <sheetViews>
    <sheetView workbookViewId="0">
      <selection activeCell="B8" sqref="B8"/>
    </sheetView>
  </sheetViews>
  <sheetFormatPr defaultRowHeight="15" x14ac:dyDescent="0.25"/>
  <cols>
    <col min="1" max="1" width="9.42578125" bestFit="1" customWidth="1"/>
    <col min="2" max="2" width="13.140625" bestFit="1" customWidth="1"/>
    <col min="3" max="3" width="8.85546875" bestFit="1" customWidth="1"/>
    <col min="5" max="5" width="21" bestFit="1" customWidth="1"/>
    <col min="6" max="6" width="22.140625" bestFit="1" customWidth="1"/>
    <col min="7" max="7" width="26.5703125" bestFit="1" customWidth="1"/>
  </cols>
  <sheetData>
    <row r="1" spans="1:8" x14ac:dyDescent="0.25">
      <c r="A1" s="1" t="s">
        <v>7</v>
      </c>
      <c r="B1" s="1" t="s">
        <v>4</v>
      </c>
      <c r="C1" s="1" t="s">
        <v>8</v>
      </c>
      <c r="D1" s="1" t="s">
        <v>9</v>
      </c>
      <c r="E1" s="1" t="s">
        <v>5</v>
      </c>
      <c r="F1" s="1" t="s">
        <v>10</v>
      </c>
      <c r="G1" s="1" t="s">
        <v>11</v>
      </c>
      <c r="H1" s="1" t="s">
        <v>12</v>
      </c>
    </row>
    <row r="647" spans="1:8" x14ac:dyDescent="0.25">
      <c r="A647">
        <v>70346</v>
      </c>
      <c r="B647" t="s">
        <v>41</v>
      </c>
      <c r="C647" t="s">
        <v>42</v>
      </c>
      <c r="D647">
        <v>2</v>
      </c>
      <c r="E647">
        <v>0</v>
      </c>
      <c r="F647" t="s">
        <v>43</v>
      </c>
      <c r="G647" t="s">
        <v>44</v>
      </c>
      <c r="H647">
        <v>1245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Main</vt:lpstr>
      <vt:lpstr>Main Data</vt:lpstr>
      <vt:lpstr>BalSht</vt:lpstr>
      <vt:lpstr>BalSht Data</vt:lpstr>
      <vt:lpstr>IncStmt</vt:lpstr>
      <vt:lpstr>IncStmt Data</vt:lpstr>
      <vt:lpstr>ProjectNames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2018-02-01T05:54:08Z</dcterms:modified>
</cp:coreProperties>
</file>