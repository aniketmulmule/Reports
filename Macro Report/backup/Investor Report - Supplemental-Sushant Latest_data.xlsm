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activeTab="1"/>
  </bookViews>
  <sheets>
    <sheet name="Instructions" sheetId="7" r:id="rId1"/>
    <sheet name="Main" sheetId="1" r:id="rId2"/>
    <sheet name="Sheet3" sheetId="9" r:id="rId3"/>
    <sheet name="Sheet2" sheetId="8" r:id="rId4"/>
    <sheet name="Main Data" sheetId="6" state="veryHidden" r:id="rId5"/>
    <sheet name="BalSht" sheetId="2" r:id="rId6"/>
    <sheet name="BalSht Data" sheetId="4" state="veryHidden" r:id="rId7"/>
    <sheet name="IncStmt" sheetId="3" r:id="rId8"/>
    <sheet name="IncStmt Data" sheetId="5" state="veryHidden" r:id="rId9"/>
  </sheets>
  <externalReferences>
    <externalReference r:id="rId10"/>
  </externalReferences>
  <definedNames>
    <definedName name="ProjectNames">Main!$A$7:$B$100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4" i="9" l="1"/>
  <c r="F44" i="9" s="1"/>
  <c r="E43" i="9"/>
  <c r="F43" i="9" s="1"/>
  <c r="E42" i="9"/>
  <c r="F42" i="9" s="1"/>
  <c r="E41" i="9"/>
  <c r="F41" i="9" s="1"/>
  <c r="E40" i="9"/>
  <c r="F40" i="9" s="1"/>
  <c r="E39" i="9"/>
  <c r="F39" i="9" s="1"/>
  <c r="E38" i="9"/>
  <c r="F38" i="9" s="1"/>
  <c r="E37" i="9"/>
  <c r="F37" i="9" s="1"/>
  <c r="E36" i="9"/>
  <c r="F36" i="9" s="1"/>
  <c r="E35" i="9"/>
  <c r="F35" i="9" s="1"/>
  <c r="E34" i="9"/>
  <c r="F34" i="9" s="1"/>
  <c r="E33" i="9"/>
  <c r="F33" i="9" s="1"/>
  <c r="E32" i="9"/>
  <c r="F32" i="9" s="1"/>
  <c r="E31" i="9"/>
  <c r="F31" i="9" s="1"/>
  <c r="E30" i="9"/>
  <c r="F30" i="9" s="1"/>
  <c r="E29" i="9"/>
  <c r="F29" i="9" s="1"/>
  <c r="E28" i="9"/>
  <c r="F28" i="9" s="1"/>
  <c r="E27" i="9"/>
  <c r="F27" i="9" s="1"/>
  <c r="E26" i="9"/>
  <c r="F26" i="9" s="1"/>
  <c r="E25" i="9"/>
  <c r="F25" i="9" s="1"/>
  <c r="E24" i="9"/>
  <c r="F24" i="9" s="1"/>
  <c r="E23" i="9"/>
  <c r="F23" i="9" s="1"/>
  <c r="E22" i="9"/>
  <c r="F22" i="9" s="1"/>
  <c r="E21" i="9"/>
  <c r="F21" i="9" s="1"/>
  <c r="E20" i="9"/>
  <c r="F20" i="9" s="1"/>
  <c r="E19" i="9"/>
  <c r="F19" i="9" s="1"/>
  <c r="E18" i="9"/>
  <c r="F18" i="9" s="1"/>
  <c r="E17" i="9"/>
  <c r="F17" i="9" s="1"/>
  <c r="E16" i="9"/>
  <c r="F16" i="9" s="1"/>
  <c r="E15" i="9"/>
  <c r="F15" i="9" s="1"/>
  <c r="E14" i="9"/>
  <c r="F14" i="9" s="1"/>
  <c r="E13" i="9"/>
  <c r="F13" i="9" s="1"/>
  <c r="E12" i="9"/>
  <c r="F12" i="9" s="1"/>
  <c r="E11" i="9"/>
  <c r="F11" i="9" s="1"/>
  <c r="E10" i="9"/>
  <c r="F10" i="9" s="1"/>
  <c r="E9" i="9"/>
  <c r="F9" i="9" s="1"/>
  <c r="B6" i="9" a="1"/>
  <c r="B6" i="9" s="1"/>
  <c r="AL26" i="3" l="1"/>
  <c r="AM26" i="3"/>
  <c r="AN26" i="3"/>
  <c r="AO26" i="3"/>
  <c r="AP26" i="3"/>
  <c r="AQ26" i="3"/>
  <c r="AR26" i="3"/>
  <c r="AS26" i="3"/>
  <c r="AL18" i="3"/>
  <c r="AM18" i="3"/>
  <c r="AN18" i="3"/>
  <c r="AO18" i="3"/>
  <c r="AP18" i="3"/>
  <c r="AQ18" i="3"/>
  <c r="AR18" i="3"/>
  <c r="AS18" i="3"/>
  <c r="AS7" i="3"/>
  <c r="AS8" i="3"/>
  <c r="AS9" i="3"/>
  <c r="AS10" i="3"/>
  <c r="AS11" i="3"/>
  <c r="AS12" i="3"/>
  <c r="AS13" i="3"/>
  <c r="AS14" i="3"/>
  <c r="AS15" i="3"/>
  <c r="AS16" i="3"/>
  <c r="AS17" i="3"/>
  <c r="AS21" i="3"/>
  <c r="AS22" i="3"/>
  <c r="AS23" i="3"/>
  <c r="AR7" i="3"/>
  <c r="AR8" i="3"/>
  <c r="AR9" i="3"/>
  <c r="AR10" i="3"/>
  <c r="AR11" i="3"/>
  <c r="AR12" i="3"/>
  <c r="AR13" i="3"/>
  <c r="AR14" i="3"/>
  <c r="AR15" i="3"/>
  <c r="AR16" i="3"/>
  <c r="AR17" i="3"/>
  <c r="AR21" i="3"/>
  <c r="AR22" i="3"/>
  <c r="AR23" i="3"/>
  <c r="AQ7" i="3"/>
  <c r="AQ8" i="3"/>
  <c r="AQ9" i="3"/>
  <c r="AQ10" i="3"/>
  <c r="AQ11" i="3"/>
  <c r="AQ12" i="3"/>
  <c r="AQ13" i="3"/>
  <c r="AQ14" i="3"/>
  <c r="AQ15" i="3"/>
  <c r="AQ16" i="3"/>
  <c r="AQ17" i="3"/>
  <c r="AQ21" i="3"/>
  <c r="AQ22" i="3"/>
  <c r="AQ23" i="3"/>
  <c r="AP7" i="3"/>
  <c r="AP8" i="3"/>
  <c r="AP9" i="3"/>
  <c r="AP10" i="3"/>
  <c r="AP11" i="3"/>
  <c r="AP12" i="3"/>
  <c r="AP13" i="3"/>
  <c r="AP14" i="3"/>
  <c r="AP15" i="3"/>
  <c r="AP16" i="3"/>
  <c r="AP17" i="3"/>
  <c r="AP21" i="3"/>
  <c r="AP22" i="3"/>
  <c r="AP23" i="3"/>
  <c r="AO7" i="3"/>
  <c r="AO8" i="3"/>
  <c r="AO9" i="3"/>
  <c r="AO10" i="3"/>
  <c r="AO11" i="3"/>
  <c r="AO12" i="3"/>
  <c r="AO13" i="3"/>
  <c r="AO14" i="3"/>
  <c r="AO15" i="3"/>
  <c r="AO16" i="3"/>
  <c r="AO17" i="3"/>
  <c r="AO21" i="3"/>
  <c r="AO22" i="3"/>
  <c r="AO23" i="3"/>
  <c r="AN7" i="3"/>
  <c r="AN8" i="3"/>
  <c r="AN9" i="3"/>
  <c r="AN10" i="3"/>
  <c r="AN11" i="3"/>
  <c r="AN12" i="3"/>
  <c r="AN13" i="3"/>
  <c r="AN14" i="3"/>
  <c r="AN15" i="3"/>
  <c r="AN16" i="3"/>
  <c r="AN17" i="3"/>
  <c r="AN21" i="3"/>
  <c r="AN22" i="3"/>
  <c r="AN23" i="3"/>
  <c r="AM7" i="3"/>
  <c r="AM8" i="3"/>
  <c r="AM9" i="3"/>
  <c r="AM10" i="3"/>
  <c r="AM11" i="3"/>
  <c r="AM12" i="3"/>
  <c r="AM13" i="3"/>
  <c r="AM14" i="3"/>
  <c r="AM15" i="3"/>
  <c r="AM16" i="3"/>
  <c r="AM17" i="3"/>
  <c r="AM21" i="3"/>
  <c r="AM22" i="3"/>
  <c r="AM23" i="3"/>
  <c r="AL7" i="3"/>
  <c r="AL8" i="3"/>
  <c r="AL9" i="3"/>
  <c r="AL10" i="3"/>
  <c r="AL11" i="3"/>
  <c r="AL12" i="3"/>
  <c r="AL13" i="3"/>
  <c r="AL14" i="3"/>
  <c r="AL15" i="3"/>
  <c r="AL16" i="3"/>
  <c r="AL17" i="3"/>
  <c r="AL21" i="3"/>
  <c r="AL22" i="3"/>
  <c r="AL23" i="3"/>
  <c r="AK7" i="3"/>
  <c r="AK8" i="3"/>
  <c r="AK9" i="3"/>
  <c r="AK10" i="3"/>
  <c r="AK11" i="3"/>
  <c r="AK12" i="3"/>
  <c r="AK13" i="3"/>
  <c r="AK14" i="3"/>
  <c r="AK15" i="3"/>
  <c r="AK16" i="3"/>
  <c r="AK17" i="3"/>
  <c r="AK21" i="3"/>
  <c r="AK22" i="3"/>
  <c r="AK23" i="3"/>
  <c r="AJ7" i="3"/>
  <c r="AJ8" i="3"/>
  <c r="AJ9" i="3"/>
  <c r="AJ10" i="3"/>
  <c r="AJ11" i="3"/>
  <c r="AJ12" i="3"/>
  <c r="AJ13" i="3"/>
  <c r="AJ14" i="3"/>
  <c r="AJ15" i="3"/>
  <c r="AJ16" i="3"/>
  <c r="AJ17" i="3"/>
  <c r="AJ21" i="3"/>
  <c r="AJ22" i="3"/>
  <c r="AJ23" i="3"/>
  <c r="AI7" i="3"/>
  <c r="AI8" i="3"/>
  <c r="AI9" i="3"/>
  <c r="AI10" i="3"/>
  <c r="AI11" i="3"/>
  <c r="AI12" i="3"/>
  <c r="AI13" i="3"/>
  <c r="AI14" i="3"/>
  <c r="AI15" i="3"/>
  <c r="AI16" i="3"/>
  <c r="AI17" i="3"/>
  <c r="AI21" i="3"/>
  <c r="AI22" i="3"/>
  <c r="AI23" i="3"/>
  <c r="AH7" i="3"/>
  <c r="AH8" i="3"/>
  <c r="AH9" i="3"/>
  <c r="AH10" i="3"/>
  <c r="AH11" i="3"/>
  <c r="AH12" i="3"/>
  <c r="AH13" i="3"/>
  <c r="AH14" i="3"/>
  <c r="AH15" i="3"/>
  <c r="AH16" i="3"/>
  <c r="AH17" i="3"/>
  <c r="AH21" i="3"/>
  <c r="AH22" i="3"/>
  <c r="AH23" i="3"/>
  <c r="AG7" i="3"/>
  <c r="AG8" i="3"/>
  <c r="AG9" i="3"/>
  <c r="AG10" i="3"/>
  <c r="AG11" i="3"/>
  <c r="AG12" i="3"/>
  <c r="AG13" i="3"/>
  <c r="AG14" i="3"/>
  <c r="AG15" i="3"/>
  <c r="AG16" i="3"/>
  <c r="AG17" i="3"/>
  <c r="AG21" i="3"/>
  <c r="AG22" i="3"/>
  <c r="AG23" i="3"/>
  <c r="AF7" i="3"/>
  <c r="AF8" i="3"/>
  <c r="AF9" i="3"/>
  <c r="AF10" i="3"/>
  <c r="AF11" i="3"/>
  <c r="AF12" i="3"/>
  <c r="AF13" i="3"/>
  <c r="AF14" i="3"/>
  <c r="AF15" i="3"/>
  <c r="AF16" i="3"/>
  <c r="AF17" i="3"/>
  <c r="AF21" i="3"/>
  <c r="AF22" i="3"/>
  <c r="AF23" i="3"/>
  <c r="AE7" i="3"/>
  <c r="AE8" i="3"/>
  <c r="AE9" i="3"/>
  <c r="AE10" i="3"/>
  <c r="AE11" i="3"/>
  <c r="AE12" i="3"/>
  <c r="AE13" i="3"/>
  <c r="AE14" i="3"/>
  <c r="AE15" i="3"/>
  <c r="AE16" i="3"/>
  <c r="AE17" i="3"/>
  <c r="AE21" i="3"/>
  <c r="AE22" i="3"/>
  <c r="AE23" i="3"/>
  <c r="AD7" i="3"/>
  <c r="AD8" i="3"/>
  <c r="AD9" i="3"/>
  <c r="AD10" i="3"/>
  <c r="AD11" i="3"/>
  <c r="AD12" i="3"/>
  <c r="AD13" i="3"/>
  <c r="AD14" i="3"/>
  <c r="AD15" i="3"/>
  <c r="AD16" i="3"/>
  <c r="AD17" i="3"/>
  <c r="AD21" i="3"/>
  <c r="AD22" i="3"/>
  <c r="AD23" i="3"/>
  <c r="AC7" i="3"/>
  <c r="AC8" i="3"/>
  <c r="AC9" i="3"/>
  <c r="AC10" i="3"/>
  <c r="AC11" i="3"/>
  <c r="AC12" i="3"/>
  <c r="AC13" i="3"/>
  <c r="AC14" i="3"/>
  <c r="AC15" i="3"/>
  <c r="AC16" i="3"/>
  <c r="AC17" i="3"/>
  <c r="AC21" i="3"/>
  <c r="AC22" i="3"/>
  <c r="AC23" i="3"/>
  <c r="AB7" i="3"/>
  <c r="AB8" i="3"/>
  <c r="AB9" i="3"/>
  <c r="AB10" i="3"/>
  <c r="AB11" i="3"/>
  <c r="AB12" i="3"/>
  <c r="AB13" i="3"/>
  <c r="AB14" i="3"/>
  <c r="AB15" i="3"/>
  <c r="AB16" i="3"/>
  <c r="AB17" i="3"/>
  <c r="AB21" i="3"/>
  <c r="AB22" i="3"/>
  <c r="AB23" i="3"/>
  <c r="AA7" i="3"/>
  <c r="AA8" i="3"/>
  <c r="AA9" i="3"/>
  <c r="AA10" i="3"/>
  <c r="AA11" i="3"/>
  <c r="AA12" i="3"/>
  <c r="AA13" i="3"/>
  <c r="AA14" i="3"/>
  <c r="AA15" i="3"/>
  <c r="AA16" i="3"/>
  <c r="AA17" i="3"/>
  <c r="AA21" i="3"/>
  <c r="AA22" i="3"/>
  <c r="AA23" i="3"/>
  <c r="Z7" i="3"/>
  <c r="Z8" i="3"/>
  <c r="Z9" i="3"/>
  <c r="Z10" i="3"/>
  <c r="Z11" i="3"/>
  <c r="Z12" i="3"/>
  <c r="Z13" i="3"/>
  <c r="Z14" i="3"/>
  <c r="Z15" i="3"/>
  <c r="Z16" i="3"/>
  <c r="Z17" i="3"/>
  <c r="Z21" i="3"/>
  <c r="Z22" i="3"/>
  <c r="Z23" i="3"/>
  <c r="Y7" i="3"/>
  <c r="Y8" i="3"/>
  <c r="Y9" i="3"/>
  <c r="Y10" i="3"/>
  <c r="Y11" i="3"/>
  <c r="Y12" i="3"/>
  <c r="Y13" i="3"/>
  <c r="Y14" i="3"/>
  <c r="Y15" i="3"/>
  <c r="Y16" i="3"/>
  <c r="Y17" i="3"/>
  <c r="Y21" i="3"/>
  <c r="Y22" i="3"/>
  <c r="Y23" i="3"/>
  <c r="X7" i="3"/>
  <c r="X8" i="3"/>
  <c r="X9" i="3"/>
  <c r="X10" i="3"/>
  <c r="X11" i="3"/>
  <c r="X12" i="3"/>
  <c r="X13" i="3"/>
  <c r="X14" i="3"/>
  <c r="X15" i="3"/>
  <c r="X16" i="3"/>
  <c r="X17" i="3"/>
  <c r="X21" i="3"/>
  <c r="X22" i="3"/>
  <c r="X23" i="3"/>
  <c r="W7" i="3"/>
  <c r="W8" i="3"/>
  <c r="W9" i="3"/>
  <c r="W10" i="3"/>
  <c r="W11" i="3"/>
  <c r="W12" i="3"/>
  <c r="W13" i="3"/>
  <c r="W14" i="3"/>
  <c r="W15" i="3"/>
  <c r="W16" i="3"/>
  <c r="W17" i="3"/>
  <c r="W21" i="3"/>
  <c r="W22" i="3"/>
  <c r="W23" i="3"/>
  <c r="V7" i="3"/>
  <c r="V8" i="3"/>
  <c r="V9" i="3"/>
  <c r="V10" i="3"/>
  <c r="V11" i="3"/>
  <c r="V12" i="3"/>
  <c r="V13" i="3"/>
  <c r="V14" i="3"/>
  <c r="V15" i="3"/>
  <c r="V16" i="3"/>
  <c r="V17" i="3"/>
  <c r="V21" i="3"/>
  <c r="V22" i="3"/>
  <c r="V23" i="3"/>
  <c r="U7" i="3"/>
  <c r="U8" i="3"/>
  <c r="U9" i="3"/>
  <c r="U10" i="3"/>
  <c r="U11" i="3"/>
  <c r="U12" i="3"/>
  <c r="U13" i="3"/>
  <c r="U14" i="3"/>
  <c r="U15" i="3"/>
  <c r="U16" i="3"/>
  <c r="U17" i="3"/>
  <c r="U21" i="3"/>
  <c r="U22" i="3"/>
  <c r="U23" i="3"/>
  <c r="T7" i="3"/>
  <c r="T8" i="3"/>
  <c r="T9" i="3"/>
  <c r="T10" i="3"/>
  <c r="T11" i="3"/>
  <c r="T12" i="3"/>
  <c r="T13" i="3"/>
  <c r="T14" i="3"/>
  <c r="T15" i="3"/>
  <c r="T16" i="3"/>
  <c r="T17" i="3"/>
  <c r="T21" i="3"/>
  <c r="T22" i="3"/>
  <c r="T23" i="3"/>
  <c r="S7" i="3"/>
  <c r="S8" i="3"/>
  <c r="S9" i="3"/>
  <c r="S10" i="3"/>
  <c r="S11" i="3"/>
  <c r="S12" i="3"/>
  <c r="S13" i="3"/>
  <c r="S14" i="3"/>
  <c r="S15" i="3"/>
  <c r="S16" i="3"/>
  <c r="S17" i="3"/>
  <c r="S21" i="3"/>
  <c r="S22" i="3"/>
  <c r="S23" i="3"/>
  <c r="R7" i="3"/>
  <c r="R8" i="3"/>
  <c r="R9" i="3"/>
  <c r="R10" i="3"/>
  <c r="R11" i="3"/>
  <c r="R12" i="3"/>
  <c r="R13" i="3"/>
  <c r="R14" i="3"/>
  <c r="R15" i="3"/>
  <c r="R16" i="3"/>
  <c r="R17" i="3"/>
  <c r="R21" i="3"/>
  <c r="R22" i="3"/>
  <c r="R23" i="3"/>
  <c r="Q7" i="3"/>
  <c r="Q8" i="3"/>
  <c r="Q9" i="3"/>
  <c r="Q10" i="3"/>
  <c r="Q11" i="3"/>
  <c r="Q12" i="3"/>
  <c r="Q13" i="3"/>
  <c r="Q14" i="3"/>
  <c r="Q15" i="3"/>
  <c r="Q16" i="3"/>
  <c r="Q17" i="3"/>
  <c r="Q21" i="3"/>
  <c r="Q22" i="3"/>
  <c r="Q23" i="3"/>
  <c r="P7" i="3"/>
  <c r="P8" i="3"/>
  <c r="P9" i="3"/>
  <c r="P10" i="3"/>
  <c r="P11" i="3"/>
  <c r="P12" i="3"/>
  <c r="P13" i="3"/>
  <c r="P14" i="3"/>
  <c r="P15" i="3"/>
  <c r="P16" i="3"/>
  <c r="P17" i="3"/>
  <c r="P21" i="3"/>
  <c r="P22" i="3"/>
  <c r="P23" i="3"/>
  <c r="O7" i="3"/>
  <c r="O8" i="3"/>
  <c r="O9" i="3"/>
  <c r="O10" i="3"/>
  <c r="O11" i="3"/>
  <c r="O12" i="3"/>
  <c r="O13" i="3"/>
  <c r="O14" i="3"/>
  <c r="O15" i="3"/>
  <c r="O16" i="3"/>
  <c r="O17" i="3"/>
  <c r="O21" i="3"/>
  <c r="O22" i="3"/>
  <c r="O23" i="3"/>
  <c r="N7" i="3"/>
  <c r="N8" i="3"/>
  <c r="N9" i="3"/>
  <c r="N10" i="3"/>
  <c r="N11" i="3"/>
  <c r="N12" i="3"/>
  <c r="N13" i="3"/>
  <c r="N14" i="3"/>
  <c r="N15" i="3"/>
  <c r="N16" i="3"/>
  <c r="N17" i="3"/>
  <c r="N21" i="3"/>
  <c r="N22" i="3"/>
  <c r="N23" i="3"/>
  <c r="M7" i="3"/>
  <c r="M8" i="3"/>
  <c r="M9" i="3"/>
  <c r="M10" i="3"/>
  <c r="M11" i="3"/>
  <c r="M12" i="3"/>
  <c r="M13" i="3"/>
  <c r="M14" i="3"/>
  <c r="M15" i="3"/>
  <c r="M16" i="3"/>
  <c r="M17" i="3"/>
  <c r="M21" i="3"/>
  <c r="M22" i="3"/>
  <c r="M23" i="3"/>
  <c r="L7" i="3"/>
  <c r="L8" i="3"/>
  <c r="L9" i="3"/>
  <c r="L10" i="3"/>
  <c r="L11" i="3"/>
  <c r="L12" i="3"/>
  <c r="L13" i="3"/>
  <c r="L14" i="3"/>
  <c r="L15" i="3"/>
  <c r="L16" i="3"/>
  <c r="L17" i="3"/>
  <c r="L21" i="3"/>
  <c r="L22" i="3"/>
  <c r="L23" i="3"/>
  <c r="K7" i="3"/>
  <c r="K8" i="3"/>
  <c r="K9" i="3"/>
  <c r="K10" i="3"/>
  <c r="K11" i="3"/>
  <c r="K12" i="3"/>
  <c r="K13" i="3"/>
  <c r="K14" i="3"/>
  <c r="K15" i="3"/>
  <c r="K16" i="3"/>
  <c r="K17" i="3"/>
  <c r="K21" i="3"/>
  <c r="K22" i="3"/>
  <c r="K23" i="3"/>
  <c r="J7" i="3"/>
  <c r="J8" i="3"/>
  <c r="J9" i="3"/>
  <c r="J10" i="3"/>
  <c r="J11" i="3"/>
  <c r="J12" i="3"/>
  <c r="J13" i="3"/>
  <c r="J14" i="3"/>
  <c r="J15" i="3"/>
  <c r="J16" i="3"/>
  <c r="J17" i="3"/>
  <c r="J21" i="3"/>
  <c r="J22" i="3"/>
  <c r="J23" i="3"/>
  <c r="I7" i="3"/>
  <c r="I8" i="3"/>
  <c r="I9" i="3"/>
  <c r="I10" i="3"/>
  <c r="I11" i="3"/>
  <c r="I12" i="3"/>
  <c r="I13" i="3"/>
  <c r="I14" i="3"/>
  <c r="I15" i="3"/>
  <c r="I16" i="3"/>
  <c r="I17" i="3"/>
  <c r="I21" i="3"/>
  <c r="I22" i="3"/>
  <c r="I23" i="3"/>
  <c r="H7" i="3"/>
  <c r="H8" i="3"/>
  <c r="H9" i="3"/>
  <c r="H10" i="3"/>
  <c r="H11" i="3"/>
  <c r="H12" i="3"/>
  <c r="H13" i="3"/>
  <c r="H14" i="3"/>
  <c r="H15" i="3"/>
  <c r="H16" i="3"/>
  <c r="H17" i="3"/>
  <c r="H21" i="3"/>
  <c r="H22" i="3"/>
  <c r="H23" i="3"/>
  <c r="G7" i="3"/>
  <c r="G8" i="3"/>
  <c r="G9" i="3"/>
  <c r="G10" i="3"/>
  <c r="G11" i="3"/>
  <c r="G12" i="3"/>
  <c r="G13" i="3"/>
  <c r="G14" i="3"/>
  <c r="G15" i="3"/>
  <c r="G16" i="3"/>
  <c r="G17" i="3"/>
  <c r="G21" i="3"/>
  <c r="G22" i="3"/>
  <c r="G23" i="3"/>
  <c r="F7" i="3"/>
  <c r="F8" i="3"/>
  <c r="F9" i="3"/>
  <c r="F10" i="3"/>
  <c r="F11" i="3"/>
  <c r="F12" i="3"/>
  <c r="F13" i="3"/>
  <c r="F14" i="3"/>
  <c r="F15" i="3"/>
  <c r="F16" i="3"/>
  <c r="F17" i="3"/>
  <c r="F21" i="3"/>
  <c r="F22" i="3"/>
  <c r="F23" i="3"/>
  <c r="E7" i="3"/>
  <c r="E8" i="3"/>
  <c r="E9" i="3"/>
  <c r="E10" i="3"/>
  <c r="E11" i="3"/>
  <c r="E12" i="3"/>
  <c r="E13" i="3"/>
  <c r="E14" i="3"/>
  <c r="E15" i="3"/>
  <c r="E16" i="3"/>
  <c r="E17" i="3"/>
  <c r="E21" i="3"/>
  <c r="E22" i="3"/>
  <c r="E23" i="3"/>
  <c r="D7" i="3"/>
  <c r="D8" i="3"/>
  <c r="D9" i="3"/>
  <c r="D10" i="3"/>
  <c r="D11" i="3"/>
  <c r="D12" i="3"/>
  <c r="D13" i="3"/>
  <c r="D14" i="3"/>
  <c r="D15" i="3"/>
  <c r="D16" i="3"/>
  <c r="D17" i="3"/>
  <c r="D21" i="3"/>
  <c r="D22" i="3"/>
  <c r="D23" i="3"/>
  <c r="C7" i="3"/>
  <c r="C8" i="3"/>
  <c r="C9" i="3"/>
  <c r="C10" i="3"/>
  <c r="C11" i="3"/>
  <c r="C12" i="3"/>
  <c r="C13" i="3"/>
  <c r="C14" i="3"/>
  <c r="C15" i="3"/>
  <c r="C16" i="3"/>
  <c r="C17" i="3"/>
  <c r="C21" i="3"/>
  <c r="C22" i="3"/>
  <c r="C23" i="3"/>
  <c r="B7" i="3"/>
  <c r="B8" i="3"/>
  <c r="B9" i="3"/>
  <c r="B10" i="3"/>
  <c r="B11" i="3"/>
  <c r="B12" i="3"/>
  <c r="B13" i="3"/>
  <c r="B14" i="3"/>
  <c r="B15" i="3"/>
  <c r="B16" i="3"/>
  <c r="B17" i="3"/>
  <c r="B21" i="3"/>
  <c r="B22" i="3"/>
  <c r="B23" i="3"/>
  <c r="AS6" i="3"/>
  <c r="AR6" i="3"/>
  <c r="AQ6" i="3"/>
  <c r="AP6" i="3"/>
  <c r="AO6" i="3"/>
  <c r="AN6" i="3"/>
  <c r="AM6" i="3"/>
  <c r="AL6" i="3"/>
  <c r="AK6" i="3"/>
  <c r="AJ6" i="3"/>
  <c r="AI6" i="3"/>
  <c r="AH6" i="3"/>
  <c r="AH18" i="3" s="1"/>
  <c r="AG6" i="3"/>
  <c r="AF6" i="3"/>
  <c r="AE6" i="3"/>
  <c r="AD6" i="3"/>
  <c r="AD18" i="3" s="1"/>
  <c r="AC6" i="3"/>
  <c r="AB6" i="3"/>
  <c r="AA6" i="3"/>
  <c r="Z6" i="3"/>
  <c r="Z18" i="3" s="1"/>
  <c r="Y6" i="3"/>
  <c r="X6" i="3"/>
  <c r="W6" i="3"/>
  <c r="V6" i="3"/>
  <c r="U6" i="3"/>
  <c r="T6" i="3"/>
  <c r="S6" i="3"/>
  <c r="R6" i="3"/>
  <c r="Q6" i="3"/>
  <c r="P6" i="3"/>
  <c r="O6" i="3"/>
  <c r="N6" i="3"/>
  <c r="M6" i="3"/>
  <c r="L6" i="3"/>
  <c r="K6" i="3"/>
  <c r="J6" i="3"/>
  <c r="I6" i="3"/>
  <c r="H6" i="3"/>
  <c r="G6" i="3"/>
  <c r="F6" i="3"/>
  <c r="E6" i="3"/>
  <c r="D6" i="3"/>
  <c r="C6" i="3"/>
  <c r="B6" i="3"/>
  <c r="BE7" i="2"/>
  <c r="BE8" i="2"/>
  <c r="BE9" i="2"/>
  <c r="BE10" i="2"/>
  <c r="BE14" i="2"/>
  <c r="BE15" i="2"/>
  <c r="BE16" i="2"/>
  <c r="BE17" i="2"/>
  <c r="BE18" i="2"/>
  <c r="BE19" i="2"/>
  <c r="BE20" i="2"/>
  <c r="BE21" i="2"/>
  <c r="BE26" i="2"/>
  <c r="BE27" i="2"/>
  <c r="BE28" i="2"/>
  <c r="BE29" i="2"/>
  <c r="BE30" i="2"/>
  <c r="BE31" i="2"/>
  <c r="BE32" i="2"/>
  <c r="BE33" i="2"/>
  <c r="BE34" i="2"/>
  <c r="BE37" i="2"/>
  <c r="BD7" i="2"/>
  <c r="BD8" i="2"/>
  <c r="BD9" i="2"/>
  <c r="BD10" i="2"/>
  <c r="BD14" i="2"/>
  <c r="BD15" i="2"/>
  <c r="BD16" i="2"/>
  <c r="BD17" i="2"/>
  <c r="BD18" i="2"/>
  <c r="BD19" i="2"/>
  <c r="BD20" i="2"/>
  <c r="BD21" i="2"/>
  <c r="BD26" i="2"/>
  <c r="BD27" i="2"/>
  <c r="BD28" i="2"/>
  <c r="BD29" i="2"/>
  <c r="BD30" i="2"/>
  <c r="BD31" i="2"/>
  <c r="BD32" i="2"/>
  <c r="BD33" i="2"/>
  <c r="BD34" i="2"/>
  <c r="BD37" i="2"/>
  <c r="BC7" i="2"/>
  <c r="BC8" i="2"/>
  <c r="BC9" i="2"/>
  <c r="BC10" i="2"/>
  <c r="BC14" i="2"/>
  <c r="BC15" i="2"/>
  <c r="BC16" i="2"/>
  <c r="BC17" i="2"/>
  <c r="BC18" i="2"/>
  <c r="BC19" i="2"/>
  <c r="BC20" i="2"/>
  <c r="BC21" i="2"/>
  <c r="BC26" i="2"/>
  <c r="BC27" i="2"/>
  <c r="BC28" i="2"/>
  <c r="BC29" i="2"/>
  <c r="BC30" i="2"/>
  <c r="BC31" i="2"/>
  <c r="BC32" i="2"/>
  <c r="BC33" i="2"/>
  <c r="BC34" i="2"/>
  <c r="BC37" i="2"/>
  <c r="BB7" i="2"/>
  <c r="BB8" i="2"/>
  <c r="BB9" i="2"/>
  <c r="BB10" i="2"/>
  <c r="BB14" i="2"/>
  <c r="BB15" i="2"/>
  <c r="BB16" i="2"/>
  <c r="BB17" i="2"/>
  <c r="BB18" i="2"/>
  <c r="BB19" i="2"/>
  <c r="BB20" i="2"/>
  <c r="BB21" i="2"/>
  <c r="BB26" i="2"/>
  <c r="BB27" i="2"/>
  <c r="BB28" i="2"/>
  <c r="BB29" i="2"/>
  <c r="BB30" i="2"/>
  <c r="BB31" i="2"/>
  <c r="BB32" i="2"/>
  <c r="BB33" i="2"/>
  <c r="BB34" i="2"/>
  <c r="BB37" i="2"/>
  <c r="BA7" i="2"/>
  <c r="BA8" i="2"/>
  <c r="BA9" i="2"/>
  <c r="BA10" i="2"/>
  <c r="BA14" i="2"/>
  <c r="BA15" i="2"/>
  <c r="BA16" i="2"/>
  <c r="BA17" i="2"/>
  <c r="BA18" i="2"/>
  <c r="BA19" i="2"/>
  <c r="BA20" i="2"/>
  <c r="BA21" i="2"/>
  <c r="BA26" i="2"/>
  <c r="BA27" i="2"/>
  <c r="BA28" i="2"/>
  <c r="BA29" i="2"/>
  <c r="BA30" i="2"/>
  <c r="BA31" i="2"/>
  <c r="BA32" i="2"/>
  <c r="BA33" i="2"/>
  <c r="BA34" i="2"/>
  <c r="BA37" i="2"/>
  <c r="AZ7" i="2"/>
  <c r="AZ8" i="2"/>
  <c r="AZ9" i="2"/>
  <c r="AZ10" i="2"/>
  <c r="AZ14" i="2"/>
  <c r="AZ15" i="2"/>
  <c r="AZ16" i="2"/>
  <c r="AZ17" i="2"/>
  <c r="AZ18" i="2"/>
  <c r="AZ19" i="2"/>
  <c r="AZ20" i="2"/>
  <c r="AZ21" i="2"/>
  <c r="AZ26" i="2"/>
  <c r="AZ27" i="2"/>
  <c r="AZ28" i="2"/>
  <c r="AZ29" i="2"/>
  <c r="AZ30" i="2"/>
  <c r="AZ31" i="2"/>
  <c r="AZ32" i="2"/>
  <c r="AZ33" i="2"/>
  <c r="AZ34" i="2"/>
  <c r="AZ37" i="2"/>
  <c r="AY7" i="2"/>
  <c r="AY8" i="2"/>
  <c r="AY9" i="2"/>
  <c r="AY10" i="2"/>
  <c r="AY14" i="2"/>
  <c r="AY15" i="2"/>
  <c r="AY16" i="2"/>
  <c r="AY17" i="2"/>
  <c r="AY18" i="2"/>
  <c r="AY19" i="2"/>
  <c r="AY20" i="2"/>
  <c r="AY21" i="2"/>
  <c r="AY26" i="2"/>
  <c r="AY27" i="2"/>
  <c r="AY28" i="2"/>
  <c r="AY29" i="2"/>
  <c r="AY30" i="2"/>
  <c r="AY31" i="2"/>
  <c r="AY32" i="2"/>
  <c r="AY33" i="2"/>
  <c r="AY34" i="2"/>
  <c r="AY37" i="2"/>
  <c r="AX7" i="2"/>
  <c r="AX8" i="2"/>
  <c r="AX9" i="2"/>
  <c r="AX10" i="2"/>
  <c r="AX14" i="2"/>
  <c r="AX15" i="2"/>
  <c r="AX16" i="2"/>
  <c r="AX17" i="2"/>
  <c r="AX18" i="2"/>
  <c r="AX19" i="2"/>
  <c r="AX20" i="2"/>
  <c r="AX21" i="2"/>
  <c r="AX26" i="2"/>
  <c r="AX27" i="2"/>
  <c r="AX28" i="2"/>
  <c r="AX29" i="2"/>
  <c r="AX30" i="2"/>
  <c r="AX31" i="2"/>
  <c r="AX32" i="2"/>
  <c r="AX33" i="2"/>
  <c r="AX34" i="2"/>
  <c r="AX37" i="2"/>
  <c r="AW7" i="2"/>
  <c r="AW8" i="2"/>
  <c r="AW9" i="2"/>
  <c r="AW10" i="2"/>
  <c r="AW14" i="2"/>
  <c r="AW15" i="2"/>
  <c r="AW16" i="2"/>
  <c r="AW17" i="2"/>
  <c r="AW18" i="2"/>
  <c r="AW19" i="2"/>
  <c r="AW20" i="2"/>
  <c r="AW21" i="2"/>
  <c r="AW26" i="2"/>
  <c r="AW27" i="2"/>
  <c r="AW28" i="2"/>
  <c r="AW29" i="2"/>
  <c r="AW30" i="2"/>
  <c r="AW31" i="2"/>
  <c r="AW32" i="2"/>
  <c r="AW33" i="2"/>
  <c r="AW34" i="2"/>
  <c r="AW37" i="2"/>
  <c r="AV7" i="2"/>
  <c r="AV8" i="2"/>
  <c r="AV9" i="2"/>
  <c r="AV10" i="2"/>
  <c r="AV14" i="2"/>
  <c r="AV15" i="2"/>
  <c r="AV16" i="2"/>
  <c r="AV17" i="2"/>
  <c r="AV18" i="2"/>
  <c r="AV19" i="2"/>
  <c r="AV20" i="2"/>
  <c r="AV21" i="2"/>
  <c r="AV26" i="2"/>
  <c r="AV27" i="2"/>
  <c r="AV28" i="2"/>
  <c r="AV29" i="2"/>
  <c r="AV30" i="2"/>
  <c r="AV31" i="2"/>
  <c r="AV32" i="2"/>
  <c r="AV33" i="2"/>
  <c r="AV34" i="2"/>
  <c r="AV37" i="2"/>
  <c r="AU7" i="2"/>
  <c r="AU8" i="2"/>
  <c r="AU9" i="2"/>
  <c r="AU10" i="2"/>
  <c r="AU14" i="2"/>
  <c r="AU15" i="2"/>
  <c r="AU16" i="2"/>
  <c r="AU17" i="2"/>
  <c r="AU18" i="2"/>
  <c r="AU19" i="2"/>
  <c r="AU20" i="2"/>
  <c r="AU21" i="2"/>
  <c r="AU26" i="2"/>
  <c r="AU27" i="2"/>
  <c r="AU28" i="2"/>
  <c r="AU29" i="2"/>
  <c r="AU30" i="2"/>
  <c r="AU31" i="2"/>
  <c r="AU32" i="2"/>
  <c r="AU33" i="2"/>
  <c r="AU34" i="2"/>
  <c r="AU37" i="2"/>
  <c r="AT7" i="2"/>
  <c r="AT8" i="2"/>
  <c r="AT9" i="2"/>
  <c r="AT10" i="2"/>
  <c r="AT14" i="2"/>
  <c r="AT15" i="2"/>
  <c r="AT16" i="2"/>
  <c r="AT17" i="2"/>
  <c r="AT18" i="2"/>
  <c r="AT19" i="2"/>
  <c r="AT20" i="2"/>
  <c r="AT21" i="2"/>
  <c r="AT26" i="2"/>
  <c r="AT27" i="2"/>
  <c r="AT28" i="2"/>
  <c r="AT29" i="2"/>
  <c r="AT30" i="2"/>
  <c r="AT31" i="2"/>
  <c r="AT32" i="2"/>
  <c r="AT33" i="2"/>
  <c r="AT34" i="2"/>
  <c r="AT37" i="2"/>
  <c r="AS7" i="2"/>
  <c r="AS8" i="2"/>
  <c r="AS9" i="2"/>
  <c r="AS10" i="2"/>
  <c r="AS14" i="2"/>
  <c r="AS15" i="2"/>
  <c r="AS16" i="2"/>
  <c r="AS17" i="2"/>
  <c r="AS18" i="2"/>
  <c r="AS19" i="2"/>
  <c r="AS20" i="2"/>
  <c r="AS21" i="2"/>
  <c r="AS26" i="2"/>
  <c r="AS27" i="2"/>
  <c r="AS28" i="2"/>
  <c r="AS29" i="2"/>
  <c r="AS30" i="2"/>
  <c r="AS31" i="2"/>
  <c r="AS32" i="2"/>
  <c r="AS33" i="2"/>
  <c r="AS34" i="2"/>
  <c r="AS37" i="2"/>
  <c r="AR7" i="2"/>
  <c r="AR8" i="2"/>
  <c r="AR9" i="2"/>
  <c r="AR10" i="2"/>
  <c r="AR14" i="2"/>
  <c r="AR15" i="2"/>
  <c r="AR16" i="2"/>
  <c r="AR17" i="2"/>
  <c r="AR18" i="2"/>
  <c r="AR19" i="2"/>
  <c r="AR20" i="2"/>
  <c r="AR21" i="2"/>
  <c r="AR26" i="2"/>
  <c r="AR27" i="2"/>
  <c r="AR28" i="2"/>
  <c r="AR29" i="2"/>
  <c r="AR30" i="2"/>
  <c r="AR31" i="2"/>
  <c r="AR32" i="2"/>
  <c r="AR33" i="2"/>
  <c r="AR34" i="2"/>
  <c r="AR37" i="2"/>
  <c r="AQ37" i="2"/>
  <c r="AQ7" i="2"/>
  <c r="AQ8" i="2"/>
  <c r="AQ9" i="2"/>
  <c r="AQ10" i="2"/>
  <c r="AQ14" i="2"/>
  <c r="AQ15" i="2"/>
  <c r="AQ16" i="2"/>
  <c r="AQ17" i="2"/>
  <c r="AQ18" i="2"/>
  <c r="AQ19" i="2"/>
  <c r="AQ20" i="2"/>
  <c r="AQ21" i="2"/>
  <c r="AQ26" i="2"/>
  <c r="AQ27" i="2"/>
  <c r="AQ28" i="2"/>
  <c r="AQ29" i="2"/>
  <c r="AQ30" i="2"/>
  <c r="AQ31" i="2"/>
  <c r="AQ32" i="2"/>
  <c r="AQ33" i="2"/>
  <c r="AQ34" i="2"/>
  <c r="AP7" i="2"/>
  <c r="AP8" i="2"/>
  <c r="AP9" i="2"/>
  <c r="AP10" i="2"/>
  <c r="AP14" i="2"/>
  <c r="AP15" i="2"/>
  <c r="AP16" i="2"/>
  <c r="AP17" i="2"/>
  <c r="AP18" i="2"/>
  <c r="AP19" i="2"/>
  <c r="AP20" i="2"/>
  <c r="AP21" i="2"/>
  <c r="AP26" i="2"/>
  <c r="AP27" i="2"/>
  <c r="AP28" i="2"/>
  <c r="AP29" i="2"/>
  <c r="AP30" i="2"/>
  <c r="AP31" i="2"/>
  <c r="AP32" i="2"/>
  <c r="AP33" i="2"/>
  <c r="AP34" i="2"/>
  <c r="AP37" i="2"/>
  <c r="AO7" i="2"/>
  <c r="AO8" i="2"/>
  <c r="AO9" i="2"/>
  <c r="AO10" i="2"/>
  <c r="AO14" i="2"/>
  <c r="AO15" i="2"/>
  <c r="AO16" i="2"/>
  <c r="AO17" i="2"/>
  <c r="AO18" i="2"/>
  <c r="AO19" i="2"/>
  <c r="AO20" i="2"/>
  <c r="AO21" i="2"/>
  <c r="AO26" i="2"/>
  <c r="AO27" i="2"/>
  <c r="AO28" i="2"/>
  <c r="AO29" i="2"/>
  <c r="AO30" i="2"/>
  <c r="AO31" i="2"/>
  <c r="AO32" i="2"/>
  <c r="AO33" i="2"/>
  <c r="AO34" i="2"/>
  <c r="AO37" i="2"/>
  <c r="AN7" i="2"/>
  <c r="AN8" i="2"/>
  <c r="AN9" i="2"/>
  <c r="AN10" i="2"/>
  <c r="AN14" i="2"/>
  <c r="AN15" i="2"/>
  <c r="AN16" i="2"/>
  <c r="AN17" i="2"/>
  <c r="AN18" i="2"/>
  <c r="AN19" i="2"/>
  <c r="AN20" i="2"/>
  <c r="AN21" i="2"/>
  <c r="AN26" i="2"/>
  <c r="AN27" i="2"/>
  <c r="AN28" i="2"/>
  <c r="AN29" i="2"/>
  <c r="AN30" i="2"/>
  <c r="AN31" i="2"/>
  <c r="AN32" i="2"/>
  <c r="AN33" i="2"/>
  <c r="AN34" i="2"/>
  <c r="AN37" i="2"/>
  <c r="AM7" i="2"/>
  <c r="AM8" i="2"/>
  <c r="AM9" i="2"/>
  <c r="AM10" i="2"/>
  <c r="AM14" i="2"/>
  <c r="AM15" i="2"/>
  <c r="AM16" i="2"/>
  <c r="AM17" i="2"/>
  <c r="AM18" i="2"/>
  <c r="AM19" i="2"/>
  <c r="AM20" i="2"/>
  <c r="AM21" i="2"/>
  <c r="AM26" i="2"/>
  <c r="AM27" i="2"/>
  <c r="AM28" i="2"/>
  <c r="AM29" i="2"/>
  <c r="AM30" i="2"/>
  <c r="AM31" i="2"/>
  <c r="AM32" i="2"/>
  <c r="AM33" i="2"/>
  <c r="AM34" i="2"/>
  <c r="AM37" i="2"/>
  <c r="AL7" i="2"/>
  <c r="AL8" i="2"/>
  <c r="AL9" i="2"/>
  <c r="AL10" i="2"/>
  <c r="AL14" i="2"/>
  <c r="AL15" i="2"/>
  <c r="AL16" i="2"/>
  <c r="AL17" i="2"/>
  <c r="AL18" i="2"/>
  <c r="AL19" i="2"/>
  <c r="AL20" i="2"/>
  <c r="AL21" i="2"/>
  <c r="AL26" i="2"/>
  <c r="AL27" i="2"/>
  <c r="AL28" i="2"/>
  <c r="AL29" i="2"/>
  <c r="AL30" i="2"/>
  <c r="AL31" i="2"/>
  <c r="AL32" i="2"/>
  <c r="AL33" i="2"/>
  <c r="AL34" i="2"/>
  <c r="AL37" i="2"/>
  <c r="AK7" i="2"/>
  <c r="AK8" i="2"/>
  <c r="AK9" i="2"/>
  <c r="AK10" i="2"/>
  <c r="AK14" i="2"/>
  <c r="AK15" i="2"/>
  <c r="AK16" i="2"/>
  <c r="AK17" i="2"/>
  <c r="AK18" i="2"/>
  <c r="AK19" i="2"/>
  <c r="AK20" i="2"/>
  <c r="AK21" i="2"/>
  <c r="AK26" i="2"/>
  <c r="AK27" i="2"/>
  <c r="AK28" i="2"/>
  <c r="AK29" i="2"/>
  <c r="AK30" i="2"/>
  <c r="AK31" i="2"/>
  <c r="AK32" i="2"/>
  <c r="AK33" i="2"/>
  <c r="AK34" i="2"/>
  <c r="AK37" i="2"/>
  <c r="AJ7" i="2"/>
  <c r="AJ8" i="2"/>
  <c r="AJ9" i="2"/>
  <c r="AJ10" i="2"/>
  <c r="AJ14" i="2"/>
  <c r="AJ15" i="2"/>
  <c r="AJ16" i="2"/>
  <c r="AJ17" i="2"/>
  <c r="AJ18" i="2"/>
  <c r="AJ19" i="2"/>
  <c r="AJ20" i="2"/>
  <c r="AJ21" i="2"/>
  <c r="AJ26" i="2"/>
  <c r="AJ27" i="2"/>
  <c r="AJ28" i="2"/>
  <c r="AJ29" i="2"/>
  <c r="AJ30" i="2"/>
  <c r="AJ31" i="2"/>
  <c r="AJ32" i="2"/>
  <c r="AJ33" i="2"/>
  <c r="AJ34" i="2"/>
  <c r="AJ37" i="2"/>
  <c r="AI7" i="2"/>
  <c r="AI8" i="2"/>
  <c r="AI9" i="2"/>
  <c r="AI10" i="2"/>
  <c r="AI14" i="2"/>
  <c r="AI15" i="2"/>
  <c r="AI16" i="2"/>
  <c r="AI17" i="2"/>
  <c r="AI18" i="2"/>
  <c r="AI19" i="2"/>
  <c r="AI20" i="2"/>
  <c r="AI21" i="2"/>
  <c r="AI26" i="2"/>
  <c r="AI27" i="2"/>
  <c r="AI28" i="2"/>
  <c r="AI29" i="2"/>
  <c r="AI30" i="2"/>
  <c r="AI31" i="2"/>
  <c r="AI32" i="2"/>
  <c r="AI33" i="2"/>
  <c r="AI34" i="2"/>
  <c r="AI37" i="2"/>
  <c r="AH7" i="2"/>
  <c r="AH8" i="2"/>
  <c r="AH9" i="2"/>
  <c r="AH10" i="2"/>
  <c r="AH14" i="2"/>
  <c r="AH15" i="2"/>
  <c r="AH16" i="2"/>
  <c r="AH17" i="2"/>
  <c r="AH18" i="2"/>
  <c r="AH19" i="2"/>
  <c r="AH20" i="2"/>
  <c r="AH21" i="2"/>
  <c r="AH26" i="2"/>
  <c r="AH27" i="2"/>
  <c r="AH28" i="2"/>
  <c r="AH29" i="2"/>
  <c r="AH30" i="2"/>
  <c r="AH31" i="2"/>
  <c r="AH32" i="2"/>
  <c r="AH33" i="2"/>
  <c r="AH34" i="2"/>
  <c r="AH37" i="2"/>
  <c r="AG7" i="2"/>
  <c r="AG8" i="2"/>
  <c r="AG9" i="2"/>
  <c r="AG10" i="2"/>
  <c r="AG14" i="2"/>
  <c r="AG15" i="2"/>
  <c r="AG16" i="2"/>
  <c r="AG17" i="2"/>
  <c r="AG18" i="2"/>
  <c r="AG19" i="2"/>
  <c r="AG20" i="2"/>
  <c r="AG21" i="2"/>
  <c r="AG26" i="2"/>
  <c r="AG27" i="2"/>
  <c r="AG28" i="2"/>
  <c r="AG29" i="2"/>
  <c r="AG30" i="2"/>
  <c r="AG31" i="2"/>
  <c r="AG32" i="2"/>
  <c r="AG33" i="2"/>
  <c r="AG34" i="2"/>
  <c r="AG37" i="2"/>
  <c r="AF7" i="2"/>
  <c r="AF8" i="2"/>
  <c r="AF9" i="2"/>
  <c r="AF10" i="2"/>
  <c r="AF14" i="2"/>
  <c r="AF15" i="2"/>
  <c r="AF16" i="2"/>
  <c r="AF17" i="2"/>
  <c r="AF18" i="2"/>
  <c r="AF19" i="2"/>
  <c r="AF20" i="2"/>
  <c r="AF21" i="2"/>
  <c r="AF26" i="2"/>
  <c r="AF27" i="2"/>
  <c r="AF28" i="2"/>
  <c r="AF29" i="2"/>
  <c r="AF30" i="2"/>
  <c r="AF31" i="2"/>
  <c r="AF32" i="2"/>
  <c r="AF33" i="2"/>
  <c r="AF34" i="2"/>
  <c r="AF37" i="2"/>
  <c r="AE7" i="2"/>
  <c r="AE8" i="2"/>
  <c r="AE9" i="2"/>
  <c r="AE10" i="2"/>
  <c r="AE14" i="2"/>
  <c r="AE15" i="2"/>
  <c r="AE16" i="2"/>
  <c r="AE17" i="2"/>
  <c r="AE18" i="2"/>
  <c r="AE19" i="2"/>
  <c r="AE20" i="2"/>
  <c r="AE21" i="2"/>
  <c r="AE26" i="2"/>
  <c r="AE27" i="2"/>
  <c r="AE28" i="2"/>
  <c r="AE29" i="2"/>
  <c r="AE30" i="2"/>
  <c r="AE31" i="2"/>
  <c r="AE32" i="2"/>
  <c r="AE33" i="2"/>
  <c r="AE34" i="2"/>
  <c r="AE37" i="2"/>
  <c r="AD7" i="2"/>
  <c r="AD8" i="2"/>
  <c r="AD9" i="2"/>
  <c r="AD10" i="2"/>
  <c r="AD14" i="2"/>
  <c r="AD15" i="2"/>
  <c r="AD16" i="2"/>
  <c r="AD17" i="2"/>
  <c r="AD18" i="2"/>
  <c r="AD19" i="2"/>
  <c r="AD20" i="2"/>
  <c r="AD21" i="2"/>
  <c r="AD26" i="2"/>
  <c r="AD27" i="2"/>
  <c r="AD28" i="2"/>
  <c r="AD29" i="2"/>
  <c r="AD30" i="2"/>
  <c r="AD31" i="2"/>
  <c r="AD32" i="2"/>
  <c r="AD33" i="2"/>
  <c r="AD34" i="2"/>
  <c r="AD37" i="2"/>
  <c r="AC7" i="2"/>
  <c r="AC8" i="2"/>
  <c r="AC9" i="2"/>
  <c r="AC10" i="2"/>
  <c r="AC14" i="2"/>
  <c r="AC15" i="2"/>
  <c r="AC16" i="2"/>
  <c r="AC17" i="2"/>
  <c r="AC18" i="2"/>
  <c r="AC19" i="2"/>
  <c r="AC20" i="2"/>
  <c r="AC21" i="2"/>
  <c r="AC26" i="2"/>
  <c r="AC27" i="2"/>
  <c r="AC28" i="2"/>
  <c r="AC29" i="2"/>
  <c r="AC30" i="2"/>
  <c r="AC31" i="2"/>
  <c r="AC32" i="2"/>
  <c r="AC33" i="2"/>
  <c r="AC34" i="2"/>
  <c r="AC37" i="2"/>
  <c r="AB7" i="2"/>
  <c r="AB8" i="2"/>
  <c r="AB9" i="2"/>
  <c r="AB10" i="2"/>
  <c r="AB14" i="2"/>
  <c r="AB15" i="2"/>
  <c r="AB16" i="2"/>
  <c r="AB17" i="2"/>
  <c r="AB18" i="2"/>
  <c r="AB19" i="2"/>
  <c r="AB20" i="2"/>
  <c r="AB21" i="2"/>
  <c r="AB26" i="2"/>
  <c r="AB27" i="2"/>
  <c r="AB28" i="2"/>
  <c r="AB29" i="2"/>
  <c r="AB30" i="2"/>
  <c r="AB31" i="2"/>
  <c r="AB32" i="2"/>
  <c r="AB33" i="2"/>
  <c r="AB34" i="2"/>
  <c r="AB37" i="2"/>
  <c r="AA7" i="2"/>
  <c r="AA8" i="2"/>
  <c r="AA9" i="2"/>
  <c r="AA10" i="2"/>
  <c r="AA14" i="2"/>
  <c r="AA15" i="2"/>
  <c r="AA16" i="2"/>
  <c r="AA17" i="2"/>
  <c r="AA18" i="2"/>
  <c r="AA19" i="2"/>
  <c r="AA20" i="2"/>
  <c r="AA21" i="2"/>
  <c r="AA26" i="2"/>
  <c r="AA27" i="2"/>
  <c r="AA28" i="2"/>
  <c r="AA29" i="2"/>
  <c r="AA30" i="2"/>
  <c r="AA31" i="2"/>
  <c r="AA32" i="2"/>
  <c r="AA33" i="2"/>
  <c r="AA34" i="2"/>
  <c r="AA37" i="2"/>
  <c r="Z7" i="2"/>
  <c r="Z8" i="2"/>
  <c r="Z9" i="2"/>
  <c r="Z10" i="2"/>
  <c r="Z14" i="2"/>
  <c r="Z15" i="2"/>
  <c r="Z16" i="2"/>
  <c r="Z17" i="2"/>
  <c r="Z18" i="2"/>
  <c r="Z19" i="2"/>
  <c r="Z20" i="2"/>
  <c r="Z21" i="2"/>
  <c r="Z26" i="2"/>
  <c r="Z27" i="2"/>
  <c r="Z28" i="2"/>
  <c r="Z29" i="2"/>
  <c r="Z30" i="2"/>
  <c r="Z31" i="2"/>
  <c r="Z32" i="2"/>
  <c r="Z33" i="2"/>
  <c r="Z34" i="2"/>
  <c r="Z37" i="2"/>
  <c r="Y7" i="2"/>
  <c r="Y8" i="2"/>
  <c r="Y9" i="2"/>
  <c r="Y10" i="2"/>
  <c r="Y14" i="2"/>
  <c r="Y15" i="2"/>
  <c r="Y16" i="2"/>
  <c r="Y17" i="2"/>
  <c r="Y18" i="2"/>
  <c r="Y19" i="2"/>
  <c r="Y20" i="2"/>
  <c r="Y21" i="2"/>
  <c r="Y26" i="2"/>
  <c r="Y27" i="2"/>
  <c r="Y28" i="2"/>
  <c r="Y29" i="2"/>
  <c r="Y30" i="2"/>
  <c r="Y31" i="2"/>
  <c r="Y32" i="2"/>
  <c r="Y33" i="2"/>
  <c r="Y34" i="2"/>
  <c r="Y37" i="2"/>
  <c r="X7" i="2"/>
  <c r="X8" i="2"/>
  <c r="X9" i="2"/>
  <c r="X10" i="2"/>
  <c r="X14" i="2"/>
  <c r="X15" i="2"/>
  <c r="X16" i="2"/>
  <c r="X17" i="2"/>
  <c r="X18" i="2"/>
  <c r="X19" i="2"/>
  <c r="X20" i="2"/>
  <c r="X21" i="2"/>
  <c r="X26" i="2"/>
  <c r="X27" i="2"/>
  <c r="X28" i="2"/>
  <c r="X29" i="2"/>
  <c r="X30" i="2"/>
  <c r="X31" i="2"/>
  <c r="X32" i="2"/>
  <c r="X33" i="2"/>
  <c r="X34" i="2"/>
  <c r="X37" i="2"/>
  <c r="W7" i="2"/>
  <c r="W8" i="2"/>
  <c r="W9" i="2"/>
  <c r="W10" i="2"/>
  <c r="W14" i="2"/>
  <c r="W15" i="2"/>
  <c r="W16" i="2"/>
  <c r="W17" i="2"/>
  <c r="W18" i="2"/>
  <c r="W19" i="2"/>
  <c r="W20" i="2"/>
  <c r="W21" i="2"/>
  <c r="W26" i="2"/>
  <c r="W27" i="2"/>
  <c r="W28" i="2"/>
  <c r="W29" i="2"/>
  <c r="W30" i="2"/>
  <c r="W31" i="2"/>
  <c r="W32" i="2"/>
  <c r="W33" i="2"/>
  <c r="W34" i="2"/>
  <c r="W37" i="2"/>
  <c r="V7" i="2"/>
  <c r="V8" i="2"/>
  <c r="V9" i="2"/>
  <c r="V10" i="2"/>
  <c r="V14" i="2"/>
  <c r="V15" i="2"/>
  <c r="V16" i="2"/>
  <c r="V17" i="2"/>
  <c r="V18" i="2"/>
  <c r="V19" i="2"/>
  <c r="V20" i="2"/>
  <c r="V21" i="2"/>
  <c r="V26" i="2"/>
  <c r="V27" i="2"/>
  <c r="V28" i="2"/>
  <c r="V29" i="2"/>
  <c r="V30" i="2"/>
  <c r="V31" i="2"/>
  <c r="V32" i="2"/>
  <c r="V33" i="2"/>
  <c r="V34" i="2"/>
  <c r="V37" i="2"/>
  <c r="U7" i="2"/>
  <c r="U8" i="2"/>
  <c r="U9" i="2"/>
  <c r="U10" i="2"/>
  <c r="U14" i="2"/>
  <c r="U15" i="2"/>
  <c r="U16" i="2"/>
  <c r="U17" i="2"/>
  <c r="U18" i="2"/>
  <c r="U19" i="2"/>
  <c r="U20" i="2"/>
  <c r="U21" i="2"/>
  <c r="U26" i="2"/>
  <c r="U27" i="2"/>
  <c r="U28" i="2"/>
  <c r="U29" i="2"/>
  <c r="U30" i="2"/>
  <c r="U31" i="2"/>
  <c r="U32" i="2"/>
  <c r="U33" i="2"/>
  <c r="U34" i="2"/>
  <c r="U37" i="2"/>
  <c r="T7" i="2"/>
  <c r="T8" i="2"/>
  <c r="T9" i="2"/>
  <c r="T10" i="2"/>
  <c r="T14" i="2"/>
  <c r="T15" i="2"/>
  <c r="T16" i="2"/>
  <c r="T17" i="2"/>
  <c r="T18" i="2"/>
  <c r="T19" i="2"/>
  <c r="T20" i="2"/>
  <c r="T21" i="2"/>
  <c r="T26" i="2"/>
  <c r="T27" i="2"/>
  <c r="T28" i="2"/>
  <c r="T29" i="2"/>
  <c r="T30" i="2"/>
  <c r="T31" i="2"/>
  <c r="T32" i="2"/>
  <c r="T33" i="2"/>
  <c r="T34" i="2"/>
  <c r="T37" i="2"/>
  <c r="S7" i="2"/>
  <c r="S8" i="2"/>
  <c r="S9" i="2"/>
  <c r="S10" i="2"/>
  <c r="S14" i="2"/>
  <c r="S15" i="2"/>
  <c r="S16" i="2"/>
  <c r="S17" i="2"/>
  <c r="S18" i="2"/>
  <c r="S19" i="2"/>
  <c r="S20" i="2"/>
  <c r="S21" i="2"/>
  <c r="S26" i="2"/>
  <c r="S27" i="2"/>
  <c r="S28" i="2"/>
  <c r="S29" i="2"/>
  <c r="S30" i="2"/>
  <c r="S31" i="2"/>
  <c r="S32" i="2"/>
  <c r="S33" i="2"/>
  <c r="S34" i="2"/>
  <c r="S37" i="2"/>
  <c r="R7" i="2"/>
  <c r="R8" i="2"/>
  <c r="R9" i="2"/>
  <c r="R10" i="2"/>
  <c r="R14" i="2"/>
  <c r="R15" i="2"/>
  <c r="R16" i="2"/>
  <c r="R17" i="2"/>
  <c r="R18" i="2"/>
  <c r="R19" i="2"/>
  <c r="R20" i="2"/>
  <c r="R21" i="2"/>
  <c r="R26" i="2"/>
  <c r="R27" i="2"/>
  <c r="R28" i="2"/>
  <c r="R29" i="2"/>
  <c r="R30" i="2"/>
  <c r="R31" i="2"/>
  <c r="R32" i="2"/>
  <c r="R33" i="2"/>
  <c r="R34" i="2"/>
  <c r="R37" i="2"/>
  <c r="Q7" i="2"/>
  <c r="Q8" i="2"/>
  <c r="Q9" i="2"/>
  <c r="Q10" i="2"/>
  <c r="Q14" i="2"/>
  <c r="Q15" i="2"/>
  <c r="Q16" i="2"/>
  <c r="Q17" i="2"/>
  <c r="Q18" i="2"/>
  <c r="Q19" i="2"/>
  <c r="Q20" i="2"/>
  <c r="Q21" i="2"/>
  <c r="Q26" i="2"/>
  <c r="Q27" i="2"/>
  <c r="Q28" i="2"/>
  <c r="Q29" i="2"/>
  <c r="Q30" i="2"/>
  <c r="Q31" i="2"/>
  <c r="Q32" i="2"/>
  <c r="Q33" i="2"/>
  <c r="Q34" i="2"/>
  <c r="Q37" i="2"/>
  <c r="P7" i="2"/>
  <c r="P8" i="2"/>
  <c r="P9" i="2"/>
  <c r="P10" i="2"/>
  <c r="P14" i="2"/>
  <c r="P15" i="2"/>
  <c r="P16" i="2"/>
  <c r="P17" i="2"/>
  <c r="P18" i="2"/>
  <c r="P19" i="2"/>
  <c r="P20" i="2"/>
  <c r="P21" i="2"/>
  <c r="P26" i="2"/>
  <c r="P27" i="2"/>
  <c r="P28" i="2"/>
  <c r="P29" i="2"/>
  <c r="P30" i="2"/>
  <c r="P31" i="2"/>
  <c r="P32" i="2"/>
  <c r="P33" i="2"/>
  <c r="P34" i="2"/>
  <c r="P37" i="2"/>
  <c r="O7" i="2"/>
  <c r="O8" i="2"/>
  <c r="O9" i="2"/>
  <c r="O10" i="2"/>
  <c r="O14" i="2"/>
  <c r="O15" i="2"/>
  <c r="O16" i="2"/>
  <c r="O17" i="2"/>
  <c r="O18" i="2"/>
  <c r="O19" i="2"/>
  <c r="O20" i="2"/>
  <c r="O21" i="2"/>
  <c r="O26" i="2"/>
  <c r="O27" i="2"/>
  <c r="O28" i="2"/>
  <c r="O29" i="2"/>
  <c r="O30" i="2"/>
  <c r="O31" i="2"/>
  <c r="O32" i="2"/>
  <c r="O33" i="2"/>
  <c r="O34" i="2"/>
  <c r="O37" i="2"/>
  <c r="N7" i="2"/>
  <c r="N8" i="2"/>
  <c r="N9" i="2"/>
  <c r="N10" i="2"/>
  <c r="N14" i="2"/>
  <c r="N15" i="2"/>
  <c r="N16" i="2"/>
  <c r="N17" i="2"/>
  <c r="N18" i="2"/>
  <c r="N19" i="2"/>
  <c r="N20" i="2"/>
  <c r="N21" i="2"/>
  <c r="N26" i="2"/>
  <c r="N27" i="2"/>
  <c r="N28" i="2"/>
  <c r="N29" i="2"/>
  <c r="N30" i="2"/>
  <c r="N31" i="2"/>
  <c r="N32" i="2"/>
  <c r="N33" i="2"/>
  <c r="N34" i="2"/>
  <c r="N37" i="2"/>
  <c r="M7" i="2"/>
  <c r="M8" i="2"/>
  <c r="M9" i="2"/>
  <c r="M10" i="2"/>
  <c r="M14" i="2"/>
  <c r="M15" i="2"/>
  <c r="M16" i="2"/>
  <c r="M17" i="2"/>
  <c r="M18" i="2"/>
  <c r="M19" i="2"/>
  <c r="M20" i="2"/>
  <c r="M21" i="2"/>
  <c r="M26" i="2"/>
  <c r="M27" i="2"/>
  <c r="M28" i="2"/>
  <c r="M29" i="2"/>
  <c r="M30" i="2"/>
  <c r="M31" i="2"/>
  <c r="M32" i="2"/>
  <c r="M33" i="2"/>
  <c r="M34" i="2"/>
  <c r="M37" i="2"/>
  <c r="L7" i="2"/>
  <c r="L8" i="2"/>
  <c r="L9" i="2"/>
  <c r="L10" i="2"/>
  <c r="L14" i="2"/>
  <c r="L15" i="2"/>
  <c r="L16" i="2"/>
  <c r="L17" i="2"/>
  <c r="L18" i="2"/>
  <c r="L19" i="2"/>
  <c r="L20" i="2"/>
  <c r="L21" i="2"/>
  <c r="L26" i="2"/>
  <c r="L27" i="2"/>
  <c r="L28" i="2"/>
  <c r="L29" i="2"/>
  <c r="L30" i="2"/>
  <c r="L31" i="2"/>
  <c r="L32" i="2"/>
  <c r="L33" i="2"/>
  <c r="L34" i="2"/>
  <c r="L37" i="2"/>
  <c r="K7" i="2"/>
  <c r="K8" i="2"/>
  <c r="K9" i="2"/>
  <c r="K10" i="2"/>
  <c r="K14" i="2"/>
  <c r="K15" i="2"/>
  <c r="K16" i="2"/>
  <c r="K17" i="2"/>
  <c r="K18" i="2"/>
  <c r="K19" i="2"/>
  <c r="K20" i="2"/>
  <c r="K21" i="2"/>
  <c r="K26" i="2"/>
  <c r="K27" i="2"/>
  <c r="K28" i="2"/>
  <c r="K29" i="2"/>
  <c r="K30" i="2"/>
  <c r="K31" i="2"/>
  <c r="K32" i="2"/>
  <c r="K33" i="2"/>
  <c r="K34" i="2"/>
  <c r="K37" i="2"/>
  <c r="J7" i="2"/>
  <c r="J8" i="2"/>
  <c r="J9" i="2"/>
  <c r="J10" i="2"/>
  <c r="J14" i="2"/>
  <c r="J15" i="2"/>
  <c r="J16" i="2"/>
  <c r="J17" i="2"/>
  <c r="J18" i="2"/>
  <c r="J19" i="2"/>
  <c r="J20" i="2"/>
  <c r="J21" i="2"/>
  <c r="J26" i="2"/>
  <c r="J27" i="2"/>
  <c r="J28" i="2"/>
  <c r="J29" i="2"/>
  <c r="J30" i="2"/>
  <c r="J31" i="2"/>
  <c r="J32" i="2"/>
  <c r="J33" i="2"/>
  <c r="J34" i="2"/>
  <c r="J37" i="2"/>
  <c r="I7" i="2"/>
  <c r="I8" i="2"/>
  <c r="I9" i="2"/>
  <c r="I10" i="2"/>
  <c r="I14" i="2"/>
  <c r="I15" i="2"/>
  <c r="I16" i="2"/>
  <c r="I17" i="2"/>
  <c r="I18" i="2"/>
  <c r="I19" i="2"/>
  <c r="I20" i="2"/>
  <c r="I21" i="2"/>
  <c r="I26" i="2"/>
  <c r="I27" i="2"/>
  <c r="I28" i="2"/>
  <c r="I29" i="2"/>
  <c r="I30" i="2"/>
  <c r="I31" i="2"/>
  <c r="I32" i="2"/>
  <c r="I33" i="2"/>
  <c r="I34" i="2"/>
  <c r="I37" i="2"/>
  <c r="H7" i="2"/>
  <c r="H8" i="2"/>
  <c r="H9" i="2"/>
  <c r="H10" i="2"/>
  <c r="H14" i="2"/>
  <c r="H15" i="2"/>
  <c r="H16" i="2"/>
  <c r="H17" i="2"/>
  <c r="H18" i="2"/>
  <c r="H19" i="2"/>
  <c r="H20" i="2"/>
  <c r="H21" i="2"/>
  <c r="H26" i="2"/>
  <c r="H27" i="2"/>
  <c r="H28" i="2"/>
  <c r="H29" i="2"/>
  <c r="H30" i="2"/>
  <c r="H31" i="2"/>
  <c r="H32" i="2"/>
  <c r="H33" i="2"/>
  <c r="H34" i="2"/>
  <c r="H37" i="2"/>
  <c r="G7" i="2"/>
  <c r="G8" i="2"/>
  <c r="G9" i="2"/>
  <c r="G10" i="2"/>
  <c r="G14" i="2"/>
  <c r="G15" i="2"/>
  <c r="G16" i="2"/>
  <c r="G17" i="2"/>
  <c r="G18" i="2"/>
  <c r="G19" i="2"/>
  <c r="G20" i="2"/>
  <c r="G21" i="2"/>
  <c r="G26" i="2"/>
  <c r="G27" i="2"/>
  <c r="G28" i="2"/>
  <c r="G29" i="2"/>
  <c r="G30" i="2"/>
  <c r="G31" i="2"/>
  <c r="G32" i="2"/>
  <c r="G33" i="2"/>
  <c r="G34" i="2"/>
  <c r="G37" i="2"/>
  <c r="F7" i="2"/>
  <c r="F8" i="2"/>
  <c r="F9" i="2"/>
  <c r="F10" i="2"/>
  <c r="F14" i="2"/>
  <c r="F15" i="2"/>
  <c r="F16" i="2"/>
  <c r="F17" i="2"/>
  <c r="F18" i="2"/>
  <c r="F19" i="2"/>
  <c r="F20" i="2"/>
  <c r="F21" i="2"/>
  <c r="F26" i="2"/>
  <c r="F27" i="2"/>
  <c r="F28" i="2"/>
  <c r="F29" i="2"/>
  <c r="F30" i="2"/>
  <c r="F31" i="2"/>
  <c r="F32" i="2"/>
  <c r="F33" i="2"/>
  <c r="F34" i="2"/>
  <c r="F37" i="2"/>
  <c r="E7" i="2"/>
  <c r="E8" i="2"/>
  <c r="E9" i="2"/>
  <c r="E10" i="2"/>
  <c r="E14" i="2"/>
  <c r="E15" i="2"/>
  <c r="E16" i="2"/>
  <c r="E17" i="2"/>
  <c r="E18" i="2"/>
  <c r="E19" i="2"/>
  <c r="E20" i="2"/>
  <c r="E21" i="2"/>
  <c r="E26" i="2"/>
  <c r="E27" i="2"/>
  <c r="E28" i="2"/>
  <c r="E29" i="2"/>
  <c r="E30" i="2"/>
  <c r="E31" i="2"/>
  <c r="E32" i="2"/>
  <c r="E33" i="2"/>
  <c r="E34" i="2"/>
  <c r="E37" i="2"/>
  <c r="D7" i="2"/>
  <c r="D8" i="2"/>
  <c r="D9" i="2"/>
  <c r="D10" i="2"/>
  <c r="D14" i="2"/>
  <c r="D15" i="2"/>
  <c r="D16" i="2"/>
  <c r="D17" i="2"/>
  <c r="D18" i="2"/>
  <c r="D19" i="2"/>
  <c r="D20" i="2"/>
  <c r="D21" i="2"/>
  <c r="D26" i="2"/>
  <c r="D27" i="2"/>
  <c r="D28" i="2"/>
  <c r="D29" i="2"/>
  <c r="D30" i="2"/>
  <c r="D31" i="2"/>
  <c r="D32" i="2"/>
  <c r="D33" i="2"/>
  <c r="D34" i="2"/>
  <c r="D37"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B7" i="2"/>
  <c r="B8" i="2"/>
  <c r="B9" i="2"/>
  <c r="B10" i="2"/>
  <c r="B14" i="2"/>
  <c r="B15" i="2"/>
  <c r="B16" i="2"/>
  <c r="B17" i="2"/>
  <c r="B18" i="2"/>
  <c r="B19" i="2"/>
  <c r="B20" i="2"/>
  <c r="B21" i="2"/>
  <c r="B26" i="2"/>
  <c r="B27" i="2"/>
  <c r="B28" i="2"/>
  <c r="B29" i="2"/>
  <c r="B30" i="2"/>
  <c r="B31" i="2"/>
  <c r="B32" i="2"/>
  <c r="B33" i="2"/>
  <c r="B34" i="2"/>
  <c r="B37" i="2"/>
  <c r="B6" i="2"/>
  <c r="J18" i="3" l="1"/>
  <c r="N18" i="3"/>
  <c r="R18" i="3"/>
  <c r="V18" i="3"/>
  <c r="AK18" i="3"/>
  <c r="K18" i="3"/>
  <c r="O18" i="3"/>
  <c r="S18" i="3"/>
  <c r="W18" i="3"/>
  <c r="AA18" i="3"/>
  <c r="AE18" i="3"/>
  <c r="AI18" i="3"/>
  <c r="L18" i="3"/>
  <c r="P18" i="3"/>
  <c r="T18" i="3"/>
  <c r="X18" i="3"/>
  <c r="AB18" i="3"/>
  <c r="AF18" i="3"/>
  <c r="AJ18" i="3"/>
  <c r="I18" i="3"/>
  <c r="M18" i="3"/>
  <c r="Q18" i="3"/>
  <c r="U18" i="3"/>
  <c r="Y18" i="3"/>
  <c r="AC18" i="3"/>
  <c r="AG18" i="3"/>
  <c r="H18" i="3"/>
  <c r="G18" i="3"/>
  <c r="E18" i="3"/>
  <c r="F18" i="3"/>
  <c r="B18" i="3"/>
  <c r="D18" i="3"/>
  <c r="C18" i="3"/>
  <c r="R24" i="3" l="1"/>
  <c r="R26" i="3" s="1"/>
  <c r="K24" i="3" l="1"/>
  <c r="K26" i="3" s="1"/>
  <c r="L24" i="3"/>
  <c r="L26" i="3" s="1"/>
  <c r="M24" i="3"/>
  <c r="M26" i="3" s="1"/>
  <c r="N24" i="3"/>
  <c r="N26" i="3" s="1"/>
  <c r="O24" i="3"/>
  <c r="O26" i="3" s="1"/>
  <c r="P24" i="3"/>
  <c r="P26" i="3" s="1"/>
  <c r="Q24" i="3"/>
  <c r="Q26" i="3" s="1"/>
  <c r="S24" i="3"/>
  <c r="S26" i="3" s="1"/>
  <c r="T24" i="3"/>
  <c r="T26" i="3" s="1"/>
  <c r="U24" i="3"/>
  <c r="U26" i="3" s="1"/>
  <c r="V24" i="3"/>
  <c r="V26" i="3" s="1"/>
  <c r="W24" i="3"/>
  <c r="W26" i="3" s="1"/>
  <c r="X24" i="3"/>
  <c r="X26" i="3" s="1"/>
  <c r="Y24" i="3"/>
  <c r="Y26" i="3" s="1"/>
  <c r="Z24" i="3"/>
  <c r="Z26" i="3" s="1"/>
  <c r="AA24" i="3"/>
  <c r="AA26" i="3" s="1"/>
  <c r="AB24" i="3"/>
  <c r="AB26" i="3" s="1"/>
  <c r="AC24" i="3"/>
  <c r="AC26" i="3" s="1"/>
  <c r="AD24" i="3"/>
  <c r="AD26" i="3" s="1"/>
  <c r="AE24" i="3"/>
  <c r="AE26" i="3" s="1"/>
  <c r="AF24" i="3"/>
  <c r="AF26" i="3" s="1"/>
  <c r="AG24" i="3"/>
  <c r="AG26" i="3" s="1"/>
  <c r="AH24" i="3"/>
  <c r="AH26" i="3" s="1"/>
  <c r="AI24" i="3"/>
  <c r="AI26" i="3" s="1"/>
  <c r="AJ24" i="3"/>
  <c r="AJ26" i="3" s="1"/>
  <c r="AK24" i="3"/>
  <c r="AK26" i="3" s="1"/>
  <c r="AL24" i="3"/>
  <c r="AM24" i="3"/>
  <c r="AN24" i="3"/>
  <c r="AO24" i="3"/>
  <c r="AP24" i="3"/>
  <c r="AQ24" i="3"/>
  <c r="AR24" i="3"/>
  <c r="AS24" i="3"/>
  <c r="D24" i="3"/>
  <c r="D26" i="3" s="1"/>
  <c r="E24" i="3"/>
  <c r="E26" i="3" s="1"/>
  <c r="F24" i="3"/>
  <c r="F26" i="3" s="1"/>
  <c r="G24" i="3"/>
  <c r="G26" i="3" s="1"/>
  <c r="H24" i="3"/>
  <c r="H26" i="3" s="1"/>
  <c r="I24" i="3"/>
  <c r="I26" i="3" s="1"/>
  <c r="J24" i="3"/>
  <c r="J26" i="3" s="1"/>
  <c r="B24" i="3"/>
  <c r="B26" i="3" s="1"/>
  <c r="C24" i="3" l="1"/>
  <c r="C26" i="3" s="1"/>
  <c r="C6" i="2" l="1"/>
  <c r="C7" i="2"/>
  <c r="C8" i="2"/>
  <c r="C9" i="2"/>
  <c r="C10" i="2"/>
  <c r="C14" i="2"/>
  <c r="C15" i="2"/>
  <c r="C16" i="2"/>
  <c r="C17" i="2"/>
  <c r="C18" i="2"/>
  <c r="C19" i="2"/>
  <c r="C20" i="2"/>
  <c r="C21" i="2"/>
  <c r="C26" i="2"/>
  <c r="C27" i="2"/>
  <c r="C28" i="2"/>
  <c r="C29" i="2"/>
  <c r="C30" i="2"/>
  <c r="C31" i="2"/>
  <c r="C32" i="2"/>
  <c r="C33" i="2"/>
  <c r="C34" i="2"/>
  <c r="C37" i="2"/>
  <c r="CZ2" i="3" l="1"/>
  <c r="CY2" i="3"/>
  <c r="CX2" i="3"/>
  <c r="CW2" i="3"/>
  <c r="CV2" i="3"/>
  <c r="CU2" i="3"/>
  <c r="CT2" i="3"/>
  <c r="CS2" i="3"/>
  <c r="CR2" i="3"/>
  <c r="CQ2" i="3"/>
  <c r="CP2" i="3"/>
  <c r="CO2" i="3"/>
  <c r="CN2" i="3"/>
  <c r="CM2" i="3"/>
  <c r="CL2" i="3"/>
  <c r="CK2" i="3"/>
  <c r="CJ2" i="3"/>
  <c r="CI2" i="3"/>
  <c r="CH2" i="3"/>
  <c r="CG2" i="3"/>
  <c r="CF2" i="3"/>
  <c r="CE2" i="3"/>
  <c r="CD2" i="3"/>
  <c r="CC2" i="3"/>
  <c r="CB2" i="3"/>
  <c r="CA2" i="3"/>
  <c r="BZ2" i="3"/>
  <c r="BY2" i="3"/>
  <c r="BX2" i="3"/>
  <c r="BW2" i="3"/>
  <c r="BV2" i="3"/>
  <c r="BU2" i="3"/>
  <c r="BT2" i="3"/>
  <c r="BS2" i="3"/>
  <c r="BR2" i="3"/>
  <c r="BQ2" i="3"/>
  <c r="BP2" i="3"/>
  <c r="BO2" i="3"/>
  <c r="BN2" i="3"/>
  <c r="BM2" i="3"/>
  <c r="BL2" i="3"/>
  <c r="BK2" i="3"/>
  <c r="BJ2" i="3"/>
  <c r="BI2" i="3"/>
  <c r="BH2" i="3"/>
  <c r="BG2" i="3"/>
  <c r="BF2" i="3"/>
  <c r="BE2" i="3"/>
  <c r="BD2" i="3"/>
  <c r="BC2" i="3"/>
  <c r="BB2" i="3"/>
  <c r="BA2" i="3"/>
  <c r="AZ2" i="3"/>
  <c r="AY2" i="3"/>
  <c r="AX2" i="3"/>
  <c r="AW2" i="3"/>
  <c r="AV2" i="3"/>
  <c r="AU2" i="3"/>
  <c r="AT2" i="3"/>
  <c r="AS2" i="3"/>
  <c r="AR2" i="3"/>
  <c r="AQ2" i="3"/>
  <c r="AP2" i="3"/>
  <c r="AO2" i="3"/>
  <c r="AN2" i="3"/>
  <c r="AM2" i="3"/>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B2" i="2"/>
  <c r="B6" i="1" l="1" a="1"/>
  <c r="C2" i="2" l="1"/>
  <c r="B6" i="1"/>
  <c r="D2" i="2" l="1"/>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alcChain>
</file>

<file path=xl/sharedStrings.xml><?xml version="1.0" encoding="utf-8"?>
<sst xmlns="http://schemas.openxmlformats.org/spreadsheetml/2006/main" count="1613" uniqueCount="235">
  <si>
    <t>ENTER QTR</t>
  </si>
  <si>
    <t>ENTER YEAR</t>
  </si>
  <si>
    <t>TOTALS</t>
  </si>
  <si>
    <t>= Number of Projects</t>
  </si>
  <si>
    <t>Project Name</t>
  </si>
  <si>
    <t>Project Losses @ 100%</t>
  </si>
  <si>
    <t>Project Losses @ Project Level</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</si>
  <si>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</si>
  <si>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</si>
  <si>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</si>
  <si>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</si>
  <si>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</si>
  <si>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</si>
  <si>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</si>
  <si>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</si>
  <si>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</si>
  <si>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</si>
  <si>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</si>
  <si>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</si>
  <si>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</si>
  <si>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</si>
  <si>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</si>
  <si>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</si>
  <si>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</si>
  <si>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</si>
  <si>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</si>
  <si>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</si>
  <si>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</si>
  <si>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</si>
  <si>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</si>
  <si>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</si>
  <si>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</si>
  <si>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</si>
  <si>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</si>
  <si>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</si>
  <si>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</si>
  <si>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</si>
  <si>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</si>
  <si>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</si>
  <si>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</si>
  <si>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Project Status</t>
  </si>
  <si>
    <t>70340</t>
  </si>
  <si>
    <t>70341</t>
  </si>
  <si>
    <t>70416</t>
  </si>
  <si>
    <t>test_project</t>
  </si>
  <si>
    <t>2017</t>
  </si>
  <si>
    <t>Investment in Real Estate - At Cost</t>
  </si>
  <si>
    <t>Liabilities</t>
  </si>
  <si>
    <t>Other Assets</t>
  </si>
  <si>
    <t>Partners' Capital</t>
  </si>
  <si>
    <t>Park View at Catonsville</t>
  </si>
  <si>
    <t>Operations/Asset Management</t>
  </si>
  <si>
    <t>Park View at South Pantops</t>
  </si>
  <si>
    <t>70342</t>
  </si>
  <si>
    <t>Park View at Tyler Run</t>
  </si>
  <si>
    <t>70343</t>
  </si>
  <si>
    <t>Park View at Manchester Heights</t>
  </si>
  <si>
    <t>70344</t>
  </si>
  <si>
    <t>Park View at Naaman's Creek</t>
  </si>
  <si>
    <t>70345</t>
  </si>
  <si>
    <t>York Commons</t>
  </si>
  <si>
    <t>70346</t>
  </si>
  <si>
    <t>Park View at Oak Crest</t>
  </si>
  <si>
    <t>70347</t>
  </si>
  <si>
    <t>Park View at Cheltenham</t>
  </si>
  <si>
    <t>70348</t>
  </si>
  <si>
    <t>Park View at Bethlehem</t>
  </si>
  <si>
    <t>70349</t>
  </si>
  <si>
    <t>Westbrook Commons</t>
  </si>
  <si>
    <t>70350</t>
  </si>
  <si>
    <t>Park View at Easton</t>
  </si>
  <si>
    <t>70352</t>
  </si>
  <si>
    <t>Somerset Commons</t>
  </si>
  <si>
    <t>70354</t>
  </si>
  <si>
    <t>Park View at Laurel I</t>
  </si>
  <si>
    <t>70357</t>
  </si>
  <si>
    <t>Park View at Emerson</t>
  </si>
  <si>
    <t>70358</t>
  </si>
  <si>
    <t>Park View at Ellicott City II</t>
  </si>
  <si>
    <t>70361</t>
  </si>
  <si>
    <t>Hickory Ridge</t>
  </si>
  <si>
    <t>Pending Business Committee Approval</t>
  </si>
  <si>
    <t>70362</t>
  </si>
  <si>
    <t>Park View at Snowden River</t>
  </si>
  <si>
    <t>70363</t>
  </si>
  <si>
    <t>Park View at Columbia</t>
  </si>
  <si>
    <t>70364</t>
  </si>
  <si>
    <t>Woodbridge Commons</t>
  </si>
  <si>
    <t>70365</t>
  </si>
  <si>
    <t>Park View at Bel Air</t>
  </si>
  <si>
    <t>70366</t>
  </si>
  <si>
    <t>Park View at Box Hill</t>
  </si>
  <si>
    <t>70367</t>
  </si>
  <si>
    <t>College Parkway Place</t>
  </si>
  <si>
    <t>70368</t>
  </si>
  <si>
    <t>Park View at Furnace Branch</t>
  </si>
  <si>
    <t>70369</t>
  </si>
  <si>
    <t>Park View at Severna Park</t>
  </si>
  <si>
    <t>70370</t>
  </si>
  <si>
    <t>Ashland Commons</t>
  </si>
  <si>
    <t>70371</t>
  </si>
  <si>
    <t>Park View at Fullerton</t>
  </si>
  <si>
    <t>70372</t>
  </si>
  <si>
    <t>Park View at Ashland Terrace</t>
  </si>
  <si>
    <t>70373</t>
  </si>
  <si>
    <t>Park View at Coldspring</t>
  </si>
  <si>
    <t>Loan Closing/Construction</t>
  </si>
  <si>
    <t>70374</t>
  </si>
  <si>
    <t>Park View at Taylor</t>
  </si>
  <si>
    <t>Pre-Development</t>
  </si>
  <si>
    <t>70375</t>
  </si>
  <si>
    <t>Park View at Woodlawn</t>
  </si>
  <si>
    <t>70376</t>
  </si>
  <si>
    <t>Park View at Miramar Landing</t>
  </si>
  <si>
    <t>70377</t>
  </si>
  <si>
    <t>Park View at Randallstown</t>
  </si>
  <si>
    <t>70378</t>
  </si>
  <si>
    <t>Park View at Rosedale</t>
  </si>
  <si>
    <t>70379</t>
  </si>
  <si>
    <t>Park View at Towson</t>
  </si>
  <si>
    <t>70381</t>
  </si>
  <si>
    <t>Highland Commons</t>
  </si>
  <si>
    <t>Financial Close-out/Lease-up</t>
  </si>
  <si>
    <t>Operating Expense</t>
  </si>
  <si>
    <t>Administrative</t>
  </si>
  <si>
    <t>Depreciation &amp; amortization</t>
  </si>
  <si>
    <t>Interest expense</t>
  </si>
  <si>
    <t>Management fees</t>
  </si>
  <si>
    <t>Miscellaneous expense</t>
  </si>
  <si>
    <t>Professional fees</t>
  </si>
  <si>
    <t>Repairs &amp; maintenance</t>
  </si>
  <si>
    <t>Taxes &amp; insurance</t>
  </si>
  <si>
    <t>Utilities</t>
  </si>
  <si>
    <t>Revenue</t>
  </si>
  <si>
    <t>Interest Income</t>
  </si>
  <si>
    <t>Other Income</t>
  </si>
  <si>
    <t>Rental Income</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</si>
  <si>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</si>
  <si>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</si>
  <si>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</si>
  <si>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</si>
  <si>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</si>
  <si>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</si>
  <si>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</si>
  <si>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</si>
  <si>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</si>
  <si>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</si>
  <si>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</si>
  <si>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</si>
  <si>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</si>
  <si>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</si>
  <si>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</si>
  <si>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</si>
  <si>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</si>
  <si>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</si>
  <si>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</si>
  <si>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</si>
  <si>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</si>
  <si>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</si>
  <si>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</si>
  <si>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</si>
  <si>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</si>
  <si>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</si>
  <si>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</si>
  <si>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</si>
  <si>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</si>
  <si>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</si>
  <si>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</si>
  <si>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</si>
  <si>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</si>
  <si>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</si>
  <si>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</si>
  <si>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</si>
  <si>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</si>
  <si>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</si>
  <si>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</si>
  <si>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</si>
  <si>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</si>
  <si>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</si>
  <si>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</si>
  <si>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</si>
  <si>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</si>
  <si>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</si>
  <si>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</si>
  <si>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</si>
  <si>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</si>
  <si>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</si>
  <si>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</si>
  <si>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</si>
  <si>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</si>
  <si>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</si>
  <si>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</si>
  <si>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</si>
  <si>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</si>
  <si>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</si>
  <si>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</si>
  <si>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</si>
  <si>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</si>
  <si>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</si>
  <si>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</si>
  <si>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</si>
  <si>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</si>
  <si>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</si>
  <si>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</si>
  <si>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</si>
  <si>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</si>
  <si>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</si>
  <si>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</si>
  <si>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</si>
  <si>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</si>
  <si>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</si>
  <si>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</si>
  <si>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</si>
  <si>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</si>
  <si>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</si>
  <si>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</si>
  <si>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</si>
  <si>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</si>
  <si>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</si>
  <si>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</si>
  <si>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</si>
  <si>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</si>
  <si>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</si>
  <si>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</si>
  <si>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</si>
  <si>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</si>
  <si>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</si>
  <si>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</si>
  <si>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</si>
  <si>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</si>
  <si>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Actual Close Date</t>
  </si>
  <si>
    <t>ProjectStatus</t>
  </si>
  <si>
    <t>SoldDateActual</t>
  </si>
  <si>
    <t>WarehouseStatus</t>
  </si>
  <si>
    <t>Project Losses @ Fund Level</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</si>
</sst>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4" formatCode="_(&quot;$&quot;* #,##0.00_);_(&quot;$&quot;* \(#,##0.00\);_(&quot;$&quot;* &quot;-&quot;??_);_(@_)"/>
    <numFmt numFmtId="164" formatCode="_(* #,##0_);_(* \(#,##0\);_(* &quot;-&quot;??_);_(@_)"/>
    <numFmt numFmtId="165" formatCode="_([$$-409]* #,##0_);_([$$-409]* \(#,##0\);_([$$-409]* &quot;-&quot;_);_(@_)"/>
    <numFmt numFmtId="166" formatCode="0.000000%"/>
    <numFmt numFmtId="167" formatCode="m/d/yy;@"/>
  </numFmts>
  <fonts count="15"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b/>
      <sz val="14"/>
      <color theme="1"/>
      <name val="Calibri"/>
      <family val="2"/>
      <scheme val="minor"/>
    </font>
    <font>
      <sz val="11"/>
      <color theme="1"/>
      <name val="Calibri"/>
      <family val="2"/>
      <scheme val="minor"/>
    </font>
    <font>
      <u/>
      <sz val="11"/>
      <color theme="1"/>
      <name val="Calibri"/>
      <family val="2"/>
      <scheme val="minor"/>
    </font>
    <font>
      <u/>
      <sz val="10"/>
      <color theme="1"/>
      <name val="Arial"/>
      <family val="2"/>
    </font>
    <font>
      <sz val="10"/>
      <name val="Arial"/>
      <family val="2"/>
    </font>
    <font>
      <b/>
      <sz val="8"/>
      <color indexed="32"/>
      <name val="Arial"/>
      <family val="2"/>
    </font>
    <font>
      <b/>
      <u/>
      <sz val="14"/>
      <color theme="1"/>
      <name val="Arial"/>
      <family val="2"/>
    </font>
    <font>
      <sz val="11"/>
      <color theme="1"/>
      <name val="Arial"/>
      <family val="2"/>
    </font>
    <font>
      <b/>
      <sz val="11"/>
      <color theme="1"/>
      <name val="Arial"/>
      <family val="2"/>
    </font>
    <font>
      <b/>
      <sz val="9"/>
      <color theme="1"/>
      <name val="Arial"/>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6" fillId="0" borderId="0" applyFont="0" applyFill="0" applyBorder="0" applyAlignment="0" applyProtection="0"/>
    <xf numFmtId="9" fontId="6" fillId="0" borderId="0" applyFont="0" applyFill="0" applyBorder="0" applyAlignment="0" applyProtection="0"/>
  </cellStyleXfs>
  <cellXfs count="50">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0" fontId="7" fillId="0" borderId="0" xfId="0" applyFont="1"/>
    <xf numFmtId="9" fontId="0" fillId="0" borderId="0" xfId="2" applyFont="1"/>
    <xf numFmtId="164" fontId="0" fillId="0" borderId="0" xfId="0" applyNumberFormat="1"/>
    <xf numFmtId="9" fontId="5" fillId="0" borderId="0" xfId="2" applyFont="1"/>
    <xf numFmtId="9" fontId="1" fillId="0" borderId="0" xfId="2" applyFont="1"/>
    <xf numFmtId="9" fontId="1" fillId="0" borderId="0" xfId="2" quotePrefix="1" applyFont="1"/>
    <xf numFmtId="0" fontId="4" fillId="0" borderId="0" xfId="0" applyFont="1" applyAlignment="1">
      <alignment horizontal="center" vertical="center" wrapText="1"/>
    </xf>
    <xf numFmtId="0" fontId="0" fillId="0" borderId="0" xfId="0" applyAlignment="1">
      <alignment horizontal="center" vertical="center" wrapText="1"/>
    </xf>
    <xf numFmtId="164" fontId="3" fillId="0" borderId="0" xfId="0" applyNumberFormat="1" applyFont="1"/>
    <xf numFmtId="164" fontId="3" fillId="0" borderId="0" xfId="0" applyNumberFormat="1" applyFont="1" applyAlignment="1">
      <alignment wrapText="1"/>
    </xf>
    <xf numFmtId="165" fontId="0" fillId="0" borderId="0" xfId="0" applyNumberFormat="1"/>
    <xf numFmtId="42" fontId="1" fillId="0" borderId="0" xfId="0" applyNumberFormat="1" applyFont="1"/>
    <xf numFmtId="42" fontId="0" fillId="0" borderId="0" xfId="1" applyNumberFormat="1" applyFont="1"/>
    <xf numFmtId="42" fontId="0" fillId="0" borderId="0" xfId="0" applyNumberFormat="1"/>
    <xf numFmtId="0" fontId="1" fillId="0" borderId="0" xfId="0" applyFont="1" applyAlignment="1">
      <alignment horizontal="center" vertical="center" wrapText="1"/>
    </xf>
    <xf numFmtId="9" fontId="1" fillId="0" borderId="0" xfId="2" applyFont="1" applyAlignment="1">
      <alignment horizontal="center" vertical="center" wrapText="1"/>
    </xf>
    <xf numFmtId="0" fontId="3" fillId="0" borderId="0" xfId="0" applyFont="1" applyBorder="1" applyAlignment="1">
      <alignment horizontal="center" vertical="center" wrapText="1"/>
    </xf>
    <xf numFmtId="0" fontId="4" fillId="0" borderId="0" xfId="0" applyFont="1" applyBorder="1" applyAlignment="1">
      <alignment horizontal="center" vertical="center" wrapText="1"/>
    </xf>
    <xf numFmtId="164" fontId="7" fillId="0" borderId="0" xfId="0" applyNumberFormat="1" applyFont="1"/>
    <xf numFmtId="164" fontId="8" fillId="0" borderId="0" xfId="0" applyNumberFormat="1" applyFont="1"/>
    <xf numFmtId="164" fontId="8" fillId="0" borderId="0" xfId="0" applyNumberFormat="1" applyFont="1" applyAlignment="1">
      <alignment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9" fillId="0" borderId="0" xfId="0" applyFont="1"/>
    <xf numFmtId="0" fontId="0" fillId="0" borderId="0" xfId="0" applyAlignment="1">
      <alignment horizontal="center"/>
    </xf>
    <xf numFmtId="0" fontId="9" fillId="0" borderId="0" xfId="0" applyFont="1" applyAlignment="1">
      <alignment horizontal="left"/>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9" fontId="11" fillId="0" borderId="0" xfId="2" applyFont="1"/>
    <xf numFmtId="0" fontId="12" fillId="0" borderId="0" xfId="0" applyFont="1"/>
    <xf numFmtId="0" fontId="13" fillId="0" borderId="0" xfId="0" applyFont="1"/>
    <xf numFmtId="9" fontId="13" fillId="0" borderId="0" xfId="2" applyFont="1"/>
    <xf numFmtId="0" fontId="13" fillId="0" borderId="0" xfId="0" applyFont="1" applyAlignment="1">
      <alignment horizontal="center" vertical="center" wrapText="1"/>
    </xf>
    <xf numFmtId="9" fontId="13" fillId="0" borderId="0" xfId="2" applyFont="1" applyAlignment="1">
      <alignment horizontal="center" vertical="center" wrapText="1"/>
    </xf>
    <xf numFmtId="0" fontId="12" fillId="0" borderId="0" xfId="0" applyFont="1" applyAlignment="1">
      <alignment horizontal="center" vertical="center" wrapText="1"/>
    </xf>
    <xf numFmtId="0" fontId="12" fillId="0" borderId="0" xfId="0" applyFont="1" applyFill="1"/>
    <xf numFmtId="166" fontId="12" fillId="0" borderId="0" xfId="0" applyNumberFormat="1" applyFont="1"/>
    <xf numFmtId="164" fontId="12" fillId="0" borderId="0" xfId="0" applyNumberFormat="1" applyFont="1"/>
    <xf numFmtId="9" fontId="12" fillId="0" borderId="0" xfId="2" applyFont="1"/>
    <xf numFmtId="0" fontId="14" fillId="0" borderId="0" xfId="0" applyFont="1"/>
    <xf numFmtId="9" fontId="4" fillId="0" borderId="0" xfId="2" quotePrefix="1" applyFont="1"/>
  </cellXfs>
  <cellStyles count="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1</xdr:row>
          <xdr:rowOff>133349</xdr:rowOff>
        </xdr:from>
        <xdr:to>
          <xdr:col>3</xdr:col>
          <xdr:colOff>1219200</xdr:colOff>
          <xdr:row>4</xdr:row>
          <xdr:rowOff>161925</xdr:rowOff>
        </xdr:to>
        <xdr:sp macro="" textlink="">
          <xdr:nvSpPr>
            <xdr:cNvPr id="1025" name="GetData" descr="Get Data"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1</xdr:row>
          <xdr:rowOff>133349</xdr:rowOff>
        </xdr:from>
        <xdr:to>
          <xdr:col>3</xdr:col>
          <xdr:colOff>1219200</xdr:colOff>
          <xdr:row>4</xdr:row>
          <xdr:rowOff>161925</xdr:rowOff>
        </xdr:to>
        <xdr:sp macro="" textlink="">
          <xdr:nvSpPr>
            <xdr:cNvPr id="7169" name="GetData" descr="Get Data" hidden="1">
              <a:extLst>
                <a:ext uri="{63B3BB69-23CF-44E3-9099-C40C66FF867C}">
                  <a14:compatExt spid="_x0000_s7169"/>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workbookViewId="0">
      <selection activeCell="D19" sqref="D19"/>
    </sheetView>
  </sheetViews>
  <sheetFormatPr defaultRowHeight="15" x14ac:dyDescent="0.25"/>
  <sheetData>
    <row r="1" spans="1:2" x14ac:dyDescent="0.25">
      <c r="A1" s="30" t="s">
        <v>140</v>
      </c>
    </row>
    <row r="2" spans="1:2" x14ac:dyDescent="0.25">
      <c r="A2" t="s">
        <v>141</v>
      </c>
    </row>
    <row r="4" spans="1:2" x14ac:dyDescent="0.25">
      <c r="A4" s="31" t="s">
        <v>142</v>
      </c>
    </row>
    <row r="5" spans="1:2" x14ac:dyDescent="0.25">
      <c r="A5" s="31" t="s">
        <v>143</v>
      </c>
    </row>
    <row r="6" spans="1:2" x14ac:dyDescent="0.25">
      <c r="A6" s="31" t="s">
        <v>144</v>
      </c>
    </row>
    <row r="7" spans="1:2" x14ac:dyDescent="0.25">
      <c r="A7" s="31" t="s">
        <v>145</v>
      </c>
    </row>
    <row r="8" spans="1:2" x14ac:dyDescent="0.25">
      <c r="A8" s="31" t="s">
        <v>146</v>
      </c>
    </row>
    <row r="9" spans="1:2" x14ac:dyDescent="0.25">
      <c r="A9" s="31" t="s">
        <v>147</v>
      </c>
    </row>
    <row r="11" spans="1:2" x14ac:dyDescent="0.25">
      <c r="A11" s="32">
        <v>1</v>
      </c>
      <c r="B11" s="31" t="s">
        <v>148</v>
      </c>
    </row>
    <row r="12" spans="1:2" x14ac:dyDescent="0.25">
      <c r="A12" s="32">
        <v>2</v>
      </c>
      <c r="B12" s="31" t="s">
        <v>149</v>
      </c>
    </row>
    <row r="13" spans="1:2" x14ac:dyDescent="0.25">
      <c r="A13" s="32">
        <v>3</v>
      </c>
      <c r="B13" s="31" t="s">
        <v>150</v>
      </c>
    </row>
    <row r="14" spans="1:2" x14ac:dyDescent="0.25">
      <c r="A14" s="32">
        <v>4</v>
      </c>
      <c r="B14" s="31" t="s">
        <v>151</v>
      </c>
    </row>
    <row r="15" spans="1:2" x14ac:dyDescent="0.25">
      <c r="A15" s="32">
        <v>5</v>
      </c>
      <c r="B15" s="31" t="s">
        <v>152</v>
      </c>
    </row>
    <row r="16" spans="1:2" x14ac:dyDescent="0.25">
      <c r="A16" s="32">
        <v>6</v>
      </c>
      <c r="B16" s="31" t="s">
        <v>153</v>
      </c>
    </row>
    <row r="17" spans="1:2" x14ac:dyDescent="0.25">
      <c r="A17" s="32">
        <v>7</v>
      </c>
      <c r="B17" t="s">
        <v>154</v>
      </c>
    </row>
    <row r="18" spans="1:2" x14ac:dyDescent="0.25">
      <c r="A18" s="32">
        <v>8</v>
      </c>
      <c r="B18" s="31" t="s">
        <v>155</v>
      </c>
    </row>
    <row r="20" spans="1:2" x14ac:dyDescent="0.25">
      <c r="A20" s="30" t="s">
        <v>156</v>
      </c>
    </row>
    <row r="21" spans="1:2" x14ac:dyDescent="0.25">
      <c r="A21" s="32">
        <v>1</v>
      </c>
      <c r="B21" t="s">
        <v>157</v>
      </c>
    </row>
    <row r="22" spans="1:2" x14ac:dyDescent="0.25">
      <c r="A22" s="32">
        <v>2</v>
      </c>
      <c r="B22" s="31" t="s">
        <v>158</v>
      </c>
    </row>
    <row r="23" spans="1:2" x14ac:dyDescent="0.25">
      <c r="A23" s="32">
        <v>3</v>
      </c>
      <c r="B23" t="s">
        <v>159</v>
      </c>
    </row>
    <row r="24" spans="1:2" x14ac:dyDescent="0.25">
      <c r="A24" s="32">
        <v>4</v>
      </c>
      <c r="B24" s="31" t="s">
        <v>160</v>
      </c>
    </row>
    <row r="25" spans="1:2" x14ac:dyDescent="0.25">
      <c r="A25" s="32">
        <v>5</v>
      </c>
      <c r="B25" s="31" t="s">
        <v>161</v>
      </c>
    </row>
    <row r="26" spans="1:2" x14ac:dyDescent="0.25">
      <c r="A26" s="32">
        <v>6</v>
      </c>
      <c r="B26" s="31" t="s">
        <v>162</v>
      </c>
    </row>
    <row r="27" spans="1:2" x14ac:dyDescent="0.25">
      <c r="A27" s="32">
        <v>7</v>
      </c>
      <c r="B27" s="31" t="s">
        <v>163</v>
      </c>
    </row>
    <row r="28" spans="1:2" x14ac:dyDescent="0.25">
      <c r="A28" s="32">
        <v>8</v>
      </c>
      <c r="B28" t="s">
        <v>164</v>
      </c>
    </row>
    <row r="29" spans="1:2" x14ac:dyDescent="0.25">
      <c r="A29" s="32">
        <v>9</v>
      </c>
      <c r="B29" s="31" t="s">
        <v>165</v>
      </c>
    </row>
    <row r="30" spans="1:2" x14ac:dyDescent="0.25">
      <c r="A30" s="32">
        <v>10</v>
      </c>
      <c r="B30" s="31" t="s">
        <v>166</v>
      </c>
    </row>
    <row r="31" spans="1:2" x14ac:dyDescent="0.25">
      <c r="A31" s="32">
        <v>11</v>
      </c>
      <c r="B31" t="s">
        <v>167</v>
      </c>
    </row>
    <row r="32" spans="1:2" x14ac:dyDescent="0.25">
      <c r="A32" s="32">
        <v>12</v>
      </c>
      <c r="B32" s="31" t="s">
        <v>168</v>
      </c>
    </row>
    <row r="33" spans="1:2" x14ac:dyDescent="0.25">
      <c r="A33" s="32">
        <v>13</v>
      </c>
      <c r="B33" s="31" t="s">
        <v>169</v>
      </c>
    </row>
    <row r="35" spans="1:2" x14ac:dyDescent="0.25">
      <c r="A35" t="s">
        <v>170</v>
      </c>
    </row>
    <row r="36" spans="1:2" x14ac:dyDescent="0.25">
      <c r="A36" t="s">
        <v>171</v>
      </c>
    </row>
    <row r="37" spans="1:2" x14ac:dyDescent="0.25">
      <c r="A37" t="s">
        <v>172</v>
      </c>
    </row>
    <row r="38" spans="1:2" x14ac:dyDescent="0.25">
      <c r="B38" t="s">
        <v>173</v>
      </c>
    </row>
    <row r="39" spans="1:2" x14ac:dyDescent="0.25">
      <c r="B39" t="s">
        <v>174</v>
      </c>
    </row>
    <row r="40" spans="1:2" x14ac:dyDescent="0.25">
      <c r="A40" t="s">
        <v>175</v>
      </c>
    </row>
    <row r="41" spans="1:2" x14ac:dyDescent="0.25">
      <c r="A41" t="s">
        <v>176</v>
      </c>
    </row>
    <row r="42" spans="1:2" x14ac:dyDescent="0.25">
      <c r="A42" t="s">
        <v>177</v>
      </c>
    </row>
    <row r="43" spans="1:2" x14ac:dyDescent="0.25">
      <c r="A43" t="s">
        <v>178</v>
      </c>
    </row>
    <row r="44" spans="1:2" x14ac:dyDescent="0.25">
      <c r="A44" t="s">
        <v>179</v>
      </c>
    </row>
    <row r="46" spans="1:2" x14ac:dyDescent="0.25">
      <c r="A46" t="s">
        <v>180</v>
      </c>
    </row>
    <row r="47" spans="1:2" x14ac:dyDescent="0.25">
      <c r="A47" t="s">
        <v>181</v>
      </c>
    </row>
    <row r="48" spans="1:2" x14ac:dyDescent="0.25">
      <c r="A48" t="s">
        <v>182</v>
      </c>
    </row>
    <row r="49" spans="1:2" x14ac:dyDescent="0.25">
      <c r="A49" t="s">
        <v>183</v>
      </c>
    </row>
    <row r="50" spans="1:2" x14ac:dyDescent="0.25">
      <c r="B50" t="s">
        <v>184</v>
      </c>
    </row>
    <row r="51" spans="1:2" x14ac:dyDescent="0.25">
      <c r="A51" t="s">
        <v>175</v>
      </c>
    </row>
    <row r="52" spans="1:2" x14ac:dyDescent="0.25">
      <c r="A52" t="s">
        <v>176</v>
      </c>
    </row>
    <row r="53" spans="1:2" x14ac:dyDescent="0.25">
      <c r="A53" t="s">
        <v>177</v>
      </c>
    </row>
    <row r="54" spans="1:2" x14ac:dyDescent="0.25">
      <c r="A54" t="s">
        <v>178</v>
      </c>
    </row>
    <row r="55" spans="1:2" x14ac:dyDescent="0.25">
      <c r="A55" t="s">
        <v>179</v>
      </c>
    </row>
    <row r="58" spans="1:2" s="30" customFormat="1" ht="12.75" x14ac:dyDescent="0.2">
      <c r="A58" s="30" t="s">
        <v>185</v>
      </c>
    </row>
    <row r="59" spans="1:2" x14ac:dyDescent="0.25">
      <c r="A59" t="s">
        <v>186</v>
      </c>
    </row>
    <row r="60" spans="1:2" x14ac:dyDescent="0.25">
      <c r="A60" s="31" t="s">
        <v>187</v>
      </c>
    </row>
    <row r="61" spans="1:2" x14ac:dyDescent="0.25">
      <c r="A61" s="31" t="s">
        <v>188</v>
      </c>
    </row>
    <row r="62" spans="1:2" x14ac:dyDescent="0.25">
      <c r="A62" t="s">
        <v>189</v>
      </c>
    </row>
    <row r="63" spans="1:2" x14ac:dyDescent="0.25">
      <c r="A63" t="s">
        <v>190</v>
      </c>
    </row>
    <row r="64" spans="1:2" x14ac:dyDescent="0.25">
      <c r="B64" t="s">
        <v>191</v>
      </c>
    </row>
    <row r="65" spans="1:3" x14ac:dyDescent="0.25">
      <c r="B65" t="s">
        <v>192</v>
      </c>
    </row>
    <row r="66" spans="1:3" x14ac:dyDescent="0.25">
      <c r="B66" t="s">
        <v>193</v>
      </c>
    </row>
    <row r="67" spans="1:3" x14ac:dyDescent="0.25">
      <c r="B67" t="s">
        <v>194</v>
      </c>
    </row>
    <row r="68" spans="1:3" x14ac:dyDescent="0.25">
      <c r="C68" t="s">
        <v>195</v>
      </c>
    </row>
    <row r="69" spans="1:3" x14ac:dyDescent="0.25">
      <c r="A69" t="s">
        <v>196</v>
      </c>
    </row>
    <row r="70" spans="1:3" x14ac:dyDescent="0.25">
      <c r="C70" t="s">
        <v>197</v>
      </c>
    </row>
    <row r="71" spans="1:3" x14ac:dyDescent="0.25">
      <c r="B71" t="s">
        <v>198</v>
      </c>
    </row>
    <row r="72" spans="1:3" x14ac:dyDescent="0.25">
      <c r="B72" t="s">
        <v>199</v>
      </c>
    </row>
    <row r="73" spans="1:3" x14ac:dyDescent="0.25">
      <c r="A73" t="s">
        <v>200</v>
      </c>
    </row>
    <row r="75" spans="1:3" x14ac:dyDescent="0.25">
      <c r="A75" t="s">
        <v>201</v>
      </c>
    </row>
    <row r="76" spans="1:3" x14ac:dyDescent="0.25">
      <c r="A76" t="s">
        <v>189</v>
      </c>
    </row>
    <row r="77" spans="1:3" x14ac:dyDescent="0.25">
      <c r="A77" t="s">
        <v>202</v>
      </c>
    </row>
    <row r="78" spans="1:3" x14ac:dyDescent="0.25">
      <c r="B78" t="s">
        <v>203</v>
      </c>
    </row>
    <row r="79" spans="1:3" x14ac:dyDescent="0.25">
      <c r="B79" t="s">
        <v>204</v>
      </c>
    </row>
    <row r="80" spans="1:3" x14ac:dyDescent="0.25">
      <c r="B80" t="s">
        <v>205</v>
      </c>
    </row>
    <row r="81" spans="1:3" x14ac:dyDescent="0.25">
      <c r="B81" t="s">
        <v>206</v>
      </c>
    </row>
    <row r="82" spans="1:3" x14ac:dyDescent="0.25">
      <c r="B82" t="s">
        <v>207</v>
      </c>
    </row>
    <row r="83" spans="1:3" x14ac:dyDescent="0.25">
      <c r="B83" t="s">
        <v>208</v>
      </c>
    </row>
    <row r="85" spans="1:3" x14ac:dyDescent="0.25">
      <c r="A85" t="s">
        <v>190</v>
      </c>
    </row>
    <row r="86" spans="1:3" x14ac:dyDescent="0.25">
      <c r="B86" t="s">
        <v>191</v>
      </c>
    </row>
    <row r="87" spans="1:3" x14ac:dyDescent="0.25">
      <c r="B87" t="s">
        <v>192</v>
      </c>
    </row>
    <row r="88" spans="1:3" x14ac:dyDescent="0.25">
      <c r="B88" t="s">
        <v>193</v>
      </c>
    </row>
    <row r="89" spans="1:3" x14ac:dyDescent="0.25">
      <c r="B89" t="s">
        <v>194</v>
      </c>
    </row>
    <row r="90" spans="1:3" x14ac:dyDescent="0.25">
      <c r="C90" t="s">
        <v>195</v>
      </c>
    </row>
    <row r="91" spans="1:3" x14ac:dyDescent="0.25">
      <c r="A91" t="s">
        <v>196</v>
      </c>
    </row>
    <row r="92" spans="1:3" x14ac:dyDescent="0.25">
      <c r="C92" t="s">
        <v>197</v>
      </c>
    </row>
    <row r="93" spans="1:3" x14ac:dyDescent="0.25">
      <c r="B93" t="s">
        <v>198</v>
      </c>
    </row>
    <row r="94" spans="1:3" x14ac:dyDescent="0.25">
      <c r="B94" t="s">
        <v>199</v>
      </c>
    </row>
    <row r="95" spans="1:3" x14ac:dyDescent="0.25">
      <c r="A95" t="s">
        <v>200</v>
      </c>
    </row>
    <row r="97" spans="1:2" x14ac:dyDescent="0.25">
      <c r="A97" s="30" t="s">
        <v>209</v>
      </c>
    </row>
    <row r="98" spans="1:2" x14ac:dyDescent="0.25">
      <c r="A98" t="s">
        <v>210</v>
      </c>
    </row>
    <row r="99" spans="1:2" x14ac:dyDescent="0.25">
      <c r="A99" t="s">
        <v>211</v>
      </c>
    </row>
    <row r="100" spans="1:2" x14ac:dyDescent="0.25">
      <c r="A100" t="s">
        <v>212</v>
      </c>
    </row>
    <row r="101" spans="1:2" x14ac:dyDescent="0.25">
      <c r="A101" t="s">
        <v>213</v>
      </c>
    </row>
    <row r="103" spans="1:2" x14ac:dyDescent="0.25">
      <c r="A103" s="30" t="s">
        <v>214</v>
      </c>
    </row>
    <row r="104" spans="1:2" x14ac:dyDescent="0.25">
      <c r="A104" s="31" t="s">
        <v>215</v>
      </c>
    </row>
    <row r="105" spans="1:2" x14ac:dyDescent="0.25">
      <c r="A105" s="31" t="s">
        <v>216</v>
      </c>
    </row>
    <row r="106" spans="1:2" x14ac:dyDescent="0.25">
      <c r="A106" s="31" t="s">
        <v>217</v>
      </c>
    </row>
    <row r="107" spans="1:2" x14ac:dyDescent="0.25">
      <c r="A107" s="31" t="s">
        <v>218</v>
      </c>
    </row>
    <row r="108" spans="1:2" x14ac:dyDescent="0.25">
      <c r="B108" s="31" t="s">
        <v>219</v>
      </c>
    </row>
    <row r="109" spans="1:2" x14ac:dyDescent="0.25">
      <c r="B109" s="31" t="s">
        <v>220</v>
      </c>
    </row>
    <row r="110" spans="1:2" x14ac:dyDescent="0.25">
      <c r="B110" s="31" t="s">
        <v>221</v>
      </c>
    </row>
    <row r="111" spans="1:2" x14ac:dyDescent="0.25">
      <c r="B111" s="31" t="s">
        <v>222</v>
      </c>
    </row>
    <row r="112" spans="1:2" x14ac:dyDescent="0.25">
      <c r="A112" s="31" t="s">
        <v>223</v>
      </c>
    </row>
    <row r="113" spans="1:2" x14ac:dyDescent="0.25">
      <c r="A113" s="31" t="s">
        <v>224</v>
      </c>
    </row>
    <row r="114" spans="1:2" x14ac:dyDescent="0.25">
      <c r="A114" s="31" t="s">
        <v>225</v>
      </c>
    </row>
    <row r="115" spans="1:2" x14ac:dyDescent="0.25">
      <c r="A115" s="33" t="s">
        <v>226</v>
      </c>
    </row>
    <row r="116" spans="1:2" x14ac:dyDescent="0.25">
      <c r="B116" s="31" t="s">
        <v>227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151"/>
  <sheetViews>
    <sheetView tabSelected="1" zoomScale="90" zoomScaleNormal="90" workbookViewId="0">
      <selection activeCell="C8" sqref="C8"/>
    </sheetView>
  </sheetViews>
  <sheetFormatPr defaultColWidth="9.140625" defaultRowHeight="14.25" x14ac:dyDescent="0.2"/>
  <cols>
    <col min="1" max="1" width="22.5703125" style="38" customWidth="1"/>
    <col min="2" max="2" width="15.140625" style="38" customWidth="1"/>
    <col min="3" max="3" width="53.28515625" style="47" customWidth="1"/>
    <col min="4" max="4" width="17.85546875" style="38" customWidth="1"/>
    <col min="5" max="5" width="22.140625" style="38" customWidth="1"/>
    <col min="6" max="6" width="19" style="38" customWidth="1"/>
    <col min="7" max="7" width="20.140625" style="38" customWidth="1"/>
    <col min="8" max="8" width="22.7109375" style="38" customWidth="1"/>
    <col min="9" max="9" width="27.7109375" style="38" customWidth="1"/>
    <col min="10" max="10" width="32.7109375" style="38" customWidth="1"/>
    <col min="11" max="26" width="9.140625" style="38"/>
    <col min="27" max="27" width="18.42578125" style="38" customWidth="1"/>
    <col min="28" max="16384" width="9.140625" style="38"/>
  </cols>
  <sheetData>
    <row r="1" spans="1:9" ht="18" x14ac:dyDescent="0.25">
      <c r="C1" s="37" t="s">
        <v>6</v>
      </c>
    </row>
    <row r="3" spans="1:9" ht="15" x14ac:dyDescent="0.25">
      <c r="A3" s="48">
        <v>2</v>
      </c>
      <c r="B3" s="48" t="s">
        <v>0</v>
      </c>
      <c r="C3" s="40"/>
    </row>
    <row r="4" spans="1:9" ht="15" x14ac:dyDescent="0.25">
      <c r="A4" s="48">
        <v>2017</v>
      </c>
      <c r="B4" s="48" t="s">
        <v>1</v>
      </c>
      <c r="C4" s="40"/>
    </row>
    <row r="5" spans="1:9" ht="15" x14ac:dyDescent="0.25">
      <c r="A5" s="39"/>
      <c r="B5" s="39"/>
      <c r="C5" s="40"/>
    </row>
    <row r="6" spans="1:9" x14ac:dyDescent="0.2">
      <c r="A6" s="4" t="s">
        <v>2</v>
      </c>
      <c r="B6" s="4">
        <f t="array" ref="B6">SUBTOTAL(2,A9:A119)</f>
        <v>0</v>
      </c>
      <c r="C6" s="49" t="s">
        <v>3</v>
      </c>
    </row>
    <row r="7" spans="1:9" s="43" customFormat="1" ht="15" x14ac:dyDescent="0.25">
      <c r="A7" s="41"/>
      <c r="B7" s="41"/>
      <c r="C7" s="42"/>
      <c r="D7" s="41"/>
      <c r="E7" s="41"/>
      <c r="F7" s="41"/>
    </row>
    <row r="8" spans="1:9" s="44" customFormat="1" ht="43.5" customHeight="1" x14ac:dyDescent="0.2">
      <c r="A8" s="34" t="s">
        <v>228</v>
      </c>
      <c r="B8" s="34" t="s">
        <v>229</v>
      </c>
      <c r="C8" s="35" t="s">
        <v>39</v>
      </c>
      <c r="D8" s="36" t="s">
        <v>230</v>
      </c>
      <c r="E8" s="36" t="s">
        <v>231</v>
      </c>
      <c r="F8" s="36" t="s">
        <v>232</v>
      </c>
      <c r="G8" s="36" t="s">
        <v>233</v>
      </c>
      <c r="H8" s="36" t="s">
        <v>5</v>
      </c>
      <c r="I8" s="36" t="s">
        <v>234</v>
      </c>
    </row>
    <row r="9" spans="1:9" ht="13.5" customHeight="1" x14ac:dyDescent="0.2">
      <c r="C9" s="45"/>
      <c r="E9" s="46"/>
      <c r="F9" s="46"/>
    </row>
    <row r="10" spans="1:9" ht="13.5" customHeight="1" x14ac:dyDescent="0.2">
      <c r="C10" s="45"/>
      <c r="E10" s="46"/>
      <c r="F10" s="46"/>
    </row>
    <row r="11" spans="1:9" ht="13.5" customHeight="1" x14ac:dyDescent="0.2">
      <c r="C11" s="45"/>
      <c r="E11" s="46"/>
      <c r="F11" s="46"/>
    </row>
    <row r="12" spans="1:9" ht="13.5" customHeight="1" x14ac:dyDescent="0.2">
      <c r="C12" s="45"/>
      <c r="E12" s="46"/>
      <c r="F12" s="46"/>
    </row>
    <row r="13" spans="1:9" ht="13.5" customHeight="1" x14ac:dyDescent="0.2">
      <c r="C13" s="45"/>
      <c r="E13" s="46"/>
      <c r="F13" s="46"/>
    </row>
    <row r="14" spans="1:9" ht="13.5" customHeight="1" x14ac:dyDescent="0.2">
      <c r="C14" s="45"/>
      <c r="E14" s="46"/>
      <c r="F14" s="46"/>
    </row>
    <row r="15" spans="1:9" ht="13.5" customHeight="1" x14ac:dyDescent="0.2">
      <c r="C15" s="45"/>
      <c r="E15" s="46"/>
      <c r="F15" s="46"/>
    </row>
    <row r="16" spans="1:9" ht="13.5" customHeight="1" x14ac:dyDescent="0.2">
      <c r="C16" s="45"/>
      <c r="E16" s="46"/>
      <c r="F16" s="46"/>
    </row>
    <row r="17" spans="3:6" ht="13.5" customHeight="1" x14ac:dyDescent="0.2">
      <c r="C17" s="45"/>
      <c r="E17" s="46"/>
      <c r="F17" s="46"/>
    </row>
    <row r="18" spans="3:6" ht="13.5" customHeight="1" x14ac:dyDescent="0.2">
      <c r="C18" s="45"/>
      <c r="E18" s="46"/>
      <c r="F18" s="46"/>
    </row>
    <row r="19" spans="3:6" ht="13.5" customHeight="1" x14ac:dyDescent="0.2">
      <c r="C19" s="45"/>
      <c r="E19" s="46"/>
      <c r="F19" s="46"/>
    </row>
    <row r="20" spans="3:6" ht="13.5" customHeight="1" x14ac:dyDescent="0.2">
      <c r="C20" s="45"/>
      <c r="E20" s="46"/>
      <c r="F20" s="46"/>
    </row>
    <row r="21" spans="3:6" ht="13.5" customHeight="1" x14ac:dyDescent="0.2">
      <c r="C21" s="45"/>
      <c r="E21" s="46"/>
      <c r="F21" s="46"/>
    </row>
    <row r="22" spans="3:6" ht="13.5" customHeight="1" x14ac:dyDescent="0.2">
      <c r="C22" s="45"/>
      <c r="E22" s="46"/>
      <c r="F22" s="46"/>
    </row>
    <row r="23" spans="3:6" ht="13.5" customHeight="1" x14ac:dyDescent="0.2">
      <c r="C23" s="45"/>
      <c r="E23" s="46"/>
      <c r="F23" s="46"/>
    </row>
    <row r="24" spans="3:6" ht="13.5" customHeight="1" x14ac:dyDescent="0.2">
      <c r="C24" s="45"/>
      <c r="E24" s="46"/>
      <c r="F24" s="46"/>
    </row>
    <row r="25" spans="3:6" ht="13.5" customHeight="1" x14ac:dyDescent="0.2">
      <c r="C25" s="45"/>
      <c r="E25" s="46"/>
      <c r="F25" s="46"/>
    </row>
    <row r="26" spans="3:6" ht="13.5" customHeight="1" x14ac:dyDescent="0.2">
      <c r="C26" s="45"/>
      <c r="E26" s="46"/>
      <c r="F26" s="46"/>
    </row>
    <row r="27" spans="3:6" ht="13.5" customHeight="1" x14ac:dyDescent="0.2">
      <c r="C27" s="45"/>
      <c r="E27" s="46"/>
      <c r="F27" s="46"/>
    </row>
    <row r="28" spans="3:6" ht="13.5" customHeight="1" x14ac:dyDescent="0.2">
      <c r="C28" s="45"/>
      <c r="E28" s="46"/>
      <c r="F28" s="46"/>
    </row>
    <row r="29" spans="3:6" ht="13.5" customHeight="1" x14ac:dyDescent="0.2">
      <c r="C29" s="45"/>
      <c r="E29" s="46"/>
      <c r="F29" s="46"/>
    </row>
    <row r="30" spans="3:6" ht="13.5" customHeight="1" x14ac:dyDescent="0.2">
      <c r="C30" s="45"/>
      <c r="E30" s="46"/>
      <c r="F30" s="46"/>
    </row>
    <row r="31" spans="3:6" ht="13.5" customHeight="1" x14ac:dyDescent="0.2">
      <c r="C31" s="45"/>
      <c r="E31" s="46"/>
      <c r="F31" s="46"/>
    </row>
    <row r="32" spans="3:6" ht="13.5" customHeight="1" x14ac:dyDescent="0.2">
      <c r="C32" s="45"/>
      <c r="E32" s="46"/>
      <c r="F32" s="46"/>
    </row>
    <row r="33" spans="3:6" ht="13.5" customHeight="1" x14ac:dyDescent="0.2">
      <c r="C33" s="45"/>
      <c r="E33" s="46"/>
      <c r="F33" s="46"/>
    </row>
    <row r="34" spans="3:6" ht="13.5" customHeight="1" x14ac:dyDescent="0.2">
      <c r="C34" s="45"/>
      <c r="E34" s="46"/>
      <c r="F34" s="46"/>
    </row>
    <row r="35" spans="3:6" ht="13.5" customHeight="1" x14ac:dyDescent="0.2">
      <c r="C35" s="45"/>
      <c r="E35" s="46"/>
      <c r="F35" s="46"/>
    </row>
    <row r="36" spans="3:6" ht="13.5" customHeight="1" x14ac:dyDescent="0.2">
      <c r="C36" s="45"/>
      <c r="E36" s="46"/>
      <c r="F36" s="46"/>
    </row>
    <row r="37" spans="3:6" ht="13.5" customHeight="1" x14ac:dyDescent="0.2">
      <c r="C37" s="45"/>
      <c r="E37" s="46"/>
      <c r="F37" s="46"/>
    </row>
    <row r="38" spans="3:6" ht="13.5" customHeight="1" x14ac:dyDescent="0.2">
      <c r="C38" s="45"/>
      <c r="E38" s="46"/>
      <c r="F38" s="46"/>
    </row>
    <row r="39" spans="3:6" ht="13.5" customHeight="1" x14ac:dyDescent="0.2">
      <c r="C39" s="45"/>
      <c r="E39" s="46"/>
      <c r="F39" s="46"/>
    </row>
    <row r="40" spans="3:6" ht="13.5" customHeight="1" x14ac:dyDescent="0.2">
      <c r="C40" s="45"/>
      <c r="E40" s="46"/>
      <c r="F40" s="46"/>
    </row>
    <row r="41" spans="3:6" ht="13.5" customHeight="1" x14ac:dyDescent="0.2">
      <c r="C41" s="45"/>
      <c r="E41" s="46"/>
      <c r="F41" s="46"/>
    </row>
    <row r="42" spans="3:6" ht="13.5" customHeight="1" x14ac:dyDescent="0.2">
      <c r="C42" s="45"/>
      <c r="E42" s="46"/>
      <c r="F42" s="46"/>
    </row>
    <row r="43" spans="3:6" ht="13.5" customHeight="1" x14ac:dyDescent="0.2">
      <c r="C43" s="45"/>
      <c r="E43" s="46"/>
      <c r="F43" s="46"/>
    </row>
    <row r="44" spans="3:6" ht="13.5" customHeight="1" x14ac:dyDescent="0.2">
      <c r="E44" s="46"/>
      <c r="F44" s="46"/>
    </row>
    <row r="45" spans="3:6" ht="13.5" customHeight="1" x14ac:dyDescent="0.2">
      <c r="E45" s="46"/>
      <c r="F45" s="46"/>
    </row>
    <row r="46" spans="3:6" ht="13.5" customHeight="1" x14ac:dyDescent="0.2">
      <c r="E46" s="46"/>
      <c r="F46" s="46"/>
    </row>
    <row r="47" spans="3:6" ht="13.5" customHeight="1" x14ac:dyDescent="0.2">
      <c r="E47" s="46"/>
      <c r="F47" s="46"/>
    </row>
    <row r="48" spans="3:6" ht="13.5" customHeight="1" x14ac:dyDescent="0.2">
      <c r="E48" s="46"/>
      <c r="F48" s="46"/>
    </row>
    <row r="49" spans="5:6" ht="13.5" customHeight="1" x14ac:dyDescent="0.2">
      <c r="E49" s="46"/>
      <c r="F49" s="46"/>
    </row>
    <row r="50" spans="5:6" ht="13.5" customHeight="1" x14ac:dyDescent="0.2">
      <c r="E50" s="46"/>
      <c r="F50" s="46"/>
    </row>
    <row r="51" spans="5:6" x14ac:dyDescent="0.2">
      <c r="E51" s="46"/>
      <c r="F51" s="46"/>
    </row>
    <row r="52" spans="5:6" x14ac:dyDescent="0.2">
      <c r="E52" s="46"/>
      <c r="F52" s="46"/>
    </row>
    <row r="53" spans="5:6" x14ac:dyDescent="0.2">
      <c r="E53" s="46"/>
      <c r="F53" s="46"/>
    </row>
    <row r="54" spans="5:6" x14ac:dyDescent="0.2">
      <c r="E54" s="46"/>
      <c r="F54" s="46"/>
    </row>
    <row r="55" spans="5:6" x14ac:dyDescent="0.2">
      <c r="E55" s="46"/>
      <c r="F55" s="46"/>
    </row>
    <row r="56" spans="5:6" x14ac:dyDescent="0.2">
      <c r="E56" s="46"/>
      <c r="F56" s="46"/>
    </row>
    <row r="57" spans="5:6" x14ac:dyDescent="0.2">
      <c r="E57" s="46"/>
      <c r="F57" s="46"/>
    </row>
    <row r="58" spans="5:6" x14ac:dyDescent="0.2">
      <c r="E58" s="46"/>
      <c r="F58" s="46"/>
    </row>
    <row r="59" spans="5:6" x14ac:dyDescent="0.2">
      <c r="E59" s="46"/>
      <c r="F59" s="46"/>
    </row>
    <row r="60" spans="5:6" x14ac:dyDescent="0.2">
      <c r="E60" s="46"/>
      <c r="F60" s="46"/>
    </row>
    <row r="61" spans="5:6" x14ac:dyDescent="0.2">
      <c r="E61" s="46"/>
      <c r="F61" s="46"/>
    </row>
    <row r="62" spans="5:6" x14ac:dyDescent="0.2">
      <c r="E62" s="46"/>
      <c r="F62" s="46"/>
    </row>
    <row r="63" spans="5:6" x14ac:dyDescent="0.2">
      <c r="E63" s="46"/>
      <c r="F63" s="46"/>
    </row>
    <row r="64" spans="5:6" x14ac:dyDescent="0.2">
      <c r="E64" s="46"/>
      <c r="F64" s="46"/>
    </row>
    <row r="65" spans="5:6" x14ac:dyDescent="0.2">
      <c r="E65" s="46"/>
      <c r="F65" s="46"/>
    </row>
    <row r="66" spans="5:6" x14ac:dyDescent="0.2">
      <c r="E66" s="46"/>
      <c r="F66" s="46"/>
    </row>
    <row r="67" spans="5:6" x14ac:dyDescent="0.2">
      <c r="E67" s="46"/>
      <c r="F67" s="46"/>
    </row>
    <row r="68" spans="5:6" x14ac:dyDescent="0.2">
      <c r="E68" s="46"/>
      <c r="F68" s="46"/>
    </row>
    <row r="69" spans="5:6" x14ac:dyDescent="0.2">
      <c r="E69" s="46"/>
      <c r="F69" s="46"/>
    </row>
    <row r="70" spans="5:6" x14ac:dyDescent="0.2">
      <c r="E70" s="46"/>
      <c r="F70" s="46"/>
    </row>
    <row r="71" spans="5:6" x14ac:dyDescent="0.2">
      <c r="E71" s="46"/>
      <c r="F71" s="46"/>
    </row>
    <row r="72" spans="5:6" x14ac:dyDescent="0.2">
      <c r="E72" s="46"/>
      <c r="F72" s="46"/>
    </row>
    <row r="73" spans="5:6" x14ac:dyDescent="0.2">
      <c r="E73" s="46"/>
      <c r="F73" s="46"/>
    </row>
    <row r="74" spans="5:6" x14ac:dyDescent="0.2">
      <c r="E74" s="46"/>
      <c r="F74" s="46"/>
    </row>
    <row r="75" spans="5:6" x14ac:dyDescent="0.2">
      <c r="E75" s="46"/>
      <c r="F75" s="46"/>
    </row>
    <row r="76" spans="5:6" x14ac:dyDescent="0.2">
      <c r="E76" s="46"/>
      <c r="F76" s="46"/>
    </row>
    <row r="77" spans="5:6" x14ac:dyDescent="0.2">
      <c r="E77" s="46"/>
      <c r="F77" s="46"/>
    </row>
    <row r="78" spans="5:6" x14ac:dyDescent="0.2">
      <c r="E78" s="46"/>
      <c r="F78" s="46"/>
    </row>
    <row r="79" spans="5:6" x14ac:dyDescent="0.2">
      <c r="E79" s="46"/>
      <c r="F79" s="46"/>
    </row>
    <row r="80" spans="5:6" x14ac:dyDescent="0.2">
      <c r="E80" s="46"/>
      <c r="F80" s="46"/>
    </row>
    <row r="81" spans="5:6" x14ac:dyDescent="0.2">
      <c r="E81" s="46"/>
      <c r="F81" s="46"/>
    </row>
    <row r="82" spans="5:6" x14ac:dyDescent="0.2">
      <c r="E82" s="46"/>
      <c r="F82" s="46"/>
    </row>
    <row r="83" spans="5:6" x14ac:dyDescent="0.2">
      <c r="E83" s="46"/>
      <c r="F83" s="46"/>
    </row>
    <row r="84" spans="5:6" x14ac:dyDescent="0.2">
      <c r="E84" s="46"/>
      <c r="F84" s="46"/>
    </row>
    <row r="85" spans="5:6" x14ac:dyDescent="0.2">
      <c r="E85" s="46"/>
      <c r="F85" s="46"/>
    </row>
    <row r="86" spans="5:6" x14ac:dyDescent="0.2">
      <c r="E86" s="46"/>
      <c r="F86" s="46"/>
    </row>
    <row r="87" spans="5:6" x14ac:dyDescent="0.2">
      <c r="E87" s="46"/>
      <c r="F87" s="46"/>
    </row>
    <row r="88" spans="5:6" x14ac:dyDescent="0.2">
      <c r="E88" s="46"/>
      <c r="F88" s="46"/>
    </row>
    <row r="89" spans="5:6" x14ac:dyDescent="0.2">
      <c r="E89" s="46"/>
      <c r="F89" s="46"/>
    </row>
    <row r="90" spans="5:6" x14ac:dyDescent="0.2">
      <c r="E90" s="46"/>
      <c r="F90" s="46"/>
    </row>
    <row r="91" spans="5:6" x14ac:dyDescent="0.2">
      <c r="E91" s="46"/>
      <c r="F91" s="46"/>
    </row>
    <row r="92" spans="5:6" x14ac:dyDescent="0.2">
      <c r="E92" s="46"/>
      <c r="F92" s="46"/>
    </row>
    <row r="93" spans="5:6" x14ac:dyDescent="0.2">
      <c r="E93" s="46"/>
      <c r="F93" s="46"/>
    </row>
    <row r="94" spans="5:6" x14ac:dyDescent="0.2">
      <c r="E94" s="46"/>
      <c r="F94" s="46"/>
    </row>
    <row r="95" spans="5:6" x14ac:dyDescent="0.2">
      <c r="E95" s="46"/>
      <c r="F95" s="46"/>
    </row>
    <row r="96" spans="5:6" x14ac:dyDescent="0.2">
      <c r="E96" s="46"/>
      <c r="F96" s="46"/>
    </row>
    <row r="97" spans="5:6" x14ac:dyDescent="0.2">
      <c r="E97" s="46"/>
      <c r="F97" s="46"/>
    </row>
    <row r="98" spans="5:6" x14ac:dyDescent="0.2">
      <c r="E98" s="46"/>
      <c r="F98" s="46"/>
    </row>
    <row r="99" spans="5:6" x14ac:dyDescent="0.2">
      <c r="E99" s="46"/>
      <c r="F99" s="46"/>
    </row>
    <row r="100" spans="5:6" x14ac:dyDescent="0.2">
      <c r="E100" s="46"/>
      <c r="F100" s="46"/>
    </row>
    <row r="101" spans="5:6" x14ac:dyDescent="0.2">
      <c r="E101" s="46"/>
      <c r="F101" s="46"/>
    </row>
    <row r="102" spans="5:6" x14ac:dyDescent="0.2">
      <c r="E102" s="46"/>
      <c r="F102" s="46"/>
    </row>
    <row r="103" spans="5:6" x14ac:dyDescent="0.2">
      <c r="E103" s="46"/>
      <c r="F103" s="46"/>
    </row>
    <row r="104" spans="5:6" x14ac:dyDescent="0.2">
      <c r="E104" s="46"/>
      <c r="F104" s="46"/>
    </row>
    <row r="105" spans="5:6" x14ac:dyDescent="0.2">
      <c r="E105" s="46"/>
      <c r="F105" s="46"/>
    </row>
    <row r="106" spans="5:6" x14ac:dyDescent="0.2">
      <c r="E106" s="46"/>
      <c r="F106" s="46"/>
    </row>
    <row r="107" spans="5:6" x14ac:dyDescent="0.2">
      <c r="E107" s="46"/>
      <c r="F107" s="46"/>
    </row>
    <row r="108" spans="5:6" x14ac:dyDescent="0.2">
      <c r="E108" s="46"/>
      <c r="F108" s="46"/>
    </row>
    <row r="109" spans="5:6" x14ac:dyDescent="0.2">
      <c r="E109" s="46"/>
      <c r="F109" s="46"/>
    </row>
    <row r="110" spans="5:6" x14ac:dyDescent="0.2">
      <c r="E110" s="46"/>
      <c r="F110" s="46"/>
    </row>
    <row r="111" spans="5:6" x14ac:dyDescent="0.2">
      <c r="E111" s="46"/>
      <c r="F111" s="46"/>
    </row>
    <row r="112" spans="5:6" x14ac:dyDescent="0.2">
      <c r="E112" s="46"/>
      <c r="F112" s="46"/>
    </row>
    <row r="113" spans="5:6" x14ac:dyDescent="0.2">
      <c r="E113" s="46"/>
      <c r="F113" s="46"/>
    </row>
    <row r="114" spans="5:6" x14ac:dyDescent="0.2">
      <c r="E114" s="46"/>
      <c r="F114" s="46"/>
    </row>
    <row r="115" spans="5:6" x14ac:dyDescent="0.2">
      <c r="E115" s="46"/>
      <c r="F115" s="46"/>
    </row>
    <row r="116" spans="5:6" x14ac:dyDescent="0.2">
      <c r="E116" s="46"/>
      <c r="F116" s="46"/>
    </row>
    <row r="117" spans="5:6" x14ac:dyDescent="0.2">
      <c r="E117" s="46"/>
      <c r="F117" s="46"/>
    </row>
    <row r="118" spans="5:6" x14ac:dyDescent="0.2">
      <c r="E118" s="46"/>
      <c r="F118" s="46"/>
    </row>
    <row r="119" spans="5:6" x14ac:dyDescent="0.2">
      <c r="E119" s="46"/>
      <c r="F119" s="46"/>
    </row>
    <row r="120" spans="5:6" x14ac:dyDescent="0.2">
      <c r="E120" s="46"/>
      <c r="F120" s="46"/>
    </row>
    <row r="121" spans="5:6" x14ac:dyDescent="0.2">
      <c r="E121" s="46"/>
      <c r="F121" s="46"/>
    </row>
    <row r="122" spans="5:6" x14ac:dyDescent="0.2">
      <c r="E122" s="46"/>
      <c r="F122" s="46"/>
    </row>
    <row r="123" spans="5:6" x14ac:dyDescent="0.2">
      <c r="E123" s="46"/>
      <c r="F123" s="46"/>
    </row>
    <row r="124" spans="5:6" x14ac:dyDescent="0.2">
      <c r="E124" s="46"/>
      <c r="F124" s="46"/>
    </row>
    <row r="125" spans="5:6" x14ac:dyDescent="0.2">
      <c r="E125" s="46"/>
      <c r="F125" s="46"/>
    </row>
    <row r="126" spans="5:6" x14ac:dyDescent="0.2">
      <c r="E126" s="46"/>
      <c r="F126" s="46"/>
    </row>
    <row r="127" spans="5:6" x14ac:dyDescent="0.2">
      <c r="E127" s="46"/>
      <c r="F127" s="46"/>
    </row>
    <row r="128" spans="5:6" x14ac:dyDescent="0.2">
      <c r="E128" s="46"/>
      <c r="F128" s="46"/>
    </row>
    <row r="129" spans="5:6" x14ac:dyDescent="0.2">
      <c r="E129" s="46"/>
      <c r="F129" s="46"/>
    </row>
    <row r="130" spans="5:6" x14ac:dyDescent="0.2">
      <c r="E130" s="46"/>
      <c r="F130" s="46"/>
    </row>
    <row r="131" spans="5:6" x14ac:dyDescent="0.2">
      <c r="E131" s="46"/>
      <c r="F131" s="46"/>
    </row>
    <row r="132" spans="5:6" x14ac:dyDescent="0.2">
      <c r="E132" s="46"/>
      <c r="F132" s="46"/>
    </row>
    <row r="133" spans="5:6" x14ac:dyDescent="0.2">
      <c r="E133" s="46"/>
      <c r="F133" s="46"/>
    </row>
    <row r="134" spans="5:6" x14ac:dyDescent="0.2">
      <c r="E134" s="46"/>
      <c r="F134" s="46"/>
    </row>
    <row r="135" spans="5:6" x14ac:dyDescent="0.2">
      <c r="E135" s="46"/>
      <c r="F135" s="46"/>
    </row>
    <row r="136" spans="5:6" x14ac:dyDescent="0.2">
      <c r="E136" s="46"/>
      <c r="F136" s="46"/>
    </row>
    <row r="137" spans="5:6" x14ac:dyDescent="0.2">
      <c r="E137" s="46"/>
      <c r="F137" s="46"/>
    </row>
    <row r="138" spans="5:6" x14ac:dyDescent="0.2">
      <c r="E138" s="46"/>
      <c r="F138" s="46"/>
    </row>
    <row r="139" spans="5:6" x14ac:dyDescent="0.2">
      <c r="E139" s="46"/>
      <c r="F139" s="46"/>
    </row>
    <row r="140" spans="5:6" x14ac:dyDescent="0.2">
      <c r="E140" s="46"/>
      <c r="F140" s="46"/>
    </row>
    <row r="141" spans="5:6" x14ac:dyDescent="0.2">
      <c r="E141" s="46"/>
      <c r="F141" s="46"/>
    </row>
    <row r="142" spans="5:6" x14ac:dyDescent="0.2">
      <c r="E142" s="46"/>
      <c r="F142" s="46"/>
    </row>
    <row r="143" spans="5:6" x14ac:dyDescent="0.2">
      <c r="E143" s="46"/>
      <c r="F143" s="46"/>
    </row>
    <row r="144" spans="5:6" x14ac:dyDescent="0.2">
      <c r="E144" s="46"/>
      <c r="F144" s="46"/>
    </row>
    <row r="145" spans="5:6" x14ac:dyDescent="0.2">
      <c r="E145" s="46"/>
      <c r="F145" s="46"/>
    </row>
    <row r="146" spans="5:6" x14ac:dyDescent="0.2">
      <c r="E146" s="46"/>
      <c r="F146" s="46"/>
    </row>
    <row r="147" spans="5:6" x14ac:dyDescent="0.2">
      <c r="E147" s="46"/>
      <c r="F147" s="46"/>
    </row>
    <row r="148" spans="5:6" x14ac:dyDescent="0.2">
      <c r="E148" s="46"/>
      <c r="F148" s="46"/>
    </row>
    <row r="149" spans="5:6" x14ac:dyDescent="0.2">
      <c r="E149" s="46"/>
      <c r="F149" s="46"/>
    </row>
    <row r="150" spans="5:6" x14ac:dyDescent="0.2">
      <c r="E150" s="46"/>
      <c r="F150" s="46"/>
    </row>
    <row r="151" spans="5:6" x14ac:dyDescent="0.2">
      <c r="E151" s="46"/>
      <c r="F151" s="4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GetData">
              <controlPr defaultSize="0" print="0" autoFill="0" autoPict="0" macro="[0]!GetData_Click" altText="Get Data">
                <anchor moveWithCells="1" sizeWithCells="1">
                  <from>
                    <xdr:col>3</xdr:col>
                    <xdr:colOff>38100</xdr:colOff>
                    <xdr:row>1</xdr:row>
                    <xdr:rowOff>133350</xdr:rowOff>
                  </from>
                  <to>
                    <xdr:col>3</xdr:col>
                    <xdr:colOff>1219200</xdr:colOff>
                    <xdr:row>4</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F152"/>
  <sheetViews>
    <sheetView workbookViewId="0">
      <selection activeCell="C15" sqref="C15"/>
    </sheetView>
  </sheetViews>
  <sheetFormatPr defaultColWidth="9.140625" defaultRowHeight="15" x14ac:dyDescent="0.25"/>
  <cols>
    <col min="1" max="1" width="22.5703125" customWidth="1"/>
    <col min="2" max="2" width="15.140625" customWidth="1"/>
    <col min="3" max="3" width="53.28515625" style="7" customWidth="1"/>
    <col min="4" max="4" width="17.85546875" customWidth="1"/>
    <col min="5" max="5" width="22.140625" customWidth="1"/>
    <col min="6" max="6" width="19" customWidth="1"/>
    <col min="7" max="7" width="20.140625" customWidth="1"/>
    <col min="8" max="8" width="22.7109375" customWidth="1"/>
    <col min="9" max="9" width="27.7109375" customWidth="1"/>
    <col min="10" max="10" width="32.7109375" customWidth="1"/>
    <col min="27" max="27" width="18.42578125" customWidth="1"/>
  </cols>
  <sheetData>
    <row r="1" spans="1:6" ht="18.75" x14ac:dyDescent="0.3">
      <c r="C1" s="9" t="s">
        <v>6</v>
      </c>
    </row>
    <row r="3" spans="1:6" x14ac:dyDescent="0.25">
      <c r="A3" s="1">
        <v>2</v>
      </c>
      <c r="B3" s="1" t="s">
        <v>0</v>
      </c>
      <c r="C3" s="10"/>
    </row>
    <row r="4" spans="1:6" x14ac:dyDescent="0.25">
      <c r="A4" s="1">
        <v>2017</v>
      </c>
      <c r="B4" s="1" t="s">
        <v>1</v>
      </c>
      <c r="C4" s="10"/>
    </row>
    <row r="5" spans="1:6" x14ac:dyDescent="0.25">
      <c r="A5" s="1"/>
      <c r="B5" s="1"/>
      <c r="C5" s="10"/>
    </row>
    <row r="6" spans="1:6" x14ac:dyDescent="0.25">
      <c r="A6" s="1" t="s">
        <v>2</v>
      </c>
      <c r="B6" s="1">
        <f t="array" ref="B6">SUBTOTAL(2,A9:A120)</f>
        <v>36</v>
      </c>
      <c r="C6" s="11" t="s">
        <v>3</v>
      </c>
    </row>
    <row r="7" spans="1:6" x14ac:dyDescent="0.25">
      <c r="A7" s="1"/>
      <c r="B7" s="1"/>
      <c r="C7" s="11"/>
    </row>
    <row r="8" spans="1:6" s="13" customFormat="1" ht="30" x14ac:dyDescent="0.25">
      <c r="A8" s="20" t="s">
        <v>228</v>
      </c>
      <c r="B8" s="20" t="s">
        <v>4</v>
      </c>
      <c r="C8" s="21" t="s">
        <v>39</v>
      </c>
      <c r="D8" s="20" t="s">
        <v>40</v>
      </c>
      <c r="E8" s="20" t="s">
        <v>5</v>
      </c>
      <c r="F8" s="20" t="s">
        <v>6</v>
      </c>
    </row>
    <row r="9" spans="1:6" ht="13.5" customHeight="1" x14ac:dyDescent="0.25">
      <c r="A9">
        <v>70340</v>
      </c>
      <c r="B9" t="s">
        <v>50</v>
      </c>
      <c r="C9" s="27">
        <v>1E-4</v>
      </c>
      <c r="D9" t="s">
        <v>51</v>
      </c>
      <c r="E9" s="8" t="str">
        <f>IFERROR(INDEX(IncStmt!$B$2:AS$26,MATCH("NET INCOME / LOSS",IncStmt!$A$2:$A$26,0),MATCH(Main!#REF!,IncStmt!$B$1:$AS$1,0)),"")</f>
        <v/>
      </c>
      <c r="F9" s="8" t="str">
        <f>IF(ISTEXT(E9),E9,E9*C9)</f>
        <v/>
      </c>
    </row>
    <row r="10" spans="1:6" ht="13.5" customHeight="1" x14ac:dyDescent="0.25">
      <c r="A10">
        <v>70341</v>
      </c>
      <c r="B10" t="s">
        <v>52</v>
      </c>
      <c r="C10" s="27">
        <v>8.5000000000000006E-5</v>
      </c>
      <c r="D10" t="s">
        <v>51</v>
      </c>
      <c r="E10" s="8" t="str">
        <f>IFERROR(INDEX(IncStmt!$B$2:AS$26,MATCH("NET INCOME / LOSS",IncStmt!$A$2:$A$26,0),MATCH(Main!A9,IncStmt!$B$1:$AS$1,0)),"")</f>
        <v/>
      </c>
      <c r="F10" s="8" t="str">
        <f t="shared" ref="F10:F44" si="0">IF(ISTEXT(E10),E10,E10*C10)</f>
        <v/>
      </c>
    </row>
    <row r="11" spans="1:6" ht="13.5" customHeight="1" x14ac:dyDescent="0.25">
      <c r="A11">
        <v>70342</v>
      </c>
      <c r="B11" t="s">
        <v>54</v>
      </c>
      <c r="C11" s="27">
        <v>0.9998999999999999</v>
      </c>
      <c r="D11" t="s">
        <v>51</v>
      </c>
      <c r="E11" s="8" t="str">
        <f>IFERROR(INDEX(IncStmt!$B$2:AS$26,MATCH("NET INCOME / LOSS",IncStmt!$A$2:$A$26,0),MATCH(Main!A10,IncStmt!$B$1:$AS$1,0)),"")</f>
        <v/>
      </c>
      <c r="F11" s="8" t="str">
        <f t="shared" si="0"/>
        <v/>
      </c>
    </row>
    <row r="12" spans="1:6" ht="13.5" customHeight="1" x14ac:dyDescent="0.25">
      <c r="A12">
        <v>70343</v>
      </c>
      <c r="B12" t="s">
        <v>56</v>
      </c>
      <c r="C12" s="27">
        <v>0.9998999999999999</v>
      </c>
      <c r="D12" t="s">
        <v>51</v>
      </c>
      <c r="E12" s="8" t="str">
        <f>IFERROR(INDEX(IncStmt!$B$2:AS$26,MATCH("NET INCOME / LOSS",IncStmt!$A$2:$A$26,0),MATCH(Main!A11,IncStmt!$B$1:$AS$1,0)),"")</f>
        <v/>
      </c>
      <c r="F12" s="8" t="str">
        <f t="shared" si="0"/>
        <v/>
      </c>
    </row>
    <row r="13" spans="1:6" ht="13.5" customHeight="1" x14ac:dyDescent="0.25">
      <c r="A13">
        <v>70344</v>
      </c>
      <c r="B13" t="s">
        <v>58</v>
      </c>
      <c r="C13" s="27">
        <v>0.9998999999999999</v>
      </c>
      <c r="D13" t="s">
        <v>51</v>
      </c>
      <c r="E13" s="8" t="str">
        <f>IFERROR(INDEX(IncStmt!$B$2:AS$26,MATCH("NET INCOME / LOSS",IncStmt!$A$2:$A$26,0),MATCH(Main!A12,IncStmt!$B$1:$AS$1,0)),"")</f>
        <v/>
      </c>
      <c r="F13" s="8" t="str">
        <f t="shared" si="0"/>
        <v/>
      </c>
    </row>
    <row r="14" spans="1:6" ht="13.5" customHeight="1" x14ac:dyDescent="0.25">
      <c r="A14">
        <v>70345</v>
      </c>
      <c r="B14" t="s">
        <v>60</v>
      </c>
      <c r="C14" s="27">
        <v>7.0000000000000007E-5</v>
      </c>
      <c r="D14" t="s">
        <v>51</v>
      </c>
      <c r="E14" s="8" t="str">
        <f>IFERROR(INDEX(IncStmt!$B$2:AS$26,MATCH("NET INCOME / LOSS",IncStmt!$A$2:$A$26,0),MATCH(Main!A13,IncStmt!$B$1:$AS$1,0)),"")</f>
        <v/>
      </c>
      <c r="F14" s="8" t="str">
        <f t="shared" si="0"/>
        <v/>
      </c>
    </row>
    <row r="15" spans="1:6" ht="13.5" customHeight="1" x14ac:dyDescent="0.25">
      <c r="A15">
        <v>70346</v>
      </c>
      <c r="B15" t="s">
        <v>62</v>
      </c>
      <c r="C15" s="27">
        <v>0.9998999999999999</v>
      </c>
      <c r="D15" t="s">
        <v>51</v>
      </c>
      <c r="E15" s="8" t="str">
        <f>IFERROR(INDEX(IncStmt!$B$2:AS$26,MATCH("NET INCOME / LOSS",IncStmt!$A$2:$A$26,0),MATCH(Main!A14,IncStmt!$B$1:$AS$1,0)),"")</f>
        <v/>
      </c>
      <c r="F15" s="8" t="str">
        <f t="shared" si="0"/>
        <v/>
      </c>
    </row>
    <row r="16" spans="1:6" ht="13.5" customHeight="1" x14ac:dyDescent="0.25">
      <c r="A16">
        <v>70347</v>
      </c>
      <c r="B16" t="s">
        <v>64</v>
      </c>
      <c r="C16" s="27">
        <v>7.0000000000000007E-5</v>
      </c>
      <c r="D16" t="s">
        <v>51</v>
      </c>
      <c r="E16" s="8" t="str">
        <f>IFERROR(INDEX(IncStmt!$B$2:AS$26,MATCH("NET INCOME / LOSS",IncStmt!$A$2:$A$26,0),MATCH(Main!A15,IncStmt!$B$1:$AS$1,0)),"")</f>
        <v/>
      </c>
      <c r="F16" s="8" t="str">
        <f t="shared" si="0"/>
        <v/>
      </c>
    </row>
    <row r="17" spans="1:6" ht="13.5" customHeight="1" x14ac:dyDescent="0.25">
      <c r="A17">
        <v>70348</v>
      </c>
      <c r="B17" t="s">
        <v>66</v>
      </c>
      <c r="C17" s="27">
        <v>0.9998999999999999</v>
      </c>
      <c r="D17" t="s">
        <v>51</v>
      </c>
      <c r="E17" s="8" t="str">
        <f>IFERROR(INDEX(IncStmt!$B$2:AS$26,MATCH("NET INCOME / LOSS",IncStmt!$A$2:$A$26,0),MATCH(Main!A16,IncStmt!$B$1:$AS$1,0)),"")</f>
        <v/>
      </c>
      <c r="F17" s="8" t="str">
        <f t="shared" si="0"/>
        <v/>
      </c>
    </row>
    <row r="18" spans="1:6" ht="13.5" customHeight="1" x14ac:dyDescent="0.25">
      <c r="A18">
        <v>70349</v>
      </c>
      <c r="B18" t="s">
        <v>68</v>
      </c>
      <c r="C18" s="27">
        <v>1E-4</v>
      </c>
      <c r="D18" t="s">
        <v>51</v>
      </c>
      <c r="E18" s="8" t="str">
        <f>IFERROR(INDEX(IncStmt!$B$2:AS$26,MATCH("NET INCOME / LOSS",IncStmt!$A$2:$A$26,0),MATCH(Main!A17,IncStmt!$B$1:$AS$1,0)),"")</f>
        <v/>
      </c>
      <c r="F18" s="8" t="str">
        <f t="shared" si="0"/>
        <v/>
      </c>
    </row>
    <row r="19" spans="1:6" ht="13.5" customHeight="1" x14ac:dyDescent="0.25">
      <c r="A19">
        <v>70350</v>
      </c>
      <c r="B19" t="s">
        <v>70</v>
      </c>
      <c r="C19" s="27">
        <v>0.9998999999999999</v>
      </c>
      <c r="D19" t="s">
        <v>51</v>
      </c>
      <c r="E19" s="8" t="str">
        <f>IFERROR(INDEX(IncStmt!$B$2:AS$26,MATCH("NET INCOME / LOSS",IncStmt!$A$2:$A$26,0),MATCH(Main!A18,IncStmt!$B$1:$AS$1,0)),"")</f>
        <v/>
      </c>
      <c r="F19" s="8" t="str">
        <f t="shared" si="0"/>
        <v/>
      </c>
    </row>
    <row r="20" spans="1:6" ht="13.5" customHeight="1" x14ac:dyDescent="0.25">
      <c r="A20">
        <v>70352</v>
      </c>
      <c r="B20" t="s">
        <v>72</v>
      </c>
      <c r="C20" s="27">
        <v>0.9998999999999999</v>
      </c>
      <c r="D20" t="s">
        <v>51</v>
      </c>
      <c r="E20" s="8" t="str">
        <f>IFERROR(INDEX(IncStmt!$B$2:AS$26,MATCH("NET INCOME / LOSS",IncStmt!$A$2:$A$26,0),MATCH(Main!A19,IncStmt!$B$1:$AS$1,0)),"")</f>
        <v/>
      </c>
      <c r="F20" s="8" t="str">
        <f t="shared" si="0"/>
        <v/>
      </c>
    </row>
    <row r="21" spans="1:6" ht="13.5" customHeight="1" x14ac:dyDescent="0.25">
      <c r="A21">
        <v>70354</v>
      </c>
      <c r="B21" t="s">
        <v>74</v>
      </c>
      <c r="C21" s="27">
        <v>9.001E-5</v>
      </c>
      <c r="D21" t="s">
        <v>51</v>
      </c>
      <c r="E21" s="8" t="str">
        <f>IFERROR(INDEX(IncStmt!$B$2:AS$26,MATCH("NET INCOME / LOSS",IncStmt!$A$2:$A$26,0),MATCH(Main!A20,IncStmt!$B$1:$AS$1,0)),"")</f>
        <v/>
      </c>
      <c r="F21" s="8" t="str">
        <f t="shared" si="0"/>
        <v/>
      </c>
    </row>
    <row r="22" spans="1:6" ht="13.5" customHeight="1" x14ac:dyDescent="0.25">
      <c r="A22">
        <v>70357</v>
      </c>
      <c r="B22" t="s">
        <v>76</v>
      </c>
      <c r="C22" s="27">
        <v>9.001E-5</v>
      </c>
      <c r="D22" t="s">
        <v>51</v>
      </c>
      <c r="E22" s="8" t="str">
        <f>IFERROR(INDEX(IncStmt!$B$2:AS$26,MATCH("NET INCOME / LOSS",IncStmt!$A$2:$A$26,0),MATCH(Main!A21,IncStmt!$B$1:$AS$1,0)),"")</f>
        <v/>
      </c>
      <c r="F22" s="8" t="str">
        <f t="shared" si="0"/>
        <v/>
      </c>
    </row>
    <row r="23" spans="1:6" ht="13.5" customHeight="1" x14ac:dyDescent="0.25">
      <c r="A23">
        <v>70358</v>
      </c>
      <c r="B23" t="s">
        <v>78</v>
      </c>
      <c r="C23" s="27">
        <v>0.9998999999999999</v>
      </c>
      <c r="D23" t="s">
        <v>51</v>
      </c>
      <c r="E23" s="8" t="str">
        <f>IFERROR(INDEX(IncStmt!$B$2:AS$26,MATCH("NET INCOME / LOSS",IncStmt!$A$2:$A$26,0),MATCH(Main!A22,IncStmt!$B$1:$AS$1,0)),"")</f>
        <v/>
      </c>
      <c r="F23" s="8" t="str">
        <f t="shared" si="0"/>
        <v/>
      </c>
    </row>
    <row r="24" spans="1:6" ht="13.5" customHeight="1" x14ac:dyDescent="0.25">
      <c r="A24">
        <v>70361</v>
      </c>
      <c r="B24" t="s">
        <v>80</v>
      </c>
      <c r="C24" s="27">
        <v>0.9998999999999999</v>
      </c>
      <c r="D24" t="s">
        <v>81</v>
      </c>
      <c r="E24" s="8" t="str">
        <f>IFERROR(INDEX(IncStmt!$B$2:AS$26,MATCH("NET INCOME / LOSS",IncStmt!$A$2:$A$26,0),MATCH(Main!A23,IncStmt!$B$1:$AS$1,0)),"")</f>
        <v/>
      </c>
      <c r="F24" s="8" t="str">
        <f t="shared" si="0"/>
        <v/>
      </c>
    </row>
    <row r="25" spans="1:6" ht="13.5" customHeight="1" x14ac:dyDescent="0.25">
      <c r="A25">
        <v>70362</v>
      </c>
      <c r="B25" t="s">
        <v>83</v>
      </c>
      <c r="C25" s="27">
        <v>1E-4</v>
      </c>
      <c r="D25" t="s">
        <v>51</v>
      </c>
      <c r="E25" s="8" t="str">
        <f>IFERROR(INDEX(IncStmt!$B$2:AS$26,MATCH("NET INCOME / LOSS",IncStmt!$A$2:$A$26,0),MATCH(Main!A24,IncStmt!$B$1:$AS$1,0)),"")</f>
        <v/>
      </c>
      <c r="F25" s="8" t="str">
        <f t="shared" si="0"/>
        <v/>
      </c>
    </row>
    <row r="26" spans="1:6" ht="13.5" customHeight="1" x14ac:dyDescent="0.25">
      <c r="A26">
        <v>70363</v>
      </c>
      <c r="B26" t="s">
        <v>85</v>
      </c>
      <c r="C26" s="27">
        <v>9.1000000000000003E-5</v>
      </c>
      <c r="D26" t="s">
        <v>51</v>
      </c>
      <c r="E26" s="8" t="str">
        <f>IFERROR(INDEX(IncStmt!$B$2:AS$26,MATCH("NET INCOME / LOSS",IncStmt!$A$2:$A$26,0),MATCH(Main!A25,IncStmt!$B$1:$AS$1,0)),"")</f>
        <v/>
      </c>
      <c r="F26" s="8" t="str">
        <f t="shared" si="0"/>
        <v/>
      </c>
    </row>
    <row r="27" spans="1:6" ht="13.5" customHeight="1" x14ac:dyDescent="0.25">
      <c r="A27">
        <v>70364</v>
      </c>
      <c r="B27" t="s">
        <v>87</v>
      </c>
      <c r="C27" s="27">
        <v>0.9998999999999999</v>
      </c>
      <c r="D27" t="s">
        <v>51</v>
      </c>
      <c r="E27" s="8" t="str">
        <f>IFERROR(INDEX(IncStmt!$B$2:AS$26,MATCH("NET INCOME / LOSS",IncStmt!$A$2:$A$26,0),MATCH(Main!A26,IncStmt!$B$1:$AS$1,0)),"")</f>
        <v/>
      </c>
      <c r="F27" s="8" t="str">
        <f t="shared" si="0"/>
        <v/>
      </c>
    </row>
    <row r="28" spans="1:6" ht="13.5" customHeight="1" x14ac:dyDescent="0.25">
      <c r="A28">
        <v>70365</v>
      </c>
      <c r="B28" t="s">
        <v>89</v>
      </c>
      <c r="C28" s="27">
        <v>0.9998999999999999</v>
      </c>
      <c r="D28" t="s">
        <v>51</v>
      </c>
      <c r="E28" s="8" t="str">
        <f>IFERROR(INDEX(IncStmt!$B$2:AS$26,MATCH("NET INCOME / LOSS",IncStmt!$A$2:$A$26,0),MATCH(Main!A27,IncStmt!$B$1:$AS$1,0)),"")</f>
        <v/>
      </c>
      <c r="F28" s="8" t="str">
        <f t="shared" si="0"/>
        <v/>
      </c>
    </row>
    <row r="29" spans="1:6" ht="13.5" customHeight="1" x14ac:dyDescent="0.25">
      <c r="A29">
        <v>70366</v>
      </c>
      <c r="B29" t="s">
        <v>91</v>
      </c>
      <c r="C29" s="27">
        <v>0.9998999999999999</v>
      </c>
      <c r="D29" t="s">
        <v>51</v>
      </c>
      <c r="E29" s="8" t="str">
        <f>IFERROR(INDEX(IncStmt!$B$2:AS$26,MATCH("NET INCOME / LOSS",IncStmt!$A$2:$A$26,0),MATCH(Main!A28,IncStmt!$B$1:$AS$1,0)),"")</f>
        <v/>
      </c>
      <c r="F29" s="8" t="str">
        <f t="shared" si="0"/>
        <v/>
      </c>
    </row>
    <row r="30" spans="1:6" ht="13.5" customHeight="1" x14ac:dyDescent="0.25">
      <c r="A30">
        <v>70367</v>
      </c>
      <c r="B30" t="s">
        <v>93</v>
      </c>
      <c r="C30" s="27">
        <v>0.9998999999999999</v>
      </c>
      <c r="D30" t="s">
        <v>51</v>
      </c>
      <c r="E30" s="8" t="str">
        <f>IFERROR(INDEX(IncStmt!$B$2:AS$26,MATCH("NET INCOME / LOSS",IncStmt!$A$2:$A$26,0),MATCH(Main!A29,IncStmt!$B$1:$AS$1,0)),"")</f>
        <v/>
      </c>
      <c r="F30" s="8" t="str">
        <f t="shared" si="0"/>
        <v/>
      </c>
    </row>
    <row r="31" spans="1:6" ht="13.5" customHeight="1" x14ac:dyDescent="0.25">
      <c r="A31">
        <v>70368</v>
      </c>
      <c r="B31" t="s">
        <v>95</v>
      </c>
      <c r="C31" s="27">
        <v>0.9998999999999999</v>
      </c>
      <c r="D31" t="s">
        <v>51</v>
      </c>
      <c r="E31" s="8" t="str">
        <f>IFERROR(INDEX(IncStmt!$B$2:AS$26,MATCH("NET INCOME / LOSS",IncStmt!$A$2:$A$26,0),MATCH(Main!A30,IncStmt!$B$1:$AS$1,0)),"")</f>
        <v/>
      </c>
      <c r="F31" s="8" t="str">
        <f t="shared" si="0"/>
        <v/>
      </c>
    </row>
    <row r="32" spans="1:6" ht="13.5" customHeight="1" x14ac:dyDescent="0.25">
      <c r="A32">
        <v>70369</v>
      </c>
      <c r="B32" t="s">
        <v>97</v>
      </c>
      <c r="C32" s="27">
        <v>9.001E-5</v>
      </c>
      <c r="D32" t="s">
        <v>51</v>
      </c>
      <c r="E32" s="8" t="str">
        <f>IFERROR(INDEX(IncStmt!$B$2:AS$26,MATCH("NET INCOME / LOSS",IncStmt!$A$2:$A$26,0),MATCH(Main!A31,IncStmt!$B$1:$AS$1,0)),"")</f>
        <v/>
      </c>
      <c r="F32" s="8" t="str">
        <f t="shared" si="0"/>
        <v/>
      </c>
    </row>
    <row r="33" spans="1:6" ht="13.5" customHeight="1" x14ac:dyDescent="0.25">
      <c r="A33">
        <v>70370</v>
      </c>
      <c r="B33" t="s">
        <v>99</v>
      </c>
      <c r="C33" s="27">
        <v>1E-4</v>
      </c>
      <c r="D33" t="s">
        <v>51</v>
      </c>
      <c r="E33" s="8" t="str">
        <f>IFERROR(INDEX(IncStmt!$B$2:AS$26,MATCH("NET INCOME / LOSS",IncStmt!$A$2:$A$26,0),MATCH(Main!A32,IncStmt!$B$1:$AS$1,0)),"")</f>
        <v/>
      </c>
      <c r="F33" s="8" t="str">
        <f t="shared" si="0"/>
        <v/>
      </c>
    </row>
    <row r="34" spans="1:6" ht="13.5" customHeight="1" x14ac:dyDescent="0.25">
      <c r="A34">
        <v>70371</v>
      </c>
      <c r="B34" t="s">
        <v>101</v>
      </c>
      <c r="C34" s="27">
        <v>1E-4</v>
      </c>
      <c r="D34" t="s">
        <v>51</v>
      </c>
      <c r="E34" s="8" t="str">
        <f>IFERROR(INDEX(IncStmt!$B$2:AS$26,MATCH("NET INCOME / LOSS",IncStmt!$A$2:$A$26,0),MATCH(Main!A33,IncStmt!$B$1:$AS$1,0)),"")</f>
        <v/>
      </c>
      <c r="F34" s="8" t="str">
        <f t="shared" si="0"/>
        <v/>
      </c>
    </row>
    <row r="35" spans="1:6" ht="13.5" customHeight="1" x14ac:dyDescent="0.25">
      <c r="A35">
        <v>70372</v>
      </c>
      <c r="B35" t="s">
        <v>103</v>
      </c>
      <c r="C35" s="27">
        <v>1E-4</v>
      </c>
      <c r="D35" t="s">
        <v>51</v>
      </c>
      <c r="E35" s="8" t="str">
        <f>IFERROR(INDEX(IncStmt!$B$2:AS$26,MATCH("NET INCOME / LOSS",IncStmt!$A$2:$A$26,0),MATCH(Main!A34,IncStmt!$B$1:$AS$1,0)),"")</f>
        <v/>
      </c>
      <c r="F35" s="8" t="str">
        <f t="shared" si="0"/>
        <v/>
      </c>
    </row>
    <row r="36" spans="1:6" ht="13.5" customHeight="1" x14ac:dyDescent="0.25">
      <c r="A36">
        <v>70373</v>
      </c>
      <c r="B36" t="s">
        <v>105</v>
      </c>
      <c r="C36" s="27">
        <v>0.9998999999999999</v>
      </c>
      <c r="D36" t="s">
        <v>106</v>
      </c>
      <c r="E36" s="8" t="str">
        <f>IFERROR(INDEX(IncStmt!$B$2:AS$26,MATCH("NET INCOME / LOSS",IncStmt!$A$2:$A$26,0),MATCH(Main!A35,IncStmt!$B$1:$AS$1,0)),"")</f>
        <v/>
      </c>
      <c r="F36" s="8" t="str">
        <f t="shared" si="0"/>
        <v/>
      </c>
    </row>
    <row r="37" spans="1:6" ht="13.5" customHeight="1" x14ac:dyDescent="0.25">
      <c r="A37">
        <v>70374</v>
      </c>
      <c r="B37" t="s">
        <v>108</v>
      </c>
      <c r="C37" s="27">
        <v>0.9998999999999999</v>
      </c>
      <c r="D37" t="s">
        <v>109</v>
      </c>
      <c r="E37" s="8" t="str">
        <f>IFERROR(INDEX(IncStmt!$B$2:AS$26,MATCH("NET INCOME / LOSS",IncStmt!$A$2:$A$26,0),MATCH(Main!A36,IncStmt!$B$1:$AS$1,0)),"")</f>
        <v/>
      </c>
      <c r="F37" s="8" t="str">
        <f t="shared" si="0"/>
        <v/>
      </c>
    </row>
    <row r="38" spans="1:6" ht="13.5" customHeight="1" x14ac:dyDescent="0.25">
      <c r="A38">
        <v>70375</v>
      </c>
      <c r="B38" t="s">
        <v>111</v>
      </c>
      <c r="C38" s="27">
        <v>0.9998999999999999</v>
      </c>
      <c r="D38" t="s">
        <v>109</v>
      </c>
      <c r="E38" s="8" t="str">
        <f>IFERROR(INDEX(IncStmt!$B$2:AS$26,MATCH("NET INCOME / LOSS",IncStmt!$A$2:$A$26,0),MATCH(Main!A37,IncStmt!$B$1:$AS$1,0)),"")</f>
        <v/>
      </c>
      <c r="F38" s="8" t="str">
        <f t="shared" si="0"/>
        <v/>
      </c>
    </row>
    <row r="39" spans="1:6" ht="13.5" customHeight="1" x14ac:dyDescent="0.25">
      <c r="A39">
        <v>70376</v>
      </c>
      <c r="B39" t="s">
        <v>113</v>
      </c>
      <c r="C39" s="27">
        <v>9.4999999999999992E-5</v>
      </c>
      <c r="D39" t="s">
        <v>51</v>
      </c>
      <c r="E39" s="8" t="str">
        <f>IFERROR(INDEX(IncStmt!$B$2:AS$26,MATCH("NET INCOME / LOSS",IncStmt!$A$2:$A$26,0),MATCH(Main!A38,IncStmt!$B$1:$AS$1,0)),"")</f>
        <v/>
      </c>
      <c r="F39" s="8" t="str">
        <f t="shared" si="0"/>
        <v/>
      </c>
    </row>
    <row r="40" spans="1:6" ht="13.5" customHeight="1" x14ac:dyDescent="0.25">
      <c r="A40">
        <v>70377</v>
      </c>
      <c r="B40" t="s">
        <v>115</v>
      </c>
      <c r="C40" s="27">
        <v>1E-4</v>
      </c>
      <c r="D40" t="s">
        <v>51</v>
      </c>
      <c r="E40" s="8" t="str">
        <f>IFERROR(INDEX(IncStmt!$B$2:AS$26,MATCH("NET INCOME / LOSS",IncStmt!$A$2:$A$26,0),MATCH(Main!A39,IncStmt!$B$1:$AS$1,0)),"")</f>
        <v/>
      </c>
      <c r="F40" s="8" t="str">
        <f t="shared" si="0"/>
        <v/>
      </c>
    </row>
    <row r="41" spans="1:6" ht="13.5" customHeight="1" x14ac:dyDescent="0.25">
      <c r="A41">
        <v>70378</v>
      </c>
      <c r="B41" t="s">
        <v>117</v>
      </c>
      <c r="C41" s="27">
        <v>1E-4</v>
      </c>
      <c r="D41" t="s">
        <v>51</v>
      </c>
      <c r="E41" s="8" t="str">
        <f>IFERROR(INDEX(IncStmt!$B$2:AS$26,MATCH("NET INCOME / LOSS",IncStmt!$A$2:$A$26,0),MATCH(Main!A40,IncStmt!$B$1:$AS$1,0)),"")</f>
        <v/>
      </c>
      <c r="F41" s="8" t="str">
        <f t="shared" si="0"/>
        <v/>
      </c>
    </row>
    <row r="42" spans="1:6" ht="13.5" customHeight="1" x14ac:dyDescent="0.25">
      <c r="A42">
        <v>70379</v>
      </c>
      <c r="B42" t="s">
        <v>119</v>
      </c>
      <c r="C42" s="27">
        <v>9.4000000000000008E-5</v>
      </c>
      <c r="D42" t="s">
        <v>51</v>
      </c>
      <c r="E42" s="8" t="str">
        <f>IFERROR(INDEX(IncStmt!$B$2:AS$26,MATCH("NET INCOME / LOSS",IncStmt!$A$2:$A$26,0),MATCH(Main!A41,IncStmt!$B$1:$AS$1,0)),"")</f>
        <v/>
      </c>
      <c r="F42" s="8" t="str">
        <f t="shared" si="0"/>
        <v/>
      </c>
    </row>
    <row r="43" spans="1:6" ht="13.5" customHeight="1" x14ac:dyDescent="0.25">
      <c r="A43">
        <v>70381</v>
      </c>
      <c r="B43" t="s">
        <v>121</v>
      </c>
      <c r="C43" s="27">
        <v>9.2499999999999999E-5</v>
      </c>
      <c r="D43" t="s">
        <v>51</v>
      </c>
      <c r="E43" s="8" t="str">
        <f>IFERROR(INDEX(IncStmt!$B$2:AS$26,MATCH("NET INCOME / LOSS",IncStmt!$A$2:$A$26,0),MATCH(Main!A42,IncStmt!$B$1:$AS$1,0)),"")</f>
        <v/>
      </c>
      <c r="F43" s="8" t="str">
        <f t="shared" si="0"/>
        <v/>
      </c>
    </row>
    <row r="44" spans="1:6" ht="13.5" customHeight="1" x14ac:dyDescent="0.25">
      <c r="A44">
        <v>70416</v>
      </c>
      <c r="B44" t="s">
        <v>44</v>
      </c>
      <c r="C44" s="27">
        <v>1E-3</v>
      </c>
      <c r="D44" t="s">
        <v>122</v>
      </c>
      <c r="E44" s="8" t="str">
        <f>IFERROR(INDEX(IncStmt!$B$2:AS$26,MATCH("NET INCOME / LOSS",IncStmt!$A$2:$A$26,0),MATCH(Main!A43,IncStmt!$B$1:$AS$1,0)),"")</f>
        <v/>
      </c>
      <c r="F44" s="8" t="str">
        <f t="shared" si="0"/>
        <v/>
      </c>
    </row>
    <row r="45" spans="1:6" ht="13.5" customHeight="1" x14ac:dyDescent="0.25">
      <c r="E45" s="8"/>
      <c r="F45" s="8"/>
    </row>
    <row r="46" spans="1:6" ht="13.5" customHeight="1" x14ac:dyDescent="0.25">
      <c r="E46" s="8"/>
      <c r="F46" s="8"/>
    </row>
    <row r="47" spans="1:6" ht="13.5" customHeight="1" x14ac:dyDescent="0.25">
      <c r="E47" s="8"/>
      <c r="F47" s="8"/>
    </row>
    <row r="48" spans="1:6" ht="13.5" customHeight="1" x14ac:dyDescent="0.25">
      <c r="E48" s="8"/>
      <c r="F48" s="8"/>
    </row>
    <row r="49" spans="5:6" ht="13.5" customHeight="1" x14ac:dyDescent="0.25">
      <c r="E49" s="8"/>
      <c r="F49" s="8"/>
    </row>
    <row r="50" spans="5:6" ht="13.5" customHeight="1" x14ac:dyDescent="0.25">
      <c r="E50" s="8"/>
      <c r="F50" s="8"/>
    </row>
    <row r="51" spans="5:6" ht="13.5" customHeight="1" x14ac:dyDescent="0.25">
      <c r="E51" s="8"/>
      <c r="F51" s="8"/>
    </row>
    <row r="52" spans="5:6" x14ac:dyDescent="0.25">
      <c r="E52" s="8"/>
      <c r="F52" s="8"/>
    </row>
    <row r="53" spans="5:6" x14ac:dyDescent="0.25">
      <c r="E53" s="8"/>
      <c r="F53" s="8"/>
    </row>
    <row r="54" spans="5:6" x14ac:dyDescent="0.25">
      <c r="E54" s="8"/>
      <c r="F54" s="8"/>
    </row>
    <row r="55" spans="5:6" x14ac:dyDescent="0.25">
      <c r="E55" s="8"/>
      <c r="F55" s="8"/>
    </row>
    <row r="56" spans="5:6" x14ac:dyDescent="0.25">
      <c r="E56" s="8"/>
      <c r="F56" s="8"/>
    </row>
    <row r="57" spans="5:6" x14ac:dyDescent="0.25">
      <c r="E57" s="8"/>
      <c r="F57" s="8"/>
    </row>
    <row r="58" spans="5:6" x14ac:dyDescent="0.25">
      <c r="E58" s="8"/>
      <c r="F58" s="8"/>
    </row>
    <row r="59" spans="5:6" x14ac:dyDescent="0.25">
      <c r="E59" s="8"/>
      <c r="F59" s="8"/>
    </row>
    <row r="60" spans="5:6" x14ac:dyDescent="0.25">
      <c r="E60" s="8"/>
      <c r="F60" s="8"/>
    </row>
    <row r="61" spans="5:6" x14ac:dyDescent="0.25">
      <c r="E61" s="8"/>
      <c r="F61" s="8"/>
    </row>
    <row r="62" spans="5:6" x14ac:dyDescent="0.25">
      <c r="E62" s="8"/>
      <c r="F62" s="8"/>
    </row>
    <row r="63" spans="5:6" x14ac:dyDescent="0.25">
      <c r="E63" s="8"/>
      <c r="F63" s="8"/>
    </row>
    <row r="64" spans="5:6" x14ac:dyDescent="0.25">
      <c r="E64" s="8"/>
      <c r="F64" s="8"/>
    </row>
    <row r="65" spans="5:6" x14ac:dyDescent="0.25">
      <c r="E65" s="8"/>
      <c r="F65" s="8"/>
    </row>
    <row r="66" spans="5:6" x14ac:dyDescent="0.25">
      <c r="E66" s="8"/>
      <c r="F66" s="8"/>
    </row>
    <row r="67" spans="5:6" x14ac:dyDescent="0.25">
      <c r="E67" s="8"/>
      <c r="F67" s="8"/>
    </row>
    <row r="68" spans="5:6" x14ac:dyDescent="0.25">
      <c r="E68" s="8"/>
      <c r="F68" s="8"/>
    </row>
    <row r="69" spans="5:6" x14ac:dyDescent="0.25">
      <c r="E69" s="8"/>
      <c r="F69" s="8"/>
    </row>
    <row r="70" spans="5:6" x14ac:dyDescent="0.25">
      <c r="E70" s="8"/>
      <c r="F70" s="8"/>
    </row>
    <row r="71" spans="5:6" x14ac:dyDescent="0.25">
      <c r="E71" s="8"/>
      <c r="F71" s="8"/>
    </row>
    <row r="72" spans="5:6" x14ac:dyDescent="0.25">
      <c r="E72" s="8"/>
      <c r="F72" s="8"/>
    </row>
    <row r="73" spans="5:6" x14ac:dyDescent="0.25">
      <c r="E73" s="8"/>
      <c r="F73" s="8"/>
    </row>
    <row r="74" spans="5:6" x14ac:dyDescent="0.25">
      <c r="E74" s="8"/>
      <c r="F74" s="8"/>
    </row>
    <row r="75" spans="5:6" x14ac:dyDescent="0.25">
      <c r="E75" s="8"/>
      <c r="F75" s="8"/>
    </row>
    <row r="76" spans="5:6" x14ac:dyDescent="0.25">
      <c r="E76" s="8"/>
      <c r="F76" s="8"/>
    </row>
    <row r="77" spans="5:6" x14ac:dyDescent="0.25">
      <c r="E77" s="8"/>
      <c r="F77" s="8"/>
    </row>
    <row r="78" spans="5:6" x14ac:dyDescent="0.25">
      <c r="E78" s="8"/>
      <c r="F78" s="8"/>
    </row>
    <row r="79" spans="5:6" x14ac:dyDescent="0.25">
      <c r="E79" s="8"/>
      <c r="F79" s="8"/>
    </row>
    <row r="80" spans="5:6" x14ac:dyDescent="0.25">
      <c r="E80" s="8"/>
      <c r="F80" s="8"/>
    </row>
    <row r="81" spans="5:6" x14ac:dyDescent="0.25">
      <c r="E81" s="8"/>
      <c r="F81" s="8"/>
    </row>
    <row r="82" spans="5:6" x14ac:dyDescent="0.25">
      <c r="E82" s="8"/>
      <c r="F82" s="8"/>
    </row>
    <row r="83" spans="5:6" x14ac:dyDescent="0.25">
      <c r="E83" s="8"/>
      <c r="F83" s="8"/>
    </row>
    <row r="84" spans="5:6" x14ac:dyDescent="0.25">
      <c r="E84" s="8"/>
      <c r="F84" s="8"/>
    </row>
    <row r="85" spans="5:6" x14ac:dyDescent="0.25">
      <c r="E85" s="8"/>
      <c r="F85" s="8"/>
    </row>
    <row r="86" spans="5:6" x14ac:dyDescent="0.25">
      <c r="E86" s="8"/>
      <c r="F86" s="8"/>
    </row>
    <row r="87" spans="5:6" x14ac:dyDescent="0.25">
      <c r="E87" s="8"/>
      <c r="F87" s="8"/>
    </row>
    <row r="88" spans="5:6" x14ac:dyDescent="0.25">
      <c r="E88" s="8"/>
      <c r="F88" s="8"/>
    </row>
    <row r="89" spans="5:6" x14ac:dyDescent="0.25">
      <c r="E89" s="8"/>
      <c r="F89" s="8"/>
    </row>
    <row r="90" spans="5:6" x14ac:dyDescent="0.25">
      <c r="E90" s="8"/>
      <c r="F90" s="8"/>
    </row>
    <row r="91" spans="5:6" x14ac:dyDescent="0.25">
      <c r="E91" s="8"/>
      <c r="F91" s="8"/>
    </row>
    <row r="92" spans="5:6" x14ac:dyDescent="0.25">
      <c r="E92" s="8"/>
      <c r="F92" s="8"/>
    </row>
    <row r="93" spans="5:6" x14ac:dyDescent="0.25">
      <c r="E93" s="8"/>
      <c r="F93" s="8"/>
    </row>
    <row r="94" spans="5:6" x14ac:dyDescent="0.25">
      <c r="E94" s="8"/>
      <c r="F94" s="8"/>
    </row>
    <row r="95" spans="5:6" x14ac:dyDescent="0.25">
      <c r="E95" s="8"/>
      <c r="F95" s="8"/>
    </row>
    <row r="96" spans="5:6" x14ac:dyDescent="0.25">
      <c r="E96" s="8"/>
      <c r="F96" s="8"/>
    </row>
    <row r="97" spans="5:6" x14ac:dyDescent="0.25">
      <c r="E97" s="8"/>
      <c r="F97" s="8"/>
    </row>
    <row r="98" spans="5:6" x14ac:dyDescent="0.25">
      <c r="E98" s="8"/>
      <c r="F98" s="8"/>
    </row>
    <row r="99" spans="5:6" x14ac:dyDescent="0.25">
      <c r="E99" s="8"/>
      <c r="F99" s="8"/>
    </row>
    <row r="100" spans="5:6" x14ac:dyDescent="0.25">
      <c r="E100" s="8"/>
      <c r="F100" s="8"/>
    </row>
    <row r="101" spans="5:6" x14ac:dyDescent="0.25">
      <c r="E101" s="8"/>
      <c r="F101" s="8"/>
    </row>
    <row r="102" spans="5:6" x14ac:dyDescent="0.25">
      <c r="E102" s="8"/>
      <c r="F102" s="8"/>
    </row>
    <row r="103" spans="5:6" x14ac:dyDescent="0.25">
      <c r="E103" s="8"/>
      <c r="F103" s="8"/>
    </row>
    <row r="104" spans="5:6" x14ac:dyDescent="0.25">
      <c r="E104" s="8"/>
      <c r="F104" s="8"/>
    </row>
    <row r="105" spans="5:6" x14ac:dyDescent="0.25">
      <c r="E105" s="8"/>
      <c r="F105" s="8"/>
    </row>
    <row r="106" spans="5:6" x14ac:dyDescent="0.25">
      <c r="E106" s="8"/>
      <c r="F106" s="8"/>
    </row>
    <row r="107" spans="5:6" x14ac:dyDescent="0.25">
      <c r="E107" s="8"/>
      <c r="F107" s="8"/>
    </row>
    <row r="108" spans="5:6" x14ac:dyDescent="0.25">
      <c r="E108" s="8"/>
      <c r="F108" s="8"/>
    </row>
    <row r="109" spans="5:6" x14ac:dyDescent="0.25">
      <c r="E109" s="8"/>
      <c r="F109" s="8"/>
    </row>
    <row r="110" spans="5:6" x14ac:dyDescent="0.25">
      <c r="E110" s="8"/>
      <c r="F110" s="8"/>
    </row>
    <row r="111" spans="5:6" x14ac:dyDescent="0.25">
      <c r="E111" s="8"/>
      <c r="F111" s="8"/>
    </row>
    <row r="112" spans="5:6" x14ac:dyDescent="0.25">
      <c r="E112" s="8"/>
      <c r="F112" s="8"/>
    </row>
    <row r="113" spans="5:6" x14ac:dyDescent="0.25">
      <c r="E113" s="8"/>
      <c r="F113" s="8"/>
    </row>
    <row r="114" spans="5:6" x14ac:dyDescent="0.25">
      <c r="E114" s="8"/>
      <c r="F114" s="8"/>
    </row>
    <row r="115" spans="5:6" x14ac:dyDescent="0.25">
      <c r="E115" s="8"/>
      <c r="F115" s="8"/>
    </row>
    <row r="116" spans="5:6" x14ac:dyDescent="0.25">
      <c r="E116" s="8"/>
      <c r="F116" s="8"/>
    </row>
    <row r="117" spans="5:6" x14ac:dyDescent="0.25">
      <c r="E117" s="8"/>
      <c r="F117" s="8"/>
    </row>
    <row r="118" spans="5:6" x14ac:dyDescent="0.25">
      <c r="E118" s="8"/>
      <c r="F118" s="8"/>
    </row>
    <row r="119" spans="5:6" x14ac:dyDescent="0.25">
      <c r="E119" s="8"/>
      <c r="F119" s="8"/>
    </row>
    <row r="120" spans="5:6" x14ac:dyDescent="0.25">
      <c r="E120" s="8"/>
      <c r="F120" s="8"/>
    </row>
    <row r="121" spans="5:6" x14ac:dyDescent="0.25">
      <c r="E121" s="8"/>
      <c r="F121" s="8"/>
    </row>
    <row r="122" spans="5:6" x14ac:dyDescent="0.25">
      <c r="E122" s="8"/>
      <c r="F122" s="8"/>
    </row>
    <row r="123" spans="5:6" x14ac:dyDescent="0.25">
      <c r="E123" s="8"/>
      <c r="F123" s="8"/>
    </row>
    <row r="124" spans="5:6" x14ac:dyDescent="0.25">
      <c r="E124" s="8"/>
      <c r="F124" s="8"/>
    </row>
    <row r="125" spans="5:6" x14ac:dyDescent="0.25">
      <c r="E125" s="8"/>
      <c r="F125" s="8"/>
    </row>
    <row r="126" spans="5:6" x14ac:dyDescent="0.25">
      <c r="E126" s="8"/>
      <c r="F126" s="8"/>
    </row>
    <row r="127" spans="5:6" x14ac:dyDescent="0.25">
      <c r="E127" s="8"/>
      <c r="F127" s="8"/>
    </row>
    <row r="128" spans="5:6" x14ac:dyDescent="0.25">
      <c r="E128" s="8"/>
      <c r="F128" s="8"/>
    </row>
    <row r="129" spans="5:6" x14ac:dyDescent="0.25">
      <c r="E129" s="8"/>
      <c r="F129" s="8"/>
    </row>
    <row r="130" spans="5:6" x14ac:dyDescent="0.25">
      <c r="E130" s="8"/>
      <c r="F130" s="8"/>
    </row>
    <row r="131" spans="5:6" x14ac:dyDescent="0.25">
      <c r="E131" s="8"/>
      <c r="F131" s="8"/>
    </row>
    <row r="132" spans="5:6" x14ac:dyDescent="0.25">
      <c r="E132" s="8"/>
      <c r="F132" s="8"/>
    </row>
    <row r="133" spans="5:6" x14ac:dyDescent="0.25">
      <c r="E133" s="8"/>
      <c r="F133" s="8"/>
    </row>
    <row r="134" spans="5:6" x14ac:dyDescent="0.25">
      <c r="E134" s="8"/>
      <c r="F134" s="8"/>
    </row>
    <row r="135" spans="5:6" x14ac:dyDescent="0.25">
      <c r="E135" s="8"/>
      <c r="F135" s="8"/>
    </row>
    <row r="136" spans="5:6" x14ac:dyDescent="0.25">
      <c r="E136" s="8"/>
      <c r="F136" s="8"/>
    </row>
    <row r="137" spans="5:6" x14ac:dyDescent="0.25">
      <c r="E137" s="8"/>
      <c r="F137" s="8"/>
    </row>
    <row r="138" spans="5:6" x14ac:dyDescent="0.25">
      <c r="E138" s="8"/>
      <c r="F138" s="8"/>
    </row>
    <row r="139" spans="5:6" x14ac:dyDescent="0.25">
      <c r="E139" s="8"/>
      <c r="F139" s="8"/>
    </row>
    <row r="140" spans="5:6" x14ac:dyDescent="0.25">
      <c r="E140" s="8"/>
      <c r="F140" s="8"/>
    </row>
    <row r="141" spans="5:6" x14ac:dyDescent="0.25">
      <c r="E141" s="8"/>
      <c r="F141" s="8"/>
    </row>
    <row r="142" spans="5:6" x14ac:dyDescent="0.25">
      <c r="E142" s="8"/>
      <c r="F142" s="8"/>
    </row>
    <row r="143" spans="5:6" x14ac:dyDescent="0.25">
      <c r="E143" s="8"/>
      <c r="F143" s="8"/>
    </row>
    <row r="144" spans="5:6" x14ac:dyDescent="0.25">
      <c r="E144" s="8"/>
      <c r="F144" s="8"/>
    </row>
    <row r="145" spans="5:6" x14ac:dyDescent="0.25">
      <c r="E145" s="8"/>
      <c r="F145" s="8"/>
    </row>
    <row r="146" spans="5:6" x14ac:dyDescent="0.25">
      <c r="E146" s="8"/>
      <c r="F146" s="8"/>
    </row>
    <row r="147" spans="5:6" x14ac:dyDescent="0.25">
      <c r="E147" s="8"/>
      <c r="F147" s="8"/>
    </row>
    <row r="148" spans="5:6" x14ac:dyDescent="0.25">
      <c r="E148" s="8"/>
      <c r="F148" s="8"/>
    </row>
    <row r="149" spans="5:6" x14ac:dyDescent="0.25">
      <c r="E149" s="8"/>
      <c r="F149" s="8"/>
    </row>
    <row r="150" spans="5:6" x14ac:dyDescent="0.25">
      <c r="E150" s="8"/>
      <c r="F150" s="8"/>
    </row>
    <row r="151" spans="5:6" x14ac:dyDescent="0.25">
      <c r="E151" s="8"/>
      <c r="F151" s="8"/>
    </row>
    <row r="152" spans="5:6" x14ac:dyDescent="0.25">
      <c r="E152" s="8"/>
      <c r="F152"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GetData">
              <controlPr defaultSize="0" print="0" autoFill="0" autoPict="0" macro="[0]!GetData_Click" altText="Get Data">
                <anchor moveWithCells="1" sizeWithCells="1">
                  <from>
                    <xdr:col>3</xdr:col>
                    <xdr:colOff>38100</xdr:colOff>
                    <xdr:row>1</xdr:row>
                    <xdr:rowOff>133350</xdr:rowOff>
                  </from>
                  <to>
                    <xdr:col>3</xdr:col>
                    <xdr:colOff>1219200</xdr:colOff>
                    <xdr:row>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A8" sqref="A8:XFD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D37"/>
  <sheetViews>
    <sheetView workbookViewId="0">
      <selection activeCell="A2" sqref="A2:D37"/>
    </sheetView>
  </sheetViews>
  <sheetFormatPr defaultRowHeight="15" x14ac:dyDescent="0.25"/>
  <sheetData>
    <row r="2" spans="1:4" x14ac:dyDescent="0.25">
      <c r="A2" t="s">
        <v>41</v>
      </c>
      <c r="B2" t="s">
        <v>50</v>
      </c>
      <c r="C2">
        <v>0.01</v>
      </c>
      <c r="D2" t="s">
        <v>51</v>
      </c>
    </row>
    <row r="3" spans="1:4" x14ac:dyDescent="0.25">
      <c r="A3" t="s">
        <v>42</v>
      </c>
      <c r="B3" t="s">
        <v>52</v>
      </c>
      <c r="C3">
        <v>8.5000000000000006E-3</v>
      </c>
      <c r="D3" t="s">
        <v>51</v>
      </c>
    </row>
    <row r="4" spans="1:4" x14ac:dyDescent="0.25">
      <c r="A4" t="s">
        <v>53</v>
      </c>
      <c r="B4" t="s">
        <v>54</v>
      </c>
      <c r="C4">
        <v>99.99</v>
      </c>
      <c r="D4" t="s">
        <v>51</v>
      </c>
    </row>
    <row r="5" spans="1:4" x14ac:dyDescent="0.25">
      <c r="A5" t="s">
        <v>55</v>
      </c>
      <c r="B5" t="s">
        <v>56</v>
      </c>
      <c r="C5">
        <v>99.99</v>
      </c>
      <c r="D5" t="s">
        <v>51</v>
      </c>
    </row>
    <row r="6" spans="1:4" x14ac:dyDescent="0.25">
      <c r="A6" t="s">
        <v>57</v>
      </c>
      <c r="B6" t="s">
        <v>58</v>
      </c>
      <c r="C6">
        <v>99.99</v>
      </c>
      <c r="D6" t="s">
        <v>51</v>
      </c>
    </row>
    <row r="7" spans="1:4" x14ac:dyDescent="0.25">
      <c r="A7" t="s">
        <v>59</v>
      </c>
      <c r="B7" t="s">
        <v>60</v>
      </c>
      <c r="C7">
        <v>7.0000000000000001E-3</v>
      </c>
      <c r="D7" t="s">
        <v>51</v>
      </c>
    </row>
    <row r="8" spans="1:4" x14ac:dyDescent="0.25">
      <c r="A8" t="s">
        <v>61</v>
      </c>
      <c r="B8" t="s">
        <v>62</v>
      </c>
      <c r="C8">
        <v>99.99</v>
      </c>
      <c r="D8" t="s">
        <v>51</v>
      </c>
    </row>
    <row r="9" spans="1:4" x14ac:dyDescent="0.25">
      <c r="A9" t="s">
        <v>63</v>
      </c>
      <c r="B9" t="s">
        <v>64</v>
      </c>
      <c r="C9">
        <v>7.0000000000000001E-3</v>
      </c>
      <c r="D9" t="s">
        <v>51</v>
      </c>
    </row>
    <row r="10" spans="1:4" x14ac:dyDescent="0.25">
      <c r="A10" t="s">
        <v>65</v>
      </c>
      <c r="B10" t="s">
        <v>66</v>
      </c>
      <c r="C10">
        <v>99.99</v>
      </c>
      <c r="D10" t="s">
        <v>51</v>
      </c>
    </row>
    <row r="11" spans="1:4" x14ac:dyDescent="0.25">
      <c r="A11" t="s">
        <v>67</v>
      </c>
      <c r="B11" t="s">
        <v>68</v>
      </c>
      <c r="C11">
        <v>0.01</v>
      </c>
      <c r="D11" t="s">
        <v>51</v>
      </c>
    </row>
    <row r="12" spans="1:4" x14ac:dyDescent="0.25">
      <c r="A12" t="s">
        <v>69</v>
      </c>
      <c r="B12" t="s">
        <v>70</v>
      </c>
      <c r="C12">
        <v>99.99</v>
      </c>
      <c r="D12" t="s">
        <v>51</v>
      </c>
    </row>
    <row r="13" spans="1:4" x14ac:dyDescent="0.25">
      <c r="A13" t="s">
        <v>71</v>
      </c>
      <c r="B13" t="s">
        <v>72</v>
      </c>
      <c r="C13">
        <v>99.99</v>
      </c>
      <c r="D13" t="s">
        <v>51</v>
      </c>
    </row>
    <row r="14" spans="1:4" x14ac:dyDescent="0.25">
      <c r="A14" t="s">
        <v>73</v>
      </c>
      <c r="B14" t="s">
        <v>74</v>
      </c>
      <c r="C14">
        <v>9.0010000000000003E-3</v>
      </c>
      <c r="D14" t="s">
        <v>51</v>
      </c>
    </row>
    <row r="15" spans="1:4" x14ac:dyDescent="0.25">
      <c r="A15" t="s">
        <v>75</v>
      </c>
      <c r="B15" t="s">
        <v>76</v>
      </c>
      <c r="C15">
        <v>9.0010000000000003E-3</v>
      </c>
      <c r="D15" t="s">
        <v>51</v>
      </c>
    </row>
    <row r="16" spans="1:4" x14ac:dyDescent="0.25">
      <c r="A16" t="s">
        <v>77</v>
      </c>
      <c r="B16" t="s">
        <v>78</v>
      </c>
      <c r="C16">
        <v>99.99</v>
      </c>
      <c r="D16" t="s">
        <v>51</v>
      </c>
    </row>
    <row r="17" spans="1:4" x14ac:dyDescent="0.25">
      <c r="A17" t="s">
        <v>79</v>
      </c>
      <c r="B17" t="s">
        <v>80</v>
      </c>
      <c r="C17">
        <v>99.99</v>
      </c>
      <c r="D17" t="s">
        <v>81</v>
      </c>
    </row>
    <row r="18" spans="1:4" x14ac:dyDescent="0.25">
      <c r="A18" t="s">
        <v>82</v>
      </c>
      <c r="B18" t="s">
        <v>83</v>
      </c>
      <c r="C18">
        <v>0.01</v>
      </c>
      <c r="D18" t="s">
        <v>51</v>
      </c>
    </row>
    <row r="19" spans="1:4" x14ac:dyDescent="0.25">
      <c r="A19" t="s">
        <v>84</v>
      </c>
      <c r="B19" t="s">
        <v>85</v>
      </c>
      <c r="C19">
        <v>9.1000000000000004E-3</v>
      </c>
      <c r="D19" t="s">
        <v>51</v>
      </c>
    </row>
    <row r="20" spans="1:4" x14ac:dyDescent="0.25">
      <c r="A20" t="s">
        <v>86</v>
      </c>
      <c r="B20" t="s">
        <v>87</v>
      </c>
      <c r="C20">
        <v>99.99</v>
      </c>
      <c r="D20" t="s">
        <v>51</v>
      </c>
    </row>
    <row r="21" spans="1:4" x14ac:dyDescent="0.25">
      <c r="A21" t="s">
        <v>88</v>
      </c>
      <c r="B21" t="s">
        <v>89</v>
      </c>
      <c r="C21">
        <v>99.99</v>
      </c>
      <c r="D21" t="s">
        <v>51</v>
      </c>
    </row>
    <row r="22" spans="1:4" x14ac:dyDescent="0.25">
      <c r="A22" t="s">
        <v>90</v>
      </c>
      <c r="B22" t="s">
        <v>91</v>
      </c>
      <c r="C22">
        <v>99.99</v>
      </c>
      <c r="D22" t="s">
        <v>51</v>
      </c>
    </row>
    <row r="23" spans="1:4" x14ac:dyDescent="0.25">
      <c r="A23" t="s">
        <v>92</v>
      </c>
      <c r="B23" t="s">
        <v>93</v>
      </c>
      <c r="C23">
        <v>99.99</v>
      </c>
      <c r="D23" t="s">
        <v>51</v>
      </c>
    </row>
    <row r="24" spans="1:4" x14ac:dyDescent="0.25">
      <c r="A24" t="s">
        <v>94</v>
      </c>
      <c r="B24" t="s">
        <v>95</v>
      </c>
      <c r="C24">
        <v>99.99</v>
      </c>
      <c r="D24" t="s">
        <v>51</v>
      </c>
    </row>
    <row r="25" spans="1:4" x14ac:dyDescent="0.25">
      <c r="A25" t="s">
        <v>96</v>
      </c>
      <c r="B25" t="s">
        <v>97</v>
      </c>
      <c r="C25">
        <v>9.0010000000000003E-3</v>
      </c>
      <c r="D25" t="s">
        <v>51</v>
      </c>
    </row>
    <row r="26" spans="1:4" x14ac:dyDescent="0.25">
      <c r="A26" t="s">
        <v>98</v>
      </c>
      <c r="B26" t="s">
        <v>99</v>
      </c>
      <c r="C26">
        <v>0.01</v>
      </c>
      <c r="D26" t="s">
        <v>51</v>
      </c>
    </row>
    <row r="27" spans="1:4" x14ac:dyDescent="0.25">
      <c r="A27" t="s">
        <v>100</v>
      </c>
      <c r="B27" t="s">
        <v>101</v>
      </c>
      <c r="C27">
        <v>0.01</v>
      </c>
      <c r="D27" t="s">
        <v>51</v>
      </c>
    </row>
    <row r="28" spans="1:4" x14ac:dyDescent="0.25">
      <c r="A28" t="s">
        <v>102</v>
      </c>
      <c r="B28" t="s">
        <v>103</v>
      </c>
      <c r="C28">
        <v>0.01</v>
      </c>
      <c r="D28" t="s">
        <v>51</v>
      </c>
    </row>
    <row r="29" spans="1:4" x14ac:dyDescent="0.25">
      <c r="A29" t="s">
        <v>104</v>
      </c>
      <c r="B29" t="s">
        <v>105</v>
      </c>
      <c r="C29">
        <v>99.99</v>
      </c>
      <c r="D29" t="s">
        <v>106</v>
      </c>
    </row>
    <row r="30" spans="1:4" x14ac:dyDescent="0.25">
      <c r="A30" t="s">
        <v>107</v>
      </c>
      <c r="B30" t="s">
        <v>108</v>
      </c>
      <c r="C30">
        <v>99.99</v>
      </c>
      <c r="D30" t="s">
        <v>109</v>
      </c>
    </row>
    <row r="31" spans="1:4" x14ac:dyDescent="0.25">
      <c r="A31" t="s">
        <v>110</v>
      </c>
      <c r="B31" t="s">
        <v>111</v>
      </c>
      <c r="C31">
        <v>99.99</v>
      </c>
      <c r="D31" t="s">
        <v>109</v>
      </c>
    </row>
    <row r="32" spans="1:4" x14ac:dyDescent="0.25">
      <c r="A32" t="s">
        <v>112</v>
      </c>
      <c r="B32" t="s">
        <v>113</v>
      </c>
      <c r="C32">
        <v>9.4999999999999998E-3</v>
      </c>
      <c r="D32" t="s">
        <v>51</v>
      </c>
    </row>
    <row r="33" spans="1:4" x14ac:dyDescent="0.25">
      <c r="A33" t="s">
        <v>114</v>
      </c>
      <c r="B33" t="s">
        <v>115</v>
      </c>
      <c r="C33">
        <v>0.01</v>
      </c>
      <c r="D33" t="s">
        <v>51</v>
      </c>
    </row>
    <row r="34" spans="1:4" x14ac:dyDescent="0.25">
      <c r="A34" t="s">
        <v>116</v>
      </c>
      <c r="B34" t="s">
        <v>117</v>
      </c>
      <c r="C34">
        <v>0.01</v>
      </c>
      <c r="D34" t="s">
        <v>51</v>
      </c>
    </row>
    <row r="35" spans="1:4" x14ac:dyDescent="0.25">
      <c r="A35" t="s">
        <v>118</v>
      </c>
      <c r="B35" t="s">
        <v>119</v>
      </c>
      <c r="C35">
        <v>9.4000000000000004E-3</v>
      </c>
      <c r="D35" t="s">
        <v>51</v>
      </c>
    </row>
    <row r="36" spans="1:4" x14ac:dyDescent="0.25">
      <c r="A36" t="s">
        <v>120</v>
      </c>
      <c r="B36" t="s">
        <v>121</v>
      </c>
      <c r="C36">
        <v>9.2499999999999995E-3</v>
      </c>
      <c r="D36" t="s">
        <v>51</v>
      </c>
    </row>
    <row r="37" spans="1:4" x14ac:dyDescent="0.25">
      <c r="A37" t="s">
        <v>43</v>
      </c>
      <c r="B37" t="s">
        <v>44</v>
      </c>
      <c r="C37">
        <v>0.1</v>
      </c>
      <c r="D37" t="s">
        <v>122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Z37"/>
  <sheetViews>
    <sheetView zoomScaleNormal="100" workbookViewId="0">
      <selection activeCell="B1" sqref="B1:AK1"/>
    </sheetView>
  </sheetViews>
  <sheetFormatPr defaultColWidth="8.85546875" defaultRowHeight="12.75" x14ac:dyDescent="0.2"/>
  <cols>
    <col min="1" max="1" width="41.42578125" style="3" customWidth="1"/>
    <col min="2" max="2" width="11.42578125" style="3" customWidth="1"/>
    <col min="3" max="3" width="11.140625" style="3" customWidth="1"/>
    <col min="4" max="4" width="10.28515625" style="3" bestFit="1" customWidth="1"/>
    <col min="5" max="57" width="9" style="3" bestFit="1" customWidth="1"/>
    <col min="58" max="58" width="10.28515625" style="3" bestFit="1" customWidth="1"/>
    <col min="59" max="16384" width="8.85546875" style="3"/>
  </cols>
  <sheetData>
    <row r="1" spans="1:104" s="28" customFormat="1" ht="15" x14ac:dyDescent="0.25">
      <c r="B1" s="12">
        <v>70340</v>
      </c>
      <c r="C1" s="12">
        <v>70341</v>
      </c>
      <c r="D1" s="12">
        <v>70342</v>
      </c>
      <c r="E1" s="12">
        <v>70343</v>
      </c>
      <c r="F1" s="12">
        <v>70344</v>
      </c>
      <c r="G1" s="12">
        <v>70345</v>
      </c>
      <c r="H1" s="12">
        <v>70346</v>
      </c>
      <c r="I1" s="12">
        <v>70347</v>
      </c>
      <c r="J1" s="12">
        <v>70348</v>
      </c>
      <c r="K1" s="12">
        <v>70349</v>
      </c>
      <c r="L1" s="12">
        <v>70350</v>
      </c>
      <c r="M1" s="12">
        <v>70352</v>
      </c>
      <c r="N1" s="12">
        <v>70354</v>
      </c>
      <c r="O1" s="28">
        <v>70357</v>
      </c>
      <c r="P1" s="29">
        <v>70358</v>
      </c>
      <c r="Q1" s="28">
        <v>70361</v>
      </c>
      <c r="R1" s="12">
        <v>70362</v>
      </c>
      <c r="S1" s="12">
        <v>70363</v>
      </c>
      <c r="T1" s="12">
        <v>70364</v>
      </c>
      <c r="U1" s="12">
        <v>70365</v>
      </c>
      <c r="V1" s="12">
        <v>70366</v>
      </c>
      <c r="W1" s="12">
        <v>70367</v>
      </c>
      <c r="X1" s="12">
        <v>70368</v>
      </c>
      <c r="Y1" s="12">
        <v>70369</v>
      </c>
      <c r="Z1" s="12">
        <v>70370</v>
      </c>
      <c r="AA1" s="28">
        <v>70371</v>
      </c>
      <c r="AB1" s="29">
        <v>70372</v>
      </c>
      <c r="AC1" s="28">
        <v>70373</v>
      </c>
      <c r="AD1" s="28">
        <v>70374</v>
      </c>
      <c r="AE1" s="28">
        <v>70375</v>
      </c>
      <c r="AF1" s="28">
        <v>70376</v>
      </c>
      <c r="AG1" s="28">
        <v>70377</v>
      </c>
      <c r="AH1" s="28">
        <v>70378</v>
      </c>
      <c r="AI1" s="28">
        <v>70379</v>
      </c>
      <c r="AJ1" s="28">
        <v>70381</v>
      </c>
      <c r="AK1" s="28">
        <v>70416</v>
      </c>
      <c r="CP1" s="13"/>
    </row>
    <row r="2" spans="1:104" s="22" customFormat="1" ht="63.75" x14ac:dyDescent="0.25">
      <c r="B2" s="23" t="e">
        <f>VLOOKUP(B$1,ProjectNames,2,FALSE)</f>
        <v>#N/A</v>
      </c>
      <c r="C2" s="23" t="e">
        <f>VLOOKUP(C$1,ProjectNames,2,FALSE)</f>
        <v>#N/A</v>
      </c>
      <c r="D2" s="23" t="e">
        <f t="shared" ref="D2:AG2" si="0">VLOOKUP(D$1,ProjectNames,2,FALSE)</f>
        <v>#N/A</v>
      </c>
      <c r="E2" s="23" t="e">
        <f t="shared" si="0"/>
        <v>#N/A</v>
      </c>
      <c r="F2" s="23" t="e">
        <f t="shared" si="0"/>
        <v>#N/A</v>
      </c>
      <c r="G2" s="23" t="e">
        <f t="shared" si="0"/>
        <v>#N/A</v>
      </c>
      <c r="H2" s="23" t="e">
        <f t="shared" si="0"/>
        <v>#N/A</v>
      </c>
      <c r="I2" s="23" t="e">
        <f t="shared" si="0"/>
        <v>#N/A</v>
      </c>
      <c r="J2" s="23" t="e">
        <f t="shared" si="0"/>
        <v>#N/A</v>
      </c>
      <c r="K2" s="23" t="e">
        <f t="shared" si="0"/>
        <v>#N/A</v>
      </c>
      <c r="L2" s="23" t="e">
        <f t="shared" si="0"/>
        <v>#N/A</v>
      </c>
      <c r="M2" s="23" t="e">
        <f t="shared" si="0"/>
        <v>#N/A</v>
      </c>
      <c r="N2" s="23" t="e">
        <f t="shared" si="0"/>
        <v>#N/A</v>
      </c>
      <c r="O2" s="23" t="e">
        <f t="shared" si="0"/>
        <v>#N/A</v>
      </c>
      <c r="P2" s="23" t="e">
        <f t="shared" si="0"/>
        <v>#N/A</v>
      </c>
      <c r="Q2" s="23" t="e">
        <f t="shared" si="0"/>
        <v>#N/A</v>
      </c>
      <c r="R2" s="23" t="e">
        <f t="shared" si="0"/>
        <v>#N/A</v>
      </c>
      <c r="S2" s="23" t="e">
        <f t="shared" si="0"/>
        <v>#N/A</v>
      </c>
      <c r="T2" s="23" t="e">
        <f t="shared" si="0"/>
        <v>#N/A</v>
      </c>
      <c r="U2" s="23" t="e">
        <f t="shared" si="0"/>
        <v>#N/A</v>
      </c>
      <c r="V2" s="23" t="e">
        <f t="shared" si="0"/>
        <v>#N/A</v>
      </c>
      <c r="W2" s="23" t="e">
        <f t="shared" si="0"/>
        <v>#N/A</v>
      </c>
      <c r="X2" s="23" t="e">
        <f t="shared" si="0"/>
        <v>#N/A</v>
      </c>
      <c r="Y2" s="23" t="e">
        <f t="shared" si="0"/>
        <v>#N/A</v>
      </c>
      <c r="Z2" s="23" t="e">
        <f t="shared" si="0"/>
        <v>#N/A</v>
      </c>
      <c r="AA2" s="23" t="e">
        <f t="shared" si="0"/>
        <v>#N/A</v>
      </c>
      <c r="AB2" s="23" t="e">
        <f t="shared" si="0"/>
        <v>#N/A</v>
      </c>
      <c r="AC2" s="23" t="e">
        <f t="shared" si="0"/>
        <v>#N/A</v>
      </c>
      <c r="AD2" s="23" t="e">
        <f t="shared" si="0"/>
        <v>#N/A</v>
      </c>
      <c r="AE2" s="23" t="e">
        <f t="shared" si="0"/>
        <v>#N/A</v>
      </c>
      <c r="AF2" s="23" t="e">
        <f t="shared" si="0"/>
        <v>#N/A</v>
      </c>
      <c r="AG2" s="23" t="e">
        <f t="shared" si="0"/>
        <v>#N/A</v>
      </c>
      <c r="AH2" s="23" t="e">
        <f t="shared" ref="AH2:BM2" si="1">VLOOKUP(AH$1,ProjectNames,2,FALSE)</f>
        <v>#N/A</v>
      </c>
      <c r="AI2" s="23" t="e">
        <f t="shared" si="1"/>
        <v>#N/A</v>
      </c>
      <c r="AJ2" s="23" t="e">
        <f t="shared" si="1"/>
        <v>#N/A</v>
      </c>
      <c r="AK2" s="23" t="e">
        <f t="shared" si="1"/>
        <v>#N/A</v>
      </c>
      <c r="AL2" s="23" t="e">
        <f t="shared" si="1"/>
        <v>#N/A</v>
      </c>
      <c r="AM2" s="23" t="e">
        <f t="shared" si="1"/>
        <v>#N/A</v>
      </c>
      <c r="AN2" s="23" t="e">
        <f t="shared" si="1"/>
        <v>#N/A</v>
      </c>
      <c r="AO2" s="23" t="e">
        <f t="shared" si="1"/>
        <v>#N/A</v>
      </c>
      <c r="AP2" s="23" t="e">
        <f t="shared" si="1"/>
        <v>#N/A</v>
      </c>
      <c r="AQ2" s="23" t="e">
        <f t="shared" si="1"/>
        <v>#N/A</v>
      </c>
      <c r="AR2" s="23" t="e">
        <f t="shared" si="1"/>
        <v>#N/A</v>
      </c>
      <c r="AS2" s="23" t="e">
        <f t="shared" si="1"/>
        <v>#N/A</v>
      </c>
      <c r="AT2" s="23" t="e">
        <f t="shared" si="1"/>
        <v>#N/A</v>
      </c>
      <c r="AU2" s="23" t="e">
        <f t="shared" si="1"/>
        <v>#N/A</v>
      </c>
      <c r="AV2" s="23" t="e">
        <f t="shared" si="1"/>
        <v>#N/A</v>
      </c>
      <c r="AW2" s="23" t="e">
        <f t="shared" si="1"/>
        <v>#N/A</v>
      </c>
      <c r="AX2" s="23" t="e">
        <f t="shared" si="1"/>
        <v>#N/A</v>
      </c>
      <c r="AY2" s="23" t="e">
        <f t="shared" si="1"/>
        <v>#N/A</v>
      </c>
      <c r="AZ2" s="23" t="e">
        <f t="shared" si="1"/>
        <v>#N/A</v>
      </c>
      <c r="BA2" s="23" t="e">
        <f t="shared" si="1"/>
        <v>#N/A</v>
      </c>
      <c r="BB2" s="23" t="e">
        <f t="shared" si="1"/>
        <v>#N/A</v>
      </c>
      <c r="BC2" s="23" t="e">
        <f t="shared" si="1"/>
        <v>#N/A</v>
      </c>
      <c r="BD2" s="23" t="e">
        <f t="shared" si="1"/>
        <v>#N/A</v>
      </c>
      <c r="BE2" s="23" t="e">
        <f t="shared" si="1"/>
        <v>#N/A</v>
      </c>
      <c r="BF2" s="23" t="e">
        <f t="shared" si="1"/>
        <v>#N/A</v>
      </c>
      <c r="BG2" s="23" t="e">
        <f t="shared" si="1"/>
        <v>#N/A</v>
      </c>
      <c r="BH2" s="23" t="e">
        <f t="shared" si="1"/>
        <v>#N/A</v>
      </c>
      <c r="BI2" s="23" t="e">
        <f t="shared" si="1"/>
        <v>#N/A</v>
      </c>
      <c r="BJ2" s="23" t="e">
        <f t="shared" si="1"/>
        <v>#N/A</v>
      </c>
      <c r="BK2" s="23" t="e">
        <f t="shared" si="1"/>
        <v>#N/A</v>
      </c>
      <c r="BL2" s="23" t="e">
        <f t="shared" si="1"/>
        <v>#N/A</v>
      </c>
      <c r="BM2" s="23" t="e">
        <f t="shared" si="1"/>
        <v>#N/A</v>
      </c>
      <c r="BN2" s="23" t="e">
        <f t="shared" ref="BN2:CS2" si="2">VLOOKUP(BN$1,ProjectNames,2,FALSE)</f>
        <v>#N/A</v>
      </c>
      <c r="BO2" s="23" t="e">
        <f t="shared" si="2"/>
        <v>#N/A</v>
      </c>
      <c r="BP2" s="23" t="e">
        <f t="shared" si="2"/>
        <v>#N/A</v>
      </c>
      <c r="BQ2" s="23" t="e">
        <f t="shared" si="2"/>
        <v>#N/A</v>
      </c>
      <c r="BR2" s="23" t="e">
        <f t="shared" si="2"/>
        <v>#N/A</v>
      </c>
      <c r="BS2" s="23" t="e">
        <f t="shared" si="2"/>
        <v>#N/A</v>
      </c>
      <c r="BT2" s="23" t="e">
        <f t="shared" si="2"/>
        <v>#N/A</v>
      </c>
      <c r="BU2" s="23" t="e">
        <f t="shared" si="2"/>
        <v>#N/A</v>
      </c>
      <c r="BV2" s="23" t="e">
        <f t="shared" si="2"/>
        <v>#N/A</v>
      </c>
      <c r="BW2" s="23" t="e">
        <f t="shared" si="2"/>
        <v>#N/A</v>
      </c>
      <c r="BX2" s="23" t="e">
        <f t="shared" si="2"/>
        <v>#N/A</v>
      </c>
      <c r="BY2" s="23" t="e">
        <f t="shared" si="2"/>
        <v>#N/A</v>
      </c>
      <c r="BZ2" s="23" t="e">
        <f t="shared" si="2"/>
        <v>#N/A</v>
      </c>
      <c r="CA2" s="23" t="e">
        <f t="shared" si="2"/>
        <v>#N/A</v>
      </c>
      <c r="CB2" s="23" t="e">
        <f t="shared" si="2"/>
        <v>#N/A</v>
      </c>
      <c r="CC2" s="23" t="e">
        <f t="shared" si="2"/>
        <v>#N/A</v>
      </c>
      <c r="CD2" s="23" t="e">
        <f t="shared" si="2"/>
        <v>#N/A</v>
      </c>
      <c r="CE2" s="23" t="e">
        <f t="shared" si="2"/>
        <v>#N/A</v>
      </c>
      <c r="CF2" s="23" t="e">
        <f t="shared" si="2"/>
        <v>#N/A</v>
      </c>
      <c r="CG2" s="23" t="e">
        <f t="shared" si="2"/>
        <v>#N/A</v>
      </c>
      <c r="CH2" s="23" t="e">
        <f t="shared" si="2"/>
        <v>#N/A</v>
      </c>
      <c r="CI2" s="23" t="e">
        <f t="shared" si="2"/>
        <v>#N/A</v>
      </c>
      <c r="CJ2" s="23" t="e">
        <f t="shared" si="2"/>
        <v>#N/A</v>
      </c>
      <c r="CK2" s="23" t="e">
        <f t="shared" si="2"/>
        <v>#N/A</v>
      </c>
      <c r="CL2" s="23" t="e">
        <f t="shared" si="2"/>
        <v>#N/A</v>
      </c>
      <c r="CM2" s="23" t="e">
        <f t="shared" si="2"/>
        <v>#N/A</v>
      </c>
      <c r="CN2" s="23" t="e">
        <f t="shared" si="2"/>
        <v>#N/A</v>
      </c>
      <c r="CO2" s="23" t="e">
        <f t="shared" si="2"/>
        <v>#N/A</v>
      </c>
      <c r="CP2" s="23" t="e">
        <f t="shared" si="2"/>
        <v>#N/A</v>
      </c>
      <c r="CQ2" s="23" t="e">
        <f t="shared" si="2"/>
        <v>#N/A</v>
      </c>
      <c r="CR2" s="23" t="e">
        <f t="shared" si="2"/>
        <v>#N/A</v>
      </c>
      <c r="CS2" s="23" t="e">
        <f t="shared" si="2"/>
        <v>#N/A</v>
      </c>
      <c r="CT2" s="23" t="e">
        <f t="shared" ref="CT2:CZ2" si="3">VLOOKUP(CT$1,ProjectNames,2,FALSE)</f>
        <v>#N/A</v>
      </c>
      <c r="CU2" s="23" t="e">
        <f t="shared" si="3"/>
        <v>#N/A</v>
      </c>
      <c r="CV2" s="23" t="e">
        <f t="shared" si="3"/>
        <v>#N/A</v>
      </c>
      <c r="CW2" s="23" t="e">
        <f t="shared" si="3"/>
        <v>#N/A</v>
      </c>
      <c r="CX2" s="23" t="e">
        <f t="shared" si="3"/>
        <v>#N/A</v>
      </c>
      <c r="CY2" s="23" t="e">
        <f t="shared" si="3"/>
        <v>#N/A</v>
      </c>
      <c r="CZ2" s="23" t="e">
        <f t="shared" si="3"/>
        <v>#N/A</v>
      </c>
    </row>
    <row r="4" spans="1:104" x14ac:dyDescent="0.2">
      <c r="A4" s="2" t="s">
        <v>18</v>
      </c>
    </row>
    <row r="6" spans="1:104" x14ac:dyDescent="0.2">
      <c r="A6" s="5" t="s">
        <v>13</v>
      </c>
      <c r="B6" s="14" t="str">
        <f>IFERROR(INDEX('BalSht Data'!H$2:H$2999,MATCH(A6,IF('BalSht Data'!A$2=B$1,'BalSht Data'!G$2:G$2999),0)),"")</f>
        <v/>
      </c>
      <c r="C6" s="14">
        <f>IFERROR(INDEX('BalSht Data'!H$25:H$2999,MATCH(A6,IF('BalSht Data'!A$25=C$1,'BalSht Data'!G$2:G$2999),0)),"")</f>
        <v>999</v>
      </c>
      <c r="D6" s="14">
        <f>IFERROR(INDEX('BalSht Data'!H$48:H$2999,MATCH(A6,IF('BalSht Data'!A$48=D$1,'BalSht Data'!G$48:G$2999),0)),"")</f>
        <v>7878787</v>
      </c>
      <c r="E6" s="14">
        <f>IFERROR(INDEX('BalSht Data'!H$71:H$2999,MATCH(A6,IF('BalSht Data'!A$71=E$1,'BalSht Data'!G$71:G$2999),0)),"")</f>
        <v>36333</v>
      </c>
      <c r="F6" s="14">
        <f>IFERROR(INDEX('BalSht Data'!H$94:H$2999,MATCH(A6,IF('BalSht Data'!A$94=F$1,'BalSht Data'!G$94:G$2999),0)),"")</f>
        <v>88888</v>
      </c>
      <c r="G6" s="14">
        <f>IFERROR(INDEX('BalSht Data'!H$117:H$2999,MATCH(A6,IF('BalSht Data'!A$117=G$1,'BalSht Data'!G$117:G$2999),0)),"")</f>
        <v>22222</v>
      </c>
      <c r="H6" s="14">
        <f>IFERROR(INDEX('BalSht Data'!H$140:H$2999,MATCH(A6,IF('BalSht Data'!A$140=H$1,'BalSht Data'!G$140:G$2999),0)),"")</f>
        <v>33333</v>
      </c>
      <c r="I6" s="14">
        <f>IFERROR(INDEX('BalSht Data'!H$163:H$2999,MATCH(A6,IF('BalSht Data'!A$163=I$1,'BalSht Data'!G$163:G$2999),0)),"")</f>
        <v>44444</v>
      </c>
      <c r="J6" s="14" t="str">
        <f>IFERROR(INDEX('BalSht Data'!H$186:H$2999,MATCH(A6,IF('BalSht Data'!A$186=J$1,'BalSht Data'!G$186:G$2999),0)),"")</f>
        <v/>
      </c>
      <c r="K6" s="14" t="str">
        <f>IFERROR(INDEX('BalSht Data'!H$209:H$2999,MATCH(A6,IF('BalSht Data'!A$209=K$1,'BalSht Data'!G$209:G$2999),0)),"")</f>
        <v/>
      </c>
      <c r="L6" s="14" t="str">
        <f>IFERROR(INDEX('BalSht Data'!H$232:H$2999,MATCH(A6,IF('BalSht Data'!A$232=L$1,'BalSht Data'!G$232:G$2999),0)),"")</f>
        <v/>
      </c>
      <c r="M6" s="14" t="str">
        <f>IFERROR(INDEX('BalSht Data'!H$255:H$2999,MATCH(A6,IF('BalSht Data'!A$255=M$1,'BalSht Data'!G$255:G$2999),0)),"")</f>
        <v/>
      </c>
      <c r="N6" s="14" t="str">
        <f>IFERROR(INDEX('BalSht Data'!H$278:H$2999,MATCH(A6,IF('BalSht Data'!A$278=N$1,'BalSht Data'!G$278:G$2999),0)),"")</f>
        <v/>
      </c>
      <c r="O6" s="14" t="str">
        <f>IFERROR(INDEX('BalSht Data'!H$301:H$2999,MATCH(A6,IF('BalSht Data'!A$301=O$1,'BalSht Data'!G$301:G$2999),0)),"")</f>
        <v/>
      </c>
      <c r="P6" s="14" t="str">
        <f>IFERROR(INDEX('BalSht Data'!H$324:H$2999,MATCH(A6,IF('BalSht Data'!A$324=P$1,'BalSht Data'!G$324:G$2999),0)),"")</f>
        <v/>
      </c>
      <c r="Q6" s="14" t="str">
        <f>IFERROR(INDEX('BalSht Data'!H$347:H$2999,MATCH(A6,IF('BalSht Data'!A$347=Q$1,'BalSht Data'!G$347:G$2999),0)),"")</f>
        <v/>
      </c>
      <c r="R6" s="14" t="str">
        <f>IFERROR(INDEX('BalSht Data'!H$370:H$2999,MATCH(A6,IF('BalSht Data'!A$370=R$1,'BalSht Data'!G$370:G$2999),0)),"")</f>
        <v/>
      </c>
      <c r="S6" s="14" t="str">
        <f>IFERROR(INDEX('BalSht Data'!H$393:H$2999,MATCH(A6,IF('BalSht Data'!A$393=S$1,'BalSht Data'!G$393:G$2999),0)),"")</f>
        <v/>
      </c>
      <c r="T6" s="14" t="str">
        <f>IFERROR(INDEX('BalSht Data'!H$416:H$2999,MATCH(A6,IF('BalSht Data'!A$416=T$1,'BalSht Data'!G$416:G$2999),0)),"")</f>
        <v/>
      </c>
      <c r="U6" s="14" t="str">
        <f>IFERROR(INDEX('BalSht Data'!H$439:H$2999,MATCH(A6,IF('BalSht Data'!A$439=U$1,'BalSht Data'!G$439:G$2999),0)),"")</f>
        <v/>
      </c>
      <c r="V6" s="14" t="str">
        <f>IFERROR(INDEX('BalSht Data'!H$462:H$2999,MATCH(A6,IF('BalSht Data'!A$462=V$1,'BalSht Data'!G$462:G$2999),0)),"")</f>
        <v/>
      </c>
      <c r="W6" s="14" t="str">
        <f>IFERROR(INDEX('BalSht Data'!H$485:H$2999,MATCH(A6,IF('BalSht Data'!A$485=W$1,'BalSht Data'!G$485:G$2999),0)),"")</f>
        <v/>
      </c>
      <c r="X6" s="14" t="str">
        <f>IFERROR(INDEX('BalSht Data'!H$508:H$2999,MATCH(A6,IF('BalSht Data'!A$508=X$1,'BalSht Data'!G$508:G$2999),0)),"")</f>
        <v/>
      </c>
      <c r="Y6" s="14" t="str">
        <f>IFERROR(INDEX('BalSht Data'!H$531:H$2999,MATCH(A6,IF('BalSht Data'!A$531=Y$1,'BalSht Data'!G$531:G$2999),0)),"")</f>
        <v/>
      </c>
      <c r="Z6" s="14" t="str">
        <f>IFERROR(INDEX('BalSht Data'!H$554:H$2999,MATCH(A6,IF('BalSht Data'!A$554=Z$1,'BalSht Data'!G$554:G$2999),0)),"")</f>
        <v/>
      </c>
      <c r="AA6" s="14" t="str">
        <f>IFERROR(INDEX('BalSht Data'!H$577:H$2999,MATCH(A6,IF('BalSht Data'!A$577=AA$1,'BalSht Data'!G$577:G$2999),0)),"")</f>
        <v/>
      </c>
      <c r="AB6" s="14" t="str">
        <f>IFERROR(INDEX('BalSht Data'!H$600:H$2999,MATCH(A6,IF('BalSht Data'!A$600=AB$1,'BalSht Data'!G$600:G$2999),0)),"")</f>
        <v/>
      </c>
      <c r="AC6" s="14" t="str">
        <f>IFERROR(INDEX('BalSht Data'!H$623:H$2999,MATCH(A6,IF('BalSht Data'!A$623=AC$1,'BalSht Data'!G$623:G$2999),0)),"")</f>
        <v/>
      </c>
      <c r="AD6" s="14" t="str">
        <f>IFERROR(INDEX('BalSht Data'!H$646:H$2999,MATCH(A6,IF('BalSht Data'!A$646=AD$1,'BalSht Data'!G$646:G$2999),0)),"")</f>
        <v/>
      </c>
      <c r="AE6" s="14" t="str">
        <f>IFERROR(INDEX('BalSht Data'!H$669:H$2999,MATCH(A6,IF('BalSht Data'!A$669=AE$1,'BalSht Data'!G$669:G$2999),0)),"")</f>
        <v/>
      </c>
      <c r="AF6" s="14" t="str">
        <f>IFERROR(INDEX('BalSht Data'!H$692:H$2999,MATCH(A6,IF('BalSht Data'!A$692=AF$1,'BalSht Data'!G$692:G$2999),0)),"")</f>
        <v/>
      </c>
      <c r="AG6" s="14" t="str">
        <f>IFERROR(INDEX('BalSht Data'!H$715:H$2999,MATCH(A6,IF('BalSht Data'!A$715=AG$1,'BalSht Data'!G$715:G$2999),0)),"")</f>
        <v/>
      </c>
      <c r="AH6" s="14" t="str">
        <f>IFERROR(INDEX('BalSht Data'!H$738:H$2999,MATCH(A6,IF('BalSht Data'!A$738=AH$1,'BalSht Data'!G$738:G$2999),0)),"")</f>
        <v/>
      </c>
      <c r="AI6" s="14" t="str">
        <f>IFERROR(INDEX('BalSht Data'!H$761:H$2999,MATCH(A6,IF('BalSht Data'!A$761=AI$1,'BalSht Data'!G$761:G$2999),0)),"")</f>
        <v/>
      </c>
      <c r="AJ6" s="14" t="str">
        <f>IFERROR(INDEX('BalSht Data'!H$784:H$2999,MATCH(A6,IF('BalSht Data'!A$784=AJ$1,'BalSht Data'!G$784:G$2999),0)),"")</f>
        <v/>
      </c>
      <c r="AK6" s="14" t="str">
        <f>IFERROR(INDEX('BalSht Data'!H$807:H$2999,MATCH(A6,IF('BalSht Data'!A$807=AK$1,'BalSht Data'!G$807:G$2999),0)),"")</f>
        <v/>
      </c>
      <c r="AL6" s="14" t="str">
        <f>IFERROR(INDEX('BalSht Data'!H$830:H$2999,MATCH(A6,IF('BalSht Data'!A$830=AL$1,'BalSht Data'!G$830:G$2999),0)),"")</f>
        <v/>
      </c>
      <c r="AM6" s="14" t="str">
        <f>IFERROR(INDEX('BalSht Data'!H$853:H$2999,MATCH(A6,IF('BalSht Data'!A$853=AM$1,'BalSht Data'!G$853:G$2999),0)),"")</f>
        <v/>
      </c>
      <c r="AN6" s="14" t="str">
        <f>IFERROR(INDEX('BalSht Data'!H$876:H$2999,MATCH(A6,IF('BalSht Data'!A$876=AN$1,'BalSht Data'!G$876:G$2999),0)),"")</f>
        <v/>
      </c>
      <c r="AO6" s="14" t="str">
        <f>IFERROR(INDEX('BalSht Data'!H$899:H$2999,MATCH(A6,IF('BalSht Data'!A$899=AO$1,'BalSht Data'!G$899:G$2999),0)),"")</f>
        <v/>
      </c>
      <c r="AP6" s="14" t="str">
        <f>IFERROR(INDEX('BalSht Data'!H$922:H$2999,MATCH(A6,IF('BalSht Data'!A$922=AP$1,'BalSht Data'!G$922:G$2999),0)),"")</f>
        <v/>
      </c>
      <c r="AQ6" s="14" t="str">
        <f>IFERROR(INDEX('BalSht Data'!H$945:H$2999,MATCH(A6,IF('BalSht Data'!A$945=AQ$1,'BalSht Data'!G$945:G$2999),0)),"")</f>
        <v/>
      </c>
      <c r="AR6" s="14" t="str">
        <f>IFERROR(INDEX('BalSht Data'!H$968:H$2999,MATCH(A6,IF('BalSht Data'!A$968=AR$1,'BalSht Data'!G$968:G$2999),0)),"")</f>
        <v/>
      </c>
      <c r="AS6" s="14" t="str">
        <f>IFERROR(INDEX('BalSht Data'!H$991:H$2999,MATCH(A6,IF('BalSht Data'!A$991=AS$1,'BalSht Data'!G$991:G$2999),0)),"")</f>
        <v/>
      </c>
      <c r="AT6" s="14" t="str">
        <f>IFERROR(INDEX('BalSht Data'!H$1014:H$2999,MATCH(A6,IF('BalSht Data'!A$1014=AT$1,'BalSht Data'!G$1014:G$2999),0)),"")</f>
        <v/>
      </c>
      <c r="AU6" s="14" t="str">
        <f>IFERROR(INDEX('BalSht Data'!H$1037:H$2999,MATCH(A6,IF('BalSht Data'!A$1037=AU$1,'BalSht Data'!G$1037:G$2999),0)),"")</f>
        <v/>
      </c>
      <c r="AV6" s="14" t="str">
        <f>IFERROR(INDEX('BalSht Data'!H$1060:H$2999,MATCH(A6,IF('BalSht Data'!A$1060=AV$1,'BalSht Data'!G$1060:G$2999),0)),"")</f>
        <v/>
      </c>
      <c r="AW6" s="14" t="str">
        <f>IFERROR(INDEX('BalSht Data'!H$1083:H$2999,MATCH(A6,IF('BalSht Data'!A$1083=AW$1,'BalSht Data'!G$1083:G$2999),0)),"")</f>
        <v/>
      </c>
      <c r="AX6" s="14" t="str">
        <f>IFERROR(INDEX('BalSht Data'!H$1106:H$2999,MATCH(A6,IF('BalSht Data'!A$1106=AX$1,'BalSht Data'!G$1106:G$2999),0)),"")</f>
        <v/>
      </c>
      <c r="AY6" s="14" t="str">
        <f>IFERROR(INDEX('BalSht Data'!H$1129:H$2999,MATCH(A6,IF('BalSht Data'!A$1129=AY$1,'BalSht Data'!G$1129:G$2999),0)),"")</f>
        <v/>
      </c>
      <c r="AZ6" s="14" t="str">
        <f>IFERROR(INDEX('BalSht Data'!H$1152:H$2999,MATCH(A6,IF('BalSht Data'!A$1152=AZ$1,'BalSht Data'!G$1152:G$2999),0)),"")</f>
        <v/>
      </c>
      <c r="BA6" s="14" t="str">
        <f>IFERROR(INDEX('BalSht Data'!H$1175:H$2999,MATCH(A6,IF('BalSht Data'!A$1175=BA$1,'BalSht Data'!G$1175:G$2999),0)),"")</f>
        <v/>
      </c>
      <c r="BB6" s="14" t="str">
        <f>IFERROR(INDEX('BalSht Data'!H$1198:H$2999,MATCH(A6,IF('BalSht Data'!A$1198=BB$1,'BalSht Data'!G$1198:G$2999),0)),"")</f>
        <v/>
      </c>
      <c r="BC6" s="14" t="str">
        <f>IFERROR(INDEX('BalSht Data'!H$1221:H$2999,MATCH(A6,IF('BalSht Data'!A$1221=BC$1,'BalSht Data'!G$1221:G$2999),0)),"")</f>
        <v/>
      </c>
      <c r="BD6" s="14" t="str">
        <f>IFERROR(INDEX('BalSht Data'!H$1244:H$2999,MATCH(A6,IF('BalSht Data'!A$1244=BD$1,'BalSht Data'!G$1244:G$2999),0)),"")</f>
        <v/>
      </c>
      <c r="BE6" s="14" t="str">
        <f>IFERROR(INDEX('BalSht Data'!H$1267:H$2999,MATCH(A6,IF('BalSht Data'!A$1267=BE$1,'BalSht Data'!G$1267:G$2999),0)),"")</f>
        <v/>
      </c>
      <c r="BF6" s="14">
        <v>1111111</v>
      </c>
    </row>
    <row r="7" spans="1:104" x14ac:dyDescent="0.2">
      <c r="A7" s="5" t="s">
        <v>14</v>
      </c>
      <c r="B7" s="14" t="str">
        <f>IFERROR(INDEX('BalSht Data'!H$2:H$2999,MATCH(A7,IF('BalSht Data'!A$2=B$1,'BalSht Data'!G$2:G$2999),0)),"")</f>
        <v/>
      </c>
      <c r="C7" s="14">
        <f>IFERROR(INDEX('BalSht Data'!H$25:H$2999,MATCH(A7,IF('BalSht Data'!A$25=C$1,'BalSht Data'!G$2:G$2999),0)),"")</f>
        <v>999</v>
      </c>
      <c r="D7" s="14">
        <f>IFERROR(INDEX('BalSht Data'!H$48:H$2999,MATCH(A7,IF('BalSht Data'!A$48=D$1,'BalSht Data'!G$48:G$2999),0)),"")</f>
        <v>7878787</v>
      </c>
      <c r="E7" s="14">
        <f>IFERROR(INDEX('BalSht Data'!H$71:H$2999,MATCH(A7,IF('BalSht Data'!A$71=E$1,'BalSht Data'!G$71:G$2999),0)),"")</f>
        <v>36333</v>
      </c>
      <c r="F7" s="14">
        <f>IFERROR(INDEX('BalSht Data'!H$94:H$2999,MATCH(A7,IF('BalSht Data'!A$94=F$1,'BalSht Data'!G$94:G$2999),0)),"")</f>
        <v>88888</v>
      </c>
      <c r="G7" s="14">
        <f>IFERROR(INDEX('BalSht Data'!H$117:H$2999,MATCH(A7,IF('BalSht Data'!A$117=G$1,'BalSht Data'!G$117:G$2999),0)),"")</f>
        <v>22222</v>
      </c>
      <c r="H7" s="14">
        <f>IFERROR(INDEX('BalSht Data'!H$140:H$2999,MATCH(A7,IF('BalSht Data'!A$140=H$1,'BalSht Data'!G$140:G$2999),0)),"")</f>
        <v>22222</v>
      </c>
      <c r="I7" s="14">
        <f>IFERROR(INDEX('BalSht Data'!H$163:H$2999,MATCH(A7,IF('BalSht Data'!A$163=I$1,'BalSht Data'!G$163:G$2999),0)),"")</f>
        <v>22222</v>
      </c>
      <c r="J7" s="14" t="str">
        <f>IFERROR(INDEX('BalSht Data'!H$186:H$2999,MATCH(A7,IF('BalSht Data'!A$186=J$1,'BalSht Data'!G$186:G$2999),0)),"")</f>
        <v/>
      </c>
      <c r="K7" s="14" t="str">
        <f>IFERROR(INDEX('BalSht Data'!H$209:H$2999,MATCH(A7,IF('BalSht Data'!A$209=K$1,'BalSht Data'!G$209:G$2999),0)),"")</f>
        <v/>
      </c>
      <c r="L7" s="14" t="str">
        <f>IFERROR(INDEX('BalSht Data'!H$232:H$2999,MATCH(A7,IF('BalSht Data'!A$232=L$1,'BalSht Data'!G$232:G$2999),0)),"")</f>
        <v/>
      </c>
      <c r="M7" s="14" t="str">
        <f>IFERROR(INDEX('BalSht Data'!H$255:H$2999,MATCH(A7,IF('BalSht Data'!A$255=M$1,'BalSht Data'!G$255:G$2999),0)),"")</f>
        <v/>
      </c>
      <c r="N7" s="14" t="str">
        <f>IFERROR(INDEX('BalSht Data'!H$278:H$2999,MATCH(A7,IF('BalSht Data'!A$278=N$1,'BalSht Data'!G$278:G$2999),0)),"")</f>
        <v/>
      </c>
      <c r="O7" s="14" t="str">
        <f>IFERROR(INDEX('BalSht Data'!H$301:H$2999,MATCH(A7,IF('BalSht Data'!A$301=O$1,'BalSht Data'!G$301:G$2999),0)),"")</f>
        <v/>
      </c>
      <c r="P7" s="14" t="str">
        <f>IFERROR(INDEX('BalSht Data'!H$324:H$2999,MATCH(A7,IF('BalSht Data'!A$324=P$1,'BalSht Data'!G$324:G$2999),0)),"")</f>
        <v/>
      </c>
      <c r="Q7" s="14" t="str">
        <f>IFERROR(INDEX('BalSht Data'!H$347:H$2999,MATCH(A7,IF('BalSht Data'!A$347=Q$1,'BalSht Data'!G$347:G$2999),0)),"")</f>
        <v/>
      </c>
      <c r="R7" s="14" t="str">
        <f>IFERROR(INDEX('BalSht Data'!H$370:H$2999,MATCH(A7,IF('BalSht Data'!A$370=R$1,'BalSht Data'!G$370:G$2999),0)),"")</f>
        <v/>
      </c>
      <c r="S7" s="14" t="str">
        <f>IFERROR(INDEX('BalSht Data'!H$393:H$2999,MATCH(A7,IF('BalSht Data'!A$393=S$1,'BalSht Data'!G$393:G$2999),0)),"")</f>
        <v/>
      </c>
      <c r="T7" s="14" t="str">
        <f>IFERROR(INDEX('BalSht Data'!H$416:H$2999,MATCH(A7,IF('BalSht Data'!A$416=T$1,'BalSht Data'!G$416:G$2999),0)),"")</f>
        <v/>
      </c>
      <c r="U7" s="14" t="str">
        <f>IFERROR(INDEX('BalSht Data'!H$439:H$2999,MATCH(A7,IF('BalSht Data'!A$439=U$1,'BalSht Data'!G$439:G$2999),0)),"")</f>
        <v/>
      </c>
      <c r="V7" s="14" t="str">
        <f>IFERROR(INDEX('BalSht Data'!H$462:H$2999,MATCH(A7,IF('BalSht Data'!A$462=V$1,'BalSht Data'!G$462:G$2999),0)),"")</f>
        <v/>
      </c>
      <c r="W7" s="14" t="str">
        <f>IFERROR(INDEX('BalSht Data'!H$485:H$2999,MATCH(A7,IF('BalSht Data'!A$485=W$1,'BalSht Data'!G$485:G$2999),0)),"")</f>
        <v/>
      </c>
      <c r="X7" s="14" t="str">
        <f>IFERROR(INDEX('BalSht Data'!H$508:H$2999,MATCH(A7,IF('BalSht Data'!A$508=X$1,'BalSht Data'!G$508:G$2999),0)),"")</f>
        <v/>
      </c>
      <c r="Y7" s="14" t="str">
        <f>IFERROR(INDEX('BalSht Data'!H$531:H$2999,MATCH(A7,IF('BalSht Data'!A$531=Y$1,'BalSht Data'!G$531:G$2999),0)),"")</f>
        <v/>
      </c>
      <c r="Z7" s="14" t="str">
        <f>IFERROR(INDEX('BalSht Data'!H$554:H$2999,MATCH(A7,IF('BalSht Data'!A$554=Z$1,'BalSht Data'!G$554:G$2999),0)),"")</f>
        <v/>
      </c>
      <c r="AA7" s="14" t="str">
        <f>IFERROR(INDEX('BalSht Data'!H$577:H$2999,MATCH(A7,IF('BalSht Data'!A$577=AA$1,'BalSht Data'!G$577:G$2999),0)),"")</f>
        <v/>
      </c>
      <c r="AB7" s="14" t="str">
        <f>IFERROR(INDEX('BalSht Data'!H$600:H$2999,MATCH(A7,IF('BalSht Data'!A$600=AB$1,'BalSht Data'!G$600:G$2999),0)),"")</f>
        <v/>
      </c>
      <c r="AC7" s="14" t="str">
        <f>IFERROR(INDEX('BalSht Data'!H$623:H$2999,MATCH(A7,IF('BalSht Data'!A$623=AC$1,'BalSht Data'!G$623:G$2999),0)),"")</f>
        <v/>
      </c>
      <c r="AD7" s="14" t="str">
        <f>IFERROR(INDEX('BalSht Data'!H$646:H$2999,MATCH(A7,IF('BalSht Data'!A$646=AD$1,'BalSht Data'!G$646:G$2999),0)),"")</f>
        <v/>
      </c>
      <c r="AE7" s="14" t="str">
        <f>IFERROR(INDEX('BalSht Data'!H$669:H$2999,MATCH(A7,IF('BalSht Data'!A$669=AE$1,'BalSht Data'!G$669:G$2999),0)),"")</f>
        <v/>
      </c>
      <c r="AF7" s="14" t="str">
        <f>IFERROR(INDEX('BalSht Data'!H$692:H$2999,MATCH(A7,IF('BalSht Data'!A$692=AF$1,'BalSht Data'!G$692:G$2999),0)),"")</f>
        <v/>
      </c>
      <c r="AG7" s="14" t="str">
        <f>IFERROR(INDEX('BalSht Data'!H$715:H$2999,MATCH(A7,IF('BalSht Data'!A$715=AG$1,'BalSht Data'!G$715:G$2999),0)),"")</f>
        <v/>
      </c>
      <c r="AH7" s="14" t="str">
        <f>IFERROR(INDEX('BalSht Data'!H$738:H$2999,MATCH(A7,IF('BalSht Data'!A$738=AH$1,'BalSht Data'!G$738:G$2999),0)),"")</f>
        <v/>
      </c>
      <c r="AI7" s="14" t="str">
        <f>IFERROR(INDEX('BalSht Data'!H$761:H$2999,MATCH(A7,IF('BalSht Data'!A$761=AI$1,'BalSht Data'!G$761:G$2999),0)),"")</f>
        <v/>
      </c>
      <c r="AJ7" s="14" t="str">
        <f>IFERROR(INDEX('BalSht Data'!H$784:H$2999,MATCH(A7,IF('BalSht Data'!A$784=AJ$1,'BalSht Data'!G$784:G$2999),0)),"")</f>
        <v/>
      </c>
      <c r="AK7" s="14" t="str">
        <f>IFERROR(INDEX('BalSht Data'!H$807:H$2999,MATCH(A7,IF('BalSht Data'!A$807=AK$1,'BalSht Data'!G$807:G$2999),0)),"")</f>
        <v/>
      </c>
      <c r="AL7" s="14" t="str">
        <f>IFERROR(INDEX('BalSht Data'!H$830:H$2999,MATCH(A7,IF('BalSht Data'!A$830=AL$1,'BalSht Data'!G$830:G$2999),0)),"")</f>
        <v/>
      </c>
      <c r="AM7" s="14" t="str">
        <f>IFERROR(INDEX('BalSht Data'!H$853:H$2999,MATCH(A7,IF('BalSht Data'!A$853=AM$1,'BalSht Data'!G$853:G$2999),0)),"")</f>
        <v/>
      </c>
      <c r="AN7" s="14" t="str">
        <f>IFERROR(INDEX('BalSht Data'!H$876:H$2999,MATCH(A7,IF('BalSht Data'!A$876=AN$1,'BalSht Data'!G$876:G$2999),0)),"")</f>
        <v/>
      </c>
      <c r="AO7" s="14" t="str">
        <f>IFERROR(INDEX('BalSht Data'!H$899:H$2999,MATCH(A7,IF('BalSht Data'!A$899=AO$1,'BalSht Data'!G$899:G$2999),0)),"")</f>
        <v/>
      </c>
      <c r="AP7" s="14" t="str">
        <f>IFERROR(INDEX('BalSht Data'!H$922:H$2999,MATCH(A7,IF('BalSht Data'!A$922=AP$1,'BalSht Data'!G$922:G$2999),0)),"")</f>
        <v/>
      </c>
      <c r="AQ7" s="14" t="str">
        <f>IFERROR(INDEX('BalSht Data'!H$945:H$2999,MATCH(A7,IF('BalSht Data'!A$945=AQ$1,'BalSht Data'!G$945:G$2999),0)),"")</f>
        <v/>
      </c>
      <c r="AR7" s="14" t="str">
        <f>IFERROR(INDEX('BalSht Data'!H$968:H$2999,MATCH(A7,IF('BalSht Data'!A$968=AR$1,'BalSht Data'!G$968:G$2999),0)),"")</f>
        <v/>
      </c>
      <c r="AS7" s="14" t="str">
        <f>IFERROR(INDEX('BalSht Data'!H$991:H$2999,MATCH(A7,IF('BalSht Data'!A$991=AS$1,'BalSht Data'!G$991:G$2999),0)),"")</f>
        <v/>
      </c>
      <c r="AT7" s="14" t="str">
        <f>IFERROR(INDEX('BalSht Data'!H$1014:H$2999,MATCH(A7,IF('BalSht Data'!A$1014=AT$1,'BalSht Data'!G$1014:G$2999),0)),"")</f>
        <v/>
      </c>
      <c r="AU7" s="14" t="str">
        <f>IFERROR(INDEX('BalSht Data'!H$1037:H$2999,MATCH(A7,IF('BalSht Data'!A$1037=AU$1,'BalSht Data'!G$1037:G$2999),0)),"")</f>
        <v/>
      </c>
      <c r="AV7" s="14" t="str">
        <f>IFERROR(INDEX('BalSht Data'!H$1060:H$2999,MATCH(A7,IF('BalSht Data'!A$1060=AV$1,'BalSht Data'!G$1060:G$2999),0)),"")</f>
        <v/>
      </c>
      <c r="AW7" s="14" t="str">
        <f>IFERROR(INDEX('BalSht Data'!H$1083:H$2999,MATCH(A7,IF('BalSht Data'!A$1083=AW$1,'BalSht Data'!G$1083:G$2999),0)),"")</f>
        <v/>
      </c>
      <c r="AX7" s="14" t="str">
        <f>IFERROR(INDEX('BalSht Data'!H$1106:H$2999,MATCH(A7,IF('BalSht Data'!A$1106=AX$1,'BalSht Data'!G$1106:G$2999),0)),"")</f>
        <v/>
      </c>
      <c r="AY7" s="14" t="str">
        <f>IFERROR(INDEX('BalSht Data'!H$1129:H$2999,MATCH(A7,IF('BalSht Data'!A$1129=AY$1,'BalSht Data'!G$1129:G$2999),0)),"")</f>
        <v/>
      </c>
      <c r="AZ7" s="14" t="str">
        <f>IFERROR(INDEX('BalSht Data'!H$1152:H$2999,MATCH(A7,IF('BalSht Data'!A$1152=AZ$1,'BalSht Data'!G$1152:G$2999),0)),"")</f>
        <v/>
      </c>
      <c r="BA7" s="14" t="str">
        <f>IFERROR(INDEX('BalSht Data'!H$1175:H$2999,MATCH(A7,IF('BalSht Data'!A$1175=BA$1,'BalSht Data'!G$1175:G$2999),0)),"")</f>
        <v/>
      </c>
      <c r="BB7" s="14" t="str">
        <f>IFERROR(INDEX('BalSht Data'!H$1198:H$2999,MATCH(A7,IF('BalSht Data'!A$1198=BB$1,'BalSht Data'!G$1198:G$2999),0)),"")</f>
        <v/>
      </c>
      <c r="BC7" s="14" t="str">
        <f>IFERROR(INDEX('BalSht Data'!H$1221:H$2999,MATCH(A7,IF('BalSht Data'!A$1221=BC$1,'BalSht Data'!G$1221:G$2999),0)),"")</f>
        <v/>
      </c>
      <c r="BD7" s="14" t="str">
        <f>IFERROR(INDEX('BalSht Data'!H$1244:H$2999,MATCH(A7,IF('BalSht Data'!A$1244=BD$1,'BalSht Data'!G$1244:G$2999),0)),"")</f>
        <v/>
      </c>
      <c r="BE7" s="14" t="str">
        <f>IFERROR(INDEX('BalSht Data'!H$1267:H$2999,MATCH(A7,IF('BalSht Data'!A$1267=BE$1,'BalSht Data'!G$1267:G$2999),0)),"")</f>
        <v/>
      </c>
      <c r="BF7" s="14"/>
    </row>
    <row r="8" spans="1:104" x14ac:dyDescent="0.2">
      <c r="A8" s="5" t="s">
        <v>15</v>
      </c>
      <c r="B8" s="14" t="str">
        <f>IFERROR(INDEX('BalSht Data'!H$2:H$2999,MATCH(A8,IF('BalSht Data'!A$2=B$1,'BalSht Data'!G$2:G$2999),0)),"")</f>
        <v/>
      </c>
      <c r="C8" s="14">
        <f>IFERROR(INDEX('BalSht Data'!H$25:H$2999,MATCH(A8,IF('BalSht Data'!A$25=C$1,'BalSht Data'!G$2:G$2999),0)),"")</f>
        <v>999</v>
      </c>
      <c r="D8" s="14">
        <f>IFERROR(INDEX('BalSht Data'!H$48:H$2999,MATCH(A8,IF('BalSht Data'!A$48=D$1,'BalSht Data'!G$48:G$2999),0)),"")</f>
        <v>7878787</v>
      </c>
      <c r="E8" s="14">
        <f>IFERROR(INDEX('BalSht Data'!H$71:H$2999,MATCH(A8,IF('BalSht Data'!A$71=E$1,'BalSht Data'!G$71:G$2999),0)),"")</f>
        <v>36333</v>
      </c>
      <c r="F8" s="14">
        <f>IFERROR(INDEX('BalSht Data'!H$94:H$2999,MATCH(A8,IF('BalSht Data'!A$94=F$1,'BalSht Data'!G$94:G$2999),0)),"")</f>
        <v>88888</v>
      </c>
      <c r="G8" s="14">
        <f>IFERROR(INDEX('BalSht Data'!H$117:H$2999,MATCH(A8,IF('BalSht Data'!A$117=G$1,'BalSht Data'!G$117:G$2999),0)),"")</f>
        <v>22222</v>
      </c>
      <c r="H8" s="14">
        <f>IFERROR(INDEX('BalSht Data'!H$140:H$2999,MATCH(A8,IF('BalSht Data'!A$140=H$1,'BalSht Data'!G$140:G$2999),0)),"")</f>
        <v>22222</v>
      </c>
      <c r="I8" s="14">
        <f>IFERROR(INDEX('BalSht Data'!H$163:H$2999,MATCH(A8,IF('BalSht Data'!A$163=I$1,'BalSht Data'!G$163:G$2999),0)),"")</f>
        <v>22222</v>
      </c>
      <c r="J8" s="14" t="str">
        <f>IFERROR(INDEX('BalSht Data'!H$186:H$2999,MATCH(A8,IF('BalSht Data'!A$186=J$1,'BalSht Data'!G$186:G$2999),0)),"")</f>
        <v/>
      </c>
      <c r="K8" s="14" t="str">
        <f>IFERROR(INDEX('BalSht Data'!H$209:H$2999,MATCH(A8,IF('BalSht Data'!A$209=K$1,'BalSht Data'!G$209:G$2999),0)),"")</f>
        <v/>
      </c>
      <c r="L8" s="14" t="str">
        <f>IFERROR(INDEX('BalSht Data'!H$232:H$2999,MATCH(A8,IF('BalSht Data'!A$232=L$1,'BalSht Data'!G$232:G$2999),0)),"")</f>
        <v/>
      </c>
      <c r="M8" s="14" t="str">
        <f>IFERROR(INDEX('BalSht Data'!H$255:H$2999,MATCH(A8,IF('BalSht Data'!A$255=M$1,'BalSht Data'!G$255:G$2999),0)),"")</f>
        <v/>
      </c>
      <c r="N8" s="14" t="str">
        <f>IFERROR(INDEX('BalSht Data'!H$278:H$2999,MATCH(A8,IF('BalSht Data'!A$278=N$1,'BalSht Data'!G$278:G$2999),0)),"")</f>
        <v/>
      </c>
      <c r="O8" s="14" t="str">
        <f>IFERROR(INDEX('BalSht Data'!H$301:H$2999,MATCH(A8,IF('BalSht Data'!A$301=O$1,'BalSht Data'!G$301:G$2999),0)),"")</f>
        <v/>
      </c>
      <c r="P8" s="14" t="str">
        <f>IFERROR(INDEX('BalSht Data'!H$324:H$2999,MATCH(A8,IF('BalSht Data'!A$324=P$1,'BalSht Data'!G$324:G$2999),0)),"")</f>
        <v/>
      </c>
      <c r="Q8" s="14" t="str">
        <f>IFERROR(INDEX('BalSht Data'!H$347:H$2999,MATCH(A8,IF('BalSht Data'!A$347=Q$1,'BalSht Data'!G$347:G$2999),0)),"")</f>
        <v/>
      </c>
      <c r="R8" s="14" t="str">
        <f>IFERROR(INDEX('BalSht Data'!H$370:H$2999,MATCH(A8,IF('BalSht Data'!A$370=R$1,'BalSht Data'!G$370:G$2999),0)),"")</f>
        <v/>
      </c>
      <c r="S8" s="14" t="str">
        <f>IFERROR(INDEX('BalSht Data'!H$393:H$2999,MATCH(A8,IF('BalSht Data'!A$393=S$1,'BalSht Data'!G$393:G$2999),0)),"")</f>
        <v/>
      </c>
      <c r="T8" s="14" t="str">
        <f>IFERROR(INDEX('BalSht Data'!H$416:H$2999,MATCH(A8,IF('BalSht Data'!A$416=T$1,'BalSht Data'!G$416:G$2999),0)),"")</f>
        <v/>
      </c>
      <c r="U8" s="14" t="str">
        <f>IFERROR(INDEX('BalSht Data'!H$439:H$2999,MATCH(A8,IF('BalSht Data'!A$439=U$1,'BalSht Data'!G$439:G$2999),0)),"")</f>
        <v/>
      </c>
      <c r="V8" s="14" t="str">
        <f>IFERROR(INDEX('BalSht Data'!H$462:H$2999,MATCH(A8,IF('BalSht Data'!A$462=V$1,'BalSht Data'!G$462:G$2999),0)),"")</f>
        <v/>
      </c>
      <c r="W8" s="14" t="str">
        <f>IFERROR(INDEX('BalSht Data'!H$485:H$2999,MATCH(A8,IF('BalSht Data'!A$485=W$1,'BalSht Data'!G$485:G$2999),0)),"")</f>
        <v/>
      </c>
      <c r="X8" s="14" t="str">
        <f>IFERROR(INDEX('BalSht Data'!H$508:H$2999,MATCH(A8,IF('BalSht Data'!A$508=X$1,'BalSht Data'!G$508:G$2999),0)),"")</f>
        <v/>
      </c>
      <c r="Y8" s="14" t="str">
        <f>IFERROR(INDEX('BalSht Data'!H$531:H$2999,MATCH(A8,IF('BalSht Data'!A$531=Y$1,'BalSht Data'!G$531:G$2999),0)),"")</f>
        <v/>
      </c>
      <c r="Z8" s="14" t="str">
        <f>IFERROR(INDEX('BalSht Data'!H$554:H$2999,MATCH(A8,IF('BalSht Data'!A$554=Z$1,'BalSht Data'!G$554:G$2999),0)),"")</f>
        <v/>
      </c>
      <c r="AA8" s="14" t="str">
        <f>IFERROR(INDEX('BalSht Data'!H$577:H$2999,MATCH(A8,IF('BalSht Data'!A$577=AA$1,'BalSht Data'!G$577:G$2999),0)),"")</f>
        <v/>
      </c>
      <c r="AB8" s="14" t="str">
        <f>IFERROR(INDEX('BalSht Data'!H$600:H$2999,MATCH(A8,IF('BalSht Data'!A$600=AB$1,'BalSht Data'!G$600:G$2999),0)),"")</f>
        <v/>
      </c>
      <c r="AC8" s="14" t="str">
        <f>IFERROR(INDEX('BalSht Data'!H$623:H$2999,MATCH(A8,IF('BalSht Data'!A$623=AC$1,'BalSht Data'!G$623:G$2999),0)),"")</f>
        <v/>
      </c>
      <c r="AD8" s="14" t="str">
        <f>IFERROR(INDEX('BalSht Data'!H$646:H$2999,MATCH(A8,IF('BalSht Data'!A$646=AD$1,'BalSht Data'!G$646:G$2999),0)),"")</f>
        <v/>
      </c>
      <c r="AE8" s="14" t="str">
        <f>IFERROR(INDEX('BalSht Data'!H$669:H$2999,MATCH(A8,IF('BalSht Data'!A$669=AE$1,'BalSht Data'!G$669:G$2999),0)),"")</f>
        <v/>
      </c>
      <c r="AF8" s="14" t="str">
        <f>IFERROR(INDEX('BalSht Data'!H$692:H$2999,MATCH(A8,IF('BalSht Data'!A$692=AF$1,'BalSht Data'!G$692:G$2999),0)),"")</f>
        <v/>
      </c>
      <c r="AG8" s="14" t="str">
        <f>IFERROR(INDEX('BalSht Data'!H$715:H$2999,MATCH(A8,IF('BalSht Data'!A$715=AG$1,'BalSht Data'!G$715:G$2999),0)),"")</f>
        <v/>
      </c>
      <c r="AH8" s="14" t="str">
        <f>IFERROR(INDEX('BalSht Data'!H$738:H$2999,MATCH(A8,IF('BalSht Data'!A$738=AH$1,'BalSht Data'!G$738:G$2999),0)),"")</f>
        <v/>
      </c>
      <c r="AI8" s="14" t="str">
        <f>IFERROR(INDEX('BalSht Data'!H$761:H$2999,MATCH(A8,IF('BalSht Data'!A$761=AI$1,'BalSht Data'!G$761:G$2999),0)),"")</f>
        <v/>
      </c>
      <c r="AJ8" s="14" t="str">
        <f>IFERROR(INDEX('BalSht Data'!H$784:H$2999,MATCH(A8,IF('BalSht Data'!A$784=AJ$1,'BalSht Data'!G$784:G$2999),0)),"")</f>
        <v/>
      </c>
      <c r="AK8" s="14" t="str">
        <f>IFERROR(INDEX('BalSht Data'!H$807:H$2999,MATCH(A8,IF('BalSht Data'!A$807=AK$1,'BalSht Data'!G$807:G$2999),0)),"")</f>
        <v/>
      </c>
      <c r="AL8" s="14" t="str">
        <f>IFERROR(INDEX('BalSht Data'!H$830:H$2999,MATCH(A8,IF('BalSht Data'!A$830=AL$1,'BalSht Data'!G$830:G$2999),0)),"")</f>
        <v/>
      </c>
      <c r="AM8" s="14" t="str">
        <f>IFERROR(INDEX('BalSht Data'!H$853:H$2999,MATCH(A8,IF('BalSht Data'!A$853=AM$1,'BalSht Data'!G$853:G$2999),0)),"")</f>
        <v/>
      </c>
      <c r="AN8" s="14" t="str">
        <f>IFERROR(INDEX('BalSht Data'!H$876:H$2999,MATCH(A8,IF('BalSht Data'!A$876=AN$1,'BalSht Data'!G$876:G$2999),0)),"")</f>
        <v/>
      </c>
      <c r="AO8" s="14" t="str">
        <f>IFERROR(INDEX('BalSht Data'!H$899:H$2999,MATCH(A8,IF('BalSht Data'!A$899=AO$1,'BalSht Data'!G$899:G$2999),0)),"")</f>
        <v/>
      </c>
      <c r="AP8" s="14" t="str">
        <f>IFERROR(INDEX('BalSht Data'!H$922:H$2999,MATCH(A8,IF('BalSht Data'!A$922=AP$1,'BalSht Data'!G$922:G$2999),0)),"")</f>
        <v/>
      </c>
      <c r="AQ8" s="14" t="str">
        <f>IFERROR(INDEX('BalSht Data'!H$945:H$2999,MATCH(A8,IF('BalSht Data'!A$945=AQ$1,'BalSht Data'!G$945:G$2999),0)),"")</f>
        <v/>
      </c>
      <c r="AR8" s="14" t="str">
        <f>IFERROR(INDEX('BalSht Data'!H$968:H$2999,MATCH(A8,IF('BalSht Data'!A$968=AR$1,'BalSht Data'!G$968:G$2999),0)),"")</f>
        <v/>
      </c>
      <c r="AS8" s="14" t="str">
        <f>IFERROR(INDEX('BalSht Data'!H$991:H$2999,MATCH(A8,IF('BalSht Data'!A$991=AS$1,'BalSht Data'!G$991:G$2999),0)),"")</f>
        <v/>
      </c>
      <c r="AT8" s="14" t="str">
        <f>IFERROR(INDEX('BalSht Data'!H$1014:H$2999,MATCH(A8,IF('BalSht Data'!A$1014=AT$1,'BalSht Data'!G$1014:G$2999),0)),"")</f>
        <v/>
      </c>
      <c r="AU8" s="14" t="str">
        <f>IFERROR(INDEX('BalSht Data'!H$1037:H$2999,MATCH(A8,IF('BalSht Data'!A$1037=AU$1,'BalSht Data'!G$1037:G$2999),0)),"")</f>
        <v/>
      </c>
      <c r="AV8" s="14" t="str">
        <f>IFERROR(INDEX('BalSht Data'!H$1060:H$2999,MATCH(A8,IF('BalSht Data'!A$1060=AV$1,'BalSht Data'!G$1060:G$2999),0)),"")</f>
        <v/>
      </c>
      <c r="AW8" s="14" t="str">
        <f>IFERROR(INDEX('BalSht Data'!H$1083:H$2999,MATCH(A8,IF('BalSht Data'!A$1083=AW$1,'BalSht Data'!G$1083:G$2999),0)),"")</f>
        <v/>
      </c>
      <c r="AX8" s="14" t="str">
        <f>IFERROR(INDEX('BalSht Data'!H$1106:H$2999,MATCH(A8,IF('BalSht Data'!A$1106=AX$1,'BalSht Data'!G$1106:G$2999),0)),"")</f>
        <v/>
      </c>
      <c r="AY8" s="14" t="str">
        <f>IFERROR(INDEX('BalSht Data'!H$1129:H$2999,MATCH(A8,IF('BalSht Data'!A$1129=AY$1,'BalSht Data'!G$1129:G$2999),0)),"")</f>
        <v/>
      </c>
      <c r="AZ8" s="14" t="str">
        <f>IFERROR(INDEX('BalSht Data'!H$1152:H$2999,MATCH(A8,IF('BalSht Data'!A$1152=AZ$1,'BalSht Data'!G$1152:G$2999),0)),"")</f>
        <v/>
      </c>
      <c r="BA8" s="14" t="str">
        <f>IFERROR(INDEX('BalSht Data'!H$1175:H$2999,MATCH(A8,IF('BalSht Data'!A$1175=BA$1,'BalSht Data'!G$1175:G$2999),0)),"")</f>
        <v/>
      </c>
      <c r="BB8" s="14" t="str">
        <f>IFERROR(INDEX('BalSht Data'!H$1198:H$2999,MATCH(A8,IF('BalSht Data'!A$1198=BB$1,'BalSht Data'!G$1198:G$2999),0)),"")</f>
        <v/>
      </c>
      <c r="BC8" s="14" t="str">
        <f>IFERROR(INDEX('BalSht Data'!H$1221:H$2999,MATCH(A8,IF('BalSht Data'!A$1221=BC$1,'BalSht Data'!G$1221:G$2999),0)),"")</f>
        <v/>
      </c>
      <c r="BD8" s="14" t="str">
        <f>IFERROR(INDEX('BalSht Data'!H$1244:H$2999,MATCH(A8,IF('BalSht Data'!A$1244=BD$1,'BalSht Data'!G$1244:G$2999),0)),"")</f>
        <v/>
      </c>
      <c r="BE8" s="14" t="str">
        <f>IFERROR(INDEX('BalSht Data'!H$1267:H$2999,MATCH(A8,IF('BalSht Data'!A$1267=BE$1,'BalSht Data'!G$1267:G$2999),0)),"")</f>
        <v/>
      </c>
      <c r="BF8" s="14"/>
    </row>
    <row r="9" spans="1:104" x14ac:dyDescent="0.2">
      <c r="A9" s="5" t="s">
        <v>16</v>
      </c>
      <c r="B9" s="14" t="str">
        <f>IFERROR(INDEX('BalSht Data'!H$2:H$2999,MATCH(A9,IF('BalSht Data'!A$2=B$1,'BalSht Data'!G$2:G$2999),0)),"")</f>
        <v/>
      </c>
      <c r="C9" s="14">
        <f>IFERROR(INDEX('BalSht Data'!H$25:H$2999,MATCH(A9,IF('BalSht Data'!A$25=C$1,'BalSht Data'!G$2:G$2999),0)),"")</f>
        <v>999</v>
      </c>
      <c r="D9" s="14">
        <f>IFERROR(INDEX('BalSht Data'!H$48:H$2999,MATCH(A9,IF('BalSht Data'!A$48=D$1,'BalSht Data'!G$48:G$2999),0)),"")</f>
        <v>7878787</v>
      </c>
      <c r="E9" s="14">
        <f>IFERROR(INDEX('BalSht Data'!H$71:H$2999,MATCH(A9,IF('BalSht Data'!A$71=E$1,'BalSht Data'!G$71:G$2999),0)),"")</f>
        <v>36333</v>
      </c>
      <c r="F9" s="14">
        <f>IFERROR(INDEX('BalSht Data'!H$94:H$2999,MATCH(A9,IF('BalSht Data'!A$94=F$1,'BalSht Data'!G$94:G$2999),0)),"")</f>
        <v>88888</v>
      </c>
      <c r="G9" s="14">
        <f>IFERROR(INDEX('BalSht Data'!H$117:H$2999,MATCH(A9,IF('BalSht Data'!A$117=G$1,'BalSht Data'!G$117:G$2999),0)),"")</f>
        <v>22222</v>
      </c>
      <c r="H9" s="14">
        <f>IFERROR(INDEX('BalSht Data'!H$140:H$2999,MATCH(A9,IF('BalSht Data'!A$140=H$1,'BalSht Data'!G$140:G$2999),0)),"")</f>
        <v>22222</v>
      </c>
      <c r="I9" s="14">
        <f>IFERROR(INDEX('BalSht Data'!H$163:H$2999,MATCH(A9,IF('BalSht Data'!A$163=I$1,'BalSht Data'!G$163:G$2999),0)),"")</f>
        <v>22222</v>
      </c>
      <c r="J9" s="14" t="str">
        <f>IFERROR(INDEX('BalSht Data'!H$186:H$2999,MATCH(A9,IF('BalSht Data'!A$186=J$1,'BalSht Data'!G$186:G$2999),0)),"")</f>
        <v/>
      </c>
      <c r="K9" s="14" t="str">
        <f>IFERROR(INDEX('BalSht Data'!H$209:H$2999,MATCH(A9,IF('BalSht Data'!A$209=K$1,'BalSht Data'!G$209:G$2999),0)),"")</f>
        <v/>
      </c>
      <c r="L9" s="14" t="str">
        <f>IFERROR(INDEX('BalSht Data'!H$232:H$2999,MATCH(A9,IF('BalSht Data'!A$232=L$1,'BalSht Data'!G$232:G$2999),0)),"")</f>
        <v/>
      </c>
      <c r="M9" s="14" t="str">
        <f>IFERROR(INDEX('BalSht Data'!H$255:H$2999,MATCH(A9,IF('BalSht Data'!A$255=M$1,'BalSht Data'!G$255:G$2999),0)),"")</f>
        <v/>
      </c>
      <c r="N9" s="14" t="str">
        <f>IFERROR(INDEX('BalSht Data'!H$278:H$2999,MATCH(A9,IF('BalSht Data'!A$278=N$1,'BalSht Data'!G$278:G$2999),0)),"")</f>
        <v/>
      </c>
      <c r="O9" s="14" t="str">
        <f>IFERROR(INDEX('BalSht Data'!H$301:H$2999,MATCH(A9,IF('BalSht Data'!A$301=O$1,'BalSht Data'!G$301:G$2999),0)),"")</f>
        <v/>
      </c>
      <c r="P9" s="14" t="str">
        <f>IFERROR(INDEX('BalSht Data'!H$324:H$2999,MATCH(A9,IF('BalSht Data'!A$324=P$1,'BalSht Data'!G$324:G$2999),0)),"")</f>
        <v/>
      </c>
      <c r="Q9" s="14" t="str">
        <f>IFERROR(INDEX('BalSht Data'!H$347:H$2999,MATCH(A9,IF('BalSht Data'!A$347=Q$1,'BalSht Data'!G$347:G$2999),0)),"")</f>
        <v/>
      </c>
      <c r="R9" s="14" t="str">
        <f>IFERROR(INDEX('BalSht Data'!H$370:H$2999,MATCH(A9,IF('BalSht Data'!A$370=R$1,'BalSht Data'!G$370:G$2999),0)),"")</f>
        <v/>
      </c>
      <c r="S9" s="14" t="str">
        <f>IFERROR(INDEX('BalSht Data'!H$393:H$2999,MATCH(A9,IF('BalSht Data'!A$393=S$1,'BalSht Data'!G$393:G$2999),0)),"")</f>
        <v/>
      </c>
      <c r="T9" s="14" t="str">
        <f>IFERROR(INDEX('BalSht Data'!H$416:H$2999,MATCH(A9,IF('BalSht Data'!A$416=T$1,'BalSht Data'!G$416:G$2999),0)),"")</f>
        <v/>
      </c>
      <c r="U9" s="14" t="str">
        <f>IFERROR(INDEX('BalSht Data'!H$439:H$2999,MATCH(A9,IF('BalSht Data'!A$439=U$1,'BalSht Data'!G$439:G$2999),0)),"")</f>
        <v/>
      </c>
      <c r="V9" s="14" t="str">
        <f>IFERROR(INDEX('BalSht Data'!H$462:H$2999,MATCH(A9,IF('BalSht Data'!A$462=V$1,'BalSht Data'!G$462:G$2999),0)),"")</f>
        <v/>
      </c>
      <c r="W9" s="14" t="str">
        <f>IFERROR(INDEX('BalSht Data'!H$485:H$2999,MATCH(A9,IF('BalSht Data'!A$485=W$1,'BalSht Data'!G$485:G$2999),0)),"")</f>
        <v/>
      </c>
      <c r="X9" s="14" t="str">
        <f>IFERROR(INDEX('BalSht Data'!H$508:H$2999,MATCH(A9,IF('BalSht Data'!A$508=X$1,'BalSht Data'!G$508:G$2999),0)),"")</f>
        <v/>
      </c>
      <c r="Y9" s="14" t="str">
        <f>IFERROR(INDEX('BalSht Data'!H$531:H$2999,MATCH(A9,IF('BalSht Data'!A$531=Y$1,'BalSht Data'!G$531:G$2999),0)),"")</f>
        <v/>
      </c>
      <c r="Z9" s="14" t="str">
        <f>IFERROR(INDEX('BalSht Data'!H$554:H$2999,MATCH(A9,IF('BalSht Data'!A$554=Z$1,'BalSht Data'!G$554:G$2999),0)),"")</f>
        <v/>
      </c>
      <c r="AA9" s="14" t="str">
        <f>IFERROR(INDEX('BalSht Data'!H$577:H$2999,MATCH(A9,IF('BalSht Data'!A$577=AA$1,'BalSht Data'!G$577:G$2999),0)),"")</f>
        <v/>
      </c>
      <c r="AB9" s="14" t="str">
        <f>IFERROR(INDEX('BalSht Data'!H$600:H$2999,MATCH(A9,IF('BalSht Data'!A$600=AB$1,'BalSht Data'!G$600:G$2999),0)),"")</f>
        <v/>
      </c>
      <c r="AC9" s="14" t="str">
        <f>IFERROR(INDEX('BalSht Data'!H$623:H$2999,MATCH(A9,IF('BalSht Data'!A$623=AC$1,'BalSht Data'!G$623:G$2999),0)),"")</f>
        <v/>
      </c>
      <c r="AD9" s="14" t="str">
        <f>IFERROR(INDEX('BalSht Data'!H$646:H$2999,MATCH(A9,IF('BalSht Data'!A$646=AD$1,'BalSht Data'!G$646:G$2999),0)),"")</f>
        <v/>
      </c>
      <c r="AE9" s="14" t="str">
        <f>IFERROR(INDEX('BalSht Data'!H$669:H$2999,MATCH(A9,IF('BalSht Data'!A$669=AE$1,'BalSht Data'!G$669:G$2999),0)),"")</f>
        <v/>
      </c>
      <c r="AF9" s="14" t="str">
        <f>IFERROR(INDEX('BalSht Data'!H$692:H$2999,MATCH(A9,IF('BalSht Data'!A$692=AF$1,'BalSht Data'!G$692:G$2999),0)),"")</f>
        <v/>
      </c>
      <c r="AG9" s="14" t="str">
        <f>IFERROR(INDEX('BalSht Data'!H$715:H$2999,MATCH(A9,IF('BalSht Data'!A$715=AG$1,'BalSht Data'!G$715:G$2999),0)),"")</f>
        <v/>
      </c>
      <c r="AH9" s="14" t="str">
        <f>IFERROR(INDEX('BalSht Data'!H$738:H$2999,MATCH(A9,IF('BalSht Data'!A$738=AH$1,'BalSht Data'!G$738:G$2999),0)),"")</f>
        <v/>
      </c>
      <c r="AI9" s="14" t="str">
        <f>IFERROR(INDEX('BalSht Data'!H$761:H$2999,MATCH(A9,IF('BalSht Data'!A$761=AI$1,'BalSht Data'!G$761:G$2999),0)),"")</f>
        <v/>
      </c>
      <c r="AJ9" s="14" t="str">
        <f>IFERROR(INDEX('BalSht Data'!H$784:H$2999,MATCH(A9,IF('BalSht Data'!A$784=AJ$1,'BalSht Data'!G$784:G$2999),0)),"")</f>
        <v/>
      </c>
      <c r="AK9" s="14" t="str">
        <f>IFERROR(INDEX('BalSht Data'!H$807:H$2999,MATCH(A9,IF('BalSht Data'!A$807=AK$1,'BalSht Data'!G$807:G$2999),0)),"")</f>
        <v/>
      </c>
      <c r="AL9" s="14" t="str">
        <f>IFERROR(INDEX('BalSht Data'!H$830:H$2999,MATCH(A9,IF('BalSht Data'!A$830=AL$1,'BalSht Data'!G$830:G$2999),0)),"")</f>
        <v/>
      </c>
      <c r="AM9" s="14" t="str">
        <f>IFERROR(INDEX('BalSht Data'!H$853:H$2999,MATCH(A9,IF('BalSht Data'!A$853=AM$1,'BalSht Data'!G$853:G$2999),0)),"")</f>
        <v/>
      </c>
      <c r="AN9" s="14" t="str">
        <f>IFERROR(INDEX('BalSht Data'!H$876:H$2999,MATCH(A9,IF('BalSht Data'!A$876=AN$1,'BalSht Data'!G$876:G$2999),0)),"")</f>
        <v/>
      </c>
      <c r="AO9" s="14" t="str">
        <f>IFERROR(INDEX('BalSht Data'!H$899:H$2999,MATCH(A9,IF('BalSht Data'!A$899=AO$1,'BalSht Data'!G$899:G$2999),0)),"")</f>
        <v/>
      </c>
      <c r="AP9" s="14" t="str">
        <f>IFERROR(INDEX('BalSht Data'!H$922:H$2999,MATCH(A9,IF('BalSht Data'!A$922=AP$1,'BalSht Data'!G$922:G$2999),0)),"")</f>
        <v/>
      </c>
      <c r="AQ9" s="14" t="str">
        <f>IFERROR(INDEX('BalSht Data'!H$945:H$2999,MATCH(A9,IF('BalSht Data'!A$945=AQ$1,'BalSht Data'!G$945:G$2999),0)),"")</f>
        <v/>
      </c>
      <c r="AR9" s="14" t="str">
        <f>IFERROR(INDEX('BalSht Data'!H$968:H$2999,MATCH(A9,IF('BalSht Data'!A$968=AR$1,'BalSht Data'!G$968:G$2999),0)),"")</f>
        <v/>
      </c>
      <c r="AS9" s="14" t="str">
        <f>IFERROR(INDEX('BalSht Data'!H$991:H$2999,MATCH(A9,IF('BalSht Data'!A$991=AS$1,'BalSht Data'!G$991:G$2999),0)),"")</f>
        <v/>
      </c>
      <c r="AT9" s="14" t="str">
        <f>IFERROR(INDEX('BalSht Data'!H$1014:H$2999,MATCH(A9,IF('BalSht Data'!A$1014=AT$1,'BalSht Data'!G$1014:G$2999),0)),"")</f>
        <v/>
      </c>
      <c r="AU9" s="14" t="str">
        <f>IFERROR(INDEX('BalSht Data'!H$1037:H$2999,MATCH(A9,IF('BalSht Data'!A$1037=AU$1,'BalSht Data'!G$1037:G$2999),0)),"")</f>
        <v/>
      </c>
      <c r="AV9" s="14" t="str">
        <f>IFERROR(INDEX('BalSht Data'!H$1060:H$2999,MATCH(A9,IF('BalSht Data'!A$1060=AV$1,'BalSht Data'!G$1060:G$2999),0)),"")</f>
        <v/>
      </c>
      <c r="AW9" s="14" t="str">
        <f>IFERROR(INDEX('BalSht Data'!H$1083:H$2999,MATCH(A9,IF('BalSht Data'!A$1083=AW$1,'BalSht Data'!G$1083:G$2999),0)),"")</f>
        <v/>
      </c>
      <c r="AX9" s="14" t="str">
        <f>IFERROR(INDEX('BalSht Data'!H$1106:H$2999,MATCH(A9,IF('BalSht Data'!A$1106=AX$1,'BalSht Data'!G$1106:G$2999),0)),"")</f>
        <v/>
      </c>
      <c r="AY9" s="14" t="str">
        <f>IFERROR(INDEX('BalSht Data'!H$1129:H$2999,MATCH(A9,IF('BalSht Data'!A$1129=AY$1,'BalSht Data'!G$1129:G$2999),0)),"")</f>
        <v/>
      </c>
      <c r="AZ9" s="14" t="str">
        <f>IFERROR(INDEX('BalSht Data'!H$1152:H$2999,MATCH(A9,IF('BalSht Data'!A$1152=AZ$1,'BalSht Data'!G$1152:G$2999),0)),"")</f>
        <v/>
      </c>
      <c r="BA9" s="14" t="str">
        <f>IFERROR(INDEX('BalSht Data'!H$1175:H$2999,MATCH(A9,IF('BalSht Data'!A$1175=BA$1,'BalSht Data'!G$1175:G$2999),0)),"")</f>
        <v/>
      </c>
      <c r="BB9" s="14" t="str">
        <f>IFERROR(INDEX('BalSht Data'!H$1198:H$2999,MATCH(A9,IF('BalSht Data'!A$1198=BB$1,'BalSht Data'!G$1198:G$2999),0)),"")</f>
        <v/>
      </c>
      <c r="BC9" s="14" t="str">
        <f>IFERROR(INDEX('BalSht Data'!H$1221:H$2999,MATCH(A9,IF('BalSht Data'!A$1221=BC$1,'BalSht Data'!G$1221:G$2999),0)),"")</f>
        <v/>
      </c>
      <c r="BD9" s="14" t="str">
        <f>IFERROR(INDEX('BalSht Data'!H$1244:H$2999,MATCH(A9,IF('BalSht Data'!A$1244=BD$1,'BalSht Data'!G$1244:G$2999),0)),"")</f>
        <v/>
      </c>
      <c r="BE9" s="14" t="str">
        <f>IFERROR(INDEX('BalSht Data'!H$1267:H$2999,MATCH(A9,IF('BalSht Data'!A$1267=BE$1,'BalSht Data'!G$1267:G$2999),0)),"")</f>
        <v/>
      </c>
      <c r="BF9" s="14"/>
    </row>
    <row r="10" spans="1:104" x14ac:dyDescent="0.2">
      <c r="A10" s="5" t="s">
        <v>17</v>
      </c>
      <c r="B10" s="14" t="str">
        <f>IFERROR(INDEX('BalSht Data'!H$2:H$2999,MATCH(A10,IF('BalSht Data'!A$2=B$1,'BalSht Data'!G$2:G$2999),0)),"")</f>
        <v/>
      </c>
      <c r="C10" s="14">
        <f>IFERROR(INDEX('BalSht Data'!H$25:H$2999,MATCH(A10,IF('BalSht Data'!A$25=C$1,'BalSht Data'!G$2:G$2999),0)),"")</f>
        <v>999</v>
      </c>
      <c r="D10" s="14">
        <f>IFERROR(INDEX('BalSht Data'!H$48:H$2999,MATCH(A10,IF('BalSht Data'!A$48=D$1,'BalSht Data'!G$48:G$2999),0)),"")</f>
        <v>7878787</v>
      </c>
      <c r="E10" s="14">
        <f>IFERROR(INDEX('BalSht Data'!H$71:H$2999,MATCH(A10,IF('BalSht Data'!A$71=E$1,'BalSht Data'!G$71:G$2999),0)),"")</f>
        <v>36333</v>
      </c>
      <c r="F10" s="14">
        <f>IFERROR(INDEX('BalSht Data'!H$94:H$2999,MATCH(A10,IF('BalSht Data'!A$94=F$1,'BalSht Data'!G$94:G$2999),0)),"")</f>
        <v>88888</v>
      </c>
      <c r="G10" s="14">
        <f>IFERROR(INDEX('BalSht Data'!H$117:H$2999,MATCH(A10,IF('BalSht Data'!A$117=G$1,'BalSht Data'!G$117:G$2999),0)),"")</f>
        <v>22222</v>
      </c>
      <c r="H10" s="14">
        <f>IFERROR(INDEX('BalSht Data'!H$140:H$2999,MATCH(A10,IF('BalSht Data'!A$140=H$1,'BalSht Data'!G$140:G$2999),0)),"")</f>
        <v>22222</v>
      </c>
      <c r="I10" s="14">
        <f>IFERROR(INDEX('BalSht Data'!H$163:H$2999,MATCH(A10,IF('BalSht Data'!A$163=I$1,'BalSht Data'!G$163:G$2999),0)),"")</f>
        <v>22222</v>
      </c>
      <c r="J10" s="14" t="str">
        <f>IFERROR(INDEX('BalSht Data'!H$186:H$2999,MATCH(A10,IF('BalSht Data'!A$186=J$1,'BalSht Data'!G$186:G$2999),0)),"")</f>
        <v/>
      </c>
      <c r="K10" s="14" t="str">
        <f>IFERROR(INDEX('BalSht Data'!H$209:H$2999,MATCH(A10,IF('BalSht Data'!A$209=K$1,'BalSht Data'!G$209:G$2999),0)),"")</f>
        <v/>
      </c>
      <c r="L10" s="14" t="str">
        <f>IFERROR(INDEX('BalSht Data'!H$232:H$2999,MATCH(A10,IF('BalSht Data'!A$232=L$1,'BalSht Data'!G$232:G$2999),0)),"")</f>
        <v/>
      </c>
      <c r="M10" s="14" t="str">
        <f>IFERROR(INDEX('BalSht Data'!H$255:H$2999,MATCH(A10,IF('BalSht Data'!A$255=M$1,'BalSht Data'!G$255:G$2999),0)),"")</f>
        <v/>
      </c>
      <c r="N10" s="14" t="str">
        <f>IFERROR(INDEX('BalSht Data'!H$278:H$2999,MATCH(A10,IF('BalSht Data'!A$278=N$1,'BalSht Data'!G$278:G$2999),0)),"")</f>
        <v/>
      </c>
      <c r="O10" s="14" t="str">
        <f>IFERROR(INDEX('BalSht Data'!H$301:H$2999,MATCH(A10,IF('BalSht Data'!A$301=O$1,'BalSht Data'!G$301:G$2999),0)),"")</f>
        <v/>
      </c>
      <c r="P10" s="14" t="str">
        <f>IFERROR(INDEX('BalSht Data'!H$324:H$2999,MATCH(A10,IF('BalSht Data'!A$324=P$1,'BalSht Data'!G$324:G$2999),0)),"")</f>
        <v/>
      </c>
      <c r="Q10" s="14" t="str">
        <f>IFERROR(INDEX('BalSht Data'!H$347:H$2999,MATCH(A10,IF('BalSht Data'!A$347=Q$1,'BalSht Data'!G$347:G$2999),0)),"")</f>
        <v/>
      </c>
      <c r="R10" s="14" t="str">
        <f>IFERROR(INDEX('BalSht Data'!H$370:H$2999,MATCH(A10,IF('BalSht Data'!A$370=R$1,'BalSht Data'!G$370:G$2999),0)),"")</f>
        <v/>
      </c>
      <c r="S10" s="14" t="str">
        <f>IFERROR(INDEX('BalSht Data'!H$393:H$2999,MATCH(A10,IF('BalSht Data'!A$393=S$1,'BalSht Data'!G$393:G$2999),0)),"")</f>
        <v/>
      </c>
      <c r="T10" s="14" t="str">
        <f>IFERROR(INDEX('BalSht Data'!H$416:H$2999,MATCH(A10,IF('BalSht Data'!A$416=T$1,'BalSht Data'!G$416:G$2999),0)),"")</f>
        <v/>
      </c>
      <c r="U10" s="14" t="str">
        <f>IFERROR(INDEX('BalSht Data'!H$439:H$2999,MATCH(A10,IF('BalSht Data'!A$439=U$1,'BalSht Data'!G$439:G$2999),0)),"")</f>
        <v/>
      </c>
      <c r="V10" s="14" t="str">
        <f>IFERROR(INDEX('BalSht Data'!H$462:H$2999,MATCH(A10,IF('BalSht Data'!A$462=V$1,'BalSht Data'!G$462:G$2999),0)),"")</f>
        <v/>
      </c>
      <c r="W10" s="14" t="str">
        <f>IFERROR(INDEX('BalSht Data'!H$485:H$2999,MATCH(A10,IF('BalSht Data'!A$485=W$1,'BalSht Data'!G$485:G$2999),0)),"")</f>
        <v/>
      </c>
      <c r="X10" s="14" t="str">
        <f>IFERROR(INDEX('BalSht Data'!H$508:H$2999,MATCH(A10,IF('BalSht Data'!A$508=X$1,'BalSht Data'!G$508:G$2999),0)),"")</f>
        <v/>
      </c>
      <c r="Y10" s="14" t="str">
        <f>IFERROR(INDEX('BalSht Data'!H$531:H$2999,MATCH(A10,IF('BalSht Data'!A$531=Y$1,'BalSht Data'!G$531:G$2999),0)),"")</f>
        <v/>
      </c>
      <c r="Z10" s="14" t="str">
        <f>IFERROR(INDEX('BalSht Data'!H$554:H$2999,MATCH(A10,IF('BalSht Data'!A$554=Z$1,'BalSht Data'!G$554:G$2999),0)),"")</f>
        <v/>
      </c>
      <c r="AA10" s="14" t="str">
        <f>IFERROR(INDEX('BalSht Data'!H$577:H$2999,MATCH(A10,IF('BalSht Data'!A$577=AA$1,'BalSht Data'!G$577:G$2999),0)),"")</f>
        <v/>
      </c>
      <c r="AB10" s="14" t="str">
        <f>IFERROR(INDEX('BalSht Data'!H$600:H$2999,MATCH(A10,IF('BalSht Data'!A$600=AB$1,'BalSht Data'!G$600:G$2999),0)),"")</f>
        <v/>
      </c>
      <c r="AC10" s="14" t="str">
        <f>IFERROR(INDEX('BalSht Data'!H$623:H$2999,MATCH(A10,IF('BalSht Data'!A$623=AC$1,'BalSht Data'!G$623:G$2999),0)),"")</f>
        <v/>
      </c>
      <c r="AD10" s="14" t="str">
        <f>IFERROR(INDEX('BalSht Data'!H$646:H$2999,MATCH(A10,IF('BalSht Data'!A$646=AD$1,'BalSht Data'!G$646:G$2999),0)),"")</f>
        <v/>
      </c>
      <c r="AE10" s="14" t="str">
        <f>IFERROR(INDEX('BalSht Data'!H$669:H$2999,MATCH(A10,IF('BalSht Data'!A$669=AE$1,'BalSht Data'!G$669:G$2999),0)),"")</f>
        <v/>
      </c>
      <c r="AF10" s="14" t="str">
        <f>IFERROR(INDEX('BalSht Data'!H$692:H$2999,MATCH(A10,IF('BalSht Data'!A$692=AF$1,'BalSht Data'!G$692:G$2999),0)),"")</f>
        <v/>
      </c>
      <c r="AG10" s="14" t="str">
        <f>IFERROR(INDEX('BalSht Data'!H$715:H$2999,MATCH(A10,IF('BalSht Data'!A$715=AG$1,'BalSht Data'!G$715:G$2999),0)),"")</f>
        <v/>
      </c>
      <c r="AH10" s="14" t="str">
        <f>IFERROR(INDEX('BalSht Data'!H$738:H$2999,MATCH(A10,IF('BalSht Data'!A$738=AH$1,'BalSht Data'!G$738:G$2999),0)),"")</f>
        <v/>
      </c>
      <c r="AI10" s="14" t="str">
        <f>IFERROR(INDEX('BalSht Data'!H$761:H$2999,MATCH(A10,IF('BalSht Data'!A$761=AI$1,'BalSht Data'!G$761:G$2999),0)),"")</f>
        <v/>
      </c>
      <c r="AJ10" s="14" t="str">
        <f>IFERROR(INDEX('BalSht Data'!H$784:H$2999,MATCH(A10,IF('BalSht Data'!A$784=AJ$1,'BalSht Data'!G$784:G$2999),0)),"")</f>
        <v/>
      </c>
      <c r="AK10" s="14" t="str">
        <f>IFERROR(INDEX('BalSht Data'!H$807:H$2999,MATCH(A10,IF('BalSht Data'!A$807=AK$1,'BalSht Data'!G$807:G$2999),0)),"")</f>
        <v/>
      </c>
      <c r="AL10" s="14" t="str">
        <f>IFERROR(INDEX('BalSht Data'!H$830:H$2999,MATCH(A10,IF('BalSht Data'!A$830=AL$1,'BalSht Data'!G$830:G$2999),0)),"")</f>
        <v/>
      </c>
      <c r="AM10" s="14" t="str">
        <f>IFERROR(INDEX('BalSht Data'!H$853:H$2999,MATCH(A10,IF('BalSht Data'!A$853=AM$1,'BalSht Data'!G$853:G$2999),0)),"")</f>
        <v/>
      </c>
      <c r="AN10" s="14" t="str">
        <f>IFERROR(INDEX('BalSht Data'!H$876:H$2999,MATCH(A10,IF('BalSht Data'!A$876=AN$1,'BalSht Data'!G$876:G$2999),0)),"")</f>
        <v/>
      </c>
      <c r="AO10" s="14" t="str">
        <f>IFERROR(INDEX('BalSht Data'!H$899:H$2999,MATCH(A10,IF('BalSht Data'!A$899=AO$1,'BalSht Data'!G$899:G$2999),0)),"")</f>
        <v/>
      </c>
      <c r="AP10" s="14" t="str">
        <f>IFERROR(INDEX('BalSht Data'!H$922:H$2999,MATCH(A10,IF('BalSht Data'!A$922=AP$1,'BalSht Data'!G$922:G$2999),0)),"")</f>
        <v/>
      </c>
      <c r="AQ10" s="14" t="str">
        <f>IFERROR(INDEX('BalSht Data'!H$945:H$2999,MATCH(A10,IF('BalSht Data'!A$945=AQ$1,'BalSht Data'!G$945:G$2999),0)),"")</f>
        <v/>
      </c>
      <c r="AR10" s="14" t="str">
        <f>IFERROR(INDEX('BalSht Data'!H$968:H$2999,MATCH(A10,IF('BalSht Data'!A$968=AR$1,'BalSht Data'!G$968:G$2999),0)),"")</f>
        <v/>
      </c>
      <c r="AS10" s="14" t="str">
        <f>IFERROR(INDEX('BalSht Data'!H$991:H$2999,MATCH(A10,IF('BalSht Data'!A$991=AS$1,'BalSht Data'!G$991:G$2999),0)),"")</f>
        <v/>
      </c>
      <c r="AT10" s="14" t="str">
        <f>IFERROR(INDEX('BalSht Data'!H$1014:H$2999,MATCH(A10,IF('BalSht Data'!A$1014=AT$1,'BalSht Data'!G$1014:G$2999),0)),"")</f>
        <v/>
      </c>
      <c r="AU10" s="14" t="str">
        <f>IFERROR(INDEX('BalSht Data'!H$1037:H$2999,MATCH(A10,IF('BalSht Data'!A$1037=AU$1,'BalSht Data'!G$1037:G$2999),0)),"")</f>
        <v/>
      </c>
      <c r="AV10" s="14" t="str">
        <f>IFERROR(INDEX('BalSht Data'!H$1060:H$2999,MATCH(A10,IF('BalSht Data'!A$1060=AV$1,'BalSht Data'!G$1060:G$2999),0)),"")</f>
        <v/>
      </c>
      <c r="AW10" s="14" t="str">
        <f>IFERROR(INDEX('BalSht Data'!H$1083:H$2999,MATCH(A10,IF('BalSht Data'!A$1083=AW$1,'BalSht Data'!G$1083:G$2999),0)),"")</f>
        <v/>
      </c>
      <c r="AX10" s="14" t="str">
        <f>IFERROR(INDEX('BalSht Data'!H$1106:H$2999,MATCH(A10,IF('BalSht Data'!A$1106=AX$1,'BalSht Data'!G$1106:G$2999),0)),"")</f>
        <v/>
      </c>
      <c r="AY10" s="14" t="str">
        <f>IFERROR(INDEX('BalSht Data'!H$1129:H$2999,MATCH(A10,IF('BalSht Data'!A$1129=AY$1,'BalSht Data'!G$1129:G$2999),0)),"")</f>
        <v/>
      </c>
      <c r="AZ10" s="14" t="str">
        <f>IFERROR(INDEX('BalSht Data'!H$1152:H$2999,MATCH(A10,IF('BalSht Data'!A$1152=AZ$1,'BalSht Data'!G$1152:G$2999),0)),"")</f>
        <v/>
      </c>
      <c r="BA10" s="14" t="str">
        <f>IFERROR(INDEX('BalSht Data'!H$1175:H$2999,MATCH(A10,IF('BalSht Data'!A$1175=BA$1,'BalSht Data'!G$1175:G$2999),0)),"")</f>
        <v/>
      </c>
      <c r="BB10" s="14" t="str">
        <f>IFERROR(INDEX('BalSht Data'!H$1198:H$2999,MATCH(A10,IF('BalSht Data'!A$1198=BB$1,'BalSht Data'!G$1198:G$2999),0)),"")</f>
        <v/>
      </c>
      <c r="BC10" s="14" t="str">
        <f>IFERROR(INDEX('BalSht Data'!H$1221:H$2999,MATCH(A10,IF('BalSht Data'!A$1221=BC$1,'BalSht Data'!G$1221:G$2999),0)),"")</f>
        <v/>
      </c>
      <c r="BD10" s="14" t="str">
        <f>IFERROR(INDEX('BalSht Data'!H$1244:H$2999,MATCH(A10,IF('BalSht Data'!A$1244=BD$1,'BalSht Data'!G$1244:G$2999),0)),"")</f>
        <v/>
      </c>
      <c r="BE10" s="14" t="str">
        <f>IFERROR(INDEX('BalSht Data'!H$1267:H$2999,MATCH(A10,IF('BalSht Data'!A$1267=BE$1,'BalSht Data'!G$1267:G$2999),0)),"")</f>
        <v/>
      </c>
      <c r="BF10" s="14"/>
    </row>
    <row r="11" spans="1:104" x14ac:dyDescent="0.2">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row>
    <row r="12" spans="1:104" x14ac:dyDescent="0.2">
      <c r="A12" s="4" t="s">
        <v>19</v>
      </c>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row>
    <row r="13" spans="1:104" x14ac:dyDescent="0.2">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row>
    <row r="14" spans="1:104" x14ac:dyDescent="0.2">
      <c r="A14" s="5" t="s">
        <v>20</v>
      </c>
      <c r="B14" s="14" t="str">
        <f>IFERROR(INDEX('BalSht Data'!H$2:H$2999,MATCH(A14,IF('BalSht Data'!A$2=B$1,'BalSht Data'!G$2:G$2999),0)),"")</f>
        <v/>
      </c>
      <c r="C14" s="14">
        <f>IFERROR(INDEX('BalSht Data'!H$25:H$2999,MATCH(A14,IF('BalSht Data'!A$25=C$1,'BalSht Data'!G$2:G$2999),0)),"")</f>
        <v>999</v>
      </c>
      <c r="D14" s="14">
        <f>IFERROR(INDEX('BalSht Data'!H$48:H$2999,MATCH(A14,IF('BalSht Data'!A$48=D$1,'BalSht Data'!G$48:G$2999),0)),"")</f>
        <v>7878787</v>
      </c>
      <c r="E14" s="14">
        <f>IFERROR(INDEX('BalSht Data'!H$71:H$2999,MATCH(A14,IF('BalSht Data'!A$71=E$1,'BalSht Data'!G$71:G$2999),0)),"")</f>
        <v>36333</v>
      </c>
      <c r="F14" s="14">
        <f>IFERROR(INDEX('BalSht Data'!H$94:H$2999,MATCH(A14,IF('BalSht Data'!A$94=F$1,'BalSht Data'!G$94:G$2999),0)),"")</f>
        <v>88888</v>
      </c>
      <c r="G14" s="14">
        <f>IFERROR(INDEX('BalSht Data'!H$117:H$2999,MATCH(A14,IF('BalSht Data'!A$117=G$1,'BalSht Data'!G$117:G$2999),0)),"")</f>
        <v>22222</v>
      </c>
      <c r="H14" s="14">
        <f>IFERROR(INDEX('BalSht Data'!H$140:H$2999,MATCH(A14,IF('BalSht Data'!A$140=H$1,'BalSht Data'!G$140:G$2999),0)),"")</f>
        <v>22222</v>
      </c>
      <c r="I14" s="14">
        <f>IFERROR(INDEX('BalSht Data'!H$163:H$2999,MATCH(A14,IF('BalSht Data'!A$163=I$1,'BalSht Data'!G$163:G$2999),0)),"")</f>
        <v>22222</v>
      </c>
      <c r="J14" s="14" t="str">
        <f>IFERROR(INDEX('BalSht Data'!H$186:H$2999,MATCH(A14,IF('BalSht Data'!A$186=J$1,'BalSht Data'!G$186:G$2999),0)),"")</f>
        <v/>
      </c>
      <c r="K14" s="14" t="str">
        <f>IFERROR(INDEX('BalSht Data'!H$209:H$2999,MATCH(A14,IF('BalSht Data'!A$209=K$1,'BalSht Data'!G$209:G$2999),0)),"")</f>
        <v/>
      </c>
      <c r="L14" s="14" t="str">
        <f>IFERROR(INDEX('BalSht Data'!H$232:H$2999,MATCH(A14,IF('BalSht Data'!A$232=L$1,'BalSht Data'!G$232:G$2999),0)),"")</f>
        <v/>
      </c>
      <c r="M14" s="14" t="str">
        <f>IFERROR(INDEX('BalSht Data'!H$255:H$2999,MATCH(A14,IF('BalSht Data'!A$255=M$1,'BalSht Data'!G$255:G$2999),0)),"")</f>
        <v/>
      </c>
      <c r="N14" s="14" t="str">
        <f>IFERROR(INDEX('BalSht Data'!H$278:H$2999,MATCH(A14,IF('BalSht Data'!A$278=N$1,'BalSht Data'!G$278:G$2999),0)),"")</f>
        <v/>
      </c>
      <c r="O14" s="14" t="str">
        <f>IFERROR(INDEX('BalSht Data'!H$301:H$2999,MATCH(A14,IF('BalSht Data'!A$301=O$1,'BalSht Data'!G$301:G$2999),0)),"")</f>
        <v/>
      </c>
      <c r="P14" s="14" t="str">
        <f>IFERROR(INDEX('BalSht Data'!H$324:H$2999,MATCH(A14,IF('BalSht Data'!A$324=P$1,'BalSht Data'!G$324:G$2999),0)),"")</f>
        <v/>
      </c>
      <c r="Q14" s="14" t="str">
        <f>IFERROR(INDEX('BalSht Data'!H$347:H$2999,MATCH(A14,IF('BalSht Data'!A$347=Q$1,'BalSht Data'!G$347:G$2999),0)),"")</f>
        <v/>
      </c>
      <c r="R14" s="14" t="str">
        <f>IFERROR(INDEX('BalSht Data'!H$370:H$2999,MATCH(A14,IF('BalSht Data'!A$370=R$1,'BalSht Data'!G$370:G$2999),0)),"")</f>
        <v/>
      </c>
      <c r="S14" s="14" t="str">
        <f>IFERROR(INDEX('BalSht Data'!H$393:H$2999,MATCH(A14,IF('BalSht Data'!A$393=S$1,'BalSht Data'!G$393:G$2999),0)),"")</f>
        <v/>
      </c>
      <c r="T14" s="14" t="str">
        <f>IFERROR(INDEX('BalSht Data'!H$416:H$2999,MATCH(A14,IF('BalSht Data'!A$416=T$1,'BalSht Data'!G$416:G$2999),0)),"")</f>
        <v/>
      </c>
      <c r="U14" s="14" t="str">
        <f>IFERROR(INDEX('BalSht Data'!H$439:H$2999,MATCH(A14,IF('BalSht Data'!A$439=U$1,'BalSht Data'!G$439:G$2999),0)),"")</f>
        <v/>
      </c>
      <c r="V14" s="14" t="str">
        <f>IFERROR(INDEX('BalSht Data'!H$462:H$2999,MATCH(A14,IF('BalSht Data'!A$462=V$1,'BalSht Data'!G$462:G$2999),0)),"")</f>
        <v/>
      </c>
      <c r="W14" s="14" t="str">
        <f>IFERROR(INDEX('BalSht Data'!H$485:H$2999,MATCH(A14,IF('BalSht Data'!A$485=W$1,'BalSht Data'!G$485:G$2999),0)),"")</f>
        <v/>
      </c>
      <c r="X14" s="14" t="str">
        <f>IFERROR(INDEX('BalSht Data'!H$508:H$2999,MATCH(A14,IF('BalSht Data'!A$508=X$1,'BalSht Data'!G$508:G$2999),0)),"")</f>
        <v/>
      </c>
      <c r="Y14" s="14" t="str">
        <f>IFERROR(INDEX('BalSht Data'!H$531:H$2999,MATCH(A14,IF('BalSht Data'!A$531=Y$1,'BalSht Data'!G$531:G$2999),0)),"")</f>
        <v/>
      </c>
      <c r="Z14" s="14" t="str">
        <f>IFERROR(INDEX('BalSht Data'!H$554:H$2999,MATCH(A14,IF('BalSht Data'!A$554=Z$1,'BalSht Data'!G$554:G$2999),0)),"")</f>
        <v/>
      </c>
      <c r="AA14" s="14" t="str">
        <f>IFERROR(INDEX('BalSht Data'!H$577:H$2999,MATCH(A14,IF('BalSht Data'!A$577=AA$1,'BalSht Data'!G$577:G$2999),0)),"")</f>
        <v/>
      </c>
      <c r="AB14" s="14" t="str">
        <f>IFERROR(INDEX('BalSht Data'!H$600:H$2999,MATCH(A14,IF('BalSht Data'!A$600=AB$1,'BalSht Data'!G$600:G$2999),0)),"")</f>
        <v/>
      </c>
      <c r="AC14" s="14" t="str">
        <f>IFERROR(INDEX('BalSht Data'!H$623:H$2999,MATCH(A14,IF('BalSht Data'!A$623=AC$1,'BalSht Data'!G$623:G$2999),0)),"")</f>
        <v/>
      </c>
      <c r="AD14" s="14" t="str">
        <f>IFERROR(INDEX('BalSht Data'!H$646:H$2999,MATCH(A14,IF('BalSht Data'!A$646=AD$1,'BalSht Data'!G$646:G$2999),0)),"")</f>
        <v/>
      </c>
      <c r="AE14" s="14" t="str">
        <f>IFERROR(INDEX('BalSht Data'!H$669:H$2999,MATCH(A14,IF('BalSht Data'!A$669=AE$1,'BalSht Data'!G$669:G$2999),0)),"")</f>
        <v/>
      </c>
      <c r="AF14" s="14" t="str">
        <f>IFERROR(INDEX('BalSht Data'!H$692:H$2999,MATCH(A14,IF('BalSht Data'!A$692=AF$1,'BalSht Data'!G$692:G$2999),0)),"")</f>
        <v/>
      </c>
      <c r="AG14" s="14" t="str">
        <f>IFERROR(INDEX('BalSht Data'!H$715:H$2999,MATCH(A14,IF('BalSht Data'!A$715=AG$1,'BalSht Data'!G$715:G$2999),0)),"")</f>
        <v/>
      </c>
      <c r="AH14" s="14" t="str">
        <f>IFERROR(INDEX('BalSht Data'!H$738:H$2999,MATCH(A14,IF('BalSht Data'!A$738=AH$1,'BalSht Data'!G$738:G$2999),0)),"")</f>
        <v/>
      </c>
      <c r="AI14" s="14" t="str">
        <f>IFERROR(INDEX('BalSht Data'!H$761:H$2999,MATCH(A14,IF('BalSht Data'!A$761=AI$1,'BalSht Data'!G$761:G$2999),0)),"")</f>
        <v/>
      </c>
      <c r="AJ14" s="14" t="str">
        <f>IFERROR(INDEX('BalSht Data'!H$784:H$2999,MATCH(A14,IF('BalSht Data'!A$784=AJ$1,'BalSht Data'!G$784:G$2999),0)),"")</f>
        <v/>
      </c>
      <c r="AK14" s="14" t="str">
        <f>IFERROR(INDEX('BalSht Data'!H$807:H$2999,MATCH(A14,IF('BalSht Data'!A$807=AK$1,'BalSht Data'!G$807:G$2999),0)),"")</f>
        <v/>
      </c>
      <c r="AL14" s="14" t="str">
        <f>IFERROR(INDEX('BalSht Data'!H$830:H$2999,MATCH(A14,IF('BalSht Data'!A$830=AL$1,'BalSht Data'!G$830:G$2999),0)),"")</f>
        <v/>
      </c>
      <c r="AM14" s="14" t="str">
        <f>IFERROR(INDEX('BalSht Data'!H$853:H$2999,MATCH(A14,IF('BalSht Data'!A$853=AM$1,'BalSht Data'!G$853:G$2999),0)),"")</f>
        <v/>
      </c>
      <c r="AN14" s="14" t="str">
        <f>IFERROR(INDEX('BalSht Data'!H$876:H$2999,MATCH(A14,IF('BalSht Data'!A$876=AN$1,'BalSht Data'!G$876:G$2999),0)),"")</f>
        <v/>
      </c>
      <c r="AO14" s="14" t="str">
        <f>IFERROR(INDEX('BalSht Data'!H$899:H$2999,MATCH(A14,IF('BalSht Data'!A$899=AO$1,'BalSht Data'!G$899:G$2999),0)),"")</f>
        <v/>
      </c>
      <c r="AP14" s="14" t="str">
        <f>IFERROR(INDEX('BalSht Data'!H$922:H$2999,MATCH(A14,IF('BalSht Data'!A$922=AP$1,'BalSht Data'!G$922:G$2999),0)),"")</f>
        <v/>
      </c>
      <c r="AQ14" s="14" t="str">
        <f>IFERROR(INDEX('BalSht Data'!H$945:H$2999,MATCH(A14,IF('BalSht Data'!A$945=AQ$1,'BalSht Data'!G$945:G$2999),0)),"")</f>
        <v/>
      </c>
      <c r="AR14" s="14" t="str">
        <f>IFERROR(INDEX('BalSht Data'!H$968:H$2999,MATCH(A14,IF('BalSht Data'!A$968=AR$1,'BalSht Data'!G$968:G$2999),0)),"")</f>
        <v/>
      </c>
      <c r="AS14" s="14" t="str">
        <f>IFERROR(INDEX('BalSht Data'!H$991:H$2999,MATCH(A14,IF('BalSht Data'!A$991=AS$1,'BalSht Data'!G$991:G$2999),0)),"")</f>
        <v/>
      </c>
      <c r="AT14" s="14" t="str">
        <f>IFERROR(INDEX('BalSht Data'!H$1014:H$2999,MATCH(A14,IF('BalSht Data'!A$1014=AT$1,'BalSht Data'!G$1014:G$2999),0)),"")</f>
        <v/>
      </c>
      <c r="AU14" s="14" t="str">
        <f>IFERROR(INDEX('BalSht Data'!H$1037:H$2999,MATCH(A14,IF('BalSht Data'!A$1037=AU$1,'BalSht Data'!G$1037:G$2999),0)),"")</f>
        <v/>
      </c>
      <c r="AV14" s="14" t="str">
        <f>IFERROR(INDEX('BalSht Data'!H$1060:H$2999,MATCH(A14,IF('BalSht Data'!A$1060=AV$1,'BalSht Data'!G$1060:G$2999),0)),"")</f>
        <v/>
      </c>
      <c r="AW14" s="14" t="str">
        <f>IFERROR(INDEX('BalSht Data'!H$1083:H$2999,MATCH(A14,IF('BalSht Data'!A$1083=AW$1,'BalSht Data'!G$1083:G$2999),0)),"")</f>
        <v/>
      </c>
      <c r="AX14" s="14" t="str">
        <f>IFERROR(INDEX('BalSht Data'!H$1106:H$2999,MATCH(A14,IF('BalSht Data'!A$1106=AX$1,'BalSht Data'!G$1106:G$2999),0)),"")</f>
        <v/>
      </c>
      <c r="AY14" s="14" t="str">
        <f>IFERROR(INDEX('BalSht Data'!H$1129:H$2999,MATCH(A14,IF('BalSht Data'!A$1129=AY$1,'BalSht Data'!G$1129:G$2999),0)),"")</f>
        <v/>
      </c>
      <c r="AZ14" s="14" t="str">
        <f>IFERROR(INDEX('BalSht Data'!H$1152:H$2999,MATCH(A14,IF('BalSht Data'!A$1152=AZ$1,'BalSht Data'!G$1152:G$2999),0)),"")</f>
        <v/>
      </c>
      <c r="BA14" s="14" t="str">
        <f>IFERROR(INDEX('BalSht Data'!H$1175:H$2999,MATCH(A14,IF('BalSht Data'!A$1175=BA$1,'BalSht Data'!G$1175:G$2999),0)),"")</f>
        <v/>
      </c>
      <c r="BB14" s="14" t="str">
        <f>IFERROR(INDEX('BalSht Data'!H$1198:H$2999,MATCH(A14,IF('BalSht Data'!A$1198=BB$1,'BalSht Data'!G$1198:G$2999),0)),"")</f>
        <v/>
      </c>
      <c r="BC14" s="14" t="str">
        <f>IFERROR(INDEX('BalSht Data'!H$1221:H$2999,MATCH(A14,IF('BalSht Data'!A$1221=BC$1,'BalSht Data'!G$1221:G$2999),0)),"")</f>
        <v/>
      </c>
      <c r="BD14" s="14" t="str">
        <f>IFERROR(INDEX('BalSht Data'!H$1244:H$2999,MATCH(A14,IF('BalSht Data'!A$1244=BD$1,'BalSht Data'!G$1244:G$2999),0)),"")</f>
        <v/>
      </c>
      <c r="BE14" s="14" t="str">
        <f>IFERROR(INDEX('BalSht Data'!H$1267:H$2999,MATCH(A14,IF('BalSht Data'!A$1267=BE$1,'BalSht Data'!G$1267:G$2999),0)),"")</f>
        <v/>
      </c>
      <c r="BF14" s="14"/>
    </row>
    <row r="15" spans="1:104" x14ac:dyDescent="0.2">
      <c r="A15" s="5" t="s">
        <v>21</v>
      </c>
      <c r="B15" s="14" t="str">
        <f>IFERROR(INDEX('BalSht Data'!H$2:H$2999,MATCH(A15,IF('BalSht Data'!A$2=B$1,'BalSht Data'!G$2:G$2999),0)),"")</f>
        <v/>
      </c>
      <c r="C15" s="14">
        <f>IFERROR(INDEX('BalSht Data'!H$25:H$2999,MATCH(A15,IF('BalSht Data'!A$25=C$1,'BalSht Data'!G$2:G$2999),0)),"")</f>
        <v>999</v>
      </c>
      <c r="D15" s="14">
        <f>IFERROR(INDEX('BalSht Data'!H$48:H$2999,MATCH(A15,IF('BalSht Data'!A$48=D$1,'BalSht Data'!G$48:G$2999),0)),"")</f>
        <v>7878787</v>
      </c>
      <c r="E15" s="14">
        <f>IFERROR(INDEX('BalSht Data'!H$71:H$2999,MATCH(A15,IF('BalSht Data'!A$71=E$1,'BalSht Data'!G$71:G$2999),0)),"")</f>
        <v>36333</v>
      </c>
      <c r="F15" s="14">
        <f>IFERROR(INDEX('BalSht Data'!H$94:H$2999,MATCH(A15,IF('BalSht Data'!A$94=F$1,'BalSht Data'!G$94:G$2999),0)),"")</f>
        <v>88888</v>
      </c>
      <c r="G15" s="14">
        <f>IFERROR(INDEX('BalSht Data'!H$117:H$2999,MATCH(A15,IF('BalSht Data'!A$117=G$1,'BalSht Data'!G$117:G$2999),0)),"")</f>
        <v>22222</v>
      </c>
      <c r="H15" s="14">
        <f>IFERROR(INDEX('BalSht Data'!H$140:H$2999,MATCH(A15,IF('BalSht Data'!A$140=H$1,'BalSht Data'!G$140:G$2999),0)),"")</f>
        <v>22222</v>
      </c>
      <c r="I15" s="14">
        <f>IFERROR(INDEX('BalSht Data'!H$163:H$2999,MATCH(A15,IF('BalSht Data'!A$163=I$1,'BalSht Data'!G$163:G$2999),0)),"")</f>
        <v>22222</v>
      </c>
      <c r="J15" s="14" t="str">
        <f>IFERROR(INDEX('BalSht Data'!H$186:H$2999,MATCH(A15,IF('BalSht Data'!A$186=J$1,'BalSht Data'!G$186:G$2999),0)),"")</f>
        <v/>
      </c>
      <c r="K15" s="14" t="str">
        <f>IFERROR(INDEX('BalSht Data'!H$209:H$2999,MATCH(A15,IF('BalSht Data'!A$209=K$1,'BalSht Data'!G$209:G$2999),0)),"")</f>
        <v/>
      </c>
      <c r="L15" s="14" t="str">
        <f>IFERROR(INDEX('BalSht Data'!H$232:H$2999,MATCH(A15,IF('BalSht Data'!A$232=L$1,'BalSht Data'!G$232:G$2999),0)),"")</f>
        <v/>
      </c>
      <c r="M15" s="14" t="str">
        <f>IFERROR(INDEX('BalSht Data'!H$255:H$2999,MATCH(A15,IF('BalSht Data'!A$255=M$1,'BalSht Data'!G$255:G$2999),0)),"")</f>
        <v/>
      </c>
      <c r="N15" s="14" t="str">
        <f>IFERROR(INDEX('BalSht Data'!H$278:H$2999,MATCH(A15,IF('BalSht Data'!A$278=N$1,'BalSht Data'!G$278:G$2999),0)),"")</f>
        <v/>
      </c>
      <c r="O15" s="14" t="str">
        <f>IFERROR(INDEX('BalSht Data'!H$301:H$2999,MATCH(A15,IF('BalSht Data'!A$301=O$1,'BalSht Data'!G$301:G$2999),0)),"")</f>
        <v/>
      </c>
      <c r="P15" s="14" t="str">
        <f>IFERROR(INDEX('BalSht Data'!H$324:H$2999,MATCH(A15,IF('BalSht Data'!A$324=P$1,'BalSht Data'!G$324:G$2999),0)),"")</f>
        <v/>
      </c>
      <c r="Q15" s="14" t="str">
        <f>IFERROR(INDEX('BalSht Data'!H$347:H$2999,MATCH(A15,IF('BalSht Data'!A$347=Q$1,'BalSht Data'!G$347:G$2999),0)),"")</f>
        <v/>
      </c>
      <c r="R15" s="14" t="str">
        <f>IFERROR(INDEX('BalSht Data'!H$370:H$2999,MATCH(A15,IF('BalSht Data'!A$370=R$1,'BalSht Data'!G$370:G$2999),0)),"")</f>
        <v/>
      </c>
      <c r="S15" s="14" t="str">
        <f>IFERROR(INDEX('BalSht Data'!H$393:H$2999,MATCH(A15,IF('BalSht Data'!A$393=S$1,'BalSht Data'!G$393:G$2999),0)),"")</f>
        <v/>
      </c>
      <c r="T15" s="14" t="str">
        <f>IFERROR(INDEX('BalSht Data'!H$416:H$2999,MATCH(A15,IF('BalSht Data'!A$416=T$1,'BalSht Data'!G$416:G$2999),0)),"")</f>
        <v/>
      </c>
      <c r="U15" s="14" t="str">
        <f>IFERROR(INDEX('BalSht Data'!H$439:H$2999,MATCH(A15,IF('BalSht Data'!A$439=U$1,'BalSht Data'!G$439:G$2999),0)),"")</f>
        <v/>
      </c>
      <c r="V15" s="14" t="str">
        <f>IFERROR(INDEX('BalSht Data'!H$462:H$2999,MATCH(A15,IF('BalSht Data'!A$462=V$1,'BalSht Data'!G$462:G$2999),0)),"")</f>
        <v/>
      </c>
      <c r="W15" s="14" t="str">
        <f>IFERROR(INDEX('BalSht Data'!H$485:H$2999,MATCH(A15,IF('BalSht Data'!A$485=W$1,'BalSht Data'!G$485:G$2999),0)),"")</f>
        <v/>
      </c>
      <c r="X15" s="14" t="str">
        <f>IFERROR(INDEX('BalSht Data'!H$508:H$2999,MATCH(A15,IF('BalSht Data'!A$508=X$1,'BalSht Data'!G$508:G$2999),0)),"")</f>
        <v/>
      </c>
      <c r="Y15" s="14" t="str">
        <f>IFERROR(INDEX('BalSht Data'!H$531:H$2999,MATCH(A15,IF('BalSht Data'!A$531=Y$1,'BalSht Data'!G$531:G$2999),0)),"")</f>
        <v/>
      </c>
      <c r="Z15" s="14" t="str">
        <f>IFERROR(INDEX('BalSht Data'!H$554:H$2999,MATCH(A15,IF('BalSht Data'!A$554=Z$1,'BalSht Data'!G$554:G$2999),0)),"")</f>
        <v/>
      </c>
      <c r="AA15" s="14" t="str">
        <f>IFERROR(INDEX('BalSht Data'!H$577:H$2999,MATCH(A15,IF('BalSht Data'!A$577=AA$1,'BalSht Data'!G$577:G$2999),0)),"")</f>
        <v/>
      </c>
      <c r="AB15" s="14" t="str">
        <f>IFERROR(INDEX('BalSht Data'!H$600:H$2999,MATCH(A15,IF('BalSht Data'!A$600=AB$1,'BalSht Data'!G$600:G$2999),0)),"")</f>
        <v/>
      </c>
      <c r="AC15" s="14" t="str">
        <f>IFERROR(INDEX('BalSht Data'!H$623:H$2999,MATCH(A15,IF('BalSht Data'!A$623=AC$1,'BalSht Data'!G$623:G$2999),0)),"")</f>
        <v/>
      </c>
      <c r="AD15" s="14" t="str">
        <f>IFERROR(INDEX('BalSht Data'!H$646:H$2999,MATCH(A15,IF('BalSht Data'!A$646=AD$1,'BalSht Data'!G$646:G$2999),0)),"")</f>
        <v/>
      </c>
      <c r="AE15" s="14" t="str">
        <f>IFERROR(INDEX('BalSht Data'!H$669:H$2999,MATCH(A15,IF('BalSht Data'!A$669=AE$1,'BalSht Data'!G$669:G$2999),0)),"")</f>
        <v/>
      </c>
      <c r="AF15" s="14" t="str">
        <f>IFERROR(INDEX('BalSht Data'!H$692:H$2999,MATCH(A15,IF('BalSht Data'!A$692=AF$1,'BalSht Data'!G$692:G$2999),0)),"")</f>
        <v/>
      </c>
      <c r="AG15" s="14" t="str">
        <f>IFERROR(INDEX('BalSht Data'!H$715:H$2999,MATCH(A15,IF('BalSht Data'!A$715=AG$1,'BalSht Data'!G$715:G$2999),0)),"")</f>
        <v/>
      </c>
      <c r="AH15" s="14" t="str">
        <f>IFERROR(INDEX('BalSht Data'!H$738:H$2999,MATCH(A15,IF('BalSht Data'!A$738=AH$1,'BalSht Data'!G$738:G$2999),0)),"")</f>
        <v/>
      </c>
      <c r="AI15" s="14" t="str">
        <f>IFERROR(INDEX('BalSht Data'!H$761:H$2999,MATCH(A15,IF('BalSht Data'!A$761=AI$1,'BalSht Data'!G$761:G$2999),0)),"")</f>
        <v/>
      </c>
      <c r="AJ15" s="14" t="str">
        <f>IFERROR(INDEX('BalSht Data'!H$784:H$2999,MATCH(A15,IF('BalSht Data'!A$784=AJ$1,'BalSht Data'!G$784:G$2999),0)),"")</f>
        <v/>
      </c>
      <c r="AK15" s="14" t="str">
        <f>IFERROR(INDEX('BalSht Data'!H$807:H$2999,MATCH(A15,IF('BalSht Data'!A$807=AK$1,'BalSht Data'!G$807:G$2999),0)),"")</f>
        <v/>
      </c>
      <c r="AL15" s="14" t="str">
        <f>IFERROR(INDEX('BalSht Data'!H$830:H$2999,MATCH(A15,IF('BalSht Data'!A$830=AL$1,'BalSht Data'!G$830:G$2999),0)),"")</f>
        <v/>
      </c>
      <c r="AM15" s="14" t="str">
        <f>IFERROR(INDEX('BalSht Data'!H$853:H$2999,MATCH(A15,IF('BalSht Data'!A$853=AM$1,'BalSht Data'!G$853:G$2999),0)),"")</f>
        <v/>
      </c>
      <c r="AN15" s="14" t="str">
        <f>IFERROR(INDEX('BalSht Data'!H$876:H$2999,MATCH(A15,IF('BalSht Data'!A$876=AN$1,'BalSht Data'!G$876:G$2999),0)),"")</f>
        <v/>
      </c>
      <c r="AO15" s="14" t="str">
        <f>IFERROR(INDEX('BalSht Data'!H$899:H$2999,MATCH(A15,IF('BalSht Data'!A$899=AO$1,'BalSht Data'!G$899:G$2999),0)),"")</f>
        <v/>
      </c>
      <c r="AP15" s="14" t="str">
        <f>IFERROR(INDEX('BalSht Data'!H$922:H$2999,MATCH(A15,IF('BalSht Data'!A$922=AP$1,'BalSht Data'!G$922:G$2999),0)),"")</f>
        <v/>
      </c>
      <c r="AQ15" s="14" t="str">
        <f>IFERROR(INDEX('BalSht Data'!H$945:H$2999,MATCH(A15,IF('BalSht Data'!A$945=AQ$1,'BalSht Data'!G$945:G$2999),0)),"")</f>
        <v/>
      </c>
      <c r="AR15" s="14" t="str">
        <f>IFERROR(INDEX('BalSht Data'!H$968:H$2999,MATCH(A15,IF('BalSht Data'!A$968=AR$1,'BalSht Data'!G$968:G$2999),0)),"")</f>
        <v/>
      </c>
      <c r="AS15" s="14" t="str">
        <f>IFERROR(INDEX('BalSht Data'!H$991:H$2999,MATCH(A15,IF('BalSht Data'!A$991=AS$1,'BalSht Data'!G$991:G$2999),0)),"")</f>
        <v/>
      </c>
      <c r="AT15" s="14" t="str">
        <f>IFERROR(INDEX('BalSht Data'!H$1014:H$2999,MATCH(A15,IF('BalSht Data'!A$1014=AT$1,'BalSht Data'!G$1014:G$2999),0)),"")</f>
        <v/>
      </c>
      <c r="AU15" s="14" t="str">
        <f>IFERROR(INDEX('BalSht Data'!H$1037:H$2999,MATCH(A15,IF('BalSht Data'!A$1037=AU$1,'BalSht Data'!G$1037:G$2999),0)),"")</f>
        <v/>
      </c>
      <c r="AV15" s="14" t="str">
        <f>IFERROR(INDEX('BalSht Data'!H$1060:H$2999,MATCH(A15,IF('BalSht Data'!A$1060=AV$1,'BalSht Data'!G$1060:G$2999),0)),"")</f>
        <v/>
      </c>
      <c r="AW15" s="14" t="str">
        <f>IFERROR(INDEX('BalSht Data'!H$1083:H$2999,MATCH(A15,IF('BalSht Data'!A$1083=AW$1,'BalSht Data'!G$1083:G$2999),0)),"")</f>
        <v/>
      </c>
      <c r="AX15" s="14" t="str">
        <f>IFERROR(INDEX('BalSht Data'!H$1106:H$2999,MATCH(A15,IF('BalSht Data'!A$1106=AX$1,'BalSht Data'!G$1106:G$2999),0)),"")</f>
        <v/>
      </c>
      <c r="AY15" s="14" t="str">
        <f>IFERROR(INDEX('BalSht Data'!H$1129:H$2999,MATCH(A15,IF('BalSht Data'!A$1129=AY$1,'BalSht Data'!G$1129:G$2999),0)),"")</f>
        <v/>
      </c>
      <c r="AZ15" s="14" t="str">
        <f>IFERROR(INDEX('BalSht Data'!H$1152:H$2999,MATCH(A15,IF('BalSht Data'!A$1152=AZ$1,'BalSht Data'!G$1152:G$2999),0)),"")</f>
        <v/>
      </c>
      <c r="BA15" s="14" t="str">
        <f>IFERROR(INDEX('BalSht Data'!H$1175:H$2999,MATCH(A15,IF('BalSht Data'!A$1175=BA$1,'BalSht Data'!G$1175:G$2999),0)),"")</f>
        <v/>
      </c>
      <c r="BB15" s="14" t="str">
        <f>IFERROR(INDEX('BalSht Data'!H$1198:H$2999,MATCH(A15,IF('BalSht Data'!A$1198=BB$1,'BalSht Data'!G$1198:G$2999),0)),"")</f>
        <v/>
      </c>
      <c r="BC15" s="14" t="str">
        <f>IFERROR(INDEX('BalSht Data'!H$1221:H$2999,MATCH(A15,IF('BalSht Data'!A$1221=BC$1,'BalSht Data'!G$1221:G$2999),0)),"")</f>
        <v/>
      </c>
      <c r="BD15" s="14" t="str">
        <f>IFERROR(INDEX('BalSht Data'!H$1244:H$2999,MATCH(A15,IF('BalSht Data'!A$1244=BD$1,'BalSht Data'!G$1244:G$2999),0)),"")</f>
        <v/>
      </c>
      <c r="BE15" s="14" t="str">
        <f>IFERROR(INDEX('BalSht Data'!H$1267:H$2999,MATCH(A15,IF('BalSht Data'!A$1267=BE$1,'BalSht Data'!G$1267:G$2999),0)),"")</f>
        <v/>
      </c>
      <c r="BF15" s="14"/>
    </row>
    <row r="16" spans="1:104" x14ac:dyDescent="0.2">
      <c r="A16" s="5" t="s">
        <v>22</v>
      </c>
      <c r="B16" s="14" t="str">
        <f>IFERROR(INDEX('BalSht Data'!H$2:H$2999,MATCH(A16,IF('BalSht Data'!A$2=B$1,'BalSht Data'!G$2:G$2999),0)),"")</f>
        <v/>
      </c>
      <c r="C16" s="14">
        <f>IFERROR(INDEX('BalSht Data'!H$25:H$2999,MATCH(A16,IF('BalSht Data'!A$25=C$1,'BalSht Data'!G$2:G$2999),0)),"")</f>
        <v>999</v>
      </c>
      <c r="D16" s="14">
        <f>IFERROR(INDEX('BalSht Data'!H$48:H$2999,MATCH(A16,IF('BalSht Data'!A$48=D$1,'BalSht Data'!G$48:G$2999),0)),"")</f>
        <v>7878787</v>
      </c>
      <c r="E16" s="14">
        <f>IFERROR(INDEX('BalSht Data'!H$71:H$2999,MATCH(A16,IF('BalSht Data'!A$71=E$1,'BalSht Data'!G$71:G$2999),0)),"")</f>
        <v>36333</v>
      </c>
      <c r="F16" s="14">
        <f>IFERROR(INDEX('BalSht Data'!H$94:H$2999,MATCH(A16,IF('BalSht Data'!A$94=F$1,'BalSht Data'!G$94:G$2999),0)),"")</f>
        <v>88888</v>
      </c>
      <c r="G16" s="14">
        <f>IFERROR(INDEX('BalSht Data'!H$117:H$2999,MATCH(A16,IF('BalSht Data'!A$117=G$1,'BalSht Data'!G$117:G$2999),0)),"")</f>
        <v>22222</v>
      </c>
      <c r="H16" s="14">
        <f>IFERROR(INDEX('BalSht Data'!H$140:H$2999,MATCH(A16,IF('BalSht Data'!A$140=H$1,'BalSht Data'!G$140:G$2999),0)),"")</f>
        <v>22222</v>
      </c>
      <c r="I16" s="14">
        <f>IFERROR(INDEX('BalSht Data'!H$163:H$2999,MATCH(A16,IF('BalSht Data'!A$163=I$1,'BalSht Data'!G$163:G$2999),0)),"")</f>
        <v>22222</v>
      </c>
      <c r="J16" s="14" t="str">
        <f>IFERROR(INDEX('BalSht Data'!H$186:H$2999,MATCH(A16,IF('BalSht Data'!A$186=J$1,'BalSht Data'!G$186:G$2999),0)),"")</f>
        <v/>
      </c>
      <c r="K16" s="14" t="str">
        <f>IFERROR(INDEX('BalSht Data'!H$209:H$2999,MATCH(A16,IF('BalSht Data'!A$209=K$1,'BalSht Data'!G$209:G$2999),0)),"")</f>
        <v/>
      </c>
      <c r="L16" s="14" t="str">
        <f>IFERROR(INDEX('BalSht Data'!H$232:H$2999,MATCH(A16,IF('BalSht Data'!A$232=L$1,'BalSht Data'!G$232:G$2999),0)),"")</f>
        <v/>
      </c>
      <c r="M16" s="14" t="str">
        <f>IFERROR(INDEX('BalSht Data'!H$255:H$2999,MATCH(A16,IF('BalSht Data'!A$255=M$1,'BalSht Data'!G$255:G$2999),0)),"")</f>
        <v/>
      </c>
      <c r="N16" s="14" t="str">
        <f>IFERROR(INDEX('BalSht Data'!H$278:H$2999,MATCH(A16,IF('BalSht Data'!A$278=N$1,'BalSht Data'!G$278:G$2999),0)),"")</f>
        <v/>
      </c>
      <c r="O16" s="14" t="str">
        <f>IFERROR(INDEX('BalSht Data'!H$301:H$2999,MATCH(A16,IF('BalSht Data'!A$301=O$1,'BalSht Data'!G$301:G$2999),0)),"")</f>
        <v/>
      </c>
      <c r="P16" s="14" t="str">
        <f>IFERROR(INDEX('BalSht Data'!H$324:H$2999,MATCH(A16,IF('BalSht Data'!A$324=P$1,'BalSht Data'!G$324:G$2999),0)),"")</f>
        <v/>
      </c>
      <c r="Q16" s="14" t="str">
        <f>IFERROR(INDEX('BalSht Data'!H$347:H$2999,MATCH(A16,IF('BalSht Data'!A$347=Q$1,'BalSht Data'!G$347:G$2999),0)),"")</f>
        <v/>
      </c>
      <c r="R16" s="14" t="str">
        <f>IFERROR(INDEX('BalSht Data'!H$370:H$2999,MATCH(A16,IF('BalSht Data'!A$370=R$1,'BalSht Data'!G$370:G$2999),0)),"")</f>
        <v/>
      </c>
      <c r="S16" s="14" t="str">
        <f>IFERROR(INDEX('BalSht Data'!H$393:H$2999,MATCH(A16,IF('BalSht Data'!A$393=S$1,'BalSht Data'!G$393:G$2999),0)),"")</f>
        <v/>
      </c>
      <c r="T16" s="14" t="str">
        <f>IFERROR(INDEX('BalSht Data'!H$416:H$2999,MATCH(A16,IF('BalSht Data'!A$416=T$1,'BalSht Data'!G$416:G$2999),0)),"")</f>
        <v/>
      </c>
      <c r="U16" s="14" t="str">
        <f>IFERROR(INDEX('BalSht Data'!H$439:H$2999,MATCH(A16,IF('BalSht Data'!A$439=U$1,'BalSht Data'!G$439:G$2999),0)),"")</f>
        <v/>
      </c>
      <c r="V16" s="14" t="str">
        <f>IFERROR(INDEX('BalSht Data'!H$462:H$2999,MATCH(A16,IF('BalSht Data'!A$462=V$1,'BalSht Data'!G$462:G$2999),0)),"")</f>
        <v/>
      </c>
      <c r="W16" s="14" t="str">
        <f>IFERROR(INDEX('BalSht Data'!H$485:H$2999,MATCH(A16,IF('BalSht Data'!A$485=W$1,'BalSht Data'!G$485:G$2999),0)),"")</f>
        <v/>
      </c>
      <c r="X16" s="14" t="str">
        <f>IFERROR(INDEX('BalSht Data'!H$508:H$2999,MATCH(A16,IF('BalSht Data'!A$508=X$1,'BalSht Data'!G$508:G$2999),0)),"")</f>
        <v/>
      </c>
      <c r="Y16" s="14" t="str">
        <f>IFERROR(INDEX('BalSht Data'!H$531:H$2999,MATCH(A16,IF('BalSht Data'!A$531=Y$1,'BalSht Data'!G$531:G$2999),0)),"")</f>
        <v/>
      </c>
      <c r="Z16" s="14" t="str">
        <f>IFERROR(INDEX('BalSht Data'!H$554:H$2999,MATCH(A16,IF('BalSht Data'!A$554=Z$1,'BalSht Data'!G$554:G$2999),0)),"")</f>
        <v/>
      </c>
      <c r="AA16" s="14" t="str">
        <f>IFERROR(INDEX('BalSht Data'!H$577:H$2999,MATCH(A16,IF('BalSht Data'!A$577=AA$1,'BalSht Data'!G$577:G$2999),0)),"")</f>
        <v/>
      </c>
      <c r="AB16" s="14" t="str">
        <f>IFERROR(INDEX('BalSht Data'!H$600:H$2999,MATCH(A16,IF('BalSht Data'!A$600=AB$1,'BalSht Data'!G$600:G$2999),0)),"")</f>
        <v/>
      </c>
      <c r="AC16" s="14" t="str">
        <f>IFERROR(INDEX('BalSht Data'!H$623:H$2999,MATCH(A16,IF('BalSht Data'!A$623=AC$1,'BalSht Data'!G$623:G$2999),0)),"")</f>
        <v/>
      </c>
      <c r="AD16" s="14" t="str">
        <f>IFERROR(INDEX('BalSht Data'!H$646:H$2999,MATCH(A16,IF('BalSht Data'!A$646=AD$1,'BalSht Data'!G$646:G$2999),0)),"")</f>
        <v/>
      </c>
      <c r="AE16" s="14" t="str">
        <f>IFERROR(INDEX('BalSht Data'!H$669:H$2999,MATCH(A16,IF('BalSht Data'!A$669=AE$1,'BalSht Data'!G$669:G$2999),0)),"")</f>
        <v/>
      </c>
      <c r="AF16" s="14" t="str">
        <f>IFERROR(INDEX('BalSht Data'!H$692:H$2999,MATCH(A16,IF('BalSht Data'!A$692=AF$1,'BalSht Data'!G$692:G$2999),0)),"")</f>
        <v/>
      </c>
      <c r="AG16" s="14" t="str">
        <f>IFERROR(INDEX('BalSht Data'!H$715:H$2999,MATCH(A16,IF('BalSht Data'!A$715=AG$1,'BalSht Data'!G$715:G$2999),0)),"")</f>
        <v/>
      </c>
      <c r="AH16" s="14" t="str">
        <f>IFERROR(INDEX('BalSht Data'!H$738:H$2999,MATCH(A16,IF('BalSht Data'!A$738=AH$1,'BalSht Data'!G$738:G$2999),0)),"")</f>
        <v/>
      </c>
      <c r="AI16" s="14" t="str">
        <f>IFERROR(INDEX('BalSht Data'!H$761:H$2999,MATCH(A16,IF('BalSht Data'!A$761=AI$1,'BalSht Data'!G$761:G$2999),0)),"")</f>
        <v/>
      </c>
      <c r="AJ16" s="14" t="str">
        <f>IFERROR(INDEX('BalSht Data'!H$784:H$2999,MATCH(A16,IF('BalSht Data'!A$784=AJ$1,'BalSht Data'!G$784:G$2999),0)),"")</f>
        <v/>
      </c>
      <c r="AK16" s="14" t="str">
        <f>IFERROR(INDEX('BalSht Data'!H$807:H$2999,MATCH(A16,IF('BalSht Data'!A$807=AK$1,'BalSht Data'!G$807:G$2999),0)),"")</f>
        <v/>
      </c>
      <c r="AL16" s="14" t="str">
        <f>IFERROR(INDEX('BalSht Data'!H$830:H$2999,MATCH(A16,IF('BalSht Data'!A$830=AL$1,'BalSht Data'!G$830:G$2999),0)),"")</f>
        <v/>
      </c>
      <c r="AM16" s="14" t="str">
        <f>IFERROR(INDEX('BalSht Data'!H$853:H$2999,MATCH(A16,IF('BalSht Data'!A$853=AM$1,'BalSht Data'!G$853:G$2999),0)),"")</f>
        <v/>
      </c>
      <c r="AN16" s="14" t="str">
        <f>IFERROR(INDEX('BalSht Data'!H$876:H$2999,MATCH(A16,IF('BalSht Data'!A$876=AN$1,'BalSht Data'!G$876:G$2999),0)),"")</f>
        <v/>
      </c>
      <c r="AO16" s="14" t="str">
        <f>IFERROR(INDEX('BalSht Data'!H$899:H$2999,MATCH(A16,IF('BalSht Data'!A$899=AO$1,'BalSht Data'!G$899:G$2999),0)),"")</f>
        <v/>
      </c>
      <c r="AP16" s="14" t="str">
        <f>IFERROR(INDEX('BalSht Data'!H$922:H$2999,MATCH(A16,IF('BalSht Data'!A$922=AP$1,'BalSht Data'!G$922:G$2999),0)),"")</f>
        <v/>
      </c>
      <c r="AQ16" s="14" t="str">
        <f>IFERROR(INDEX('BalSht Data'!H$945:H$2999,MATCH(A16,IF('BalSht Data'!A$945=AQ$1,'BalSht Data'!G$945:G$2999),0)),"")</f>
        <v/>
      </c>
      <c r="AR16" s="14" t="str">
        <f>IFERROR(INDEX('BalSht Data'!H$968:H$2999,MATCH(A16,IF('BalSht Data'!A$968=AR$1,'BalSht Data'!G$968:G$2999),0)),"")</f>
        <v/>
      </c>
      <c r="AS16" s="14" t="str">
        <f>IFERROR(INDEX('BalSht Data'!H$991:H$2999,MATCH(A16,IF('BalSht Data'!A$991=AS$1,'BalSht Data'!G$991:G$2999),0)),"")</f>
        <v/>
      </c>
      <c r="AT16" s="14" t="str">
        <f>IFERROR(INDEX('BalSht Data'!H$1014:H$2999,MATCH(A16,IF('BalSht Data'!A$1014=AT$1,'BalSht Data'!G$1014:G$2999),0)),"")</f>
        <v/>
      </c>
      <c r="AU16" s="14" t="str">
        <f>IFERROR(INDEX('BalSht Data'!H$1037:H$2999,MATCH(A16,IF('BalSht Data'!A$1037=AU$1,'BalSht Data'!G$1037:G$2999),0)),"")</f>
        <v/>
      </c>
      <c r="AV16" s="14" t="str">
        <f>IFERROR(INDEX('BalSht Data'!H$1060:H$2999,MATCH(A16,IF('BalSht Data'!A$1060=AV$1,'BalSht Data'!G$1060:G$2999),0)),"")</f>
        <v/>
      </c>
      <c r="AW16" s="14" t="str">
        <f>IFERROR(INDEX('BalSht Data'!H$1083:H$2999,MATCH(A16,IF('BalSht Data'!A$1083=AW$1,'BalSht Data'!G$1083:G$2999),0)),"")</f>
        <v/>
      </c>
      <c r="AX16" s="14" t="str">
        <f>IFERROR(INDEX('BalSht Data'!H$1106:H$2999,MATCH(A16,IF('BalSht Data'!A$1106=AX$1,'BalSht Data'!G$1106:G$2999),0)),"")</f>
        <v/>
      </c>
      <c r="AY16" s="14" t="str">
        <f>IFERROR(INDEX('BalSht Data'!H$1129:H$2999,MATCH(A16,IF('BalSht Data'!A$1129=AY$1,'BalSht Data'!G$1129:G$2999),0)),"")</f>
        <v/>
      </c>
      <c r="AZ16" s="14" t="str">
        <f>IFERROR(INDEX('BalSht Data'!H$1152:H$2999,MATCH(A16,IF('BalSht Data'!A$1152=AZ$1,'BalSht Data'!G$1152:G$2999),0)),"")</f>
        <v/>
      </c>
      <c r="BA16" s="14" t="str">
        <f>IFERROR(INDEX('BalSht Data'!H$1175:H$2999,MATCH(A16,IF('BalSht Data'!A$1175=BA$1,'BalSht Data'!G$1175:G$2999),0)),"")</f>
        <v/>
      </c>
      <c r="BB16" s="14" t="str">
        <f>IFERROR(INDEX('BalSht Data'!H$1198:H$2999,MATCH(A16,IF('BalSht Data'!A$1198=BB$1,'BalSht Data'!G$1198:G$2999),0)),"")</f>
        <v/>
      </c>
      <c r="BC16" s="14" t="str">
        <f>IFERROR(INDEX('BalSht Data'!H$1221:H$2999,MATCH(A16,IF('BalSht Data'!A$1221=BC$1,'BalSht Data'!G$1221:G$2999),0)),"")</f>
        <v/>
      </c>
      <c r="BD16" s="14" t="str">
        <f>IFERROR(INDEX('BalSht Data'!H$1244:H$2999,MATCH(A16,IF('BalSht Data'!A$1244=BD$1,'BalSht Data'!G$1244:G$2999),0)),"")</f>
        <v/>
      </c>
      <c r="BE16" s="14" t="str">
        <f>IFERROR(INDEX('BalSht Data'!H$1267:H$2999,MATCH(A16,IF('BalSht Data'!A$1267=BE$1,'BalSht Data'!G$1267:G$2999),0)),"")</f>
        <v/>
      </c>
      <c r="BF16" s="14"/>
    </row>
    <row r="17" spans="1:58" x14ac:dyDescent="0.2">
      <c r="A17" s="5" t="s">
        <v>23</v>
      </c>
      <c r="B17" s="14" t="str">
        <f>IFERROR(INDEX('BalSht Data'!H$2:H$2999,MATCH(A17,IF('BalSht Data'!A$2=B$1,'BalSht Data'!G$2:G$2999),0)),"")</f>
        <v/>
      </c>
      <c r="C17" s="14">
        <f>IFERROR(INDEX('BalSht Data'!H$25:H$2999,MATCH(A17,IF('BalSht Data'!A$25=C$1,'BalSht Data'!G$2:G$2999),0)),"")</f>
        <v>999</v>
      </c>
      <c r="D17" s="14">
        <f>IFERROR(INDEX('BalSht Data'!H$48:H$2999,MATCH(A17,IF('BalSht Data'!A$48=D$1,'BalSht Data'!G$48:G$2999),0)),"")</f>
        <v>7878787</v>
      </c>
      <c r="E17" s="14">
        <f>IFERROR(INDEX('BalSht Data'!H$71:H$2999,MATCH(A17,IF('BalSht Data'!A$71=E$1,'BalSht Data'!G$71:G$2999),0)),"")</f>
        <v>36333</v>
      </c>
      <c r="F17" s="14">
        <f>IFERROR(INDEX('BalSht Data'!H$94:H$2999,MATCH(A17,IF('BalSht Data'!A$94=F$1,'BalSht Data'!G$94:G$2999),0)),"")</f>
        <v>88888</v>
      </c>
      <c r="G17" s="14">
        <f>IFERROR(INDEX('BalSht Data'!H$117:H$2999,MATCH(A17,IF('BalSht Data'!A$117=G$1,'BalSht Data'!G$117:G$2999),0)),"")</f>
        <v>22222</v>
      </c>
      <c r="H17" s="14">
        <f>IFERROR(INDEX('BalSht Data'!H$140:H$2999,MATCH(A17,IF('BalSht Data'!A$140=H$1,'BalSht Data'!G$140:G$2999),0)),"")</f>
        <v>22222</v>
      </c>
      <c r="I17" s="14">
        <f>IFERROR(INDEX('BalSht Data'!H$163:H$2999,MATCH(A17,IF('BalSht Data'!A$163=I$1,'BalSht Data'!G$163:G$2999),0)),"")</f>
        <v>22222</v>
      </c>
      <c r="J17" s="14" t="str">
        <f>IFERROR(INDEX('BalSht Data'!H$186:H$2999,MATCH(A17,IF('BalSht Data'!A$186=J$1,'BalSht Data'!G$186:G$2999),0)),"")</f>
        <v/>
      </c>
      <c r="K17" s="14" t="str">
        <f>IFERROR(INDEX('BalSht Data'!H$209:H$2999,MATCH(A17,IF('BalSht Data'!A$209=K$1,'BalSht Data'!G$209:G$2999),0)),"")</f>
        <v/>
      </c>
      <c r="L17" s="14" t="str">
        <f>IFERROR(INDEX('BalSht Data'!H$232:H$2999,MATCH(A17,IF('BalSht Data'!A$232=L$1,'BalSht Data'!G$232:G$2999),0)),"")</f>
        <v/>
      </c>
      <c r="M17" s="14" t="str">
        <f>IFERROR(INDEX('BalSht Data'!H$255:H$2999,MATCH(A17,IF('BalSht Data'!A$255=M$1,'BalSht Data'!G$255:G$2999),0)),"")</f>
        <v/>
      </c>
      <c r="N17" s="14" t="str">
        <f>IFERROR(INDEX('BalSht Data'!H$278:H$2999,MATCH(A17,IF('BalSht Data'!A$278=N$1,'BalSht Data'!G$278:G$2999),0)),"")</f>
        <v/>
      </c>
      <c r="O17" s="14" t="str">
        <f>IFERROR(INDEX('BalSht Data'!H$301:H$2999,MATCH(A17,IF('BalSht Data'!A$301=O$1,'BalSht Data'!G$301:G$2999),0)),"")</f>
        <v/>
      </c>
      <c r="P17" s="14" t="str">
        <f>IFERROR(INDEX('BalSht Data'!H$324:H$2999,MATCH(A17,IF('BalSht Data'!A$324=P$1,'BalSht Data'!G$324:G$2999),0)),"")</f>
        <v/>
      </c>
      <c r="Q17" s="14" t="str">
        <f>IFERROR(INDEX('BalSht Data'!H$347:H$2999,MATCH(A17,IF('BalSht Data'!A$347=Q$1,'BalSht Data'!G$347:G$2999),0)),"")</f>
        <v/>
      </c>
      <c r="R17" s="14" t="str">
        <f>IFERROR(INDEX('BalSht Data'!H$370:H$2999,MATCH(A17,IF('BalSht Data'!A$370=R$1,'BalSht Data'!G$370:G$2999),0)),"")</f>
        <v/>
      </c>
      <c r="S17" s="14" t="str">
        <f>IFERROR(INDEX('BalSht Data'!H$393:H$2999,MATCH(A17,IF('BalSht Data'!A$393=S$1,'BalSht Data'!G$393:G$2999),0)),"")</f>
        <v/>
      </c>
      <c r="T17" s="14" t="str">
        <f>IFERROR(INDEX('BalSht Data'!H$416:H$2999,MATCH(A17,IF('BalSht Data'!A$416=T$1,'BalSht Data'!G$416:G$2999),0)),"")</f>
        <v/>
      </c>
      <c r="U17" s="14" t="str">
        <f>IFERROR(INDEX('BalSht Data'!H$439:H$2999,MATCH(A17,IF('BalSht Data'!A$439=U$1,'BalSht Data'!G$439:G$2999),0)),"")</f>
        <v/>
      </c>
      <c r="V17" s="14" t="str">
        <f>IFERROR(INDEX('BalSht Data'!H$462:H$2999,MATCH(A17,IF('BalSht Data'!A$462=V$1,'BalSht Data'!G$462:G$2999),0)),"")</f>
        <v/>
      </c>
      <c r="W17" s="14" t="str">
        <f>IFERROR(INDEX('BalSht Data'!H$485:H$2999,MATCH(A17,IF('BalSht Data'!A$485=W$1,'BalSht Data'!G$485:G$2999),0)),"")</f>
        <v/>
      </c>
      <c r="X17" s="14" t="str">
        <f>IFERROR(INDEX('BalSht Data'!H$508:H$2999,MATCH(A17,IF('BalSht Data'!A$508=X$1,'BalSht Data'!G$508:G$2999),0)),"")</f>
        <v/>
      </c>
      <c r="Y17" s="14" t="str">
        <f>IFERROR(INDEX('BalSht Data'!H$531:H$2999,MATCH(A17,IF('BalSht Data'!A$531=Y$1,'BalSht Data'!G$531:G$2999),0)),"")</f>
        <v/>
      </c>
      <c r="Z17" s="14" t="str">
        <f>IFERROR(INDEX('BalSht Data'!H$554:H$2999,MATCH(A17,IF('BalSht Data'!A$554=Z$1,'BalSht Data'!G$554:G$2999),0)),"")</f>
        <v/>
      </c>
      <c r="AA17" s="14" t="str">
        <f>IFERROR(INDEX('BalSht Data'!H$577:H$2999,MATCH(A17,IF('BalSht Data'!A$577=AA$1,'BalSht Data'!G$577:G$2999),0)),"")</f>
        <v/>
      </c>
      <c r="AB17" s="14" t="str">
        <f>IFERROR(INDEX('BalSht Data'!H$600:H$2999,MATCH(A17,IF('BalSht Data'!A$600=AB$1,'BalSht Data'!G$600:G$2999),0)),"")</f>
        <v/>
      </c>
      <c r="AC17" s="14" t="str">
        <f>IFERROR(INDEX('BalSht Data'!H$623:H$2999,MATCH(A17,IF('BalSht Data'!A$623=AC$1,'BalSht Data'!G$623:G$2999),0)),"")</f>
        <v/>
      </c>
      <c r="AD17" s="14" t="str">
        <f>IFERROR(INDEX('BalSht Data'!H$646:H$2999,MATCH(A17,IF('BalSht Data'!A$646=AD$1,'BalSht Data'!G$646:G$2999),0)),"")</f>
        <v/>
      </c>
      <c r="AE17" s="14" t="str">
        <f>IFERROR(INDEX('BalSht Data'!H$669:H$2999,MATCH(A17,IF('BalSht Data'!A$669=AE$1,'BalSht Data'!G$669:G$2999),0)),"")</f>
        <v/>
      </c>
      <c r="AF17" s="14" t="str">
        <f>IFERROR(INDEX('BalSht Data'!H$692:H$2999,MATCH(A17,IF('BalSht Data'!A$692=AF$1,'BalSht Data'!G$692:G$2999),0)),"")</f>
        <v/>
      </c>
      <c r="AG17" s="14" t="str">
        <f>IFERROR(INDEX('BalSht Data'!H$715:H$2999,MATCH(A17,IF('BalSht Data'!A$715=AG$1,'BalSht Data'!G$715:G$2999),0)),"")</f>
        <v/>
      </c>
      <c r="AH17" s="14" t="str">
        <f>IFERROR(INDEX('BalSht Data'!H$738:H$2999,MATCH(A17,IF('BalSht Data'!A$738=AH$1,'BalSht Data'!G$738:G$2999),0)),"")</f>
        <v/>
      </c>
      <c r="AI17" s="14" t="str">
        <f>IFERROR(INDEX('BalSht Data'!H$761:H$2999,MATCH(A17,IF('BalSht Data'!A$761=AI$1,'BalSht Data'!G$761:G$2999),0)),"")</f>
        <v/>
      </c>
      <c r="AJ17" s="14" t="str">
        <f>IFERROR(INDEX('BalSht Data'!H$784:H$2999,MATCH(A17,IF('BalSht Data'!A$784=AJ$1,'BalSht Data'!G$784:G$2999),0)),"")</f>
        <v/>
      </c>
      <c r="AK17" s="14" t="str">
        <f>IFERROR(INDEX('BalSht Data'!H$807:H$2999,MATCH(A17,IF('BalSht Data'!A$807=AK$1,'BalSht Data'!G$807:G$2999),0)),"")</f>
        <v/>
      </c>
      <c r="AL17" s="14" t="str">
        <f>IFERROR(INDEX('BalSht Data'!H$830:H$2999,MATCH(A17,IF('BalSht Data'!A$830=AL$1,'BalSht Data'!G$830:G$2999),0)),"")</f>
        <v/>
      </c>
      <c r="AM17" s="14" t="str">
        <f>IFERROR(INDEX('BalSht Data'!H$853:H$2999,MATCH(A17,IF('BalSht Data'!A$853=AM$1,'BalSht Data'!G$853:G$2999),0)),"")</f>
        <v/>
      </c>
      <c r="AN17" s="14" t="str">
        <f>IFERROR(INDEX('BalSht Data'!H$876:H$2999,MATCH(A17,IF('BalSht Data'!A$876=AN$1,'BalSht Data'!G$876:G$2999),0)),"")</f>
        <v/>
      </c>
      <c r="AO17" s="14" t="str">
        <f>IFERROR(INDEX('BalSht Data'!H$899:H$2999,MATCH(A17,IF('BalSht Data'!A$899=AO$1,'BalSht Data'!G$899:G$2999),0)),"")</f>
        <v/>
      </c>
      <c r="AP17" s="14" t="str">
        <f>IFERROR(INDEX('BalSht Data'!H$922:H$2999,MATCH(A17,IF('BalSht Data'!A$922=AP$1,'BalSht Data'!G$922:G$2999),0)),"")</f>
        <v/>
      </c>
      <c r="AQ17" s="14" t="str">
        <f>IFERROR(INDEX('BalSht Data'!H$945:H$2999,MATCH(A17,IF('BalSht Data'!A$945=AQ$1,'BalSht Data'!G$945:G$2999),0)),"")</f>
        <v/>
      </c>
      <c r="AR17" s="14" t="str">
        <f>IFERROR(INDEX('BalSht Data'!H$968:H$2999,MATCH(A17,IF('BalSht Data'!A$968=AR$1,'BalSht Data'!G$968:G$2999),0)),"")</f>
        <v/>
      </c>
      <c r="AS17" s="14" t="str">
        <f>IFERROR(INDEX('BalSht Data'!H$991:H$2999,MATCH(A17,IF('BalSht Data'!A$991=AS$1,'BalSht Data'!G$991:G$2999),0)),"")</f>
        <v/>
      </c>
      <c r="AT17" s="14" t="str">
        <f>IFERROR(INDEX('BalSht Data'!H$1014:H$2999,MATCH(A17,IF('BalSht Data'!A$1014=AT$1,'BalSht Data'!G$1014:G$2999),0)),"")</f>
        <v/>
      </c>
      <c r="AU17" s="14" t="str">
        <f>IFERROR(INDEX('BalSht Data'!H$1037:H$2999,MATCH(A17,IF('BalSht Data'!A$1037=AU$1,'BalSht Data'!G$1037:G$2999),0)),"")</f>
        <v/>
      </c>
      <c r="AV17" s="14" t="str">
        <f>IFERROR(INDEX('BalSht Data'!H$1060:H$2999,MATCH(A17,IF('BalSht Data'!A$1060=AV$1,'BalSht Data'!G$1060:G$2999),0)),"")</f>
        <v/>
      </c>
      <c r="AW17" s="14" t="str">
        <f>IFERROR(INDEX('BalSht Data'!H$1083:H$2999,MATCH(A17,IF('BalSht Data'!A$1083=AW$1,'BalSht Data'!G$1083:G$2999),0)),"")</f>
        <v/>
      </c>
      <c r="AX17" s="14" t="str">
        <f>IFERROR(INDEX('BalSht Data'!H$1106:H$2999,MATCH(A17,IF('BalSht Data'!A$1106=AX$1,'BalSht Data'!G$1106:G$2999),0)),"")</f>
        <v/>
      </c>
      <c r="AY17" s="14" t="str">
        <f>IFERROR(INDEX('BalSht Data'!H$1129:H$2999,MATCH(A17,IF('BalSht Data'!A$1129=AY$1,'BalSht Data'!G$1129:G$2999),0)),"")</f>
        <v/>
      </c>
      <c r="AZ17" s="14" t="str">
        <f>IFERROR(INDEX('BalSht Data'!H$1152:H$2999,MATCH(A17,IF('BalSht Data'!A$1152=AZ$1,'BalSht Data'!G$1152:G$2999),0)),"")</f>
        <v/>
      </c>
      <c r="BA17" s="14" t="str">
        <f>IFERROR(INDEX('BalSht Data'!H$1175:H$2999,MATCH(A17,IF('BalSht Data'!A$1175=BA$1,'BalSht Data'!G$1175:G$2999),0)),"")</f>
        <v/>
      </c>
      <c r="BB17" s="14" t="str">
        <f>IFERROR(INDEX('BalSht Data'!H$1198:H$2999,MATCH(A17,IF('BalSht Data'!A$1198=BB$1,'BalSht Data'!G$1198:G$2999),0)),"")</f>
        <v/>
      </c>
      <c r="BC17" s="14" t="str">
        <f>IFERROR(INDEX('BalSht Data'!H$1221:H$2999,MATCH(A17,IF('BalSht Data'!A$1221=BC$1,'BalSht Data'!G$1221:G$2999),0)),"")</f>
        <v/>
      </c>
      <c r="BD17" s="14" t="str">
        <f>IFERROR(INDEX('BalSht Data'!H$1244:H$2999,MATCH(A17,IF('BalSht Data'!A$1244=BD$1,'BalSht Data'!G$1244:G$2999),0)),"")</f>
        <v/>
      </c>
      <c r="BE17" s="14" t="str">
        <f>IFERROR(INDEX('BalSht Data'!H$1267:H$2999,MATCH(A17,IF('BalSht Data'!A$1267=BE$1,'BalSht Data'!G$1267:G$2999),0)),"")</f>
        <v/>
      </c>
      <c r="BF17" s="14"/>
    </row>
    <row r="18" spans="1:58" x14ac:dyDescent="0.2">
      <c r="A18" s="5" t="s">
        <v>24</v>
      </c>
      <c r="B18" s="14" t="str">
        <f>IFERROR(INDEX('BalSht Data'!H$2:H$2999,MATCH(A18,IF('BalSht Data'!A$2=B$1,'BalSht Data'!G$2:G$2999),0)),"")</f>
        <v/>
      </c>
      <c r="C18" s="14">
        <f>IFERROR(INDEX('BalSht Data'!H$25:H$2999,MATCH(A18,IF('BalSht Data'!A$25=C$1,'BalSht Data'!G$2:G$2999),0)),"")</f>
        <v>999</v>
      </c>
      <c r="D18" s="14">
        <f>IFERROR(INDEX('BalSht Data'!H$48:H$2999,MATCH(A18,IF('BalSht Data'!A$48=D$1,'BalSht Data'!G$48:G$2999),0)),"")</f>
        <v>7878787</v>
      </c>
      <c r="E18" s="14">
        <f>IFERROR(INDEX('BalSht Data'!H$71:H$2999,MATCH(A18,IF('BalSht Data'!A$71=E$1,'BalSht Data'!G$71:G$2999),0)),"")</f>
        <v>36333</v>
      </c>
      <c r="F18" s="14">
        <f>IFERROR(INDEX('BalSht Data'!H$94:H$2999,MATCH(A18,IF('BalSht Data'!A$94=F$1,'BalSht Data'!G$94:G$2999),0)),"")</f>
        <v>88888</v>
      </c>
      <c r="G18" s="14">
        <f>IFERROR(INDEX('BalSht Data'!H$117:H$2999,MATCH(A18,IF('BalSht Data'!A$117=G$1,'BalSht Data'!G$117:G$2999),0)),"")</f>
        <v>22222</v>
      </c>
      <c r="H18" s="14">
        <f>IFERROR(INDEX('BalSht Data'!H$140:H$2999,MATCH(A18,IF('BalSht Data'!A$140=H$1,'BalSht Data'!G$140:G$2999),0)),"")</f>
        <v>22222</v>
      </c>
      <c r="I18" s="14">
        <f>IFERROR(INDEX('BalSht Data'!H$163:H$2999,MATCH(A18,IF('BalSht Data'!A$163=I$1,'BalSht Data'!G$163:G$2999),0)),"")</f>
        <v>22222</v>
      </c>
      <c r="J18" s="14" t="str">
        <f>IFERROR(INDEX('BalSht Data'!H$186:H$2999,MATCH(A18,IF('BalSht Data'!A$186=J$1,'BalSht Data'!G$186:G$2999),0)),"")</f>
        <v/>
      </c>
      <c r="K18" s="14" t="str">
        <f>IFERROR(INDEX('BalSht Data'!H$209:H$2999,MATCH(A18,IF('BalSht Data'!A$209=K$1,'BalSht Data'!G$209:G$2999),0)),"")</f>
        <v/>
      </c>
      <c r="L18" s="14" t="str">
        <f>IFERROR(INDEX('BalSht Data'!H$232:H$2999,MATCH(A18,IF('BalSht Data'!A$232=L$1,'BalSht Data'!G$232:G$2999),0)),"")</f>
        <v/>
      </c>
      <c r="M18" s="14" t="str">
        <f>IFERROR(INDEX('BalSht Data'!H$255:H$2999,MATCH(A18,IF('BalSht Data'!A$255=M$1,'BalSht Data'!G$255:G$2999),0)),"")</f>
        <v/>
      </c>
      <c r="N18" s="14" t="str">
        <f>IFERROR(INDEX('BalSht Data'!H$278:H$2999,MATCH(A18,IF('BalSht Data'!A$278=N$1,'BalSht Data'!G$278:G$2999),0)),"")</f>
        <v/>
      </c>
      <c r="O18" s="14" t="str">
        <f>IFERROR(INDEX('BalSht Data'!H$301:H$2999,MATCH(A18,IF('BalSht Data'!A$301=O$1,'BalSht Data'!G$301:G$2999),0)),"")</f>
        <v/>
      </c>
      <c r="P18" s="14" t="str">
        <f>IFERROR(INDEX('BalSht Data'!H$324:H$2999,MATCH(A18,IF('BalSht Data'!A$324=P$1,'BalSht Data'!G$324:G$2999),0)),"")</f>
        <v/>
      </c>
      <c r="Q18" s="14" t="str">
        <f>IFERROR(INDEX('BalSht Data'!H$347:H$2999,MATCH(A18,IF('BalSht Data'!A$347=Q$1,'BalSht Data'!G$347:G$2999),0)),"")</f>
        <v/>
      </c>
      <c r="R18" s="14" t="str">
        <f>IFERROR(INDEX('BalSht Data'!H$370:H$2999,MATCH(A18,IF('BalSht Data'!A$370=R$1,'BalSht Data'!G$370:G$2999),0)),"")</f>
        <v/>
      </c>
      <c r="S18" s="14" t="str">
        <f>IFERROR(INDEX('BalSht Data'!H$393:H$2999,MATCH(A18,IF('BalSht Data'!A$393=S$1,'BalSht Data'!G$393:G$2999),0)),"")</f>
        <v/>
      </c>
      <c r="T18" s="14" t="str">
        <f>IFERROR(INDEX('BalSht Data'!H$416:H$2999,MATCH(A18,IF('BalSht Data'!A$416=T$1,'BalSht Data'!G$416:G$2999),0)),"")</f>
        <v/>
      </c>
      <c r="U18" s="14" t="str">
        <f>IFERROR(INDEX('BalSht Data'!H$439:H$2999,MATCH(A18,IF('BalSht Data'!A$439=U$1,'BalSht Data'!G$439:G$2999),0)),"")</f>
        <v/>
      </c>
      <c r="V18" s="14" t="str">
        <f>IFERROR(INDEX('BalSht Data'!H$462:H$2999,MATCH(A18,IF('BalSht Data'!A$462=V$1,'BalSht Data'!G$462:G$2999),0)),"")</f>
        <v/>
      </c>
      <c r="W18" s="14" t="str">
        <f>IFERROR(INDEX('BalSht Data'!H$485:H$2999,MATCH(A18,IF('BalSht Data'!A$485=W$1,'BalSht Data'!G$485:G$2999),0)),"")</f>
        <v/>
      </c>
      <c r="X18" s="14" t="str">
        <f>IFERROR(INDEX('BalSht Data'!H$508:H$2999,MATCH(A18,IF('BalSht Data'!A$508=X$1,'BalSht Data'!G$508:G$2999),0)),"")</f>
        <v/>
      </c>
      <c r="Y18" s="14" t="str">
        <f>IFERROR(INDEX('BalSht Data'!H$531:H$2999,MATCH(A18,IF('BalSht Data'!A$531=Y$1,'BalSht Data'!G$531:G$2999),0)),"")</f>
        <v/>
      </c>
      <c r="Z18" s="14" t="str">
        <f>IFERROR(INDEX('BalSht Data'!H$554:H$2999,MATCH(A18,IF('BalSht Data'!A$554=Z$1,'BalSht Data'!G$554:G$2999),0)),"")</f>
        <v/>
      </c>
      <c r="AA18" s="14" t="str">
        <f>IFERROR(INDEX('BalSht Data'!H$577:H$2999,MATCH(A18,IF('BalSht Data'!A$577=AA$1,'BalSht Data'!G$577:G$2999),0)),"")</f>
        <v/>
      </c>
      <c r="AB18" s="14" t="str">
        <f>IFERROR(INDEX('BalSht Data'!H$600:H$2999,MATCH(A18,IF('BalSht Data'!A$600=AB$1,'BalSht Data'!G$600:G$2999),0)),"")</f>
        <v/>
      </c>
      <c r="AC18" s="14" t="str">
        <f>IFERROR(INDEX('BalSht Data'!H$623:H$2999,MATCH(A18,IF('BalSht Data'!A$623=AC$1,'BalSht Data'!G$623:G$2999),0)),"")</f>
        <v/>
      </c>
      <c r="AD18" s="14" t="str">
        <f>IFERROR(INDEX('BalSht Data'!H$646:H$2999,MATCH(A18,IF('BalSht Data'!A$646=AD$1,'BalSht Data'!G$646:G$2999),0)),"")</f>
        <v/>
      </c>
      <c r="AE18" s="14" t="str">
        <f>IFERROR(INDEX('BalSht Data'!H$669:H$2999,MATCH(A18,IF('BalSht Data'!A$669=AE$1,'BalSht Data'!G$669:G$2999),0)),"")</f>
        <v/>
      </c>
      <c r="AF18" s="14" t="str">
        <f>IFERROR(INDEX('BalSht Data'!H$692:H$2999,MATCH(A18,IF('BalSht Data'!A$692=AF$1,'BalSht Data'!G$692:G$2999),0)),"")</f>
        <v/>
      </c>
      <c r="AG18" s="14" t="str">
        <f>IFERROR(INDEX('BalSht Data'!H$715:H$2999,MATCH(A18,IF('BalSht Data'!A$715=AG$1,'BalSht Data'!G$715:G$2999),0)),"")</f>
        <v/>
      </c>
      <c r="AH18" s="14" t="str">
        <f>IFERROR(INDEX('BalSht Data'!H$738:H$2999,MATCH(A18,IF('BalSht Data'!A$738=AH$1,'BalSht Data'!G$738:G$2999),0)),"")</f>
        <v/>
      </c>
      <c r="AI18" s="14" t="str">
        <f>IFERROR(INDEX('BalSht Data'!H$761:H$2999,MATCH(A18,IF('BalSht Data'!A$761=AI$1,'BalSht Data'!G$761:G$2999),0)),"")</f>
        <v/>
      </c>
      <c r="AJ18" s="14" t="str">
        <f>IFERROR(INDEX('BalSht Data'!H$784:H$2999,MATCH(A18,IF('BalSht Data'!A$784=AJ$1,'BalSht Data'!G$784:G$2999),0)),"")</f>
        <v/>
      </c>
      <c r="AK18" s="14" t="str">
        <f>IFERROR(INDEX('BalSht Data'!H$807:H$2999,MATCH(A18,IF('BalSht Data'!A$807=AK$1,'BalSht Data'!G$807:G$2999),0)),"")</f>
        <v/>
      </c>
      <c r="AL18" s="14" t="str">
        <f>IFERROR(INDEX('BalSht Data'!H$830:H$2999,MATCH(A18,IF('BalSht Data'!A$830=AL$1,'BalSht Data'!G$830:G$2999),0)),"")</f>
        <v/>
      </c>
      <c r="AM18" s="14" t="str">
        <f>IFERROR(INDEX('BalSht Data'!H$853:H$2999,MATCH(A18,IF('BalSht Data'!A$853=AM$1,'BalSht Data'!G$853:G$2999),0)),"")</f>
        <v/>
      </c>
      <c r="AN18" s="14" t="str">
        <f>IFERROR(INDEX('BalSht Data'!H$876:H$2999,MATCH(A18,IF('BalSht Data'!A$876=AN$1,'BalSht Data'!G$876:G$2999),0)),"")</f>
        <v/>
      </c>
      <c r="AO18" s="14" t="str">
        <f>IFERROR(INDEX('BalSht Data'!H$899:H$2999,MATCH(A18,IF('BalSht Data'!A$899=AO$1,'BalSht Data'!G$899:G$2999),0)),"")</f>
        <v/>
      </c>
      <c r="AP18" s="14" t="str">
        <f>IFERROR(INDEX('BalSht Data'!H$922:H$2999,MATCH(A18,IF('BalSht Data'!A$922=AP$1,'BalSht Data'!G$922:G$2999),0)),"")</f>
        <v/>
      </c>
      <c r="AQ18" s="14" t="str">
        <f>IFERROR(INDEX('BalSht Data'!H$945:H$2999,MATCH(A18,IF('BalSht Data'!A$945=AQ$1,'BalSht Data'!G$945:G$2999),0)),"")</f>
        <v/>
      </c>
      <c r="AR18" s="14" t="str">
        <f>IFERROR(INDEX('BalSht Data'!H$968:H$2999,MATCH(A18,IF('BalSht Data'!A$968=AR$1,'BalSht Data'!G$968:G$2999),0)),"")</f>
        <v/>
      </c>
      <c r="AS18" s="14" t="str">
        <f>IFERROR(INDEX('BalSht Data'!H$991:H$2999,MATCH(A18,IF('BalSht Data'!A$991=AS$1,'BalSht Data'!G$991:G$2999),0)),"")</f>
        <v/>
      </c>
      <c r="AT18" s="14" t="str">
        <f>IFERROR(INDEX('BalSht Data'!H$1014:H$2999,MATCH(A18,IF('BalSht Data'!A$1014=AT$1,'BalSht Data'!G$1014:G$2999),0)),"")</f>
        <v/>
      </c>
      <c r="AU18" s="14" t="str">
        <f>IFERROR(INDEX('BalSht Data'!H$1037:H$2999,MATCH(A18,IF('BalSht Data'!A$1037=AU$1,'BalSht Data'!G$1037:G$2999),0)),"")</f>
        <v/>
      </c>
      <c r="AV18" s="14" t="str">
        <f>IFERROR(INDEX('BalSht Data'!H$1060:H$2999,MATCH(A18,IF('BalSht Data'!A$1060=AV$1,'BalSht Data'!G$1060:G$2999),0)),"")</f>
        <v/>
      </c>
      <c r="AW18" s="14" t="str">
        <f>IFERROR(INDEX('BalSht Data'!H$1083:H$2999,MATCH(A18,IF('BalSht Data'!A$1083=AW$1,'BalSht Data'!G$1083:G$2999),0)),"")</f>
        <v/>
      </c>
      <c r="AX18" s="14" t="str">
        <f>IFERROR(INDEX('BalSht Data'!H$1106:H$2999,MATCH(A18,IF('BalSht Data'!A$1106=AX$1,'BalSht Data'!G$1106:G$2999),0)),"")</f>
        <v/>
      </c>
      <c r="AY18" s="14" t="str">
        <f>IFERROR(INDEX('BalSht Data'!H$1129:H$2999,MATCH(A18,IF('BalSht Data'!A$1129=AY$1,'BalSht Data'!G$1129:G$2999),0)),"")</f>
        <v/>
      </c>
      <c r="AZ18" s="14" t="str">
        <f>IFERROR(INDEX('BalSht Data'!H$1152:H$2999,MATCH(A18,IF('BalSht Data'!A$1152=AZ$1,'BalSht Data'!G$1152:G$2999),0)),"")</f>
        <v/>
      </c>
      <c r="BA18" s="14" t="str">
        <f>IFERROR(INDEX('BalSht Data'!H$1175:H$2999,MATCH(A18,IF('BalSht Data'!A$1175=BA$1,'BalSht Data'!G$1175:G$2999),0)),"")</f>
        <v/>
      </c>
      <c r="BB18" s="14" t="str">
        <f>IFERROR(INDEX('BalSht Data'!H$1198:H$2999,MATCH(A18,IF('BalSht Data'!A$1198=BB$1,'BalSht Data'!G$1198:G$2999),0)),"")</f>
        <v/>
      </c>
      <c r="BC18" s="14" t="str">
        <f>IFERROR(INDEX('BalSht Data'!H$1221:H$2999,MATCH(A18,IF('BalSht Data'!A$1221=BC$1,'BalSht Data'!G$1221:G$2999),0)),"")</f>
        <v/>
      </c>
      <c r="BD18" s="14" t="str">
        <f>IFERROR(INDEX('BalSht Data'!H$1244:H$2999,MATCH(A18,IF('BalSht Data'!A$1244=BD$1,'BalSht Data'!G$1244:G$2999),0)),"")</f>
        <v/>
      </c>
      <c r="BE18" s="14" t="str">
        <f>IFERROR(INDEX('BalSht Data'!H$1267:H$2999,MATCH(A18,IF('BalSht Data'!A$1267=BE$1,'BalSht Data'!G$1267:G$2999),0)),"")</f>
        <v/>
      </c>
      <c r="BF18" s="14"/>
    </row>
    <row r="19" spans="1:58" x14ac:dyDescent="0.2">
      <c r="A19" s="5" t="s">
        <v>25</v>
      </c>
      <c r="B19" s="14" t="str">
        <f>IFERROR(INDEX('BalSht Data'!H$2:H$2999,MATCH(A19,IF('BalSht Data'!A$2=B$1,'BalSht Data'!G$2:G$2999),0)),"")</f>
        <v/>
      </c>
      <c r="C19" s="14">
        <f>IFERROR(INDEX('BalSht Data'!H$25:H$2999,MATCH(A19,IF('BalSht Data'!A$25=C$1,'BalSht Data'!G$2:G$2999),0)),"")</f>
        <v>999</v>
      </c>
      <c r="D19" s="14">
        <f>IFERROR(INDEX('BalSht Data'!H$48:H$2999,MATCH(A19,IF('BalSht Data'!A$48=D$1,'BalSht Data'!G$48:G$2999),0)),"")</f>
        <v>7878787</v>
      </c>
      <c r="E19" s="14">
        <f>IFERROR(INDEX('BalSht Data'!H$71:H$2999,MATCH(A19,IF('BalSht Data'!A$71=E$1,'BalSht Data'!G$71:G$2999),0)),"")</f>
        <v>36333</v>
      </c>
      <c r="F19" s="14">
        <f>IFERROR(INDEX('BalSht Data'!H$94:H$2999,MATCH(A19,IF('BalSht Data'!A$94=F$1,'BalSht Data'!G$94:G$2999),0)),"")</f>
        <v>88888</v>
      </c>
      <c r="G19" s="14">
        <f>IFERROR(INDEX('BalSht Data'!H$117:H$2999,MATCH(A19,IF('BalSht Data'!A$117=G$1,'BalSht Data'!G$117:G$2999),0)),"")</f>
        <v>22222</v>
      </c>
      <c r="H19" s="14">
        <f>IFERROR(INDEX('BalSht Data'!H$140:H$2999,MATCH(A19,IF('BalSht Data'!A$140=H$1,'BalSht Data'!G$140:G$2999),0)),"")</f>
        <v>22222</v>
      </c>
      <c r="I19" s="14">
        <f>IFERROR(INDEX('BalSht Data'!H$163:H$2999,MATCH(A19,IF('BalSht Data'!A$163=I$1,'BalSht Data'!G$163:G$2999),0)),"")</f>
        <v>22222</v>
      </c>
      <c r="J19" s="14" t="str">
        <f>IFERROR(INDEX('BalSht Data'!H$186:H$2999,MATCH(A19,IF('BalSht Data'!A$186=J$1,'BalSht Data'!G$186:G$2999),0)),"")</f>
        <v/>
      </c>
      <c r="K19" s="14" t="str">
        <f>IFERROR(INDEX('BalSht Data'!H$209:H$2999,MATCH(A19,IF('BalSht Data'!A$209=K$1,'BalSht Data'!G$209:G$2999),0)),"")</f>
        <v/>
      </c>
      <c r="L19" s="14" t="str">
        <f>IFERROR(INDEX('BalSht Data'!H$232:H$2999,MATCH(A19,IF('BalSht Data'!A$232=L$1,'BalSht Data'!G$232:G$2999),0)),"")</f>
        <v/>
      </c>
      <c r="M19" s="14" t="str">
        <f>IFERROR(INDEX('BalSht Data'!H$255:H$2999,MATCH(A19,IF('BalSht Data'!A$255=M$1,'BalSht Data'!G$255:G$2999),0)),"")</f>
        <v/>
      </c>
      <c r="N19" s="14" t="str">
        <f>IFERROR(INDEX('BalSht Data'!H$278:H$2999,MATCH(A19,IF('BalSht Data'!A$278=N$1,'BalSht Data'!G$278:G$2999),0)),"")</f>
        <v/>
      </c>
      <c r="O19" s="14" t="str">
        <f>IFERROR(INDEX('BalSht Data'!H$301:H$2999,MATCH(A19,IF('BalSht Data'!A$301=O$1,'BalSht Data'!G$301:G$2999),0)),"")</f>
        <v/>
      </c>
      <c r="P19" s="14" t="str">
        <f>IFERROR(INDEX('BalSht Data'!H$324:H$2999,MATCH(A19,IF('BalSht Data'!A$324=P$1,'BalSht Data'!G$324:G$2999),0)),"")</f>
        <v/>
      </c>
      <c r="Q19" s="14" t="str">
        <f>IFERROR(INDEX('BalSht Data'!H$347:H$2999,MATCH(A19,IF('BalSht Data'!A$347=Q$1,'BalSht Data'!G$347:G$2999),0)),"")</f>
        <v/>
      </c>
      <c r="R19" s="14" t="str">
        <f>IFERROR(INDEX('BalSht Data'!H$370:H$2999,MATCH(A19,IF('BalSht Data'!A$370=R$1,'BalSht Data'!G$370:G$2999),0)),"")</f>
        <v/>
      </c>
      <c r="S19" s="14" t="str">
        <f>IFERROR(INDEX('BalSht Data'!H$393:H$2999,MATCH(A19,IF('BalSht Data'!A$393=S$1,'BalSht Data'!G$393:G$2999),0)),"")</f>
        <v/>
      </c>
      <c r="T19" s="14" t="str">
        <f>IFERROR(INDEX('BalSht Data'!H$416:H$2999,MATCH(A19,IF('BalSht Data'!A$416=T$1,'BalSht Data'!G$416:G$2999),0)),"")</f>
        <v/>
      </c>
      <c r="U19" s="14" t="str">
        <f>IFERROR(INDEX('BalSht Data'!H$439:H$2999,MATCH(A19,IF('BalSht Data'!A$439=U$1,'BalSht Data'!G$439:G$2999),0)),"")</f>
        <v/>
      </c>
      <c r="V19" s="14" t="str">
        <f>IFERROR(INDEX('BalSht Data'!H$462:H$2999,MATCH(A19,IF('BalSht Data'!A$462=V$1,'BalSht Data'!G$462:G$2999),0)),"")</f>
        <v/>
      </c>
      <c r="W19" s="14" t="str">
        <f>IFERROR(INDEX('BalSht Data'!H$485:H$2999,MATCH(A19,IF('BalSht Data'!A$485=W$1,'BalSht Data'!G$485:G$2999),0)),"")</f>
        <v/>
      </c>
      <c r="X19" s="14" t="str">
        <f>IFERROR(INDEX('BalSht Data'!H$508:H$2999,MATCH(A19,IF('BalSht Data'!A$508=X$1,'BalSht Data'!G$508:G$2999),0)),"")</f>
        <v/>
      </c>
      <c r="Y19" s="14" t="str">
        <f>IFERROR(INDEX('BalSht Data'!H$531:H$2999,MATCH(A19,IF('BalSht Data'!A$531=Y$1,'BalSht Data'!G$531:G$2999),0)),"")</f>
        <v/>
      </c>
      <c r="Z19" s="14" t="str">
        <f>IFERROR(INDEX('BalSht Data'!H$554:H$2999,MATCH(A19,IF('BalSht Data'!A$554=Z$1,'BalSht Data'!G$554:G$2999),0)),"")</f>
        <v/>
      </c>
      <c r="AA19" s="14" t="str">
        <f>IFERROR(INDEX('BalSht Data'!H$577:H$2999,MATCH(A19,IF('BalSht Data'!A$577=AA$1,'BalSht Data'!G$577:G$2999),0)),"")</f>
        <v/>
      </c>
      <c r="AB19" s="14" t="str">
        <f>IFERROR(INDEX('BalSht Data'!H$600:H$2999,MATCH(A19,IF('BalSht Data'!A$600=AB$1,'BalSht Data'!G$600:G$2999),0)),"")</f>
        <v/>
      </c>
      <c r="AC19" s="14" t="str">
        <f>IFERROR(INDEX('BalSht Data'!H$623:H$2999,MATCH(A19,IF('BalSht Data'!A$623=AC$1,'BalSht Data'!G$623:G$2999),0)),"")</f>
        <v/>
      </c>
      <c r="AD19" s="14" t="str">
        <f>IFERROR(INDEX('BalSht Data'!H$646:H$2999,MATCH(A19,IF('BalSht Data'!A$646=AD$1,'BalSht Data'!G$646:G$2999),0)),"")</f>
        <v/>
      </c>
      <c r="AE19" s="14" t="str">
        <f>IFERROR(INDEX('BalSht Data'!H$669:H$2999,MATCH(A19,IF('BalSht Data'!A$669=AE$1,'BalSht Data'!G$669:G$2999),0)),"")</f>
        <v/>
      </c>
      <c r="AF19" s="14" t="str">
        <f>IFERROR(INDEX('BalSht Data'!H$692:H$2999,MATCH(A19,IF('BalSht Data'!A$692=AF$1,'BalSht Data'!G$692:G$2999),0)),"")</f>
        <v/>
      </c>
      <c r="AG19" s="14" t="str">
        <f>IFERROR(INDEX('BalSht Data'!H$715:H$2999,MATCH(A19,IF('BalSht Data'!A$715=AG$1,'BalSht Data'!G$715:G$2999),0)),"")</f>
        <v/>
      </c>
      <c r="AH19" s="14" t="str">
        <f>IFERROR(INDEX('BalSht Data'!H$738:H$2999,MATCH(A19,IF('BalSht Data'!A$738=AH$1,'BalSht Data'!G$738:G$2999),0)),"")</f>
        <v/>
      </c>
      <c r="AI19" s="14" t="str">
        <f>IFERROR(INDEX('BalSht Data'!H$761:H$2999,MATCH(A19,IF('BalSht Data'!A$761=AI$1,'BalSht Data'!G$761:G$2999),0)),"")</f>
        <v/>
      </c>
      <c r="AJ19" s="14" t="str">
        <f>IFERROR(INDEX('BalSht Data'!H$784:H$2999,MATCH(A19,IF('BalSht Data'!A$784=AJ$1,'BalSht Data'!G$784:G$2999),0)),"")</f>
        <v/>
      </c>
      <c r="AK19" s="14" t="str">
        <f>IFERROR(INDEX('BalSht Data'!H$807:H$2999,MATCH(A19,IF('BalSht Data'!A$807=AK$1,'BalSht Data'!G$807:G$2999),0)),"")</f>
        <v/>
      </c>
      <c r="AL19" s="14" t="str">
        <f>IFERROR(INDEX('BalSht Data'!H$830:H$2999,MATCH(A19,IF('BalSht Data'!A$830=AL$1,'BalSht Data'!G$830:G$2999),0)),"")</f>
        <v/>
      </c>
      <c r="AM19" s="14" t="str">
        <f>IFERROR(INDEX('BalSht Data'!H$853:H$2999,MATCH(A19,IF('BalSht Data'!A$853=AM$1,'BalSht Data'!G$853:G$2999),0)),"")</f>
        <v/>
      </c>
      <c r="AN19" s="14" t="str">
        <f>IFERROR(INDEX('BalSht Data'!H$876:H$2999,MATCH(A19,IF('BalSht Data'!A$876=AN$1,'BalSht Data'!G$876:G$2999),0)),"")</f>
        <v/>
      </c>
      <c r="AO19" s="14" t="str">
        <f>IFERROR(INDEX('BalSht Data'!H$899:H$2999,MATCH(A19,IF('BalSht Data'!A$899=AO$1,'BalSht Data'!G$899:G$2999),0)),"")</f>
        <v/>
      </c>
      <c r="AP19" s="14" t="str">
        <f>IFERROR(INDEX('BalSht Data'!H$922:H$2999,MATCH(A19,IF('BalSht Data'!A$922=AP$1,'BalSht Data'!G$922:G$2999),0)),"")</f>
        <v/>
      </c>
      <c r="AQ19" s="14" t="str">
        <f>IFERROR(INDEX('BalSht Data'!H$945:H$2999,MATCH(A19,IF('BalSht Data'!A$945=AQ$1,'BalSht Data'!G$945:G$2999),0)),"")</f>
        <v/>
      </c>
      <c r="AR19" s="14" t="str">
        <f>IFERROR(INDEX('BalSht Data'!H$968:H$2999,MATCH(A19,IF('BalSht Data'!A$968=AR$1,'BalSht Data'!G$968:G$2999),0)),"")</f>
        <v/>
      </c>
      <c r="AS19" s="14" t="str">
        <f>IFERROR(INDEX('BalSht Data'!H$991:H$2999,MATCH(A19,IF('BalSht Data'!A$991=AS$1,'BalSht Data'!G$991:G$2999),0)),"")</f>
        <v/>
      </c>
      <c r="AT19" s="14" t="str">
        <f>IFERROR(INDEX('BalSht Data'!H$1014:H$2999,MATCH(A19,IF('BalSht Data'!A$1014=AT$1,'BalSht Data'!G$1014:G$2999),0)),"")</f>
        <v/>
      </c>
      <c r="AU19" s="14" t="str">
        <f>IFERROR(INDEX('BalSht Data'!H$1037:H$2999,MATCH(A19,IF('BalSht Data'!A$1037=AU$1,'BalSht Data'!G$1037:G$2999),0)),"")</f>
        <v/>
      </c>
      <c r="AV19" s="14" t="str">
        <f>IFERROR(INDEX('BalSht Data'!H$1060:H$2999,MATCH(A19,IF('BalSht Data'!A$1060=AV$1,'BalSht Data'!G$1060:G$2999),0)),"")</f>
        <v/>
      </c>
      <c r="AW19" s="14" t="str">
        <f>IFERROR(INDEX('BalSht Data'!H$1083:H$2999,MATCH(A19,IF('BalSht Data'!A$1083=AW$1,'BalSht Data'!G$1083:G$2999),0)),"")</f>
        <v/>
      </c>
      <c r="AX19" s="14" t="str">
        <f>IFERROR(INDEX('BalSht Data'!H$1106:H$2999,MATCH(A19,IF('BalSht Data'!A$1106=AX$1,'BalSht Data'!G$1106:G$2999),0)),"")</f>
        <v/>
      </c>
      <c r="AY19" s="14" t="str">
        <f>IFERROR(INDEX('BalSht Data'!H$1129:H$2999,MATCH(A19,IF('BalSht Data'!A$1129=AY$1,'BalSht Data'!G$1129:G$2999),0)),"")</f>
        <v/>
      </c>
      <c r="AZ19" s="14" t="str">
        <f>IFERROR(INDEX('BalSht Data'!H$1152:H$2999,MATCH(A19,IF('BalSht Data'!A$1152=AZ$1,'BalSht Data'!G$1152:G$2999),0)),"")</f>
        <v/>
      </c>
      <c r="BA19" s="14" t="str">
        <f>IFERROR(INDEX('BalSht Data'!H$1175:H$2999,MATCH(A19,IF('BalSht Data'!A$1175=BA$1,'BalSht Data'!G$1175:G$2999),0)),"")</f>
        <v/>
      </c>
      <c r="BB19" s="14" t="str">
        <f>IFERROR(INDEX('BalSht Data'!H$1198:H$2999,MATCH(A19,IF('BalSht Data'!A$1198=BB$1,'BalSht Data'!G$1198:G$2999),0)),"")</f>
        <v/>
      </c>
      <c r="BC19" s="14" t="str">
        <f>IFERROR(INDEX('BalSht Data'!H$1221:H$2999,MATCH(A19,IF('BalSht Data'!A$1221=BC$1,'BalSht Data'!G$1221:G$2999),0)),"")</f>
        <v/>
      </c>
      <c r="BD19" s="14" t="str">
        <f>IFERROR(INDEX('BalSht Data'!H$1244:H$2999,MATCH(A19,IF('BalSht Data'!A$1244=BD$1,'BalSht Data'!G$1244:G$2999),0)),"")</f>
        <v/>
      </c>
      <c r="BE19" s="14" t="str">
        <f>IFERROR(INDEX('BalSht Data'!H$1267:H$2999,MATCH(A19,IF('BalSht Data'!A$1267=BE$1,'BalSht Data'!G$1267:G$2999),0)),"")</f>
        <v/>
      </c>
      <c r="BF19" s="14"/>
    </row>
    <row r="20" spans="1:58" x14ac:dyDescent="0.2">
      <c r="A20" s="5" t="s">
        <v>26</v>
      </c>
      <c r="B20" s="14" t="str">
        <f>IFERROR(INDEX('BalSht Data'!H$2:H$2999,MATCH(A20,IF('BalSht Data'!A$2=B$1,'BalSht Data'!G$2:G$2999),0)),"")</f>
        <v/>
      </c>
      <c r="C20" s="14">
        <f>IFERROR(INDEX('BalSht Data'!H$25:H$2999,MATCH(A20,IF('BalSht Data'!A$25=C$1,'BalSht Data'!G$2:G$2999),0)),"")</f>
        <v>999</v>
      </c>
      <c r="D20" s="14">
        <f>IFERROR(INDEX('BalSht Data'!H$48:H$2999,MATCH(A20,IF('BalSht Data'!A$48=D$1,'BalSht Data'!G$48:G$2999),0)),"")</f>
        <v>7878787</v>
      </c>
      <c r="E20" s="14">
        <f>IFERROR(INDEX('BalSht Data'!H$71:H$2999,MATCH(A20,IF('BalSht Data'!A$71=E$1,'BalSht Data'!G$71:G$2999),0)),"")</f>
        <v>36333</v>
      </c>
      <c r="F20" s="14">
        <f>IFERROR(INDEX('BalSht Data'!H$94:H$2999,MATCH(A20,IF('BalSht Data'!A$94=F$1,'BalSht Data'!G$94:G$2999),0)),"")</f>
        <v>88888</v>
      </c>
      <c r="G20" s="14">
        <f>IFERROR(INDEX('BalSht Data'!H$117:H$2999,MATCH(A20,IF('BalSht Data'!A$117=G$1,'BalSht Data'!G$117:G$2999),0)),"")</f>
        <v>22222</v>
      </c>
      <c r="H20" s="14">
        <f>IFERROR(INDEX('BalSht Data'!H$140:H$2999,MATCH(A20,IF('BalSht Data'!A$140=H$1,'BalSht Data'!G$140:G$2999),0)),"")</f>
        <v>22222</v>
      </c>
      <c r="I20" s="14">
        <f>IFERROR(INDEX('BalSht Data'!H$163:H$2999,MATCH(A20,IF('BalSht Data'!A$163=I$1,'BalSht Data'!G$163:G$2999),0)),"")</f>
        <v>22222</v>
      </c>
      <c r="J20" s="14" t="str">
        <f>IFERROR(INDEX('BalSht Data'!H$186:H$2999,MATCH(A20,IF('BalSht Data'!A$186=J$1,'BalSht Data'!G$186:G$2999),0)),"")</f>
        <v/>
      </c>
      <c r="K20" s="14" t="str">
        <f>IFERROR(INDEX('BalSht Data'!H$209:H$2999,MATCH(A20,IF('BalSht Data'!A$209=K$1,'BalSht Data'!G$209:G$2999),0)),"")</f>
        <v/>
      </c>
      <c r="L20" s="14" t="str">
        <f>IFERROR(INDEX('BalSht Data'!H$232:H$2999,MATCH(A20,IF('BalSht Data'!A$232=L$1,'BalSht Data'!G$232:G$2999),0)),"")</f>
        <v/>
      </c>
      <c r="M20" s="14" t="str">
        <f>IFERROR(INDEX('BalSht Data'!H$255:H$2999,MATCH(A20,IF('BalSht Data'!A$255=M$1,'BalSht Data'!G$255:G$2999),0)),"")</f>
        <v/>
      </c>
      <c r="N20" s="14" t="str">
        <f>IFERROR(INDEX('BalSht Data'!H$278:H$2999,MATCH(A20,IF('BalSht Data'!A$278=N$1,'BalSht Data'!G$278:G$2999),0)),"")</f>
        <v/>
      </c>
      <c r="O20" s="14" t="str">
        <f>IFERROR(INDEX('BalSht Data'!H$301:H$2999,MATCH(A20,IF('BalSht Data'!A$301=O$1,'BalSht Data'!G$301:G$2999),0)),"")</f>
        <v/>
      </c>
      <c r="P20" s="14" t="str">
        <f>IFERROR(INDEX('BalSht Data'!H$324:H$2999,MATCH(A20,IF('BalSht Data'!A$324=P$1,'BalSht Data'!G$324:G$2999),0)),"")</f>
        <v/>
      </c>
      <c r="Q20" s="14" t="str">
        <f>IFERROR(INDEX('BalSht Data'!H$347:H$2999,MATCH(A20,IF('BalSht Data'!A$347=Q$1,'BalSht Data'!G$347:G$2999),0)),"")</f>
        <v/>
      </c>
      <c r="R20" s="14" t="str">
        <f>IFERROR(INDEX('BalSht Data'!H$370:H$2999,MATCH(A20,IF('BalSht Data'!A$370=R$1,'BalSht Data'!G$370:G$2999),0)),"")</f>
        <v/>
      </c>
      <c r="S20" s="14" t="str">
        <f>IFERROR(INDEX('BalSht Data'!H$393:H$2999,MATCH(A20,IF('BalSht Data'!A$393=S$1,'BalSht Data'!G$393:G$2999),0)),"")</f>
        <v/>
      </c>
      <c r="T20" s="14" t="str">
        <f>IFERROR(INDEX('BalSht Data'!H$416:H$2999,MATCH(A20,IF('BalSht Data'!A$416=T$1,'BalSht Data'!G$416:G$2999),0)),"")</f>
        <v/>
      </c>
      <c r="U20" s="14" t="str">
        <f>IFERROR(INDEX('BalSht Data'!H$439:H$2999,MATCH(A20,IF('BalSht Data'!A$439=U$1,'BalSht Data'!G$439:G$2999),0)),"")</f>
        <v/>
      </c>
      <c r="V20" s="14" t="str">
        <f>IFERROR(INDEX('BalSht Data'!H$462:H$2999,MATCH(A20,IF('BalSht Data'!A$462=V$1,'BalSht Data'!G$462:G$2999),0)),"")</f>
        <v/>
      </c>
      <c r="W20" s="14" t="str">
        <f>IFERROR(INDEX('BalSht Data'!H$485:H$2999,MATCH(A20,IF('BalSht Data'!A$485=W$1,'BalSht Data'!G$485:G$2999),0)),"")</f>
        <v/>
      </c>
      <c r="X20" s="14" t="str">
        <f>IFERROR(INDEX('BalSht Data'!H$508:H$2999,MATCH(A20,IF('BalSht Data'!A$508=X$1,'BalSht Data'!G$508:G$2999),0)),"")</f>
        <v/>
      </c>
      <c r="Y20" s="14" t="str">
        <f>IFERROR(INDEX('BalSht Data'!H$531:H$2999,MATCH(A20,IF('BalSht Data'!A$531=Y$1,'BalSht Data'!G$531:G$2999),0)),"")</f>
        <v/>
      </c>
      <c r="Z20" s="14" t="str">
        <f>IFERROR(INDEX('BalSht Data'!H$554:H$2999,MATCH(A20,IF('BalSht Data'!A$554=Z$1,'BalSht Data'!G$554:G$2999),0)),"")</f>
        <v/>
      </c>
      <c r="AA20" s="14" t="str">
        <f>IFERROR(INDEX('BalSht Data'!H$577:H$2999,MATCH(A20,IF('BalSht Data'!A$577=AA$1,'BalSht Data'!G$577:G$2999),0)),"")</f>
        <v/>
      </c>
      <c r="AB20" s="14" t="str">
        <f>IFERROR(INDEX('BalSht Data'!H$600:H$2999,MATCH(A20,IF('BalSht Data'!A$600=AB$1,'BalSht Data'!G$600:G$2999),0)),"")</f>
        <v/>
      </c>
      <c r="AC20" s="14" t="str">
        <f>IFERROR(INDEX('BalSht Data'!H$623:H$2999,MATCH(A20,IF('BalSht Data'!A$623=AC$1,'BalSht Data'!G$623:G$2999),0)),"")</f>
        <v/>
      </c>
      <c r="AD20" s="14" t="str">
        <f>IFERROR(INDEX('BalSht Data'!H$646:H$2999,MATCH(A20,IF('BalSht Data'!A$646=AD$1,'BalSht Data'!G$646:G$2999),0)),"")</f>
        <v/>
      </c>
      <c r="AE20" s="14" t="str">
        <f>IFERROR(INDEX('BalSht Data'!H$669:H$2999,MATCH(A20,IF('BalSht Data'!A$669=AE$1,'BalSht Data'!G$669:G$2999),0)),"")</f>
        <v/>
      </c>
      <c r="AF20" s="14" t="str">
        <f>IFERROR(INDEX('BalSht Data'!H$692:H$2999,MATCH(A20,IF('BalSht Data'!A$692=AF$1,'BalSht Data'!G$692:G$2999),0)),"")</f>
        <v/>
      </c>
      <c r="AG20" s="14" t="str">
        <f>IFERROR(INDEX('BalSht Data'!H$715:H$2999,MATCH(A20,IF('BalSht Data'!A$715=AG$1,'BalSht Data'!G$715:G$2999),0)),"")</f>
        <v/>
      </c>
      <c r="AH20" s="14" t="str">
        <f>IFERROR(INDEX('BalSht Data'!H$738:H$2999,MATCH(A20,IF('BalSht Data'!A$738=AH$1,'BalSht Data'!G$738:G$2999),0)),"")</f>
        <v/>
      </c>
      <c r="AI20" s="14" t="str">
        <f>IFERROR(INDEX('BalSht Data'!H$761:H$2999,MATCH(A20,IF('BalSht Data'!A$761=AI$1,'BalSht Data'!G$761:G$2999),0)),"")</f>
        <v/>
      </c>
      <c r="AJ20" s="14" t="str">
        <f>IFERROR(INDEX('BalSht Data'!H$784:H$2999,MATCH(A20,IF('BalSht Data'!A$784=AJ$1,'BalSht Data'!G$784:G$2999),0)),"")</f>
        <v/>
      </c>
      <c r="AK20" s="14" t="str">
        <f>IFERROR(INDEX('BalSht Data'!H$807:H$2999,MATCH(A20,IF('BalSht Data'!A$807=AK$1,'BalSht Data'!G$807:G$2999),0)),"")</f>
        <v/>
      </c>
      <c r="AL20" s="14" t="str">
        <f>IFERROR(INDEX('BalSht Data'!H$830:H$2999,MATCH(A20,IF('BalSht Data'!A$830=AL$1,'BalSht Data'!G$830:G$2999),0)),"")</f>
        <v/>
      </c>
      <c r="AM20" s="14" t="str">
        <f>IFERROR(INDEX('BalSht Data'!H$853:H$2999,MATCH(A20,IF('BalSht Data'!A$853=AM$1,'BalSht Data'!G$853:G$2999),0)),"")</f>
        <v/>
      </c>
      <c r="AN20" s="14" t="str">
        <f>IFERROR(INDEX('BalSht Data'!H$876:H$2999,MATCH(A20,IF('BalSht Data'!A$876=AN$1,'BalSht Data'!G$876:G$2999),0)),"")</f>
        <v/>
      </c>
      <c r="AO20" s="14" t="str">
        <f>IFERROR(INDEX('BalSht Data'!H$899:H$2999,MATCH(A20,IF('BalSht Data'!A$899=AO$1,'BalSht Data'!G$899:G$2999),0)),"")</f>
        <v/>
      </c>
      <c r="AP20" s="14" t="str">
        <f>IFERROR(INDEX('BalSht Data'!H$922:H$2999,MATCH(A20,IF('BalSht Data'!A$922=AP$1,'BalSht Data'!G$922:G$2999),0)),"")</f>
        <v/>
      </c>
      <c r="AQ20" s="14" t="str">
        <f>IFERROR(INDEX('BalSht Data'!H$945:H$2999,MATCH(A20,IF('BalSht Data'!A$945=AQ$1,'BalSht Data'!G$945:G$2999),0)),"")</f>
        <v/>
      </c>
      <c r="AR20" s="14" t="str">
        <f>IFERROR(INDEX('BalSht Data'!H$968:H$2999,MATCH(A20,IF('BalSht Data'!A$968=AR$1,'BalSht Data'!G$968:G$2999),0)),"")</f>
        <v/>
      </c>
      <c r="AS20" s="14" t="str">
        <f>IFERROR(INDEX('BalSht Data'!H$991:H$2999,MATCH(A20,IF('BalSht Data'!A$991=AS$1,'BalSht Data'!G$991:G$2999),0)),"")</f>
        <v/>
      </c>
      <c r="AT20" s="14" t="str">
        <f>IFERROR(INDEX('BalSht Data'!H$1014:H$2999,MATCH(A20,IF('BalSht Data'!A$1014=AT$1,'BalSht Data'!G$1014:G$2999),0)),"")</f>
        <v/>
      </c>
      <c r="AU20" s="14" t="str">
        <f>IFERROR(INDEX('BalSht Data'!H$1037:H$2999,MATCH(A20,IF('BalSht Data'!A$1037=AU$1,'BalSht Data'!G$1037:G$2999),0)),"")</f>
        <v/>
      </c>
      <c r="AV20" s="14" t="str">
        <f>IFERROR(INDEX('BalSht Data'!H$1060:H$2999,MATCH(A20,IF('BalSht Data'!A$1060=AV$1,'BalSht Data'!G$1060:G$2999),0)),"")</f>
        <v/>
      </c>
      <c r="AW20" s="14" t="str">
        <f>IFERROR(INDEX('BalSht Data'!H$1083:H$2999,MATCH(A20,IF('BalSht Data'!A$1083=AW$1,'BalSht Data'!G$1083:G$2999),0)),"")</f>
        <v/>
      </c>
      <c r="AX20" s="14" t="str">
        <f>IFERROR(INDEX('BalSht Data'!H$1106:H$2999,MATCH(A20,IF('BalSht Data'!A$1106=AX$1,'BalSht Data'!G$1106:G$2999),0)),"")</f>
        <v/>
      </c>
      <c r="AY20" s="14" t="str">
        <f>IFERROR(INDEX('BalSht Data'!H$1129:H$2999,MATCH(A20,IF('BalSht Data'!A$1129=AY$1,'BalSht Data'!G$1129:G$2999),0)),"")</f>
        <v/>
      </c>
      <c r="AZ20" s="14" t="str">
        <f>IFERROR(INDEX('BalSht Data'!H$1152:H$2999,MATCH(A20,IF('BalSht Data'!A$1152=AZ$1,'BalSht Data'!G$1152:G$2999),0)),"")</f>
        <v/>
      </c>
      <c r="BA20" s="14" t="str">
        <f>IFERROR(INDEX('BalSht Data'!H$1175:H$2999,MATCH(A20,IF('BalSht Data'!A$1175=BA$1,'BalSht Data'!G$1175:G$2999),0)),"")</f>
        <v/>
      </c>
      <c r="BB20" s="14" t="str">
        <f>IFERROR(INDEX('BalSht Data'!H$1198:H$2999,MATCH(A20,IF('BalSht Data'!A$1198=BB$1,'BalSht Data'!G$1198:G$2999),0)),"")</f>
        <v/>
      </c>
      <c r="BC20" s="14" t="str">
        <f>IFERROR(INDEX('BalSht Data'!H$1221:H$2999,MATCH(A20,IF('BalSht Data'!A$1221=BC$1,'BalSht Data'!G$1221:G$2999),0)),"")</f>
        <v/>
      </c>
      <c r="BD20" s="14" t="str">
        <f>IFERROR(INDEX('BalSht Data'!H$1244:H$2999,MATCH(A20,IF('BalSht Data'!A$1244=BD$1,'BalSht Data'!G$1244:G$2999),0)),"")</f>
        <v/>
      </c>
      <c r="BE20" s="14" t="str">
        <f>IFERROR(INDEX('BalSht Data'!H$1267:H$2999,MATCH(A20,IF('BalSht Data'!A$1267=BE$1,'BalSht Data'!G$1267:G$2999),0)),"")</f>
        <v/>
      </c>
      <c r="BF20" s="14"/>
    </row>
    <row r="21" spans="1:58" x14ac:dyDescent="0.2">
      <c r="A21" s="5" t="s">
        <v>27</v>
      </c>
      <c r="B21" s="14" t="str">
        <f>IFERROR(INDEX('BalSht Data'!H$2:H$2999,MATCH(A21,IF('BalSht Data'!A$2=B$1,'BalSht Data'!G$2:G$2999),0)),"")</f>
        <v/>
      </c>
      <c r="C21" s="14">
        <f>IFERROR(INDEX('BalSht Data'!H$25:H$2999,MATCH(A21,IF('BalSht Data'!A$25=C$1,'BalSht Data'!G$2:G$2999),0)),"")</f>
        <v>999</v>
      </c>
      <c r="D21" s="14">
        <f>IFERROR(INDEX('BalSht Data'!H$48:H$2999,MATCH(A21,IF('BalSht Data'!A$48=D$1,'BalSht Data'!G$48:G$2999),0)),"")</f>
        <v>7878787</v>
      </c>
      <c r="E21" s="14">
        <f>IFERROR(INDEX('BalSht Data'!H$71:H$2999,MATCH(A21,IF('BalSht Data'!A$71=E$1,'BalSht Data'!G$71:G$2999),0)),"")</f>
        <v>36333</v>
      </c>
      <c r="F21" s="14">
        <f>IFERROR(INDEX('BalSht Data'!H$94:H$2999,MATCH(A21,IF('BalSht Data'!A$94=F$1,'BalSht Data'!G$94:G$2999),0)),"")</f>
        <v>88888</v>
      </c>
      <c r="G21" s="14">
        <f>IFERROR(INDEX('BalSht Data'!H$117:H$2999,MATCH(A21,IF('BalSht Data'!A$117=G$1,'BalSht Data'!G$117:G$2999),0)),"")</f>
        <v>22222</v>
      </c>
      <c r="H21" s="14">
        <f>IFERROR(INDEX('BalSht Data'!H$140:H$2999,MATCH(A21,IF('BalSht Data'!A$140=H$1,'BalSht Data'!G$140:G$2999),0)),"")</f>
        <v>22222</v>
      </c>
      <c r="I21" s="14">
        <f>IFERROR(INDEX('BalSht Data'!H$163:H$2999,MATCH(A21,IF('BalSht Data'!A$163=I$1,'BalSht Data'!G$163:G$2999),0)),"")</f>
        <v>22222</v>
      </c>
      <c r="J21" s="14" t="str">
        <f>IFERROR(INDEX('BalSht Data'!H$186:H$2999,MATCH(A21,IF('BalSht Data'!A$186=J$1,'BalSht Data'!G$186:G$2999),0)),"")</f>
        <v/>
      </c>
      <c r="K21" s="14" t="str">
        <f>IFERROR(INDEX('BalSht Data'!H$209:H$2999,MATCH(A21,IF('BalSht Data'!A$209=K$1,'BalSht Data'!G$209:G$2999),0)),"")</f>
        <v/>
      </c>
      <c r="L21" s="14" t="str">
        <f>IFERROR(INDEX('BalSht Data'!H$232:H$2999,MATCH(A21,IF('BalSht Data'!A$232=L$1,'BalSht Data'!G$232:G$2999),0)),"")</f>
        <v/>
      </c>
      <c r="M21" s="14" t="str">
        <f>IFERROR(INDEX('BalSht Data'!H$255:H$2999,MATCH(A21,IF('BalSht Data'!A$255=M$1,'BalSht Data'!G$255:G$2999),0)),"")</f>
        <v/>
      </c>
      <c r="N21" s="14" t="str">
        <f>IFERROR(INDEX('BalSht Data'!H$278:H$2999,MATCH(A21,IF('BalSht Data'!A$278=N$1,'BalSht Data'!G$278:G$2999),0)),"")</f>
        <v/>
      </c>
      <c r="O21" s="14" t="str">
        <f>IFERROR(INDEX('BalSht Data'!H$301:H$2999,MATCH(A21,IF('BalSht Data'!A$301=O$1,'BalSht Data'!G$301:G$2999),0)),"")</f>
        <v/>
      </c>
      <c r="P21" s="14" t="str">
        <f>IFERROR(INDEX('BalSht Data'!H$324:H$2999,MATCH(A21,IF('BalSht Data'!A$324=P$1,'BalSht Data'!G$324:G$2999),0)),"")</f>
        <v/>
      </c>
      <c r="Q21" s="14" t="str">
        <f>IFERROR(INDEX('BalSht Data'!H$347:H$2999,MATCH(A21,IF('BalSht Data'!A$347=Q$1,'BalSht Data'!G$347:G$2999),0)),"")</f>
        <v/>
      </c>
      <c r="R21" s="14" t="str">
        <f>IFERROR(INDEX('BalSht Data'!H$370:H$2999,MATCH(A21,IF('BalSht Data'!A$370=R$1,'BalSht Data'!G$370:G$2999),0)),"")</f>
        <v/>
      </c>
      <c r="S21" s="14" t="str">
        <f>IFERROR(INDEX('BalSht Data'!H$393:H$2999,MATCH(A21,IF('BalSht Data'!A$393=S$1,'BalSht Data'!G$393:G$2999),0)),"")</f>
        <v/>
      </c>
      <c r="T21" s="14" t="str">
        <f>IFERROR(INDEX('BalSht Data'!H$416:H$2999,MATCH(A21,IF('BalSht Data'!A$416=T$1,'BalSht Data'!G$416:G$2999),0)),"")</f>
        <v/>
      </c>
      <c r="U21" s="14" t="str">
        <f>IFERROR(INDEX('BalSht Data'!H$439:H$2999,MATCH(A21,IF('BalSht Data'!A$439=U$1,'BalSht Data'!G$439:G$2999),0)),"")</f>
        <v/>
      </c>
      <c r="V21" s="14" t="str">
        <f>IFERROR(INDEX('BalSht Data'!H$462:H$2999,MATCH(A21,IF('BalSht Data'!A$462=V$1,'BalSht Data'!G$462:G$2999),0)),"")</f>
        <v/>
      </c>
      <c r="W21" s="14" t="str">
        <f>IFERROR(INDEX('BalSht Data'!H$485:H$2999,MATCH(A21,IF('BalSht Data'!A$485=W$1,'BalSht Data'!G$485:G$2999),0)),"")</f>
        <v/>
      </c>
      <c r="X21" s="14" t="str">
        <f>IFERROR(INDEX('BalSht Data'!H$508:H$2999,MATCH(A21,IF('BalSht Data'!A$508=X$1,'BalSht Data'!G$508:G$2999),0)),"")</f>
        <v/>
      </c>
      <c r="Y21" s="14" t="str">
        <f>IFERROR(INDEX('BalSht Data'!H$531:H$2999,MATCH(A21,IF('BalSht Data'!A$531=Y$1,'BalSht Data'!G$531:G$2999),0)),"")</f>
        <v/>
      </c>
      <c r="Z21" s="14" t="str">
        <f>IFERROR(INDEX('BalSht Data'!H$554:H$2999,MATCH(A21,IF('BalSht Data'!A$554=Z$1,'BalSht Data'!G$554:G$2999),0)),"")</f>
        <v/>
      </c>
      <c r="AA21" s="14" t="str">
        <f>IFERROR(INDEX('BalSht Data'!H$577:H$2999,MATCH(A21,IF('BalSht Data'!A$577=AA$1,'BalSht Data'!G$577:G$2999),0)),"")</f>
        <v/>
      </c>
      <c r="AB21" s="14" t="str">
        <f>IFERROR(INDEX('BalSht Data'!H$600:H$2999,MATCH(A21,IF('BalSht Data'!A$600=AB$1,'BalSht Data'!G$600:G$2999),0)),"")</f>
        <v/>
      </c>
      <c r="AC21" s="14" t="str">
        <f>IFERROR(INDEX('BalSht Data'!H$623:H$2999,MATCH(A21,IF('BalSht Data'!A$623=AC$1,'BalSht Data'!G$623:G$2999),0)),"")</f>
        <v/>
      </c>
      <c r="AD21" s="14" t="str">
        <f>IFERROR(INDEX('BalSht Data'!H$646:H$2999,MATCH(A21,IF('BalSht Data'!A$646=AD$1,'BalSht Data'!G$646:G$2999),0)),"")</f>
        <v/>
      </c>
      <c r="AE21" s="14" t="str">
        <f>IFERROR(INDEX('BalSht Data'!H$669:H$2999,MATCH(A21,IF('BalSht Data'!A$669=AE$1,'BalSht Data'!G$669:G$2999),0)),"")</f>
        <v/>
      </c>
      <c r="AF21" s="14" t="str">
        <f>IFERROR(INDEX('BalSht Data'!H$692:H$2999,MATCH(A21,IF('BalSht Data'!A$692=AF$1,'BalSht Data'!G$692:G$2999),0)),"")</f>
        <v/>
      </c>
      <c r="AG21" s="14" t="str">
        <f>IFERROR(INDEX('BalSht Data'!H$715:H$2999,MATCH(A21,IF('BalSht Data'!A$715=AG$1,'BalSht Data'!G$715:G$2999),0)),"")</f>
        <v/>
      </c>
      <c r="AH21" s="14" t="str">
        <f>IFERROR(INDEX('BalSht Data'!H$738:H$2999,MATCH(A21,IF('BalSht Data'!A$738=AH$1,'BalSht Data'!G$738:G$2999),0)),"")</f>
        <v/>
      </c>
      <c r="AI21" s="14" t="str">
        <f>IFERROR(INDEX('BalSht Data'!H$761:H$2999,MATCH(A21,IF('BalSht Data'!A$761=AI$1,'BalSht Data'!G$761:G$2999),0)),"")</f>
        <v/>
      </c>
      <c r="AJ21" s="14" t="str">
        <f>IFERROR(INDEX('BalSht Data'!H$784:H$2999,MATCH(A21,IF('BalSht Data'!A$784=AJ$1,'BalSht Data'!G$784:G$2999),0)),"")</f>
        <v/>
      </c>
      <c r="AK21" s="14" t="str">
        <f>IFERROR(INDEX('BalSht Data'!H$807:H$2999,MATCH(A21,IF('BalSht Data'!A$807=AK$1,'BalSht Data'!G$807:G$2999),0)),"")</f>
        <v/>
      </c>
      <c r="AL21" s="14" t="str">
        <f>IFERROR(INDEX('BalSht Data'!H$830:H$2999,MATCH(A21,IF('BalSht Data'!A$830=AL$1,'BalSht Data'!G$830:G$2999),0)),"")</f>
        <v/>
      </c>
      <c r="AM21" s="14" t="str">
        <f>IFERROR(INDEX('BalSht Data'!H$853:H$2999,MATCH(A21,IF('BalSht Data'!A$853=AM$1,'BalSht Data'!G$853:G$2999),0)),"")</f>
        <v/>
      </c>
      <c r="AN21" s="14" t="str">
        <f>IFERROR(INDEX('BalSht Data'!H$876:H$2999,MATCH(A21,IF('BalSht Data'!A$876=AN$1,'BalSht Data'!G$876:G$2999),0)),"")</f>
        <v/>
      </c>
      <c r="AO21" s="14" t="str">
        <f>IFERROR(INDEX('BalSht Data'!H$899:H$2999,MATCH(A21,IF('BalSht Data'!A$899=AO$1,'BalSht Data'!G$899:G$2999),0)),"")</f>
        <v/>
      </c>
      <c r="AP21" s="14" t="str">
        <f>IFERROR(INDEX('BalSht Data'!H$922:H$2999,MATCH(A21,IF('BalSht Data'!A$922=AP$1,'BalSht Data'!G$922:G$2999),0)),"")</f>
        <v/>
      </c>
      <c r="AQ21" s="14" t="str">
        <f>IFERROR(INDEX('BalSht Data'!H$945:H$2999,MATCH(A21,IF('BalSht Data'!A$945=AQ$1,'BalSht Data'!G$945:G$2999),0)),"")</f>
        <v/>
      </c>
      <c r="AR21" s="14" t="str">
        <f>IFERROR(INDEX('BalSht Data'!H$968:H$2999,MATCH(A21,IF('BalSht Data'!A$968=AR$1,'BalSht Data'!G$968:G$2999),0)),"")</f>
        <v/>
      </c>
      <c r="AS21" s="14" t="str">
        <f>IFERROR(INDEX('BalSht Data'!H$991:H$2999,MATCH(A21,IF('BalSht Data'!A$991=AS$1,'BalSht Data'!G$991:G$2999),0)),"")</f>
        <v/>
      </c>
      <c r="AT21" s="14" t="str">
        <f>IFERROR(INDEX('BalSht Data'!H$1014:H$2999,MATCH(A21,IF('BalSht Data'!A$1014=AT$1,'BalSht Data'!G$1014:G$2999),0)),"")</f>
        <v/>
      </c>
      <c r="AU21" s="14" t="str">
        <f>IFERROR(INDEX('BalSht Data'!H$1037:H$2999,MATCH(A21,IF('BalSht Data'!A$1037=AU$1,'BalSht Data'!G$1037:G$2999),0)),"")</f>
        <v/>
      </c>
      <c r="AV21" s="14" t="str">
        <f>IFERROR(INDEX('BalSht Data'!H$1060:H$2999,MATCH(A21,IF('BalSht Data'!A$1060=AV$1,'BalSht Data'!G$1060:G$2999),0)),"")</f>
        <v/>
      </c>
      <c r="AW21" s="14" t="str">
        <f>IFERROR(INDEX('BalSht Data'!H$1083:H$2999,MATCH(A21,IF('BalSht Data'!A$1083=AW$1,'BalSht Data'!G$1083:G$2999),0)),"")</f>
        <v/>
      </c>
      <c r="AX21" s="14" t="str">
        <f>IFERROR(INDEX('BalSht Data'!H$1106:H$2999,MATCH(A21,IF('BalSht Data'!A$1106=AX$1,'BalSht Data'!G$1106:G$2999),0)),"")</f>
        <v/>
      </c>
      <c r="AY21" s="14" t="str">
        <f>IFERROR(INDEX('BalSht Data'!H$1129:H$2999,MATCH(A21,IF('BalSht Data'!A$1129=AY$1,'BalSht Data'!G$1129:G$2999),0)),"")</f>
        <v/>
      </c>
      <c r="AZ21" s="14" t="str">
        <f>IFERROR(INDEX('BalSht Data'!H$1152:H$2999,MATCH(A21,IF('BalSht Data'!A$1152=AZ$1,'BalSht Data'!G$1152:G$2999),0)),"")</f>
        <v/>
      </c>
      <c r="BA21" s="14" t="str">
        <f>IFERROR(INDEX('BalSht Data'!H$1175:H$2999,MATCH(A21,IF('BalSht Data'!A$1175=BA$1,'BalSht Data'!G$1175:G$2999),0)),"")</f>
        <v/>
      </c>
      <c r="BB21" s="14" t="str">
        <f>IFERROR(INDEX('BalSht Data'!H$1198:H$2999,MATCH(A21,IF('BalSht Data'!A$1198=BB$1,'BalSht Data'!G$1198:G$2999),0)),"")</f>
        <v/>
      </c>
      <c r="BC21" s="14" t="str">
        <f>IFERROR(INDEX('BalSht Data'!H$1221:H$2999,MATCH(A21,IF('BalSht Data'!A$1221=BC$1,'BalSht Data'!G$1221:G$2999),0)),"")</f>
        <v/>
      </c>
      <c r="BD21" s="14" t="str">
        <f>IFERROR(INDEX('BalSht Data'!H$1244:H$2999,MATCH(A21,IF('BalSht Data'!A$1244=BD$1,'BalSht Data'!G$1244:G$2999),0)),"")</f>
        <v/>
      </c>
      <c r="BE21" s="14" t="str">
        <f>IFERROR(INDEX('BalSht Data'!H$1267:H$2999,MATCH(A21,IF('BalSht Data'!A$1267=BE$1,'BalSht Data'!G$1267:G$2999),0)),"")</f>
        <v/>
      </c>
      <c r="BF21" s="14"/>
    </row>
    <row r="22" spans="1:58" x14ac:dyDescent="0.2">
      <c r="A22" s="5"/>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row>
    <row r="23" spans="1:58" x14ac:dyDescent="0.2">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row>
    <row r="24" spans="1:58" x14ac:dyDescent="0.2">
      <c r="A24" s="2" t="s">
        <v>28</v>
      </c>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row>
    <row r="25" spans="1:58" x14ac:dyDescent="0.2">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row>
    <row r="26" spans="1:58" x14ac:dyDescent="0.2">
      <c r="A26" s="5" t="s">
        <v>29</v>
      </c>
      <c r="B26" s="14" t="str">
        <f>IFERROR(INDEX('BalSht Data'!H$2:H$2999,MATCH(A26,IF('BalSht Data'!A$2=B$1,'BalSht Data'!G$2:G$2999),0)),"")</f>
        <v/>
      </c>
      <c r="C26" s="14">
        <f>IFERROR(INDEX('BalSht Data'!H$25:H$2999,MATCH(A26,IF('BalSht Data'!A$25=C$1,'BalSht Data'!G$2:G$2999),0)),"")</f>
        <v>999</v>
      </c>
      <c r="D26" s="14">
        <f>IFERROR(INDEX('BalSht Data'!H$48:H$2999,MATCH(A26,IF('BalSht Data'!A$48=D$1,'BalSht Data'!G$48:G$2999),0)),"")</f>
        <v>7878787</v>
      </c>
      <c r="E26" s="14">
        <f>IFERROR(INDEX('BalSht Data'!H$71:H$2999,MATCH(A26,IF('BalSht Data'!A$71=E$1,'BalSht Data'!G$71:G$2999),0)),"")</f>
        <v>36333</v>
      </c>
      <c r="F26" s="14">
        <f>IFERROR(INDEX('BalSht Data'!H$94:H$2999,MATCH(A26,IF('BalSht Data'!A$94=F$1,'BalSht Data'!G$94:G$2999),0)),"")</f>
        <v>88888</v>
      </c>
      <c r="G26" s="14">
        <f>IFERROR(INDEX('BalSht Data'!H$117:H$2999,MATCH(A26,IF('BalSht Data'!A$117=G$1,'BalSht Data'!G$117:G$2999),0)),"")</f>
        <v>22222</v>
      </c>
      <c r="H26" s="14">
        <f>IFERROR(INDEX('BalSht Data'!H$140:H$2999,MATCH(A26,IF('BalSht Data'!A$140=H$1,'BalSht Data'!G$140:G$2999),0)),"")</f>
        <v>22222</v>
      </c>
      <c r="I26" s="14">
        <f>IFERROR(INDEX('BalSht Data'!H$163:H$2999,MATCH(A26,IF('BalSht Data'!A$163=I$1,'BalSht Data'!G$163:G$2999),0)),"")</f>
        <v>22222</v>
      </c>
      <c r="J26" s="14" t="str">
        <f>IFERROR(INDEX('BalSht Data'!H$186:H$2999,MATCH(A26,IF('BalSht Data'!A$186=J$1,'BalSht Data'!G$186:G$2999),0)),"")</f>
        <v/>
      </c>
      <c r="K26" s="14" t="str">
        <f>IFERROR(INDEX('BalSht Data'!H$209:H$2999,MATCH(A26,IF('BalSht Data'!A$209=K$1,'BalSht Data'!G$209:G$2999),0)),"")</f>
        <v/>
      </c>
      <c r="L26" s="14" t="str">
        <f>IFERROR(INDEX('BalSht Data'!H$232:H$2999,MATCH(A26,IF('BalSht Data'!A$232=L$1,'BalSht Data'!G$232:G$2999),0)),"")</f>
        <v/>
      </c>
      <c r="M26" s="14" t="str">
        <f>IFERROR(INDEX('BalSht Data'!H$255:H$2999,MATCH(A26,IF('BalSht Data'!A$255=M$1,'BalSht Data'!G$255:G$2999),0)),"")</f>
        <v/>
      </c>
      <c r="N26" s="14" t="str">
        <f>IFERROR(INDEX('BalSht Data'!H$278:H$2999,MATCH(A26,IF('BalSht Data'!A$278=N$1,'BalSht Data'!G$278:G$2999),0)),"")</f>
        <v/>
      </c>
      <c r="O26" s="14" t="str">
        <f>IFERROR(INDEX('BalSht Data'!H$301:H$2999,MATCH(A26,IF('BalSht Data'!A$301=O$1,'BalSht Data'!G$301:G$2999),0)),"")</f>
        <v/>
      </c>
      <c r="P26" s="14" t="str">
        <f>IFERROR(INDEX('BalSht Data'!H$324:H$2999,MATCH(A26,IF('BalSht Data'!A$324=P$1,'BalSht Data'!G$324:G$2999),0)),"")</f>
        <v/>
      </c>
      <c r="Q26" s="14" t="str">
        <f>IFERROR(INDEX('BalSht Data'!H$347:H$2999,MATCH(A26,IF('BalSht Data'!A$347=Q$1,'BalSht Data'!G$347:G$2999),0)),"")</f>
        <v/>
      </c>
      <c r="R26" s="14" t="str">
        <f>IFERROR(INDEX('BalSht Data'!H$370:H$2999,MATCH(A26,IF('BalSht Data'!A$370=R$1,'BalSht Data'!G$370:G$2999),0)),"")</f>
        <v/>
      </c>
      <c r="S26" s="14" t="str">
        <f>IFERROR(INDEX('BalSht Data'!H$393:H$2999,MATCH(A26,IF('BalSht Data'!A$393=S$1,'BalSht Data'!G$393:G$2999),0)),"")</f>
        <v/>
      </c>
      <c r="T26" s="14" t="str">
        <f>IFERROR(INDEX('BalSht Data'!H$416:H$2999,MATCH(A26,IF('BalSht Data'!A$416=T$1,'BalSht Data'!G$416:G$2999),0)),"")</f>
        <v/>
      </c>
      <c r="U26" s="14" t="str">
        <f>IFERROR(INDEX('BalSht Data'!H$439:H$2999,MATCH(A26,IF('BalSht Data'!A$439=U$1,'BalSht Data'!G$439:G$2999),0)),"")</f>
        <v/>
      </c>
      <c r="V26" s="14" t="str">
        <f>IFERROR(INDEX('BalSht Data'!H$462:H$2999,MATCH(A26,IF('BalSht Data'!A$462=V$1,'BalSht Data'!G$462:G$2999),0)),"")</f>
        <v/>
      </c>
      <c r="W26" s="14" t="str">
        <f>IFERROR(INDEX('BalSht Data'!H$485:H$2999,MATCH(A26,IF('BalSht Data'!A$485=W$1,'BalSht Data'!G$485:G$2999),0)),"")</f>
        <v/>
      </c>
      <c r="X26" s="14" t="str">
        <f>IFERROR(INDEX('BalSht Data'!H$508:H$2999,MATCH(A26,IF('BalSht Data'!A$508=X$1,'BalSht Data'!G$508:G$2999),0)),"")</f>
        <v/>
      </c>
      <c r="Y26" s="14" t="str">
        <f>IFERROR(INDEX('BalSht Data'!H$531:H$2999,MATCH(A26,IF('BalSht Data'!A$531=Y$1,'BalSht Data'!G$531:G$2999),0)),"")</f>
        <v/>
      </c>
      <c r="Z26" s="14" t="str">
        <f>IFERROR(INDEX('BalSht Data'!H$554:H$2999,MATCH(A26,IF('BalSht Data'!A$554=Z$1,'BalSht Data'!G$554:G$2999),0)),"")</f>
        <v/>
      </c>
      <c r="AA26" s="14" t="str">
        <f>IFERROR(INDEX('BalSht Data'!H$577:H$2999,MATCH(A26,IF('BalSht Data'!A$577=AA$1,'BalSht Data'!G$577:G$2999),0)),"")</f>
        <v/>
      </c>
      <c r="AB26" s="14" t="str">
        <f>IFERROR(INDEX('BalSht Data'!H$600:H$2999,MATCH(A26,IF('BalSht Data'!A$600=AB$1,'BalSht Data'!G$600:G$2999),0)),"")</f>
        <v/>
      </c>
      <c r="AC26" s="14" t="str">
        <f>IFERROR(INDEX('BalSht Data'!H$623:H$2999,MATCH(A26,IF('BalSht Data'!A$623=AC$1,'BalSht Data'!G$623:G$2999),0)),"")</f>
        <v/>
      </c>
      <c r="AD26" s="14" t="str">
        <f>IFERROR(INDEX('BalSht Data'!H$646:H$2999,MATCH(A26,IF('BalSht Data'!A$646=AD$1,'BalSht Data'!G$646:G$2999),0)),"")</f>
        <v/>
      </c>
      <c r="AE26" s="14" t="str">
        <f>IFERROR(INDEX('BalSht Data'!H$669:H$2999,MATCH(A26,IF('BalSht Data'!A$669=AE$1,'BalSht Data'!G$669:G$2999),0)),"")</f>
        <v/>
      </c>
      <c r="AF26" s="14" t="str">
        <f>IFERROR(INDEX('BalSht Data'!H$692:H$2999,MATCH(A26,IF('BalSht Data'!A$692=AF$1,'BalSht Data'!G$692:G$2999),0)),"")</f>
        <v/>
      </c>
      <c r="AG26" s="14" t="str">
        <f>IFERROR(INDEX('BalSht Data'!H$715:H$2999,MATCH(A26,IF('BalSht Data'!A$715=AG$1,'BalSht Data'!G$715:G$2999),0)),"")</f>
        <v/>
      </c>
      <c r="AH26" s="14" t="str">
        <f>IFERROR(INDEX('BalSht Data'!H$738:H$2999,MATCH(A26,IF('BalSht Data'!A$738=AH$1,'BalSht Data'!G$738:G$2999),0)),"")</f>
        <v/>
      </c>
      <c r="AI26" s="14" t="str">
        <f>IFERROR(INDEX('BalSht Data'!H$761:H$2999,MATCH(A26,IF('BalSht Data'!A$761=AI$1,'BalSht Data'!G$761:G$2999),0)),"")</f>
        <v/>
      </c>
      <c r="AJ26" s="14" t="str">
        <f>IFERROR(INDEX('BalSht Data'!H$784:H$2999,MATCH(A26,IF('BalSht Data'!A$784=AJ$1,'BalSht Data'!G$784:G$2999),0)),"")</f>
        <v/>
      </c>
      <c r="AK26" s="14" t="str">
        <f>IFERROR(INDEX('BalSht Data'!H$807:H$2999,MATCH(A26,IF('BalSht Data'!A$807=AK$1,'BalSht Data'!G$807:G$2999),0)),"")</f>
        <v/>
      </c>
      <c r="AL26" s="14" t="str">
        <f>IFERROR(INDEX('BalSht Data'!H$830:H$2999,MATCH(A26,IF('BalSht Data'!A$830=AL$1,'BalSht Data'!G$830:G$2999),0)),"")</f>
        <v/>
      </c>
      <c r="AM26" s="14" t="str">
        <f>IFERROR(INDEX('BalSht Data'!H$853:H$2999,MATCH(A26,IF('BalSht Data'!A$853=AM$1,'BalSht Data'!G$853:G$2999),0)),"")</f>
        <v/>
      </c>
      <c r="AN26" s="14" t="str">
        <f>IFERROR(INDEX('BalSht Data'!H$876:H$2999,MATCH(A26,IF('BalSht Data'!A$876=AN$1,'BalSht Data'!G$876:G$2999),0)),"")</f>
        <v/>
      </c>
      <c r="AO26" s="14" t="str">
        <f>IFERROR(INDEX('BalSht Data'!H$899:H$2999,MATCH(A26,IF('BalSht Data'!A$899=AO$1,'BalSht Data'!G$899:G$2999),0)),"")</f>
        <v/>
      </c>
      <c r="AP26" s="14" t="str">
        <f>IFERROR(INDEX('BalSht Data'!H$922:H$2999,MATCH(A26,IF('BalSht Data'!A$922=AP$1,'BalSht Data'!G$922:G$2999),0)),"")</f>
        <v/>
      </c>
      <c r="AQ26" s="14" t="str">
        <f>IFERROR(INDEX('BalSht Data'!H$945:H$2999,MATCH(A26,IF('BalSht Data'!A$945=AQ$1,'BalSht Data'!G$945:G$2999),0)),"")</f>
        <v/>
      </c>
      <c r="AR26" s="14" t="str">
        <f>IFERROR(INDEX('BalSht Data'!H$968:H$2999,MATCH(A26,IF('BalSht Data'!A$968=AR$1,'BalSht Data'!G$968:G$2999),0)),"")</f>
        <v/>
      </c>
      <c r="AS26" s="14" t="str">
        <f>IFERROR(INDEX('BalSht Data'!H$991:H$2999,MATCH(A26,IF('BalSht Data'!A$991=AS$1,'BalSht Data'!G$991:G$2999),0)),"")</f>
        <v/>
      </c>
      <c r="AT26" s="14" t="str">
        <f>IFERROR(INDEX('BalSht Data'!H$1014:H$2999,MATCH(A26,IF('BalSht Data'!A$1014=AT$1,'BalSht Data'!G$1014:G$2999),0)),"")</f>
        <v/>
      </c>
      <c r="AU26" s="14" t="str">
        <f>IFERROR(INDEX('BalSht Data'!H$1037:H$2999,MATCH(A26,IF('BalSht Data'!A$1037=AU$1,'BalSht Data'!G$1037:G$2999),0)),"")</f>
        <v/>
      </c>
      <c r="AV26" s="14" t="str">
        <f>IFERROR(INDEX('BalSht Data'!H$1060:H$2999,MATCH(A26,IF('BalSht Data'!A$1060=AV$1,'BalSht Data'!G$1060:G$2999),0)),"")</f>
        <v/>
      </c>
      <c r="AW26" s="14" t="str">
        <f>IFERROR(INDEX('BalSht Data'!H$1083:H$2999,MATCH(A26,IF('BalSht Data'!A$1083=AW$1,'BalSht Data'!G$1083:G$2999),0)),"")</f>
        <v/>
      </c>
      <c r="AX26" s="14" t="str">
        <f>IFERROR(INDEX('BalSht Data'!H$1106:H$2999,MATCH(A26,IF('BalSht Data'!A$1106=AX$1,'BalSht Data'!G$1106:G$2999),0)),"")</f>
        <v/>
      </c>
      <c r="AY26" s="14" t="str">
        <f>IFERROR(INDEX('BalSht Data'!H$1129:H$2999,MATCH(A26,IF('BalSht Data'!A$1129=AY$1,'BalSht Data'!G$1129:G$2999),0)),"")</f>
        <v/>
      </c>
      <c r="AZ26" s="14" t="str">
        <f>IFERROR(INDEX('BalSht Data'!H$1152:H$2999,MATCH(A26,IF('BalSht Data'!A$1152=AZ$1,'BalSht Data'!G$1152:G$2999),0)),"")</f>
        <v/>
      </c>
      <c r="BA26" s="14" t="str">
        <f>IFERROR(INDEX('BalSht Data'!H$1175:H$2999,MATCH(A26,IF('BalSht Data'!A$1175=BA$1,'BalSht Data'!G$1175:G$2999),0)),"")</f>
        <v/>
      </c>
      <c r="BB26" s="14" t="str">
        <f>IFERROR(INDEX('BalSht Data'!H$1198:H$2999,MATCH(A26,IF('BalSht Data'!A$1198=BB$1,'BalSht Data'!G$1198:G$2999),0)),"")</f>
        <v/>
      </c>
      <c r="BC26" s="14" t="str">
        <f>IFERROR(INDEX('BalSht Data'!H$1221:H$2999,MATCH(A26,IF('BalSht Data'!A$1221=BC$1,'BalSht Data'!G$1221:G$2999),0)),"")</f>
        <v/>
      </c>
      <c r="BD26" s="14" t="str">
        <f>IFERROR(INDEX('BalSht Data'!H$1244:H$2999,MATCH(A26,IF('BalSht Data'!A$1244=BD$1,'BalSht Data'!G$1244:G$2999),0)),"")</f>
        <v/>
      </c>
      <c r="BE26" s="14" t="str">
        <f>IFERROR(INDEX('BalSht Data'!H$1267:H$2999,MATCH(A26,IF('BalSht Data'!A$1267=BE$1,'BalSht Data'!G$1267:G$2999),0)),"")</f>
        <v/>
      </c>
      <c r="BF26" s="14"/>
    </row>
    <row r="27" spans="1:58" x14ac:dyDescent="0.2">
      <c r="A27" s="5" t="s">
        <v>30</v>
      </c>
      <c r="B27" s="14" t="str">
        <f>IFERROR(INDEX('BalSht Data'!H$2:H$2999,MATCH(A27,IF('BalSht Data'!A$2=B$1,'BalSht Data'!G$2:G$2999),0)),"")</f>
        <v/>
      </c>
      <c r="C27" s="14">
        <f>IFERROR(INDEX('BalSht Data'!H$25:H$2999,MATCH(A27,IF('BalSht Data'!A$25=C$1,'BalSht Data'!G$2:G$2999),0)),"")</f>
        <v>999</v>
      </c>
      <c r="D27" s="14">
        <f>IFERROR(INDEX('BalSht Data'!H$48:H$2999,MATCH(A27,IF('BalSht Data'!A$48=D$1,'BalSht Data'!G$48:G$2999),0)),"")</f>
        <v>7878787</v>
      </c>
      <c r="E27" s="14">
        <f>IFERROR(INDEX('BalSht Data'!H$71:H$2999,MATCH(A27,IF('BalSht Data'!A$71=E$1,'BalSht Data'!G$71:G$2999),0)),"")</f>
        <v>36333</v>
      </c>
      <c r="F27" s="14">
        <f>IFERROR(INDEX('BalSht Data'!H$94:H$2999,MATCH(A27,IF('BalSht Data'!A$94=F$1,'BalSht Data'!G$94:G$2999),0)),"")</f>
        <v>88888</v>
      </c>
      <c r="G27" s="14">
        <f>IFERROR(INDEX('BalSht Data'!H$117:H$2999,MATCH(A27,IF('BalSht Data'!A$117=G$1,'BalSht Data'!G$117:G$2999),0)),"")</f>
        <v>22222</v>
      </c>
      <c r="H27" s="14">
        <f>IFERROR(INDEX('BalSht Data'!H$140:H$2999,MATCH(A27,IF('BalSht Data'!A$140=H$1,'BalSht Data'!G$140:G$2999),0)),"")</f>
        <v>22222</v>
      </c>
      <c r="I27" s="14">
        <f>IFERROR(INDEX('BalSht Data'!H$163:H$2999,MATCH(A27,IF('BalSht Data'!A$163=I$1,'BalSht Data'!G$163:G$2999),0)),"")</f>
        <v>22222</v>
      </c>
      <c r="J27" s="14" t="str">
        <f>IFERROR(INDEX('BalSht Data'!H$186:H$2999,MATCH(A27,IF('BalSht Data'!A$186=J$1,'BalSht Data'!G$186:G$2999),0)),"")</f>
        <v/>
      </c>
      <c r="K27" s="14" t="str">
        <f>IFERROR(INDEX('BalSht Data'!H$209:H$2999,MATCH(A27,IF('BalSht Data'!A$209=K$1,'BalSht Data'!G$209:G$2999),0)),"")</f>
        <v/>
      </c>
      <c r="L27" s="14" t="str">
        <f>IFERROR(INDEX('BalSht Data'!H$232:H$2999,MATCH(A27,IF('BalSht Data'!A$232=L$1,'BalSht Data'!G$232:G$2999),0)),"")</f>
        <v/>
      </c>
      <c r="M27" s="14" t="str">
        <f>IFERROR(INDEX('BalSht Data'!H$255:H$2999,MATCH(A27,IF('BalSht Data'!A$255=M$1,'BalSht Data'!G$255:G$2999),0)),"")</f>
        <v/>
      </c>
      <c r="N27" s="14" t="str">
        <f>IFERROR(INDEX('BalSht Data'!H$278:H$2999,MATCH(A27,IF('BalSht Data'!A$278=N$1,'BalSht Data'!G$278:G$2999),0)),"")</f>
        <v/>
      </c>
      <c r="O27" s="14" t="str">
        <f>IFERROR(INDEX('BalSht Data'!H$301:H$2999,MATCH(A27,IF('BalSht Data'!A$301=O$1,'BalSht Data'!G$301:G$2999),0)),"")</f>
        <v/>
      </c>
      <c r="P27" s="14" t="str">
        <f>IFERROR(INDEX('BalSht Data'!H$324:H$2999,MATCH(A27,IF('BalSht Data'!A$324=P$1,'BalSht Data'!G$324:G$2999),0)),"")</f>
        <v/>
      </c>
      <c r="Q27" s="14" t="str">
        <f>IFERROR(INDEX('BalSht Data'!H$347:H$2999,MATCH(A27,IF('BalSht Data'!A$347=Q$1,'BalSht Data'!G$347:G$2999),0)),"")</f>
        <v/>
      </c>
      <c r="R27" s="14" t="str">
        <f>IFERROR(INDEX('BalSht Data'!H$370:H$2999,MATCH(A27,IF('BalSht Data'!A$370=R$1,'BalSht Data'!G$370:G$2999),0)),"")</f>
        <v/>
      </c>
      <c r="S27" s="14" t="str">
        <f>IFERROR(INDEX('BalSht Data'!H$393:H$2999,MATCH(A27,IF('BalSht Data'!A$393=S$1,'BalSht Data'!G$393:G$2999),0)),"")</f>
        <v/>
      </c>
      <c r="T27" s="14" t="str">
        <f>IFERROR(INDEX('BalSht Data'!H$416:H$2999,MATCH(A27,IF('BalSht Data'!A$416=T$1,'BalSht Data'!G$416:G$2999),0)),"")</f>
        <v/>
      </c>
      <c r="U27" s="14" t="str">
        <f>IFERROR(INDEX('BalSht Data'!H$439:H$2999,MATCH(A27,IF('BalSht Data'!A$439=U$1,'BalSht Data'!G$439:G$2999),0)),"")</f>
        <v/>
      </c>
      <c r="V27" s="14" t="str">
        <f>IFERROR(INDEX('BalSht Data'!H$462:H$2999,MATCH(A27,IF('BalSht Data'!A$462=V$1,'BalSht Data'!G$462:G$2999),0)),"")</f>
        <v/>
      </c>
      <c r="W27" s="14" t="str">
        <f>IFERROR(INDEX('BalSht Data'!H$485:H$2999,MATCH(A27,IF('BalSht Data'!A$485=W$1,'BalSht Data'!G$485:G$2999),0)),"")</f>
        <v/>
      </c>
      <c r="X27" s="14" t="str">
        <f>IFERROR(INDEX('BalSht Data'!H$508:H$2999,MATCH(A27,IF('BalSht Data'!A$508=X$1,'BalSht Data'!G$508:G$2999),0)),"")</f>
        <v/>
      </c>
      <c r="Y27" s="14" t="str">
        <f>IFERROR(INDEX('BalSht Data'!H$531:H$2999,MATCH(A27,IF('BalSht Data'!A$531=Y$1,'BalSht Data'!G$531:G$2999),0)),"")</f>
        <v/>
      </c>
      <c r="Z27" s="14" t="str">
        <f>IFERROR(INDEX('BalSht Data'!H$554:H$2999,MATCH(A27,IF('BalSht Data'!A$554=Z$1,'BalSht Data'!G$554:G$2999),0)),"")</f>
        <v/>
      </c>
      <c r="AA27" s="14" t="str">
        <f>IFERROR(INDEX('BalSht Data'!H$577:H$2999,MATCH(A27,IF('BalSht Data'!A$577=AA$1,'BalSht Data'!G$577:G$2999),0)),"")</f>
        <v/>
      </c>
      <c r="AB27" s="14" t="str">
        <f>IFERROR(INDEX('BalSht Data'!H$600:H$2999,MATCH(A27,IF('BalSht Data'!A$600=AB$1,'BalSht Data'!G$600:G$2999),0)),"")</f>
        <v/>
      </c>
      <c r="AC27" s="14" t="str">
        <f>IFERROR(INDEX('BalSht Data'!H$623:H$2999,MATCH(A27,IF('BalSht Data'!A$623=AC$1,'BalSht Data'!G$623:G$2999),0)),"")</f>
        <v/>
      </c>
      <c r="AD27" s="14" t="str">
        <f>IFERROR(INDEX('BalSht Data'!H$646:H$2999,MATCH(A27,IF('BalSht Data'!A$646=AD$1,'BalSht Data'!G$646:G$2999),0)),"")</f>
        <v/>
      </c>
      <c r="AE27" s="14" t="str">
        <f>IFERROR(INDEX('BalSht Data'!H$669:H$2999,MATCH(A27,IF('BalSht Data'!A$669=AE$1,'BalSht Data'!G$669:G$2999),0)),"")</f>
        <v/>
      </c>
      <c r="AF27" s="14" t="str">
        <f>IFERROR(INDEX('BalSht Data'!H$692:H$2999,MATCH(A27,IF('BalSht Data'!A$692=AF$1,'BalSht Data'!G$692:G$2999),0)),"")</f>
        <v/>
      </c>
      <c r="AG27" s="14" t="str">
        <f>IFERROR(INDEX('BalSht Data'!H$715:H$2999,MATCH(A27,IF('BalSht Data'!A$715=AG$1,'BalSht Data'!G$715:G$2999),0)),"")</f>
        <v/>
      </c>
      <c r="AH27" s="14" t="str">
        <f>IFERROR(INDEX('BalSht Data'!H$738:H$2999,MATCH(A27,IF('BalSht Data'!A$738=AH$1,'BalSht Data'!G$738:G$2999),0)),"")</f>
        <v/>
      </c>
      <c r="AI27" s="14" t="str">
        <f>IFERROR(INDEX('BalSht Data'!H$761:H$2999,MATCH(A27,IF('BalSht Data'!A$761=AI$1,'BalSht Data'!G$761:G$2999),0)),"")</f>
        <v/>
      </c>
      <c r="AJ27" s="14" t="str">
        <f>IFERROR(INDEX('BalSht Data'!H$784:H$2999,MATCH(A27,IF('BalSht Data'!A$784=AJ$1,'BalSht Data'!G$784:G$2999),0)),"")</f>
        <v/>
      </c>
      <c r="AK27" s="14" t="str">
        <f>IFERROR(INDEX('BalSht Data'!H$807:H$2999,MATCH(A27,IF('BalSht Data'!A$807=AK$1,'BalSht Data'!G$807:G$2999),0)),"")</f>
        <v/>
      </c>
      <c r="AL27" s="14" t="str">
        <f>IFERROR(INDEX('BalSht Data'!H$830:H$2999,MATCH(A27,IF('BalSht Data'!A$830=AL$1,'BalSht Data'!G$830:G$2999),0)),"")</f>
        <v/>
      </c>
      <c r="AM27" s="14" t="str">
        <f>IFERROR(INDEX('BalSht Data'!H$853:H$2999,MATCH(A27,IF('BalSht Data'!A$853=AM$1,'BalSht Data'!G$853:G$2999),0)),"")</f>
        <v/>
      </c>
      <c r="AN27" s="14" t="str">
        <f>IFERROR(INDEX('BalSht Data'!H$876:H$2999,MATCH(A27,IF('BalSht Data'!A$876=AN$1,'BalSht Data'!G$876:G$2999),0)),"")</f>
        <v/>
      </c>
      <c r="AO27" s="14" t="str">
        <f>IFERROR(INDEX('BalSht Data'!H$899:H$2999,MATCH(A27,IF('BalSht Data'!A$899=AO$1,'BalSht Data'!G$899:G$2999),0)),"")</f>
        <v/>
      </c>
      <c r="AP27" s="14" t="str">
        <f>IFERROR(INDEX('BalSht Data'!H$922:H$2999,MATCH(A27,IF('BalSht Data'!A$922=AP$1,'BalSht Data'!G$922:G$2999),0)),"")</f>
        <v/>
      </c>
      <c r="AQ27" s="14" t="str">
        <f>IFERROR(INDEX('BalSht Data'!H$945:H$2999,MATCH(A27,IF('BalSht Data'!A$945=AQ$1,'BalSht Data'!G$945:G$2999),0)),"")</f>
        <v/>
      </c>
      <c r="AR27" s="14" t="str">
        <f>IFERROR(INDEX('BalSht Data'!H$968:H$2999,MATCH(A27,IF('BalSht Data'!A$968=AR$1,'BalSht Data'!G$968:G$2999),0)),"")</f>
        <v/>
      </c>
      <c r="AS27" s="14" t="str">
        <f>IFERROR(INDEX('BalSht Data'!H$991:H$2999,MATCH(A27,IF('BalSht Data'!A$991=AS$1,'BalSht Data'!G$991:G$2999),0)),"")</f>
        <v/>
      </c>
      <c r="AT27" s="14" t="str">
        <f>IFERROR(INDEX('BalSht Data'!H$1014:H$2999,MATCH(A27,IF('BalSht Data'!A$1014=AT$1,'BalSht Data'!G$1014:G$2999),0)),"")</f>
        <v/>
      </c>
      <c r="AU27" s="14" t="str">
        <f>IFERROR(INDEX('BalSht Data'!H$1037:H$2999,MATCH(A27,IF('BalSht Data'!A$1037=AU$1,'BalSht Data'!G$1037:G$2999),0)),"")</f>
        <v/>
      </c>
      <c r="AV27" s="14" t="str">
        <f>IFERROR(INDEX('BalSht Data'!H$1060:H$2999,MATCH(A27,IF('BalSht Data'!A$1060=AV$1,'BalSht Data'!G$1060:G$2999),0)),"")</f>
        <v/>
      </c>
      <c r="AW27" s="14" t="str">
        <f>IFERROR(INDEX('BalSht Data'!H$1083:H$2999,MATCH(A27,IF('BalSht Data'!A$1083=AW$1,'BalSht Data'!G$1083:G$2999),0)),"")</f>
        <v/>
      </c>
      <c r="AX27" s="14" t="str">
        <f>IFERROR(INDEX('BalSht Data'!H$1106:H$2999,MATCH(A27,IF('BalSht Data'!A$1106=AX$1,'BalSht Data'!G$1106:G$2999),0)),"")</f>
        <v/>
      </c>
      <c r="AY27" s="14" t="str">
        <f>IFERROR(INDEX('BalSht Data'!H$1129:H$2999,MATCH(A27,IF('BalSht Data'!A$1129=AY$1,'BalSht Data'!G$1129:G$2999),0)),"")</f>
        <v/>
      </c>
      <c r="AZ27" s="14" t="str">
        <f>IFERROR(INDEX('BalSht Data'!H$1152:H$2999,MATCH(A27,IF('BalSht Data'!A$1152=AZ$1,'BalSht Data'!G$1152:G$2999),0)),"")</f>
        <v/>
      </c>
      <c r="BA27" s="14" t="str">
        <f>IFERROR(INDEX('BalSht Data'!H$1175:H$2999,MATCH(A27,IF('BalSht Data'!A$1175=BA$1,'BalSht Data'!G$1175:G$2999),0)),"")</f>
        <v/>
      </c>
      <c r="BB27" s="14" t="str">
        <f>IFERROR(INDEX('BalSht Data'!H$1198:H$2999,MATCH(A27,IF('BalSht Data'!A$1198=BB$1,'BalSht Data'!G$1198:G$2999),0)),"")</f>
        <v/>
      </c>
      <c r="BC27" s="14" t="str">
        <f>IFERROR(INDEX('BalSht Data'!H$1221:H$2999,MATCH(A27,IF('BalSht Data'!A$1221=BC$1,'BalSht Data'!G$1221:G$2999),0)),"")</f>
        <v/>
      </c>
      <c r="BD27" s="14" t="str">
        <f>IFERROR(INDEX('BalSht Data'!H$1244:H$2999,MATCH(A27,IF('BalSht Data'!A$1244=BD$1,'BalSht Data'!G$1244:G$2999),0)),"")</f>
        <v/>
      </c>
      <c r="BE27" s="14" t="str">
        <f>IFERROR(INDEX('BalSht Data'!H$1267:H$2999,MATCH(A27,IF('BalSht Data'!A$1267=BE$1,'BalSht Data'!G$1267:G$2999),0)),"")</f>
        <v/>
      </c>
      <c r="BF27" s="14"/>
    </row>
    <row r="28" spans="1:58" x14ac:dyDescent="0.2">
      <c r="A28" s="5" t="s">
        <v>31</v>
      </c>
      <c r="B28" s="14" t="str">
        <f>IFERROR(INDEX('BalSht Data'!H$2:H$2999,MATCH(A28,IF('BalSht Data'!A$2=B$1,'BalSht Data'!G$2:G$2999),0)),"")</f>
        <v/>
      </c>
      <c r="C28" s="14">
        <f>IFERROR(INDEX('BalSht Data'!H$25:H$2999,MATCH(A28,IF('BalSht Data'!A$25=C$1,'BalSht Data'!G$2:G$2999),0)),"")</f>
        <v>999</v>
      </c>
      <c r="D28" s="14">
        <f>IFERROR(INDEX('BalSht Data'!H$48:H$2999,MATCH(A28,IF('BalSht Data'!A$48=D$1,'BalSht Data'!G$48:G$2999),0)),"")</f>
        <v>7878787</v>
      </c>
      <c r="E28" s="14">
        <f>IFERROR(INDEX('BalSht Data'!H$71:H$2999,MATCH(A28,IF('BalSht Data'!A$71=E$1,'BalSht Data'!G$71:G$2999),0)),"")</f>
        <v>36333</v>
      </c>
      <c r="F28" s="14">
        <f>IFERROR(INDEX('BalSht Data'!H$94:H$2999,MATCH(A28,IF('BalSht Data'!A$94=F$1,'BalSht Data'!G$94:G$2999),0)),"")</f>
        <v>88888</v>
      </c>
      <c r="G28" s="14">
        <f>IFERROR(INDEX('BalSht Data'!H$117:H$2999,MATCH(A28,IF('BalSht Data'!A$117=G$1,'BalSht Data'!G$117:G$2999),0)),"")</f>
        <v>22222</v>
      </c>
      <c r="H28" s="14">
        <f>IFERROR(INDEX('BalSht Data'!H$140:H$2999,MATCH(A28,IF('BalSht Data'!A$140=H$1,'BalSht Data'!G$140:G$2999),0)),"")</f>
        <v>22222</v>
      </c>
      <c r="I28" s="14">
        <f>IFERROR(INDEX('BalSht Data'!H$163:H$2999,MATCH(A28,IF('BalSht Data'!A$163=I$1,'BalSht Data'!G$163:G$2999),0)),"")</f>
        <v>22222</v>
      </c>
      <c r="J28" s="14" t="str">
        <f>IFERROR(INDEX('BalSht Data'!H$186:H$2999,MATCH(A28,IF('BalSht Data'!A$186=J$1,'BalSht Data'!G$186:G$2999),0)),"")</f>
        <v/>
      </c>
      <c r="K28" s="14" t="str">
        <f>IFERROR(INDEX('BalSht Data'!H$209:H$2999,MATCH(A28,IF('BalSht Data'!A$209=K$1,'BalSht Data'!G$209:G$2999),0)),"")</f>
        <v/>
      </c>
      <c r="L28" s="14" t="str">
        <f>IFERROR(INDEX('BalSht Data'!H$232:H$2999,MATCH(A28,IF('BalSht Data'!A$232=L$1,'BalSht Data'!G$232:G$2999),0)),"")</f>
        <v/>
      </c>
      <c r="M28" s="14" t="str">
        <f>IFERROR(INDEX('BalSht Data'!H$255:H$2999,MATCH(A28,IF('BalSht Data'!A$255=M$1,'BalSht Data'!G$255:G$2999),0)),"")</f>
        <v/>
      </c>
      <c r="N28" s="14" t="str">
        <f>IFERROR(INDEX('BalSht Data'!H$278:H$2999,MATCH(A28,IF('BalSht Data'!A$278=N$1,'BalSht Data'!G$278:G$2999),0)),"")</f>
        <v/>
      </c>
      <c r="O28" s="14" t="str">
        <f>IFERROR(INDEX('BalSht Data'!H$301:H$2999,MATCH(A28,IF('BalSht Data'!A$301=O$1,'BalSht Data'!G$301:G$2999),0)),"")</f>
        <v/>
      </c>
      <c r="P28" s="14" t="str">
        <f>IFERROR(INDEX('BalSht Data'!H$324:H$2999,MATCH(A28,IF('BalSht Data'!A$324=P$1,'BalSht Data'!G$324:G$2999),0)),"")</f>
        <v/>
      </c>
      <c r="Q28" s="14" t="str">
        <f>IFERROR(INDEX('BalSht Data'!H$347:H$2999,MATCH(A28,IF('BalSht Data'!A$347=Q$1,'BalSht Data'!G$347:G$2999),0)),"")</f>
        <v/>
      </c>
      <c r="R28" s="14" t="str">
        <f>IFERROR(INDEX('BalSht Data'!H$370:H$2999,MATCH(A28,IF('BalSht Data'!A$370=R$1,'BalSht Data'!G$370:G$2999),0)),"")</f>
        <v/>
      </c>
      <c r="S28" s="14" t="str">
        <f>IFERROR(INDEX('BalSht Data'!H$393:H$2999,MATCH(A28,IF('BalSht Data'!A$393=S$1,'BalSht Data'!G$393:G$2999),0)),"")</f>
        <v/>
      </c>
      <c r="T28" s="14" t="str">
        <f>IFERROR(INDEX('BalSht Data'!H$416:H$2999,MATCH(A28,IF('BalSht Data'!A$416=T$1,'BalSht Data'!G$416:G$2999),0)),"")</f>
        <v/>
      </c>
      <c r="U28" s="14" t="str">
        <f>IFERROR(INDEX('BalSht Data'!H$439:H$2999,MATCH(A28,IF('BalSht Data'!A$439=U$1,'BalSht Data'!G$439:G$2999),0)),"")</f>
        <v/>
      </c>
      <c r="V28" s="14" t="str">
        <f>IFERROR(INDEX('BalSht Data'!H$462:H$2999,MATCH(A28,IF('BalSht Data'!A$462=V$1,'BalSht Data'!G$462:G$2999),0)),"")</f>
        <v/>
      </c>
      <c r="W28" s="14" t="str">
        <f>IFERROR(INDEX('BalSht Data'!H$485:H$2999,MATCH(A28,IF('BalSht Data'!A$485=W$1,'BalSht Data'!G$485:G$2999),0)),"")</f>
        <v/>
      </c>
      <c r="X28" s="14" t="str">
        <f>IFERROR(INDEX('BalSht Data'!H$508:H$2999,MATCH(A28,IF('BalSht Data'!A$508=X$1,'BalSht Data'!G$508:G$2999),0)),"")</f>
        <v/>
      </c>
      <c r="Y28" s="14" t="str">
        <f>IFERROR(INDEX('BalSht Data'!H$531:H$2999,MATCH(A28,IF('BalSht Data'!A$531=Y$1,'BalSht Data'!G$531:G$2999),0)),"")</f>
        <v/>
      </c>
      <c r="Z28" s="14" t="str">
        <f>IFERROR(INDEX('BalSht Data'!H$554:H$2999,MATCH(A28,IF('BalSht Data'!A$554=Z$1,'BalSht Data'!G$554:G$2999),0)),"")</f>
        <v/>
      </c>
      <c r="AA28" s="14" t="str">
        <f>IFERROR(INDEX('BalSht Data'!H$577:H$2999,MATCH(A28,IF('BalSht Data'!A$577=AA$1,'BalSht Data'!G$577:G$2999),0)),"")</f>
        <v/>
      </c>
      <c r="AB28" s="14" t="str">
        <f>IFERROR(INDEX('BalSht Data'!H$600:H$2999,MATCH(A28,IF('BalSht Data'!A$600=AB$1,'BalSht Data'!G$600:G$2999),0)),"")</f>
        <v/>
      </c>
      <c r="AC28" s="14" t="str">
        <f>IFERROR(INDEX('BalSht Data'!H$623:H$2999,MATCH(A28,IF('BalSht Data'!A$623=AC$1,'BalSht Data'!G$623:G$2999),0)),"")</f>
        <v/>
      </c>
      <c r="AD28" s="14" t="str">
        <f>IFERROR(INDEX('BalSht Data'!H$646:H$2999,MATCH(A28,IF('BalSht Data'!A$646=AD$1,'BalSht Data'!G$646:G$2999),0)),"")</f>
        <v/>
      </c>
      <c r="AE28" s="14" t="str">
        <f>IFERROR(INDEX('BalSht Data'!H$669:H$2999,MATCH(A28,IF('BalSht Data'!A$669=AE$1,'BalSht Data'!G$669:G$2999),0)),"")</f>
        <v/>
      </c>
      <c r="AF28" s="14" t="str">
        <f>IFERROR(INDEX('BalSht Data'!H$692:H$2999,MATCH(A28,IF('BalSht Data'!A$692=AF$1,'BalSht Data'!G$692:G$2999),0)),"")</f>
        <v/>
      </c>
      <c r="AG28" s="14" t="str">
        <f>IFERROR(INDEX('BalSht Data'!H$715:H$2999,MATCH(A28,IF('BalSht Data'!A$715=AG$1,'BalSht Data'!G$715:G$2999),0)),"")</f>
        <v/>
      </c>
      <c r="AH28" s="14" t="str">
        <f>IFERROR(INDEX('BalSht Data'!H$738:H$2999,MATCH(A28,IF('BalSht Data'!A$738=AH$1,'BalSht Data'!G$738:G$2999),0)),"")</f>
        <v/>
      </c>
      <c r="AI28" s="14" t="str">
        <f>IFERROR(INDEX('BalSht Data'!H$761:H$2999,MATCH(A28,IF('BalSht Data'!A$761=AI$1,'BalSht Data'!G$761:G$2999),0)),"")</f>
        <v/>
      </c>
      <c r="AJ28" s="14" t="str">
        <f>IFERROR(INDEX('BalSht Data'!H$784:H$2999,MATCH(A28,IF('BalSht Data'!A$784=AJ$1,'BalSht Data'!G$784:G$2999),0)),"")</f>
        <v/>
      </c>
      <c r="AK28" s="14" t="str">
        <f>IFERROR(INDEX('BalSht Data'!H$807:H$2999,MATCH(A28,IF('BalSht Data'!A$807=AK$1,'BalSht Data'!G$807:G$2999),0)),"")</f>
        <v/>
      </c>
      <c r="AL28" s="14" t="str">
        <f>IFERROR(INDEX('BalSht Data'!H$830:H$2999,MATCH(A28,IF('BalSht Data'!A$830=AL$1,'BalSht Data'!G$830:G$2999),0)),"")</f>
        <v/>
      </c>
      <c r="AM28" s="14" t="str">
        <f>IFERROR(INDEX('BalSht Data'!H$853:H$2999,MATCH(A28,IF('BalSht Data'!A$853=AM$1,'BalSht Data'!G$853:G$2999),0)),"")</f>
        <v/>
      </c>
      <c r="AN28" s="14" t="str">
        <f>IFERROR(INDEX('BalSht Data'!H$876:H$2999,MATCH(A28,IF('BalSht Data'!A$876=AN$1,'BalSht Data'!G$876:G$2999),0)),"")</f>
        <v/>
      </c>
      <c r="AO28" s="14" t="str">
        <f>IFERROR(INDEX('BalSht Data'!H$899:H$2999,MATCH(A28,IF('BalSht Data'!A$899=AO$1,'BalSht Data'!G$899:G$2999),0)),"")</f>
        <v/>
      </c>
      <c r="AP28" s="14" t="str">
        <f>IFERROR(INDEX('BalSht Data'!H$922:H$2999,MATCH(A28,IF('BalSht Data'!A$922=AP$1,'BalSht Data'!G$922:G$2999),0)),"")</f>
        <v/>
      </c>
      <c r="AQ28" s="14" t="str">
        <f>IFERROR(INDEX('BalSht Data'!H$945:H$2999,MATCH(A28,IF('BalSht Data'!A$945=AQ$1,'BalSht Data'!G$945:G$2999),0)),"")</f>
        <v/>
      </c>
      <c r="AR28" s="14" t="str">
        <f>IFERROR(INDEX('BalSht Data'!H$968:H$2999,MATCH(A28,IF('BalSht Data'!A$968=AR$1,'BalSht Data'!G$968:G$2999),0)),"")</f>
        <v/>
      </c>
      <c r="AS28" s="14" t="str">
        <f>IFERROR(INDEX('BalSht Data'!H$991:H$2999,MATCH(A28,IF('BalSht Data'!A$991=AS$1,'BalSht Data'!G$991:G$2999),0)),"")</f>
        <v/>
      </c>
      <c r="AT28" s="14" t="str">
        <f>IFERROR(INDEX('BalSht Data'!H$1014:H$2999,MATCH(A28,IF('BalSht Data'!A$1014=AT$1,'BalSht Data'!G$1014:G$2999),0)),"")</f>
        <v/>
      </c>
      <c r="AU28" s="14" t="str">
        <f>IFERROR(INDEX('BalSht Data'!H$1037:H$2999,MATCH(A28,IF('BalSht Data'!A$1037=AU$1,'BalSht Data'!G$1037:G$2999),0)),"")</f>
        <v/>
      </c>
      <c r="AV28" s="14" t="str">
        <f>IFERROR(INDEX('BalSht Data'!H$1060:H$2999,MATCH(A28,IF('BalSht Data'!A$1060=AV$1,'BalSht Data'!G$1060:G$2999),0)),"")</f>
        <v/>
      </c>
      <c r="AW28" s="14" t="str">
        <f>IFERROR(INDEX('BalSht Data'!H$1083:H$2999,MATCH(A28,IF('BalSht Data'!A$1083=AW$1,'BalSht Data'!G$1083:G$2999),0)),"")</f>
        <v/>
      </c>
      <c r="AX28" s="14" t="str">
        <f>IFERROR(INDEX('BalSht Data'!H$1106:H$2999,MATCH(A28,IF('BalSht Data'!A$1106=AX$1,'BalSht Data'!G$1106:G$2999),0)),"")</f>
        <v/>
      </c>
      <c r="AY28" s="14" t="str">
        <f>IFERROR(INDEX('BalSht Data'!H$1129:H$2999,MATCH(A28,IF('BalSht Data'!A$1129=AY$1,'BalSht Data'!G$1129:G$2999),0)),"")</f>
        <v/>
      </c>
      <c r="AZ28" s="14" t="str">
        <f>IFERROR(INDEX('BalSht Data'!H$1152:H$2999,MATCH(A28,IF('BalSht Data'!A$1152=AZ$1,'BalSht Data'!G$1152:G$2999),0)),"")</f>
        <v/>
      </c>
      <c r="BA28" s="14" t="str">
        <f>IFERROR(INDEX('BalSht Data'!H$1175:H$2999,MATCH(A28,IF('BalSht Data'!A$1175=BA$1,'BalSht Data'!G$1175:G$2999),0)),"")</f>
        <v/>
      </c>
      <c r="BB28" s="14" t="str">
        <f>IFERROR(INDEX('BalSht Data'!H$1198:H$2999,MATCH(A28,IF('BalSht Data'!A$1198=BB$1,'BalSht Data'!G$1198:G$2999),0)),"")</f>
        <v/>
      </c>
      <c r="BC28" s="14" t="str">
        <f>IFERROR(INDEX('BalSht Data'!H$1221:H$2999,MATCH(A28,IF('BalSht Data'!A$1221=BC$1,'BalSht Data'!G$1221:G$2999),0)),"")</f>
        <v/>
      </c>
      <c r="BD28" s="14" t="str">
        <f>IFERROR(INDEX('BalSht Data'!H$1244:H$2999,MATCH(A28,IF('BalSht Data'!A$1244=BD$1,'BalSht Data'!G$1244:G$2999),0)),"")</f>
        <v/>
      </c>
      <c r="BE28" s="14" t="str">
        <f>IFERROR(INDEX('BalSht Data'!H$1267:H$2999,MATCH(A28,IF('BalSht Data'!A$1267=BE$1,'BalSht Data'!G$1267:G$2999),0)),"")</f>
        <v/>
      </c>
      <c r="BF28" s="14"/>
    </row>
    <row r="29" spans="1:58" x14ac:dyDescent="0.2">
      <c r="A29" s="5" t="s">
        <v>32</v>
      </c>
      <c r="B29" s="14" t="str">
        <f>IFERROR(INDEX('BalSht Data'!H$2:H$2999,MATCH(A29,IF('BalSht Data'!A$2=B$1,'BalSht Data'!G$2:G$2999),0)),"")</f>
        <v/>
      </c>
      <c r="C29" s="14">
        <f>IFERROR(INDEX('BalSht Data'!H$25:H$2999,MATCH(A29,IF('BalSht Data'!A$25=C$1,'BalSht Data'!G$2:G$2999),0)),"")</f>
        <v>999</v>
      </c>
      <c r="D29" s="14">
        <f>IFERROR(INDEX('BalSht Data'!H$48:H$2999,MATCH(A29,IF('BalSht Data'!A$48=D$1,'BalSht Data'!G$48:G$2999),0)),"")</f>
        <v>7878787</v>
      </c>
      <c r="E29" s="14">
        <f>IFERROR(INDEX('BalSht Data'!H$71:H$2999,MATCH(A29,IF('BalSht Data'!A$71=E$1,'BalSht Data'!G$71:G$2999),0)),"")</f>
        <v>36333</v>
      </c>
      <c r="F29" s="14">
        <f>IFERROR(INDEX('BalSht Data'!H$94:H$2999,MATCH(A29,IF('BalSht Data'!A$94=F$1,'BalSht Data'!G$94:G$2999),0)),"")</f>
        <v>88888</v>
      </c>
      <c r="G29" s="14">
        <f>IFERROR(INDEX('BalSht Data'!H$117:H$2999,MATCH(A29,IF('BalSht Data'!A$117=G$1,'BalSht Data'!G$117:G$2999),0)),"")</f>
        <v>22222</v>
      </c>
      <c r="H29" s="14">
        <f>IFERROR(INDEX('BalSht Data'!H$140:H$2999,MATCH(A29,IF('BalSht Data'!A$140=H$1,'BalSht Data'!G$140:G$2999),0)),"")</f>
        <v>22222</v>
      </c>
      <c r="I29" s="14">
        <f>IFERROR(INDEX('BalSht Data'!H$163:H$2999,MATCH(A29,IF('BalSht Data'!A$163=I$1,'BalSht Data'!G$163:G$2999),0)),"")</f>
        <v>22222</v>
      </c>
      <c r="J29" s="14" t="str">
        <f>IFERROR(INDEX('BalSht Data'!H$186:H$2999,MATCH(A29,IF('BalSht Data'!A$186=J$1,'BalSht Data'!G$186:G$2999),0)),"")</f>
        <v/>
      </c>
      <c r="K29" s="14" t="str">
        <f>IFERROR(INDEX('BalSht Data'!H$209:H$2999,MATCH(A29,IF('BalSht Data'!A$209=K$1,'BalSht Data'!G$209:G$2999),0)),"")</f>
        <v/>
      </c>
      <c r="L29" s="14" t="str">
        <f>IFERROR(INDEX('BalSht Data'!H$232:H$2999,MATCH(A29,IF('BalSht Data'!A$232=L$1,'BalSht Data'!G$232:G$2999),0)),"")</f>
        <v/>
      </c>
      <c r="M29" s="14" t="str">
        <f>IFERROR(INDEX('BalSht Data'!H$255:H$2999,MATCH(A29,IF('BalSht Data'!A$255=M$1,'BalSht Data'!G$255:G$2999),0)),"")</f>
        <v/>
      </c>
      <c r="N29" s="14" t="str">
        <f>IFERROR(INDEX('BalSht Data'!H$278:H$2999,MATCH(A29,IF('BalSht Data'!A$278=N$1,'BalSht Data'!G$278:G$2999),0)),"")</f>
        <v/>
      </c>
      <c r="O29" s="14" t="str">
        <f>IFERROR(INDEX('BalSht Data'!H$301:H$2999,MATCH(A29,IF('BalSht Data'!A$301=O$1,'BalSht Data'!G$301:G$2999),0)),"")</f>
        <v/>
      </c>
      <c r="P29" s="14" t="str">
        <f>IFERROR(INDEX('BalSht Data'!H$324:H$2999,MATCH(A29,IF('BalSht Data'!A$324=P$1,'BalSht Data'!G$324:G$2999),0)),"")</f>
        <v/>
      </c>
      <c r="Q29" s="14" t="str">
        <f>IFERROR(INDEX('BalSht Data'!H$347:H$2999,MATCH(A29,IF('BalSht Data'!A$347=Q$1,'BalSht Data'!G$347:G$2999),0)),"")</f>
        <v/>
      </c>
      <c r="R29" s="14" t="str">
        <f>IFERROR(INDEX('BalSht Data'!H$370:H$2999,MATCH(A29,IF('BalSht Data'!A$370=R$1,'BalSht Data'!G$370:G$2999),0)),"")</f>
        <v/>
      </c>
      <c r="S29" s="14" t="str">
        <f>IFERROR(INDEX('BalSht Data'!H$393:H$2999,MATCH(A29,IF('BalSht Data'!A$393=S$1,'BalSht Data'!G$393:G$2999),0)),"")</f>
        <v/>
      </c>
      <c r="T29" s="14" t="str">
        <f>IFERROR(INDEX('BalSht Data'!H$416:H$2999,MATCH(A29,IF('BalSht Data'!A$416=T$1,'BalSht Data'!G$416:G$2999),0)),"")</f>
        <v/>
      </c>
      <c r="U29" s="14" t="str">
        <f>IFERROR(INDEX('BalSht Data'!H$439:H$2999,MATCH(A29,IF('BalSht Data'!A$439=U$1,'BalSht Data'!G$439:G$2999),0)),"")</f>
        <v/>
      </c>
      <c r="V29" s="14" t="str">
        <f>IFERROR(INDEX('BalSht Data'!H$462:H$2999,MATCH(A29,IF('BalSht Data'!A$462=V$1,'BalSht Data'!G$462:G$2999),0)),"")</f>
        <v/>
      </c>
      <c r="W29" s="14" t="str">
        <f>IFERROR(INDEX('BalSht Data'!H$485:H$2999,MATCH(A29,IF('BalSht Data'!A$485=W$1,'BalSht Data'!G$485:G$2999),0)),"")</f>
        <v/>
      </c>
      <c r="X29" s="14" t="str">
        <f>IFERROR(INDEX('BalSht Data'!H$508:H$2999,MATCH(A29,IF('BalSht Data'!A$508=X$1,'BalSht Data'!G$508:G$2999),0)),"")</f>
        <v/>
      </c>
      <c r="Y29" s="14" t="str">
        <f>IFERROR(INDEX('BalSht Data'!H$531:H$2999,MATCH(A29,IF('BalSht Data'!A$531=Y$1,'BalSht Data'!G$531:G$2999),0)),"")</f>
        <v/>
      </c>
      <c r="Z29" s="14" t="str">
        <f>IFERROR(INDEX('BalSht Data'!H$554:H$2999,MATCH(A29,IF('BalSht Data'!A$554=Z$1,'BalSht Data'!G$554:G$2999),0)),"")</f>
        <v/>
      </c>
      <c r="AA29" s="14" t="str">
        <f>IFERROR(INDEX('BalSht Data'!H$577:H$2999,MATCH(A29,IF('BalSht Data'!A$577=AA$1,'BalSht Data'!G$577:G$2999),0)),"")</f>
        <v/>
      </c>
      <c r="AB29" s="14" t="str">
        <f>IFERROR(INDEX('BalSht Data'!H$600:H$2999,MATCH(A29,IF('BalSht Data'!A$600=AB$1,'BalSht Data'!G$600:G$2999),0)),"")</f>
        <v/>
      </c>
      <c r="AC29" s="14" t="str">
        <f>IFERROR(INDEX('BalSht Data'!H$623:H$2999,MATCH(A29,IF('BalSht Data'!A$623=AC$1,'BalSht Data'!G$623:G$2999),0)),"")</f>
        <v/>
      </c>
      <c r="AD29" s="14" t="str">
        <f>IFERROR(INDEX('BalSht Data'!H$646:H$2999,MATCH(A29,IF('BalSht Data'!A$646=AD$1,'BalSht Data'!G$646:G$2999),0)),"")</f>
        <v/>
      </c>
      <c r="AE29" s="14" t="str">
        <f>IFERROR(INDEX('BalSht Data'!H$669:H$2999,MATCH(A29,IF('BalSht Data'!A$669=AE$1,'BalSht Data'!G$669:G$2999),0)),"")</f>
        <v/>
      </c>
      <c r="AF29" s="14" t="str">
        <f>IFERROR(INDEX('BalSht Data'!H$692:H$2999,MATCH(A29,IF('BalSht Data'!A$692=AF$1,'BalSht Data'!G$692:G$2999),0)),"")</f>
        <v/>
      </c>
      <c r="AG29" s="14" t="str">
        <f>IFERROR(INDEX('BalSht Data'!H$715:H$2999,MATCH(A29,IF('BalSht Data'!A$715=AG$1,'BalSht Data'!G$715:G$2999),0)),"")</f>
        <v/>
      </c>
      <c r="AH29" s="14" t="str">
        <f>IFERROR(INDEX('BalSht Data'!H$738:H$2999,MATCH(A29,IF('BalSht Data'!A$738=AH$1,'BalSht Data'!G$738:G$2999),0)),"")</f>
        <v/>
      </c>
      <c r="AI29" s="14" t="str">
        <f>IFERROR(INDEX('BalSht Data'!H$761:H$2999,MATCH(A29,IF('BalSht Data'!A$761=AI$1,'BalSht Data'!G$761:G$2999),0)),"")</f>
        <v/>
      </c>
      <c r="AJ29" s="14" t="str">
        <f>IFERROR(INDEX('BalSht Data'!H$784:H$2999,MATCH(A29,IF('BalSht Data'!A$784=AJ$1,'BalSht Data'!G$784:G$2999),0)),"")</f>
        <v/>
      </c>
      <c r="AK29" s="14" t="str">
        <f>IFERROR(INDEX('BalSht Data'!H$807:H$2999,MATCH(A29,IF('BalSht Data'!A$807=AK$1,'BalSht Data'!G$807:G$2999),0)),"")</f>
        <v/>
      </c>
      <c r="AL29" s="14" t="str">
        <f>IFERROR(INDEX('BalSht Data'!H$830:H$2999,MATCH(A29,IF('BalSht Data'!A$830=AL$1,'BalSht Data'!G$830:G$2999),0)),"")</f>
        <v/>
      </c>
      <c r="AM29" s="14" t="str">
        <f>IFERROR(INDEX('BalSht Data'!H$853:H$2999,MATCH(A29,IF('BalSht Data'!A$853=AM$1,'BalSht Data'!G$853:G$2999),0)),"")</f>
        <v/>
      </c>
      <c r="AN29" s="14" t="str">
        <f>IFERROR(INDEX('BalSht Data'!H$876:H$2999,MATCH(A29,IF('BalSht Data'!A$876=AN$1,'BalSht Data'!G$876:G$2999),0)),"")</f>
        <v/>
      </c>
      <c r="AO29" s="14" t="str">
        <f>IFERROR(INDEX('BalSht Data'!H$899:H$2999,MATCH(A29,IF('BalSht Data'!A$899=AO$1,'BalSht Data'!G$899:G$2999),0)),"")</f>
        <v/>
      </c>
      <c r="AP29" s="14" t="str">
        <f>IFERROR(INDEX('BalSht Data'!H$922:H$2999,MATCH(A29,IF('BalSht Data'!A$922=AP$1,'BalSht Data'!G$922:G$2999),0)),"")</f>
        <v/>
      </c>
      <c r="AQ29" s="14" t="str">
        <f>IFERROR(INDEX('BalSht Data'!H$945:H$2999,MATCH(A29,IF('BalSht Data'!A$945=AQ$1,'BalSht Data'!G$945:G$2999),0)),"")</f>
        <v/>
      </c>
      <c r="AR29" s="14" t="str">
        <f>IFERROR(INDEX('BalSht Data'!H$968:H$2999,MATCH(A29,IF('BalSht Data'!A$968=AR$1,'BalSht Data'!G$968:G$2999),0)),"")</f>
        <v/>
      </c>
      <c r="AS29" s="14" t="str">
        <f>IFERROR(INDEX('BalSht Data'!H$991:H$2999,MATCH(A29,IF('BalSht Data'!A$991=AS$1,'BalSht Data'!G$991:G$2999),0)),"")</f>
        <v/>
      </c>
      <c r="AT29" s="14" t="str">
        <f>IFERROR(INDEX('BalSht Data'!H$1014:H$2999,MATCH(A29,IF('BalSht Data'!A$1014=AT$1,'BalSht Data'!G$1014:G$2999),0)),"")</f>
        <v/>
      </c>
      <c r="AU29" s="14" t="str">
        <f>IFERROR(INDEX('BalSht Data'!H$1037:H$2999,MATCH(A29,IF('BalSht Data'!A$1037=AU$1,'BalSht Data'!G$1037:G$2999),0)),"")</f>
        <v/>
      </c>
      <c r="AV29" s="14" t="str">
        <f>IFERROR(INDEX('BalSht Data'!H$1060:H$2999,MATCH(A29,IF('BalSht Data'!A$1060=AV$1,'BalSht Data'!G$1060:G$2999),0)),"")</f>
        <v/>
      </c>
      <c r="AW29" s="14" t="str">
        <f>IFERROR(INDEX('BalSht Data'!H$1083:H$2999,MATCH(A29,IF('BalSht Data'!A$1083=AW$1,'BalSht Data'!G$1083:G$2999),0)),"")</f>
        <v/>
      </c>
      <c r="AX29" s="14" t="str">
        <f>IFERROR(INDEX('BalSht Data'!H$1106:H$2999,MATCH(A29,IF('BalSht Data'!A$1106=AX$1,'BalSht Data'!G$1106:G$2999),0)),"")</f>
        <v/>
      </c>
      <c r="AY29" s="14" t="str">
        <f>IFERROR(INDEX('BalSht Data'!H$1129:H$2999,MATCH(A29,IF('BalSht Data'!A$1129=AY$1,'BalSht Data'!G$1129:G$2999),0)),"")</f>
        <v/>
      </c>
      <c r="AZ29" s="14" t="str">
        <f>IFERROR(INDEX('BalSht Data'!H$1152:H$2999,MATCH(A29,IF('BalSht Data'!A$1152=AZ$1,'BalSht Data'!G$1152:G$2999),0)),"")</f>
        <v/>
      </c>
      <c r="BA29" s="14" t="str">
        <f>IFERROR(INDEX('BalSht Data'!H$1175:H$2999,MATCH(A29,IF('BalSht Data'!A$1175=BA$1,'BalSht Data'!G$1175:G$2999),0)),"")</f>
        <v/>
      </c>
      <c r="BB29" s="14" t="str">
        <f>IFERROR(INDEX('BalSht Data'!H$1198:H$2999,MATCH(A29,IF('BalSht Data'!A$1198=BB$1,'BalSht Data'!G$1198:G$2999),0)),"")</f>
        <v/>
      </c>
      <c r="BC29" s="14" t="str">
        <f>IFERROR(INDEX('BalSht Data'!H$1221:H$2999,MATCH(A29,IF('BalSht Data'!A$1221=BC$1,'BalSht Data'!G$1221:G$2999),0)),"")</f>
        <v/>
      </c>
      <c r="BD29" s="14" t="str">
        <f>IFERROR(INDEX('BalSht Data'!H$1244:H$2999,MATCH(A29,IF('BalSht Data'!A$1244=BD$1,'BalSht Data'!G$1244:G$2999),0)),"")</f>
        <v/>
      </c>
      <c r="BE29" s="14" t="str">
        <f>IFERROR(INDEX('BalSht Data'!H$1267:H$2999,MATCH(A29,IF('BalSht Data'!A$1267=BE$1,'BalSht Data'!G$1267:G$2999),0)),"")</f>
        <v/>
      </c>
      <c r="BF29" s="14"/>
    </row>
    <row r="30" spans="1:58" x14ac:dyDescent="0.2">
      <c r="A30" s="5" t="s">
        <v>33</v>
      </c>
      <c r="B30" s="14" t="str">
        <f>IFERROR(INDEX('BalSht Data'!H$2:H$2999,MATCH(A30,IF('BalSht Data'!A$2=B$1,'BalSht Data'!G$2:G$2999),0)),"")</f>
        <v/>
      </c>
      <c r="C30" s="14">
        <f>IFERROR(INDEX('BalSht Data'!H$25:H$2999,MATCH(A30,IF('BalSht Data'!A$25=C$1,'BalSht Data'!G$2:G$2999),0)),"")</f>
        <v>999</v>
      </c>
      <c r="D30" s="14">
        <f>IFERROR(INDEX('BalSht Data'!H$48:H$2999,MATCH(A30,IF('BalSht Data'!A$48=D$1,'BalSht Data'!G$48:G$2999),0)),"")</f>
        <v>7878787</v>
      </c>
      <c r="E30" s="14">
        <f>IFERROR(INDEX('BalSht Data'!H$71:H$2999,MATCH(A30,IF('BalSht Data'!A$71=E$1,'BalSht Data'!G$71:G$2999),0)),"")</f>
        <v>36333</v>
      </c>
      <c r="F30" s="14">
        <f>IFERROR(INDEX('BalSht Data'!H$94:H$2999,MATCH(A30,IF('BalSht Data'!A$94=F$1,'BalSht Data'!G$94:G$2999),0)),"")</f>
        <v>88888</v>
      </c>
      <c r="G30" s="14">
        <f>IFERROR(INDEX('BalSht Data'!H$117:H$2999,MATCH(A30,IF('BalSht Data'!A$117=G$1,'BalSht Data'!G$117:G$2999),0)),"")</f>
        <v>22222</v>
      </c>
      <c r="H30" s="14">
        <f>IFERROR(INDEX('BalSht Data'!H$140:H$2999,MATCH(A30,IF('BalSht Data'!A$140=H$1,'BalSht Data'!G$140:G$2999),0)),"")</f>
        <v>22222</v>
      </c>
      <c r="I30" s="14">
        <f>IFERROR(INDEX('BalSht Data'!H$163:H$2999,MATCH(A30,IF('BalSht Data'!A$163=I$1,'BalSht Data'!G$163:G$2999),0)),"")</f>
        <v>22222</v>
      </c>
      <c r="J30" s="14" t="str">
        <f>IFERROR(INDEX('BalSht Data'!H$186:H$2999,MATCH(A30,IF('BalSht Data'!A$186=J$1,'BalSht Data'!G$186:G$2999),0)),"")</f>
        <v/>
      </c>
      <c r="K30" s="14" t="str">
        <f>IFERROR(INDEX('BalSht Data'!H$209:H$2999,MATCH(A30,IF('BalSht Data'!A$209=K$1,'BalSht Data'!G$209:G$2999),0)),"")</f>
        <v/>
      </c>
      <c r="L30" s="14" t="str">
        <f>IFERROR(INDEX('BalSht Data'!H$232:H$2999,MATCH(A30,IF('BalSht Data'!A$232=L$1,'BalSht Data'!G$232:G$2999),0)),"")</f>
        <v/>
      </c>
      <c r="M30" s="14" t="str">
        <f>IFERROR(INDEX('BalSht Data'!H$255:H$2999,MATCH(A30,IF('BalSht Data'!A$255=M$1,'BalSht Data'!G$255:G$2999),0)),"")</f>
        <v/>
      </c>
      <c r="N30" s="14" t="str">
        <f>IFERROR(INDEX('BalSht Data'!H$278:H$2999,MATCH(A30,IF('BalSht Data'!A$278=N$1,'BalSht Data'!G$278:G$2999),0)),"")</f>
        <v/>
      </c>
      <c r="O30" s="14" t="str">
        <f>IFERROR(INDEX('BalSht Data'!H$301:H$2999,MATCH(A30,IF('BalSht Data'!A$301=O$1,'BalSht Data'!G$301:G$2999),0)),"")</f>
        <v/>
      </c>
      <c r="P30" s="14" t="str">
        <f>IFERROR(INDEX('BalSht Data'!H$324:H$2999,MATCH(A30,IF('BalSht Data'!A$324=P$1,'BalSht Data'!G$324:G$2999),0)),"")</f>
        <v/>
      </c>
      <c r="Q30" s="14" t="str">
        <f>IFERROR(INDEX('BalSht Data'!H$347:H$2999,MATCH(A30,IF('BalSht Data'!A$347=Q$1,'BalSht Data'!G$347:G$2999),0)),"")</f>
        <v/>
      </c>
      <c r="R30" s="14" t="str">
        <f>IFERROR(INDEX('BalSht Data'!H$370:H$2999,MATCH(A30,IF('BalSht Data'!A$370=R$1,'BalSht Data'!G$370:G$2999),0)),"")</f>
        <v/>
      </c>
      <c r="S30" s="14" t="str">
        <f>IFERROR(INDEX('BalSht Data'!H$393:H$2999,MATCH(A30,IF('BalSht Data'!A$393=S$1,'BalSht Data'!G$393:G$2999),0)),"")</f>
        <v/>
      </c>
      <c r="T30" s="14" t="str">
        <f>IFERROR(INDEX('BalSht Data'!H$416:H$2999,MATCH(A30,IF('BalSht Data'!A$416=T$1,'BalSht Data'!G$416:G$2999),0)),"")</f>
        <v/>
      </c>
      <c r="U30" s="14" t="str">
        <f>IFERROR(INDEX('BalSht Data'!H$439:H$2999,MATCH(A30,IF('BalSht Data'!A$439=U$1,'BalSht Data'!G$439:G$2999),0)),"")</f>
        <v/>
      </c>
      <c r="V30" s="14" t="str">
        <f>IFERROR(INDEX('BalSht Data'!H$462:H$2999,MATCH(A30,IF('BalSht Data'!A$462=V$1,'BalSht Data'!G$462:G$2999),0)),"")</f>
        <v/>
      </c>
      <c r="W30" s="14" t="str">
        <f>IFERROR(INDEX('BalSht Data'!H$485:H$2999,MATCH(A30,IF('BalSht Data'!A$485=W$1,'BalSht Data'!G$485:G$2999),0)),"")</f>
        <v/>
      </c>
      <c r="X30" s="14" t="str">
        <f>IFERROR(INDEX('BalSht Data'!H$508:H$2999,MATCH(A30,IF('BalSht Data'!A$508=X$1,'BalSht Data'!G$508:G$2999),0)),"")</f>
        <v/>
      </c>
      <c r="Y30" s="14" t="str">
        <f>IFERROR(INDEX('BalSht Data'!H$531:H$2999,MATCH(A30,IF('BalSht Data'!A$531=Y$1,'BalSht Data'!G$531:G$2999),0)),"")</f>
        <v/>
      </c>
      <c r="Z30" s="14" t="str">
        <f>IFERROR(INDEX('BalSht Data'!H$554:H$2999,MATCH(A30,IF('BalSht Data'!A$554=Z$1,'BalSht Data'!G$554:G$2999),0)),"")</f>
        <v/>
      </c>
      <c r="AA30" s="14" t="str">
        <f>IFERROR(INDEX('BalSht Data'!H$577:H$2999,MATCH(A30,IF('BalSht Data'!A$577=AA$1,'BalSht Data'!G$577:G$2999),0)),"")</f>
        <v/>
      </c>
      <c r="AB30" s="14" t="str">
        <f>IFERROR(INDEX('BalSht Data'!H$600:H$2999,MATCH(A30,IF('BalSht Data'!A$600=AB$1,'BalSht Data'!G$600:G$2999),0)),"")</f>
        <v/>
      </c>
      <c r="AC30" s="14" t="str">
        <f>IFERROR(INDEX('BalSht Data'!H$623:H$2999,MATCH(A30,IF('BalSht Data'!A$623=AC$1,'BalSht Data'!G$623:G$2999),0)),"")</f>
        <v/>
      </c>
      <c r="AD30" s="14" t="str">
        <f>IFERROR(INDEX('BalSht Data'!H$646:H$2999,MATCH(A30,IF('BalSht Data'!A$646=AD$1,'BalSht Data'!G$646:G$2999),0)),"")</f>
        <v/>
      </c>
      <c r="AE30" s="14" t="str">
        <f>IFERROR(INDEX('BalSht Data'!H$669:H$2999,MATCH(A30,IF('BalSht Data'!A$669=AE$1,'BalSht Data'!G$669:G$2999),0)),"")</f>
        <v/>
      </c>
      <c r="AF30" s="14" t="str">
        <f>IFERROR(INDEX('BalSht Data'!H$692:H$2999,MATCH(A30,IF('BalSht Data'!A$692=AF$1,'BalSht Data'!G$692:G$2999),0)),"")</f>
        <v/>
      </c>
      <c r="AG30" s="14" t="str">
        <f>IFERROR(INDEX('BalSht Data'!H$715:H$2999,MATCH(A30,IF('BalSht Data'!A$715=AG$1,'BalSht Data'!G$715:G$2999),0)),"")</f>
        <v/>
      </c>
      <c r="AH30" s="14" t="str">
        <f>IFERROR(INDEX('BalSht Data'!H$738:H$2999,MATCH(A30,IF('BalSht Data'!A$738=AH$1,'BalSht Data'!G$738:G$2999),0)),"")</f>
        <v/>
      </c>
      <c r="AI30" s="14" t="str">
        <f>IFERROR(INDEX('BalSht Data'!H$761:H$2999,MATCH(A30,IF('BalSht Data'!A$761=AI$1,'BalSht Data'!G$761:G$2999),0)),"")</f>
        <v/>
      </c>
      <c r="AJ30" s="14" t="str">
        <f>IFERROR(INDEX('BalSht Data'!H$784:H$2999,MATCH(A30,IF('BalSht Data'!A$784=AJ$1,'BalSht Data'!G$784:G$2999),0)),"")</f>
        <v/>
      </c>
      <c r="AK30" s="14" t="str">
        <f>IFERROR(INDEX('BalSht Data'!H$807:H$2999,MATCH(A30,IF('BalSht Data'!A$807=AK$1,'BalSht Data'!G$807:G$2999),0)),"")</f>
        <v/>
      </c>
      <c r="AL30" s="14" t="str">
        <f>IFERROR(INDEX('BalSht Data'!H$830:H$2999,MATCH(A30,IF('BalSht Data'!A$830=AL$1,'BalSht Data'!G$830:G$2999),0)),"")</f>
        <v/>
      </c>
      <c r="AM30" s="14" t="str">
        <f>IFERROR(INDEX('BalSht Data'!H$853:H$2999,MATCH(A30,IF('BalSht Data'!A$853=AM$1,'BalSht Data'!G$853:G$2999),0)),"")</f>
        <v/>
      </c>
      <c r="AN30" s="14" t="str">
        <f>IFERROR(INDEX('BalSht Data'!H$876:H$2999,MATCH(A30,IF('BalSht Data'!A$876=AN$1,'BalSht Data'!G$876:G$2999),0)),"")</f>
        <v/>
      </c>
      <c r="AO30" s="14" t="str">
        <f>IFERROR(INDEX('BalSht Data'!H$899:H$2999,MATCH(A30,IF('BalSht Data'!A$899=AO$1,'BalSht Data'!G$899:G$2999),0)),"")</f>
        <v/>
      </c>
      <c r="AP30" s="14" t="str">
        <f>IFERROR(INDEX('BalSht Data'!H$922:H$2999,MATCH(A30,IF('BalSht Data'!A$922=AP$1,'BalSht Data'!G$922:G$2999),0)),"")</f>
        <v/>
      </c>
      <c r="AQ30" s="14" t="str">
        <f>IFERROR(INDEX('BalSht Data'!H$945:H$2999,MATCH(A30,IF('BalSht Data'!A$945=AQ$1,'BalSht Data'!G$945:G$2999),0)),"")</f>
        <v/>
      </c>
      <c r="AR30" s="14" t="str">
        <f>IFERROR(INDEX('BalSht Data'!H$968:H$2999,MATCH(A30,IF('BalSht Data'!A$968=AR$1,'BalSht Data'!G$968:G$2999),0)),"")</f>
        <v/>
      </c>
      <c r="AS30" s="14" t="str">
        <f>IFERROR(INDEX('BalSht Data'!H$991:H$2999,MATCH(A30,IF('BalSht Data'!A$991=AS$1,'BalSht Data'!G$991:G$2999),0)),"")</f>
        <v/>
      </c>
      <c r="AT30" s="14" t="str">
        <f>IFERROR(INDEX('BalSht Data'!H$1014:H$2999,MATCH(A30,IF('BalSht Data'!A$1014=AT$1,'BalSht Data'!G$1014:G$2999),0)),"")</f>
        <v/>
      </c>
      <c r="AU30" s="14" t="str">
        <f>IFERROR(INDEX('BalSht Data'!H$1037:H$2999,MATCH(A30,IF('BalSht Data'!A$1037=AU$1,'BalSht Data'!G$1037:G$2999),0)),"")</f>
        <v/>
      </c>
      <c r="AV30" s="14" t="str">
        <f>IFERROR(INDEX('BalSht Data'!H$1060:H$2999,MATCH(A30,IF('BalSht Data'!A$1060=AV$1,'BalSht Data'!G$1060:G$2999),0)),"")</f>
        <v/>
      </c>
      <c r="AW30" s="14" t="str">
        <f>IFERROR(INDEX('BalSht Data'!H$1083:H$2999,MATCH(A30,IF('BalSht Data'!A$1083=AW$1,'BalSht Data'!G$1083:G$2999),0)),"")</f>
        <v/>
      </c>
      <c r="AX30" s="14" t="str">
        <f>IFERROR(INDEX('BalSht Data'!H$1106:H$2999,MATCH(A30,IF('BalSht Data'!A$1106=AX$1,'BalSht Data'!G$1106:G$2999),0)),"")</f>
        <v/>
      </c>
      <c r="AY30" s="14" t="str">
        <f>IFERROR(INDEX('BalSht Data'!H$1129:H$2999,MATCH(A30,IF('BalSht Data'!A$1129=AY$1,'BalSht Data'!G$1129:G$2999),0)),"")</f>
        <v/>
      </c>
      <c r="AZ30" s="14" t="str">
        <f>IFERROR(INDEX('BalSht Data'!H$1152:H$2999,MATCH(A30,IF('BalSht Data'!A$1152=AZ$1,'BalSht Data'!G$1152:G$2999),0)),"")</f>
        <v/>
      </c>
      <c r="BA30" s="14" t="str">
        <f>IFERROR(INDEX('BalSht Data'!H$1175:H$2999,MATCH(A30,IF('BalSht Data'!A$1175=BA$1,'BalSht Data'!G$1175:G$2999),0)),"")</f>
        <v/>
      </c>
      <c r="BB30" s="14" t="str">
        <f>IFERROR(INDEX('BalSht Data'!H$1198:H$2999,MATCH(A30,IF('BalSht Data'!A$1198=BB$1,'BalSht Data'!G$1198:G$2999),0)),"")</f>
        <v/>
      </c>
      <c r="BC30" s="14" t="str">
        <f>IFERROR(INDEX('BalSht Data'!H$1221:H$2999,MATCH(A30,IF('BalSht Data'!A$1221=BC$1,'BalSht Data'!G$1221:G$2999),0)),"")</f>
        <v/>
      </c>
      <c r="BD30" s="14" t="str">
        <f>IFERROR(INDEX('BalSht Data'!H$1244:H$2999,MATCH(A30,IF('BalSht Data'!A$1244=BD$1,'BalSht Data'!G$1244:G$2999),0)),"")</f>
        <v/>
      </c>
      <c r="BE30" s="14" t="str">
        <f>IFERROR(INDEX('BalSht Data'!H$1267:H$2999,MATCH(A30,IF('BalSht Data'!A$1267=BE$1,'BalSht Data'!G$1267:G$2999),0)),"")</f>
        <v/>
      </c>
      <c r="BF30" s="14"/>
    </row>
    <row r="31" spans="1:58" x14ac:dyDescent="0.2">
      <c r="A31" s="5" t="s">
        <v>34</v>
      </c>
      <c r="B31" s="14" t="str">
        <f>IFERROR(INDEX('BalSht Data'!H$2:H$2999,MATCH(A31,IF('BalSht Data'!A$2=B$1,'BalSht Data'!G$2:G$2999),0)),"")</f>
        <v/>
      </c>
      <c r="C31" s="14">
        <f>IFERROR(INDEX('BalSht Data'!H$25:H$2999,MATCH(A31,IF('BalSht Data'!A$25=C$1,'BalSht Data'!G$2:G$2999),0)),"")</f>
        <v>999</v>
      </c>
      <c r="D31" s="14">
        <f>IFERROR(INDEX('BalSht Data'!H$48:H$2999,MATCH(A31,IF('BalSht Data'!A$48=D$1,'BalSht Data'!G$48:G$2999),0)),"")</f>
        <v>7878787</v>
      </c>
      <c r="E31" s="14">
        <f>IFERROR(INDEX('BalSht Data'!H$71:H$2999,MATCH(A31,IF('BalSht Data'!A$71=E$1,'BalSht Data'!G$71:G$2999),0)),"")</f>
        <v>36333</v>
      </c>
      <c r="F31" s="14">
        <f>IFERROR(INDEX('BalSht Data'!H$94:H$2999,MATCH(A31,IF('BalSht Data'!A$94=F$1,'BalSht Data'!G$94:G$2999),0)),"")</f>
        <v>88888</v>
      </c>
      <c r="G31" s="14">
        <f>IFERROR(INDEX('BalSht Data'!H$117:H$2999,MATCH(A31,IF('BalSht Data'!A$117=G$1,'BalSht Data'!G$117:G$2999),0)),"")</f>
        <v>22222</v>
      </c>
      <c r="H31" s="14">
        <f>IFERROR(INDEX('BalSht Data'!H$140:H$2999,MATCH(A31,IF('BalSht Data'!A$140=H$1,'BalSht Data'!G$140:G$2999),0)),"")</f>
        <v>22222</v>
      </c>
      <c r="I31" s="14">
        <f>IFERROR(INDEX('BalSht Data'!H$163:H$2999,MATCH(A31,IF('BalSht Data'!A$163=I$1,'BalSht Data'!G$163:G$2999),0)),"")</f>
        <v>22222</v>
      </c>
      <c r="J31" s="14" t="str">
        <f>IFERROR(INDEX('BalSht Data'!H$186:H$2999,MATCH(A31,IF('BalSht Data'!A$186=J$1,'BalSht Data'!G$186:G$2999),0)),"")</f>
        <v/>
      </c>
      <c r="K31" s="14" t="str">
        <f>IFERROR(INDEX('BalSht Data'!H$209:H$2999,MATCH(A31,IF('BalSht Data'!A$209=K$1,'BalSht Data'!G$209:G$2999),0)),"")</f>
        <v/>
      </c>
      <c r="L31" s="14" t="str">
        <f>IFERROR(INDEX('BalSht Data'!H$232:H$2999,MATCH(A31,IF('BalSht Data'!A$232=L$1,'BalSht Data'!G$232:G$2999),0)),"")</f>
        <v/>
      </c>
      <c r="M31" s="14" t="str">
        <f>IFERROR(INDEX('BalSht Data'!H$255:H$2999,MATCH(A31,IF('BalSht Data'!A$255=M$1,'BalSht Data'!G$255:G$2999),0)),"")</f>
        <v/>
      </c>
      <c r="N31" s="14" t="str">
        <f>IFERROR(INDEX('BalSht Data'!H$278:H$2999,MATCH(A31,IF('BalSht Data'!A$278=N$1,'BalSht Data'!G$278:G$2999),0)),"")</f>
        <v/>
      </c>
      <c r="O31" s="14" t="str">
        <f>IFERROR(INDEX('BalSht Data'!H$301:H$2999,MATCH(A31,IF('BalSht Data'!A$301=O$1,'BalSht Data'!G$301:G$2999),0)),"")</f>
        <v/>
      </c>
      <c r="P31" s="14" t="str">
        <f>IFERROR(INDEX('BalSht Data'!H$324:H$2999,MATCH(A31,IF('BalSht Data'!A$324=P$1,'BalSht Data'!G$324:G$2999),0)),"")</f>
        <v/>
      </c>
      <c r="Q31" s="14" t="str">
        <f>IFERROR(INDEX('BalSht Data'!H$347:H$2999,MATCH(A31,IF('BalSht Data'!A$347=Q$1,'BalSht Data'!G$347:G$2999),0)),"")</f>
        <v/>
      </c>
      <c r="R31" s="14" t="str">
        <f>IFERROR(INDEX('BalSht Data'!H$370:H$2999,MATCH(A31,IF('BalSht Data'!A$370=R$1,'BalSht Data'!G$370:G$2999),0)),"")</f>
        <v/>
      </c>
      <c r="S31" s="14" t="str">
        <f>IFERROR(INDEX('BalSht Data'!H$393:H$2999,MATCH(A31,IF('BalSht Data'!A$393=S$1,'BalSht Data'!G$393:G$2999),0)),"")</f>
        <v/>
      </c>
      <c r="T31" s="14" t="str">
        <f>IFERROR(INDEX('BalSht Data'!H$416:H$2999,MATCH(A31,IF('BalSht Data'!A$416=T$1,'BalSht Data'!G$416:G$2999),0)),"")</f>
        <v/>
      </c>
      <c r="U31" s="14" t="str">
        <f>IFERROR(INDEX('BalSht Data'!H$439:H$2999,MATCH(A31,IF('BalSht Data'!A$439=U$1,'BalSht Data'!G$439:G$2999),0)),"")</f>
        <v/>
      </c>
      <c r="V31" s="14" t="str">
        <f>IFERROR(INDEX('BalSht Data'!H$462:H$2999,MATCH(A31,IF('BalSht Data'!A$462=V$1,'BalSht Data'!G$462:G$2999),0)),"")</f>
        <v/>
      </c>
      <c r="W31" s="14" t="str">
        <f>IFERROR(INDEX('BalSht Data'!H$485:H$2999,MATCH(A31,IF('BalSht Data'!A$485=W$1,'BalSht Data'!G$485:G$2999),0)),"")</f>
        <v/>
      </c>
      <c r="X31" s="14" t="str">
        <f>IFERROR(INDEX('BalSht Data'!H$508:H$2999,MATCH(A31,IF('BalSht Data'!A$508=X$1,'BalSht Data'!G$508:G$2999),0)),"")</f>
        <v/>
      </c>
      <c r="Y31" s="14" t="str">
        <f>IFERROR(INDEX('BalSht Data'!H$531:H$2999,MATCH(A31,IF('BalSht Data'!A$531=Y$1,'BalSht Data'!G$531:G$2999),0)),"")</f>
        <v/>
      </c>
      <c r="Z31" s="14" t="str">
        <f>IFERROR(INDEX('BalSht Data'!H$554:H$2999,MATCH(A31,IF('BalSht Data'!A$554=Z$1,'BalSht Data'!G$554:G$2999),0)),"")</f>
        <v/>
      </c>
      <c r="AA31" s="14" t="str">
        <f>IFERROR(INDEX('BalSht Data'!H$577:H$2999,MATCH(A31,IF('BalSht Data'!A$577=AA$1,'BalSht Data'!G$577:G$2999),0)),"")</f>
        <v/>
      </c>
      <c r="AB31" s="14" t="str">
        <f>IFERROR(INDEX('BalSht Data'!H$600:H$2999,MATCH(A31,IF('BalSht Data'!A$600=AB$1,'BalSht Data'!G$600:G$2999),0)),"")</f>
        <v/>
      </c>
      <c r="AC31" s="14" t="str">
        <f>IFERROR(INDEX('BalSht Data'!H$623:H$2999,MATCH(A31,IF('BalSht Data'!A$623=AC$1,'BalSht Data'!G$623:G$2999),0)),"")</f>
        <v/>
      </c>
      <c r="AD31" s="14" t="str">
        <f>IFERROR(INDEX('BalSht Data'!H$646:H$2999,MATCH(A31,IF('BalSht Data'!A$646=AD$1,'BalSht Data'!G$646:G$2999),0)),"")</f>
        <v/>
      </c>
      <c r="AE31" s="14" t="str">
        <f>IFERROR(INDEX('BalSht Data'!H$669:H$2999,MATCH(A31,IF('BalSht Data'!A$669=AE$1,'BalSht Data'!G$669:G$2999),0)),"")</f>
        <v/>
      </c>
      <c r="AF31" s="14" t="str">
        <f>IFERROR(INDEX('BalSht Data'!H$692:H$2999,MATCH(A31,IF('BalSht Data'!A$692=AF$1,'BalSht Data'!G$692:G$2999),0)),"")</f>
        <v/>
      </c>
      <c r="AG31" s="14" t="str">
        <f>IFERROR(INDEX('BalSht Data'!H$715:H$2999,MATCH(A31,IF('BalSht Data'!A$715=AG$1,'BalSht Data'!G$715:G$2999),0)),"")</f>
        <v/>
      </c>
      <c r="AH31" s="14" t="str">
        <f>IFERROR(INDEX('BalSht Data'!H$738:H$2999,MATCH(A31,IF('BalSht Data'!A$738=AH$1,'BalSht Data'!G$738:G$2999),0)),"")</f>
        <v/>
      </c>
      <c r="AI31" s="14" t="str">
        <f>IFERROR(INDEX('BalSht Data'!H$761:H$2999,MATCH(A31,IF('BalSht Data'!A$761=AI$1,'BalSht Data'!G$761:G$2999),0)),"")</f>
        <v/>
      </c>
      <c r="AJ31" s="14" t="str">
        <f>IFERROR(INDEX('BalSht Data'!H$784:H$2999,MATCH(A31,IF('BalSht Data'!A$784=AJ$1,'BalSht Data'!G$784:G$2999),0)),"")</f>
        <v/>
      </c>
      <c r="AK31" s="14" t="str">
        <f>IFERROR(INDEX('BalSht Data'!H$807:H$2999,MATCH(A31,IF('BalSht Data'!A$807=AK$1,'BalSht Data'!G$807:G$2999),0)),"")</f>
        <v/>
      </c>
      <c r="AL31" s="14" t="str">
        <f>IFERROR(INDEX('BalSht Data'!H$830:H$2999,MATCH(A31,IF('BalSht Data'!A$830=AL$1,'BalSht Data'!G$830:G$2999),0)),"")</f>
        <v/>
      </c>
      <c r="AM31" s="14" t="str">
        <f>IFERROR(INDEX('BalSht Data'!H$853:H$2999,MATCH(A31,IF('BalSht Data'!A$853=AM$1,'BalSht Data'!G$853:G$2999),0)),"")</f>
        <v/>
      </c>
      <c r="AN31" s="14" t="str">
        <f>IFERROR(INDEX('BalSht Data'!H$876:H$2999,MATCH(A31,IF('BalSht Data'!A$876=AN$1,'BalSht Data'!G$876:G$2999),0)),"")</f>
        <v/>
      </c>
      <c r="AO31" s="14" t="str">
        <f>IFERROR(INDEX('BalSht Data'!H$899:H$2999,MATCH(A31,IF('BalSht Data'!A$899=AO$1,'BalSht Data'!G$899:G$2999),0)),"")</f>
        <v/>
      </c>
      <c r="AP31" s="14" t="str">
        <f>IFERROR(INDEX('BalSht Data'!H$922:H$2999,MATCH(A31,IF('BalSht Data'!A$922=AP$1,'BalSht Data'!G$922:G$2999),0)),"")</f>
        <v/>
      </c>
      <c r="AQ31" s="14" t="str">
        <f>IFERROR(INDEX('BalSht Data'!H$945:H$2999,MATCH(A31,IF('BalSht Data'!A$945=AQ$1,'BalSht Data'!G$945:G$2999),0)),"")</f>
        <v/>
      </c>
      <c r="AR31" s="14" t="str">
        <f>IFERROR(INDEX('BalSht Data'!H$968:H$2999,MATCH(A31,IF('BalSht Data'!A$968=AR$1,'BalSht Data'!G$968:G$2999),0)),"")</f>
        <v/>
      </c>
      <c r="AS31" s="14" t="str">
        <f>IFERROR(INDEX('BalSht Data'!H$991:H$2999,MATCH(A31,IF('BalSht Data'!A$991=AS$1,'BalSht Data'!G$991:G$2999),0)),"")</f>
        <v/>
      </c>
      <c r="AT31" s="14" t="str">
        <f>IFERROR(INDEX('BalSht Data'!H$1014:H$2999,MATCH(A31,IF('BalSht Data'!A$1014=AT$1,'BalSht Data'!G$1014:G$2999),0)),"")</f>
        <v/>
      </c>
      <c r="AU31" s="14" t="str">
        <f>IFERROR(INDEX('BalSht Data'!H$1037:H$2999,MATCH(A31,IF('BalSht Data'!A$1037=AU$1,'BalSht Data'!G$1037:G$2999),0)),"")</f>
        <v/>
      </c>
      <c r="AV31" s="14" t="str">
        <f>IFERROR(INDEX('BalSht Data'!H$1060:H$2999,MATCH(A31,IF('BalSht Data'!A$1060=AV$1,'BalSht Data'!G$1060:G$2999),0)),"")</f>
        <v/>
      </c>
      <c r="AW31" s="14" t="str">
        <f>IFERROR(INDEX('BalSht Data'!H$1083:H$2999,MATCH(A31,IF('BalSht Data'!A$1083=AW$1,'BalSht Data'!G$1083:G$2999),0)),"")</f>
        <v/>
      </c>
      <c r="AX31" s="14" t="str">
        <f>IFERROR(INDEX('BalSht Data'!H$1106:H$2999,MATCH(A31,IF('BalSht Data'!A$1106=AX$1,'BalSht Data'!G$1106:G$2999),0)),"")</f>
        <v/>
      </c>
      <c r="AY31" s="14" t="str">
        <f>IFERROR(INDEX('BalSht Data'!H$1129:H$2999,MATCH(A31,IF('BalSht Data'!A$1129=AY$1,'BalSht Data'!G$1129:G$2999),0)),"")</f>
        <v/>
      </c>
      <c r="AZ31" s="14" t="str">
        <f>IFERROR(INDEX('BalSht Data'!H$1152:H$2999,MATCH(A31,IF('BalSht Data'!A$1152=AZ$1,'BalSht Data'!G$1152:G$2999),0)),"")</f>
        <v/>
      </c>
      <c r="BA31" s="14" t="str">
        <f>IFERROR(INDEX('BalSht Data'!H$1175:H$2999,MATCH(A31,IF('BalSht Data'!A$1175=BA$1,'BalSht Data'!G$1175:G$2999),0)),"")</f>
        <v/>
      </c>
      <c r="BB31" s="14" t="str">
        <f>IFERROR(INDEX('BalSht Data'!H$1198:H$2999,MATCH(A31,IF('BalSht Data'!A$1198=BB$1,'BalSht Data'!G$1198:G$2999),0)),"")</f>
        <v/>
      </c>
      <c r="BC31" s="14" t="str">
        <f>IFERROR(INDEX('BalSht Data'!H$1221:H$2999,MATCH(A31,IF('BalSht Data'!A$1221=BC$1,'BalSht Data'!G$1221:G$2999),0)),"")</f>
        <v/>
      </c>
      <c r="BD31" s="14" t="str">
        <f>IFERROR(INDEX('BalSht Data'!H$1244:H$2999,MATCH(A31,IF('BalSht Data'!A$1244=BD$1,'BalSht Data'!G$1244:G$2999),0)),"")</f>
        <v/>
      </c>
      <c r="BE31" s="14" t="str">
        <f>IFERROR(INDEX('BalSht Data'!H$1267:H$2999,MATCH(A31,IF('BalSht Data'!A$1267=BE$1,'BalSht Data'!G$1267:G$2999),0)),"")</f>
        <v/>
      </c>
      <c r="BF31" s="14"/>
    </row>
    <row r="32" spans="1:58" x14ac:dyDescent="0.2">
      <c r="A32" s="5" t="s">
        <v>35</v>
      </c>
      <c r="B32" s="14" t="str">
        <f>IFERROR(INDEX('BalSht Data'!H$2:H$2999,MATCH(A32,IF('BalSht Data'!A$2=B$1,'BalSht Data'!G$2:G$2999),0)),"")</f>
        <v/>
      </c>
      <c r="C32" s="14">
        <f>IFERROR(INDEX('BalSht Data'!H$25:H$2999,MATCH(A32,IF('BalSht Data'!A$25=C$1,'BalSht Data'!G$2:G$2999),0)),"")</f>
        <v>999</v>
      </c>
      <c r="D32" s="14">
        <f>IFERROR(INDEX('BalSht Data'!H$48:H$2999,MATCH(A32,IF('BalSht Data'!A$48=D$1,'BalSht Data'!G$48:G$2999),0)),"")</f>
        <v>7878787</v>
      </c>
      <c r="E32" s="14">
        <f>IFERROR(INDEX('BalSht Data'!H$71:H$2999,MATCH(A32,IF('BalSht Data'!A$71=E$1,'BalSht Data'!G$71:G$2999),0)),"")</f>
        <v>36333</v>
      </c>
      <c r="F32" s="14">
        <f>IFERROR(INDEX('BalSht Data'!H$94:H$2999,MATCH(A32,IF('BalSht Data'!A$94=F$1,'BalSht Data'!G$94:G$2999),0)),"")</f>
        <v>88888</v>
      </c>
      <c r="G32" s="14">
        <f>IFERROR(INDEX('BalSht Data'!H$117:H$2999,MATCH(A32,IF('BalSht Data'!A$117=G$1,'BalSht Data'!G$117:G$2999),0)),"")</f>
        <v>22222</v>
      </c>
      <c r="H32" s="14">
        <f>IFERROR(INDEX('BalSht Data'!H$140:H$2999,MATCH(A32,IF('BalSht Data'!A$140=H$1,'BalSht Data'!G$140:G$2999),0)),"")</f>
        <v>22222</v>
      </c>
      <c r="I32" s="14">
        <f>IFERROR(INDEX('BalSht Data'!H$163:H$2999,MATCH(A32,IF('BalSht Data'!A$163=I$1,'BalSht Data'!G$163:G$2999),0)),"")</f>
        <v>22222</v>
      </c>
      <c r="J32" s="14" t="str">
        <f>IFERROR(INDEX('BalSht Data'!H$186:H$2999,MATCH(A32,IF('BalSht Data'!A$186=J$1,'BalSht Data'!G$186:G$2999),0)),"")</f>
        <v/>
      </c>
      <c r="K32" s="14" t="str">
        <f>IFERROR(INDEX('BalSht Data'!H$209:H$2999,MATCH(A32,IF('BalSht Data'!A$209=K$1,'BalSht Data'!G$209:G$2999),0)),"")</f>
        <v/>
      </c>
      <c r="L32" s="14" t="str">
        <f>IFERROR(INDEX('BalSht Data'!H$232:H$2999,MATCH(A32,IF('BalSht Data'!A$232=L$1,'BalSht Data'!G$232:G$2999),0)),"")</f>
        <v/>
      </c>
      <c r="M32" s="14" t="str">
        <f>IFERROR(INDEX('BalSht Data'!H$255:H$2999,MATCH(A32,IF('BalSht Data'!A$255=M$1,'BalSht Data'!G$255:G$2999),0)),"")</f>
        <v/>
      </c>
      <c r="N32" s="14" t="str">
        <f>IFERROR(INDEX('BalSht Data'!H$278:H$2999,MATCH(A32,IF('BalSht Data'!A$278=N$1,'BalSht Data'!G$278:G$2999),0)),"")</f>
        <v/>
      </c>
      <c r="O32" s="14" t="str">
        <f>IFERROR(INDEX('BalSht Data'!H$301:H$2999,MATCH(A32,IF('BalSht Data'!A$301=O$1,'BalSht Data'!G$301:G$2999),0)),"")</f>
        <v/>
      </c>
      <c r="P32" s="14" t="str">
        <f>IFERROR(INDEX('BalSht Data'!H$324:H$2999,MATCH(A32,IF('BalSht Data'!A$324=P$1,'BalSht Data'!G$324:G$2999),0)),"")</f>
        <v/>
      </c>
      <c r="Q32" s="14" t="str">
        <f>IFERROR(INDEX('BalSht Data'!H$347:H$2999,MATCH(A32,IF('BalSht Data'!A$347=Q$1,'BalSht Data'!G$347:G$2999),0)),"")</f>
        <v/>
      </c>
      <c r="R32" s="14" t="str">
        <f>IFERROR(INDEX('BalSht Data'!H$370:H$2999,MATCH(A32,IF('BalSht Data'!A$370=R$1,'BalSht Data'!G$370:G$2999),0)),"")</f>
        <v/>
      </c>
      <c r="S32" s="14" t="str">
        <f>IFERROR(INDEX('BalSht Data'!H$393:H$2999,MATCH(A32,IF('BalSht Data'!A$393=S$1,'BalSht Data'!G$393:G$2999),0)),"")</f>
        <v/>
      </c>
      <c r="T32" s="14" t="str">
        <f>IFERROR(INDEX('BalSht Data'!H$416:H$2999,MATCH(A32,IF('BalSht Data'!A$416=T$1,'BalSht Data'!G$416:G$2999),0)),"")</f>
        <v/>
      </c>
      <c r="U32" s="14" t="str">
        <f>IFERROR(INDEX('BalSht Data'!H$439:H$2999,MATCH(A32,IF('BalSht Data'!A$439=U$1,'BalSht Data'!G$439:G$2999),0)),"")</f>
        <v/>
      </c>
      <c r="V32" s="14" t="str">
        <f>IFERROR(INDEX('BalSht Data'!H$462:H$2999,MATCH(A32,IF('BalSht Data'!A$462=V$1,'BalSht Data'!G$462:G$2999),0)),"")</f>
        <v/>
      </c>
      <c r="W32" s="14" t="str">
        <f>IFERROR(INDEX('BalSht Data'!H$485:H$2999,MATCH(A32,IF('BalSht Data'!A$485=W$1,'BalSht Data'!G$485:G$2999),0)),"")</f>
        <v/>
      </c>
      <c r="X32" s="14" t="str">
        <f>IFERROR(INDEX('BalSht Data'!H$508:H$2999,MATCH(A32,IF('BalSht Data'!A$508=X$1,'BalSht Data'!G$508:G$2999),0)),"")</f>
        <v/>
      </c>
      <c r="Y32" s="14" t="str">
        <f>IFERROR(INDEX('BalSht Data'!H$531:H$2999,MATCH(A32,IF('BalSht Data'!A$531=Y$1,'BalSht Data'!G$531:G$2999),0)),"")</f>
        <v/>
      </c>
      <c r="Z32" s="14" t="str">
        <f>IFERROR(INDEX('BalSht Data'!H$554:H$2999,MATCH(A32,IF('BalSht Data'!A$554=Z$1,'BalSht Data'!G$554:G$2999),0)),"")</f>
        <v/>
      </c>
      <c r="AA32" s="14" t="str">
        <f>IFERROR(INDEX('BalSht Data'!H$577:H$2999,MATCH(A32,IF('BalSht Data'!A$577=AA$1,'BalSht Data'!G$577:G$2999),0)),"")</f>
        <v/>
      </c>
      <c r="AB32" s="14" t="str">
        <f>IFERROR(INDEX('BalSht Data'!H$600:H$2999,MATCH(A32,IF('BalSht Data'!A$600=AB$1,'BalSht Data'!G$600:G$2999),0)),"")</f>
        <v/>
      </c>
      <c r="AC32" s="14" t="str">
        <f>IFERROR(INDEX('BalSht Data'!H$623:H$2999,MATCH(A32,IF('BalSht Data'!A$623=AC$1,'BalSht Data'!G$623:G$2999),0)),"")</f>
        <v/>
      </c>
      <c r="AD32" s="14" t="str">
        <f>IFERROR(INDEX('BalSht Data'!H$646:H$2999,MATCH(A32,IF('BalSht Data'!A$646=AD$1,'BalSht Data'!G$646:G$2999),0)),"")</f>
        <v/>
      </c>
      <c r="AE32" s="14" t="str">
        <f>IFERROR(INDEX('BalSht Data'!H$669:H$2999,MATCH(A32,IF('BalSht Data'!A$669=AE$1,'BalSht Data'!G$669:G$2999),0)),"")</f>
        <v/>
      </c>
      <c r="AF32" s="14" t="str">
        <f>IFERROR(INDEX('BalSht Data'!H$692:H$2999,MATCH(A32,IF('BalSht Data'!A$692=AF$1,'BalSht Data'!G$692:G$2999),0)),"")</f>
        <v/>
      </c>
      <c r="AG32" s="14" t="str">
        <f>IFERROR(INDEX('BalSht Data'!H$715:H$2999,MATCH(A32,IF('BalSht Data'!A$715=AG$1,'BalSht Data'!G$715:G$2999),0)),"")</f>
        <v/>
      </c>
      <c r="AH32" s="14" t="str">
        <f>IFERROR(INDEX('BalSht Data'!H$738:H$2999,MATCH(A32,IF('BalSht Data'!A$738=AH$1,'BalSht Data'!G$738:G$2999),0)),"")</f>
        <v/>
      </c>
      <c r="AI32" s="14" t="str">
        <f>IFERROR(INDEX('BalSht Data'!H$761:H$2999,MATCH(A32,IF('BalSht Data'!A$761=AI$1,'BalSht Data'!G$761:G$2999),0)),"")</f>
        <v/>
      </c>
      <c r="AJ32" s="14" t="str">
        <f>IFERROR(INDEX('BalSht Data'!H$784:H$2999,MATCH(A32,IF('BalSht Data'!A$784=AJ$1,'BalSht Data'!G$784:G$2999),0)),"")</f>
        <v/>
      </c>
      <c r="AK32" s="14" t="str">
        <f>IFERROR(INDEX('BalSht Data'!H$807:H$2999,MATCH(A32,IF('BalSht Data'!A$807=AK$1,'BalSht Data'!G$807:G$2999),0)),"")</f>
        <v/>
      </c>
      <c r="AL32" s="14" t="str">
        <f>IFERROR(INDEX('BalSht Data'!H$830:H$2999,MATCH(A32,IF('BalSht Data'!A$830=AL$1,'BalSht Data'!G$830:G$2999),0)),"")</f>
        <v/>
      </c>
      <c r="AM32" s="14" t="str">
        <f>IFERROR(INDEX('BalSht Data'!H$853:H$2999,MATCH(A32,IF('BalSht Data'!A$853=AM$1,'BalSht Data'!G$853:G$2999),0)),"")</f>
        <v/>
      </c>
      <c r="AN32" s="14" t="str">
        <f>IFERROR(INDEX('BalSht Data'!H$876:H$2999,MATCH(A32,IF('BalSht Data'!A$876=AN$1,'BalSht Data'!G$876:G$2999),0)),"")</f>
        <v/>
      </c>
      <c r="AO32" s="14" t="str">
        <f>IFERROR(INDEX('BalSht Data'!H$899:H$2999,MATCH(A32,IF('BalSht Data'!A$899=AO$1,'BalSht Data'!G$899:G$2999),0)),"")</f>
        <v/>
      </c>
      <c r="AP32" s="14" t="str">
        <f>IFERROR(INDEX('BalSht Data'!H$922:H$2999,MATCH(A32,IF('BalSht Data'!A$922=AP$1,'BalSht Data'!G$922:G$2999),0)),"")</f>
        <v/>
      </c>
      <c r="AQ32" s="14" t="str">
        <f>IFERROR(INDEX('BalSht Data'!H$945:H$2999,MATCH(A32,IF('BalSht Data'!A$945=AQ$1,'BalSht Data'!G$945:G$2999),0)),"")</f>
        <v/>
      </c>
      <c r="AR32" s="14" t="str">
        <f>IFERROR(INDEX('BalSht Data'!H$968:H$2999,MATCH(A32,IF('BalSht Data'!A$968=AR$1,'BalSht Data'!G$968:G$2999),0)),"")</f>
        <v/>
      </c>
      <c r="AS32" s="14" t="str">
        <f>IFERROR(INDEX('BalSht Data'!H$991:H$2999,MATCH(A32,IF('BalSht Data'!A$991=AS$1,'BalSht Data'!G$991:G$2999),0)),"")</f>
        <v/>
      </c>
      <c r="AT32" s="14" t="str">
        <f>IFERROR(INDEX('BalSht Data'!H$1014:H$2999,MATCH(A32,IF('BalSht Data'!A$1014=AT$1,'BalSht Data'!G$1014:G$2999),0)),"")</f>
        <v/>
      </c>
      <c r="AU32" s="14" t="str">
        <f>IFERROR(INDEX('BalSht Data'!H$1037:H$2999,MATCH(A32,IF('BalSht Data'!A$1037=AU$1,'BalSht Data'!G$1037:G$2999),0)),"")</f>
        <v/>
      </c>
      <c r="AV32" s="14" t="str">
        <f>IFERROR(INDEX('BalSht Data'!H$1060:H$2999,MATCH(A32,IF('BalSht Data'!A$1060=AV$1,'BalSht Data'!G$1060:G$2999),0)),"")</f>
        <v/>
      </c>
      <c r="AW32" s="14" t="str">
        <f>IFERROR(INDEX('BalSht Data'!H$1083:H$2999,MATCH(A32,IF('BalSht Data'!A$1083=AW$1,'BalSht Data'!G$1083:G$2999),0)),"")</f>
        <v/>
      </c>
      <c r="AX32" s="14" t="str">
        <f>IFERROR(INDEX('BalSht Data'!H$1106:H$2999,MATCH(A32,IF('BalSht Data'!A$1106=AX$1,'BalSht Data'!G$1106:G$2999),0)),"")</f>
        <v/>
      </c>
      <c r="AY32" s="14" t="str">
        <f>IFERROR(INDEX('BalSht Data'!H$1129:H$2999,MATCH(A32,IF('BalSht Data'!A$1129=AY$1,'BalSht Data'!G$1129:G$2999),0)),"")</f>
        <v/>
      </c>
      <c r="AZ32" s="14" t="str">
        <f>IFERROR(INDEX('BalSht Data'!H$1152:H$2999,MATCH(A32,IF('BalSht Data'!A$1152=AZ$1,'BalSht Data'!G$1152:G$2999),0)),"")</f>
        <v/>
      </c>
      <c r="BA32" s="14" t="str">
        <f>IFERROR(INDEX('BalSht Data'!H$1175:H$2999,MATCH(A32,IF('BalSht Data'!A$1175=BA$1,'BalSht Data'!G$1175:G$2999),0)),"")</f>
        <v/>
      </c>
      <c r="BB32" s="14" t="str">
        <f>IFERROR(INDEX('BalSht Data'!H$1198:H$2999,MATCH(A32,IF('BalSht Data'!A$1198=BB$1,'BalSht Data'!G$1198:G$2999),0)),"")</f>
        <v/>
      </c>
      <c r="BC32" s="14" t="str">
        <f>IFERROR(INDEX('BalSht Data'!H$1221:H$2999,MATCH(A32,IF('BalSht Data'!A$1221=BC$1,'BalSht Data'!G$1221:G$2999),0)),"")</f>
        <v/>
      </c>
      <c r="BD32" s="14" t="str">
        <f>IFERROR(INDEX('BalSht Data'!H$1244:H$2999,MATCH(A32,IF('BalSht Data'!A$1244=BD$1,'BalSht Data'!G$1244:G$2999),0)),"")</f>
        <v/>
      </c>
      <c r="BE32" s="14" t="str">
        <f>IFERROR(INDEX('BalSht Data'!H$1267:H$2999,MATCH(A32,IF('BalSht Data'!A$1267=BE$1,'BalSht Data'!G$1267:G$2999),0)),"")</f>
        <v/>
      </c>
      <c r="BF32" s="14"/>
    </row>
    <row r="33" spans="1:58" x14ac:dyDescent="0.2">
      <c r="A33" s="5" t="s">
        <v>36</v>
      </c>
      <c r="B33" s="14" t="str">
        <f>IFERROR(INDEX('BalSht Data'!H$2:H$2999,MATCH(A33,IF('BalSht Data'!A$2=B$1,'BalSht Data'!G$2:G$2999),0)),"")</f>
        <v/>
      </c>
      <c r="C33" s="14">
        <f>IFERROR(INDEX('BalSht Data'!H$25:H$2999,MATCH(A33,IF('BalSht Data'!A$25=C$1,'BalSht Data'!G$2:G$2999),0)),"")</f>
        <v>999</v>
      </c>
      <c r="D33" s="14">
        <f>IFERROR(INDEX('BalSht Data'!H$48:H$2999,MATCH(A33,IF('BalSht Data'!A$48=D$1,'BalSht Data'!G$48:G$2999),0)),"")</f>
        <v>7878787</v>
      </c>
      <c r="E33" s="14">
        <f>IFERROR(INDEX('BalSht Data'!H$71:H$2999,MATCH(A33,IF('BalSht Data'!A$71=E$1,'BalSht Data'!G$71:G$2999),0)),"")</f>
        <v>36333</v>
      </c>
      <c r="F33" s="14">
        <f>IFERROR(INDEX('BalSht Data'!H$94:H$2999,MATCH(A33,IF('BalSht Data'!A$94=F$1,'BalSht Data'!G$94:G$2999),0)),"")</f>
        <v>88888</v>
      </c>
      <c r="G33" s="14">
        <f>IFERROR(INDEX('BalSht Data'!H$117:H$2999,MATCH(A33,IF('BalSht Data'!A$117=G$1,'BalSht Data'!G$117:G$2999),0)),"")</f>
        <v>22222</v>
      </c>
      <c r="H33" s="14">
        <f>IFERROR(INDEX('BalSht Data'!H$140:H$2999,MATCH(A33,IF('BalSht Data'!A$140=H$1,'BalSht Data'!G$140:G$2999),0)),"")</f>
        <v>22222</v>
      </c>
      <c r="I33" s="14">
        <f>IFERROR(INDEX('BalSht Data'!H$163:H$2999,MATCH(A33,IF('BalSht Data'!A$163=I$1,'BalSht Data'!G$163:G$2999),0)),"")</f>
        <v>22222</v>
      </c>
      <c r="J33" s="14" t="str">
        <f>IFERROR(INDEX('BalSht Data'!H$186:H$2999,MATCH(A33,IF('BalSht Data'!A$186=J$1,'BalSht Data'!G$186:G$2999),0)),"")</f>
        <v/>
      </c>
      <c r="K33" s="14" t="str">
        <f>IFERROR(INDEX('BalSht Data'!H$209:H$2999,MATCH(A33,IF('BalSht Data'!A$209=K$1,'BalSht Data'!G$209:G$2999),0)),"")</f>
        <v/>
      </c>
      <c r="L33" s="14" t="str">
        <f>IFERROR(INDEX('BalSht Data'!H$232:H$2999,MATCH(A33,IF('BalSht Data'!A$232=L$1,'BalSht Data'!G$232:G$2999),0)),"")</f>
        <v/>
      </c>
      <c r="M33" s="14" t="str">
        <f>IFERROR(INDEX('BalSht Data'!H$255:H$2999,MATCH(A33,IF('BalSht Data'!A$255=M$1,'BalSht Data'!G$255:G$2999),0)),"")</f>
        <v/>
      </c>
      <c r="N33" s="14" t="str">
        <f>IFERROR(INDEX('BalSht Data'!H$278:H$2999,MATCH(A33,IF('BalSht Data'!A$278=N$1,'BalSht Data'!G$278:G$2999),0)),"")</f>
        <v/>
      </c>
      <c r="O33" s="14" t="str">
        <f>IFERROR(INDEX('BalSht Data'!H$301:H$2999,MATCH(A33,IF('BalSht Data'!A$301=O$1,'BalSht Data'!G$301:G$2999),0)),"")</f>
        <v/>
      </c>
      <c r="P33" s="14" t="str">
        <f>IFERROR(INDEX('BalSht Data'!H$324:H$2999,MATCH(A33,IF('BalSht Data'!A$324=P$1,'BalSht Data'!G$324:G$2999),0)),"")</f>
        <v/>
      </c>
      <c r="Q33" s="14" t="str">
        <f>IFERROR(INDEX('BalSht Data'!H$347:H$2999,MATCH(A33,IF('BalSht Data'!A$347=Q$1,'BalSht Data'!G$347:G$2999),0)),"")</f>
        <v/>
      </c>
      <c r="R33" s="14" t="str">
        <f>IFERROR(INDEX('BalSht Data'!H$370:H$2999,MATCH(A33,IF('BalSht Data'!A$370=R$1,'BalSht Data'!G$370:G$2999),0)),"")</f>
        <v/>
      </c>
      <c r="S33" s="14" t="str">
        <f>IFERROR(INDEX('BalSht Data'!H$393:H$2999,MATCH(A33,IF('BalSht Data'!A$393=S$1,'BalSht Data'!G$393:G$2999),0)),"")</f>
        <v/>
      </c>
      <c r="T33" s="14" t="str">
        <f>IFERROR(INDEX('BalSht Data'!H$416:H$2999,MATCH(A33,IF('BalSht Data'!A$416=T$1,'BalSht Data'!G$416:G$2999),0)),"")</f>
        <v/>
      </c>
      <c r="U33" s="14" t="str">
        <f>IFERROR(INDEX('BalSht Data'!H$439:H$2999,MATCH(A33,IF('BalSht Data'!A$439=U$1,'BalSht Data'!G$439:G$2999),0)),"")</f>
        <v/>
      </c>
      <c r="V33" s="14" t="str">
        <f>IFERROR(INDEX('BalSht Data'!H$462:H$2999,MATCH(A33,IF('BalSht Data'!A$462=V$1,'BalSht Data'!G$462:G$2999),0)),"")</f>
        <v/>
      </c>
      <c r="W33" s="14" t="str">
        <f>IFERROR(INDEX('BalSht Data'!H$485:H$2999,MATCH(A33,IF('BalSht Data'!A$485=W$1,'BalSht Data'!G$485:G$2999),0)),"")</f>
        <v/>
      </c>
      <c r="X33" s="14" t="str">
        <f>IFERROR(INDEX('BalSht Data'!H$508:H$2999,MATCH(A33,IF('BalSht Data'!A$508=X$1,'BalSht Data'!G$508:G$2999),0)),"")</f>
        <v/>
      </c>
      <c r="Y33" s="14" t="str">
        <f>IFERROR(INDEX('BalSht Data'!H$531:H$2999,MATCH(A33,IF('BalSht Data'!A$531=Y$1,'BalSht Data'!G$531:G$2999),0)),"")</f>
        <v/>
      </c>
      <c r="Z33" s="14" t="str">
        <f>IFERROR(INDEX('BalSht Data'!H$554:H$2999,MATCH(A33,IF('BalSht Data'!A$554=Z$1,'BalSht Data'!G$554:G$2999),0)),"")</f>
        <v/>
      </c>
      <c r="AA33" s="14" t="str">
        <f>IFERROR(INDEX('BalSht Data'!H$577:H$2999,MATCH(A33,IF('BalSht Data'!A$577=AA$1,'BalSht Data'!G$577:G$2999),0)),"")</f>
        <v/>
      </c>
      <c r="AB33" s="14" t="str">
        <f>IFERROR(INDEX('BalSht Data'!H$600:H$2999,MATCH(A33,IF('BalSht Data'!A$600=AB$1,'BalSht Data'!G$600:G$2999),0)),"")</f>
        <v/>
      </c>
      <c r="AC33" s="14" t="str">
        <f>IFERROR(INDEX('BalSht Data'!H$623:H$2999,MATCH(A33,IF('BalSht Data'!A$623=AC$1,'BalSht Data'!G$623:G$2999),0)),"")</f>
        <v/>
      </c>
      <c r="AD33" s="14" t="str">
        <f>IFERROR(INDEX('BalSht Data'!H$646:H$2999,MATCH(A33,IF('BalSht Data'!A$646=AD$1,'BalSht Data'!G$646:G$2999),0)),"")</f>
        <v/>
      </c>
      <c r="AE33" s="14" t="str">
        <f>IFERROR(INDEX('BalSht Data'!H$669:H$2999,MATCH(A33,IF('BalSht Data'!A$669=AE$1,'BalSht Data'!G$669:G$2999),0)),"")</f>
        <v/>
      </c>
      <c r="AF33" s="14" t="str">
        <f>IFERROR(INDEX('BalSht Data'!H$692:H$2999,MATCH(A33,IF('BalSht Data'!A$692=AF$1,'BalSht Data'!G$692:G$2999),0)),"")</f>
        <v/>
      </c>
      <c r="AG33" s="14" t="str">
        <f>IFERROR(INDEX('BalSht Data'!H$715:H$2999,MATCH(A33,IF('BalSht Data'!A$715=AG$1,'BalSht Data'!G$715:G$2999),0)),"")</f>
        <v/>
      </c>
      <c r="AH33" s="14" t="str">
        <f>IFERROR(INDEX('BalSht Data'!H$738:H$2999,MATCH(A33,IF('BalSht Data'!A$738=AH$1,'BalSht Data'!G$738:G$2999),0)),"")</f>
        <v/>
      </c>
      <c r="AI33" s="14" t="str">
        <f>IFERROR(INDEX('BalSht Data'!H$761:H$2999,MATCH(A33,IF('BalSht Data'!A$761=AI$1,'BalSht Data'!G$761:G$2999),0)),"")</f>
        <v/>
      </c>
      <c r="AJ33" s="14" t="str">
        <f>IFERROR(INDEX('BalSht Data'!H$784:H$2999,MATCH(A33,IF('BalSht Data'!A$784=AJ$1,'BalSht Data'!G$784:G$2999),0)),"")</f>
        <v/>
      </c>
      <c r="AK33" s="14" t="str">
        <f>IFERROR(INDEX('BalSht Data'!H$807:H$2999,MATCH(A33,IF('BalSht Data'!A$807=AK$1,'BalSht Data'!G$807:G$2999),0)),"")</f>
        <v/>
      </c>
      <c r="AL33" s="14" t="str">
        <f>IFERROR(INDEX('BalSht Data'!H$830:H$2999,MATCH(A33,IF('BalSht Data'!A$830=AL$1,'BalSht Data'!G$830:G$2999),0)),"")</f>
        <v/>
      </c>
      <c r="AM33" s="14" t="str">
        <f>IFERROR(INDEX('BalSht Data'!H$853:H$2999,MATCH(A33,IF('BalSht Data'!A$853=AM$1,'BalSht Data'!G$853:G$2999),0)),"")</f>
        <v/>
      </c>
      <c r="AN33" s="14" t="str">
        <f>IFERROR(INDEX('BalSht Data'!H$876:H$2999,MATCH(A33,IF('BalSht Data'!A$876=AN$1,'BalSht Data'!G$876:G$2999),0)),"")</f>
        <v/>
      </c>
      <c r="AO33" s="14" t="str">
        <f>IFERROR(INDEX('BalSht Data'!H$899:H$2999,MATCH(A33,IF('BalSht Data'!A$899=AO$1,'BalSht Data'!G$899:G$2999),0)),"")</f>
        <v/>
      </c>
      <c r="AP33" s="14" t="str">
        <f>IFERROR(INDEX('BalSht Data'!H$922:H$2999,MATCH(A33,IF('BalSht Data'!A$922=AP$1,'BalSht Data'!G$922:G$2999),0)),"")</f>
        <v/>
      </c>
      <c r="AQ33" s="14" t="str">
        <f>IFERROR(INDEX('BalSht Data'!H$945:H$2999,MATCH(A33,IF('BalSht Data'!A$945=AQ$1,'BalSht Data'!G$945:G$2999),0)),"")</f>
        <v/>
      </c>
      <c r="AR33" s="14" t="str">
        <f>IFERROR(INDEX('BalSht Data'!H$968:H$2999,MATCH(A33,IF('BalSht Data'!A$968=AR$1,'BalSht Data'!G$968:G$2999),0)),"")</f>
        <v/>
      </c>
      <c r="AS33" s="14" t="str">
        <f>IFERROR(INDEX('BalSht Data'!H$991:H$2999,MATCH(A33,IF('BalSht Data'!A$991=AS$1,'BalSht Data'!G$991:G$2999),0)),"")</f>
        <v/>
      </c>
      <c r="AT33" s="14" t="str">
        <f>IFERROR(INDEX('BalSht Data'!H$1014:H$2999,MATCH(A33,IF('BalSht Data'!A$1014=AT$1,'BalSht Data'!G$1014:G$2999),0)),"")</f>
        <v/>
      </c>
      <c r="AU33" s="14" t="str">
        <f>IFERROR(INDEX('BalSht Data'!H$1037:H$2999,MATCH(A33,IF('BalSht Data'!A$1037=AU$1,'BalSht Data'!G$1037:G$2999),0)),"")</f>
        <v/>
      </c>
      <c r="AV33" s="14" t="str">
        <f>IFERROR(INDEX('BalSht Data'!H$1060:H$2999,MATCH(A33,IF('BalSht Data'!A$1060=AV$1,'BalSht Data'!G$1060:G$2999),0)),"")</f>
        <v/>
      </c>
      <c r="AW33" s="14" t="str">
        <f>IFERROR(INDEX('BalSht Data'!H$1083:H$2999,MATCH(A33,IF('BalSht Data'!A$1083=AW$1,'BalSht Data'!G$1083:G$2999),0)),"")</f>
        <v/>
      </c>
      <c r="AX33" s="14" t="str">
        <f>IFERROR(INDEX('BalSht Data'!H$1106:H$2999,MATCH(A33,IF('BalSht Data'!A$1106=AX$1,'BalSht Data'!G$1106:G$2999),0)),"")</f>
        <v/>
      </c>
      <c r="AY33" s="14" t="str">
        <f>IFERROR(INDEX('BalSht Data'!H$1129:H$2999,MATCH(A33,IF('BalSht Data'!A$1129=AY$1,'BalSht Data'!G$1129:G$2999),0)),"")</f>
        <v/>
      </c>
      <c r="AZ33" s="14" t="str">
        <f>IFERROR(INDEX('BalSht Data'!H$1152:H$2999,MATCH(A33,IF('BalSht Data'!A$1152=AZ$1,'BalSht Data'!G$1152:G$2999),0)),"")</f>
        <v/>
      </c>
      <c r="BA33" s="14" t="str">
        <f>IFERROR(INDEX('BalSht Data'!H$1175:H$2999,MATCH(A33,IF('BalSht Data'!A$1175=BA$1,'BalSht Data'!G$1175:G$2999),0)),"")</f>
        <v/>
      </c>
      <c r="BB33" s="14" t="str">
        <f>IFERROR(INDEX('BalSht Data'!H$1198:H$2999,MATCH(A33,IF('BalSht Data'!A$1198=BB$1,'BalSht Data'!G$1198:G$2999),0)),"")</f>
        <v/>
      </c>
      <c r="BC33" s="14" t="str">
        <f>IFERROR(INDEX('BalSht Data'!H$1221:H$2999,MATCH(A33,IF('BalSht Data'!A$1221=BC$1,'BalSht Data'!G$1221:G$2999),0)),"")</f>
        <v/>
      </c>
      <c r="BD33" s="14" t="str">
        <f>IFERROR(INDEX('BalSht Data'!H$1244:H$2999,MATCH(A33,IF('BalSht Data'!A$1244=BD$1,'BalSht Data'!G$1244:G$2999),0)),"")</f>
        <v/>
      </c>
      <c r="BE33" s="14" t="str">
        <f>IFERROR(INDEX('BalSht Data'!H$1267:H$2999,MATCH(A33,IF('BalSht Data'!A$1267=BE$1,'BalSht Data'!G$1267:G$2999),0)),"")</f>
        <v/>
      </c>
      <c r="BF33" s="14"/>
    </row>
    <row r="34" spans="1:58" x14ac:dyDescent="0.2">
      <c r="A34" s="5" t="s">
        <v>37</v>
      </c>
      <c r="B34" s="14" t="str">
        <f>IFERROR(INDEX('BalSht Data'!H$2:H$2999,MATCH(A34,IF('BalSht Data'!A$2=B$1,'BalSht Data'!G$2:G$2999),0)),"")</f>
        <v/>
      </c>
      <c r="C34" s="14">
        <f>IFERROR(INDEX('BalSht Data'!H$25:H$2999,MATCH(A34,IF('BalSht Data'!A$25=C$1,'BalSht Data'!G$2:G$2999),0)),"")</f>
        <v>999</v>
      </c>
      <c r="D34" s="14">
        <f>IFERROR(INDEX('BalSht Data'!H$48:H$2999,MATCH(A34,IF('BalSht Data'!A$48=D$1,'BalSht Data'!G$48:G$2999),0)),"")</f>
        <v>7878787</v>
      </c>
      <c r="E34" s="14">
        <f>IFERROR(INDEX('BalSht Data'!H$71:H$2999,MATCH(A34,IF('BalSht Data'!A$71=E$1,'BalSht Data'!G$71:G$2999),0)),"")</f>
        <v>36333</v>
      </c>
      <c r="F34" s="14">
        <f>IFERROR(INDEX('BalSht Data'!H$94:H$2999,MATCH(A34,IF('BalSht Data'!A$94=F$1,'BalSht Data'!G$94:G$2999),0)),"")</f>
        <v>88888</v>
      </c>
      <c r="G34" s="14">
        <f>IFERROR(INDEX('BalSht Data'!H$117:H$2999,MATCH(A34,IF('BalSht Data'!A$117=G$1,'BalSht Data'!G$117:G$2999),0)),"")</f>
        <v>22222</v>
      </c>
      <c r="H34" s="14">
        <f>IFERROR(INDEX('BalSht Data'!H$140:H$2999,MATCH(A34,IF('BalSht Data'!A$140=H$1,'BalSht Data'!G$140:G$2999),0)),"")</f>
        <v>22222</v>
      </c>
      <c r="I34" s="14">
        <f>IFERROR(INDEX('BalSht Data'!H$163:H$2999,MATCH(A34,IF('BalSht Data'!A$163=I$1,'BalSht Data'!G$163:G$2999),0)),"")</f>
        <v>22222</v>
      </c>
      <c r="J34" s="14" t="str">
        <f>IFERROR(INDEX('BalSht Data'!H$186:H$2999,MATCH(A34,IF('BalSht Data'!A$186=J$1,'BalSht Data'!G$186:G$2999),0)),"")</f>
        <v/>
      </c>
      <c r="K34" s="14" t="str">
        <f>IFERROR(INDEX('BalSht Data'!H$209:H$2999,MATCH(A34,IF('BalSht Data'!A$209=K$1,'BalSht Data'!G$209:G$2999),0)),"")</f>
        <v/>
      </c>
      <c r="L34" s="14" t="str">
        <f>IFERROR(INDEX('BalSht Data'!H$232:H$2999,MATCH(A34,IF('BalSht Data'!A$232=L$1,'BalSht Data'!G$232:G$2999),0)),"")</f>
        <v/>
      </c>
      <c r="M34" s="14" t="str">
        <f>IFERROR(INDEX('BalSht Data'!H$255:H$2999,MATCH(A34,IF('BalSht Data'!A$255=M$1,'BalSht Data'!G$255:G$2999),0)),"")</f>
        <v/>
      </c>
      <c r="N34" s="14" t="str">
        <f>IFERROR(INDEX('BalSht Data'!H$278:H$2999,MATCH(A34,IF('BalSht Data'!A$278=N$1,'BalSht Data'!G$278:G$2999),0)),"")</f>
        <v/>
      </c>
      <c r="O34" s="14" t="str">
        <f>IFERROR(INDEX('BalSht Data'!H$301:H$2999,MATCH(A34,IF('BalSht Data'!A$301=O$1,'BalSht Data'!G$301:G$2999),0)),"")</f>
        <v/>
      </c>
      <c r="P34" s="14" t="str">
        <f>IFERROR(INDEX('BalSht Data'!H$324:H$2999,MATCH(A34,IF('BalSht Data'!A$324=P$1,'BalSht Data'!G$324:G$2999),0)),"")</f>
        <v/>
      </c>
      <c r="Q34" s="14" t="str">
        <f>IFERROR(INDEX('BalSht Data'!H$347:H$2999,MATCH(A34,IF('BalSht Data'!A$347=Q$1,'BalSht Data'!G$347:G$2999),0)),"")</f>
        <v/>
      </c>
      <c r="R34" s="14" t="str">
        <f>IFERROR(INDEX('BalSht Data'!H$370:H$2999,MATCH(A34,IF('BalSht Data'!A$370=R$1,'BalSht Data'!G$370:G$2999),0)),"")</f>
        <v/>
      </c>
      <c r="S34" s="14" t="str">
        <f>IFERROR(INDEX('BalSht Data'!H$393:H$2999,MATCH(A34,IF('BalSht Data'!A$393=S$1,'BalSht Data'!G$393:G$2999),0)),"")</f>
        <v/>
      </c>
      <c r="T34" s="14" t="str">
        <f>IFERROR(INDEX('BalSht Data'!H$416:H$2999,MATCH(A34,IF('BalSht Data'!A$416=T$1,'BalSht Data'!G$416:G$2999),0)),"")</f>
        <v/>
      </c>
      <c r="U34" s="14" t="str">
        <f>IFERROR(INDEX('BalSht Data'!H$439:H$2999,MATCH(A34,IF('BalSht Data'!A$439=U$1,'BalSht Data'!G$439:G$2999),0)),"")</f>
        <v/>
      </c>
      <c r="V34" s="14" t="str">
        <f>IFERROR(INDEX('BalSht Data'!H$462:H$2999,MATCH(A34,IF('BalSht Data'!A$462=V$1,'BalSht Data'!G$462:G$2999),0)),"")</f>
        <v/>
      </c>
      <c r="W34" s="14" t="str">
        <f>IFERROR(INDEX('BalSht Data'!H$485:H$2999,MATCH(A34,IF('BalSht Data'!A$485=W$1,'BalSht Data'!G$485:G$2999),0)),"")</f>
        <v/>
      </c>
      <c r="X34" s="14" t="str">
        <f>IFERROR(INDEX('BalSht Data'!H$508:H$2999,MATCH(A34,IF('BalSht Data'!A$508=X$1,'BalSht Data'!G$508:G$2999),0)),"")</f>
        <v/>
      </c>
      <c r="Y34" s="14" t="str">
        <f>IFERROR(INDEX('BalSht Data'!H$531:H$2999,MATCH(A34,IF('BalSht Data'!A$531=Y$1,'BalSht Data'!G$531:G$2999),0)),"")</f>
        <v/>
      </c>
      <c r="Z34" s="14" t="str">
        <f>IFERROR(INDEX('BalSht Data'!H$554:H$2999,MATCH(A34,IF('BalSht Data'!A$554=Z$1,'BalSht Data'!G$554:G$2999),0)),"")</f>
        <v/>
      </c>
      <c r="AA34" s="14" t="str">
        <f>IFERROR(INDEX('BalSht Data'!H$577:H$2999,MATCH(A34,IF('BalSht Data'!A$577=AA$1,'BalSht Data'!G$577:G$2999),0)),"")</f>
        <v/>
      </c>
      <c r="AB34" s="14" t="str">
        <f>IFERROR(INDEX('BalSht Data'!H$600:H$2999,MATCH(A34,IF('BalSht Data'!A$600=AB$1,'BalSht Data'!G$600:G$2999),0)),"")</f>
        <v/>
      </c>
      <c r="AC34" s="14" t="str">
        <f>IFERROR(INDEX('BalSht Data'!H$623:H$2999,MATCH(A34,IF('BalSht Data'!A$623=AC$1,'BalSht Data'!G$623:G$2999),0)),"")</f>
        <v/>
      </c>
      <c r="AD34" s="14" t="str">
        <f>IFERROR(INDEX('BalSht Data'!H$646:H$2999,MATCH(A34,IF('BalSht Data'!A$646=AD$1,'BalSht Data'!G$646:G$2999),0)),"")</f>
        <v/>
      </c>
      <c r="AE34" s="14" t="str">
        <f>IFERROR(INDEX('BalSht Data'!H$669:H$2999,MATCH(A34,IF('BalSht Data'!A$669=AE$1,'BalSht Data'!G$669:G$2999),0)),"")</f>
        <v/>
      </c>
      <c r="AF34" s="14" t="str">
        <f>IFERROR(INDEX('BalSht Data'!H$692:H$2999,MATCH(A34,IF('BalSht Data'!A$692=AF$1,'BalSht Data'!G$692:G$2999),0)),"")</f>
        <v/>
      </c>
      <c r="AG34" s="14" t="str">
        <f>IFERROR(INDEX('BalSht Data'!H$715:H$2999,MATCH(A34,IF('BalSht Data'!A$715=AG$1,'BalSht Data'!G$715:G$2999),0)),"")</f>
        <v/>
      </c>
      <c r="AH34" s="14" t="str">
        <f>IFERROR(INDEX('BalSht Data'!H$738:H$2999,MATCH(A34,IF('BalSht Data'!A$738=AH$1,'BalSht Data'!G$738:G$2999),0)),"")</f>
        <v/>
      </c>
      <c r="AI34" s="14" t="str">
        <f>IFERROR(INDEX('BalSht Data'!H$761:H$2999,MATCH(A34,IF('BalSht Data'!A$761=AI$1,'BalSht Data'!G$761:G$2999),0)),"")</f>
        <v/>
      </c>
      <c r="AJ34" s="14" t="str">
        <f>IFERROR(INDEX('BalSht Data'!H$784:H$2999,MATCH(A34,IF('BalSht Data'!A$784=AJ$1,'BalSht Data'!G$784:G$2999),0)),"")</f>
        <v/>
      </c>
      <c r="AK34" s="14" t="str">
        <f>IFERROR(INDEX('BalSht Data'!H$807:H$2999,MATCH(A34,IF('BalSht Data'!A$807=AK$1,'BalSht Data'!G$807:G$2999),0)),"")</f>
        <v/>
      </c>
      <c r="AL34" s="14" t="str">
        <f>IFERROR(INDEX('BalSht Data'!H$830:H$2999,MATCH(A34,IF('BalSht Data'!A$830=AL$1,'BalSht Data'!G$830:G$2999),0)),"")</f>
        <v/>
      </c>
      <c r="AM34" s="14" t="str">
        <f>IFERROR(INDEX('BalSht Data'!H$853:H$2999,MATCH(A34,IF('BalSht Data'!A$853=AM$1,'BalSht Data'!G$853:G$2999),0)),"")</f>
        <v/>
      </c>
      <c r="AN34" s="14" t="str">
        <f>IFERROR(INDEX('BalSht Data'!H$876:H$2999,MATCH(A34,IF('BalSht Data'!A$876=AN$1,'BalSht Data'!G$876:G$2999),0)),"")</f>
        <v/>
      </c>
      <c r="AO34" s="14" t="str">
        <f>IFERROR(INDEX('BalSht Data'!H$899:H$2999,MATCH(A34,IF('BalSht Data'!A$899=AO$1,'BalSht Data'!G$899:G$2999),0)),"")</f>
        <v/>
      </c>
      <c r="AP34" s="14" t="str">
        <f>IFERROR(INDEX('BalSht Data'!H$922:H$2999,MATCH(A34,IF('BalSht Data'!A$922=AP$1,'BalSht Data'!G$922:G$2999),0)),"")</f>
        <v/>
      </c>
      <c r="AQ34" s="14" t="str">
        <f>IFERROR(INDEX('BalSht Data'!H$945:H$2999,MATCH(A34,IF('BalSht Data'!A$945=AQ$1,'BalSht Data'!G$945:G$2999),0)),"")</f>
        <v/>
      </c>
      <c r="AR34" s="14" t="str">
        <f>IFERROR(INDEX('BalSht Data'!H$968:H$2999,MATCH(A34,IF('BalSht Data'!A$968=AR$1,'BalSht Data'!G$968:G$2999),0)),"")</f>
        <v/>
      </c>
      <c r="AS34" s="14" t="str">
        <f>IFERROR(INDEX('BalSht Data'!H$991:H$2999,MATCH(A34,IF('BalSht Data'!A$991=AS$1,'BalSht Data'!G$991:G$2999),0)),"")</f>
        <v/>
      </c>
      <c r="AT34" s="14" t="str">
        <f>IFERROR(INDEX('BalSht Data'!H$1014:H$2999,MATCH(A34,IF('BalSht Data'!A$1014=AT$1,'BalSht Data'!G$1014:G$2999),0)),"")</f>
        <v/>
      </c>
      <c r="AU34" s="14" t="str">
        <f>IFERROR(INDEX('BalSht Data'!H$1037:H$2999,MATCH(A34,IF('BalSht Data'!A$1037=AU$1,'BalSht Data'!G$1037:G$2999),0)),"")</f>
        <v/>
      </c>
      <c r="AV34" s="14" t="str">
        <f>IFERROR(INDEX('BalSht Data'!H$1060:H$2999,MATCH(A34,IF('BalSht Data'!A$1060=AV$1,'BalSht Data'!G$1060:G$2999),0)),"")</f>
        <v/>
      </c>
      <c r="AW34" s="14" t="str">
        <f>IFERROR(INDEX('BalSht Data'!H$1083:H$2999,MATCH(A34,IF('BalSht Data'!A$1083=AW$1,'BalSht Data'!G$1083:G$2999),0)),"")</f>
        <v/>
      </c>
      <c r="AX34" s="14" t="str">
        <f>IFERROR(INDEX('BalSht Data'!H$1106:H$2999,MATCH(A34,IF('BalSht Data'!A$1106=AX$1,'BalSht Data'!G$1106:G$2999),0)),"")</f>
        <v/>
      </c>
      <c r="AY34" s="14" t="str">
        <f>IFERROR(INDEX('BalSht Data'!H$1129:H$2999,MATCH(A34,IF('BalSht Data'!A$1129=AY$1,'BalSht Data'!G$1129:G$2999),0)),"")</f>
        <v/>
      </c>
      <c r="AZ34" s="14" t="str">
        <f>IFERROR(INDEX('BalSht Data'!H$1152:H$2999,MATCH(A34,IF('BalSht Data'!A$1152=AZ$1,'BalSht Data'!G$1152:G$2999),0)),"")</f>
        <v/>
      </c>
      <c r="BA34" s="14" t="str">
        <f>IFERROR(INDEX('BalSht Data'!H$1175:H$2999,MATCH(A34,IF('BalSht Data'!A$1175=BA$1,'BalSht Data'!G$1175:G$2999),0)),"")</f>
        <v/>
      </c>
      <c r="BB34" s="14" t="str">
        <f>IFERROR(INDEX('BalSht Data'!H$1198:H$2999,MATCH(A34,IF('BalSht Data'!A$1198=BB$1,'BalSht Data'!G$1198:G$2999),0)),"")</f>
        <v/>
      </c>
      <c r="BC34" s="14" t="str">
        <f>IFERROR(INDEX('BalSht Data'!H$1221:H$2999,MATCH(A34,IF('BalSht Data'!A$1221=BC$1,'BalSht Data'!G$1221:G$2999),0)),"")</f>
        <v/>
      </c>
      <c r="BD34" s="14" t="str">
        <f>IFERROR(INDEX('BalSht Data'!H$1244:H$2999,MATCH(A34,IF('BalSht Data'!A$1244=BD$1,'BalSht Data'!G$1244:G$2999),0)),"")</f>
        <v/>
      </c>
      <c r="BE34" s="14" t="str">
        <f>IFERROR(INDEX('BalSht Data'!H$1267:H$2999,MATCH(A34,IF('BalSht Data'!A$1267=BE$1,'BalSht Data'!G$1267:G$2999),0)),"")</f>
        <v/>
      </c>
      <c r="BF34" s="14"/>
    </row>
    <row r="35" spans="1:58" x14ac:dyDescent="0.2">
      <c r="A35" s="5"/>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row>
    <row r="36" spans="1:58" x14ac:dyDescent="0.2">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row>
    <row r="37" spans="1:58" x14ac:dyDescent="0.2">
      <c r="A37" s="2" t="s">
        <v>38</v>
      </c>
      <c r="B37" s="14" t="str">
        <f>IFERROR(INDEX('BalSht Data'!H$2:H$2999,MATCH(A37,IF('BalSht Data'!A$2=B$1,'BalSht Data'!G$2:G$2999),0)),"")</f>
        <v/>
      </c>
      <c r="C37" s="14">
        <f>IFERROR(INDEX('BalSht Data'!H$25:H$2999,MATCH(A37,IF('BalSht Data'!A$25=C$1,'BalSht Data'!G$2:G$2999),0)),"")</f>
        <v>999</v>
      </c>
      <c r="D37" s="14">
        <f>IFERROR(INDEX('BalSht Data'!H$48:H$2999,MATCH(A37,IF('BalSht Data'!A$48=D$1,'BalSht Data'!G$48:G$2999),0)),"")</f>
        <v>7878787</v>
      </c>
      <c r="E37" s="14">
        <f>IFERROR(INDEX('BalSht Data'!H$71:H$2999,MATCH(A37,IF('BalSht Data'!A$71=E$1,'BalSht Data'!G$71:G$2999),0)),"")</f>
        <v>36333</v>
      </c>
      <c r="F37" s="14">
        <f>IFERROR(INDEX('BalSht Data'!H$94:H$2999,MATCH(A37,IF('BalSht Data'!A$94=F$1,'BalSht Data'!G$94:G$2999),0)),"")</f>
        <v>88888</v>
      </c>
      <c r="G37" s="14">
        <f>IFERROR(INDEX('BalSht Data'!H$117:H$2999,MATCH(A37,IF('BalSht Data'!A$117=G$1,'BalSht Data'!G$117:G$2999),0)),"")</f>
        <v>22222</v>
      </c>
      <c r="H37" s="14">
        <f>IFERROR(INDEX('BalSht Data'!H$140:H$2999,MATCH(A37,IF('BalSht Data'!A$140=H$1,'BalSht Data'!G$140:G$2999),0)),"")</f>
        <v>22222</v>
      </c>
      <c r="I37" s="14">
        <f>IFERROR(INDEX('BalSht Data'!H$163:H$2999,MATCH(A37,IF('BalSht Data'!A$163=I$1,'BalSht Data'!G$163:G$2999),0)),"")</f>
        <v>22222</v>
      </c>
      <c r="J37" s="14" t="str">
        <f>IFERROR(INDEX('BalSht Data'!H$186:H$2999,MATCH(A37,IF('BalSht Data'!A$186=J$1,'BalSht Data'!G$186:G$2999),0)),"")</f>
        <v/>
      </c>
      <c r="K37" s="14" t="str">
        <f>IFERROR(INDEX('BalSht Data'!H$209:H$2999,MATCH(A37,IF('BalSht Data'!A$209=K$1,'BalSht Data'!G$209:G$2999),0)),"")</f>
        <v/>
      </c>
      <c r="L37" s="14" t="str">
        <f>IFERROR(INDEX('BalSht Data'!H$232:H$2999,MATCH(A37,IF('BalSht Data'!A$232=L$1,'BalSht Data'!G$232:G$2999),0)),"")</f>
        <v/>
      </c>
      <c r="M37" s="14" t="str">
        <f>IFERROR(INDEX('BalSht Data'!H$255:H$2999,MATCH(A37,IF('BalSht Data'!A$255=M$1,'BalSht Data'!G$255:G$2999),0)),"")</f>
        <v/>
      </c>
      <c r="N37" s="14" t="str">
        <f>IFERROR(INDEX('BalSht Data'!H$278:H$2999,MATCH(A37,IF('BalSht Data'!A$278=N$1,'BalSht Data'!G$278:G$2999),0)),"")</f>
        <v/>
      </c>
      <c r="O37" s="14" t="str">
        <f>IFERROR(INDEX('BalSht Data'!H$301:H$2999,MATCH(A37,IF('BalSht Data'!A$301=O$1,'BalSht Data'!G$301:G$2999),0)),"")</f>
        <v/>
      </c>
      <c r="P37" s="14" t="str">
        <f>IFERROR(INDEX('BalSht Data'!H$324:H$2999,MATCH(A37,IF('BalSht Data'!A$324=P$1,'BalSht Data'!G$324:G$2999),0)),"")</f>
        <v/>
      </c>
      <c r="Q37" s="14" t="str">
        <f>IFERROR(INDEX('BalSht Data'!H$347:H$2999,MATCH(A37,IF('BalSht Data'!A$347=Q$1,'BalSht Data'!G$347:G$2999),0)),"")</f>
        <v/>
      </c>
      <c r="R37" s="14" t="str">
        <f>IFERROR(INDEX('BalSht Data'!H$370:H$2999,MATCH(A37,IF('BalSht Data'!A$370=R$1,'BalSht Data'!G$370:G$2999),0)),"")</f>
        <v/>
      </c>
      <c r="S37" s="14" t="str">
        <f>IFERROR(INDEX('BalSht Data'!H$393:H$2999,MATCH(A37,IF('BalSht Data'!A$393=S$1,'BalSht Data'!G$393:G$2999),0)),"")</f>
        <v/>
      </c>
      <c r="T37" s="14" t="str">
        <f>IFERROR(INDEX('BalSht Data'!H$416:H$2999,MATCH(A37,IF('BalSht Data'!A$416=T$1,'BalSht Data'!G$416:G$2999),0)),"")</f>
        <v/>
      </c>
      <c r="U37" s="14" t="str">
        <f>IFERROR(INDEX('BalSht Data'!H$439:H$2999,MATCH(A37,IF('BalSht Data'!A$439=U$1,'BalSht Data'!G$439:G$2999),0)),"")</f>
        <v/>
      </c>
      <c r="V37" s="14" t="str">
        <f>IFERROR(INDEX('BalSht Data'!H$462:H$2999,MATCH(A37,IF('BalSht Data'!A$462=V$1,'BalSht Data'!G$462:G$2999),0)),"")</f>
        <v/>
      </c>
      <c r="W37" s="14" t="str">
        <f>IFERROR(INDEX('BalSht Data'!H$485:H$2999,MATCH(A37,IF('BalSht Data'!A$485=W$1,'BalSht Data'!G$485:G$2999),0)),"")</f>
        <v/>
      </c>
      <c r="X37" s="14" t="str">
        <f>IFERROR(INDEX('BalSht Data'!H$508:H$2999,MATCH(A37,IF('BalSht Data'!A$508=X$1,'BalSht Data'!G$508:G$2999),0)),"")</f>
        <v/>
      </c>
      <c r="Y37" s="14" t="str">
        <f>IFERROR(INDEX('BalSht Data'!H$531:H$2999,MATCH(A37,IF('BalSht Data'!A$531=Y$1,'BalSht Data'!G$531:G$2999),0)),"")</f>
        <v/>
      </c>
      <c r="Z37" s="14" t="str">
        <f>IFERROR(INDEX('BalSht Data'!H$554:H$2999,MATCH(A37,IF('BalSht Data'!A$554=Z$1,'BalSht Data'!G$554:G$2999),0)),"")</f>
        <v/>
      </c>
      <c r="AA37" s="14" t="str">
        <f>IFERROR(INDEX('BalSht Data'!H$577:H$2999,MATCH(A37,IF('BalSht Data'!A$577=AA$1,'BalSht Data'!G$577:G$2999),0)),"")</f>
        <v/>
      </c>
      <c r="AB37" s="14" t="str">
        <f>IFERROR(INDEX('BalSht Data'!H$600:H$2999,MATCH(A37,IF('BalSht Data'!A$600=AB$1,'BalSht Data'!G$600:G$2999),0)),"")</f>
        <v/>
      </c>
      <c r="AC37" s="14" t="str">
        <f>IFERROR(INDEX('BalSht Data'!H$623:H$2999,MATCH(A37,IF('BalSht Data'!A$623=AC$1,'BalSht Data'!G$623:G$2999),0)),"")</f>
        <v/>
      </c>
      <c r="AD37" s="14" t="str">
        <f>IFERROR(INDEX('BalSht Data'!H$646:H$2999,MATCH(A37,IF('BalSht Data'!A$646=AD$1,'BalSht Data'!G$646:G$2999),0)),"")</f>
        <v/>
      </c>
      <c r="AE37" s="14" t="str">
        <f>IFERROR(INDEX('BalSht Data'!H$669:H$2999,MATCH(A37,IF('BalSht Data'!A$669=AE$1,'BalSht Data'!G$669:G$2999),0)),"")</f>
        <v/>
      </c>
      <c r="AF37" s="14" t="str">
        <f>IFERROR(INDEX('BalSht Data'!H$692:H$2999,MATCH(A37,IF('BalSht Data'!A$692=AF$1,'BalSht Data'!G$692:G$2999),0)),"")</f>
        <v/>
      </c>
      <c r="AG37" s="14" t="str">
        <f>IFERROR(INDEX('BalSht Data'!H$715:H$2999,MATCH(A37,IF('BalSht Data'!A$715=AG$1,'BalSht Data'!G$715:G$2999),0)),"")</f>
        <v/>
      </c>
      <c r="AH37" s="14" t="str">
        <f>IFERROR(INDEX('BalSht Data'!H$738:H$2999,MATCH(A37,IF('BalSht Data'!A$738=AH$1,'BalSht Data'!G$738:G$2999),0)),"")</f>
        <v/>
      </c>
      <c r="AI37" s="14" t="str">
        <f>IFERROR(INDEX('BalSht Data'!H$761:H$2999,MATCH(A37,IF('BalSht Data'!A$761=AI$1,'BalSht Data'!G$761:G$2999),0)),"")</f>
        <v/>
      </c>
      <c r="AJ37" s="14" t="str">
        <f>IFERROR(INDEX('BalSht Data'!H$784:H$2999,MATCH(A37,IF('BalSht Data'!A$784=AJ$1,'BalSht Data'!G$784:G$2999),0)),"")</f>
        <v/>
      </c>
      <c r="AK37" s="14" t="str">
        <f>IFERROR(INDEX('BalSht Data'!H$807:H$2999,MATCH(A37,IF('BalSht Data'!A$807=AK$1,'BalSht Data'!G$807:G$2999),0)),"")</f>
        <v/>
      </c>
      <c r="AL37" s="14" t="str">
        <f>IFERROR(INDEX('BalSht Data'!H$830:H$2999,MATCH(A37,IF('BalSht Data'!A$830=AL$1,'BalSht Data'!G$830:G$2999),0)),"")</f>
        <v/>
      </c>
      <c r="AM37" s="14" t="str">
        <f>IFERROR(INDEX('BalSht Data'!H$853:H$2999,MATCH(A37,IF('BalSht Data'!A$853=AM$1,'BalSht Data'!G$853:G$2999),0)),"")</f>
        <v/>
      </c>
      <c r="AN37" s="14" t="str">
        <f>IFERROR(INDEX('BalSht Data'!H$876:H$2999,MATCH(A37,IF('BalSht Data'!A$876=AN$1,'BalSht Data'!G$876:G$2999),0)),"")</f>
        <v/>
      </c>
      <c r="AO37" s="14" t="str">
        <f>IFERROR(INDEX('BalSht Data'!H$899:H$2999,MATCH(A37,IF('BalSht Data'!A$899=AO$1,'BalSht Data'!G$899:G$2999),0)),"")</f>
        <v/>
      </c>
      <c r="AP37" s="14" t="str">
        <f>IFERROR(INDEX('BalSht Data'!H$922:H$2999,MATCH(A37,IF('BalSht Data'!A$922=AP$1,'BalSht Data'!G$922:G$2999),0)),"")</f>
        <v/>
      </c>
      <c r="AQ37" s="14" t="str">
        <f>IFERROR(INDEX('BalSht Data'!H$945:H$2999,MATCH(A37,IF('BalSht Data'!A$945=AQ$1,'BalSht Data'!G$945:G$2999),0)),"")</f>
        <v/>
      </c>
      <c r="AR37" s="14" t="str">
        <f>IFERROR(INDEX('BalSht Data'!H$968:H$2999,MATCH(A37,IF('BalSht Data'!A$968=AR$1,'BalSht Data'!G$968:G$2999),0)),"")</f>
        <v/>
      </c>
      <c r="AS37" s="14" t="str">
        <f>IFERROR(INDEX('BalSht Data'!H$991:H$2999,MATCH(A37,IF('BalSht Data'!A$991=AS$1,'BalSht Data'!G$991:G$2999),0)),"")</f>
        <v/>
      </c>
      <c r="AT37" s="14" t="str">
        <f>IFERROR(INDEX('BalSht Data'!H$1014:H$2999,MATCH(A37,IF('BalSht Data'!A$1014=AT$1,'BalSht Data'!G$1014:G$2999),0)),"")</f>
        <v/>
      </c>
      <c r="AU37" s="14" t="str">
        <f>IFERROR(INDEX('BalSht Data'!H$1037:H$2999,MATCH(A37,IF('BalSht Data'!A$1037=AU$1,'BalSht Data'!G$1037:G$2999),0)),"")</f>
        <v/>
      </c>
      <c r="AV37" s="14" t="str">
        <f>IFERROR(INDEX('BalSht Data'!H$1060:H$2999,MATCH(A37,IF('BalSht Data'!A$1060=AV$1,'BalSht Data'!G$1060:G$2999),0)),"")</f>
        <v/>
      </c>
      <c r="AW37" s="14" t="str">
        <f>IFERROR(INDEX('BalSht Data'!H$1083:H$2999,MATCH(A37,IF('BalSht Data'!A$1083=AW$1,'BalSht Data'!G$1083:G$2999),0)),"")</f>
        <v/>
      </c>
      <c r="AX37" s="14" t="str">
        <f>IFERROR(INDEX('BalSht Data'!H$1106:H$2999,MATCH(A37,IF('BalSht Data'!A$1106=AX$1,'BalSht Data'!G$1106:G$2999),0)),"")</f>
        <v/>
      </c>
      <c r="AY37" s="14" t="str">
        <f>IFERROR(INDEX('BalSht Data'!H$1129:H$2999,MATCH(A37,IF('BalSht Data'!A$1129=AY$1,'BalSht Data'!G$1129:G$2999),0)),"")</f>
        <v/>
      </c>
      <c r="AZ37" s="14" t="str">
        <f>IFERROR(INDEX('BalSht Data'!H$1152:H$2999,MATCH(A37,IF('BalSht Data'!A$1152=AZ$1,'BalSht Data'!G$1152:G$2999),0)),"")</f>
        <v/>
      </c>
      <c r="BA37" s="14" t="str">
        <f>IFERROR(INDEX('BalSht Data'!H$1175:H$2999,MATCH(A37,IF('BalSht Data'!A$1175=BA$1,'BalSht Data'!G$1175:G$2999),0)),"")</f>
        <v/>
      </c>
      <c r="BB37" s="14" t="str">
        <f>IFERROR(INDEX('BalSht Data'!H$1198:H$2999,MATCH(A37,IF('BalSht Data'!A$1198=BB$1,'BalSht Data'!G$1198:G$2999),0)),"")</f>
        <v/>
      </c>
      <c r="BC37" s="14" t="str">
        <f>IFERROR(INDEX('BalSht Data'!H$1221:H$2999,MATCH(A37,IF('BalSht Data'!A$1221=BC$1,'BalSht Data'!G$1221:G$2999),0)),"")</f>
        <v/>
      </c>
      <c r="BD37" s="14" t="str">
        <f>IFERROR(INDEX('BalSht Data'!H$1244:H$2999,MATCH(A37,IF('BalSht Data'!A$1244=BD$1,'BalSht Data'!G$1244:G$2999),0)),"")</f>
        <v/>
      </c>
      <c r="BE37" s="14" t="str">
        <f>IFERROR(INDEX('BalSht Data'!H$1267:H$2999,MATCH(A37,IF('BalSht Data'!A$1267=BE$1,'BalSht Data'!G$1267:G$2999),0)),"")</f>
        <v/>
      </c>
      <c r="BF37"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85"/>
  <sheetViews>
    <sheetView workbookViewId="0">
      <selection activeCell="A163" sqref="A163"/>
    </sheetView>
  </sheetViews>
  <sheetFormatPr defaultRowHeight="15" x14ac:dyDescent="0.25"/>
  <cols>
    <col min="1" max="1" width="9.140625" bestFit="1" customWidth="1"/>
    <col min="2" max="2" width="12.42578125" bestFit="1" customWidth="1"/>
    <col min="3" max="3" width="8.42578125" bestFit="1" customWidth="1"/>
    <col min="4" max="4" width="3.5703125" bestFit="1" customWidth="1"/>
    <col min="5" max="5" width="19.85546875" bestFit="1" customWidth="1"/>
    <col min="6" max="6" width="32" bestFit="1" customWidth="1"/>
    <col min="7" max="7" width="35" bestFit="1" customWidth="1"/>
    <col min="8" max="8" width="7.85546875" bestFit="1" customWidth="1"/>
  </cols>
  <sheetData>
    <row r="1" spans="1:8" x14ac:dyDescent="0.25">
      <c r="A1" s="1" t="s">
        <v>7</v>
      </c>
      <c r="B1" s="1" t="s">
        <v>4</v>
      </c>
      <c r="C1" s="1" t="s">
        <v>8</v>
      </c>
      <c r="D1" s="1" t="s">
        <v>9</v>
      </c>
      <c r="E1" s="1" t="s">
        <v>5</v>
      </c>
      <c r="F1" s="1" t="s">
        <v>10</v>
      </c>
      <c r="G1" s="1" t="s">
        <v>11</v>
      </c>
      <c r="H1" s="1" t="s">
        <v>12</v>
      </c>
    </row>
    <row r="2" spans="1:8" x14ac:dyDescent="0.25">
      <c r="A2" t="s">
        <v>43</v>
      </c>
      <c r="B2" t="s">
        <v>44</v>
      </c>
      <c r="C2" t="s">
        <v>45</v>
      </c>
      <c r="D2">
        <v>2</v>
      </c>
      <c r="E2">
        <v>0</v>
      </c>
      <c r="F2" t="s">
        <v>46</v>
      </c>
      <c r="G2" t="s">
        <v>13</v>
      </c>
    </row>
    <row r="3" spans="1:8" x14ac:dyDescent="0.25">
      <c r="A3" t="s">
        <v>43</v>
      </c>
      <c r="B3" t="s">
        <v>44</v>
      </c>
      <c r="C3" t="s">
        <v>45</v>
      </c>
      <c r="D3">
        <v>2</v>
      </c>
      <c r="E3">
        <v>0</v>
      </c>
      <c r="F3" t="s">
        <v>46</v>
      </c>
      <c r="G3" t="s">
        <v>14</v>
      </c>
    </row>
    <row r="4" spans="1:8" x14ac:dyDescent="0.25">
      <c r="A4" t="s">
        <v>43</v>
      </c>
      <c r="B4" t="s">
        <v>44</v>
      </c>
      <c r="C4" t="s">
        <v>45</v>
      </c>
      <c r="D4">
        <v>2</v>
      </c>
      <c r="E4">
        <v>0</v>
      </c>
      <c r="F4" t="s">
        <v>46</v>
      </c>
      <c r="G4" t="s">
        <v>15</v>
      </c>
    </row>
    <row r="5" spans="1:8" x14ac:dyDescent="0.25">
      <c r="A5" t="s">
        <v>43</v>
      </c>
      <c r="B5" t="s">
        <v>44</v>
      </c>
      <c r="C5" t="s">
        <v>45</v>
      </c>
      <c r="D5">
        <v>2</v>
      </c>
      <c r="E5">
        <v>0</v>
      </c>
      <c r="F5" t="s">
        <v>46</v>
      </c>
      <c r="G5" t="s">
        <v>16</v>
      </c>
    </row>
    <row r="6" spans="1:8" x14ac:dyDescent="0.25">
      <c r="A6" t="s">
        <v>43</v>
      </c>
      <c r="B6" t="s">
        <v>44</v>
      </c>
      <c r="C6" t="s">
        <v>45</v>
      </c>
      <c r="D6">
        <v>2</v>
      </c>
      <c r="E6">
        <v>0</v>
      </c>
      <c r="F6" t="s">
        <v>46</v>
      </c>
      <c r="G6" t="s">
        <v>17</v>
      </c>
    </row>
    <row r="7" spans="1:8" x14ac:dyDescent="0.25">
      <c r="A7" t="s">
        <v>43</v>
      </c>
      <c r="B7" t="s">
        <v>44</v>
      </c>
      <c r="C7" t="s">
        <v>45</v>
      </c>
      <c r="D7">
        <v>2</v>
      </c>
      <c r="E7">
        <v>0</v>
      </c>
      <c r="F7" t="s">
        <v>47</v>
      </c>
      <c r="G7" t="s">
        <v>29</v>
      </c>
    </row>
    <row r="8" spans="1:8" x14ac:dyDescent="0.25">
      <c r="A8" t="s">
        <v>43</v>
      </c>
      <c r="B8" t="s">
        <v>44</v>
      </c>
      <c r="C8" t="s">
        <v>45</v>
      </c>
      <c r="D8">
        <v>2</v>
      </c>
      <c r="E8">
        <v>0</v>
      </c>
      <c r="F8" t="s">
        <v>47</v>
      </c>
      <c r="G8" t="s">
        <v>30</v>
      </c>
    </row>
    <row r="9" spans="1:8" x14ac:dyDescent="0.25">
      <c r="A9" t="s">
        <v>43</v>
      </c>
      <c r="B9" t="s">
        <v>44</v>
      </c>
      <c r="C9" t="s">
        <v>45</v>
      </c>
      <c r="D9">
        <v>2</v>
      </c>
      <c r="E9">
        <v>0</v>
      </c>
      <c r="F9" t="s">
        <v>47</v>
      </c>
      <c r="G9" t="s">
        <v>31</v>
      </c>
    </row>
    <row r="10" spans="1:8" x14ac:dyDescent="0.25">
      <c r="A10" t="s">
        <v>43</v>
      </c>
      <c r="B10" t="s">
        <v>44</v>
      </c>
      <c r="C10" t="s">
        <v>45</v>
      </c>
      <c r="D10">
        <v>2</v>
      </c>
      <c r="E10">
        <v>0</v>
      </c>
      <c r="F10" t="s">
        <v>47</v>
      </c>
      <c r="G10" t="s">
        <v>32</v>
      </c>
    </row>
    <row r="11" spans="1:8" x14ac:dyDescent="0.25">
      <c r="A11" t="s">
        <v>43</v>
      </c>
      <c r="B11" t="s">
        <v>44</v>
      </c>
      <c r="C11" t="s">
        <v>45</v>
      </c>
      <c r="D11">
        <v>2</v>
      </c>
      <c r="E11">
        <v>0</v>
      </c>
      <c r="F11" t="s">
        <v>47</v>
      </c>
      <c r="G11" t="s">
        <v>33</v>
      </c>
    </row>
    <row r="12" spans="1:8" x14ac:dyDescent="0.25">
      <c r="A12" t="s">
        <v>43</v>
      </c>
      <c r="B12" t="s">
        <v>44</v>
      </c>
      <c r="C12" t="s">
        <v>45</v>
      </c>
      <c r="D12">
        <v>2</v>
      </c>
      <c r="E12">
        <v>0</v>
      </c>
      <c r="F12" t="s">
        <v>47</v>
      </c>
      <c r="G12" t="s">
        <v>34</v>
      </c>
    </row>
    <row r="13" spans="1:8" x14ac:dyDescent="0.25">
      <c r="A13" t="s">
        <v>43</v>
      </c>
      <c r="B13" t="s">
        <v>44</v>
      </c>
      <c r="C13" t="s">
        <v>45</v>
      </c>
      <c r="D13">
        <v>2</v>
      </c>
      <c r="E13">
        <v>0</v>
      </c>
      <c r="F13" t="s">
        <v>47</v>
      </c>
      <c r="G13" t="s">
        <v>35</v>
      </c>
    </row>
    <row r="14" spans="1:8" x14ac:dyDescent="0.25">
      <c r="A14" t="s">
        <v>43</v>
      </c>
      <c r="B14" t="s">
        <v>44</v>
      </c>
      <c r="C14" t="s">
        <v>45</v>
      </c>
      <c r="D14">
        <v>2</v>
      </c>
      <c r="E14">
        <v>0</v>
      </c>
      <c r="F14" t="s">
        <v>47</v>
      </c>
      <c r="G14" t="s">
        <v>36</v>
      </c>
    </row>
    <row r="15" spans="1:8" x14ac:dyDescent="0.25">
      <c r="A15" t="s">
        <v>43</v>
      </c>
      <c r="B15" t="s">
        <v>44</v>
      </c>
      <c r="C15" t="s">
        <v>45</v>
      </c>
      <c r="D15">
        <v>2</v>
      </c>
      <c r="E15">
        <v>0</v>
      </c>
      <c r="F15" t="s">
        <v>47</v>
      </c>
      <c r="G15" t="s">
        <v>37</v>
      </c>
    </row>
    <row r="16" spans="1:8" x14ac:dyDescent="0.25">
      <c r="A16" t="s">
        <v>43</v>
      </c>
      <c r="B16" t="s">
        <v>44</v>
      </c>
      <c r="C16" t="s">
        <v>45</v>
      </c>
      <c r="D16">
        <v>2</v>
      </c>
      <c r="E16">
        <v>0</v>
      </c>
      <c r="F16" t="s">
        <v>48</v>
      </c>
      <c r="G16" t="s">
        <v>20</v>
      </c>
    </row>
    <row r="17" spans="1:8" x14ac:dyDescent="0.25">
      <c r="A17" t="s">
        <v>43</v>
      </c>
      <c r="B17" t="s">
        <v>44</v>
      </c>
      <c r="C17" t="s">
        <v>45</v>
      </c>
      <c r="D17">
        <v>2</v>
      </c>
      <c r="E17">
        <v>0</v>
      </c>
      <c r="F17" t="s">
        <v>48</v>
      </c>
      <c r="G17" t="s">
        <v>21</v>
      </c>
    </row>
    <row r="18" spans="1:8" x14ac:dyDescent="0.25">
      <c r="A18" t="s">
        <v>43</v>
      </c>
      <c r="B18" t="s">
        <v>44</v>
      </c>
      <c r="C18" t="s">
        <v>45</v>
      </c>
      <c r="D18">
        <v>2</v>
      </c>
      <c r="E18">
        <v>0</v>
      </c>
      <c r="F18" t="s">
        <v>48</v>
      </c>
      <c r="G18" t="s">
        <v>22</v>
      </c>
    </row>
    <row r="19" spans="1:8" x14ac:dyDescent="0.25">
      <c r="A19" t="s">
        <v>43</v>
      </c>
      <c r="B19" t="s">
        <v>44</v>
      </c>
      <c r="C19" t="s">
        <v>45</v>
      </c>
      <c r="D19">
        <v>2</v>
      </c>
      <c r="E19">
        <v>0</v>
      </c>
      <c r="F19" t="s">
        <v>48</v>
      </c>
      <c r="G19" t="s">
        <v>23</v>
      </c>
    </row>
    <row r="20" spans="1:8" x14ac:dyDescent="0.25">
      <c r="A20" t="s">
        <v>43</v>
      </c>
      <c r="B20" t="s">
        <v>44</v>
      </c>
      <c r="C20" t="s">
        <v>45</v>
      </c>
      <c r="D20">
        <v>2</v>
      </c>
      <c r="E20">
        <v>0</v>
      </c>
      <c r="F20" t="s">
        <v>48</v>
      </c>
      <c r="G20" t="s">
        <v>24</v>
      </c>
    </row>
    <row r="21" spans="1:8" x14ac:dyDescent="0.25">
      <c r="A21" t="s">
        <v>43</v>
      </c>
      <c r="B21" t="s">
        <v>44</v>
      </c>
      <c r="C21" t="s">
        <v>45</v>
      </c>
      <c r="D21">
        <v>2</v>
      </c>
      <c r="E21">
        <v>0</v>
      </c>
      <c r="F21" t="s">
        <v>48</v>
      </c>
      <c r="G21" t="s">
        <v>25</v>
      </c>
    </row>
    <row r="22" spans="1:8" x14ac:dyDescent="0.25">
      <c r="A22" t="s">
        <v>43</v>
      </c>
      <c r="B22" t="s">
        <v>44</v>
      </c>
      <c r="C22" t="s">
        <v>45</v>
      </c>
      <c r="D22">
        <v>2</v>
      </c>
      <c r="E22">
        <v>0</v>
      </c>
      <c r="F22" t="s">
        <v>48</v>
      </c>
      <c r="G22" t="s">
        <v>26</v>
      </c>
    </row>
    <row r="23" spans="1:8" x14ac:dyDescent="0.25">
      <c r="A23" t="s">
        <v>43</v>
      </c>
      <c r="B23" t="s">
        <v>44</v>
      </c>
      <c r="C23" t="s">
        <v>45</v>
      </c>
      <c r="D23">
        <v>2</v>
      </c>
      <c r="E23">
        <v>0</v>
      </c>
      <c r="F23" t="s">
        <v>48</v>
      </c>
      <c r="G23" t="s">
        <v>27</v>
      </c>
    </row>
    <row r="24" spans="1:8" x14ac:dyDescent="0.25">
      <c r="A24" t="s">
        <v>43</v>
      </c>
      <c r="B24" t="s">
        <v>44</v>
      </c>
      <c r="C24" t="s">
        <v>45</v>
      </c>
      <c r="D24">
        <v>2</v>
      </c>
      <c r="E24">
        <v>0</v>
      </c>
      <c r="F24" t="s">
        <v>49</v>
      </c>
      <c r="G24" t="s">
        <v>49</v>
      </c>
    </row>
    <row r="25" spans="1:8" x14ac:dyDescent="0.25">
      <c r="A25">
        <v>70341</v>
      </c>
      <c r="B25" t="s">
        <v>44</v>
      </c>
      <c r="C25" t="s">
        <v>45</v>
      </c>
      <c r="D25">
        <v>2</v>
      </c>
      <c r="E25">
        <v>0</v>
      </c>
      <c r="F25" t="s">
        <v>46</v>
      </c>
      <c r="G25" t="s">
        <v>13</v>
      </c>
      <c r="H25">
        <v>999</v>
      </c>
    </row>
    <row r="26" spans="1:8" x14ac:dyDescent="0.25">
      <c r="A26">
        <v>70341</v>
      </c>
      <c r="B26" t="s">
        <v>44</v>
      </c>
      <c r="C26" t="s">
        <v>45</v>
      </c>
      <c r="D26">
        <v>2</v>
      </c>
      <c r="E26">
        <v>0</v>
      </c>
      <c r="F26" t="s">
        <v>46</v>
      </c>
      <c r="G26" t="s">
        <v>14</v>
      </c>
      <c r="H26">
        <v>999</v>
      </c>
    </row>
    <row r="27" spans="1:8" x14ac:dyDescent="0.25">
      <c r="A27">
        <v>70341</v>
      </c>
      <c r="B27" t="s">
        <v>44</v>
      </c>
      <c r="C27" t="s">
        <v>45</v>
      </c>
      <c r="D27">
        <v>2</v>
      </c>
      <c r="E27">
        <v>0</v>
      </c>
      <c r="F27" t="s">
        <v>46</v>
      </c>
      <c r="G27" t="s">
        <v>15</v>
      </c>
      <c r="H27">
        <v>999</v>
      </c>
    </row>
    <row r="28" spans="1:8" x14ac:dyDescent="0.25">
      <c r="A28">
        <v>70341</v>
      </c>
      <c r="B28" t="s">
        <v>44</v>
      </c>
      <c r="C28" t="s">
        <v>45</v>
      </c>
      <c r="D28">
        <v>2</v>
      </c>
      <c r="E28">
        <v>0</v>
      </c>
      <c r="F28" t="s">
        <v>46</v>
      </c>
      <c r="G28" t="s">
        <v>16</v>
      </c>
      <c r="H28">
        <v>999</v>
      </c>
    </row>
    <row r="29" spans="1:8" x14ac:dyDescent="0.25">
      <c r="A29">
        <v>70341</v>
      </c>
      <c r="B29" t="s">
        <v>44</v>
      </c>
      <c r="C29" t="s">
        <v>45</v>
      </c>
      <c r="D29">
        <v>2</v>
      </c>
      <c r="E29">
        <v>0</v>
      </c>
      <c r="F29" t="s">
        <v>46</v>
      </c>
      <c r="G29" t="s">
        <v>17</v>
      </c>
      <c r="H29">
        <v>999</v>
      </c>
    </row>
    <row r="30" spans="1:8" x14ac:dyDescent="0.25">
      <c r="A30">
        <v>70341</v>
      </c>
      <c r="B30" t="s">
        <v>44</v>
      </c>
      <c r="C30" t="s">
        <v>45</v>
      </c>
      <c r="D30">
        <v>2</v>
      </c>
      <c r="E30">
        <v>0</v>
      </c>
      <c r="F30" t="s">
        <v>47</v>
      </c>
      <c r="G30" t="s">
        <v>29</v>
      </c>
      <c r="H30">
        <v>999</v>
      </c>
    </row>
    <row r="31" spans="1:8" x14ac:dyDescent="0.25">
      <c r="A31">
        <v>70341</v>
      </c>
      <c r="B31" t="s">
        <v>44</v>
      </c>
      <c r="C31" t="s">
        <v>45</v>
      </c>
      <c r="D31">
        <v>2</v>
      </c>
      <c r="E31">
        <v>0</v>
      </c>
      <c r="F31" t="s">
        <v>47</v>
      </c>
      <c r="G31" t="s">
        <v>30</v>
      </c>
      <c r="H31">
        <v>999</v>
      </c>
    </row>
    <row r="32" spans="1:8" x14ac:dyDescent="0.25">
      <c r="A32">
        <v>70341</v>
      </c>
      <c r="B32" t="s">
        <v>44</v>
      </c>
      <c r="C32" t="s">
        <v>45</v>
      </c>
      <c r="D32">
        <v>2</v>
      </c>
      <c r="E32">
        <v>0</v>
      </c>
      <c r="F32" t="s">
        <v>47</v>
      </c>
      <c r="G32" t="s">
        <v>31</v>
      </c>
      <c r="H32">
        <v>999</v>
      </c>
    </row>
    <row r="33" spans="1:8" x14ac:dyDescent="0.25">
      <c r="A33">
        <v>70341</v>
      </c>
      <c r="B33" t="s">
        <v>44</v>
      </c>
      <c r="C33" t="s">
        <v>45</v>
      </c>
      <c r="D33">
        <v>2</v>
      </c>
      <c r="E33">
        <v>0</v>
      </c>
      <c r="F33" t="s">
        <v>47</v>
      </c>
      <c r="G33" t="s">
        <v>32</v>
      </c>
      <c r="H33">
        <v>999</v>
      </c>
    </row>
    <row r="34" spans="1:8" x14ac:dyDescent="0.25">
      <c r="A34">
        <v>70341</v>
      </c>
      <c r="B34" t="s">
        <v>44</v>
      </c>
      <c r="C34" t="s">
        <v>45</v>
      </c>
      <c r="D34">
        <v>2</v>
      </c>
      <c r="E34">
        <v>0</v>
      </c>
      <c r="F34" t="s">
        <v>47</v>
      </c>
      <c r="G34" t="s">
        <v>33</v>
      </c>
      <c r="H34">
        <v>999</v>
      </c>
    </row>
    <row r="35" spans="1:8" x14ac:dyDescent="0.25">
      <c r="A35">
        <v>70341</v>
      </c>
      <c r="B35" t="s">
        <v>44</v>
      </c>
      <c r="C35" t="s">
        <v>45</v>
      </c>
      <c r="D35">
        <v>2</v>
      </c>
      <c r="E35">
        <v>0</v>
      </c>
      <c r="F35" t="s">
        <v>47</v>
      </c>
      <c r="G35" t="s">
        <v>34</v>
      </c>
      <c r="H35">
        <v>999</v>
      </c>
    </row>
    <row r="36" spans="1:8" x14ac:dyDescent="0.25">
      <c r="A36">
        <v>70341</v>
      </c>
      <c r="B36" t="s">
        <v>44</v>
      </c>
      <c r="C36" t="s">
        <v>45</v>
      </c>
      <c r="D36">
        <v>2</v>
      </c>
      <c r="E36">
        <v>0</v>
      </c>
      <c r="F36" t="s">
        <v>47</v>
      </c>
      <c r="G36" t="s">
        <v>35</v>
      </c>
      <c r="H36">
        <v>999</v>
      </c>
    </row>
    <row r="37" spans="1:8" x14ac:dyDescent="0.25">
      <c r="A37">
        <v>70341</v>
      </c>
      <c r="B37" t="s">
        <v>44</v>
      </c>
      <c r="C37" t="s">
        <v>45</v>
      </c>
      <c r="D37">
        <v>2</v>
      </c>
      <c r="E37">
        <v>0</v>
      </c>
      <c r="F37" t="s">
        <v>47</v>
      </c>
      <c r="G37" t="s">
        <v>36</v>
      </c>
      <c r="H37">
        <v>999</v>
      </c>
    </row>
    <row r="38" spans="1:8" x14ac:dyDescent="0.25">
      <c r="A38">
        <v>70341</v>
      </c>
      <c r="B38" t="s">
        <v>44</v>
      </c>
      <c r="C38" t="s">
        <v>45</v>
      </c>
      <c r="D38">
        <v>2</v>
      </c>
      <c r="E38">
        <v>0</v>
      </c>
      <c r="F38" t="s">
        <v>47</v>
      </c>
      <c r="G38" t="s">
        <v>37</v>
      </c>
      <c r="H38">
        <v>999</v>
      </c>
    </row>
    <row r="39" spans="1:8" x14ac:dyDescent="0.25">
      <c r="A39">
        <v>70341</v>
      </c>
      <c r="B39" t="s">
        <v>44</v>
      </c>
      <c r="C39" t="s">
        <v>45</v>
      </c>
      <c r="D39">
        <v>2</v>
      </c>
      <c r="E39">
        <v>0</v>
      </c>
      <c r="F39" t="s">
        <v>48</v>
      </c>
      <c r="G39" t="s">
        <v>20</v>
      </c>
      <c r="H39">
        <v>999</v>
      </c>
    </row>
    <row r="40" spans="1:8" x14ac:dyDescent="0.25">
      <c r="A40">
        <v>70341</v>
      </c>
      <c r="B40" t="s">
        <v>44</v>
      </c>
      <c r="C40" t="s">
        <v>45</v>
      </c>
      <c r="D40">
        <v>2</v>
      </c>
      <c r="E40">
        <v>0</v>
      </c>
      <c r="F40" t="s">
        <v>48</v>
      </c>
      <c r="G40" t="s">
        <v>21</v>
      </c>
      <c r="H40">
        <v>999</v>
      </c>
    </row>
    <row r="41" spans="1:8" x14ac:dyDescent="0.25">
      <c r="A41">
        <v>70341</v>
      </c>
      <c r="B41" t="s">
        <v>44</v>
      </c>
      <c r="C41" t="s">
        <v>45</v>
      </c>
      <c r="D41">
        <v>2</v>
      </c>
      <c r="E41">
        <v>0</v>
      </c>
      <c r="F41" t="s">
        <v>48</v>
      </c>
      <c r="G41" t="s">
        <v>22</v>
      </c>
      <c r="H41">
        <v>999</v>
      </c>
    </row>
    <row r="42" spans="1:8" x14ac:dyDescent="0.25">
      <c r="A42">
        <v>70341</v>
      </c>
      <c r="B42" t="s">
        <v>44</v>
      </c>
      <c r="C42" t="s">
        <v>45</v>
      </c>
      <c r="D42">
        <v>2</v>
      </c>
      <c r="E42">
        <v>0</v>
      </c>
      <c r="F42" t="s">
        <v>48</v>
      </c>
      <c r="G42" t="s">
        <v>23</v>
      </c>
      <c r="H42">
        <v>999</v>
      </c>
    </row>
    <row r="43" spans="1:8" x14ac:dyDescent="0.25">
      <c r="A43">
        <v>70341</v>
      </c>
      <c r="B43" t="s">
        <v>44</v>
      </c>
      <c r="C43" t="s">
        <v>45</v>
      </c>
      <c r="D43">
        <v>2</v>
      </c>
      <c r="E43">
        <v>0</v>
      </c>
      <c r="F43" t="s">
        <v>48</v>
      </c>
      <c r="G43" t="s">
        <v>24</v>
      </c>
      <c r="H43">
        <v>999</v>
      </c>
    </row>
    <row r="44" spans="1:8" x14ac:dyDescent="0.25">
      <c r="A44">
        <v>70341</v>
      </c>
      <c r="B44" t="s">
        <v>44</v>
      </c>
      <c r="C44" t="s">
        <v>45</v>
      </c>
      <c r="D44">
        <v>2</v>
      </c>
      <c r="E44">
        <v>0</v>
      </c>
      <c r="F44" t="s">
        <v>48</v>
      </c>
      <c r="G44" t="s">
        <v>25</v>
      </c>
      <c r="H44">
        <v>999</v>
      </c>
    </row>
    <row r="45" spans="1:8" x14ac:dyDescent="0.25">
      <c r="A45">
        <v>70341</v>
      </c>
      <c r="B45" t="s">
        <v>44</v>
      </c>
      <c r="C45" t="s">
        <v>45</v>
      </c>
      <c r="D45">
        <v>2</v>
      </c>
      <c r="E45">
        <v>0</v>
      </c>
      <c r="F45" t="s">
        <v>48</v>
      </c>
      <c r="G45" t="s">
        <v>26</v>
      </c>
      <c r="H45">
        <v>999</v>
      </c>
    </row>
    <row r="46" spans="1:8" x14ac:dyDescent="0.25">
      <c r="A46">
        <v>70341</v>
      </c>
      <c r="B46" t="s">
        <v>44</v>
      </c>
      <c r="C46" t="s">
        <v>45</v>
      </c>
      <c r="D46">
        <v>2</v>
      </c>
      <c r="E46">
        <v>0</v>
      </c>
      <c r="F46" t="s">
        <v>48</v>
      </c>
      <c r="G46" t="s">
        <v>27</v>
      </c>
      <c r="H46">
        <v>999</v>
      </c>
    </row>
    <row r="47" spans="1:8" x14ac:dyDescent="0.25">
      <c r="A47">
        <v>70341</v>
      </c>
      <c r="B47" t="s">
        <v>44</v>
      </c>
      <c r="C47" t="s">
        <v>45</v>
      </c>
      <c r="D47">
        <v>2</v>
      </c>
      <c r="E47">
        <v>0</v>
      </c>
      <c r="F47" t="s">
        <v>49</v>
      </c>
      <c r="G47" t="s">
        <v>49</v>
      </c>
      <c r="H47">
        <v>999</v>
      </c>
    </row>
    <row r="48" spans="1:8" x14ac:dyDescent="0.25">
      <c r="A48">
        <v>70342</v>
      </c>
      <c r="B48" t="s">
        <v>44</v>
      </c>
      <c r="C48" t="s">
        <v>45</v>
      </c>
      <c r="D48">
        <v>2</v>
      </c>
      <c r="E48">
        <v>0</v>
      </c>
      <c r="F48" t="s">
        <v>46</v>
      </c>
      <c r="G48" t="s">
        <v>13</v>
      </c>
      <c r="H48">
        <v>7878787</v>
      </c>
    </row>
    <row r="49" spans="1:8" x14ac:dyDescent="0.25">
      <c r="A49">
        <v>70342</v>
      </c>
      <c r="B49" t="s">
        <v>44</v>
      </c>
      <c r="C49" t="s">
        <v>45</v>
      </c>
      <c r="D49">
        <v>2</v>
      </c>
      <c r="E49">
        <v>0</v>
      </c>
      <c r="F49" t="s">
        <v>46</v>
      </c>
      <c r="G49" t="s">
        <v>14</v>
      </c>
      <c r="H49">
        <v>7878787</v>
      </c>
    </row>
    <row r="50" spans="1:8" x14ac:dyDescent="0.25">
      <c r="A50">
        <v>70342</v>
      </c>
      <c r="B50" t="s">
        <v>44</v>
      </c>
      <c r="C50" t="s">
        <v>45</v>
      </c>
      <c r="D50">
        <v>2</v>
      </c>
      <c r="E50">
        <v>0</v>
      </c>
      <c r="F50" t="s">
        <v>46</v>
      </c>
      <c r="G50" t="s">
        <v>15</v>
      </c>
      <c r="H50">
        <v>7878787</v>
      </c>
    </row>
    <row r="51" spans="1:8" x14ac:dyDescent="0.25">
      <c r="A51">
        <v>70342</v>
      </c>
      <c r="B51" t="s">
        <v>44</v>
      </c>
      <c r="C51" t="s">
        <v>45</v>
      </c>
      <c r="D51">
        <v>2</v>
      </c>
      <c r="E51">
        <v>0</v>
      </c>
      <c r="F51" t="s">
        <v>46</v>
      </c>
      <c r="G51" t="s">
        <v>16</v>
      </c>
      <c r="H51">
        <v>7878787</v>
      </c>
    </row>
    <row r="52" spans="1:8" x14ac:dyDescent="0.25">
      <c r="A52">
        <v>70342</v>
      </c>
      <c r="B52" t="s">
        <v>44</v>
      </c>
      <c r="C52" t="s">
        <v>45</v>
      </c>
      <c r="D52">
        <v>2</v>
      </c>
      <c r="E52">
        <v>0</v>
      </c>
      <c r="F52" t="s">
        <v>46</v>
      </c>
      <c r="G52" t="s">
        <v>17</v>
      </c>
      <c r="H52">
        <v>7878787</v>
      </c>
    </row>
    <row r="53" spans="1:8" x14ac:dyDescent="0.25">
      <c r="A53">
        <v>70342</v>
      </c>
      <c r="B53" t="s">
        <v>44</v>
      </c>
      <c r="C53" t="s">
        <v>45</v>
      </c>
      <c r="D53">
        <v>2</v>
      </c>
      <c r="E53">
        <v>0</v>
      </c>
      <c r="F53" t="s">
        <v>47</v>
      </c>
      <c r="G53" t="s">
        <v>29</v>
      </c>
      <c r="H53">
        <v>7878787</v>
      </c>
    </row>
    <row r="54" spans="1:8" x14ac:dyDescent="0.25">
      <c r="A54">
        <v>70342</v>
      </c>
      <c r="B54" t="s">
        <v>44</v>
      </c>
      <c r="C54" t="s">
        <v>45</v>
      </c>
      <c r="D54">
        <v>2</v>
      </c>
      <c r="E54">
        <v>0</v>
      </c>
      <c r="F54" t="s">
        <v>47</v>
      </c>
      <c r="G54" t="s">
        <v>30</v>
      </c>
      <c r="H54">
        <v>7878787</v>
      </c>
    </row>
    <row r="55" spans="1:8" x14ac:dyDescent="0.25">
      <c r="A55">
        <v>70342</v>
      </c>
      <c r="B55" t="s">
        <v>44</v>
      </c>
      <c r="C55" t="s">
        <v>45</v>
      </c>
      <c r="D55">
        <v>2</v>
      </c>
      <c r="E55">
        <v>0</v>
      </c>
      <c r="F55" t="s">
        <v>47</v>
      </c>
      <c r="G55" t="s">
        <v>31</v>
      </c>
      <c r="H55">
        <v>7878787</v>
      </c>
    </row>
    <row r="56" spans="1:8" x14ac:dyDescent="0.25">
      <c r="A56">
        <v>70342</v>
      </c>
      <c r="B56" t="s">
        <v>44</v>
      </c>
      <c r="C56" t="s">
        <v>45</v>
      </c>
      <c r="D56">
        <v>2</v>
      </c>
      <c r="E56">
        <v>0</v>
      </c>
      <c r="F56" t="s">
        <v>47</v>
      </c>
      <c r="G56" t="s">
        <v>32</v>
      </c>
      <c r="H56">
        <v>7878787</v>
      </c>
    </row>
    <row r="57" spans="1:8" x14ac:dyDescent="0.25">
      <c r="A57">
        <v>70342</v>
      </c>
      <c r="B57" t="s">
        <v>44</v>
      </c>
      <c r="C57" t="s">
        <v>45</v>
      </c>
      <c r="D57">
        <v>2</v>
      </c>
      <c r="E57">
        <v>0</v>
      </c>
      <c r="F57" t="s">
        <v>47</v>
      </c>
      <c r="G57" t="s">
        <v>33</v>
      </c>
      <c r="H57">
        <v>7878787</v>
      </c>
    </row>
    <row r="58" spans="1:8" x14ac:dyDescent="0.25">
      <c r="A58">
        <v>70342</v>
      </c>
      <c r="B58" t="s">
        <v>44</v>
      </c>
      <c r="C58" t="s">
        <v>45</v>
      </c>
      <c r="D58">
        <v>2</v>
      </c>
      <c r="E58">
        <v>0</v>
      </c>
      <c r="F58" t="s">
        <v>47</v>
      </c>
      <c r="G58" t="s">
        <v>34</v>
      </c>
      <c r="H58">
        <v>7878787</v>
      </c>
    </row>
    <row r="59" spans="1:8" x14ac:dyDescent="0.25">
      <c r="A59">
        <v>70342</v>
      </c>
      <c r="B59" t="s">
        <v>44</v>
      </c>
      <c r="C59" t="s">
        <v>45</v>
      </c>
      <c r="D59">
        <v>2</v>
      </c>
      <c r="E59">
        <v>0</v>
      </c>
      <c r="F59" t="s">
        <v>47</v>
      </c>
      <c r="G59" t="s">
        <v>35</v>
      </c>
      <c r="H59">
        <v>7878787</v>
      </c>
    </row>
    <row r="60" spans="1:8" x14ac:dyDescent="0.25">
      <c r="A60">
        <v>70342</v>
      </c>
      <c r="B60" t="s">
        <v>44</v>
      </c>
      <c r="C60" t="s">
        <v>45</v>
      </c>
      <c r="D60">
        <v>2</v>
      </c>
      <c r="E60">
        <v>0</v>
      </c>
      <c r="F60" t="s">
        <v>47</v>
      </c>
      <c r="G60" t="s">
        <v>36</v>
      </c>
      <c r="H60">
        <v>7878787</v>
      </c>
    </row>
    <row r="61" spans="1:8" x14ac:dyDescent="0.25">
      <c r="A61">
        <v>70342</v>
      </c>
      <c r="B61" t="s">
        <v>44</v>
      </c>
      <c r="C61" t="s">
        <v>45</v>
      </c>
      <c r="D61">
        <v>2</v>
      </c>
      <c r="E61">
        <v>0</v>
      </c>
      <c r="F61" t="s">
        <v>47</v>
      </c>
      <c r="G61" t="s">
        <v>37</v>
      </c>
      <c r="H61">
        <v>7878787</v>
      </c>
    </row>
    <row r="62" spans="1:8" x14ac:dyDescent="0.25">
      <c r="A62">
        <v>70342</v>
      </c>
      <c r="B62" t="s">
        <v>44</v>
      </c>
      <c r="C62" t="s">
        <v>45</v>
      </c>
      <c r="D62">
        <v>2</v>
      </c>
      <c r="E62">
        <v>0</v>
      </c>
      <c r="F62" t="s">
        <v>48</v>
      </c>
      <c r="G62" t="s">
        <v>20</v>
      </c>
      <c r="H62">
        <v>7878787</v>
      </c>
    </row>
    <row r="63" spans="1:8" x14ac:dyDescent="0.25">
      <c r="A63">
        <v>70342</v>
      </c>
      <c r="B63" t="s">
        <v>44</v>
      </c>
      <c r="C63" t="s">
        <v>45</v>
      </c>
      <c r="D63">
        <v>2</v>
      </c>
      <c r="E63">
        <v>0</v>
      </c>
      <c r="F63" t="s">
        <v>48</v>
      </c>
      <c r="G63" t="s">
        <v>21</v>
      </c>
      <c r="H63">
        <v>7878787</v>
      </c>
    </row>
    <row r="64" spans="1:8" x14ac:dyDescent="0.25">
      <c r="A64">
        <v>70342</v>
      </c>
      <c r="B64" t="s">
        <v>44</v>
      </c>
      <c r="C64" t="s">
        <v>45</v>
      </c>
      <c r="D64">
        <v>2</v>
      </c>
      <c r="E64">
        <v>0</v>
      </c>
      <c r="F64" t="s">
        <v>48</v>
      </c>
      <c r="G64" t="s">
        <v>22</v>
      </c>
      <c r="H64">
        <v>7878787</v>
      </c>
    </row>
    <row r="65" spans="1:8" x14ac:dyDescent="0.25">
      <c r="A65">
        <v>70342</v>
      </c>
      <c r="B65" t="s">
        <v>44</v>
      </c>
      <c r="C65" t="s">
        <v>45</v>
      </c>
      <c r="D65">
        <v>2</v>
      </c>
      <c r="E65">
        <v>0</v>
      </c>
      <c r="F65" t="s">
        <v>48</v>
      </c>
      <c r="G65" t="s">
        <v>23</v>
      </c>
      <c r="H65">
        <v>7878787</v>
      </c>
    </row>
    <row r="66" spans="1:8" x14ac:dyDescent="0.25">
      <c r="A66">
        <v>70342</v>
      </c>
      <c r="B66" t="s">
        <v>44</v>
      </c>
      <c r="C66" t="s">
        <v>45</v>
      </c>
      <c r="D66">
        <v>2</v>
      </c>
      <c r="E66">
        <v>0</v>
      </c>
      <c r="F66" t="s">
        <v>48</v>
      </c>
      <c r="G66" t="s">
        <v>24</v>
      </c>
      <c r="H66">
        <v>7878787</v>
      </c>
    </row>
    <row r="67" spans="1:8" x14ac:dyDescent="0.25">
      <c r="A67">
        <v>70342</v>
      </c>
      <c r="B67" t="s">
        <v>44</v>
      </c>
      <c r="C67" t="s">
        <v>45</v>
      </c>
      <c r="D67">
        <v>2</v>
      </c>
      <c r="E67">
        <v>0</v>
      </c>
      <c r="F67" t="s">
        <v>48</v>
      </c>
      <c r="G67" t="s">
        <v>25</v>
      </c>
      <c r="H67">
        <v>7878787</v>
      </c>
    </row>
    <row r="68" spans="1:8" x14ac:dyDescent="0.25">
      <c r="A68">
        <v>70342</v>
      </c>
      <c r="B68" t="s">
        <v>44</v>
      </c>
      <c r="C68" t="s">
        <v>45</v>
      </c>
      <c r="D68">
        <v>2</v>
      </c>
      <c r="E68">
        <v>0</v>
      </c>
      <c r="F68" t="s">
        <v>48</v>
      </c>
      <c r="G68" t="s">
        <v>26</v>
      </c>
      <c r="H68">
        <v>7878787</v>
      </c>
    </row>
    <row r="69" spans="1:8" x14ac:dyDescent="0.25">
      <c r="A69">
        <v>70342</v>
      </c>
      <c r="B69" t="s">
        <v>44</v>
      </c>
      <c r="C69" t="s">
        <v>45</v>
      </c>
      <c r="D69">
        <v>2</v>
      </c>
      <c r="E69">
        <v>0</v>
      </c>
      <c r="F69" t="s">
        <v>48</v>
      </c>
      <c r="G69" t="s">
        <v>27</v>
      </c>
      <c r="H69">
        <v>7878787</v>
      </c>
    </row>
    <row r="70" spans="1:8" x14ac:dyDescent="0.25">
      <c r="A70">
        <v>70342</v>
      </c>
      <c r="B70" t="s">
        <v>44</v>
      </c>
      <c r="C70" t="s">
        <v>45</v>
      </c>
      <c r="D70">
        <v>2</v>
      </c>
      <c r="E70">
        <v>0</v>
      </c>
      <c r="F70" t="s">
        <v>49</v>
      </c>
      <c r="G70" t="s">
        <v>49</v>
      </c>
      <c r="H70">
        <v>7878787</v>
      </c>
    </row>
    <row r="71" spans="1:8" x14ac:dyDescent="0.25">
      <c r="A71">
        <v>70343</v>
      </c>
      <c r="B71" t="s">
        <v>44</v>
      </c>
      <c r="C71" t="s">
        <v>45</v>
      </c>
      <c r="D71">
        <v>2</v>
      </c>
      <c r="E71">
        <v>0</v>
      </c>
      <c r="F71" t="s">
        <v>46</v>
      </c>
      <c r="G71" t="s">
        <v>13</v>
      </c>
      <c r="H71">
        <v>36333</v>
      </c>
    </row>
    <row r="72" spans="1:8" x14ac:dyDescent="0.25">
      <c r="A72">
        <v>70343</v>
      </c>
      <c r="B72" t="s">
        <v>44</v>
      </c>
      <c r="C72" t="s">
        <v>45</v>
      </c>
      <c r="D72">
        <v>2</v>
      </c>
      <c r="E72">
        <v>0</v>
      </c>
      <c r="F72" t="s">
        <v>46</v>
      </c>
      <c r="G72" t="s">
        <v>14</v>
      </c>
      <c r="H72">
        <v>36333</v>
      </c>
    </row>
    <row r="73" spans="1:8" x14ac:dyDescent="0.25">
      <c r="A73">
        <v>70343</v>
      </c>
      <c r="B73" t="s">
        <v>44</v>
      </c>
      <c r="C73" t="s">
        <v>45</v>
      </c>
      <c r="D73">
        <v>2</v>
      </c>
      <c r="E73">
        <v>0</v>
      </c>
      <c r="F73" t="s">
        <v>46</v>
      </c>
      <c r="G73" t="s">
        <v>15</v>
      </c>
      <c r="H73">
        <v>36333</v>
      </c>
    </row>
    <row r="74" spans="1:8" x14ac:dyDescent="0.25">
      <c r="A74">
        <v>70343</v>
      </c>
      <c r="B74" t="s">
        <v>44</v>
      </c>
      <c r="C74" t="s">
        <v>45</v>
      </c>
      <c r="D74">
        <v>2</v>
      </c>
      <c r="E74">
        <v>0</v>
      </c>
      <c r="F74" t="s">
        <v>46</v>
      </c>
      <c r="G74" t="s">
        <v>16</v>
      </c>
      <c r="H74">
        <v>36333</v>
      </c>
    </row>
    <row r="75" spans="1:8" x14ac:dyDescent="0.25">
      <c r="A75">
        <v>70343</v>
      </c>
      <c r="B75" t="s">
        <v>44</v>
      </c>
      <c r="C75" t="s">
        <v>45</v>
      </c>
      <c r="D75">
        <v>2</v>
      </c>
      <c r="E75">
        <v>0</v>
      </c>
      <c r="F75" t="s">
        <v>46</v>
      </c>
      <c r="G75" t="s">
        <v>17</v>
      </c>
      <c r="H75">
        <v>36333</v>
      </c>
    </row>
    <row r="76" spans="1:8" x14ac:dyDescent="0.25">
      <c r="A76">
        <v>70343</v>
      </c>
      <c r="B76" t="s">
        <v>44</v>
      </c>
      <c r="C76" t="s">
        <v>45</v>
      </c>
      <c r="D76">
        <v>2</v>
      </c>
      <c r="E76">
        <v>0</v>
      </c>
      <c r="F76" t="s">
        <v>47</v>
      </c>
      <c r="G76" t="s">
        <v>29</v>
      </c>
      <c r="H76">
        <v>36333</v>
      </c>
    </row>
    <row r="77" spans="1:8" x14ac:dyDescent="0.25">
      <c r="A77">
        <v>70343</v>
      </c>
      <c r="B77" t="s">
        <v>44</v>
      </c>
      <c r="C77" t="s">
        <v>45</v>
      </c>
      <c r="D77">
        <v>2</v>
      </c>
      <c r="E77">
        <v>0</v>
      </c>
      <c r="F77" t="s">
        <v>47</v>
      </c>
      <c r="G77" t="s">
        <v>30</v>
      </c>
      <c r="H77">
        <v>36333</v>
      </c>
    </row>
    <row r="78" spans="1:8" x14ac:dyDescent="0.25">
      <c r="A78">
        <v>70343</v>
      </c>
      <c r="B78" t="s">
        <v>44</v>
      </c>
      <c r="C78" t="s">
        <v>45</v>
      </c>
      <c r="D78">
        <v>2</v>
      </c>
      <c r="E78">
        <v>0</v>
      </c>
      <c r="F78" t="s">
        <v>47</v>
      </c>
      <c r="G78" t="s">
        <v>31</v>
      </c>
      <c r="H78">
        <v>36333</v>
      </c>
    </row>
    <row r="79" spans="1:8" x14ac:dyDescent="0.25">
      <c r="A79">
        <v>70343</v>
      </c>
      <c r="B79" t="s">
        <v>44</v>
      </c>
      <c r="C79" t="s">
        <v>45</v>
      </c>
      <c r="D79">
        <v>2</v>
      </c>
      <c r="E79">
        <v>0</v>
      </c>
      <c r="F79" t="s">
        <v>47</v>
      </c>
      <c r="G79" t="s">
        <v>32</v>
      </c>
      <c r="H79">
        <v>36333</v>
      </c>
    </row>
    <row r="80" spans="1:8" x14ac:dyDescent="0.25">
      <c r="A80">
        <v>70343</v>
      </c>
      <c r="B80" t="s">
        <v>44</v>
      </c>
      <c r="C80" t="s">
        <v>45</v>
      </c>
      <c r="D80">
        <v>2</v>
      </c>
      <c r="E80">
        <v>0</v>
      </c>
      <c r="F80" t="s">
        <v>47</v>
      </c>
      <c r="G80" t="s">
        <v>33</v>
      </c>
      <c r="H80">
        <v>36333</v>
      </c>
    </row>
    <row r="81" spans="1:8" x14ac:dyDescent="0.25">
      <c r="A81">
        <v>70343</v>
      </c>
      <c r="B81" t="s">
        <v>44</v>
      </c>
      <c r="C81" t="s">
        <v>45</v>
      </c>
      <c r="D81">
        <v>2</v>
      </c>
      <c r="E81">
        <v>0</v>
      </c>
      <c r="F81" t="s">
        <v>47</v>
      </c>
      <c r="G81" t="s">
        <v>34</v>
      </c>
      <c r="H81">
        <v>36333</v>
      </c>
    </row>
    <row r="82" spans="1:8" x14ac:dyDescent="0.25">
      <c r="A82">
        <v>70343</v>
      </c>
      <c r="B82" t="s">
        <v>44</v>
      </c>
      <c r="C82" t="s">
        <v>45</v>
      </c>
      <c r="D82">
        <v>2</v>
      </c>
      <c r="E82">
        <v>0</v>
      </c>
      <c r="F82" t="s">
        <v>47</v>
      </c>
      <c r="G82" t="s">
        <v>35</v>
      </c>
      <c r="H82">
        <v>36333</v>
      </c>
    </row>
    <row r="83" spans="1:8" x14ac:dyDescent="0.25">
      <c r="A83">
        <v>70343</v>
      </c>
      <c r="B83" t="s">
        <v>44</v>
      </c>
      <c r="C83" t="s">
        <v>45</v>
      </c>
      <c r="D83">
        <v>2</v>
      </c>
      <c r="E83">
        <v>0</v>
      </c>
      <c r="F83" t="s">
        <v>47</v>
      </c>
      <c r="G83" t="s">
        <v>36</v>
      </c>
      <c r="H83">
        <v>36333</v>
      </c>
    </row>
    <row r="84" spans="1:8" x14ac:dyDescent="0.25">
      <c r="A84">
        <v>70343</v>
      </c>
      <c r="B84" t="s">
        <v>44</v>
      </c>
      <c r="C84" t="s">
        <v>45</v>
      </c>
      <c r="D84">
        <v>2</v>
      </c>
      <c r="E84">
        <v>0</v>
      </c>
      <c r="F84" t="s">
        <v>47</v>
      </c>
      <c r="G84" t="s">
        <v>37</v>
      </c>
      <c r="H84">
        <v>36333</v>
      </c>
    </row>
    <row r="85" spans="1:8" x14ac:dyDescent="0.25">
      <c r="A85">
        <v>70343</v>
      </c>
      <c r="B85" t="s">
        <v>44</v>
      </c>
      <c r="C85" t="s">
        <v>45</v>
      </c>
      <c r="D85">
        <v>2</v>
      </c>
      <c r="E85">
        <v>0</v>
      </c>
      <c r="F85" t="s">
        <v>48</v>
      </c>
      <c r="G85" t="s">
        <v>20</v>
      </c>
      <c r="H85">
        <v>36333</v>
      </c>
    </row>
    <row r="86" spans="1:8" x14ac:dyDescent="0.25">
      <c r="A86">
        <v>70343</v>
      </c>
      <c r="B86" t="s">
        <v>44</v>
      </c>
      <c r="C86" t="s">
        <v>45</v>
      </c>
      <c r="D86">
        <v>2</v>
      </c>
      <c r="E86">
        <v>0</v>
      </c>
      <c r="F86" t="s">
        <v>48</v>
      </c>
      <c r="G86" t="s">
        <v>21</v>
      </c>
      <c r="H86">
        <v>36333</v>
      </c>
    </row>
    <row r="87" spans="1:8" x14ac:dyDescent="0.25">
      <c r="A87">
        <v>70343</v>
      </c>
      <c r="B87" t="s">
        <v>44</v>
      </c>
      <c r="C87" t="s">
        <v>45</v>
      </c>
      <c r="D87">
        <v>2</v>
      </c>
      <c r="E87">
        <v>0</v>
      </c>
      <c r="F87" t="s">
        <v>48</v>
      </c>
      <c r="G87" t="s">
        <v>22</v>
      </c>
      <c r="H87">
        <v>36333</v>
      </c>
    </row>
    <row r="88" spans="1:8" x14ac:dyDescent="0.25">
      <c r="A88">
        <v>70343</v>
      </c>
      <c r="B88" t="s">
        <v>44</v>
      </c>
      <c r="C88" t="s">
        <v>45</v>
      </c>
      <c r="D88">
        <v>2</v>
      </c>
      <c r="E88">
        <v>0</v>
      </c>
      <c r="F88" t="s">
        <v>48</v>
      </c>
      <c r="G88" t="s">
        <v>23</v>
      </c>
      <c r="H88">
        <v>36333</v>
      </c>
    </row>
    <row r="89" spans="1:8" x14ac:dyDescent="0.25">
      <c r="A89">
        <v>70343</v>
      </c>
      <c r="B89" t="s">
        <v>44</v>
      </c>
      <c r="C89" t="s">
        <v>45</v>
      </c>
      <c r="D89">
        <v>2</v>
      </c>
      <c r="E89">
        <v>0</v>
      </c>
      <c r="F89" t="s">
        <v>48</v>
      </c>
      <c r="G89" t="s">
        <v>24</v>
      </c>
      <c r="H89">
        <v>36333</v>
      </c>
    </row>
    <row r="90" spans="1:8" x14ac:dyDescent="0.25">
      <c r="A90">
        <v>70343</v>
      </c>
      <c r="B90" t="s">
        <v>44</v>
      </c>
      <c r="C90" t="s">
        <v>45</v>
      </c>
      <c r="D90">
        <v>2</v>
      </c>
      <c r="E90">
        <v>0</v>
      </c>
      <c r="F90" t="s">
        <v>48</v>
      </c>
      <c r="G90" t="s">
        <v>25</v>
      </c>
      <c r="H90">
        <v>36333</v>
      </c>
    </row>
    <row r="91" spans="1:8" x14ac:dyDescent="0.25">
      <c r="A91">
        <v>70343</v>
      </c>
      <c r="B91" t="s">
        <v>44</v>
      </c>
      <c r="C91" t="s">
        <v>45</v>
      </c>
      <c r="D91">
        <v>2</v>
      </c>
      <c r="E91">
        <v>0</v>
      </c>
      <c r="F91" t="s">
        <v>48</v>
      </c>
      <c r="G91" t="s">
        <v>26</v>
      </c>
      <c r="H91">
        <v>36333</v>
      </c>
    </row>
    <row r="92" spans="1:8" x14ac:dyDescent="0.25">
      <c r="A92">
        <v>70343</v>
      </c>
      <c r="B92" t="s">
        <v>44</v>
      </c>
      <c r="C92" t="s">
        <v>45</v>
      </c>
      <c r="D92">
        <v>2</v>
      </c>
      <c r="E92">
        <v>0</v>
      </c>
      <c r="F92" t="s">
        <v>48</v>
      </c>
      <c r="G92" t="s">
        <v>27</v>
      </c>
      <c r="H92">
        <v>36333</v>
      </c>
    </row>
    <row r="93" spans="1:8" x14ac:dyDescent="0.25">
      <c r="A93">
        <v>70343</v>
      </c>
      <c r="B93" t="s">
        <v>44</v>
      </c>
      <c r="C93" t="s">
        <v>45</v>
      </c>
      <c r="D93">
        <v>2</v>
      </c>
      <c r="E93">
        <v>0</v>
      </c>
      <c r="F93" t="s">
        <v>49</v>
      </c>
      <c r="G93" t="s">
        <v>49</v>
      </c>
      <c r="H93">
        <v>36333</v>
      </c>
    </row>
    <row r="94" spans="1:8" x14ac:dyDescent="0.25">
      <c r="A94">
        <v>70344</v>
      </c>
      <c r="B94" t="s">
        <v>44</v>
      </c>
      <c r="C94" t="s">
        <v>45</v>
      </c>
      <c r="D94">
        <v>2</v>
      </c>
      <c r="E94">
        <v>0</v>
      </c>
      <c r="F94" t="s">
        <v>46</v>
      </c>
      <c r="G94" t="s">
        <v>13</v>
      </c>
      <c r="H94">
        <v>88888</v>
      </c>
    </row>
    <row r="95" spans="1:8" x14ac:dyDescent="0.25">
      <c r="A95">
        <v>70344</v>
      </c>
      <c r="B95" t="s">
        <v>44</v>
      </c>
      <c r="C95" t="s">
        <v>45</v>
      </c>
      <c r="D95">
        <v>2</v>
      </c>
      <c r="E95">
        <v>0</v>
      </c>
      <c r="F95" t="s">
        <v>46</v>
      </c>
      <c r="G95" t="s">
        <v>14</v>
      </c>
      <c r="H95">
        <v>88888</v>
      </c>
    </row>
    <row r="96" spans="1:8" x14ac:dyDescent="0.25">
      <c r="A96">
        <v>70344</v>
      </c>
      <c r="B96" t="s">
        <v>44</v>
      </c>
      <c r="C96" t="s">
        <v>45</v>
      </c>
      <c r="D96">
        <v>2</v>
      </c>
      <c r="E96">
        <v>0</v>
      </c>
      <c r="F96" t="s">
        <v>46</v>
      </c>
      <c r="G96" t="s">
        <v>15</v>
      </c>
      <c r="H96">
        <v>88888</v>
      </c>
    </row>
    <row r="97" spans="1:8" x14ac:dyDescent="0.25">
      <c r="A97">
        <v>70344</v>
      </c>
      <c r="B97" t="s">
        <v>44</v>
      </c>
      <c r="C97" t="s">
        <v>45</v>
      </c>
      <c r="D97">
        <v>2</v>
      </c>
      <c r="E97">
        <v>0</v>
      </c>
      <c r="F97" t="s">
        <v>46</v>
      </c>
      <c r="G97" t="s">
        <v>16</v>
      </c>
      <c r="H97">
        <v>88888</v>
      </c>
    </row>
    <row r="98" spans="1:8" x14ac:dyDescent="0.25">
      <c r="A98">
        <v>70344</v>
      </c>
      <c r="B98" t="s">
        <v>44</v>
      </c>
      <c r="C98" t="s">
        <v>45</v>
      </c>
      <c r="D98">
        <v>2</v>
      </c>
      <c r="E98">
        <v>0</v>
      </c>
      <c r="F98" t="s">
        <v>46</v>
      </c>
      <c r="G98" t="s">
        <v>17</v>
      </c>
      <c r="H98">
        <v>88888</v>
      </c>
    </row>
    <row r="99" spans="1:8" x14ac:dyDescent="0.25">
      <c r="A99">
        <v>70344</v>
      </c>
      <c r="B99" t="s">
        <v>44</v>
      </c>
      <c r="C99" t="s">
        <v>45</v>
      </c>
      <c r="D99">
        <v>2</v>
      </c>
      <c r="E99">
        <v>0</v>
      </c>
      <c r="F99" t="s">
        <v>47</v>
      </c>
      <c r="G99" t="s">
        <v>29</v>
      </c>
      <c r="H99">
        <v>88888</v>
      </c>
    </row>
    <row r="100" spans="1:8" x14ac:dyDescent="0.25">
      <c r="A100">
        <v>70344</v>
      </c>
      <c r="B100" t="s">
        <v>44</v>
      </c>
      <c r="C100" t="s">
        <v>45</v>
      </c>
      <c r="D100">
        <v>2</v>
      </c>
      <c r="E100">
        <v>0</v>
      </c>
      <c r="F100" t="s">
        <v>47</v>
      </c>
      <c r="G100" t="s">
        <v>30</v>
      </c>
      <c r="H100">
        <v>88888</v>
      </c>
    </row>
    <row r="101" spans="1:8" x14ac:dyDescent="0.25">
      <c r="A101">
        <v>70344</v>
      </c>
      <c r="B101" t="s">
        <v>44</v>
      </c>
      <c r="C101" t="s">
        <v>45</v>
      </c>
      <c r="D101">
        <v>2</v>
      </c>
      <c r="E101">
        <v>0</v>
      </c>
      <c r="F101" t="s">
        <v>47</v>
      </c>
      <c r="G101" t="s">
        <v>31</v>
      </c>
      <c r="H101">
        <v>88888</v>
      </c>
    </row>
    <row r="102" spans="1:8" x14ac:dyDescent="0.25">
      <c r="A102">
        <v>70344</v>
      </c>
      <c r="B102" t="s">
        <v>44</v>
      </c>
      <c r="C102" t="s">
        <v>45</v>
      </c>
      <c r="D102">
        <v>2</v>
      </c>
      <c r="E102">
        <v>0</v>
      </c>
      <c r="F102" t="s">
        <v>47</v>
      </c>
      <c r="G102" t="s">
        <v>32</v>
      </c>
      <c r="H102">
        <v>88888</v>
      </c>
    </row>
    <row r="103" spans="1:8" x14ac:dyDescent="0.25">
      <c r="A103">
        <v>70344</v>
      </c>
      <c r="B103" t="s">
        <v>44</v>
      </c>
      <c r="C103" t="s">
        <v>45</v>
      </c>
      <c r="D103">
        <v>2</v>
      </c>
      <c r="E103">
        <v>0</v>
      </c>
      <c r="F103" t="s">
        <v>47</v>
      </c>
      <c r="G103" t="s">
        <v>33</v>
      </c>
      <c r="H103">
        <v>88888</v>
      </c>
    </row>
    <row r="104" spans="1:8" x14ac:dyDescent="0.25">
      <c r="A104">
        <v>70344</v>
      </c>
      <c r="B104" t="s">
        <v>44</v>
      </c>
      <c r="C104" t="s">
        <v>45</v>
      </c>
      <c r="D104">
        <v>2</v>
      </c>
      <c r="E104">
        <v>0</v>
      </c>
      <c r="F104" t="s">
        <v>47</v>
      </c>
      <c r="G104" t="s">
        <v>34</v>
      </c>
      <c r="H104">
        <v>88888</v>
      </c>
    </row>
    <row r="105" spans="1:8" x14ac:dyDescent="0.25">
      <c r="A105">
        <v>70344</v>
      </c>
      <c r="B105" t="s">
        <v>44</v>
      </c>
      <c r="C105" t="s">
        <v>45</v>
      </c>
      <c r="D105">
        <v>2</v>
      </c>
      <c r="E105">
        <v>0</v>
      </c>
      <c r="F105" t="s">
        <v>47</v>
      </c>
      <c r="G105" t="s">
        <v>35</v>
      </c>
      <c r="H105">
        <v>88888</v>
      </c>
    </row>
    <row r="106" spans="1:8" x14ac:dyDescent="0.25">
      <c r="A106">
        <v>70344</v>
      </c>
      <c r="B106" t="s">
        <v>44</v>
      </c>
      <c r="C106" t="s">
        <v>45</v>
      </c>
      <c r="D106">
        <v>2</v>
      </c>
      <c r="E106">
        <v>0</v>
      </c>
      <c r="F106" t="s">
        <v>47</v>
      </c>
      <c r="G106" t="s">
        <v>36</v>
      </c>
      <c r="H106">
        <v>88888</v>
      </c>
    </row>
    <row r="107" spans="1:8" x14ac:dyDescent="0.25">
      <c r="A107">
        <v>70344</v>
      </c>
      <c r="B107" t="s">
        <v>44</v>
      </c>
      <c r="C107" t="s">
        <v>45</v>
      </c>
      <c r="D107">
        <v>2</v>
      </c>
      <c r="E107">
        <v>0</v>
      </c>
      <c r="F107" t="s">
        <v>47</v>
      </c>
      <c r="G107" t="s">
        <v>37</v>
      </c>
      <c r="H107">
        <v>88888</v>
      </c>
    </row>
    <row r="108" spans="1:8" x14ac:dyDescent="0.25">
      <c r="A108">
        <v>70344</v>
      </c>
      <c r="B108" t="s">
        <v>44</v>
      </c>
      <c r="C108" t="s">
        <v>45</v>
      </c>
      <c r="D108">
        <v>2</v>
      </c>
      <c r="E108">
        <v>0</v>
      </c>
      <c r="F108" t="s">
        <v>48</v>
      </c>
      <c r="G108" t="s">
        <v>20</v>
      </c>
      <c r="H108">
        <v>88888</v>
      </c>
    </row>
    <row r="109" spans="1:8" x14ac:dyDescent="0.25">
      <c r="A109">
        <v>70344</v>
      </c>
      <c r="B109" t="s">
        <v>44</v>
      </c>
      <c r="C109" t="s">
        <v>45</v>
      </c>
      <c r="D109">
        <v>2</v>
      </c>
      <c r="E109">
        <v>0</v>
      </c>
      <c r="F109" t="s">
        <v>48</v>
      </c>
      <c r="G109" t="s">
        <v>21</v>
      </c>
      <c r="H109">
        <v>88888</v>
      </c>
    </row>
    <row r="110" spans="1:8" x14ac:dyDescent="0.25">
      <c r="A110">
        <v>70344</v>
      </c>
      <c r="B110" t="s">
        <v>44</v>
      </c>
      <c r="C110" t="s">
        <v>45</v>
      </c>
      <c r="D110">
        <v>2</v>
      </c>
      <c r="E110">
        <v>0</v>
      </c>
      <c r="F110" t="s">
        <v>48</v>
      </c>
      <c r="G110" t="s">
        <v>22</v>
      </c>
      <c r="H110">
        <v>88888</v>
      </c>
    </row>
    <row r="111" spans="1:8" x14ac:dyDescent="0.25">
      <c r="A111">
        <v>70344</v>
      </c>
      <c r="B111" t="s">
        <v>44</v>
      </c>
      <c r="C111" t="s">
        <v>45</v>
      </c>
      <c r="D111">
        <v>2</v>
      </c>
      <c r="E111">
        <v>0</v>
      </c>
      <c r="F111" t="s">
        <v>48</v>
      </c>
      <c r="G111" t="s">
        <v>23</v>
      </c>
      <c r="H111">
        <v>88888</v>
      </c>
    </row>
    <row r="112" spans="1:8" x14ac:dyDescent="0.25">
      <c r="A112">
        <v>70344</v>
      </c>
      <c r="B112" t="s">
        <v>44</v>
      </c>
      <c r="C112" t="s">
        <v>45</v>
      </c>
      <c r="D112">
        <v>2</v>
      </c>
      <c r="E112">
        <v>0</v>
      </c>
      <c r="F112" t="s">
        <v>48</v>
      </c>
      <c r="G112" t="s">
        <v>24</v>
      </c>
      <c r="H112">
        <v>88888</v>
      </c>
    </row>
    <row r="113" spans="1:8" x14ac:dyDescent="0.25">
      <c r="A113">
        <v>70344</v>
      </c>
      <c r="B113" t="s">
        <v>44</v>
      </c>
      <c r="C113" t="s">
        <v>45</v>
      </c>
      <c r="D113">
        <v>2</v>
      </c>
      <c r="E113">
        <v>0</v>
      </c>
      <c r="F113" t="s">
        <v>48</v>
      </c>
      <c r="G113" t="s">
        <v>25</v>
      </c>
      <c r="H113">
        <v>88888</v>
      </c>
    </row>
    <row r="114" spans="1:8" x14ac:dyDescent="0.25">
      <c r="A114">
        <v>70344</v>
      </c>
      <c r="B114" t="s">
        <v>44</v>
      </c>
      <c r="C114" t="s">
        <v>45</v>
      </c>
      <c r="D114">
        <v>2</v>
      </c>
      <c r="E114">
        <v>0</v>
      </c>
      <c r="F114" t="s">
        <v>48</v>
      </c>
      <c r="G114" t="s">
        <v>26</v>
      </c>
      <c r="H114">
        <v>88888</v>
      </c>
    </row>
    <row r="115" spans="1:8" x14ac:dyDescent="0.25">
      <c r="A115">
        <v>70344</v>
      </c>
      <c r="B115" t="s">
        <v>44</v>
      </c>
      <c r="C115" t="s">
        <v>45</v>
      </c>
      <c r="D115">
        <v>2</v>
      </c>
      <c r="E115">
        <v>0</v>
      </c>
      <c r="F115" t="s">
        <v>48</v>
      </c>
      <c r="G115" t="s">
        <v>27</v>
      </c>
      <c r="H115">
        <v>88888</v>
      </c>
    </row>
    <row r="116" spans="1:8" x14ac:dyDescent="0.25">
      <c r="A116">
        <v>70344</v>
      </c>
      <c r="B116" t="s">
        <v>44</v>
      </c>
      <c r="C116" t="s">
        <v>45</v>
      </c>
      <c r="D116">
        <v>2</v>
      </c>
      <c r="E116">
        <v>0</v>
      </c>
      <c r="F116" t="s">
        <v>49</v>
      </c>
      <c r="G116" t="s">
        <v>49</v>
      </c>
      <c r="H116">
        <v>88888</v>
      </c>
    </row>
    <row r="117" spans="1:8" x14ac:dyDescent="0.25">
      <c r="A117">
        <v>70345</v>
      </c>
      <c r="B117" t="s">
        <v>44</v>
      </c>
      <c r="C117" t="s">
        <v>45</v>
      </c>
      <c r="D117">
        <v>2</v>
      </c>
      <c r="E117">
        <v>0</v>
      </c>
      <c r="F117" t="s">
        <v>46</v>
      </c>
      <c r="G117" t="s">
        <v>13</v>
      </c>
      <c r="H117">
        <v>22222</v>
      </c>
    </row>
    <row r="118" spans="1:8" x14ac:dyDescent="0.25">
      <c r="A118">
        <v>70345</v>
      </c>
      <c r="B118" t="s">
        <v>44</v>
      </c>
      <c r="C118" t="s">
        <v>45</v>
      </c>
      <c r="D118">
        <v>2</v>
      </c>
      <c r="E118">
        <v>0</v>
      </c>
      <c r="F118" t="s">
        <v>46</v>
      </c>
      <c r="G118" t="s">
        <v>14</v>
      </c>
      <c r="H118">
        <v>22222</v>
      </c>
    </row>
    <row r="119" spans="1:8" x14ac:dyDescent="0.25">
      <c r="A119">
        <v>70345</v>
      </c>
      <c r="B119" t="s">
        <v>44</v>
      </c>
      <c r="C119" t="s">
        <v>45</v>
      </c>
      <c r="D119">
        <v>2</v>
      </c>
      <c r="E119">
        <v>0</v>
      </c>
      <c r="F119" t="s">
        <v>46</v>
      </c>
      <c r="G119" t="s">
        <v>15</v>
      </c>
      <c r="H119">
        <v>22222</v>
      </c>
    </row>
    <row r="120" spans="1:8" x14ac:dyDescent="0.25">
      <c r="A120">
        <v>70345</v>
      </c>
      <c r="B120" t="s">
        <v>44</v>
      </c>
      <c r="C120" t="s">
        <v>45</v>
      </c>
      <c r="D120">
        <v>2</v>
      </c>
      <c r="E120">
        <v>0</v>
      </c>
      <c r="F120" t="s">
        <v>46</v>
      </c>
      <c r="G120" t="s">
        <v>16</v>
      </c>
      <c r="H120">
        <v>22222</v>
      </c>
    </row>
    <row r="121" spans="1:8" x14ac:dyDescent="0.25">
      <c r="A121">
        <v>70345</v>
      </c>
      <c r="B121" t="s">
        <v>44</v>
      </c>
      <c r="C121" t="s">
        <v>45</v>
      </c>
      <c r="D121">
        <v>2</v>
      </c>
      <c r="E121">
        <v>0</v>
      </c>
      <c r="F121" t="s">
        <v>46</v>
      </c>
      <c r="G121" t="s">
        <v>17</v>
      </c>
      <c r="H121">
        <v>22222</v>
      </c>
    </row>
    <row r="122" spans="1:8" x14ac:dyDescent="0.25">
      <c r="A122">
        <v>70345</v>
      </c>
      <c r="B122" t="s">
        <v>44</v>
      </c>
      <c r="C122" t="s">
        <v>45</v>
      </c>
      <c r="D122">
        <v>2</v>
      </c>
      <c r="E122">
        <v>0</v>
      </c>
      <c r="F122" t="s">
        <v>47</v>
      </c>
      <c r="G122" t="s">
        <v>29</v>
      </c>
      <c r="H122">
        <v>22222</v>
      </c>
    </row>
    <row r="123" spans="1:8" x14ac:dyDescent="0.25">
      <c r="A123">
        <v>70345</v>
      </c>
      <c r="B123" t="s">
        <v>44</v>
      </c>
      <c r="C123" t="s">
        <v>45</v>
      </c>
      <c r="D123">
        <v>2</v>
      </c>
      <c r="E123">
        <v>0</v>
      </c>
      <c r="F123" t="s">
        <v>47</v>
      </c>
      <c r="G123" t="s">
        <v>30</v>
      </c>
      <c r="H123">
        <v>22222</v>
      </c>
    </row>
    <row r="124" spans="1:8" x14ac:dyDescent="0.25">
      <c r="A124">
        <v>70345</v>
      </c>
      <c r="B124" t="s">
        <v>44</v>
      </c>
      <c r="C124" t="s">
        <v>45</v>
      </c>
      <c r="D124">
        <v>2</v>
      </c>
      <c r="E124">
        <v>0</v>
      </c>
      <c r="F124" t="s">
        <v>47</v>
      </c>
      <c r="G124" t="s">
        <v>31</v>
      </c>
      <c r="H124">
        <v>22222</v>
      </c>
    </row>
    <row r="125" spans="1:8" x14ac:dyDescent="0.25">
      <c r="A125">
        <v>70345</v>
      </c>
      <c r="B125" t="s">
        <v>44</v>
      </c>
      <c r="C125" t="s">
        <v>45</v>
      </c>
      <c r="D125">
        <v>2</v>
      </c>
      <c r="E125">
        <v>0</v>
      </c>
      <c r="F125" t="s">
        <v>47</v>
      </c>
      <c r="G125" t="s">
        <v>32</v>
      </c>
      <c r="H125">
        <v>22222</v>
      </c>
    </row>
    <row r="126" spans="1:8" x14ac:dyDescent="0.25">
      <c r="A126">
        <v>70345</v>
      </c>
      <c r="B126" t="s">
        <v>44</v>
      </c>
      <c r="C126" t="s">
        <v>45</v>
      </c>
      <c r="D126">
        <v>2</v>
      </c>
      <c r="E126">
        <v>0</v>
      </c>
      <c r="F126" t="s">
        <v>47</v>
      </c>
      <c r="G126" t="s">
        <v>33</v>
      </c>
      <c r="H126">
        <v>22222</v>
      </c>
    </row>
    <row r="127" spans="1:8" x14ac:dyDescent="0.25">
      <c r="A127">
        <v>70345</v>
      </c>
      <c r="B127" t="s">
        <v>44</v>
      </c>
      <c r="C127" t="s">
        <v>45</v>
      </c>
      <c r="D127">
        <v>2</v>
      </c>
      <c r="E127">
        <v>0</v>
      </c>
      <c r="F127" t="s">
        <v>47</v>
      </c>
      <c r="G127" t="s">
        <v>34</v>
      </c>
      <c r="H127">
        <v>22222</v>
      </c>
    </row>
    <row r="128" spans="1:8" x14ac:dyDescent="0.25">
      <c r="A128">
        <v>70345</v>
      </c>
      <c r="B128" t="s">
        <v>44</v>
      </c>
      <c r="C128" t="s">
        <v>45</v>
      </c>
      <c r="D128">
        <v>2</v>
      </c>
      <c r="E128">
        <v>0</v>
      </c>
      <c r="F128" t="s">
        <v>47</v>
      </c>
      <c r="G128" t="s">
        <v>35</v>
      </c>
      <c r="H128">
        <v>22222</v>
      </c>
    </row>
    <row r="129" spans="1:8" x14ac:dyDescent="0.25">
      <c r="A129">
        <v>70345</v>
      </c>
      <c r="B129" t="s">
        <v>44</v>
      </c>
      <c r="C129" t="s">
        <v>45</v>
      </c>
      <c r="D129">
        <v>2</v>
      </c>
      <c r="E129">
        <v>0</v>
      </c>
      <c r="F129" t="s">
        <v>47</v>
      </c>
      <c r="G129" t="s">
        <v>36</v>
      </c>
      <c r="H129">
        <v>22222</v>
      </c>
    </row>
    <row r="130" spans="1:8" x14ac:dyDescent="0.25">
      <c r="A130">
        <v>70345</v>
      </c>
      <c r="B130" t="s">
        <v>44</v>
      </c>
      <c r="C130" t="s">
        <v>45</v>
      </c>
      <c r="D130">
        <v>2</v>
      </c>
      <c r="E130">
        <v>0</v>
      </c>
      <c r="F130" t="s">
        <v>47</v>
      </c>
      <c r="G130" t="s">
        <v>37</v>
      </c>
      <c r="H130">
        <v>22222</v>
      </c>
    </row>
    <row r="131" spans="1:8" x14ac:dyDescent="0.25">
      <c r="A131">
        <v>70345</v>
      </c>
      <c r="B131" t="s">
        <v>44</v>
      </c>
      <c r="C131" t="s">
        <v>45</v>
      </c>
      <c r="D131">
        <v>2</v>
      </c>
      <c r="E131">
        <v>0</v>
      </c>
      <c r="F131" t="s">
        <v>48</v>
      </c>
      <c r="G131" t="s">
        <v>20</v>
      </c>
      <c r="H131">
        <v>22222</v>
      </c>
    </row>
    <row r="132" spans="1:8" x14ac:dyDescent="0.25">
      <c r="A132">
        <v>70345</v>
      </c>
      <c r="B132" t="s">
        <v>44</v>
      </c>
      <c r="C132" t="s">
        <v>45</v>
      </c>
      <c r="D132">
        <v>2</v>
      </c>
      <c r="E132">
        <v>0</v>
      </c>
      <c r="F132" t="s">
        <v>48</v>
      </c>
      <c r="G132" t="s">
        <v>21</v>
      </c>
      <c r="H132">
        <v>22222</v>
      </c>
    </row>
    <row r="133" spans="1:8" x14ac:dyDescent="0.25">
      <c r="A133">
        <v>70345</v>
      </c>
      <c r="B133" t="s">
        <v>44</v>
      </c>
      <c r="C133" t="s">
        <v>45</v>
      </c>
      <c r="D133">
        <v>2</v>
      </c>
      <c r="E133">
        <v>0</v>
      </c>
      <c r="F133" t="s">
        <v>48</v>
      </c>
      <c r="G133" t="s">
        <v>22</v>
      </c>
      <c r="H133">
        <v>22222</v>
      </c>
    </row>
    <row r="134" spans="1:8" x14ac:dyDescent="0.25">
      <c r="A134">
        <v>70345</v>
      </c>
      <c r="B134" t="s">
        <v>44</v>
      </c>
      <c r="C134" t="s">
        <v>45</v>
      </c>
      <c r="D134">
        <v>2</v>
      </c>
      <c r="E134">
        <v>0</v>
      </c>
      <c r="F134" t="s">
        <v>48</v>
      </c>
      <c r="G134" t="s">
        <v>23</v>
      </c>
      <c r="H134">
        <v>22222</v>
      </c>
    </row>
    <row r="135" spans="1:8" x14ac:dyDescent="0.25">
      <c r="A135">
        <v>70345</v>
      </c>
      <c r="B135" t="s">
        <v>44</v>
      </c>
      <c r="C135" t="s">
        <v>45</v>
      </c>
      <c r="D135">
        <v>2</v>
      </c>
      <c r="E135">
        <v>0</v>
      </c>
      <c r="F135" t="s">
        <v>48</v>
      </c>
      <c r="G135" t="s">
        <v>24</v>
      </c>
      <c r="H135">
        <v>22222</v>
      </c>
    </row>
    <row r="136" spans="1:8" x14ac:dyDescent="0.25">
      <c r="A136">
        <v>70345</v>
      </c>
      <c r="B136" t="s">
        <v>44</v>
      </c>
      <c r="C136" t="s">
        <v>45</v>
      </c>
      <c r="D136">
        <v>2</v>
      </c>
      <c r="E136">
        <v>0</v>
      </c>
      <c r="F136" t="s">
        <v>48</v>
      </c>
      <c r="G136" t="s">
        <v>25</v>
      </c>
      <c r="H136">
        <v>22222</v>
      </c>
    </row>
    <row r="137" spans="1:8" x14ac:dyDescent="0.25">
      <c r="A137">
        <v>70345</v>
      </c>
      <c r="B137" t="s">
        <v>44</v>
      </c>
      <c r="C137" t="s">
        <v>45</v>
      </c>
      <c r="D137">
        <v>2</v>
      </c>
      <c r="E137">
        <v>0</v>
      </c>
      <c r="F137" t="s">
        <v>48</v>
      </c>
      <c r="G137" t="s">
        <v>26</v>
      </c>
      <c r="H137">
        <v>22222</v>
      </c>
    </row>
    <row r="138" spans="1:8" x14ac:dyDescent="0.25">
      <c r="A138">
        <v>70345</v>
      </c>
      <c r="B138" t="s">
        <v>44</v>
      </c>
      <c r="C138" t="s">
        <v>45</v>
      </c>
      <c r="D138">
        <v>2</v>
      </c>
      <c r="E138">
        <v>0</v>
      </c>
      <c r="F138" t="s">
        <v>48</v>
      </c>
      <c r="G138" t="s">
        <v>27</v>
      </c>
      <c r="H138">
        <v>22222</v>
      </c>
    </row>
    <row r="139" spans="1:8" x14ac:dyDescent="0.25">
      <c r="A139">
        <v>70345</v>
      </c>
      <c r="B139" t="s">
        <v>44</v>
      </c>
      <c r="C139" t="s">
        <v>45</v>
      </c>
      <c r="D139">
        <v>2</v>
      </c>
      <c r="E139">
        <v>0</v>
      </c>
      <c r="F139" t="s">
        <v>49</v>
      </c>
      <c r="G139" t="s">
        <v>49</v>
      </c>
      <c r="H139">
        <v>22222</v>
      </c>
    </row>
    <row r="140" spans="1:8" x14ac:dyDescent="0.25">
      <c r="A140">
        <v>70346</v>
      </c>
      <c r="B140" t="s">
        <v>44</v>
      </c>
      <c r="C140" t="s">
        <v>45</v>
      </c>
      <c r="D140">
        <v>2</v>
      </c>
      <c r="E140">
        <v>0</v>
      </c>
      <c r="F140" t="s">
        <v>46</v>
      </c>
      <c r="G140" t="s">
        <v>13</v>
      </c>
      <c r="H140">
        <v>33333</v>
      </c>
    </row>
    <row r="141" spans="1:8" x14ac:dyDescent="0.25">
      <c r="A141">
        <v>70346</v>
      </c>
      <c r="B141" t="s">
        <v>44</v>
      </c>
      <c r="C141" t="s">
        <v>45</v>
      </c>
      <c r="D141">
        <v>2</v>
      </c>
      <c r="E141">
        <v>0</v>
      </c>
      <c r="F141" t="s">
        <v>46</v>
      </c>
      <c r="G141" t="s">
        <v>14</v>
      </c>
      <c r="H141">
        <v>22222</v>
      </c>
    </row>
    <row r="142" spans="1:8" x14ac:dyDescent="0.25">
      <c r="A142">
        <v>70346</v>
      </c>
      <c r="B142" t="s">
        <v>44</v>
      </c>
      <c r="C142" t="s">
        <v>45</v>
      </c>
      <c r="D142">
        <v>2</v>
      </c>
      <c r="E142">
        <v>0</v>
      </c>
      <c r="F142" t="s">
        <v>46</v>
      </c>
      <c r="G142" t="s">
        <v>15</v>
      </c>
      <c r="H142">
        <v>22222</v>
      </c>
    </row>
    <row r="143" spans="1:8" x14ac:dyDescent="0.25">
      <c r="A143">
        <v>70346</v>
      </c>
      <c r="B143" t="s">
        <v>44</v>
      </c>
      <c r="C143" t="s">
        <v>45</v>
      </c>
      <c r="D143">
        <v>2</v>
      </c>
      <c r="E143">
        <v>0</v>
      </c>
      <c r="F143" t="s">
        <v>46</v>
      </c>
      <c r="G143" t="s">
        <v>16</v>
      </c>
      <c r="H143">
        <v>22222</v>
      </c>
    </row>
    <row r="144" spans="1:8" x14ac:dyDescent="0.25">
      <c r="A144">
        <v>70346</v>
      </c>
      <c r="B144" t="s">
        <v>44</v>
      </c>
      <c r="C144" t="s">
        <v>45</v>
      </c>
      <c r="D144">
        <v>2</v>
      </c>
      <c r="E144">
        <v>0</v>
      </c>
      <c r="F144" t="s">
        <v>46</v>
      </c>
      <c r="G144" t="s">
        <v>17</v>
      </c>
      <c r="H144">
        <v>22222</v>
      </c>
    </row>
    <row r="145" spans="1:8" x14ac:dyDescent="0.25">
      <c r="A145">
        <v>70346</v>
      </c>
      <c r="B145" t="s">
        <v>44</v>
      </c>
      <c r="C145" t="s">
        <v>45</v>
      </c>
      <c r="D145">
        <v>2</v>
      </c>
      <c r="E145">
        <v>0</v>
      </c>
      <c r="F145" t="s">
        <v>47</v>
      </c>
      <c r="G145" t="s">
        <v>29</v>
      </c>
      <c r="H145">
        <v>22222</v>
      </c>
    </row>
    <row r="146" spans="1:8" x14ac:dyDescent="0.25">
      <c r="A146">
        <v>70346</v>
      </c>
      <c r="B146" t="s">
        <v>44</v>
      </c>
      <c r="C146" t="s">
        <v>45</v>
      </c>
      <c r="D146">
        <v>2</v>
      </c>
      <c r="E146">
        <v>0</v>
      </c>
      <c r="F146" t="s">
        <v>47</v>
      </c>
      <c r="G146" t="s">
        <v>30</v>
      </c>
      <c r="H146">
        <v>22222</v>
      </c>
    </row>
    <row r="147" spans="1:8" x14ac:dyDescent="0.25">
      <c r="A147">
        <v>70346</v>
      </c>
      <c r="B147" t="s">
        <v>44</v>
      </c>
      <c r="C147" t="s">
        <v>45</v>
      </c>
      <c r="D147">
        <v>2</v>
      </c>
      <c r="E147">
        <v>0</v>
      </c>
      <c r="F147" t="s">
        <v>47</v>
      </c>
      <c r="G147" t="s">
        <v>31</v>
      </c>
      <c r="H147">
        <v>22222</v>
      </c>
    </row>
    <row r="148" spans="1:8" x14ac:dyDescent="0.25">
      <c r="A148">
        <v>70346</v>
      </c>
      <c r="B148" t="s">
        <v>44</v>
      </c>
      <c r="C148" t="s">
        <v>45</v>
      </c>
      <c r="D148">
        <v>2</v>
      </c>
      <c r="E148">
        <v>0</v>
      </c>
      <c r="F148" t="s">
        <v>47</v>
      </c>
      <c r="G148" t="s">
        <v>32</v>
      </c>
      <c r="H148">
        <v>22222</v>
      </c>
    </row>
    <row r="149" spans="1:8" x14ac:dyDescent="0.25">
      <c r="A149">
        <v>70346</v>
      </c>
      <c r="B149" t="s">
        <v>44</v>
      </c>
      <c r="C149" t="s">
        <v>45</v>
      </c>
      <c r="D149">
        <v>2</v>
      </c>
      <c r="E149">
        <v>0</v>
      </c>
      <c r="F149" t="s">
        <v>47</v>
      </c>
      <c r="G149" t="s">
        <v>33</v>
      </c>
      <c r="H149">
        <v>22222</v>
      </c>
    </row>
    <row r="150" spans="1:8" x14ac:dyDescent="0.25">
      <c r="A150">
        <v>70346</v>
      </c>
      <c r="B150" t="s">
        <v>44</v>
      </c>
      <c r="C150" t="s">
        <v>45</v>
      </c>
      <c r="D150">
        <v>2</v>
      </c>
      <c r="E150">
        <v>0</v>
      </c>
      <c r="F150" t="s">
        <v>47</v>
      </c>
      <c r="G150" t="s">
        <v>34</v>
      </c>
      <c r="H150">
        <v>22222</v>
      </c>
    </row>
    <row r="151" spans="1:8" x14ac:dyDescent="0.25">
      <c r="A151">
        <v>70346</v>
      </c>
      <c r="B151" t="s">
        <v>44</v>
      </c>
      <c r="C151" t="s">
        <v>45</v>
      </c>
      <c r="D151">
        <v>2</v>
      </c>
      <c r="E151">
        <v>0</v>
      </c>
      <c r="F151" t="s">
        <v>47</v>
      </c>
      <c r="G151" t="s">
        <v>35</v>
      </c>
      <c r="H151">
        <v>22222</v>
      </c>
    </row>
    <row r="152" spans="1:8" x14ac:dyDescent="0.25">
      <c r="A152">
        <v>70346</v>
      </c>
      <c r="B152" t="s">
        <v>44</v>
      </c>
      <c r="C152" t="s">
        <v>45</v>
      </c>
      <c r="D152">
        <v>2</v>
      </c>
      <c r="E152">
        <v>0</v>
      </c>
      <c r="F152" t="s">
        <v>47</v>
      </c>
      <c r="G152" t="s">
        <v>36</v>
      </c>
      <c r="H152">
        <v>22222</v>
      </c>
    </row>
    <row r="153" spans="1:8" x14ac:dyDescent="0.25">
      <c r="A153">
        <v>70346</v>
      </c>
      <c r="B153" t="s">
        <v>44</v>
      </c>
      <c r="C153" t="s">
        <v>45</v>
      </c>
      <c r="D153">
        <v>2</v>
      </c>
      <c r="E153">
        <v>0</v>
      </c>
      <c r="F153" t="s">
        <v>47</v>
      </c>
      <c r="G153" t="s">
        <v>37</v>
      </c>
      <c r="H153">
        <v>22222</v>
      </c>
    </row>
    <row r="154" spans="1:8" x14ac:dyDescent="0.25">
      <c r="A154">
        <v>70346</v>
      </c>
      <c r="B154" t="s">
        <v>44</v>
      </c>
      <c r="C154" t="s">
        <v>45</v>
      </c>
      <c r="D154">
        <v>2</v>
      </c>
      <c r="E154">
        <v>0</v>
      </c>
      <c r="F154" t="s">
        <v>48</v>
      </c>
      <c r="G154" t="s">
        <v>20</v>
      </c>
      <c r="H154">
        <v>22222</v>
      </c>
    </row>
    <row r="155" spans="1:8" x14ac:dyDescent="0.25">
      <c r="A155">
        <v>70346</v>
      </c>
      <c r="B155" t="s">
        <v>44</v>
      </c>
      <c r="C155" t="s">
        <v>45</v>
      </c>
      <c r="D155">
        <v>2</v>
      </c>
      <c r="E155">
        <v>0</v>
      </c>
      <c r="F155" t="s">
        <v>48</v>
      </c>
      <c r="G155" t="s">
        <v>21</v>
      </c>
      <c r="H155">
        <v>22222</v>
      </c>
    </row>
    <row r="156" spans="1:8" x14ac:dyDescent="0.25">
      <c r="A156">
        <v>70346</v>
      </c>
      <c r="B156" t="s">
        <v>44</v>
      </c>
      <c r="C156" t="s">
        <v>45</v>
      </c>
      <c r="D156">
        <v>2</v>
      </c>
      <c r="E156">
        <v>0</v>
      </c>
      <c r="F156" t="s">
        <v>48</v>
      </c>
      <c r="G156" t="s">
        <v>22</v>
      </c>
      <c r="H156">
        <v>22222</v>
      </c>
    </row>
    <row r="157" spans="1:8" x14ac:dyDescent="0.25">
      <c r="A157">
        <v>70346</v>
      </c>
      <c r="B157" t="s">
        <v>44</v>
      </c>
      <c r="C157" t="s">
        <v>45</v>
      </c>
      <c r="D157">
        <v>2</v>
      </c>
      <c r="E157">
        <v>0</v>
      </c>
      <c r="F157" t="s">
        <v>48</v>
      </c>
      <c r="G157" t="s">
        <v>23</v>
      </c>
      <c r="H157">
        <v>22222</v>
      </c>
    </row>
    <row r="158" spans="1:8" x14ac:dyDescent="0.25">
      <c r="A158">
        <v>70346</v>
      </c>
      <c r="B158" t="s">
        <v>44</v>
      </c>
      <c r="C158" t="s">
        <v>45</v>
      </c>
      <c r="D158">
        <v>2</v>
      </c>
      <c r="E158">
        <v>0</v>
      </c>
      <c r="F158" t="s">
        <v>48</v>
      </c>
      <c r="G158" t="s">
        <v>24</v>
      </c>
      <c r="H158">
        <v>22222</v>
      </c>
    </row>
    <row r="159" spans="1:8" x14ac:dyDescent="0.25">
      <c r="A159">
        <v>70346</v>
      </c>
      <c r="B159" t="s">
        <v>44</v>
      </c>
      <c r="C159" t="s">
        <v>45</v>
      </c>
      <c r="D159">
        <v>2</v>
      </c>
      <c r="E159">
        <v>0</v>
      </c>
      <c r="F159" t="s">
        <v>48</v>
      </c>
      <c r="G159" t="s">
        <v>25</v>
      </c>
      <c r="H159">
        <v>22222</v>
      </c>
    </row>
    <row r="160" spans="1:8" x14ac:dyDescent="0.25">
      <c r="A160">
        <v>70346</v>
      </c>
      <c r="B160" t="s">
        <v>44</v>
      </c>
      <c r="C160" t="s">
        <v>45</v>
      </c>
      <c r="D160">
        <v>2</v>
      </c>
      <c r="E160">
        <v>0</v>
      </c>
      <c r="F160" t="s">
        <v>48</v>
      </c>
      <c r="G160" t="s">
        <v>26</v>
      </c>
      <c r="H160">
        <v>22222</v>
      </c>
    </row>
    <row r="161" spans="1:8" x14ac:dyDescent="0.25">
      <c r="A161">
        <v>70346</v>
      </c>
      <c r="B161" t="s">
        <v>44</v>
      </c>
      <c r="C161" t="s">
        <v>45</v>
      </c>
      <c r="D161">
        <v>2</v>
      </c>
      <c r="E161">
        <v>0</v>
      </c>
      <c r="F161" t="s">
        <v>48</v>
      </c>
      <c r="G161" t="s">
        <v>27</v>
      </c>
      <c r="H161">
        <v>22222</v>
      </c>
    </row>
    <row r="162" spans="1:8" x14ac:dyDescent="0.25">
      <c r="A162">
        <v>70346</v>
      </c>
      <c r="B162" t="s">
        <v>44</v>
      </c>
      <c r="C162" t="s">
        <v>45</v>
      </c>
      <c r="D162">
        <v>2</v>
      </c>
      <c r="E162">
        <v>0</v>
      </c>
      <c r="F162" t="s">
        <v>49</v>
      </c>
      <c r="G162" t="s">
        <v>49</v>
      </c>
      <c r="H162">
        <v>22222</v>
      </c>
    </row>
    <row r="163" spans="1:8" x14ac:dyDescent="0.25">
      <c r="A163">
        <v>70347</v>
      </c>
      <c r="B163" t="s">
        <v>44</v>
      </c>
      <c r="C163" t="s">
        <v>45</v>
      </c>
      <c r="D163">
        <v>2</v>
      </c>
      <c r="E163">
        <v>0</v>
      </c>
      <c r="F163" t="s">
        <v>46</v>
      </c>
      <c r="G163" t="s">
        <v>13</v>
      </c>
      <c r="H163">
        <v>44444</v>
      </c>
    </row>
    <row r="164" spans="1:8" x14ac:dyDescent="0.25">
      <c r="A164">
        <v>70347</v>
      </c>
      <c r="B164" t="s">
        <v>44</v>
      </c>
      <c r="C164" t="s">
        <v>45</v>
      </c>
      <c r="D164">
        <v>2</v>
      </c>
      <c r="E164">
        <v>0</v>
      </c>
      <c r="F164" t="s">
        <v>46</v>
      </c>
      <c r="G164" t="s">
        <v>14</v>
      </c>
      <c r="H164">
        <v>22222</v>
      </c>
    </row>
    <row r="165" spans="1:8" x14ac:dyDescent="0.25">
      <c r="A165">
        <v>70347</v>
      </c>
      <c r="B165" t="s">
        <v>44</v>
      </c>
      <c r="C165" t="s">
        <v>45</v>
      </c>
      <c r="D165">
        <v>2</v>
      </c>
      <c r="E165">
        <v>0</v>
      </c>
      <c r="F165" t="s">
        <v>46</v>
      </c>
      <c r="G165" t="s">
        <v>15</v>
      </c>
      <c r="H165">
        <v>22222</v>
      </c>
    </row>
    <row r="166" spans="1:8" x14ac:dyDescent="0.25">
      <c r="A166">
        <v>70347</v>
      </c>
      <c r="B166" t="s">
        <v>44</v>
      </c>
      <c r="C166" t="s">
        <v>45</v>
      </c>
      <c r="D166">
        <v>2</v>
      </c>
      <c r="E166">
        <v>0</v>
      </c>
      <c r="F166" t="s">
        <v>46</v>
      </c>
      <c r="G166" t="s">
        <v>16</v>
      </c>
      <c r="H166">
        <v>22222</v>
      </c>
    </row>
    <row r="167" spans="1:8" x14ac:dyDescent="0.25">
      <c r="A167">
        <v>70347</v>
      </c>
      <c r="B167" t="s">
        <v>44</v>
      </c>
      <c r="C167" t="s">
        <v>45</v>
      </c>
      <c r="D167">
        <v>2</v>
      </c>
      <c r="E167">
        <v>0</v>
      </c>
      <c r="F167" t="s">
        <v>46</v>
      </c>
      <c r="G167" t="s">
        <v>17</v>
      </c>
      <c r="H167">
        <v>22222</v>
      </c>
    </row>
    <row r="168" spans="1:8" x14ac:dyDescent="0.25">
      <c r="A168">
        <v>70347</v>
      </c>
      <c r="B168" t="s">
        <v>44</v>
      </c>
      <c r="C168" t="s">
        <v>45</v>
      </c>
      <c r="D168">
        <v>2</v>
      </c>
      <c r="E168">
        <v>0</v>
      </c>
      <c r="F168" t="s">
        <v>47</v>
      </c>
      <c r="G168" t="s">
        <v>29</v>
      </c>
      <c r="H168">
        <v>22222</v>
      </c>
    </row>
    <row r="169" spans="1:8" x14ac:dyDescent="0.25">
      <c r="A169">
        <v>70347</v>
      </c>
      <c r="B169" t="s">
        <v>44</v>
      </c>
      <c r="C169" t="s">
        <v>45</v>
      </c>
      <c r="D169">
        <v>2</v>
      </c>
      <c r="E169">
        <v>0</v>
      </c>
      <c r="F169" t="s">
        <v>47</v>
      </c>
      <c r="G169" t="s">
        <v>30</v>
      </c>
      <c r="H169">
        <v>22222</v>
      </c>
    </row>
    <row r="170" spans="1:8" x14ac:dyDescent="0.25">
      <c r="A170">
        <v>70347</v>
      </c>
      <c r="B170" t="s">
        <v>44</v>
      </c>
      <c r="C170" t="s">
        <v>45</v>
      </c>
      <c r="D170">
        <v>2</v>
      </c>
      <c r="E170">
        <v>0</v>
      </c>
      <c r="F170" t="s">
        <v>47</v>
      </c>
      <c r="G170" t="s">
        <v>31</v>
      </c>
      <c r="H170">
        <v>22222</v>
      </c>
    </row>
    <row r="171" spans="1:8" x14ac:dyDescent="0.25">
      <c r="A171">
        <v>70347</v>
      </c>
      <c r="B171" t="s">
        <v>44</v>
      </c>
      <c r="C171" t="s">
        <v>45</v>
      </c>
      <c r="D171">
        <v>2</v>
      </c>
      <c r="E171">
        <v>0</v>
      </c>
      <c r="F171" t="s">
        <v>47</v>
      </c>
      <c r="G171" t="s">
        <v>32</v>
      </c>
      <c r="H171">
        <v>22222</v>
      </c>
    </row>
    <row r="172" spans="1:8" x14ac:dyDescent="0.25">
      <c r="A172">
        <v>70347</v>
      </c>
      <c r="B172" t="s">
        <v>44</v>
      </c>
      <c r="C172" t="s">
        <v>45</v>
      </c>
      <c r="D172">
        <v>2</v>
      </c>
      <c r="E172">
        <v>0</v>
      </c>
      <c r="F172" t="s">
        <v>47</v>
      </c>
      <c r="G172" t="s">
        <v>33</v>
      </c>
      <c r="H172">
        <v>22222</v>
      </c>
    </row>
    <row r="173" spans="1:8" x14ac:dyDescent="0.25">
      <c r="A173">
        <v>70347</v>
      </c>
      <c r="B173" t="s">
        <v>44</v>
      </c>
      <c r="C173" t="s">
        <v>45</v>
      </c>
      <c r="D173">
        <v>2</v>
      </c>
      <c r="E173">
        <v>0</v>
      </c>
      <c r="F173" t="s">
        <v>47</v>
      </c>
      <c r="G173" t="s">
        <v>34</v>
      </c>
      <c r="H173">
        <v>22222</v>
      </c>
    </row>
    <row r="174" spans="1:8" x14ac:dyDescent="0.25">
      <c r="A174">
        <v>70347</v>
      </c>
      <c r="B174" t="s">
        <v>44</v>
      </c>
      <c r="C174" t="s">
        <v>45</v>
      </c>
      <c r="D174">
        <v>2</v>
      </c>
      <c r="E174">
        <v>0</v>
      </c>
      <c r="F174" t="s">
        <v>47</v>
      </c>
      <c r="G174" t="s">
        <v>35</v>
      </c>
      <c r="H174">
        <v>22222</v>
      </c>
    </row>
    <row r="175" spans="1:8" x14ac:dyDescent="0.25">
      <c r="A175">
        <v>70347</v>
      </c>
      <c r="B175" t="s">
        <v>44</v>
      </c>
      <c r="C175" t="s">
        <v>45</v>
      </c>
      <c r="D175">
        <v>2</v>
      </c>
      <c r="E175">
        <v>0</v>
      </c>
      <c r="F175" t="s">
        <v>47</v>
      </c>
      <c r="G175" t="s">
        <v>36</v>
      </c>
      <c r="H175">
        <v>22222</v>
      </c>
    </row>
    <row r="176" spans="1:8" x14ac:dyDescent="0.25">
      <c r="A176">
        <v>70347</v>
      </c>
      <c r="B176" t="s">
        <v>44</v>
      </c>
      <c r="C176" t="s">
        <v>45</v>
      </c>
      <c r="D176">
        <v>2</v>
      </c>
      <c r="E176">
        <v>0</v>
      </c>
      <c r="F176" t="s">
        <v>47</v>
      </c>
      <c r="G176" t="s">
        <v>37</v>
      </c>
      <c r="H176">
        <v>22222</v>
      </c>
    </row>
    <row r="177" spans="1:8" x14ac:dyDescent="0.25">
      <c r="A177">
        <v>70347</v>
      </c>
      <c r="B177" t="s">
        <v>44</v>
      </c>
      <c r="C177" t="s">
        <v>45</v>
      </c>
      <c r="D177">
        <v>2</v>
      </c>
      <c r="E177">
        <v>0</v>
      </c>
      <c r="F177" t="s">
        <v>48</v>
      </c>
      <c r="G177" t="s">
        <v>20</v>
      </c>
      <c r="H177">
        <v>22222</v>
      </c>
    </row>
    <row r="178" spans="1:8" x14ac:dyDescent="0.25">
      <c r="A178">
        <v>70347</v>
      </c>
      <c r="B178" t="s">
        <v>44</v>
      </c>
      <c r="C178" t="s">
        <v>45</v>
      </c>
      <c r="D178">
        <v>2</v>
      </c>
      <c r="E178">
        <v>0</v>
      </c>
      <c r="F178" t="s">
        <v>48</v>
      </c>
      <c r="G178" t="s">
        <v>21</v>
      </c>
      <c r="H178">
        <v>22222</v>
      </c>
    </row>
    <row r="179" spans="1:8" x14ac:dyDescent="0.25">
      <c r="A179">
        <v>70347</v>
      </c>
      <c r="B179" t="s">
        <v>44</v>
      </c>
      <c r="C179" t="s">
        <v>45</v>
      </c>
      <c r="D179">
        <v>2</v>
      </c>
      <c r="E179">
        <v>0</v>
      </c>
      <c r="F179" t="s">
        <v>48</v>
      </c>
      <c r="G179" t="s">
        <v>22</v>
      </c>
      <c r="H179">
        <v>22222</v>
      </c>
    </row>
    <row r="180" spans="1:8" x14ac:dyDescent="0.25">
      <c r="A180">
        <v>70347</v>
      </c>
      <c r="B180" t="s">
        <v>44</v>
      </c>
      <c r="C180" t="s">
        <v>45</v>
      </c>
      <c r="D180">
        <v>2</v>
      </c>
      <c r="E180">
        <v>0</v>
      </c>
      <c r="F180" t="s">
        <v>48</v>
      </c>
      <c r="G180" t="s">
        <v>23</v>
      </c>
      <c r="H180">
        <v>22222</v>
      </c>
    </row>
    <row r="181" spans="1:8" x14ac:dyDescent="0.25">
      <c r="A181">
        <v>70347</v>
      </c>
      <c r="B181" t="s">
        <v>44</v>
      </c>
      <c r="C181" t="s">
        <v>45</v>
      </c>
      <c r="D181">
        <v>2</v>
      </c>
      <c r="E181">
        <v>0</v>
      </c>
      <c r="F181" t="s">
        <v>48</v>
      </c>
      <c r="G181" t="s">
        <v>24</v>
      </c>
      <c r="H181">
        <v>22222</v>
      </c>
    </row>
    <row r="182" spans="1:8" x14ac:dyDescent="0.25">
      <c r="A182">
        <v>70347</v>
      </c>
      <c r="B182" t="s">
        <v>44</v>
      </c>
      <c r="C182" t="s">
        <v>45</v>
      </c>
      <c r="D182">
        <v>2</v>
      </c>
      <c r="E182">
        <v>0</v>
      </c>
      <c r="F182" t="s">
        <v>48</v>
      </c>
      <c r="G182" t="s">
        <v>25</v>
      </c>
      <c r="H182">
        <v>22222</v>
      </c>
    </row>
    <row r="183" spans="1:8" x14ac:dyDescent="0.25">
      <c r="A183">
        <v>70347</v>
      </c>
      <c r="B183" t="s">
        <v>44</v>
      </c>
      <c r="C183" t="s">
        <v>45</v>
      </c>
      <c r="D183">
        <v>2</v>
      </c>
      <c r="E183">
        <v>0</v>
      </c>
      <c r="F183" t="s">
        <v>48</v>
      </c>
      <c r="G183" t="s">
        <v>26</v>
      </c>
      <c r="H183">
        <v>22222</v>
      </c>
    </row>
    <row r="184" spans="1:8" x14ac:dyDescent="0.25">
      <c r="A184">
        <v>70347</v>
      </c>
      <c r="B184" t="s">
        <v>44</v>
      </c>
      <c r="C184" t="s">
        <v>45</v>
      </c>
      <c r="D184">
        <v>2</v>
      </c>
      <c r="E184">
        <v>0</v>
      </c>
      <c r="F184" t="s">
        <v>48</v>
      </c>
      <c r="G184" t="s">
        <v>27</v>
      </c>
      <c r="H184">
        <v>22222</v>
      </c>
    </row>
    <row r="185" spans="1:8" x14ac:dyDescent="0.25">
      <c r="A185">
        <v>70347</v>
      </c>
      <c r="B185" t="s">
        <v>44</v>
      </c>
      <c r="C185" t="s">
        <v>45</v>
      </c>
      <c r="D185">
        <v>2</v>
      </c>
      <c r="E185">
        <v>0</v>
      </c>
      <c r="F185" t="s">
        <v>49</v>
      </c>
      <c r="G185" t="s">
        <v>49</v>
      </c>
      <c r="H185">
        <v>22222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26"/>
  <sheetViews>
    <sheetView workbookViewId="0">
      <selection activeCell="B1" sqref="B1:AK1"/>
    </sheetView>
  </sheetViews>
  <sheetFormatPr defaultRowHeight="15" x14ac:dyDescent="0.25"/>
  <cols>
    <col min="1" max="1" width="26.7109375" bestFit="1" customWidth="1"/>
    <col min="2" max="2" width="15.28515625" bestFit="1" customWidth="1"/>
    <col min="3" max="9" width="12.5703125" bestFit="1" customWidth="1"/>
    <col min="10" max="45" width="9.28515625" bestFit="1" customWidth="1"/>
  </cols>
  <sheetData>
    <row r="1" spans="1:104" x14ac:dyDescent="0.25">
      <c r="B1">
        <v>70340</v>
      </c>
      <c r="C1">
        <v>70341</v>
      </c>
      <c r="D1">
        <v>70342</v>
      </c>
      <c r="E1">
        <v>70343</v>
      </c>
      <c r="F1">
        <v>70344</v>
      </c>
      <c r="G1">
        <v>70345</v>
      </c>
      <c r="H1">
        <v>70346</v>
      </c>
      <c r="I1">
        <v>70347</v>
      </c>
      <c r="J1">
        <v>70348</v>
      </c>
      <c r="K1">
        <v>70349</v>
      </c>
      <c r="L1">
        <v>70350</v>
      </c>
      <c r="M1">
        <v>70352</v>
      </c>
      <c r="N1">
        <v>70354</v>
      </c>
      <c r="O1">
        <v>70357</v>
      </c>
      <c r="P1">
        <v>70358</v>
      </c>
      <c r="Q1">
        <v>70361</v>
      </c>
      <c r="R1">
        <v>70362</v>
      </c>
      <c r="S1">
        <v>70363</v>
      </c>
      <c r="T1">
        <v>70364</v>
      </c>
      <c r="U1">
        <v>70365</v>
      </c>
      <c r="V1">
        <v>70366</v>
      </c>
      <c r="W1">
        <v>70367</v>
      </c>
      <c r="X1">
        <v>70368</v>
      </c>
      <c r="Y1">
        <v>70369</v>
      </c>
      <c r="Z1">
        <v>70370</v>
      </c>
      <c r="AA1">
        <v>70371</v>
      </c>
      <c r="AB1">
        <v>70372</v>
      </c>
      <c r="AC1">
        <v>70373</v>
      </c>
      <c r="AD1">
        <v>70374</v>
      </c>
      <c r="AE1">
        <v>70375</v>
      </c>
      <c r="AF1">
        <v>70376</v>
      </c>
      <c r="AG1">
        <v>70377</v>
      </c>
      <c r="AH1">
        <v>70378</v>
      </c>
      <c r="AI1">
        <v>70379</v>
      </c>
      <c r="AJ1">
        <v>70381</v>
      </c>
      <c r="AK1">
        <v>70416</v>
      </c>
    </row>
    <row r="2" spans="1:104" s="13" customFormat="1" ht="72" customHeight="1" x14ac:dyDescent="0.25">
      <c r="B2" s="12" t="e">
        <f>VLOOKUP(B$1,ProjectNames,2,FALSE)</f>
        <v>#N/A</v>
      </c>
      <c r="C2" s="12" t="e">
        <f>VLOOKUP(C$1,ProjectNames,2,FALSE)</f>
        <v>#N/A</v>
      </c>
      <c r="D2" s="12" t="e">
        <f t="shared" ref="D2:BO2" si="0">VLOOKUP(D$1,ProjectNames,2,FALSE)</f>
        <v>#N/A</v>
      </c>
      <c r="E2" s="12" t="e">
        <f t="shared" si="0"/>
        <v>#N/A</v>
      </c>
      <c r="F2" s="12" t="e">
        <f t="shared" si="0"/>
        <v>#N/A</v>
      </c>
      <c r="G2" s="12" t="e">
        <f t="shared" si="0"/>
        <v>#N/A</v>
      </c>
      <c r="H2" s="12" t="e">
        <f t="shared" si="0"/>
        <v>#N/A</v>
      </c>
      <c r="I2" s="12" t="e">
        <f t="shared" si="0"/>
        <v>#N/A</v>
      </c>
      <c r="J2" s="12" t="e">
        <f t="shared" si="0"/>
        <v>#N/A</v>
      </c>
      <c r="K2" s="12" t="e">
        <f t="shared" si="0"/>
        <v>#N/A</v>
      </c>
      <c r="L2" s="12" t="e">
        <f t="shared" si="0"/>
        <v>#N/A</v>
      </c>
      <c r="M2" s="12" t="e">
        <f t="shared" si="0"/>
        <v>#N/A</v>
      </c>
      <c r="N2" s="12" t="e">
        <f t="shared" si="0"/>
        <v>#N/A</v>
      </c>
      <c r="O2" s="12" t="e">
        <f t="shared" si="0"/>
        <v>#N/A</v>
      </c>
      <c r="P2" s="12" t="e">
        <f t="shared" si="0"/>
        <v>#N/A</v>
      </c>
      <c r="Q2" s="12" t="e">
        <f t="shared" si="0"/>
        <v>#N/A</v>
      </c>
      <c r="R2" s="12" t="e">
        <f t="shared" si="0"/>
        <v>#N/A</v>
      </c>
      <c r="S2" s="12" t="e">
        <f t="shared" si="0"/>
        <v>#N/A</v>
      </c>
      <c r="T2" s="12" t="e">
        <f t="shared" si="0"/>
        <v>#N/A</v>
      </c>
      <c r="U2" s="12" t="e">
        <f t="shared" si="0"/>
        <v>#N/A</v>
      </c>
      <c r="V2" s="12" t="e">
        <f t="shared" si="0"/>
        <v>#N/A</v>
      </c>
      <c r="W2" s="12" t="e">
        <f t="shared" si="0"/>
        <v>#N/A</v>
      </c>
      <c r="X2" s="12" t="e">
        <f t="shared" si="0"/>
        <v>#N/A</v>
      </c>
      <c r="Y2" s="12" t="e">
        <f t="shared" si="0"/>
        <v>#N/A</v>
      </c>
      <c r="Z2" s="12" t="e">
        <f t="shared" si="0"/>
        <v>#N/A</v>
      </c>
      <c r="AA2" s="12" t="e">
        <f t="shared" si="0"/>
        <v>#N/A</v>
      </c>
      <c r="AB2" s="12" t="e">
        <f t="shared" si="0"/>
        <v>#N/A</v>
      </c>
      <c r="AC2" s="12" t="e">
        <f t="shared" si="0"/>
        <v>#N/A</v>
      </c>
      <c r="AD2" s="12" t="e">
        <f t="shared" si="0"/>
        <v>#N/A</v>
      </c>
      <c r="AE2" s="12" t="e">
        <f t="shared" si="0"/>
        <v>#N/A</v>
      </c>
      <c r="AF2" s="12" t="e">
        <f t="shared" si="0"/>
        <v>#N/A</v>
      </c>
      <c r="AG2" s="12" t="e">
        <f t="shared" si="0"/>
        <v>#N/A</v>
      </c>
      <c r="AH2" s="12" t="e">
        <f t="shared" si="0"/>
        <v>#N/A</v>
      </c>
      <c r="AI2" s="12" t="e">
        <f t="shared" si="0"/>
        <v>#N/A</v>
      </c>
      <c r="AJ2" s="12" t="e">
        <f t="shared" si="0"/>
        <v>#N/A</v>
      </c>
      <c r="AK2" s="12" t="e">
        <f t="shared" si="0"/>
        <v>#N/A</v>
      </c>
      <c r="AL2" s="12" t="e">
        <f t="shared" si="0"/>
        <v>#N/A</v>
      </c>
      <c r="AM2" s="12" t="e">
        <f t="shared" si="0"/>
        <v>#N/A</v>
      </c>
      <c r="AN2" s="12" t="e">
        <f t="shared" si="0"/>
        <v>#N/A</v>
      </c>
      <c r="AO2" s="12" t="e">
        <f t="shared" si="0"/>
        <v>#N/A</v>
      </c>
      <c r="AP2" s="12" t="e">
        <f t="shared" si="0"/>
        <v>#N/A</v>
      </c>
      <c r="AQ2" s="12" t="e">
        <f t="shared" si="0"/>
        <v>#N/A</v>
      </c>
      <c r="AR2" s="12" t="e">
        <f t="shared" si="0"/>
        <v>#N/A</v>
      </c>
      <c r="AS2" s="12" t="e">
        <f t="shared" si="0"/>
        <v>#N/A</v>
      </c>
      <c r="AT2" s="12" t="e">
        <f t="shared" si="0"/>
        <v>#N/A</v>
      </c>
      <c r="AU2" s="12" t="e">
        <f t="shared" si="0"/>
        <v>#N/A</v>
      </c>
      <c r="AV2" s="12" t="e">
        <f t="shared" si="0"/>
        <v>#N/A</v>
      </c>
      <c r="AW2" s="12" t="e">
        <f t="shared" si="0"/>
        <v>#N/A</v>
      </c>
      <c r="AX2" s="12" t="e">
        <f t="shared" si="0"/>
        <v>#N/A</v>
      </c>
      <c r="AY2" s="12" t="e">
        <f t="shared" si="0"/>
        <v>#N/A</v>
      </c>
      <c r="AZ2" s="12" t="e">
        <f t="shared" si="0"/>
        <v>#N/A</v>
      </c>
      <c r="BA2" s="12" t="e">
        <f t="shared" si="0"/>
        <v>#N/A</v>
      </c>
      <c r="BB2" s="12" t="e">
        <f t="shared" si="0"/>
        <v>#N/A</v>
      </c>
      <c r="BC2" s="12" t="e">
        <f t="shared" si="0"/>
        <v>#N/A</v>
      </c>
      <c r="BD2" s="12" t="e">
        <f t="shared" si="0"/>
        <v>#N/A</v>
      </c>
      <c r="BE2" s="12" t="e">
        <f t="shared" si="0"/>
        <v>#N/A</v>
      </c>
      <c r="BF2" s="12" t="e">
        <f t="shared" si="0"/>
        <v>#N/A</v>
      </c>
      <c r="BG2" s="12" t="e">
        <f t="shared" si="0"/>
        <v>#N/A</v>
      </c>
      <c r="BH2" s="12" t="e">
        <f t="shared" si="0"/>
        <v>#N/A</v>
      </c>
      <c r="BI2" s="12" t="e">
        <f t="shared" si="0"/>
        <v>#N/A</v>
      </c>
      <c r="BJ2" s="12" t="e">
        <f t="shared" si="0"/>
        <v>#N/A</v>
      </c>
      <c r="BK2" s="12" t="e">
        <f t="shared" si="0"/>
        <v>#N/A</v>
      </c>
      <c r="BL2" s="12" t="e">
        <f t="shared" si="0"/>
        <v>#N/A</v>
      </c>
      <c r="BM2" s="12" t="e">
        <f t="shared" si="0"/>
        <v>#N/A</v>
      </c>
      <c r="BN2" s="12" t="e">
        <f t="shared" si="0"/>
        <v>#N/A</v>
      </c>
      <c r="BO2" s="12" t="e">
        <f t="shared" si="0"/>
        <v>#N/A</v>
      </c>
      <c r="BP2" s="12" t="e">
        <f t="shared" ref="BP2:CZ2" si="1">VLOOKUP(BP$1,ProjectNames,2,FALSE)</f>
        <v>#N/A</v>
      </c>
      <c r="BQ2" s="12" t="e">
        <f t="shared" si="1"/>
        <v>#N/A</v>
      </c>
      <c r="BR2" s="12" t="e">
        <f t="shared" si="1"/>
        <v>#N/A</v>
      </c>
      <c r="BS2" s="12" t="e">
        <f t="shared" si="1"/>
        <v>#N/A</v>
      </c>
      <c r="BT2" s="12" t="e">
        <f t="shared" si="1"/>
        <v>#N/A</v>
      </c>
      <c r="BU2" s="12" t="e">
        <f t="shared" si="1"/>
        <v>#N/A</v>
      </c>
      <c r="BV2" s="12" t="e">
        <f t="shared" si="1"/>
        <v>#N/A</v>
      </c>
      <c r="BW2" s="12" t="e">
        <f t="shared" si="1"/>
        <v>#N/A</v>
      </c>
      <c r="BX2" s="12" t="e">
        <f t="shared" si="1"/>
        <v>#N/A</v>
      </c>
      <c r="BY2" s="12" t="e">
        <f t="shared" si="1"/>
        <v>#N/A</v>
      </c>
      <c r="BZ2" s="12" t="e">
        <f t="shared" si="1"/>
        <v>#N/A</v>
      </c>
      <c r="CA2" s="12" t="e">
        <f t="shared" si="1"/>
        <v>#N/A</v>
      </c>
      <c r="CB2" s="12" t="e">
        <f t="shared" si="1"/>
        <v>#N/A</v>
      </c>
      <c r="CC2" s="12" t="e">
        <f t="shared" si="1"/>
        <v>#N/A</v>
      </c>
      <c r="CD2" s="12" t="e">
        <f t="shared" si="1"/>
        <v>#N/A</v>
      </c>
      <c r="CE2" s="12" t="e">
        <f t="shared" si="1"/>
        <v>#N/A</v>
      </c>
      <c r="CF2" s="12" t="e">
        <f t="shared" si="1"/>
        <v>#N/A</v>
      </c>
      <c r="CG2" s="12" t="e">
        <f t="shared" si="1"/>
        <v>#N/A</v>
      </c>
      <c r="CH2" s="12" t="e">
        <f t="shared" si="1"/>
        <v>#N/A</v>
      </c>
      <c r="CI2" s="12" t="e">
        <f t="shared" si="1"/>
        <v>#N/A</v>
      </c>
      <c r="CJ2" s="12" t="e">
        <f t="shared" si="1"/>
        <v>#N/A</v>
      </c>
      <c r="CK2" s="12" t="e">
        <f t="shared" si="1"/>
        <v>#N/A</v>
      </c>
      <c r="CL2" s="12" t="e">
        <f t="shared" si="1"/>
        <v>#N/A</v>
      </c>
      <c r="CM2" s="12" t="e">
        <f t="shared" si="1"/>
        <v>#N/A</v>
      </c>
      <c r="CN2" s="12" t="e">
        <f t="shared" si="1"/>
        <v>#N/A</v>
      </c>
      <c r="CO2" s="12" t="e">
        <f t="shared" si="1"/>
        <v>#N/A</v>
      </c>
      <c r="CP2" s="12" t="e">
        <f t="shared" si="1"/>
        <v>#N/A</v>
      </c>
      <c r="CQ2" s="12" t="e">
        <f t="shared" si="1"/>
        <v>#N/A</v>
      </c>
      <c r="CR2" s="12" t="e">
        <f t="shared" si="1"/>
        <v>#N/A</v>
      </c>
      <c r="CS2" s="12" t="e">
        <f t="shared" si="1"/>
        <v>#N/A</v>
      </c>
      <c r="CT2" s="12" t="e">
        <f t="shared" si="1"/>
        <v>#N/A</v>
      </c>
      <c r="CU2" s="12" t="e">
        <f t="shared" si="1"/>
        <v>#N/A</v>
      </c>
      <c r="CV2" s="12" t="e">
        <f t="shared" si="1"/>
        <v>#N/A</v>
      </c>
      <c r="CW2" s="12" t="e">
        <f t="shared" si="1"/>
        <v>#N/A</v>
      </c>
      <c r="CX2" s="12" t="e">
        <f t="shared" si="1"/>
        <v>#N/A</v>
      </c>
      <c r="CY2" s="12" t="e">
        <f t="shared" si="1"/>
        <v>#N/A</v>
      </c>
      <c r="CZ2" s="12" t="e">
        <f t="shared" si="1"/>
        <v>#N/A</v>
      </c>
    </row>
    <row r="4" spans="1:104" x14ac:dyDescent="0.25">
      <c r="A4" s="1" t="s">
        <v>137</v>
      </c>
    </row>
    <row r="5" spans="1:104" x14ac:dyDescent="0.25">
      <c r="A5" s="1"/>
    </row>
    <row r="6" spans="1:104" x14ac:dyDescent="0.25">
      <c r="A6" s="1" t="s">
        <v>124</v>
      </c>
      <c r="B6" s="8">
        <f>IFERROR(INDEX('IncStmt Data'!H$2:H$2999,MATCH(A6,IF('IncStmt Data'!A$2=B$1,'IncStmt Data'!G$2:G$2999),0)),"")</f>
        <v>5654</v>
      </c>
      <c r="C6" s="8">
        <f>IFERROR(INDEX('IncStmt Data'!H$17:H$2999,MATCH(A6,IF('IncStmt Data'!A$17=C$1,'IncStmt Data'!G$17:G$2999),0)),"")</f>
        <v>1245</v>
      </c>
      <c r="D6" s="14">
        <f>IFERROR(INDEX('IncStmt Data'!H$32:H$2999,MATCH(A6,IF('IncStmt Data'!A$32=D$1,'IncStmt Data'!G$32:G$2999),0)),"")</f>
        <v>8645</v>
      </c>
      <c r="E6" s="14">
        <f>IFERROR(INDEX('IncStmt Data'!H$47:H$2999,MATCH(A6,IF('IncStmt Data'!A$47=E$1,'IncStmt Data'!G$47:G$2999),0)),"")</f>
        <v>1111</v>
      </c>
      <c r="F6" s="14">
        <f>IFERROR(INDEX('IncStmt Data'!H$62:H$2999,MATCH(A6,IF('IncStmt Data'!A$62=F$1,'IncStmt Data'!G$62:G$2999),0)),"")</f>
        <v>6325</v>
      </c>
      <c r="G6" s="14">
        <f>IFERROR(INDEX('IncStmt Data'!H$77:H$2999,MATCH(A6,IF('IncStmt Data'!A$77=G$1,'IncStmt Data'!G$77:G$2999),0)),"")</f>
        <v>3525</v>
      </c>
      <c r="H6" s="14">
        <f>IFERROR(INDEX('IncStmt Data'!H$92:H$2999,MATCH(A6,IF('IncStmt Data'!A$92=H$1,'IncStmt Data'!G$92:G$2999),0)),"")</f>
        <v>9658</v>
      </c>
      <c r="I6" s="15">
        <f>IFERROR(INDEX('IncStmt Data'!H$107:H$2999,MATCH(A6,IF('IncStmt Data'!A$107=I$1,'IncStmt Data'!G$107:G$2999),0)),"")</f>
        <v>2556</v>
      </c>
      <c r="J6" s="14" t="str">
        <f>IFERROR(INDEX('IncStmt Data'!H$122:H$2999,MATCH(A6,IF('IncStmt Data'!A$122=J$1,'IncStmt Data'!G$122:G$2999),0)),"")</f>
        <v/>
      </c>
      <c r="K6" s="14" t="str">
        <f>IFERROR(INDEX('IncStmt Data'!H$137:H$2999,MATCH(A6,IF('IncStmt Data'!A$137=K$1,'IncStmt Data'!G$137:G$2999),0)),"")</f>
        <v/>
      </c>
      <c r="L6" s="14" t="str">
        <f>IFERROR(INDEX('IncStmt Data'!H$152:H$2999,MATCH(A6,IF('IncStmt Data'!A$152=L$1,'IncStmt Data'!G$152:G$2999),0)),"")</f>
        <v/>
      </c>
      <c r="M6" s="14" t="str">
        <f>IFERROR(INDEX('IncStmt Data'!H$167:H$2999,MATCH(A6,IF('IncStmt Data'!A$167=M$1,'IncStmt Data'!G$167:G$2999),0)),"")</f>
        <v/>
      </c>
      <c r="N6" s="14" t="str">
        <f>IFERROR(INDEX('IncStmt Data'!H$182:H$2999,MATCH(A6,IF('IncStmt Data'!A$182=N$1,'IncStmt Data'!G$182:G$2999),0)),"")</f>
        <v/>
      </c>
      <c r="O6" s="14" t="str">
        <f>IFERROR(INDEX('IncStmt Data'!H$197:H$2999,MATCH(A6,IF('IncStmt Data'!A$197=O$1,'IncStmt Data'!G$197:G$2999),0)),"")</f>
        <v/>
      </c>
      <c r="P6" s="14" t="str">
        <f>IFERROR(INDEX('IncStmt Data'!H$212:H$2999,MATCH(A6,IF('IncStmt Data'!A$212=P$1,'IncStmt Data'!G$212:G$2999),0)),"")</f>
        <v/>
      </c>
      <c r="Q6" s="14" t="str">
        <f>IFERROR(INDEX('IncStmt Data'!H$227:H$2999,MATCH(A6,IF('IncStmt Data'!A$227=Q$1,'IncStmt Data'!G$227:G$2999),0)),"")</f>
        <v/>
      </c>
      <c r="R6" s="14" t="str">
        <f>IFERROR(INDEX('IncStmt Data'!H$242:H$2999,MATCH(A6,IF('IncStmt Data'!A$242=R$1,'IncStmt Data'!G$242:G$2999),0)),"")</f>
        <v/>
      </c>
      <c r="S6" s="14" t="str">
        <f>IFERROR(INDEX('IncStmt Data'!H$257:H$2999,MATCH(A6,IF('IncStmt Data'!A$257=S$1,'IncStmt Data'!G$257:G$2999),0)),"")</f>
        <v/>
      </c>
      <c r="T6" s="14" t="str">
        <f>IFERROR(INDEX('IncStmt Data'!H$272:H$2999,MATCH(A6,IF('IncStmt Data'!A$272=T$1,'IncStmt Data'!G$272:G$2999),0)),"")</f>
        <v/>
      </c>
      <c r="U6" s="14" t="str">
        <f>IFERROR(INDEX('IncStmt Data'!H$287:H$2999,MATCH(A6,IF('IncStmt Data'!A$287=U$1,'IncStmt Data'!G$287:G$2999),0)),"")</f>
        <v/>
      </c>
      <c r="V6" s="14" t="str">
        <f>IFERROR(INDEX('IncStmt Data'!H$302:H$2999,MATCH(A6,IF('IncStmt Data'!A$302=V$1,'IncStmt Data'!G$302:G$2999),0)),"")</f>
        <v/>
      </c>
      <c r="W6" s="14" t="str">
        <f>IFERROR(INDEX('IncStmt Data'!H$317:H$2999,MATCH(A6,IF('IncStmt Data'!A$317=W$1,'IncStmt Data'!G$317:G$2999),0)),"")</f>
        <v/>
      </c>
      <c r="X6" s="14" t="str">
        <f>IFERROR(INDEX('IncStmt Data'!H$332:H$2999,MATCH(A6,IF('IncStmt Data'!A$332=X$1,'IncStmt Data'!G$332:G$2999),0)),"")</f>
        <v/>
      </c>
      <c r="Y6" s="14" t="str">
        <f>IFERROR(INDEX('IncStmt Data'!H$347:H$2999,MATCH(A6,IF('IncStmt Data'!A$347=Y$1,'IncStmt Data'!G$347:G$2999),0)),"")</f>
        <v/>
      </c>
      <c r="Z6" s="14" t="str">
        <f>IFERROR(INDEX('IncStmt Data'!H$362:H$2999,MATCH(A6,IF('IncStmt Data'!A$362=Z$1,'IncStmt Data'!G$362:G$2999),0)),"")</f>
        <v/>
      </c>
      <c r="AA6" s="14" t="str">
        <f>IFERROR(INDEX('IncStmt Data'!H$377:H$2999,MATCH(A6,IF('IncStmt Data'!A$377=AA$1,'IncStmt Data'!G$377:G$2999),0)),"")</f>
        <v/>
      </c>
      <c r="AB6" s="14" t="str">
        <f>IFERROR(INDEX('IncStmt Data'!H$392:H$2999,MATCH(A6,IF('IncStmt Data'!A$392=AB$1,'IncStmt Data'!G$392:G$2999),0)),"")</f>
        <v/>
      </c>
      <c r="AC6" s="14" t="str">
        <f>IFERROR(INDEX('IncStmt Data'!H$407:H$2999,MATCH(A6,IF('IncStmt Data'!A$407=AC$1,'IncStmt Data'!G$407:G$2999),0)),"")</f>
        <v/>
      </c>
      <c r="AD6" s="14" t="str">
        <f>IFERROR(INDEX('IncStmt Data'!H$422:H$2999,MATCH(A6,IF('IncStmt Data'!A$422=AD$1,'IncStmt Data'!G$422:G$2999),0)),"")</f>
        <v/>
      </c>
      <c r="AE6" s="14" t="str">
        <f>IFERROR(INDEX('IncStmt Data'!H$437:H$2999,MATCH(A6,IF('IncStmt Data'!A$437=AE$1,'IncStmt Data'!G$437:G$2999),0)),"")</f>
        <v/>
      </c>
      <c r="AF6" s="14" t="str">
        <f>IFERROR(INDEX('IncStmt Data'!H$452:H$2999,MATCH(A6,IF('IncStmt Data'!A$452=AF$1,'IncStmt Data'!G$452:G$2999),0)),"")</f>
        <v/>
      </c>
      <c r="AG6" s="14" t="str">
        <f>IFERROR(INDEX('IncStmt Data'!H$467:H$2999,MATCH(A6,IF('IncStmt Data'!A$467=AG$1,'IncStmt Data'!G$467:G$2999),0)),"")</f>
        <v/>
      </c>
      <c r="AH6" s="14" t="str">
        <f>IFERROR(INDEX('IncStmt Data'!H$482:H$2999,MATCH(A6,IF('IncStmt Data'!A$482=AH$1,'IncStmt Data'!G$482:G$2999),0)),"")</f>
        <v/>
      </c>
      <c r="AI6" s="14" t="str">
        <f>IFERROR(INDEX('IncStmt Data'!H$497:H$2999,MATCH(A6,IF('IncStmt Data'!A$497=AI$1,'IncStmt Data'!G$497:G$2999),0)),"")</f>
        <v/>
      </c>
      <c r="AJ6" s="14" t="str">
        <f>IFERROR(INDEX('IncStmt Data'!H$512:H$2999,MATCH(A6,IF('IncStmt Data'!A$512=AJ$1,'IncStmt Data'!G$512:G$2999),0)),"")</f>
        <v/>
      </c>
      <c r="AK6" s="14" t="str">
        <f>IFERROR(INDEX('IncStmt Data'!H$527:H$2999,MATCH(A6,IF('IncStmt Data'!A$527=AK$1,'IncStmt Data'!G$527:G$2999),0)),"")</f>
        <v/>
      </c>
      <c r="AL6" s="14">
        <f>IFERROR(INDEX('IncStmt Data'!H$542:H$2999,MATCH(A6,IF('IncStmt Data'!A$542=AL$1,'IncStmt Data'!G$542:G$2999),0)),"")</f>
        <v>1245</v>
      </c>
      <c r="AM6" s="14">
        <f>IFERROR(INDEX('IncStmt Data'!H$557:H$2999,MATCH(A6,IF('IncStmt Data'!A$557=AM$1,'IncStmt Data'!G$557:G$2999),0)),"")</f>
        <v>1245</v>
      </c>
      <c r="AN6" s="14">
        <f>IFERROR(INDEX('IncStmt Data'!H$572:H$2999,MATCH(A6,IF('IncStmt Data'!A$572=AN$1,'IncStmt Data'!G$572:G$2999),0)),"")</f>
        <v>1245</v>
      </c>
      <c r="AO6" s="14">
        <f>IFERROR(INDEX('IncStmt Data'!H$587:H$2999,MATCH(A6,IF('IncStmt Data'!A$587=AO$1,'IncStmt Data'!G$587:G$2999),0)),"")</f>
        <v>1245</v>
      </c>
      <c r="AP6" s="14">
        <f>IFERROR(INDEX('IncStmt Data'!H$602:H$2999,MATCH(A6,IF('IncStmt Data'!A$602=AP$1,'IncStmt Data'!G$602:G$2999),0)),"")</f>
        <v>1245</v>
      </c>
      <c r="AQ6" s="14">
        <f>IFERROR(INDEX('IncStmt Data'!H$617:H$2999,MATCH(A6,IF('IncStmt Data'!A$617=AQ$1,'IncStmt Data'!G$617:G$2999),0)),"")</f>
        <v>1245</v>
      </c>
      <c r="AR6" s="14">
        <f>IFERROR(INDEX('IncStmt Data'!H$632:H$2999,MATCH(A6,IF('IncStmt Data'!A$632=AR$1,'IncStmt Data'!G$632:G$2999),0)),"")</f>
        <v>1245</v>
      </c>
      <c r="AS6" s="14" t="str">
        <f>IFERROR(INDEX('IncStmt Data'!H$647:H$2999,MATCH(A6,IF('IncStmt Data'!A$647=AS$1,'IncStmt Data'!G$647:G$2999),0)),"")</f>
        <v/>
      </c>
    </row>
    <row r="7" spans="1:104" x14ac:dyDescent="0.25">
      <c r="A7" s="1" t="s">
        <v>124</v>
      </c>
      <c r="B7" s="8">
        <f>IFERROR(INDEX('IncStmt Data'!H$2:H$2999,MATCH(A7,IF('IncStmt Data'!A$2=B$1,'IncStmt Data'!G$2:G$2999),0)),"")</f>
        <v>5654</v>
      </c>
      <c r="C7" s="8">
        <f>IFERROR(INDEX('IncStmt Data'!H$17:H$2999,MATCH(A7,IF('IncStmt Data'!A$17=C$1,'IncStmt Data'!G$17:G$2999),0)),"")</f>
        <v>1245</v>
      </c>
      <c r="D7" s="14">
        <f>IFERROR(INDEX('IncStmt Data'!H$32:H$2999,MATCH(A7,IF('IncStmt Data'!A$32=D$1,'IncStmt Data'!G$32:G$2999),0)),"")</f>
        <v>8645</v>
      </c>
      <c r="E7" s="14">
        <f>IFERROR(INDEX('IncStmt Data'!H$47:H$2999,MATCH(A7,IF('IncStmt Data'!A$47=E$1,'IncStmt Data'!G$47:G$2999),0)),"")</f>
        <v>1111</v>
      </c>
      <c r="F7" s="14">
        <f>IFERROR(INDEX('IncStmt Data'!H$62:H$2999,MATCH(A7,IF('IncStmt Data'!A$62=F$1,'IncStmt Data'!G$62:G$2999),0)),"")</f>
        <v>6325</v>
      </c>
      <c r="G7" s="14">
        <f>IFERROR(INDEX('IncStmt Data'!H$77:H$2999,MATCH(A7,IF('IncStmt Data'!A$77=G$1,'IncStmt Data'!G$77:G$2999),0)),"")</f>
        <v>3525</v>
      </c>
      <c r="H7" s="14">
        <f>IFERROR(INDEX('IncStmt Data'!H$92:H$2999,MATCH(A7,IF('IncStmt Data'!A$92=H$1,'IncStmt Data'!G$92:G$2999),0)),"")</f>
        <v>9658</v>
      </c>
      <c r="I7" s="15">
        <f>IFERROR(INDEX('IncStmt Data'!H$107:H$2999,MATCH(A7,IF('IncStmt Data'!A$107=I$1,'IncStmt Data'!G$107:G$2999),0)),"")</f>
        <v>2556</v>
      </c>
      <c r="J7" s="14" t="str">
        <f>IFERROR(INDEX('IncStmt Data'!H$122:H$2999,MATCH(A7,IF('IncStmt Data'!A$122=J$1,'IncStmt Data'!G$122:G$2999),0)),"")</f>
        <v/>
      </c>
      <c r="K7" s="14" t="str">
        <f>IFERROR(INDEX('IncStmt Data'!H$137:H$2999,MATCH(A7,IF('IncStmt Data'!A$137=K$1,'IncStmt Data'!G$137:G$2999),0)),"")</f>
        <v/>
      </c>
      <c r="L7" s="14" t="str">
        <f>IFERROR(INDEX('IncStmt Data'!H$152:H$2999,MATCH(A7,IF('IncStmt Data'!A$152=L$1,'IncStmt Data'!G$152:G$2999),0)),"")</f>
        <v/>
      </c>
      <c r="M7" s="14" t="str">
        <f>IFERROR(INDEX('IncStmt Data'!H$167:H$2999,MATCH(A7,IF('IncStmt Data'!A$167=M$1,'IncStmt Data'!G$167:G$2999),0)),"")</f>
        <v/>
      </c>
      <c r="N7" s="14" t="str">
        <f>IFERROR(INDEX('IncStmt Data'!H$182:H$2999,MATCH(A7,IF('IncStmt Data'!A$182=N$1,'IncStmt Data'!G$182:G$2999),0)),"")</f>
        <v/>
      </c>
      <c r="O7" s="14" t="str">
        <f>IFERROR(INDEX('IncStmt Data'!H$197:H$2999,MATCH(A7,IF('IncStmt Data'!A$197=O$1,'IncStmt Data'!G$197:G$2999),0)),"")</f>
        <v/>
      </c>
      <c r="P7" s="14" t="str">
        <f>IFERROR(INDEX('IncStmt Data'!H$212:H$2999,MATCH(A7,IF('IncStmt Data'!A$212=P$1,'IncStmt Data'!G$212:G$2999),0)),"")</f>
        <v/>
      </c>
      <c r="Q7" s="14" t="str">
        <f>IFERROR(INDEX('IncStmt Data'!H$227:H$2999,MATCH(A7,IF('IncStmt Data'!A$227=Q$1,'IncStmt Data'!G$227:G$2999),0)),"")</f>
        <v/>
      </c>
      <c r="R7" s="14" t="str">
        <f>IFERROR(INDEX('IncStmt Data'!H$242:H$2999,MATCH(A7,IF('IncStmt Data'!A$242=R$1,'IncStmt Data'!G$242:G$2999),0)),"")</f>
        <v/>
      </c>
      <c r="S7" s="14" t="str">
        <f>IFERROR(INDEX('IncStmt Data'!H$257:H$2999,MATCH(A7,IF('IncStmt Data'!A$257=S$1,'IncStmt Data'!G$257:G$2999),0)),"")</f>
        <v/>
      </c>
      <c r="T7" s="14" t="str">
        <f>IFERROR(INDEX('IncStmt Data'!H$272:H$2999,MATCH(A7,IF('IncStmt Data'!A$272=T$1,'IncStmt Data'!G$272:G$2999),0)),"")</f>
        <v/>
      </c>
      <c r="U7" s="14" t="str">
        <f>IFERROR(INDEX('IncStmt Data'!H$287:H$2999,MATCH(A7,IF('IncStmt Data'!A$287=U$1,'IncStmt Data'!G$287:G$2999),0)),"")</f>
        <v/>
      </c>
      <c r="V7" s="14" t="str">
        <f>IFERROR(INDEX('IncStmt Data'!H$302:H$2999,MATCH(A7,IF('IncStmt Data'!A$302=V$1,'IncStmt Data'!G$302:G$2999),0)),"")</f>
        <v/>
      </c>
      <c r="W7" s="14" t="str">
        <f>IFERROR(INDEX('IncStmt Data'!H$317:H$2999,MATCH(A7,IF('IncStmt Data'!A$317=W$1,'IncStmt Data'!G$317:G$2999),0)),"")</f>
        <v/>
      </c>
      <c r="X7" s="14" t="str">
        <f>IFERROR(INDEX('IncStmt Data'!H$332:H$2999,MATCH(A7,IF('IncStmt Data'!A$332=X$1,'IncStmt Data'!G$332:G$2999),0)),"")</f>
        <v/>
      </c>
      <c r="Y7" s="14" t="str">
        <f>IFERROR(INDEX('IncStmt Data'!H$347:H$2999,MATCH(A7,IF('IncStmt Data'!A$347=Y$1,'IncStmt Data'!G$347:G$2999),0)),"")</f>
        <v/>
      </c>
      <c r="Z7" s="14" t="str">
        <f>IFERROR(INDEX('IncStmt Data'!H$362:H$2999,MATCH(A7,IF('IncStmt Data'!A$362=Z$1,'IncStmt Data'!G$362:G$2999),0)),"")</f>
        <v/>
      </c>
      <c r="AA7" s="14" t="str">
        <f>IFERROR(INDEX('IncStmt Data'!H$377:H$2999,MATCH(A7,IF('IncStmt Data'!A$377=AA$1,'IncStmt Data'!G$377:G$2999),0)),"")</f>
        <v/>
      </c>
      <c r="AB7" s="14" t="str">
        <f>IFERROR(INDEX('IncStmt Data'!H$392:H$2999,MATCH(A7,IF('IncStmt Data'!A$392=AB$1,'IncStmt Data'!G$392:G$2999),0)),"")</f>
        <v/>
      </c>
      <c r="AC7" s="14" t="str">
        <f>IFERROR(INDEX('IncStmt Data'!H$407:H$2999,MATCH(A7,IF('IncStmt Data'!A$407=AC$1,'IncStmt Data'!G$407:G$2999),0)),"")</f>
        <v/>
      </c>
      <c r="AD7" s="14" t="str">
        <f>IFERROR(INDEX('IncStmt Data'!H$422:H$2999,MATCH(A7,IF('IncStmt Data'!A$422=AD$1,'IncStmt Data'!G$422:G$2999),0)),"")</f>
        <v/>
      </c>
      <c r="AE7" s="14" t="str">
        <f>IFERROR(INDEX('IncStmt Data'!H$437:H$2999,MATCH(A7,IF('IncStmt Data'!A$437=AE$1,'IncStmt Data'!G$437:G$2999),0)),"")</f>
        <v/>
      </c>
      <c r="AF7" s="14" t="str">
        <f>IFERROR(INDEX('IncStmt Data'!H$452:H$2999,MATCH(A7,IF('IncStmt Data'!A$452=AF$1,'IncStmt Data'!G$452:G$2999),0)),"")</f>
        <v/>
      </c>
      <c r="AG7" s="14" t="str">
        <f>IFERROR(INDEX('IncStmt Data'!H$467:H$2999,MATCH(A7,IF('IncStmt Data'!A$467=AG$1,'IncStmt Data'!G$467:G$2999),0)),"")</f>
        <v/>
      </c>
      <c r="AH7" s="14" t="str">
        <f>IFERROR(INDEX('IncStmt Data'!H$482:H$2999,MATCH(A7,IF('IncStmt Data'!A$482=AH$1,'IncStmt Data'!G$482:G$2999),0)),"")</f>
        <v/>
      </c>
      <c r="AI7" s="14" t="str">
        <f>IFERROR(INDEX('IncStmt Data'!H$497:H$2999,MATCH(A7,IF('IncStmt Data'!A$497=AI$1,'IncStmt Data'!G$497:G$2999),0)),"")</f>
        <v/>
      </c>
      <c r="AJ7" s="14" t="str">
        <f>IFERROR(INDEX('IncStmt Data'!H$512:H$2999,MATCH(A7,IF('IncStmt Data'!A$512=AJ$1,'IncStmt Data'!G$512:G$2999),0)),"")</f>
        <v/>
      </c>
      <c r="AK7" s="14" t="str">
        <f>IFERROR(INDEX('IncStmt Data'!H$527:H$2999,MATCH(A7,IF('IncStmt Data'!A$527=AK$1,'IncStmt Data'!G$527:G$2999),0)),"")</f>
        <v/>
      </c>
      <c r="AL7" s="14">
        <f>IFERROR(INDEX('IncStmt Data'!H$542:H$2999,MATCH(A7,IF('IncStmt Data'!A$542=AL$1,'IncStmt Data'!G$542:G$2999),0)),"")</f>
        <v>1245</v>
      </c>
      <c r="AM7" s="14">
        <f>IFERROR(INDEX('IncStmt Data'!H$557:H$2999,MATCH(A7,IF('IncStmt Data'!A$557=AM$1,'IncStmt Data'!G$557:G$2999),0)),"")</f>
        <v>1245</v>
      </c>
      <c r="AN7" s="14">
        <f>IFERROR(INDEX('IncStmt Data'!H$572:H$2999,MATCH(A7,IF('IncStmt Data'!A$572=AN$1,'IncStmt Data'!G$572:G$2999),0)),"")</f>
        <v>1245</v>
      </c>
      <c r="AO7" s="14">
        <f>IFERROR(INDEX('IncStmt Data'!H$587:H$2999,MATCH(A7,IF('IncStmt Data'!A$587=AO$1,'IncStmt Data'!G$587:G$2999),0)),"")</f>
        <v>1245</v>
      </c>
      <c r="AP7" s="14">
        <f>IFERROR(INDEX('IncStmt Data'!H$602:H$2999,MATCH(A7,IF('IncStmt Data'!A$602=AP$1,'IncStmt Data'!G$602:G$2999),0)),"")</f>
        <v>1245</v>
      </c>
      <c r="AQ7" s="14">
        <f>IFERROR(INDEX('IncStmt Data'!H$617:H$2999,MATCH(A7,IF('IncStmt Data'!A$617=AQ$1,'IncStmt Data'!G$617:G$2999),0)),"")</f>
        <v>1245</v>
      </c>
      <c r="AR7" s="14">
        <f>IFERROR(INDEX('IncStmt Data'!H$632:H$2999,MATCH(A7,IF('IncStmt Data'!A$632=AR$1,'IncStmt Data'!G$632:G$2999),0)),"")</f>
        <v>1245</v>
      </c>
      <c r="AS7" s="14" t="str">
        <f>IFERROR(INDEX('IncStmt Data'!H$647:H$2999,MATCH(A7,IF('IncStmt Data'!A$647=AS$1,'IncStmt Data'!G$647:G$2999),0)),"")</f>
        <v/>
      </c>
    </row>
    <row r="8" spans="1:104" x14ac:dyDescent="0.25">
      <c r="A8" s="1" t="s">
        <v>125</v>
      </c>
      <c r="B8" s="8">
        <f>IFERROR(INDEX('IncStmt Data'!H$2:H$2999,MATCH(A8,IF('IncStmt Data'!A$2=B$1,'IncStmt Data'!G$2:G$2999),0)),"")</f>
        <v>5654</v>
      </c>
      <c r="C8" s="8">
        <f>IFERROR(INDEX('IncStmt Data'!H$17:H$2999,MATCH(A8,IF('IncStmt Data'!A$17=C$1,'IncStmt Data'!G$17:G$2999),0)),"")</f>
        <v>1245</v>
      </c>
      <c r="D8" s="14">
        <f>IFERROR(INDEX('IncStmt Data'!H$32:H$2999,MATCH(A8,IF('IncStmt Data'!A$32=D$1,'IncStmt Data'!G$32:G$2999),0)),"")</f>
        <v>11154</v>
      </c>
      <c r="E8" s="14">
        <f>IFERROR(INDEX('IncStmt Data'!H$47:H$2999,MATCH(A8,IF('IncStmt Data'!A$47=E$1,'IncStmt Data'!G$47:G$2999),0)),"")</f>
        <v>1111</v>
      </c>
      <c r="F8" s="14">
        <f>IFERROR(INDEX('IncStmt Data'!H$62:H$2999,MATCH(A8,IF('IncStmt Data'!A$62=F$1,'IncStmt Data'!G$62:G$2999),0)),"")</f>
        <v>6325</v>
      </c>
      <c r="G8" s="14">
        <f>IFERROR(INDEX('IncStmt Data'!H$77:H$2999,MATCH(A8,IF('IncStmt Data'!A$77=G$1,'IncStmt Data'!G$77:G$2999),0)),"")</f>
        <v>3525</v>
      </c>
      <c r="H8" s="14">
        <f>IFERROR(INDEX('IncStmt Data'!H$92:H$2999,MATCH(A8,IF('IncStmt Data'!A$92=H$1,'IncStmt Data'!G$92:G$2999),0)),"")</f>
        <v>9658</v>
      </c>
      <c r="I8" s="15">
        <f>IFERROR(INDEX('IncStmt Data'!H$107:H$2999,MATCH(A8,IF('IncStmt Data'!A$107=I$1,'IncStmt Data'!G$107:G$2999),0)),"")</f>
        <v>2556</v>
      </c>
      <c r="J8" s="14" t="str">
        <f>IFERROR(INDEX('IncStmt Data'!H$122:H$2999,MATCH(A8,IF('IncStmt Data'!A$122=J$1,'IncStmt Data'!G$122:G$2999),0)),"")</f>
        <v/>
      </c>
      <c r="K8" s="14" t="str">
        <f>IFERROR(INDEX('IncStmt Data'!H$137:H$2999,MATCH(A8,IF('IncStmt Data'!A$137=K$1,'IncStmt Data'!G$137:G$2999),0)),"")</f>
        <v/>
      </c>
      <c r="L8" s="14" t="str">
        <f>IFERROR(INDEX('IncStmt Data'!H$152:H$2999,MATCH(A8,IF('IncStmt Data'!A$152=L$1,'IncStmt Data'!G$152:G$2999),0)),"")</f>
        <v/>
      </c>
      <c r="M8" s="14" t="str">
        <f>IFERROR(INDEX('IncStmt Data'!H$167:H$2999,MATCH(A8,IF('IncStmt Data'!A$167=M$1,'IncStmt Data'!G$167:G$2999),0)),"")</f>
        <v/>
      </c>
      <c r="N8" s="14" t="str">
        <f>IFERROR(INDEX('IncStmt Data'!H$182:H$2999,MATCH(A8,IF('IncStmt Data'!A$182=N$1,'IncStmt Data'!G$182:G$2999),0)),"")</f>
        <v/>
      </c>
      <c r="O8" s="14" t="str">
        <f>IFERROR(INDEX('IncStmt Data'!H$197:H$2999,MATCH(A8,IF('IncStmt Data'!A$197=O$1,'IncStmt Data'!G$197:G$2999),0)),"")</f>
        <v/>
      </c>
      <c r="P8" s="14" t="str">
        <f>IFERROR(INDEX('IncStmt Data'!H$212:H$2999,MATCH(A8,IF('IncStmt Data'!A$212=P$1,'IncStmt Data'!G$212:G$2999),0)),"")</f>
        <v/>
      </c>
      <c r="Q8" s="14" t="str">
        <f>IFERROR(INDEX('IncStmt Data'!H$227:H$2999,MATCH(A8,IF('IncStmt Data'!A$227=Q$1,'IncStmt Data'!G$227:G$2999),0)),"")</f>
        <v/>
      </c>
      <c r="R8" s="14" t="str">
        <f>IFERROR(INDEX('IncStmt Data'!H$242:H$2999,MATCH(A8,IF('IncStmt Data'!A$242=R$1,'IncStmt Data'!G$242:G$2999),0)),"")</f>
        <v/>
      </c>
      <c r="S8" s="14" t="str">
        <f>IFERROR(INDEX('IncStmt Data'!H$257:H$2999,MATCH(A8,IF('IncStmt Data'!A$257=S$1,'IncStmt Data'!G$257:G$2999),0)),"")</f>
        <v/>
      </c>
      <c r="T8" s="14" t="str">
        <f>IFERROR(INDEX('IncStmt Data'!H$272:H$2999,MATCH(A8,IF('IncStmt Data'!A$272=T$1,'IncStmt Data'!G$272:G$2999),0)),"")</f>
        <v/>
      </c>
      <c r="U8" s="14" t="str">
        <f>IFERROR(INDEX('IncStmt Data'!H$287:H$2999,MATCH(A8,IF('IncStmt Data'!A$287=U$1,'IncStmt Data'!G$287:G$2999),0)),"")</f>
        <v/>
      </c>
      <c r="V8" s="14" t="str">
        <f>IFERROR(INDEX('IncStmt Data'!H$302:H$2999,MATCH(A8,IF('IncStmt Data'!A$302=V$1,'IncStmt Data'!G$302:G$2999),0)),"")</f>
        <v/>
      </c>
      <c r="W8" s="14" t="str">
        <f>IFERROR(INDEX('IncStmt Data'!H$317:H$2999,MATCH(A8,IF('IncStmt Data'!A$317=W$1,'IncStmt Data'!G$317:G$2999),0)),"")</f>
        <v/>
      </c>
      <c r="X8" s="14" t="str">
        <f>IFERROR(INDEX('IncStmt Data'!H$332:H$2999,MATCH(A8,IF('IncStmt Data'!A$332=X$1,'IncStmt Data'!G$332:G$2999),0)),"")</f>
        <v/>
      </c>
      <c r="Y8" s="14" t="str">
        <f>IFERROR(INDEX('IncStmt Data'!H$347:H$2999,MATCH(A8,IF('IncStmt Data'!A$347=Y$1,'IncStmt Data'!G$347:G$2999),0)),"")</f>
        <v/>
      </c>
      <c r="Z8" s="14" t="str">
        <f>IFERROR(INDEX('IncStmt Data'!H$362:H$2999,MATCH(A8,IF('IncStmt Data'!A$362=Z$1,'IncStmt Data'!G$362:G$2999),0)),"")</f>
        <v/>
      </c>
      <c r="AA8" s="14" t="str">
        <f>IFERROR(INDEX('IncStmt Data'!H$377:H$2999,MATCH(A8,IF('IncStmt Data'!A$377=AA$1,'IncStmt Data'!G$377:G$2999),0)),"")</f>
        <v/>
      </c>
      <c r="AB8" s="14" t="str">
        <f>IFERROR(INDEX('IncStmt Data'!H$392:H$2999,MATCH(A8,IF('IncStmt Data'!A$392=AB$1,'IncStmt Data'!G$392:G$2999),0)),"")</f>
        <v/>
      </c>
      <c r="AC8" s="14" t="str">
        <f>IFERROR(INDEX('IncStmt Data'!H$407:H$2999,MATCH(A8,IF('IncStmt Data'!A$407=AC$1,'IncStmt Data'!G$407:G$2999),0)),"")</f>
        <v/>
      </c>
      <c r="AD8" s="14" t="str">
        <f>IFERROR(INDEX('IncStmt Data'!H$422:H$2999,MATCH(A8,IF('IncStmt Data'!A$422=AD$1,'IncStmt Data'!G$422:G$2999),0)),"")</f>
        <v/>
      </c>
      <c r="AE8" s="14" t="str">
        <f>IFERROR(INDEX('IncStmt Data'!H$437:H$2999,MATCH(A8,IF('IncStmt Data'!A$437=AE$1,'IncStmt Data'!G$437:G$2999),0)),"")</f>
        <v/>
      </c>
      <c r="AF8" s="14" t="str">
        <f>IFERROR(INDEX('IncStmt Data'!H$452:H$2999,MATCH(A8,IF('IncStmt Data'!A$452=AF$1,'IncStmt Data'!G$452:G$2999),0)),"")</f>
        <v/>
      </c>
      <c r="AG8" s="14" t="str">
        <f>IFERROR(INDEX('IncStmt Data'!H$467:H$2999,MATCH(A8,IF('IncStmt Data'!A$467=AG$1,'IncStmt Data'!G$467:G$2999),0)),"")</f>
        <v/>
      </c>
      <c r="AH8" s="14" t="str">
        <f>IFERROR(INDEX('IncStmt Data'!H$482:H$2999,MATCH(A8,IF('IncStmt Data'!A$482=AH$1,'IncStmt Data'!G$482:G$2999),0)),"")</f>
        <v/>
      </c>
      <c r="AI8" s="14" t="str">
        <f>IFERROR(INDEX('IncStmt Data'!H$497:H$2999,MATCH(A8,IF('IncStmt Data'!A$497=AI$1,'IncStmt Data'!G$497:G$2999),0)),"")</f>
        <v/>
      </c>
      <c r="AJ8" s="14" t="str">
        <f>IFERROR(INDEX('IncStmt Data'!H$512:H$2999,MATCH(A8,IF('IncStmt Data'!A$512=AJ$1,'IncStmt Data'!G$512:G$2999),0)),"")</f>
        <v/>
      </c>
      <c r="AK8" s="14" t="str">
        <f>IFERROR(INDEX('IncStmt Data'!H$527:H$2999,MATCH(A8,IF('IncStmt Data'!A$527=AK$1,'IncStmt Data'!G$527:G$2999),0)),"")</f>
        <v/>
      </c>
      <c r="AL8" s="14" t="str">
        <f>IFERROR(INDEX('IncStmt Data'!H$542:H$2999,MATCH(A8,IF('IncStmt Data'!A$542=AL$1,'IncStmt Data'!G$542:G$2999),0)),"")</f>
        <v/>
      </c>
      <c r="AM8" s="14" t="str">
        <f>IFERROR(INDEX('IncStmt Data'!H$557:H$2999,MATCH(A8,IF('IncStmt Data'!A$557=AM$1,'IncStmt Data'!G$557:G$2999),0)),"")</f>
        <v/>
      </c>
      <c r="AN8" s="14" t="str">
        <f>IFERROR(INDEX('IncStmt Data'!H$572:H$2999,MATCH(A8,IF('IncStmt Data'!A$572=AN$1,'IncStmt Data'!G$572:G$2999),0)),"")</f>
        <v/>
      </c>
      <c r="AO8" s="14" t="str">
        <f>IFERROR(INDEX('IncStmt Data'!H$587:H$2999,MATCH(A8,IF('IncStmt Data'!A$587=AO$1,'IncStmt Data'!G$587:G$2999),0)),"")</f>
        <v/>
      </c>
      <c r="AP8" s="14" t="str">
        <f>IFERROR(INDEX('IncStmt Data'!H$602:H$2999,MATCH(A8,IF('IncStmt Data'!A$602=AP$1,'IncStmt Data'!G$602:G$2999),0)),"")</f>
        <v/>
      </c>
      <c r="AQ8" s="14" t="str">
        <f>IFERROR(INDEX('IncStmt Data'!H$617:H$2999,MATCH(A8,IF('IncStmt Data'!A$617=AQ$1,'IncStmt Data'!G$617:G$2999),0)),"")</f>
        <v/>
      </c>
      <c r="AR8" s="14" t="str">
        <f>IFERROR(INDEX('IncStmt Data'!H$632:H$2999,MATCH(A8,IF('IncStmt Data'!A$632=AR$1,'IncStmt Data'!G$632:G$2999),0)),"")</f>
        <v/>
      </c>
      <c r="AS8" s="14" t="str">
        <f>IFERROR(INDEX('IncStmt Data'!H$647:H$2999,MATCH(A8,IF('IncStmt Data'!A$647=AS$1,'IncStmt Data'!G$647:G$2999),0)),"")</f>
        <v/>
      </c>
    </row>
    <row r="9" spans="1:104" x14ac:dyDescent="0.25">
      <c r="A9" s="1" t="s">
        <v>126</v>
      </c>
      <c r="B9" s="8">
        <f>IFERROR(INDEX('IncStmt Data'!H$2:H$2999,MATCH(A9,IF('IncStmt Data'!A$2=B$1,'IncStmt Data'!G$2:G$2999),0)),"")</f>
        <v>5654</v>
      </c>
      <c r="C9" s="8">
        <f>IFERROR(INDEX('IncStmt Data'!H$17:H$2999,MATCH(A9,IF('IncStmt Data'!A$17=C$1,'IncStmt Data'!G$17:G$2999),0)),"")</f>
        <v>7613</v>
      </c>
      <c r="D9" s="14">
        <f>IFERROR(INDEX('IncStmt Data'!H$32:H$2999,MATCH(A9,IF('IncStmt Data'!A$32=D$1,'IncStmt Data'!G$32:G$2999),0)),"")</f>
        <v>11154</v>
      </c>
      <c r="E9" s="14">
        <f>IFERROR(INDEX('IncStmt Data'!H$47:H$2999,MATCH(A9,IF('IncStmt Data'!A$47=E$1,'IncStmt Data'!G$47:G$2999),0)),"")</f>
        <v>1111</v>
      </c>
      <c r="F9" s="14">
        <f>IFERROR(INDEX('IncStmt Data'!H$62:H$2999,MATCH(A9,IF('IncStmt Data'!A$62=F$1,'IncStmt Data'!G$62:G$2999),0)),"")</f>
        <v>6325</v>
      </c>
      <c r="G9" s="14">
        <f>IFERROR(INDEX('IncStmt Data'!H$77:H$2999,MATCH(A9,IF('IncStmt Data'!A$77=G$1,'IncStmt Data'!G$77:G$2999),0)),"")</f>
        <v>3525</v>
      </c>
      <c r="H9" s="14">
        <f>IFERROR(INDEX('IncStmt Data'!H$92:H$2999,MATCH(A9,IF('IncStmt Data'!A$92=H$1,'IncStmt Data'!G$92:G$2999),0)),"")</f>
        <v>9658</v>
      </c>
      <c r="I9" s="15">
        <f>IFERROR(INDEX('IncStmt Data'!H$107:H$2999,MATCH(A9,IF('IncStmt Data'!A$107=I$1,'IncStmt Data'!G$107:G$2999),0)),"")</f>
        <v>2556</v>
      </c>
      <c r="J9" s="14" t="str">
        <f>IFERROR(INDEX('IncStmt Data'!H$122:H$2999,MATCH(A9,IF('IncStmt Data'!A$122=J$1,'IncStmt Data'!G$122:G$2999),0)),"")</f>
        <v/>
      </c>
      <c r="K9" s="14" t="str">
        <f>IFERROR(INDEX('IncStmt Data'!H$137:H$2999,MATCH(A9,IF('IncStmt Data'!A$137=K$1,'IncStmt Data'!G$137:G$2999),0)),"")</f>
        <v/>
      </c>
      <c r="L9" s="14" t="str">
        <f>IFERROR(INDEX('IncStmt Data'!H$152:H$2999,MATCH(A9,IF('IncStmt Data'!A$152=L$1,'IncStmt Data'!G$152:G$2999),0)),"")</f>
        <v/>
      </c>
      <c r="M9" s="14" t="str">
        <f>IFERROR(INDEX('IncStmt Data'!H$167:H$2999,MATCH(A9,IF('IncStmt Data'!A$167=M$1,'IncStmt Data'!G$167:G$2999),0)),"")</f>
        <v/>
      </c>
      <c r="N9" s="14" t="str">
        <f>IFERROR(INDEX('IncStmt Data'!H$182:H$2999,MATCH(A9,IF('IncStmt Data'!A$182=N$1,'IncStmt Data'!G$182:G$2999),0)),"")</f>
        <v/>
      </c>
      <c r="O9" s="14" t="str">
        <f>IFERROR(INDEX('IncStmt Data'!H$197:H$2999,MATCH(A9,IF('IncStmt Data'!A$197=O$1,'IncStmt Data'!G$197:G$2999),0)),"")</f>
        <v/>
      </c>
      <c r="P9" s="14" t="str">
        <f>IFERROR(INDEX('IncStmt Data'!H$212:H$2999,MATCH(A9,IF('IncStmt Data'!A$212=P$1,'IncStmt Data'!G$212:G$2999),0)),"")</f>
        <v/>
      </c>
      <c r="Q9" s="14" t="str">
        <f>IFERROR(INDEX('IncStmt Data'!H$227:H$2999,MATCH(A9,IF('IncStmt Data'!A$227=Q$1,'IncStmt Data'!G$227:G$2999),0)),"")</f>
        <v/>
      </c>
      <c r="R9" s="14" t="str">
        <f>IFERROR(INDEX('IncStmt Data'!H$242:H$2999,MATCH(A9,IF('IncStmt Data'!A$242=R$1,'IncStmt Data'!G$242:G$2999),0)),"")</f>
        <v/>
      </c>
      <c r="S9" s="14" t="str">
        <f>IFERROR(INDEX('IncStmt Data'!H$257:H$2999,MATCH(A9,IF('IncStmt Data'!A$257=S$1,'IncStmt Data'!G$257:G$2999),0)),"")</f>
        <v/>
      </c>
      <c r="T9" s="14" t="str">
        <f>IFERROR(INDEX('IncStmt Data'!H$272:H$2999,MATCH(A9,IF('IncStmt Data'!A$272=T$1,'IncStmt Data'!G$272:G$2999),0)),"")</f>
        <v/>
      </c>
      <c r="U9" s="14" t="str">
        <f>IFERROR(INDEX('IncStmt Data'!H$287:H$2999,MATCH(A9,IF('IncStmt Data'!A$287=U$1,'IncStmt Data'!G$287:G$2999),0)),"")</f>
        <v/>
      </c>
      <c r="V9" s="14" t="str">
        <f>IFERROR(INDEX('IncStmt Data'!H$302:H$2999,MATCH(A9,IF('IncStmt Data'!A$302=V$1,'IncStmt Data'!G$302:G$2999),0)),"")</f>
        <v/>
      </c>
      <c r="W9" s="14" t="str">
        <f>IFERROR(INDEX('IncStmt Data'!H$317:H$2999,MATCH(A9,IF('IncStmt Data'!A$317=W$1,'IncStmt Data'!G$317:G$2999),0)),"")</f>
        <v/>
      </c>
      <c r="X9" s="14" t="str">
        <f>IFERROR(INDEX('IncStmt Data'!H$332:H$2999,MATCH(A9,IF('IncStmt Data'!A$332=X$1,'IncStmt Data'!G$332:G$2999),0)),"")</f>
        <v/>
      </c>
      <c r="Y9" s="14" t="str">
        <f>IFERROR(INDEX('IncStmt Data'!H$347:H$2999,MATCH(A9,IF('IncStmt Data'!A$347=Y$1,'IncStmt Data'!G$347:G$2999),0)),"")</f>
        <v/>
      </c>
      <c r="Z9" s="14" t="str">
        <f>IFERROR(INDEX('IncStmt Data'!H$362:H$2999,MATCH(A9,IF('IncStmt Data'!A$362=Z$1,'IncStmt Data'!G$362:G$2999),0)),"")</f>
        <v/>
      </c>
      <c r="AA9" s="14" t="str">
        <f>IFERROR(INDEX('IncStmt Data'!H$377:H$2999,MATCH(A9,IF('IncStmt Data'!A$377=AA$1,'IncStmt Data'!G$377:G$2999),0)),"")</f>
        <v/>
      </c>
      <c r="AB9" s="14" t="str">
        <f>IFERROR(INDEX('IncStmt Data'!H$392:H$2999,MATCH(A9,IF('IncStmt Data'!A$392=AB$1,'IncStmt Data'!G$392:G$2999),0)),"")</f>
        <v/>
      </c>
      <c r="AC9" s="14" t="str">
        <f>IFERROR(INDEX('IncStmt Data'!H$407:H$2999,MATCH(A9,IF('IncStmt Data'!A$407=AC$1,'IncStmt Data'!G$407:G$2999),0)),"")</f>
        <v/>
      </c>
      <c r="AD9" s="14" t="str">
        <f>IFERROR(INDEX('IncStmt Data'!H$422:H$2999,MATCH(A9,IF('IncStmt Data'!A$422=AD$1,'IncStmt Data'!G$422:G$2999),0)),"")</f>
        <v/>
      </c>
      <c r="AE9" s="14" t="str">
        <f>IFERROR(INDEX('IncStmt Data'!H$437:H$2999,MATCH(A9,IF('IncStmt Data'!A$437=AE$1,'IncStmt Data'!G$437:G$2999),0)),"")</f>
        <v/>
      </c>
      <c r="AF9" s="14" t="str">
        <f>IFERROR(INDEX('IncStmt Data'!H$452:H$2999,MATCH(A9,IF('IncStmt Data'!A$452=AF$1,'IncStmt Data'!G$452:G$2999),0)),"")</f>
        <v/>
      </c>
      <c r="AG9" s="14" t="str">
        <f>IFERROR(INDEX('IncStmt Data'!H$467:H$2999,MATCH(A9,IF('IncStmt Data'!A$467=AG$1,'IncStmt Data'!G$467:G$2999),0)),"")</f>
        <v/>
      </c>
      <c r="AH9" s="14" t="str">
        <f>IFERROR(INDEX('IncStmt Data'!H$482:H$2999,MATCH(A9,IF('IncStmt Data'!A$482=AH$1,'IncStmt Data'!G$482:G$2999),0)),"")</f>
        <v/>
      </c>
      <c r="AI9" s="14" t="str">
        <f>IFERROR(INDEX('IncStmt Data'!H$497:H$2999,MATCH(A9,IF('IncStmt Data'!A$497=AI$1,'IncStmt Data'!G$497:G$2999),0)),"")</f>
        <v/>
      </c>
      <c r="AJ9" s="14" t="str">
        <f>IFERROR(INDEX('IncStmt Data'!H$512:H$2999,MATCH(A9,IF('IncStmt Data'!A$512=AJ$1,'IncStmt Data'!G$512:G$2999),0)),"")</f>
        <v/>
      </c>
      <c r="AK9" s="14" t="str">
        <f>IFERROR(INDEX('IncStmt Data'!H$527:H$2999,MATCH(A9,IF('IncStmt Data'!A$527=AK$1,'IncStmt Data'!G$527:G$2999),0)),"")</f>
        <v/>
      </c>
      <c r="AL9" s="14" t="str">
        <f>IFERROR(INDEX('IncStmt Data'!H$542:H$2999,MATCH(A9,IF('IncStmt Data'!A$542=AL$1,'IncStmt Data'!G$542:G$2999),0)),"")</f>
        <v/>
      </c>
      <c r="AM9" s="14" t="str">
        <f>IFERROR(INDEX('IncStmt Data'!H$557:H$2999,MATCH(A9,IF('IncStmt Data'!A$557=AM$1,'IncStmt Data'!G$557:G$2999),0)),"")</f>
        <v/>
      </c>
      <c r="AN9" s="14" t="str">
        <f>IFERROR(INDEX('IncStmt Data'!H$572:H$2999,MATCH(A9,IF('IncStmt Data'!A$572=AN$1,'IncStmt Data'!G$572:G$2999),0)),"")</f>
        <v/>
      </c>
      <c r="AO9" s="14" t="str">
        <f>IFERROR(INDEX('IncStmt Data'!H$587:H$2999,MATCH(A9,IF('IncStmt Data'!A$587=AO$1,'IncStmt Data'!G$587:G$2999),0)),"")</f>
        <v/>
      </c>
      <c r="AP9" s="14" t="str">
        <f>IFERROR(INDEX('IncStmt Data'!H$602:H$2999,MATCH(A9,IF('IncStmt Data'!A$602=AP$1,'IncStmt Data'!G$602:G$2999),0)),"")</f>
        <v/>
      </c>
      <c r="AQ9" s="14" t="str">
        <f>IFERROR(INDEX('IncStmt Data'!H$617:H$2999,MATCH(A9,IF('IncStmt Data'!A$617=AQ$1,'IncStmt Data'!G$617:G$2999),0)),"")</f>
        <v/>
      </c>
      <c r="AR9" s="14" t="str">
        <f>IFERROR(INDEX('IncStmt Data'!H$632:H$2999,MATCH(A9,IF('IncStmt Data'!A$632=AR$1,'IncStmt Data'!G$632:G$2999),0)),"")</f>
        <v/>
      </c>
      <c r="AS9" s="14" t="str">
        <f>IFERROR(INDEX('IncStmt Data'!H$647:H$2999,MATCH(A9,IF('IncStmt Data'!A$647=AS$1,'IncStmt Data'!G$647:G$2999),0)),"")</f>
        <v/>
      </c>
    </row>
    <row r="10" spans="1:104" x14ac:dyDescent="0.25">
      <c r="A10" s="1" t="s">
        <v>127</v>
      </c>
      <c r="B10" s="8">
        <f>IFERROR(INDEX('IncStmt Data'!H$2:H$2999,MATCH(A10,IF('IncStmt Data'!A$2=B$1,'IncStmt Data'!G$2:G$2999),0)),"")</f>
        <v>5654</v>
      </c>
      <c r="C10" s="8">
        <f>IFERROR(INDEX('IncStmt Data'!H$17:H$2999,MATCH(A10,IF('IncStmt Data'!A$17=C$1,'IncStmt Data'!G$17:G$2999),0)),"")</f>
        <v>1245</v>
      </c>
      <c r="D10" s="14">
        <f>IFERROR(INDEX('IncStmt Data'!H$32:H$2999,MATCH(A10,IF('IncStmt Data'!A$32=D$1,'IncStmt Data'!G$32:G$2999),0)),"")</f>
        <v>6512</v>
      </c>
      <c r="E10" s="14">
        <f>IFERROR(INDEX('IncStmt Data'!H$47:H$2999,MATCH(A10,IF('IncStmt Data'!A$47=E$1,'IncStmt Data'!G$47:G$2999),0)),"")</f>
        <v>1111</v>
      </c>
      <c r="F10" s="14">
        <f>IFERROR(INDEX('IncStmt Data'!H$62:H$2999,MATCH(A10,IF('IncStmt Data'!A$62=F$1,'IncStmt Data'!G$62:G$2999),0)),"")</f>
        <v>6325</v>
      </c>
      <c r="G10" s="14">
        <f>IFERROR(INDEX('IncStmt Data'!H$77:H$2999,MATCH(A10,IF('IncStmt Data'!A$77=G$1,'IncStmt Data'!G$77:G$2999),0)),"")</f>
        <v>1111</v>
      </c>
      <c r="H10" s="14">
        <f>IFERROR(INDEX('IncStmt Data'!H$92:H$2999,MATCH(A10,IF('IncStmt Data'!A$92=H$1,'IncStmt Data'!G$92:G$2999),0)),"")</f>
        <v>9658</v>
      </c>
      <c r="I10" s="15">
        <f>IFERROR(INDEX('IncStmt Data'!H$107:H$2999,MATCH(A10,IF('IncStmt Data'!A$107=I$1,'IncStmt Data'!G$107:G$2999),0)),"")</f>
        <v>2556</v>
      </c>
      <c r="J10" s="14" t="str">
        <f>IFERROR(INDEX('IncStmt Data'!H$122:H$2999,MATCH(A10,IF('IncStmt Data'!A$122=J$1,'IncStmt Data'!G$122:G$2999),0)),"")</f>
        <v/>
      </c>
      <c r="K10" s="14" t="str">
        <f>IFERROR(INDEX('IncStmt Data'!H$137:H$2999,MATCH(A10,IF('IncStmt Data'!A$137=K$1,'IncStmt Data'!G$137:G$2999),0)),"")</f>
        <v/>
      </c>
      <c r="L10" s="14" t="str">
        <f>IFERROR(INDEX('IncStmt Data'!H$152:H$2999,MATCH(A10,IF('IncStmt Data'!A$152=L$1,'IncStmt Data'!G$152:G$2999),0)),"")</f>
        <v/>
      </c>
      <c r="M10" s="14" t="str">
        <f>IFERROR(INDEX('IncStmt Data'!H$167:H$2999,MATCH(A10,IF('IncStmt Data'!A$167=M$1,'IncStmt Data'!G$167:G$2999),0)),"")</f>
        <v/>
      </c>
      <c r="N10" s="14" t="str">
        <f>IFERROR(INDEX('IncStmt Data'!H$182:H$2999,MATCH(A10,IF('IncStmt Data'!A$182=N$1,'IncStmt Data'!G$182:G$2999),0)),"")</f>
        <v/>
      </c>
      <c r="O10" s="14" t="str">
        <f>IFERROR(INDEX('IncStmt Data'!H$197:H$2999,MATCH(A10,IF('IncStmt Data'!A$197=O$1,'IncStmt Data'!G$197:G$2999),0)),"")</f>
        <v/>
      </c>
      <c r="P10" s="14" t="str">
        <f>IFERROR(INDEX('IncStmt Data'!H$212:H$2999,MATCH(A10,IF('IncStmt Data'!A$212=P$1,'IncStmt Data'!G$212:G$2999),0)),"")</f>
        <v/>
      </c>
      <c r="Q10" s="14" t="str">
        <f>IFERROR(INDEX('IncStmt Data'!H$227:H$2999,MATCH(A10,IF('IncStmt Data'!A$227=Q$1,'IncStmt Data'!G$227:G$2999),0)),"")</f>
        <v/>
      </c>
      <c r="R10" s="14" t="str">
        <f>IFERROR(INDEX('IncStmt Data'!H$242:H$2999,MATCH(A10,IF('IncStmt Data'!A$242=R$1,'IncStmt Data'!G$242:G$2999),0)),"")</f>
        <v/>
      </c>
      <c r="S10" s="14" t="str">
        <f>IFERROR(INDEX('IncStmt Data'!H$257:H$2999,MATCH(A10,IF('IncStmt Data'!A$257=S$1,'IncStmt Data'!G$257:G$2999),0)),"")</f>
        <v/>
      </c>
      <c r="T10" s="14" t="str">
        <f>IFERROR(INDEX('IncStmt Data'!H$272:H$2999,MATCH(A10,IF('IncStmt Data'!A$272=T$1,'IncStmt Data'!G$272:G$2999),0)),"")</f>
        <v/>
      </c>
      <c r="U10" s="14" t="str">
        <f>IFERROR(INDEX('IncStmt Data'!H$287:H$2999,MATCH(A10,IF('IncStmt Data'!A$287=U$1,'IncStmt Data'!G$287:G$2999),0)),"")</f>
        <v/>
      </c>
      <c r="V10" s="14" t="str">
        <f>IFERROR(INDEX('IncStmt Data'!H$302:H$2999,MATCH(A10,IF('IncStmt Data'!A$302=V$1,'IncStmt Data'!G$302:G$2999),0)),"")</f>
        <v/>
      </c>
      <c r="W10" s="14" t="str">
        <f>IFERROR(INDEX('IncStmt Data'!H$317:H$2999,MATCH(A10,IF('IncStmt Data'!A$317=W$1,'IncStmt Data'!G$317:G$2999),0)),"")</f>
        <v/>
      </c>
      <c r="X10" s="14" t="str">
        <f>IFERROR(INDEX('IncStmt Data'!H$332:H$2999,MATCH(A10,IF('IncStmt Data'!A$332=X$1,'IncStmt Data'!G$332:G$2999),0)),"")</f>
        <v/>
      </c>
      <c r="Y10" s="14" t="str">
        <f>IFERROR(INDEX('IncStmt Data'!H$347:H$2999,MATCH(A10,IF('IncStmt Data'!A$347=Y$1,'IncStmt Data'!G$347:G$2999),0)),"")</f>
        <v/>
      </c>
      <c r="Z10" s="14" t="str">
        <f>IFERROR(INDEX('IncStmt Data'!H$362:H$2999,MATCH(A10,IF('IncStmt Data'!A$362=Z$1,'IncStmt Data'!G$362:G$2999),0)),"")</f>
        <v/>
      </c>
      <c r="AA10" s="14" t="str">
        <f>IFERROR(INDEX('IncStmt Data'!H$377:H$2999,MATCH(A10,IF('IncStmt Data'!A$377=AA$1,'IncStmt Data'!G$377:G$2999),0)),"")</f>
        <v/>
      </c>
      <c r="AB10" s="14" t="str">
        <f>IFERROR(INDEX('IncStmt Data'!H$392:H$2999,MATCH(A10,IF('IncStmt Data'!A$392=AB$1,'IncStmt Data'!G$392:G$2999),0)),"")</f>
        <v/>
      </c>
      <c r="AC10" s="14" t="str">
        <f>IFERROR(INDEX('IncStmt Data'!H$407:H$2999,MATCH(A10,IF('IncStmt Data'!A$407=AC$1,'IncStmt Data'!G$407:G$2999),0)),"")</f>
        <v/>
      </c>
      <c r="AD10" s="14" t="str">
        <f>IFERROR(INDEX('IncStmt Data'!H$422:H$2999,MATCH(A10,IF('IncStmt Data'!A$422=AD$1,'IncStmt Data'!G$422:G$2999),0)),"")</f>
        <v/>
      </c>
      <c r="AE10" s="14" t="str">
        <f>IFERROR(INDEX('IncStmt Data'!H$437:H$2999,MATCH(A10,IF('IncStmt Data'!A$437=AE$1,'IncStmt Data'!G$437:G$2999),0)),"")</f>
        <v/>
      </c>
      <c r="AF10" s="14" t="str">
        <f>IFERROR(INDEX('IncStmt Data'!H$452:H$2999,MATCH(A10,IF('IncStmt Data'!A$452=AF$1,'IncStmt Data'!G$452:G$2999),0)),"")</f>
        <v/>
      </c>
      <c r="AG10" s="14" t="str">
        <f>IFERROR(INDEX('IncStmt Data'!H$467:H$2999,MATCH(A10,IF('IncStmt Data'!A$467=AG$1,'IncStmt Data'!G$467:G$2999),0)),"")</f>
        <v/>
      </c>
      <c r="AH10" s="14" t="str">
        <f>IFERROR(INDEX('IncStmt Data'!H$482:H$2999,MATCH(A10,IF('IncStmt Data'!A$482=AH$1,'IncStmt Data'!G$482:G$2999),0)),"")</f>
        <v/>
      </c>
      <c r="AI10" s="14" t="str">
        <f>IFERROR(INDEX('IncStmt Data'!H$497:H$2999,MATCH(A10,IF('IncStmt Data'!A$497=AI$1,'IncStmt Data'!G$497:G$2999),0)),"")</f>
        <v/>
      </c>
      <c r="AJ10" s="14" t="str">
        <f>IFERROR(INDEX('IncStmt Data'!H$512:H$2999,MATCH(A10,IF('IncStmt Data'!A$512=AJ$1,'IncStmt Data'!G$512:G$2999),0)),"")</f>
        <v/>
      </c>
      <c r="AK10" s="14" t="str">
        <f>IFERROR(INDEX('IncStmt Data'!H$527:H$2999,MATCH(A10,IF('IncStmt Data'!A$527=AK$1,'IncStmt Data'!G$527:G$2999),0)),"")</f>
        <v/>
      </c>
      <c r="AL10" s="14" t="str">
        <f>IFERROR(INDEX('IncStmt Data'!H$542:H$2999,MATCH(A10,IF('IncStmt Data'!A$542=AL$1,'IncStmt Data'!G$542:G$2999),0)),"")</f>
        <v/>
      </c>
      <c r="AM10" s="14" t="str">
        <f>IFERROR(INDEX('IncStmt Data'!H$557:H$2999,MATCH(A10,IF('IncStmt Data'!A$557=AM$1,'IncStmt Data'!G$557:G$2999),0)),"")</f>
        <v/>
      </c>
      <c r="AN10" s="14" t="str">
        <f>IFERROR(INDEX('IncStmt Data'!H$572:H$2999,MATCH(A10,IF('IncStmt Data'!A$572=AN$1,'IncStmt Data'!G$572:G$2999),0)),"")</f>
        <v/>
      </c>
      <c r="AO10" s="14" t="str">
        <f>IFERROR(INDEX('IncStmt Data'!H$587:H$2999,MATCH(A10,IF('IncStmt Data'!A$587=AO$1,'IncStmt Data'!G$587:G$2999),0)),"")</f>
        <v/>
      </c>
      <c r="AP10" s="14" t="str">
        <f>IFERROR(INDEX('IncStmt Data'!H$602:H$2999,MATCH(A10,IF('IncStmt Data'!A$602=AP$1,'IncStmt Data'!G$602:G$2999),0)),"")</f>
        <v/>
      </c>
      <c r="AQ10" s="14" t="str">
        <f>IFERROR(INDEX('IncStmt Data'!H$617:H$2999,MATCH(A10,IF('IncStmt Data'!A$617=AQ$1,'IncStmt Data'!G$617:G$2999),0)),"")</f>
        <v/>
      </c>
      <c r="AR10" s="14" t="str">
        <f>IFERROR(INDEX('IncStmt Data'!H$632:H$2999,MATCH(A10,IF('IncStmt Data'!A$632=AR$1,'IncStmt Data'!G$632:G$2999),0)),"")</f>
        <v/>
      </c>
      <c r="AS10" s="14" t="str">
        <f>IFERROR(INDEX('IncStmt Data'!H$647:H$2999,MATCH(A10,IF('IncStmt Data'!A$647=AS$1,'IncStmt Data'!G$647:G$2999),0)),"")</f>
        <v/>
      </c>
    </row>
    <row r="11" spans="1:104" x14ac:dyDescent="0.25">
      <c r="A11" s="1" t="s">
        <v>127</v>
      </c>
      <c r="B11" s="8">
        <f>IFERROR(INDEX('IncStmt Data'!H$2:H$2999,MATCH(A11,IF('IncStmt Data'!A$2=B$1,'IncStmt Data'!G$2:G$2999),0)),"")</f>
        <v>5654</v>
      </c>
      <c r="C11" s="8">
        <f>IFERROR(INDEX('IncStmt Data'!H$17:H$2999,MATCH(A11,IF('IncStmt Data'!A$17=C$1,'IncStmt Data'!G$17:G$2999),0)),"")</f>
        <v>1245</v>
      </c>
      <c r="D11" s="14">
        <f>IFERROR(INDEX('IncStmt Data'!H$32:H$2999,MATCH(A11,IF('IncStmt Data'!A$32=D$1,'IncStmt Data'!G$32:G$2999),0)),"")</f>
        <v>6512</v>
      </c>
      <c r="E11" s="14">
        <f>IFERROR(INDEX('IncStmt Data'!H$47:H$2999,MATCH(A11,IF('IncStmt Data'!A$47=E$1,'IncStmt Data'!G$47:G$2999),0)),"")</f>
        <v>1111</v>
      </c>
      <c r="F11" s="14">
        <f>IFERROR(INDEX('IncStmt Data'!H$62:H$2999,MATCH(A11,IF('IncStmt Data'!A$62=F$1,'IncStmt Data'!G$62:G$2999),0)),"")</f>
        <v>6325</v>
      </c>
      <c r="G11" s="14">
        <f>IFERROR(INDEX('IncStmt Data'!H$77:H$2999,MATCH(A11,IF('IncStmt Data'!A$77=G$1,'IncStmt Data'!G$77:G$2999),0)),"")</f>
        <v>1111</v>
      </c>
      <c r="H11" s="14">
        <f>IFERROR(INDEX('IncStmt Data'!H$92:H$2999,MATCH(A11,IF('IncStmt Data'!A$92=H$1,'IncStmt Data'!G$92:G$2999),0)),"")</f>
        <v>9658</v>
      </c>
      <c r="I11" s="15">
        <f>IFERROR(INDEX('IncStmt Data'!H$107:H$2999,MATCH(A11,IF('IncStmt Data'!A$107=I$1,'IncStmt Data'!G$107:G$2999),0)),"")</f>
        <v>2556</v>
      </c>
      <c r="J11" s="14" t="str">
        <f>IFERROR(INDEX('IncStmt Data'!H$122:H$2999,MATCH(A11,IF('IncStmt Data'!A$122=J$1,'IncStmt Data'!G$122:G$2999),0)),"")</f>
        <v/>
      </c>
      <c r="K11" s="14" t="str">
        <f>IFERROR(INDEX('IncStmt Data'!H$137:H$2999,MATCH(A11,IF('IncStmt Data'!A$137=K$1,'IncStmt Data'!G$137:G$2999),0)),"")</f>
        <v/>
      </c>
      <c r="L11" s="14" t="str">
        <f>IFERROR(INDEX('IncStmt Data'!H$152:H$2999,MATCH(A11,IF('IncStmt Data'!A$152=L$1,'IncStmt Data'!G$152:G$2999),0)),"")</f>
        <v/>
      </c>
      <c r="M11" s="14" t="str">
        <f>IFERROR(INDEX('IncStmt Data'!H$167:H$2999,MATCH(A11,IF('IncStmt Data'!A$167=M$1,'IncStmt Data'!G$167:G$2999),0)),"")</f>
        <v/>
      </c>
      <c r="N11" s="14" t="str">
        <f>IFERROR(INDEX('IncStmt Data'!H$182:H$2999,MATCH(A11,IF('IncStmt Data'!A$182=N$1,'IncStmt Data'!G$182:G$2999),0)),"")</f>
        <v/>
      </c>
      <c r="O11" s="14" t="str">
        <f>IFERROR(INDEX('IncStmt Data'!H$197:H$2999,MATCH(A11,IF('IncStmt Data'!A$197=O$1,'IncStmt Data'!G$197:G$2999),0)),"")</f>
        <v/>
      </c>
      <c r="P11" s="14" t="str">
        <f>IFERROR(INDEX('IncStmt Data'!H$212:H$2999,MATCH(A11,IF('IncStmt Data'!A$212=P$1,'IncStmt Data'!G$212:G$2999),0)),"")</f>
        <v/>
      </c>
      <c r="Q11" s="14" t="str">
        <f>IFERROR(INDEX('IncStmt Data'!H$227:H$2999,MATCH(A11,IF('IncStmt Data'!A$227=Q$1,'IncStmt Data'!G$227:G$2999),0)),"")</f>
        <v/>
      </c>
      <c r="R11" s="14" t="str">
        <f>IFERROR(INDEX('IncStmt Data'!H$242:H$2999,MATCH(A11,IF('IncStmt Data'!A$242=R$1,'IncStmt Data'!G$242:G$2999),0)),"")</f>
        <v/>
      </c>
      <c r="S11" s="14" t="str">
        <f>IFERROR(INDEX('IncStmt Data'!H$257:H$2999,MATCH(A11,IF('IncStmt Data'!A$257=S$1,'IncStmt Data'!G$257:G$2999),0)),"")</f>
        <v/>
      </c>
      <c r="T11" s="14" t="str">
        <f>IFERROR(INDEX('IncStmt Data'!H$272:H$2999,MATCH(A11,IF('IncStmt Data'!A$272=T$1,'IncStmt Data'!G$272:G$2999),0)),"")</f>
        <v/>
      </c>
      <c r="U11" s="14" t="str">
        <f>IFERROR(INDEX('IncStmt Data'!H$287:H$2999,MATCH(A11,IF('IncStmt Data'!A$287=U$1,'IncStmt Data'!G$287:G$2999),0)),"")</f>
        <v/>
      </c>
      <c r="V11" s="14" t="str">
        <f>IFERROR(INDEX('IncStmt Data'!H$302:H$2999,MATCH(A11,IF('IncStmt Data'!A$302=V$1,'IncStmt Data'!G$302:G$2999),0)),"")</f>
        <v/>
      </c>
      <c r="W11" s="14" t="str">
        <f>IFERROR(INDEX('IncStmt Data'!H$317:H$2999,MATCH(A11,IF('IncStmt Data'!A$317=W$1,'IncStmt Data'!G$317:G$2999),0)),"")</f>
        <v/>
      </c>
      <c r="X11" s="14" t="str">
        <f>IFERROR(INDEX('IncStmt Data'!H$332:H$2999,MATCH(A11,IF('IncStmt Data'!A$332=X$1,'IncStmt Data'!G$332:G$2999),0)),"")</f>
        <v/>
      </c>
      <c r="Y11" s="14" t="str">
        <f>IFERROR(INDEX('IncStmt Data'!H$347:H$2999,MATCH(A11,IF('IncStmt Data'!A$347=Y$1,'IncStmt Data'!G$347:G$2999),0)),"")</f>
        <v/>
      </c>
      <c r="Z11" s="14" t="str">
        <f>IFERROR(INDEX('IncStmt Data'!H$362:H$2999,MATCH(A11,IF('IncStmt Data'!A$362=Z$1,'IncStmt Data'!G$362:G$2999),0)),"")</f>
        <v/>
      </c>
      <c r="AA11" s="14" t="str">
        <f>IFERROR(INDEX('IncStmt Data'!H$377:H$2999,MATCH(A11,IF('IncStmt Data'!A$377=AA$1,'IncStmt Data'!G$377:G$2999),0)),"")</f>
        <v/>
      </c>
      <c r="AB11" s="14" t="str">
        <f>IFERROR(INDEX('IncStmt Data'!H$392:H$2999,MATCH(A11,IF('IncStmt Data'!A$392=AB$1,'IncStmt Data'!G$392:G$2999),0)),"")</f>
        <v/>
      </c>
      <c r="AC11" s="14" t="str">
        <f>IFERROR(INDEX('IncStmt Data'!H$407:H$2999,MATCH(A11,IF('IncStmt Data'!A$407=AC$1,'IncStmt Data'!G$407:G$2999),0)),"")</f>
        <v/>
      </c>
      <c r="AD11" s="14" t="str">
        <f>IFERROR(INDEX('IncStmt Data'!H$422:H$2999,MATCH(A11,IF('IncStmt Data'!A$422=AD$1,'IncStmt Data'!G$422:G$2999),0)),"")</f>
        <v/>
      </c>
      <c r="AE11" s="14" t="str">
        <f>IFERROR(INDEX('IncStmt Data'!H$437:H$2999,MATCH(A11,IF('IncStmt Data'!A$437=AE$1,'IncStmt Data'!G$437:G$2999),0)),"")</f>
        <v/>
      </c>
      <c r="AF11" s="14" t="str">
        <f>IFERROR(INDEX('IncStmt Data'!H$452:H$2999,MATCH(A11,IF('IncStmt Data'!A$452=AF$1,'IncStmt Data'!G$452:G$2999),0)),"")</f>
        <v/>
      </c>
      <c r="AG11" s="14" t="str">
        <f>IFERROR(INDEX('IncStmt Data'!H$467:H$2999,MATCH(A11,IF('IncStmt Data'!A$467=AG$1,'IncStmt Data'!G$467:G$2999),0)),"")</f>
        <v/>
      </c>
      <c r="AH11" s="14" t="str">
        <f>IFERROR(INDEX('IncStmt Data'!H$482:H$2999,MATCH(A11,IF('IncStmt Data'!A$482=AH$1,'IncStmt Data'!G$482:G$2999),0)),"")</f>
        <v/>
      </c>
      <c r="AI11" s="14" t="str">
        <f>IFERROR(INDEX('IncStmt Data'!H$497:H$2999,MATCH(A11,IF('IncStmt Data'!A$497=AI$1,'IncStmt Data'!G$497:G$2999),0)),"")</f>
        <v/>
      </c>
      <c r="AJ11" s="14" t="str">
        <f>IFERROR(INDEX('IncStmt Data'!H$512:H$2999,MATCH(A11,IF('IncStmt Data'!A$512=AJ$1,'IncStmt Data'!G$512:G$2999),0)),"")</f>
        <v/>
      </c>
      <c r="AK11" s="14" t="str">
        <f>IFERROR(INDEX('IncStmt Data'!H$527:H$2999,MATCH(A11,IF('IncStmt Data'!A$527=AK$1,'IncStmt Data'!G$527:G$2999),0)),"")</f>
        <v/>
      </c>
      <c r="AL11" s="14" t="str">
        <f>IFERROR(INDEX('IncStmt Data'!H$542:H$2999,MATCH(A11,IF('IncStmt Data'!A$542=AL$1,'IncStmt Data'!G$542:G$2999),0)),"")</f>
        <v/>
      </c>
      <c r="AM11" s="14" t="str">
        <f>IFERROR(INDEX('IncStmt Data'!H$557:H$2999,MATCH(A11,IF('IncStmt Data'!A$557=AM$1,'IncStmt Data'!G$557:G$2999),0)),"")</f>
        <v/>
      </c>
      <c r="AN11" s="14" t="str">
        <f>IFERROR(INDEX('IncStmt Data'!H$572:H$2999,MATCH(A11,IF('IncStmt Data'!A$572=AN$1,'IncStmt Data'!G$572:G$2999),0)),"")</f>
        <v/>
      </c>
      <c r="AO11" s="14" t="str">
        <f>IFERROR(INDEX('IncStmt Data'!H$587:H$2999,MATCH(A11,IF('IncStmt Data'!A$587=AO$1,'IncStmt Data'!G$587:G$2999),0)),"")</f>
        <v/>
      </c>
      <c r="AP11" s="14" t="str">
        <f>IFERROR(INDEX('IncStmt Data'!H$602:H$2999,MATCH(A11,IF('IncStmt Data'!A$602=AP$1,'IncStmt Data'!G$602:G$2999),0)),"")</f>
        <v/>
      </c>
      <c r="AQ11" s="14" t="str">
        <f>IFERROR(INDEX('IncStmt Data'!H$617:H$2999,MATCH(A11,IF('IncStmt Data'!A$617=AQ$1,'IncStmt Data'!G$617:G$2999),0)),"")</f>
        <v/>
      </c>
      <c r="AR11" s="14" t="str">
        <f>IFERROR(INDEX('IncStmt Data'!H$632:H$2999,MATCH(A11,IF('IncStmt Data'!A$632=AR$1,'IncStmt Data'!G$632:G$2999),0)),"")</f>
        <v/>
      </c>
      <c r="AS11" s="14" t="str">
        <f>IFERROR(INDEX('IncStmt Data'!H$647:H$2999,MATCH(A11,IF('IncStmt Data'!A$647=AS$1,'IncStmt Data'!G$647:G$2999),0)),"")</f>
        <v/>
      </c>
    </row>
    <row r="12" spans="1:104" x14ac:dyDescent="0.25">
      <c r="A12" s="1" t="s">
        <v>128</v>
      </c>
      <c r="B12" s="8">
        <f>IFERROR(INDEX('IncStmt Data'!H$2:H$2999,MATCH(A12,IF('IncStmt Data'!A$2=B$1,'IncStmt Data'!G$2:G$2999),0)),"")</f>
        <v>5654</v>
      </c>
      <c r="C12" s="8">
        <f>IFERROR(INDEX('IncStmt Data'!H$17:H$2999,MATCH(A12,IF('IncStmt Data'!A$17=C$1,'IncStmt Data'!G$17:G$2999),0)),"")</f>
        <v>1245</v>
      </c>
      <c r="D12" s="14">
        <f>IFERROR(INDEX('IncStmt Data'!H$32:H$2999,MATCH(A12,IF('IncStmt Data'!A$32=D$1,'IncStmt Data'!G$32:G$2999),0)),"")</f>
        <v>11154</v>
      </c>
      <c r="E12" s="14">
        <f>IFERROR(INDEX('IncStmt Data'!H$47:H$2999,MATCH(A12,IF('IncStmt Data'!A$47=E$1,'IncStmt Data'!G$47:G$2999),0)),"")</f>
        <v>1111</v>
      </c>
      <c r="F12" s="14">
        <f>IFERROR(INDEX('IncStmt Data'!H$62:H$2999,MATCH(A12,IF('IncStmt Data'!A$62=F$1,'IncStmt Data'!G$62:G$2999),0)),"")</f>
        <v>6325</v>
      </c>
      <c r="G12" s="14">
        <f>IFERROR(INDEX('IncStmt Data'!H$77:H$2999,MATCH(A12,IF('IncStmt Data'!A$77=G$1,'IncStmt Data'!G$77:G$2999),0)),"")</f>
        <v>2445</v>
      </c>
      <c r="H12" s="14">
        <f>IFERROR(INDEX('IncStmt Data'!H$92:H$2999,MATCH(A12,IF('IncStmt Data'!A$92=H$1,'IncStmt Data'!G$92:G$2999),0)),"")</f>
        <v>7896</v>
      </c>
      <c r="I12" s="15">
        <f>IFERROR(INDEX('IncStmt Data'!H$107:H$2999,MATCH(A12,IF('IncStmt Data'!A$107=I$1,'IncStmt Data'!G$107:G$2999),0)),"")</f>
        <v>2556</v>
      </c>
      <c r="J12" s="14" t="str">
        <f>IFERROR(INDEX('IncStmt Data'!H$122:H$2999,MATCH(A12,IF('IncStmt Data'!A$122=J$1,'IncStmt Data'!G$122:G$2999),0)),"")</f>
        <v/>
      </c>
      <c r="K12" s="14" t="str">
        <f>IFERROR(INDEX('IncStmt Data'!H$137:H$2999,MATCH(A12,IF('IncStmt Data'!A$137=K$1,'IncStmt Data'!G$137:G$2999),0)),"")</f>
        <v/>
      </c>
      <c r="L12" s="14" t="str">
        <f>IFERROR(INDEX('IncStmt Data'!H$152:H$2999,MATCH(A12,IF('IncStmt Data'!A$152=L$1,'IncStmt Data'!G$152:G$2999),0)),"")</f>
        <v/>
      </c>
      <c r="M12" s="14" t="str">
        <f>IFERROR(INDEX('IncStmt Data'!H$167:H$2999,MATCH(A12,IF('IncStmt Data'!A$167=M$1,'IncStmt Data'!G$167:G$2999),0)),"")</f>
        <v/>
      </c>
      <c r="N12" s="14" t="str">
        <f>IFERROR(INDEX('IncStmt Data'!H$182:H$2999,MATCH(A12,IF('IncStmt Data'!A$182=N$1,'IncStmt Data'!G$182:G$2999),0)),"")</f>
        <v/>
      </c>
      <c r="O12" s="14" t="str">
        <f>IFERROR(INDEX('IncStmt Data'!H$197:H$2999,MATCH(A12,IF('IncStmt Data'!A$197=O$1,'IncStmt Data'!G$197:G$2999),0)),"")</f>
        <v/>
      </c>
      <c r="P12" s="14" t="str">
        <f>IFERROR(INDEX('IncStmt Data'!H$212:H$2999,MATCH(A12,IF('IncStmt Data'!A$212=P$1,'IncStmt Data'!G$212:G$2999),0)),"")</f>
        <v/>
      </c>
      <c r="Q12" s="14" t="str">
        <f>IFERROR(INDEX('IncStmt Data'!H$227:H$2999,MATCH(A12,IF('IncStmt Data'!A$227=Q$1,'IncStmt Data'!G$227:G$2999),0)),"")</f>
        <v/>
      </c>
      <c r="R12" s="14" t="str">
        <f>IFERROR(INDEX('IncStmt Data'!H$242:H$2999,MATCH(A12,IF('IncStmt Data'!A$242=R$1,'IncStmt Data'!G$242:G$2999),0)),"")</f>
        <v/>
      </c>
      <c r="S12" s="14" t="str">
        <f>IFERROR(INDEX('IncStmt Data'!H$257:H$2999,MATCH(A12,IF('IncStmt Data'!A$257=S$1,'IncStmt Data'!G$257:G$2999),0)),"")</f>
        <v/>
      </c>
      <c r="T12" s="14" t="str">
        <f>IFERROR(INDEX('IncStmt Data'!H$272:H$2999,MATCH(A12,IF('IncStmt Data'!A$272=T$1,'IncStmt Data'!G$272:G$2999),0)),"")</f>
        <v/>
      </c>
      <c r="U12" s="14" t="str">
        <f>IFERROR(INDEX('IncStmt Data'!H$287:H$2999,MATCH(A12,IF('IncStmt Data'!A$287=U$1,'IncStmt Data'!G$287:G$2999),0)),"")</f>
        <v/>
      </c>
      <c r="V12" s="14" t="str">
        <f>IFERROR(INDEX('IncStmt Data'!H$302:H$2999,MATCH(A12,IF('IncStmt Data'!A$302=V$1,'IncStmt Data'!G$302:G$2999),0)),"")</f>
        <v/>
      </c>
      <c r="W12" s="14" t="str">
        <f>IFERROR(INDEX('IncStmt Data'!H$317:H$2999,MATCH(A12,IF('IncStmt Data'!A$317=W$1,'IncStmt Data'!G$317:G$2999),0)),"")</f>
        <v/>
      </c>
      <c r="X12" s="14" t="str">
        <f>IFERROR(INDEX('IncStmt Data'!H$332:H$2999,MATCH(A12,IF('IncStmt Data'!A$332=X$1,'IncStmt Data'!G$332:G$2999),0)),"")</f>
        <v/>
      </c>
      <c r="Y12" s="14" t="str">
        <f>IFERROR(INDEX('IncStmt Data'!H$347:H$2999,MATCH(A12,IF('IncStmt Data'!A$347=Y$1,'IncStmt Data'!G$347:G$2999),0)),"")</f>
        <v/>
      </c>
      <c r="Z12" s="14" t="str">
        <f>IFERROR(INDEX('IncStmt Data'!H$362:H$2999,MATCH(A12,IF('IncStmt Data'!A$362=Z$1,'IncStmt Data'!G$362:G$2999),0)),"")</f>
        <v/>
      </c>
      <c r="AA12" s="14" t="str">
        <f>IFERROR(INDEX('IncStmt Data'!H$377:H$2999,MATCH(A12,IF('IncStmt Data'!A$377=AA$1,'IncStmt Data'!G$377:G$2999),0)),"")</f>
        <v/>
      </c>
      <c r="AB12" s="14" t="str">
        <f>IFERROR(INDEX('IncStmt Data'!H$392:H$2999,MATCH(A12,IF('IncStmt Data'!A$392=AB$1,'IncStmt Data'!G$392:G$2999),0)),"")</f>
        <v/>
      </c>
      <c r="AC12" s="14" t="str">
        <f>IFERROR(INDEX('IncStmt Data'!H$407:H$2999,MATCH(A12,IF('IncStmt Data'!A$407=AC$1,'IncStmt Data'!G$407:G$2999),0)),"")</f>
        <v/>
      </c>
      <c r="AD12" s="14" t="str">
        <f>IFERROR(INDEX('IncStmt Data'!H$422:H$2999,MATCH(A12,IF('IncStmt Data'!A$422=AD$1,'IncStmt Data'!G$422:G$2999),0)),"")</f>
        <v/>
      </c>
      <c r="AE12" s="14" t="str">
        <f>IFERROR(INDEX('IncStmt Data'!H$437:H$2999,MATCH(A12,IF('IncStmt Data'!A$437=AE$1,'IncStmt Data'!G$437:G$2999),0)),"")</f>
        <v/>
      </c>
      <c r="AF12" s="14" t="str">
        <f>IFERROR(INDEX('IncStmt Data'!H$452:H$2999,MATCH(A12,IF('IncStmt Data'!A$452=AF$1,'IncStmt Data'!G$452:G$2999),0)),"")</f>
        <v/>
      </c>
      <c r="AG12" s="14" t="str">
        <f>IFERROR(INDEX('IncStmt Data'!H$467:H$2999,MATCH(A12,IF('IncStmt Data'!A$467=AG$1,'IncStmt Data'!G$467:G$2999),0)),"")</f>
        <v/>
      </c>
      <c r="AH12" s="14" t="str">
        <f>IFERROR(INDEX('IncStmt Data'!H$482:H$2999,MATCH(A12,IF('IncStmt Data'!A$482=AH$1,'IncStmt Data'!G$482:G$2999),0)),"")</f>
        <v/>
      </c>
      <c r="AI12" s="14" t="str">
        <f>IFERROR(INDEX('IncStmt Data'!H$497:H$2999,MATCH(A12,IF('IncStmt Data'!A$497=AI$1,'IncStmt Data'!G$497:G$2999),0)),"")</f>
        <v/>
      </c>
      <c r="AJ12" s="14" t="str">
        <f>IFERROR(INDEX('IncStmt Data'!H$512:H$2999,MATCH(A12,IF('IncStmt Data'!A$512=AJ$1,'IncStmt Data'!G$512:G$2999),0)),"")</f>
        <v/>
      </c>
      <c r="AK12" s="14" t="str">
        <f>IFERROR(INDEX('IncStmt Data'!H$527:H$2999,MATCH(A12,IF('IncStmt Data'!A$527=AK$1,'IncStmt Data'!G$527:G$2999),0)),"")</f>
        <v/>
      </c>
      <c r="AL12" s="14" t="str">
        <f>IFERROR(INDEX('IncStmt Data'!H$542:H$2999,MATCH(A12,IF('IncStmt Data'!A$542=AL$1,'IncStmt Data'!G$542:G$2999),0)),"")</f>
        <v/>
      </c>
      <c r="AM12" s="14" t="str">
        <f>IFERROR(INDEX('IncStmt Data'!H$557:H$2999,MATCH(A12,IF('IncStmt Data'!A$557=AM$1,'IncStmt Data'!G$557:G$2999),0)),"")</f>
        <v/>
      </c>
      <c r="AN12" s="14" t="str">
        <f>IFERROR(INDEX('IncStmt Data'!H$572:H$2999,MATCH(A12,IF('IncStmt Data'!A$572=AN$1,'IncStmt Data'!G$572:G$2999),0)),"")</f>
        <v/>
      </c>
      <c r="AO12" s="14" t="str">
        <f>IFERROR(INDEX('IncStmt Data'!H$587:H$2999,MATCH(A12,IF('IncStmt Data'!A$587=AO$1,'IncStmt Data'!G$587:G$2999),0)),"")</f>
        <v/>
      </c>
      <c r="AP12" s="14" t="str">
        <f>IFERROR(INDEX('IncStmt Data'!H$602:H$2999,MATCH(A12,IF('IncStmt Data'!A$602=AP$1,'IncStmt Data'!G$602:G$2999),0)),"")</f>
        <v/>
      </c>
      <c r="AQ12" s="14" t="str">
        <f>IFERROR(INDEX('IncStmt Data'!H$617:H$2999,MATCH(A12,IF('IncStmt Data'!A$617=AQ$1,'IncStmt Data'!G$617:G$2999),0)),"")</f>
        <v/>
      </c>
      <c r="AR12" s="14" t="str">
        <f>IFERROR(INDEX('IncStmt Data'!H$632:H$2999,MATCH(A12,IF('IncStmt Data'!A$632=AR$1,'IncStmt Data'!G$632:G$2999),0)),"")</f>
        <v/>
      </c>
      <c r="AS12" s="14" t="str">
        <f>IFERROR(INDEX('IncStmt Data'!H$647:H$2999,MATCH(A12,IF('IncStmt Data'!A$647=AS$1,'IncStmt Data'!G$647:G$2999),0)),"")</f>
        <v/>
      </c>
    </row>
    <row r="13" spans="1:104" x14ac:dyDescent="0.25">
      <c r="A13" s="1" t="s">
        <v>129</v>
      </c>
      <c r="B13" s="8">
        <f>IFERROR(INDEX('IncStmt Data'!H$2:H$2999,MATCH(A13,IF('IncStmt Data'!A$2=B$1,'IncStmt Data'!G$2:G$2999),0)),"")</f>
        <v>5654</v>
      </c>
      <c r="C13" s="8">
        <f>IFERROR(INDEX('IncStmt Data'!H$17:H$2999,MATCH(A13,IF('IncStmt Data'!A$17=C$1,'IncStmt Data'!G$17:G$2999),0)),"")</f>
        <v>1245</v>
      </c>
      <c r="D13" s="14">
        <f>IFERROR(INDEX('IncStmt Data'!H$32:H$2999,MATCH(A13,IF('IncStmt Data'!A$32=D$1,'IncStmt Data'!G$32:G$2999),0)),"")</f>
        <v>11154</v>
      </c>
      <c r="E13" s="14">
        <f>IFERROR(INDEX('IncStmt Data'!H$47:H$2999,MATCH(A13,IF('IncStmt Data'!A$47=E$1,'IncStmt Data'!G$47:G$2999),0)),"")</f>
        <v>1111</v>
      </c>
      <c r="F13" s="14">
        <f>IFERROR(INDEX('IncStmt Data'!H$62:H$2999,MATCH(A13,IF('IncStmt Data'!A$62=F$1,'IncStmt Data'!G$62:G$2999),0)),"")</f>
        <v>6325</v>
      </c>
      <c r="G13" s="14">
        <f>IFERROR(INDEX('IncStmt Data'!H$77:H$2999,MATCH(A13,IF('IncStmt Data'!A$77=G$1,'IncStmt Data'!G$77:G$2999),0)),"")</f>
        <v>2445</v>
      </c>
      <c r="H13" s="14">
        <f>IFERROR(INDEX('IncStmt Data'!H$92:H$2999,MATCH(A13,IF('IncStmt Data'!A$92=H$1,'IncStmt Data'!G$92:G$2999),0)),"")</f>
        <v>6888</v>
      </c>
      <c r="I13" s="15">
        <f>IFERROR(INDEX('IncStmt Data'!H$107:H$2999,MATCH(A13,IF('IncStmt Data'!A$107=I$1,'IncStmt Data'!G$107:G$2999),0)),"")</f>
        <v>2556</v>
      </c>
      <c r="J13" s="14" t="str">
        <f>IFERROR(INDEX('IncStmt Data'!H$122:H$2999,MATCH(A13,IF('IncStmt Data'!A$122=J$1,'IncStmt Data'!G$122:G$2999),0)),"")</f>
        <v/>
      </c>
      <c r="K13" s="14" t="str">
        <f>IFERROR(INDEX('IncStmt Data'!H$137:H$2999,MATCH(A13,IF('IncStmt Data'!A$137=K$1,'IncStmt Data'!G$137:G$2999),0)),"")</f>
        <v/>
      </c>
      <c r="L13" s="14" t="str">
        <f>IFERROR(INDEX('IncStmt Data'!H$152:H$2999,MATCH(A13,IF('IncStmt Data'!A$152=L$1,'IncStmt Data'!G$152:G$2999),0)),"")</f>
        <v/>
      </c>
      <c r="M13" s="14" t="str">
        <f>IFERROR(INDEX('IncStmt Data'!H$167:H$2999,MATCH(A13,IF('IncStmt Data'!A$167=M$1,'IncStmt Data'!G$167:G$2999),0)),"")</f>
        <v/>
      </c>
      <c r="N13" s="14" t="str">
        <f>IFERROR(INDEX('IncStmt Data'!H$182:H$2999,MATCH(A13,IF('IncStmt Data'!A$182=N$1,'IncStmt Data'!G$182:G$2999),0)),"")</f>
        <v/>
      </c>
      <c r="O13" s="14" t="str">
        <f>IFERROR(INDEX('IncStmt Data'!H$197:H$2999,MATCH(A13,IF('IncStmt Data'!A$197=O$1,'IncStmt Data'!G$197:G$2999),0)),"")</f>
        <v/>
      </c>
      <c r="P13" s="14" t="str">
        <f>IFERROR(INDEX('IncStmt Data'!H$212:H$2999,MATCH(A13,IF('IncStmt Data'!A$212=P$1,'IncStmt Data'!G$212:G$2999),0)),"")</f>
        <v/>
      </c>
      <c r="Q13" s="14" t="str">
        <f>IFERROR(INDEX('IncStmt Data'!H$227:H$2999,MATCH(A13,IF('IncStmt Data'!A$227=Q$1,'IncStmt Data'!G$227:G$2999),0)),"")</f>
        <v/>
      </c>
      <c r="R13" s="14" t="str">
        <f>IFERROR(INDEX('IncStmt Data'!H$242:H$2999,MATCH(A13,IF('IncStmt Data'!A$242=R$1,'IncStmt Data'!G$242:G$2999),0)),"")</f>
        <v/>
      </c>
      <c r="S13" s="14" t="str">
        <f>IFERROR(INDEX('IncStmt Data'!H$257:H$2999,MATCH(A13,IF('IncStmt Data'!A$257=S$1,'IncStmt Data'!G$257:G$2999),0)),"")</f>
        <v/>
      </c>
      <c r="T13" s="14" t="str">
        <f>IFERROR(INDEX('IncStmt Data'!H$272:H$2999,MATCH(A13,IF('IncStmt Data'!A$272=T$1,'IncStmt Data'!G$272:G$2999),0)),"")</f>
        <v/>
      </c>
      <c r="U13" s="14" t="str">
        <f>IFERROR(INDEX('IncStmt Data'!H$287:H$2999,MATCH(A13,IF('IncStmt Data'!A$287=U$1,'IncStmt Data'!G$287:G$2999),0)),"")</f>
        <v/>
      </c>
      <c r="V13" s="14" t="str">
        <f>IFERROR(INDEX('IncStmt Data'!H$302:H$2999,MATCH(A13,IF('IncStmt Data'!A$302=V$1,'IncStmt Data'!G$302:G$2999),0)),"")</f>
        <v/>
      </c>
      <c r="W13" s="14" t="str">
        <f>IFERROR(INDEX('IncStmt Data'!H$317:H$2999,MATCH(A13,IF('IncStmt Data'!A$317=W$1,'IncStmt Data'!G$317:G$2999),0)),"")</f>
        <v/>
      </c>
      <c r="X13" s="14" t="str">
        <f>IFERROR(INDEX('IncStmt Data'!H$332:H$2999,MATCH(A13,IF('IncStmt Data'!A$332=X$1,'IncStmt Data'!G$332:G$2999),0)),"")</f>
        <v/>
      </c>
      <c r="Y13" s="14" t="str">
        <f>IFERROR(INDEX('IncStmt Data'!H$347:H$2999,MATCH(A13,IF('IncStmt Data'!A$347=Y$1,'IncStmt Data'!G$347:G$2999),0)),"")</f>
        <v/>
      </c>
      <c r="Z13" s="14" t="str">
        <f>IFERROR(INDEX('IncStmt Data'!H$362:H$2999,MATCH(A13,IF('IncStmt Data'!A$362=Z$1,'IncStmt Data'!G$362:G$2999),0)),"")</f>
        <v/>
      </c>
      <c r="AA13" s="14" t="str">
        <f>IFERROR(INDEX('IncStmt Data'!H$377:H$2999,MATCH(A13,IF('IncStmt Data'!A$377=AA$1,'IncStmt Data'!G$377:G$2999),0)),"")</f>
        <v/>
      </c>
      <c r="AB13" s="14" t="str">
        <f>IFERROR(INDEX('IncStmt Data'!H$392:H$2999,MATCH(A13,IF('IncStmt Data'!A$392=AB$1,'IncStmt Data'!G$392:G$2999),0)),"")</f>
        <v/>
      </c>
      <c r="AC13" s="14" t="str">
        <f>IFERROR(INDEX('IncStmt Data'!H$407:H$2999,MATCH(A13,IF('IncStmt Data'!A$407=AC$1,'IncStmt Data'!G$407:G$2999),0)),"")</f>
        <v/>
      </c>
      <c r="AD13" s="14" t="str">
        <f>IFERROR(INDEX('IncStmt Data'!H$422:H$2999,MATCH(A13,IF('IncStmt Data'!A$422=AD$1,'IncStmt Data'!G$422:G$2999),0)),"")</f>
        <v/>
      </c>
      <c r="AE13" s="14" t="str">
        <f>IFERROR(INDEX('IncStmt Data'!H$437:H$2999,MATCH(A13,IF('IncStmt Data'!A$437=AE$1,'IncStmt Data'!G$437:G$2999),0)),"")</f>
        <v/>
      </c>
      <c r="AF13" s="14" t="str">
        <f>IFERROR(INDEX('IncStmt Data'!H$452:H$2999,MATCH(A13,IF('IncStmt Data'!A$452=AF$1,'IncStmt Data'!G$452:G$2999),0)),"")</f>
        <v/>
      </c>
      <c r="AG13" s="14" t="str">
        <f>IFERROR(INDEX('IncStmt Data'!H$467:H$2999,MATCH(A13,IF('IncStmt Data'!A$467=AG$1,'IncStmt Data'!G$467:G$2999),0)),"")</f>
        <v/>
      </c>
      <c r="AH13" s="14" t="str">
        <f>IFERROR(INDEX('IncStmt Data'!H$482:H$2999,MATCH(A13,IF('IncStmt Data'!A$482=AH$1,'IncStmt Data'!G$482:G$2999),0)),"")</f>
        <v/>
      </c>
      <c r="AI13" s="14" t="str">
        <f>IFERROR(INDEX('IncStmt Data'!H$497:H$2999,MATCH(A13,IF('IncStmt Data'!A$497=AI$1,'IncStmt Data'!G$497:G$2999),0)),"")</f>
        <v/>
      </c>
      <c r="AJ13" s="14" t="str">
        <f>IFERROR(INDEX('IncStmt Data'!H$512:H$2999,MATCH(A13,IF('IncStmt Data'!A$512=AJ$1,'IncStmt Data'!G$512:G$2999),0)),"")</f>
        <v/>
      </c>
      <c r="AK13" s="14" t="str">
        <f>IFERROR(INDEX('IncStmt Data'!H$527:H$2999,MATCH(A13,IF('IncStmt Data'!A$527=AK$1,'IncStmt Data'!G$527:G$2999),0)),"")</f>
        <v/>
      </c>
      <c r="AL13" s="14" t="str">
        <f>IFERROR(INDEX('IncStmt Data'!H$542:H$2999,MATCH(A13,IF('IncStmt Data'!A$542=AL$1,'IncStmt Data'!G$542:G$2999),0)),"")</f>
        <v/>
      </c>
      <c r="AM13" s="14" t="str">
        <f>IFERROR(INDEX('IncStmt Data'!H$557:H$2999,MATCH(A13,IF('IncStmt Data'!A$557=AM$1,'IncStmt Data'!G$557:G$2999),0)),"")</f>
        <v/>
      </c>
      <c r="AN13" s="14" t="str">
        <f>IFERROR(INDEX('IncStmt Data'!H$572:H$2999,MATCH(A13,IF('IncStmt Data'!A$572=AN$1,'IncStmt Data'!G$572:G$2999),0)),"")</f>
        <v/>
      </c>
      <c r="AO13" s="14" t="str">
        <f>IFERROR(INDEX('IncStmt Data'!H$587:H$2999,MATCH(A13,IF('IncStmt Data'!A$587=AO$1,'IncStmt Data'!G$587:G$2999),0)),"")</f>
        <v/>
      </c>
      <c r="AP13" s="14" t="str">
        <f>IFERROR(INDEX('IncStmt Data'!H$602:H$2999,MATCH(A13,IF('IncStmt Data'!A$602=AP$1,'IncStmt Data'!G$602:G$2999),0)),"")</f>
        <v/>
      </c>
      <c r="AQ13" s="14" t="str">
        <f>IFERROR(INDEX('IncStmt Data'!H$617:H$2999,MATCH(A13,IF('IncStmt Data'!A$617=AQ$1,'IncStmt Data'!G$617:G$2999),0)),"")</f>
        <v/>
      </c>
      <c r="AR13" s="14" t="str">
        <f>IFERROR(INDEX('IncStmt Data'!H$632:H$2999,MATCH(A13,IF('IncStmt Data'!A$632=AR$1,'IncStmt Data'!G$632:G$2999),0)),"")</f>
        <v/>
      </c>
      <c r="AS13" s="14" t="str">
        <f>IFERROR(INDEX('IncStmt Data'!H$647:H$2999,MATCH(A13,IF('IncStmt Data'!A$647=AS$1,'IncStmt Data'!G$647:G$2999),0)),"")</f>
        <v/>
      </c>
    </row>
    <row r="14" spans="1:104" x14ac:dyDescent="0.25">
      <c r="A14" s="1" t="s">
        <v>130</v>
      </c>
      <c r="B14" s="8">
        <f>IFERROR(INDEX('IncStmt Data'!H$2:H$2999,MATCH(A14,IF('IncStmt Data'!A$2=B$1,'IncStmt Data'!G$2:G$2999),0)),"")</f>
        <v>5654</v>
      </c>
      <c r="C14" s="8">
        <f>IFERROR(INDEX('IncStmt Data'!H$17:H$2999,MATCH(A14,IF('IncStmt Data'!A$17=C$1,'IncStmt Data'!G$17:G$2999),0)),"")</f>
        <v>1245</v>
      </c>
      <c r="D14" s="14">
        <f>IFERROR(INDEX('IncStmt Data'!H$32:H$2999,MATCH(A14,IF('IncStmt Data'!A$32=D$1,'IncStmt Data'!G$32:G$2999),0)),"")</f>
        <v>11154</v>
      </c>
      <c r="E14" s="14">
        <f>IFERROR(INDEX('IncStmt Data'!H$47:H$2999,MATCH(A14,IF('IncStmt Data'!A$47=E$1,'IncStmt Data'!G$47:G$2999),0)),"")</f>
        <v>1111</v>
      </c>
      <c r="F14" s="14">
        <f>IFERROR(INDEX('IncStmt Data'!H$62:H$2999,MATCH(A14,IF('IncStmt Data'!A$62=F$1,'IncStmt Data'!G$62:G$2999),0)),"")</f>
        <v>6325</v>
      </c>
      <c r="G14" s="14">
        <f>IFERROR(INDEX('IncStmt Data'!H$77:H$2999,MATCH(A14,IF('IncStmt Data'!A$77=G$1,'IncStmt Data'!G$77:G$2999),0)),"")</f>
        <v>2445</v>
      </c>
      <c r="H14" s="14">
        <f>IFERROR(INDEX('IncStmt Data'!H$92:H$2999,MATCH(A14,IF('IncStmt Data'!A$92=H$1,'IncStmt Data'!G$92:G$2999),0)),"")</f>
        <v>5452</v>
      </c>
      <c r="I14" s="15">
        <f>IFERROR(INDEX('IncStmt Data'!H$107:H$2999,MATCH(A14,IF('IncStmt Data'!A$107=I$1,'IncStmt Data'!G$107:G$2999),0)),"")</f>
        <v>2556</v>
      </c>
      <c r="J14" s="14" t="str">
        <f>IFERROR(INDEX('IncStmt Data'!H$122:H$2999,MATCH(A14,IF('IncStmt Data'!A$122=J$1,'IncStmt Data'!G$122:G$2999),0)),"")</f>
        <v/>
      </c>
      <c r="K14" s="14" t="str">
        <f>IFERROR(INDEX('IncStmt Data'!H$137:H$2999,MATCH(A14,IF('IncStmt Data'!A$137=K$1,'IncStmt Data'!G$137:G$2999),0)),"")</f>
        <v/>
      </c>
      <c r="L14" s="14" t="str">
        <f>IFERROR(INDEX('IncStmt Data'!H$152:H$2999,MATCH(A14,IF('IncStmt Data'!A$152=L$1,'IncStmt Data'!G$152:G$2999),0)),"")</f>
        <v/>
      </c>
      <c r="M14" s="14" t="str">
        <f>IFERROR(INDEX('IncStmt Data'!H$167:H$2999,MATCH(A14,IF('IncStmt Data'!A$167=M$1,'IncStmt Data'!G$167:G$2999),0)),"")</f>
        <v/>
      </c>
      <c r="N14" s="14" t="str">
        <f>IFERROR(INDEX('IncStmt Data'!H$182:H$2999,MATCH(A14,IF('IncStmt Data'!A$182=N$1,'IncStmt Data'!G$182:G$2999),0)),"")</f>
        <v/>
      </c>
      <c r="O14" s="14" t="str">
        <f>IFERROR(INDEX('IncStmt Data'!H$197:H$2999,MATCH(A14,IF('IncStmt Data'!A$197=O$1,'IncStmt Data'!G$197:G$2999),0)),"")</f>
        <v/>
      </c>
      <c r="P14" s="14" t="str">
        <f>IFERROR(INDEX('IncStmt Data'!H$212:H$2999,MATCH(A14,IF('IncStmt Data'!A$212=P$1,'IncStmt Data'!G$212:G$2999),0)),"")</f>
        <v/>
      </c>
      <c r="Q14" s="14" t="str">
        <f>IFERROR(INDEX('IncStmt Data'!H$227:H$2999,MATCH(A14,IF('IncStmt Data'!A$227=Q$1,'IncStmt Data'!G$227:G$2999),0)),"")</f>
        <v/>
      </c>
      <c r="R14" s="14" t="str">
        <f>IFERROR(INDEX('IncStmt Data'!H$242:H$2999,MATCH(A14,IF('IncStmt Data'!A$242=R$1,'IncStmt Data'!G$242:G$2999),0)),"")</f>
        <v/>
      </c>
      <c r="S14" s="14" t="str">
        <f>IFERROR(INDEX('IncStmt Data'!H$257:H$2999,MATCH(A14,IF('IncStmt Data'!A$257=S$1,'IncStmt Data'!G$257:G$2999),0)),"")</f>
        <v/>
      </c>
      <c r="T14" s="14" t="str">
        <f>IFERROR(INDEX('IncStmt Data'!H$272:H$2999,MATCH(A14,IF('IncStmt Data'!A$272=T$1,'IncStmt Data'!G$272:G$2999),0)),"")</f>
        <v/>
      </c>
      <c r="U14" s="14" t="str">
        <f>IFERROR(INDEX('IncStmt Data'!H$287:H$2999,MATCH(A14,IF('IncStmt Data'!A$287=U$1,'IncStmt Data'!G$287:G$2999),0)),"")</f>
        <v/>
      </c>
      <c r="V14" s="14" t="str">
        <f>IFERROR(INDEX('IncStmt Data'!H$302:H$2999,MATCH(A14,IF('IncStmt Data'!A$302=V$1,'IncStmt Data'!G$302:G$2999),0)),"")</f>
        <v/>
      </c>
      <c r="W14" s="14" t="str">
        <f>IFERROR(INDEX('IncStmt Data'!H$317:H$2999,MATCH(A14,IF('IncStmt Data'!A$317=W$1,'IncStmt Data'!G$317:G$2999),0)),"")</f>
        <v/>
      </c>
      <c r="X14" s="14" t="str">
        <f>IFERROR(INDEX('IncStmt Data'!H$332:H$2999,MATCH(A14,IF('IncStmt Data'!A$332=X$1,'IncStmt Data'!G$332:G$2999),0)),"")</f>
        <v/>
      </c>
      <c r="Y14" s="14" t="str">
        <f>IFERROR(INDEX('IncStmt Data'!H$347:H$2999,MATCH(A14,IF('IncStmt Data'!A$347=Y$1,'IncStmt Data'!G$347:G$2999),0)),"")</f>
        <v/>
      </c>
      <c r="Z14" s="14" t="str">
        <f>IFERROR(INDEX('IncStmt Data'!H$362:H$2999,MATCH(A14,IF('IncStmt Data'!A$362=Z$1,'IncStmt Data'!G$362:G$2999),0)),"")</f>
        <v/>
      </c>
      <c r="AA14" s="14" t="str">
        <f>IFERROR(INDEX('IncStmt Data'!H$377:H$2999,MATCH(A14,IF('IncStmt Data'!A$377=AA$1,'IncStmt Data'!G$377:G$2999),0)),"")</f>
        <v/>
      </c>
      <c r="AB14" s="14" t="str">
        <f>IFERROR(INDEX('IncStmt Data'!H$392:H$2999,MATCH(A14,IF('IncStmt Data'!A$392=AB$1,'IncStmt Data'!G$392:G$2999),0)),"")</f>
        <v/>
      </c>
      <c r="AC14" s="14" t="str">
        <f>IFERROR(INDEX('IncStmt Data'!H$407:H$2999,MATCH(A14,IF('IncStmt Data'!A$407=AC$1,'IncStmt Data'!G$407:G$2999),0)),"")</f>
        <v/>
      </c>
      <c r="AD14" s="14" t="str">
        <f>IFERROR(INDEX('IncStmt Data'!H$422:H$2999,MATCH(A14,IF('IncStmt Data'!A$422=AD$1,'IncStmt Data'!G$422:G$2999),0)),"")</f>
        <v/>
      </c>
      <c r="AE14" s="14" t="str">
        <f>IFERROR(INDEX('IncStmt Data'!H$437:H$2999,MATCH(A14,IF('IncStmt Data'!A$437=AE$1,'IncStmt Data'!G$437:G$2999),0)),"")</f>
        <v/>
      </c>
      <c r="AF14" s="14" t="str">
        <f>IFERROR(INDEX('IncStmt Data'!H$452:H$2999,MATCH(A14,IF('IncStmt Data'!A$452=AF$1,'IncStmt Data'!G$452:G$2999),0)),"")</f>
        <v/>
      </c>
      <c r="AG14" s="14" t="str">
        <f>IFERROR(INDEX('IncStmt Data'!H$467:H$2999,MATCH(A14,IF('IncStmt Data'!A$467=AG$1,'IncStmt Data'!G$467:G$2999),0)),"")</f>
        <v/>
      </c>
      <c r="AH14" s="14" t="str">
        <f>IFERROR(INDEX('IncStmt Data'!H$482:H$2999,MATCH(A14,IF('IncStmt Data'!A$482=AH$1,'IncStmt Data'!G$482:G$2999),0)),"")</f>
        <v/>
      </c>
      <c r="AI14" s="14" t="str">
        <f>IFERROR(INDEX('IncStmt Data'!H$497:H$2999,MATCH(A14,IF('IncStmt Data'!A$497=AI$1,'IncStmt Data'!G$497:G$2999),0)),"")</f>
        <v/>
      </c>
      <c r="AJ14" s="14" t="str">
        <f>IFERROR(INDEX('IncStmt Data'!H$512:H$2999,MATCH(A14,IF('IncStmt Data'!A$512=AJ$1,'IncStmt Data'!G$512:G$2999),0)),"")</f>
        <v/>
      </c>
      <c r="AK14" s="14" t="str">
        <f>IFERROR(INDEX('IncStmt Data'!H$527:H$2999,MATCH(A14,IF('IncStmt Data'!A$527=AK$1,'IncStmt Data'!G$527:G$2999),0)),"")</f>
        <v/>
      </c>
      <c r="AL14" s="14" t="str">
        <f>IFERROR(INDEX('IncStmt Data'!H$542:H$2999,MATCH(A14,IF('IncStmt Data'!A$542=AL$1,'IncStmt Data'!G$542:G$2999),0)),"")</f>
        <v/>
      </c>
      <c r="AM14" s="14" t="str">
        <f>IFERROR(INDEX('IncStmt Data'!H$557:H$2999,MATCH(A14,IF('IncStmt Data'!A$557=AM$1,'IncStmt Data'!G$557:G$2999),0)),"")</f>
        <v/>
      </c>
      <c r="AN14" s="14" t="str">
        <f>IFERROR(INDEX('IncStmt Data'!H$572:H$2999,MATCH(A14,IF('IncStmt Data'!A$572=AN$1,'IncStmt Data'!G$572:G$2999),0)),"")</f>
        <v/>
      </c>
      <c r="AO14" s="14" t="str">
        <f>IFERROR(INDEX('IncStmt Data'!H$587:H$2999,MATCH(A14,IF('IncStmt Data'!A$587=AO$1,'IncStmt Data'!G$587:G$2999),0)),"")</f>
        <v/>
      </c>
      <c r="AP14" s="14" t="str">
        <f>IFERROR(INDEX('IncStmt Data'!H$602:H$2999,MATCH(A14,IF('IncStmt Data'!A$602=AP$1,'IncStmt Data'!G$602:G$2999),0)),"")</f>
        <v/>
      </c>
      <c r="AQ14" s="14" t="str">
        <f>IFERROR(INDEX('IncStmt Data'!H$617:H$2999,MATCH(A14,IF('IncStmt Data'!A$617=AQ$1,'IncStmt Data'!G$617:G$2999),0)),"")</f>
        <v/>
      </c>
      <c r="AR14" s="14" t="str">
        <f>IFERROR(INDEX('IncStmt Data'!H$632:H$2999,MATCH(A14,IF('IncStmt Data'!A$632=AR$1,'IncStmt Data'!G$632:G$2999),0)),"")</f>
        <v/>
      </c>
      <c r="AS14" s="14" t="str">
        <f>IFERROR(INDEX('IncStmt Data'!H$647:H$2999,MATCH(A14,IF('IncStmt Data'!A$647=AS$1,'IncStmt Data'!G$647:G$2999),0)),"")</f>
        <v/>
      </c>
    </row>
    <row r="15" spans="1:104" x14ac:dyDescent="0.25">
      <c r="A15" s="1" t="s">
        <v>131</v>
      </c>
      <c r="B15" s="8">
        <f>IFERROR(INDEX('IncStmt Data'!H$2:H$2999,MATCH(A15,IF('IncStmt Data'!A$2=B$1,'IncStmt Data'!G$2:G$2999),0)),"")</f>
        <v>5654</v>
      </c>
      <c r="C15" s="8">
        <f>IFERROR(INDEX('IncStmt Data'!H$17:H$2999,MATCH(A15,IF('IncStmt Data'!A$17=C$1,'IncStmt Data'!G$17:G$2999),0)),"")</f>
        <v>4561</v>
      </c>
      <c r="D15" s="14">
        <f>IFERROR(INDEX('IncStmt Data'!H$32:H$2999,MATCH(A15,IF('IncStmt Data'!A$32=D$1,'IncStmt Data'!G$32:G$2999),0)),"")</f>
        <v>11154</v>
      </c>
      <c r="E15" s="14">
        <f>IFERROR(INDEX('IncStmt Data'!H$47:H$2999,MATCH(A15,IF('IncStmt Data'!A$47=E$1,'IncStmt Data'!G$47:G$2999),0)),"")</f>
        <v>1111</v>
      </c>
      <c r="F15" s="14">
        <f>IFERROR(INDEX('IncStmt Data'!H$62:H$2999,MATCH(A15,IF('IncStmt Data'!A$62=F$1,'IncStmt Data'!G$62:G$2999),0)),"")</f>
        <v>6325</v>
      </c>
      <c r="G15" s="14">
        <f>IFERROR(INDEX('IncStmt Data'!H$77:H$2999,MATCH(A15,IF('IncStmt Data'!A$77=G$1,'IncStmt Data'!G$77:G$2999),0)),"")</f>
        <v>2445</v>
      </c>
      <c r="H15" s="14">
        <f>IFERROR(INDEX('IncStmt Data'!H$92:H$2999,MATCH(A15,IF('IncStmt Data'!A$92=H$1,'IncStmt Data'!G$92:G$2999),0)),"")</f>
        <v>1111</v>
      </c>
      <c r="I15" s="15">
        <f>IFERROR(INDEX('IncStmt Data'!H$107:H$2999,MATCH(A15,IF('IncStmt Data'!A$107=I$1,'IncStmt Data'!G$107:G$2999),0)),"")</f>
        <v>2556</v>
      </c>
      <c r="J15" s="14" t="str">
        <f>IFERROR(INDEX('IncStmt Data'!H$122:H$2999,MATCH(A15,IF('IncStmt Data'!A$122=J$1,'IncStmt Data'!G$122:G$2999),0)),"")</f>
        <v/>
      </c>
      <c r="K15" s="14" t="str">
        <f>IFERROR(INDEX('IncStmt Data'!H$137:H$2999,MATCH(A15,IF('IncStmt Data'!A$137=K$1,'IncStmt Data'!G$137:G$2999),0)),"")</f>
        <v/>
      </c>
      <c r="L15" s="14" t="str">
        <f>IFERROR(INDEX('IncStmt Data'!H$152:H$2999,MATCH(A15,IF('IncStmt Data'!A$152=L$1,'IncStmt Data'!G$152:G$2999),0)),"")</f>
        <v/>
      </c>
      <c r="M15" s="14" t="str">
        <f>IFERROR(INDEX('IncStmt Data'!H$167:H$2999,MATCH(A15,IF('IncStmt Data'!A$167=M$1,'IncStmt Data'!G$167:G$2999),0)),"")</f>
        <v/>
      </c>
      <c r="N15" s="14" t="str">
        <f>IFERROR(INDEX('IncStmt Data'!H$182:H$2999,MATCH(A15,IF('IncStmt Data'!A$182=N$1,'IncStmt Data'!G$182:G$2999),0)),"")</f>
        <v/>
      </c>
      <c r="O15" s="14" t="str">
        <f>IFERROR(INDEX('IncStmt Data'!H$197:H$2999,MATCH(A15,IF('IncStmt Data'!A$197=O$1,'IncStmt Data'!G$197:G$2999),0)),"")</f>
        <v/>
      </c>
      <c r="P15" s="14" t="str">
        <f>IFERROR(INDEX('IncStmt Data'!H$212:H$2999,MATCH(A15,IF('IncStmt Data'!A$212=P$1,'IncStmt Data'!G$212:G$2999),0)),"")</f>
        <v/>
      </c>
      <c r="Q15" s="14" t="str">
        <f>IFERROR(INDEX('IncStmt Data'!H$227:H$2999,MATCH(A15,IF('IncStmt Data'!A$227=Q$1,'IncStmt Data'!G$227:G$2999),0)),"")</f>
        <v/>
      </c>
      <c r="R15" s="14" t="str">
        <f>IFERROR(INDEX('IncStmt Data'!H$242:H$2999,MATCH(A15,IF('IncStmt Data'!A$242=R$1,'IncStmt Data'!G$242:G$2999),0)),"")</f>
        <v/>
      </c>
      <c r="S15" s="14" t="str">
        <f>IFERROR(INDEX('IncStmt Data'!H$257:H$2999,MATCH(A15,IF('IncStmt Data'!A$257=S$1,'IncStmt Data'!G$257:G$2999),0)),"")</f>
        <v/>
      </c>
      <c r="T15" s="14" t="str">
        <f>IFERROR(INDEX('IncStmt Data'!H$272:H$2999,MATCH(A15,IF('IncStmt Data'!A$272=T$1,'IncStmt Data'!G$272:G$2999),0)),"")</f>
        <v/>
      </c>
      <c r="U15" s="14" t="str">
        <f>IFERROR(INDEX('IncStmt Data'!H$287:H$2999,MATCH(A15,IF('IncStmt Data'!A$287=U$1,'IncStmt Data'!G$287:G$2999),0)),"")</f>
        <v/>
      </c>
      <c r="V15" s="14" t="str">
        <f>IFERROR(INDEX('IncStmt Data'!H$302:H$2999,MATCH(A15,IF('IncStmt Data'!A$302=V$1,'IncStmt Data'!G$302:G$2999),0)),"")</f>
        <v/>
      </c>
      <c r="W15" s="14" t="str">
        <f>IFERROR(INDEX('IncStmt Data'!H$317:H$2999,MATCH(A15,IF('IncStmt Data'!A$317=W$1,'IncStmt Data'!G$317:G$2999),0)),"")</f>
        <v/>
      </c>
      <c r="X15" s="14" t="str">
        <f>IFERROR(INDEX('IncStmt Data'!H$332:H$2999,MATCH(A15,IF('IncStmt Data'!A$332=X$1,'IncStmt Data'!G$332:G$2999),0)),"")</f>
        <v/>
      </c>
      <c r="Y15" s="14" t="str">
        <f>IFERROR(INDEX('IncStmt Data'!H$347:H$2999,MATCH(A15,IF('IncStmt Data'!A$347=Y$1,'IncStmt Data'!G$347:G$2999),0)),"")</f>
        <v/>
      </c>
      <c r="Z15" s="14" t="str">
        <f>IFERROR(INDEX('IncStmt Data'!H$362:H$2999,MATCH(A15,IF('IncStmt Data'!A$362=Z$1,'IncStmt Data'!G$362:G$2999),0)),"")</f>
        <v/>
      </c>
      <c r="AA15" s="14" t="str">
        <f>IFERROR(INDEX('IncStmt Data'!H$377:H$2999,MATCH(A15,IF('IncStmt Data'!A$377=AA$1,'IncStmt Data'!G$377:G$2999),0)),"")</f>
        <v/>
      </c>
      <c r="AB15" s="14" t="str">
        <f>IFERROR(INDEX('IncStmt Data'!H$392:H$2999,MATCH(A15,IF('IncStmt Data'!A$392=AB$1,'IncStmt Data'!G$392:G$2999),0)),"")</f>
        <v/>
      </c>
      <c r="AC15" s="14" t="str">
        <f>IFERROR(INDEX('IncStmt Data'!H$407:H$2999,MATCH(A15,IF('IncStmt Data'!A$407=AC$1,'IncStmt Data'!G$407:G$2999),0)),"")</f>
        <v/>
      </c>
      <c r="AD15" s="14" t="str">
        <f>IFERROR(INDEX('IncStmt Data'!H$422:H$2999,MATCH(A15,IF('IncStmt Data'!A$422=AD$1,'IncStmt Data'!G$422:G$2999),0)),"")</f>
        <v/>
      </c>
      <c r="AE15" s="14" t="str">
        <f>IFERROR(INDEX('IncStmt Data'!H$437:H$2999,MATCH(A15,IF('IncStmt Data'!A$437=AE$1,'IncStmt Data'!G$437:G$2999),0)),"")</f>
        <v/>
      </c>
      <c r="AF15" s="14" t="str">
        <f>IFERROR(INDEX('IncStmt Data'!H$452:H$2999,MATCH(A15,IF('IncStmt Data'!A$452=AF$1,'IncStmt Data'!G$452:G$2999),0)),"")</f>
        <v/>
      </c>
      <c r="AG15" s="14" t="str">
        <f>IFERROR(INDEX('IncStmt Data'!H$467:H$2999,MATCH(A15,IF('IncStmt Data'!A$467=AG$1,'IncStmt Data'!G$467:G$2999),0)),"")</f>
        <v/>
      </c>
      <c r="AH15" s="14" t="str">
        <f>IFERROR(INDEX('IncStmt Data'!H$482:H$2999,MATCH(A15,IF('IncStmt Data'!A$482=AH$1,'IncStmt Data'!G$482:G$2999),0)),"")</f>
        <v/>
      </c>
      <c r="AI15" s="14" t="str">
        <f>IFERROR(INDEX('IncStmt Data'!H$497:H$2999,MATCH(A15,IF('IncStmt Data'!A$497=AI$1,'IncStmt Data'!G$497:G$2999),0)),"")</f>
        <v/>
      </c>
      <c r="AJ15" s="14" t="str">
        <f>IFERROR(INDEX('IncStmt Data'!H$512:H$2999,MATCH(A15,IF('IncStmt Data'!A$512=AJ$1,'IncStmt Data'!G$512:G$2999),0)),"")</f>
        <v/>
      </c>
      <c r="AK15" s="14" t="str">
        <f>IFERROR(INDEX('IncStmt Data'!H$527:H$2999,MATCH(A15,IF('IncStmt Data'!A$527=AK$1,'IncStmt Data'!G$527:G$2999),0)),"")</f>
        <v/>
      </c>
      <c r="AL15" s="14" t="str">
        <f>IFERROR(INDEX('IncStmt Data'!H$542:H$2999,MATCH(A15,IF('IncStmt Data'!A$542=AL$1,'IncStmt Data'!G$542:G$2999),0)),"")</f>
        <v/>
      </c>
      <c r="AM15" s="14" t="str">
        <f>IFERROR(INDEX('IncStmt Data'!H$557:H$2999,MATCH(A15,IF('IncStmt Data'!A$557=AM$1,'IncStmt Data'!G$557:G$2999),0)),"")</f>
        <v/>
      </c>
      <c r="AN15" s="14" t="str">
        <f>IFERROR(INDEX('IncStmt Data'!H$572:H$2999,MATCH(A15,IF('IncStmt Data'!A$572=AN$1,'IncStmt Data'!G$572:G$2999),0)),"")</f>
        <v/>
      </c>
      <c r="AO15" s="14" t="str">
        <f>IFERROR(INDEX('IncStmt Data'!H$587:H$2999,MATCH(A15,IF('IncStmt Data'!A$587=AO$1,'IncStmt Data'!G$587:G$2999),0)),"")</f>
        <v/>
      </c>
      <c r="AP15" s="14" t="str">
        <f>IFERROR(INDEX('IncStmt Data'!H$602:H$2999,MATCH(A15,IF('IncStmt Data'!A$602=AP$1,'IncStmt Data'!G$602:G$2999),0)),"")</f>
        <v/>
      </c>
      <c r="AQ15" s="14" t="str">
        <f>IFERROR(INDEX('IncStmt Data'!H$617:H$2999,MATCH(A15,IF('IncStmt Data'!A$617=AQ$1,'IncStmt Data'!G$617:G$2999),0)),"")</f>
        <v/>
      </c>
      <c r="AR15" s="14" t="str">
        <f>IFERROR(INDEX('IncStmt Data'!H$632:H$2999,MATCH(A15,IF('IncStmt Data'!A$632=AR$1,'IncStmt Data'!G$632:G$2999),0)),"")</f>
        <v/>
      </c>
      <c r="AS15" s="14" t="str">
        <f>IFERROR(INDEX('IncStmt Data'!H$647:H$2999,MATCH(A15,IF('IncStmt Data'!A$647=AS$1,'IncStmt Data'!G$647:G$2999),0)),"")</f>
        <v/>
      </c>
    </row>
    <row r="16" spans="1:104" x14ac:dyDescent="0.25">
      <c r="A16" s="1" t="s">
        <v>131</v>
      </c>
      <c r="B16" s="8">
        <f>IFERROR(INDEX('IncStmt Data'!H$2:H$2999,MATCH(A16,IF('IncStmt Data'!A$2=B$1,'IncStmt Data'!G$2:G$2999),0)),"")</f>
        <v>5654</v>
      </c>
      <c r="C16" s="8">
        <f>IFERROR(INDEX('IncStmt Data'!H$17:H$2999,MATCH(A16,IF('IncStmt Data'!A$17=C$1,'IncStmt Data'!G$17:G$2999),0)),"")</f>
        <v>4561</v>
      </c>
      <c r="D16" s="14">
        <f>IFERROR(INDEX('IncStmt Data'!H$32:H$2999,MATCH(A16,IF('IncStmt Data'!A$32=D$1,'IncStmt Data'!G$32:G$2999),0)),"")</f>
        <v>11154</v>
      </c>
      <c r="E16" s="14">
        <f>IFERROR(INDEX('IncStmt Data'!H$47:H$2999,MATCH(A16,IF('IncStmt Data'!A$47=E$1,'IncStmt Data'!G$47:G$2999),0)),"")</f>
        <v>1111</v>
      </c>
      <c r="F16" s="14">
        <f>IFERROR(INDEX('IncStmt Data'!H$62:H$2999,MATCH(A16,IF('IncStmt Data'!A$62=F$1,'IncStmt Data'!G$62:G$2999),0)),"")</f>
        <v>6325</v>
      </c>
      <c r="G16" s="14">
        <f>IFERROR(INDEX('IncStmt Data'!H$77:H$2999,MATCH(A16,IF('IncStmt Data'!A$77=G$1,'IncStmt Data'!G$77:G$2999),0)),"")</f>
        <v>2445</v>
      </c>
      <c r="H16" s="14">
        <f>IFERROR(INDEX('IncStmt Data'!H$92:H$2999,MATCH(A16,IF('IncStmt Data'!A$92=H$1,'IncStmt Data'!G$92:G$2999),0)),"")</f>
        <v>1111</v>
      </c>
      <c r="I16" s="15">
        <f>IFERROR(INDEX('IncStmt Data'!H$107:H$2999,MATCH(A16,IF('IncStmt Data'!A$107=I$1,'IncStmt Data'!G$107:G$2999),0)),"")</f>
        <v>2556</v>
      </c>
      <c r="J16" s="14" t="str">
        <f>IFERROR(INDEX('IncStmt Data'!H$122:H$2999,MATCH(A16,IF('IncStmt Data'!A$122=J$1,'IncStmt Data'!G$122:G$2999),0)),"")</f>
        <v/>
      </c>
      <c r="K16" s="14" t="str">
        <f>IFERROR(INDEX('IncStmt Data'!H$137:H$2999,MATCH(A16,IF('IncStmt Data'!A$137=K$1,'IncStmt Data'!G$137:G$2999),0)),"")</f>
        <v/>
      </c>
      <c r="L16" s="14" t="str">
        <f>IFERROR(INDEX('IncStmt Data'!H$152:H$2999,MATCH(A16,IF('IncStmt Data'!A$152=L$1,'IncStmt Data'!G$152:G$2999),0)),"")</f>
        <v/>
      </c>
      <c r="M16" s="14" t="str">
        <f>IFERROR(INDEX('IncStmt Data'!H$167:H$2999,MATCH(A16,IF('IncStmt Data'!A$167=M$1,'IncStmt Data'!G$167:G$2999),0)),"")</f>
        <v/>
      </c>
      <c r="N16" s="14" t="str">
        <f>IFERROR(INDEX('IncStmt Data'!H$182:H$2999,MATCH(A16,IF('IncStmt Data'!A$182=N$1,'IncStmt Data'!G$182:G$2999),0)),"")</f>
        <v/>
      </c>
      <c r="O16" s="14" t="str">
        <f>IFERROR(INDEX('IncStmt Data'!H$197:H$2999,MATCH(A16,IF('IncStmt Data'!A$197=O$1,'IncStmt Data'!G$197:G$2999),0)),"")</f>
        <v/>
      </c>
      <c r="P16" s="14" t="str">
        <f>IFERROR(INDEX('IncStmt Data'!H$212:H$2999,MATCH(A16,IF('IncStmt Data'!A$212=P$1,'IncStmt Data'!G$212:G$2999),0)),"")</f>
        <v/>
      </c>
      <c r="Q16" s="14" t="str">
        <f>IFERROR(INDEX('IncStmt Data'!H$227:H$2999,MATCH(A16,IF('IncStmt Data'!A$227=Q$1,'IncStmt Data'!G$227:G$2999),0)),"")</f>
        <v/>
      </c>
      <c r="R16" s="14" t="str">
        <f>IFERROR(INDEX('IncStmt Data'!H$242:H$2999,MATCH(A16,IF('IncStmt Data'!A$242=R$1,'IncStmt Data'!G$242:G$2999),0)),"")</f>
        <v/>
      </c>
      <c r="S16" s="14" t="str">
        <f>IFERROR(INDEX('IncStmt Data'!H$257:H$2999,MATCH(A16,IF('IncStmt Data'!A$257=S$1,'IncStmt Data'!G$257:G$2999),0)),"")</f>
        <v/>
      </c>
      <c r="T16" s="14" t="str">
        <f>IFERROR(INDEX('IncStmt Data'!H$272:H$2999,MATCH(A16,IF('IncStmt Data'!A$272=T$1,'IncStmt Data'!G$272:G$2999),0)),"")</f>
        <v/>
      </c>
      <c r="U16" s="14" t="str">
        <f>IFERROR(INDEX('IncStmt Data'!H$287:H$2999,MATCH(A16,IF('IncStmt Data'!A$287=U$1,'IncStmt Data'!G$287:G$2999),0)),"")</f>
        <v/>
      </c>
      <c r="V16" s="14" t="str">
        <f>IFERROR(INDEX('IncStmt Data'!H$302:H$2999,MATCH(A16,IF('IncStmt Data'!A$302=V$1,'IncStmt Data'!G$302:G$2999),0)),"")</f>
        <v/>
      </c>
      <c r="W16" s="14" t="str">
        <f>IFERROR(INDEX('IncStmt Data'!H$317:H$2999,MATCH(A16,IF('IncStmt Data'!A$317=W$1,'IncStmt Data'!G$317:G$2999),0)),"")</f>
        <v/>
      </c>
      <c r="X16" s="14" t="str">
        <f>IFERROR(INDEX('IncStmt Data'!H$332:H$2999,MATCH(A16,IF('IncStmt Data'!A$332=X$1,'IncStmt Data'!G$332:G$2999),0)),"")</f>
        <v/>
      </c>
      <c r="Y16" s="14" t="str">
        <f>IFERROR(INDEX('IncStmt Data'!H$347:H$2999,MATCH(A16,IF('IncStmt Data'!A$347=Y$1,'IncStmt Data'!G$347:G$2999),0)),"")</f>
        <v/>
      </c>
      <c r="Z16" s="14" t="str">
        <f>IFERROR(INDEX('IncStmt Data'!H$362:H$2999,MATCH(A16,IF('IncStmt Data'!A$362=Z$1,'IncStmt Data'!G$362:G$2999),0)),"")</f>
        <v/>
      </c>
      <c r="AA16" s="14" t="str">
        <f>IFERROR(INDEX('IncStmt Data'!H$377:H$2999,MATCH(A16,IF('IncStmt Data'!A$377=AA$1,'IncStmt Data'!G$377:G$2999),0)),"")</f>
        <v/>
      </c>
      <c r="AB16" s="14" t="str">
        <f>IFERROR(INDEX('IncStmt Data'!H$392:H$2999,MATCH(A16,IF('IncStmt Data'!A$392=AB$1,'IncStmt Data'!G$392:G$2999),0)),"")</f>
        <v/>
      </c>
      <c r="AC16" s="14" t="str">
        <f>IFERROR(INDEX('IncStmt Data'!H$407:H$2999,MATCH(A16,IF('IncStmt Data'!A$407=AC$1,'IncStmt Data'!G$407:G$2999),0)),"")</f>
        <v/>
      </c>
      <c r="AD16" s="14" t="str">
        <f>IFERROR(INDEX('IncStmt Data'!H$422:H$2999,MATCH(A16,IF('IncStmt Data'!A$422=AD$1,'IncStmt Data'!G$422:G$2999),0)),"")</f>
        <v/>
      </c>
      <c r="AE16" s="14" t="str">
        <f>IFERROR(INDEX('IncStmt Data'!H$437:H$2999,MATCH(A16,IF('IncStmt Data'!A$437=AE$1,'IncStmt Data'!G$437:G$2999),0)),"")</f>
        <v/>
      </c>
      <c r="AF16" s="14" t="str">
        <f>IFERROR(INDEX('IncStmt Data'!H$452:H$2999,MATCH(A16,IF('IncStmt Data'!A$452=AF$1,'IncStmt Data'!G$452:G$2999),0)),"")</f>
        <v/>
      </c>
      <c r="AG16" s="14" t="str">
        <f>IFERROR(INDEX('IncStmt Data'!H$467:H$2999,MATCH(A16,IF('IncStmt Data'!A$467=AG$1,'IncStmt Data'!G$467:G$2999),0)),"")</f>
        <v/>
      </c>
      <c r="AH16" s="14" t="str">
        <f>IFERROR(INDEX('IncStmt Data'!H$482:H$2999,MATCH(A16,IF('IncStmt Data'!A$482=AH$1,'IncStmt Data'!G$482:G$2999),0)),"")</f>
        <v/>
      </c>
      <c r="AI16" s="14" t="str">
        <f>IFERROR(INDEX('IncStmt Data'!H$497:H$2999,MATCH(A16,IF('IncStmt Data'!A$497=AI$1,'IncStmt Data'!G$497:G$2999),0)),"")</f>
        <v/>
      </c>
      <c r="AJ16" s="14" t="str">
        <f>IFERROR(INDEX('IncStmt Data'!H$512:H$2999,MATCH(A16,IF('IncStmt Data'!A$512=AJ$1,'IncStmt Data'!G$512:G$2999),0)),"")</f>
        <v/>
      </c>
      <c r="AK16" s="14" t="str">
        <f>IFERROR(INDEX('IncStmt Data'!H$527:H$2999,MATCH(A16,IF('IncStmt Data'!A$527=AK$1,'IncStmt Data'!G$527:G$2999),0)),"")</f>
        <v/>
      </c>
      <c r="AL16" s="14" t="str">
        <f>IFERROR(INDEX('IncStmt Data'!H$542:H$2999,MATCH(A16,IF('IncStmt Data'!A$542=AL$1,'IncStmt Data'!G$542:G$2999),0)),"")</f>
        <v/>
      </c>
      <c r="AM16" s="14" t="str">
        <f>IFERROR(INDEX('IncStmt Data'!H$557:H$2999,MATCH(A16,IF('IncStmt Data'!A$557=AM$1,'IncStmt Data'!G$557:G$2999),0)),"")</f>
        <v/>
      </c>
      <c r="AN16" s="14" t="str">
        <f>IFERROR(INDEX('IncStmt Data'!H$572:H$2999,MATCH(A16,IF('IncStmt Data'!A$572=AN$1,'IncStmt Data'!G$572:G$2999),0)),"")</f>
        <v/>
      </c>
      <c r="AO16" s="14" t="str">
        <f>IFERROR(INDEX('IncStmt Data'!H$587:H$2999,MATCH(A16,IF('IncStmt Data'!A$587=AO$1,'IncStmt Data'!G$587:G$2999),0)),"")</f>
        <v/>
      </c>
      <c r="AP16" s="14" t="str">
        <f>IFERROR(INDEX('IncStmt Data'!H$602:H$2999,MATCH(A16,IF('IncStmt Data'!A$602=AP$1,'IncStmt Data'!G$602:G$2999),0)),"")</f>
        <v/>
      </c>
      <c r="AQ16" s="14" t="str">
        <f>IFERROR(INDEX('IncStmt Data'!H$617:H$2999,MATCH(A16,IF('IncStmt Data'!A$617=AQ$1,'IncStmt Data'!G$617:G$2999),0)),"")</f>
        <v/>
      </c>
      <c r="AR16" s="14" t="str">
        <f>IFERROR(INDEX('IncStmt Data'!H$632:H$2999,MATCH(A16,IF('IncStmt Data'!A$632=AR$1,'IncStmt Data'!G$632:G$2999),0)),"")</f>
        <v/>
      </c>
      <c r="AS16" s="14" t="str">
        <f>IFERROR(INDEX('IncStmt Data'!H$647:H$2999,MATCH(A16,IF('IncStmt Data'!A$647=AS$1,'IncStmt Data'!G$647:G$2999),0)),"")</f>
        <v/>
      </c>
    </row>
    <row r="17" spans="1:48" s="6" customFormat="1" x14ac:dyDescent="0.25">
      <c r="A17" s="1" t="s">
        <v>132</v>
      </c>
      <c r="B17" s="24">
        <f>IFERROR(INDEX('IncStmt Data'!H$2:H$2999,MATCH(A17,IF('IncStmt Data'!A$2=B$1,'IncStmt Data'!G$2:G$2999),0)),"")</f>
        <v>5654</v>
      </c>
      <c r="C17" s="24">
        <f>IFERROR(INDEX('IncStmt Data'!H$17:H$2999,MATCH(A17,IF('IncStmt Data'!A$17=C$1,'IncStmt Data'!G$17:G$2999),0)),"")</f>
        <v>1245</v>
      </c>
      <c r="D17" s="25">
        <f>IFERROR(INDEX('IncStmt Data'!H$32:H$2999,MATCH(A17,IF('IncStmt Data'!A$32=D$1,'IncStmt Data'!G$32:G$2999),0)),"")</f>
        <v>11154</v>
      </c>
      <c r="E17" s="25">
        <f>IFERROR(INDEX('IncStmt Data'!H$47:H$2999,MATCH(A17,IF('IncStmt Data'!A$47=E$1,'IncStmt Data'!G$47:G$2999),0)),"")</f>
        <v>1111</v>
      </c>
      <c r="F17" s="25">
        <f>IFERROR(INDEX('IncStmt Data'!H$62:H$2999,MATCH(A17,IF('IncStmt Data'!A$62=F$1,'IncStmt Data'!G$62:G$2999),0)),"")</f>
        <v>1111</v>
      </c>
      <c r="G17" s="25">
        <f>IFERROR(INDEX('IncStmt Data'!H$77:H$2999,MATCH(A17,IF('IncStmt Data'!A$77=G$1,'IncStmt Data'!G$77:G$2999),0)),"")</f>
        <v>2445</v>
      </c>
      <c r="H17" s="25">
        <f>IFERROR(INDEX('IncStmt Data'!H$92:H$2999,MATCH(A17,IF('IncStmt Data'!A$92=H$1,'IncStmt Data'!G$92:G$2999),0)),"")</f>
        <v>1111</v>
      </c>
      <c r="I17" s="26">
        <f>IFERROR(INDEX('IncStmt Data'!H$107:H$2999,MATCH(A17,IF('IncStmt Data'!A$107=I$1,'IncStmt Data'!G$107:G$2999),0)),"")</f>
        <v>2556</v>
      </c>
      <c r="J17" s="25" t="str">
        <f>IFERROR(INDEX('IncStmt Data'!H$122:H$2999,MATCH(A17,IF('IncStmt Data'!A$122=J$1,'IncStmt Data'!G$122:G$2999),0)),"")</f>
        <v/>
      </c>
      <c r="K17" s="25" t="str">
        <f>IFERROR(INDEX('IncStmt Data'!H$137:H$2999,MATCH(A17,IF('IncStmt Data'!A$137=K$1,'IncStmt Data'!G$137:G$2999),0)),"")</f>
        <v/>
      </c>
      <c r="L17" s="25" t="str">
        <f>IFERROR(INDEX('IncStmt Data'!H$152:H$2999,MATCH(A17,IF('IncStmt Data'!A$152=L$1,'IncStmt Data'!G$152:G$2999),0)),"")</f>
        <v/>
      </c>
      <c r="M17" s="25" t="str">
        <f>IFERROR(INDEX('IncStmt Data'!H$167:H$2999,MATCH(A17,IF('IncStmt Data'!A$167=M$1,'IncStmt Data'!G$167:G$2999),0)),"")</f>
        <v/>
      </c>
      <c r="N17" s="25" t="str">
        <f>IFERROR(INDEX('IncStmt Data'!H$182:H$2999,MATCH(A17,IF('IncStmt Data'!A$182=N$1,'IncStmt Data'!G$182:G$2999),0)),"")</f>
        <v/>
      </c>
      <c r="O17" s="25" t="str">
        <f>IFERROR(INDEX('IncStmt Data'!H$197:H$2999,MATCH(A17,IF('IncStmt Data'!A$197=O$1,'IncStmt Data'!G$197:G$2999),0)),"")</f>
        <v/>
      </c>
      <c r="P17" s="25" t="str">
        <f>IFERROR(INDEX('IncStmt Data'!H$212:H$2999,MATCH(A17,IF('IncStmt Data'!A$212=P$1,'IncStmt Data'!G$212:G$2999),0)),"")</f>
        <v/>
      </c>
      <c r="Q17" s="25" t="str">
        <f>IFERROR(INDEX('IncStmt Data'!H$227:H$2999,MATCH(A17,IF('IncStmt Data'!A$227=Q$1,'IncStmt Data'!G$227:G$2999),0)),"")</f>
        <v/>
      </c>
      <c r="R17" s="25" t="str">
        <f>IFERROR(INDEX('IncStmt Data'!H$242:H$2999,MATCH(A17,IF('IncStmt Data'!A$242=R$1,'IncStmt Data'!G$242:G$2999),0)),"")</f>
        <v/>
      </c>
      <c r="S17" s="25" t="str">
        <f>IFERROR(INDEX('IncStmt Data'!H$257:H$2999,MATCH(A17,IF('IncStmt Data'!A$257=S$1,'IncStmt Data'!G$257:G$2999),0)),"")</f>
        <v/>
      </c>
      <c r="T17" s="25" t="str">
        <f>IFERROR(INDEX('IncStmt Data'!H$272:H$2999,MATCH(A17,IF('IncStmt Data'!A$272=T$1,'IncStmt Data'!G$272:G$2999),0)),"")</f>
        <v/>
      </c>
      <c r="U17" s="25" t="str">
        <f>IFERROR(INDEX('IncStmt Data'!H$287:H$2999,MATCH(A17,IF('IncStmt Data'!A$287=U$1,'IncStmt Data'!G$287:G$2999),0)),"")</f>
        <v/>
      </c>
      <c r="V17" s="25" t="str">
        <f>IFERROR(INDEX('IncStmt Data'!H$302:H$2999,MATCH(A17,IF('IncStmt Data'!A$302=V$1,'IncStmt Data'!G$302:G$2999),0)),"")</f>
        <v/>
      </c>
      <c r="W17" s="25" t="str">
        <f>IFERROR(INDEX('IncStmt Data'!H$317:H$2999,MATCH(A17,IF('IncStmt Data'!A$317=W$1,'IncStmt Data'!G$317:G$2999),0)),"")</f>
        <v/>
      </c>
      <c r="X17" s="25" t="str">
        <f>IFERROR(INDEX('IncStmt Data'!H$332:H$2999,MATCH(A17,IF('IncStmt Data'!A$332=X$1,'IncStmt Data'!G$332:G$2999),0)),"")</f>
        <v/>
      </c>
      <c r="Y17" s="25" t="str">
        <f>IFERROR(INDEX('IncStmt Data'!H$347:H$2999,MATCH(A17,IF('IncStmt Data'!A$347=Y$1,'IncStmt Data'!G$347:G$2999),0)),"")</f>
        <v/>
      </c>
      <c r="Z17" s="25" t="str">
        <f>IFERROR(INDEX('IncStmt Data'!H$362:H$2999,MATCH(A17,IF('IncStmt Data'!A$362=Z$1,'IncStmt Data'!G$362:G$2999),0)),"")</f>
        <v/>
      </c>
      <c r="AA17" s="25" t="str">
        <f>IFERROR(INDEX('IncStmt Data'!H$377:H$2999,MATCH(A17,IF('IncStmt Data'!A$377=AA$1,'IncStmt Data'!G$377:G$2999),0)),"")</f>
        <v/>
      </c>
      <c r="AB17" s="25" t="str">
        <f>IFERROR(INDEX('IncStmt Data'!H$392:H$2999,MATCH(A17,IF('IncStmt Data'!A$392=AB$1,'IncStmt Data'!G$392:G$2999),0)),"")</f>
        <v/>
      </c>
      <c r="AC17" s="25" t="str">
        <f>IFERROR(INDEX('IncStmt Data'!H$407:H$2999,MATCH(A17,IF('IncStmt Data'!A$407=AC$1,'IncStmt Data'!G$407:G$2999),0)),"")</f>
        <v/>
      </c>
      <c r="AD17" s="25" t="str">
        <f>IFERROR(INDEX('IncStmt Data'!H$422:H$2999,MATCH(A17,IF('IncStmt Data'!A$422=AD$1,'IncStmt Data'!G$422:G$2999),0)),"")</f>
        <v/>
      </c>
      <c r="AE17" s="25" t="str">
        <f>IFERROR(INDEX('IncStmt Data'!H$437:H$2999,MATCH(A17,IF('IncStmt Data'!A$437=AE$1,'IncStmt Data'!G$437:G$2999),0)),"")</f>
        <v/>
      </c>
      <c r="AF17" s="25" t="str">
        <f>IFERROR(INDEX('IncStmt Data'!H$452:H$2999,MATCH(A17,IF('IncStmt Data'!A$452=AF$1,'IncStmt Data'!G$452:G$2999),0)),"")</f>
        <v/>
      </c>
      <c r="AG17" s="25" t="str">
        <f>IFERROR(INDEX('IncStmt Data'!H$467:H$2999,MATCH(A17,IF('IncStmt Data'!A$467=AG$1,'IncStmt Data'!G$467:G$2999),0)),"")</f>
        <v/>
      </c>
      <c r="AH17" s="25" t="str">
        <f>IFERROR(INDEX('IncStmt Data'!H$482:H$2999,MATCH(A17,IF('IncStmt Data'!A$482=AH$1,'IncStmt Data'!G$482:G$2999),0)),"")</f>
        <v/>
      </c>
      <c r="AI17" s="25" t="str">
        <f>IFERROR(INDEX('IncStmt Data'!H$497:H$2999,MATCH(A17,IF('IncStmt Data'!A$497=AI$1,'IncStmt Data'!G$497:G$2999),0)),"")</f>
        <v/>
      </c>
      <c r="AJ17" s="25" t="str">
        <f>IFERROR(INDEX('IncStmt Data'!H$512:H$2999,MATCH(A17,IF('IncStmt Data'!A$512=AJ$1,'IncStmt Data'!G$512:G$2999),0)),"")</f>
        <v/>
      </c>
      <c r="AK17" s="25" t="str">
        <f>IFERROR(INDEX('IncStmt Data'!H$527:H$2999,MATCH(A17,IF('IncStmt Data'!A$527=AK$1,'IncStmt Data'!G$527:G$2999),0)),"")</f>
        <v/>
      </c>
      <c r="AL17" s="25" t="str">
        <f>IFERROR(INDEX('IncStmt Data'!H$542:H$2999,MATCH(A17,IF('IncStmt Data'!A$542=AL$1,'IncStmt Data'!G$542:G$2999),0)),"")</f>
        <v/>
      </c>
      <c r="AM17" s="25" t="str">
        <f>IFERROR(INDEX('IncStmt Data'!H$557:H$2999,MATCH(A17,IF('IncStmt Data'!A$557=AM$1,'IncStmt Data'!G$557:G$2999),0)),"")</f>
        <v/>
      </c>
      <c r="AN17" s="25" t="str">
        <f>IFERROR(INDEX('IncStmt Data'!H$572:H$2999,MATCH(A17,IF('IncStmt Data'!A$572=AN$1,'IncStmt Data'!G$572:G$2999),0)),"")</f>
        <v/>
      </c>
      <c r="AO17" s="25" t="str">
        <f>IFERROR(INDEX('IncStmt Data'!H$587:H$2999,MATCH(A17,IF('IncStmt Data'!A$587=AO$1,'IncStmt Data'!G$587:G$2999),0)),"")</f>
        <v/>
      </c>
      <c r="AP17" s="25" t="str">
        <f>IFERROR(INDEX('IncStmt Data'!H$602:H$2999,MATCH(A17,IF('IncStmt Data'!A$602=AP$1,'IncStmt Data'!G$602:G$2999),0)),"")</f>
        <v/>
      </c>
      <c r="AQ17" s="25" t="str">
        <f>IFERROR(INDEX('IncStmt Data'!H$617:H$2999,MATCH(A17,IF('IncStmt Data'!A$617=AQ$1,'IncStmt Data'!G$617:G$2999),0)),"")</f>
        <v/>
      </c>
      <c r="AR17" s="25" t="str">
        <f>IFERROR(INDEX('IncStmt Data'!H$632:H$2999,MATCH(A17,IF('IncStmt Data'!A$632=AR$1,'IncStmt Data'!G$632:G$2999),0)),"")</f>
        <v/>
      </c>
      <c r="AS17" s="25" t="str">
        <f>IFERROR(INDEX('IncStmt Data'!H$647:H$2999,MATCH(A17,IF('IncStmt Data'!A$647=AS$1,'IncStmt Data'!G$647:G$2999),0)),"")</f>
        <v/>
      </c>
    </row>
    <row r="18" spans="1:48" s="16" customFormat="1" x14ac:dyDescent="0.25">
      <c r="B18" s="16">
        <f t="shared" ref="B18:AS18" si="2">SUM(B6:B17)</f>
        <v>67848</v>
      </c>
      <c r="C18" s="16">
        <f t="shared" si="2"/>
        <v>27940</v>
      </c>
      <c r="D18" s="16">
        <f t="shared" si="2"/>
        <v>119546</v>
      </c>
      <c r="E18" s="16">
        <f t="shared" si="2"/>
        <v>13332</v>
      </c>
      <c r="F18" s="16">
        <f t="shared" si="2"/>
        <v>70686</v>
      </c>
      <c r="G18" s="16">
        <f t="shared" si="2"/>
        <v>30992</v>
      </c>
      <c r="H18" s="16">
        <f t="shared" si="2"/>
        <v>81517</v>
      </c>
      <c r="I18" s="16">
        <f t="shared" si="2"/>
        <v>30672</v>
      </c>
      <c r="J18" s="16">
        <f t="shared" si="2"/>
        <v>0</v>
      </c>
      <c r="K18" s="16">
        <f t="shared" si="2"/>
        <v>0</v>
      </c>
      <c r="L18" s="16">
        <f t="shared" si="2"/>
        <v>0</v>
      </c>
      <c r="M18" s="16">
        <f t="shared" si="2"/>
        <v>0</v>
      </c>
      <c r="N18" s="16">
        <f t="shared" si="2"/>
        <v>0</v>
      </c>
      <c r="O18" s="16">
        <f t="shared" si="2"/>
        <v>0</v>
      </c>
      <c r="P18" s="16">
        <f t="shared" si="2"/>
        <v>0</v>
      </c>
      <c r="Q18" s="16">
        <f t="shared" si="2"/>
        <v>0</v>
      </c>
      <c r="R18" s="16">
        <f t="shared" si="2"/>
        <v>0</v>
      </c>
      <c r="S18" s="16">
        <f t="shared" si="2"/>
        <v>0</v>
      </c>
      <c r="T18" s="16">
        <f t="shared" si="2"/>
        <v>0</v>
      </c>
      <c r="U18" s="16">
        <f t="shared" si="2"/>
        <v>0</v>
      </c>
      <c r="V18" s="16">
        <f t="shared" si="2"/>
        <v>0</v>
      </c>
      <c r="W18" s="16">
        <f t="shared" si="2"/>
        <v>0</v>
      </c>
      <c r="X18" s="16">
        <f t="shared" si="2"/>
        <v>0</v>
      </c>
      <c r="Y18" s="16">
        <f t="shared" si="2"/>
        <v>0</v>
      </c>
      <c r="Z18" s="16">
        <f t="shared" si="2"/>
        <v>0</v>
      </c>
      <c r="AA18" s="16">
        <f t="shared" si="2"/>
        <v>0</v>
      </c>
      <c r="AB18" s="16">
        <f t="shared" si="2"/>
        <v>0</v>
      </c>
      <c r="AC18" s="16">
        <f t="shared" si="2"/>
        <v>0</v>
      </c>
      <c r="AD18" s="16">
        <f t="shared" si="2"/>
        <v>0</v>
      </c>
      <c r="AE18" s="16">
        <f t="shared" si="2"/>
        <v>0</v>
      </c>
      <c r="AF18" s="16">
        <f t="shared" si="2"/>
        <v>0</v>
      </c>
      <c r="AG18" s="16">
        <f t="shared" si="2"/>
        <v>0</v>
      </c>
      <c r="AH18" s="16">
        <f t="shared" si="2"/>
        <v>0</v>
      </c>
      <c r="AI18" s="16">
        <f t="shared" si="2"/>
        <v>0</v>
      </c>
      <c r="AJ18" s="16">
        <f t="shared" si="2"/>
        <v>0</v>
      </c>
      <c r="AK18" s="16">
        <f t="shared" si="2"/>
        <v>0</v>
      </c>
      <c r="AL18" s="16">
        <f t="shared" si="2"/>
        <v>2490</v>
      </c>
      <c r="AM18" s="16">
        <f t="shared" si="2"/>
        <v>2490</v>
      </c>
      <c r="AN18" s="16">
        <f t="shared" si="2"/>
        <v>2490</v>
      </c>
      <c r="AO18" s="16">
        <f t="shared" si="2"/>
        <v>2490</v>
      </c>
      <c r="AP18" s="16">
        <f t="shared" si="2"/>
        <v>2490</v>
      </c>
      <c r="AQ18" s="16">
        <f t="shared" si="2"/>
        <v>2490</v>
      </c>
      <c r="AR18" s="16">
        <f t="shared" si="2"/>
        <v>2490</v>
      </c>
      <c r="AS18" s="16">
        <f t="shared" si="2"/>
        <v>0</v>
      </c>
    </row>
    <row r="19" spans="1:48" x14ac:dyDescent="0.25">
      <c r="B19" s="8"/>
      <c r="C19" s="8"/>
      <c r="D19" s="14"/>
      <c r="E19" s="14"/>
      <c r="F19" s="14"/>
      <c r="G19" s="14"/>
      <c r="H19" s="14"/>
      <c r="I19" s="15"/>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row>
    <row r="20" spans="1:48" x14ac:dyDescent="0.25">
      <c r="A20" s="1" t="s">
        <v>138</v>
      </c>
      <c r="B20" s="8"/>
      <c r="C20" s="8"/>
      <c r="D20" s="14"/>
      <c r="E20" s="14"/>
      <c r="F20" s="14"/>
      <c r="G20" s="14"/>
      <c r="H20" s="14"/>
      <c r="I20" s="15"/>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row>
    <row r="21" spans="1:48" x14ac:dyDescent="0.25">
      <c r="A21" s="1" t="s">
        <v>134</v>
      </c>
      <c r="B21" s="8">
        <f>IFERROR(INDEX('IncStmt Data'!H$2:H$2999,MATCH(A21,IF('IncStmt Data'!A$2=B$1,'IncStmt Data'!G$2:G$2999),0)),"")</f>
        <v>83327</v>
      </c>
      <c r="C21" s="8">
        <f>IFERROR(INDEX('IncStmt Data'!H$17:H$2999,MATCH(A21,IF('IncStmt Data'!A$17=C$1,'IncStmt Data'!G$17:G$2999),0)),"")</f>
        <v>56565</v>
      </c>
      <c r="D21" s="14">
        <f>IFERROR(INDEX('IncStmt Data'!H$32:H$2999,MATCH(A21,IF('IncStmt Data'!A$32=D$1,'IncStmt Data'!G$32:G$2999),0)),"")</f>
        <v>877977</v>
      </c>
      <c r="E21" s="14">
        <f>IFERROR(INDEX('IncStmt Data'!H$47:H$2999,MATCH(A21,IF('IncStmt Data'!A$47=E$1,'IncStmt Data'!G$47:G$2999),0)),"")</f>
        <v>56565</v>
      </c>
      <c r="F21" s="14">
        <f>IFERROR(INDEX('IncStmt Data'!H$62:H$2999,MATCH(A21,IF('IncStmt Data'!A$62=F$1,'IncStmt Data'!G$62:G$2999),0)),"")</f>
        <v>89754</v>
      </c>
      <c r="G21" s="14">
        <f>IFERROR(INDEX('IncStmt Data'!H$77:H$2999,MATCH(A21,IF('IncStmt Data'!A$77=G$1,'IncStmt Data'!G$77:G$2999),0)),"")</f>
        <v>87565</v>
      </c>
      <c r="H21" s="14">
        <f>IFERROR(INDEX('IncStmt Data'!H$92:H$2999,MATCH(A21,IF('IncStmt Data'!A$92=H$1,'IncStmt Data'!G$92:G$2999),0)),"")</f>
        <v>56565</v>
      </c>
      <c r="I21" s="15">
        <f>IFERROR(INDEX('IncStmt Data'!H$107:H$2999,MATCH(A21,IF('IncStmt Data'!A$107=I$1,'IncStmt Data'!G$107:G$2999),0)),"")</f>
        <v>56565</v>
      </c>
      <c r="J21" s="14" t="str">
        <f>IFERROR(INDEX('IncStmt Data'!H$122:H$2999,MATCH(A21,IF('IncStmt Data'!A$122=J$1,'IncStmt Data'!G$122:G$2999),0)),"")</f>
        <v/>
      </c>
      <c r="K21" s="14" t="str">
        <f>IFERROR(INDEX('IncStmt Data'!H$137:H$2999,MATCH(A21,IF('IncStmt Data'!A$137=K$1,'IncStmt Data'!G$137:G$2999),0)),"")</f>
        <v/>
      </c>
      <c r="L21" s="14" t="str">
        <f>IFERROR(INDEX('IncStmt Data'!H$152:H$2999,MATCH(A21,IF('IncStmt Data'!A$152=L$1,'IncStmt Data'!G$152:G$2999),0)),"")</f>
        <v/>
      </c>
      <c r="M21" s="14" t="str">
        <f>IFERROR(INDEX('IncStmt Data'!H$167:H$2999,MATCH(A21,IF('IncStmt Data'!A$167=M$1,'IncStmt Data'!G$167:G$2999),0)),"")</f>
        <v/>
      </c>
      <c r="N21" s="14" t="str">
        <f>IFERROR(INDEX('IncStmt Data'!H$182:H$2999,MATCH(A21,IF('IncStmt Data'!A$182=N$1,'IncStmt Data'!G$182:G$2999),0)),"")</f>
        <v/>
      </c>
      <c r="O21" s="14" t="str">
        <f>IFERROR(INDEX('IncStmt Data'!H$197:H$2999,MATCH(A21,IF('IncStmt Data'!A$197=O$1,'IncStmt Data'!G$197:G$2999),0)),"")</f>
        <v/>
      </c>
      <c r="P21" s="14" t="str">
        <f>IFERROR(INDEX('IncStmt Data'!H$212:H$2999,MATCH(A21,IF('IncStmt Data'!A$212=P$1,'IncStmt Data'!G$212:G$2999),0)),"")</f>
        <v/>
      </c>
      <c r="Q21" s="14" t="str">
        <f>IFERROR(INDEX('IncStmt Data'!H$227:H$2999,MATCH(A21,IF('IncStmt Data'!A$227=Q$1,'IncStmt Data'!G$227:G$2999),0)),"")</f>
        <v/>
      </c>
      <c r="R21" s="14" t="str">
        <f>IFERROR(INDEX('IncStmt Data'!H$242:H$2999,MATCH(A21,IF('IncStmt Data'!A$242=R$1,'IncStmt Data'!G$242:G$2999),0)),"")</f>
        <v/>
      </c>
      <c r="S21" s="14" t="str">
        <f>IFERROR(INDEX('IncStmt Data'!H$257:H$2999,MATCH(A21,IF('IncStmt Data'!A$257=S$1,'IncStmt Data'!G$257:G$2999),0)),"")</f>
        <v/>
      </c>
      <c r="T21" s="14" t="str">
        <f>IFERROR(INDEX('IncStmt Data'!H$272:H$2999,MATCH(A21,IF('IncStmt Data'!A$272=T$1,'IncStmt Data'!G$272:G$2999),0)),"")</f>
        <v/>
      </c>
      <c r="U21" s="14" t="str">
        <f>IFERROR(INDEX('IncStmt Data'!H$287:H$2999,MATCH(A21,IF('IncStmt Data'!A$287=U$1,'IncStmt Data'!G$287:G$2999),0)),"")</f>
        <v/>
      </c>
      <c r="V21" s="14" t="str">
        <f>IFERROR(INDEX('IncStmt Data'!H$302:H$2999,MATCH(A21,IF('IncStmt Data'!A$302=V$1,'IncStmt Data'!G$302:G$2999),0)),"")</f>
        <v/>
      </c>
      <c r="W21" s="14" t="str">
        <f>IFERROR(INDEX('IncStmt Data'!H$317:H$2999,MATCH(A21,IF('IncStmt Data'!A$317=W$1,'IncStmt Data'!G$317:G$2999),0)),"")</f>
        <v/>
      </c>
      <c r="X21" s="14" t="str">
        <f>IFERROR(INDEX('IncStmt Data'!H$332:H$2999,MATCH(A21,IF('IncStmt Data'!A$332=X$1,'IncStmt Data'!G$332:G$2999),0)),"")</f>
        <v/>
      </c>
      <c r="Y21" s="14" t="str">
        <f>IFERROR(INDEX('IncStmt Data'!H$347:H$2999,MATCH(A21,IF('IncStmt Data'!A$347=Y$1,'IncStmt Data'!G$347:G$2999),0)),"")</f>
        <v/>
      </c>
      <c r="Z21" s="14" t="str">
        <f>IFERROR(INDEX('IncStmt Data'!H$362:H$2999,MATCH(A21,IF('IncStmt Data'!A$362=Z$1,'IncStmt Data'!G$362:G$2999),0)),"")</f>
        <v/>
      </c>
      <c r="AA21" s="14" t="str">
        <f>IFERROR(INDEX('IncStmt Data'!H$377:H$2999,MATCH(A21,IF('IncStmt Data'!A$377=AA$1,'IncStmt Data'!G$377:G$2999),0)),"")</f>
        <v/>
      </c>
      <c r="AB21" s="14" t="str">
        <f>IFERROR(INDEX('IncStmt Data'!H$392:H$2999,MATCH(A21,IF('IncStmt Data'!A$392=AB$1,'IncStmt Data'!G$392:G$2999),0)),"")</f>
        <v/>
      </c>
      <c r="AC21" s="14" t="str">
        <f>IFERROR(INDEX('IncStmt Data'!H$407:H$2999,MATCH(A21,IF('IncStmt Data'!A$407=AC$1,'IncStmt Data'!G$407:G$2999),0)),"")</f>
        <v/>
      </c>
      <c r="AD21" s="14" t="str">
        <f>IFERROR(INDEX('IncStmt Data'!H$422:H$2999,MATCH(A21,IF('IncStmt Data'!A$422=AD$1,'IncStmt Data'!G$422:G$2999),0)),"")</f>
        <v/>
      </c>
      <c r="AE21" s="14" t="str">
        <f>IFERROR(INDEX('IncStmt Data'!H$437:H$2999,MATCH(A21,IF('IncStmt Data'!A$437=AE$1,'IncStmt Data'!G$437:G$2999),0)),"")</f>
        <v/>
      </c>
      <c r="AF21" s="14" t="str">
        <f>IFERROR(INDEX('IncStmt Data'!H$452:H$2999,MATCH(A21,IF('IncStmt Data'!A$452=AF$1,'IncStmt Data'!G$452:G$2999),0)),"")</f>
        <v/>
      </c>
      <c r="AG21" s="14" t="str">
        <f>IFERROR(INDEX('IncStmt Data'!H$467:H$2999,MATCH(A21,IF('IncStmt Data'!A$467=AG$1,'IncStmt Data'!G$467:G$2999),0)),"")</f>
        <v/>
      </c>
      <c r="AH21" s="14" t="str">
        <f>IFERROR(INDEX('IncStmt Data'!H$482:H$2999,MATCH(A21,IF('IncStmt Data'!A$482=AH$1,'IncStmt Data'!G$482:G$2999),0)),"")</f>
        <v/>
      </c>
      <c r="AI21" s="14" t="str">
        <f>IFERROR(INDEX('IncStmt Data'!H$497:H$2999,MATCH(A21,IF('IncStmt Data'!A$497=AI$1,'IncStmt Data'!G$497:G$2999),0)),"")</f>
        <v/>
      </c>
      <c r="AJ21" s="14" t="str">
        <f>IFERROR(INDEX('IncStmt Data'!H$512:H$2999,MATCH(A21,IF('IncStmt Data'!A$512=AJ$1,'IncStmt Data'!G$512:G$2999),0)),"")</f>
        <v/>
      </c>
      <c r="AK21" s="14" t="str">
        <f>IFERROR(INDEX('IncStmt Data'!H$527:H$2999,MATCH(A21,IF('IncStmt Data'!A$527=AK$1,'IncStmt Data'!G$527:G$2999),0)),"")</f>
        <v/>
      </c>
      <c r="AL21" s="14" t="str">
        <f>IFERROR(INDEX('IncStmt Data'!H$542:H$2999,MATCH(A21,IF('IncStmt Data'!A$542=AL$1,'IncStmt Data'!G$542:G$2999),0)),"")</f>
        <v/>
      </c>
      <c r="AM21" s="14" t="str">
        <f>IFERROR(INDEX('IncStmt Data'!H$557:H$2999,MATCH(A21,IF('IncStmt Data'!A$557=AM$1,'IncStmt Data'!G$557:G$2999),0)),"")</f>
        <v/>
      </c>
      <c r="AN21" s="14" t="str">
        <f>IFERROR(INDEX('IncStmt Data'!H$572:H$2999,MATCH(A21,IF('IncStmt Data'!A$572=AN$1,'IncStmt Data'!G$572:G$2999),0)),"")</f>
        <v/>
      </c>
      <c r="AO21" s="14" t="str">
        <f>IFERROR(INDEX('IncStmt Data'!H$587:H$2999,MATCH(A21,IF('IncStmt Data'!A$587=AO$1,'IncStmt Data'!G$587:G$2999),0)),"")</f>
        <v/>
      </c>
      <c r="AP21" s="14" t="str">
        <f>IFERROR(INDEX('IncStmt Data'!H$602:H$2999,MATCH(A21,IF('IncStmt Data'!A$602=AP$1,'IncStmt Data'!G$602:G$2999),0)),"")</f>
        <v/>
      </c>
      <c r="AQ21" s="14" t="str">
        <f>IFERROR(INDEX('IncStmt Data'!H$617:H$2999,MATCH(A21,IF('IncStmt Data'!A$617=AQ$1,'IncStmt Data'!G$617:G$2999),0)),"")</f>
        <v/>
      </c>
      <c r="AR21" s="14" t="str">
        <f>IFERROR(INDEX('IncStmt Data'!H$632:H$2999,MATCH(A21,IF('IncStmt Data'!A$632=AR$1,'IncStmt Data'!G$632:G$2999),0)),"")</f>
        <v/>
      </c>
      <c r="AS21" s="14" t="str">
        <f>IFERROR(INDEX('IncStmt Data'!H$647:H$2999,MATCH(A21,IF('IncStmt Data'!A$647=AS$1,'IncStmt Data'!G$647:G$2999),0)),"")</f>
        <v/>
      </c>
    </row>
    <row r="22" spans="1:48" x14ac:dyDescent="0.25">
      <c r="A22" s="1" t="s">
        <v>135</v>
      </c>
      <c r="B22" s="8">
        <f>IFERROR(INDEX('IncStmt Data'!H$2:H$2999,MATCH(A22,IF('IncStmt Data'!A$2=B$1,'IncStmt Data'!G$2:G$2999),0)),"")</f>
        <v>982663</v>
      </c>
      <c r="C22" s="8">
        <f>IFERROR(INDEX('IncStmt Data'!H$17:H$2999,MATCH(A22,IF('IncStmt Data'!A$17=C$1,'IncStmt Data'!G$17:G$2999),0)),"")</f>
        <v>56565</v>
      </c>
      <c r="D22" s="14">
        <f>IFERROR(INDEX('IncStmt Data'!H$32:H$2999,MATCH(A22,IF('IncStmt Data'!A$32=D$1,'IncStmt Data'!G$32:G$2999),0)),"")</f>
        <v>0</v>
      </c>
      <c r="E22" s="14">
        <f>IFERROR(INDEX('IncStmt Data'!H$47:H$2999,MATCH(A22,IF('IncStmt Data'!A$47=E$1,'IncStmt Data'!G$47:G$2999),0)),"")</f>
        <v>56565</v>
      </c>
      <c r="F22" s="14">
        <f>IFERROR(INDEX('IncStmt Data'!H$62:H$2999,MATCH(A22,IF('IncStmt Data'!A$62=F$1,'IncStmt Data'!G$62:G$2999),0)),"")</f>
        <v>85648</v>
      </c>
      <c r="G22" s="14">
        <f>IFERROR(INDEX('IncStmt Data'!H$77:H$2999,MATCH(A22,IF('IncStmt Data'!A$77=G$1,'IncStmt Data'!G$77:G$2999),0)),"")</f>
        <v>79985</v>
      </c>
      <c r="H22" s="14">
        <f>IFERROR(INDEX('IncStmt Data'!H$92:H$2999,MATCH(A22,IF('IncStmt Data'!A$92=H$1,'IncStmt Data'!G$92:G$2999),0)),"")</f>
        <v>56565</v>
      </c>
      <c r="I22" s="15">
        <f>IFERROR(INDEX('IncStmt Data'!H$107:H$2999,MATCH(A22,IF('IncStmt Data'!A$107=I$1,'IncStmt Data'!G$107:G$2999),0)),"")</f>
        <v>56565</v>
      </c>
      <c r="J22" s="14" t="str">
        <f>IFERROR(INDEX('IncStmt Data'!H$122:H$2999,MATCH(A22,IF('IncStmt Data'!A$122=J$1,'IncStmt Data'!G$122:G$2999),0)),"")</f>
        <v/>
      </c>
      <c r="K22" s="14" t="str">
        <f>IFERROR(INDEX('IncStmt Data'!H$137:H$2999,MATCH(A22,IF('IncStmt Data'!A$137=K$1,'IncStmt Data'!G$137:G$2999),0)),"")</f>
        <v/>
      </c>
      <c r="L22" s="14" t="str">
        <f>IFERROR(INDEX('IncStmt Data'!H$152:H$2999,MATCH(A22,IF('IncStmt Data'!A$152=L$1,'IncStmt Data'!G$152:G$2999),0)),"")</f>
        <v/>
      </c>
      <c r="M22" s="14" t="str">
        <f>IFERROR(INDEX('IncStmt Data'!H$167:H$2999,MATCH(A22,IF('IncStmt Data'!A$167=M$1,'IncStmt Data'!G$167:G$2999),0)),"")</f>
        <v/>
      </c>
      <c r="N22" s="14" t="str">
        <f>IFERROR(INDEX('IncStmt Data'!H$182:H$2999,MATCH(A22,IF('IncStmt Data'!A$182=N$1,'IncStmt Data'!G$182:G$2999),0)),"")</f>
        <v/>
      </c>
      <c r="O22" s="14" t="str">
        <f>IFERROR(INDEX('IncStmt Data'!H$197:H$2999,MATCH(A22,IF('IncStmt Data'!A$197=O$1,'IncStmt Data'!G$197:G$2999),0)),"")</f>
        <v/>
      </c>
      <c r="P22" s="14" t="str">
        <f>IFERROR(INDEX('IncStmt Data'!H$212:H$2999,MATCH(A22,IF('IncStmt Data'!A$212=P$1,'IncStmt Data'!G$212:G$2999),0)),"")</f>
        <v/>
      </c>
      <c r="Q22" s="14" t="str">
        <f>IFERROR(INDEX('IncStmt Data'!H$227:H$2999,MATCH(A22,IF('IncStmt Data'!A$227=Q$1,'IncStmt Data'!G$227:G$2999),0)),"")</f>
        <v/>
      </c>
      <c r="R22" s="14" t="str">
        <f>IFERROR(INDEX('IncStmt Data'!H$242:H$2999,MATCH(A22,IF('IncStmt Data'!A$242=R$1,'IncStmt Data'!G$242:G$2999),0)),"")</f>
        <v/>
      </c>
      <c r="S22" s="14" t="str">
        <f>IFERROR(INDEX('IncStmt Data'!H$257:H$2999,MATCH(A22,IF('IncStmt Data'!A$257=S$1,'IncStmt Data'!G$257:G$2999),0)),"")</f>
        <v/>
      </c>
      <c r="T22" s="14" t="str">
        <f>IFERROR(INDEX('IncStmt Data'!H$272:H$2999,MATCH(A22,IF('IncStmt Data'!A$272=T$1,'IncStmt Data'!G$272:G$2999),0)),"")</f>
        <v/>
      </c>
      <c r="U22" s="14" t="str">
        <f>IFERROR(INDEX('IncStmt Data'!H$287:H$2999,MATCH(A22,IF('IncStmt Data'!A$287=U$1,'IncStmt Data'!G$287:G$2999),0)),"")</f>
        <v/>
      </c>
      <c r="V22" s="14" t="str">
        <f>IFERROR(INDEX('IncStmt Data'!H$302:H$2999,MATCH(A22,IF('IncStmt Data'!A$302=V$1,'IncStmt Data'!G$302:G$2999),0)),"")</f>
        <v/>
      </c>
      <c r="W22" s="14" t="str">
        <f>IFERROR(INDEX('IncStmt Data'!H$317:H$2999,MATCH(A22,IF('IncStmt Data'!A$317=W$1,'IncStmt Data'!G$317:G$2999),0)),"")</f>
        <v/>
      </c>
      <c r="X22" s="14" t="str">
        <f>IFERROR(INDEX('IncStmt Data'!H$332:H$2999,MATCH(A22,IF('IncStmt Data'!A$332=X$1,'IncStmt Data'!G$332:G$2999),0)),"")</f>
        <v/>
      </c>
      <c r="Y22" s="14" t="str">
        <f>IFERROR(INDEX('IncStmt Data'!H$347:H$2999,MATCH(A22,IF('IncStmt Data'!A$347=Y$1,'IncStmt Data'!G$347:G$2999),0)),"")</f>
        <v/>
      </c>
      <c r="Z22" s="14" t="str">
        <f>IFERROR(INDEX('IncStmt Data'!H$362:H$2999,MATCH(A22,IF('IncStmt Data'!A$362=Z$1,'IncStmt Data'!G$362:G$2999),0)),"")</f>
        <v/>
      </c>
      <c r="AA22" s="14" t="str">
        <f>IFERROR(INDEX('IncStmt Data'!H$377:H$2999,MATCH(A22,IF('IncStmt Data'!A$377=AA$1,'IncStmt Data'!G$377:G$2999),0)),"")</f>
        <v/>
      </c>
      <c r="AB22" s="14" t="str">
        <f>IFERROR(INDEX('IncStmt Data'!H$392:H$2999,MATCH(A22,IF('IncStmt Data'!A$392=AB$1,'IncStmt Data'!G$392:G$2999),0)),"")</f>
        <v/>
      </c>
      <c r="AC22" s="14" t="str">
        <f>IFERROR(INDEX('IncStmt Data'!H$407:H$2999,MATCH(A22,IF('IncStmt Data'!A$407=AC$1,'IncStmt Data'!G$407:G$2999),0)),"")</f>
        <v/>
      </c>
      <c r="AD22" s="14" t="str">
        <f>IFERROR(INDEX('IncStmt Data'!H$422:H$2999,MATCH(A22,IF('IncStmt Data'!A$422=AD$1,'IncStmt Data'!G$422:G$2999),0)),"")</f>
        <v/>
      </c>
      <c r="AE22" s="14" t="str">
        <f>IFERROR(INDEX('IncStmt Data'!H$437:H$2999,MATCH(A22,IF('IncStmt Data'!A$437=AE$1,'IncStmt Data'!G$437:G$2999),0)),"")</f>
        <v/>
      </c>
      <c r="AF22" s="14" t="str">
        <f>IFERROR(INDEX('IncStmt Data'!H$452:H$2999,MATCH(A22,IF('IncStmt Data'!A$452=AF$1,'IncStmt Data'!G$452:G$2999),0)),"")</f>
        <v/>
      </c>
      <c r="AG22" s="14" t="str">
        <f>IFERROR(INDEX('IncStmt Data'!H$467:H$2999,MATCH(A22,IF('IncStmt Data'!A$467=AG$1,'IncStmt Data'!G$467:G$2999),0)),"")</f>
        <v/>
      </c>
      <c r="AH22" s="14" t="str">
        <f>IFERROR(INDEX('IncStmt Data'!H$482:H$2999,MATCH(A22,IF('IncStmt Data'!A$482=AH$1,'IncStmt Data'!G$482:G$2999),0)),"")</f>
        <v/>
      </c>
      <c r="AI22" s="14" t="str">
        <f>IFERROR(INDEX('IncStmt Data'!H$497:H$2999,MATCH(A22,IF('IncStmt Data'!A$497=AI$1,'IncStmt Data'!G$497:G$2999),0)),"")</f>
        <v/>
      </c>
      <c r="AJ22" s="14" t="str">
        <f>IFERROR(INDEX('IncStmt Data'!H$512:H$2999,MATCH(A22,IF('IncStmt Data'!A$512=AJ$1,'IncStmt Data'!G$512:G$2999),0)),"")</f>
        <v/>
      </c>
      <c r="AK22" s="14" t="str">
        <f>IFERROR(INDEX('IncStmt Data'!H$527:H$2999,MATCH(A22,IF('IncStmt Data'!A$527=AK$1,'IncStmt Data'!G$527:G$2999),0)),"")</f>
        <v/>
      </c>
      <c r="AL22" s="14" t="str">
        <f>IFERROR(INDEX('IncStmt Data'!H$542:H$2999,MATCH(A22,IF('IncStmt Data'!A$542=AL$1,'IncStmt Data'!G$542:G$2999),0)),"")</f>
        <v/>
      </c>
      <c r="AM22" s="14" t="str">
        <f>IFERROR(INDEX('IncStmt Data'!H$557:H$2999,MATCH(A22,IF('IncStmt Data'!A$557=AM$1,'IncStmt Data'!G$557:G$2999),0)),"")</f>
        <v/>
      </c>
      <c r="AN22" s="14" t="str">
        <f>IFERROR(INDEX('IncStmt Data'!H$572:H$2999,MATCH(A22,IF('IncStmt Data'!A$572=AN$1,'IncStmt Data'!G$572:G$2999),0)),"")</f>
        <v/>
      </c>
      <c r="AO22" s="14" t="str">
        <f>IFERROR(INDEX('IncStmt Data'!H$587:H$2999,MATCH(A22,IF('IncStmt Data'!A$587=AO$1,'IncStmt Data'!G$587:G$2999),0)),"")</f>
        <v/>
      </c>
      <c r="AP22" s="14" t="str">
        <f>IFERROR(INDEX('IncStmt Data'!H$602:H$2999,MATCH(A22,IF('IncStmt Data'!A$602=AP$1,'IncStmt Data'!G$602:G$2999),0)),"")</f>
        <v/>
      </c>
      <c r="AQ22" s="14" t="str">
        <f>IFERROR(INDEX('IncStmt Data'!H$617:H$2999,MATCH(A22,IF('IncStmt Data'!A$617=AQ$1,'IncStmt Data'!G$617:G$2999),0)),"")</f>
        <v/>
      </c>
      <c r="AR22" s="14" t="str">
        <f>IFERROR(INDEX('IncStmt Data'!H$632:H$2999,MATCH(A22,IF('IncStmt Data'!A$632=AR$1,'IncStmt Data'!G$632:G$2999),0)),"")</f>
        <v/>
      </c>
      <c r="AS22" s="14" t="str">
        <f>IFERROR(INDEX('IncStmt Data'!H$647:H$2999,MATCH(A22,IF('IncStmt Data'!A$647=AS$1,'IncStmt Data'!G$647:G$2999),0)),"")</f>
        <v/>
      </c>
    </row>
    <row r="23" spans="1:48" s="6" customFormat="1" x14ac:dyDescent="0.25">
      <c r="A23" s="1" t="s">
        <v>136</v>
      </c>
      <c r="B23" s="24">
        <f>IFERROR(INDEX('IncStmt Data'!H$2:H$2999,MATCH(A23,IF('IncStmt Data'!A$2=B$1,'IncStmt Data'!G$2:G$2999),0)),"")</f>
        <v>364157</v>
      </c>
      <c r="C23" s="24">
        <f>IFERROR(INDEX('IncStmt Data'!H$17:H$2999,MATCH(A23,IF('IncStmt Data'!A$17=C$1,'IncStmt Data'!G$17:G$2999),0)),"")</f>
        <v>56565</v>
      </c>
      <c r="D23" s="25">
        <f>IFERROR(INDEX('IncStmt Data'!H$32:H$2999,MATCH(A23,IF('IncStmt Data'!A$32=D$1,'IncStmt Data'!G$32:G$2999),0)),"")</f>
        <v>363659</v>
      </c>
      <c r="E23" s="25">
        <f>IFERROR(INDEX('IncStmt Data'!H$47:H$2999,MATCH(A23,IF('IncStmt Data'!A$47=E$1,'IncStmt Data'!G$47:G$2999),0)),"")</f>
        <v>56565</v>
      </c>
      <c r="F23" s="25">
        <f>IFERROR(INDEX('IncStmt Data'!H$62:H$2999,MATCH(A23,IF('IncStmt Data'!A$62=F$1,'IncStmt Data'!G$62:G$2999),0)),"")</f>
        <v>72453</v>
      </c>
      <c r="G23" s="25">
        <f>IFERROR(INDEX('IncStmt Data'!H$77:H$2999,MATCH(A23,IF('IncStmt Data'!A$77=G$1,'IncStmt Data'!G$77:G$2999),0)),"")</f>
        <v>98266</v>
      </c>
      <c r="H23" s="25">
        <f>IFERROR(INDEX('IncStmt Data'!H$92:H$2999,MATCH(A23,IF('IncStmt Data'!A$92=H$1,'IncStmt Data'!G$92:G$2999),0)),"")</f>
        <v>64875</v>
      </c>
      <c r="I23" s="26">
        <f>IFERROR(INDEX('IncStmt Data'!H$107:H$2999,MATCH(A23,IF('IncStmt Data'!A$107=I$1,'IncStmt Data'!G$107:G$2999),0)),"")</f>
        <v>56565</v>
      </c>
      <c r="J23" s="25" t="str">
        <f>IFERROR(INDEX('IncStmt Data'!H$122:H$2999,MATCH(A23,IF('IncStmt Data'!A$122=J$1,'IncStmt Data'!G$122:G$2999),0)),"")</f>
        <v/>
      </c>
      <c r="K23" s="25" t="str">
        <f>IFERROR(INDEX('IncStmt Data'!H$137:H$2999,MATCH(A23,IF('IncStmt Data'!A$137=K$1,'IncStmt Data'!G$137:G$2999),0)),"")</f>
        <v/>
      </c>
      <c r="L23" s="25" t="str">
        <f>IFERROR(INDEX('IncStmt Data'!H$152:H$2999,MATCH(A23,IF('IncStmt Data'!A$152=L$1,'IncStmt Data'!G$152:G$2999),0)),"")</f>
        <v/>
      </c>
      <c r="M23" s="25" t="str">
        <f>IFERROR(INDEX('IncStmt Data'!H$167:H$2999,MATCH(A23,IF('IncStmt Data'!A$167=M$1,'IncStmt Data'!G$167:G$2999),0)),"")</f>
        <v/>
      </c>
      <c r="N23" s="25" t="str">
        <f>IFERROR(INDEX('IncStmt Data'!H$182:H$2999,MATCH(A23,IF('IncStmt Data'!A$182=N$1,'IncStmt Data'!G$182:G$2999),0)),"")</f>
        <v/>
      </c>
      <c r="O23" s="25" t="str">
        <f>IFERROR(INDEX('IncStmt Data'!H$197:H$2999,MATCH(A23,IF('IncStmt Data'!A$197=O$1,'IncStmt Data'!G$197:G$2999),0)),"")</f>
        <v/>
      </c>
      <c r="P23" s="25" t="str">
        <f>IFERROR(INDEX('IncStmt Data'!H$212:H$2999,MATCH(A23,IF('IncStmt Data'!A$212=P$1,'IncStmt Data'!G$212:G$2999),0)),"")</f>
        <v/>
      </c>
      <c r="Q23" s="25" t="str">
        <f>IFERROR(INDEX('IncStmt Data'!H$227:H$2999,MATCH(A23,IF('IncStmt Data'!A$227=Q$1,'IncStmt Data'!G$227:G$2999),0)),"")</f>
        <v/>
      </c>
      <c r="R23" s="25" t="str">
        <f>IFERROR(INDEX('IncStmt Data'!H$242:H$2999,MATCH(A23,IF('IncStmt Data'!A$242=R$1,'IncStmt Data'!G$242:G$2999),0)),"")</f>
        <v/>
      </c>
      <c r="S23" s="25" t="str">
        <f>IFERROR(INDEX('IncStmt Data'!H$257:H$2999,MATCH(A23,IF('IncStmt Data'!A$257=S$1,'IncStmt Data'!G$257:G$2999),0)),"")</f>
        <v/>
      </c>
      <c r="T23" s="25" t="str">
        <f>IFERROR(INDEX('IncStmt Data'!H$272:H$2999,MATCH(A23,IF('IncStmt Data'!A$272=T$1,'IncStmt Data'!G$272:G$2999),0)),"")</f>
        <v/>
      </c>
      <c r="U23" s="25" t="str">
        <f>IFERROR(INDEX('IncStmt Data'!H$287:H$2999,MATCH(A23,IF('IncStmt Data'!A$287=U$1,'IncStmt Data'!G$287:G$2999),0)),"")</f>
        <v/>
      </c>
      <c r="V23" s="25" t="str">
        <f>IFERROR(INDEX('IncStmt Data'!H$302:H$2999,MATCH(A23,IF('IncStmt Data'!A$302=V$1,'IncStmt Data'!G$302:G$2999),0)),"")</f>
        <v/>
      </c>
      <c r="W23" s="25" t="str">
        <f>IFERROR(INDEX('IncStmt Data'!H$317:H$2999,MATCH(A23,IF('IncStmt Data'!A$317=W$1,'IncStmt Data'!G$317:G$2999),0)),"")</f>
        <v/>
      </c>
      <c r="X23" s="25" t="str">
        <f>IFERROR(INDEX('IncStmt Data'!H$332:H$2999,MATCH(A23,IF('IncStmt Data'!A$332=X$1,'IncStmt Data'!G$332:G$2999),0)),"")</f>
        <v/>
      </c>
      <c r="Y23" s="25" t="str">
        <f>IFERROR(INDEX('IncStmt Data'!H$347:H$2999,MATCH(A23,IF('IncStmt Data'!A$347=Y$1,'IncStmt Data'!G$347:G$2999),0)),"")</f>
        <v/>
      </c>
      <c r="Z23" s="25" t="str">
        <f>IFERROR(INDEX('IncStmt Data'!H$362:H$2999,MATCH(A23,IF('IncStmt Data'!A$362=Z$1,'IncStmt Data'!G$362:G$2999),0)),"")</f>
        <v/>
      </c>
      <c r="AA23" s="25" t="str">
        <f>IFERROR(INDEX('IncStmt Data'!H$377:H$2999,MATCH(A23,IF('IncStmt Data'!A$377=AA$1,'IncStmt Data'!G$377:G$2999),0)),"")</f>
        <v/>
      </c>
      <c r="AB23" s="25" t="str">
        <f>IFERROR(INDEX('IncStmt Data'!H$392:H$2999,MATCH(A23,IF('IncStmt Data'!A$392=AB$1,'IncStmt Data'!G$392:G$2999),0)),"")</f>
        <v/>
      </c>
      <c r="AC23" s="25" t="str">
        <f>IFERROR(INDEX('IncStmt Data'!H$407:H$2999,MATCH(A23,IF('IncStmt Data'!A$407=AC$1,'IncStmt Data'!G$407:G$2999),0)),"")</f>
        <v/>
      </c>
      <c r="AD23" s="25" t="str">
        <f>IFERROR(INDEX('IncStmt Data'!H$422:H$2999,MATCH(A23,IF('IncStmt Data'!A$422=AD$1,'IncStmt Data'!G$422:G$2999),0)),"")</f>
        <v/>
      </c>
      <c r="AE23" s="25" t="str">
        <f>IFERROR(INDEX('IncStmt Data'!H$437:H$2999,MATCH(A23,IF('IncStmt Data'!A$437=AE$1,'IncStmt Data'!G$437:G$2999),0)),"")</f>
        <v/>
      </c>
      <c r="AF23" s="25" t="str">
        <f>IFERROR(INDEX('IncStmt Data'!H$452:H$2999,MATCH(A23,IF('IncStmt Data'!A$452=AF$1,'IncStmt Data'!G$452:G$2999),0)),"")</f>
        <v/>
      </c>
      <c r="AG23" s="25" t="str">
        <f>IFERROR(INDEX('IncStmt Data'!H$467:H$2999,MATCH(A23,IF('IncStmt Data'!A$467=AG$1,'IncStmt Data'!G$467:G$2999),0)),"")</f>
        <v/>
      </c>
      <c r="AH23" s="25" t="str">
        <f>IFERROR(INDEX('IncStmt Data'!H$482:H$2999,MATCH(A23,IF('IncStmt Data'!A$482=AH$1,'IncStmt Data'!G$482:G$2999),0)),"")</f>
        <v/>
      </c>
      <c r="AI23" s="25" t="str">
        <f>IFERROR(INDEX('IncStmt Data'!H$497:H$2999,MATCH(A23,IF('IncStmt Data'!A$497=AI$1,'IncStmt Data'!G$497:G$2999),0)),"")</f>
        <v/>
      </c>
      <c r="AJ23" s="25" t="str">
        <f>IFERROR(INDEX('IncStmt Data'!H$512:H$2999,MATCH(A23,IF('IncStmt Data'!A$512=AJ$1,'IncStmt Data'!G$512:G$2999),0)),"")</f>
        <v/>
      </c>
      <c r="AK23" s="25" t="str">
        <f>IFERROR(INDEX('IncStmt Data'!H$527:H$2999,MATCH(A23,IF('IncStmt Data'!A$527=AK$1,'IncStmt Data'!G$527:G$2999),0)),"")</f>
        <v/>
      </c>
      <c r="AL23" s="25" t="str">
        <f>IFERROR(INDEX('IncStmt Data'!H$542:H$2999,MATCH(A23,IF('IncStmt Data'!A$542=AL$1,'IncStmt Data'!G$542:G$2999),0)),"")</f>
        <v/>
      </c>
      <c r="AM23" s="25" t="str">
        <f>IFERROR(INDEX('IncStmt Data'!H$557:H$2999,MATCH(A23,IF('IncStmt Data'!A$557=AM$1,'IncStmt Data'!G$557:G$2999),0)),"")</f>
        <v/>
      </c>
      <c r="AN23" s="25" t="str">
        <f>IFERROR(INDEX('IncStmt Data'!H$572:H$2999,MATCH(A23,IF('IncStmt Data'!A$572=AN$1,'IncStmt Data'!G$572:G$2999),0)),"")</f>
        <v/>
      </c>
      <c r="AO23" s="25" t="str">
        <f>IFERROR(INDEX('IncStmt Data'!H$587:H$2999,MATCH(A23,IF('IncStmt Data'!A$587=AO$1,'IncStmt Data'!G$587:G$2999),0)),"")</f>
        <v/>
      </c>
      <c r="AP23" s="25" t="str">
        <f>IFERROR(INDEX('IncStmt Data'!H$602:H$2999,MATCH(A23,IF('IncStmt Data'!A$602=AP$1,'IncStmt Data'!G$602:G$2999),0)),"")</f>
        <v/>
      </c>
      <c r="AQ23" s="25" t="str">
        <f>IFERROR(INDEX('IncStmt Data'!H$617:H$2999,MATCH(A23,IF('IncStmt Data'!A$617=AQ$1,'IncStmt Data'!G$617:G$2999),0)),"")</f>
        <v/>
      </c>
      <c r="AR23" s="25" t="str">
        <f>IFERROR(INDEX('IncStmt Data'!H$632:H$2999,MATCH(A23,IF('IncStmt Data'!A$632=AR$1,'IncStmt Data'!G$632:G$2999),0)),"")</f>
        <v/>
      </c>
      <c r="AS23" s="25" t="str">
        <f>IFERROR(INDEX('IncStmt Data'!H$647:H$2999,MATCH(A23,IF('IncStmt Data'!A$647=AS$1,'IncStmt Data'!G$647:G$2999),0)),"")</f>
        <v/>
      </c>
    </row>
    <row r="24" spans="1:48" s="19" customFormat="1" x14ac:dyDescent="0.25">
      <c r="B24" s="19">
        <f>SUM(B21:B23)</f>
        <v>1430147</v>
      </c>
      <c r="C24" s="19">
        <f>SUM(C21:C23)</f>
        <v>169695</v>
      </c>
      <c r="D24" s="19">
        <f t="shared" ref="D24:J24" si="3">SUM(D21:D23)</f>
        <v>1241636</v>
      </c>
      <c r="E24" s="19">
        <f t="shared" si="3"/>
        <v>169695</v>
      </c>
      <c r="F24" s="19">
        <f t="shared" si="3"/>
        <v>247855</v>
      </c>
      <c r="G24" s="19">
        <f t="shared" si="3"/>
        <v>265816</v>
      </c>
      <c r="H24" s="19">
        <f t="shared" si="3"/>
        <v>178005</v>
      </c>
      <c r="I24" s="19">
        <f t="shared" si="3"/>
        <v>169695</v>
      </c>
      <c r="J24" s="19">
        <f t="shared" si="3"/>
        <v>0</v>
      </c>
      <c r="K24" s="19">
        <f t="shared" ref="K24" si="4">SUM(K21:K23)</f>
        <v>0</v>
      </c>
      <c r="L24" s="19">
        <f t="shared" ref="L24" si="5">SUM(L21:L23)</f>
        <v>0</v>
      </c>
      <c r="M24" s="19">
        <f t="shared" ref="M24" si="6">SUM(M21:M23)</f>
        <v>0</v>
      </c>
      <c r="N24" s="19">
        <f t="shared" ref="N24" si="7">SUM(N21:N23)</f>
        <v>0</v>
      </c>
      <c r="O24" s="19">
        <f t="shared" ref="O24" si="8">SUM(O21:O23)</f>
        <v>0</v>
      </c>
      <c r="P24" s="19">
        <f t="shared" ref="P24" si="9">SUM(P21:P23)</f>
        <v>0</v>
      </c>
      <c r="Q24" s="19">
        <f t="shared" ref="Q24:R24" si="10">SUM(Q21:Q23)</f>
        <v>0</v>
      </c>
      <c r="R24" s="19">
        <f t="shared" si="10"/>
        <v>0</v>
      </c>
      <c r="S24" s="19">
        <f t="shared" ref="S24" si="11">SUM(S21:S23)</f>
        <v>0</v>
      </c>
      <c r="T24" s="19">
        <f t="shared" ref="T24" si="12">SUM(T21:T23)</f>
        <v>0</v>
      </c>
      <c r="U24" s="19">
        <f t="shared" ref="U24" si="13">SUM(U21:U23)</f>
        <v>0</v>
      </c>
      <c r="V24" s="19">
        <f t="shared" ref="V24" si="14">SUM(V21:V23)</f>
        <v>0</v>
      </c>
      <c r="W24" s="19">
        <f t="shared" ref="W24" si="15">SUM(W21:W23)</f>
        <v>0</v>
      </c>
      <c r="X24" s="19">
        <f t="shared" ref="X24" si="16">SUM(X21:X23)</f>
        <v>0</v>
      </c>
      <c r="Y24" s="19">
        <f t="shared" ref="Y24" si="17">SUM(Y21:Y23)</f>
        <v>0</v>
      </c>
      <c r="Z24" s="19">
        <f t="shared" ref="Z24" si="18">SUM(Z21:Z23)</f>
        <v>0</v>
      </c>
      <c r="AA24" s="19">
        <f t="shared" ref="AA24" si="19">SUM(AA21:AA23)</f>
        <v>0</v>
      </c>
      <c r="AB24" s="19">
        <f t="shared" ref="AB24" si="20">SUM(AB21:AB23)</f>
        <v>0</v>
      </c>
      <c r="AC24" s="19">
        <f t="shared" ref="AC24" si="21">SUM(AC21:AC23)</f>
        <v>0</v>
      </c>
      <c r="AD24" s="19">
        <f t="shared" ref="AD24" si="22">SUM(AD21:AD23)</f>
        <v>0</v>
      </c>
      <c r="AE24" s="19">
        <f t="shared" ref="AE24" si="23">SUM(AE21:AE23)</f>
        <v>0</v>
      </c>
      <c r="AF24" s="19">
        <f t="shared" ref="AF24" si="24">SUM(AF21:AF23)</f>
        <v>0</v>
      </c>
      <c r="AG24" s="19">
        <f t="shared" ref="AG24" si="25">SUM(AG21:AG23)</f>
        <v>0</v>
      </c>
      <c r="AH24" s="19">
        <f t="shared" ref="AH24" si="26">SUM(AH21:AH23)</f>
        <v>0</v>
      </c>
      <c r="AI24" s="19">
        <f t="shared" ref="AI24" si="27">SUM(AI21:AI23)</f>
        <v>0</v>
      </c>
      <c r="AJ24" s="19">
        <f t="shared" ref="AJ24" si="28">SUM(AJ21:AJ23)</f>
        <v>0</v>
      </c>
      <c r="AK24" s="19">
        <f t="shared" ref="AK24" si="29">SUM(AK21:AK23)</f>
        <v>0</v>
      </c>
      <c r="AL24" s="19">
        <f t="shared" ref="AL24" si="30">SUM(AL21:AL23)</f>
        <v>0</v>
      </c>
      <c r="AM24" s="19">
        <f t="shared" ref="AM24" si="31">SUM(AM21:AM23)</f>
        <v>0</v>
      </c>
      <c r="AN24" s="19">
        <f t="shared" ref="AN24" si="32">SUM(AN21:AN23)</f>
        <v>0</v>
      </c>
      <c r="AO24" s="19">
        <f t="shared" ref="AO24" si="33">SUM(AO21:AO23)</f>
        <v>0</v>
      </c>
      <c r="AP24" s="19">
        <f t="shared" ref="AP24" si="34">SUM(AP21:AP23)</f>
        <v>0</v>
      </c>
      <c r="AQ24" s="19">
        <f t="shared" ref="AQ24" si="35">SUM(AQ21:AQ23)</f>
        <v>0</v>
      </c>
      <c r="AR24" s="19">
        <f t="shared" ref="AR24" si="36">SUM(AR21:AR23)</f>
        <v>0</v>
      </c>
      <c r="AS24" s="19">
        <f t="shared" ref="AS24" si="37">SUM(AS21:AS23)</f>
        <v>0</v>
      </c>
    </row>
    <row r="25" spans="1:48" x14ac:dyDescent="0.25">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row>
    <row r="26" spans="1:48" s="19" customFormat="1" x14ac:dyDescent="0.25">
      <c r="A26" s="17" t="s">
        <v>139</v>
      </c>
      <c r="B26" s="18">
        <f>B24-B18</f>
        <v>1362299</v>
      </c>
      <c r="C26" s="18">
        <f>C24-C18</f>
        <v>141755</v>
      </c>
      <c r="D26" s="18">
        <f t="shared" ref="D26:AS26" si="38">D24-D18</f>
        <v>1122090</v>
      </c>
      <c r="E26" s="18">
        <f t="shared" si="38"/>
        <v>156363</v>
      </c>
      <c r="F26" s="18">
        <f t="shared" si="38"/>
        <v>177169</v>
      </c>
      <c r="G26" s="18">
        <f t="shared" si="38"/>
        <v>234824</v>
      </c>
      <c r="H26" s="18">
        <f t="shared" si="38"/>
        <v>96488</v>
      </c>
      <c r="I26" s="18">
        <f t="shared" si="38"/>
        <v>139023</v>
      </c>
      <c r="J26" s="18">
        <f t="shared" si="38"/>
        <v>0</v>
      </c>
      <c r="K26" s="18">
        <f t="shared" si="38"/>
        <v>0</v>
      </c>
      <c r="L26" s="18">
        <f t="shared" si="38"/>
        <v>0</v>
      </c>
      <c r="M26" s="18">
        <f t="shared" si="38"/>
        <v>0</v>
      </c>
      <c r="N26" s="18">
        <f t="shared" si="38"/>
        <v>0</v>
      </c>
      <c r="O26" s="18">
        <f t="shared" si="38"/>
        <v>0</v>
      </c>
      <c r="P26" s="18">
        <f t="shared" si="38"/>
        <v>0</v>
      </c>
      <c r="Q26" s="18">
        <f t="shared" si="38"/>
        <v>0</v>
      </c>
      <c r="R26" s="18">
        <f t="shared" si="38"/>
        <v>0</v>
      </c>
      <c r="S26" s="18">
        <f t="shared" si="38"/>
        <v>0</v>
      </c>
      <c r="T26" s="18">
        <f t="shared" si="38"/>
        <v>0</v>
      </c>
      <c r="U26" s="18">
        <f t="shared" si="38"/>
        <v>0</v>
      </c>
      <c r="V26" s="18">
        <f t="shared" si="38"/>
        <v>0</v>
      </c>
      <c r="W26" s="18">
        <f t="shared" si="38"/>
        <v>0</v>
      </c>
      <c r="X26" s="18">
        <f t="shared" si="38"/>
        <v>0</v>
      </c>
      <c r="Y26" s="18">
        <f t="shared" si="38"/>
        <v>0</v>
      </c>
      <c r="Z26" s="18">
        <f t="shared" si="38"/>
        <v>0</v>
      </c>
      <c r="AA26" s="18">
        <f t="shared" si="38"/>
        <v>0</v>
      </c>
      <c r="AB26" s="18">
        <f t="shared" si="38"/>
        <v>0</v>
      </c>
      <c r="AC26" s="18">
        <f t="shared" si="38"/>
        <v>0</v>
      </c>
      <c r="AD26" s="18">
        <f t="shared" si="38"/>
        <v>0</v>
      </c>
      <c r="AE26" s="18">
        <f t="shared" si="38"/>
        <v>0</v>
      </c>
      <c r="AF26" s="18">
        <f t="shared" si="38"/>
        <v>0</v>
      </c>
      <c r="AG26" s="18">
        <f t="shared" si="38"/>
        <v>0</v>
      </c>
      <c r="AH26" s="18">
        <f t="shared" si="38"/>
        <v>0</v>
      </c>
      <c r="AI26" s="18">
        <f t="shared" si="38"/>
        <v>0</v>
      </c>
      <c r="AJ26" s="18">
        <f t="shared" si="38"/>
        <v>0</v>
      </c>
      <c r="AK26" s="18">
        <f t="shared" si="38"/>
        <v>0</v>
      </c>
      <c r="AL26" s="18">
        <f t="shared" si="38"/>
        <v>-2490</v>
      </c>
      <c r="AM26" s="18">
        <f t="shared" si="38"/>
        <v>-2490</v>
      </c>
      <c r="AN26" s="18">
        <f t="shared" si="38"/>
        <v>-2490</v>
      </c>
      <c r="AO26" s="18">
        <f t="shared" si="38"/>
        <v>-2490</v>
      </c>
      <c r="AP26" s="18">
        <f t="shared" si="38"/>
        <v>-2490</v>
      </c>
      <c r="AQ26" s="18">
        <f t="shared" si="38"/>
        <v>-2490</v>
      </c>
      <c r="AR26" s="18">
        <f t="shared" si="38"/>
        <v>-2490</v>
      </c>
      <c r="AS26" s="18">
        <f t="shared" si="38"/>
        <v>0</v>
      </c>
      <c r="AT26" s="18"/>
      <c r="AU26" s="18"/>
      <c r="AV26" s="18"/>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647"/>
  <sheetViews>
    <sheetView topLeftCell="A28" workbookViewId="0">
      <selection activeCell="H43" sqref="H43"/>
    </sheetView>
  </sheetViews>
  <sheetFormatPr defaultRowHeight="15" x14ac:dyDescent="0.25"/>
  <cols>
    <col min="1" max="1" width="9.42578125" bestFit="1" customWidth="1"/>
    <col min="2" max="2" width="13.140625" bestFit="1" customWidth="1"/>
    <col min="3" max="3" width="8.85546875" bestFit="1" customWidth="1"/>
    <col min="5" max="5" width="21" bestFit="1" customWidth="1"/>
    <col min="6" max="6" width="22.140625" bestFit="1" customWidth="1"/>
    <col min="7" max="7" width="26.5703125" bestFit="1" customWidth="1"/>
  </cols>
  <sheetData>
    <row r="1" spans="1:8" x14ac:dyDescent="0.25">
      <c r="A1" s="1" t="s">
        <v>7</v>
      </c>
      <c r="B1" s="1" t="s">
        <v>4</v>
      </c>
      <c r="C1" s="1" t="s">
        <v>8</v>
      </c>
      <c r="D1" s="1" t="s">
        <v>9</v>
      </c>
      <c r="E1" s="1" t="s">
        <v>5</v>
      </c>
      <c r="F1" s="1" t="s">
        <v>10</v>
      </c>
      <c r="G1" s="1" t="s">
        <v>11</v>
      </c>
      <c r="H1" s="1" t="s">
        <v>12</v>
      </c>
    </row>
    <row r="2" spans="1:8" x14ac:dyDescent="0.25">
      <c r="A2">
        <v>70340</v>
      </c>
      <c r="B2" t="s">
        <v>44</v>
      </c>
      <c r="C2" t="s">
        <v>45</v>
      </c>
      <c r="D2">
        <v>2</v>
      </c>
      <c r="E2">
        <v>0</v>
      </c>
      <c r="F2" t="s">
        <v>123</v>
      </c>
      <c r="G2" t="s">
        <v>124</v>
      </c>
      <c r="H2">
        <v>5654</v>
      </c>
    </row>
    <row r="3" spans="1:8" x14ac:dyDescent="0.25">
      <c r="A3">
        <v>70340</v>
      </c>
      <c r="B3" t="s">
        <v>44</v>
      </c>
      <c r="C3" t="s">
        <v>45</v>
      </c>
      <c r="D3">
        <v>2</v>
      </c>
      <c r="E3">
        <v>0</v>
      </c>
      <c r="F3" t="s">
        <v>123</v>
      </c>
      <c r="G3" t="s">
        <v>124</v>
      </c>
      <c r="H3">
        <v>8756</v>
      </c>
    </row>
    <row r="4" spans="1:8" x14ac:dyDescent="0.25">
      <c r="A4">
        <v>70340</v>
      </c>
      <c r="B4" t="s">
        <v>44</v>
      </c>
      <c r="C4" t="s">
        <v>45</v>
      </c>
      <c r="D4">
        <v>2</v>
      </c>
      <c r="E4">
        <v>0</v>
      </c>
      <c r="F4" t="s">
        <v>123</v>
      </c>
      <c r="G4" t="s">
        <v>125</v>
      </c>
      <c r="H4">
        <v>5654</v>
      </c>
    </row>
    <row r="5" spans="1:8" x14ac:dyDescent="0.25">
      <c r="A5">
        <v>70340</v>
      </c>
      <c r="B5" t="s">
        <v>44</v>
      </c>
      <c r="C5" t="s">
        <v>45</v>
      </c>
      <c r="D5">
        <v>2</v>
      </c>
      <c r="E5">
        <v>0</v>
      </c>
      <c r="F5" t="s">
        <v>123</v>
      </c>
      <c r="G5" t="s">
        <v>126</v>
      </c>
      <c r="H5">
        <v>5654</v>
      </c>
    </row>
    <row r="6" spans="1:8" x14ac:dyDescent="0.25">
      <c r="A6">
        <v>70340</v>
      </c>
      <c r="B6" t="s">
        <v>44</v>
      </c>
      <c r="C6" t="s">
        <v>45</v>
      </c>
      <c r="D6">
        <v>2</v>
      </c>
      <c r="E6">
        <v>0</v>
      </c>
      <c r="F6" t="s">
        <v>123</v>
      </c>
      <c r="G6" t="s">
        <v>127</v>
      </c>
      <c r="H6">
        <v>5654</v>
      </c>
    </row>
    <row r="7" spans="1:8" x14ac:dyDescent="0.25">
      <c r="A7">
        <v>70340</v>
      </c>
      <c r="B7" t="s">
        <v>44</v>
      </c>
      <c r="C7" t="s">
        <v>45</v>
      </c>
      <c r="D7">
        <v>2</v>
      </c>
      <c r="E7">
        <v>0</v>
      </c>
      <c r="F7" t="s">
        <v>123</v>
      </c>
      <c r="G7" t="s">
        <v>127</v>
      </c>
      <c r="H7">
        <v>3549</v>
      </c>
    </row>
    <row r="8" spans="1:8" x14ac:dyDescent="0.25">
      <c r="A8">
        <v>70340</v>
      </c>
      <c r="B8" t="s">
        <v>44</v>
      </c>
      <c r="C8" t="s">
        <v>45</v>
      </c>
      <c r="D8">
        <v>2</v>
      </c>
      <c r="E8">
        <v>0</v>
      </c>
      <c r="F8" t="s">
        <v>123</v>
      </c>
      <c r="G8" t="s">
        <v>128</v>
      </c>
      <c r="H8">
        <v>5654</v>
      </c>
    </row>
    <row r="9" spans="1:8" x14ac:dyDescent="0.25">
      <c r="A9">
        <v>70340</v>
      </c>
      <c r="B9" t="s">
        <v>44</v>
      </c>
      <c r="C9" t="s">
        <v>45</v>
      </c>
      <c r="D9">
        <v>2</v>
      </c>
      <c r="E9">
        <v>0</v>
      </c>
      <c r="F9" t="s">
        <v>123</v>
      </c>
      <c r="G9" t="s">
        <v>129</v>
      </c>
      <c r="H9">
        <v>5654</v>
      </c>
    </row>
    <row r="10" spans="1:8" x14ac:dyDescent="0.25">
      <c r="A10">
        <v>70340</v>
      </c>
      <c r="B10" t="s">
        <v>44</v>
      </c>
      <c r="C10" t="s">
        <v>45</v>
      </c>
      <c r="D10">
        <v>2</v>
      </c>
      <c r="E10">
        <v>0</v>
      </c>
      <c r="F10" t="s">
        <v>123</v>
      </c>
      <c r="G10" t="s">
        <v>130</v>
      </c>
      <c r="H10">
        <v>5654</v>
      </c>
    </row>
    <row r="11" spans="1:8" x14ac:dyDescent="0.25">
      <c r="A11">
        <v>70340</v>
      </c>
      <c r="B11" t="s">
        <v>44</v>
      </c>
      <c r="C11" t="s">
        <v>45</v>
      </c>
      <c r="D11">
        <v>2</v>
      </c>
      <c r="E11">
        <v>0</v>
      </c>
      <c r="F11" t="s">
        <v>123</v>
      </c>
      <c r="G11" t="s">
        <v>131</v>
      </c>
      <c r="H11">
        <v>5654</v>
      </c>
    </row>
    <row r="12" spans="1:8" x14ac:dyDescent="0.25">
      <c r="A12">
        <v>70340</v>
      </c>
      <c r="B12" t="s">
        <v>44</v>
      </c>
      <c r="C12" t="s">
        <v>45</v>
      </c>
      <c r="D12">
        <v>2</v>
      </c>
      <c r="E12">
        <v>0</v>
      </c>
      <c r="F12" t="s">
        <v>123</v>
      </c>
      <c r="G12" t="s">
        <v>131</v>
      </c>
      <c r="H12">
        <v>2546</v>
      </c>
    </row>
    <row r="13" spans="1:8" x14ac:dyDescent="0.25">
      <c r="A13">
        <v>70340</v>
      </c>
      <c r="B13" t="s">
        <v>44</v>
      </c>
      <c r="C13" t="s">
        <v>45</v>
      </c>
      <c r="D13">
        <v>2</v>
      </c>
      <c r="E13">
        <v>0</v>
      </c>
      <c r="F13" t="s">
        <v>123</v>
      </c>
      <c r="G13" t="s">
        <v>132</v>
      </c>
      <c r="H13">
        <v>5654</v>
      </c>
    </row>
    <row r="14" spans="1:8" x14ac:dyDescent="0.25">
      <c r="A14">
        <v>70340</v>
      </c>
      <c r="B14" t="s">
        <v>44</v>
      </c>
      <c r="C14" t="s">
        <v>45</v>
      </c>
      <c r="D14">
        <v>2</v>
      </c>
      <c r="E14">
        <v>0</v>
      </c>
      <c r="F14" t="s">
        <v>133</v>
      </c>
      <c r="G14" t="s">
        <v>134</v>
      </c>
      <c r="H14">
        <v>83327</v>
      </c>
    </row>
    <row r="15" spans="1:8" x14ac:dyDescent="0.25">
      <c r="A15">
        <v>70340</v>
      </c>
      <c r="B15" t="s">
        <v>44</v>
      </c>
      <c r="C15" t="s">
        <v>45</v>
      </c>
      <c r="D15">
        <v>2</v>
      </c>
      <c r="E15">
        <v>0</v>
      </c>
      <c r="F15" t="s">
        <v>133</v>
      </c>
      <c r="G15" t="s">
        <v>135</v>
      </c>
      <c r="H15">
        <v>982663</v>
      </c>
    </row>
    <row r="16" spans="1:8" x14ac:dyDescent="0.25">
      <c r="A16">
        <v>70340</v>
      </c>
      <c r="B16" t="s">
        <v>44</v>
      </c>
      <c r="C16" t="s">
        <v>45</v>
      </c>
      <c r="D16">
        <v>2</v>
      </c>
      <c r="E16">
        <v>0</v>
      </c>
      <c r="F16" t="s">
        <v>133</v>
      </c>
      <c r="G16" t="s">
        <v>136</v>
      </c>
      <c r="H16">
        <v>364157</v>
      </c>
    </row>
    <row r="17" spans="1:8" x14ac:dyDescent="0.25">
      <c r="A17">
        <v>70341</v>
      </c>
      <c r="B17" t="s">
        <v>44</v>
      </c>
      <c r="C17" t="s">
        <v>45</v>
      </c>
      <c r="D17">
        <v>2</v>
      </c>
      <c r="E17">
        <v>0</v>
      </c>
      <c r="F17" t="s">
        <v>123</v>
      </c>
      <c r="G17" t="s">
        <v>124</v>
      </c>
      <c r="H17">
        <v>1245</v>
      </c>
    </row>
    <row r="18" spans="1:8" x14ac:dyDescent="0.25">
      <c r="A18">
        <v>70341</v>
      </c>
      <c r="B18" t="s">
        <v>44</v>
      </c>
      <c r="C18" t="s">
        <v>45</v>
      </c>
      <c r="D18">
        <v>2</v>
      </c>
      <c r="E18">
        <v>0</v>
      </c>
      <c r="F18" t="s">
        <v>123</v>
      </c>
      <c r="G18" t="s">
        <v>124</v>
      </c>
      <c r="H18">
        <v>3543</v>
      </c>
    </row>
    <row r="19" spans="1:8" x14ac:dyDescent="0.25">
      <c r="A19">
        <v>70341</v>
      </c>
      <c r="B19" t="s">
        <v>44</v>
      </c>
      <c r="C19" t="s">
        <v>45</v>
      </c>
      <c r="D19">
        <v>2</v>
      </c>
      <c r="E19">
        <v>0</v>
      </c>
      <c r="F19" t="s">
        <v>123</v>
      </c>
      <c r="G19" t="s">
        <v>125</v>
      </c>
      <c r="H19">
        <v>1245</v>
      </c>
    </row>
    <row r="20" spans="1:8" x14ac:dyDescent="0.25">
      <c r="A20">
        <v>70341</v>
      </c>
      <c r="B20" t="s">
        <v>44</v>
      </c>
      <c r="C20" t="s">
        <v>45</v>
      </c>
      <c r="D20">
        <v>2</v>
      </c>
      <c r="E20">
        <v>0</v>
      </c>
      <c r="F20" t="s">
        <v>123</v>
      </c>
      <c r="G20" t="s">
        <v>126</v>
      </c>
      <c r="H20">
        <v>7613</v>
      </c>
    </row>
    <row r="21" spans="1:8" x14ac:dyDescent="0.25">
      <c r="A21">
        <v>70341</v>
      </c>
      <c r="B21" t="s">
        <v>44</v>
      </c>
      <c r="C21" t="s">
        <v>45</v>
      </c>
      <c r="D21">
        <v>2</v>
      </c>
      <c r="E21">
        <v>0</v>
      </c>
      <c r="F21" t="s">
        <v>123</v>
      </c>
      <c r="G21" t="s">
        <v>127</v>
      </c>
      <c r="H21">
        <v>1245</v>
      </c>
    </row>
    <row r="22" spans="1:8" x14ac:dyDescent="0.25">
      <c r="A22">
        <v>70341</v>
      </c>
      <c r="B22" t="s">
        <v>44</v>
      </c>
      <c r="C22" t="s">
        <v>45</v>
      </c>
      <c r="D22">
        <v>2</v>
      </c>
      <c r="E22">
        <v>0</v>
      </c>
      <c r="F22" t="s">
        <v>123</v>
      </c>
      <c r="G22" t="s">
        <v>127</v>
      </c>
      <c r="H22">
        <v>3785</v>
      </c>
    </row>
    <row r="23" spans="1:8" x14ac:dyDescent="0.25">
      <c r="A23">
        <v>70341</v>
      </c>
      <c r="B23" t="s">
        <v>44</v>
      </c>
      <c r="C23" t="s">
        <v>45</v>
      </c>
      <c r="D23">
        <v>2</v>
      </c>
      <c r="E23">
        <v>0</v>
      </c>
      <c r="F23" t="s">
        <v>123</v>
      </c>
      <c r="G23" t="s">
        <v>128</v>
      </c>
      <c r="H23">
        <v>1245</v>
      </c>
    </row>
    <row r="24" spans="1:8" x14ac:dyDescent="0.25">
      <c r="A24">
        <v>70341</v>
      </c>
      <c r="B24" t="s">
        <v>44</v>
      </c>
      <c r="C24" t="s">
        <v>45</v>
      </c>
      <c r="D24">
        <v>2</v>
      </c>
      <c r="E24">
        <v>0</v>
      </c>
      <c r="F24" t="s">
        <v>123</v>
      </c>
      <c r="G24" t="s">
        <v>129</v>
      </c>
      <c r="H24">
        <v>1245</v>
      </c>
    </row>
    <row r="25" spans="1:8" x14ac:dyDescent="0.25">
      <c r="A25">
        <v>70341</v>
      </c>
      <c r="B25" t="s">
        <v>44</v>
      </c>
      <c r="C25" t="s">
        <v>45</v>
      </c>
      <c r="D25">
        <v>2</v>
      </c>
      <c r="E25">
        <v>0</v>
      </c>
      <c r="F25" t="s">
        <v>123</v>
      </c>
      <c r="G25" t="s">
        <v>130</v>
      </c>
      <c r="H25">
        <v>1245</v>
      </c>
    </row>
    <row r="26" spans="1:8" x14ac:dyDescent="0.25">
      <c r="A26">
        <v>70341</v>
      </c>
      <c r="B26" t="s">
        <v>44</v>
      </c>
      <c r="C26" t="s">
        <v>45</v>
      </c>
      <c r="D26">
        <v>2</v>
      </c>
      <c r="E26">
        <v>0</v>
      </c>
      <c r="F26" t="s">
        <v>123</v>
      </c>
      <c r="G26" t="s">
        <v>131</v>
      </c>
      <c r="H26">
        <v>4561</v>
      </c>
    </row>
    <row r="27" spans="1:8" x14ac:dyDescent="0.25">
      <c r="A27">
        <v>70341</v>
      </c>
      <c r="B27" t="s">
        <v>44</v>
      </c>
      <c r="C27" t="s">
        <v>45</v>
      </c>
      <c r="D27">
        <v>2</v>
      </c>
      <c r="E27">
        <v>0</v>
      </c>
      <c r="F27" t="s">
        <v>123</v>
      </c>
      <c r="G27" t="s">
        <v>131</v>
      </c>
      <c r="H27">
        <v>1245</v>
      </c>
    </row>
    <row r="28" spans="1:8" x14ac:dyDescent="0.25">
      <c r="A28">
        <v>70340</v>
      </c>
      <c r="B28" t="s">
        <v>44</v>
      </c>
      <c r="C28" t="s">
        <v>45</v>
      </c>
      <c r="D28">
        <v>2</v>
      </c>
      <c r="E28">
        <v>0</v>
      </c>
      <c r="F28" t="s">
        <v>123</v>
      </c>
      <c r="G28" t="s">
        <v>132</v>
      </c>
      <c r="H28">
        <v>1245</v>
      </c>
    </row>
    <row r="29" spans="1:8" x14ac:dyDescent="0.25">
      <c r="A29">
        <v>70341</v>
      </c>
      <c r="B29" t="s">
        <v>44</v>
      </c>
      <c r="C29" t="s">
        <v>45</v>
      </c>
      <c r="D29">
        <v>2</v>
      </c>
      <c r="E29">
        <v>0</v>
      </c>
      <c r="F29" t="s">
        <v>133</v>
      </c>
      <c r="G29" t="s">
        <v>134</v>
      </c>
      <c r="H29">
        <v>56565</v>
      </c>
    </row>
    <row r="30" spans="1:8" x14ac:dyDescent="0.25">
      <c r="A30">
        <v>70341</v>
      </c>
      <c r="B30" t="s">
        <v>44</v>
      </c>
      <c r="C30" t="s">
        <v>45</v>
      </c>
      <c r="D30">
        <v>2</v>
      </c>
      <c r="E30">
        <v>0</v>
      </c>
      <c r="F30" t="s">
        <v>133</v>
      </c>
      <c r="G30" t="s">
        <v>135</v>
      </c>
      <c r="H30">
        <v>56565</v>
      </c>
    </row>
    <row r="31" spans="1:8" x14ac:dyDescent="0.25">
      <c r="A31">
        <v>70341</v>
      </c>
      <c r="B31" t="s">
        <v>44</v>
      </c>
      <c r="C31" t="s">
        <v>45</v>
      </c>
      <c r="D31">
        <v>2</v>
      </c>
      <c r="E31">
        <v>0</v>
      </c>
      <c r="F31" t="s">
        <v>133</v>
      </c>
      <c r="G31" t="s">
        <v>136</v>
      </c>
      <c r="H31">
        <v>56565</v>
      </c>
    </row>
    <row r="32" spans="1:8" x14ac:dyDescent="0.25">
      <c r="A32">
        <v>70342</v>
      </c>
      <c r="B32" t="s">
        <v>44</v>
      </c>
      <c r="C32" t="s">
        <v>45</v>
      </c>
      <c r="D32">
        <v>2</v>
      </c>
      <c r="E32">
        <v>0</v>
      </c>
      <c r="F32" t="s">
        <v>123</v>
      </c>
      <c r="G32" t="s">
        <v>124</v>
      </c>
      <c r="H32">
        <v>8645</v>
      </c>
    </row>
    <row r="33" spans="1:8" x14ac:dyDescent="0.25">
      <c r="A33">
        <v>70342</v>
      </c>
      <c r="B33" t="s">
        <v>44</v>
      </c>
      <c r="C33" t="s">
        <v>45</v>
      </c>
      <c r="D33">
        <v>2</v>
      </c>
      <c r="E33">
        <v>0</v>
      </c>
      <c r="F33" t="s">
        <v>123</v>
      </c>
      <c r="G33" t="s">
        <v>124</v>
      </c>
      <c r="H33">
        <v>11154</v>
      </c>
    </row>
    <row r="34" spans="1:8" x14ac:dyDescent="0.25">
      <c r="A34">
        <v>70342</v>
      </c>
      <c r="B34" t="s">
        <v>44</v>
      </c>
      <c r="C34" t="s">
        <v>45</v>
      </c>
      <c r="D34">
        <v>2</v>
      </c>
      <c r="E34">
        <v>0</v>
      </c>
      <c r="F34" t="s">
        <v>123</v>
      </c>
      <c r="G34" t="s">
        <v>125</v>
      </c>
      <c r="H34">
        <v>11154</v>
      </c>
    </row>
    <row r="35" spans="1:8" x14ac:dyDescent="0.25">
      <c r="A35">
        <v>70342</v>
      </c>
      <c r="B35" t="s">
        <v>44</v>
      </c>
      <c r="C35" t="s">
        <v>45</v>
      </c>
      <c r="D35">
        <v>2</v>
      </c>
      <c r="E35">
        <v>0</v>
      </c>
      <c r="F35" t="s">
        <v>123</v>
      </c>
      <c r="G35" t="s">
        <v>126</v>
      </c>
      <c r="H35">
        <v>11154</v>
      </c>
    </row>
    <row r="36" spans="1:8" x14ac:dyDescent="0.25">
      <c r="A36">
        <v>70342</v>
      </c>
      <c r="B36" t="s">
        <v>44</v>
      </c>
      <c r="C36" t="s">
        <v>45</v>
      </c>
      <c r="D36">
        <v>2</v>
      </c>
      <c r="E36">
        <v>0</v>
      </c>
      <c r="F36" t="s">
        <v>123</v>
      </c>
      <c r="G36" t="s">
        <v>127</v>
      </c>
      <c r="H36">
        <v>6512</v>
      </c>
    </row>
    <row r="37" spans="1:8" x14ac:dyDescent="0.25">
      <c r="A37">
        <v>70342</v>
      </c>
      <c r="B37" t="s">
        <v>44</v>
      </c>
      <c r="C37" t="s">
        <v>45</v>
      </c>
      <c r="D37">
        <v>2</v>
      </c>
      <c r="E37">
        <v>0</v>
      </c>
      <c r="F37" t="s">
        <v>123</v>
      </c>
      <c r="G37" t="s">
        <v>127</v>
      </c>
      <c r="H37">
        <v>11154</v>
      </c>
    </row>
    <row r="38" spans="1:8" x14ac:dyDescent="0.25">
      <c r="A38">
        <v>70342</v>
      </c>
      <c r="B38" t="s">
        <v>44</v>
      </c>
      <c r="C38" t="s">
        <v>45</v>
      </c>
      <c r="D38">
        <v>2</v>
      </c>
      <c r="E38">
        <v>0</v>
      </c>
      <c r="F38" t="s">
        <v>123</v>
      </c>
      <c r="G38" t="s">
        <v>128</v>
      </c>
      <c r="H38">
        <v>11154</v>
      </c>
    </row>
    <row r="39" spans="1:8" x14ac:dyDescent="0.25">
      <c r="A39">
        <v>70342</v>
      </c>
      <c r="B39" t="s">
        <v>44</v>
      </c>
      <c r="C39" t="s">
        <v>45</v>
      </c>
      <c r="D39">
        <v>2</v>
      </c>
      <c r="E39">
        <v>0</v>
      </c>
      <c r="F39" t="s">
        <v>123</v>
      </c>
      <c r="G39" t="s">
        <v>129</v>
      </c>
      <c r="H39">
        <v>11154</v>
      </c>
    </row>
    <row r="40" spans="1:8" x14ac:dyDescent="0.25">
      <c r="A40">
        <v>70342</v>
      </c>
      <c r="B40" t="s">
        <v>44</v>
      </c>
      <c r="C40" t="s">
        <v>45</v>
      </c>
      <c r="D40">
        <v>2</v>
      </c>
      <c r="E40">
        <v>0</v>
      </c>
      <c r="F40" t="s">
        <v>123</v>
      </c>
      <c r="G40" t="s">
        <v>130</v>
      </c>
      <c r="H40">
        <v>11154</v>
      </c>
    </row>
    <row r="41" spans="1:8" x14ac:dyDescent="0.25">
      <c r="A41">
        <v>70342</v>
      </c>
      <c r="B41" t="s">
        <v>44</v>
      </c>
      <c r="C41" t="s">
        <v>45</v>
      </c>
      <c r="D41">
        <v>2</v>
      </c>
      <c r="E41">
        <v>0</v>
      </c>
      <c r="F41" t="s">
        <v>123</v>
      </c>
      <c r="G41" t="s">
        <v>131</v>
      </c>
      <c r="H41">
        <v>11154</v>
      </c>
    </row>
    <row r="42" spans="1:8" x14ac:dyDescent="0.25">
      <c r="A42">
        <v>70342</v>
      </c>
      <c r="B42" t="s">
        <v>44</v>
      </c>
      <c r="C42" t="s">
        <v>45</v>
      </c>
      <c r="D42">
        <v>2</v>
      </c>
      <c r="E42">
        <v>0</v>
      </c>
      <c r="F42" t="s">
        <v>123</v>
      </c>
      <c r="G42" t="s">
        <v>131</v>
      </c>
      <c r="H42">
        <v>98862</v>
      </c>
    </row>
    <row r="43" spans="1:8" x14ac:dyDescent="0.25">
      <c r="A43">
        <v>70342</v>
      </c>
      <c r="B43" t="s">
        <v>44</v>
      </c>
      <c r="C43" t="s">
        <v>45</v>
      </c>
      <c r="D43">
        <v>2</v>
      </c>
      <c r="E43">
        <v>0</v>
      </c>
      <c r="F43" t="s">
        <v>123</v>
      </c>
      <c r="G43" t="s">
        <v>132</v>
      </c>
      <c r="H43">
        <v>11154</v>
      </c>
    </row>
    <row r="44" spans="1:8" x14ac:dyDescent="0.25">
      <c r="A44">
        <v>70342</v>
      </c>
      <c r="B44" t="s">
        <v>44</v>
      </c>
      <c r="C44" t="s">
        <v>45</v>
      </c>
      <c r="D44">
        <v>2</v>
      </c>
      <c r="E44">
        <v>0</v>
      </c>
      <c r="F44" t="s">
        <v>133</v>
      </c>
      <c r="G44" t="s">
        <v>134</v>
      </c>
      <c r="H44">
        <v>877977</v>
      </c>
    </row>
    <row r="45" spans="1:8" x14ac:dyDescent="0.25">
      <c r="A45">
        <v>70342</v>
      </c>
      <c r="B45" t="s">
        <v>44</v>
      </c>
      <c r="C45" t="s">
        <v>45</v>
      </c>
      <c r="D45">
        <v>2</v>
      </c>
      <c r="E45">
        <v>0</v>
      </c>
      <c r="F45" t="s">
        <v>133</v>
      </c>
      <c r="G45" t="s">
        <v>135</v>
      </c>
    </row>
    <row r="46" spans="1:8" x14ac:dyDescent="0.25">
      <c r="A46">
        <v>70342</v>
      </c>
      <c r="B46" t="s">
        <v>44</v>
      </c>
      <c r="C46" t="s">
        <v>45</v>
      </c>
      <c r="D46">
        <v>2</v>
      </c>
      <c r="E46">
        <v>0</v>
      </c>
      <c r="F46" t="s">
        <v>133</v>
      </c>
      <c r="G46" t="s">
        <v>136</v>
      </c>
      <c r="H46">
        <v>363659</v>
      </c>
    </row>
    <row r="47" spans="1:8" x14ac:dyDescent="0.25">
      <c r="A47">
        <v>70343</v>
      </c>
      <c r="B47" t="s">
        <v>44</v>
      </c>
      <c r="C47" t="s">
        <v>45</v>
      </c>
      <c r="D47">
        <v>2</v>
      </c>
      <c r="E47">
        <v>0</v>
      </c>
      <c r="F47" t="s">
        <v>123</v>
      </c>
      <c r="G47" t="s">
        <v>124</v>
      </c>
      <c r="H47">
        <v>1111</v>
      </c>
    </row>
    <row r="48" spans="1:8" x14ac:dyDescent="0.25">
      <c r="A48">
        <v>70343</v>
      </c>
      <c r="B48" t="s">
        <v>44</v>
      </c>
      <c r="C48" t="s">
        <v>45</v>
      </c>
      <c r="D48">
        <v>2</v>
      </c>
      <c r="E48">
        <v>0</v>
      </c>
      <c r="F48" t="s">
        <v>123</v>
      </c>
      <c r="G48" t="s">
        <v>124</v>
      </c>
      <c r="H48">
        <v>1111</v>
      </c>
    </row>
    <row r="49" spans="1:8" x14ac:dyDescent="0.25">
      <c r="A49">
        <v>70343</v>
      </c>
      <c r="B49" t="s">
        <v>44</v>
      </c>
      <c r="C49" t="s">
        <v>45</v>
      </c>
      <c r="D49">
        <v>2</v>
      </c>
      <c r="E49">
        <v>0</v>
      </c>
      <c r="F49" t="s">
        <v>123</v>
      </c>
      <c r="G49" t="s">
        <v>125</v>
      </c>
      <c r="H49">
        <v>1111</v>
      </c>
    </row>
    <row r="50" spans="1:8" x14ac:dyDescent="0.25">
      <c r="A50">
        <v>70343</v>
      </c>
      <c r="B50" t="s">
        <v>44</v>
      </c>
      <c r="C50" t="s">
        <v>45</v>
      </c>
      <c r="D50">
        <v>2</v>
      </c>
      <c r="E50">
        <v>0</v>
      </c>
      <c r="F50" t="s">
        <v>123</v>
      </c>
      <c r="G50" t="s">
        <v>126</v>
      </c>
      <c r="H50">
        <v>1111</v>
      </c>
    </row>
    <row r="51" spans="1:8" x14ac:dyDescent="0.25">
      <c r="A51">
        <v>70343</v>
      </c>
      <c r="B51" t="s">
        <v>44</v>
      </c>
      <c r="C51" t="s">
        <v>45</v>
      </c>
      <c r="D51">
        <v>2</v>
      </c>
      <c r="E51">
        <v>0</v>
      </c>
      <c r="F51" t="s">
        <v>123</v>
      </c>
      <c r="G51" t="s">
        <v>127</v>
      </c>
      <c r="H51">
        <v>1111</v>
      </c>
    </row>
    <row r="52" spans="1:8" x14ac:dyDescent="0.25">
      <c r="A52">
        <v>70343</v>
      </c>
      <c r="B52" t="s">
        <v>44</v>
      </c>
      <c r="C52" t="s">
        <v>45</v>
      </c>
      <c r="D52">
        <v>2</v>
      </c>
      <c r="E52">
        <v>0</v>
      </c>
      <c r="F52" t="s">
        <v>123</v>
      </c>
      <c r="G52" t="s">
        <v>127</v>
      </c>
      <c r="H52">
        <v>1111</v>
      </c>
    </row>
    <row r="53" spans="1:8" x14ac:dyDescent="0.25">
      <c r="A53">
        <v>70343</v>
      </c>
      <c r="B53" t="s">
        <v>44</v>
      </c>
      <c r="C53" t="s">
        <v>45</v>
      </c>
      <c r="D53">
        <v>2</v>
      </c>
      <c r="E53">
        <v>0</v>
      </c>
      <c r="F53" t="s">
        <v>123</v>
      </c>
      <c r="G53" t="s">
        <v>128</v>
      </c>
      <c r="H53">
        <v>1111</v>
      </c>
    </row>
    <row r="54" spans="1:8" x14ac:dyDescent="0.25">
      <c r="A54">
        <v>70343</v>
      </c>
      <c r="B54" t="s">
        <v>44</v>
      </c>
      <c r="C54" t="s">
        <v>45</v>
      </c>
      <c r="D54">
        <v>2</v>
      </c>
      <c r="E54">
        <v>0</v>
      </c>
      <c r="F54" t="s">
        <v>123</v>
      </c>
      <c r="G54" t="s">
        <v>129</v>
      </c>
      <c r="H54">
        <v>1111</v>
      </c>
    </row>
    <row r="55" spans="1:8" x14ac:dyDescent="0.25">
      <c r="A55">
        <v>70343</v>
      </c>
      <c r="B55" t="s">
        <v>44</v>
      </c>
      <c r="C55" t="s">
        <v>45</v>
      </c>
      <c r="D55">
        <v>2</v>
      </c>
      <c r="E55">
        <v>0</v>
      </c>
      <c r="F55" t="s">
        <v>123</v>
      </c>
      <c r="G55" t="s">
        <v>130</v>
      </c>
      <c r="H55">
        <v>1111</v>
      </c>
    </row>
    <row r="56" spans="1:8" x14ac:dyDescent="0.25">
      <c r="A56">
        <v>70343</v>
      </c>
      <c r="B56" t="s">
        <v>44</v>
      </c>
      <c r="C56" t="s">
        <v>45</v>
      </c>
      <c r="D56">
        <v>2</v>
      </c>
      <c r="E56">
        <v>0</v>
      </c>
      <c r="F56" t="s">
        <v>123</v>
      </c>
      <c r="G56" t="s">
        <v>131</v>
      </c>
      <c r="H56">
        <v>1111</v>
      </c>
    </row>
    <row r="57" spans="1:8" x14ac:dyDescent="0.25">
      <c r="A57">
        <v>70343</v>
      </c>
      <c r="B57" t="s">
        <v>44</v>
      </c>
      <c r="C57" t="s">
        <v>45</v>
      </c>
      <c r="D57">
        <v>2</v>
      </c>
      <c r="E57">
        <v>0</v>
      </c>
      <c r="F57" t="s">
        <v>123</v>
      </c>
      <c r="G57" t="s">
        <v>131</v>
      </c>
      <c r="H57">
        <v>1111</v>
      </c>
    </row>
    <row r="58" spans="1:8" x14ac:dyDescent="0.25">
      <c r="A58">
        <v>70343</v>
      </c>
      <c r="B58" t="s">
        <v>44</v>
      </c>
      <c r="C58" t="s">
        <v>45</v>
      </c>
      <c r="D58">
        <v>2</v>
      </c>
      <c r="E58">
        <v>0</v>
      </c>
      <c r="F58" t="s">
        <v>123</v>
      </c>
      <c r="G58" t="s">
        <v>132</v>
      </c>
      <c r="H58">
        <v>1111</v>
      </c>
    </row>
    <row r="59" spans="1:8" x14ac:dyDescent="0.25">
      <c r="A59">
        <v>70343</v>
      </c>
      <c r="B59" t="s">
        <v>44</v>
      </c>
      <c r="C59" t="s">
        <v>45</v>
      </c>
      <c r="D59">
        <v>2</v>
      </c>
      <c r="E59">
        <v>0</v>
      </c>
      <c r="F59" t="s">
        <v>133</v>
      </c>
      <c r="G59" t="s">
        <v>134</v>
      </c>
      <c r="H59">
        <v>56565</v>
      </c>
    </row>
    <row r="60" spans="1:8" x14ac:dyDescent="0.25">
      <c r="A60">
        <v>70343</v>
      </c>
      <c r="B60" t="s">
        <v>44</v>
      </c>
      <c r="C60" t="s">
        <v>45</v>
      </c>
      <c r="D60">
        <v>2</v>
      </c>
      <c r="E60">
        <v>0</v>
      </c>
      <c r="F60" t="s">
        <v>133</v>
      </c>
      <c r="G60" t="s">
        <v>135</v>
      </c>
      <c r="H60">
        <v>56565</v>
      </c>
    </row>
    <row r="61" spans="1:8" x14ac:dyDescent="0.25">
      <c r="A61">
        <v>70343</v>
      </c>
      <c r="B61" t="s">
        <v>44</v>
      </c>
      <c r="C61" t="s">
        <v>45</v>
      </c>
      <c r="D61">
        <v>2</v>
      </c>
      <c r="E61">
        <v>0</v>
      </c>
      <c r="F61" t="s">
        <v>133</v>
      </c>
      <c r="G61" t="s">
        <v>136</v>
      </c>
      <c r="H61">
        <v>56565</v>
      </c>
    </row>
    <row r="62" spans="1:8" x14ac:dyDescent="0.25">
      <c r="A62">
        <v>70344</v>
      </c>
      <c r="B62" t="s">
        <v>44</v>
      </c>
      <c r="C62" t="s">
        <v>45</v>
      </c>
      <c r="D62">
        <v>2</v>
      </c>
      <c r="E62">
        <v>0</v>
      </c>
      <c r="F62" t="s">
        <v>123</v>
      </c>
      <c r="G62" t="s">
        <v>124</v>
      </c>
      <c r="H62">
        <v>6325</v>
      </c>
    </row>
    <row r="63" spans="1:8" x14ac:dyDescent="0.25">
      <c r="A63">
        <v>70344</v>
      </c>
      <c r="B63" t="s">
        <v>44</v>
      </c>
      <c r="C63" t="s">
        <v>45</v>
      </c>
      <c r="D63">
        <v>2</v>
      </c>
      <c r="E63">
        <v>0</v>
      </c>
      <c r="F63" t="s">
        <v>123</v>
      </c>
      <c r="G63" t="s">
        <v>124</v>
      </c>
      <c r="H63">
        <v>6325</v>
      </c>
    </row>
    <row r="64" spans="1:8" x14ac:dyDescent="0.25">
      <c r="A64">
        <v>70344</v>
      </c>
      <c r="B64" t="s">
        <v>44</v>
      </c>
      <c r="C64" t="s">
        <v>45</v>
      </c>
      <c r="D64">
        <v>2</v>
      </c>
      <c r="E64">
        <v>0</v>
      </c>
      <c r="F64" t="s">
        <v>123</v>
      </c>
      <c r="G64" t="s">
        <v>125</v>
      </c>
      <c r="H64">
        <v>6325</v>
      </c>
    </row>
    <row r="65" spans="1:8" x14ac:dyDescent="0.25">
      <c r="A65">
        <v>70344</v>
      </c>
      <c r="B65" t="s">
        <v>44</v>
      </c>
      <c r="C65" t="s">
        <v>45</v>
      </c>
      <c r="D65">
        <v>2</v>
      </c>
      <c r="E65">
        <v>0</v>
      </c>
      <c r="F65" t="s">
        <v>123</v>
      </c>
      <c r="G65" t="s">
        <v>126</v>
      </c>
      <c r="H65">
        <v>6325</v>
      </c>
    </row>
    <row r="66" spans="1:8" x14ac:dyDescent="0.25">
      <c r="A66">
        <v>70344</v>
      </c>
      <c r="B66" t="s">
        <v>44</v>
      </c>
      <c r="C66" t="s">
        <v>45</v>
      </c>
      <c r="D66">
        <v>2</v>
      </c>
      <c r="E66">
        <v>0</v>
      </c>
      <c r="F66" t="s">
        <v>123</v>
      </c>
      <c r="G66" t="s">
        <v>127</v>
      </c>
      <c r="H66">
        <v>6325</v>
      </c>
    </row>
    <row r="67" spans="1:8" x14ac:dyDescent="0.25">
      <c r="A67">
        <v>70344</v>
      </c>
      <c r="B67" t="s">
        <v>44</v>
      </c>
      <c r="C67" t="s">
        <v>45</v>
      </c>
      <c r="D67">
        <v>2</v>
      </c>
      <c r="E67">
        <v>0</v>
      </c>
      <c r="F67" t="s">
        <v>123</v>
      </c>
      <c r="G67" t="s">
        <v>127</v>
      </c>
      <c r="H67">
        <v>6325</v>
      </c>
    </row>
    <row r="68" spans="1:8" x14ac:dyDescent="0.25">
      <c r="A68">
        <v>70344</v>
      </c>
      <c r="B68" t="s">
        <v>44</v>
      </c>
      <c r="C68" t="s">
        <v>45</v>
      </c>
      <c r="D68">
        <v>2</v>
      </c>
      <c r="E68">
        <v>0</v>
      </c>
      <c r="F68" t="s">
        <v>123</v>
      </c>
      <c r="G68" t="s">
        <v>128</v>
      </c>
      <c r="H68">
        <v>6325</v>
      </c>
    </row>
    <row r="69" spans="1:8" x14ac:dyDescent="0.25">
      <c r="A69">
        <v>70344</v>
      </c>
      <c r="B69" t="s">
        <v>44</v>
      </c>
      <c r="C69" t="s">
        <v>45</v>
      </c>
      <c r="D69">
        <v>2</v>
      </c>
      <c r="E69">
        <v>0</v>
      </c>
      <c r="F69" t="s">
        <v>123</v>
      </c>
      <c r="G69" t="s">
        <v>129</v>
      </c>
      <c r="H69">
        <v>6325</v>
      </c>
    </row>
    <row r="70" spans="1:8" x14ac:dyDescent="0.25">
      <c r="A70">
        <v>70344</v>
      </c>
      <c r="B70" t="s">
        <v>44</v>
      </c>
      <c r="C70" t="s">
        <v>45</v>
      </c>
      <c r="D70">
        <v>2</v>
      </c>
      <c r="E70">
        <v>0</v>
      </c>
      <c r="F70" t="s">
        <v>123</v>
      </c>
      <c r="G70" t="s">
        <v>130</v>
      </c>
      <c r="H70">
        <v>6325</v>
      </c>
    </row>
    <row r="71" spans="1:8" x14ac:dyDescent="0.25">
      <c r="A71">
        <v>70344</v>
      </c>
      <c r="B71" t="s">
        <v>44</v>
      </c>
      <c r="C71" t="s">
        <v>45</v>
      </c>
      <c r="D71">
        <v>2</v>
      </c>
      <c r="E71">
        <v>0</v>
      </c>
      <c r="F71" t="s">
        <v>123</v>
      </c>
      <c r="G71" t="s">
        <v>131</v>
      </c>
      <c r="H71">
        <v>6325</v>
      </c>
    </row>
    <row r="72" spans="1:8" x14ac:dyDescent="0.25">
      <c r="A72">
        <v>70344</v>
      </c>
      <c r="B72" t="s">
        <v>44</v>
      </c>
      <c r="C72" t="s">
        <v>45</v>
      </c>
      <c r="D72">
        <v>2</v>
      </c>
      <c r="E72">
        <v>0</v>
      </c>
      <c r="F72" t="s">
        <v>123</v>
      </c>
      <c r="G72" t="s">
        <v>131</v>
      </c>
      <c r="H72">
        <v>6325</v>
      </c>
    </row>
    <row r="73" spans="1:8" x14ac:dyDescent="0.25">
      <c r="A73">
        <v>70344</v>
      </c>
      <c r="B73" t="s">
        <v>44</v>
      </c>
      <c r="C73" t="s">
        <v>45</v>
      </c>
      <c r="D73">
        <v>2</v>
      </c>
      <c r="E73">
        <v>0</v>
      </c>
      <c r="F73" t="s">
        <v>123</v>
      </c>
      <c r="G73" t="s">
        <v>132</v>
      </c>
      <c r="H73">
        <v>1111</v>
      </c>
    </row>
    <row r="74" spans="1:8" x14ac:dyDescent="0.25">
      <c r="A74">
        <v>70344</v>
      </c>
      <c r="B74" t="s">
        <v>44</v>
      </c>
      <c r="C74" t="s">
        <v>45</v>
      </c>
      <c r="D74">
        <v>2</v>
      </c>
      <c r="E74">
        <v>0</v>
      </c>
      <c r="F74" t="s">
        <v>133</v>
      </c>
      <c r="G74" t="s">
        <v>134</v>
      </c>
      <c r="H74">
        <v>89754</v>
      </c>
    </row>
    <row r="75" spans="1:8" x14ac:dyDescent="0.25">
      <c r="A75">
        <v>70344</v>
      </c>
      <c r="B75" t="s">
        <v>44</v>
      </c>
      <c r="C75" t="s">
        <v>45</v>
      </c>
      <c r="D75">
        <v>2</v>
      </c>
      <c r="E75">
        <v>0</v>
      </c>
      <c r="F75" t="s">
        <v>133</v>
      </c>
      <c r="G75" t="s">
        <v>135</v>
      </c>
      <c r="H75">
        <v>85648</v>
      </c>
    </row>
    <row r="76" spans="1:8" x14ac:dyDescent="0.25">
      <c r="A76">
        <v>70344</v>
      </c>
      <c r="B76" t="s">
        <v>44</v>
      </c>
      <c r="C76" t="s">
        <v>45</v>
      </c>
      <c r="D76">
        <v>2</v>
      </c>
      <c r="E76">
        <v>0</v>
      </c>
      <c r="F76" t="s">
        <v>133</v>
      </c>
      <c r="G76" t="s">
        <v>136</v>
      </c>
      <c r="H76">
        <v>72453</v>
      </c>
    </row>
    <row r="77" spans="1:8" x14ac:dyDescent="0.25">
      <c r="A77">
        <v>70345</v>
      </c>
      <c r="B77" t="s">
        <v>44</v>
      </c>
      <c r="C77" t="s">
        <v>45</v>
      </c>
      <c r="D77">
        <v>2</v>
      </c>
      <c r="E77">
        <v>0</v>
      </c>
      <c r="F77" t="s">
        <v>123</v>
      </c>
      <c r="G77" t="s">
        <v>124</v>
      </c>
      <c r="H77">
        <v>3525</v>
      </c>
    </row>
    <row r="78" spans="1:8" x14ac:dyDescent="0.25">
      <c r="A78">
        <v>70345</v>
      </c>
      <c r="B78" t="s">
        <v>44</v>
      </c>
      <c r="C78" t="s">
        <v>45</v>
      </c>
      <c r="D78">
        <v>2</v>
      </c>
      <c r="E78">
        <v>0</v>
      </c>
      <c r="F78" t="s">
        <v>123</v>
      </c>
      <c r="G78" t="s">
        <v>124</v>
      </c>
      <c r="H78">
        <v>3525</v>
      </c>
    </row>
    <row r="79" spans="1:8" x14ac:dyDescent="0.25">
      <c r="A79">
        <v>70345</v>
      </c>
      <c r="B79" t="s">
        <v>44</v>
      </c>
      <c r="C79" t="s">
        <v>45</v>
      </c>
      <c r="D79">
        <v>2</v>
      </c>
      <c r="E79">
        <v>0</v>
      </c>
      <c r="F79" t="s">
        <v>123</v>
      </c>
      <c r="G79" t="s">
        <v>125</v>
      </c>
      <c r="H79">
        <v>3525</v>
      </c>
    </row>
    <row r="80" spans="1:8" x14ac:dyDescent="0.25">
      <c r="A80">
        <v>70345</v>
      </c>
      <c r="B80" t="s">
        <v>44</v>
      </c>
      <c r="C80" t="s">
        <v>45</v>
      </c>
      <c r="D80">
        <v>2</v>
      </c>
      <c r="E80">
        <v>0</v>
      </c>
      <c r="F80" t="s">
        <v>123</v>
      </c>
      <c r="G80" t="s">
        <v>126</v>
      </c>
      <c r="H80">
        <v>3525</v>
      </c>
    </row>
    <row r="81" spans="1:8" x14ac:dyDescent="0.25">
      <c r="A81">
        <v>70345</v>
      </c>
      <c r="B81" t="s">
        <v>44</v>
      </c>
      <c r="C81" t="s">
        <v>45</v>
      </c>
      <c r="D81">
        <v>2</v>
      </c>
      <c r="E81">
        <v>0</v>
      </c>
      <c r="F81" t="s">
        <v>123</v>
      </c>
      <c r="G81" t="s">
        <v>127</v>
      </c>
      <c r="H81">
        <v>1111</v>
      </c>
    </row>
    <row r="82" spans="1:8" x14ac:dyDescent="0.25">
      <c r="A82">
        <v>70345</v>
      </c>
      <c r="B82" t="s">
        <v>44</v>
      </c>
      <c r="C82" t="s">
        <v>45</v>
      </c>
      <c r="D82">
        <v>2</v>
      </c>
      <c r="E82">
        <v>0</v>
      </c>
      <c r="F82" t="s">
        <v>123</v>
      </c>
      <c r="G82" t="s">
        <v>127</v>
      </c>
      <c r="H82">
        <v>2445</v>
      </c>
    </row>
    <row r="83" spans="1:8" x14ac:dyDescent="0.25">
      <c r="A83">
        <v>70345</v>
      </c>
      <c r="B83" t="s">
        <v>44</v>
      </c>
      <c r="C83" t="s">
        <v>45</v>
      </c>
      <c r="D83">
        <v>2</v>
      </c>
      <c r="E83">
        <v>0</v>
      </c>
      <c r="F83" t="s">
        <v>123</v>
      </c>
      <c r="G83" t="s">
        <v>128</v>
      </c>
      <c r="H83">
        <v>2445</v>
      </c>
    </row>
    <row r="84" spans="1:8" x14ac:dyDescent="0.25">
      <c r="A84">
        <v>70345</v>
      </c>
      <c r="B84" t="s">
        <v>44</v>
      </c>
      <c r="C84" t="s">
        <v>45</v>
      </c>
      <c r="D84">
        <v>2</v>
      </c>
      <c r="E84">
        <v>0</v>
      </c>
      <c r="F84" t="s">
        <v>123</v>
      </c>
      <c r="G84" t="s">
        <v>129</v>
      </c>
      <c r="H84">
        <v>2445</v>
      </c>
    </row>
    <row r="85" spans="1:8" x14ac:dyDescent="0.25">
      <c r="A85">
        <v>70345</v>
      </c>
      <c r="B85" t="s">
        <v>44</v>
      </c>
      <c r="C85" t="s">
        <v>45</v>
      </c>
      <c r="D85">
        <v>2</v>
      </c>
      <c r="E85">
        <v>0</v>
      </c>
      <c r="F85" t="s">
        <v>123</v>
      </c>
      <c r="G85" t="s">
        <v>130</v>
      </c>
      <c r="H85">
        <v>2445</v>
      </c>
    </row>
    <row r="86" spans="1:8" x14ac:dyDescent="0.25">
      <c r="A86">
        <v>70345</v>
      </c>
      <c r="B86" t="s">
        <v>44</v>
      </c>
      <c r="C86" t="s">
        <v>45</v>
      </c>
      <c r="D86">
        <v>2</v>
      </c>
      <c r="E86">
        <v>0</v>
      </c>
      <c r="F86" t="s">
        <v>123</v>
      </c>
      <c r="G86" t="s">
        <v>131</v>
      </c>
      <c r="H86">
        <v>2445</v>
      </c>
    </row>
    <row r="87" spans="1:8" x14ac:dyDescent="0.25">
      <c r="A87">
        <v>70345</v>
      </c>
      <c r="B87" t="s">
        <v>44</v>
      </c>
      <c r="C87" t="s">
        <v>45</v>
      </c>
      <c r="D87">
        <v>2</v>
      </c>
      <c r="E87">
        <v>0</v>
      </c>
      <c r="F87" t="s">
        <v>123</v>
      </c>
      <c r="G87" t="s">
        <v>131</v>
      </c>
      <c r="H87">
        <v>2445</v>
      </c>
    </row>
    <row r="88" spans="1:8" x14ac:dyDescent="0.25">
      <c r="A88">
        <v>70345</v>
      </c>
      <c r="B88" t="s">
        <v>44</v>
      </c>
      <c r="C88" t="s">
        <v>45</v>
      </c>
      <c r="D88">
        <v>2</v>
      </c>
      <c r="E88">
        <v>0</v>
      </c>
      <c r="F88" t="s">
        <v>123</v>
      </c>
      <c r="G88" t="s">
        <v>132</v>
      </c>
      <c r="H88">
        <v>2445</v>
      </c>
    </row>
    <row r="89" spans="1:8" x14ac:dyDescent="0.25">
      <c r="A89">
        <v>70345</v>
      </c>
      <c r="B89" t="s">
        <v>44</v>
      </c>
      <c r="C89" t="s">
        <v>45</v>
      </c>
      <c r="D89">
        <v>2</v>
      </c>
      <c r="E89">
        <v>0</v>
      </c>
      <c r="F89" t="s">
        <v>133</v>
      </c>
      <c r="G89" t="s">
        <v>134</v>
      </c>
      <c r="H89">
        <v>87565</v>
      </c>
    </row>
    <row r="90" spans="1:8" x14ac:dyDescent="0.25">
      <c r="A90">
        <v>70345</v>
      </c>
      <c r="B90" t="s">
        <v>44</v>
      </c>
      <c r="C90" t="s">
        <v>45</v>
      </c>
      <c r="D90">
        <v>2</v>
      </c>
      <c r="E90">
        <v>0</v>
      </c>
      <c r="F90" t="s">
        <v>133</v>
      </c>
      <c r="G90" t="s">
        <v>135</v>
      </c>
      <c r="H90">
        <v>79985</v>
      </c>
    </row>
    <row r="91" spans="1:8" x14ac:dyDescent="0.25">
      <c r="A91">
        <v>70345</v>
      </c>
      <c r="B91" t="s">
        <v>44</v>
      </c>
      <c r="C91" t="s">
        <v>45</v>
      </c>
      <c r="D91">
        <v>2</v>
      </c>
      <c r="E91">
        <v>0</v>
      </c>
      <c r="F91" t="s">
        <v>133</v>
      </c>
      <c r="G91" t="s">
        <v>136</v>
      </c>
      <c r="H91">
        <v>98266</v>
      </c>
    </row>
    <row r="92" spans="1:8" x14ac:dyDescent="0.25">
      <c r="A92">
        <v>70346</v>
      </c>
      <c r="B92" t="s">
        <v>44</v>
      </c>
      <c r="C92" t="s">
        <v>45</v>
      </c>
      <c r="D92">
        <v>2</v>
      </c>
      <c r="E92">
        <v>0</v>
      </c>
      <c r="F92" t="s">
        <v>123</v>
      </c>
      <c r="G92" t="s">
        <v>124</v>
      </c>
      <c r="H92">
        <v>9658</v>
      </c>
    </row>
    <row r="93" spans="1:8" x14ac:dyDescent="0.25">
      <c r="A93">
        <v>70346</v>
      </c>
      <c r="B93" t="s">
        <v>44</v>
      </c>
      <c r="C93" t="s">
        <v>45</v>
      </c>
      <c r="D93">
        <v>2</v>
      </c>
      <c r="E93">
        <v>0</v>
      </c>
      <c r="F93" t="s">
        <v>123</v>
      </c>
      <c r="G93" t="s">
        <v>124</v>
      </c>
      <c r="H93">
        <v>9658</v>
      </c>
    </row>
    <row r="94" spans="1:8" x14ac:dyDescent="0.25">
      <c r="A94">
        <v>70346</v>
      </c>
      <c r="B94" t="s">
        <v>44</v>
      </c>
      <c r="C94" t="s">
        <v>45</v>
      </c>
      <c r="D94">
        <v>2</v>
      </c>
      <c r="E94">
        <v>0</v>
      </c>
      <c r="F94" t="s">
        <v>123</v>
      </c>
      <c r="G94" t="s">
        <v>125</v>
      </c>
      <c r="H94">
        <v>9658</v>
      </c>
    </row>
    <row r="95" spans="1:8" x14ac:dyDescent="0.25">
      <c r="A95">
        <v>70346</v>
      </c>
      <c r="B95" t="s">
        <v>44</v>
      </c>
      <c r="C95" t="s">
        <v>45</v>
      </c>
      <c r="D95">
        <v>2</v>
      </c>
      <c r="E95">
        <v>0</v>
      </c>
      <c r="F95" t="s">
        <v>123</v>
      </c>
      <c r="G95" t="s">
        <v>126</v>
      </c>
      <c r="H95">
        <v>9658</v>
      </c>
    </row>
    <row r="96" spans="1:8" x14ac:dyDescent="0.25">
      <c r="A96">
        <v>70346</v>
      </c>
      <c r="B96" t="s">
        <v>44</v>
      </c>
      <c r="C96" t="s">
        <v>45</v>
      </c>
      <c r="D96">
        <v>2</v>
      </c>
      <c r="E96">
        <v>0</v>
      </c>
      <c r="F96" t="s">
        <v>123</v>
      </c>
      <c r="G96" t="s">
        <v>127</v>
      </c>
      <c r="H96">
        <v>9658</v>
      </c>
    </row>
    <row r="97" spans="1:8" x14ac:dyDescent="0.25">
      <c r="A97">
        <v>70346</v>
      </c>
      <c r="B97" t="s">
        <v>44</v>
      </c>
      <c r="C97" t="s">
        <v>45</v>
      </c>
      <c r="D97">
        <v>2</v>
      </c>
      <c r="E97">
        <v>0</v>
      </c>
      <c r="F97" t="s">
        <v>123</v>
      </c>
      <c r="G97" t="s">
        <v>127</v>
      </c>
      <c r="H97">
        <v>9658</v>
      </c>
    </row>
    <row r="98" spans="1:8" x14ac:dyDescent="0.25">
      <c r="A98">
        <v>70346</v>
      </c>
      <c r="B98" t="s">
        <v>44</v>
      </c>
      <c r="C98" t="s">
        <v>45</v>
      </c>
      <c r="D98">
        <v>2</v>
      </c>
      <c r="E98">
        <v>0</v>
      </c>
      <c r="F98" t="s">
        <v>123</v>
      </c>
      <c r="G98" t="s">
        <v>128</v>
      </c>
      <c r="H98">
        <v>7896</v>
      </c>
    </row>
    <row r="99" spans="1:8" x14ac:dyDescent="0.25">
      <c r="A99">
        <v>70346</v>
      </c>
      <c r="B99" t="s">
        <v>44</v>
      </c>
      <c r="C99" t="s">
        <v>45</v>
      </c>
      <c r="D99">
        <v>2</v>
      </c>
      <c r="E99">
        <v>0</v>
      </c>
      <c r="F99" t="s">
        <v>123</v>
      </c>
      <c r="G99" t="s">
        <v>129</v>
      </c>
      <c r="H99">
        <v>6888</v>
      </c>
    </row>
    <row r="100" spans="1:8" x14ac:dyDescent="0.25">
      <c r="A100">
        <v>70346</v>
      </c>
      <c r="B100" t="s">
        <v>44</v>
      </c>
      <c r="C100" t="s">
        <v>45</v>
      </c>
      <c r="D100">
        <v>2</v>
      </c>
      <c r="E100">
        <v>0</v>
      </c>
      <c r="F100" t="s">
        <v>123</v>
      </c>
      <c r="G100" t="s">
        <v>130</v>
      </c>
      <c r="H100">
        <v>5452</v>
      </c>
    </row>
    <row r="101" spans="1:8" x14ac:dyDescent="0.25">
      <c r="A101">
        <v>70346</v>
      </c>
      <c r="B101" t="s">
        <v>44</v>
      </c>
      <c r="C101" t="s">
        <v>45</v>
      </c>
      <c r="D101">
        <v>2</v>
      </c>
      <c r="E101">
        <v>0</v>
      </c>
      <c r="F101" t="s">
        <v>123</v>
      </c>
      <c r="G101" t="s">
        <v>131</v>
      </c>
      <c r="H101">
        <v>1111</v>
      </c>
    </row>
    <row r="102" spans="1:8" x14ac:dyDescent="0.25">
      <c r="A102">
        <v>70346</v>
      </c>
      <c r="B102" t="s">
        <v>44</v>
      </c>
      <c r="C102" t="s">
        <v>45</v>
      </c>
      <c r="D102">
        <v>2</v>
      </c>
      <c r="E102">
        <v>0</v>
      </c>
      <c r="F102" t="s">
        <v>123</v>
      </c>
      <c r="G102" t="s">
        <v>131</v>
      </c>
      <c r="H102">
        <v>1111</v>
      </c>
    </row>
    <row r="103" spans="1:8" x14ac:dyDescent="0.25">
      <c r="A103">
        <v>70346</v>
      </c>
      <c r="B103" t="s">
        <v>44</v>
      </c>
      <c r="C103" t="s">
        <v>45</v>
      </c>
      <c r="D103">
        <v>2</v>
      </c>
      <c r="E103">
        <v>0</v>
      </c>
      <c r="F103" t="s">
        <v>123</v>
      </c>
      <c r="G103" t="s">
        <v>132</v>
      </c>
      <c r="H103">
        <v>1111</v>
      </c>
    </row>
    <row r="104" spans="1:8" x14ac:dyDescent="0.25">
      <c r="A104">
        <v>70346</v>
      </c>
      <c r="B104" t="s">
        <v>44</v>
      </c>
      <c r="C104" t="s">
        <v>45</v>
      </c>
      <c r="D104">
        <v>2</v>
      </c>
      <c r="E104">
        <v>0</v>
      </c>
      <c r="F104" t="s">
        <v>133</v>
      </c>
      <c r="G104" t="s">
        <v>134</v>
      </c>
      <c r="H104">
        <v>56565</v>
      </c>
    </row>
    <row r="105" spans="1:8" x14ac:dyDescent="0.25">
      <c r="A105">
        <v>70346</v>
      </c>
      <c r="B105" t="s">
        <v>44</v>
      </c>
      <c r="C105" t="s">
        <v>45</v>
      </c>
      <c r="D105">
        <v>2</v>
      </c>
      <c r="E105">
        <v>0</v>
      </c>
      <c r="F105" t="s">
        <v>133</v>
      </c>
      <c r="G105" t="s">
        <v>135</v>
      </c>
      <c r="H105">
        <v>56565</v>
      </c>
    </row>
    <row r="106" spans="1:8" x14ac:dyDescent="0.25">
      <c r="A106">
        <v>70346</v>
      </c>
      <c r="B106" t="s">
        <v>44</v>
      </c>
      <c r="C106" t="s">
        <v>45</v>
      </c>
      <c r="D106">
        <v>2</v>
      </c>
      <c r="E106">
        <v>0</v>
      </c>
      <c r="F106" t="s">
        <v>133</v>
      </c>
      <c r="G106" t="s">
        <v>136</v>
      </c>
      <c r="H106">
        <v>64875</v>
      </c>
    </row>
    <row r="107" spans="1:8" x14ac:dyDescent="0.25">
      <c r="A107">
        <v>70347</v>
      </c>
      <c r="B107" t="s">
        <v>44</v>
      </c>
      <c r="C107" t="s">
        <v>45</v>
      </c>
      <c r="D107">
        <v>2</v>
      </c>
      <c r="E107">
        <v>0</v>
      </c>
      <c r="F107" t="s">
        <v>123</v>
      </c>
      <c r="G107" t="s">
        <v>124</v>
      </c>
      <c r="H107">
        <v>2556</v>
      </c>
    </row>
    <row r="108" spans="1:8" x14ac:dyDescent="0.25">
      <c r="A108">
        <v>70347</v>
      </c>
      <c r="B108" t="s">
        <v>44</v>
      </c>
      <c r="C108" t="s">
        <v>45</v>
      </c>
      <c r="D108">
        <v>2</v>
      </c>
      <c r="E108">
        <v>0</v>
      </c>
      <c r="F108" t="s">
        <v>123</v>
      </c>
      <c r="G108" t="s">
        <v>124</v>
      </c>
      <c r="H108">
        <v>2556</v>
      </c>
    </row>
    <row r="109" spans="1:8" x14ac:dyDescent="0.25">
      <c r="A109">
        <v>70347</v>
      </c>
      <c r="B109" t="s">
        <v>44</v>
      </c>
      <c r="C109" t="s">
        <v>45</v>
      </c>
      <c r="D109">
        <v>2</v>
      </c>
      <c r="E109">
        <v>0</v>
      </c>
      <c r="F109" t="s">
        <v>123</v>
      </c>
      <c r="G109" t="s">
        <v>125</v>
      </c>
      <c r="H109">
        <v>2556</v>
      </c>
    </row>
    <row r="110" spans="1:8" x14ac:dyDescent="0.25">
      <c r="A110">
        <v>70347</v>
      </c>
      <c r="B110" t="s">
        <v>44</v>
      </c>
      <c r="C110" t="s">
        <v>45</v>
      </c>
      <c r="D110">
        <v>2</v>
      </c>
      <c r="E110">
        <v>0</v>
      </c>
      <c r="F110" t="s">
        <v>123</v>
      </c>
      <c r="G110" t="s">
        <v>126</v>
      </c>
      <c r="H110">
        <v>2556</v>
      </c>
    </row>
    <row r="111" spans="1:8" x14ac:dyDescent="0.25">
      <c r="A111">
        <v>70347</v>
      </c>
      <c r="B111" t="s">
        <v>44</v>
      </c>
      <c r="C111" t="s">
        <v>45</v>
      </c>
      <c r="D111">
        <v>2</v>
      </c>
      <c r="E111">
        <v>0</v>
      </c>
      <c r="F111" t="s">
        <v>123</v>
      </c>
      <c r="G111" t="s">
        <v>127</v>
      </c>
      <c r="H111">
        <v>2556</v>
      </c>
    </row>
    <row r="112" spans="1:8" x14ac:dyDescent="0.25">
      <c r="A112">
        <v>70347</v>
      </c>
      <c r="B112" t="s">
        <v>44</v>
      </c>
      <c r="C112" t="s">
        <v>45</v>
      </c>
      <c r="D112">
        <v>2</v>
      </c>
      <c r="E112">
        <v>0</v>
      </c>
      <c r="F112" t="s">
        <v>123</v>
      </c>
      <c r="G112" t="s">
        <v>127</v>
      </c>
      <c r="H112">
        <v>2556</v>
      </c>
    </row>
    <row r="113" spans="1:8" x14ac:dyDescent="0.25">
      <c r="A113">
        <v>70347</v>
      </c>
      <c r="B113" t="s">
        <v>44</v>
      </c>
      <c r="C113" t="s">
        <v>45</v>
      </c>
      <c r="D113">
        <v>2</v>
      </c>
      <c r="E113">
        <v>0</v>
      </c>
      <c r="F113" t="s">
        <v>123</v>
      </c>
      <c r="G113" t="s">
        <v>128</v>
      </c>
      <c r="H113">
        <v>2556</v>
      </c>
    </row>
    <row r="114" spans="1:8" x14ac:dyDescent="0.25">
      <c r="A114">
        <v>70347</v>
      </c>
      <c r="B114" t="s">
        <v>44</v>
      </c>
      <c r="C114" t="s">
        <v>45</v>
      </c>
      <c r="D114">
        <v>2</v>
      </c>
      <c r="E114">
        <v>0</v>
      </c>
      <c r="F114" t="s">
        <v>123</v>
      </c>
      <c r="G114" t="s">
        <v>129</v>
      </c>
      <c r="H114">
        <v>2556</v>
      </c>
    </row>
    <row r="115" spans="1:8" x14ac:dyDescent="0.25">
      <c r="A115">
        <v>70347</v>
      </c>
      <c r="B115" t="s">
        <v>44</v>
      </c>
      <c r="C115" t="s">
        <v>45</v>
      </c>
      <c r="D115">
        <v>2</v>
      </c>
      <c r="E115">
        <v>0</v>
      </c>
      <c r="F115" t="s">
        <v>123</v>
      </c>
      <c r="G115" t="s">
        <v>130</v>
      </c>
      <c r="H115">
        <v>2556</v>
      </c>
    </row>
    <row r="116" spans="1:8" x14ac:dyDescent="0.25">
      <c r="A116">
        <v>70347</v>
      </c>
      <c r="B116" t="s">
        <v>44</v>
      </c>
      <c r="C116" t="s">
        <v>45</v>
      </c>
      <c r="D116">
        <v>2</v>
      </c>
      <c r="E116">
        <v>0</v>
      </c>
      <c r="F116" t="s">
        <v>123</v>
      </c>
      <c r="G116" t="s">
        <v>131</v>
      </c>
      <c r="H116">
        <v>2556</v>
      </c>
    </row>
    <row r="117" spans="1:8" x14ac:dyDescent="0.25">
      <c r="A117">
        <v>70347</v>
      </c>
      <c r="B117" t="s">
        <v>44</v>
      </c>
      <c r="C117" t="s">
        <v>45</v>
      </c>
      <c r="D117">
        <v>2</v>
      </c>
      <c r="E117">
        <v>0</v>
      </c>
      <c r="F117" t="s">
        <v>123</v>
      </c>
      <c r="G117" t="s">
        <v>131</v>
      </c>
      <c r="H117">
        <v>2556</v>
      </c>
    </row>
    <row r="118" spans="1:8" x14ac:dyDescent="0.25">
      <c r="A118">
        <v>70347</v>
      </c>
      <c r="B118" t="s">
        <v>44</v>
      </c>
      <c r="C118" t="s">
        <v>45</v>
      </c>
      <c r="D118">
        <v>2</v>
      </c>
      <c r="E118">
        <v>0</v>
      </c>
      <c r="F118" t="s">
        <v>123</v>
      </c>
      <c r="G118" t="s">
        <v>132</v>
      </c>
      <c r="H118">
        <v>2556</v>
      </c>
    </row>
    <row r="119" spans="1:8" x14ac:dyDescent="0.25">
      <c r="A119">
        <v>70347</v>
      </c>
      <c r="B119" t="s">
        <v>44</v>
      </c>
      <c r="C119" t="s">
        <v>45</v>
      </c>
      <c r="D119">
        <v>2</v>
      </c>
      <c r="E119">
        <v>0</v>
      </c>
      <c r="F119" t="s">
        <v>133</v>
      </c>
      <c r="G119" t="s">
        <v>134</v>
      </c>
      <c r="H119">
        <v>56565</v>
      </c>
    </row>
    <row r="120" spans="1:8" x14ac:dyDescent="0.25">
      <c r="A120">
        <v>70347</v>
      </c>
      <c r="B120" t="s">
        <v>44</v>
      </c>
      <c r="C120" t="s">
        <v>45</v>
      </c>
      <c r="D120">
        <v>2</v>
      </c>
      <c r="E120">
        <v>0</v>
      </c>
      <c r="F120" t="s">
        <v>133</v>
      </c>
      <c r="G120" t="s">
        <v>135</v>
      </c>
      <c r="H120">
        <v>56565</v>
      </c>
    </row>
    <row r="121" spans="1:8" x14ac:dyDescent="0.25">
      <c r="A121">
        <v>70347</v>
      </c>
      <c r="B121" t="s">
        <v>44</v>
      </c>
      <c r="C121" t="s">
        <v>45</v>
      </c>
      <c r="D121">
        <v>2</v>
      </c>
      <c r="E121">
        <v>0</v>
      </c>
      <c r="F121" t="s">
        <v>133</v>
      </c>
      <c r="G121" t="s">
        <v>136</v>
      </c>
      <c r="H121">
        <v>56565</v>
      </c>
    </row>
    <row r="647" spans="1:8" x14ac:dyDescent="0.25">
      <c r="A647">
        <v>70346</v>
      </c>
      <c r="B647" t="s">
        <v>44</v>
      </c>
      <c r="C647" t="s">
        <v>45</v>
      </c>
      <c r="D647">
        <v>2</v>
      </c>
      <c r="E647">
        <v>0</v>
      </c>
      <c r="F647" t="s">
        <v>123</v>
      </c>
      <c r="G647" t="s">
        <v>124</v>
      </c>
      <c r="H647">
        <v>1245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Instructions</vt:lpstr>
      <vt:lpstr>Main</vt:lpstr>
      <vt:lpstr>Sheet3</vt:lpstr>
      <vt:lpstr>Sheet2</vt:lpstr>
      <vt:lpstr>BalSht</vt:lpstr>
      <vt:lpstr>IncStmt</vt:lpstr>
      <vt:lpstr>ProjectNames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2018-02-02T05:25:33Z</dcterms:modified>
</cp:coreProperties>
</file>