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758"/>
  </bookViews>
  <sheets>
    <sheet name="Operating" sheetId="1" r:id="rId1"/>
    <sheet name="Expenses" sheetId="2" r:id="rId2"/>
    <sheet name="Occupancy" sheetId="4" r:id="rId3"/>
    <sheet name="AnnualFinancialData" sheetId="5" r:id="rId4"/>
    <sheet name="ProjectTypeData" sheetId="9" r:id="rId5"/>
    <sheet name="BalanceSheetData" sheetId="6" r:id="rId6"/>
    <sheet name="IncomeStatementData" sheetId="7" r:id="rId7"/>
    <sheet name="OccupancyData" sheetId="8" r:id="rId8"/>
  </sheets>
  <definedNames>
    <definedName name="_xlnm._FilterDatabase" localSheetId="4" hidden="1">ProjectTypeData!$A$2:$C$34</definedName>
    <definedName name="Acf_ab_cell">Operating!$BB$9</definedName>
    <definedName name="Acf_ab_cell1">Operating!$BB$42</definedName>
    <definedName name="Acf_ytd_cell">Operating!$BA$9</definedName>
    <definedName name="Acf_ytd_cell1">Operating!$BA$42</definedName>
    <definedName name="Acf_ytda_cell">Operating!$AZ$9</definedName>
    <definedName name="Acf_ytda_cell1">Operating!$AZ$42</definedName>
    <definedName name="Acf_ytdau_cell">Operating!$BC$9</definedName>
    <definedName name="Acf_ytdau_cell1">Operating!$BC$42</definedName>
    <definedName name="Acf_ytdbu_cell">Operating!$BD$9</definedName>
    <definedName name="Acf_ytdbu_cell1">Operating!$BD$42</definedName>
    <definedName name="Adm_ytdau_cell">Expenses!$L$5</definedName>
    <definedName name="Adm_ytdau_cell1">Expenses!$L$37</definedName>
    <definedName name="Adm_ytdb_cell">Expenses!$J$5</definedName>
    <definedName name="Adm_ytdb_cell1">Expenses!$J$37</definedName>
    <definedName name="Adm_ytdbu_cell">Expenses!$M$5</definedName>
    <definedName name="Adm_ytdbu_cell1">Expenses!$M$37</definedName>
    <definedName name="Amf_ytd_cell">Operating!$AV$9</definedName>
    <definedName name="Amf_ytd_cell1">Operating!$AV$42</definedName>
    <definedName name="Amf_ytdau_cell">Operating!$AX$9</definedName>
    <definedName name="Amf_ytdau_cell1">Operating!$AX$42</definedName>
    <definedName name="Amf_ytdbu_cell">Operating!$AY$9</definedName>
    <definedName name="Amf_ytdbu_cell1">Operating!$AY$42</definedName>
    <definedName name="Bd_ytdau_cell">Expenses!$Q$5</definedName>
    <definedName name="Bd_ytdau_cell1">Expenses!$Q$37</definedName>
    <definedName name="Bd_ytdb_cell">Expenses!$O$5</definedName>
    <definedName name="Bd_ytdb_cell1">Expenses!$O$37</definedName>
    <definedName name="Bd_ytdbu_cell">Expenses!$R$5</definedName>
    <definedName name="Bd_ytdbu_cell1">Expenses!$R$37</definedName>
    <definedName name="Cap_ytd_cell">Operating!$AQ$9</definedName>
    <definedName name="Cap_ytd_cell1">Operating!$AQ$42</definedName>
    <definedName name="Cap_ytdau_cell">Operating!$AS$9</definedName>
    <definedName name="Cap_ytdau_cell1">Operating!$AS$42</definedName>
    <definedName name="Cap_ytdbu_cell">Operating!$AT$9</definedName>
    <definedName name="Cap_ytdbu_cell1">Operating!$AT$42</definedName>
    <definedName name="Cf_ytd_cell">Operating!$BA$9</definedName>
    <definedName name="Cf_ytd_cell1">Operating!$BA$42</definedName>
    <definedName name="Dev_cell">Operating!$A$40</definedName>
    <definedName name="Dev_exp">Expenses!$A$35</definedName>
    <definedName name="Fm_ytd_cell">Operating!$AG$9</definedName>
    <definedName name="Fm_ytd_cell1">Operating!$AG$42</definedName>
    <definedName name="Fm_ytdau_cell">Operating!$AI$9</definedName>
    <definedName name="Fm_ytdau_cell1">Operating!$AI$42</definedName>
    <definedName name="Fm_ytdbu_cell">Operating!$AJ$9</definedName>
    <definedName name="Fm_ytdbu_cell1">Operating!$AJ$42</definedName>
    <definedName name="Ins_ytdau_cell">Expenses!$AZ$5</definedName>
    <definedName name="Ins_ytdau_cell1">Expenses!$AZ$37</definedName>
    <definedName name="Ins_ytdb_cell">Expenses!$AX$5</definedName>
    <definedName name="Ins_ytdb_cell1">Expenses!$AX$37</definedName>
    <definedName name="Ins_ytdbu_cell">Expenses!$BA$5</definedName>
    <definedName name="Ins_ytdbu_cell1">Expenses!$BA$37</definedName>
    <definedName name="Mf_ytdau_cell">Expenses!$V$5</definedName>
    <definedName name="Mf_ytdau_cell1">Expenses!$V$37</definedName>
    <definedName name="Mf_ytdb_cell">Expenses!$T$5</definedName>
    <definedName name="Mf_ytdb_cell1">Expenses!$T$37</definedName>
    <definedName name="Mf_ytdbu_cell">Expenses!$W$5</definedName>
    <definedName name="Mf_ytdbu_cell1">Expenses!$W$37</definedName>
    <definedName name="Noi_ab_cell">Operating!$AC$9</definedName>
    <definedName name="Noi_ab_cell1">Operating!$AC$42</definedName>
    <definedName name="Noi_ytd_cell">Operating!$AB$9</definedName>
    <definedName name="Noi_ytd_cell1">Operating!$AB$42</definedName>
    <definedName name="Noi_ytda_cell">Operating!$AA$9</definedName>
    <definedName name="Noi_ytda_cell1">Operating!$AA$42</definedName>
    <definedName name="Noi_ytdau_cell">Operating!$AD$9</definedName>
    <definedName name="Noi_ytdau_cell1">Operating!$AD$42</definedName>
    <definedName name="Noi_ytdb_cell">Operating!$AB$9</definedName>
    <definedName name="Noi_ytdbu_cell">Operating!$AE$9</definedName>
    <definedName name="Noi_ytdbu_cell1">Operating!$AE$42</definedName>
    <definedName name="Oc_ab_cell">Operating!$W$9</definedName>
    <definedName name="Oc_ab_cell1">Operating!$W$42</definedName>
    <definedName name="Oc_ytd_cell">Operating!$V$9</definedName>
    <definedName name="Oc_ytd_cell1">Operating!$V$42</definedName>
    <definedName name="Oc_ytda_cell">Operating!$U$9</definedName>
    <definedName name="Oc_ytda_cell1">Operating!$U$42</definedName>
    <definedName name="Oc_ytdaer_cell">Operating!$Z$9</definedName>
    <definedName name="Oc_ytdaer_cell1">Operating!$Z$42</definedName>
    <definedName name="Oc_ytdau_cell">Operating!$X$9</definedName>
    <definedName name="Oc_ytdau_cell1">Operating!$X$42</definedName>
    <definedName name="Oc_ytdbu_cell">Operating!$Y$9</definedName>
    <definedName name="Oc_ytdbu_cell1">Operating!$Y$42</definedName>
    <definedName name="Occupancy_cell">Operating!$K$9</definedName>
    <definedName name="Occupancy_cell1">Operating!$K$42</definedName>
    <definedName name="Ocytd_cell">Operating!$V$9</definedName>
    <definedName name="Ocytd_cell1">Operating!$V$42</definedName>
    <definedName name="Pay_ytd_cell">Expenses!$E$5</definedName>
    <definedName name="Pay_ytd_cell1">Expenses!$E$37</definedName>
    <definedName name="Pay_ytdau_cell">Expenses!$G$5</definedName>
    <definedName name="Pay_ytdau_cell1">Expenses!$G$37</definedName>
    <definedName name="Pay_ytdb_cell">Expenses!$E$5</definedName>
    <definedName name="Pay_ytdbu_cell">Expenses!$H$5</definedName>
    <definedName name="Pay_ytdbu_cell1">Expenses!$H$37</definedName>
    <definedName name="Rehab_cell">Operating!$A$48</definedName>
    <definedName name="Rehab_exp">Expenses!$A$43</definedName>
    <definedName name="Res_ytd_cell">Operating!$AL$9</definedName>
    <definedName name="Res_ytd_cell1">Operating!$AL$42</definedName>
    <definedName name="Res_ytdau_cell">Operating!$AN$9</definedName>
    <definedName name="Res_ytdau_cell1">Operating!$AN$42</definedName>
    <definedName name="Res_ytdbu_cell">Operating!$AO$9</definedName>
    <definedName name="Res_ytdbu_cell1">Operating!$AO$42</definedName>
    <definedName name="Rm_ytdau_cell">Expenses!$AA$5</definedName>
    <definedName name="Rm_ytdau_cell1">Expenses!$AA$37</definedName>
    <definedName name="Rm_ytdb_cell">Expenses!$Y$5</definedName>
    <definedName name="Rm_ytdb_cell1">Expenses!$Y$37</definedName>
    <definedName name="Rm_ytdbu_cell">Expenses!$AB$5</definedName>
    <definedName name="Rm_ytdbu_cell1">Expenses!$AB$37</definedName>
    <definedName name="Rytd_cell">Operating!$Q$9</definedName>
    <definedName name="Rytd_cell1">Operating!$Q$42</definedName>
    <definedName name="Rytd_cells">Operating!$Q$42</definedName>
    <definedName name="Rytdau_cell">Operating!$S$9</definedName>
    <definedName name="Rytdau_cell1">Operating!$S$42</definedName>
    <definedName name="Rytdbu_cell">Operating!$T$9</definedName>
    <definedName name="Rytdbu_cell1">Operating!$T$42</definedName>
    <definedName name="Sec_ytdau_cell">Expenses!$AF$5</definedName>
    <definedName name="Sec_ytdau_cell1">Expenses!$AF$37</definedName>
    <definedName name="Sec_ytdb_cell">Expenses!$AD$5</definedName>
    <definedName name="Sec_ytdb_cell1">Expenses!$AD$37</definedName>
    <definedName name="Sec_ytdbu_cell">Expenses!$AG$5</definedName>
    <definedName name="Sec_ytdbu_cell1">Expenses!$AG$37</definedName>
    <definedName name="Tax_ytdau_cell">Expenses!$AU$5</definedName>
    <definedName name="Tax_ytdau_cell1">Expenses!$AU$37</definedName>
    <definedName name="Tax_ytdb_cell">Expenses!$AS$5</definedName>
    <definedName name="Tax_ytdb_cell1">Expenses!$AS$37</definedName>
    <definedName name="Tax_ytdbu_cell">Expenses!$AV$5</definedName>
    <definedName name="Tax_ytdbu_cell1">Expenses!$AV$37</definedName>
    <definedName name="Toe_ytda_cell">Expenses!$BB$5</definedName>
    <definedName name="Toe_ytda_cell1">Expenses!$BB$37</definedName>
    <definedName name="Toe_ytdab_cell">Expenses!$BD$5</definedName>
    <definedName name="Toe_ytdab_cell1">Expenses!$BD$37</definedName>
    <definedName name="Toe_ytdau_cell">Expenses!$BE$5</definedName>
    <definedName name="Toe_ytdau_cell1">Expenses!$BE$37</definedName>
    <definedName name="Toe_ytdb_cell">Expenses!$BC$5</definedName>
    <definedName name="Toe_ytdb_cell1">Expenses!$BC$37</definedName>
    <definedName name="Toe_ytdbu_cell">Expenses!$BF$5</definedName>
    <definedName name="Toe_ytdbu_cell1">Expenses!$BF$37</definedName>
    <definedName name="Total_cell">Operating!$I$9</definedName>
    <definedName name="Total_cell1">Operating!$I$42</definedName>
    <definedName name="Units_cell">Operating!$B$9</definedName>
    <definedName name="Units_cell1">Operating!$B$42</definedName>
    <definedName name="Util_ytdau_cell">Expenses!$AK$5</definedName>
    <definedName name="Util_ytdau_cell1">Expenses!$AK$37</definedName>
    <definedName name="Util_ytdb_cell">Expenses!$AI$5</definedName>
    <definedName name="Util_ytdb_cell1">Expenses!$AI$37</definedName>
    <definedName name="Util_ytdbu_cell">Expenses!$AL$5</definedName>
    <definedName name="Util_ytdbu_cell1">Expenses!$AL$37</definedName>
    <definedName name="Ws_ytdau_cell">Expenses!$AP$5</definedName>
    <definedName name="Ws_ytdau_cell1">Expenses!$AP$37</definedName>
    <definedName name="Ws_ytdb_cell">Expenses!$AN$5</definedName>
    <definedName name="Ws_ytdb_cell1">Expenses!$AN$37</definedName>
    <definedName name="Ws_ytdbu_cell">Expenses!$AQ$5</definedName>
    <definedName name="Ws_ytdbu_cell1">Expenses!$AQ$37</definedName>
    <definedName name="YTD_Budget">Expenses!$E$5</definedName>
    <definedName name="YtdOccupancy_cell">Operating!$J$9</definedName>
    <definedName name="YtdOccupancy_cell1">Operating!$J$42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39" i="2" l="1"/>
  <c r="BC39" i="2"/>
  <c r="BD40" i="2"/>
  <c r="BD41" i="2"/>
  <c r="BD42" i="2"/>
  <c r="BD7" i="2"/>
  <c r="BD8" i="2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2" i="2"/>
  <c r="BD23" i="2"/>
  <c r="BD24" i="2"/>
  <c r="BD25" i="2"/>
  <c r="BD26" i="2"/>
  <c r="BD27" i="2"/>
  <c r="BD28" i="2"/>
  <c r="BD29" i="2"/>
  <c r="BD30" i="2"/>
  <c r="BD31" i="2"/>
  <c r="BD32" i="2"/>
  <c r="BD33" i="2"/>
  <c r="BD34" i="2"/>
  <c r="BD6" i="2"/>
  <c r="BC40" i="2"/>
  <c r="BF40" i="2" s="1"/>
  <c r="BC41" i="2"/>
  <c r="BF41" i="2" s="1"/>
  <c r="BC42" i="2"/>
  <c r="BF42" i="2" s="1"/>
  <c r="BC7" i="2"/>
  <c r="BC8" i="2"/>
  <c r="BC9" i="2"/>
  <c r="BF9" i="2" s="1"/>
  <c r="BC10" i="2"/>
  <c r="BC11" i="2"/>
  <c r="BC12" i="2"/>
  <c r="BC13" i="2"/>
  <c r="BF13" i="2" s="1"/>
  <c r="BC14" i="2"/>
  <c r="BC15" i="2"/>
  <c r="BC16" i="2"/>
  <c r="BC17" i="2"/>
  <c r="BF17" i="2" s="1"/>
  <c r="BC18" i="2"/>
  <c r="BC19" i="2"/>
  <c r="BC20" i="2"/>
  <c r="BC21" i="2"/>
  <c r="BF21" i="2" s="1"/>
  <c r="BC22" i="2"/>
  <c r="BC23" i="2"/>
  <c r="BC24" i="2"/>
  <c r="BC25" i="2"/>
  <c r="BF25" i="2" s="1"/>
  <c r="BC26" i="2"/>
  <c r="BC27" i="2"/>
  <c r="BC28" i="2"/>
  <c r="BC29" i="2"/>
  <c r="BF29" i="2" s="1"/>
  <c r="BC30" i="2"/>
  <c r="BC31" i="2"/>
  <c r="BC32" i="2"/>
  <c r="BC33" i="2"/>
  <c r="BF33" i="2" s="1"/>
  <c r="BC34" i="2"/>
  <c r="BC6" i="2"/>
  <c r="BB40" i="2"/>
  <c r="BE40" i="2" s="1"/>
  <c r="BB41" i="2"/>
  <c r="BB42" i="2"/>
  <c r="BB39" i="2"/>
  <c r="BB7" i="2"/>
  <c r="BB8" i="2"/>
  <c r="BB9" i="2"/>
  <c r="BE9" i="2" s="1"/>
  <c r="BB10" i="2"/>
  <c r="BE10" i="2" s="1"/>
  <c r="BB11" i="2"/>
  <c r="BB12" i="2"/>
  <c r="BB13" i="2"/>
  <c r="BE13" i="2" s="1"/>
  <c r="BB14" i="2"/>
  <c r="BE14" i="2" s="1"/>
  <c r="BB15" i="2"/>
  <c r="BB16" i="2"/>
  <c r="BB17" i="2"/>
  <c r="BE17" i="2" s="1"/>
  <c r="BB18" i="2"/>
  <c r="BE18" i="2" s="1"/>
  <c r="BB19" i="2"/>
  <c r="BB20" i="2"/>
  <c r="BB21" i="2"/>
  <c r="BE21" i="2" s="1"/>
  <c r="BB22" i="2"/>
  <c r="BE22" i="2" s="1"/>
  <c r="BB23" i="2"/>
  <c r="BB24" i="2"/>
  <c r="BB25" i="2"/>
  <c r="BE25" i="2" s="1"/>
  <c r="BB26" i="2"/>
  <c r="BE26" i="2" s="1"/>
  <c r="BB27" i="2"/>
  <c r="BB28" i="2"/>
  <c r="BB29" i="2"/>
  <c r="BE29" i="2" s="1"/>
  <c r="BB30" i="2"/>
  <c r="BE30" i="2" s="1"/>
  <c r="BB31" i="2"/>
  <c r="BB32" i="2"/>
  <c r="BB33" i="2"/>
  <c r="BE33" i="2" s="1"/>
  <c r="BB34" i="2"/>
  <c r="BE34" i="2" s="1"/>
  <c r="BB6" i="2"/>
  <c r="BE6" i="2" s="1"/>
  <c r="BF6" i="2"/>
  <c r="BF39" i="2"/>
  <c r="BF7" i="2"/>
  <c r="BF8" i="2"/>
  <c r="BF10" i="2"/>
  <c r="BF11" i="2"/>
  <c r="BF12" i="2"/>
  <c r="BF14" i="2"/>
  <c r="BF15" i="2"/>
  <c r="BF16" i="2"/>
  <c r="BF18" i="2"/>
  <c r="BF19" i="2"/>
  <c r="BF20" i="2"/>
  <c r="BF22" i="2"/>
  <c r="BF23" i="2"/>
  <c r="BF24" i="2"/>
  <c r="BF26" i="2"/>
  <c r="BF27" i="2"/>
  <c r="BF28" i="2"/>
  <c r="BF30" i="2"/>
  <c r="BF31" i="2"/>
  <c r="BF32" i="2"/>
  <c r="BF34" i="2"/>
  <c r="BE41" i="2"/>
  <c r="BE42" i="2"/>
  <c r="BE39" i="2"/>
  <c r="BE7" i="2"/>
  <c r="BE8" i="2"/>
  <c r="BE11" i="2"/>
  <c r="BE12" i="2"/>
  <c r="BE15" i="2"/>
  <c r="BE16" i="2"/>
  <c r="BE19" i="2"/>
  <c r="BE20" i="2"/>
  <c r="BE23" i="2"/>
  <c r="BE24" i="2"/>
  <c r="BE27" i="2"/>
  <c r="BE28" i="2"/>
  <c r="BE31" i="2"/>
  <c r="BE32" i="2"/>
  <c r="BA40" i="2"/>
  <c r="BA41" i="2"/>
  <c r="BA42" i="2"/>
  <c r="BA39" i="2"/>
  <c r="BA7" i="2"/>
  <c r="BA8" i="2"/>
  <c r="BA9" i="2"/>
  <c r="BA10" i="2"/>
  <c r="BA11" i="2"/>
  <c r="BA12" i="2"/>
  <c r="BA13" i="2"/>
  <c r="BA14" i="2"/>
  <c r="BA15" i="2"/>
  <c r="BA16" i="2"/>
  <c r="BA17" i="2"/>
  <c r="BA18" i="2"/>
  <c r="BA19" i="2"/>
  <c r="BA20" i="2"/>
  <c r="BA21" i="2"/>
  <c r="BA22" i="2"/>
  <c r="BA23" i="2"/>
  <c r="BA24" i="2"/>
  <c r="BA25" i="2"/>
  <c r="BA26" i="2"/>
  <c r="BA27" i="2"/>
  <c r="BA28" i="2"/>
  <c r="BA29" i="2"/>
  <c r="BA30" i="2"/>
  <c r="BA31" i="2"/>
  <c r="BA32" i="2"/>
  <c r="BA33" i="2"/>
  <c r="BA34" i="2"/>
  <c r="BA6" i="2"/>
  <c r="AZ40" i="2"/>
  <c r="AZ41" i="2"/>
  <c r="AZ42" i="2"/>
  <c r="AZ39" i="2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6" i="2"/>
  <c r="AX40" i="2"/>
  <c r="AX41" i="2"/>
  <c r="AX42" i="2"/>
  <c r="AX39" i="2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6" i="2"/>
  <c r="AV40" i="2"/>
  <c r="AV41" i="2"/>
  <c r="AV42" i="2"/>
  <c r="AV39" i="2"/>
  <c r="AV7" i="2"/>
  <c r="AV8" i="2"/>
  <c r="AV9" i="2"/>
  <c r="AV10" i="2"/>
  <c r="AV11" i="2"/>
  <c r="AV12" i="2"/>
  <c r="AV13" i="2"/>
  <c r="AV14" i="2"/>
  <c r="AV15" i="2"/>
  <c r="AV16" i="2"/>
  <c r="AV17" i="2"/>
  <c r="AV18" i="2"/>
  <c r="AV19" i="2"/>
  <c r="AV20" i="2"/>
  <c r="AV21" i="2"/>
  <c r="AV22" i="2"/>
  <c r="AV23" i="2"/>
  <c r="AV24" i="2"/>
  <c r="AV25" i="2"/>
  <c r="AV26" i="2"/>
  <c r="AV27" i="2"/>
  <c r="AV28" i="2"/>
  <c r="AV29" i="2"/>
  <c r="AV30" i="2"/>
  <c r="AV31" i="2"/>
  <c r="AV32" i="2"/>
  <c r="AV33" i="2"/>
  <c r="AV34" i="2"/>
  <c r="AV6" i="2"/>
  <c r="AU40" i="2"/>
  <c r="AU41" i="2"/>
  <c r="AU42" i="2"/>
  <c r="AU39" i="2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6" i="2"/>
  <c r="AS40" i="2"/>
  <c r="AS41" i="2"/>
  <c r="AS42" i="2"/>
  <c r="AS39" i="2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6" i="2"/>
  <c r="AQ40" i="2"/>
  <c r="AQ41" i="2"/>
  <c r="AQ42" i="2"/>
  <c r="AQ39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6" i="2"/>
  <c r="AP40" i="2"/>
  <c r="AP41" i="2"/>
  <c r="AP42" i="2"/>
  <c r="AP39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6" i="2"/>
  <c r="AN40" i="2"/>
  <c r="AN41" i="2"/>
  <c r="AN42" i="2"/>
  <c r="AN39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6" i="2"/>
  <c r="AL40" i="2"/>
  <c r="AL41" i="2"/>
  <c r="AL42" i="2"/>
  <c r="AL39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6" i="2"/>
  <c r="AK40" i="2"/>
  <c r="AK41" i="2"/>
  <c r="AK42" i="2"/>
  <c r="AK39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6" i="2"/>
  <c r="AI40" i="2"/>
  <c r="AI41" i="2"/>
  <c r="AI42" i="2"/>
  <c r="AI39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6" i="2"/>
  <c r="AG40" i="2"/>
  <c r="AG41" i="2"/>
  <c r="AG42" i="2"/>
  <c r="AG39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6" i="2"/>
  <c r="AF40" i="2"/>
  <c r="AF41" i="2"/>
  <c r="AF42" i="2"/>
  <c r="AF39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6" i="2"/>
  <c r="AD40" i="2"/>
  <c r="AD41" i="2"/>
  <c r="AD42" i="2"/>
  <c r="AD39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6" i="2"/>
  <c r="AB40" i="2"/>
  <c r="AB41" i="2"/>
  <c r="AB42" i="2"/>
  <c r="AB39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6" i="2"/>
  <c r="AA40" i="2"/>
  <c r="AA41" i="2"/>
  <c r="AA42" i="2"/>
  <c r="AA39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6" i="2"/>
  <c r="Y40" i="2"/>
  <c r="Y41" i="2"/>
  <c r="Y42" i="2"/>
  <c r="Y39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6" i="2"/>
  <c r="W40" i="2"/>
  <c r="W41" i="2"/>
  <c r="W42" i="2"/>
  <c r="W39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6" i="2"/>
  <c r="V40" i="2"/>
  <c r="V41" i="2"/>
  <c r="V42" i="2"/>
  <c r="V39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6" i="2"/>
  <c r="T40" i="2"/>
  <c r="T41" i="2"/>
  <c r="T42" i="2"/>
  <c r="T39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6" i="2"/>
  <c r="R40" i="2"/>
  <c r="R41" i="2"/>
  <c r="R42" i="2"/>
  <c r="R39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6" i="2"/>
  <c r="Q40" i="2"/>
  <c r="Q41" i="2"/>
  <c r="Q42" i="2"/>
  <c r="Q39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6" i="2"/>
  <c r="O40" i="2"/>
  <c r="O41" i="2"/>
  <c r="O42" i="2"/>
  <c r="O39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6" i="2"/>
  <c r="M40" i="2"/>
  <c r="M41" i="2"/>
  <c r="M42" i="2"/>
  <c r="M39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6" i="2"/>
  <c r="L40" i="2"/>
  <c r="L41" i="2"/>
  <c r="L42" i="2"/>
  <c r="L39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6" i="2"/>
  <c r="J40" i="2"/>
  <c r="J41" i="2"/>
  <c r="J42" i="2"/>
  <c r="J39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6" i="2"/>
  <c r="H40" i="2"/>
  <c r="H41" i="2"/>
  <c r="H42" i="2"/>
  <c r="H39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6" i="2"/>
  <c r="G40" i="2"/>
  <c r="G41" i="2"/>
  <c r="G42" i="2"/>
  <c r="G39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6" i="2"/>
  <c r="E40" i="2"/>
  <c r="E41" i="2"/>
  <c r="E42" i="2"/>
  <c r="E39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6" i="2"/>
  <c r="AY11" i="1" l="1"/>
  <c r="AX11" i="1"/>
  <c r="AV11" i="1"/>
  <c r="AY45" i="1"/>
  <c r="AY46" i="1"/>
  <c r="AY47" i="1"/>
  <c r="AY44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X45" i="1"/>
  <c r="AX46" i="1"/>
  <c r="AX47" i="1"/>
  <c r="AX44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V45" i="1"/>
  <c r="AV46" i="1"/>
  <c r="AV47" i="1"/>
  <c r="AV44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Q29" i="1"/>
  <c r="AT45" i="1"/>
  <c r="AT46" i="1"/>
  <c r="AT47" i="1"/>
  <c r="AT44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11" i="1"/>
  <c r="AS45" i="1"/>
  <c r="AS46" i="1"/>
  <c r="AS47" i="1"/>
  <c r="AS44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11" i="1"/>
  <c r="AQ45" i="1"/>
  <c r="AQ46" i="1"/>
  <c r="AQ47" i="1"/>
  <c r="AQ44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30" i="1"/>
  <c r="AQ31" i="1"/>
  <c r="AQ32" i="1"/>
  <c r="AQ33" i="1"/>
  <c r="AQ34" i="1"/>
  <c r="AQ35" i="1"/>
  <c r="AQ36" i="1"/>
  <c r="AQ37" i="1"/>
  <c r="AQ38" i="1"/>
  <c r="AQ39" i="1"/>
  <c r="AQ11" i="1"/>
  <c r="AO11" i="1"/>
  <c r="AN11" i="1"/>
  <c r="AL11" i="1"/>
  <c r="AJ11" i="1"/>
  <c r="AI11" i="1"/>
  <c r="AG11" i="1"/>
  <c r="AJ45" i="1"/>
  <c r="AJ46" i="1"/>
  <c r="AJ47" i="1"/>
  <c r="AJ44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I45" i="1"/>
  <c r="AI46" i="1"/>
  <c r="AI47" i="1"/>
  <c r="AI44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G45" i="1"/>
  <c r="AG46" i="1"/>
  <c r="AG47" i="1"/>
  <c r="AG44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O45" i="1"/>
  <c r="AO46" i="1"/>
  <c r="AO47" i="1"/>
  <c r="AO44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N45" i="1"/>
  <c r="AN46" i="1"/>
  <c r="AN47" i="1"/>
  <c r="AN44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L45" i="1"/>
  <c r="AL46" i="1"/>
  <c r="AL47" i="1"/>
  <c r="AL44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D46" i="1" l="1"/>
  <c r="BC46" i="1" s="1"/>
  <c r="AC45" i="1"/>
  <c r="BB45" i="1" s="1"/>
  <c r="AC46" i="1"/>
  <c r="BB46" i="1" s="1"/>
  <c r="AC47" i="1"/>
  <c r="BB47" i="1" s="1"/>
  <c r="AC13" i="1"/>
  <c r="BB13" i="1" s="1"/>
  <c r="AC17" i="1"/>
  <c r="BB17" i="1" s="1"/>
  <c r="AC21" i="1"/>
  <c r="BB21" i="1" s="1"/>
  <c r="AC25" i="1"/>
  <c r="BB25" i="1" s="1"/>
  <c r="AC29" i="1"/>
  <c r="BB29" i="1" s="1"/>
  <c r="AC33" i="1"/>
  <c r="BB33" i="1" s="1"/>
  <c r="AC37" i="1"/>
  <c r="BB37" i="1" s="1"/>
  <c r="AB46" i="1"/>
  <c r="BA46" i="1" s="1"/>
  <c r="BD46" i="1" s="1"/>
  <c r="AB47" i="1"/>
  <c r="BA47" i="1" s="1"/>
  <c r="BD47" i="1" s="1"/>
  <c r="AA47" i="1"/>
  <c r="AZ47" i="1" s="1"/>
  <c r="Z47" i="1"/>
  <c r="Z15" i="1"/>
  <c r="Z16" i="1"/>
  <c r="Z18" i="1"/>
  <c r="Z19" i="1"/>
  <c r="Z20" i="1"/>
  <c r="Z22" i="1"/>
  <c r="Z23" i="1"/>
  <c r="Z24" i="1"/>
  <c r="Z26" i="1"/>
  <c r="Z27" i="1"/>
  <c r="Z28" i="1"/>
  <c r="Y45" i="1"/>
  <c r="AE45" i="1" s="1"/>
  <c r="Y46" i="1"/>
  <c r="AE46" i="1" s="1"/>
  <c r="Y47" i="1"/>
  <c r="AE47" i="1" s="1"/>
  <c r="Y44" i="1"/>
  <c r="AE44" i="1" s="1"/>
  <c r="Y12" i="1"/>
  <c r="AE12" i="1" s="1"/>
  <c r="Y13" i="1"/>
  <c r="AE13" i="1" s="1"/>
  <c r="Y14" i="1"/>
  <c r="AE14" i="1" s="1"/>
  <c r="Y15" i="1"/>
  <c r="AE15" i="1" s="1"/>
  <c r="Y16" i="1"/>
  <c r="AE16" i="1" s="1"/>
  <c r="Y17" i="1"/>
  <c r="AE17" i="1" s="1"/>
  <c r="Y18" i="1"/>
  <c r="AE18" i="1" s="1"/>
  <c r="Y19" i="1"/>
  <c r="AE19" i="1" s="1"/>
  <c r="Y20" i="1"/>
  <c r="AE20" i="1" s="1"/>
  <c r="Y21" i="1"/>
  <c r="AE21" i="1" s="1"/>
  <c r="Y22" i="1"/>
  <c r="AE22" i="1" s="1"/>
  <c r="Y23" i="1"/>
  <c r="AE23" i="1" s="1"/>
  <c r="Y24" i="1"/>
  <c r="AE24" i="1" s="1"/>
  <c r="Y25" i="1"/>
  <c r="AE25" i="1" s="1"/>
  <c r="Y26" i="1"/>
  <c r="AE26" i="1" s="1"/>
  <c r="Y27" i="1"/>
  <c r="AE27" i="1" s="1"/>
  <c r="Y28" i="1"/>
  <c r="AE28" i="1" s="1"/>
  <c r="Y29" i="1"/>
  <c r="AE29" i="1" s="1"/>
  <c r="Y30" i="1"/>
  <c r="AE30" i="1" s="1"/>
  <c r="Y31" i="1"/>
  <c r="AE31" i="1" s="1"/>
  <c r="Y32" i="1"/>
  <c r="AE32" i="1" s="1"/>
  <c r="Y33" i="1"/>
  <c r="AE33" i="1" s="1"/>
  <c r="Y34" i="1"/>
  <c r="AE34" i="1" s="1"/>
  <c r="Y35" i="1"/>
  <c r="AE35" i="1" s="1"/>
  <c r="Y36" i="1"/>
  <c r="AE36" i="1" s="1"/>
  <c r="Y37" i="1"/>
  <c r="AE37" i="1" s="1"/>
  <c r="Y38" i="1"/>
  <c r="AE38" i="1" s="1"/>
  <c r="Y39" i="1"/>
  <c r="AE39" i="1" s="1"/>
  <c r="Y11" i="1"/>
  <c r="AE11" i="1" s="1"/>
  <c r="X45" i="1"/>
  <c r="AD45" i="1" s="1"/>
  <c r="BC45" i="1" s="1"/>
  <c r="X46" i="1"/>
  <c r="X47" i="1"/>
  <c r="AD47" i="1" s="1"/>
  <c r="BC47" i="1" s="1"/>
  <c r="X44" i="1"/>
  <c r="AD44" i="1" s="1"/>
  <c r="BC44" i="1" s="1"/>
  <c r="X12" i="1"/>
  <c r="AD12" i="1" s="1"/>
  <c r="BC12" i="1" s="1"/>
  <c r="X13" i="1"/>
  <c r="AD13" i="1" s="1"/>
  <c r="BC13" i="1" s="1"/>
  <c r="X14" i="1"/>
  <c r="AD14" i="1" s="1"/>
  <c r="BC14" i="1" s="1"/>
  <c r="X15" i="1"/>
  <c r="AD15" i="1" s="1"/>
  <c r="BC15" i="1" s="1"/>
  <c r="X16" i="1"/>
  <c r="AD16" i="1" s="1"/>
  <c r="BC16" i="1" s="1"/>
  <c r="X17" i="1"/>
  <c r="AD17" i="1" s="1"/>
  <c r="BC17" i="1" s="1"/>
  <c r="X18" i="1"/>
  <c r="AD18" i="1" s="1"/>
  <c r="BC18" i="1" s="1"/>
  <c r="X19" i="1"/>
  <c r="AD19" i="1" s="1"/>
  <c r="BC19" i="1" s="1"/>
  <c r="X20" i="1"/>
  <c r="AD20" i="1" s="1"/>
  <c r="BC20" i="1" s="1"/>
  <c r="X21" i="1"/>
  <c r="AD21" i="1" s="1"/>
  <c r="BC21" i="1" s="1"/>
  <c r="X22" i="1"/>
  <c r="AD22" i="1" s="1"/>
  <c r="BC22" i="1" s="1"/>
  <c r="X23" i="1"/>
  <c r="AD23" i="1" s="1"/>
  <c r="BC23" i="1" s="1"/>
  <c r="X24" i="1"/>
  <c r="AD24" i="1" s="1"/>
  <c r="BC24" i="1" s="1"/>
  <c r="X25" i="1"/>
  <c r="AD25" i="1" s="1"/>
  <c r="BC25" i="1" s="1"/>
  <c r="X26" i="1"/>
  <c r="AD26" i="1" s="1"/>
  <c r="BC26" i="1" s="1"/>
  <c r="X27" i="1"/>
  <c r="AD27" i="1" s="1"/>
  <c r="BC27" i="1" s="1"/>
  <c r="X28" i="1"/>
  <c r="AD28" i="1" s="1"/>
  <c r="BC28" i="1" s="1"/>
  <c r="X29" i="1"/>
  <c r="AD29" i="1" s="1"/>
  <c r="BC29" i="1" s="1"/>
  <c r="X30" i="1"/>
  <c r="AD30" i="1" s="1"/>
  <c r="BC30" i="1" s="1"/>
  <c r="X31" i="1"/>
  <c r="AD31" i="1" s="1"/>
  <c r="BC31" i="1" s="1"/>
  <c r="X32" i="1"/>
  <c r="AD32" i="1" s="1"/>
  <c r="BC32" i="1" s="1"/>
  <c r="X33" i="1"/>
  <c r="AD33" i="1" s="1"/>
  <c r="BC33" i="1" s="1"/>
  <c r="X34" i="1"/>
  <c r="AD34" i="1" s="1"/>
  <c r="BC34" i="1" s="1"/>
  <c r="X35" i="1"/>
  <c r="AD35" i="1" s="1"/>
  <c r="BC35" i="1" s="1"/>
  <c r="X36" i="1"/>
  <c r="AD36" i="1" s="1"/>
  <c r="BC36" i="1" s="1"/>
  <c r="X37" i="1"/>
  <c r="AD37" i="1" s="1"/>
  <c r="BC37" i="1" s="1"/>
  <c r="X38" i="1"/>
  <c r="AD38" i="1" s="1"/>
  <c r="BC38" i="1" s="1"/>
  <c r="X39" i="1"/>
  <c r="AD39" i="1" s="1"/>
  <c r="BC39" i="1" s="1"/>
  <c r="X11" i="1"/>
  <c r="AD11" i="1" s="1"/>
  <c r="BC11" i="1" s="1"/>
  <c r="W45" i="1"/>
  <c r="W46" i="1"/>
  <c r="W47" i="1"/>
  <c r="W44" i="1"/>
  <c r="AC44" i="1" s="1"/>
  <c r="BB44" i="1" s="1"/>
  <c r="W12" i="1"/>
  <c r="AC12" i="1" s="1"/>
  <c r="BB12" i="1" s="1"/>
  <c r="W13" i="1"/>
  <c r="W14" i="1"/>
  <c r="AC14" i="1" s="1"/>
  <c r="BB14" i="1" s="1"/>
  <c r="W15" i="1"/>
  <c r="AC15" i="1" s="1"/>
  <c r="BB15" i="1" s="1"/>
  <c r="W16" i="1"/>
  <c r="AC16" i="1" s="1"/>
  <c r="BB16" i="1" s="1"/>
  <c r="W17" i="1"/>
  <c r="W18" i="1"/>
  <c r="AC18" i="1" s="1"/>
  <c r="BB18" i="1" s="1"/>
  <c r="W19" i="1"/>
  <c r="AC19" i="1" s="1"/>
  <c r="BB19" i="1" s="1"/>
  <c r="W20" i="1"/>
  <c r="AC20" i="1" s="1"/>
  <c r="BB20" i="1" s="1"/>
  <c r="W21" i="1"/>
  <c r="W22" i="1"/>
  <c r="AC22" i="1" s="1"/>
  <c r="BB22" i="1" s="1"/>
  <c r="W23" i="1"/>
  <c r="AC23" i="1" s="1"/>
  <c r="BB23" i="1" s="1"/>
  <c r="W24" i="1"/>
  <c r="AC24" i="1" s="1"/>
  <c r="BB24" i="1" s="1"/>
  <c r="W25" i="1"/>
  <c r="W26" i="1"/>
  <c r="AC26" i="1" s="1"/>
  <c r="BB26" i="1" s="1"/>
  <c r="W27" i="1"/>
  <c r="AC27" i="1" s="1"/>
  <c r="BB27" i="1" s="1"/>
  <c r="W28" i="1"/>
  <c r="AC28" i="1" s="1"/>
  <c r="BB28" i="1" s="1"/>
  <c r="W29" i="1"/>
  <c r="W30" i="1"/>
  <c r="AC30" i="1" s="1"/>
  <c r="BB30" i="1" s="1"/>
  <c r="W31" i="1"/>
  <c r="AC31" i="1" s="1"/>
  <c r="BB31" i="1" s="1"/>
  <c r="W32" i="1"/>
  <c r="AC32" i="1" s="1"/>
  <c r="BB32" i="1" s="1"/>
  <c r="W33" i="1"/>
  <c r="W34" i="1"/>
  <c r="AC34" i="1" s="1"/>
  <c r="BB34" i="1" s="1"/>
  <c r="W35" i="1"/>
  <c r="AC35" i="1" s="1"/>
  <c r="BB35" i="1" s="1"/>
  <c r="W36" i="1"/>
  <c r="AC36" i="1" s="1"/>
  <c r="BB36" i="1" s="1"/>
  <c r="W37" i="1"/>
  <c r="W38" i="1"/>
  <c r="AC38" i="1" s="1"/>
  <c r="BB38" i="1" s="1"/>
  <c r="W39" i="1"/>
  <c r="AC39" i="1" s="1"/>
  <c r="BB39" i="1" s="1"/>
  <c r="W11" i="1"/>
  <c r="AC11" i="1" s="1"/>
  <c r="BB11" i="1" s="1"/>
  <c r="V45" i="1"/>
  <c r="AB45" i="1" s="1"/>
  <c r="BA45" i="1" s="1"/>
  <c r="BD45" i="1" s="1"/>
  <c r="V46" i="1"/>
  <c r="V47" i="1"/>
  <c r="V44" i="1"/>
  <c r="AB44" i="1" s="1"/>
  <c r="BA44" i="1" s="1"/>
  <c r="BD44" i="1" s="1"/>
  <c r="V12" i="1"/>
  <c r="AB12" i="1" s="1"/>
  <c r="BA12" i="1" s="1"/>
  <c r="BD12" i="1" s="1"/>
  <c r="V13" i="1"/>
  <c r="AB13" i="1" s="1"/>
  <c r="BA13" i="1" s="1"/>
  <c r="BD13" i="1" s="1"/>
  <c r="V14" i="1"/>
  <c r="AB14" i="1" s="1"/>
  <c r="BA14" i="1" s="1"/>
  <c r="BD14" i="1" s="1"/>
  <c r="V15" i="1"/>
  <c r="AB15" i="1" s="1"/>
  <c r="BA15" i="1" s="1"/>
  <c r="BD15" i="1" s="1"/>
  <c r="V16" i="1"/>
  <c r="AB16" i="1" s="1"/>
  <c r="BA16" i="1" s="1"/>
  <c r="BD16" i="1" s="1"/>
  <c r="V17" i="1"/>
  <c r="AB17" i="1" s="1"/>
  <c r="BA17" i="1" s="1"/>
  <c r="BD17" i="1" s="1"/>
  <c r="V18" i="1"/>
  <c r="AB18" i="1" s="1"/>
  <c r="BA18" i="1" s="1"/>
  <c r="BD18" i="1" s="1"/>
  <c r="V19" i="1"/>
  <c r="AB19" i="1" s="1"/>
  <c r="BA19" i="1" s="1"/>
  <c r="BD19" i="1" s="1"/>
  <c r="V20" i="1"/>
  <c r="AB20" i="1" s="1"/>
  <c r="BA20" i="1" s="1"/>
  <c r="BD20" i="1" s="1"/>
  <c r="V21" i="1"/>
  <c r="AB21" i="1" s="1"/>
  <c r="BA21" i="1" s="1"/>
  <c r="BD21" i="1" s="1"/>
  <c r="V22" i="1"/>
  <c r="AB22" i="1" s="1"/>
  <c r="BA22" i="1" s="1"/>
  <c r="BD22" i="1" s="1"/>
  <c r="V23" i="1"/>
  <c r="AB23" i="1" s="1"/>
  <c r="BA23" i="1" s="1"/>
  <c r="BD23" i="1" s="1"/>
  <c r="V24" i="1"/>
  <c r="AB24" i="1" s="1"/>
  <c r="BA24" i="1" s="1"/>
  <c r="BD24" i="1" s="1"/>
  <c r="V25" i="1"/>
  <c r="AB25" i="1" s="1"/>
  <c r="BA25" i="1" s="1"/>
  <c r="BD25" i="1" s="1"/>
  <c r="V26" i="1"/>
  <c r="AB26" i="1" s="1"/>
  <c r="BA26" i="1" s="1"/>
  <c r="BD26" i="1" s="1"/>
  <c r="V27" i="1"/>
  <c r="AB27" i="1" s="1"/>
  <c r="BA27" i="1" s="1"/>
  <c r="BD27" i="1" s="1"/>
  <c r="V28" i="1"/>
  <c r="AB28" i="1" s="1"/>
  <c r="BA28" i="1" s="1"/>
  <c r="BD28" i="1" s="1"/>
  <c r="V29" i="1"/>
  <c r="AB29" i="1" s="1"/>
  <c r="BA29" i="1" s="1"/>
  <c r="BD29" i="1" s="1"/>
  <c r="V30" i="1"/>
  <c r="AB30" i="1" s="1"/>
  <c r="BA30" i="1" s="1"/>
  <c r="BD30" i="1" s="1"/>
  <c r="V31" i="1"/>
  <c r="AB31" i="1" s="1"/>
  <c r="BA31" i="1" s="1"/>
  <c r="BD31" i="1" s="1"/>
  <c r="V32" i="1"/>
  <c r="AB32" i="1" s="1"/>
  <c r="BA32" i="1" s="1"/>
  <c r="BD32" i="1" s="1"/>
  <c r="V33" i="1"/>
  <c r="AB33" i="1" s="1"/>
  <c r="BA33" i="1" s="1"/>
  <c r="BD33" i="1" s="1"/>
  <c r="V34" i="1"/>
  <c r="AB34" i="1" s="1"/>
  <c r="BA34" i="1" s="1"/>
  <c r="BD34" i="1" s="1"/>
  <c r="V35" i="1"/>
  <c r="AB35" i="1" s="1"/>
  <c r="BA35" i="1" s="1"/>
  <c r="BD35" i="1" s="1"/>
  <c r="V36" i="1"/>
  <c r="AB36" i="1" s="1"/>
  <c r="BA36" i="1" s="1"/>
  <c r="BD36" i="1" s="1"/>
  <c r="V37" i="1"/>
  <c r="AB37" i="1" s="1"/>
  <c r="BA37" i="1" s="1"/>
  <c r="BD37" i="1" s="1"/>
  <c r="V38" i="1"/>
  <c r="AB38" i="1" s="1"/>
  <c r="BA38" i="1" s="1"/>
  <c r="BD38" i="1" s="1"/>
  <c r="V39" i="1"/>
  <c r="AB39" i="1" s="1"/>
  <c r="BA39" i="1" s="1"/>
  <c r="BD39" i="1" s="1"/>
  <c r="V11" i="1"/>
  <c r="AB11" i="1" s="1"/>
  <c r="BA11" i="1" s="1"/>
  <c r="BD11" i="1" s="1"/>
  <c r="U45" i="1"/>
  <c r="AA45" i="1" s="1"/>
  <c r="AZ45" i="1" s="1"/>
  <c r="U46" i="1"/>
  <c r="Z46" i="1" s="1"/>
  <c r="U47" i="1"/>
  <c r="U44" i="1"/>
  <c r="AA44" i="1" s="1"/>
  <c r="AZ44" i="1" s="1"/>
  <c r="U12" i="1"/>
  <c r="Z12" i="1" s="1"/>
  <c r="U13" i="1"/>
  <c r="Z13" i="1" s="1"/>
  <c r="U14" i="1"/>
  <c r="AA14" i="1" s="1"/>
  <c r="AZ14" i="1" s="1"/>
  <c r="U15" i="1"/>
  <c r="AA15" i="1" s="1"/>
  <c r="AZ15" i="1" s="1"/>
  <c r="U16" i="1"/>
  <c r="AA16" i="1" s="1"/>
  <c r="AZ16" i="1" s="1"/>
  <c r="U17" i="1"/>
  <c r="Z17" i="1" s="1"/>
  <c r="U18" i="1"/>
  <c r="AA18" i="1" s="1"/>
  <c r="AZ18" i="1" s="1"/>
  <c r="U19" i="1"/>
  <c r="AA19" i="1" s="1"/>
  <c r="AZ19" i="1" s="1"/>
  <c r="U20" i="1"/>
  <c r="AA20" i="1" s="1"/>
  <c r="AZ20" i="1" s="1"/>
  <c r="U21" i="1"/>
  <c r="Z21" i="1" s="1"/>
  <c r="U22" i="1"/>
  <c r="AA22" i="1" s="1"/>
  <c r="AZ22" i="1" s="1"/>
  <c r="U23" i="1"/>
  <c r="AA23" i="1" s="1"/>
  <c r="AZ23" i="1" s="1"/>
  <c r="U24" i="1"/>
  <c r="AA24" i="1" s="1"/>
  <c r="AZ24" i="1" s="1"/>
  <c r="U25" i="1"/>
  <c r="Z25" i="1" s="1"/>
  <c r="U26" i="1"/>
  <c r="AA26" i="1" s="1"/>
  <c r="AZ26" i="1" s="1"/>
  <c r="U27" i="1"/>
  <c r="AA27" i="1" s="1"/>
  <c r="AZ27" i="1" s="1"/>
  <c r="U28" i="1"/>
  <c r="AA28" i="1" s="1"/>
  <c r="AZ28" i="1" s="1"/>
  <c r="U29" i="1"/>
  <c r="AA29" i="1" s="1"/>
  <c r="AZ29" i="1" s="1"/>
  <c r="U30" i="1"/>
  <c r="AA30" i="1" s="1"/>
  <c r="AZ30" i="1" s="1"/>
  <c r="U31" i="1"/>
  <c r="AA31" i="1" s="1"/>
  <c r="AZ31" i="1" s="1"/>
  <c r="U32" i="1"/>
  <c r="AA32" i="1" s="1"/>
  <c r="AZ32" i="1" s="1"/>
  <c r="U33" i="1"/>
  <c r="AA33" i="1" s="1"/>
  <c r="AZ33" i="1" s="1"/>
  <c r="U34" i="1"/>
  <c r="AA34" i="1" s="1"/>
  <c r="AZ34" i="1" s="1"/>
  <c r="U35" i="1"/>
  <c r="AA35" i="1" s="1"/>
  <c r="AZ35" i="1" s="1"/>
  <c r="U36" i="1"/>
  <c r="AA36" i="1" s="1"/>
  <c r="AZ36" i="1" s="1"/>
  <c r="U37" i="1"/>
  <c r="AA37" i="1" s="1"/>
  <c r="AZ37" i="1" s="1"/>
  <c r="U38" i="1"/>
  <c r="AA38" i="1" s="1"/>
  <c r="AZ38" i="1" s="1"/>
  <c r="U39" i="1"/>
  <c r="AA39" i="1" s="1"/>
  <c r="AZ39" i="1" s="1"/>
  <c r="U11" i="1"/>
  <c r="AA11" i="1" s="1"/>
  <c r="AZ11" i="1" s="1"/>
  <c r="T45" i="1"/>
  <c r="T46" i="1"/>
  <c r="T47" i="1"/>
  <c r="T44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11" i="1"/>
  <c r="S45" i="1"/>
  <c r="S46" i="1"/>
  <c r="S47" i="1"/>
  <c r="S44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11" i="1"/>
  <c r="Q45" i="1"/>
  <c r="Q46" i="1"/>
  <c r="Q47" i="1"/>
  <c r="Q44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11" i="1"/>
  <c r="J47" i="1"/>
  <c r="J45" i="1"/>
  <c r="J46" i="1"/>
  <c r="J44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11" i="1"/>
  <c r="I45" i="1"/>
  <c r="I46" i="1"/>
  <c r="I47" i="1"/>
  <c r="I44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11" i="1"/>
  <c r="AA46" i="1" l="1"/>
  <c r="AZ46" i="1" s="1"/>
  <c r="Z45" i="1"/>
  <c r="Z44" i="1"/>
  <c r="Z37" i="1"/>
  <c r="Z33" i="1"/>
  <c r="Z29" i="1"/>
  <c r="AA25" i="1"/>
  <c r="AZ25" i="1" s="1"/>
  <c r="AA21" i="1"/>
  <c r="AZ21" i="1" s="1"/>
  <c r="AA17" i="1"/>
  <c r="AZ17" i="1" s="1"/>
  <c r="AA13" i="1"/>
  <c r="AZ13" i="1" s="1"/>
  <c r="Z36" i="1"/>
  <c r="Z32" i="1"/>
  <c r="AA12" i="1"/>
  <c r="AZ12" i="1" s="1"/>
  <c r="Z39" i="1"/>
  <c r="Z35" i="1"/>
  <c r="Z31" i="1"/>
  <c r="Z38" i="1"/>
  <c r="Z34" i="1"/>
  <c r="Z30" i="1"/>
  <c r="Z14" i="1"/>
  <c r="Z11" i="1"/>
  <c r="B39" i="1"/>
  <c r="B45" i="1"/>
  <c r="B46" i="1"/>
  <c r="B47" i="1"/>
  <c r="B44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11" i="1"/>
  <c r="K11" i="1" l="1"/>
  <c r="B57" i="4"/>
  <c r="BJ10" i="2"/>
  <c r="BJ11" i="2" s="1"/>
  <c r="BJ12" i="2" s="1"/>
  <c r="BJ13" i="2" s="1"/>
  <c r="BJ14" i="2" s="1"/>
  <c r="BJ15" i="2" l="1"/>
  <c r="BJ16" i="2" s="1"/>
  <c r="BJ17" i="2" s="1"/>
  <c r="BJ18" i="2" s="1"/>
  <c r="BJ19" i="2" s="1"/>
  <c r="BJ20" i="2" s="1"/>
  <c r="AS5" i="4" l="1"/>
  <c r="AR5" i="4"/>
  <c r="C57" i="4" l="1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S56" i="4" l="1"/>
  <c r="AR56" i="4"/>
  <c r="AS55" i="4"/>
  <c r="AR55" i="4"/>
  <c r="AS54" i="4"/>
  <c r="AR54" i="4"/>
  <c r="AS53" i="4"/>
  <c r="AR53" i="4"/>
  <c r="AS52" i="4"/>
  <c r="AR52" i="4"/>
  <c r="AS51" i="4"/>
  <c r="AR51" i="4"/>
  <c r="AS50" i="4"/>
  <c r="AR50" i="4"/>
  <c r="AS49" i="4"/>
  <c r="AR49" i="4"/>
  <c r="AS48" i="4"/>
  <c r="AR48" i="4"/>
  <c r="AS47" i="4"/>
  <c r="AR47" i="4"/>
  <c r="AS46" i="4"/>
  <c r="AR46" i="4"/>
  <c r="AS45" i="4"/>
  <c r="AR45" i="4"/>
  <c r="AS44" i="4"/>
  <c r="AR44" i="4"/>
  <c r="AS43" i="4"/>
  <c r="AR43" i="4"/>
  <c r="AS42" i="4"/>
  <c r="AR42" i="4"/>
  <c r="AS41" i="4"/>
  <c r="AR41" i="4"/>
  <c r="AS40" i="4"/>
  <c r="AR40" i="4"/>
  <c r="AS39" i="4"/>
  <c r="AR39" i="4"/>
  <c r="AS38" i="4"/>
  <c r="AR38" i="4"/>
  <c r="AS37" i="4"/>
  <c r="AR37" i="4"/>
  <c r="AS36" i="4"/>
  <c r="AR36" i="4"/>
  <c r="AS35" i="4"/>
  <c r="AR35" i="4"/>
  <c r="AS34" i="4"/>
  <c r="AR34" i="4"/>
  <c r="AS33" i="4"/>
  <c r="AR33" i="4"/>
  <c r="AS32" i="4"/>
  <c r="AR32" i="4"/>
  <c r="AS31" i="4"/>
  <c r="AR31" i="4"/>
  <c r="AS30" i="4"/>
  <c r="AR30" i="4"/>
  <c r="AS29" i="4"/>
  <c r="AR29" i="4"/>
  <c r="AS28" i="4"/>
  <c r="AR28" i="4"/>
  <c r="AS27" i="4"/>
  <c r="AR27" i="4"/>
  <c r="AS26" i="4"/>
  <c r="AR26" i="4"/>
  <c r="AS25" i="4"/>
  <c r="AR25" i="4"/>
  <c r="AS24" i="4"/>
  <c r="AR24" i="4"/>
  <c r="AS23" i="4"/>
  <c r="AR23" i="4"/>
  <c r="AS22" i="4"/>
  <c r="AR22" i="4"/>
  <c r="AS21" i="4"/>
  <c r="AR21" i="4"/>
  <c r="AS20" i="4"/>
  <c r="AR20" i="4"/>
  <c r="AS19" i="4"/>
  <c r="AR19" i="4"/>
  <c r="AS18" i="4"/>
  <c r="AR18" i="4"/>
  <c r="AS17" i="4"/>
  <c r="AR17" i="4"/>
  <c r="AS16" i="4"/>
  <c r="AR16" i="4"/>
  <c r="AS15" i="4"/>
  <c r="AR15" i="4"/>
  <c r="AS14" i="4"/>
  <c r="AR14" i="4"/>
  <c r="AS13" i="4"/>
  <c r="AR13" i="4"/>
  <c r="AS12" i="4"/>
  <c r="AR12" i="4"/>
  <c r="AS11" i="4"/>
  <c r="AR11" i="4"/>
  <c r="AS10" i="4"/>
  <c r="AR10" i="4"/>
  <c r="AS9" i="4"/>
  <c r="AR9" i="4"/>
  <c r="AS8" i="4"/>
  <c r="AR8" i="4"/>
  <c r="AS7" i="4"/>
  <c r="AR7" i="4"/>
  <c r="AS6" i="4"/>
  <c r="AR6" i="4"/>
  <c r="AH3" i="2" l="1"/>
</calcChain>
</file>

<file path=xl/comments1.xml><?xml version="1.0" encoding="utf-8"?>
<comments xmlns="http://schemas.openxmlformats.org/spreadsheetml/2006/main">
  <authors>
    <author>tdeltufo</author>
  </authors>
  <commentList>
    <comment ref="AZ11" authorId="0" shapeId="0">
      <text>
        <r>
          <rPr>
            <b/>
            <sz val="9"/>
            <color indexed="81"/>
            <rFont val="Tahoma"/>
            <family val="2"/>
          </rPr>
          <t>tdeltufo:</t>
        </r>
        <r>
          <rPr>
            <sz val="9"/>
            <color indexed="81"/>
            <rFont val="Tahoma"/>
            <family val="2"/>
          </rPr>
          <t xml:space="preserve">
2013 surplus cash distribution paid our incentive management fee $31,669, but not included here because related to 2013.  $31,669 is why YTD cash flow doesn't tie out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R6" authorId="0" shapeId="0">
      <text>
        <r>
          <rPr>
            <b/>
            <sz val="9"/>
            <color indexed="81"/>
            <rFont val="Tahoma"/>
            <family val="2"/>
          </rPr>
          <t>bschultz:</t>
        </r>
        <r>
          <rPr>
            <sz val="9"/>
            <color indexed="81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<sst xmlns="http://schemas.openxmlformats.org/spreadsheetml/2006/main" count="6473" uniqueCount="369">
  <si>
    <t>Enterprise Homes</t>
  </si>
  <si>
    <t>Operating/Lease Up Report</t>
  </si>
  <si>
    <t xml:space="preserve">  </t>
  </si>
  <si>
    <t>Updated</t>
  </si>
  <si>
    <t xml:space="preserve"> </t>
  </si>
  <si>
    <t>March 2016 YTD Operating and Budgeted Results</t>
  </si>
  <si>
    <t>3/31/16 Cash and Reserve Balances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</si>
  <si>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</si>
  <si>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</si>
  <si>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</si>
  <si>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</si>
  <si>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</si>
  <si>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</si>
  <si>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</si>
  <si>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</si>
  <si>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</si>
  <si>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</si>
  <si>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</si>
  <si>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</si>
  <si>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</si>
  <si>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</si>
  <si>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</si>
  <si>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</si>
  <si>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</si>
  <si>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</si>
  <si>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Actual
Occupancy @ 3/25/2016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</si>
  <si>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</si>
  <si>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</si>
  <si>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</si>
  <si>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</si>
  <si>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</si>
  <si>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</si>
  <si>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</si>
  <si>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</si>
  <si>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</si>
  <si>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</si>
  <si>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</si>
  <si>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</si>
  <si>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Development  Totals/Avg</t>
  </si>
  <si>
    <t>Rehabs</t>
  </si>
  <si>
    <t>Rehab Totals/Avg</t>
  </si>
  <si>
    <t>Portfolio Totals/Averages</t>
  </si>
  <si>
    <t>EHI 2016 Operating Expenses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</si>
  <si>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</si>
  <si>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</si>
  <si>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</si>
  <si>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</si>
  <si>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</si>
  <si>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</si>
  <si>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</si>
  <si>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</si>
  <si>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</si>
  <si>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</si>
  <si>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</si>
  <si>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</si>
  <si>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</si>
  <si>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</si>
  <si>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</si>
  <si>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</si>
  <si>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Development Totals/Avg</t>
  </si>
  <si>
    <t>Month Table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</si>
  <si>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</si>
  <si>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</si>
  <si>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</si>
  <si>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</si>
  <si>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</si>
  <si>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</si>
  <si>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</si>
  <si>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</si>
  <si>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</si>
  <si>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</si>
  <si>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</si>
  <si>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</si>
  <si>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Portfolio</t>
  </si>
  <si>
    <t>Portfolio - excluding rehabs, lease ups</t>
  </si>
  <si>
    <t>70334</t>
  </si>
  <si>
    <t>Greens at Liberty Road</t>
  </si>
  <si>
    <t>New Construction</t>
  </si>
  <si>
    <t>Operations/Asset Management</t>
  </si>
  <si>
    <t>Annual</t>
  </si>
  <si>
    <t>Income Statement</t>
  </si>
  <si>
    <t>Miscellaneous Expense</t>
  </si>
  <si>
    <t>Budget</t>
  </si>
  <si>
    <t>59001</t>
  </si>
  <si>
    <t>Mktg/Advertising/leasing</t>
  </si>
  <si>
    <t>60015</t>
  </si>
  <si>
    <t>Office Salaries</t>
  </si>
  <si>
    <t>50105</t>
  </si>
  <si>
    <t>Repairs &amp; Maintenance Payroll</t>
  </si>
  <si>
    <t>55745</t>
  </si>
  <si>
    <t>Health Ins &amp; Other Employee Benefits</t>
  </si>
  <si>
    <t>50203</t>
  </si>
  <si>
    <t>Bad Debt Expense</t>
  </si>
  <si>
    <t>58001</t>
  </si>
  <si>
    <t>Legal Fees</t>
  </si>
  <si>
    <t>53030</t>
  </si>
  <si>
    <t>Miscellaneous Admin/Office Expense</t>
  </si>
  <si>
    <t>55342</t>
  </si>
  <si>
    <t>Audit/Tax Return Fees</t>
  </si>
  <si>
    <t>53034</t>
  </si>
  <si>
    <t>Telephone</t>
  </si>
  <si>
    <t>55110</t>
  </si>
  <si>
    <t>Property Management Fees</t>
  </si>
  <si>
    <t>66100</t>
  </si>
  <si>
    <t>Bookkeeping/Other Professional Fees</t>
  </si>
  <si>
    <t>53036</t>
  </si>
  <si>
    <t>Elevator Maintenance</t>
  </si>
  <si>
    <t>55715</t>
  </si>
  <si>
    <t>HVAC Maintenance</t>
  </si>
  <si>
    <t>55735</t>
  </si>
  <si>
    <t>Repairs Contracts</t>
  </si>
  <si>
    <t>55705</t>
  </si>
  <si>
    <t>Painting &amp; Decorating</t>
  </si>
  <si>
    <t>55710</t>
  </si>
  <si>
    <t>Misc Taxes &amp; Licenses</t>
  </si>
  <si>
    <t>55310</t>
  </si>
  <si>
    <t>Property and Liability Insurance</t>
  </si>
  <si>
    <t>55320</t>
  </si>
  <si>
    <t>Misc Tenant and Other Income</t>
  </si>
  <si>
    <t>49000</t>
  </si>
  <si>
    <t>Residential Vacancy Loss</t>
  </si>
  <si>
    <t>45400</t>
  </si>
  <si>
    <t>Depreciation</t>
  </si>
  <si>
    <t>80000</t>
  </si>
  <si>
    <t>Other Repairs &amp; Maintenance</t>
  </si>
  <si>
    <t>55740</t>
  </si>
  <si>
    <t>Interest Expense - Non Recourse Debt</t>
  </si>
  <si>
    <t>62020</t>
  </si>
  <si>
    <t>Amortization</t>
  </si>
  <si>
    <t>80100</t>
  </si>
  <si>
    <t>Trash Removal</t>
  </si>
  <si>
    <t>55725</t>
  </si>
  <si>
    <t>Equipment Maintenance &amp; Repairs</t>
  </si>
  <si>
    <t>55760</t>
  </si>
  <si>
    <t>Cleaning</t>
  </si>
  <si>
    <t>55701</t>
  </si>
  <si>
    <t>Grounds Maintenance</t>
  </si>
  <si>
    <t>55730</t>
  </si>
  <si>
    <t>Supplies</t>
  </si>
  <si>
    <t>55755</t>
  </si>
  <si>
    <t>Snow Removal</t>
  </si>
  <si>
    <t>55750</t>
  </si>
  <si>
    <t>Electricity</t>
  </si>
  <si>
    <t>55353</t>
  </si>
  <si>
    <t>Exterminating</t>
  </si>
  <si>
    <t>55720</t>
  </si>
  <si>
    <t>Water</t>
  </si>
  <si>
    <t>55355</t>
  </si>
  <si>
    <t>Real Estate Taxes</t>
  </si>
  <si>
    <t>55301</t>
  </si>
  <si>
    <t>Gross Potential Residential Rent</t>
  </si>
  <si>
    <t>45001</t>
  </si>
  <si>
    <t>Tenant/Social Service Fees (Must Pay)</t>
  </si>
  <si>
    <t>66201</t>
  </si>
  <si>
    <t>Rent Concessions</t>
  </si>
  <si>
    <t>45500</t>
  </si>
  <si>
    <t>Other Financial Expense</t>
  </si>
  <si>
    <t>62900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</si>
  <si>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</si>
  <si>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</si>
  <si>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</si>
  <si>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</si>
  <si>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</si>
  <si>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</si>
  <si>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</si>
  <si>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</si>
  <si>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</si>
  <si>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</si>
  <si>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70300</t>
  </si>
  <si>
    <t>Reid Temple</t>
  </si>
  <si>
    <t>70301</t>
  </si>
  <si>
    <t>Gibbons Apartments</t>
  </si>
  <si>
    <t>70302</t>
  </si>
  <si>
    <t>The Reserve at Somerset Phase II</t>
  </si>
  <si>
    <t>70303</t>
  </si>
  <si>
    <t>820 Motter Street</t>
  </si>
  <si>
    <t>70305</t>
  </si>
  <si>
    <t>The Oaks at Frankford</t>
  </si>
  <si>
    <t>70306</t>
  </si>
  <si>
    <t>Metro Heights at Mondawmin</t>
  </si>
  <si>
    <t>70308</t>
  </si>
  <si>
    <t>Irvington Mews Apartments 2</t>
  </si>
  <si>
    <t>70309</t>
  </si>
  <si>
    <t>Woodfall Greens (fka Patapsco Place)</t>
  </si>
  <si>
    <t>70310</t>
  </si>
  <si>
    <t>The New Shiloh Village Family Apartments</t>
  </si>
  <si>
    <t>70311</t>
  </si>
  <si>
    <t>Red Run Station</t>
  </si>
  <si>
    <t>70312</t>
  </si>
  <si>
    <t>Heritage Crossing II</t>
  </si>
  <si>
    <t>70314</t>
  </si>
  <si>
    <t>Mulberry at Park</t>
  </si>
  <si>
    <t>70316</t>
  </si>
  <si>
    <t>Riverwoods at North East</t>
  </si>
  <si>
    <t>70320</t>
  </si>
  <si>
    <t>Little Hut</t>
  </si>
  <si>
    <t>70321</t>
  </si>
  <si>
    <t>Southwest Partnership Baltimore</t>
  </si>
  <si>
    <t>70322</t>
  </si>
  <si>
    <t>Bozel Property</t>
  </si>
  <si>
    <t>70326</t>
  </si>
  <si>
    <t>Greens at Hammonds Lane</t>
  </si>
  <si>
    <t>70328</t>
  </si>
  <si>
    <t>Evergreen Senior Apartments</t>
  </si>
  <si>
    <t>70329</t>
  </si>
  <si>
    <t>Greens at Rolling Road</t>
  </si>
  <si>
    <t>70331</t>
  </si>
  <si>
    <t>Cove Point II</t>
  </si>
  <si>
    <t>70336</t>
  </si>
  <si>
    <t>Greens at Irvington Mews</t>
  </si>
  <si>
    <t>70337</t>
  </si>
  <si>
    <t>Greens at English Consul</t>
  </si>
  <si>
    <t>70338</t>
  </si>
  <si>
    <t>Greens at Logan Field</t>
  </si>
  <si>
    <t>70339</t>
  </si>
  <si>
    <t>Hollins Station</t>
  </si>
  <si>
    <t>70387</t>
  </si>
  <si>
    <t>Barber Street Assemblage</t>
  </si>
  <si>
    <t>70390</t>
  </si>
  <si>
    <t>Wheeler Creek RAD</t>
  </si>
  <si>
    <t>70391</t>
  </si>
  <si>
    <t>USE THIS FOR NEXT OPPORTUNITY</t>
  </si>
  <si>
    <t>70398</t>
  </si>
  <si>
    <t>7408 Belair Road</t>
  </si>
  <si>
    <t>70399</t>
  </si>
  <si>
    <t>Newtowne 20</t>
  </si>
  <si>
    <t>70406</t>
  </si>
  <si>
    <t>test EH Development</t>
  </si>
  <si>
    <t>Project Id</t>
  </si>
  <si>
    <t>Date</t>
  </si>
  <si>
    <t>YTD %</t>
  </si>
  <si>
    <t>Rehabilitation</t>
  </si>
  <si>
    <t>70463</t>
  </si>
  <si>
    <t>year renovated validation</t>
  </si>
  <si>
    <t>70466</t>
  </si>
  <si>
    <t>Preston Apartments</t>
  </si>
  <si>
    <t>Project_Name</t>
  </si>
  <si>
    <t>Type of Development</t>
  </si>
  <si>
    <t>Portfolio Occupancy Stats</t>
  </si>
  <si>
    <t>2017-07-21 00:00:00.0000000</t>
  </si>
  <si>
    <t>2017-07-28 00:00:00.0000000</t>
  </si>
  <si>
    <t>2017-01-06 00:00:00.0000000</t>
  </si>
  <si>
    <t>2017-01-13 00:00:00.0000000</t>
  </si>
  <si>
    <t>2017-01-20 00:00:00.0000000</t>
  </si>
  <si>
    <t>2017-01-27 00:00:00.0000000</t>
  </si>
  <si>
    <t>2017-02-03 00:00:00.0000000</t>
  </si>
  <si>
    <t>2017-02-10 00:00:00.0000000</t>
  </si>
  <si>
    <t>2017-02-17 00:00:00.0000000</t>
  </si>
  <si>
    <t>2017-02-24 00:00:00.0000000</t>
  </si>
  <si>
    <t>2017-03-03 00:00:00.0000000</t>
  </si>
  <si>
    <t>2017-03-10 00:00:00.0000000</t>
  </si>
  <si>
    <t>2017-03-17 00:00:00.0000000</t>
  </si>
  <si>
    <t>2017-03-24 00:00:00.0000000</t>
  </si>
  <si>
    <t>2017-03-31 00:00:00.0000000</t>
  </si>
  <si>
    <t>2017-04-07 00:00:00.0000000</t>
  </si>
  <si>
    <t>2017-04-14 00:00:00.0000000</t>
  </si>
  <si>
    <t>2017-04-21 00:00:00.0000000</t>
  </si>
  <si>
    <t>2017-04-28 00:00:00.0000000</t>
  </si>
  <si>
    <t>2017-05-05 00:00:00.0000000</t>
  </si>
  <si>
    <t>2017-05-12 00:00:00.0000000</t>
  </si>
  <si>
    <t>2017-05-19 00:00:00.0000000</t>
  </si>
  <si>
    <t>2017-05-26 00:00:00.0000000</t>
  </si>
  <si>
    <t>2017-06-02 00:00:00.0000000</t>
  </si>
  <si>
    <t>2017-06-09 00:00:00.0000000</t>
  </si>
  <si>
    <t>2017-06-16 00:00:00.0000000</t>
  </si>
  <si>
    <t>2017-06-23 00:00:00.0000000</t>
  </si>
  <si>
    <t>2017-07-07 00:00:00.0000000</t>
  </si>
  <si>
    <t>2017-07-14 00:00:00.0000000</t>
  </si>
  <si>
    <t>2018</t>
  </si>
  <si>
    <t>Actual</t>
  </si>
  <si>
    <t>Interest Income</t>
  </si>
  <si>
    <t>44100</t>
  </si>
  <si>
    <t>Subsidized Tenant Rent</t>
  </si>
  <si>
    <t>45100</t>
  </si>
  <si>
    <t>Mortgage Insurance Premium</t>
  </si>
  <si>
    <t>62400</t>
  </si>
  <si>
    <t>Balance Sheet</t>
  </si>
  <si>
    <t>Operating Reserve</t>
  </si>
  <si>
    <t>10700</t>
  </si>
  <si>
    <t>Accrued Expenses &amp; Other Liabilities</t>
  </si>
  <si>
    <t>20105</t>
  </si>
  <si>
    <t>Accrued Interest Payable - Non Recourse Debt</t>
  </si>
  <si>
    <t>28600</t>
  </si>
  <si>
    <t>Accum Amort - Deferred Costs</t>
  </si>
  <si>
    <t>19001</t>
  </si>
  <si>
    <t>Accounts Payable, Trade</t>
  </si>
  <si>
    <t>21001</t>
  </si>
  <si>
    <t>Accumulated Depreciation</t>
  </si>
  <si>
    <t>18900</t>
  </si>
  <si>
    <t>Building &amp; Improvements</t>
  </si>
  <si>
    <t>18600</t>
  </si>
  <si>
    <t>Deferred Rental Income</t>
  </si>
  <si>
    <t>25200</t>
  </si>
  <si>
    <t>Developer Fees Payable</t>
  </si>
  <si>
    <t>21400</t>
  </si>
  <si>
    <t>Cash &amp; Cash Equivalents</t>
  </si>
  <si>
    <t>10000</t>
  </si>
  <si>
    <t>Fees Payable - Affiliates</t>
  </si>
  <si>
    <t>21020</t>
  </si>
  <si>
    <t>Furnishings/Equipment</t>
  </si>
  <si>
    <t>18001</t>
  </si>
  <si>
    <t>Deferred Costs, Gross</t>
  </si>
  <si>
    <t>19000</t>
  </si>
  <si>
    <t>Land</t>
  </si>
  <si>
    <t>18700</t>
  </si>
  <si>
    <t>Nonrecourse Debt 1</t>
  </si>
  <si>
    <t>28150</t>
  </si>
  <si>
    <t>Nonrecourse Debt 2</t>
  </si>
  <si>
    <t>28151</t>
  </si>
  <si>
    <t>Nonrecourse Debt 3</t>
  </si>
  <si>
    <t>28152</t>
  </si>
  <si>
    <t>Nonrecourse Debt 4</t>
  </si>
  <si>
    <t>28153</t>
  </si>
  <si>
    <t>Prepaid Expenses - Other</t>
  </si>
  <si>
    <t>19650</t>
  </si>
  <si>
    <t>Other Receivables</t>
  </si>
  <si>
    <t>12530</t>
  </si>
  <si>
    <t>Real Estate Tax &amp; Insurance Escrow</t>
  </si>
  <si>
    <t>19300</t>
  </si>
  <si>
    <t>Partners Capital</t>
  </si>
  <si>
    <t>30500</t>
  </si>
  <si>
    <t>Replacement Reserve</t>
  </si>
  <si>
    <t>10710</t>
  </si>
  <si>
    <t>Tenant Receivables</t>
  </si>
  <si>
    <t>12503</t>
  </si>
  <si>
    <t>Tenant Security Deposits</t>
  </si>
  <si>
    <t>10730</t>
  </si>
  <si>
    <t>23500</t>
  </si>
  <si>
    <t>Developer Fee Interest Payable</t>
  </si>
  <si>
    <t>21401</t>
  </si>
  <si>
    <t>Recourse Debt 4</t>
  </si>
  <si>
    <t>28203</t>
  </si>
  <si>
    <t>Q3</t>
  </si>
  <si>
    <t>2017-08-04 00:00:00.0000000</t>
  </si>
  <si>
    <t>2017-08-11 00:00:00.0000000</t>
  </si>
  <si>
    <t>2017-08-18 00:00:00.0000000</t>
  </si>
  <si>
    <t>2017-08-25 00:00:00.0000000</t>
  </si>
  <si>
    <t>2017-09-01 00:00:00.0000000</t>
  </si>
  <si>
    <t>2017-09-08 00:00:00.0000000</t>
  </si>
  <si>
    <t>2017-09-15 00:00:00.0000000</t>
  </si>
  <si>
    <t>2017-09-22 00:00:00.0000000</t>
  </si>
  <si>
    <t>2017-09-29 00:00:00.0000000</t>
  </si>
  <si>
    <t>2017-10-06 00:00:00.0000000</t>
  </si>
  <si>
    <t>2017-10-13 00:00:00.0000000</t>
  </si>
  <si>
    <t>2017-10-20 00:00:00.0000000</t>
  </si>
  <si>
    <t>2017-10-27 00:00:00.0000000</t>
  </si>
  <si>
    <t>2017-11-03 00:00:00.0000000</t>
  </si>
  <si>
    <t>2017-11-10 00:00:00.0000000</t>
  </si>
  <si>
    <t>2017-11-17 00:00:00.0000000</t>
  </si>
  <si>
    <t>2017-11-24 00:00:00.0000000</t>
  </si>
  <si>
    <t>2017-12-01 00:00:00.0000000</t>
  </si>
  <si>
    <t>2017-12-08 00:00:00.0000000</t>
  </si>
  <si>
    <t>2017-12-15 00:00:00.0000000</t>
  </si>
  <si>
    <t>2017-12-22 00:00:00.0000000</t>
  </si>
  <si>
    <t>2018-01-05 00:00:00.0000000</t>
  </si>
  <si>
    <t>2018-01-12 00:00:00.0000000</t>
  </si>
  <si>
    <t>2018-01-19 00:00:00.0000000</t>
  </si>
  <si>
    <t>2018-01-26 00:00:00.0000000</t>
  </si>
  <si>
    <t>2018-02-02 00:00:00.0000000</t>
  </si>
  <si>
    <t>2018-02-09 00:00:00.0000000</t>
  </si>
  <si>
    <t>2018-02-16 00:00:00.0000000</t>
  </si>
  <si>
    <t>2018-02-23 00:00:00.0000000</t>
  </si>
  <si>
    <t>2018-03-02 00:00:00.0000000</t>
  </si>
  <si>
    <t>2018-03-09 00:00:00.0000000</t>
  </si>
  <si>
    <t>2018-03-16 00:00:00.0000000</t>
  </si>
  <si>
    <t>2018-03-23 00:00:00.0000000</t>
  </si>
  <si>
    <t>Total Revenue</t>
  </si>
  <si>
    <t>Rehab</t>
  </si>
  <si>
    <t>70335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</si>
</sst>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(* #,##0_);_(* \(#,##0\);_(* &quot;-&quot;_);_(@_)"/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&quot;$&quot;#,##0"/>
    <numFmt numFmtId="168" formatCode="mm\-dd\-yyyy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color indexed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0"/>
      <color indexed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i/>
      <sz val="10"/>
      <color indexed="12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0133BF"/>
      <name val="Arial"/>
      <family val="2"/>
    </font>
    <font>
      <sz val="10"/>
      <color rgb="FF0070C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</cellStyleXfs>
  <cellXfs count="252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5" fillId="0" borderId="7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4" fillId="0" borderId="10" xfId="0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5" fillId="0" borderId="13" xfId="0" applyFont="1" applyBorder="1" applyAlignment="1">
      <alignment horizontal="left"/>
    </xf>
    <xf numFmtId="0" fontId="5" fillId="0" borderId="14" xfId="0" applyFont="1" applyBorder="1" applyAlignment="1">
      <alignment horizontal="left"/>
    </xf>
    <xf numFmtId="0" fontId="5" fillId="0" borderId="15" xfId="0" applyFont="1" applyBorder="1" applyAlignment="1">
      <alignment horizontal="left"/>
    </xf>
    <xf numFmtId="0" fontId="0" fillId="0" borderId="0" xfId="0" applyBorder="1" applyAlignment="1">
      <alignment vertical="center"/>
    </xf>
    <xf numFmtId="0" fontId="5" fillId="0" borderId="18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0" fontId="5" fillId="0" borderId="20" xfId="0" applyFont="1" applyBorder="1" applyAlignment="1">
      <alignment horizontal="right"/>
    </xf>
    <xf numFmtId="0" fontId="0" fillId="0" borderId="21" xfId="0" applyBorder="1" applyAlignment="1">
      <alignment vertical="center"/>
    </xf>
    <xf numFmtId="0" fontId="5" fillId="0" borderId="0" xfId="0" applyFont="1" applyAlignment="1">
      <alignment horizontal="right"/>
    </xf>
    <xf numFmtId="0" fontId="5" fillId="0" borderId="20" xfId="0" applyFont="1" applyBorder="1" applyAlignment="1">
      <alignment horizontal="left"/>
    </xf>
    <xf numFmtId="0" fontId="5" fillId="0" borderId="20" xfId="0" applyFont="1" applyBorder="1" applyAlignment="1">
      <alignment horizontal="right" wrapText="1"/>
    </xf>
    <xf numFmtId="0" fontId="5" fillId="5" borderId="20" xfId="0" applyFont="1" applyFill="1" applyBorder="1" applyAlignment="1">
      <alignment horizontal="right" wrapText="1"/>
    </xf>
    <xf numFmtId="0" fontId="5" fillId="5" borderId="18" xfId="0" applyFont="1" applyFill="1" applyBorder="1" applyAlignment="1">
      <alignment horizontal="right" wrapText="1"/>
    </xf>
    <xf numFmtId="0" fontId="5" fillId="3" borderId="24" xfId="0" applyFont="1" applyFill="1" applyBorder="1" applyAlignment="1">
      <alignment horizontal="right" wrapText="1"/>
    </xf>
    <xf numFmtId="0" fontId="5" fillId="3" borderId="20" xfId="0" applyFont="1" applyFill="1" applyBorder="1" applyAlignment="1">
      <alignment horizontal="right" wrapText="1"/>
    </xf>
    <xf numFmtId="0" fontId="5" fillId="4" borderId="20" xfId="0" applyFont="1" applyFill="1" applyBorder="1" applyAlignment="1">
      <alignment horizontal="right" wrapText="1"/>
    </xf>
    <xf numFmtId="0" fontId="5" fillId="5" borderId="23" xfId="0" applyFont="1" applyFill="1" applyBorder="1" applyAlignment="1">
      <alignment horizontal="right" wrapText="1"/>
    </xf>
    <xf numFmtId="0" fontId="5" fillId="0" borderId="27" xfId="0" applyFont="1" applyBorder="1" applyAlignment="1">
      <alignment horizontal="left" indent="1"/>
    </xf>
    <xf numFmtId="0" fontId="7" fillId="0" borderId="28" xfId="0" applyFont="1" applyBorder="1" applyAlignment="1">
      <alignment horizontal="right"/>
    </xf>
    <xf numFmtId="0" fontId="5" fillId="0" borderId="28" xfId="0" applyFont="1" applyBorder="1" applyAlignment="1">
      <alignment horizontal="left" indent="1"/>
    </xf>
    <xf numFmtId="0" fontId="5" fillId="5" borderId="28" xfId="0" applyFont="1" applyFill="1" applyBorder="1" applyAlignment="1">
      <alignment horizontal="right"/>
    </xf>
    <xf numFmtId="0" fontId="5" fillId="0" borderId="28" xfId="0" applyFont="1" applyBorder="1" applyAlignment="1">
      <alignment horizontal="right"/>
    </xf>
    <xf numFmtId="0" fontId="5" fillId="5" borderId="25" xfId="0" applyFont="1" applyFill="1" applyBorder="1" applyAlignment="1">
      <alignment horizontal="right"/>
    </xf>
    <xf numFmtId="0" fontId="5" fillId="3" borderId="29" xfId="0" applyFont="1" applyFill="1" applyBorder="1" applyAlignment="1">
      <alignment horizontal="right"/>
    </xf>
    <xf numFmtId="0" fontId="5" fillId="3" borderId="28" xfId="0" applyFont="1" applyFill="1" applyBorder="1" applyAlignment="1">
      <alignment horizontal="right"/>
    </xf>
    <xf numFmtId="0" fontId="5" fillId="4" borderId="28" xfId="0" applyFont="1" applyFill="1" applyBorder="1" applyAlignment="1">
      <alignment horizontal="right"/>
    </xf>
    <xf numFmtId="0" fontId="5" fillId="5" borderId="30" xfId="0" applyFont="1" applyFill="1" applyBorder="1" applyAlignment="1">
      <alignment horizontal="right"/>
    </xf>
    <xf numFmtId="0" fontId="8" fillId="0" borderId="28" xfId="0" applyFont="1" applyBorder="1"/>
    <xf numFmtId="14" fontId="8" fillId="0" borderId="28" xfId="0" applyNumberFormat="1" applyFont="1" applyBorder="1"/>
    <xf numFmtId="165" fontId="8" fillId="0" borderId="28" xfId="1" applyNumberFormat="1" applyFont="1" applyBorder="1"/>
    <xf numFmtId="166" fontId="8" fillId="5" borderId="28" xfId="2" applyNumberFormat="1" applyFont="1" applyFill="1" applyBorder="1" applyAlignment="1">
      <alignment horizontal="right"/>
    </xf>
    <xf numFmtId="166" fontId="8" fillId="5" borderId="25" xfId="2" applyNumberFormat="1" applyFont="1" applyFill="1" applyBorder="1"/>
    <xf numFmtId="165" fontId="8" fillId="3" borderId="29" xfId="1" applyNumberFormat="1" applyFont="1" applyFill="1" applyBorder="1"/>
    <xf numFmtId="165" fontId="8" fillId="3" borderId="28" xfId="1" applyNumberFormat="1" applyFont="1" applyFill="1" applyBorder="1"/>
    <xf numFmtId="165" fontId="8" fillId="4" borderId="28" xfId="1" applyNumberFormat="1" applyFont="1" applyFill="1" applyBorder="1"/>
    <xf numFmtId="165" fontId="8" fillId="5" borderId="28" xfId="1" applyNumberFormat="1" applyFont="1" applyFill="1" applyBorder="1"/>
    <xf numFmtId="165" fontId="8" fillId="5" borderId="30" xfId="1" applyNumberFormat="1" applyFont="1" applyFill="1" applyBorder="1"/>
    <xf numFmtId="0" fontId="8" fillId="0" borderId="0" xfId="0" applyFont="1"/>
    <xf numFmtId="14" fontId="3" fillId="0" borderId="28" xfId="0" applyNumberFormat="1" applyFont="1" applyBorder="1"/>
    <xf numFmtId="0" fontId="3" fillId="0" borderId="28" xfId="0" applyFont="1" applyBorder="1"/>
    <xf numFmtId="166" fontId="0" fillId="5" borderId="25" xfId="2" applyNumberFormat="1" applyFont="1" applyFill="1" applyBorder="1"/>
    <xf numFmtId="0" fontId="8" fillId="0" borderId="28" xfId="0" applyFont="1" applyFill="1" applyBorder="1" applyAlignment="1">
      <alignment horizontal="left" indent="2"/>
    </xf>
    <xf numFmtId="167" fontId="8" fillId="0" borderId="28" xfId="0" applyNumberFormat="1" applyFont="1" applyBorder="1"/>
    <xf numFmtId="167" fontId="8" fillId="3" borderId="31" xfId="1" applyNumberFormat="1" applyFont="1" applyFill="1" applyBorder="1"/>
    <xf numFmtId="167" fontId="8" fillId="3" borderId="32" xfId="1" applyNumberFormat="1" applyFont="1" applyFill="1" applyBorder="1"/>
    <xf numFmtId="167" fontId="8" fillId="4" borderId="32" xfId="1" applyNumberFormat="1" applyFont="1" applyFill="1" applyBorder="1" applyAlignment="1">
      <alignment horizontal="right"/>
    </xf>
    <xf numFmtId="9" fontId="8" fillId="4" borderId="32" xfId="2" applyFont="1" applyFill="1" applyBorder="1" applyAlignment="1">
      <alignment horizontal="right"/>
    </xf>
    <xf numFmtId="167" fontId="8" fillId="5" borderId="32" xfId="1" applyNumberFormat="1" applyFont="1" applyFill="1" applyBorder="1" applyAlignment="1">
      <alignment horizontal="right"/>
    </xf>
    <xf numFmtId="167" fontId="8" fillId="5" borderId="32" xfId="1" applyNumberFormat="1" applyFont="1" applyFill="1" applyBorder="1"/>
    <xf numFmtId="167" fontId="8" fillId="5" borderId="33" xfId="1" applyNumberFormat="1" applyFont="1" applyFill="1" applyBorder="1"/>
    <xf numFmtId="0" fontId="6" fillId="0" borderId="10" xfId="0" applyFont="1" applyBorder="1" applyAlignment="1">
      <alignment horizontal="center"/>
    </xf>
    <xf numFmtId="0" fontId="10" fillId="4" borderId="3" xfId="0" applyFont="1" applyFill="1" applyBorder="1" applyAlignment="1">
      <alignment horizontal="center"/>
    </xf>
    <xf numFmtId="0" fontId="11" fillId="0" borderId="25" xfId="0" applyFont="1" applyBorder="1" applyAlignment="1">
      <alignment horizontal="center"/>
    </xf>
    <xf numFmtId="165" fontId="8" fillId="3" borderId="25" xfId="1" applyNumberFormat="1" applyFont="1" applyFill="1" applyBorder="1"/>
    <xf numFmtId="41" fontId="8" fillId="4" borderId="29" xfId="1" applyNumberFormat="1" applyFont="1" applyFill="1" applyBorder="1"/>
    <xf numFmtId="41" fontId="8" fillId="4" borderId="28" xfId="1" applyNumberFormat="1" applyFont="1" applyFill="1" applyBorder="1"/>
    <xf numFmtId="165" fontId="8" fillId="4" borderId="30" xfId="1" applyNumberFormat="1" applyFont="1" applyFill="1" applyBorder="1"/>
    <xf numFmtId="165" fontId="8" fillId="3" borderId="26" xfId="1" applyNumberFormat="1" applyFont="1" applyFill="1" applyBorder="1"/>
    <xf numFmtId="0" fontId="12" fillId="0" borderId="0" xfId="0" applyFont="1"/>
    <xf numFmtId="165" fontId="8" fillId="3" borderId="31" xfId="1" applyNumberFormat="1" applyFont="1" applyFill="1" applyBorder="1"/>
    <xf numFmtId="165" fontId="8" fillId="3" borderId="32" xfId="1" applyNumberFormat="1" applyFont="1" applyFill="1" applyBorder="1"/>
    <xf numFmtId="165" fontId="8" fillId="4" borderId="32" xfId="1" applyNumberFormat="1" applyFont="1" applyFill="1" applyBorder="1"/>
    <xf numFmtId="165" fontId="8" fillId="3" borderId="35" xfId="1" applyNumberFormat="1" applyFont="1" applyFill="1" applyBorder="1"/>
    <xf numFmtId="41" fontId="8" fillId="4" borderId="31" xfId="1" applyNumberFormat="1" applyFont="1" applyFill="1" applyBorder="1"/>
    <xf numFmtId="41" fontId="8" fillId="4" borderId="32" xfId="1" applyNumberFormat="1" applyFont="1" applyFill="1" applyBorder="1"/>
    <xf numFmtId="165" fontId="8" fillId="4" borderId="33" xfId="1" applyNumberFormat="1" applyFont="1" applyFill="1" applyBorder="1"/>
    <xf numFmtId="165" fontId="8" fillId="3" borderId="36" xfId="1" applyNumberFormat="1" applyFont="1" applyFill="1" applyBorder="1"/>
    <xf numFmtId="165" fontId="8" fillId="5" borderId="32" xfId="1" applyNumberFormat="1" applyFont="1" applyFill="1" applyBorder="1"/>
    <xf numFmtId="165" fontId="8" fillId="5" borderId="33" xfId="1" applyNumberFormat="1" applyFont="1" applyFill="1" applyBorder="1"/>
    <xf numFmtId="0" fontId="3" fillId="2" borderId="1" xfId="0" applyFont="1" applyFill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13" fillId="0" borderId="0" xfId="3"/>
    <xf numFmtId="0" fontId="13" fillId="0" borderId="0" xfId="3" applyAlignment="1">
      <alignment horizontal="center"/>
    </xf>
    <xf numFmtId="0" fontId="13" fillId="0" borderId="0" xfId="3" applyFont="1" applyAlignment="1">
      <alignment horizontal="center"/>
    </xf>
    <xf numFmtId="0" fontId="14" fillId="0" borderId="9" xfId="3" applyFont="1" applyBorder="1" applyAlignment="1">
      <alignment horizontal="center"/>
    </xf>
    <xf numFmtId="0" fontId="14" fillId="0" borderId="9" xfId="3" applyFont="1" applyBorder="1" applyAlignment="1">
      <alignment horizontal="center" wrapText="1"/>
    </xf>
    <xf numFmtId="0" fontId="14" fillId="0" borderId="28" xfId="3" applyFont="1" applyBorder="1" applyAlignment="1">
      <alignment horizontal="center" wrapText="1"/>
    </xf>
    <xf numFmtId="166" fontId="15" fillId="6" borderId="28" xfId="2" applyNumberFormat="1" applyFont="1" applyFill="1" applyBorder="1" applyAlignment="1">
      <alignment horizontal="center"/>
    </xf>
    <xf numFmtId="166" fontId="15" fillId="6" borderId="28" xfId="2" applyNumberFormat="1" applyFont="1" applyFill="1" applyBorder="1" applyAlignment="1">
      <alignment horizontal="center" wrapText="1"/>
    </xf>
    <xf numFmtId="166" fontId="0" fillId="0" borderId="28" xfId="4" applyNumberFormat="1" applyFont="1" applyBorder="1" applyAlignment="1">
      <alignment horizontal="center"/>
    </xf>
    <xf numFmtId="166" fontId="0" fillId="0" borderId="28" xfId="0" applyNumberFormat="1" applyBorder="1" applyAlignment="1">
      <alignment horizontal="center"/>
    </xf>
    <xf numFmtId="166" fontId="13" fillId="8" borderId="28" xfId="2" applyNumberFormat="1" applyFont="1" applyFill="1" applyBorder="1" applyAlignment="1">
      <alignment horizontal="center"/>
    </xf>
    <xf numFmtId="166" fontId="15" fillId="8" borderId="28" xfId="2" applyNumberFormat="1" applyFont="1" applyFill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6" fontId="13" fillId="6" borderId="28" xfId="2" applyNumberFormat="1" applyFont="1" applyFill="1" applyBorder="1" applyAlignment="1">
      <alignment horizontal="center"/>
    </xf>
    <xf numFmtId="14" fontId="0" fillId="0" borderId="28" xfId="0" applyNumberFormat="1" applyBorder="1"/>
    <xf numFmtId="166" fontId="13" fillId="9" borderId="28" xfId="2" applyNumberFormat="1" applyFont="1" applyFill="1" applyBorder="1" applyAlignment="1">
      <alignment horizontal="center"/>
    </xf>
    <xf numFmtId="14" fontId="13" fillId="0" borderId="0" xfId="3" applyNumberFormat="1"/>
    <xf numFmtId="166" fontId="0" fillId="0" borderId="0" xfId="4" applyNumberFormat="1" applyFont="1" applyAlignment="1">
      <alignment horizontal="center"/>
    </xf>
    <xf numFmtId="166" fontId="9" fillId="7" borderId="0" xfId="4" applyNumberFormat="1" applyFont="1" applyFill="1" applyAlignment="1">
      <alignment horizontal="center"/>
    </xf>
    <xf numFmtId="0" fontId="10" fillId="0" borderId="18" xfId="0" applyFont="1" applyBorder="1" applyAlignment="1">
      <alignment horizontal="left"/>
    </xf>
    <xf numFmtId="0" fontId="10" fillId="0" borderId="25" xfId="0" applyFont="1" applyBorder="1" applyAlignment="1"/>
    <xf numFmtId="0" fontId="16" fillId="0" borderId="7" xfId="0" applyFont="1" applyBorder="1"/>
    <xf numFmtId="0" fontId="16" fillId="4" borderId="2" xfId="0" applyFont="1" applyFill="1" applyBorder="1" applyAlignment="1">
      <alignment horizontal="center"/>
    </xf>
    <xf numFmtId="0" fontId="16" fillId="4" borderId="3" xfId="0" applyFont="1" applyFill="1" applyBorder="1" applyAlignment="1">
      <alignment horizontal="center"/>
    </xf>
    <xf numFmtId="0" fontId="16" fillId="4" borderId="6" xfId="0" applyFont="1" applyFill="1" applyBorder="1" applyAlignment="1">
      <alignment horizontal="center"/>
    </xf>
    <xf numFmtId="0" fontId="16" fillId="4" borderId="5" xfId="0" applyFont="1" applyFill="1" applyBorder="1" applyAlignment="1">
      <alignment horizontal="center"/>
    </xf>
    <xf numFmtId="0" fontId="16" fillId="4" borderId="4" xfId="0" applyFont="1" applyFill="1" applyBorder="1" applyAlignment="1">
      <alignment horizontal="center"/>
    </xf>
    <xf numFmtId="0" fontId="16" fillId="3" borderId="24" xfId="0" applyFont="1" applyFill="1" applyBorder="1" applyAlignment="1">
      <alignment horizontal="right" wrapText="1"/>
    </xf>
    <xf numFmtId="0" fontId="16" fillId="3" borderId="20" xfId="0" applyFont="1" applyFill="1" applyBorder="1" applyAlignment="1">
      <alignment horizontal="right" wrapText="1"/>
    </xf>
    <xf numFmtId="0" fontId="16" fillId="3" borderId="19" xfId="0" applyFont="1" applyFill="1" applyBorder="1" applyAlignment="1">
      <alignment horizontal="right" wrapText="1"/>
    </xf>
    <xf numFmtId="0" fontId="16" fillId="3" borderId="28" xfId="0" applyFont="1" applyFill="1" applyBorder="1" applyAlignment="1">
      <alignment horizontal="right" wrapText="1"/>
    </xf>
    <xf numFmtId="0" fontId="16" fillId="4" borderId="20" xfId="0" applyFont="1" applyFill="1" applyBorder="1" applyAlignment="1">
      <alignment horizontal="right" wrapText="1"/>
    </xf>
    <xf numFmtId="0" fontId="16" fillId="4" borderId="19" xfId="0" applyFont="1" applyFill="1" applyBorder="1" applyAlignment="1">
      <alignment horizontal="right" wrapText="1"/>
    </xf>
    <xf numFmtId="0" fontId="16" fillId="4" borderId="28" xfId="0" applyFont="1" applyFill="1" applyBorder="1" applyAlignment="1">
      <alignment horizontal="right" wrapText="1"/>
    </xf>
    <xf numFmtId="0" fontId="16" fillId="3" borderId="18" xfId="0" applyFont="1" applyFill="1" applyBorder="1" applyAlignment="1">
      <alignment horizontal="right" wrapText="1"/>
    </xf>
    <xf numFmtId="0" fontId="16" fillId="4" borderId="24" xfId="0" applyFont="1" applyFill="1" applyBorder="1" applyAlignment="1">
      <alignment horizontal="right" wrapText="1"/>
    </xf>
    <xf numFmtId="0" fontId="16" fillId="4" borderId="23" xfId="0" applyFont="1" applyFill="1" applyBorder="1" applyAlignment="1">
      <alignment horizontal="right" wrapText="1"/>
    </xf>
    <xf numFmtId="0" fontId="16" fillId="3" borderId="25" xfId="0" applyFont="1" applyFill="1" applyBorder="1" applyAlignment="1">
      <alignment horizontal="right" wrapText="1"/>
    </xf>
    <xf numFmtId="0" fontId="16" fillId="3" borderId="26" xfId="0" applyFont="1" applyFill="1" applyBorder="1" applyAlignment="1">
      <alignment horizontal="right" wrapText="1"/>
    </xf>
    <xf numFmtId="0" fontId="16" fillId="5" borderId="19" xfId="0" applyFont="1" applyFill="1" applyBorder="1" applyAlignment="1">
      <alignment horizontal="right" wrapText="1"/>
    </xf>
    <xf numFmtId="0" fontId="16" fillId="5" borderId="20" xfId="0" applyFont="1" applyFill="1" applyBorder="1" applyAlignment="1">
      <alignment horizontal="right" wrapText="1"/>
    </xf>
    <xf numFmtId="0" fontId="16" fillId="5" borderId="23" xfId="0" applyFont="1" applyFill="1" applyBorder="1" applyAlignment="1">
      <alignment horizontal="right" wrapText="1"/>
    </xf>
    <xf numFmtId="0" fontId="16" fillId="0" borderId="0" xfId="0" applyFont="1"/>
    <xf numFmtId="168" fontId="18" fillId="0" borderId="0" xfId="0" applyNumberFormat="1" applyFont="1" applyAlignment="1">
      <alignment horizontal="center" vertical="center"/>
    </xf>
    <xf numFmtId="168" fontId="18" fillId="10" borderId="28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9" fillId="0" borderId="26" xfId="0" applyFont="1" applyBorder="1" applyAlignment="1">
      <alignment horizontal="left" indent="1"/>
    </xf>
    <xf numFmtId="0" fontId="16" fillId="0" borderId="20" xfId="0" applyFont="1" applyBorder="1" applyAlignment="1">
      <alignment horizontal="right"/>
    </xf>
    <xf numFmtId="0" fontId="16" fillId="0" borderId="21" xfId="0" applyFont="1" applyBorder="1" applyAlignment="1">
      <alignment horizontal="right"/>
    </xf>
    <xf numFmtId="0" fontId="9" fillId="0" borderId="0" xfId="0" applyFont="1" applyBorder="1" applyAlignment="1">
      <alignment horizontal="left" indent="1"/>
    </xf>
    <xf numFmtId="0" fontId="7" fillId="0" borderId="0" xfId="0" applyFont="1" applyBorder="1" applyAlignment="1">
      <alignment horizontal="right"/>
    </xf>
    <xf numFmtId="0" fontId="5" fillId="0" borderId="0" xfId="0" applyFont="1" applyBorder="1" applyAlignment="1">
      <alignment horizontal="right"/>
    </xf>
    <xf numFmtId="0" fontId="5" fillId="5" borderId="0" xfId="0" applyFont="1" applyFill="1" applyBorder="1" applyAlignment="1">
      <alignment horizontal="right"/>
    </xf>
    <xf numFmtId="0" fontId="10" fillId="0" borderId="0" xfId="0" applyFont="1" applyBorder="1" applyAlignment="1">
      <alignment horizontal="left"/>
    </xf>
    <xf numFmtId="14" fontId="3" fillId="0" borderId="0" xfId="0" applyNumberFormat="1" applyFont="1" applyBorder="1"/>
    <xf numFmtId="0" fontId="3" fillId="0" borderId="0" xfId="0" applyFont="1" applyBorder="1"/>
    <xf numFmtId="166" fontId="0" fillId="5" borderId="0" xfId="2" applyNumberFormat="1" applyFont="1" applyFill="1" applyBorder="1"/>
    <xf numFmtId="0" fontId="10" fillId="0" borderId="0" xfId="0" applyFont="1" applyBorder="1" applyAlignment="1"/>
    <xf numFmtId="0" fontId="9" fillId="0" borderId="26" xfId="0" applyFont="1" applyBorder="1" applyAlignment="1">
      <alignment horizontal="left" indent="1"/>
    </xf>
    <xf numFmtId="165" fontId="9" fillId="5" borderId="28" xfId="1" applyNumberFormat="1" applyFont="1" applyFill="1" applyBorder="1" applyAlignment="1">
      <alignment horizontal="right"/>
    </xf>
    <xf numFmtId="165" fontId="9" fillId="5" borderId="30" xfId="1" applyNumberFormat="1" applyFont="1" applyFill="1" applyBorder="1" applyAlignment="1">
      <alignment horizontal="right"/>
    </xf>
    <xf numFmtId="165" fontId="3" fillId="3" borderId="29" xfId="1" applyNumberFormat="1" applyFont="1" applyFill="1" applyBorder="1" applyAlignment="1">
      <alignment horizontal="center"/>
    </xf>
    <xf numFmtId="165" fontId="9" fillId="3" borderId="28" xfId="1" applyNumberFormat="1" applyFont="1" applyFill="1" applyBorder="1" applyAlignment="1">
      <alignment horizontal="center"/>
    </xf>
    <xf numFmtId="165" fontId="3" fillId="3" borderId="28" xfId="1" applyNumberFormat="1" applyFont="1" applyFill="1" applyBorder="1" applyAlignment="1">
      <alignment horizontal="center"/>
    </xf>
    <xf numFmtId="165" fontId="9" fillId="3" borderId="28" xfId="1" applyNumberFormat="1" applyFont="1" applyFill="1" applyBorder="1"/>
    <xf numFmtId="165" fontId="3" fillId="4" borderId="28" xfId="1" applyNumberFormat="1" applyFont="1" applyFill="1" applyBorder="1" applyAlignment="1">
      <alignment horizontal="center"/>
    </xf>
    <xf numFmtId="165" fontId="9" fillId="4" borderId="28" xfId="1" applyNumberFormat="1" applyFont="1" applyFill="1" applyBorder="1" applyAlignment="1">
      <alignment horizontal="center"/>
    </xf>
    <xf numFmtId="165" fontId="9" fillId="4" borderId="28" xfId="1" applyNumberFormat="1" applyFont="1" applyFill="1" applyBorder="1"/>
    <xf numFmtId="165" fontId="9" fillId="3" borderId="25" xfId="1" applyNumberFormat="1" applyFont="1" applyFill="1" applyBorder="1"/>
    <xf numFmtId="41" fontId="21" fillId="4" borderId="28" xfId="1" applyNumberFormat="1" applyFont="1" applyFill="1" applyBorder="1"/>
    <xf numFmtId="165" fontId="9" fillId="4" borderId="30" xfId="1" applyNumberFormat="1" applyFont="1" applyFill="1" applyBorder="1"/>
    <xf numFmtId="165" fontId="3" fillId="3" borderId="26" xfId="1" applyNumberFormat="1" applyFont="1" applyFill="1" applyBorder="1" applyAlignment="1">
      <alignment horizontal="center"/>
    </xf>
    <xf numFmtId="165" fontId="22" fillId="4" borderId="28" xfId="1" applyNumberFormat="1" applyFont="1" applyFill="1" applyBorder="1"/>
    <xf numFmtId="165" fontId="9" fillId="5" borderId="28" xfId="1" applyNumberFormat="1" applyFont="1" applyFill="1" applyBorder="1" applyAlignment="1">
      <alignment horizontal="center"/>
    </xf>
    <xf numFmtId="165" fontId="0" fillId="5" borderId="28" xfId="1" applyNumberFormat="1" applyFont="1" applyFill="1" applyBorder="1"/>
    <xf numFmtId="165" fontId="0" fillId="5" borderId="30" xfId="1" applyNumberFormat="1" applyFont="1" applyFill="1" applyBorder="1"/>
    <xf numFmtId="0" fontId="5" fillId="0" borderId="28" xfId="0" applyNumberFormat="1" applyFont="1" applyBorder="1"/>
    <xf numFmtId="0" fontId="23" fillId="11" borderId="0" xfId="5"/>
    <xf numFmtId="0" fontId="23" fillId="11" borderId="28" xfId="5" applyBorder="1"/>
    <xf numFmtId="167" fontId="23" fillId="11" borderId="28" xfId="5" applyNumberFormat="1" applyBorder="1"/>
    <xf numFmtId="166" fontId="23" fillId="11" borderId="28" xfId="5" applyNumberFormat="1" applyBorder="1" applyAlignment="1">
      <alignment horizontal="right"/>
    </xf>
    <xf numFmtId="165" fontId="23" fillId="11" borderId="29" xfId="5" applyNumberFormat="1" applyBorder="1"/>
    <xf numFmtId="0" fontId="23" fillId="11" borderId="28" xfId="5" applyBorder="1" applyAlignment="1">
      <alignment horizontal="right"/>
    </xf>
    <xf numFmtId="0" fontId="23" fillId="11" borderId="30" xfId="5" applyBorder="1" applyAlignment="1">
      <alignment horizontal="right"/>
    </xf>
    <xf numFmtId="165" fontId="5" fillId="4" borderId="28" xfId="0" applyNumberFormat="1" applyFont="1" applyFill="1" applyBorder="1" applyAlignment="1">
      <alignment horizontal="right"/>
    </xf>
    <xf numFmtId="165" fontId="5" fillId="3" borderId="28" xfId="0" applyNumberFormat="1" applyFont="1" applyFill="1" applyBorder="1" applyAlignment="1">
      <alignment horizontal="right"/>
    </xf>
    <xf numFmtId="165" fontId="5" fillId="5" borderId="28" xfId="0" applyNumberFormat="1" applyFont="1" applyFill="1" applyBorder="1" applyAlignment="1">
      <alignment horizontal="right"/>
    </xf>
    <xf numFmtId="0" fontId="23" fillId="11" borderId="25" xfId="5" applyBorder="1" applyAlignment="1">
      <alignment horizontal="center"/>
    </xf>
    <xf numFmtId="165" fontId="23" fillId="11" borderId="28" xfId="5" applyNumberFormat="1" applyBorder="1"/>
    <xf numFmtId="165" fontId="23" fillId="11" borderId="25" xfId="5" applyNumberFormat="1" applyBorder="1"/>
    <xf numFmtId="41" fontId="23" fillId="11" borderId="29" xfId="5" applyNumberFormat="1" applyBorder="1"/>
    <xf numFmtId="41" fontId="23" fillId="11" borderId="28" xfId="5" applyNumberFormat="1" applyBorder="1"/>
    <xf numFmtId="165" fontId="23" fillId="11" borderId="30" xfId="5" applyNumberFormat="1" applyBorder="1"/>
    <xf numFmtId="165" fontId="23" fillId="11" borderId="26" xfId="5" applyNumberFormat="1" applyBorder="1"/>
    <xf numFmtId="0" fontId="24" fillId="12" borderId="20" xfId="6" applyBorder="1" applyAlignment="1">
      <alignment horizontal="right" wrapText="1"/>
    </xf>
    <xf numFmtId="0" fontId="24" fillId="12" borderId="20" xfId="6" applyBorder="1" applyAlignment="1">
      <alignment horizontal="right"/>
    </xf>
    <xf numFmtId="0" fontId="9" fillId="0" borderId="25" xfId="0" applyFont="1" applyBorder="1" applyAlignment="1">
      <alignment horizontal="left" indent="1"/>
    </xf>
    <xf numFmtId="0" fontId="9" fillId="0" borderId="26" xfId="0" applyFont="1" applyBorder="1" applyAlignment="1">
      <alignment horizontal="left" indent="1"/>
    </xf>
    <xf numFmtId="0" fontId="4" fillId="3" borderId="9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vertical="center"/>
    </xf>
    <xf numFmtId="0" fontId="6" fillId="3" borderId="20" xfId="0" applyFont="1" applyFill="1" applyBorder="1" applyAlignment="1">
      <alignment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6" fillId="0" borderId="15" xfId="0" applyFont="1" applyBorder="1" applyAlignment="1">
      <alignment vertical="center"/>
    </xf>
    <xf numFmtId="0" fontId="6" fillId="0" borderId="17" xfId="0" applyFont="1" applyBorder="1" applyAlignment="1">
      <alignment vertical="center"/>
    </xf>
    <xf numFmtId="0" fontId="6" fillId="0" borderId="20" xfId="0" applyFont="1" applyBorder="1" applyAlignment="1">
      <alignment vertical="center"/>
    </xf>
    <xf numFmtId="0" fontId="6" fillId="0" borderId="23" xfId="0" applyFont="1" applyBorder="1" applyAlignment="1">
      <alignment vertic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9" xfId="0" applyBorder="1" applyAlignment="1">
      <alignment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6" fillId="3" borderId="22" xfId="0" applyFont="1" applyFill="1" applyBorder="1" applyAlignment="1">
      <alignment vertical="center"/>
    </xf>
    <xf numFmtId="0" fontId="6" fillId="3" borderId="21" xfId="0" applyFont="1" applyFill="1" applyBorder="1" applyAlignment="1">
      <alignment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vertical="center"/>
    </xf>
    <xf numFmtId="0" fontId="6" fillId="4" borderId="0" xfId="0" applyFont="1" applyFill="1" applyBorder="1" applyAlignment="1">
      <alignment vertical="center"/>
    </xf>
    <xf numFmtId="0" fontId="6" fillId="4" borderId="14" xfId="0" applyFont="1" applyFill="1" applyBorder="1" applyAlignment="1">
      <alignment vertical="center"/>
    </xf>
    <xf numFmtId="0" fontId="6" fillId="4" borderId="18" xfId="0" applyFont="1" applyFill="1" applyBorder="1" applyAlignment="1">
      <alignment vertical="center"/>
    </xf>
    <xf numFmtId="0" fontId="6" fillId="4" borderId="21" xfId="0" applyFont="1" applyFill="1" applyBorder="1" applyAlignment="1">
      <alignment vertical="center"/>
    </xf>
    <xf numFmtId="0" fontId="6" fillId="4" borderId="19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vertical="center"/>
    </xf>
    <xf numFmtId="0" fontId="6" fillId="3" borderId="14" xfId="0" applyFont="1" applyFill="1" applyBorder="1" applyAlignment="1">
      <alignment vertical="center"/>
    </xf>
    <xf numFmtId="0" fontId="6" fillId="3" borderId="18" xfId="0" applyFont="1" applyFill="1" applyBorder="1" applyAlignment="1">
      <alignment vertical="center"/>
    </xf>
    <xf numFmtId="0" fontId="6" fillId="3" borderId="19" xfId="0" applyFont="1" applyFill="1" applyBorder="1" applyAlignment="1">
      <alignment vertical="center"/>
    </xf>
    <xf numFmtId="0" fontId="4" fillId="4" borderId="9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vertical="center"/>
    </xf>
    <xf numFmtId="0" fontId="6" fillId="4" borderId="20" xfId="0" applyFont="1" applyFill="1" applyBorder="1" applyAlignment="1">
      <alignment vertical="center"/>
    </xf>
    <xf numFmtId="0" fontId="16" fillId="3" borderId="3" xfId="0" applyFont="1" applyFill="1" applyBorder="1" applyAlignment="1">
      <alignment horizontal="center"/>
    </xf>
    <xf numFmtId="0" fontId="16" fillId="4" borderId="5" xfId="0" applyFont="1" applyFill="1" applyBorder="1" applyAlignment="1">
      <alignment horizontal="center"/>
    </xf>
    <xf numFmtId="0" fontId="16" fillId="4" borderId="3" xfId="0" applyFont="1" applyFill="1" applyBorder="1" applyAlignment="1">
      <alignment horizontal="center"/>
    </xf>
    <xf numFmtId="0" fontId="16" fillId="4" borderId="4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16" fillId="3" borderId="4" xfId="0" applyFont="1" applyFill="1" applyBorder="1" applyAlignment="1">
      <alignment horizontal="center"/>
    </xf>
    <xf numFmtId="0" fontId="16" fillId="3" borderId="34" xfId="0" applyFont="1" applyFill="1" applyBorder="1" applyAlignment="1">
      <alignment horizontal="center"/>
    </xf>
    <xf numFmtId="0" fontId="16" fillId="0" borderId="9" xfId="0" applyFont="1" applyBorder="1" applyAlignment="1">
      <alignment horizontal="right"/>
    </xf>
    <xf numFmtId="0" fontId="16" fillId="0" borderId="20" xfId="0" applyFont="1" applyBorder="1" applyAlignment="1">
      <alignment horizontal="right"/>
    </xf>
    <xf numFmtId="0" fontId="16" fillId="0" borderId="10" xfId="0" applyFont="1" applyBorder="1" applyAlignment="1">
      <alignment horizontal="right"/>
    </xf>
    <xf numFmtId="0" fontId="16" fillId="0" borderId="21" xfId="0" applyFont="1" applyBorder="1" applyAlignment="1">
      <alignment horizontal="right"/>
    </xf>
    <xf numFmtId="0" fontId="16" fillId="3" borderId="2" xfId="0" applyFont="1" applyFill="1" applyBorder="1" applyAlignment="1">
      <alignment horizontal="center"/>
    </xf>
    <xf numFmtId="0" fontId="5" fillId="0" borderId="28" xfId="0" applyFont="1" applyBorder="1" applyAlignment="1">
      <alignment horizontal="left" indent="2"/>
    </xf>
    <xf numFmtId="0" fontId="5" fillId="0" borderId="25" xfId="0" applyFont="1" applyBorder="1" applyAlignment="1">
      <alignment horizontal="left" indent="2"/>
    </xf>
    <xf numFmtId="0" fontId="5" fillId="0" borderId="28" xfId="0" applyFont="1" applyFill="1" applyBorder="1" applyAlignment="1">
      <alignment horizontal="left" indent="2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857250</xdr:colOff>
      <xdr:row>2</xdr:row>
      <xdr:rowOff>123825</xdr:rowOff>
    </xdr:from>
    <xdr:to>
      <xdr:col>1</xdr:col>
      <xdr:colOff>333375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57250" y="590550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219075</xdr:rowOff>
        </xdr:from>
        <xdr:to>
          <xdr:col>6</xdr:col>
          <xdr:colOff>114300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51"/>
  <sheetViews>
    <sheetView tabSelected="1" zoomScaleNormal="100" workbookViewId="0">
      <selection activeCell="A9" sqref="A9"/>
    </sheetView>
  </sheetViews>
  <sheetFormatPr defaultRowHeight="15" x14ac:dyDescent="0.25"/>
  <cols>
    <col min="1" max="1" width="40.140625" bestFit="1" customWidth="1"/>
    <col min="2" max="2" width="8.7109375" customWidth="1"/>
    <col min="3" max="3" width="11.28515625" customWidth="1"/>
    <col min="4" max="4" width="0.140625" hidden="1" customWidth="1"/>
    <col min="5" max="5" width="11.42578125" customWidth="1"/>
    <col min="6" max="6" width="12.42578125" customWidth="1"/>
    <col min="7" max="7" width="12" customWidth="1"/>
    <col min="8" max="8" width="11" customWidth="1"/>
    <col min="9" max="9" width="15.5703125" customWidth="1"/>
    <col min="10" max="10" width="11.7109375" customWidth="1"/>
    <col min="11" max="11" width="9.42578125" customWidth="1"/>
    <col min="12" max="12" width="0.140625" hidden="1" customWidth="1"/>
    <col min="13" max="13" width="8.5703125" hidden="1" customWidth="1"/>
    <col min="14" max="14" width="9.28515625" hidden="1" customWidth="1"/>
    <col min="15" max="15" width="5.5703125" hidden="1" customWidth="1"/>
    <col min="16" max="17" width="12.140625" customWidth="1"/>
    <col min="18" max="18" width="15.140625" customWidth="1"/>
    <col min="19" max="19" width="8.85546875" customWidth="1"/>
    <col min="20" max="20" width="8.7109375" customWidth="1"/>
    <col min="21" max="21" width="14.5703125" customWidth="1"/>
    <col min="22" max="22" width="13.28515625" customWidth="1"/>
    <col min="23" max="23" width="12.140625" customWidth="1"/>
    <col min="24" max="24" width="11.85546875" customWidth="1"/>
    <col min="25" max="26" width="10.28515625" customWidth="1"/>
    <col min="27" max="27" width="14.7109375" customWidth="1"/>
    <col min="28" max="28" width="11.28515625" customWidth="1"/>
    <col min="29" max="29" width="12.140625" customWidth="1"/>
    <col min="30" max="31" width="10" customWidth="1"/>
    <col min="32" max="33" width="12.28515625" customWidth="1"/>
    <col min="34" max="34" width="13.42578125" customWidth="1"/>
    <col min="35" max="35" width="11.140625" customWidth="1"/>
    <col min="36" max="36" width="9.85546875" customWidth="1"/>
    <col min="37" max="38" width="11" customWidth="1"/>
    <col min="39" max="39" width="14.7109375" bestFit="1" customWidth="1"/>
    <col min="40" max="41" width="8.85546875" customWidth="1"/>
    <col min="42" max="43" width="11.42578125" customWidth="1"/>
    <col min="44" max="44" width="15.42578125" bestFit="1" customWidth="1"/>
    <col min="45" max="46" width="8.7109375" customWidth="1"/>
    <col min="47" max="48" width="10.42578125" customWidth="1"/>
    <col min="49" max="49" width="10.7109375" customWidth="1"/>
    <col min="50" max="50" width="8.42578125" customWidth="1"/>
    <col min="51" max="51" width="8.7109375" customWidth="1"/>
    <col min="52" max="52" width="14.5703125" customWidth="1"/>
    <col min="53" max="54" width="11.140625" customWidth="1"/>
    <col min="55" max="56" width="10.7109375" customWidth="1"/>
    <col min="257" max="257" width="28.42578125" customWidth="1"/>
    <col min="258" max="258" width="7.28515625" customWidth="1"/>
    <col min="259" max="259" width="10.85546875" customWidth="1"/>
    <col min="260" max="260" width="0" hidden="1" customWidth="1"/>
    <col min="261" max="261" width="11.42578125" customWidth="1"/>
    <col min="262" max="262" width="12.42578125" customWidth="1"/>
    <col min="263" max="263" width="12" customWidth="1"/>
    <col min="264" max="264" width="11" customWidth="1"/>
    <col min="265" max="265" width="15.5703125" customWidth="1"/>
    <col min="266" max="266" width="11.7109375" customWidth="1"/>
    <col min="267" max="267" width="12.42578125" customWidth="1"/>
    <col min="268" max="271" width="0" hidden="1" customWidth="1"/>
    <col min="272" max="273" width="12.140625" customWidth="1"/>
    <col min="274" max="274" width="15.140625" customWidth="1"/>
    <col min="275" max="275" width="8.85546875" customWidth="1"/>
    <col min="276" max="276" width="8.7109375" customWidth="1"/>
    <col min="277" max="277" width="14.5703125" customWidth="1"/>
    <col min="278" max="278" width="13.28515625" customWidth="1"/>
    <col min="279" max="279" width="12.140625" customWidth="1"/>
    <col min="280" max="280" width="11.85546875" customWidth="1"/>
    <col min="281" max="282" width="10.28515625" customWidth="1"/>
    <col min="283" max="283" width="14.7109375" customWidth="1"/>
    <col min="284" max="284" width="11.28515625" customWidth="1"/>
    <col min="285" max="285" width="12.140625" customWidth="1"/>
    <col min="286" max="287" width="10" customWidth="1"/>
    <col min="288" max="289" width="12.28515625" customWidth="1"/>
    <col min="290" max="290" width="13.42578125" customWidth="1"/>
    <col min="291" max="291" width="11.140625" customWidth="1"/>
    <col min="292" max="292" width="9.85546875" customWidth="1"/>
    <col min="293" max="294" width="11" customWidth="1"/>
    <col min="295" max="295" width="14.7109375" bestFit="1" customWidth="1"/>
    <col min="296" max="297" width="8.85546875" customWidth="1"/>
    <col min="298" max="299" width="11.42578125" customWidth="1"/>
    <col min="300" max="300" width="15.42578125" bestFit="1" customWidth="1"/>
    <col min="301" max="302" width="8.7109375" customWidth="1"/>
    <col min="303" max="304" width="10.42578125" customWidth="1"/>
    <col min="305" max="305" width="10.7109375" customWidth="1"/>
    <col min="306" max="306" width="8.42578125" customWidth="1"/>
    <col min="307" max="307" width="8.7109375" customWidth="1"/>
    <col min="308" max="308" width="14.5703125" customWidth="1"/>
    <col min="309" max="310" width="11.140625" customWidth="1"/>
    <col min="311" max="312" width="10.7109375" customWidth="1"/>
    <col min="513" max="513" width="28.42578125" customWidth="1"/>
    <col min="514" max="514" width="7.28515625" customWidth="1"/>
    <col min="515" max="515" width="10.85546875" customWidth="1"/>
    <col min="516" max="516" width="0" hidden="1" customWidth="1"/>
    <col min="517" max="517" width="11.42578125" customWidth="1"/>
    <col min="518" max="518" width="12.42578125" customWidth="1"/>
    <col min="519" max="519" width="12" customWidth="1"/>
    <col min="520" max="520" width="11" customWidth="1"/>
    <col min="521" max="521" width="15.5703125" customWidth="1"/>
    <col min="522" max="522" width="11.7109375" customWidth="1"/>
    <col min="523" max="523" width="12.42578125" customWidth="1"/>
    <col min="524" max="527" width="0" hidden="1" customWidth="1"/>
    <col min="528" max="529" width="12.140625" customWidth="1"/>
    <col min="530" max="530" width="15.140625" customWidth="1"/>
    <col min="531" max="531" width="8.85546875" customWidth="1"/>
    <col min="532" max="532" width="8.7109375" customWidth="1"/>
    <col min="533" max="533" width="14.5703125" customWidth="1"/>
    <col min="534" max="534" width="13.28515625" customWidth="1"/>
    <col min="535" max="535" width="12.140625" customWidth="1"/>
    <col min="536" max="536" width="11.85546875" customWidth="1"/>
    <col min="537" max="538" width="10.28515625" customWidth="1"/>
    <col min="539" max="539" width="14.7109375" customWidth="1"/>
    <col min="540" max="540" width="11.28515625" customWidth="1"/>
    <col min="541" max="541" width="12.140625" customWidth="1"/>
    <col min="542" max="543" width="10" customWidth="1"/>
    <col min="544" max="545" width="12.28515625" customWidth="1"/>
    <col min="546" max="546" width="13.42578125" customWidth="1"/>
    <col min="547" max="547" width="11.140625" customWidth="1"/>
    <col min="548" max="548" width="9.85546875" customWidth="1"/>
    <col min="549" max="550" width="11" customWidth="1"/>
    <col min="551" max="551" width="14.7109375" bestFit="1" customWidth="1"/>
    <col min="552" max="553" width="8.85546875" customWidth="1"/>
    <col min="554" max="555" width="11.42578125" customWidth="1"/>
    <col min="556" max="556" width="15.42578125" bestFit="1" customWidth="1"/>
    <col min="557" max="558" width="8.7109375" customWidth="1"/>
    <col min="559" max="560" width="10.42578125" customWidth="1"/>
    <col min="561" max="561" width="10.7109375" customWidth="1"/>
    <col min="562" max="562" width="8.42578125" customWidth="1"/>
    <col min="563" max="563" width="8.7109375" customWidth="1"/>
    <col min="564" max="564" width="14.5703125" customWidth="1"/>
    <col min="565" max="566" width="11.140625" customWidth="1"/>
    <col min="567" max="568" width="10.7109375" customWidth="1"/>
    <col min="769" max="769" width="28.42578125" customWidth="1"/>
    <col min="770" max="770" width="7.28515625" customWidth="1"/>
    <col min="771" max="771" width="10.85546875" customWidth="1"/>
    <col min="772" max="772" width="0" hidden="1" customWidth="1"/>
    <col min="773" max="773" width="11.42578125" customWidth="1"/>
    <col min="774" max="774" width="12.42578125" customWidth="1"/>
    <col min="775" max="775" width="12" customWidth="1"/>
    <col min="776" max="776" width="11" customWidth="1"/>
    <col min="777" max="777" width="15.5703125" customWidth="1"/>
    <col min="778" max="778" width="11.7109375" customWidth="1"/>
    <col min="779" max="779" width="12.42578125" customWidth="1"/>
    <col min="780" max="783" width="0" hidden="1" customWidth="1"/>
    <col min="784" max="785" width="12.140625" customWidth="1"/>
    <col min="786" max="786" width="15.140625" customWidth="1"/>
    <col min="787" max="787" width="8.85546875" customWidth="1"/>
    <col min="788" max="788" width="8.7109375" customWidth="1"/>
    <col min="789" max="789" width="14.5703125" customWidth="1"/>
    <col min="790" max="790" width="13.28515625" customWidth="1"/>
    <col min="791" max="791" width="12.140625" customWidth="1"/>
    <col min="792" max="792" width="11.85546875" customWidth="1"/>
    <col min="793" max="794" width="10.28515625" customWidth="1"/>
    <col min="795" max="795" width="14.7109375" customWidth="1"/>
    <col min="796" max="796" width="11.28515625" customWidth="1"/>
    <col min="797" max="797" width="12.140625" customWidth="1"/>
    <col min="798" max="799" width="10" customWidth="1"/>
    <col min="800" max="801" width="12.28515625" customWidth="1"/>
    <col min="802" max="802" width="13.42578125" customWidth="1"/>
    <col min="803" max="803" width="11.140625" customWidth="1"/>
    <col min="804" max="804" width="9.85546875" customWidth="1"/>
    <col min="805" max="806" width="11" customWidth="1"/>
    <col min="807" max="807" width="14.7109375" bestFit="1" customWidth="1"/>
    <col min="808" max="809" width="8.85546875" customWidth="1"/>
    <col min="810" max="811" width="11.42578125" customWidth="1"/>
    <col min="812" max="812" width="15.42578125" bestFit="1" customWidth="1"/>
    <col min="813" max="814" width="8.7109375" customWidth="1"/>
    <col min="815" max="816" width="10.42578125" customWidth="1"/>
    <col min="817" max="817" width="10.7109375" customWidth="1"/>
    <col min="818" max="818" width="8.42578125" customWidth="1"/>
    <col min="819" max="819" width="8.7109375" customWidth="1"/>
    <col min="820" max="820" width="14.5703125" customWidth="1"/>
    <col min="821" max="822" width="11.140625" customWidth="1"/>
    <col min="823" max="824" width="10.7109375" customWidth="1"/>
    <col min="1025" max="1025" width="28.42578125" customWidth="1"/>
    <col min="1026" max="1026" width="7.28515625" customWidth="1"/>
    <col min="1027" max="1027" width="10.85546875" customWidth="1"/>
    <col min="1028" max="1028" width="0" hidden="1" customWidth="1"/>
    <col min="1029" max="1029" width="11.42578125" customWidth="1"/>
    <col min="1030" max="1030" width="12.42578125" customWidth="1"/>
    <col min="1031" max="1031" width="12" customWidth="1"/>
    <col min="1032" max="1032" width="11" customWidth="1"/>
    <col min="1033" max="1033" width="15.5703125" customWidth="1"/>
    <col min="1034" max="1034" width="11.7109375" customWidth="1"/>
    <col min="1035" max="1035" width="12.42578125" customWidth="1"/>
    <col min="1036" max="1039" width="0" hidden="1" customWidth="1"/>
    <col min="1040" max="1041" width="12.140625" customWidth="1"/>
    <col min="1042" max="1042" width="15.140625" customWidth="1"/>
    <col min="1043" max="1043" width="8.85546875" customWidth="1"/>
    <col min="1044" max="1044" width="8.7109375" customWidth="1"/>
    <col min="1045" max="1045" width="14.5703125" customWidth="1"/>
    <col min="1046" max="1046" width="13.28515625" customWidth="1"/>
    <col min="1047" max="1047" width="12.140625" customWidth="1"/>
    <col min="1048" max="1048" width="11.85546875" customWidth="1"/>
    <col min="1049" max="1050" width="10.28515625" customWidth="1"/>
    <col min="1051" max="1051" width="14.7109375" customWidth="1"/>
    <col min="1052" max="1052" width="11.28515625" customWidth="1"/>
    <col min="1053" max="1053" width="12.140625" customWidth="1"/>
    <col min="1054" max="1055" width="10" customWidth="1"/>
    <col min="1056" max="1057" width="12.28515625" customWidth="1"/>
    <col min="1058" max="1058" width="13.42578125" customWidth="1"/>
    <col min="1059" max="1059" width="11.140625" customWidth="1"/>
    <col min="1060" max="1060" width="9.85546875" customWidth="1"/>
    <col min="1061" max="1062" width="11" customWidth="1"/>
    <col min="1063" max="1063" width="14.7109375" bestFit="1" customWidth="1"/>
    <col min="1064" max="1065" width="8.85546875" customWidth="1"/>
    <col min="1066" max="1067" width="11.42578125" customWidth="1"/>
    <col min="1068" max="1068" width="15.42578125" bestFit="1" customWidth="1"/>
    <col min="1069" max="1070" width="8.7109375" customWidth="1"/>
    <col min="1071" max="1072" width="10.42578125" customWidth="1"/>
    <col min="1073" max="1073" width="10.7109375" customWidth="1"/>
    <col min="1074" max="1074" width="8.42578125" customWidth="1"/>
    <col min="1075" max="1075" width="8.7109375" customWidth="1"/>
    <col min="1076" max="1076" width="14.5703125" customWidth="1"/>
    <col min="1077" max="1078" width="11.140625" customWidth="1"/>
    <col min="1079" max="1080" width="10.7109375" customWidth="1"/>
    <col min="1281" max="1281" width="28.42578125" customWidth="1"/>
    <col min="1282" max="1282" width="7.28515625" customWidth="1"/>
    <col min="1283" max="1283" width="10.85546875" customWidth="1"/>
    <col min="1284" max="1284" width="0" hidden="1" customWidth="1"/>
    <col min="1285" max="1285" width="11.42578125" customWidth="1"/>
    <col min="1286" max="1286" width="12.42578125" customWidth="1"/>
    <col min="1287" max="1287" width="12" customWidth="1"/>
    <col min="1288" max="1288" width="11" customWidth="1"/>
    <col min="1289" max="1289" width="15.5703125" customWidth="1"/>
    <col min="1290" max="1290" width="11.7109375" customWidth="1"/>
    <col min="1291" max="1291" width="12.42578125" customWidth="1"/>
    <col min="1292" max="1295" width="0" hidden="1" customWidth="1"/>
    <col min="1296" max="1297" width="12.140625" customWidth="1"/>
    <col min="1298" max="1298" width="15.140625" customWidth="1"/>
    <col min="1299" max="1299" width="8.85546875" customWidth="1"/>
    <col min="1300" max="1300" width="8.7109375" customWidth="1"/>
    <col min="1301" max="1301" width="14.5703125" customWidth="1"/>
    <col min="1302" max="1302" width="13.28515625" customWidth="1"/>
    <col min="1303" max="1303" width="12.140625" customWidth="1"/>
    <col min="1304" max="1304" width="11.85546875" customWidth="1"/>
    <col min="1305" max="1306" width="10.28515625" customWidth="1"/>
    <col min="1307" max="1307" width="14.7109375" customWidth="1"/>
    <col min="1308" max="1308" width="11.28515625" customWidth="1"/>
    <col min="1309" max="1309" width="12.140625" customWidth="1"/>
    <col min="1310" max="1311" width="10" customWidth="1"/>
    <col min="1312" max="1313" width="12.28515625" customWidth="1"/>
    <col min="1314" max="1314" width="13.42578125" customWidth="1"/>
    <col min="1315" max="1315" width="11.140625" customWidth="1"/>
    <col min="1316" max="1316" width="9.85546875" customWidth="1"/>
    <col min="1317" max="1318" width="11" customWidth="1"/>
    <col min="1319" max="1319" width="14.7109375" bestFit="1" customWidth="1"/>
    <col min="1320" max="1321" width="8.85546875" customWidth="1"/>
    <col min="1322" max="1323" width="11.42578125" customWidth="1"/>
    <col min="1324" max="1324" width="15.42578125" bestFit="1" customWidth="1"/>
    <col min="1325" max="1326" width="8.7109375" customWidth="1"/>
    <col min="1327" max="1328" width="10.42578125" customWidth="1"/>
    <col min="1329" max="1329" width="10.7109375" customWidth="1"/>
    <col min="1330" max="1330" width="8.42578125" customWidth="1"/>
    <col min="1331" max="1331" width="8.7109375" customWidth="1"/>
    <col min="1332" max="1332" width="14.5703125" customWidth="1"/>
    <col min="1333" max="1334" width="11.140625" customWidth="1"/>
    <col min="1335" max="1336" width="10.7109375" customWidth="1"/>
    <col min="1537" max="1537" width="28.42578125" customWidth="1"/>
    <col min="1538" max="1538" width="7.28515625" customWidth="1"/>
    <col min="1539" max="1539" width="10.85546875" customWidth="1"/>
    <col min="1540" max="1540" width="0" hidden="1" customWidth="1"/>
    <col min="1541" max="1541" width="11.42578125" customWidth="1"/>
    <col min="1542" max="1542" width="12.42578125" customWidth="1"/>
    <col min="1543" max="1543" width="12" customWidth="1"/>
    <col min="1544" max="1544" width="11" customWidth="1"/>
    <col min="1545" max="1545" width="15.5703125" customWidth="1"/>
    <col min="1546" max="1546" width="11.7109375" customWidth="1"/>
    <col min="1547" max="1547" width="12.42578125" customWidth="1"/>
    <col min="1548" max="1551" width="0" hidden="1" customWidth="1"/>
    <col min="1552" max="1553" width="12.140625" customWidth="1"/>
    <col min="1554" max="1554" width="15.140625" customWidth="1"/>
    <col min="1555" max="1555" width="8.85546875" customWidth="1"/>
    <col min="1556" max="1556" width="8.7109375" customWidth="1"/>
    <col min="1557" max="1557" width="14.5703125" customWidth="1"/>
    <col min="1558" max="1558" width="13.28515625" customWidth="1"/>
    <col min="1559" max="1559" width="12.140625" customWidth="1"/>
    <col min="1560" max="1560" width="11.85546875" customWidth="1"/>
    <col min="1561" max="1562" width="10.28515625" customWidth="1"/>
    <col min="1563" max="1563" width="14.7109375" customWidth="1"/>
    <col min="1564" max="1564" width="11.28515625" customWidth="1"/>
    <col min="1565" max="1565" width="12.140625" customWidth="1"/>
    <col min="1566" max="1567" width="10" customWidth="1"/>
    <col min="1568" max="1569" width="12.28515625" customWidth="1"/>
    <col min="1570" max="1570" width="13.42578125" customWidth="1"/>
    <col min="1571" max="1571" width="11.140625" customWidth="1"/>
    <col min="1572" max="1572" width="9.85546875" customWidth="1"/>
    <col min="1573" max="1574" width="11" customWidth="1"/>
    <col min="1575" max="1575" width="14.7109375" bestFit="1" customWidth="1"/>
    <col min="1576" max="1577" width="8.85546875" customWidth="1"/>
    <col min="1578" max="1579" width="11.42578125" customWidth="1"/>
    <col min="1580" max="1580" width="15.42578125" bestFit="1" customWidth="1"/>
    <col min="1581" max="1582" width="8.7109375" customWidth="1"/>
    <col min="1583" max="1584" width="10.42578125" customWidth="1"/>
    <col min="1585" max="1585" width="10.7109375" customWidth="1"/>
    <col min="1586" max="1586" width="8.42578125" customWidth="1"/>
    <col min="1587" max="1587" width="8.7109375" customWidth="1"/>
    <col min="1588" max="1588" width="14.5703125" customWidth="1"/>
    <col min="1589" max="1590" width="11.140625" customWidth="1"/>
    <col min="1591" max="1592" width="10.7109375" customWidth="1"/>
    <col min="1793" max="1793" width="28.42578125" customWidth="1"/>
    <col min="1794" max="1794" width="7.28515625" customWidth="1"/>
    <col min="1795" max="1795" width="10.85546875" customWidth="1"/>
    <col min="1796" max="1796" width="0" hidden="1" customWidth="1"/>
    <col min="1797" max="1797" width="11.42578125" customWidth="1"/>
    <col min="1798" max="1798" width="12.42578125" customWidth="1"/>
    <col min="1799" max="1799" width="12" customWidth="1"/>
    <col min="1800" max="1800" width="11" customWidth="1"/>
    <col min="1801" max="1801" width="15.5703125" customWidth="1"/>
    <col min="1802" max="1802" width="11.7109375" customWidth="1"/>
    <col min="1803" max="1803" width="12.42578125" customWidth="1"/>
    <col min="1804" max="1807" width="0" hidden="1" customWidth="1"/>
    <col min="1808" max="1809" width="12.140625" customWidth="1"/>
    <col min="1810" max="1810" width="15.140625" customWidth="1"/>
    <col min="1811" max="1811" width="8.85546875" customWidth="1"/>
    <col min="1812" max="1812" width="8.7109375" customWidth="1"/>
    <col min="1813" max="1813" width="14.5703125" customWidth="1"/>
    <col min="1814" max="1814" width="13.28515625" customWidth="1"/>
    <col min="1815" max="1815" width="12.140625" customWidth="1"/>
    <col min="1816" max="1816" width="11.85546875" customWidth="1"/>
    <col min="1817" max="1818" width="10.28515625" customWidth="1"/>
    <col min="1819" max="1819" width="14.7109375" customWidth="1"/>
    <col min="1820" max="1820" width="11.28515625" customWidth="1"/>
    <col min="1821" max="1821" width="12.140625" customWidth="1"/>
    <col min="1822" max="1823" width="10" customWidth="1"/>
    <col min="1824" max="1825" width="12.28515625" customWidth="1"/>
    <col min="1826" max="1826" width="13.42578125" customWidth="1"/>
    <col min="1827" max="1827" width="11.140625" customWidth="1"/>
    <col min="1828" max="1828" width="9.85546875" customWidth="1"/>
    <col min="1829" max="1830" width="11" customWidth="1"/>
    <col min="1831" max="1831" width="14.7109375" bestFit="1" customWidth="1"/>
    <col min="1832" max="1833" width="8.85546875" customWidth="1"/>
    <col min="1834" max="1835" width="11.42578125" customWidth="1"/>
    <col min="1836" max="1836" width="15.42578125" bestFit="1" customWidth="1"/>
    <col min="1837" max="1838" width="8.7109375" customWidth="1"/>
    <col min="1839" max="1840" width="10.42578125" customWidth="1"/>
    <col min="1841" max="1841" width="10.7109375" customWidth="1"/>
    <col min="1842" max="1842" width="8.42578125" customWidth="1"/>
    <col min="1843" max="1843" width="8.7109375" customWidth="1"/>
    <col min="1844" max="1844" width="14.5703125" customWidth="1"/>
    <col min="1845" max="1846" width="11.140625" customWidth="1"/>
    <col min="1847" max="1848" width="10.7109375" customWidth="1"/>
    <col min="2049" max="2049" width="28.42578125" customWidth="1"/>
    <col min="2050" max="2050" width="7.28515625" customWidth="1"/>
    <col min="2051" max="2051" width="10.85546875" customWidth="1"/>
    <col min="2052" max="2052" width="0" hidden="1" customWidth="1"/>
    <col min="2053" max="2053" width="11.42578125" customWidth="1"/>
    <col min="2054" max="2054" width="12.42578125" customWidth="1"/>
    <col min="2055" max="2055" width="12" customWidth="1"/>
    <col min="2056" max="2056" width="11" customWidth="1"/>
    <col min="2057" max="2057" width="15.5703125" customWidth="1"/>
    <col min="2058" max="2058" width="11.7109375" customWidth="1"/>
    <col min="2059" max="2059" width="12.42578125" customWidth="1"/>
    <col min="2060" max="2063" width="0" hidden="1" customWidth="1"/>
    <col min="2064" max="2065" width="12.140625" customWidth="1"/>
    <col min="2066" max="2066" width="15.140625" customWidth="1"/>
    <col min="2067" max="2067" width="8.85546875" customWidth="1"/>
    <col min="2068" max="2068" width="8.7109375" customWidth="1"/>
    <col min="2069" max="2069" width="14.5703125" customWidth="1"/>
    <col min="2070" max="2070" width="13.28515625" customWidth="1"/>
    <col min="2071" max="2071" width="12.140625" customWidth="1"/>
    <col min="2072" max="2072" width="11.85546875" customWidth="1"/>
    <col min="2073" max="2074" width="10.28515625" customWidth="1"/>
    <col min="2075" max="2075" width="14.7109375" customWidth="1"/>
    <col min="2076" max="2076" width="11.28515625" customWidth="1"/>
    <col min="2077" max="2077" width="12.140625" customWidth="1"/>
    <col min="2078" max="2079" width="10" customWidth="1"/>
    <col min="2080" max="2081" width="12.28515625" customWidth="1"/>
    <col min="2082" max="2082" width="13.42578125" customWidth="1"/>
    <col min="2083" max="2083" width="11.140625" customWidth="1"/>
    <col min="2084" max="2084" width="9.85546875" customWidth="1"/>
    <col min="2085" max="2086" width="11" customWidth="1"/>
    <col min="2087" max="2087" width="14.7109375" bestFit="1" customWidth="1"/>
    <col min="2088" max="2089" width="8.85546875" customWidth="1"/>
    <col min="2090" max="2091" width="11.42578125" customWidth="1"/>
    <col min="2092" max="2092" width="15.42578125" bestFit="1" customWidth="1"/>
    <col min="2093" max="2094" width="8.7109375" customWidth="1"/>
    <col min="2095" max="2096" width="10.42578125" customWidth="1"/>
    <col min="2097" max="2097" width="10.7109375" customWidth="1"/>
    <col min="2098" max="2098" width="8.42578125" customWidth="1"/>
    <col min="2099" max="2099" width="8.7109375" customWidth="1"/>
    <col min="2100" max="2100" width="14.5703125" customWidth="1"/>
    <col min="2101" max="2102" width="11.140625" customWidth="1"/>
    <col min="2103" max="2104" width="10.7109375" customWidth="1"/>
    <col min="2305" max="2305" width="28.42578125" customWidth="1"/>
    <col min="2306" max="2306" width="7.28515625" customWidth="1"/>
    <col min="2307" max="2307" width="10.85546875" customWidth="1"/>
    <col min="2308" max="2308" width="0" hidden="1" customWidth="1"/>
    <col min="2309" max="2309" width="11.42578125" customWidth="1"/>
    <col min="2310" max="2310" width="12.42578125" customWidth="1"/>
    <col min="2311" max="2311" width="12" customWidth="1"/>
    <col min="2312" max="2312" width="11" customWidth="1"/>
    <col min="2313" max="2313" width="15.5703125" customWidth="1"/>
    <col min="2314" max="2314" width="11.7109375" customWidth="1"/>
    <col min="2315" max="2315" width="12.42578125" customWidth="1"/>
    <col min="2316" max="2319" width="0" hidden="1" customWidth="1"/>
    <col min="2320" max="2321" width="12.140625" customWidth="1"/>
    <col min="2322" max="2322" width="15.140625" customWidth="1"/>
    <col min="2323" max="2323" width="8.85546875" customWidth="1"/>
    <col min="2324" max="2324" width="8.7109375" customWidth="1"/>
    <col min="2325" max="2325" width="14.5703125" customWidth="1"/>
    <col min="2326" max="2326" width="13.28515625" customWidth="1"/>
    <col min="2327" max="2327" width="12.140625" customWidth="1"/>
    <col min="2328" max="2328" width="11.85546875" customWidth="1"/>
    <col min="2329" max="2330" width="10.28515625" customWidth="1"/>
    <col min="2331" max="2331" width="14.7109375" customWidth="1"/>
    <col min="2332" max="2332" width="11.28515625" customWidth="1"/>
    <col min="2333" max="2333" width="12.140625" customWidth="1"/>
    <col min="2334" max="2335" width="10" customWidth="1"/>
    <col min="2336" max="2337" width="12.28515625" customWidth="1"/>
    <col min="2338" max="2338" width="13.42578125" customWidth="1"/>
    <col min="2339" max="2339" width="11.140625" customWidth="1"/>
    <col min="2340" max="2340" width="9.85546875" customWidth="1"/>
    <col min="2341" max="2342" width="11" customWidth="1"/>
    <col min="2343" max="2343" width="14.7109375" bestFit="1" customWidth="1"/>
    <col min="2344" max="2345" width="8.85546875" customWidth="1"/>
    <col min="2346" max="2347" width="11.42578125" customWidth="1"/>
    <col min="2348" max="2348" width="15.42578125" bestFit="1" customWidth="1"/>
    <col min="2349" max="2350" width="8.7109375" customWidth="1"/>
    <col min="2351" max="2352" width="10.42578125" customWidth="1"/>
    <col min="2353" max="2353" width="10.7109375" customWidth="1"/>
    <col min="2354" max="2354" width="8.42578125" customWidth="1"/>
    <col min="2355" max="2355" width="8.7109375" customWidth="1"/>
    <col min="2356" max="2356" width="14.5703125" customWidth="1"/>
    <col min="2357" max="2358" width="11.140625" customWidth="1"/>
    <col min="2359" max="2360" width="10.7109375" customWidth="1"/>
    <col min="2561" max="2561" width="28.42578125" customWidth="1"/>
    <col min="2562" max="2562" width="7.28515625" customWidth="1"/>
    <col min="2563" max="2563" width="10.85546875" customWidth="1"/>
    <col min="2564" max="2564" width="0" hidden="1" customWidth="1"/>
    <col min="2565" max="2565" width="11.42578125" customWidth="1"/>
    <col min="2566" max="2566" width="12.42578125" customWidth="1"/>
    <col min="2567" max="2567" width="12" customWidth="1"/>
    <col min="2568" max="2568" width="11" customWidth="1"/>
    <col min="2569" max="2569" width="15.5703125" customWidth="1"/>
    <col min="2570" max="2570" width="11.7109375" customWidth="1"/>
    <col min="2571" max="2571" width="12.42578125" customWidth="1"/>
    <col min="2572" max="2575" width="0" hidden="1" customWidth="1"/>
    <col min="2576" max="2577" width="12.140625" customWidth="1"/>
    <col min="2578" max="2578" width="15.140625" customWidth="1"/>
    <col min="2579" max="2579" width="8.85546875" customWidth="1"/>
    <col min="2580" max="2580" width="8.7109375" customWidth="1"/>
    <col min="2581" max="2581" width="14.5703125" customWidth="1"/>
    <col min="2582" max="2582" width="13.28515625" customWidth="1"/>
    <col min="2583" max="2583" width="12.140625" customWidth="1"/>
    <col min="2584" max="2584" width="11.85546875" customWidth="1"/>
    <col min="2585" max="2586" width="10.28515625" customWidth="1"/>
    <col min="2587" max="2587" width="14.7109375" customWidth="1"/>
    <col min="2588" max="2588" width="11.28515625" customWidth="1"/>
    <col min="2589" max="2589" width="12.140625" customWidth="1"/>
    <col min="2590" max="2591" width="10" customWidth="1"/>
    <col min="2592" max="2593" width="12.28515625" customWidth="1"/>
    <col min="2594" max="2594" width="13.42578125" customWidth="1"/>
    <col min="2595" max="2595" width="11.140625" customWidth="1"/>
    <col min="2596" max="2596" width="9.85546875" customWidth="1"/>
    <col min="2597" max="2598" width="11" customWidth="1"/>
    <col min="2599" max="2599" width="14.7109375" bestFit="1" customWidth="1"/>
    <col min="2600" max="2601" width="8.85546875" customWidth="1"/>
    <col min="2602" max="2603" width="11.42578125" customWidth="1"/>
    <col min="2604" max="2604" width="15.42578125" bestFit="1" customWidth="1"/>
    <col min="2605" max="2606" width="8.7109375" customWidth="1"/>
    <col min="2607" max="2608" width="10.42578125" customWidth="1"/>
    <col min="2609" max="2609" width="10.7109375" customWidth="1"/>
    <col min="2610" max="2610" width="8.42578125" customWidth="1"/>
    <col min="2611" max="2611" width="8.7109375" customWidth="1"/>
    <col min="2612" max="2612" width="14.5703125" customWidth="1"/>
    <col min="2613" max="2614" width="11.140625" customWidth="1"/>
    <col min="2615" max="2616" width="10.7109375" customWidth="1"/>
    <col min="2817" max="2817" width="28.42578125" customWidth="1"/>
    <col min="2818" max="2818" width="7.28515625" customWidth="1"/>
    <col min="2819" max="2819" width="10.85546875" customWidth="1"/>
    <col min="2820" max="2820" width="0" hidden="1" customWidth="1"/>
    <col min="2821" max="2821" width="11.42578125" customWidth="1"/>
    <col min="2822" max="2822" width="12.42578125" customWidth="1"/>
    <col min="2823" max="2823" width="12" customWidth="1"/>
    <col min="2824" max="2824" width="11" customWidth="1"/>
    <col min="2825" max="2825" width="15.5703125" customWidth="1"/>
    <col min="2826" max="2826" width="11.7109375" customWidth="1"/>
    <col min="2827" max="2827" width="12.42578125" customWidth="1"/>
    <col min="2828" max="2831" width="0" hidden="1" customWidth="1"/>
    <col min="2832" max="2833" width="12.140625" customWidth="1"/>
    <col min="2834" max="2834" width="15.140625" customWidth="1"/>
    <col min="2835" max="2835" width="8.85546875" customWidth="1"/>
    <col min="2836" max="2836" width="8.7109375" customWidth="1"/>
    <col min="2837" max="2837" width="14.5703125" customWidth="1"/>
    <col min="2838" max="2838" width="13.28515625" customWidth="1"/>
    <col min="2839" max="2839" width="12.140625" customWidth="1"/>
    <col min="2840" max="2840" width="11.85546875" customWidth="1"/>
    <col min="2841" max="2842" width="10.28515625" customWidth="1"/>
    <col min="2843" max="2843" width="14.7109375" customWidth="1"/>
    <col min="2844" max="2844" width="11.28515625" customWidth="1"/>
    <col min="2845" max="2845" width="12.140625" customWidth="1"/>
    <col min="2846" max="2847" width="10" customWidth="1"/>
    <col min="2848" max="2849" width="12.28515625" customWidth="1"/>
    <col min="2850" max="2850" width="13.42578125" customWidth="1"/>
    <col min="2851" max="2851" width="11.140625" customWidth="1"/>
    <col min="2852" max="2852" width="9.85546875" customWidth="1"/>
    <col min="2853" max="2854" width="11" customWidth="1"/>
    <col min="2855" max="2855" width="14.7109375" bestFit="1" customWidth="1"/>
    <col min="2856" max="2857" width="8.85546875" customWidth="1"/>
    <col min="2858" max="2859" width="11.42578125" customWidth="1"/>
    <col min="2860" max="2860" width="15.42578125" bestFit="1" customWidth="1"/>
    <col min="2861" max="2862" width="8.7109375" customWidth="1"/>
    <col min="2863" max="2864" width="10.42578125" customWidth="1"/>
    <col min="2865" max="2865" width="10.7109375" customWidth="1"/>
    <col min="2866" max="2866" width="8.42578125" customWidth="1"/>
    <col min="2867" max="2867" width="8.7109375" customWidth="1"/>
    <col min="2868" max="2868" width="14.5703125" customWidth="1"/>
    <col min="2869" max="2870" width="11.140625" customWidth="1"/>
    <col min="2871" max="2872" width="10.7109375" customWidth="1"/>
    <col min="3073" max="3073" width="28.42578125" customWidth="1"/>
    <col min="3074" max="3074" width="7.28515625" customWidth="1"/>
    <col min="3075" max="3075" width="10.85546875" customWidth="1"/>
    <col min="3076" max="3076" width="0" hidden="1" customWidth="1"/>
    <col min="3077" max="3077" width="11.42578125" customWidth="1"/>
    <col min="3078" max="3078" width="12.42578125" customWidth="1"/>
    <col min="3079" max="3079" width="12" customWidth="1"/>
    <col min="3080" max="3080" width="11" customWidth="1"/>
    <col min="3081" max="3081" width="15.5703125" customWidth="1"/>
    <col min="3082" max="3082" width="11.7109375" customWidth="1"/>
    <col min="3083" max="3083" width="12.42578125" customWidth="1"/>
    <col min="3084" max="3087" width="0" hidden="1" customWidth="1"/>
    <col min="3088" max="3089" width="12.140625" customWidth="1"/>
    <col min="3090" max="3090" width="15.140625" customWidth="1"/>
    <col min="3091" max="3091" width="8.85546875" customWidth="1"/>
    <col min="3092" max="3092" width="8.7109375" customWidth="1"/>
    <col min="3093" max="3093" width="14.5703125" customWidth="1"/>
    <col min="3094" max="3094" width="13.28515625" customWidth="1"/>
    <col min="3095" max="3095" width="12.140625" customWidth="1"/>
    <col min="3096" max="3096" width="11.85546875" customWidth="1"/>
    <col min="3097" max="3098" width="10.28515625" customWidth="1"/>
    <col min="3099" max="3099" width="14.7109375" customWidth="1"/>
    <col min="3100" max="3100" width="11.28515625" customWidth="1"/>
    <col min="3101" max="3101" width="12.140625" customWidth="1"/>
    <col min="3102" max="3103" width="10" customWidth="1"/>
    <col min="3104" max="3105" width="12.28515625" customWidth="1"/>
    <col min="3106" max="3106" width="13.42578125" customWidth="1"/>
    <col min="3107" max="3107" width="11.140625" customWidth="1"/>
    <col min="3108" max="3108" width="9.85546875" customWidth="1"/>
    <col min="3109" max="3110" width="11" customWidth="1"/>
    <col min="3111" max="3111" width="14.7109375" bestFit="1" customWidth="1"/>
    <col min="3112" max="3113" width="8.85546875" customWidth="1"/>
    <col min="3114" max="3115" width="11.42578125" customWidth="1"/>
    <col min="3116" max="3116" width="15.42578125" bestFit="1" customWidth="1"/>
    <col min="3117" max="3118" width="8.7109375" customWidth="1"/>
    <col min="3119" max="3120" width="10.42578125" customWidth="1"/>
    <col min="3121" max="3121" width="10.7109375" customWidth="1"/>
    <col min="3122" max="3122" width="8.42578125" customWidth="1"/>
    <col min="3123" max="3123" width="8.7109375" customWidth="1"/>
    <col min="3124" max="3124" width="14.5703125" customWidth="1"/>
    <col min="3125" max="3126" width="11.140625" customWidth="1"/>
    <col min="3127" max="3128" width="10.7109375" customWidth="1"/>
    <col min="3329" max="3329" width="28.42578125" customWidth="1"/>
    <col min="3330" max="3330" width="7.28515625" customWidth="1"/>
    <col min="3331" max="3331" width="10.85546875" customWidth="1"/>
    <col min="3332" max="3332" width="0" hidden="1" customWidth="1"/>
    <col min="3333" max="3333" width="11.42578125" customWidth="1"/>
    <col min="3334" max="3334" width="12.42578125" customWidth="1"/>
    <col min="3335" max="3335" width="12" customWidth="1"/>
    <col min="3336" max="3336" width="11" customWidth="1"/>
    <col min="3337" max="3337" width="15.5703125" customWidth="1"/>
    <col min="3338" max="3338" width="11.7109375" customWidth="1"/>
    <col min="3339" max="3339" width="12.42578125" customWidth="1"/>
    <col min="3340" max="3343" width="0" hidden="1" customWidth="1"/>
    <col min="3344" max="3345" width="12.140625" customWidth="1"/>
    <col min="3346" max="3346" width="15.140625" customWidth="1"/>
    <col min="3347" max="3347" width="8.85546875" customWidth="1"/>
    <col min="3348" max="3348" width="8.7109375" customWidth="1"/>
    <col min="3349" max="3349" width="14.5703125" customWidth="1"/>
    <col min="3350" max="3350" width="13.28515625" customWidth="1"/>
    <col min="3351" max="3351" width="12.140625" customWidth="1"/>
    <col min="3352" max="3352" width="11.85546875" customWidth="1"/>
    <col min="3353" max="3354" width="10.28515625" customWidth="1"/>
    <col min="3355" max="3355" width="14.7109375" customWidth="1"/>
    <col min="3356" max="3356" width="11.28515625" customWidth="1"/>
    <col min="3357" max="3357" width="12.140625" customWidth="1"/>
    <col min="3358" max="3359" width="10" customWidth="1"/>
    <col min="3360" max="3361" width="12.28515625" customWidth="1"/>
    <col min="3362" max="3362" width="13.42578125" customWidth="1"/>
    <col min="3363" max="3363" width="11.140625" customWidth="1"/>
    <col min="3364" max="3364" width="9.85546875" customWidth="1"/>
    <col min="3365" max="3366" width="11" customWidth="1"/>
    <col min="3367" max="3367" width="14.7109375" bestFit="1" customWidth="1"/>
    <col min="3368" max="3369" width="8.85546875" customWidth="1"/>
    <col min="3370" max="3371" width="11.42578125" customWidth="1"/>
    <col min="3372" max="3372" width="15.42578125" bestFit="1" customWidth="1"/>
    <col min="3373" max="3374" width="8.7109375" customWidth="1"/>
    <col min="3375" max="3376" width="10.42578125" customWidth="1"/>
    <col min="3377" max="3377" width="10.7109375" customWidth="1"/>
    <col min="3378" max="3378" width="8.42578125" customWidth="1"/>
    <col min="3379" max="3379" width="8.7109375" customWidth="1"/>
    <col min="3380" max="3380" width="14.5703125" customWidth="1"/>
    <col min="3381" max="3382" width="11.140625" customWidth="1"/>
    <col min="3383" max="3384" width="10.7109375" customWidth="1"/>
    <col min="3585" max="3585" width="28.42578125" customWidth="1"/>
    <col min="3586" max="3586" width="7.28515625" customWidth="1"/>
    <col min="3587" max="3587" width="10.85546875" customWidth="1"/>
    <col min="3588" max="3588" width="0" hidden="1" customWidth="1"/>
    <col min="3589" max="3589" width="11.42578125" customWidth="1"/>
    <col min="3590" max="3590" width="12.42578125" customWidth="1"/>
    <col min="3591" max="3591" width="12" customWidth="1"/>
    <col min="3592" max="3592" width="11" customWidth="1"/>
    <col min="3593" max="3593" width="15.5703125" customWidth="1"/>
    <col min="3594" max="3594" width="11.7109375" customWidth="1"/>
    <col min="3595" max="3595" width="12.42578125" customWidth="1"/>
    <col min="3596" max="3599" width="0" hidden="1" customWidth="1"/>
    <col min="3600" max="3601" width="12.140625" customWidth="1"/>
    <col min="3602" max="3602" width="15.140625" customWidth="1"/>
    <col min="3603" max="3603" width="8.85546875" customWidth="1"/>
    <col min="3604" max="3604" width="8.7109375" customWidth="1"/>
    <col min="3605" max="3605" width="14.5703125" customWidth="1"/>
    <col min="3606" max="3606" width="13.28515625" customWidth="1"/>
    <col min="3607" max="3607" width="12.140625" customWidth="1"/>
    <col min="3608" max="3608" width="11.85546875" customWidth="1"/>
    <col min="3609" max="3610" width="10.28515625" customWidth="1"/>
    <col min="3611" max="3611" width="14.7109375" customWidth="1"/>
    <col min="3612" max="3612" width="11.28515625" customWidth="1"/>
    <col min="3613" max="3613" width="12.140625" customWidth="1"/>
    <col min="3614" max="3615" width="10" customWidth="1"/>
    <col min="3616" max="3617" width="12.28515625" customWidth="1"/>
    <col min="3618" max="3618" width="13.42578125" customWidth="1"/>
    <col min="3619" max="3619" width="11.140625" customWidth="1"/>
    <col min="3620" max="3620" width="9.85546875" customWidth="1"/>
    <col min="3621" max="3622" width="11" customWidth="1"/>
    <col min="3623" max="3623" width="14.7109375" bestFit="1" customWidth="1"/>
    <col min="3624" max="3625" width="8.85546875" customWidth="1"/>
    <col min="3626" max="3627" width="11.42578125" customWidth="1"/>
    <col min="3628" max="3628" width="15.42578125" bestFit="1" customWidth="1"/>
    <col min="3629" max="3630" width="8.7109375" customWidth="1"/>
    <col min="3631" max="3632" width="10.42578125" customWidth="1"/>
    <col min="3633" max="3633" width="10.7109375" customWidth="1"/>
    <col min="3634" max="3634" width="8.42578125" customWidth="1"/>
    <col min="3635" max="3635" width="8.7109375" customWidth="1"/>
    <col min="3636" max="3636" width="14.5703125" customWidth="1"/>
    <col min="3637" max="3638" width="11.140625" customWidth="1"/>
    <col min="3639" max="3640" width="10.7109375" customWidth="1"/>
    <col min="3841" max="3841" width="28.42578125" customWidth="1"/>
    <col min="3842" max="3842" width="7.28515625" customWidth="1"/>
    <col min="3843" max="3843" width="10.85546875" customWidth="1"/>
    <col min="3844" max="3844" width="0" hidden="1" customWidth="1"/>
    <col min="3845" max="3845" width="11.42578125" customWidth="1"/>
    <col min="3846" max="3846" width="12.42578125" customWidth="1"/>
    <col min="3847" max="3847" width="12" customWidth="1"/>
    <col min="3848" max="3848" width="11" customWidth="1"/>
    <col min="3849" max="3849" width="15.5703125" customWidth="1"/>
    <col min="3850" max="3850" width="11.7109375" customWidth="1"/>
    <col min="3851" max="3851" width="12.42578125" customWidth="1"/>
    <col min="3852" max="3855" width="0" hidden="1" customWidth="1"/>
    <col min="3856" max="3857" width="12.140625" customWidth="1"/>
    <col min="3858" max="3858" width="15.140625" customWidth="1"/>
    <col min="3859" max="3859" width="8.85546875" customWidth="1"/>
    <col min="3860" max="3860" width="8.7109375" customWidth="1"/>
    <col min="3861" max="3861" width="14.5703125" customWidth="1"/>
    <col min="3862" max="3862" width="13.28515625" customWidth="1"/>
    <col min="3863" max="3863" width="12.140625" customWidth="1"/>
    <col min="3864" max="3864" width="11.85546875" customWidth="1"/>
    <col min="3865" max="3866" width="10.28515625" customWidth="1"/>
    <col min="3867" max="3867" width="14.7109375" customWidth="1"/>
    <col min="3868" max="3868" width="11.28515625" customWidth="1"/>
    <col min="3869" max="3869" width="12.140625" customWidth="1"/>
    <col min="3870" max="3871" width="10" customWidth="1"/>
    <col min="3872" max="3873" width="12.28515625" customWidth="1"/>
    <col min="3874" max="3874" width="13.42578125" customWidth="1"/>
    <col min="3875" max="3875" width="11.140625" customWidth="1"/>
    <col min="3876" max="3876" width="9.85546875" customWidth="1"/>
    <col min="3877" max="3878" width="11" customWidth="1"/>
    <col min="3879" max="3879" width="14.7109375" bestFit="1" customWidth="1"/>
    <col min="3880" max="3881" width="8.85546875" customWidth="1"/>
    <col min="3882" max="3883" width="11.42578125" customWidth="1"/>
    <col min="3884" max="3884" width="15.42578125" bestFit="1" customWidth="1"/>
    <col min="3885" max="3886" width="8.7109375" customWidth="1"/>
    <col min="3887" max="3888" width="10.42578125" customWidth="1"/>
    <col min="3889" max="3889" width="10.7109375" customWidth="1"/>
    <col min="3890" max="3890" width="8.42578125" customWidth="1"/>
    <col min="3891" max="3891" width="8.7109375" customWidth="1"/>
    <col min="3892" max="3892" width="14.5703125" customWidth="1"/>
    <col min="3893" max="3894" width="11.140625" customWidth="1"/>
    <col min="3895" max="3896" width="10.7109375" customWidth="1"/>
    <col min="4097" max="4097" width="28.42578125" customWidth="1"/>
    <col min="4098" max="4098" width="7.28515625" customWidth="1"/>
    <col min="4099" max="4099" width="10.85546875" customWidth="1"/>
    <col min="4100" max="4100" width="0" hidden="1" customWidth="1"/>
    <col min="4101" max="4101" width="11.42578125" customWidth="1"/>
    <col min="4102" max="4102" width="12.42578125" customWidth="1"/>
    <col min="4103" max="4103" width="12" customWidth="1"/>
    <col min="4104" max="4104" width="11" customWidth="1"/>
    <col min="4105" max="4105" width="15.5703125" customWidth="1"/>
    <col min="4106" max="4106" width="11.7109375" customWidth="1"/>
    <col min="4107" max="4107" width="12.42578125" customWidth="1"/>
    <col min="4108" max="4111" width="0" hidden="1" customWidth="1"/>
    <col min="4112" max="4113" width="12.140625" customWidth="1"/>
    <col min="4114" max="4114" width="15.140625" customWidth="1"/>
    <col min="4115" max="4115" width="8.85546875" customWidth="1"/>
    <col min="4116" max="4116" width="8.7109375" customWidth="1"/>
    <col min="4117" max="4117" width="14.5703125" customWidth="1"/>
    <col min="4118" max="4118" width="13.28515625" customWidth="1"/>
    <col min="4119" max="4119" width="12.140625" customWidth="1"/>
    <col min="4120" max="4120" width="11.85546875" customWidth="1"/>
    <col min="4121" max="4122" width="10.28515625" customWidth="1"/>
    <col min="4123" max="4123" width="14.7109375" customWidth="1"/>
    <col min="4124" max="4124" width="11.28515625" customWidth="1"/>
    <col min="4125" max="4125" width="12.140625" customWidth="1"/>
    <col min="4126" max="4127" width="10" customWidth="1"/>
    <col min="4128" max="4129" width="12.28515625" customWidth="1"/>
    <col min="4130" max="4130" width="13.42578125" customWidth="1"/>
    <col min="4131" max="4131" width="11.140625" customWidth="1"/>
    <col min="4132" max="4132" width="9.85546875" customWidth="1"/>
    <col min="4133" max="4134" width="11" customWidth="1"/>
    <col min="4135" max="4135" width="14.7109375" bestFit="1" customWidth="1"/>
    <col min="4136" max="4137" width="8.85546875" customWidth="1"/>
    <col min="4138" max="4139" width="11.42578125" customWidth="1"/>
    <col min="4140" max="4140" width="15.42578125" bestFit="1" customWidth="1"/>
    <col min="4141" max="4142" width="8.7109375" customWidth="1"/>
    <col min="4143" max="4144" width="10.42578125" customWidth="1"/>
    <col min="4145" max="4145" width="10.7109375" customWidth="1"/>
    <col min="4146" max="4146" width="8.42578125" customWidth="1"/>
    <col min="4147" max="4147" width="8.7109375" customWidth="1"/>
    <col min="4148" max="4148" width="14.5703125" customWidth="1"/>
    <col min="4149" max="4150" width="11.140625" customWidth="1"/>
    <col min="4151" max="4152" width="10.7109375" customWidth="1"/>
    <col min="4353" max="4353" width="28.42578125" customWidth="1"/>
    <col min="4354" max="4354" width="7.28515625" customWidth="1"/>
    <col min="4355" max="4355" width="10.85546875" customWidth="1"/>
    <col min="4356" max="4356" width="0" hidden="1" customWidth="1"/>
    <col min="4357" max="4357" width="11.42578125" customWidth="1"/>
    <col min="4358" max="4358" width="12.42578125" customWidth="1"/>
    <col min="4359" max="4359" width="12" customWidth="1"/>
    <col min="4360" max="4360" width="11" customWidth="1"/>
    <col min="4361" max="4361" width="15.5703125" customWidth="1"/>
    <col min="4362" max="4362" width="11.7109375" customWidth="1"/>
    <col min="4363" max="4363" width="12.42578125" customWidth="1"/>
    <col min="4364" max="4367" width="0" hidden="1" customWidth="1"/>
    <col min="4368" max="4369" width="12.140625" customWidth="1"/>
    <col min="4370" max="4370" width="15.140625" customWidth="1"/>
    <col min="4371" max="4371" width="8.85546875" customWidth="1"/>
    <col min="4372" max="4372" width="8.7109375" customWidth="1"/>
    <col min="4373" max="4373" width="14.5703125" customWidth="1"/>
    <col min="4374" max="4374" width="13.28515625" customWidth="1"/>
    <col min="4375" max="4375" width="12.140625" customWidth="1"/>
    <col min="4376" max="4376" width="11.85546875" customWidth="1"/>
    <col min="4377" max="4378" width="10.28515625" customWidth="1"/>
    <col min="4379" max="4379" width="14.7109375" customWidth="1"/>
    <col min="4380" max="4380" width="11.28515625" customWidth="1"/>
    <col min="4381" max="4381" width="12.140625" customWidth="1"/>
    <col min="4382" max="4383" width="10" customWidth="1"/>
    <col min="4384" max="4385" width="12.28515625" customWidth="1"/>
    <col min="4386" max="4386" width="13.42578125" customWidth="1"/>
    <col min="4387" max="4387" width="11.140625" customWidth="1"/>
    <col min="4388" max="4388" width="9.85546875" customWidth="1"/>
    <col min="4389" max="4390" width="11" customWidth="1"/>
    <col min="4391" max="4391" width="14.7109375" bestFit="1" customWidth="1"/>
    <col min="4392" max="4393" width="8.85546875" customWidth="1"/>
    <col min="4394" max="4395" width="11.42578125" customWidth="1"/>
    <col min="4396" max="4396" width="15.42578125" bestFit="1" customWidth="1"/>
    <col min="4397" max="4398" width="8.7109375" customWidth="1"/>
    <col min="4399" max="4400" width="10.42578125" customWidth="1"/>
    <col min="4401" max="4401" width="10.7109375" customWidth="1"/>
    <col min="4402" max="4402" width="8.42578125" customWidth="1"/>
    <col min="4403" max="4403" width="8.7109375" customWidth="1"/>
    <col min="4404" max="4404" width="14.5703125" customWidth="1"/>
    <col min="4405" max="4406" width="11.140625" customWidth="1"/>
    <col min="4407" max="4408" width="10.7109375" customWidth="1"/>
    <col min="4609" max="4609" width="28.42578125" customWidth="1"/>
    <col min="4610" max="4610" width="7.28515625" customWidth="1"/>
    <col min="4611" max="4611" width="10.85546875" customWidth="1"/>
    <col min="4612" max="4612" width="0" hidden="1" customWidth="1"/>
    <col min="4613" max="4613" width="11.42578125" customWidth="1"/>
    <col min="4614" max="4614" width="12.42578125" customWidth="1"/>
    <col min="4615" max="4615" width="12" customWidth="1"/>
    <col min="4616" max="4616" width="11" customWidth="1"/>
    <col min="4617" max="4617" width="15.5703125" customWidth="1"/>
    <col min="4618" max="4618" width="11.7109375" customWidth="1"/>
    <col min="4619" max="4619" width="12.42578125" customWidth="1"/>
    <col min="4620" max="4623" width="0" hidden="1" customWidth="1"/>
    <col min="4624" max="4625" width="12.140625" customWidth="1"/>
    <col min="4626" max="4626" width="15.140625" customWidth="1"/>
    <col min="4627" max="4627" width="8.85546875" customWidth="1"/>
    <col min="4628" max="4628" width="8.7109375" customWidth="1"/>
    <col min="4629" max="4629" width="14.5703125" customWidth="1"/>
    <col min="4630" max="4630" width="13.28515625" customWidth="1"/>
    <col min="4631" max="4631" width="12.140625" customWidth="1"/>
    <col min="4632" max="4632" width="11.85546875" customWidth="1"/>
    <col min="4633" max="4634" width="10.28515625" customWidth="1"/>
    <col min="4635" max="4635" width="14.7109375" customWidth="1"/>
    <col min="4636" max="4636" width="11.28515625" customWidth="1"/>
    <col min="4637" max="4637" width="12.140625" customWidth="1"/>
    <col min="4638" max="4639" width="10" customWidth="1"/>
    <col min="4640" max="4641" width="12.28515625" customWidth="1"/>
    <col min="4642" max="4642" width="13.42578125" customWidth="1"/>
    <col min="4643" max="4643" width="11.140625" customWidth="1"/>
    <col min="4644" max="4644" width="9.85546875" customWidth="1"/>
    <col min="4645" max="4646" width="11" customWidth="1"/>
    <col min="4647" max="4647" width="14.7109375" bestFit="1" customWidth="1"/>
    <col min="4648" max="4649" width="8.85546875" customWidth="1"/>
    <col min="4650" max="4651" width="11.42578125" customWidth="1"/>
    <col min="4652" max="4652" width="15.42578125" bestFit="1" customWidth="1"/>
    <col min="4653" max="4654" width="8.7109375" customWidth="1"/>
    <col min="4655" max="4656" width="10.42578125" customWidth="1"/>
    <col min="4657" max="4657" width="10.7109375" customWidth="1"/>
    <col min="4658" max="4658" width="8.42578125" customWidth="1"/>
    <col min="4659" max="4659" width="8.7109375" customWidth="1"/>
    <col min="4660" max="4660" width="14.5703125" customWidth="1"/>
    <col min="4661" max="4662" width="11.140625" customWidth="1"/>
    <col min="4663" max="4664" width="10.7109375" customWidth="1"/>
    <col min="4865" max="4865" width="28.42578125" customWidth="1"/>
    <col min="4866" max="4866" width="7.28515625" customWidth="1"/>
    <col min="4867" max="4867" width="10.85546875" customWidth="1"/>
    <col min="4868" max="4868" width="0" hidden="1" customWidth="1"/>
    <col min="4869" max="4869" width="11.42578125" customWidth="1"/>
    <col min="4870" max="4870" width="12.42578125" customWidth="1"/>
    <col min="4871" max="4871" width="12" customWidth="1"/>
    <col min="4872" max="4872" width="11" customWidth="1"/>
    <col min="4873" max="4873" width="15.5703125" customWidth="1"/>
    <col min="4874" max="4874" width="11.7109375" customWidth="1"/>
    <col min="4875" max="4875" width="12.42578125" customWidth="1"/>
    <col min="4876" max="4879" width="0" hidden="1" customWidth="1"/>
    <col min="4880" max="4881" width="12.140625" customWidth="1"/>
    <col min="4882" max="4882" width="15.140625" customWidth="1"/>
    <col min="4883" max="4883" width="8.85546875" customWidth="1"/>
    <col min="4884" max="4884" width="8.7109375" customWidth="1"/>
    <col min="4885" max="4885" width="14.5703125" customWidth="1"/>
    <col min="4886" max="4886" width="13.28515625" customWidth="1"/>
    <col min="4887" max="4887" width="12.140625" customWidth="1"/>
    <col min="4888" max="4888" width="11.85546875" customWidth="1"/>
    <col min="4889" max="4890" width="10.28515625" customWidth="1"/>
    <col min="4891" max="4891" width="14.7109375" customWidth="1"/>
    <col min="4892" max="4892" width="11.28515625" customWidth="1"/>
    <col min="4893" max="4893" width="12.140625" customWidth="1"/>
    <col min="4894" max="4895" width="10" customWidth="1"/>
    <col min="4896" max="4897" width="12.28515625" customWidth="1"/>
    <col min="4898" max="4898" width="13.42578125" customWidth="1"/>
    <col min="4899" max="4899" width="11.140625" customWidth="1"/>
    <col min="4900" max="4900" width="9.85546875" customWidth="1"/>
    <col min="4901" max="4902" width="11" customWidth="1"/>
    <col min="4903" max="4903" width="14.7109375" bestFit="1" customWidth="1"/>
    <col min="4904" max="4905" width="8.85546875" customWidth="1"/>
    <col min="4906" max="4907" width="11.42578125" customWidth="1"/>
    <col min="4908" max="4908" width="15.42578125" bestFit="1" customWidth="1"/>
    <col min="4909" max="4910" width="8.7109375" customWidth="1"/>
    <col min="4911" max="4912" width="10.42578125" customWidth="1"/>
    <col min="4913" max="4913" width="10.7109375" customWidth="1"/>
    <col min="4914" max="4914" width="8.42578125" customWidth="1"/>
    <col min="4915" max="4915" width="8.7109375" customWidth="1"/>
    <col min="4916" max="4916" width="14.5703125" customWidth="1"/>
    <col min="4917" max="4918" width="11.140625" customWidth="1"/>
    <col min="4919" max="4920" width="10.7109375" customWidth="1"/>
    <col min="5121" max="5121" width="28.42578125" customWidth="1"/>
    <col min="5122" max="5122" width="7.28515625" customWidth="1"/>
    <col min="5123" max="5123" width="10.85546875" customWidth="1"/>
    <col min="5124" max="5124" width="0" hidden="1" customWidth="1"/>
    <col min="5125" max="5125" width="11.42578125" customWidth="1"/>
    <col min="5126" max="5126" width="12.42578125" customWidth="1"/>
    <col min="5127" max="5127" width="12" customWidth="1"/>
    <col min="5128" max="5128" width="11" customWidth="1"/>
    <col min="5129" max="5129" width="15.5703125" customWidth="1"/>
    <col min="5130" max="5130" width="11.7109375" customWidth="1"/>
    <col min="5131" max="5131" width="12.42578125" customWidth="1"/>
    <col min="5132" max="5135" width="0" hidden="1" customWidth="1"/>
    <col min="5136" max="5137" width="12.140625" customWidth="1"/>
    <col min="5138" max="5138" width="15.140625" customWidth="1"/>
    <col min="5139" max="5139" width="8.85546875" customWidth="1"/>
    <col min="5140" max="5140" width="8.7109375" customWidth="1"/>
    <col min="5141" max="5141" width="14.5703125" customWidth="1"/>
    <col min="5142" max="5142" width="13.28515625" customWidth="1"/>
    <col min="5143" max="5143" width="12.140625" customWidth="1"/>
    <col min="5144" max="5144" width="11.85546875" customWidth="1"/>
    <col min="5145" max="5146" width="10.28515625" customWidth="1"/>
    <col min="5147" max="5147" width="14.7109375" customWidth="1"/>
    <col min="5148" max="5148" width="11.28515625" customWidth="1"/>
    <col min="5149" max="5149" width="12.140625" customWidth="1"/>
    <col min="5150" max="5151" width="10" customWidth="1"/>
    <col min="5152" max="5153" width="12.28515625" customWidth="1"/>
    <col min="5154" max="5154" width="13.42578125" customWidth="1"/>
    <col min="5155" max="5155" width="11.140625" customWidth="1"/>
    <col min="5156" max="5156" width="9.85546875" customWidth="1"/>
    <col min="5157" max="5158" width="11" customWidth="1"/>
    <col min="5159" max="5159" width="14.7109375" bestFit="1" customWidth="1"/>
    <col min="5160" max="5161" width="8.85546875" customWidth="1"/>
    <col min="5162" max="5163" width="11.42578125" customWidth="1"/>
    <col min="5164" max="5164" width="15.42578125" bestFit="1" customWidth="1"/>
    <col min="5165" max="5166" width="8.7109375" customWidth="1"/>
    <col min="5167" max="5168" width="10.42578125" customWidth="1"/>
    <col min="5169" max="5169" width="10.7109375" customWidth="1"/>
    <col min="5170" max="5170" width="8.42578125" customWidth="1"/>
    <col min="5171" max="5171" width="8.7109375" customWidth="1"/>
    <col min="5172" max="5172" width="14.5703125" customWidth="1"/>
    <col min="5173" max="5174" width="11.140625" customWidth="1"/>
    <col min="5175" max="5176" width="10.7109375" customWidth="1"/>
    <col min="5377" max="5377" width="28.42578125" customWidth="1"/>
    <col min="5378" max="5378" width="7.28515625" customWidth="1"/>
    <col min="5379" max="5379" width="10.85546875" customWidth="1"/>
    <col min="5380" max="5380" width="0" hidden="1" customWidth="1"/>
    <col min="5381" max="5381" width="11.42578125" customWidth="1"/>
    <col min="5382" max="5382" width="12.42578125" customWidth="1"/>
    <col min="5383" max="5383" width="12" customWidth="1"/>
    <col min="5384" max="5384" width="11" customWidth="1"/>
    <col min="5385" max="5385" width="15.5703125" customWidth="1"/>
    <col min="5386" max="5386" width="11.7109375" customWidth="1"/>
    <col min="5387" max="5387" width="12.42578125" customWidth="1"/>
    <col min="5388" max="5391" width="0" hidden="1" customWidth="1"/>
    <col min="5392" max="5393" width="12.140625" customWidth="1"/>
    <col min="5394" max="5394" width="15.140625" customWidth="1"/>
    <col min="5395" max="5395" width="8.85546875" customWidth="1"/>
    <col min="5396" max="5396" width="8.7109375" customWidth="1"/>
    <col min="5397" max="5397" width="14.5703125" customWidth="1"/>
    <col min="5398" max="5398" width="13.28515625" customWidth="1"/>
    <col min="5399" max="5399" width="12.140625" customWidth="1"/>
    <col min="5400" max="5400" width="11.85546875" customWidth="1"/>
    <col min="5401" max="5402" width="10.28515625" customWidth="1"/>
    <col min="5403" max="5403" width="14.7109375" customWidth="1"/>
    <col min="5404" max="5404" width="11.28515625" customWidth="1"/>
    <col min="5405" max="5405" width="12.140625" customWidth="1"/>
    <col min="5406" max="5407" width="10" customWidth="1"/>
    <col min="5408" max="5409" width="12.28515625" customWidth="1"/>
    <col min="5410" max="5410" width="13.42578125" customWidth="1"/>
    <col min="5411" max="5411" width="11.140625" customWidth="1"/>
    <col min="5412" max="5412" width="9.85546875" customWidth="1"/>
    <col min="5413" max="5414" width="11" customWidth="1"/>
    <col min="5415" max="5415" width="14.7109375" bestFit="1" customWidth="1"/>
    <col min="5416" max="5417" width="8.85546875" customWidth="1"/>
    <col min="5418" max="5419" width="11.42578125" customWidth="1"/>
    <col min="5420" max="5420" width="15.42578125" bestFit="1" customWidth="1"/>
    <col min="5421" max="5422" width="8.7109375" customWidth="1"/>
    <col min="5423" max="5424" width="10.42578125" customWidth="1"/>
    <col min="5425" max="5425" width="10.7109375" customWidth="1"/>
    <col min="5426" max="5426" width="8.42578125" customWidth="1"/>
    <col min="5427" max="5427" width="8.7109375" customWidth="1"/>
    <col min="5428" max="5428" width="14.5703125" customWidth="1"/>
    <col min="5429" max="5430" width="11.140625" customWidth="1"/>
    <col min="5431" max="5432" width="10.7109375" customWidth="1"/>
    <col min="5633" max="5633" width="28.42578125" customWidth="1"/>
    <col min="5634" max="5634" width="7.28515625" customWidth="1"/>
    <col min="5635" max="5635" width="10.85546875" customWidth="1"/>
    <col min="5636" max="5636" width="0" hidden="1" customWidth="1"/>
    <col min="5637" max="5637" width="11.42578125" customWidth="1"/>
    <col min="5638" max="5638" width="12.42578125" customWidth="1"/>
    <col min="5639" max="5639" width="12" customWidth="1"/>
    <col min="5640" max="5640" width="11" customWidth="1"/>
    <col min="5641" max="5641" width="15.5703125" customWidth="1"/>
    <col min="5642" max="5642" width="11.7109375" customWidth="1"/>
    <col min="5643" max="5643" width="12.42578125" customWidth="1"/>
    <col min="5644" max="5647" width="0" hidden="1" customWidth="1"/>
    <col min="5648" max="5649" width="12.140625" customWidth="1"/>
    <col min="5650" max="5650" width="15.140625" customWidth="1"/>
    <col min="5651" max="5651" width="8.85546875" customWidth="1"/>
    <col min="5652" max="5652" width="8.7109375" customWidth="1"/>
    <col min="5653" max="5653" width="14.5703125" customWidth="1"/>
    <col min="5654" max="5654" width="13.28515625" customWidth="1"/>
    <col min="5655" max="5655" width="12.140625" customWidth="1"/>
    <col min="5656" max="5656" width="11.85546875" customWidth="1"/>
    <col min="5657" max="5658" width="10.28515625" customWidth="1"/>
    <col min="5659" max="5659" width="14.7109375" customWidth="1"/>
    <col min="5660" max="5660" width="11.28515625" customWidth="1"/>
    <col min="5661" max="5661" width="12.140625" customWidth="1"/>
    <col min="5662" max="5663" width="10" customWidth="1"/>
    <col min="5664" max="5665" width="12.28515625" customWidth="1"/>
    <col min="5666" max="5666" width="13.42578125" customWidth="1"/>
    <col min="5667" max="5667" width="11.140625" customWidth="1"/>
    <col min="5668" max="5668" width="9.85546875" customWidth="1"/>
    <col min="5669" max="5670" width="11" customWidth="1"/>
    <col min="5671" max="5671" width="14.7109375" bestFit="1" customWidth="1"/>
    <col min="5672" max="5673" width="8.85546875" customWidth="1"/>
    <col min="5674" max="5675" width="11.42578125" customWidth="1"/>
    <col min="5676" max="5676" width="15.42578125" bestFit="1" customWidth="1"/>
    <col min="5677" max="5678" width="8.7109375" customWidth="1"/>
    <col min="5679" max="5680" width="10.42578125" customWidth="1"/>
    <col min="5681" max="5681" width="10.7109375" customWidth="1"/>
    <col min="5682" max="5682" width="8.42578125" customWidth="1"/>
    <col min="5683" max="5683" width="8.7109375" customWidth="1"/>
    <col min="5684" max="5684" width="14.5703125" customWidth="1"/>
    <col min="5685" max="5686" width="11.140625" customWidth="1"/>
    <col min="5687" max="5688" width="10.7109375" customWidth="1"/>
    <col min="5889" max="5889" width="28.42578125" customWidth="1"/>
    <col min="5890" max="5890" width="7.28515625" customWidth="1"/>
    <col min="5891" max="5891" width="10.85546875" customWidth="1"/>
    <col min="5892" max="5892" width="0" hidden="1" customWidth="1"/>
    <col min="5893" max="5893" width="11.42578125" customWidth="1"/>
    <col min="5894" max="5894" width="12.42578125" customWidth="1"/>
    <col min="5895" max="5895" width="12" customWidth="1"/>
    <col min="5896" max="5896" width="11" customWidth="1"/>
    <col min="5897" max="5897" width="15.5703125" customWidth="1"/>
    <col min="5898" max="5898" width="11.7109375" customWidth="1"/>
    <col min="5899" max="5899" width="12.42578125" customWidth="1"/>
    <col min="5900" max="5903" width="0" hidden="1" customWidth="1"/>
    <col min="5904" max="5905" width="12.140625" customWidth="1"/>
    <col min="5906" max="5906" width="15.140625" customWidth="1"/>
    <col min="5907" max="5907" width="8.85546875" customWidth="1"/>
    <col min="5908" max="5908" width="8.7109375" customWidth="1"/>
    <col min="5909" max="5909" width="14.5703125" customWidth="1"/>
    <col min="5910" max="5910" width="13.28515625" customWidth="1"/>
    <col min="5911" max="5911" width="12.140625" customWidth="1"/>
    <col min="5912" max="5912" width="11.85546875" customWidth="1"/>
    <col min="5913" max="5914" width="10.28515625" customWidth="1"/>
    <col min="5915" max="5915" width="14.7109375" customWidth="1"/>
    <col min="5916" max="5916" width="11.28515625" customWidth="1"/>
    <col min="5917" max="5917" width="12.140625" customWidth="1"/>
    <col min="5918" max="5919" width="10" customWidth="1"/>
    <col min="5920" max="5921" width="12.28515625" customWidth="1"/>
    <col min="5922" max="5922" width="13.42578125" customWidth="1"/>
    <col min="5923" max="5923" width="11.140625" customWidth="1"/>
    <col min="5924" max="5924" width="9.85546875" customWidth="1"/>
    <col min="5925" max="5926" width="11" customWidth="1"/>
    <col min="5927" max="5927" width="14.7109375" bestFit="1" customWidth="1"/>
    <col min="5928" max="5929" width="8.85546875" customWidth="1"/>
    <col min="5930" max="5931" width="11.42578125" customWidth="1"/>
    <col min="5932" max="5932" width="15.42578125" bestFit="1" customWidth="1"/>
    <col min="5933" max="5934" width="8.7109375" customWidth="1"/>
    <col min="5935" max="5936" width="10.42578125" customWidth="1"/>
    <col min="5937" max="5937" width="10.7109375" customWidth="1"/>
    <col min="5938" max="5938" width="8.42578125" customWidth="1"/>
    <col min="5939" max="5939" width="8.7109375" customWidth="1"/>
    <col min="5940" max="5940" width="14.5703125" customWidth="1"/>
    <col min="5941" max="5942" width="11.140625" customWidth="1"/>
    <col min="5943" max="5944" width="10.7109375" customWidth="1"/>
    <col min="6145" max="6145" width="28.42578125" customWidth="1"/>
    <col min="6146" max="6146" width="7.28515625" customWidth="1"/>
    <col min="6147" max="6147" width="10.85546875" customWidth="1"/>
    <col min="6148" max="6148" width="0" hidden="1" customWidth="1"/>
    <col min="6149" max="6149" width="11.42578125" customWidth="1"/>
    <col min="6150" max="6150" width="12.42578125" customWidth="1"/>
    <col min="6151" max="6151" width="12" customWidth="1"/>
    <col min="6152" max="6152" width="11" customWidth="1"/>
    <col min="6153" max="6153" width="15.5703125" customWidth="1"/>
    <col min="6154" max="6154" width="11.7109375" customWidth="1"/>
    <col min="6155" max="6155" width="12.42578125" customWidth="1"/>
    <col min="6156" max="6159" width="0" hidden="1" customWidth="1"/>
    <col min="6160" max="6161" width="12.140625" customWidth="1"/>
    <col min="6162" max="6162" width="15.140625" customWidth="1"/>
    <col min="6163" max="6163" width="8.85546875" customWidth="1"/>
    <col min="6164" max="6164" width="8.7109375" customWidth="1"/>
    <col min="6165" max="6165" width="14.5703125" customWidth="1"/>
    <col min="6166" max="6166" width="13.28515625" customWidth="1"/>
    <col min="6167" max="6167" width="12.140625" customWidth="1"/>
    <col min="6168" max="6168" width="11.85546875" customWidth="1"/>
    <col min="6169" max="6170" width="10.28515625" customWidth="1"/>
    <col min="6171" max="6171" width="14.7109375" customWidth="1"/>
    <col min="6172" max="6172" width="11.28515625" customWidth="1"/>
    <col min="6173" max="6173" width="12.140625" customWidth="1"/>
    <col min="6174" max="6175" width="10" customWidth="1"/>
    <col min="6176" max="6177" width="12.28515625" customWidth="1"/>
    <col min="6178" max="6178" width="13.42578125" customWidth="1"/>
    <col min="6179" max="6179" width="11.140625" customWidth="1"/>
    <col min="6180" max="6180" width="9.85546875" customWidth="1"/>
    <col min="6181" max="6182" width="11" customWidth="1"/>
    <col min="6183" max="6183" width="14.7109375" bestFit="1" customWidth="1"/>
    <col min="6184" max="6185" width="8.85546875" customWidth="1"/>
    <col min="6186" max="6187" width="11.42578125" customWidth="1"/>
    <col min="6188" max="6188" width="15.42578125" bestFit="1" customWidth="1"/>
    <col min="6189" max="6190" width="8.7109375" customWidth="1"/>
    <col min="6191" max="6192" width="10.42578125" customWidth="1"/>
    <col min="6193" max="6193" width="10.7109375" customWidth="1"/>
    <col min="6194" max="6194" width="8.42578125" customWidth="1"/>
    <col min="6195" max="6195" width="8.7109375" customWidth="1"/>
    <col min="6196" max="6196" width="14.5703125" customWidth="1"/>
    <col min="6197" max="6198" width="11.140625" customWidth="1"/>
    <col min="6199" max="6200" width="10.7109375" customWidth="1"/>
    <col min="6401" max="6401" width="28.42578125" customWidth="1"/>
    <col min="6402" max="6402" width="7.28515625" customWidth="1"/>
    <col min="6403" max="6403" width="10.85546875" customWidth="1"/>
    <col min="6404" max="6404" width="0" hidden="1" customWidth="1"/>
    <col min="6405" max="6405" width="11.42578125" customWidth="1"/>
    <col min="6406" max="6406" width="12.42578125" customWidth="1"/>
    <col min="6407" max="6407" width="12" customWidth="1"/>
    <col min="6408" max="6408" width="11" customWidth="1"/>
    <col min="6409" max="6409" width="15.5703125" customWidth="1"/>
    <col min="6410" max="6410" width="11.7109375" customWidth="1"/>
    <col min="6411" max="6411" width="12.42578125" customWidth="1"/>
    <col min="6412" max="6415" width="0" hidden="1" customWidth="1"/>
    <col min="6416" max="6417" width="12.140625" customWidth="1"/>
    <col min="6418" max="6418" width="15.140625" customWidth="1"/>
    <col min="6419" max="6419" width="8.85546875" customWidth="1"/>
    <col min="6420" max="6420" width="8.7109375" customWidth="1"/>
    <col min="6421" max="6421" width="14.5703125" customWidth="1"/>
    <col min="6422" max="6422" width="13.28515625" customWidth="1"/>
    <col min="6423" max="6423" width="12.140625" customWidth="1"/>
    <col min="6424" max="6424" width="11.85546875" customWidth="1"/>
    <col min="6425" max="6426" width="10.28515625" customWidth="1"/>
    <col min="6427" max="6427" width="14.7109375" customWidth="1"/>
    <col min="6428" max="6428" width="11.28515625" customWidth="1"/>
    <col min="6429" max="6429" width="12.140625" customWidth="1"/>
    <col min="6430" max="6431" width="10" customWidth="1"/>
    <col min="6432" max="6433" width="12.28515625" customWidth="1"/>
    <col min="6434" max="6434" width="13.42578125" customWidth="1"/>
    <col min="6435" max="6435" width="11.140625" customWidth="1"/>
    <col min="6436" max="6436" width="9.85546875" customWidth="1"/>
    <col min="6437" max="6438" width="11" customWidth="1"/>
    <col min="6439" max="6439" width="14.7109375" bestFit="1" customWidth="1"/>
    <col min="6440" max="6441" width="8.85546875" customWidth="1"/>
    <col min="6442" max="6443" width="11.42578125" customWidth="1"/>
    <col min="6444" max="6444" width="15.42578125" bestFit="1" customWidth="1"/>
    <col min="6445" max="6446" width="8.7109375" customWidth="1"/>
    <col min="6447" max="6448" width="10.42578125" customWidth="1"/>
    <col min="6449" max="6449" width="10.7109375" customWidth="1"/>
    <col min="6450" max="6450" width="8.42578125" customWidth="1"/>
    <col min="6451" max="6451" width="8.7109375" customWidth="1"/>
    <col min="6452" max="6452" width="14.5703125" customWidth="1"/>
    <col min="6453" max="6454" width="11.140625" customWidth="1"/>
    <col min="6455" max="6456" width="10.7109375" customWidth="1"/>
    <col min="6657" max="6657" width="28.42578125" customWidth="1"/>
    <col min="6658" max="6658" width="7.28515625" customWidth="1"/>
    <col min="6659" max="6659" width="10.85546875" customWidth="1"/>
    <col min="6660" max="6660" width="0" hidden="1" customWidth="1"/>
    <col min="6661" max="6661" width="11.42578125" customWidth="1"/>
    <col min="6662" max="6662" width="12.42578125" customWidth="1"/>
    <col min="6663" max="6663" width="12" customWidth="1"/>
    <col min="6664" max="6664" width="11" customWidth="1"/>
    <col min="6665" max="6665" width="15.5703125" customWidth="1"/>
    <col min="6666" max="6666" width="11.7109375" customWidth="1"/>
    <col min="6667" max="6667" width="12.42578125" customWidth="1"/>
    <col min="6668" max="6671" width="0" hidden="1" customWidth="1"/>
    <col min="6672" max="6673" width="12.140625" customWidth="1"/>
    <col min="6674" max="6674" width="15.140625" customWidth="1"/>
    <col min="6675" max="6675" width="8.85546875" customWidth="1"/>
    <col min="6676" max="6676" width="8.7109375" customWidth="1"/>
    <col min="6677" max="6677" width="14.5703125" customWidth="1"/>
    <col min="6678" max="6678" width="13.28515625" customWidth="1"/>
    <col min="6679" max="6679" width="12.140625" customWidth="1"/>
    <col min="6680" max="6680" width="11.85546875" customWidth="1"/>
    <col min="6681" max="6682" width="10.28515625" customWidth="1"/>
    <col min="6683" max="6683" width="14.7109375" customWidth="1"/>
    <col min="6684" max="6684" width="11.28515625" customWidth="1"/>
    <col min="6685" max="6685" width="12.140625" customWidth="1"/>
    <col min="6686" max="6687" width="10" customWidth="1"/>
    <col min="6688" max="6689" width="12.28515625" customWidth="1"/>
    <col min="6690" max="6690" width="13.42578125" customWidth="1"/>
    <col min="6691" max="6691" width="11.140625" customWidth="1"/>
    <col min="6692" max="6692" width="9.85546875" customWidth="1"/>
    <col min="6693" max="6694" width="11" customWidth="1"/>
    <col min="6695" max="6695" width="14.7109375" bestFit="1" customWidth="1"/>
    <col min="6696" max="6697" width="8.85546875" customWidth="1"/>
    <col min="6698" max="6699" width="11.42578125" customWidth="1"/>
    <col min="6700" max="6700" width="15.42578125" bestFit="1" customWidth="1"/>
    <col min="6701" max="6702" width="8.7109375" customWidth="1"/>
    <col min="6703" max="6704" width="10.42578125" customWidth="1"/>
    <col min="6705" max="6705" width="10.7109375" customWidth="1"/>
    <col min="6706" max="6706" width="8.42578125" customWidth="1"/>
    <col min="6707" max="6707" width="8.7109375" customWidth="1"/>
    <col min="6708" max="6708" width="14.5703125" customWidth="1"/>
    <col min="6709" max="6710" width="11.140625" customWidth="1"/>
    <col min="6711" max="6712" width="10.7109375" customWidth="1"/>
    <col min="6913" max="6913" width="28.42578125" customWidth="1"/>
    <col min="6914" max="6914" width="7.28515625" customWidth="1"/>
    <col min="6915" max="6915" width="10.85546875" customWidth="1"/>
    <col min="6916" max="6916" width="0" hidden="1" customWidth="1"/>
    <col min="6917" max="6917" width="11.42578125" customWidth="1"/>
    <col min="6918" max="6918" width="12.42578125" customWidth="1"/>
    <col min="6919" max="6919" width="12" customWidth="1"/>
    <col min="6920" max="6920" width="11" customWidth="1"/>
    <col min="6921" max="6921" width="15.5703125" customWidth="1"/>
    <col min="6922" max="6922" width="11.7109375" customWidth="1"/>
    <col min="6923" max="6923" width="12.42578125" customWidth="1"/>
    <col min="6924" max="6927" width="0" hidden="1" customWidth="1"/>
    <col min="6928" max="6929" width="12.140625" customWidth="1"/>
    <col min="6930" max="6930" width="15.140625" customWidth="1"/>
    <col min="6931" max="6931" width="8.85546875" customWidth="1"/>
    <col min="6932" max="6932" width="8.7109375" customWidth="1"/>
    <col min="6933" max="6933" width="14.5703125" customWidth="1"/>
    <col min="6934" max="6934" width="13.28515625" customWidth="1"/>
    <col min="6935" max="6935" width="12.140625" customWidth="1"/>
    <col min="6936" max="6936" width="11.85546875" customWidth="1"/>
    <col min="6937" max="6938" width="10.28515625" customWidth="1"/>
    <col min="6939" max="6939" width="14.7109375" customWidth="1"/>
    <col min="6940" max="6940" width="11.28515625" customWidth="1"/>
    <col min="6941" max="6941" width="12.140625" customWidth="1"/>
    <col min="6942" max="6943" width="10" customWidth="1"/>
    <col min="6944" max="6945" width="12.28515625" customWidth="1"/>
    <col min="6946" max="6946" width="13.42578125" customWidth="1"/>
    <col min="6947" max="6947" width="11.140625" customWidth="1"/>
    <col min="6948" max="6948" width="9.85546875" customWidth="1"/>
    <col min="6949" max="6950" width="11" customWidth="1"/>
    <col min="6951" max="6951" width="14.7109375" bestFit="1" customWidth="1"/>
    <col min="6952" max="6953" width="8.85546875" customWidth="1"/>
    <col min="6954" max="6955" width="11.42578125" customWidth="1"/>
    <col min="6956" max="6956" width="15.42578125" bestFit="1" customWidth="1"/>
    <col min="6957" max="6958" width="8.7109375" customWidth="1"/>
    <col min="6959" max="6960" width="10.42578125" customWidth="1"/>
    <col min="6961" max="6961" width="10.7109375" customWidth="1"/>
    <col min="6962" max="6962" width="8.42578125" customWidth="1"/>
    <col min="6963" max="6963" width="8.7109375" customWidth="1"/>
    <col min="6964" max="6964" width="14.5703125" customWidth="1"/>
    <col min="6965" max="6966" width="11.140625" customWidth="1"/>
    <col min="6967" max="6968" width="10.7109375" customWidth="1"/>
    <col min="7169" max="7169" width="28.42578125" customWidth="1"/>
    <col min="7170" max="7170" width="7.28515625" customWidth="1"/>
    <col min="7171" max="7171" width="10.85546875" customWidth="1"/>
    <col min="7172" max="7172" width="0" hidden="1" customWidth="1"/>
    <col min="7173" max="7173" width="11.42578125" customWidth="1"/>
    <col min="7174" max="7174" width="12.42578125" customWidth="1"/>
    <col min="7175" max="7175" width="12" customWidth="1"/>
    <col min="7176" max="7176" width="11" customWidth="1"/>
    <col min="7177" max="7177" width="15.5703125" customWidth="1"/>
    <col min="7178" max="7178" width="11.7109375" customWidth="1"/>
    <col min="7179" max="7179" width="12.42578125" customWidth="1"/>
    <col min="7180" max="7183" width="0" hidden="1" customWidth="1"/>
    <col min="7184" max="7185" width="12.140625" customWidth="1"/>
    <col min="7186" max="7186" width="15.140625" customWidth="1"/>
    <col min="7187" max="7187" width="8.85546875" customWidth="1"/>
    <col min="7188" max="7188" width="8.7109375" customWidth="1"/>
    <col min="7189" max="7189" width="14.5703125" customWidth="1"/>
    <col min="7190" max="7190" width="13.28515625" customWidth="1"/>
    <col min="7191" max="7191" width="12.140625" customWidth="1"/>
    <col min="7192" max="7192" width="11.85546875" customWidth="1"/>
    <col min="7193" max="7194" width="10.28515625" customWidth="1"/>
    <col min="7195" max="7195" width="14.7109375" customWidth="1"/>
    <col min="7196" max="7196" width="11.28515625" customWidth="1"/>
    <col min="7197" max="7197" width="12.140625" customWidth="1"/>
    <col min="7198" max="7199" width="10" customWidth="1"/>
    <col min="7200" max="7201" width="12.28515625" customWidth="1"/>
    <col min="7202" max="7202" width="13.42578125" customWidth="1"/>
    <col min="7203" max="7203" width="11.140625" customWidth="1"/>
    <col min="7204" max="7204" width="9.85546875" customWidth="1"/>
    <col min="7205" max="7206" width="11" customWidth="1"/>
    <col min="7207" max="7207" width="14.7109375" bestFit="1" customWidth="1"/>
    <col min="7208" max="7209" width="8.85546875" customWidth="1"/>
    <col min="7210" max="7211" width="11.42578125" customWidth="1"/>
    <col min="7212" max="7212" width="15.42578125" bestFit="1" customWidth="1"/>
    <col min="7213" max="7214" width="8.7109375" customWidth="1"/>
    <col min="7215" max="7216" width="10.42578125" customWidth="1"/>
    <col min="7217" max="7217" width="10.7109375" customWidth="1"/>
    <col min="7218" max="7218" width="8.42578125" customWidth="1"/>
    <col min="7219" max="7219" width="8.7109375" customWidth="1"/>
    <col min="7220" max="7220" width="14.5703125" customWidth="1"/>
    <col min="7221" max="7222" width="11.140625" customWidth="1"/>
    <col min="7223" max="7224" width="10.7109375" customWidth="1"/>
    <col min="7425" max="7425" width="28.42578125" customWidth="1"/>
    <col min="7426" max="7426" width="7.28515625" customWidth="1"/>
    <col min="7427" max="7427" width="10.85546875" customWidth="1"/>
    <col min="7428" max="7428" width="0" hidden="1" customWidth="1"/>
    <col min="7429" max="7429" width="11.42578125" customWidth="1"/>
    <col min="7430" max="7430" width="12.42578125" customWidth="1"/>
    <col min="7431" max="7431" width="12" customWidth="1"/>
    <col min="7432" max="7432" width="11" customWidth="1"/>
    <col min="7433" max="7433" width="15.5703125" customWidth="1"/>
    <col min="7434" max="7434" width="11.7109375" customWidth="1"/>
    <col min="7435" max="7435" width="12.42578125" customWidth="1"/>
    <col min="7436" max="7439" width="0" hidden="1" customWidth="1"/>
    <col min="7440" max="7441" width="12.140625" customWidth="1"/>
    <col min="7442" max="7442" width="15.140625" customWidth="1"/>
    <col min="7443" max="7443" width="8.85546875" customWidth="1"/>
    <col min="7444" max="7444" width="8.7109375" customWidth="1"/>
    <col min="7445" max="7445" width="14.5703125" customWidth="1"/>
    <col min="7446" max="7446" width="13.28515625" customWidth="1"/>
    <col min="7447" max="7447" width="12.140625" customWidth="1"/>
    <col min="7448" max="7448" width="11.85546875" customWidth="1"/>
    <col min="7449" max="7450" width="10.28515625" customWidth="1"/>
    <col min="7451" max="7451" width="14.7109375" customWidth="1"/>
    <col min="7452" max="7452" width="11.28515625" customWidth="1"/>
    <col min="7453" max="7453" width="12.140625" customWidth="1"/>
    <col min="7454" max="7455" width="10" customWidth="1"/>
    <col min="7456" max="7457" width="12.28515625" customWidth="1"/>
    <col min="7458" max="7458" width="13.42578125" customWidth="1"/>
    <col min="7459" max="7459" width="11.140625" customWidth="1"/>
    <col min="7460" max="7460" width="9.85546875" customWidth="1"/>
    <col min="7461" max="7462" width="11" customWidth="1"/>
    <col min="7463" max="7463" width="14.7109375" bestFit="1" customWidth="1"/>
    <col min="7464" max="7465" width="8.85546875" customWidth="1"/>
    <col min="7466" max="7467" width="11.42578125" customWidth="1"/>
    <col min="7468" max="7468" width="15.42578125" bestFit="1" customWidth="1"/>
    <col min="7469" max="7470" width="8.7109375" customWidth="1"/>
    <col min="7471" max="7472" width="10.42578125" customWidth="1"/>
    <col min="7473" max="7473" width="10.7109375" customWidth="1"/>
    <col min="7474" max="7474" width="8.42578125" customWidth="1"/>
    <col min="7475" max="7475" width="8.7109375" customWidth="1"/>
    <col min="7476" max="7476" width="14.5703125" customWidth="1"/>
    <col min="7477" max="7478" width="11.140625" customWidth="1"/>
    <col min="7479" max="7480" width="10.7109375" customWidth="1"/>
    <col min="7681" max="7681" width="28.42578125" customWidth="1"/>
    <col min="7682" max="7682" width="7.28515625" customWidth="1"/>
    <col min="7683" max="7683" width="10.85546875" customWidth="1"/>
    <col min="7684" max="7684" width="0" hidden="1" customWidth="1"/>
    <col min="7685" max="7685" width="11.42578125" customWidth="1"/>
    <col min="7686" max="7686" width="12.42578125" customWidth="1"/>
    <col min="7687" max="7687" width="12" customWidth="1"/>
    <col min="7688" max="7688" width="11" customWidth="1"/>
    <col min="7689" max="7689" width="15.5703125" customWidth="1"/>
    <col min="7690" max="7690" width="11.7109375" customWidth="1"/>
    <col min="7691" max="7691" width="12.42578125" customWidth="1"/>
    <col min="7692" max="7695" width="0" hidden="1" customWidth="1"/>
    <col min="7696" max="7697" width="12.140625" customWidth="1"/>
    <col min="7698" max="7698" width="15.140625" customWidth="1"/>
    <col min="7699" max="7699" width="8.85546875" customWidth="1"/>
    <col min="7700" max="7700" width="8.7109375" customWidth="1"/>
    <col min="7701" max="7701" width="14.5703125" customWidth="1"/>
    <col min="7702" max="7702" width="13.28515625" customWidth="1"/>
    <col min="7703" max="7703" width="12.140625" customWidth="1"/>
    <col min="7704" max="7704" width="11.85546875" customWidth="1"/>
    <col min="7705" max="7706" width="10.28515625" customWidth="1"/>
    <col min="7707" max="7707" width="14.7109375" customWidth="1"/>
    <col min="7708" max="7708" width="11.28515625" customWidth="1"/>
    <col min="7709" max="7709" width="12.140625" customWidth="1"/>
    <col min="7710" max="7711" width="10" customWidth="1"/>
    <col min="7712" max="7713" width="12.28515625" customWidth="1"/>
    <col min="7714" max="7714" width="13.42578125" customWidth="1"/>
    <col min="7715" max="7715" width="11.140625" customWidth="1"/>
    <col min="7716" max="7716" width="9.85546875" customWidth="1"/>
    <col min="7717" max="7718" width="11" customWidth="1"/>
    <col min="7719" max="7719" width="14.7109375" bestFit="1" customWidth="1"/>
    <col min="7720" max="7721" width="8.85546875" customWidth="1"/>
    <col min="7722" max="7723" width="11.42578125" customWidth="1"/>
    <col min="7724" max="7724" width="15.42578125" bestFit="1" customWidth="1"/>
    <col min="7725" max="7726" width="8.7109375" customWidth="1"/>
    <col min="7727" max="7728" width="10.42578125" customWidth="1"/>
    <col min="7729" max="7729" width="10.7109375" customWidth="1"/>
    <col min="7730" max="7730" width="8.42578125" customWidth="1"/>
    <col min="7731" max="7731" width="8.7109375" customWidth="1"/>
    <col min="7732" max="7732" width="14.5703125" customWidth="1"/>
    <col min="7733" max="7734" width="11.140625" customWidth="1"/>
    <col min="7735" max="7736" width="10.7109375" customWidth="1"/>
    <col min="7937" max="7937" width="28.42578125" customWidth="1"/>
    <col min="7938" max="7938" width="7.28515625" customWidth="1"/>
    <col min="7939" max="7939" width="10.85546875" customWidth="1"/>
    <col min="7940" max="7940" width="0" hidden="1" customWidth="1"/>
    <col min="7941" max="7941" width="11.42578125" customWidth="1"/>
    <col min="7942" max="7942" width="12.42578125" customWidth="1"/>
    <col min="7943" max="7943" width="12" customWidth="1"/>
    <col min="7944" max="7944" width="11" customWidth="1"/>
    <col min="7945" max="7945" width="15.5703125" customWidth="1"/>
    <col min="7946" max="7946" width="11.7109375" customWidth="1"/>
    <col min="7947" max="7947" width="12.42578125" customWidth="1"/>
    <col min="7948" max="7951" width="0" hidden="1" customWidth="1"/>
    <col min="7952" max="7953" width="12.140625" customWidth="1"/>
    <col min="7954" max="7954" width="15.140625" customWidth="1"/>
    <col min="7955" max="7955" width="8.85546875" customWidth="1"/>
    <col min="7956" max="7956" width="8.7109375" customWidth="1"/>
    <col min="7957" max="7957" width="14.5703125" customWidth="1"/>
    <col min="7958" max="7958" width="13.28515625" customWidth="1"/>
    <col min="7959" max="7959" width="12.140625" customWidth="1"/>
    <col min="7960" max="7960" width="11.85546875" customWidth="1"/>
    <col min="7961" max="7962" width="10.28515625" customWidth="1"/>
    <col min="7963" max="7963" width="14.7109375" customWidth="1"/>
    <col min="7964" max="7964" width="11.28515625" customWidth="1"/>
    <col min="7965" max="7965" width="12.140625" customWidth="1"/>
    <col min="7966" max="7967" width="10" customWidth="1"/>
    <col min="7968" max="7969" width="12.28515625" customWidth="1"/>
    <col min="7970" max="7970" width="13.42578125" customWidth="1"/>
    <col min="7971" max="7971" width="11.140625" customWidth="1"/>
    <col min="7972" max="7972" width="9.85546875" customWidth="1"/>
    <col min="7973" max="7974" width="11" customWidth="1"/>
    <col min="7975" max="7975" width="14.7109375" bestFit="1" customWidth="1"/>
    <col min="7976" max="7977" width="8.85546875" customWidth="1"/>
    <col min="7978" max="7979" width="11.42578125" customWidth="1"/>
    <col min="7980" max="7980" width="15.42578125" bestFit="1" customWidth="1"/>
    <col min="7981" max="7982" width="8.7109375" customWidth="1"/>
    <col min="7983" max="7984" width="10.42578125" customWidth="1"/>
    <col min="7985" max="7985" width="10.7109375" customWidth="1"/>
    <col min="7986" max="7986" width="8.42578125" customWidth="1"/>
    <col min="7987" max="7987" width="8.7109375" customWidth="1"/>
    <col min="7988" max="7988" width="14.5703125" customWidth="1"/>
    <col min="7989" max="7990" width="11.140625" customWidth="1"/>
    <col min="7991" max="7992" width="10.7109375" customWidth="1"/>
    <col min="8193" max="8193" width="28.42578125" customWidth="1"/>
    <col min="8194" max="8194" width="7.28515625" customWidth="1"/>
    <col min="8195" max="8195" width="10.85546875" customWidth="1"/>
    <col min="8196" max="8196" width="0" hidden="1" customWidth="1"/>
    <col min="8197" max="8197" width="11.42578125" customWidth="1"/>
    <col min="8198" max="8198" width="12.42578125" customWidth="1"/>
    <col min="8199" max="8199" width="12" customWidth="1"/>
    <col min="8200" max="8200" width="11" customWidth="1"/>
    <col min="8201" max="8201" width="15.5703125" customWidth="1"/>
    <col min="8202" max="8202" width="11.7109375" customWidth="1"/>
    <col min="8203" max="8203" width="12.42578125" customWidth="1"/>
    <col min="8204" max="8207" width="0" hidden="1" customWidth="1"/>
    <col min="8208" max="8209" width="12.140625" customWidth="1"/>
    <col min="8210" max="8210" width="15.140625" customWidth="1"/>
    <col min="8211" max="8211" width="8.85546875" customWidth="1"/>
    <col min="8212" max="8212" width="8.7109375" customWidth="1"/>
    <col min="8213" max="8213" width="14.5703125" customWidth="1"/>
    <col min="8214" max="8214" width="13.28515625" customWidth="1"/>
    <col min="8215" max="8215" width="12.140625" customWidth="1"/>
    <col min="8216" max="8216" width="11.85546875" customWidth="1"/>
    <col min="8217" max="8218" width="10.28515625" customWidth="1"/>
    <col min="8219" max="8219" width="14.7109375" customWidth="1"/>
    <col min="8220" max="8220" width="11.28515625" customWidth="1"/>
    <col min="8221" max="8221" width="12.140625" customWidth="1"/>
    <col min="8222" max="8223" width="10" customWidth="1"/>
    <col min="8224" max="8225" width="12.28515625" customWidth="1"/>
    <col min="8226" max="8226" width="13.42578125" customWidth="1"/>
    <col min="8227" max="8227" width="11.140625" customWidth="1"/>
    <col min="8228" max="8228" width="9.85546875" customWidth="1"/>
    <col min="8229" max="8230" width="11" customWidth="1"/>
    <col min="8231" max="8231" width="14.7109375" bestFit="1" customWidth="1"/>
    <col min="8232" max="8233" width="8.85546875" customWidth="1"/>
    <col min="8234" max="8235" width="11.42578125" customWidth="1"/>
    <col min="8236" max="8236" width="15.42578125" bestFit="1" customWidth="1"/>
    <col min="8237" max="8238" width="8.7109375" customWidth="1"/>
    <col min="8239" max="8240" width="10.42578125" customWidth="1"/>
    <col min="8241" max="8241" width="10.7109375" customWidth="1"/>
    <col min="8242" max="8242" width="8.42578125" customWidth="1"/>
    <col min="8243" max="8243" width="8.7109375" customWidth="1"/>
    <col min="8244" max="8244" width="14.5703125" customWidth="1"/>
    <col min="8245" max="8246" width="11.140625" customWidth="1"/>
    <col min="8247" max="8248" width="10.7109375" customWidth="1"/>
    <col min="8449" max="8449" width="28.42578125" customWidth="1"/>
    <col min="8450" max="8450" width="7.28515625" customWidth="1"/>
    <col min="8451" max="8451" width="10.85546875" customWidth="1"/>
    <col min="8452" max="8452" width="0" hidden="1" customWidth="1"/>
    <col min="8453" max="8453" width="11.42578125" customWidth="1"/>
    <col min="8454" max="8454" width="12.42578125" customWidth="1"/>
    <col min="8455" max="8455" width="12" customWidth="1"/>
    <col min="8456" max="8456" width="11" customWidth="1"/>
    <col min="8457" max="8457" width="15.5703125" customWidth="1"/>
    <col min="8458" max="8458" width="11.7109375" customWidth="1"/>
    <col min="8459" max="8459" width="12.42578125" customWidth="1"/>
    <col min="8460" max="8463" width="0" hidden="1" customWidth="1"/>
    <col min="8464" max="8465" width="12.140625" customWidth="1"/>
    <col min="8466" max="8466" width="15.140625" customWidth="1"/>
    <col min="8467" max="8467" width="8.85546875" customWidth="1"/>
    <col min="8468" max="8468" width="8.7109375" customWidth="1"/>
    <col min="8469" max="8469" width="14.5703125" customWidth="1"/>
    <col min="8470" max="8470" width="13.28515625" customWidth="1"/>
    <col min="8471" max="8471" width="12.140625" customWidth="1"/>
    <col min="8472" max="8472" width="11.85546875" customWidth="1"/>
    <col min="8473" max="8474" width="10.28515625" customWidth="1"/>
    <col min="8475" max="8475" width="14.7109375" customWidth="1"/>
    <col min="8476" max="8476" width="11.28515625" customWidth="1"/>
    <col min="8477" max="8477" width="12.140625" customWidth="1"/>
    <col min="8478" max="8479" width="10" customWidth="1"/>
    <col min="8480" max="8481" width="12.28515625" customWidth="1"/>
    <col min="8482" max="8482" width="13.42578125" customWidth="1"/>
    <col min="8483" max="8483" width="11.140625" customWidth="1"/>
    <col min="8484" max="8484" width="9.85546875" customWidth="1"/>
    <col min="8485" max="8486" width="11" customWidth="1"/>
    <col min="8487" max="8487" width="14.7109375" bestFit="1" customWidth="1"/>
    <col min="8488" max="8489" width="8.85546875" customWidth="1"/>
    <col min="8490" max="8491" width="11.42578125" customWidth="1"/>
    <col min="8492" max="8492" width="15.42578125" bestFit="1" customWidth="1"/>
    <col min="8493" max="8494" width="8.7109375" customWidth="1"/>
    <col min="8495" max="8496" width="10.42578125" customWidth="1"/>
    <col min="8497" max="8497" width="10.7109375" customWidth="1"/>
    <col min="8498" max="8498" width="8.42578125" customWidth="1"/>
    <col min="8499" max="8499" width="8.7109375" customWidth="1"/>
    <col min="8500" max="8500" width="14.5703125" customWidth="1"/>
    <col min="8501" max="8502" width="11.140625" customWidth="1"/>
    <col min="8503" max="8504" width="10.7109375" customWidth="1"/>
    <col min="8705" max="8705" width="28.42578125" customWidth="1"/>
    <col min="8706" max="8706" width="7.28515625" customWidth="1"/>
    <col min="8707" max="8707" width="10.85546875" customWidth="1"/>
    <col min="8708" max="8708" width="0" hidden="1" customWidth="1"/>
    <col min="8709" max="8709" width="11.42578125" customWidth="1"/>
    <col min="8710" max="8710" width="12.42578125" customWidth="1"/>
    <col min="8711" max="8711" width="12" customWidth="1"/>
    <col min="8712" max="8712" width="11" customWidth="1"/>
    <col min="8713" max="8713" width="15.5703125" customWidth="1"/>
    <col min="8714" max="8714" width="11.7109375" customWidth="1"/>
    <col min="8715" max="8715" width="12.42578125" customWidth="1"/>
    <col min="8716" max="8719" width="0" hidden="1" customWidth="1"/>
    <col min="8720" max="8721" width="12.140625" customWidth="1"/>
    <col min="8722" max="8722" width="15.140625" customWidth="1"/>
    <col min="8723" max="8723" width="8.85546875" customWidth="1"/>
    <col min="8724" max="8724" width="8.7109375" customWidth="1"/>
    <col min="8725" max="8725" width="14.5703125" customWidth="1"/>
    <col min="8726" max="8726" width="13.28515625" customWidth="1"/>
    <col min="8727" max="8727" width="12.140625" customWidth="1"/>
    <col min="8728" max="8728" width="11.85546875" customWidth="1"/>
    <col min="8729" max="8730" width="10.28515625" customWidth="1"/>
    <col min="8731" max="8731" width="14.7109375" customWidth="1"/>
    <col min="8732" max="8732" width="11.28515625" customWidth="1"/>
    <col min="8733" max="8733" width="12.140625" customWidth="1"/>
    <col min="8734" max="8735" width="10" customWidth="1"/>
    <col min="8736" max="8737" width="12.28515625" customWidth="1"/>
    <col min="8738" max="8738" width="13.42578125" customWidth="1"/>
    <col min="8739" max="8739" width="11.140625" customWidth="1"/>
    <col min="8740" max="8740" width="9.85546875" customWidth="1"/>
    <col min="8741" max="8742" width="11" customWidth="1"/>
    <col min="8743" max="8743" width="14.7109375" bestFit="1" customWidth="1"/>
    <col min="8744" max="8745" width="8.85546875" customWidth="1"/>
    <col min="8746" max="8747" width="11.42578125" customWidth="1"/>
    <col min="8748" max="8748" width="15.42578125" bestFit="1" customWidth="1"/>
    <col min="8749" max="8750" width="8.7109375" customWidth="1"/>
    <col min="8751" max="8752" width="10.42578125" customWidth="1"/>
    <col min="8753" max="8753" width="10.7109375" customWidth="1"/>
    <col min="8754" max="8754" width="8.42578125" customWidth="1"/>
    <col min="8755" max="8755" width="8.7109375" customWidth="1"/>
    <col min="8756" max="8756" width="14.5703125" customWidth="1"/>
    <col min="8757" max="8758" width="11.140625" customWidth="1"/>
    <col min="8759" max="8760" width="10.7109375" customWidth="1"/>
    <col min="8961" max="8961" width="28.42578125" customWidth="1"/>
    <col min="8962" max="8962" width="7.28515625" customWidth="1"/>
    <col min="8963" max="8963" width="10.85546875" customWidth="1"/>
    <col min="8964" max="8964" width="0" hidden="1" customWidth="1"/>
    <col min="8965" max="8965" width="11.42578125" customWidth="1"/>
    <col min="8966" max="8966" width="12.42578125" customWidth="1"/>
    <col min="8967" max="8967" width="12" customWidth="1"/>
    <col min="8968" max="8968" width="11" customWidth="1"/>
    <col min="8969" max="8969" width="15.5703125" customWidth="1"/>
    <col min="8970" max="8970" width="11.7109375" customWidth="1"/>
    <col min="8971" max="8971" width="12.42578125" customWidth="1"/>
    <col min="8972" max="8975" width="0" hidden="1" customWidth="1"/>
    <col min="8976" max="8977" width="12.140625" customWidth="1"/>
    <col min="8978" max="8978" width="15.140625" customWidth="1"/>
    <col min="8979" max="8979" width="8.85546875" customWidth="1"/>
    <col min="8980" max="8980" width="8.7109375" customWidth="1"/>
    <col min="8981" max="8981" width="14.5703125" customWidth="1"/>
    <col min="8982" max="8982" width="13.28515625" customWidth="1"/>
    <col min="8983" max="8983" width="12.140625" customWidth="1"/>
    <col min="8984" max="8984" width="11.85546875" customWidth="1"/>
    <col min="8985" max="8986" width="10.28515625" customWidth="1"/>
    <col min="8987" max="8987" width="14.7109375" customWidth="1"/>
    <col min="8988" max="8988" width="11.28515625" customWidth="1"/>
    <col min="8989" max="8989" width="12.140625" customWidth="1"/>
    <col min="8990" max="8991" width="10" customWidth="1"/>
    <col min="8992" max="8993" width="12.28515625" customWidth="1"/>
    <col min="8994" max="8994" width="13.42578125" customWidth="1"/>
    <col min="8995" max="8995" width="11.140625" customWidth="1"/>
    <col min="8996" max="8996" width="9.85546875" customWidth="1"/>
    <col min="8997" max="8998" width="11" customWidth="1"/>
    <col min="8999" max="8999" width="14.7109375" bestFit="1" customWidth="1"/>
    <col min="9000" max="9001" width="8.85546875" customWidth="1"/>
    <col min="9002" max="9003" width="11.42578125" customWidth="1"/>
    <col min="9004" max="9004" width="15.42578125" bestFit="1" customWidth="1"/>
    <col min="9005" max="9006" width="8.7109375" customWidth="1"/>
    <col min="9007" max="9008" width="10.42578125" customWidth="1"/>
    <col min="9009" max="9009" width="10.7109375" customWidth="1"/>
    <col min="9010" max="9010" width="8.42578125" customWidth="1"/>
    <col min="9011" max="9011" width="8.7109375" customWidth="1"/>
    <col min="9012" max="9012" width="14.5703125" customWidth="1"/>
    <col min="9013" max="9014" width="11.140625" customWidth="1"/>
    <col min="9015" max="9016" width="10.7109375" customWidth="1"/>
    <col min="9217" max="9217" width="28.42578125" customWidth="1"/>
    <col min="9218" max="9218" width="7.28515625" customWidth="1"/>
    <col min="9219" max="9219" width="10.85546875" customWidth="1"/>
    <col min="9220" max="9220" width="0" hidden="1" customWidth="1"/>
    <col min="9221" max="9221" width="11.42578125" customWidth="1"/>
    <col min="9222" max="9222" width="12.42578125" customWidth="1"/>
    <col min="9223" max="9223" width="12" customWidth="1"/>
    <col min="9224" max="9224" width="11" customWidth="1"/>
    <col min="9225" max="9225" width="15.5703125" customWidth="1"/>
    <col min="9226" max="9226" width="11.7109375" customWidth="1"/>
    <col min="9227" max="9227" width="12.42578125" customWidth="1"/>
    <col min="9228" max="9231" width="0" hidden="1" customWidth="1"/>
    <col min="9232" max="9233" width="12.140625" customWidth="1"/>
    <col min="9234" max="9234" width="15.140625" customWidth="1"/>
    <col min="9235" max="9235" width="8.85546875" customWidth="1"/>
    <col min="9236" max="9236" width="8.7109375" customWidth="1"/>
    <col min="9237" max="9237" width="14.5703125" customWidth="1"/>
    <col min="9238" max="9238" width="13.28515625" customWidth="1"/>
    <col min="9239" max="9239" width="12.140625" customWidth="1"/>
    <col min="9240" max="9240" width="11.85546875" customWidth="1"/>
    <col min="9241" max="9242" width="10.28515625" customWidth="1"/>
    <col min="9243" max="9243" width="14.7109375" customWidth="1"/>
    <col min="9244" max="9244" width="11.28515625" customWidth="1"/>
    <col min="9245" max="9245" width="12.140625" customWidth="1"/>
    <col min="9246" max="9247" width="10" customWidth="1"/>
    <col min="9248" max="9249" width="12.28515625" customWidth="1"/>
    <col min="9250" max="9250" width="13.42578125" customWidth="1"/>
    <col min="9251" max="9251" width="11.140625" customWidth="1"/>
    <col min="9252" max="9252" width="9.85546875" customWidth="1"/>
    <col min="9253" max="9254" width="11" customWidth="1"/>
    <col min="9255" max="9255" width="14.7109375" bestFit="1" customWidth="1"/>
    <col min="9256" max="9257" width="8.85546875" customWidth="1"/>
    <col min="9258" max="9259" width="11.42578125" customWidth="1"/>
    <col min="9260" max="9260" width="15.42578125" bestFit="1" customWidth="1"/>
    <col min="9261" max="9262" width="8.7109375" customWidth="1"/>
    <col min="9263" max="9264" width="10.42578125" customWidth="1"/>
    <col min="9265" max="9265" width="10.7109375" customWidth="1"/>
    <col min="9266" max="9266" width="8.42578125" customWidth="1"/>
    <col min="9267" max="9267" width="8.7109375" customWidth="1"/>
    <col min="9268" max="9268" width="14.5703125" customWidth="1"/>
    <col min="9269" max="9270" width="11.140625" customWidth="1"/>
    <col min="9271" max="9272" width="10.7109375" customWidth="1"/>
    <col min="9473" max="9473" width="28.42578125" customWidth="1"/>
    <col min="9474" max="9474" width="7.28515625" customWidth="1"/>
    <col min="9475" max="9475" width="10.85546875" customWidth="1"/>
    <col min="9476" max="9476" width="0" hidden="1" customWidth="1"/>
    <col min="9477" max="9477" width="11.42578125" customWidth="1"/>
    <col min="9478" max="9478" width="12.42578125" customWidth="1"/>
    <col min="9479" max="9479" width="12" customWidth="1"/>
    <col min="9480" max="9480" width="11" customWidth="1"/>
    <col min="9481" max="9481" width="15.5703125" customWidth="1"/>
    <col min="9482" max="9482" width="11.7109375" customWidth="1"/>
    <col min="9483" max="9483" width="12.42578125" customWidth="1"/>
    <col min="9484" max="9487" width="0" hidden="1" customWidth="1"/>
    <col min="9488" max="9489" width="12.140625" customWidth="1"/>
    <col min="9490" max="9490" width="15.140625" customWidth="1"/>
    <col min="9491" max="9491" width="8.85546875" customWidth="1"/>
    <col min="9492" max="9492" width="8.7109375" customWidth="1"/>
    <col min="9493" max="9493" width="14.5703125" customWidth="1"/>
    <col min="9494" max="9494" width="13.28515625" customWidth="1"/>
    <col min="9495" max="9495" width="12.140625" customWidth="1"/>
    <col min="9496" max="9496" width="11.85546875" customWidth="1"/>
    <col min="9497" max="9498" width="10.28515625" customWidth="1"/>
    <col min="9499" max="9499" width="14.7109375" customWidth="1"/>
    <col min="9500" max="9500" width="11.28515625" customWidth="1"/>
    <col min="9501" max="9501" width="12.140625" customWidth="1"/>
    <col min="9502" max="9503" width="10" customWidth="1"/>
    <col min="9504" max="9505" width="12.28515625" customWidth="1"/>
    <col min="9506" max="9506" width="13.42578125" customWidth="1"/>
    <col min="9507" max="9507" width="11.140625" customWidth="1"/>
    <col min="9508" max="9508" width="9.85546875" customWidth="1"/>
    <col min="9509" max="9510" width="11" customWidth="1"/>
    <col min="9511" max="9511" width="14.7109375" bestFit="1" customWidth="1"/>
    <col min="9512" max="9513" width="8.85546875" customWidth="1"/>
    <col min="9514" max="9515" width="11.42578125" customWidth="1"/>
    <col min="9516" max="9516" width="15.42578125" bestFit="1" customWidth="1"/>
    <col min="9517" max="9518" width="8.7109375" customWidth="1"/>
    <col min="9519" max="9520" width="10.42578125" customWidth="1"/>
    <col min="9521" max="9521" width="10.7109375" customWidth="1"/>
    <col min="9522" max="9522" width="8.42578125" customWidth="1"/>
    <col min="9523" max="9523" width="8.7109375" customWidth="1"/>
    <col min="9524" max="9524" width="14.5703125" customWidth="1"/>
    <col min="9525" max="9526" width="11.140625" customWidth="1"/>
    <col min="9527" max="9528" width="10.7109375" customWidth="1"/>
    <col min="9729" max="9729" width="28.42578125" customWidth="1"/>
    <col min="9730" max="9730" width="7.28515625" customWidth="1"/>
    <col min="9731" max="9731" width="10.85546875" customWidth="1"/>
    <col min="9732" max="9732" width="0" hidden="1" customWidth="1"/>
    <col min="9733" max="9733" width="11.42578125" customWidth="1"/>
    <col min="9734" max="9734" width="12.42578125" customWidth="1"/>
    <col min="9735" max="9735" width="12" customWidth="1"/>
    <col min="9736" max="9736" width="11" customWidth="1"/>
    <col min="9737" max="9737" width="15.5703125" customWidth="1"/>
    <col min="9738" max="9738" width="11.7109375" customWidth="1"/>
    <col min="9739" max="9739" width="12.42578125" customWidth="1"/>
    <col min="9740" max="9743" width="0" hidden="1" customWidth="1"/>
    <col min="9744" max="9745" width="12.140625" customWidth="1"/>
    <col min="9746" max="9746" width="15.140625" customWidth="1"/>
    <col min="9747" max="9747" width="8.85546875" customWidth="1"/>
    <col min="9748" max="9748" width="8.7109375" customWidth="1"/>
    <col min="9749" max="9749" width="14.5703125" customWidth="1"/>
    <col min="9750" max="9750" width="13.28515625" customWidth="1"/>
    <col min="9751" max="9751" width="12.140625" customWidth="1"/>
    <col min="9752" max="9752" width="11.85546875" customWidth="1"/>
    <col min="9753" max="9754" width="10.28515625" customWidth="1"/>
    <col min="9755" max="9755" width="14.7109375" customWidth="1"/>
    <col min="9756" max="9756" width="11.28515625" customWidth="1"/>
    <col min="9757" max="9757" width="12.140625" customWidth="1"/>
    <col min="9758" max="9759" width="10" customWidth="1"/>
    <col min="9760" max="9761" width="12.28515625" customWidth="1"/>
    <col min="9762" max="9762" width="13.42578125" customWidth="1"/>
    <col min="9763" max="9763" width="11.140625" customWidth="1"/>
    <col min="9764" max="9764" width="9.85546875" customWidth="1"/>
    <col min="9765" max="9766" width="11" customWidth="1"/>
    <col min="9767" max="9767" width="14.7109375" bestFit="1" customWidth="1"/>
    <col min="9768" max="9769" width="8.85546875" customWidth="1"/>
    <col min="9770" max="9771" width="11.42578125" customWidth="1"/>
    <col min="9772" max="9772" width="15.42578125" bestFit="1" customWidth="1"/>
    <col min="9773" max="9774" width="8.7109375" customWidth="1"/>
    <col min="9775" max="9776" width="10.42578125" customWidth="1"/>
    <col min="9777" max="9777" width="10.7109375" customWidth="1"/>
    <col min="9778" max="9778" width="8.42578125" customWidth="1"/>
    <col min="9779" max="9779" width="8.7109375" customWidth="1"/>
    <col min="9780" max="9780" width="14.5703125" customWidth="1"/>
    <col min="9781" max="9782" width="11.140625" customWidth="1"/>
    <col min="9783" max="9784" width="10.7109375" customWidth="1"/>
    <col min="9985" max="9985" width="28.42578125" customWidth="1"/>
    <col min="9986" max="9986" width="7.28515625" customWidth="1"/>
    <col min="9987" max="9987" width="10.85546875" customWidth="1"/>
    <col min="9988" max="9988" width="0" hidden="1" customWidth="1"/>
    <col min="9989" max="9989" width="11.42578125" customWidth="1"/>
    <col min="9990" max="9990" width="12.42578125" customWidth="1"/>
    <col min="9991" max="9991" width="12" customWidth="1"/>
    <col min="9992" max="9992" width="11" customWidth="1"/>
    <col min="9993" max="9993" width="15.5703125" customWidth="1"/>
    <col min="9994" max="9994" width="11.7109375" customWidth="1"/>
    <col min="9995" max="9995" width="12.42578125" customWidth="1"/>
    <col min="9996" max="9999" width="0" hidden="1" customWidth="1"/>
    <col min="10000" max="10001" width="12.140625" customWidth="1"/>
    <col min="10002" max="10002" width="15.140625" customWidth="1"/>
    <col min="10003" max="10003" width="8.85546875" customWidth="1"/>
    <col min="10004" max="10004" width="8.7109375" customWidth="1"/>
    <col min="10005" max="10005" width="14.5703125" customWidth="1"/>
    <col min="10006" max="10006" width="13.28515625" customWidth="1"/>
    <col min="10007" max="10007" width="12.140625" customWidth="1"/>
    <col min="10008" max="10008" width="11.85546875" customWidth="1"/>
    <col min="10009" max="10010" width="10.28515625" customWidth="1"/>
    <col min="10011" max="10011" width="14.7109375" customWidth="1"/>
    <col min="10012" max="10012" width="11.28515625" customWidth="1"/>
    <col min="10013" max="10013" width="12.140625" customWidth="1"/>
    <col min="10014" max="10015" width="10" customWidth="1"/>
    <col min="10016" max="10017" width="12.28515625" customWidth="1"/>
    <col min="10018" max="10018" width="13.42578125" customWidth="1"/>
    <col min="10019" max="10019" width="11.140625" customWidth="1"/>
    <col min="10020" max="10020" width="9.85546875" customWidth="1"/>
    <col min="10021" max="10022" width="11" customWidth="1"/>
    <col min="10023" max="10023" width="14.7109375" bestFit="1" customWidth="1"/>
    <col min="10024" max="10025" width="8.85546875" customWidth="1"/>
    <col min="10026" max="10027" width="11.42578125" customWidth="1"/>
    <col min="10028" max="10028" width="15.42578125" bestFit="1" customWidth="1"/>
    <col min="10029" max="10030" width="8.7109375" customWidth="1"/>
    <col min="10031" max="10032" width="10.42578125" customWidth="1"/>
    <col min="10033" max="10033" width="10.7109375" customWidth="1"/>
    <col min="10034" max="10034" width="8.42578125" customWidth="1"/>
    <col min="10035" max="10035" width="8.7109375" customWidth="1"/>
    <col min="10036" max="10036" width="14.5703125" customWidth="1"/>
    <col min="10037" max="10038" width="11.140625" customWidth="1"/>
    <col min="10039" max="10040" width="10.7109375" customWidth="1"/>
    <col min="10241" max="10241" width="28.42578125" customWidth="1"/>
    <col min="10242" max="10242" width="7.28515625" customWidth="1"/>
    <col min="10243" max="10243" width="10.85546875" customWidth="1"/>
    <col min="10244" max="10244" width="0" hidden="1" customWidth="1"/>
    <col min="10245" max="10245" width="11.42578125" customWidth="1"/>
    <col min="10246" max="10246" width="12.42578125" customWidth="1"/>
    <col min="10247" max="10247" width="12" customWidth="1"/>
    <col min="10248" max="10248" width="11" customWidth="1"/>
    <col min="10249" max="10249" width="15.5703125" customWidth="1"/>
    <col min="10250" max="10250" width="11.7109375" customWidth="1"/>
    <col min="10251" max="10251" width="12.42578125" customWidth="1"/>
    <col min="10252" max="10255" width="0" hidden="1" customWidth="1"/>
    <col min="10256" max="10257" width="12.140625" customWidth="1"/>
    <col min="10258" max="10258" width="15.140625" customWidth="1"/>
    <col min="10259" max="10259" width="8.85546875" customWidth="1"/>
    <col min="10260" max="10260" width="8.7109375" customWidth="1"/>
    <col min="10261" max="10261" width="14.5703125" customWidth="1"/>
    <col min="10262" max="10262" width="13.28515625" customWidth="1"/>
    <col min="10263" max="10263" width="12.140625" customWidth="1"/>
    <col min="10264" max="10264" width="11.85546875" customWidth="1"/>
    <col min="10265" max="10266" width="10.28515625" customWidth="1"/>
    <col min="10267" max="10267" width="14.7109375" customWidth="1"/>
    <col min="10268" max="10268" width="11.28515625" customWidth="1"/>
    <col min="10269" max="10269" width="12.140625" customWidth="1"/>
    <col min="10270" max="10271" width="10" customWidth="1"/>
    <col min="10272" max="10273" width="12.28515625" customWidth="1"/>
    <col min="10274" max="10274" width="13.42578125" customWidth="1"/>
    <col min="10275" max="10275" width="11.140625" customWidth="1"/>
    <col min="10276" max="10276" width="9.85546875" customWidth="1"/>
    <col min="10277" max="10278" width="11" customWidth="1"/>
    <col min="10279" max="10279" width="14.7109375" bestFit="1" customWidth="1"/>
    <col min="10280" max="10281" width="8.85546875" customWidth="1"/>
    <col min="10282" max="10283" width="11.42578125" customWidth="1"/>
    <col min="10284" max="10284" width="15.42578125" bestFit="1" customWidth="1"/>
    <col min="10285" max="10286" width="8.7109375" customWidth="1"/>
    <col min="10287" max="10288" width="10.42578125" customWidth="1"/>
    <col min="10289" max="10289" width="10.7109375" customWidth="1"/>
    <col min="10290" max="10290" width="8.42578125" customWidth="1"/>
    <col min="10291" max="10291" width="8.7109375" customWidth="1"/>
    <col min="10292" max="10292" width="14.5703125" customWidth="1"/>
    <col min="10293" max="10294" width="11.140625" customWidth="1"/>
    <col min="10295" max="10296" width="10.7109375" customWidth="1"/>
    <col min="10497" max="10497" width="28.42578125" customWidth="1"/>
    <col min="10498" max="10498" width="7.28515625" customWidth="1"/>
    <col min="10499" max="10499" width="10.85546875" customWidth="1"/>
    <col min="10500" max="10500" width="0" hidden="1" customWidth="1"/>
    <col min="10501" max="10501" width="11.42578125" customWidth="1"/>
    <col min="10502" max="10502" width="12.42578125" customWidth="1"/>
    <col min="10503" max="10503" width="12" customWidth="1"/>
    <col min="10504" max="10504" width="11" customWidth="1"/>
    <col min="10505" max="10505" width="15.5703125" customWidth="1"/>
    <col min="10506" max="10506" width="11.7109375" customWidth="1"/>
    <col min="10507" max="10507" width="12.42578125" customWidth="1"/>
    <col min="10508" max="10511" width="0" hidden="1" customWidth="1"/>
    <col min="10512" max="10513" width="12.140625" customWidth="1"/>
    <col min="10514" max="10514" width="15.140625" customWidth="1"/>
    <col min="10515" max="10515" width="8.85546875" customWidth="1"/>
    <col min="10516" max="10516" width="8.7109375" customWidth="1"/>
    <col min="10517" max="10517" width="14.5703125" customWidth="1"/>
    <col min="10518" max="10518" width="13.28515625" customWidth="1"/>
    <col min="10519" max="10519" width="12.140625" customWidth="1"/>
    <col min="10520" max="10520" width="11.85546875" customWidth="1"/>
    <col min="10521" max="10522" width="10.28515625" customWidth="1"/>
    <col min="10523" max="10523" width="14.7109375" customWidth="1"/>
    <col min="10524" max="10524" width="11.28515625" customWidth="1"/>
    <col min="10525" max="10525" width="12.140625" customWidth="1"/>
    <col min="10526" max="10527" width="10" customWidth="1"/>
    <col min="10528" max="10529" width="12.28515625" customWidth="1"/>
    <col min="10530" max="10530" width="13.42578125" customWidth="1"/>
    <col min="10531" max="10531" width="11.140625" customWidth="1"/>
    <col min="10532" max="10532" width="9.85546875" customWidth="1"/>
    <col min="10533" max="10534" width="11" customWidth="1"/>
    <col min="10535" max="10535" width="14.7109375" bestFit="1" customWidth="1"/>
    <col min="10536" max="10537" width="8.85546875" customWidth="1"/>
    <col min="10538" max="10539" width="11.42578125" customWidth="1"/>
    <col min="10540" max="10540" width="15.42578125" bestFit="1" customWidth="1"/>
    <col min="10541" max="10542" width="8.7109375" customWidth="1"/>
    <col min="10543" max="10544" width="10.42578125" customWidth="1"/>
    <col min="10545" max="10545" width="10.7109375" customWidth="1"/>
    <col min="10546" max="10546" width="8.42578125" customWidth="1"/>
    <col min="10547" max="10547" width="8.7109375" customWidth="1"/>
    <col min="10548" max="10548" width="14.5703125" customWidth="1"/>
    <col min="10549" max="10550" width="11.140625" customWidth="1"/>
    <col min="10551" max="10552" width="10.7109375" customWidth="1"/>
    <col min="10753" max="10753" width="28.42578125" customWidth="1"/>
    <col min="10754" max="10754" width="7.28515625" customWidth="1"/>
    <col min="10755" max="10755" width="10.85546875" customWidth="1"/>
    <col min="10756" max="10756" width="0" hidden="1" customWidth="1"/>
    <col min="10757" max="10757" width="11.42578125" customWidth="1"/>
    <col min="10758" max="10758" width="12.42578125" customWidth="1"/>
    <col min="10759" max="10759" width="12" customWidth="1"/>
    <col min="10760" max="10760" width="11" customWidth="1"/>
    <col min="10761" max="10761" width="15.5703125" customWidth="1"/>
    <col min="10762" max="10762" width="11.7109375" customWidth="1"/>
    <col min="10763" max="10763" width="12.42578125" customWidth="1"/>
    <col min="10764" max="10767" width="0" hidden="1" customWidth="1"/>
    <col min="10768" max="10769" width="12.140625" customWidth="1"/>
    <col min="10770" max="10770" width="15.140625" customWidth="1"/>
    <col min="10771" max="10771" width="8.85546875" customWidth="1"/>
    <col min="10772" max="10772" width="8.7109375" customWidth="1"/>
    <col min="10773" max="10773" width="14.5703125" customWidth="1"/>
    <col min="10774" max="10774" width="13.28515625" customWidth="1"/>
    <col min="10775" max="10775" width="12.140625" customWidth="1"/>
    <col min="10776" max="10776" width="11.85546875" customWidth="1"/>
    <col min="10777" max="10778" width="10.28515625" customWidth="1"/>
    <col min="10779" max="10779" width="14.7109375" customWidth="1"/>
    <col min="10780" max="10780" width="11.28515625" customWidth="1"/>
    <col min="10781" max="10781" width="12.140625" customWidth="1"/>
    <col min="10782" max="10783" width="10" customWidth="1"/>
    <col min="10784" max="10785" width="12.28515625" customWidth="1"/>
    <col min="10786" max="10786" width="13.42578125" customWidth="1"/>
    <col min="10787" max="10787" width="11.140625" customWidth="1"/>
    <col min="10788" max="10788" width="9.85546875" customWidth="1"/>
    <col min="10789" max="10790" width="11" customWidth="1"/>
    <col min="10791" max="10791" width="14.7109375" bestFit="1" customWidth="1"/>
    <col min="10792" max="10793" width="8.85546875" customWidth="1"/>
    <col min="10794" max="10795" width="11.42578125" customWidth="1"/>
    <col min="10796" max="10796" width="15.42578125" bestFit="1" customWidth="1"/>
    <col min="10797" max="10798" width="8.7109375" customWidth="1"/>
    <col min="10799" max="10800" width="10.42578125" customWidth="1"/>
    <col min="10801" max="10801" width="10.7109375" customWidth="1"/>
    <col min="10802" max="10802" width="8.42578125" customWidth="1"/>
    <col min="10803" max="10803" width="8.7109375" customWidth="1"/>
    <col min="10804" max="10804" width="14.5703125" customWidth="1"/>
    <col min="10805" max="10806" width="11.140625" customWidth="1"/>
    <col min="10807" max="10808" width="10.7109375" customWidth="1"/>
    <col min="11009" max="11009" width="28.42578125" customWidth="1"/>
    <col min="11010" max="11010" width="7.28515625" customWidth="1"/>
    <col min="11011" max="11011" width="10.85546875" customWidth="1"/>
    <col min="11012" max="11012" width="0" hidden="1" customWidth="1"/>
    <col min="11013" max="11013" width="11.42578125" customWidth="1"/>
    <col min="11014" max="11014" width="12.42578125" customWidth="1"/>
    <col min="11015" max="11015" width="12" customWidth="1"/>
    <col min="11016" max="11016" width="11" customWidth="1"/>
    <col min="11017" max="11017" width="15.5703125" customWidth="1"/>
    <col min="11018" max="11018" width="11.7109375" customWidth="1"/>
    <col min="11019" max="11019" width="12.42578125" customWidth="1"/>
    <col min="11020" max="11023" width="0" hidden="1" customWidth="1"/>
    <col min="11024" max="11025" width="12.140625" customWidth="1"/>
    <col min="11026" max="11026" width="15.140625" customWidth="1"/>
    <col min="11027" max="11027" width="8.85546875" customWidth="1"/>
    <col min="11028" max="11028" width="8.7109375" customWidth="1"/>
    <col min="11029" max="11029" width="14.5703125" customWidth="1"/>
    <col min="11030" max="11030" width="13.28515625" customWidth="1"/>
    <col min="11031" max="11031" width="12.140625" customWidth="1"/>
    <col min="11032" max="11032" width="11.85546875" customWidth="1"/>
    <col min="11033" max="11034" width="10.28515625" customWidth="1"/>
    <col min="11035" max="11035" width="14.7109375" customWidth="1"/>
    <col min="11036" max="11036" width="11.28515625" customWidth="1"/>
    <col min="11037" max="11037" width="12.140625" customWidth="1"/>
    <col min="11038" max="11039" width="10" customWidth="1"/>
    <col min="11040" max="11041" width="12.28515625" customWidth="1"/>
    <col min="11042" max="11042" width="13.42578125" customWidth="1"/>
    <col min="11043" max="11043" width="11.140625" customWidth="1"/>
    <col min="11044" max="11044" width="9.85546875" customWidth="1"/>
    <col min="11045" max="11046" width="11" customWidth="1"/>
    <col min="11047" max="11047" width="14.7109375" bestFit="1" customWidth="1"/>
    <col min="11048" max="11049" width="8.85546875" customWidth="1"/>
    <col min="11050" max="11051" width="11.42578125" customWidth="1"/>
    <col min="11052" max="11052" width="15.42578125" bestFit="1" customWidth="1"/>
    <col min="11053" max="11054" width="8.7109375" customWidth="1"/>
    <col min="11055" max="11056" width="10.42578125" customWidth="1"/>
    <col min="11057" max="11057" width="10.7109375" customWidth="1"/>
    <col min="11058" max="11058" width="8.42578125" customWidth="1"/>
    <col min="11059" max="11059" width="8.7109375" customWidth="1"/>
    <col min="11060" max="11060" width="14.5703125" customWidth="1"/>
    <col min="11061" max="11062" width="11.140625" customWidth="1"/>
    <col min="11063" max="11064" width="10.7109375" customWidth="1"/>
    <col min="11265" max="11265" width="28.42578125" customWidth="1"/>
    <col min="11266" max="11266" width="7.28515625" customWidth="1"/>
    <col min="11267" max="11267" width="10.85546875" customWidth="1"/>
    <col min="11268" max="11268" width="0" hidden="1" customWidth="1"/>
    <col min="11269" max="11269" width="11.42578125" customWidth="1"/>
    <col min="11270" max="11270" width="12.42578125" customWidth="1"/>
    <col min="11271" max="11271" width="12" customWidth="1"/>
    <col min="11272" max="11272" width="11" customWidth="1"/>
    <col min="11273" max="11273" width="15.5703125" customWidth="1"/>
    <col min="11274" max="11274" width="11.7109375" customWidth="1"/>
    <col min="11275" max="11275" width="12.42578125" customWidth="1"/>
    <col min="11276" max="11279" width="0" hidden="1" customWidth="1"/>
    <col min="11280" max="11281" width="12.140625" customWidth="1"/>
    <col min="11282" max="11282" width="15.140625" customWidth="1"/>
    <col min="11283" max="11283" width="8.85546875" customWidth="1"/>
    <col min="11284" max="11284" width="8.7109375" customWidth="1"/>
    <col min="11285" max="11285" width="14.5703125" customWidth="1"/>
    <col min="11286" max="11286" width="13.28515625" customWidth="1"/>
    <col min="11287" max="11287" width="12.140625" customWidth="1"/>
    <col min="11288" max="11288" width="11.85546875" customWidth="1"/>
    <col min="11289" max="11290" width="10.28515625" customWidth="1"/>
    <col min="11291" max="11291" width="14.7109375" customWidth="1"/>
    <col min="11292" max="11292" width="11.28515625" customWidth="1"/>
    <col min="11293" max="11293" width="12.140625" customWidth="1"/>
    <col min="11294" max="11295" width="10" customWidth="1"/>
    <col min="11296" max="11297" width="12.28515625" customWidth="1"/>
    <col min="11298" max="11298" width="13.42578125" customWidth="1"/>
    <col min="11299" max="11299" width="11.140625" customWidth="1"/>
    <col min="11300" max="11300" width="9.85546875" customWidth="1"/>
    <col min="11301" max="11302" width="11" customWidth="1"/>
    <col min="11303" max="11303" width="14.7109375" bestFit="1" customWidth="1"/>
    <col min="11304" max="11305" width="8.85546875" customWidth="1"/>
    <col min="11306" max="11307" width="11.42578125" customWidth="1"/>
    <col min="11308" max="11308" width="15.42578125" bestFit="1" customWidth="1"/>
    <col min="11309" max="11310" width="8.7109375" customWidth="1"/>
    <col min="11311" max="11312" width="10.42578125" customWidth="1"/>
    <col min="11313" max="11313" width="10.7109375" customWidth="1"/>
    <col min="11314" max="11314" width="8.42578125" customWidth="1"/>
    <col min="11315" max="11315" width="8.7109375" customWidth="1"/>
    <col min="11316" max="11316" width="14.5703125" customWidth="1"/>
    <col min="11317" max="11318" width="11.140625" customWidth="1"/>
    <col min="11319" max="11320" width="10.7109375" customWidth="1"/>
    <col min="11521" max="11521" width="28.42578125" customWidth="1"/>
    <col min="11522" max="11522" width="7.28515625" customWidth="1"/>
    <col min="11523" max="11523" width="10.85546875" customWidth="1"/>
    <col min="11524" max="11524" width="0" hidden="1" customWidth="1"/>
    <col min="11525" max="11525" width="11.42578125" customWidth="1"/>
    <col min="11526" max="11526" width="12.42578125" customWidth="1"/>
    <col min="11527" max="11527" width="12" customWidth="1"/>
    <col min="11528" max="11528" width="11" customWidth="1"/>
    <col min="11529" max="11529" width="15.5703125" customWidth="1"/>
    <col min="11530" max="11530" width="11.7109375" customWidth="1"/>
    <col min="11531" max="11531" width="12.42578125" customWidth="1"/>
    <col min="11532" max="11535" width="0" hidden="1" customWidth="1"/>
    <col min="11536" max="11537" width="12.140625" customWidth="1"/>
    <col min="11538" max="11538" width="15.140625" customWidth="1"/>
    <col min="11539" max="11539" width="8.85546875" customWidth="1"/>
    <col min="11540" max="11540" width="8.7109375" customWidth="1"/>
    <col min="11541" max="11541" width="14.5703125" customWidth="1"/>
    <col min="11542" max="11542" width="13.28515625" customWidth="1"/>
    <col min="11543" max="11543" width="12.140625" customWidth="1"/>
    <col min="11544" max="11544" width="11.85546875" customWidth="1"/>
    <col min="11545" max="11546" width="10.28515625" customWidth="1"/>
    <col min="11547" max="11547" width="14.7109375" customWidth="1"/>
    <col min="11548" max="11548" width="11.28515625" customWidth="1"/>
    <col min="11549" max="11549" width="12.140625" customWidth="1"/>
    <col min="11550" max="11551" width="10" customWidth="1"/>
    <col min="11552" max="11553" width="12.28515625" customWidth="1"/>
    <col min="11554" max="11554" width="13.42578125" customWidth="1"/>
    <col min="11555" max="11555" width="11.140625" customWidth="1"/>
    <col min="11556" max="11556" width="9.85546875" customWidth="1"/>
    <col min="11557" max="11558" width="11" customWidth="1"/>
    <col min="11559" max="11559" width="14.7109375" bestFit="1" customWidth="1"/>
    <col min="11560" max="11561" width="8.85546875" customWidth="1"/>
    <col min="11562" max="11563" width="11.42578125" customWidth="1"/>
    <col min="11564" max="11564" width="15.42578125" bestFit="1" customWidth="1"/>
    <col min="11565" max="11566" width="8.7109375" customWidth="1"/>
    <col min="11567" max="11568" width="10.42578125" customWidth="1"/>
    <col min="11569" max="11569" width="10.7109375" customWidth="1"/>
    <col min="11570" max="11570" width="8.42578125" customWidth="1"/>
    <col min="11571" max="11571" width="8.7109375" customWidth="1"/>
    <col min="11572" max="11572" width="14.5703125" customWidth="1"/>
    <col min="11573" max="11574" width="11.140625" customWidth="1"/>
    <col min="11575" max="11576" width="10.7109375" customWidth="1"/>
    <col min="11777" max="11777" width="28.42578125" customWidth="1"/>
    <col min="11778" max="11778" width="7.28515625" customWidth="1"/>
    <col min="11779" max="11779" width="10.85546875" customWidth="1"/>
    <col min="11780" max="11780" width="0" hidden="1" customWidth="1"/>
    <col min="11781" max="11781" width="11.42578125" customWidth="1"/>
    <col min="11782" max="11782" width="12.42578125" customWidth="1"/>
    <col min="11783" max="11783" width="12" customWidth="1"/>
    <col min="11784" max="11784" width="11" customWidth="1"/>
    <col min="11785" max="11785" width="15.5703125" customWidth="1"/>
    <col min="11786" max="11786" width="11.7109375" customWidth="1"/>
    <col min="11787" max="11787" width="12.42578125" customWidth="1"/>
    <col min="11788" max="11791" width="0" hidden="1" customWidth="1"/>
    <col min="11792" max="11793" width="12.140625" customWidth="1"/>
    <col min="11794" max="11794" width="15.140625" customWidth="1"/>
    <col min="11795" max="11795" width="8.85546875" customWidth="1"/>
    <col min="11796" max="11796" width="8.7109375" customWidth="1"/>
    <col min="11797" max="11797" width="14.5703125" customWidth="1"/>
    <col min="11798" max="11798" width="13.28515625" customWidth="1"/>
    <col min="11799" max="11799" width="12.140625" customWidth="1"/>
    <col min="11800" max="11800" width="11.85546875" customWidth="1"/>
    <col min="11801" max="11802" width="10.28515625" customWidth="1"/>
    <col min="11803" max="11803" width="14.7109375" customWidth="1"/>
    <col min="11804" max="11804" width="11.28515625" customWidth="1"/>
    <col min="11805" max="11805" width="12.140625" customWidth="1"/>
    <col min="11806" max="11807" width="10" customWidth="1"/>
    <col min="11808" max="11809" width="12.28515625" customWidth="1"/>
    <col min="11810" max="11810" width="13.42578125" customWidth="1"/>
    <col min="11811" max="11811" width="11.140625" customWidth="1"/>
    <col min="11812" max="11812" width="9.85546875" customWidth="1"/>
    <col min="11813" max="11814" width="11" customWidth="1"/>
    <col min="11815" max="11815" width="14.7109375" bestFit="1" customWidth="1"/>
    <col min="11816" max="11817" width="8.85546875" customWidth="1"/>
    <col min="11818" max="11819" width="11.42578125" customWidth="1"/>
    <col min="11820" max="11820" width="15.42578125" bestFit="1" customWidth="1"/>
    <col min="11821" max="11822" width="8.7109375" customWidth="1"/>
    <col min="11823" max="11824" width="10.42578125" customWidth="1"/>
    <col min="11825" max="11825" width="10.7109375" customWidth="1"/>
    <col min="11826" max="11826" width="8.42578125" customWidth="1"/>
    <col min="11827" max="11827" width="8.7109375" customWidth="1"/>
    <col min="11828" max="11828" width="14.5703125" customWidth="1"/>
    <col min="11829" max="11830" width="11.140625" customWidth="1"/>
    <col min="11831" max="11832" width="10.7109375" customWidth="1"/>
    <col min="12033" max="12033" width="28.42578125" customWidth="1"/>
    <col min="12034" max="12034" width="7.28515625" customWidth="1"/>
    <col min="12035" max="12035" width="10.85546875" customWidth="1"/>
    <col min="12036" max="12036" width="0" hidden="1" customWidth="1"/>
    <col min="12037" max="12037" width="11.42578125" customWidth="1"/>
    <col min="12038" max="12038" width="12.42578125" customWidth="1"/>
    <col min="12039" max="12039" width="12" customWidth="1"/>
    <col min="12040" max="12040" width="11" customWidth="1"/>
    <col min="12041" max="12041" width="15.5703125" customWidth="1"/>
    <col min="12042" max="12042" width="11.7109375" customWidth="1"/>
    <col min="12043" max="12043" width="12.42578125" customWidth="1"/>
    <col min="12044" max="12047" width="0" hidden="1" customWidth="1"/>
    <col min="12048" max="12049" width="12.140625" customWidth="1"/>
    <col min="12050" max="12050" width="15.140625" customWidth="1"/>
    <col min="12051" max="12051" width="8.85546875" customWidth="1"/>
    <col min="12052" max="12052" width="8.7109375" customWidth="1"/>
    <col min="12053" max="12053" width="14.5703125" customWidth="1"/>
    <col min="12054" max="12054" width="13.28515625" customWidth="1"/>
    <col min="12055" max="12055" width="12.140625" customWidth="1"/>
    <col min="12056" max="12056" width="11.85546875" customWidth="1"/>
    <col min="12057" max="12058" width="10.28515625" customWidth="1"/>
    <col min="12059" max="12059" width="14.7109375" customWidth="1"/>
    <col min="12060" max="12060" width="11.28515625" customWidth="1"/>
    <col min="12061" max="12061" width="12.140625" customWidth="1"/>
    <col min="12062" max="12063" width="10" customWidth="1"/>
    <col min="12064" max="12065" width="12.28515625" customWidth="1"/>
    <col min="12066" max="12066" width="13.42578125" customWidth="1"/>
    <col min="12067" max="12067" width="11.140625" customWidth="1"/>
    <col min="12068" max="12068" width="9.85546875" customWidth="1"/>
    <col min="12069" max="12070" width="11" customWidth="1"/>
    <col min="12071" max="12071" width="14.7109375" bestFit="1" customWidth="1"/>
    <col min="12072" max="12073" width="8.85546875" customWidth="1"/>
    <col min="12074" max="12075" width="11.42578125" customWidth="1"/>
    <col min="12076" max="12076" width="15.42578125" bestFit="1" customWidth="1"/>
    <col min="12077" max="12078" width="8.7109375" customWidth="1"/>
    <col min="12079" max="12080" width="10.42578125" customWidth="1"/>
    <col min="12081" max="12081" width="10.7109375" customWidth="1"/>
    <col min="12082" max="12082" width="8.42578125" customWidth="1"/>
    <col min="12083" max="12083" width="8.7109375" customWidth="1"/>
    <col min="12084" max="12084" width="14.5703125" customWidth="1"/>
    <col min="12085" max="12086" width="11.140625" customWidth="1"/>
    <col min="12087" max="12088" width="10.7109375" customWidth="1"/>
    <col min="12289" max="12289" width="28.42578125" customWidth="1"/>
    <col min="12290" max="12290" width="7.28515625" customWidth="1"/>
    <col min="12291" max="12291" width="10.85546875" customWidth="1"/>
    <col min="12292" max="12292" width="0" hidden="1" customWidth="1"/>
    <col min="12293" max="12293" width="11.42578125" customWidth="1"/>
    <col min="12294" max="12294" width="12.42578125" customWidth="1"/>
    <col min="12295" max="12295" width="12" customWidth="1"/>
    <col min="12296" max="12296" width="11" customWidth="1"/>
    <col min="12297" max="12297" width="15.5703125" customWidth="1"/>
    <col min="12298" max="12298" width="11.7109375" customWidth="1"/>
    <col min="12299" max="12299" width="12.42578125" customWidth="1"/>
    <col min="12300" max="12303" width="0" hidden="1" customWidth="1"/>
    <col min="12304" max="12305" width="12.140625" customWidth="1"/>
    <col min="12306" max="12306" width="15.140625" customWidth="1"/>
    <col min="12307" max="12307" width="8.85546875" customWidth="1"/>
    <col min="12308" max="12308" width="8.7109375" customWidth="1"/>
    <col min="12309" max="12309" width="14.5703125" customWidth="1"/>
    <col min="12310" max="12310" width="13.28515625" customWidth="1"/>
    <col min="12311" max="12311" width="12.140625" customWidth="1"/>
    <col min="12312" max="12312" width="11.85546875" customWidth="1"/>
    <col min="12313" max="12314" width="10.28515625" customWidth="1"/>
    <col min="12315" max="12315" width="14.7109375" customWidth="1"/>
    <col min="12316" max="12316" width="11.28515625" customWidth="1"/>
    <col min="12317" max="12317" width="12.140625" customWidth="1"/>
    <col min="12318" max="12319" width="10" customWidth="1"/>
    <col min="12320" max="12321" width="12.28515625" customWidth="1"/>
    <col min="12322" max="12322" width="13.42578125" customWidth="1"/>
    <col min="12323" max="12323" width="11.140625" customWidth="1"/>
    <col min="12324" max="12324" width="9.85546875" customWidth="1"/>
    <col min="12325" max="12326" width="11" customWidth="1"/>
    <col min="12327" max="12327" width="14.7109375" bestFit="1" customWidth="1"/>
    <col min="12328" max="12329" width="8.85546875" customWidth="1"/>
    <col min="12330" max="12331" width="11.42578125" customWidth="1"/>
    <col min="12332" max="12332" width="15.42578125" bestFit="1" customWidth="1"/>
    <col min="12333" max="12334" width="8.7109375" customWidth="1"/>
    <col min="12335" max="12336" width="10.42578125" customWidth="1"/>
    <col min="12337" max="12337" width="10.7109375" customWidth="1"/>
    <col min="12338" max="12338" width="8.42578125" customWidth="1"/>
    <col min="12339" max="12339" width="8.7109375" customWidth="1"/>
    <col min="12340" max="12340" width="14.5703125" customWidth="1"/>
    <col min="12341" max="12342" width="11.140625" customWidth="1"/>
    <col min="12343" max="12344" width="10.7109375" customWidth="1"/>
    <col min="12545" max="12545" width="28.42578125" customWidth="1"/>
    <col min="12546" max="12546" width="7.28515625" customWidth="1"/>
    <col min="12547" max="12547" width="10.85546875" customWidth="1"/>
    <col min="12548" max="12548" width="0" hidden="1" customWidth="1"/>
    <col min="12549" max="12549" width="11.42578125" customWidth="1"/>
    <col min="12550" max="12550" width="12.42578125" customWidth="1"/>
    <col min="12551" max="12551" width="12" customWidth="1"/>
    <col min="12552" max="12552" width="11" customWidth="1"/>
    <col min="12553" max="12553" width="15.5703125" customWidth="1"/>
    <col min="12554" max="12554" width="11.7109375" customWidth="1"/>
    <col min="12555" max="12555" width="12.42578125" customWidth="1"/>
    <col min="12556" max="12559" width="0" hidden="1" customWidth="1"/>
    <col min="12560" max="12561" width="12.140625" customWidth="1"/>
    <col min="12562" max="12562" width="15.140625" customWidth="1"/>
    <col min="12563" max="12563" width="8.85546875" customWidth="1"/>
    <col min="12564" max="12564" width="8.7109375" customWidth="1"/>
    <col min="12565" max="12565" width="14.5703125" customWidth="1"/>
    <col min="12566" max="12566" width="13.28515625" customWidth="1"/>
    <col min="12567" max="12567" width="12.140625" customWidth="1"/>
    <col min="12568" max="12568" width="11.85546875" customWidth="1"/>
    <col min="12569" max="12570" width="10.28515625" customWidth="1"/>
    <col min="12571" max="12571" width="14.7109375" customWidth="1"/>
    <col min="12572" max="12572" width="11.28515625" customWidth="1"/>
    <col min="12573" max="12573" width="12.140625" customWidth="1"/>
    <col min="12574" max="12575" width="10" customWidth="1"/>
    <col min="12576" max="12577" width="12.28515625" customWidth="1"/>
    <col min="12578" max="12578" width="13.42578125" customWidth="1"/>
    <col min="12579" max="12579" width="11.140625" customWidth="1"/>
    <col min="12580" max="12580" width="9.85546875" customWidth="1"/>
    <col min="12581" max="12582" width="11" customWidth="1"/>
    <col min="12583" max="12583" width="14.7109375" bestFit="1" customWidth="1"/>
    <col min="12584" max="12585" width="8.85546875" customWidth="1"/>
    <col min="12586" max="12587" width="11.42578125" customWidth="1"/>
    <col min="12588" max="12588" width="15.42578125" bestFit="1" customWidth="1"/>
    <col min="12589" max="12590" width="8.7109375" customWidth="1"/>
    <col min="12591" max="12592" width="10.42578125" customWidth="1"/>
    <col min="12593" max="12593" width="10.7109375" customWidth="1"/>
    <col min="12594" max="12594" width="8.42578125" customWidth="1"/>
    <col min="12595" max="12595" width="8.7109375" customWidth="1"/>
    <col min="12596" max="12596" width="14.5703125" customWidth="1"/>
    <col min="12597" max="12598" width="11.140625" customWidth="1"/>
    <col min="12599" max="12600" width="10.7109375" customWidth="1"/>
    <col min="12801" max="12801" width="28.42578125" customWidth="1"/>
    <col min="12802" max="12802" width="7.28515625" customWidth="1"/>
    <col min="12803" max="12803" width="10.85546875" customWidth="1"/>
    <col min="12804" max="12804" width="0" hidden="1" customWidth="1"/>
    <col min="12805" max="12805" width="11.42578125" customWidth="1"/>
    <col min="12806" max="12806" width="12.42578125" customWidth="1"/>
    <col min="12807" max="12807" width="12" customWidth="1"/>
    <col min="12808" max="12808" width="11" customWidth="1"/>
    <col min="12809" max="12809" width="15.5703125" customWidth="1"/>
    <col min="12810" max="12810" width="11.7109375" customWidth="1"/>
    <col min="12811" max="12811" width="12.42578125" customWidth="1"/>
    <col min="12812" max="12815" width="0" hidden="1" customWidth="1"/>
    <col min="12816" max="12817" width="12.140625" customWidth="1"/>
    <col min="12818" max="12818" width="15.140625" customWidth="1"/>
    <col min="12819" max="12819" width="8.85546875" customWidth="1"/>
    <col min="12820" max="12820" width="8.7109375" customWidth="1"/>
    <col min="12821" max="12821" width="14.5703125" customWidth="1"/>
    <col min="12822" max="12822" width="13.28515625" customWidth="1"/>
    <col min="12823" max="12823" width="12.140625" customWidth="1"/>
    <col min="12824" max="12824" width="11.85546875" customWidth="1"/>
    <col min="12825" max="12826" width="10.28515625" customWidth="1"/>
    <col min="12827" max="12827" width="14.7109375" customWidth="1"/>
    <col min="12828" max="12828" width="11.28515625" customWidth="1"/>
    <col min="12829" max="12829" width="12.140625" customWidth="1"/>
    <col min="12830" max="12831" width="10" customWidth="1"/>
    <col min="12832" max="12833" width="12.28515625" customWidth="1"/>
    <col min="12834" max="12834" width="13.42578125" customWidth="1"/>
    <col min="12835" max="12835" width="11.140625" customWidth="1"/>
    <col min="12836" max="12836" width="9.85546875" customWidth="1"/>
    <col min="12837" max="12838" width="11" customWidth="1"/>
    <col min="12839" max="12839" width="14.7109375" bestFit="1" customWidth="1"/>
    <col min="12840" max="12841" width="8.85546875" customWidth="1"/>
    <col min="12842" max="12843" width="11.42578125" customWidth="1"/>
    <col min="12844" max="12844" width="15.42578125" bestFit="1" customWidth="1"/>
    <col min="12845" max="12846" width="8.7109375" customWidth="1"/>
    <col min="12847" max="12848" width="10.42578125" customWidth="1"/>
    <col min="12849" max="12849" width="10.7109375" customWidth="1"/>
    <col min="12850" max="12850" width="8.42578125" customWidth="1"/>
    <col min="12851" max="12851" width="8.7109375" customWidth="1"/>
    <col min="12852" max="12852" width="14.5703125" customWidth="1"/>
    <col min="12853" max="12854" width="11.140625" customWidth="1"/>
    <col min="12855" max="12856" width="10.7109375" customWidth="1"/>
    <col min="13057" max="13057" width="28.42578125" customWidth="1"/>
    <col min="13058" max="13058" width="7.28515625" customWidth="1"/>
    <col min="13059" max="13059" width="10.85546875" customWidth="1"/>
    <col min="13060" max="13060" width="0" hidden="1" customWidth="1"/>
    <col min="13061" max="13061" width="11.42578125" customWidth="1"/>
    <col min="13062" max="13062" width="12.42578125" customWidth="1"/>
    <col min="13063" max="13063" width="12" customWidth="1"/>
    <col min="13064" max="13064" width="11" customWidth="1"/>
    <col min="13065" max="13065" width="15.5703125" customWidth="1"/>
    <col min="13066" max="13066" width="11.7109375" customWidth="1"/>
    <col min="13067" max="13067" width="12.42578125" customWidth="1"/>
    <col min="13068" max="13071" width="0" hidden="1" customWidth="1"/>
    <col min="13072" max="13073" width="12.140625" customWidth="1"/>
    <col min="13074" max="13074" width="15.140625" customWidth="1"/>
    <col min="13075" max="13075" width="8.85546875" customWidth="1"/>
    <col min="13076" max="13076" width="8.7109375" customWidth="1"/>
    <col min="13077" max="13077" width="14.5703125" customWidth="1"/>
    <col min="13078" max="13078" width="13.28515625" customWidth="1"/>
    <col min="13079" max="13079" width="12.140625" customWidth="1"/>
    <col min="13080" max="13080" width="11.85546875" customWidth="1"/>
    <col min="13081" max="13082" width="10.28515625" customWidth="1"/>
    <col min="13083" max="13083" width="14.7109375" customWidth="1"/>
    <col min="13084" max="13084" width="11.28515625" customWidth="1"/>
    <col min="13085" max="13085" width="12.140625" customWidth="1"/>
    <col min="13086" max="13087" width="10" customWidth="1"/>
    <col min="13088" max="13089" width="12.28515625" customWidth="1"/>
    <col min="13090" max="13090" width="13.42578125" customWidth="1"/>
    <col min="13091" max="13091" width="11.140625" customWidth="1"/>
    <col min="13092" max="13092" width="9.85546875" customWidth="1"/>
    <col min="13093" max="13094" width="11" customWidth="1"/>
    <col min="13095" max="13095" width="14.7109375" bestFit="1" customWidth="1"/>
    <col min="13096" max="13097" width="8.85546875" customWidth="1"/>
    <col min="13098" max="13099" width="11.42578125" customWidth="1"/>
    <col min="13100" max="13100" width="15.42578125" bestFit="1" customWidth="1"/>
    <col min="13101" max="13102" width="8.7109375" customWidth="1"/>
    <col min="13103" max="13104" width="10.42578125" customWidth="1"/>
    <col min="13105" max="13105" width="10.7109375" customWidth="1"/>
    <col min="13106" max="13106" width="8.42578125" customWidth="1"/>
    <col min="13107" max="13107" width="8.7109375" customWidth="1"/>
    <col min="13108" max="13108" width="14.5703125" customWidth="1"/>
    <col min="13109" max="13110" width="11.140625" customWidth="1"/>
    <col min="13111" max="13112" width="10.7109375" customWidth="1"/>
    <col min="13313" max="13313" width="28.42578125" customWidth="1"/>
    <col min="13314" max="13314" width="7.28515625" customWidth="1"/>
    <col min="13315" max="13315" width="10.85546875" customWidth="1"/>
    <col min="13316" max="13316" width="0" hidden="1" customWidth="1"/>
    <col min="13317" max="13317" width="11.42578125" customWidth="1"/>
    <col min="13318" max="13318" width="12.42578125" customWidth="1"/>
    <col min="13319" max="13319" width="12" customWidth="1"/>
    <col min="13320" max="13320" width="11" customWidth="1"/>
    <col min="13321" max="13321" width="15.5703125" customWidth="1"/>
    <col min="13322" max="13322" width="11.7109375" customWidth="1"/>
    <col min="13323" max="13323" width="12.42578125" customWidth="1"/>
    <col min="13324" max="13327" width="0" hidden="1" customWidth="1"/>
    <col min="13328" max="13329" width="12.140625" customWidth="1"/>
    <col min="13330" max="13330" width="15.140625" customWidth="1"/>
    <col min="13331" max="13331" width="8.85546875" customWidth="1"/>
    <col min="13332" max="13332" width="8.7109375" customWidth="1"/>
    <col min="13333" max="13333" width="14.5703125" customWidth="1"/>
    <col min="13334" max="13334" width="13.28515625" customWidth="1"/>
    <col min="13335" max="13335" width="12.140625" customWidth="1"/>
    <col min="13336" max="13336" width="11.85546875" customWidth="1"/>
    <col min="13337" max="13338" width="10.28515625" customWidth="1"/>
    <col min="13339" max="13339" width="14.7109375" customWidth="1"/>
    <col min="13340" max="13340" width="11.28515625" customWidth="1"/>
    <col min="13341" max="13341" width="12.140625" customWidth="1"/>
    <col min="13342" max="13343" width="10" customWidth="1"/>
    <col min="13344" max="13345" width="12.28515625" customWidth="1"/>
    <col min="13346" max="13346" width="13.42578125" customWidth="1"/>
    <col min="13347" max="13347" width="11.140625" customWidth="1"/>
    <col min="13348" max="13348" width="9.85546875" customWidth="1"/>
    <col min="13349" max="13350" width="11" customWidth="1"/>
    <col min="13351" max="13351" width="14.7109375" bestFit="1" customWidth="1"/>
    <col min="13352" max="13353" width="8.85546875" customWidth="1"/>
    <col min="13354" max="13355" width="11.42578125" customWidth="1"/>
    <col min="13356" max="13356" width="15.42578125" bestFit="1" customWidth="1"/>
    <col min="13357" max="13358" width="8.7109375" customWidth="1"/>
    <col min="13359" max="13360" width="10.42578125" customWidth="1"/>
    <col min="13361" max="13361" width="10.7109375" customWidth="1"/>
    <col min="13362" max="13362" width="8.42578125" customWidth="1"/>
    <col min="13363" max="13363" width="8.7109375" customWidth="1"/>
    <col min="13364" max="13364" width="14.5703125" customWidth="1"/>
    <col min="13365" max="13366" width="11.140625" customWidth="1"/>
    <col min="13367" max="13368" width="10.7109375" customWidth="1"/>
    <col min="13569" max="13569" width="28.42578125" customWidth="1"/>
    <col min="13570" max="13570" width="7.28515625" customWidth="1"/>
    <col min="13571" max="13571" width="10.85546875" customWidth="1"/>
    <col min="13572" max="13572" width="0" hidden="1" customWidth="1"/>
    <col min="13573" max="13573" width="11.42578125" customWidth="1"/>
    <col min="13574" max="13574" width="12.42578125" customWidth="1"/>
    <col min="13575" max="13575" width="12" customWidth="1"/>
    <col min="13576" max="13576" width="11" customWidth="1"/>
    <col min="13577" max="13577" width="15.5703125" customWidth="1"/>
    <col min="13578" max="13578" width="11.7109375" customWidth="1"/>
    <col min="13579" max="13579" width="12.42578125" customWidth="1"/>
    <col min="13580" max="13583" width="0" hidden="1" customWidth="1"/>
    <col min="13584" max="13585" width="12.140625" customWidth="1"/>
    <col min="13586" max="13586" width="15.140625" customWidth="1"/>
    <col min="13587" max="13587" width="8.85546875" customWidth="1"/>
    <col min="13588" max="13588" width="8.7109375" customWidth="1"/>
    <col min="13589" max="13589" width="14.5703125" customWidth="1"/>
    <col min="13590" max="13590" width="13.28515625" customWidth="1"/>
    <col min="13591" max="13591" width="12.140625" customWidth="1"/>
    <col min="13592" max="13592" width="11.85546875" customWidth="1"/>
    <col min="13593" max="13594" width="10.28515625" customWidth="1"/>
    <col min="13595" max="13595" width="14.7109375" customWidth="1"/>
    <col min="13596" max="13596" width="11.28515625" customWidth="1"/>
    <col min="13597" max="13597" width="12.140625" customWidth="1"/>
    <col min="13598" max="13599" width="10" customWidth="1"/>
    <col min="13600" max="13601" width="12.28515625" customWidth="1"/>
    <col min="13602" max="13602" width="13.42578125" customWidth="1"/>
    <col min="13603" max="13603" width="11.140625" customWidth="1"/>
    <col min="13604" max="13604" width="9.85546875" customWidth="1"/>
    <col min="13605" max="13606" width="11" customWidth="1"/>
    <col min="13607" max="13607" width="14.7109375" bestFit="1" customWidth="1"/>
    <col min="13608" max="13609" width="8.85546875" customWidth="1"/>
    <col min="13610" max="13611" width="11.42578125" customWidth="1"/>
    <col min="13612" max="13612" width="15.42578125" bestFit="1" customWidth="1"/>
    <col min="13613" max="13614" width="8.7109375" customWidth="1"/>
    <col min="13615" max="13616" width="10.42578125" customWidth="1"/>
    <col min="13617" max="13617" width="10.7109375" customWidth="1"/>
    <col min="13618" max="13618" width="8.42578125" customWidth="1"/>
    <col min="13619" max="13619" width="8.7109375" customWidth="1"/>
    <col min="13620" max="13620" width="14.5703125" customWidth="1"/>
    <col min="13621" max="13622" width="11.140625" customWidth="1"/>
    <col min="13623" max="13624" width="10.7109375" customWidth="1"/>
    <col min="13825" max="13825" width="28.42578125" customWidth="1"/>
    <col min="13826" max="13826" width="7.28515625" customWidth="1"/>
    <col min="13827" max="13827" width="10.85546875" customWidth="1"/>
    <col min="13828" max="13828" width="0" hidden="1" customWidth="1"/>
    <col min="13829" max="13829" width="11.42578125" customWidth="1"/>
    <col min="13830" max="13830" width="12.42578125" customWidth="1"/>
    <col min="13831" max="13831" width="12" customWidth="1"/>
    <col min="13832" max="13832" width="11" customWidth="1"/>
    <col min="13833" max="13833" width="15.5703125" customWidth="1"/>
    <col min="13834" max="13834" width="11.7109375" customWidth="1"/>
    <col min="13835" max="13835" width="12.42578125" customWidth="1"/>
    <col min="13836" max="13839" width="0" hidden="1" customWidth="1"/>
    <col min="13840" max="13841" width="12.140625" customWidth="1"/>
    <col min="13842" max="13842" width="15.140625" customWidth="1"/>
    <col min="13843" max="13843" width="8.85546875" customWidth="1"/>
    <col min="13844" max="13844" width="8.7109375" customWidth="1"/>
    <col min="13845" max="13845" width="14.5703125" customWidth="1"/>
    <col min="13846" max="13846" width="13.28515625" customWidth="1"/>
    <col min="13847" max="13847" width="12.140625" customWidth="1"/>
    <col min="13848" max="13848" width="11.85546875" customWidth="1"/>
    <col min="13849" max="13850" width="10.28515625" customWidth="1"/>
    <col min="13851" max="13851" width="14.7109375" customWidth="1"/>
    <col min="13852" max="13852" width="11.28515625" customWidth="1"/>
    <col min="13853" max="13853" width="12.140625" customWidth="1"/>
    <col min="13854" max="13855" width="10" customWidth="1"/>
    <col min="13856" max="13857" width="12.28515625" customWidth="1"/>
    <col min="13858" max="13858" width="13.42578125" customWidth="1"/>
    <col min="13859" max="13859" width="11.140625" customWidth="1"/>
    <col min="13860" max="13860" width="9.85546875" customWidth="1"/>
    <col min="13861" max="13862" width="11" customWidth="1"/>
    <col min="13863" max="13863" width="14.7109375" bestFit="1" customWidth="1"/>
    <col min="13864" max="13865" width="8.85546875" customWidth="1"/>
    <col min="13866" max="13867" width="11.42578125" customWidth="1"/>
    <col min="13868" max="13868" width="15.42578125" bestFit="1" customWidth="1"/>
    <col min="13869" max="13870" width="8.7109375" customWidth="1"/>
    <col min="13871" max="13872" width="10.42578125" customWidth="1"/>
    <col min="13873" max="13873" width="10.7109375" customWidth="1"/>
    <col min="13874" max="13874" width="8.42578125" customWidth="1"/>
    <col min="13875" max="13875" width="8.7109375" customWidth="1"/>
    <col min="13876" max="13876" width="14.5703125" customWidth="1"/>
    <col min="13877" max="13878" width="11.140625" customWidth="1"/>
    <col min="13879" max="13880" width="10.7109375" customWidth="1"/>
    <col min="14081" max="14081" width="28.42578125" customWidth="1"/>
    <col min="14082" max="14082" width="7.28515625" customWidth="1"/>
    <col min="14083" max="14083" width="10.85546875" customWidth="1"/>
    <col min="14084" max="14084" width="0" hidden="1" customWidth="1"/>
    <col min="14085" max="14085" width="11.42578125" customWidth="1"/>
    <col min="14086" max="14086" width="12.42578125" customWidth="1"/>
    <col min="14087" max="14087" width="12" customWidth="1"/>
    <col min="14088" max="14088" width="11" customWidth="1"/>
    <col min="14089" max="14089" width="15.5703125" customWidth="1"/>
    <col min="14090" max="14090" width="11.7109375" customWidth="1"/>
    <col min="14091" max="14091" width="12.42578125" customWidth="1"/>
    <col min="14092" max="14095" width="0" hidden="1" customWidth="1"/>
    <col min="14096" max="14097" width="12.140625" customWidth="1"/>
    <col min="14098" max="14098" width="15.140625" customWidth="1"/>
    <col min="14099" max="14099" width="8.85546875" customWidth="1"/>
    <col min="14100" max="14100" width="8.7109375" customWidth="1"/>
    <col min="14101" max="14101" width="14.5703125" customWidth="1"/>
    <col min="14102" max="14102" width="13.28515625" customWidth="1"/>
    <col min="14103" max="14103" width="12.140625" customWidth="1"/>
    <col min="14104" max="14104" width="11.85546875" customWidth="1"/>
    <col min="14105" max="14106" width="10.28515625" customWidth="1"/>
    <col min="14107" max="14107" width="14.7109375" customWidth="1"/>
    <col min="14108" max="14108" width="11.28515625" customWidth="1"/>
    <col min="14109" max="14109" width="12.140625" customWidth="1"/>
    <col min="14110" max="14111" width="10" customWidth="1"/>
    <col min="14112" max="14113" width="12.28515625" customWidth="1"/>
    <col min="14114" max="14114" width="13.42578125" customWidth="1"/>
    <col min="14115" max="14115" width="11.140625" customWidth="1"/>
    <col min="14116" max="14116" width="9.85546875" customWidth="1"/>
    <col min="14117" max="14118" width="11" customWidth="1"/>
    <col min="14119" max="14119" width="14.7109375" bestFit="1" customWidth="1"/>
    <col min="14120" max="14121" width="8.85546875" customWidth="1"/>
    <col min="14122" max="14123" width="11.42578125" customWidth="1"/>
    <col min="14124" max="14124" width="15.42578125" bestFit="1" customWidth="1"/>
    <col min="14125" max="14126" width="8.7109375" customWidth="1"/>
    <col min="14127" max="14128" width="10.42578125" customWidth="1"/>
    <col min="14129" max="14129" width="10.7109375" customWidth="1"/>
    <col min="14130" max="14130" width="8.42578125" customWidth="1"/>
    <col min="14131" max="14131" width="8.7109375" customWidth="1"/>
    <col min="14132" max="14132" width="14.5703125" customWidth="1"/>
    <col min="14133" max="14134" width="11.140625" customWidth="1"/>
    <col min="14135" max="14136" width="10.7109375" customWidth="1"/>
    <col min="14337" max="14337" width="28.42578125" customWidth="1"/>
    <col min="14338" max="14338" width="7.28515625" customWidth="1"/>
    <col min="14339" max="14339" width="10.85546875" customWidth="1"/>
    <col min="14340" max="14340" width="0" hidden="1" customWidth="1"/>
    <col min="14341" max="14341" width="11.42578125" customWidth="1"/>
    <col min="14342" max="14342" width="12.42578125" customWidth="1"/>
    <col min="14343" max="14343" width="12" customWidth="1"/>
    <col min="14344" max="14344" width="11" customWidth="1"/>
    <col min="14345" max="14345" width="15.5703125" customWidth="1"/>
    <col min="14346" max="14346" width="11.7109375" customWidth="1"/>
    <col min="14347" max="14347" width="12.42578125" customWidth="1"/>
    <col min="14348" max="14351" width="0" hidden="1" customWidth="1"/>
    <col min="14352" max="14353" width="12.140625" customWidth="1"/>
    <col min="14354" max="14354" width="15.140625" customWidth="1"/>
    <col min="14355" max="14355" width="8.85546875" customWidth="1"/>
    <col min="14356" max="14356" width="8.7109375" customWidth="1"/>
    <col min="14357" max="14357" width="14.5703125" customWidth="1"/>
    <col min="14358" max="14358" width="13.28515625" customWidth="1"/>
    <col min="14359" max="14359" width="12.140625" customWidth="1"/>
    <col min="14360" max="14360" width="11.85546875" customWidth="1"/>
    <col min="14361" max="14362" width="10.28515625" customWidth="1"/>
    <col min="14363" max="14363" width="14.7109375" customWidth="1"/>
    <col min="14364" max="14364" width="11.28515625" customWidth="1"/>
    <col min="14365" max="14365" width="12.140625" customWidth="1"/>
    <col min="14366" max="14367" width="10" customWidth="1"/>
    <col min="14368" max="14369" width="12.28515625" customWidth="1"/>
    <col min="14370" max="14370" width="13.42578125" customWidth="1"/>
    <col min="14371" max="14371" width="11.140625" customWidth="1"/>
    <col min="14372" max="14372" width="9.85546875" customWidth="1"/>
    <col min="14373" max="14374" width="11" customWidth="1"/>
    <col min="14375" max="14375" width="14.7109375" bestFit="1" customWidth="1"/>
    <col min="14376" max="14377" width="8.85546875" customWidth="1"/>
    <col min="14378" max="14379" width="11.42578125" customWidth="1"/>
    <col min="14380" max="14380" width="15.42578125" bestFit="1" customWidth="1"/>
    <col min="14381" max="14382" width="8.7109375" customWidth="1"/>
    <col min="14383" max="14384" width="10.42578125" customWidth="1"/>
    <col min="14385" max="14385" width="10.7109375" customWidth="1"/>
    <col min="14386" max="14386" width="8.42578125" customWidth="1"/>
    <col min="14387" max="14387" width="8.7109375" customWidth="1"/>
    <col min="14388" max="14388" width="14.5703125" customWidth="1"/>
    <col min="14389" max="14390" width="11.140625" customWidth="1"/>
    <col min="14391" max="14392" width="10.7109375" customWidth="1"/>
    <col min="14593" max="14593" width="28.42578125" customWidth="1"/>
    <col min="14594" max="14594" width="7.28515625" customWidth="1"/>
    <col min="14595" max="14595" width="10.85546875" customWidth="1"/>
    <col min="14596" max="14596" width="0" hidden="1" customWidth="1"/>
    <col min="14597" max="14597" width="11.42578125" customWidth="1"/>
    <col min="14598" max="14598" width="12.42578125" customWidth="1"/>
    <col min="14599" max="14599" width="12" customWidth="1"/>
    <col min="14600" max="14600" width="11" customWidth="1"/>
    <col min="14601" max="14601" width="15.5703125" customWidth="1"/>
    <col min="14602" max="14602" width="11.7109375" customWidth="1"/>
    <col min="14603" max="14603" width="12.42578125" customWidth="1"/>
    <col min="14604" max="14607" width="0" hidden="1" customWidth="1"/>
    <col min="14608" max="14609" width="12.140625" customWidth="1"/>
    <col min="14610" max="14610" width="15.140625" customWidth="1"/>
    <col min="14611" max="14611" width="8.85546875" customWidth="1"/>
    <col min="14612" max="14612" width="8.7109375" customWidth="1"/>
    <col min="14613" max="14613" width="14.5703125" customWidth="1"/>
    <col min="14614" max="14614" width="13.28515625" customWidth="1"/>
    <col min="14615" max="14615" width="12.140625" customWidth="1"/>
    <col min="14616" max="14616" width="11.85546875" customWidth="1"/>
    <col min="14617" max="14618" width="10.28515625" customWidth="1"/>
    <col min="14619" max="14619" width="14.7109375" customWidth="1"/>
    <col min="14620" max="14620" width="11.28515625" customWidth="1"/>
    <col min="14621" max="14621" width="12.140625" customWidth="1"/>
    <col min="14622" max="14623" width="10" customWidth="1"/>
    <col min="14624" max="14625" width="12.28515625" customWidth="1"/>
    <col min="14626" max="14626" width="13.42578125" customWidth="1"/>
    <col min="14627" max="14627" width="11.140625" customWidth="1"/>
    <col min="14628" max="14628" width="9.85546875" customWidth="1"/>
    <col min="14629" max="14630" width="11" customWidth="1"/>
    <col min="14631" max="14631" width="14.7109375" bestFit="1" customWidth="1"/>
    <col min="14632" max="14633" width="8.85546875" customWidth="1"/>
    <col min="14634" max="14635" width="11.42578125" customWidth="1"/>
    <col min="14636" max="14636" width="15.42578125" bestFit="1" customWidth="1"/>
    <col min="14637" max="14638" width="8.7109375" customWidth="1"/>
    <col min="14639" max="14640" width="10.42578125" customWidth="1"/>
    <col min="14641" max="14641" width="10.7109375" customWidth="1"/>
    <col min="14642" max="14642" width="8.42578125" customWidth="1"/>
    <col min="14643" max="14643" width="8.7109375" customWidth="1"/>
    <col min="14644" max="14644" width="14.5703125" customWidth="1"/>
    <col min="14645" max="14646" width="11.140625" customWidth="1"/>
    <col min="14647" max="14648" width="10.7109375" customWidth="1"/>
    <col min="14849" max="14849" width="28.42578125" customWidth="1"/>
    <col min="14850" max="14850" width="7.28515625" customWidth="1"/>
    <col min="14851" max="14851" width="10.85546875" customWidth="1"/>
    <col min="14852" max="14852" width="0" hidden="1" customWidth="1"/>
    <col min="14853" max="14853" width="11.42578125" customWidth="1"/>
    <col min="14854" max="14854" width="12.42578125" customWidth="1"/>
    <col min="14855" max="14855" width="12" customWidth="1"/>
    <col min="14856" max="14856" width="11" customWidth="1"/>
    <col min="14857" max="14857" width="15.5703125" customWidth="1"/>
    <col min="14858" max="14858" width="11.7109375" customWidth="1"/>
    <col min="14859" max="14859" width="12.42578125" customWidth="1"/>
    <col min="14860" max="14863" width="0" hidden="1" customWidth="1"/>
    <col min="14864" max="14865" width="12.140625" customWidth="1"/>
    <col min="14866" max="14866" width="15.140625" customWidth="1"/>
    <col min="14867" max="14867" width="8.85546875" customWidth="1"/>
    <col min="14868" max="14868" width="8.7109375" customWidth="1"/>
    <col min="14869" max="14869" width="14.5703125" customWidth="1"/>
    <col min="14870" max="14870" width="13.28515625" customWidth="1"/>
    <col min="14871" max="14871" width="12.140625" customWidth="1"/>
    <col min="14872" max="14872" width="11.85546875" customWidth="1"/>
    <col min="14873" max="14874" width="10.28515625" customWidth="1"/>
    <col min="14875" max="14875" width="14.7109375" customWidth="1"/>
    <col min="14876" max="14876" width="11.28515625" customWidth="1"/>
    <col min="14877" max="14877" width="12.140625" customWidth="1"/>
    <col min="14878" max="14879" width="10" customWidth="1"/>
    <col min="14880" max="14881" width="12.28515625" customWidth="1"/>
    <col min="14882" max="14882" width="13.42578125" customWidth="1"/>
    <col min="14883" max="14883" width="11.140625" customWidth="1"/>
    <col min="14884" max="14884" width="9.85546875" customWidth="1"/>
    <col min="14885" max="14886" width="11" customWidth="1"/>
    <col min="14887" max="14887" width="14.7109375" bestFit="1" customWidth="1"/>
    <col min="14888" max="14889" width="8.85546875" customWidth="1"/>
    <col min="14890" max="14891" width="11.42578125" customWidth="1"/>
    <col min="14892" max="14892" width="15.42578125" bestFit="1" customWidth="1"/>
    <col min="14893" max="14894" width="8.7109375" customWidth="1"/>
    <col min="14895" max="14896" width="10.42578125" customWidth="1"/>
    <col min="14897" max="14897" width="10.7109375" customWidth="1"/>
    <col min="14898" max="14898" width="8.42578125" customWidth="1"/>
    <col min="14899" max="14899" width="8.7109375" customWidth="1"/>
    <col min="14900" max="14900" width="14.5703125" customWidth="1"/>
    <col min="14901" max="14902" width="11.140625" customWidth="1"/>
    <col min="14903" max="14904" width="10.7109375" customWidth="1"/>
    <col min="15105" max="15105" width="28.42578125" customWidth="1"/>
    <col min="15106" max="15106" width="7.28515625" customWidth="1"/>
    <col min="15107" max="15107" width="10.85546875" customWidth="1"/>
    <col min="15108" max="15108" width="0" hidden="1" customWidth="1"/>
    <col min="15109" max="15109" width="11.42578125" customWidth="1"/>
    <col min="15110" max="15110" width="12.42578125" customWidth="1"/>
    <col min="15111" max="15111" width="12" customWidth="1"/>
    <col min="15112" max="15112" width="11" customWidth="1"/>
    <col min="15113" max="15113" width="15.5703125" customWidth="1"/>
    <col min="15114" max="15114" width="11.7109375" customWidth="1"/>
    <col min="15115" max="15115" width="12.42578125" customWidth="1"/>
    <col min="15116" max="15119" width="0" hidden="1" customWidth="1"/>
    <col min="15120" max="15121" width="12.140625" customWidth="1"/>
    <col min="15122" max="15122" width="15.140625" customWidth="1"/>
    <col min="15123" max="15123" width="8.85546875" customWidth="1"/>
    <col min="15124" max="15124" width="8.7109375" customWidth="1"/>
    <col min="15125" max="15125" width="14.5703125" customWidth="1"/>
    <col min="15126" max="15126" width="13.28515625" customWidth="1"/>
    <col min="15127" max="15127" width="12.140625" customWidth="1"/>
    <col min="15128" max="15128" width="11.85546875" customWidth="1"/>
    <col min="15129" max="15130" width="10.28515625" customWidth="1"/>
    <col min="15131" max="15131" width="14.7109375" customWidth="1"/>
    <col min="15132" max="15132" width="11.28515625" customWidth="1"/>
    <col min="15133" max="15133" width="12.140625" customWidth="1"/>
    <col min="15134" max="15135" width="10" customWidth="1"/>
    <col min="15136" max="15137" width="12.28515625" customWidth="1"/>
    <col min="15138" max="15138" width="13.42578125" customWidth="1"/>
    <col min="15139" max="15139" width="11.140625" customWidth="1"/>
    <col min="15140" max="15140" width="9.85546875" customWidth="1"/>
    <col min="15141" max="15142" width="11" customWidth="1"/>
    <col min="15143" max="15143" width="14.7109375" bestFit="1" customWidth="1"/>
    <col min="15144" max="15145" width="8.85546875" customWidth="1"/>
    <col min="15146" max="15147" width="11.42578125" customWidth="1"/>
    <col min="15148" max="15148" width="15.42578125" bestFit="1" customWidth="1"/>
    <col min="15149" max="15150" width="8.7109375" customWidth="1"/>
    <col min="15151" max="15152" width="10.42578125" customWidth="1"/>
    <col min="15153" max="15153" width="10.7109375" customWidth="1"/>
    <col min="15154" max="15154" width="8.42578125" customWidth="1"/>
    <col min="15155" max="15155" width="8.7109375" customWidth="1"/>
    <col min="15156" max="15156" width="14.5703125" customWidth="1"/>
    <col min="15157" max="15158" width="11.140625" customWidth="1"/>
    <col min="15159" max="15160" width="10.7109375" customWidth="1"/>
    <col min="15361" max="15361" width="28.42578125" customWidth="1"/>
    <col min="15362" max="15362" width="7.28515625" customWidth="1"/>
    <col min="15363" max="15363" width="10.85546875" customWidth="1"/>
    <col min="15364" max="15364" width="0" hidden="1" customWidth="1"/>
    <col min="15365" max="15365" width="11.42578125" customWidth="1"/>
    <col min="15366" max="15366" width="12.42578125" customWidth="1"/>
    <col min="15367" max="15367" width="12" customWidth="1"/>
    <col min="15368" max="15368" width="11" customWidth="1"/>
    <col min="15369" max="15369" width="15.5703125" customWidth="1"/>
    <col min="15370" max="15370" width="11.7109375" customWidth="1"/>
    <col min="15371" max="15371" width="12.42578125" customWidth="1"/>
    <col min="15372" max="15375" width="0" hidden="1" customWidth="1"/>
    <col min="15376" max="15377" width="12.140625" customWidth="1"/>
    <col min="15378" max="15378" width="15.140625" customWidth="1"/>
    <col min="15379" max="15379" width="8.85546875" customWidth="1"/>
    <col min="15380" max="15380" width="8.7109375" customWidth="1"/>
    <col min="15381" max="15381" width="14.5703125" customWidth="1"/>
    <col min="15382" max="15382" width="13.28515625" customWidth="1"/>
    <col min="15383" max="15383" width="12.140625" customWidth="1"/>
    <col min="15384" max="15384" width="11.85546875" customWidth="1"/>
    <col min="15385" max="15386" width="10.28515625" customWidth="1"/>
    <col min="15387" max="15387" width="14.7109375" customWidth="1"/>
    <col min="15388" max="15388" width="11.28515625" customWidth="1"/>
    <col min="15389" max="15389" width="12.140625" customWidth="1"/>
    <col min="15390" max="15391" width="10" customWidth="1"/>
    <col min="15392" max="15393" width="12.28515625" customWidth="1"/>
    <col min="15394" max="15394" width="13.42578125" customWidth="1"/>
    <col min="15395" max="15395" width="11.140625" customWidth="1"/>
    <col min="15396" max="15396" width="9.85546875" customWidth="1"/>
    <col min="15397" max="15398" width="11" customWidth="1"/>
    <col min="15399" max="15399" width="14.7109375" bestFit="1" customWidth="1"/>
    <col min="15400" max="15401" width="8.85546875" customWidth="1"/>
    <col min="15402" max="15403" width="11.42578125" customWidth="1"/>
    <col min="15404" max="15404" width="15.42578125" bestFit="1" customWidth="1"/>
    <col min="15405" max="15406" width="8.7109375" customWidth="1"/>
    <col min="15407" max="15408" width="10.42578125" customWidth="1"/>
    <col min="15409" max="15409" width="10.7109375" customWidth="1"/>
    <col min="15410" max="15410" width="8.42578125" customWidth="1"/>
    <col min="15411" max="15411" width="8.7109375" customWidth="1"/>
    <col min="15412" max="15412" width="14.5703125" customWidth="1"/>
    <col min="15413" max="15414" width="11.140625" customWidth="1"/>
    <col min="15415" max="15416" width="10.7109375" customWidth="1"/>
    <col min="15617" max="15617" width="28.42578125" customWidth="1"/>
    <col min="15618" max="15618" width="7.28515625" customWidth="1"/>
    <col min="15619" max="15619" width="10.85546875" customWidth="1"/>
    <col min="15620" max="15620" width="0" hidden="1" customWidth="1"/>
    <col min="15621" max="15621" width="11.42578125" customWidth="1"/>
    <col min="15622" max="15622" width="12.42578125" customWidth="1"/>
    <col min="15623" max="15623" width="12" customWidth="1"/>
    <col min="15624" max="15624" width="11" customWidth="1"/>
    <col min="15625" max="15625" width="15.5703125" customWidth="1"/>
    <col min="15626" max="15626" width="11.7109375" customWidth="1"/>
    <col min="15627" max="15627" width="12.42578125" customWidth="1"/>
    <col min="15628" max="15631" width="0" hidden="1" customWidth="1"/>
    <col min="15632" max="15633" width="12.140625" customWidth="1"/>
    <col min="15634" max="15634" width="15.140625" customWidth="1"/>
    <col min="15635" max="15635" width="8.85546875" customWidth="1"/>
    <col min="15636" max="15636" width="8.7109375" customWidth="1"/>
    <col min="15637" max="15637" width="14.5703125" customWidth="1"/>
    <col min="15638" max="15638" width="13.28515625" customWidth="1"/>
    <col min="15639" max="15639" width="12.140625" customWidth="1"/>
    <col min="15640" max="15640" width="11.85546875" customWidth="1"/>
    <col min="15641" max="15642" width="10.28515625" customWidth="1"/>
    <col min="15643" max="15643" width="14.7109375" customWidth="1"/>
    <col min="15644" max="15644" width="11.28515625" customWidth="1"/>
    <col min="15645" max="15645" width="12.140625" customWidth="1"/>
    <col min="15646" max="15647" width="10" customWidth="1"/>
    <col min="15648" max="15649" width="12.28515625" customWidth="1"/>
    <col min="15650" max="15650" width="13.42578125" customWidth="1"/>
    <col min="15651" max="15651" width="11.140625" customWidth="1"/>
    <col min="15652" max="15652" width="9.85546875" customWidth="1"/>
    <col min="15653" max="15654" width="11" customWidth="1"/>
    <col min="15655" max="15655" width="14.7109375" bestFit="1" customWidth="1"/>
    <col min="15656" max="15657" width="8.85546875" customWidth="1"/>
    <col min="15658" max="15659" width="11.42578125" customWidth="1"/>
    <col min="15660" max="15660" width="15.42578125" bestFit="1" customWidth="1"/>
    <col min="15661" max="15662" width="8.7109375" customWidth="1"/>
    <col min="15663" max="15664" width="10.42578125" customWidth="1"/>
    <col min="15665" max="15665" width="10.7109375" customWidth="1"/>
    <col min="15666" max="15666" width="8.42578125" customWidth="1"/>
    <col min="15667" max="15667" width="8.7109375" customWidth="1"/>
    <col min="15668" max="15668" width="14.5703125" customWidth="1"/>
    <col min="15669" max="15670" width="11.140625" customWidth="1"/>
    <col min="15671" max="15672" width="10.7109375" customWidth="1"/>
    <col min="15873" max="15873" width="28.42578125" customWidth="1"/>
    <col min="15874" max="15874" width="7.28515625" customWidth="1"/>
    <col min="15875" max="15875" width="10.85546875" customWidth="1"/>
    <col min="15876" max="15876" width="0" hidden="1" customWidth="1"/>
    <col min="15877" max="15877" width="11.42578125" customWidth="1"/>
    <col min="15878" max="15878" width="12.42578125" customWidth="1"/>
    <col min="15879" max="15879" width="12" customWidth="1"/>
    <col min="15880" max="15880" width="11" customWidth="1"/>
    <col min="15881" max="15881" width="15.5703125" customWidth="1"/>
    <col min="15882" max="15882" width="11.7109375" customWidth="1"/>
    <col min="15883" max="15883" width="12.42578125" customWidth="1"/>
    <col min="15884" max="15887" width="0" hidden="1" customWidth="1"/>
    <col min="15888" max="15889" width="12.140625" customWidth="1"/>
    <col min="15890" max="15890" width="15.140625" customWidth="1"/>
    <col min="15891" max="15891" width="8.85546875" customWidth="1"/>
    <col min="15892" max="15892" width="8.7109375" customWidth="1"/>
    <col min="15893" max="15893" width="14.5703125" customWidth="1"/>
    <col min="15894" max="15894" width="13.28515625" customWidth="1"/>
    <col min="15895" max="15895" width="12.140625" customWidth="1"/>
    <col min="15896" max="15896" width="11.85546875" customWidth="1"/>
    <col min="15897" max="15898" width="10.28515625" customWidth="1"/>
    <col min="15899" max="15899" width="14.7109375" customWidth="1"/>
    <col min="15900" max="15900" width="11.28515625" customWidth="1"/>
    <col min="15901" max="15901" width="12.140625" customWidth="1"/>
    <col min="15902" max="15903" width="10" customWidth="1"/>
    <col min="15904" max="15905" width="12.28515625" customWidth="1"/>
    <col min="15906" max="15906" width="13.42578125" customWidth="1"/>
    <col min="15907" max="15907" width="11.140625" customWidth="1"/>
    <col min="15908" max="15908" width="9.85546875" customWidth="1"/>
    <col min="15909" max="15910" width="11" customWidth="1"/>
    <col min="15911" max="15911" width="14.7109375" bestFit="1" customWidth="1"/>
    <col min="15912" max="15913" width="8.85546875" customWidth="1"/>
    <col min="15914" max="15915" width="11.42578125" customWidth="1"/>
    <col min="15916" max="15916" width="15.42578125" bestFit="1" customWidth="1"/>
    <col min="15917" max="15918" width="8.7109375" customWidth="1"/>
    <col min="15919" max="15920" width="10.42578125" customWidth="1"/>
    <col min="15921" max="15921" width="10.7109375" customWidth="1"/>
    <col min="15922" max="15922" width="8.42578125" customWidth="1"/>
    <col min="15923" max="15923" width="8.7109375" customWidth="1"/>
    <col min="15924" max="15924" width="14.5703125" customWidth="1"/>
    <col min="15925" max="15926" width="11.140625" customWidth="1"/>
    <col min="15927" max="15928" width="10.7109375" customWidth="1"/>
    <col min="16129" max="16129" width="28.42578125" customWidth="1"/>
    <col min="16130" max="16130" width="7.28515625" customWidth="1"/>
    <col min="16131" max="16131" width="10.85546875" customWidth="1"/>
    <col min="16132" max="16132" width="0" hidden="1" customWidth="1"/>
    <col min="16133" max="16133" width="11.42578125" customWidth="1"/>
    <col min="16134" max="16134" width="12.42578125" customWidth="1"/>
    <col min="16135" max="16135" width="12" customWidth="1"/>
    <col min="16136" max="16136" width="11" customWidth="1"/>
    <col min="16137" max="16137" width="15.5703125" customWidth="1"/>
    <col min="16138" max="16138" width="11.7109375" customWidth="1"/>
    <col min="16139" max="16139" width="12.42578125" customWidth="1"/>
    <col min="16140" max="16143" width="0" hidden="1" customWidth="1"/>
    <col min="16144" max="16145" width="12.140625" customWidth="1"/>
    <col min="16146" max="16146" width="15.140625" customWidth="1"/>
    <col min="16147" max="16147" width="8.85546875" customWidth="1"/>
    <col min="16148" max="16148" width="8.7109375" customWidth="1"/>
    <col min="16149" max="16149" width="14.5703125" customWidth="1"/>
    <col min="16150" max="16150" width="13.28515625" customWidth="1"/>
    <col min="16151" max="16151" width="12.140625" customWidth="1"/>
    <col min="16152" max="16152" width="11.85546875" customWidth="1"/>
    <col min="16153" max="16154" width="10.28515625" customWidth="1"/>
    <col min="16155" max="16155" width="14.7109375" customWidth="1"/>
    <col min="16156" max="16156" width="11.28515625" customWidth="1"/>
    <col min="16157" max="16157" width="12.140625" customWidth="1"/>
    <col min="16158" max="16159" width="10" customWidth="1"/>
    <col min="16160" max="16161" width="12.28515625" customWidth="1"/>
    <col min="16162" max="16162" width="13.42578125" customWidth="1"/>
    <col min="16163" max="16163" width="11.140625" customWidth="1"/>
    <col min="16164" max="16164" width="9.85546875" customWidth="1"/>
    <col min="16165" max="16166" width="11" customWidth="1"/>
    <col min="16167" max="16167" width="14.7109375" bestFit="1" customWidth="1"/>
    <col min="16168" max="16169" width="8.85546875" customWidth="1"/>
    <col min="16170" max="16171" width="11.42578125" customWidth="1"/>
    <col min="16172" max="16172" width="15.42578125" bestFit="1" customWidth="1"/>
    <col min="16173" max="16174" width="8.7109375" customWidth="1"/>
    <col min="16175" max="16176" width="10.42578125" customWidth="1"/>
    <col min="16177" max="16177" width="10.7109375" customWidth="1"/>
    <col min="16178" max="16178" width="8.42578125" customWidth="1"/>
    <col min="16179" max="16179" width="8.7109375" customWidth="1"/>
    <col min="16180" max="16180" width="14.5703125" customWidth="1"/>
    <col min="16181" max="16182" width="11.140625" customWidth="1"/>
    <col min="16183" max="16184" width="10.7109375" customWidth="1"/>
  </cols>
  <sheetData>
    <row r="1" spans="1:56" ht="18" x14ac:dyDescent="0.25">
      <c r="A1" s="1" t="s">
        <v>0</v>
      </c>
    </row>
    <row r="2" spans="1:56" ht="18" x14ac:dyDescent="0.25">
      <c r="A2" s="1" t="s">
        <v>1</v>
      </c>
      <c r="F2" t="s">
        <v>2</v>
      </c>
    </row>
    <row r="3" spans="1:56" ht="18" x14ac:dyDescent="0.25">
      <c r="A3" s="2" t="s">
        <v>3</v>
      </c>
      <c r="C3" s="125">
        <v>43309</v>
      </c>
    </row>
    <row r="4" spans="1:56" ht="15.75" thickBot="1" x14ac:dyDescent="0.3">
      <c r="A4" s="124"/>
      <c r="K4" t="s">
        <v>4</v>
      </c>
    </row>
    <row r="5" spans="1:56" ht="21.75" customHeight="1" x14ac:dyDescent="0.25">
      <c r="P5" s="188" t="s">
        <v>5</v>
      </c>
      <c r="Q5" s="189"/>
      <c r="R5" s="189"/>
      <c r="S5" s="189"/>
      <c r="T5" s="189"/>
      <c r="U5" s="189"/>
      <c r="V5" s="189"/>
      <c r="W5" s="189"/>
      <c r="X5" s="189"/>
      <c r="Y5" s="189"/>
      <c r="Z5" s="189"/>
      <c r="AA5" s="189"/>
      <c r="AB5" s="189"/>
      <c r="AC5" s="189"/>
      <c r="AD5" s="189"/>
      <c r="AE5" s="190"/>
      <c r="AF5" s="191"/>
      <c r="AG5" s="189"/>
      <c r="AH5" s="189"/>
      <c r="AI5" s="189"/>
      <c r="AJ5" s="189"/>
      <c r="AK5" s="189"/>
      <c r="AL5" s="189"/>
      <c r="AM5" s="189"/>
      <c r="AN5" s="189"/>
      <c r="AO5" s="189"/>
      <c r="AP5" s="189"/>
      <c r="AQ5" s="189"/>
      <c r="AR5" s="189"/>
      <c r="AS5" s="189"/>
      <c r="AT5" s="189"/>
      <c r="AU5" s="189"/>
      <c r="AV5" s="189"/>
      <c r="AW5" s="189"/>
      <c r="AX5" s="189"/>
      <c r="AY5" s="189"/>
      <c r="AZ5" s="189"/>
      <c r="BA5" s="189"/>
      <c r="BB5" s="189"/>
      <c r="BC5" s="189"/>
      <c r="BD5" s="192"/>
    </row>
    <row r="6" spans="1:56" s="7" customFormat="1" ht="12.75" customHeight="1" x14ac:dyDescent="0.2">
      <c r="A6" s="3"/>
      <c r="B6" s="4"/>
      <c r="C6" s="5"/>
      <c r="D6" s="5"/>
      <c r="E6" s="193" t="s">
        <v>6</v>
      </c>
      <c r="F6" s="194"/>
      <c r="G6" s="194"/>
      <c r="H6" s="194"/>
      <c r="I6" s="195"/>
      <c r="J6" s="6"/>
      <c r="K6" s="202"/>
      <c r="L6" s="202"/>
      <c r="M6" s="202"/>
      <c r="N6" s="202"/>
      <c r="O6" s="202"/>
      <c r="P6" s="205" t="s">
        <v>7</v>
      </c>
      <c r="Q6" s="206"/>
      <c r="R6" s="206"/>
      <c r="S6" s="206"/>
      <c r="T6" s="206"/>
      <c r="U6" s="211" t="s">
        <v>8</v>
      </c>
      <c r="V6" s="212"/>
      <c r="W6" s="212"/>
      <c r="X6" s="212"/>
      <c r="Y6" s="212"/>
      <c r="Z6" s="213"/>
      <c r="AA6" s="220" t="s">
        <v>9</v>
      </c>
      <c r="AB6" s="206"/>
      <c r="AC6" s="206"/>
      <c r="AD6" s="206"/>
      <c r="AE6" s="221"/>
      <c r="AF6" s="226" t="s">
        <v>10</v>
      </c>
      <c r="AG6" s="226"/>
      <c r="AH6" s="226"/>
      <c r="AI6" s="226"/>
      <c r="AJ6" s="226"/>
      <c r="AK6" s="179" t="s">
        <v>11</v>
      </c>
      <c r="AL6" s="179"/>
      <c r="AM6" s="179"/>
      <c r="AN6" s="179"/>
      <c r="AO6" s="179"/>
      <c r="AP6" s="226" t="s">
        <v>12</v>
      </c>
      <c r="AQ6" s="226"/>
      <c r="AR6" s="226"/>
      <c r="AS6" s="226"/>
      <c r="AT6" s="226"/>
      <c r="AU6" s="179" t="s">
        <v>13</v>
      </c>
      <c r="AV6" s="179"/>
      <c r="AW6" s="179"/>
      <c r="AX6" s="179"/>
      <c r="AY6" s="179"/>
      <c r="AZ6" s="182" t="s">
        <v>14</v>
      </c>
      <c r="BA6" s="182"/>
      <c r="BB6" s="182"/>
      <c r="BC6" s="182"/>
      <c r="BD6" s="183"/>
    </row>
    <row r="7" spans="1:56" s="7" customFormat="1" ht="12.75" customHeight="1" x14ac:dyDescent="0.2">
      <c r="A7" s="8"/>
      <c r="B7" s="9"/>
      <c r="C7" s="10"/>
      <c r="D7" s="10"/>
      <c r="E7" s="196"/>
      <c r="F7" s="197"/>
      <c r="G7" s="197"/>
      <c r="H7" s="197"/>
      <c r="I7" s="198"/>
      <c r="J7" s="11"/>
      <c r="K7" s="203"/>
      <c r="L7" s="203"/>
      <c r="M7" s="203"/>
      <c r="N7" s="203"/>
      <c r="O7" s="203"/>
      <c r="P7" s="207"/>
      <c r="Q7" s="208"/>
      <c r="R7" s="208"/>
      <c r="S7" s="208"/>
      <c r="T7" s="208"/>
      <c r="U7" s="214"/>
      <c r="V7" s="215"/>
      <c r="W7" s="215"/>
      <c r="X7" s="215"/>
      <c r="Y7" s="215"/>
      <c r="Z7" s="216"/>
      <c r="AA7" s="222"/>
      <c r="AB7" s="208"/>
      <c r="AC7" s="208"/>
      <c r="AD7" s="208"/>
      <c r="AE7" s="223"/>
      <c r="AF7" s="227"/>
      <c r="AG7" s="227"/>
      <c r="AH7" s="227"/>
      <c r="AI7" s="227"/>
      <c r="AJ7" s="227"/>
      <c r="AK7" s="180"/>
      <c r="AL7" s="180"/>
      <c r="AM7" s="180"/>
      <c r="AN7" s="180"/>
      <c r="AO7" s="180"/>
      <c r="AP7" s="227"/>
      <c r="AQ7" s="227"/>
      <c r="AR7" s="227"/>
      <c r="AS7" s="227"/>
      <c r="AT7" s="227"/>
      <c r="AU7" s="180"/>
      <c r="AV7" s="180"/>
      <c r="AW7" s="180"/>
      <c r="AX7" s="180"/>
      <c r="AY7" s="180"/>
      <c r="AZ7" s="184"/>
      <c r="BA7" s="184"/>
      <c r="BB7" s="184"/>
      <c r="BC7" s="184"/>
      <c r="BD7" s="185"/>
    </row>
    <row r="8" spans="1:56" s="16" customFormat="1" ht="12.75" customHeight="1" x14ac:dyDescent="0.2">
      <c r="A8" s="12"/>
      <c r="B8" s="13"/>
      <c r="C8" s="14"/>
      <c r="D8" s="14"/>
      <c r="E8" s="199"/>
      <c r="F8" s="200"/>
      <c r="G8" s="200"/>
      <c r="H8" s="200"/>
      <c r="I8" s="201"/>
      <c r="J8" s="15"/>
      <c r="K8" s="204"/>
      <c r="L8" s="204"/>
      <c r="M8" s="204"/>
      <c r="N8" s="204"/>
      <c r="O8" s="204"/>
      <c r="P8" s="209"/>
      <c r="Q8" s="210"/>
      <c r="R8" s="210"/>
      <c r="S8" s="210"/>
      <c r="T8" s="210"/>
      <c r="U8" s="217"/>
      <c r="V8" s="218"/>
      <c r="W8" s="218"/>
      <c r="X8" s="218"/>
      <c r="Y8" s="218"/>
      <c r="Z8" s="219"/>
      <c r="AA8" s="224"/>
      <c r="AB8" s="210"/>
      <c r="AC8" s="210"/>
      <c r="AD8" s="210"/>
      <c r="AE8" s="225"/>
      <c r="AF8" s="228"/>
      <c r="AG8" s="228"/>
      <c r="AH8" s="228"/>
      <c r="AI8" s="228"/>
      <c r="AJ8" s="228"/>
      <c r="AK8" s="181"/>
      <c r="AL8" s="181"/>
      <c r="AM8" s="181"/>
      <c r="AN8" s="181"/>
      <c r="AO8" s="181"/>
      <c r="AP8" s="228"/>
      <c r="AQ8" s="228"/>
      <c r="AR8" s="228"/>
      <c r="AS8" s="228"/>
      <c r="AT8" s="228"/>
      <c r="AU8" s="181"/>
      <c r="AV8" s="181"/>
      <c r="AW8" s="181"/>
      <c r="AX8" s="181"/>
      <c r="AY8" s="181"/>
      <c r="AZ8" s="186"/>
      <c r="BA8" s="186"/>
      <c r="BB8" s="186"/>
      <c r="BC8" s="186"/>
      <c r="BD8" s="187"/>
    </row>
    <row r="9" spans="1:56" s="16" customFormat="1" ht="52.5" customHeight="1" x14ac:dyDescent="0.25">
      <c r="A9" s="17" t="s">
        <v>15</v>
      </c>
      <c r="B9" s="14" t="s">
        <v>16</v>
      </c>
      <c r="C9" s="176" t="s">
        <v>17</v>
      </c>
      <c r="D9" s="18" t="s">
        <v>18</v>
      </c>
      <c r="E9" s="18" t="s">
        <v>19</v>
      </c>
      <c r="F9" s="14" t="s">
        <v>20</v>
      </c>
      <c r="G9" s="14" t="s">
        <v>21</v>
      </c>
      <c r="H9" s="14" t="s">
        <v>22</v>
      </c>
      <c r="I9" s="14" t="s">
        <v>23</v>
      </c>
      <c r="J9" s="19" t="s">
        <v>24</v>
      </c>
      <c r="K9" s="19" t="s">
        <v>25</v>
      </c>
      <c r="L9" s="18" t="s">
        <v>26</v>
      </c>
      <c r="M9" s="18" t="s">
        <v>27</v>
      </c>
      <c r="N9" s="18" t="s">
        <v>28</v>
      </c>
      <c r="O9" s="20" t="s">
        <v>29</v>
      </c>
      <c r="P9" s="21" t="s">
        <v>30</v>
      </c>
      <c r="Q9" s="22" t="s">
        <v>31</v>
      </c>
      <c r="R9" s="22" t="s">
        <v>32</v>
      </c>
      <c r="S9" s="22" t="s">
        <v>33</v>
      </c>
      <c r="T9" s="22" t="s">
        <v>34</v>
      </c>
      <c r="U9" s="23" t="s">
        <v>30</v>
      </c>
      <c r="V9" s="23" t="s">
        <v>31</v>
      </c>
      <c r="W9" s="23" t="s">
        <v>32</v>
      </c>
      <c r="X9" s="23" t="s">
        <v>33</v>
      </c>
      <c r="Y9" s="23" t="s">
        <v>34</v>
      </c>
      <c r="Z9" s="23" t="s">
        <v>35</v>
      </c>
      <c r="AA9" s="22" t="s">
        <v>30</v>
      </c>
      <c r="AB9" s="22" t="s">
        <v>31</v>
      </c>
      <c r="AC9" s="22" t="s">
        <v>32</v>
      </c>
      <c r="AD9" s="22" t="s">
        <v>33</v>
      </c>
      <c r="AE9" s="22" t="s">
        <v>34</v>
      </c>
      <c r="AF9" s="23" t="s">
        <v>30</v>
      </c>
      <c r="AG9" s="23" t="s">
        <v>31</v>
      </c>
      <c r="AH9" s="23" t="s">
        <v>32</v>
      </c>
      <c r="AI9" s="23" t="s">
        <v>33</v>
      </c>
      <c r="AJ9" s="23" t="s">
        <v>34</v>
      </c>
      <c r="AK9" s="175" t="s">
        <v>30</v>
      </c>
      <c r="AL9" s="22" t="s">
        <v>31</v>
      </c>
      <c r="AM9" s="175" t="s">
        <v>32</v>
      </c>
      <c r="AN9" s="22" t="s">
        <v>33</v>
      </c>
      <c r="AO9" s="22" t="s">
        <v>34</v>
      </c>
      <c r="AP9" s="23" t="s">
        <v>30</v>
      </c>
      <c r="AQ9" s="23" t="s">
        <v>31</v>
      </c>
      <c r="AR9" s="23" t="s">
        <v>32</v>
      </c>
      <c r="AS9" s="23" t="s">
        <v>33</v>
      </c>
      <c r="AT9" s="23" t="s">
        <v>34</v>
      </c>
      <c r="AU9" s="175" t="s">
        <v>30</v>
      </c>
      <c r="AV9" s="22" t="s">
        <v>31</v>
      </c>
      <c r="AW9" s="175" t="s">
        <v>32</v>
      </c>
      <c r="AX9" s="22" t="s">
        <v>33</v>
      </c>
      <c r="AY9" s="22" t="s">
        <v>34</v>
      </c>
      <c r="AZ9" s="19" t="s">
        <v>30</v>
      </c>
      <c r="BA9" s="19" t="s">
        <v>31</v>
      </c>
      <c r="BB9" s="19" t="s">
        <v>36</v>
      </c>
      <c r="BC9" s="19" t="s">
        <v>33</v>
      </c>
      <c r="BD9" s="24" t="s">
        <v>34</v>
      </c>
    </row>
    <row r="10" spans="1:56" s="16" customFormat="1" ht="12.75" x14ac:dyDescent="0.2">
      <c r="A10" s="177" t="s">
        <v>37</v>
      </c>
      <c r="B10" s="178"/>
      <c r="C10" s="25"/>
      <c r="D10" s="26"/>
      <c r="E10" s="26"/>
      <c r="F10" s="27"/>
      <c r="G10" s="27"/>
      <c r="H10" s="27"/>
      <c r="I10" s="27"/>
      <c r="J10" s="28"/>
      <c r="K10" s="28"/>
      <c r="L10" s="29"/>
      <c r="M10" s="29"/>
      <c r="N10" s="29"/>
      <c r="O10" s="30"/>
      <c r="P10" s="31"/>
      <c r="Q10" s="32"/>
      <c r="R10" s="32"/>
      <c r="S10" s="32"/>
      <c r="T10" s="32"/>
      <c r="U10" s="33"/>
      <c r="V10" s="33"/>
      <c r="W10" s="33"/>
      <c r="X10" s="33"/>
      <c r="Y10" s="33"/>
      <c r="Z10" s="33"/>
      <c r="AA10" s="32"/>
      <c r="AB10" s="32"/>
      <c r="AC10" s="32"/>
      <c r="AD10" s="32"/>
      <c r="AE10" s="32"/>
      <c r="AF10" s="33"/>
      <c r="AG10" s="33"/>
      <c r="AH10" s="33"/>
      <c r="AI10" s="33"/>
      <c r="AJ10" s="33"/>
      <c r="AK10" s="32"/>
      <c r="AL10" s="32"/>
      <c r="AM10" s="32"/>
      <c r="AN10" s="32"/>
      <c r="AO10" s="32"/>
      <c r="AP10" s="33"/>
      <c r="AQ10" s="33"/>
      <c r="AR10" s="33"/>
      <c r="AS10" s="33"/>
      <c r="AT10" s="33"/>
      <c r="AU10" s="32"/>
      <c r="AV10" s="32"/>
      <c r="AW10" s="32"/>
      <c r="AX10" s="32"/>
      <c r="AY10" s="32"/>
      <c r="AZ10" s="28"/>
      <c r="BA10" s="28"/>
      <c r="BB10" s="28"/>
      <c r="BC10" s="28"/>
      <c r="BD10" s="34"/>
    </row>
    <row r="11" spans="1:56" s="16" customFormat="1" ht="12.75" x14ac:dyDescent="0.2">
      <c r="A11" s="130" t="s">
        <v>169</v>
      </c>
      <c r="B11" s="127" t="e">
        <f>INDEX(AnnualFinancialData!$D$2:$D$50,MATCH(Operating!$A11,AnnualFinancialData!$B$2:$B$2051,0),MATCH(Operating!B$9,AnnualFinancialData!$D$1))</f>
        <v>#N/A</v>
      </c>
      <c r="C11" s="25"/>
      <c r="D11" s="131"/>
      <c r="E11" s="26"/>
      <c r="F11" s="27">
        <v>52000</v>
      </c>
      <c r="G11" s="27"/>
      <c r="H11" s="27"/>
      <c r="I11" s="27">
        <f>SUM(D11:H11)</f>
        <v>52000</v>
      </c>
      <c r="J11" s="28" t="e">
        <f>INDEX(Occupancy!$B$57:$AQ$57,1,MATCH(A11,Occupancy!$B$4:$AQ$4))</f>
        <v>#N/A</v>
      </c>
      <c r="K11" s="28" t="e">
        <f>INDEX(Occupancy!$B$57:$AQ$57,1,MATCH(A11,Occupancy!$B$4:$AQ$4))</f>
        <v>#N/A</v>
      </c>
      <c r="L11" s="132"/>
      <c r="M11" s="132"/>
      <c r="N11" s="132"/>
      <c r="O11" s="133"/>
      <c r="P11" s="31"/>
      <c r="Q11" s="32">
        <f>R11/12*Expenses!$BJ$6</f>
        <v>0</v>
      </c>
      <c r="R11" s="32"/>
      <c r="S11" s="32" t="str">
        <f>IF(P11="","",P11/VLOOKUP(Expenses!$BJ$6,Expenses!$BJ$9:$BJ$20,1)*12/$B11)</f>
        <v/>
      </c>
      <c r="T11" s="32" t="e">
        <f>IF(Q11="","",Q11/VLOOKUP(Expenses!$BJ$6,Expenses!$BJ$9:$BJ$20,1)*12/$B11)</f>
        <v>#N/A</v>
      </c>
      <c r="U11" s="33">
        <f>Expenses!BB6</f>
        <v>0</v>
      </c>
      <c r="V11" s="33">
        <f>Expenses!BC6</f>
        <v>0</v>
      </c>
      <c r="W11" s="33">
        <f>Expenses!BD6</f>
        <v>0</v>
      </c>
      <c r="X11" s="33" t="e">
        <f>Expenses!BE6</f>
        <v>#DIV/0!</v>
      </c>
      <c r="Y11" s="33" t="e">
        <f>Expenses!BF6</f>
        <v>#DIV/0!</v>
      </c>
      <c r="Z11" s="33" t="e">
        <f>U11/P11</f>
        <v>#DIV/0!</v>
      </c>
      <c r="AA11" s="32">
        <f>P11-U11</f>
        <v>0</v>
      </c>
      <c r="AB11" s="32">
        <f>Q11-V11</f>
        <v>0</v>
      </c>
      <c r="AC11" s="32">
        <f>R11-W11</f>
        <v>0</v>
      </c>
      <c r="AD11" s="32" t="e">
        <f>S11-X11</f>
        <v>#VALUE!</v>
      </c>
      <c r="AE11" s="32" t="e">
        <f>T11-Y11</f>
        <v>#N/A</v>
      </c>
      <c r="AF11" s="33"/>
      <c r="AG11" s="33">
        <f>AH11/12*Expenses!$BJ$6</f>
        <v>0</v>
      </c>
      <c r="AH11" s="33"/>
      <c r="AI11" s="33" t="str">
        <f>IF(AF11="","",AF11/VLOOKUP(Expenses!$BJ$6,Expenses!$BJ$9:$BJ$20,1)*12/$B11)</f>
        <v/>
      </c>
      <c r="AJ11" s="33" t="e">
        <f>IF(AG11="","",AG11/VLOOKUP(Expenses!$BJ$6,Expenses!$BJ$9:$BJ$20,1)*12/$B11)</f>
        <v>#N/A</v>
      </c>
      <c r="AK11" s="32"/>
      <c r="AL11" s="32">
        <f>AM11/12*Expenses!$BJ$6</f>
        <v>0</v>
      </c>
      <c r="AM11" s="32"/>
      <c r="AN11" s="32" t="str">
        <f>IF(AK11="","",AK11/VLOOKUP(Expenses!$BJ$6,Expenses!$BJ$9:$BJ$20,1)*12/$B11)</f>
        <v/>
      </c>
      <c r="AO11" s="32" t="e">
        <f>IF(AL11="","",AL11/VLOOKUP(Expenses!$BJ$6,Expenses!$BJ$9:$BJ$20,1)*12/$B11)</f>
        <v>#N/A</v>
      </c>
      <c r="AP11" s="33"/>
      <c r="AQ11" s="33">
        <f>AR11/12*Expenses!$BJ$6</f>
        <v>0</v>
      </c>
      <c r="AR11" s="33"/>
      <c r="AS11" s="33" t="str">
        <f>IF(AP11="","",AP11/VLOOKUP(Expenses!$BJ$6,Expenses!$BJ$9:$BJ$20,1)*12/$B11)</f>
        <v/>
      </c>
      <c r="AT11" s="33" t="e">
        <f>IF(AQ11="","",AQ11/VLOOKUP(Expenses!$BJ$6,Expenses!$BJ$9:$BJ$20,1)*12/$B11)</f>
        <v>#N/A</v>
      </c>
      <c r="AU11" s="32"/>
      <c r="AV11" s="32">
        <f>AW11/12*Expenses!$BJ$6</f>
        <v>0</v>
      </c>
      <c r="AW11" s="32"/>
      <c r="AX11" s="32" t="str">
        <f>IF(AU11="","",AU11/VLOOKUP(Expenses!$BJ$6,Expenses!$BJ$9:$BJ$20,1)*12/$B11)</f>
        <v/>
      </c>
      <c r="AY11" s="32" t="e">
        <f>IF(AV11="","",AV11/VLOOKUP(Expenses!$BJ$6,Expenses!$BJ$9:$BJ$20,1)*12/$B11)</f>
        <v>#N/A</v>
      </c>
      <c r="AZ11" s="140">
        <f>AA11-AF11-AK11-AP11-AU11</f>
        <v>0</v>
      </c>
      <c r="BA11" s="140">
        <f>AB11-AG11-AL11-AQ11-AV11</f>
        <v>0</v>
      </c>
      <c r="BB11" s="140">
        <f>AC11-AH11-AM11-AR11-AW11</f>
        <v>0</v>
      </c>
      <c r="BC11" s="140" t="e">
        <f>AD11-AI11-AN11-AS11-AX11</f>
        <v>#VALUE!</v>
      </c>
      <c r="BD11" s="141" t="e">
        <f>IF(BA11="","",BA11/VLOOKUP(Expenses!$BJ$6,Expenses!$BJ$9:$BJ$20,1)*12/$B11)</f>
        <v>#N/A</v>
      </c>
    </row>
    <row r="12" spans="1:56" s="16" customFormat="1" ht="12.75" x14ac:dyDescent="0.2">
      <c r="A12" s="130" t="s">
        <v>171</v>
      </c>
      <c r="B12" s="139" t="e">
        <f>INDEX(AnnualFinancialData!$D$2:$D$50,MATCH(Operating!$A12,AnnualFinancialData!$B$2:$B$2051,0),MATCH(Operating!B$9,AnnualFinancialData!$D$1))</f>
        <v>#N/A</v>
      </c>
      <c r="C12" s="25"/>
      <c r="D12" s="131"/>
      <c r="E12" s="26"/>
      <c r="F12" s="27"/>
      <c r="G12" s="27"/>
      <c r="H12" s="27"/>
      <c r="I12" s="27">
        <f t="shared" ref="I12:I39" si="0">SUM(D12:H12)</f>
        <v>0</v>
      </c>
      <c r="J12" s="28" t="e">
        <f>INDEX(Occupancy!$B$57:$AQ$57,1,MATCH(A12,Occupancy!$B$4:$AQ$4))</f>
        <v>#N/A</v>
      </c>
      <c r="K12" s="28"/>
      <c r="L12" s="132"/>
      <c r="M12" s="132"/>
      <c r="N12" s="132"/>
      <c r="O12" s="133"/>
      <c r="P12" s="31"/>
      <c r="Q12" s="32">
        <f>R12/12*Expenses!$BJ$6</f>
        <v>0</v>
      </c>
      <c r="R12" s="32"/>
      <c r="S12" s="32" t="str">
        <f>IF(P12="","",P12/VLOOKUP(Expenses!$BJ$6,Expenses!$BJ$9:$BJ$20,1)*12/$B12)</f>
        <v/>
      </c>
      <c r="T12" s="32" t="e">
        <f>IF(Q12="","",Q12/VLOOKUP(Expenses!$BJ$6,Expenses!$BJ$9:$BJ$20,1)*12/$B12)</f>
        <v>#N/A</v>
      </c>
      <c r="U12" s="33">
        <f>Expenses!BB7</f>
        <v>0</v>
      </c>
      <c r="V12" s="33">
        <f>Expenses!BC7</f>
        <v>0</v>
      </c>
      <c r="W12" s="33">
        <f>Expenses!BD7</f>
        <v>0</v>
      </c>
      <c r="X12" s="33" t="e">
        <f>Expenses!BE7</f>
        <v>#DIV/0!</v>
      </c>
      <c r="Y12" s="33" t="e">
        <f>Expenses!BF7</f>
        <v>#DIV/0!</v>
      </c>
      <c r="Z12" s="33" t="e">
        <f>U12/P12</f>
        <v>#DIV/0!</v>
      </c>
      <c r="AA12" s="32">
        <f t="shared" ref="AA12:AA39" si="1">P12-U12</f>
        <v>0</v>
      </c>
      <c r="AB12" s="32">
        <f t="shared" ref="AB12:AB39" si="2">Q12-V12</f>
        <v>0</v>
      </c>
      <c r="AC12" s="32">
        <f t="shared" ref="AC12:AC39" si="3">R12-W12</f>
        <v>0</v>
      </c>
      <c r="AD12" s="32" t="e">
        <f t="shared" ref="AD12:AD39" si="4">S12-X12</f>
        <v>#VALUE!</v>
      </c>
      <c r="AE12" s="32" t="e">
        <f t="shared" ref="AE12:AE39" si="5">T12-Y12</f>
        <v>#N/A</v>
      </c>
      <c r="AF12" s="33"/>
      <c r="AG12" s="33">
        <f>AH12/12*Expenses!$BJ$6</f>
        <v>0</v>
      </c>
      <c r="AH12" s="33"/>
      <c r="AI12" s="33" t="str">
        <f>IF(AF12="","",AF12/VLOOKUP(Expenses!$BJ$6,Expenses!$BJ$9:$BJ$20,1)*12/$B12)</f>
        <v/>
      </c>
      <c r="AJ12" s="33" t="e">
        <f>IF(AG12="","",AG12/VLOOKUP(Expenses!$BJ$6,Expenses!$BJ$9:$BJ$20,1)*12/$B12)</f>
        <v>#N/A</v>
      </c>
      <c r="AK12" s="32"/>
      <c r="AL12" s="32">
        <f>AM12/12*Expenses!$BJ$6</f>
        <v>0</v>
      </c>
      <c r="AM12" s="32"/>
      <c r="AN12" s="32" t="str">
        <f>IF(AK12="","",AK12/VLOOKUP(Expenses!$BJ$6,Expenses!$BJ$9:$BJ$20,1)*12/$B12)</f>
        <v/>
      </c>
      <c r="AO12" s="32" t="e">
        <f>IF(AL12="","",AL12/VLOOKUP(Expenses!$BJ$6,Expenses!$BJ$9:$BJ$20,1)*12/$B12)</f>
        <v>#N/A</v>
      </c>
      <c r="AP12" s="33"/>
      <c r="AQ12" s="33">
        <f>AR12/12*Expenses!$BJ$6</f>
        <v>0</v>
      </c>
      <c r="AR12" s="33"/>
      <c r="AS12" s="33" t="str">
        <f>IF(AP12="","",AP12/VLOOKUP(Expenses!$BJ$6,Expenses!$BJ$9:$BJ$20,1)*12/$B12)</f>
        <v/>
      </c>
      <c r="AT12" s="33" t="e">
        <f>IF(AQ12="","",AQ12/VLOOKUP(Expenses!$BJ$6,Expenses!$BJ$9:$BJ$20,1)*12/$B12)</f>
        <v>#N/A</v>
      </c>
      <c r="AU12" s="32"/>
      <c r="AV12" s="32">
        <f>AW12/12*Expenses!$BJ$6</f>
        <v>0</v>
      </c>
      <c r="AW12" s="32"/>
      <c r="AX12" s="32" t="str">
        <f>IF(AU12="","",AU12/VLOOKUP(Expenses!$BJ$6,Expenses!$BJ$9:$BJ$20,1)*12/$B12)</f>
        <v/>
      </c>
      <c r="AY12" s="32" t="e">
        <f>IF(AV12="","",AV12/VLOOKUP(Expenses!$BJ$6,Expenses!$BJ$9:$BJ$20,1)*12/$B12)</f>
        <v>#N/A</v>
      </c>
      <c r="AZ12" s="140">
        <f t="shared" ref="AZ12:AZ39" si="6">AA12-AF12-AK12-AP12-AU12</f>
        <v>0</v>
      </c>
      <c r="BA12" s="140">
        <f t="shared" ref="BA12:BA39" si="7">AB12-AG12-AL12-AQ12-AV12</f>
        <v>0</v>
      </c>
      <c r="BB12" s="140">
        <f t="shared" ref="BB12:BB39" si="8">AC12-AH12-AM12-AR12-AW12</f>
        <v>0</v>
      </c>
      <c r="BC12" s="140" t="e">
        <f t="shared" ref="BC12:BC39" si="9">AD12-AI12-AN12-AS12-AX12</f>
        <v>#VALUE!</v>
      </c>
      <c r="BD12" s="141" t="e">
        <f>IF(BA12="","",BA12/VLOOKUP(Expenses!$BJ$6,Expenses!$BJ$9:$BJ$20,1)*12/$B12)</f>
        <v>#N/A</v>
      </c>
    </row>
    <row r="13" spans="1:56" s="16" customFormat="1" ht="12.75" x14ac:dyDescent="0.2">
      <c r="A13" s="130" t="s">
        <v>173</v>
      </c>
      <c r="B13" s="139" t="e">
        <f>INDEX(AnnualFinancialData!$D$2:$D$50,MATCH(Operating!$A13,AnnualFinancialData!$B$2:$B$2051,0),MATCH(Operating!B$9,AnnualFinancialData!$D$1))</f>
        <v>#N/A</v>
      </c>
      <c r="C13" s="25"/>
      <c r="D13" s="131"/>
      <c r="E13" s="26"/>
      <c r="F13" s="27"/>
      <c r="G13" s="27"/>
      <c r="H13" s="27"/>
      <c r="I13" s="27">
        <f t="shared" si="0"/>
        <v>0</v>
      </c>
      <c r="J13" s="28" t="e">
        <f>INDEX(Occupancy!$B$57:$AQ$57,1,MATCH(A13,Occupancy!$B$4:$AQ$4))</f>
        <v>#N/A</v>
      </c>
      <c r="K13" s="28"/>
      <c r="L13" s="132"/>
      <c r="M13" s="132"/>
      <c r="N13" s="132"/>
      <c r="O13" s="133"/>
      <c r="P13" s="31"/>
      <c r="Q13" s="32">
        <f>R13/12*Expenses!$BJ$6</f>
        <v>0</v>
      </c>
      <c r="R13" s="32"/>
      <c r="S13" s="32" t="str">
        <f>IF(P13="","",P13/VLOOKUP(Expenses!$BJ$6,Expenses!$BJ$9:$BJ$20,1)*12/$B13)</f>
        <v/>
      </c>
      <c r="T13" s="32" t="e">
        <f>IF(Q13="","",Q13/VLOOKUP(Expenses!$BJ$6,Expenses!$BJ$9:$BJ$20,1)*12/$B13)</f>
        <v>#N/A</v>
      </c>
      <c r="U13" s="33">
        <f>Expenses!BB8</f>
        <v>0</v>
      </c>
      <c r="V13" s="33">
        <f>Expenses!BC8</f>
        <v>0</v>
      </c>
      <c r="W13" s="33">
        <f>Expenses!BD8</f>
        <v>0</v>
      </c>
      <c r="X13" s="33" t="e">
        <f>Expenses!BE8</f>
        <v>#DIV/0!</v>
      </c>
      <c r="Y13" s="33" t="e">
        <f>Expenses!BF8</f>
        <v>#DIV/0!</v>
      </c>
      <c r="Z13" s="33" t="e">
        <f t="shared" ref="Z13:Z39" si="10">U13/P13</f>
        <v>#DIV/0!</v>
      </c>
      <c r="AA13" s="32">
        <f t="shared" si="1"/>
        <v>0</v>
      </c>
      <c r="AB13" s="32">
        <f t="shared" si="2"/>
        <v>0</v>
      </c>
      <c r="AC13" s="32">
        <f t="shared" si="3"/>
        <v>0</v>
      </c>
      <c r="AD13" s="32" t="e">
        <f t="shared" si="4"/>
        <v>#VALUE!</v>
      </c>
      <c r="AE13" s="32" t="e">
        <f t="shared" si="5"/>
        <v>#N/A</v>
      </c>
      <c r="AF13" s="33"/>
      <c r="AG13" s="33">
        <f>AH13/12*Expenses!$BJ$6</f>
        <v>0</v>
      </c>
      <c r="AH13" s="33"/>
      <c r="AI13" s="33" t="str">
        <f>IF(AF13="","",AF13/VLOOKUP(Expenses!$BJ$6,Expenses!$BJ$9:$BJ$20,1)*12/$B13)</f>
        <v/>
      </c>
      <c r="AJ13" s="33" t="e">
        <f>IF(AG13="","",AG13/VLOOKUP(Expenses!$BJ$6,Expenses!$BJ$9:$BJ$20,1)*12/$B13)</f>
        <v>#N/A</v>
      </c>
      <c r="AK13" s="32"/>
      <c r="AL13" s="32">
        <f>AM13/12*Expenses!$BJ$6</f>
        <v>0</v>
      </c>
      <c r="AM13" s="32"/>
      <c r="AN13" s="32" t="str">
        <f>IF(AK13="","",AK13/VLOOKUP(Expenses!$BJ$6,Expenses!$BJ$9:$BJ$20,1)*12/$B13)</f>
        <v/>
      </c>
      <c r="AO13" s="32" t="e">
        <f>IF(AL13="","",AL13/VLOOKUP(Expenses!$BJ$6,Expenses!$BJ$9:$BJ$20,1)*12/$B13)</f>
        <v>#N/A</v>
      </c>
      <c r="AP13" s="33"/>
      <c r="AQ13" s="33">
        <f>AR13/12*Expenses!$BJ$6</f>
        <v>0</v>
      </c>
      <c r="AR13" s="33"/>
      <c r="AS13" s="33" t="str">
        <f>IF(AP13="","",AP13/VLOOKUP(Expenses!$BJ$6,Expenses!$BJ$9:$BJ$20,1)*12/$B13)</f>
        <v/>
      </c>
      <c r="AT13" s="33" t="e">
        <f>IF(AQ13="","",AQ13/VLOOKUP(Expenses!$BJ$6,Expenses!$BJ$9:$BJ$20,1)*12/$B13)</f>
        <v>#N/A</v>
      </c>
      <c r="AU13" s="32"/>
      <c r="AV13" s="32">
        <f>AW13/12*Expenses!$BJ$6</f>
        <v>0</v>
      </c>
      <c r="AW13" s="32"/>
      <c r="AX13" s="32" t="str">
        <f>IF(AU13="","",AU13/VLOOKUP(Expenses!$BJ$6,Expenses!$BJ$9:$BJ$20,1)*12/$B13)</f>
        <v/>
      </c>
      <c r="AY13" s="32" t="e">
        <f>IF(AV13="","",AV13/VLOOKUP(Expenses!$BJ$6,Expenses!$BJ$9:$BJ$20,1)*12/$B13)</f>
        <v>#N/A</v>
      </c>
      <c r="AZ13" s="140">
        <f t="shared" si="6"/>
        <v>0</v>
      </c>
      <c r="BA13" s="140">
        <f t="shared" si="7"/>
        <v>0</v>
      </c>
      <c r="BB13" s="140">
        <f t="shared" si="8"/>
        <v>0</v>
      </c>
      <c r="BC13" s="140" t="e">
        <f t="shared" si="9"/>
        <v>#VALUE!</v>
      </c>
      <c r="BD13" s="141" t="e">
        <f>IF(BA13="","",BA13/VLOOKUP(Expenses!$BJ$6,Expenses!$BJ$9:$BJ$20,1)*12/$B13)</f>
        <v>#N/A</v>
      </c>
    </row>
    <row r="14" spans="1:56" s="16" customFormat="1" ht="12.75" x14ac:dyDescent="0.2">
      <c r="A14" s="130" t="s">
        <v>175</v>
      </c>
      <c r="B14" s="139" t="e">
        <f>INDEX(AnnualFinancialData!$D$2:$D$50,MATCH(Operating!$A14,AnnualFinancialData!$B$2:$B$2051,0),MATCH(Operating!B$9,AnnualFinancialData!$D$1))</f>
        <v>#N/A</v>
      </c>
      <c r="C14" s="25"/>
      <c r="D14" s="131"/>
      <c r="E14" s="26"/>
      <c r="F14" s="27"/>
      <c r="G14" s="27"/>
      <c r="H14" s="27"/>
      <c r="I14" s="27">
        <f t="shared" si="0"/>
        <v>0</v>
      </c>
      <c r="J14" s="28" t="e">
        <f>INDEX(Occupancy!$B$57:$AQ$57,1,MATCH(A14,Occupancy!$B$4:$AQ$4))</f>
        <v>#N/A</v>
      </c>
      <c r="K14" s="28"/>
      <c r="L14" s="132"/>
      <c r="M14" s="132"/>
      <c r="N14" s="132"/>
      <c r="O14" s="133"/>
      <c r="P14" s="31"/>
      <c r="Q14" s="32">
        <f>R14/12*Expenses!$BJ$6</f>
        <v>0</v>
      </c>
      <c r="R14" s="32"/>
      <c r="S14" s="32" t="str">
        <f>IF(P14="","",P14/VLOOKUP(Expenses!$BJ$6,Expenses!$BJ$9:$BJ$20,1)*12/$B14)</f>
        <v/>
      </c>
      <c r="T14" s="32" t="e">
        <f>IF(Q14="","",Q14/VLOOKUP(Expenses!$BJ$6,Expenses!$BJ$9:$BJ$20,1)*12/$B14)</f>
        <v>#N/A</v>
      </c>
      <c r="U14" s="33">
        <f>Expenses!BB9</f>
        <v>0</v>
      </c>
      <c r="V14" s="33">
        <f>Expenses!BC9</f>
        <v>0</v>
      </c>
      <c r="W14" s="33">
        <f>Expenses!BD9</f>
        <v>0</v>
      </c>
      <c r="X14" s="33" t="e">
        <f>Expenses!BE9</f>
        <v>#DIV/0!</v>
      </c>
      <c r="Y14" s="33" t="e">
        <f>Expenses!BF9</f>
        <v>#DIV/0!</v>
      </c>
      <c r="Z14" s="33" t="e">
        <f>U14/P14</f>
        <v>#DIV/0!</v>
      </c>
      <c r="AA14" s="32">
        <f t="shared" si="1"/>
        <v>0</v>
      </c>
      <c r="AB14" s="32">
        <f t="shared" si="2"/>
        <v>0</v>
      </c>
      <c r="AC14" s="32">
        <f t="shared" si="3"/>
        <v>0</v>
      </c>
      <c r="AD14" s="32" t="e">
        <f t="shared" si="4"/>
        <v>#VALUE!</v>
      </c>
      <c r="AE14" s="32" t="e">
        <f t="shared" si="5"/>
        <v>#N/A</v>
      </c>
      <c r="AF14" s="33"/>
      <c r="AG14" s="33">
        <f>AH14/12*Expenses!$BJ$6</f>
        <v>0</v>
      </c>
      <c r="AH14" s="33"/>
      <c r="AI14" s="33" t="str">
        <f>IF(AF14="","",AF14/VLOOKUP(Expenses!$BJ$6,Expenses!$BJ$9:$BJ$20,1)*12/$B14)</f>
        <v/>
      </c>
      <c r="AJ14" s="33" t="e">
        <f>IF(AG14="","",AG14/VLOOKUP(Expenses!$BJ$6,Expenses!$BJ$9:$BJ$20,1)*12/$B14)</f>
        <v>#N/A</v>
      </c>
      <c r="AK14" s="32"/>
      <c r="AL14" s="32">
        <f>AM14/12*Expenses!$BJ$6</f>
        <v>0</v>
      </c>
      <c r="AM14" s="32"/>
      <c r="AN14" s="32" t="str">
        <f>IF(AK14="","",AK14/VLOOKUP(Expenses!$BJ$6,Expenses!$BJ$9:$BJ$20,1)*12/$B14)</f>
        <v/>
      </c>
      <c r="AO14" s="32" t="e">
        <f>IF(AL14="","",AL14/VLOOKUP(Expenses!$BJ$6,Expenses!$BJ$9:$BJ$20,1)*12/$B14)</f>
        <v>#N/A</v>
      </c>
      <c r="AP14" s="33"/>
      <c r="AQ14" s="33">
        <f>AR14/12*Expenses!$BJ$6</f>
        <v>0</v>
      </c>
      <c r="AR14" s="33"/>
      <c r="AS14" s="33" t="str">
        <f>IF(AP14="","",AP14/VLOOKUP(Expenses!$BJ$6,Expenses!$BJ$9:$BJ$20,1)*12/$B14)</f>
        <v/>
      </c>
      <c r="AT14" s="33" t="e">
        <f>IF(AQ14="","",AQ14/VLOOKUP(Expenses!$BJ$6,Expenses!$BJ$9:$BJ$20,1)*12/$B14)</f>
        <v>#N/A</v>
      </c>
      <c r="AU14" s="32"/>
      <c r="AV14" s="32">
        <f>AW14/12*Expenses!$BJ$6</f>
        <v>0</v>
      </c>
      <c r="AW14" s="32"/>
      <c r="AX14" s="32" t="str">
        <f>IF(AU14="","",AU14/VLOOKUP(Expenses!$BJ$6,Expenses!$BJ$9:$BJ$20,1)*12/$B14)</f>
        <v/>
      </c>
      <c r="AY14" s="32" t="e">
        <f>IF(AV14="","",AV14/VLOOKUP(Expenses!$BJ$6,Expenses!$BJ$9:$BJ$20,1)*12/$B14)</f>
        <v>#N/A</v>
      </c>
      <c r="AZ14" s="140">
        <f t="shared" si="6"/>
        <v>0</v>
      </c>
      <c r="BA14" s="140">
        <f t="shared" si="7"/>
        <v>0</v>
      </c>
      <c r="BB14" s="140">
        <f t="shared" si="8"/>
        <v>0</v>
      </c>
      <c r="BC14" s="140" t="e">
        <f t="shared" si="9"/>
        <v>#VALUE!</v>
      </c>
      <c r="BD14" s="141" t="e">
        <f>IF(BA14="","",BA14/VLOOKUP(Expenses!$BJ$6,Expenses!$BJ$9:$BJ$20,1)*12/$B14)</f>
        <v>#N/A</v>
      </c>
    </row>
    <row r="15" spans="1:56" s="16" customFormat="1" ht="12.75" x14ac:dyDescent="0.2">
      <c r="A15" s="130" t="s">
        <v>177</v>
      </c>
      <c r="B15" s="139" t="e">
        <f>INDEX(AnnualFinancialData!$D$2:$D$50,MATCH(Operating!$A15,AnnualFinancialData!$B$2:$B$2051,0),MATCH(Operating!B$9,AnnualFinancialData!$D$1))</f>
        <v>#N/A</v>
      </c>
      <c r="C15" s="25"/>
      <c r="D15" s="131"/>
      <c r="E15" s="26"/>
      <c r="F15" s="27"/>
      <c r="G15" s="27"/>
      <c r="H15" s="27"/>
      <c r="I15" s="27">
        <f t="shared" si="0"/>
        <v>0</v>
      </c>
      <c r="J15" s="28" t="e">
        <f>INDEX(Occupancy!$B$57:$AQ$57,1,MATCH(A15,Occupancy!$B$4:$AQ$4))</f>
        <v>#N/A</v>
      </c>
      <c r="K15" s="28"/>
      <c r="L15" s="132"/>
      <c r="M15" s="132"/>
      <c r="N15" s="132"/>
      <c r="O15" s="133"/>
      <c r="P15" s="31"/>
      <c r="Q15" s="32">
        <f>R15/12*Expenses!$BJ$6</f>
        <v>0</v>
      </c>
      <c r="R15" s="32"/>
      <c r="S15" s="32" t="str">
        <f>IF(P15="","",P15/VLOOKUP(Expenses!$BJ$6,Expenses!$BJ$9:$BJ$20,1)*12/$B15)</f>
        <v/>
      </c>
      <c r="T15" s="32" t="e">
        <f>IF(Q15="","",Q15/VLOOKUP(Expenses!$BJ$6,Expenses!$BJ$9:$BJ$20,1)*12/$B15)</f>
        <v>#N/A</v>
      </c>
      <c r="U15" s="33">
        <f>Expenses!BB10</f>
        <v>0</v>
      </c>
      <c r="V15" s="33">
        <f>Expenses!BC10</f>
        <v>0</v>
      </c>
      <c r="W15" s="33">
        <f>Expenses!BD10</f>
        <v>0</v>
      </c>
      <c r="X15" s="33" t="e">
        <f>Expenses!BE10</f>
        <v>#DIV/0!</v>
      </c>
      <c r="Y15" s="33" t="e">
        <f>Expenses!BF10</f>
        <v>#DIV/0!</v>
      </c>
      <c r="Z15" s="33" t="e">
        <f t="shared" si="10"/>
        <v>#DIV/0!</v>
      </c>
      <c r="AA15" s="32">
        <f t="shared" si="1"/>
        <v>0</v>
      </c>
      <c r="AB15" s="32">
        <f t="shared" si="2"/>
        <v>0</v>
      </c>
      <c r="AC15" s="32">
        <f t="shared" si="3"/>
        <v>0</v>
      </c>
      <c r="AD15" s="32" t="e">
        <f t="shared" si="4"/>
        <v>#VALUE!</v>
      </c>
      <c r="AE15" s="32" t="e">
        <f t="shared" si="5"/>
        <v>#N/A</v>
      </c>
      <c r="AF15" s="33"/>
      <c r="AG15" s="33">
        <f>AH15/12*Expenses!$BJ$6</f>
        <v>0</v>
      </c>
      <c r="AH15" s="33"/>
      <c r="AI15" s="33" t="str">
        <f>IF(AF15="","",AF15/VLOOKUP(Expenses!$BJ$6,Expenses!$BJ$9:$BJ$20,1)*12/$B15)</f>
        <v/>
      </c>
      <c r="AJ15" s="33" t="e">
        <f>IF(AG15="","",AG15/VLOOKUP(Expenses!$BJ$6,Expenses!$BJ$9:$BJ$20,1)*12/$B15)</f>
        <v>#N/A</v>
      </c>
      <c r="AK15" s="32"/>
      <c r="AL15" s="32">
        <f>AM15/12*Expenses!$BJ$6</f>
        <v>0</v>
      </c>
      <c r="AM15" s="32"/>
      <c r="AN15" s="32" t="str">
        <f>IF(AK15="","",AK15/VLOOKUP(Expenses!$BJ$6,Expenses!$BJ$9:$BJ$20,1)*12/$B15)</f>
        <v/>
      </c>
      <c r="AO15" s="32" t="e">
        <f>IF(AL15="","",AL15/VLOOKUP(Expenses!$BJ$6,Expenses!$BJ$9:$BJ$20,1)*12/$B15)</f>
        <v>#N/A</v>
      </c>
      <c r="AP15" s="33"/>
      <c r="AQ15" s="33">
        <f>AR15/12*Expenses!$BJ$6</f>
        <v>0</v>
      </c>
      <c r="AR15" s="33"/>
      <c r="AS15" s="33" t="str">
        <f>IF(AP15="","",AP15/VLOOKUP(Expenses!$BJ$6,Expenses!$BJ$9:$BJ$20,1)*12/$B15)</f>
        <v/>
      </c>
      <c r="AT15" s="33" t="e">
        <f>IF(AQ15="","",AQ15/VLOOKUP(Expenses!$BJ$6,Expenses!$BJ$9:$BJ$20,1)*12/$B15)</f>
        <v>#N/A</v>
      </c>
      <c r="AU15" s="32"/>
      <c r="AV15" s="32">
        <f>AW15/12*Expenses!$BJ$6</f>
        <v>0</v>
      </c>
      <c r="AW15" s="32"/>
      <c r="AX15" s="32" t="str">
        <f>IF(AU15="","",AU15/VLOOKUP(Expenses!$BJ$6,Expenses!$BJ$9:$BJ$20,1)*12/$B15)</f>
        <v/>
      </c>
      <c r="AY15" s="32" t="e">
        <f>IF(AV15="","",AV15/VLOOKUP(Expenses!$BJ$6,Expenses!$BJ$9:$BJ$20,1)*12/$B15)</f>
        <v>#N/A</v>
      </c>
      <c r="AZ15" s="140">
        <f t="shared" si="6"/>
        <v>0</v>
      </c>
      <c r="BA15" s="140">
        <f t="shared" si="7"/>
        <v>0</v>
      </c>
      <c r="BB15" s="140">
        <f t="shared" si="8"/>
        <v>0</v>
      </c>
      <c r="BC15" s="140" t="e">
        <f t="shared" si="9"/>
        <v>#VALUE!</v>
      </c>
      <c r="BD15" s="141" t="e">
        <f>IF(BA15="","",BA15/VLOOKUP(Expenses!$BJ$6,Expenses!$BJ$9:$BJ$20,1)*12/$B15)</f>
        <v>#N/A</v>
      </c>
    </row>
    <row r="16" spans="1:56" s="16" customFormat="1" ht="12.75" x14ac:dyDescent="0.2">
      <c r="A16" s="130" t="s">
        <v>179</v>
      </c>
      <c r="B16" s="139" t="e">
        <f>INDEX(AnnualFinancialData!$D$2:$D$50,MATCH(Operating!$A16,AnnualFinancialData!$B$2:$B$2051,0),MATCH(Operating!B$9,AnnualFinancialData!$D$1))</f>
        <v>#N/A</v>
      </c>
      <c r="C16" s="25"/>
      <c r="D16" s="131"/>
      <c r="E16" s="26"/>
      <c r="F16" s="27"/>
      <c r="G16" s="27"/>
      <c r="H16" s="27"/>
      <c r="I16" s="27">
        <f t="shared" si="0"/>
        <v>0</v>
      </c>
      <c r="J16" s="28" t="e">
        <f>INDEX(Occupancy!$B$57:$AQ$57,1,MATCH(A16,Occupancy!$B$4:$AQ$4))</f>
        <v>#N/A</v>
      </c>
      <c r="K16" s="28"/>
      <c r="L16" s="132"/>
      <c r="M16" s="132"/>
      <c r="N16" s="132"/>
      <c r="O16" s="133"/>
      <c r="P16" s="31"/>
      <c r="Q16" s="32">
        <f>R16/12*Expenses!$BJ$6</f>
        <v>0</v>
      </c>
      <c r="R16" s="32"/>
      <c r="S16" s="32" t="str">
        <f>IF(P16="","",P16/VLOOKUP(Expenses!$BJ$6,Expenses!$BJ$9:$BJ$20,1)*12/$B16)</f>
        <v/>
      </c>
      <c r="T16" s="32" t="e">
        <f>IF(Q16="","",Q16/VLOOKUP(Expenses!$BJ$6,Expenses!$BJ$9:$BJ$20,1)*12/$B16)</f>
        <v>#N/A</v>
      </c>
      <c r="U16" s="33">
        <f>Expenses!BB11</f>
        <v>0</v>
      </c>
      <c r="V16" s="33">
        <f>Expenses!BC11</f>
        <v>0</v>
      </c>
      <c r="W16" s="33">
        <f>Expenses!BD11</f>
        <v>0</v>
      </c>
      <c r="X16" s="33" t="e">
        <f>Expenses!BE11</f>
        <v>#DIV/0!</v>
      </c>
      <c r="Y16" s="33" t="e">
        <f>Expenses!BF11</f>
        <v>#DIV/0!</v>
      </c>
      <c r="Z16" s="33" t="e">
        <f t="shared" si="10"/>
        <v>#DIV/0!</v>
      </c>
      <c r="AA16" s="32">
        <f t="shared" si="1"/>
        <v>0</v>
      </c>
      <c r="AB16" s="32">
        <f t="shared" si="2"/>
        <v>0</v>
      </c>
      <c r="AC16" s="32">
        <f t="shared" si="3"/>
        <v>0</v>
      </c>
      <c r="AD16" s="32" t="e">
        <f t="shared" si="4"/>
        <v>#VALUE!</v>
      </c>
      <c r="AE16" s="32" t="e">
        <f t="shared" si="5"/>
        <v>#N/A</v>
      </c>
      <c r="AF16" s="33"/>
      <c r="AG16" s="33">
        <f>AH16/12*Expenses!$BJ$6</f>
        <v>0</v>
      </c>
      <c r="AH16" s="33"/>
      <c r="AI16" s="33" t="str">
        <f>IF(AF16="","",AF16/VLOOKUP(Expenses!$BJ$6,Expenses!$BJ$9:$BJ$20,1)*12/$B16)</f>
        <v/>
      </c>
      <c r="AJ16" s="33" t="e">
        <f>IF(AG16="","",AG16/VLOOKUP(Expenses!$BJ$6,Expenses!$BJ$9:$BJ$20,1)*12/$B16)</f>
        <v>#N/A</v>
      </c>
      <c r="AK16" s="32"/>
      <c r="AL16" s="32">
        <f>AM16/12*Expenses!$BJ$6</f>
        <v>0</v>
      </c>
      <c r="AM16" s="32"/>
      <c r="AN16" s="32" t="str">
        <f>IF(AK16="","",AK16/VLOOKUP(Expenses!$BJ$6,Expenses!$BJ$9:$BJ$20,1)*12/$B16)</f>
        <v/>
      </c>
      <c r="AO16" s="32" t="e">
        <f>IF(AL16="","",AL16/VLOOKUP(Expenses!$BJ$6,Expenses!$BJ$9:$BJ$20,1)*12/$B16)</f>
        <v>#N/A</v>
      </c>
      <c r="AP16" s="33"/>
      <c r="AQ16" s="33">
        <f>AR16/12*Expenses!$BJ$6</f>
        <v>0</v>
      </c>
      <c r="AR16" s="33"/>
      <c r="AS16" s="33" t="str">
        <f>IF(AP16="","",AP16/VLOOKUP(Expenses!$BJ$6,Expenses!$BJ$9:$BJ$20,1)*12/$B16)</f>
        <v/>
      </c>
      <c r="AT16" s="33" t="e">
        <f>IF(AQ16="","",AQ16/VLOOKUP(Expenses!$BJ$6,Expenses!$BJ$9:$BJ$20,1)*12/$B16)</f>
        <v>#N/A</v>
      </c>
      <c r="AU16" s="32"/>
      <c r="AV16" s="32">
        <f>AW16/12*Expenses!$BJ$6</f>
        <v>0</v>
      </c>
      <c r="AW16" s="32"/>
      <c r="AX16" s="32" t="str">
        <f>IF(AU16="","",AU16/VLOOKUP(Expenses!$BJ$6,Expenses!$BJ$9:$BJ$20,1)*12/$B16)</f>
        <v/>
      </c>
      <c r="AY16" s="32" t="e">
        <f>IF(AV16="","",AV16/VLOOKUP(Expenses!$BJ$6,Expenses!$BJ$9:$BJ$20,1)*12/$B16)</f>
        <v>#N/A</v>
      </c>
      <c r="AZ16" s="140">
        <f t="shared" si="6"/>
        <v>0</v>
      </c>
      <c r="BA16" s="140">
        <f t="shared" si="7"/>
        <v>0</v>
      </c>
      <c r="BB16" s="140">
        <f t="shared" si="8"/>
        <v>0</v>
      </c>
      <c r="BC16" s="140" t="e">
        <f t="shared" si="9"/>
        <v>#VALUE!</v>
      </c>
      <c r="BD16" s="141" t="e">
        <f>IF(BA16="","",BA16/VLOOKUP(Expenses!$BJ$6,Expenses!$BJ$9:$BJ$20,1)*12/$B16)</f>
        <v>#N/A</v>
      </c>
    </row>
    <row r="17" spans="1:56" s="16" customFormat="1" ht="12.75" x14ac:dyDescent="0.2">
      <c r="A17" s="130" t="s">
        <v>181</v>
      </c>
      <c r="B17" s="139" t="e">
        <f>INDEX(AnnualFinancialData!$D$2:$D$50,MATCH(Operating!$A17,AnnualFinancialData!$B$2:$B$2051,0),MATCH(Operating!B$9,AnnualFinancialData!$D$1))</f>
        <v>#N/A</v>
      </c>
      <c r="C17" s="25"/>
      <c r="D17" s="131"/>
      <c r="E17" s="26"/>
      <c r="F17" s="27"/>
      <c r="G17" s="27"/>
      <c r="H17" s="27"/>
      <c r="I17" s="27">
        <f t="shared" si="0"/>
        <v>0</v>
      </c>
      <c r="J17" s="28" t="e">
        <f>INDEX(Occupancy!$B$57:$AQ$57,1,MATCH(A17,Occupancy!$B$4:$AQ$4))</f>
        <v>#N/A</v>
      </c>
      <c r="K17" s="28"/>
      <c r="L17" s="132"/>
      <c r="M17" s="132"/>
      <c r="N17" s="132"/>
      <c r="O17" s="133"/>
      <c r="P17" s="31"/>
      <c r="Q17" s="32">
        <f>R17/12*Expenses!$BJ$6</f>
        <v>0</v>
      </c>
      <c r="R17" s="32"/>
      <c r="S17" s="32" t="str">
        <f>IF(P17="","",P17/VLOOKUP(Expenses!$BJ$6,Expenses!$BJ$9:$BJ$20,1)*12/$B17)</f>
        <v/>
      </c>
      <c r="T17" s="32" t="e">
        <f>IF(Q17="","",Q17/VLOOKUP(Expenses!$BJ$6,Expenses!$BJ$9:$BJ$20,1)*12/$B17)</f>
        <v>#N/A</v>
      </c>
      <c r="U17" s="33">
        <f>Expenses!BB12</f>
        <v>0</v>
      </c>
      <c r="V17" s="33">
        <f>Expenses!BC12</f>
        <v>0</v>
      </c>
      <c r="W17" s="33">
        <f>Expenses!BD12</f>
        <v>0</v>
      </c>
      <c r="X17" s="33" t="e">
        <f>Expenses!BE12</f>
        <v>#DIV/0!</v>
      </c>
      <c r="Y17" s="33" t="e">
        <f>Expenses!BF12</f>
        <v>#DIV/0!</v>
      </c>
      <c r="Z17" s="33" t="e">
        <f t="shared" si="10"/>
        <v>#DIV/0!</v>
      </c>
      <c r="AA17" s="32">
        <f t="shared" si="1"/>
        <v>0</v>
      </c>
      <c r="AB17" s="32">
        <f t="shared" si="2"/>
        <v>0</v>
      </c>
      <c r="AC17" s="32">
        <f t="shared" si="3"/>
        <v>0</v>
      </c>
      <c r="AD17" s="32" t="e">
        <f t="shared" si="4"/>
        <v>#VALUE!</v>
      </c>
      <c r="AE17" s="32" t="e">
        <f t="shared" si="5"/>
        <v>#N/A</v>
      </c>
      <c r="AF17" s="33"/>
      <c r="AG17" s="33">
        <f>AH17/12*Expenses!$BJ$6</f>
        <v>0</v>
      </c>
      <c r="AH17" s="33"/>
      <c r="AI17" s="33" t="str">
        <f>IF(AF17="","",AF17/VLOOKUP(Expenses!$BJ$6,Expenses!$BJ$9:$BJ$20,1)*12/$B17)</f>
        <v/>
      </c>
      <c r="AJ17" s="33" t="e">
        <f>IF(AG17="","",AG17/VLOOKUP(Expenses!$BJ$6,Expenses!$BJ$9:$BJ$20,1)*12/$B17)</f>
        <v>#N/A</v>
      </c>
      <c r="AK17" s="32"/>
      <c r="AL17" s="32">
        <f>AM17/12*Expenses!$BJ$6</f>
        <v>0</v>
      </c>
      <c r="AM17" s="32"/>
      <c r="AN17" s="32" t="str">
        <f>IF(AK17="","",AK17/VLOOKUP(Expenses!$BJ$6,Expenses!$BJ$9:$BJ$20,1)*12/$B17)</f>
        <v/>
      </c>
      <c r="AO17" s="32" t="e">
        <f>IF(AL17="","",AL17/VLOOKUP(Expenses!$BJ$6,Expenses!$BJ$9:$BJ$20,1)*12/$B17)</f>
        <v>#N/A</v>
      </c>
      <c r="AP17" s="33"/>
      <c r="AQ17" s="33">
        <f>AR17/12*Expenses!$BJ$6</f>
        <v>0</v>
      </c>
      <c r="AR17" s="33"/>
      <c r="AS17" s="33" t="str">
        <f>IF(AP17="","",AP17/VLOOKUP(Expenses!$BJ$6,Expenses!$BJ$9:$BJ$20,1)*12/$B17)</f>
        <v/>
      </c>
      <c r="AT17" s="33" t="e">
        <f>IF(AQ17="","",AQ17/VLOOKUP(Expenses!$BJ$6,Expenses!$BJ$9:$BJ$20,1)*12/$B17)</f>
        <v>#N/A</v>
      </c>
      <c r="AU17" s="32"/>
      <c r="AV17" s="32">
        <f>AW17/12*Expenses!$BJ$6</f>
        <v>0</v>
      </c>
      <c r="AW17" s="32"/>
      <c r="AX17" s="32" t="str">
        <f>IF(AU17="","",AU17/VLOOKUP(Expenses!$BJ$6,Expenses!$BJ$9:$BJ$20,1)*12/$B17)</f>
        <v/>
      </c>
      <c r="AY17" s="32" t="e">
        <f>IF(AV17="","",AV17/VLOOKUP(Expenses!$BJ$6,Expenses!$BJ$9:$BJ$20,1)*12/$B17)</f>
        <v>#N/A</v>
      </c>
      <c r="AZ17" s="140">
        <f t="shared" si="6"/>
        <v>0</v>
      </c>
      <c r="BA17" s="140">
        <f t="shared" si="7"/>
        <v>0</v>
      </c>
      <c r="BB17" s="140">
        <f t="shared" si="8"/>
        <v>0</v>
      </c>
      <c r="BC17" s="140" t="e">
        <f t="shared" si="9"/>
        <v>#VALUE!</v>
      </c>
      <c r="BD17" s="141" t="e">
        <f>IF(BA17="","",BA17/VLOOKUP(Expenses!$BJ$6,Expenses!$BJ$9:$BJ$20,1)*12/$B17)</f>
        <v>#N/A</v>
      </c>
    </row>
    <row r="18" spans="1:56" s="16" customFormat="1" ht="12.75" x14ac:dyDescent="0.2">
      <c r="A18" s="130" t="s">
        <v>183</v>
      </c>
      <c r="B18" s="139" t="e">
        <f>INDEX(AnnualFinancialData!$D$2:$D$50,MATCH(Operating!$A18,AnnualFinancialData!$B$2:$B$2051,0),MATCH(Operating!B$9,AnnualFinancialData!$D$1))</f>
        <v>#N/A</v>
      </c>
      <c r="C18" s="25"/>
      <c r="D18" s="131"/>
      <c r="E18" s="26"/>
      <c r="F18" s="27"/>
      <c r="G18" s="27"/>
      <c r="H18" s="27"/>
      <c r="I18" s="27">
        <f t="shared" si="0"/>
        <v>0</v>
      </c>
      <c r="J18" s="28" t="e">
        <f>INDEX(Occupancy!$B$57:$AQ$57,1,MATCH(A18,Occupancy!$B$4:$AQ$4))</f>
        <v>#N/A</v>
      </c>
      <c r="K18" s="28"/>
      <c r="L18" s="132"/>
      <c r="M18" s="132"/>
      <c r="N18" s="132"/>
      <c r="O18" s="133"/>
      <c r="P18" s="31"/>
      <c r="Q18" s="32">
        <f>R18/12*Expenses!$BJ$6</f>
        <v>0</v>
      </c>
      <c r="R18" s="32"/>
      <c r="S18" s="32" t="str">
        <f>IF(P18="","",P18/VLOOKUP(Expenses!$BJ$6,Expenses!$BJ$9:$BJ$20,1)*12/$B18)</f>
        <v/>
      </c>
      <c r="T18" s="32" t="e">
        <f>IF(Q18="","",Q18/VLOOKUP(Expenses!$BJ$6,Expenses!$BJ$9:$BJ$20,1)*12/$B18)</f>
        <v>#N/A</v>
      </c>
      <c r="U18" s="33">
        <f>Expenses!BB13</f>
        <v>0</v>
      </c>
      <c r="V18" s="33">
        <f>Expenses!BC13</f>
        <v>0</v>
      </c>
      <c r="W18" s="33">
        <f>Expenses!BD13</f>
        <v>0</v>
      </c>
      <c r="X18" s="33" t="e">
        <f>Expenses!BE13</f>
        <v>#DIV/0!</v>
      </c>
      <c r="Y18" s="33" t="e">
        <f>Expenses!BF13</f>
        <v>#DIV/0!</v>
      </c>
      <c r="Z18" s="33" t="e">
        <f t="shared" si="10"/>
        <v>#DIV/0!</v>
      </c>
      <c r="AA18" s="32">
        <f t="shared" si="1"/>
        <v>0</v>
      </c>
      <c r="AB18" s="32">
        <f t="shared" si="2"/>
        <v>0</v>
      </c>
      <c r="AC18" s="32">
        <f t="shared" si="3"/>
        <v>0</v>
      </c>
      <c r="AD18" s="32" t="e">
        <f t="shared" si="4"/>
        <v>#VALUE!</v>
      </c>
      <c r="AE18" s="32" t="e">
        <f t="shared" si="5"/>
        <v>#N/A</v>
      </c>
      <c r="AF18" s="33"/>
      <c r="AG18" s="33">
        <f>AH18/12*Expenses!$BJ$6</f>
        <v>0</v>
      </c>
      <c r="AH18" s="33"/>
      <c r="AI18" s="33" t="str">
        <f>IF(AF18="","",AF18/VLOOKUP(Expenses!$BJ$6,Expenses!$BJ$9:$BJ$20,1)*12/$B18)</f>
        <v/>
      </c>
      <c r="AJ18" s="33" t="e">
        <f>IF(AG18="","",AG18/VLOOKUP(Expenses!$BJ$6,Expenses!$BJ$9:$BJ$20,1)*12/$B18)</f>
        <v>#N/A</v>
      </c>
      <c r="AK18" s="32"/>
      <c r="AL18" s="32">
        <f>AM18/12*Expenses!$BJ$6</f>
        <v>0</v>
      </c>
      <c r="AM18" s="32"/>
      <c r="AN18" s="32" t="str">
        <f>IF(AK18="","",AK18/VLOOKUP(Expenses!$BJ$6,Expenses!$BJ$9:$BJ$20,1)*12/$B18)</f>
        <v/>
      </c>
      <c r="AO18" s="32" t="e">
        <f>IF(AL18="","",AL18/VLOOKUP(Expenses!$BJ$6,Expenses!$BJ$9:$BJ$20,1)*12/$B18)</f>
        <v>#N/A</v>
      </c>
      <c r="AP18" s="33"/>
      <c r="AQ18" s="33">
        <f>AR18/12*Expenses!$BJ$6</f>
        <v>0</v>
      </c>
      <c r="AR18" s="33"/>
      <c r="AS18" s="33" t="str">
        <f>IF(AP18="","",AP18/VLOOKUP(Expenses!$BJ$6,Expenses!$BJ$9:$BJ$20,1)*12/$B18)</f>
        <v/>
      </c>
      <c r="AT18" s="33" t="e">
        <f>IF(AQ18="","",AQ18/VLOOKUP(Expenses!$BJ$6,Expenses!$BJ$9:$BJ$20,1)*12/$B18)</f>
        <v>#N/A</v>
      </c>
      <c r="AU18" s="32"/>
      <c r="AV18" s="32">
        <f>AW18/12*Expenses!$BJ$6</f>
        <v>0</v>
      </c>
      <c r="AW18" s="32"/>
      <c r="AX18" s="32" t="str">
        <f>IF(AU18="","",AU18/VLOOKUP(Expenses!$BJ$6,Expenses!$BJ$9:$BJ$20,1)*12/$B18)</f>
        <v/>
      </c>
      <c r="AY18" s="32" t="e">
        <f>IF(AV18="","",AV18/VLOOKUP(Expenses!$BJ$6,Expenses!$BJ$9:$BJ$20,1)*12/$B18)</f>
        <v>#N/A</v>
      </c>
      <c r="AZ18" s="140">
        <f t="shared" si="6"/>
        <v>0</v>
      </c>
      <c r="BA18" s="140">
        <f t="shared" si="7"/>
        <v>0</v>
      </c>
      <c r="BB18" s="140">
        <f t="shared" si="8"/>
        <v>0</v>
      </c>
      <c r="BC18" s="140" t="e">
        <f t="shared" si="9"/>
        <v>#VALUE!</v>
      </c>
      <c r="BD18" s="141" t="e">
        <f>IF(BA18="","",BA18/VLOOKUP(Expenses!$BJ$6,Expenses!$BJ$9:$BJ$20,1)*12/$B18)</f>
        <v>#N/A</v>
      </c>
    </row>
    <row r="19" spans="1:56" s="16" customFormat="1" ht="12.75" x14ac:dyDescent="0.2">
      <c r="A19" s="130" t="s">
        <v>185</v>
      </c>
      <c r="B19" s="139" t="e">
        <f>INDEX(AnnualFinancialData!$D$2:$D$50,MATCH(Operating!$A19,AnnualFinancialData!$B$2:$B$2051,0),MATCH(Operating!B$9,AnnualFinancialData!$D$1))</f>
        <v>#N/A</v>
      </c>
      <c r="C19" s="25"/>
      <c r="D19" s="131"/>
      <c r="E19" s="26"/>
      <c r="F19" s="27"/>
      <c r="G19" s="27"/>
      <c r="H19" s="27"/>
      <c r="I19" s="27">
        <f t="shared" si="0"/>
        <v>0</v>
      </c>
      <c r="J19" s="28" t="e">
        <f>INDEX(Occupancy!$B$57:$AQ$57,1,MATCH(A19,Occupancy!$B$4:$AQ$4))</f>
        <v>#N/A</v>
      </c>
      <c r="K19" s="28"/>
      <c r="L19" s="132"/>
      <c r="M19" s="132"/>
      <c r="N19" s="132"/>
      <c r="O19" s="133"/>
      <c r="P19" s="31"/>
      <c r="Q19" s="32">
        <f>R19/12*Expenses!$BJ$6</f>
        <v>0</v>
      </c>
      <c r="R19" s="32"/>
      <c r="S19" s="32" t="str">
        <f>IF(P19="","",P19/VLOOKUP(Expenses!$BJ$6,Expenses!$BJ$9:$BJ$20,1)*12/$B19)</f>
        <v/>
      </c>
      <c r="T19" s="32" t="e">
        <f>IF(Q19="","",Q19/VLOOKUP(Expenses!$BJ$6,Expenses!$BJ$9:$BJ$20,1)*12/$B19)</f>
        <v>#N/A</v>
      </c>
      <c r="U19" s="33">
        <f>Expenses!BB14</f>
        <v>0</v>
      </c>
      <c r="V19" s="33">
        <f>Expenses!BC14</f>
        <v>0</v>
      </c>
      <c r="W19" s="33">
        <f>Expenses!BD14</f>
        <v>0</v>
      </c>
      <c r="X19" s="33" t="e">
        <f>Expenses!BE14</f>
        <v>#DIV/0!</v>
      </c>
      <c r="Y19" s="33" t="e">
        <f>Expenses!BF14</f>
        <v>#DIV/0!</v>
      </c>
      <c r="Z19" s="33" t="e">
        <f t="shared" si="10"/>
        <v>#DIV/0!</v>
      </c>
      <c r="AA19" s="32">
        <f t="shared" si="1"/>
        <v>0</v>
      </c>
      <c r="AB19" s="32">
        <f t="shared" si="2"/>
        <v>0</v>
      </c>
      <c r="AC19" s="32">
        <f t="shared" si="3"/>
        <v>0</v>
      </c>
      <c r="AD19" s="32" t="e">
        <f t="shared" si="4"/>
        <v>#VALUE!</v>
      </c>
      <c r="AE19" s="32" t="e">
        <f t="shared" si="5"/>
        <v>#N/A</v>
      </c>
      <c r="AF19" s="33"/>
      <c r="AG19" s="33">
        <f>AH19/12*Expenses!$BJ$6</f>
        <v>0</v>
      </c>
      <c r="AH19" s="33"/>
      <c r="AI19" s="33" t="str">
        <f>IF(AF19="","",AF19/VLOOKUP(Expenses!$BJ$6,Expenses!$BJ$9:$BJ$20,1)*12/$B19)</f>
        <v/>
      </c>
      <c r="AJ19" s="33" t="e">
        <f>IF(AG19="","",AG19/VLOOKUP(Expenses!$BJ$6,Expenses!$BJ$9:$BJ$20,1)*12/$B19)</f>
        <v>#N/A</v>
      </c>
      <c r="AK19" s="32"/>
      <c r="AL19" s="32">
        <f>AM19/12*Expenses!$BJ$6</f>
        <v>0</v>
      </c>
      <c r="AM19" s="32"/>
      <c r="AN19" s="32" t="str">
        <f>IF(AK19="","",AK19/VLOOKUP(Expenses!$BJ$6,Expenses!$BJ$9:$BJ$20,1)*12/$B19)</f>
        <v/>
      </c>
      <c r="AO19" s="32" t="e">
        <f>IF(AL19="","",AL19/VLOOKUP(Expenses!$BJ$6,Expenses!$BJ$9:$BJ$20,1)*12/$B19)</f>
        <v>#N/A</v>
      </c>
      <c r="AP19" s="33"/>
      <c r="AQ19" s="33">
        <f>AR19/12*Expenses!$BJ$6</f>
        <v>0</v>
      </c>
      <c r="AR19" s="33"/>
      <c r="AS19" s="33" t="str">
        <f>IF(AP19="","",AP19/VLOOKUP(Expenses!$BJ$6,Expenses!$BJ$9:$BJ$20,1)*12/$B19)</f>
        <v/>
      </c>
      <c r="AT19" s="33" t="e">
        <f>IF(AQ19="","",AQ19/VLOOKUP(Expenses!$BJ$6,Expenses!$BJ$9:$BJ$20,1)*12/$B19)</f>
        <v>#N/A</v>
      </c>
      <c r="AU19" s="32"/>
      <c r="AV19" s="32">
        <f>AW19/12*Expenses!$BJ$6</f>
        <v>0</v>
      </c>
      <c r="AW19" s="32"/>
      <c r="AX19" s="32" t="str">
        <f>IF(AU19="","",AU19/VLOOKUP(Expenses!$BJ$6,Expenses!$BJ$9:$BJ$20,1)*12/$B19)</f>
        <v/>
      </c>
      <c r="AY19" s="32" t="e">
        <f>IF(AV19="","",AV19/VLOOKUP(Expenses!$BJ$6,Expenses!$BJ$9:$BJ$20,1)*12/$B19)</f>
        <v>#N/A</v>
      </c>
      <c r="AZ19" s="140">
        <f t="shared" si="6"/>
        <v>0</v>
      </c>
      <c r="BA19" s="140">
        <f t="shared" si="7"/>
        <v>0</v>
      </c>
      <c r="BB19" s="140">
        <f t="shared" si="8"/>
        <v>0</v>
      </c>
      <c r="BC19" s="140" t="e">
        <f t="shared" si="9"/>
        <v>#VALUE!</v>
      </c>
      <c r="BD19" s="141" t="e">
        <f>IF(BA19="","",BA19/VLOOKUP(Expenses!$BJ$6,Expenses!$BJ$9:$BJ$20,1)*12/$B19)</f>
        <v>#N/A</v>
      </c>
    </row>
    <row r="20" spans="1:56" s="16" customFormat="1" ht="12.75" x14ac:dyDescent="0.2">
      <c r="A20" s="130" t="s">
        <v>187</v>
      </c>
      <c r="B20" s="139" t="e">
        <f>INDEX(AnnualFinancialData!$D$2:$D$50,MATCH(Operating!$A20,AnnualFinancialData!$B$2:$B$2051,0),MATCH(Operating!B$9,AnnualFinancialData!$D$1))</f>
        <v>#N/A</v>
      </c>
      <c r="C20" s="25"/>
      <c r="D20" s="131"/>
      <c r="E20" s="26"/>
      <c r="F20" s="27"/>
      <c r="G20" s="27"/>
      <c r="H20" s="27"/>
      <c r="I20" s="27">
        <f t="shared" si="0"/>
        <v>0</v>
      </c>
      <c r="J20" s="28" t="e">
        <f>INDEX(Occupancy!$B$57:$AQ$57,1,MATCH(A20,Occupancy!$B$4:$AQ$4))</f>
        <v>#N/A</v>
      </c>
      <c r="K20" s="28"/>
      <c r="L20" s="132"/>
      <c r="M20" s="132"/>
      <c r="N20" s="132"/>
      <c r="O20" s="133"/>
      <c r="P20" s="31"/>
      <c r="Q20" s="32">
        <f>R20/12*Expenses!$BJ$6</f>
        <v>0</v>
      </c>
      <c r="R20" s="32"/>
      <c r="S20" s="32" t="str">
        <f>IF(P20="","",P20/VLOOKUP(Expenses!$BJ$6,Expenses!$BJ$9:$BJ$20,1)*12/$B20)</f>
        <v/>
      </c>
      <c r="T20" s="32" t="e">
        <f>IF(Q20="","",Q20/VLOOKUP(Expenses!$BJ$6,Expenses!$BJ$9:$BJ$20,1)*12/$B20)</f>
        <v>#N/A</v>
      </c>
      <c r="U20" s="33">
        <f>Expenses!BB15</f>
        <v>0</v>
      </c>
      <c r="V20" s="33">
        <f>Expenses!BC15</f>
        <v>0</v>
      </c>
      <c r="W20" s="33">
        <f>Expenses!BD15</f>
        <v>0</v>
      </c>
      <c r="X20" s="33" t="e">
        <f>Expenses!BE15</f>
        <v>#DIV/0!</v>
      </c>
      <c r="Y20" s="33" t="e">
        <f>Expenses!BF15</f>
        <v>#DIV/0!</v>
      </c>
      <c r="Z20" s="33" t="e">
        <f t="shared" si="10"/>
        <v>#DIV/0!</v>
      </c>
      <c r="AA20" s="32">
        <f t="shared" si="1"/>
        <v>0</v>
      </c>
      <c r="AB20" s="32">
        <f t="shared" si="2"/>
        <v>0</v>
      </c>
      <c r="AC20" s="32">
        <f t="shared" si="3"/>
        <v>0</v>
      </c>
      <c r="AD20" s="32" t="e">
        <f t="shared" si="4"/>
        <v>#VALUE!</v>
      </c>
      <c r="AE20" s="32" t="e">
        <f t="shared" si="5"/>
        <v>#N/A</v>
      </c>
      <c r="AF20" s="33"/>
      <c r="AG20" s="33">
        <f>AH20/12*Expenses!$BJ$6</f>
        <v>0</v>
      </c>
      <c r="AH20" s="33"/>
      <c r="AI20" s="33" t="str">
        <f>IF(AF20="","",AF20/VLOOKUP(Expenses!$BJ$6,Expenses!$BJ$9:$BJ$20,1)*12/$B20)</f>
        <v/>
      </c>
      <c r="AJ20" s="33" t="e">
        <f>IF(AG20="","",AG20/VLOOKUP(Expenses!$BJ$6,Expenses!$BJ$9:$BJ$20,1)*12/$B20)</f>
        <v>#N/A</v>
      </c>
      <c r="AK20" s="32"/>
      <c r="AL20" s="32">
        <f>AM20/12*Expenses!$BJ$6</f>
        <v>0</v>
      </c>
      <c r="AM20" s="32"/>
      <c r="AN20" s="32" t="str">
        <f>IF(AK20="","",AK20/VLOOKUP(Expenses!$BJ$6,Expenses!$BJ$9:$BJ$20,1)*12/$B20)</f>
        <v/>
      </c>
      <c r="AO20" s="32" t="e">
        <f>IF(AL20="","",AL20/VLOOKUP(Expenses!$BJ$6,Expenses!$BJ$9:$BJ$20,1)*12/$B20)</f>
        <v>#N/A</v>
      </c>
      <c r="AP20" s="33"/>
      <c r="AQ20" s="33">
        <f>AR20/12*Expenses!$BJ$6</f>
        <v>0</v>
      </c>
      <c r="AR20" s="33"/>
      <c r="AS20" s="33" t="str">
        <f>IF(AP20="","",AP20/VLOOKUP(Expenses!$BJ$6,Expenses!$BJ$9:$BJ$20,1)*12/$B20)</f>
        <v/>
      </c>
      <c r="AT20" s="33" t="e">
        <f>IF(AQ20="","",AQ20/VLOOKUP(Expenses!$BJ$6,Expenses!$BJ$9:$BJ$20,1)*12/$B20)</f>
        <v>#N/A</v>
      </c>
      <c r="AU20" s="32"/>
      <c r="AV20" s="32">
        <f>AW20/12*Expenses!$BJ$6</f>
        <v>0</v>
      </c>
      <c r="AW20" s="32"/>
      <c r="AX20" s="32" t="str">
        <f>IF(AU20="","",AU20/VLOOKUP(Expenses!$BJ$6,Expenses!$BJ$9:$BJ$20,1)*12/$B20)</f>
        <v/>
      </c>
      <c r="AY20" s="32" t="e">
        <f>IF(AV20="","",AV20/VLOOKUP(Expenses!$BJ$6,Expenses!$BJ$9:$BJ$20,1)*12/$B20)</f>
        <v>#N/A</v>
      </c>
      <c r="AZ20" s="140">
        <f t="shared" si="6"/>
        <v>0</v>
      </c>
      <c r="BA20" s="140">
        <f t="shared" si="7"/>
        <v>0</v>
      </c>
      <c r="BB20" s="140">
        <f t="shared" si="8"/>
        <v>0</v>
      </c>
      <c r="BC20" s="140" t="e">
        <f t="shared" si="9"/>
        <v>#VALUE!</v>
      </c>
      <c r="BD20" s="141" t="e">
        <f>IF(BA20="","",BA20/VLOOKUP(Expenses!$BJ$6,Expenses!$BJ$9:$BJ$20,1)*12/$B20)</f>
        <v>#N/A</v>
      </c>
    </row>
    <row r="21" spans="1:56" s="16" customFormat="1" ht="12.75" x14ac:dyDescent="0.2">
      <c r="A21" s="130" t="s">
        <v>191</v>
      </c>
      <c r="B21" s="139" t="e">
        <f>INDEX(AnnualFinancialData!$D$2:$D$50,MATCH(Operating!$A21,AnnualFinancialData!$B$2:$B$2051,0),MATCH(Operating!B$9,AnnualFinancialData!$D$1))</f>
        <v>#N/A</v>
      </c>
      <c r="C21" s="25"/>
      <c r="D21" s="131"/>
      <c r="E21" s="26"/>
      <c r="F21" s="27"/>
      <c r="G21" s="27"/>
      <c r="H21" s="27"/>
      <c r="I21" s="27">
        <f t="shared" si="0"/>
        <v>0</v>
      </c>
      <c r="J21" s="28" t="e">
        <f>INDEX(Occupancy!$B$57:$AQ$57,1,MATCH(A21,Occupancy!$B$4:$AQ$4))</f>
        <v>#N/A</v>
      </c>
      <c r="K21" s="28"/>
      <c r="L21" s="132"/>
      <c r="M21" s="132"/>
      <c r="N21" s="132"/>
      <c r="O21" s="133"/>
      <c r="P21" s="31"/>
      <c r="Q21" s="32">
        <f>R21/12*Expenses!$BJ$6</f>
        <v>0</v>
      </c>
      <c r="R21" s="32"/>
      <c r="S21" s="32" t="str">
        <f>IF(P21="","",P21/VLOOKUP(Expenses!$BJ$6,Expenses!$BJ$9:$BJ$20,1)*12/$B21)</f>
        <v/>
      </c>
      <c r="T21" s="32" t="e">
        <f>IF(Q21="","",Q21/VLOOKUP(Expenses!$BJ$6,Expenses!$BJ$9:$BJ$20,1)*12/$B21)</f>
        <v>#N/A</v>
      </c>
      <c r="U21" s="33">
        <f>Expenses!BB16</f>
        <v>0</v>
      </c>
      <c r="V21" s="33">
        <f>Expenses!BC16</f>
        <v>0</v>
      </c>
      <c r="W21" s="33">
        <f>Expenses!BD16</f>
        <v>0</v>
      </c>
      <c r="X21" s="33" t="e">
        <f>Expenses!BE16</f>
        <v>#DIV/0!</v>
      </c>
      <c r="Y21" s="33" t="e">
        <f>Expenses!BF16</f>
        <v>#DIV/0!</v>
      </c>
      <c r="Z21" s="33" t="e">
        <f t="shared" si="10"/>
        <v>#DIV/0!</v>
      </c>
      <c r="AA21" s="32">
        <f t="shared" si="1"/>
        <v>0</v>
      </c>
      <c r="AB21" s="32">
        <f t="shared" si="2"/>
        <v>0</v>
      </c>
      <c r="AC21" s="32">
        <f t="shared" si="3"/>
        <v>0</v>
      </c>
      <c r="AD21" s="32" t="e">
        <f t="shared" si="4"/>
        <v>#VALUE!</v>
      </c>
      <c r="AE21" s="32" t="e">
        <f t="shared" si="5"/>
        <v>#N/A</v>
      </c>
      <c r="AF21" s="33"/>
      <c r="AG21" s="33">
        <f>AH21/12*Expenses!$BJ$6</f>
        <v>0</v>
      </c>
      <c r="AH21" s="33"/>
      <c r="AI21" s="33" t="str">
        <f>IF(AF21="","",AF21/VLOOKUP(Expenses!$BJ$6,Expenses!$BJ$9:$BJ$20,1)*12/$B21)</f>
        <v/>
      </c>
      <c r="AJ21" s="33" t="e">
        <f>IF(AG21="","",AG21/VLOOKUP(Expenses!$BJ$6,Expenses!$BJ$9:$BJ$20,1)*12/$B21)</f>
        <v>#N/A</v>
      </c>
      <c r="AK21" s="32"/>
      <c r="AL21" s="32">
        <f>AM21/12*Expenses!$BJ$6</f>
        <v>0</v>
      </c>
      <c r="AM21" s="32"/>
      <c r="AN21" s="32" t="str">
        <f>IF(AK21="","",AK21/VLOOKUP(Expenses!$BJ$6,Expenses!$BJ$9:$BJ$20,1)*12/$B21)</f>
        <v/>
      </c>
      <c r="AO21" s="32" t="e">
        <f>IF(AL21="","",AL21/VLOOKUP(Expenses!$BJ$6,Expenses!$BJ$9:$BJ$20,1)*12/$B21)</f>
        <v>#N/A</v>
      </c>
      <c r="AP21" s="33"/>
      <c r="AQ21" s="33">
        <f>AR21/12*Expenses!$BJ$6</f>
        <v>0</v>
      </c>
      <c r="AR21" s="33"/>
      <c r="AS21" s="33" t="str">
        <f>IF(AP21="","",AP21/VLOOKUP(Expenses!$BJ$6,Expenses!$BJ$9:$BJ$20,1)*12/$B21)</f>
        <v/>
      </c>
      <c r="AT21" s="33" t="e">
        <f>IF(AQ21="","",AQ21/VLOOKUP(Expenses!$BJ$6,Expenses!$BJ$9:$BJ$20,1)*12/$B21)</f>
        <v>#N/A</v>
      </c>
      <c r="AU21" s="32"/>
      <c r="AV21" s="32">
        <f>AW21/12*Expenses!$BJ$6</f>
        <v>0</v>
      </c>
      <c r="AW21" s="32"/>
      <c r="AX21" s="32" t="str">
        <f>IF(AU21="","",AU21/VLOOKUP(Expenses!$BJ$6,Expenses!$BJ$9:$BJ$20,1)*12/$B21)</f>
        <v/>
      </c>
      <c r="AY21" s="32" t="e">
        <f>IF(AV21="","",AV21/VLOOKUP(Expenses!$BJ$6,Expenses!$BJ$9:$BJ$20,1)*12/$B21)</f>
        <v>#N/A</v>
      </c>
      <c r="AZ21" s="140">
        <f t="shared" si="6"/>
        <v>0</v>
      </c>
      <c r="BA21" s="140">
        <f t="shared" si="7"/>
        <v>0</v>
      </c>
      <c r="BB21" s="140">
        <f t="shared" si="8"/>
        <v>0</v>
      </c>
      <c r="BC21" s="140" t="e">
        <f t="shared" si="9"/>
        <v>#VALUE!</v>
      </c>
      <c r="BD21" s="141" t="e">
        <f>IF(BA21="","",BA21/VLOOKUP(Expenses!$BJ$6,Expenses!$BJ$9:$BJ$20,1)*12/$B21)</f>
        <v>#N/A</v>
      </c>
    </row>
    <row r="22" spans="1:56" s="16" customFormat="1" ht="12.75" x14ac:dyDescent="0.2">
      <c r="A22" s="130" t="s">
        <v>193</v>
      </c>
      <c r="B22" s="139" t="e">
        <f>INDEX(AnnualFinancialData!$D$2:$D$50,MATCH(Operating!$A22,AnnualFinancialData!$B$2:$B$2051,0),MATCH(Operating!B$9,AnnualFinancialData!$D$1))</f>
        <v>#N/A</v>
      </c>
      <c r="C22" s="25"/>
      <c r="D22" s="131"/>
      <c r="E22" s="26"/>
      <c r="F22" s="27"/>
      <c r="G22" s="27"/>
      <c r="H22" s="27"/>
      <c r="I22" s="27">
        <f t="shared" si="0"/>
        <v>0</v>
      </c>
      <c r="J22" s="28" t="e">
        <f>INDEX(Occupancy!$B$57:$AQ$57,1,MATCH(A22,Occupancy!$B$4:$AQ$4))</f>
        <v>#N/A</v>
      </c>
      <c r="K22" s="28"/>
      <c r="L22" s="132"/>
      <c r="M22" s="132"/>
      <c r="N22" s="132"/>
      <c r="O22" s="133"/>
      <c r="P22" s="31"/>
      <c r="Q22" s="32">
        <f>R22/12*Expenses!$BJ$6</f>
        <v>0</v>
      </c>
      <c r="R22" s="32"/>
      <c r="S22" s="32" t="str">
        <f>IF(P22="","",P22/VLOOKUP(Expenses!$BJ$6,Expenses!$BJ$9:$BJ$20,1)*12/$B22)</f>
        <v/>
      </c>
      <c r="T22" s="32" t="e">
        <f>IF(Q22="","",Q22/VLOOKUP(Expenses!$BJ$6,Expenses!$BJ$9:$BJ$20,1)*12/$B22)</f>
        <v>#N/A</v>
      </c>
      <c r="U22" s="33">
        <f>Expenses!BB17</f>
        <v>0</v>
      </c>
      <c r="V22" s="33">
        <f>Expenses!BC17</f>
        <v>0</v>
      </c>
      <c r="W22" s="33">
        <f>Expenses!BD17</f>
        <v>0</v>
      </c>
      <c r="X22" s="33" t="e">
        <f>Expenses!BE17</f>
        <v>#DIV/0!</v>
      </c>
      <c r="Y22" s="33" t="e">
        <f>Expenses!BF17</f>
        <v>#DIV/0!</v>
      </c>
      <c r="Z22" s="33" t="e">
        <f t="shared" si="10"/>
        <v>#DIV/0!</v>
      </c>
      <c r="AA22" s="32">
        <f t="shared" si="1"/>
        <v>0</v>
      </c>
      <c r="AB22" s="32">
        <f t="shared" si="2"/>
        <v>0</v>
      </c>
      <c r="AC22" s="32">
        <f t="shared" si="3"/>
        <v>0</v>
      </c>
      <c r="AD22" s="32" t="e">
        <f t="shared" si="4"/>
        <v>#VALUE!</v>
      </c>
      <c r="AE22" s="32" t="e">
        <f t="shared" si="5"/>
        <v>#N/A</v>
      </c>
      <c r="AF22" s="33"/>
      <c r="AG22" s="33">
        <f>AH22/12*Expenses!$BJ$6</f>
        <v>0</v>
      </c>
      <c r="AH22" s="33"/>
      <c r="AI22" s="33" t="str">
        <f>IF(AF22="","",AF22/VLOOKUP(Expenses!$BJ$6,Expenses!$BJ$9:$BJ$20,1)*12/$B22)</f>
        <v/>
      </c>
      <c r="AJ22" s="33" t="e">
        <f>IF(AG22="","",AG22/VLOOKUP(Expenses!$BJ$6,Expenses!$BJ$9:$BJ$20,1)*12/$B22)</f>
        <v>#N/A</v>
      </c>
      <c r="AK22" s="32"/>
      <c r="AL22" s="32">
        <f>AM22/12*Expenses!$BJ$6</f>
        <v>0</v>
      </c>
      <c r="AM22" s="32"/>
      <c r="AN22" s="32" t="str">
        <f>IF(AK22="","",AK22/VLOOKUP(Expenses!$BJ$6,Expenses!$BJ$9:$BJ$20,1)*12/$B22)</f>
        <v/>
      </c>
      <c r="AO22" s="32" t="e">
        <f>IF(AL22="","",AL22/VLOOKUP(Expenses!$BJ$6,Expenses!$BJ$9:$BJ$20,1)*12/$B22)</f>
        <v>#N/A</v>
      </c>
      <c r="AP22" s="33"/>
      <c r="AQ22" s="33">
        <f>AR22/12*Expenses!$BJ$6</f>
        <v>0</v>
      </c>
      <c r="AR22" s="33"/>
      <c r="AS22" s="33" t="str">
        <f>IF(AP22="","",AP22/VLOOKUP(Expenses!$BJ$6,Expenses!$BJ$9:$BJ$20,1)*12/$B22)</f>
        <v/>
      </c>
      <c r="AT22" s="33" t="e">
        <f>IF(AQ22="","",AQ22/VLOOKUP(Expenses!$BJ$6,Expenses!$BJ$9:$BJ$20,1)*12/$B22)</f>
        <v>#N/A</v>
      </c>
      <c r="AU22" s="32"/>
      <c r="AV22" s="32">
        <f>AW22/12*Expenses!$BJ$6</f>
        <v>0</v>
      </c>
      <c r="AW22" s="32"/>
      <c r="AX22" s="32" t="str">
        <f>IF(AU22="","",AU22/VLOOKUP(Expenses!$BJ$6,Expenses!$BJ$9:$BJ$20,1)*12/$B22)</f>
        <v/>
      </c>
      <c r="AY22" s="32" t="e">
        <f>IF(AV22="","",AV22/VLOOKUP(Expenses!$BJ$6,Expenses!$BJ$9:$BJ$20,1)*12/$B22)</f>
        <v>#N/A</v>
      </c>
      <c r="AZ22" s="140">
        <f t="shared" si="6"/>
        <v>0</v>
      </c>
      <c r="BA22" s="140">
        <f t="shared" si="7"/>
        <v>0</v>
      </c>
      <c r="BB22" s="140">
        <f t="shared" si="8"/>
        <v>0</v>
      </c>
      <c r="BC22" s="140" t="e">
        <f t="shared" si="9"/>
        <v>#VALUE!</v>
      </c>
      <c r="BD22" s="141" t="e">
        <f>IF(BA22="","",BA22/VLOOKUP(Expenses!$BJ$6,Expenses!$BJ$9:$BJ$20,1)*12/$B22)</f>
        <v>#N/A</v>
      </c>
    </row>
    <row r="23" spans="1:56" s="16" customFormat="1" ht="12.75" x14ac:dyDescent="0.2">
      <c r="A23" s="130" t="s">
        <v>195</v>
      </c>
      <c r="B23" s="139" t="e">
        <f>INDEX(AnnualFinancialData!$D$2:$D$50,MATCH(Operating!$A23,AnnualFinancialData!$B$2:$B$2051,0),MATCH(Operating!B$9,AnnualFinancialData!$D$1))</f>
        <v>#N/A</v>
      </c>
      <c r="C23" s="25"/>
      <c r="D23" s="131"/>
      <c r="E23" s="26"/>
      <c r="F23" s="27"/>
      <c r="G23" s="27"/>
      <c r="H23" s="27"/>
      <c r="I23" s="27">
        <f t="shared" si="0"/>
        <v>0</v>
      </c>
      <c r="J23" s="28" t="e">
        <f>INDEX(Occupancy!$B$57:$AQ$57,1,MATCH(A23,Occupancy!$B$4:$AQ$4))</f>
        <v>#N/A</v>
      </c>
      <c r="K23" s="28"/>
      <c r="L23" s="132"/>
      <c r="M23" s="132"/>
      <c r="N23" s="132"/>
      <c r="O23" s="133"/>
      <c r="P23" s="31"/>
      <c r="Q23" s="32">
        <f>R23/12*Expenses!$BJ$6</f>
        <v>0</v>
      </c>
      <c r="R23" s="32"/>
      <c r="S23" s="32" t="str">
        <f>IF(P23="","",P23/VLOOKUP(Expenses!$BJ$6,Expenses!$BJ$9:$BJ$20,1)*12/$B23)</f>
        <v/>
      </c>
      <c r="T23" s="32" t="e">
        <f>IF(Q23="","",Q23/VLOOKUP(Expenses!$BJ$6,Expenses!$BJ$9:$BJ$20,1)*12/$B23)</f>
        <v>#N/A</v>
      </c>
      <c r="U23" s="33">
        <f>Expenses!BB18</f>
        <v>0</v>
      </c>
      <c r="V23" s="33">
        <f>Expenses!BC18</f>
        <v>0</v>
      </c>
      <c r="W23" s="33">
        <f>Expenses!BD18</f>
        <v>0</v>
      </c>
      <c r="X23" s="33" t="e">
        <f>Expenses!BE18</f>
        <v>#DIV/0!</v>
      </c>
      <c r="Y23" s="33" t="e">
        <f>Expenses!BF18</f>
        <v>#DIV/0!</v>
      </c>
      <c r="Z23" s="33" t="e">
        <f t="shared" si="10"/>
        <v>#DIV/0!</v>
      </c>
      <c r="AA23" s="32">
        <f t="shared" si="1"/>
        <v>0</v>
      </c>
      <c r="AB23" s="32">
        <f t="shared" si="2"/>
        <v>0</v>
      </c>
      <c r="AC23" s="32">
        <f t="shared" si="3"/>
        <v>0</v>
      </c>
      <c r="AD23" s="32" t="e">
        <f t="shared" si="4"/>
        <v>#VALUE!</v>
      </c>
      <c r="AE23" s="32" t="e">
        <f t="shared" si="5"/>
        <v>#N/A</v>
      </c>
      <c r="AF23" s="33"/>
      <c r="AG23" s="33">
        <f>AH23/12*Expenses!$BJ$6</f>
        <v>0</v>
      </c>
      <c r="AH23" s="33"/>
      <c r="AI23" s="33" t="str">
        <f>IF(AF23="","",AF23/VLOOKUP(Expenses!$BJ$6,Expenses!$BJ$9:$BJ$20,1)*12/$B23)</f>
        <v/>
      </c>
      <c r="AJ23" s="33" t="e">
        <f>IF(AG23="","",AG23/VLOOKUP(Expenses!$BJ$6,Expenses!$BJ$9:$BJ$20,1)*12/$B23)</f>
        <v>#N/A</v>
      </c>
      <c r="AK23" s="32"/>
      <c r="AL23" s="32">
        <f>AM23/12*Expenses!$BJ$6</f>
        <v>0</v>
      </c>
      <c r="AM23" s="32"/>
      <c r="AN23" s="32" t="str">
        <f>IF(AK23="","",AK23/VLOOKUP(Expenses!$BJ$6,Expenses!$BJ$9:$BJ$20,1)*12/$B23)</f>
        <v/>
      </c>
      <c r="AO23" s="32" t="e">
        <f>IF(AL23="","",AL23/VLOOKUP(Expenses!$BJ$6,Expenses!$BJ$9:$BJ$20,1)*12/$B23)</f>
        <v>#N/A</v>
      </c>
      <c r="AP23" s="33"/>
      <c r="AQ23" s="33">
        <f>AR23/12*Expenses!$BJ$6</f>
        <v>0</v>
      </c>
      <c r="AR23" s="33"/>
      <c r="AS23" s="33" t="str">
        <f>IF(AP23="","",AP23/VLOOKUP(Expenses!$BJ$6,Expenses!$BJ$9:$BJ$20,1)*12/$B23)</f>
        <v/>
      </c>
      <c r="AT23" s="33" t="e">
        <f>IF(AQ23="","",AQ23/VLOOKUP(Expenses!$BJ$6,Expenses!$BJ$9:$BJ$20,1)*12/$B23)</f>
        <v>#N/A</v>
      </c>
      <c r="AU23" s="32"/>
      <c r="AV23" s="32">
        <f>AW23/12*Expenses!$BJ$6</f>
        <v>0</v>
      </c>
      <c r="AW23" s="32"/>
      <c r="AX23" s="32" t="str">
        <f>IF(AU23="","",AU23/VLOOKUP(Expenses!$BJ$6,Expenses!$BJ$9:$BJ$20,1)*12/$B23)</f>
        <v/>
      </c>
      <c r="AY23" s="32" t="e">
        <f>IF(AV23="","",AV23/VLOOKUP(Expenses!$BJ$6,Expenses!$BJ$9:$BJ$20,1)*12/$B23)</f>
        <v>#N/A</v>
      </c>
      <c r="AZ23" s="140">
        <f t="shared" si="6"/>
        <v>0</v>
      </c>
      <c r="BA23" s="140">
        <f t="shared" si="7"/>
        <v>0</v>
      </c>
      <c r="BB23" s="140">
        <f t="shared" si="8"/>
        <v>0</v>
      </c>
      <c r="BC23" s="140" t="e">
        <f t="shared" si="9"/>
        <v>#VALUE!</v>
      </c>
      <c r="BD23" s="141" t="e">
        <f>IF(BA23="","",BA23/VLOOKUP(Expenses!$BJ$6,Expenses!$BJ$9:$BJ$20,1)*12/$B23)</f>
        <v>#N/A</v>
      </c>
    </row>
    <row r="24" spans="1:56" s="16" customFormat="1" ht="12.75" x14ac:dyDescent="0.2">
      <c r="A24" s="130" t="s">
        <v>199</v>
      </c>
      <c r="B24" s="139" t="e">
        <f>INDEX(AnnualFinancialData!$D$2:$D$50,MATCH(Operating!$A24,AnnualFinancialData!$B$2:$B$2051,0),MATCH(Operating!B$9,AnnualFinancialData!$D$1))</f>
        <v>#N/A</v>
      </c>
      <c r="C24" s="25"/>
      <c r="D24" s="131"/>
      <c r="E24" s="26"/>
      <c r="F24" s="27"/>
      <c r="G24" s="27"/>
      <c r="H24" s="27"/>
      <c r="I24" s="27">
        <f t="shared" si="0"/>
        <v>0</v>
      </c>
      <c r="J24" s="28" t="e">
        <f>INDEX(Occupancy!$B$57:$AQ$57,1,MATCH(A24,Occupancy!$B$4:$AQ$4))</f>
        <v>#N/A</v>
      </c>
      <c r="K24" s="28"/>
      <c r="L24" s="132"/>
      <c r="M24" s="132"/>
      <c r="N24" s="132"/>
      <c r="O24" s="133"/>
      <c r="P24" s="31"/>
      <c r="Q24" s="32">
        <f>R24/12*Expenses!$BJ$6</f>
        <v>0</v>
      </c>
      <c r="R24" s="32"/>
      <c r="S24" s="32" t="str">
        <f>IF(P24="","",P24/VLOOKUP(Expenses!$BJ$6,Expenses!$BJ$9:$BJ$20,1)*12/$B24)</f>
        <v/>
      </c>
      <c r="T24" s="32" t="e">
        <f>IF(Q24="","",Q24/VLOOKUP(Expenses!$BJ$6,Expenses!$BJ$9:$BJ$20,1)*12/$B24)</f>
        <v>#N/A</v>
      </c>
      <c r="U24" s="33">
        <f>Expenses!BB19</f>
        <v>0</v>
      </c>
      <c r="V24" s="33">
        <f>Expenses!BC19</f>
        <v>0</v>
      </c>
      <c r="W24" s="33">
        <f>Expenses!BD19</f>
        <v>0</v>
      </c>
      <c r="X24" s="33" t="e">
        <f>Expenses!BE19</f>
        <v>#DIV/0!</v>
      </c>
      <c r="Y24" s="33" t="e">
        <f>Expenses!BF19</f>
        <v>#DIV/0!</v>
      </c>
      <c r="Z24" s="33" t="e">
        <f t="shared" si="10"/>
        <v>#DIV/0!</v>
      </c>
      <c r="AA24" s="32">
        <f t="shared" si="1"/>
        <v>0</v>
      </c>
      <c r="AB24" s="32">
        <f t="shared" si="2"/>
        <v>0</v>
      </c>
      <c r="AC24" s="32">
        <f t="shared" si="3"/>
        <v>0</v>
      </c>
      <c r="AD24" s="32" t="e">
        <f t="shared" si="4"/>
        <v>#VALUE!</v>
      </c>
      <c r="AE24" s="32" t="e">
        <f t="shared" si="5"/>
        <v>#N/A</v>
      </c>
      <c r="AF24" s="33"/>
      <c r="AG24" s="33">
        <f>AH24/12*Expenses!$BJ$6</f>
        <v>0</v>
      </c>
      <c r="AH24" s="33"/>
      <c r="AI24" s="33" t="str">
        <f>IF(AF24="","",AF24/VLOOKUP(Expenses!$BJ$6,Expenses!$BJ$9:$BJ$20,1)*12/$B24)</f>
        <v/>
      </c>
      <c r="AJ24" s="33" t="e">
        <f>IF(AG24="","",AG24/VLOOKUP(Expenses!$BJ$6,Expenses!$BJ$9:$BJ$20,1)*12/$B24)</f>
        <v>#N/A</v>
      </c>
      <c r="AK24" s="32"/>
      <c r="AL24" s="32">
        <f>AM24/12*Expenses!$BJ$6</f>
        <v>0</v>
      </c>
      <c r="AM24" s="32"/>
      <c r="AN24" s="32" t="str">
        <f>IF(AK24="","",AK24/VLOOKUP(Expenses!$BJ$6,Expenses!$BJ$9:$BJ$20,1)*12/$B24)</f>
        <v/>
      </c>
      <c r="AO24" s="32" t="e">
        <f>IF(AL24="","",AL24/VLOOKUP(Expenses!$BJ$6,Expenses!$BJ$9:$BJ$20,1)*12/$B24)</f>
        <v>#N/A</v>
      </c>
      <c r="AP24" s="33"/>
      <c r="AQ24" s="33">
        <f>AR24/12*Expenses!$BJ$6</f>
        <v>0</v>
      </c>
      <c r="AR24" s="33"/>
      <c r="AS24" s="33" t="str">
        <f>IF(AP24="","",AP24/VLOOKUP(Expenses!$BJ$6,Expenses!$BJ$9:$BJ$20,1)*12/$B24)</f>
        <v/>
      </c>
      <c r="AT24" s="33" t="e">
        <f>IF(AQ24="","",AQ24/VLOOKUP(Expenses!$BJ$6,Expenses!$BJ$9:$BJ$20,1)*12/$B24)</f>
        <v>#N/A</v>
      </c>
      <c r="AU24" s="32"/>
      <c r="AV24" s="32">
        <f>AW24/12*Expenses!$BJ$6</f>
        <v>0</v>
      </c>
      <c r="AW24" s="32"/>
      <c r="AX24" s="32" t="str">
        <f>IF(AU24="","",AU24/VLOOKUP(Expenses!$BJ$6,Expenses!$BJ$9:$BJ$20,1)*12/$B24)</f>
        <v/>
      </c>
      <c r="AY24" s="32" t="e">
        <f>IF(AV24="","",AV24/VLOOKUP(Expenses!$BJ$6,Expenses!$BJ$9:$BJ$20,1)*12/$B24)</f>
        <v>#N/A</v>
      </c>
      <c r="AZ24" s="140">
        <f t="shared" si="6"/>
        <v>0</v>
      </c>
      <c r="BA24" s="140">
        <f t="shared" si="7"/>
        <v>0</v>
      </c>
      <c r="BB24" s="140">
        <f t="shared" si="8"/>
        <v>0</v>
      </c>
      <c r="BC24" s="140" t="e">
        <f t="shared" si="9"/>
        <v>#VALUE!</v>
      </c>
      <c r="BD24" s="141" t="e">
        <f>IF(BA24="","",BA24/VLOOKUP(Expenses!$BJ$6,Expenses!$BJ$9:$BJ$20,1)*12/$B24)</f>
        <v>#N/A</v>
      </c>
    </row>
    <row r="25" spans="1:56" s="16" customFormat="1" ht="12.75" x14ac:dyDescent="0.2">
      <c r="A25" s="130" t="s">
        <v>201</v>
      </c>
      <c r="B25" s="139" t="e">
        <f>INDEX(AnnualFinancialData!$D$2:$D$50,MATCH(Operating!$A25,AnnualFinancialData!$B$2:$B$2051,0),MATCH(Operating!B$9,AnnualFinancialData!$D$1))</f>
        <v>#N/A</v>
      </c>
      <c r="C25" s="25"/>
      <c r="D25" s="131"/>
      <c r="E25" s="26"/>
      <c r="F25" s="27"/>
      <c r="G25" s="27"/>
      <c r="H25" s="27"/>
      <c r="I25" s="27">
        <f t="shared" si="0"/>
        <v>0</v>
      </c>
      <c r="J25" s="28" t="e">
        <f>INDEX(Occupancy!$B$57:$AQ$57,1,MATCH(A25,Occupancy!$B$4:$AQ$4))</f>
        <v>#N/A</v>
      </c>
      <c r="K25" s="28"/>
      <c r="L25" s="132"/>
      <c r="M25" s="132"/>
      <c r="N25" s="132"/>
      <c r="O25" s="133"/>
      <c r="P25" s="31"/>
      <c r="Q25" s="32">
        <f>R25/12*Expenses!$BJ$6</f>
        <v>0</v>
      </c>
      <c r="R25" s="32"/>
      <c r="S25" s="32" t="str">
        <f>IF(P25="","",P25/VLOOKUP(Expenses!$BJ$6,Expenses!$BJ$9:$BJ$20,1)*12/$B25)</f>
        <v/>
      </c>
      <c r="T25" s="32" t="e">
        <f>IF(Q25="","",Q25/VLOOKUP(Expenses!$BJ$6,Expenses!$BJ$9:$BJ$20,1)*12/$B25)</f>
        <v>#N/A</v>
      </c>
      <c r="U25" s="33">
        <f>Expenses!BB20</f>
        <v>0</v>
      </c>
      <c r="V25" s="33">
        <f>Expenses!BC20</f>
        <v>0</v>
      </c>
      <c r="W25" s="33">
        <f>Expenses!BD20</f>
        <v>0</v>
      </c>
      <c r="X25" s="33" t="e">
        <f>Expenses!BE20</f>
        <v>#DIV/0!</v>
      </c>
      <c r="Y25" s="33" t="e">
        <f>Expenses!BF20</f>
        <v>#DIV/0!</v>
      </c>
      <c r="Z25" s="33" t="e">
        <f t="shared" si="10"/>
        <v>#DIV/0!</v>
      </c>
      <c r="AA25" s="32">
        <f t="shared" si="1"/>
        <v>0</v>
      </c>
      <c r="AB25" s="32">
        <f t="shared" si="2"/>
        <v>0</v>
      </c>
      <c r="AC25" s="32">
        <f t="shared" si="3"/>
        <v>0</v>
      </c>
      <c r="AD25" s="32" t="e">
        <f t="shared" si="4"/>
        <v>#VALUE!</v>
      </c>
      <c r="AE25" s="32" t="e">
        <f t="shared" si="5"/>
        <v>#N/A</v>
      </c>
      <c r="AF25" s="33"/>
      <c r="AG25" s="33">
        <f>AH25/12*Expenses!$BJ$6</f>
        <v>0</v>
      </c>
      <c r="AH25" s="33"/>
      <c r="AI25" s="33" t="str">
        <f>IF(AF25="","",AF25/VLOOKUP(Expenses!$BJ$6,Expenses!$BJ$9:$BJ$20,1)*12/$B25)</f>
        <v/>
      </c>
      <c r="AJ25" s="33" t="e">
        <f>IF(AG25="","",AG25/VLOOKUP(Expenses!$BJ$6,Expenses!$BJ$9:$BJ$20,1)*12/$B25)</f>
        <v>#N/A</v>
      </c>
      <c r="AK25" s="32"/>
      <c r="AL25" s="32">
        <f>AM25/12*Expenses!$BJ$6</f>
        <v>0</v>
      </c>
      <c r="AM25" s="32"/>
      <c r="AN25" s="32" t="str">
        <f>IF(AK25="","",AK25/VLOOKUP(Expenses!$BJ$6,Expenses!$BJ$9:$BJ$20,1)*12/$B25)</f>
        <v/>
      </c>
      <c r="AO25" s="32" t="e">
        <f>IF(AL25="","",AL25/VLOOKUP(Expenses!$BJ$6,Expenses!$BJ$9:$BJ$20,1)*12/$B25)</f>
        <v>#N/A</v>
      </c>
      <c r="AP25" s="33"/>
      <c r="AQ25" s="33">
        <f>AR25/12*Expenses!$BJ$6</f>
        <v>0</v>
      </c>
      <c r="AR25" s="33"/>
      <c r="AS25" s="33" t="str">
        <f>IF(AP25="","",AP25/VLOOKUP(Expenses!$BJ$6,Expenses!$BJ$9:$BJ$20,1)*12/$B25)</f>
        <v/>
      </c>
      <c r="AT25" s="33" t="e">
        <f>IF(AQ25="","",AQ25/VLOOKUP(Expenses!$BJ$6,Expenses!$BJ$9:$BJ$20,1)*12/$B25)</f>
        <v>#N/A</v>
      </c>
      <c r="AU25" s="32"/>
      <c r="AV25" s="32">
        <f>AW25/12*Expenses!$BJ$6</f>
        <v>0</v>
      </c>
      <c r="AW25" s="32"/>
      <c r="AX25" s="32" t="str">
        <f>IF(AU25="","",AU25/VLOOKUP(Expenses!$BJ$6,Expenses!$BJ$9:$BJ$20,1)*12/$B25)</f>
        <v/>
      </c>
      <c r="AY25" s="32" t="e">
        <f>IF(AV25="","",AV25/VLOOKUP(Expenses!$BJ$6,Expenses!$BJ$9:$BJ$20,1)*12/$B25)</f>
        <v>#N/A</v>
      </c>
      <c r="AZ25" s="140">
        <f t="shared" si="6"/>
        <v>0</v>
      </c>
      <c r="BA25" s="140">
        <f t="shared" si="7"/>
        <v>0</v>
      </c>
      <c r="BB25" s="140">
        <f t="shared" si="8"/>
        <v>0</v>
      </c>
      <c r="BC25" s="140" t="e">
        <f t="shared" si="9"/>
        <v>#VALUE!</v>
      </c>
      <c r="BD25" s="141" t="e">
        <f>IF(BA25="","",BA25/VLOOKUP(Expenses!$BJ$6,Expenses!$BJ$9:$BJ$20,1)*12/$B25)</f>
        <v>#N/A</v>
      </c>
    </row>
    <row r="26" spans="1:56" s="16" customFormat="1" ht="12.75" x14ac:dyDescent="0.2">
      <c r="A26" s="130" t="s">
        <v>203</v>
      </c>
      <c r="B26" s="139" t="e">
        <f>INDEX(AnnualFinancialData!$D$2:$D$50,MATCH(Operating!$A26,AnnualFinancialData!$B$2:$B$2051,0),MATCH(Operating!B$9,AnnualFinancialData!$D$1))</f>
        <v>#N/A</v>
      </c>
      <c r="C26" s="25"/>
      <c r="D26" s="131"/>
      <c r="E26" s="26"/>
      <c r="F26" s="27"/>
      <c r="G26" s="27"/>
      <c r="H26" s="27"/>
      <c r="I26" s="27">
        <f t="shared" si="0"/>
        <v>0</v>
      </c>
      <c r="J26" s="28" t="e">
        <f>INDEX(Occupancy!$B$57:$AQ$57,1,MATCH(A26,Occupancy!$B$4:$AQ$4))</f>
        <v>#N/A</v>
      </c>
      <c r="K26" s="28"/>
      <c r="L26" s="132"/>
      <c r="M26" s="132"/>
      <c r="N26" s="132"/>
      <c r="O26" s="133"/>
      <c r="P26" s="31"/>
      <c r="Q26" s="32">
        <f>R26/12*Expenses!$BJ$6</f>
        <v>0</v>
      </c>
      <c r="R26" s="32"/>
      <c r="S26" s="32" t="str">
        <f>IF(P26="","",P26/VLOOKUP(Expenses!$BJ$6,Expenses!$BJ$9:$BJ$20,1)*12/$B26)</f>
        <v/>
      </c>
      <c r="T26" s="32" t="e">
        <f>IF(Q26="","",Q26/VLOOKUP(Expenses!$BJ$6,Expenses!$BJ$9:$BJ$20,1)*12/$B26)</f>
        <v>#N/A</v>
      </c>
      <c r="U26" s="33">
        <f>Expenses!BB21</f>
        <v>0</v>
      </c>
      <c r="V26" s="33">
        <f>Expenses!BC21</f>
        <v>0</v>
      </c>
      <c r="W26" s="33">
        <f>Expenses!BD21</f>
        <v>0</v>
      </c>
      <c r="X26" s="33" t="e">
        <f>Expenses!BE21</f>
        <v>#DIV/0!</v>
      </c>
      <c r="Y26" s="33" t="e">
        <f>Expenses!BF21</f>
        <v>#DIV/0!</v>
      </c>
      <c r="Z26" s="33" t="e">
        <f t="shared" si="10"/>
        <v>#DIV/0!</v>
      </c>
      <c r="AA26" s="32">
        <f t="shared" si="1"/>
        <v>0</v>
      </c>
      <c r="AB26" s="32">
        <f t="shared" si="2"/>
        <v>0</v>
      </c>
      <c r="AC26" s="32">
        <f t="shared" si="3"/>
        <v>0</v>
      </c>
      <c r="AD26" s="32" t="e">
        <f t="shared" si="4"/>
        <v>#VALUE!</v>
      </c>
      <c r="AE26" s="32" t="e">
        <f t="shared" si="5"/>
        <v>#N/A</v>
      </c>
      <c r="AF26" s="33"/>
      <c r="AG26" s="33">
        <f>AH26/12*Expenses!$BJ$6</f>
        <v>0</v>
      </c>
      <c r="AH26" s="33"/>
      <c r="AI26" s="33" t="str">
        <f>IF(AF26="","",AF26/VLOOKUP(Expenses!$BJ$6,Expenses!$BJ$9:$BJ$20,1)*12/$B26)</f>
        <v/>
      </c>
      <c r="AJ26" s="33" t="e">
        <f>IF(AG26="","",AG26/VLOOKUP(Expenses!$BJ$6,Expenses!$BJ$9:$BJ$20,1)*12/$B26)</f>
        <v>#N/A</v>
      </c>
      <c r="AK26" s="32"/>
      <c r="AL26" s="32">
        <f>AM26/12*Expenses!$BJ$6</f>
        <v>0</v>
      </c>
      <c r="AM26" s="32"/>
      <c r="AN26" s="32" t="str">
        <f>IF(AK26="","",AK26/VLOOKUP(Expenses!$BJ$6,Expenses!$BJ$9:$BJ$20,1)*12/$B26)</f>
        <v/>
      </c>
      <c r="AO26" s="32" t="e">
        <f>IF(AL26="","",AL26/VLOOKUP(Expenses!$BJ$6,Expenses!$BJ$9:$BJ$20,1)*12/$B26)</f>
        <v>#N/A</v>
      </c>
      <c r="AP26" s="33"/>
      <c r="AQ26" s="33">
        <f>AR26/12*Expenses!$BJ$6</f>
        <v>0</v>
      </c>
      <c r="AR26" s="33"/>
      <c r="AS26" s="33" t="str">
        <f>IF(AP26="","",AP26/VLOOKUP(Expenses!$BJ$6,Expenses!$BJ$9:$BJ$20,1)*12/$B26)</f>
        <v/>
      </c>
      <c r="AT26" s="33" t="e">
        <f>IF(AQ26="","",AQ26/VLOOKUP(Expenses!$BJ$6,Expenses!$BJ$9:$BJ$20,1)*12/$B26)</f>
        <v>#N/A</v>
      </c>
      <c r="AU26" s="32"/>
      <c r="AV26" s="32">
        <f>AW26/12*Expenses!$BJ$6</f>
        <v>0</v>
      </c>
      <c r="AW26" s="32"/>
      <c r="AX26" s="32" t="str">
        <f>IF(AU26="","",AU26/VLOOKUP(Expenses!$BJ$6,Expenses!$BJ$9:$BJ$20,1)*12/$B26)</f>
        <v/>
      </c>
      <c r="AY26" s="32" t="e">
        <f>IF(AV26="","",AV26/VLOOKUP(Expenses!$BJ$6,Expenses!$BJ$9:$BJ$20,1)*12/$B26)</f>
        <v>#N/A</v>
      </c>
      <c r="AZ26" s="140">
        <f t="shared" si="6"/>
        <v>0</v>
      </c>
      <c r="BA26" s="140">
        <f t="shared" si="7"/>
        <v>0</v>
      </c>
      <c r="BB26" s="140">
        <f t="shared" si="8"/>
        <v>0</v>
      </c>
      <c r="BC26" s="140" t="e">
        <f t="shared" si="9"/>
        <v>#VALUE!</v>
      </c>
      <c r="BD26" s="141" t="e">
        <f>IF(BA26="","",BA26/VLOOKUP(Expenses!$BJ$6,Expenses!$BJ$9:$BJ$20,1)*12/$B26)</f>
        <v>#N/A</v>
      </c>
    </row>
    <row r="27" spans="1:56" s="16" customFormat="1" ht="12.75" x14ac:dyDescent="0.2">
      <c r="A27" s="130" t="s">
        <v>205</v>
      </c>
      <c r="B27" s="139" t="e">
        <f>INDEX(AnnualFinancialData!$D$2:$D$50,MATCH(Operating!$A27,AnnualFinancialData!$B$2:$B$2051,0),MATCH(Operating!B$9,AnnualFinancialData!$D$1))</f>
        <v>#N/A</v>
      </c>
      <c r="C27" s="25"/>
      <c r="D27" s="131"/>
      <c r="E27" s="26"/>
      <c r="F27" s="27"/>
      <c r="G27" s="27"/>
      <c r="H27" s="27"/>
      <c r="I27" s="27">
        <f t="shared" si="0"/>
        <v>0</v>
      </c>
      <c r="J27" s="28" t="e">
        <f>INDEX(Occupancy!$B$57:$AQ$57,1,MATCH(A27,Occupancy!$B$4:$AQ$4))</f>
        <v>#N/A</v>
      </c>
      <c r="K27" s="28"/>
      <c r="L27" s="132"/>
      <c r="M27" s="132"/>
      <c r="N27" s="132"/>
      <c r="O27" s="133"/>
      <c r="P27" s="31"/>
      <c r="Q27" s="32">
        <f>R27/12*Expenses!$BJ$6</f>
        <v>0</v>
      </c>
      <c r="R27" s="32"/>
      <c r="S27" s="32" t="str">
        <f>IF(P27="","",P27/VLOOKUP(Expenses!$BJ$6,Expenses!$BJ$9:$BJ$20,1)*12/$B27)</f>
        <v/>
      </c>
      <c r="T27" s="32" t="e">
        <f>IF(Q27="","",Q27/VLOOKUP(Expenses!$BJ$6,Expenses!$BJ$9:$BJ$20,1)*12/$B27)</f>
        <v>#N/A</v>
      </c>
      <c r="U27" s="33">
        <f>Expenses!BB22</f>
        <v>0</v>
      </c>
      <c r="V27" s="33">
        <f>Expenses!BC22</f>
        <v>0</v>
      </c>
      <c r="W27" s="33">
        <f>Expenses!BD22</f>
        <v>0</v>
      </c>
      <c r="X27" s="33" t="e">
        <f>Expenses!BE22</f>
        <v>#DIV/0!</v>
      </c>
      <c r="Y27" s="33" t="e">
        <f>Expenses!BF22</f>
        <v>#DIV/0!</v>
      </c>
      <c r="Z27" s="33" t="e">
        <f t="shared" si="10"/>
        <v>#DIV/0!</v>
      </c>
      <c r="AA27" s="32">
        <f t="shared" si="1"/>
        <v>0</v>
      </c>
      <c r="AB27" s="32">
        <f t="shared" si="2"/>
        <v>0</v>
      </c>
      <c r="AC27" s="32">
        <f t="shared" si="3"/>
        <v>0</v>
      </c>
      <c r="AD27" s="32" t="e">
        <f t="shared" si="4"/>
        <v>#VALUE!</v>
      </c>
      <c r="AE27" s="32" t="e">
        <f t="shared" si="5"/>
        <v>#N/A</v>
      </c>
      <c r="AF27" s="33"/>
      <c r="AG27" s="33">
        <f>AH27/12*Expenses!$BJ$6</f>
        <v>0</v>
      </c>
      <c r="AH27" s="33"/>
      <c r="AI27" s="33" t="str">
        <f>IF(AF27="","",AF27/VLOOKUP(Expenses!$BJ$6,Expenses!$BJ$9:$BJ$20,1)*12/$B27)</f>
        <v/>
      </c>
      <c r="AJ27" s="33" t="e">
        <f>IF(AG27="","",AG27/VLOOKUP(Expenses!$BJ$6,Expenses!$BJ$9:$BJ$20,1)*12/$B27)</f>
        <v>#N/A</v>
      </c>
      <c r="AK27" s="32"/>
      <c r="AL27" s="32">
        <f>AM27/12*Expenses!$BJ$6</f>
        <v>0</v>
      </c>
      <c r="AM27" s="32"/>
      <c r="AN27" s="32" t="str">
        <f>IF(AK27="","",AK27/VLOOKUP(Expenses!$BJ$6,Expenses!$BJ$9:$BJ$20,1)*12/$B27)</f>
        <v/>
      </c>
      <c r="AO27" s="32" t="e">
        <f>IF(AL27="","",AL27/VLOOKUP(Expenses!$BJ$6,Expenses!$BJ$9:$BJ$20,1)*12/$B27)</f>
        <v>#N/A</v>
      </c>
      <c r="AP27" s="33"/>
      <c r="AQ27" s="33">
        <f>AR27/12*Expenses!$BJ$6</f>
        <v>0</v>
      </c>
      <c r="AR27" s="33"/>
      <c r="AS27" s="33" t="str">
        <f>IF(AP27="","",AP27/VLOOKUP(Expenses!$BJ$6,Expenses!$BJ$9:$BJ$20,1)*12/$B27)</f>
        <v/>
      </c>
      <c r="AT27" s="33" t="e">
        <f>IF(AQ27="","",AQ27/VLOOKUP(Expenses!$BJ$6,Expenses!$BJ$9:$BJ$20,1)*12/$B27)</f>
        <v>#N/A</v>
      </c>
      <c r="AU27" s="32"/>
      <c r="AV27" s="32">
        <f>AW27/12*Expenses!$BJ$6</f>
        <v>0</v>
      </c>
      <c r="AW27" s="32"/>
      <c r="AX27" s="32" t="str">
        <f>IF(AU27="","",AU27/VLOOKUP(Expenses!$BJ$6,Expenses!$BJ$9:$BJ$20,1)*12/$B27)</f>
        <v/>
      </c>
      <c r="AY27" s="32" t="e">
        <f>IF(AV27="","",AV27/VLOOKUP(Expenses!$BJ$6,Expenses!$BJ$9:$BJ$20,1)*12/$B27)</f>
        <v>#N/A</v>
      </c>
      <c r="AZ27" s="140">
        <f t="shared" si="6"/>
        <v>0</v>
      </c>
      <c r="BA27" s="140">
        <f t="shared" si="7"/>
        <v>0</v>
      </c>
      <c r="BB27" s="140">
        <f t="shared" si="8"/>
        <v>0</v>
      </c>
      <c r="BC27" s="140" t="e">
        <f t="shared" si="9"/>
        <v>#VALUE!</v>
      </c>
      <c r="BD27" s="141" t="e">
        <f>IF(BA27="","",BA27/VLOOKUP(Expenses!$BJ$6,Expenses!$BJ$9:$BJ$20,1)*12/$B27)</f>
        <v>#N/A</v>
      </c>
    </row>
    <row r="28" spans="1:56" s="16" customFormat="1" ht="12.75" x14ac:dyDescent="0.2">
      <c r="A28" s="130" t="s">
        <v>207</v>
      </c>
      <c r="B28" s="139" t="e">
        <f>INDEX(AnnualFinancialData!$D$2:$D$50,MATCH(Operating!$A28,AnnualFinancialData!$B$2:$B$2051,0),MATCH(Operating!B$9,AnnualFinancialData!$D$1))</f>
        <v>#N/A</v>
      </c>
      <c r="C28" s="25"/>
      <c r="D28" s="131"/>
      <c r="E28" s="26"/>
      <c r="F28" s="27"/>
      <c r="G28" s="27"/>
      <c r="H28" s="27"/>
      <c r="I28" s="27">
        <f t="shared" si="0"/>
        <v>0</v>
      </c>
      <c r="J28" s="28" t="e">
        <f>INDEX(Occupancy!$B$57:$AQ$57,1,MATCH(A28,Occupancy!$B$4:$AQ$4))</f>
        <v>#N/A</v>
      </c>
      <c r="K28" s="28"/>
      <c r="L28" s="132"/>
      <c r="M28" s="132"/>
      <c r="N28" s="132"/>
      <c r="O28" s="133"/>
      <c r="P28" s="31"/>
      <c r="Q28" s="32">
        <f>R28/12*Expenses!$BJ$6</f>
        <v>0</v>
      </c>
      <c r="R28" s="32"/>
      <c r="S28" s="32" t="str">
        <f>IF(P28="","",P28/VLOOKUP(Expenses!$BJ$6,Expenses!$BJ$9:$BJ$20,1)*12/$B28)</f>
        <v/>
      </c>
      <c r="T28" s="32" t="e">
        <f>IF(Q28="","",Q28/VLOOKUP(Expenses!$BJ$6,Expenses!$BJ$9:$BJ$20,1)*12/$B28)</f>
        <v>#N/A</v>
      </c>
      <c r="U28" s="33">
        <f>Expenses!BB23</f>
        <v>0</v>
      </c>
      <c r="V28" s="33">
        <f>Expenses!BC23</f>
        <v>0</v>
      </c>
      <c r="W28" s="33">
        <f>Expenses!BD23</f>
        <v>0</v>
      </c>
      <c r="X28" s="33" t="e">
        <f>Expenses!BE23</f>
        <v>#DIV/0!</v>
      </c>
      <c r="Y28" s="33" t="e">
        <f>Expenses!BF23</f>
        <v>#DIV/0!</v>
      </c>
      <c r="Z28" s="33" t="e">
        <f t="shared" si="10"/>
        <v>#DIV/0!</v>
      </c>
      <c r="AA28" s="32">
        <f t="shared" si="1"/>
        <v>0</v>
      </c>
      <c r="AB28" s="32">
        <f t="shared" si="2"/>
        <v>0</v>
      </c>
      <c r="AC28" s="32">
        <f t="shared" si="3"/>
        <v>0</v>
      </c>
      <c r="AD28" s="32" t="e">
        <f t="shared" si="4"/>
        <v>#VALUE!</v>
      </c>
      <c r="AE28" s="32" t="e">
        <f t="shared" si="5"/>
        <v>#N/A</v>
      </c>
      <c r="AF28" s="33"/>
      <c r="AG28" s="33">
        <f>AH28/12*Expenses!$BJ$6</f>
        <v>0</v>
      </c>
      <c r="AH28" s="33"/>
      <c r="AI28" s="33" t="str">
        <f>IF(AF28="","",AF28/VLOOKUP(Expenses!$BJ$6,Expenses!$BJ$9:$BJ$20,1)*12/$B28)</f>
        <v/>
      </c>
      <c r="AJ28" s="33" t="e">
        <f>IF(AG28="","",AG28/VLOOKUP(Expenses!$BJ$6,Expenses!$BJ$9:$BJ$20,1)*12/$B28)</f>
        <v>#N/A</v>
      </c>
      <c r="AK28" s="32"/>
      <c r="AL28" s="32">
        <f>AM28/12*Expenses!$BJ$6</f>
        <v>0</v>
      </c>
      <c r="AM28" s="32"/>
      <c r="AN28" s="32" t="str">
        <f>IF(AK28="","",AK28/VLOOKUP(Expenses!$BJ$6,Expenses!$BJ$9:$BJ$20,1)*12/$B28)</f>
        <v/>
      </c>
      <c r="AO28" s="32" t="e">
        <f>IF(AL28="","",AL28/VLOOKUP(Expenses!$BJ$6,Expenses!$BJ$9:$BJ$20,1)*12/$B28)</f>
        <v>#N/A</v>
      </c>
      <c r="AP28" s="33"/>
      <c r="AQ28" s="33">
        <f>AR28/12*Expenses!$BJ$6</f>
        <v>0</v>
      </c>
      <c r="AR28" s="33"/>
      <c r="AS28" s="33" t="str">
        <f>IF(AP28="","",AP28/VLOOKUP(Expenses!$BJ$6,Expenses!$BJ$9:$BJ$20,1)*12/$B28)</f>
        <v/>
      </c>
      <c r="AT28" s="33" t="e">
        <f>IF(AQ28="","",AQ28/VLOOKUP(Expenses!$BJ$6,Expenses!$BJ$9:$BJ$20,1)*12/$B28)</f>
        <v>#N/A</v>
      </c>
      <c r="AU28" s="32"/>
      <c r="AV28" s="32">
        <f>AW28/12*Expenses!$BJ$6</f>
        <v>0</v>
      </c>
      <c r="AW28" s="32"/>
      <c r="AX28" s="32" t="str">
        <f>IF(AU28="","",AU28/VLOOKUP(Expenses!$BJ$6,Expenses!$BJ$9:$BJ$20,1)*12/$B28)</f>
        <v/>
      </c>
      <c r="AY28" s="32" t="e">
        <f>IF(AV28="","",AV28/VLOOKUP(Expenses!$BJ$6,Expenses!$BJ$9:$BJ$20,1)*12/$B28)</f>
        <v>#N/A</v>
      </c>
      <c r="AZ28" s="140">
        <f t="shared" si="6"/>
        <v>0</v>
      </c>
      <c r="BA28" s="140">
        <f t="shared" si="7"/>
        <v>0</v>
      </c>
      <c r="BB28" s="140">
        <f t="shared" si="8"/>
        <v>0</v>
      </c>
      <c r="BC28" s="140" t="e">
        <f t="shared" si="9"/>
        <v>#VALUE!</v>
      </c>
      <c r="BD28" s="141" t="e">
        <f>IF(BA28="","",BA28/VLOOKUP(Expenses!$BJ$6,Expenses!$BJ$9:$BJ$20,1)*12/$B28)</f>
        <v>#N/A</v>
      </c>
    </row>
    <row r="29" spans="1:56" s="16" customFormat="1" ht="12.75" x14ac:dyDescent="0.2">
      <c r="A29" s="130" t="s">
        <v>76</v>
      </c>
      <c r="B29" s="139">
        <f>INDEX(AnnualFinancialData!$D$2:$D$50,MATCH(Operating!$A29,AnnualFinancialData!$B$2:$B$2051,0),MATCH(Operating!B$9,AnnualFinancialData!$D$1))</f>
        <v>105</v>
      </c>
      <c r="C29" s="25"/>
      <c r="D29" s="131"/>
      <c r="E29" s="26">
        <v>189967</v>
      </c>
      <c r="F29" s="27">
        <v>161005</v>
      </c>
      <c r="G29" s="27">
        <v>370332</v>
      </c>
      <c r="H29" s="27">
        <v>24215</v>
      </c>
      <c r="I29" s="27">
        <f t="shared" si="0"/>
        <v>745519</v>
      </c>
      <c r="J29" s="28" t="e">
        <f>INDEX(Occupancy!$B$57:$AQ$57,1,MATCH(A29,Occupancy!$B$4:$AQ$4))</f>
        <v>#N/A</v>
      </c>
      <c r="K29" s="28"/>
      <c r="L29" s="132"/>
      <c r="M29" s="132"/>
      <c r="N29" s="132"/>
      <c r="O29" s="133"/>
      <c r="P29" s="31">
        <v>707681</v>
      </c>
      <c r="Q29" s="32">
        <f>R29/12*Expenses!$BJ$6</f>
        <v>0</v>
      </c>
      <c r="R29" s="32">
        <v>0</v>
      </c>
      <c r="S29" s="32">
        <f>IF(P29="","",P29/VLOOKUP(Expenses!$BJ$6,Expenses!$BJ$9:$BJ$20,1)*12/$B29)</f>
        <v>26959.27619047619</v>
      </c>
      <c r="T29" s="32">
        <f>IF(Q29="","",Q29/VLOOKUP(Expenses!$BJ$6,Expenses!$BJ$9:$BJ$20,1)*12/$B29)</f>
        <v>0</v>
      </c>
      <c r="U29" s="33">
        <f>Expenses!BB24</f>
        <v>0</v>
      </c>
      <c r="V29" s="33">
        <f>Expenses!BC24</f>
        <v>0</v>
      </c>
      <c r="W29" s="33">
        <f>Expenses!BD24</f>
        <v>0</v>
      </c>
      <c r="X29" s="33" t="e">
        <f>Expenses!BE24</f>
        <v>#DIV/0!</v>
      </c>
      <c r="Y29" s="33" t="e">
        <f>Expenses!BF24</f>
        <v>#DIV/0!</v>
      </c>
      <c r="Z29" s="33">
        <f>U29/P29</f>
        <v>0</v>
      </c>
      <c r="AA29" s="32">
        <f t="shared" si="1"/>
        <v>707681</v>
      </c>
      <c r="AB29" s="32">
        <f t="shared" si="2"/>
        <v>0</v>
      </c>
      <c r="AC29" s="32">
        <f t="shared" si="3"/>
        <v>0</v>
      </c>
      <c r="AD29" s="32" t="e">
        <f t="shared" si="4"/>
        <v>#DIV/0!</v>
      </c>
      <c r="AE29" s="32" t="e">
        <f t="shared" si="5"/>
        <v>#DIV/0!</v>
      </c>
      <c r="AF29" s="33"/>
      <c r="AG29" s="33">
        <f>AH29/12*Expenses!$BJ$6</f>
        <v>0</v>
      </c>
      <c r="AH29" s="33"/>
      <c r="AI29" s="33" t="str">
        <f>IF(AF29="","",AF29/VLOOKUP(Expenses!$BJ$6,Expenses!$BJ$9:$BJ$20,1)*12/$B29)</f>
        <v/>
      </c>
      <c r="AJ29" s="33">
        <f>IF(AG29="","",AG29/VLOOKUP(Expenses!$BJ$6,Expenses!$BJ$9:$BJ$20,1)*12/$B29)</f>
        <v>0</v>
      </c>
      <c r="AK29" s="32"/>
      <c r="AL29" s="32">
        <f>AM29/12*Expenses!$BJ$6</f>
        <v>0</v>
      </c>
      <c r="AM29" s="32"/>
      <c r="AN29" s="32" t="str">
        <f>IF(AK29="","",AK29/VLOOKUP(Expenses!$BJ$6,Expenses!$BJ$9:$BJ$20,1)*12/$B29)</f>
        <v/>
      </c>
      <c r="AO29" s="32">
        <f>IF(AL29="","",AL29/VLOOKUP(Expenses!$BJ$6,Expenses!$BJ$9:$BJ$20,1)*12/$B29)</f>
        <v>0</v>
      </c>
      <c r="AP29" s="33"/>
      <c r="AQ29" s="33">
        <f>AR29/12*Expenses!$BJ$6</f>
        <v>182202.5</v>
      </c>
      <c r="AR29" s="33">
        <v>728810</v>
      </c>
      <c r="AS29" s="33" t="str">
        <f>IF(AP29="","",AP29/VLOOKUP(Expenses!$BJ$6,Expenses!$BJ$9:$BJ$20,1)*12/$B29)</f>
        <v/>
      </c>
      <c r="AT29" s="33">
        <f>IF(AQ29="","",AQ29/VLOOKUP(Expenses!$BJ$6,Expenses!$BJ$9:$BJ$20,1)*12/$B29)</f>
        <v>6941.0476190476193</v>
      </c>
      <c r="AU29" s="32"/>
      <c r="AV29" s="32">
        <f>AW29/12*Expenses!$BJ$6</f>
        <v>0</v>
      </c>
      <c r="AW29" s="32"/>
      <c r="AX29" s="32" t="str">
        <f>IF(AU29="","",AU29/VLOOKUP(Expenses!$BJ$6,Expenses!$BJ$9:$BJ$20,1)*12/$B29)</f>
        <v/>
      </c>
      <c r="AY29" s="32">
        <f>IF(AV29="","",AV29/VLOOKUP(Expenses!$BJ$6,Expenses!$BJ$9:$BJ$20,1)*12/$B29)</f>
        <v>0</v>
      </c>
      <c r="AZ29" s="140">
        <f t="shared" si="6"/>
        <v>707681</v>
      </c>
      <c r="BA29" s="140">
        <f t="shared" si="7"/>
        <v>-182202.5</v>
      </c>
      <c r="BB29" s="140">
        <f t="shared" si="8"/>
        <v>-728810</v>
      </c>
      <c r="BC29" s="140" t="e">
        <f t="shared" si="9"/>
        <v>#DIV/0!</v>
      </c>
      <c r="BD29" s="141">
        <f>IF(BA29="","",BA29/VLOOKUP(Expenses!$BJ$6,Expenses!$BJ$9:$BJ$20,1)*12/$B29)</f>
        <v>-6941.0476190476193</v>
      </c>
    </row>
    <row r="30" spans="1:56" s="16" customFormat="1" ht="12.75" x14ac:dyDescent="0.2">
      <c r="A30" s="130" t="s">
        <v>209</v>
      </c>
      <c r="B30" s="139" t="e">
        <f>INDEX(AnnualFinancialData!$D$2:$D$50,MATCH(Operating!$A30,AnnualFinancialData!$B$2:$B$2051,0),MATCH(Operating!B$9,AnnualFinancialData!$D$1))</f>
        <v>#N/A</v>
      </c>
      <c r="C30" s="25"/>
      <c r="D30" s="131"/>
      <c r="E30" s="26"/>
      <c r="F30" s="27"/>
      <c r="G30" s="27"/>
      <c r="H30" s="27"/>
      <c r="I30" s="27">
        <f t="shared" si="0"/>
        <v>0</v>
      </c>
      <c r="J30" s="28" t="e">
        <f>INDEX(Occupancy!$B$57:$AQ$57,1,MATCH(A30,Occupancy!$B$4:$AQ$4))</f>
        <v>#N/A</v>
      </c>
      <c r="K30" s="28"/>
      <c r="L30" s="132"/>
      <c r="M30" s="132"/>
      <c r="N30" s="132"/>
      <c r="O30" s="133"/>
      <c r="P30" s="31"/>
      <c r="Q30" s="32">
        <f>R30/12*Expenses!$BJ$6</f>
        <v>0</v>
      </c>
      <c r="R30" s="32"/>
      <c r="S30" s="32" t="str">
        <f>IF(P30="","",P30/VLOOKUP(Expenses!$BJ$6,Expenses!$BJ$9:$BJ$20,1)*12/$B30)</f>
        <v/>
      </c>
      <c r="T30" s="32" t="e">
        <f>IF(Q30="","",Q30/VLOOKUP(Expenses!$BJ$6,Expenses!$BJ$9:$BJ$20,1)*12/$B30)</f>
        <v>#N/A</v>
      </c>
      <c r="U30" s="33">
        <f>Expenses!BB25</f>
        <v>0</v>
      </c>
      <c r="V30" s="33">
        <f>Expenses!BC25</f>
        <v>0</v>
      </c>
      <c r="W30" s="33">
        <f>Expenses!BD25</f>
        <v>0</v>
      </c>
      <c r="X30" s="33" t="e">
        <f>Expenses!BE25</f>
        <v>#DIV/0!</v>
      </c>
      <c r="Y30" s="33" t="e">
        <f>Expenses!BF25</f>
        <v>#DIV/0!</v>
      </c>
      <c r="Z30" s="33" t="e">
        <f t="shared" si="10"/>
        <v>#DIV/0!</v>
      </c>
      <c r="AA30" s="32">
        <f t="shared" si="1"/>
        <v>0</v>
      </c>
      <c r="AB30" s="32">
        <f t="shared" si="2"/>
        <v>0</v>
      </c>
      <c r="AC30" s="32">
        <f t="shared" si="3"/>
        <v>0</v>
      </c>
      <c r="AD30" s="32" t="e">
        <f t="shared" si="4"/>
        <v>#VALUE!</v>
      </c>
      <c r="AE30" s="32" t="e">
        <f t="shared" si="5"/>
        <v>#N/A</v>
      </c>
      <c r="AF30" s="33"/>
      <c r="AG30" s="33">
        <f>AH30/12*Expenses!$BJ$6</f>
        <v>0</v>
      </c>
      <c r="AH30" s="33"/>
      <c r="AI30" s="33" t="str">
        <f>IF(AF30="","",AF30/VLOOKUP(Expenses!$BJ$6,Expenses!$BJ$9:$BJ$20,1)*12/$B30)</f>
        <v/>
      </c>
      <c r="AJ30" s="33" t="e">
        <f>IF(AG30="","",AG30/VLOOKUP(Expenses!$BJ$6,Expenses!$BJ$9:$BJ$20,1)*12/$B30)</f>
        <v>#N/A</v>
      </c>
      <c r="AK30" s="32"/>
      <c r="AL30" s="32">
        <f>AM30/12*Expenses!$BJ$6</f>
        <v>0</v>
      </c>
      <c r="AM30" s="32"/>
      <c r="AN30" s="32" t="str">
        <f>IF(AK30="","",AK30/VLOOKUP(Expenses!$BJ$6,Expenses!$BJ$9:$BJ$20,1)*12/$B30)</f>
        <v/>
      </c>
      <c r="AO30" s="32" t="e">
        <f>IF(AL30="","",AL30/VLOOKUP(Expenses!$BJ$6,Expenses!$BJ$9:$BJ$20,1)*12/$B30)</f>
        <v>#N/A</v>
      </c>
      <c r="AP30" s="33"/>
      <c r="AQ30" s="33">
        <f>AR30/12*Expenses!$BJ$6</f>
        <v>0</v>
      </c>
      <c r="AR30" s="33"/>
      <c r="AS30" s="33" t="str">
        <f>IF(AP30="","",AP30/VLOOKUP(Expenses!$BJ$6,Expenses!$BJ$9:$BJ$20,1)*12/$B30)</f>
        <v/>
      </c>
      <c r="AT30" s="33" t="e">
        <f>IF(AQ30="","",AQ30/VLOOKUP(Expenses!$BJ$6,Expenses!$BJ$9:$BJ$20,1)*12/$B30)</f>
        <v>#N/A</v>
      </c>
      <c r="AU30" s="32"/>
      <c r="AV30" s="32">
        <f>AW30/12*Expenses!$BJ$6</f>
        <v>0</v>
      </c>
      <c r="AW30" s="32"/>
      <c r="AX30" s="32" t="str">
        <f>IF(AU30="","",AU30/VLOOKUP(Expenses!$BJ$6,Expenses!$BJ$9:$BJ$20,1)*12/$B30)</f>
        <v/>
      </c>
      <c r="AY30" s="32" t="e">
        <f>IF(AV30="","",AV30/VLOOKUP(Expenses!$BJ$6,Expenses!$BJ$9:$BJ$20,1)*12/$B30)</f>
        <v>#N/A</v>
      </c>
      <c r="AZ30" s="140">
        <f t="shared" si="6"/>
        <v>0</v>
      </c>
      <c r="BA30" s="140">
        <f t="shared" si="7"/>
        <v>0</v>
      </c>
      <c r="BB30" s="140">
        <f t="shared" si="8"/>
        <v>0</v>
      </c>
      <c r="BC30" s="140" t="e">
        <f t="shared" si="9"/>
        <v>#VALUE!</v>
      </c>
      <c r="BD30" s="141" t="e">
        <f>IF(BA30="","",BA30/VLOOKUP(Expenses!$BJ$6,Expenses!$BJ$9:$BJ$20,1)*12/$B30)</f>
        <v>#N/A</v>
      </c>
    </row>
    <row r="31" spans="1:56" s="16" customFormat="1" ht="12.75" x14ac:dyDescent="0.2">
      <c r="A31" s="130" t="s">
        <v>211</v>
      </c>
      <c r="B31" s="139" t="e">
        <f>INDEX(AnnualFinancialData!$D$2:$D$50,MATCH(Operating!$A31,AnnualFinancialData!$B$2:$B$2051,0),MATCH(Operating!B$9,AnnualFinancialData!$D$1))</f>
        <v>#N/A</v>
      </c>
      <c r="C31" s="25"/>
      <c r="D31" s="131"/>
      <c r="E31" s="26"/>
      <c r="F31" s="27"/>
      <c r="G31" s="27"/>
      <c r="H31" s="27"/>
      <c r="I31" s="27">
        <f t="shared" si="0"/>
        <v>0</v>
      </c>
      <c r="J31" s="28" t="e">
        <f>INDEX(Occupancy!$B$57:$AQ$57,1,MATCH(A31,Occupancy!$B$4:$AQ$4))</f>
        <v>#N/A</v>
      </c>
      <c r="K31" s="28"/>
      <c r="L31" s="132"/>
      <c r="M31" s="132"/>
      <c r="N31" s="132"/>
      <c r="O31" s="133"/>
      <c r="P31" s="31"/>
      <c r="Q31" s="32">
        <f>R31/12*Expenses!$BJ$6</f>
        <v>0</v>
      </c>
      <c r="R31" s="32"/>
      <c r="S31" s="32" t="str">
        <f>IF(P31="","",P31/VLOOKUP(Expenses!$BJ$6,Expenses!$BJ$9:$BJ$20,1)*12/$B31)</f>
        <v/>
      </c>
      <c r="T31" s="32" t="e">
        <f>IF(Q31="","",Q31/VLOOKUP(Expenses!$BJ$6,Expenses!$BJ$9:$BJ$20,1)*12/$B31)</f>
        <v>#N/A</v>
      </c>
      <c r="U31" s="33">
        <f>Expenses!BB26</f>
        <v>0</v>
      </c>
      <c r="V31" s="33">
        <f>Expenses!BC26</f>
        <v>0</v>
      </c>
      <c r="W31" s="33">
        <f>Expenses!BD26</f>
        <v>0</v>
      </c>
      <c r="X31" s="33" t="e">
        <f>Expenses!BE26</f>
        <v>#DIV/0!</v>
      </c>
      <c r="Y31" s="33" t="e">
        <f>Expenses!BF26</f>
        <v>#DIV/0!</v>
      </c>
      <c r="Z31" s="33" t="e">
        <f t="shared" si="10"/>
        <v>#DIV/0!</v>
      </c>
      <c r="AA31" s="32">
        <f t="shared" si="1"/>
        <v>0</v>
      </c>
      <c r="AB31" s="32">
        <f t="shared" si="2"/>
        <v>0</v>
      </c>
      <c r="AC31" s="32">
        <f t="shared" si="3"/>
        <v>0</v>
      </c>
      <c r="AD31" s="32" t="e">
        <f t="shared" si="4"/>
        <v>#VALUE!</v>
      </c>
      <c r="AE31" s="32" t="e">
        <f t="shared" si="5"/>
        <v>#N/A</v>
      </c>
      <c r="AF31" s="33"/>
      <c r="AG31" s="33">
        <f>AH31/12*Expenses!$BJ$6</f>
        <v>0</v>
      </c>
      <c r="AH31" s="33"/>
      <c r="AI31" s="33" t="str">
        <f>IF(AF31="","",AF31/VLOOKUP(Expenses!$BJ$6,Expenses!$BJ$9:$BJ$20,1)*12/$B31)</f>
        <v/>
      </c>
      <c r="AJ31" s="33" t="e">
        <f>IF(AG31="","",AG31/VLOOKUP(Expenses!$BJ$6,Expenses!$BJ$9:$BJ$20,1)*12/$B31)</f>
        <v>#N/A</v>
      </c>
      <c r="AK31" s="32"/>
      <c r="AL31" s="32">
        <f>AM31/12*Expenses!$BJ$6</f>
        <v>0</v>
      </c>
      <c r="AM31" s="32"/>
      <c r="AN31" s="32" t="str">
        <f>IF(AK31="","",AK31/VLOOKUP(Expenses!$BJ$6,Expenses!$BJ$9:$BJ$20,1)*12/$B31)</f>
        <v/>
      </c>
      <c r="AO31" s="32" t="e">
        <f>IF(AL31="","",AL31/VLOOKUP(Expenses!$BJ$6,Expenses!$BJ$9:$BJ$20,1)*12/$B31)</f>
        <v>#N/A</v>
      </c>
      <c r="AP31" s="33"/>
      <c r="AQ31" s="33">
        <f>AR31/12*Expenses!$BJ$6</f>
        <v>0</v>
      </c>
      <c r="AR31" s="33"/>
      <c r="AS31" s="33" t="str">
        <f>IF(AP31="","",AP31/VLOOKUP(Expenses!$BJ$6,Expenses!$BJ$9:$BJ$20,1)*12/$B31)</f>
        <v/>
      </c>
      <c r="AT31" s="33" t="e">
        <f>IF(AQ31="","",AQ31/VLOOKUP(Expenses!$BJ$6,Expenses!$BJ$9:$BJ$20,1)*12/$B31)</f>
        <v>#N/A</v>
      </c>
      <c r="AU31" s="32"/>
      <c r="AV31" s="32">
        <f>AW31/12*Expenses!$BJ$6</f>
        <v>0</v>
      </c>
      <c r="AW31" s="32"/>
      <c r="AX31" s="32" t="str">
        <f>IF(AU31="","",AU31/VLOOKUP(Expenses!$BJ$6,Expenses!$BJ$9:$BJ$20,1)*12/$B31)</f>
        <v/>
      </c>
      <c r="AY31" s="32" t="e">
        <f>IF(AV31="","",AV31/VLOOKUP(Expenses!$BJ$6,Expenses!$BJ$9:$BJ$20,1)*12/$B31)</f>
        <v>#N/A</v>
      </c>
      <c r="AZ31" s="140">
        <f t="shared" si="6"/>
        <v>0</v>
      </c>
      <c r="BA31" s="140">
        <f t="shared" si="7"/>
        <v>0</v>
      </c>
      <c r="BB31" s="140">
        <f t="shared" si="8"/>
        <v>0</v>
      </c>
      <c r="BC31" s="140" t="e">
        <f t="shared" si="9"/>
        <v>#VALUE!</v>
      </c>
      <c r="BD31" s="141" t="e">
        <f>IF(BA31="","",BA31/VLOOKUP(Expenses!$BJ$6,Expenses!$BJ$9:$BJ$20,1)*12/$B31)</f>
        <v>#N/A</v>
      </c>
    </row>
    <row r="32" spans="1:56" s="16" customFormat="1" ht="12.75" x14ac:dyDescent="0.2">
      <c r="A32" s="130" t="s">
        <v>213</v>
      </c>
      <c r="B32" s="139" t="e">
        <f>INDEX(AnnualFinancialData!$D$2:$D$50,MATCH(Operating!$A32,AnnualFinancialData!$B$2:$B$2051,0),MATCH(Operating!B$9,AnnualFinancialData!$D$1))</f>
        <v>#N/A</v>
      </c>
      <c r="C32" s="25"/>
      <c r="D32" s="131"/>
      <c r="E32" s="26"/>
      <c r="F32" s="27"/>
      <c r="G32" s="27"/>
      <c r="H32" s="27"/>
      <c r="I32" s="27">
        <f t="shared" si="0"/>
        <v>0</v>
      </c>
      <c r="J32" s="28" t="e">
        <f>INDEX(Occupancy!$B$57:$AQ$57,1,MATCH(A32,Occupancy!$B$4:$AQ$4))</f>
        <v>#N/A</v>
      </c>
      <c r="K32" s="28"/>
      <c r="L32" s="132"/>
      <c r="M32" s="132"/>
      <c r="N32" s="132"/>
      <c r="O32" s="133"/>
      <c r="P32" s="31"/>
      <c r="Q32" s="32">
        <f>R32/12*Expenses!$BJ$6</f>
        <v>0</v>
      </c>
      <c r="R32" s="32"/>
      <c r="S32" s="32" t="str">
        <f>IF(P32="","",P32/VLOOKUP(Expenses!$BJ$6,Expenses!$BJ$9:$BJ$20,1)*12/$B32)</f>
        <v/>
      </c>
      <c r="T32" s="32" t="e">
        <f>IF(Q32="","",Q32/VLOOKUP(Expenses!$BJ$6,Expenses!$BJ$9:$BJ$20,1)*12/$B32)</f>
        <v>#N/A</v>
      </c>
      <c r="U32" s="33">
        <f>Expenses!BB27</f>
        <v>0</v>
      </c>
      <c r="V32" s="33">
        <f>Expenses!BC27</f>
        <v>0</v>
      </c>
      <c r="W32" s="33">
        <f>Expenses!BD27</f>
        <v>0</v>
      </c>
      <c r="X32" s="33" t="e">
        <f>Expenses!BE27</f>
        <v>#DIV/0!</v>
      </c>
      <c r="Y32" s="33" t="e">
        <f>Expenses!BF27</f>
        <v>#DIV/0!</v>
      </c>
      <c r="Z32" s="33" t="e">
        <f t="shared" si="10"/>
        <v>#DIV/0!</v>
      </c>
      <c r="AA32" s="32">
        <f t="shared" si="1"/>
        <v>0</v>
      </c>
      <c r="AB32" s="32">
        <f t="shared" si="2"/>
        <v>0</v>
      </c>
      <c r="AC32" s="32">
        <f t="shared" si="3"/>
        <v>0</v>
      </c>
      <c r="AD32" s="32" t="e">
        <f t="shared" si="4"/>
        <v>#VALUE!</v>
      </c>
      <c r="AE32" s="32" t="e">
        <f t="shared" si="5"/>
        <v>#N/A</v>
      </c>
      <c r="AF32" s="33"/>
      <c r="AG32" s="33">
        <f>AH32/12*Expenses!$BJ$6</f>
        <v>0</v>
      </c>
      <c r="AH32" s="33"/>
      <c r="AI32" s="33" t="str">
        <f>IF(AF32="","",AF32/VLOOKUP(Expenses!$BJ$6,Expenses!$BJ$9:$BJ$20,1)*12/$B32)</f>
        <v/>
      </c>
      <c r="AJ32" s="33" t="e">
        <f>IF(AG32="","",AG32/VLOOKUP(Expenses!$BJ$6,Expenses!$BJ$9:$BJ$20,1)*12/$B32)</f>
        <v>#N/A</v>
      </c>
      <c r="AK32" s="32"/>
      <c r="AL32" s="32">
        <f>AM32/12*Expenses!$BJ$6</f>
        <v>0</v>
      </c>
      <c r="AM32" s="32"/>
      <c r="AN32" s="32" t="str">
        <f>IF(AK32="","",AK32/VLOOKUP(Expenses!$BJ$6,Expenses!$BJ$9:$BJ$20,1)*12/$B32)</f>
        <v/>
      </c>
      <c r="AO32" s="32" t="e">
        <f>IF(AL32="","",AL32/VLOOKUP(Expenses!$BJ$6,Expenses!$BJ$9:$BJ$20,1)*12/$B32)</f>
        <v>#N/A</v>
      </c>
      <c r="AP32" s="33"/>
      <c r="AQ32" s="33">
        <f>AR32/12*Expenses!$BJ$6</f>
        <v>0</v>
      </c>
      <c r="AR32" s="33"/>
      <c r="AS32" s="33" t="str">
        <f>IF(AP32="","",AP32/VLOOKUP(Expenses!$BJ$6,Expenses!$BJ$9:$BJ$20,1)*12/$B32)</f>
        <v/>
      </c>
      <c r="AT32" s="33" t="e">
        <f>IF(AQ32="","",AQ32/VLOOKUP(Expenses!$BJ$6,Expenses!$BJ$9:$BJ$20,1)*12/$B32)</f>
        <v>#N/A</v>
      </c>
      <c r="AU32" s="32"/>
      <c r="AV32" s="32">
        <f>AW32/12*Expenses!$BJ$6</f>
        <v>0</v>
      </c>
      <c r="AW32" s="32"/>
      <c r="AX32" s="32" t="str">
        <f>IF(AU32="","",AU32/VLOOKUP(Expenses!$BJ$6,Expenses!$BJ$9:$BJ$20,1)*12/$B32)</f>
        <v/>
      </c>
      <c r="AY32" s="32" t="e">
        <f>IF(AV32="","",AV32/VLOOKUP(Expenses!$BJ$6,Expenses!$BJ$9:$BJ$20,1)*12/$B32)</f>
        <v>#N/A</v>
      </c>
      <c r="AZ32" s="140">
        <f t="shared" si="6"/>
        <v>0</v>
      </c>
      <c r="BA32" s="140">
        <f t="shared" si="7"/>
        <v>0</v>
      </c>
      <c r="BB32" s="140">
        <f t="shared" si="8"/>
        <v>0</v>
      </c>
      <c r="BC32" s="140" t="e">
        <f t="shared" si="9"/>
        <v>#VALUE!</v>
      </c>
      <c r="BD32" s="141" t="e">
        <f>IF(BA32="","",BA32/VLOOKUP(Expenses!$BJ$6,Expenses!$BJ$9:$BJ$20,1)*12/$B32)</f>
        <v>#N/A</v>
      </c>
    </row>
    <row r="33" spans="1:56" s="16" customFormat="1" ht="12.75" x14ac:dyDescent="0.2">
      <c r="A33" s="130" t="s">
        <v>215</v>
      </c>
      <c r="B33" s="139" t="e">
        <f>INDEX(AnnualFinancialData!$D$2:$D$50,MATCH(Operating!$A33,AnnualFinancialData!$B$2:$B$2051,0),MATCH(Operating!B$9,AnnualFinancialData!$D$1))</f>
        <v>#N/A</v>
      </c>
      <c r="C33" s="25"/>
      <c r="D33" s="131"/>
      <c r="E33" s="26"/>
      <c r="F33" s="27"/>
      <c r="G33" s="27"/>
      <c r="H33" s="27"/>
      <c r="I33" s="27">
        <f t="shared" si="0"/>
        <v>0</v>
      </c>
      <c r="J33" s="28" t="e">
        <f>INDEX(Occupancy!$B$57:$AQ$57,1,MATCH(A33,Occupancy!$B$4:$AQ$4))</f>
        <v>#N/A</v>
      </c>
      <c r="K33" s="28"/>
      <c r="L33" s="132"/>
      <c r="M33" s="132"/>
      <c r="N33" s="132"/>
      <c r="O33" s="133"/>
      <c r="P33" s="31"/>
      <c r="Q33" s="32">
        <f>R33/12*Expenses!$BJ$6</f>
        <v>0</v>
      </c>
      <c r="R33" s="32"/>
      <c r="S33" s="32" t="str">
        <f>IF(P33="","",P33/VLOOKUP(Expenses!$BJ$6,Expenses!$BJ$9:$BJ$20,1)*12/$B33)</f>
        <v/>
      </c>
      <c r="T33" s="32" t="e">
        <f>IF(Q33="","",Q33/VLOOKUP(Expenses!$BJ$6,Expenses!$BJ$9:$BJ$20,1)*12/$B33)</f>
        <v>#N/A</v>
      </c>
      <c r="U33" s="33">
        <f>Expenses!BB28</f>
        <v>0</v>
      </c>
      <c r="V33" s="33">
        <f>Expenses!BC28</f>
        <v>0</v>
      </c>
      <c r="W33" s="33">
        <f>Expenses!BD28</f>
        <v>0</v>
      </c>
      <c r="X33" s="33" t="e">
        <f>Expenses!BE28</f>
        <v>#DIV/0!</v>
      </c>
      <c r="Y33" s="33" t="e">
        <f>Expenses!BF28</f>
        <v>#DIV/0!</v>
      </c>
      <c r="Z33" s="33" t="e">
        <f t="shared" si="10"/>
        <v>#DIV/0!</v>
      </c>
      <c r="AA33" s="32">
        <f t="shared" si="1"/>
        <v>0</v>
      </c>
      <c r="AB33" s="32">
        <f t="shared" si="2"/>
        <v>0</v>
      </c>
      <c r="AC33" s="32">
        <f t="shared" si="3"/>
        <v>0</v>
      </c>
      <c r="AD33" s="32" t="e">
        <f t="shared" si="4"/>
        <v>#VALUE!</v>
      </c>
      <c r="AE33" s="32" t="e">
        <f t="shared" si="5"/>
        <v>#N/A</v>
      </c>
      <c r="AF33" s="33"/>
      <c r="AG33" s="33">
        <f>AH33/12*Expenses!$BJ$6</f>
        <v>0</v>
      </c>
      <c r="AH33" s="33"/>
      <c r="AI33" s="33" t="str">
        <f>IF(AF33="","",AF33/VLOOKUP(Expenses!$BJ$6,Expenses!$BJ$9:$BJ$20,1)*12/$B33)</f>
        <v/>
      </c>
      <c r="AJ33" s="33" t="e">
        <f>IF(AG33="","",AG33/VLOOKUP(Expenses!$BJ$6,Expenses!$BJ$9:$BJ$20,1)*12/$B33)</f>
        <v>#N/A</v>
      </c>
      <c r="AK33" s="32"/>
      <c r="AL33" s="32">
        <f>AM33/12*Expenses!$BJ$6</f>
        <v>0</v>
      </c>
      <c r="AM33" s="32"/>
      <c r="AN33" s="32" t="str">
        <f>IF(AK33="","",AK33/VLOOKUP(Expenses!$BJ$6,Expenses!$BJ$9:$BJ$20,1)*12/$B33)</f>
        <v/>
      </c>
      <c r="AO33" s="32" t="e">
        <f>IF(AL33="","",AL33/VLOOKUP(Expenses!$BJ$6,Expenses!$BJ$9:$BJ$20,1)*12/$B33)</f>
        <v>#N/A</v>
      </c>
      <c r="AP33" s="33"/>
      <c r="AQ33" s="33">
        <f>AR33/12*Expenses!$BJ$6</f>
        <v>0</v>
      </c>
      <c r="AR33" s="33"/>
      <c r="AS33" s="33" t="str">
        <f>IF(AP33="","",AP33/VLOOKUP(Expenses!$BJ$6,Expenses!$BJ$9:$BJ$20,1)*12/$B33)</f>
        <v/>
      </c>
      <c r="AT33" s="33" t="e">
        <f>IF(AQ33="","",AQ33/VLOOKUP(Expenses!$BJ$6,Expenses!$BJ$9:$BJ$20,1)*12/$B33)</f>
        <v>#N/A</v>
      </c>
      <c r="AU33" s="32"/>
      <c r="AV33" s="32">
        <f>AW33/12*Expenses!$BJ$6</f>
        <v>0</v>
      </c>
      <c r="AW33" s="32"/>
      <c r="AX33" s="32" t="str">
        <f>IF(AU33="","",AU33/VLOOKUP(Expenses!$BJ$6,Expenses!$BJ$9:$BJ$20,1)*12/$B33)</f>
        <v/>
      </c>
      <c r="AY33" s="32" t="e">
        <f>IF(AV33="","",AV33/VLOOKUP(Expenses!$BJ$6,Expenses!$BJ$9:$BJ$20,1)*12/$B33)</f>
        <v>#N/A</v>
      </c>
      <c r="AZ33" s="140">
        <f t="shared" si="6"/>
        <v>0</v>
      </c>
      <c r="BA33" s="140">
        <f t="shared" si="7"/>
        <v>0</v>
      </c>
      <c r="BB33" s="140">
        <f t="shared" si="8"/>
        <v>0</v>
      </c>
      <c r="BC33" s="140" t="e">
        <f t="shared" si="9"/>
        <v>#VALUE!</v>
      </c>
      <c r="BD33" s="141" t="e">
        <f>IF(BA33="","",BA33/VLOOKUP(Expenses!$BJ$6,Expenses!$BJ$9:$BJ$20,1)*12/$B33)</f>
        <v>#N/A</v>
      </c>
    </row>
    <row r="34" spans="1:56" s="16" customFormat="1" ht="12.75" x14ac:dyDescent="0.2">
      <c r="A34" s="130" t="s">
        <v>217</v>
      </c>
      <c r="B34" s="139" t="e">
        <f>INDEX(AnnualFinancialData!$D$2:$D$50,MATCH(Operating!$A34,AnnualFinancialData!$B$2:$B$2051,0),MATCH(Operating!B$9,AnnualFinancialData!$D$1))</f>
        <v>#N/A</v>
      </c>
      <c r="C34" s="25"/>
      <c r="D34" s="131"/>
      <c r="E34" s="26"/>
      <c r="F34" s="27"/>
      <c r="G34" s="27"/>
      <c r="H34" s="27"/>
      <c r="I34" s="27">
        <f t="shared" si="0"/>
        <v>0</v>
      </c>
      <c r="J34" s="28" t="e">
        <f>INDEX(Occupancy!$B$57:$AQ$57,1,MATCH(A34,Occupancy!$B$4:$AQ$4))</f>
        <v>#N/A</v>
      </c>
      <c r="K34" s="28"/>
      <c r="L34" s="132"/>
      <c r="M34" s="132"/>
      <c r="N34" s="132"/>
      <c r="O34" s="133"/>
      <c r="P34" s="31"/>
      <c r="Q34" s="32">
        <f>R34/12*Expenses!$BJ$6</f>
        <v>0</v>
      </c>
      <c r="R34" s="32"/>
      <c r="S34" s="32" t="str">
        <f>IF(P34="","",P34/VLOOKUP(Expenses!$BJ$6,Expenses!$BJ$9:$BJ$20,1)*12/$B34)</f>
        <v/>
      </c>
      <c r="T34" s="32" t="e">
        <f>IF(Q34="","",Q34/VLOOKUP(Expenses!$BJ$6,Expenses!$BJ$9:$BJ$20,1)*12/$B34)</f>
        <v>#N/A</v>
      </c>
      <c r="U34" s="33">
        <f>Expenses!BB29</f>
        <v>0</v>
      </c>
      <c r="V34" s="33">
        <f>Expenses!BC29</f>
        <v>0</v>
      </c>
      <c r="W34" s="33">
        <f>Expenses!BD29</f>
        <v>0</v>
      </c>
      <c r="X34" s="33" t="e">
        <f>Expenses!BE29</f>
        <v>#DIV/0!</v>
      </c>
      <c r="Y34" s="33" t="e">
        <f>Expenses!BF29</f>
        <v>#DIV/0!</v>
      </c>
      <c r="Z34" s="33" t="e">
        <f t="shared" si="10"/>
        <v>#DIV/0!</v>
      </c>
      <c r="AA34" s="32">
        <f t="shared" si="1"/>
        <v>0</v>
      </c>
      <c r="AB34" s="32">
        <f t="shared" si="2"/>
        <v>0</v>
      </c>
      <c r="AC34" s="32">
        <f t="shared" si="3"/>
        <v>0</v>
      </c>
      <c r="AD34" s="32" t="e">
        <f t="shared" si="4"/>
        <v>#VALUE!</v>
      </c>
      <c r="AE34" s="32" t="e">
        <f t="shared" si="5"/>
        <v>#N/A</v>
      </c>
      <c r="AF34" s="33"/>
      <c r="AG34" s="33">
        <f>AH34/12*Expenses!$BJ$6</f>
        <v>0</v>
      </c>
      <c r="AH34" s="33"/>
      <c r="AI34" s="33" t="str">
        <f>IF(AF34="","",AF34/VLOOKUP(Expenses!$BJ$6,Expenses!$BJ$9:$BJ$20,1)*12/$B34)</f>
        <v/>
      </c>
      <c r="AJ34" s="33" t="e">
        <f>IF(AG34="","",AG34/VLOOKUP(Expenses!$BJ$6,Expenses!$BJ$9:$BJ$20,1)*12/$B34)</f>
        <v>#N/A</v>
      </c>
      <c r="AK34" s="32"/>
      <c r="AL34" s="32">
        <f>AM34/12*Expenses!$BJ$6</f>
        <v>0</v>
      </c>
      <c r="AM34" s="32"/>
      <c r="AN34" s="32" t="str">
        <f>IF(AK34="","",AK34/VLOOKUP(Expenses!$BJ$6,Expenses!$BJ$9:$BJ$20,1)*12/$B34)</f>
        <v/>
      </c>
      <c r="AO34" s="32" t="e">
        <f>IF(AL34="","",AL34/VLOOKUP(Expenses!$BJ$6,Expenses!$BJ$9:$BJ$20,1)*12/$B34)</f>
        <v>#N/A</v>
      </c>
      <c r="AP34" s="33"/>
      <c r="AQ34" s="33">
        <f>AR34/12*Expenses!$BJ$6</f>
        <v>0</v>
      </c>
      <c r="AR34" s="33"/>
      <c r="AS34" s="33" t="str">
        <f>IF(AP34="","",AP34/VLOOKUP(Expenses!$BJ$6,Expenses!$BJ$9:$BJ$20,1)*12/$B34)</f>
        <v/>
      </c>
      <c r="AT34" s="33" t="e">
        <f>IF(AQ34="","",AQ34/VLOOKUP(Expenses!$BJ$6,Expenses!$BJ$9:$BJ$20,1)*12/$B34)</f>
        <v>#N/A</v>
      </c>
      <c r="AU34" s="32"/>
      <c r="AV34" s="32">
        <f>AW34/12*Expenses!$BJ$6</f>
        <v>0</v>
      </c>
      <c r="AW34" s="32"/>
      <c r="AX34" s="32" t="str">
        <f>IF(AU34="","",AU34/VLOOKUP(Expenses!$BJ$6,Expenses!$BJ$9:$BJ$20,1)*12/$B34)</f>
        <v/>
      </c>
      <c r="AY34" s="32" t="e">
        <f>IF(AV34="","",AV34/VLOOKUP(Expenses!$BJ$6,Expenses!$BJ$9:$BJ$20,1)*12/$B34)</f>
        <v>#N/A</v>
      </c>
      <c r="AZ34" s="140">
        <f t="shared" si="6"/>
        <v>0</v>
      </c>
      <c r="BA34" s="140">
        <f t="shared" si="7"/>
        <v>0</v>
      </c>
      <c r="BB34" s="140">
        <f t="shared" si="8"/>
        <v>0</v>
      </c>
      <c r="BC34" s="140" t="e">
        <f t="shared" si="9"/>
        <v>#VALUE!</v>
      </c>
      <c r="BD34" s="141" t="e">
        <f>IF(BA34="","",BA34/VLOOKUP(Expenses!$BJ$6,Expenses!$BJ$9:$BJ$20,1)*12/$B34)</f>
        <v>#N/A</v>
      </c>
    </row>
    <row r="35" spans="1:56" s="16" customFormat="1" ht="12.75" x14ac:dyDescent="0.2">
      <c r="A35" s="130" t="s">
        <v>221</v>
      </c>
      <c r="B35" s="139" t="e">
        <f>INDEX(AnnualFinancialData!$D$2:$D$50,MATCH(Operating!$A35,AnnualFinancialData!$B$2:$B$2051,0),MATCH(Operating!B$9,AnnualFinancialData!$D$1))</f>
        <v>#N/A</v>
      </c>
      <c r="C35" s="25"/>
      <c r="D35" s="131"/>
      <c r="E35" s="26"/>
      <c r="F35" s="27"/>
      <c r="G35" s="27"/>
      <c r="H35" s="27"/>
      <c r="I35" s="27">
        <f t="shared" si="0"/>
        <v>0</v>
      </c>
      <c r="J35" s="28" t="e">
        <f>INDEX(Occupancy!$B$57:$AQ$57,1,MATCH(A35,Occupancy!$B$4:$AQ$4))</f>
        <v>#N/A</v>
      </c>
      <c r="K35" s="28"/>
      <c r="L35" s="132"/>
      <c r="M35" s="132"/>
      <c r="N35" s="132"/>
      <c r="O35" s="133"/>
      <c r="P35" s="31"/>
      <c r="Q35" s="32">
        <f>R35/12*Expenses!$BJ$6</f>
        <v>0</v>
      </c>
      <c r="R35" s="32"/>
      <c r="S35" s="32" t="str">
        <f>IF(P35="","",P35/VLOOKUP(Expenses!$BJ$6,Expenses!$BJ$9:$BJ$20,1)*12/$B35)</f>
        <v/>
      </c>
      <c r="T35" s="32" t="e">
        <f>IF(Q35="","",Q35/VLOOKUP(Expenses!$BJ$6,Expenses!$BJ$9:$BJ$20,1)*12/$B35)</f>
        <v>#N/A</v>
      </c>
      <c r="U35" s="33">
        <f>Expenses!BB30</f>
        <v>0</v>
      </c>
      <c r="V35" s="33">
        <f>Expenses!BC30</f>
        <v>0</v>
      </c>
      <c r="W35" s="33">
        <f>Expenses!BD30</f>
        <v>0</v>
      </c>
      <c r="X35" s="33" t="e">
        <f>Expenses!BE30</f>
        <v>#DIV/0!</v>
      </c>
      <c r="Y35" s="33" t="e">
        <f>Expenses!BF30</f>
        <v>#DIV/0!</v>
      </c>
      <c r="Z35" s="33" t="e">
        <f t="shared" si="10"/>
        <v>#DIV/0!</v>
      </c>
      <c r="AA35" s="32">
        <f t="shared" si="1"/>
        <v>0</v>
      </c>
      <c r="AB35" s="32">
        <f t="shared" si="2"/>
        <v>0</v>
      </c>
      <c r="AC35" s="32">
        <f t="shared" si="3"/>
        <v>0</v>
      </c>
      <c r="AD35" s="32" t="e">
        <f t="shared" si="4"/>
        <v>#VALUE!</v>
      </c>
      <c r="AE35" s="32" t="e">
        <f t="shared" si="5"/>
        <v>#N/A</v>
      </c>
      <c r="AF35" s="33"/>
      <c r="AG35" s="33">
        <f>AH35/12*Expenses!$BJ$6</f>
        <v>0</v>
      </c>
      <c r="AH35" s="33"/>
      <c r="AI35" s="33" t="str">
        <f>IF(AF35="","",AF35/VLOOKUP(Expenses!$BJ$6,Expenses!$BJ$9:$BJ$20,1)*12/$B35)</f>
        <v/>
      </c>
      <c r="AJ35" s="33" t="e">
        <f>IF(AG35="","",AG35/VLOOKUP(Expenses!$BJ$6,Expenses!$BJ$9:$BJ$20,1)*12/$B35)</f>
        <v>#N/A</v>
      </c>
      <c r="AK35" s="32"/>
      <c r="AL35" s="32">
        <f>AM35/12*Expenses!$BJ$6</f>
        <v>0</v>
      </c>
      <c r="AM35" s="32"/>
      <c r="AN35" s="32" t="str">
        <f>IF(AK35="","",AK35/VLOOKUP(Expenses!$BJ$6,Expenses!$BJ$9:$BJ$20,1)*12/$B35)</f>
        <v/>
      </c>
      <c r="AO35" s="32" t="e">
        <f>IF(AL35="","",AL35/VLOOKUP(Expenses!$BJ$6,Expenses!$BJ$9:$BJ$20,1)*12/$B35)</f>
        <v>#N/A</v>
      </c>
      <c r="AP35" s="33"/>
      <c r="AQ35" s="33">
        <f>AR35/12*Expenses!$BJ$6</f>
        <v>0</v>
      </c>
      <c r="AR35" s="33"/>
      <c r="AS35" s="33" t="str">
        <f>IF(AP35="","",AP35/VLOOKUP(Expenses!$BJ$6,Expenses!$BJ$9:$BJ$20,1)*12/$B35)</f>
        <v/>
      </c>
      <c r="AT35" s="33" t="e">
        <f>IF(AQ35="","",AQ35/VLOOKUP(Expenses!$BJ$6,Expenses!$BJ$9:$BJ$20,1)*12/$B35)</f>
        <v>#N/A</v>
      </c>
      <c r="AU35" s="32"/>
      <c r="AV35" s="32">
        <f>AW35/12*Expenses!$BJ$6</f>
        <v>0</v>
      </c>
      <c r="AW35" s="32"/>
      <c r="AX35" s="32" t="str">
        <f>IF(AU35="","",AU35/VLOOKUP(Expenses!$BJ$6,Expenses!$BJ$9:$BJ$20,1)*12/$B35)</f>
        <v/>
      </c>
      <c r="AY35" s="32" t="e">
        <f>IF(AV35="","",AV35/VLOOKUP(Expenses!$BJ$6,Expenses!$BJ$9:$BJ$20,1)*12/$B35)</f>
        <v>#N/A</v>
      </c>
      <c r="AZ35" s="140">
        <f t="shared" si="6"/>
        <v>0</v>
      </c>
      <c r="BA35" s="140">
        <f t="shared" si="7"/>
        <v>0</v>
      </c>
      <c r="BB35" s="140">
        <f t="shared" si="8"/>
        <v>0</v>
      </c>
      <c r="BC35" s="140" t="e">
        <f t="shared" si="9"/>
        <v>#VALUE!</v>
      </c>
      <c r="BD35" s="141" t="e">
        <f>IF(BA35="","",BA35/VLOOKUP(Expenses!$BJ$6,Expenses!$BJ$9:$BJ$20,1)*12/$B35)</f>
        <v>#N/A</v>
      </c>
    </row>
    <row r="36" spans="1:56" s="16" customFormat="1" ht="12.75" x14ac:dyDescent="0.2">
      <c r="A36" s="130" t="s">
        <v>223</v>
      </c>
      <c r="B36" s="139" t="e">
        <f>INDEX(AnnualFinancialData!$D$2:$D$50,MATCH(Operating!$A36,AnnualFinancialData!$B$2:$B$2051,0),MATCH(Operating!B$9,AnnualFinancialData!$D$1))</f>
        <v>#N/A</v>
      </c>
      <c r="C36" s="25"/>
      <c r="D36" s="131"/>
      <c r="E36" s="26"/>
      <c r="F36" s="27"/>
      <c r="G36" s="27"/>
      <c r="H36" s="27"/>
      <c r="I36" s="27">
        <f t="shared" si="0"/>
        <v>0</v>
      </c>
      <c r="J36" s="28" t="e">
        <f>INDEX(Occupancy!$B$57:$AQ$57,1,MATCH(A36,Occupancy!$B$4:$AQ$4))</f>
        <v>#N/A</v>
      </c>
      <c r="K36" s="28"/>
      <c r="L36" s="132"/>
      <c r="M36" s="132"/>
      <c r="N36" s="132"/>
      <c r="O36" s="133"/>
      <c r="P36" s="31"/>
      <c r="Q36" s="32">
        <f>R36/12*Expenses!$BJ$6</f>
        <v>0</v>
      </c>
      <c r="R36" s="32"/>
      <c r="S36" s="32" t="str">
        <f>IF(P36="","",P36/VLOOKUP(Expenses!$BJ$6,Expenses!$BJ$9:$BJ$20,1)*12/$B36)</f>
        <v/>
      </c>
      <c r="T36" s="32" t="e">
        <f>IF(Q36="","",Q36/VLOOKUP(Expenses!$BJ$6,Expenses!$BJ$9:$BJ$20,1)*12/$B36)</f>
        <v>#N/A</v>
      </c>
      <c r="U36" s="33">
        <f>Expenses!BB31</f>
        <v>0</v>
      </c>
      <c r="V36" s="33">
        <f>Expenses!BC31</f>
        <v>0</v>
      </c>
      <c r="W36" s="33">
        <f>Expenses!BD31</f>
        <v>0</v>
      </c>
      <c r="X36" s="33" t="e">
        <f>Expenses!BE31</f>
        <v>#DIV/0!</v>
      </c>
      <c r="Y36" s="33" t="e">
        <f>Expenses!BF31</f>
        <v>#DIV/0!</v>
      </c>
      <c r="Z36" s="33" t="e">
        <f t="shared" si="10"/>
        <v>#DIV/0!</v>
      </c>
      <c r="AA36" s="32">
        <f t="shared" si="1"/>
        <v>0</v>
      </c>
      <c r="AB36" s="32">
        <f t="shared" si="2"/>
        <v>0</v>
      </c>
      <c r="AC36" s="32">
        <f t="shared" si="3"/>
        <v>0</v>
      </c>
      <c r="AD36" s="32" t="e">
        <f t="shared" si="4"/>
        <v>#VALUE!</v>
      </c>
      <c r="AE36" s="32" t="e">
        <f t="shared" si="5"/>
        <v>#N/A</v>
      </c>
      <c r="AF36" s="33"/>
      <c r="AG36" s="33">
        <f>AH36/12*Expenses!$BJ$6</f>
        <v>0</v>
      </c>
      <c r="AH36" s="33"/>
      <c r="AI36" s="33" t="str">
        <f>IF(AF36="","",AF36/VLOOKUP(Expenses!$BJ$6,Expenses!$BJ$9:$BJ$20,1)*12/$B36)</f>
        <v/>
      </c>
      <c r="AJ36" s="33" t="e">
        <f>IF(AG36="","",AG36/VLOOKUP(Expenses!$BJ$6,Expenses!$BJ$9:$BJ$20,1)*12/$B36)</f>
        <v>#N/A</v>
      </c>
      <c r="AK36" s="32"/>
      <c r="AL36" s="32">
        <f>AM36/12*Expenses!$BJ$6</f>
        <v>0</v>
      </c>
      <c r="AM36" s="32"/>
      <c r="AN36" s="32" t="str">
        <f>IF(AK36="","",AK36/VLOOKUP(Expenses!$BJ$6,Expenses!$BJ$9:$BJ$20,1)*12/$B36)</f>
        <v/>
      </c>
      <c r="AO36" s="32" t="e">
        <f>IF(AL36="","",AL36/VLOOKUP(Expenses!$BJ$6,Expenses!$BJ$9:$BJ$20,1)*12/$B36)</f>
        <v>#N/A</v>
      </c>
      <c r="AP36" s="33"/>
      <c r="AQ36" s="33">
        <f>AR36/12*Expenses!$BJ$6</f>
        <v>0</v>
      </c>
      <c r="AR36" s="33"/>
      <c r="AS36" s="33" t="str">
        <f>IF(AP36="","",AP36/VLOOKUP(Expenses!$BJ$6,Expenses!$BJ$9:$BJ$20,1)*12/$B36)</f>
        <v/>
      </c>
      <c r="AT36" s="33" t="e">
        <f>IF(AQ36="","",AQ36/VLOOKUP(Expenses!$BJ$6,Expenses!$BJ$9:$BJ$20,1)*12/$B36)</f>
        <v>#N/A</v>
      </c>
      <c r="AU36" s="32"/>
      <c r="AV36" s="32">
        <f>AW36/12*Expenses!$BJ$6</f>
        <v>0</v>
      </c>
      <c r="AW36" s="32"/>
      <c r="AX36" s="32" t="str">
        <f>IF(AU36="","",AU36/VLOOKUP(Expenses!$BJ$6,Expenses!$BJ$9:$BJ$20,1)*12/$B36)</f>
        <v/>
      </c>
      <c r="AY36" s="32" t="e">
        <f>IF(AV36="","",AV36/VLOOKUP(Expenses!$BJ$6,Expenses!$BJ$9:$BJ$20,1)*12/$B36)</f>
        <v>#N/A</v>
      </c>
      <c r="AZ36" s="140">
        <f t="shared" si="6"/>
        <v>0</v>
      </c>
      <c r="BA36" s="140">
        <f t="shared" si="7"/>
        <v>0</v>
      </c>
      <c r="BB36" s="140">
        <f t="shared" si="8"/>
        <v>0</v>
      </c>
      <c r="BC36" s="140" t="e">
        <f t="shared" si="9"/>
        <v>#VALUE!</v>
      </c>
      <c r="BD36" s="141" t="e">
        <f>IF(BA36="","",BA36/VLOOKUP(Expenses!$BJ$6,Expenses!$BJ$9:$BJ$20,1)*12/$B36)</f>
        <v>#N/A</v>
      </c>
    </row>
    <row r="37" spans="1:56" s="16" customFormat="1" ht="12.75" x14ac:dyDescent="0.2">
      <c r="A37" s="130" t="s">
        <v>225</v>
      </c>
      <c r="B37" s="139" t="e">
        <f>INDEX(AnnualFinancialData!$D$2:$D$50,MATCH(Operating!$A37,AnnualFinancialData!$B$2:$B$2051,0),MATCH(Operating!B$9,AnnualFinancialData!$D$1))</f>
        <v>#N/A</v>
      </c>
      <c r="C37" s="25"/>
      <c r="D37" s="131"/>
      <c r="E37" s="26"/>
      <c r="F37" s="27"/>
      <c r="G37" s="27"/>
      <c r="H37" s="27"/>
      <c r="I37" s="27">
        <f t="shared" si="0"/>
        <v>0</v>
      </c>
      <c r="J37" s="28" t="e">
        <f>INDEX(Occupancy!$B$57:$AQ$57,1,MATCH(A37,Occupancy!$B$4:$AQ$4))</f>
        <v>#N/A</v>
      </c>
      <c r="K37" s="28"/>
      <c r="L37" s="132"/>
      <c r="M37" s="132"/>
      <c r="N37" s="132"/>
      <c r="O37" s="133"/>
      <c r="P37" s="31"/>
      <c r="Q37" s="32">
        <f>R37/12*Expenses!$BJ$6</f>
        <v>0</v>
      </c>
      <c r="R37" s="32"/>
      <c r="S37" s="32" t="str">
        <f>IF(P37="","",P37/VLOOKUP(Expenses!$BJ$6,Expenses!$BJ$9:$BJ$20,1)*12/$B37)</f>
        <v/>
      </c>
      <c r="T37" s="32" t="e">
        <f>IF(Q37="","",Q37/VLOOKUP(Expenses!$BJ$6,Expenses!$BJ$9:$BJ$20,1)*12/$B37)</f>
        <v>#N/A</v>
      </c>
      <c r="U37" s="33">
        <f>Expenses!BB32</f>
        <v>0</v>
      </c>
      <c r="V37" s="33">
        <f>Expenses!BC32</f>
        <v>0</v>
      </c>
      <c r="W37" s="33">
        <f>Expenses!BD32</f>
        <v>0</v>
      </c>
      <c r="X37" s="33" t="e">
        <f>Expenses!BE32</f>
        <v>#DIV/0!</v>
      </c>
      <c r="Y37" s="33" t="e">
        <f>Expenses!BF32</f>
        <v>#DIV/0!</v>
      </c>
      <c r="Z37" s="33" t="e">
        <f t="shared" si="10"/>
        <v>#DIV/0!</v>
      </c>
      <c r="AA37" s="32">
        <f t="shared" si="1"/>
        <v>0</v>
      </c>
      <c r="AB37" s="32">
        <f t="shared" si="2"/>
        <v>0</v>
      </c>
      <c r="AC37" s="32">
        <f t="shared" si="3"/>
        <v>0</v>
      </c>
      <c r="AD37" s="32" t="e">
        <f t="shared" si="4"/>
        <v>#VALUE!</v>
      </c>
      <c r="AE37" s="32" t="e">
        <f t="shared" si="5"/>
        <v>#N/A</v>
      </c>
      <c r="AF37" s="33"/>
      <c r="AG37" s="33">
        <f>AH37/12*Expenses!$BJ$6</f>
        <v>0</v>
      </c>
      <c r="AH37" s="33"/>
      <c r="AI37" s="33" t="str">
        <f>IF(AF37="","",AF37/VLOOKUP(Expenses!$BJ$6,Expenses!$BJ$9:$BJ$20,1)*12/$B37)</f>
        <v/>
      </c>
      <c r="AJ37" s="33" t="e">
        <f>IF(AG37="","",AG37/VLOOKUP(Expenses!$BJ$6,Expenses!$BJ$9:$BJ$20,1)*12/$B37)</f>
        <v>#N/A</v>
      </c>
      <c r="AK37" s="32"/>
      <c r="AL37" s="32">
        <f>AM37/12*Expenses!$BJ$6</f>
        <v>0</v>
      </c>
      <c r="AM37" s="32"/>
      <c r="AN37" s="32" t="str">
        <f>IF(AK37="","",AK37/VLOOKUP(Expenses!$BJ$6,Expenses!$BJ$9:$BJ$20,1)*12/$B37)</f>
        <v/>
      </c>
      <c r="AO37" s="32" t="e">
        <f>IF(AL37="","",AL37/VLOOKUP(Expenses!$BJ$6,Expenses!$BJ$9:$BJ$20,1)*12/$B37)</f>
        <v>#N/A</v>
      </c>
      <c r="AP37" s="33"/>
      <c r="AQ37" s="33">
        <f>AR37/12*Expenses!$BJ$6</f>
        <v>0</v>
      </c>
      <c r="AR37" s="33"/>
      <c r="AS37" s="33" t="str">
        <f>IF(AP37="","",AP37/VLOOKUP(Expenses!$BJ$6,Expenses!$BJ$9:$BJ$20,1)*12/$B37)</f>
        <v/>
      </c>
      <c r="AT37" s="33" t="e">
        <f>IF(AQ37="","",AQ37/VLOOKUP(Expenses!$BJ$6,Expenses!$BJ$9:$BJ$20,1)*12/$B37)</f>
        <v>#N/A</v>
      </c>
      <c r="AU37" s="32"/>
      <c r="AV37" s="32">
        <f>AW37/12*Expenses!$BJ$6</f>
        <v>0</v>
      </c>
      <c r="AW37" s="32"/>
      <c r="AX37" s="32" t="str">
        <f>IF(AU37="","",AU37/VLOOKUP(Expenses!$BJ$6,Expenses!$BJ$9:$BJ$20,1)*12/$B37)</f>
        <v/>
      </c>
      <c r="AY37" s="32" t="e">
        <f>IF(AV37="","",AV37/VLOOKUP(Expenses!$BJ$6,Expenses!$BJ$9:$BJ$20,1)*12/$B37)</f>
        <v>#N/A</v>
      </c>
      <c r="AZ37" s="140">
        <f t="shared" si="6"/>
        <v>0</v>
      </c>
      <c r="BA37" s="140">
        <f t="shared" si="7"/>
        <v>0</v>
      </c>
      <c r="BB37" s="140">
        <f t="shared" si="8"/>
        <v>0</v>
      </c>
      <c r="BC37" s="140" t="e">
        <f t="shared" si="9"/>
        <v>#VALUE!</v>
      </c>
      <c r="BD37" s="141" t="e">
        <f>IF(BA37="","",BA37/VLOOKUP(Expenses!$BJ$6,Expenses!$BJ$9:$BJ$20,1)*12/$B37)</f>
        <v>#N/A</v>
      </c>
    </row>
    <row r="38" spans="1:56" s="16" customFormat="1" ht="12.75" x14ac:dyDescent="0.2">
      <c r="A38" s="130" t="s">
        <v>227</v>
      </c>
      <c r="B38" s="139" t="e">
        <f>INDEX(AnnualFinancialData!$D$2:$D$50,MATCH(Operating!$A38,AnnualFinancialData!$B$2:$B$2051,0),MATCH(Operating!B$9,AnnualFinancialData!$D$1))</f>
        <v>#N/A</v>
      </c>
      <c r="C38" s="25"/>
      <c r="D38" s="131"/>
      <c r="E38" s="26"/>
      <c r="F38" s="27"/>
      <c r="G38" s="27"/>
      <c r="H38" s="27"/>
      <c r="I38" s="27">
        <f t="shared" si="0"/>
        <v>0</v>
      </c>
      <c r="J38" s="28" t="e">
        <f>INDEX(Occupancy!$B$57:$AQ$57,1,MATCH(A38,Occupancy!$B$4:$AQ$4))</f>
        <v>#N/A</v>
      </c>
      <c r="K38" s="28"/>
      <c r="L38" s="132"/>
      <c r="M38" s="132"/>
      <c r="N38" s="132"/>
      <c r="O38" s="133"/>
      <c r="P38" s="31"/>
      <c r="Q38" s="32">
        <f>R38/12*Expenses!$BJ$6</f>
        <v>0</v>
      </c>
      <c r="R38" s="32"/>
      <c r="S38" s="32" t="str">
        <f>IF(P38="","",P38/VLOOKUP(Expenses!$BJ$6,Expenses!$BJ$9:$BJ$20,1)*12/$B38)</f>
        <v/>
      </c>
      <c r="T38" s="32" t="e">
        <f>IF(Q38="","",Q38/VLOOKUP(Expenses!$BJ$6,Expenses!$BJ$9:$BJ$20,1)*12/$B38)</f>
        <v>#N/A</v>
      </c>
      <c r="U38" s="33">
        <f>Expenses!BB33</f>
        <v>0</v>
      </c>
      <c r="V38" s="33">
        <f>Expenses!BC33</f>
        <v>0</v>
      </c>
      <c r="W38" s="33">
        <f>Expenses!BD33</f>
        <v>0</v>
      </c>
      <c r="X38" s="33" t="e">
        <f>Expenses!BE33</f>
        <v>#DIV/0!</v>
      </c>
      <c r="Y38" s="33" t="e">
        <f>Expenses!BF33</f>
        <v>#DIV/0!</v>
      </c>
      <c r="Z38" s="33" t="e">
        <f t="shared" si="10"/>
        <v>#DIV/0!</v>
      </c>
      <c r="AA38" s="32">
        <f t="shared" si="1"/>
        <v>0</v>
      </c>
      <c r="AB38" s="32">
        <f t="shared" si="2"/>
        <v>0</v>
      </c>
      <c r="AC38" s="32">
        <f t="shared" si="3"/>
        <v>0</v>
      </c>
      <c r="AD38" s="32" t="e">
        <f t="shared" si="4"/>
        <v>#VALUE!</v>
      </c>
      <c r="AE38" s="32" t="e">
        <f t="shared" si="5"/>
        <v>#N/A</v>
      </c>
      <c r="AF38" s="33"/>
      <c r="AG38" s="33">
        <f>AH38/12*Expenses!$BJ$6</f>
        <v>0</v>
      </c>
      <c r="AH38" s="33"/>
      <c r="AI38" s="33" t="str">
        <f>IF(AF38="","",AF38/VLOOKUP(Expenses!$BJ$6,Expenses!$BJ$9:$BJ$20,1)*12/$B38)</f>
        <v/>
      </c>
      <c r="AJ38" s="33" t="e">
        <f>IF(AG38="","",AG38/VLOOKUP(Expenses!$BJ$6,Expenses!$BJ$9:$BJ$20,1)*12/$B38)</f>
        <v>#N/A</v>
      </c>
      <c r="AK38" s="32"/>
      <c r="AL38" s="32">
        <f>AM38/12*Expenses!$BJ$6</f>
        <v>0</v>
      </c>
      <c r="AM38" s="32"/>
      <c r="AN38" s="32" t="str">
        <f>IF(AK38="","",AK38/VLOOKUP(Expenses!$BJ$6,Expenses!$BJ$9:$BJ$20,1)*12/$B38)</f>
        <v/>
      </c>
      <c r="AO38" s="32" t="e">
        <f>IF(AL38="","",AL38/VLOOKUP(Expenses!$BJ$6,Expenses!$BJ$9:$BJ$20,1)*12/$B38)</f>
        <v>#N/A</v>
      </c>
      <c r="AP38" s="33"/>
      <c r="AQ38" s="33">
        <f>AR38/12*Expenses!$BJ$6</f>
        <v>0</v>
      </c>
      <c r="AR38" s="33"/>
      <c r="AS38" s="33" t="str">
        <f>IF(AP38="","",AP38/VLOOKUP(Expenses!$BJ$6,Expenses!$BJ$9:$BJ$20,1)*12/$B38)</f>
        <v/>
      </c>
      <c r="AT38" s="33" t="e">
        <f>IF(AQ38="","",AQ38/VLOOKUP(Expenses!$BJ$6,Expenses!$BJ$9:$BJ$20,1)*12/$B38)</f>
        <v>#N/A</v>
      </c>
      <c r="AU38" s="32"/>
      <c r="AV38" s="32">
        <f>AW38/12*Expenses!$BJ$6</f>
        <v>0</v>
      </c>
      <c r="AW38" s="32"/>
      <c r="AX38" s="32" t="str">
        <f>IF(AU38="","",AU38/VLOOKUP(Expenses!$BJ$6,Expenses!$BJ$9:$BJ$20,1)*12/$B38)</f>
        <v/>
      </c>
      <c r="AY38" s="32" t="e">
        <f>IF(AV38="","",AV38/VLOOKUP(Expenses!$BJ$6,Expenses!$BJ$9:$BJ$20,1)*12/$B38)</f>
        <v>#N/A</v>
      </c>
      <c r="AZ38" s="140">
        <f t="shared" si="6"/>
        <v>0</v>
      </c>
      <c r="BA38" s="140">
        <f t="shared" si="7"/>
        <v>0</v>
      </c>
      <c r="BB38" s="140">
        <f t="shared" si="8"/>
        <v>0</v>
      </c>
      <c r="BC38" s="140" t="e">
        <f t="shared" si="9"/>
        <v>#VALUE!</v>
      </c>
      <c r="BD38" s="141" t="e">
        <f>IF(BA38="","",BA38/VLOOKUP(Expenses!$BJ$6,Expenses!$BJ$9:$BJ$20,1)*12/$B38)</f>
        <v>#N/A</v>
      </c>
    </row>
    <row r="39" spans="1:56" s="16" customFormat="1" ht="12.75" x14ac:dyDescent="0.2">
      <c r="A39" s="130" t="s">
        <v>235</v>
      </c>
      <c r="B39" s="139" t="e">
        <f>IF(MATCH(A39,AnnualFinancialData!B$2:B$2051),INDEX(AnnualFinancialData!$D$2:$D$50,MATCH(Operating!$A39,AnnualFinancialData!$B$2:$B$2051,0),MATCH(Operating!B$9,AnnualFinancialData!$D$1)),"-")</f>
        <v>#N/A</v>
      </c>
      <c r="C39" s="25"/>
      <c r="D39" s="131"/>
      <c r="E39" s="26"/>
      <c r="F39" s="27"/>
      <c r="G39" s="27"/>
      <c r="H39" s="27"/>
      <c r="I39" s="27">
        <f t="shared" si="0"/>
        <v>0</v>
      </c>
      <c r="J39" s="28" t="e">
        <f>INDEX(Occupancy!$B$57:$AQ$57,1,MATCH(A39,Occupancy!$B$4:$AQ$4))</f>
        <v>#N/A</v>
      </c>
      <c r="K39" s="28"/>
      <c r="L39" s="132"/>
      <c r="M39" s="132"/>
      <c r="N39" s="132"/>
      <c r="O39" s="133"/>
      <c r="P39" s="31"/>
      <c r="Q39" s="32">
        <f>R39/12*Expenses!$BJ$6</f>
        <v>0</v>
      </c>
      <c r="R39" s="32"/>
      <c r="S39" s="32" t="str">
        <f>IF(P39="","",P39/VLOOKUP(Expenses!$BJ$6,Expenses!$BJ$9:$BJ$20,1)*12/$B39)</f>
        <v/>
      </c>
      <c r="T39" s="32" t="e">
        <f>IF(Q39="","",Q39/VLOOKUP(Expenses!$BJ$6,Expenses!$BJ$9:$BJ$20,1)*12/$B39)</f>
        <v>#N/A</v>
      </c>
      <c r="U39" s="33">
        <f>Expenses!BB34</f>
        <v>0</v>
      </c>
      <c r="V39" s="33">
        <f>Expenses!BC34</f>
        <v>0</v>
      </c>
      <c r="W39" s="33">
        <f>Expenses!BD34</f>
        <v>0</v>
      </c>
      <c r="X39" s="33" t="e">
        <f>Expenses!BE34</f>
        <v>#DIV/0!</v>
      </c>
      <c r="Y39" s="33" t="e">
        <f>Expenses!BF34</f>
        <v>#DIV/0!</v>
      </c>
      <c r="Z39" s="33" t="e">
        <f t="shared" si="10"/>
        <v>#DIV/0!</v>
      </c>
      <c r="AA39" s="32">
        <f t="shared" si="1"/>
        <v>0</v>
      </c>
      <c r="AB39" s="32">
        <f t="shared" si="2"/>
        <v>0</v>
      </c>
      <c r="AC39" s="32">
        <f t="shared" si="3"/>
        <v>0</v>
      </c>
      <c r="AD39" s="32" t="e">
        <f t="shared" si="4"/>
        <v>#VALUE!</v>
      </c>
      <c r="AE39" s="32" t="e">
        <f t="shared" si="5"/>
        <v>#N/A</v>
      </c>
      <c r="AF39" s="33"/>
      <c r="AG39" s="33">
        <f>AH39/12*Expenses!$BJ$6</f>
        <v>0</v>
      </c>
      <c r="AH39" s="33"/>
      <c r="AI39" s="33" t="str">
        <f>IF(AF39="","",AF39/VLOOKUP(Expenses!$BJ$6,Expenses!$BJ$9:$BJ$20,1)*12/$B39)</f>
        <v/>
      </c>
      <c r="AJ39" s="33" t="e">
        <f>IF(AG39="","",AG39/VLOOKUP(Expenses!$BJ$6,Expenses!$BJ$9:$BJ$20,1)*12/$B39)</f>
        <v>#N/A</v>
      </c>
      <c r="AK39" s="32"/>
      <c r="AL39" s="32">
        <f>AM39/12*Expenses!$BJ$6</f>
        <v>0</v>
      </c>
      <c r="AM39" s="32"/>
      <c r="AN39" s="32" t="str">
        <f>IF(AK39="","",AK39/VLOOKUP(Expenses!$BJ$6,Expenses!$BJ$9:$BJ$20,1)*12/$B39)</f>
        <v/>
      </c>
      <c r="AO39" s="32" t="e">
        <f>IF(AL39="","",AL39/VLOOKUP(Expenses!$BJ$6,Expenses!$BJ$9:$BJ$20,1)*12/$B39)</f>
        <v>#N/A</v>
      </c>
      <c r="AP39" s="33"/>
      <c r="AQ39" s="33">
        <f>AR39/12*Expenses!$BJ$6</f>
        <v>0</v>
      </c>
      <c r="AR39" s="33"/>
      <c r="AS39" s="33" t="str">
        <f>IF(AP39="","",AP39/VLOOKUP(Expenses!$BJ$6,Expenses!$BJ$9:$BJ$20,1)*12/$B39)</f>
        <v/>
      </c>
      <c r="AT39" s="33" t="e">
        <f>IF(AQ39="","",AQ39/VLOOKUP(Expenses!$BJ$6,Expenses!$BJ$9:$BJ$20,1)*12/$B39)</f>
        <v>#N/A</v>
      </c>
      <c r="AU39" s="32"/>
      <c r="AV39" s="32">
        <f>AW39/12*Expenses!$BJ$6</f>
        <v>0</v>
      </c>
      <c r="AW39" s="32"/>
      <c r="AX39" s="32" t="str">
        <f>IF(AU39="","",AU39/VLOOKUP(Expenses!$BJ$6,Expenses!$BJ$9:$BJ$20,1)*12/$B39)</f>
        <v/>
      </c>
      <c r="AY39" s="32" t="e">
        <f>IF(AV39="","",AV39/VLOOKUP(Expenses!$BJ$6,Expenses!$BJ$9:$BJ$20,1)*12/$B39)</f>
        <v>#N/A</v>
      </c>
      <c r="AZ39" s="140">
        <f t="shared" si="6"/>
        <v>0</v>
      </c>
      <c r="BA39" s="140">
        <f t="shared" si="7"/>
        <v>0</v>
      </c>
      <c r="BB39" s="140">
        <f t="shared" si="8"/>
        <v>0</v>
      </c>
      <c r="BC39" s="140" t="e">
        <f t="shared" si="9"/>
        <v>#VALUE!</v>
      </c>
      <c r="BD39" s="141" t="e">
        <f>IF(BA39="","",BA39/VLOOKUP(Expenses!$BJ$6,Expenses!$BJ$9:$BJ$20,1)*12/$B39)</f>
        <v>#N/A</v>
      </c>
    </row>
    <row r="40" spans="1:56" x14ac:dyDescent="0.25">
      <c r="B40" s="35"/>
      <c r="C40" s="35"/>
      <c r="E40" s="50"/>
      <c r="F40" s="50"/>
      <c r="G40" s="50"/>
      <c r="H40" s="50"/>
      <c r="I40" s="50"/>
      <c r="J40" s="38" t="s">
        <v>4</v>
      </c>
      <c r="K40" s="38"/>
      <c r="P40" s="40"/>
      <c r="Q40" s="32"/>
      <c r="R40" s="32"/>
      <c r="S40" s="32"/>
      <c r="T40" s="32"/>
      <c r="U40" s="33"/>
      <c r="V40" s="33"/>
      <c r="W40" s="33"/>
      <c r="X40" s="33"/>
      <c r="Y40" s="33"/>
      <c r="Z40" s="33"/>
      <c r="AA40" s="32"/>
      <c r="AB40" s="32"/>
      <c r="AC40" s="32"/>
      <c r="AD40" s="32"/>
      <c r="AE40" s="32"/>
      <c r="AF40" s="33"/>
      <c r="AG40" s="33"/>
      <c r="AH40" s="33"/>
      <c r="AI40" s="33"/>
      <c r="AJ40" s="33"/>
      <c r="AK40" s="32"/>
      <c r="AL40" s="32"/>
      <c r="AM40" s="32"/>
      <c r="AN40" s="32"/>
      <c r="AO40" s="32"/>
      <c r="AP40" s="33"/>
      <c r="AQ40" s="33"/>
      <c r="AR40" s="33"/>
      <c r="AS40" s="33"/>
      <c r="AT40" s="33"/>
      <c r="AU40" s="32"/>
      <c r="AV40" s="32"/>
      <c r="AW40" s="32"/>
      <c r="AX40" s="32"/>
      <c r="AY40" s="32"/>
      <c r="AZ40" s="28"/>
      <c r="BA40" s="28"/>
      <c r="BB40" s="28"/>
      <c r="BC40" s="28"/>
      <c r="BD40" s="34"/>
    </row>
    <row r="41" spans="1:56" s="45" customFormat="1" ht="16.5" customHeight="1" x14ac:dyDescent="0.2">
      <c r="A41" s="250" t="s">
        <v>38</v>
      </c>
      <c r="B41" s="35"/>
      <c r="C41" s="35"/>
      <c r="D41" s="36"/>
      <c r="E41" s="50"/>
      <c r="F41" s="50"/>
      <c r="G41" s="50"/>
      <c r="H41" s="50"/>
      <c r="I41" s="50"/>
      <c r="J41" s="38" t="s">
        <v>4</v>
      </c>
      <c r="K41" s="38"/>
      <c r="L41" s="35"/>
      <c r="M41" s="35"/>
      <c r="N41" s="35"/>
      <c r="O41" s="39"/>
      <c r="P41" s="40"/>
      <c r="Q41" s="32"/>
      <c r="R41" s="32"/>
      <c r="S41" s="32"/>
      <c r="T41" s="32"/>
      <c r="U41" s="33"/>
      <c r="V41" s="33"/>
      <c r="W41" s="33"/>
      <c r="X41" s="33"/>
      <c r="Y41" s="33"/>
      <c r="Z41" s="33"/>
      <c r="AA41" s="32"/>
      <c r="AB41" s="32"/>
      <c r="AC41" s="32"/>
      <c r="AD41" s="32"/>
      <c r="AE41" s="32"/>
      <c r="AF41" s="33"/>
      <c r="AG41" s="33"/>
      <c r="AH41" s="33"/>
      <c r="AI41" s="33"/>
      <c r="AJ41" s="33"/>
      <c r="AK41" s="32"/>
      <c r="AL41" s="32"/>
      <c r="AM41" s="32"/>
      <c r="AN41" s="32"/>
      <c r="AO41" s="32"/>
      <c r="AP41" s="33"/>
      <c r="AQ41" s="33"/>
      <c r="AR41" s="33"/>
      <c r="AS41" s="33"/>
      <c r="AT41" s="33"/>
      <c r="AU41" s="32"/>
      <c r="AV41" s="32"/>
      <c r="AW41" s="32"/>
      <c r="AX41" s="32"/>
      <c r="AY41" s="32"/>
      <c r="AZ41" s="28"/>
      <c r="BA41" s="28"/>
      <c r="BB41" s="28"/>
      <c r="BC41" s="28"/>
      <c r="BD41" s="34"/>
    </row>
    <row r="42" spans="1:56" s="158" customFormat="1" x14ac:dyDescent="0.25">
      <c r="B42" s="159"/>
      <c r="C42" s="159"/>
      <c r="E42" s="160"/>
      <c r="F42" s="160"/>
      <c r="G42" s="160"/>
      <c r="H42" s="160"/>
      <c r="I42" s="160"/>
      <c r="J42" s="161" t="s">
        <v>4</v>
      </c>
      <c r="K42" s="161"/>
      <c r="P42" s="162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3"/>
      <c r="AE42" s="163"/>
      <c r="AF42" s="163"/>
      <c r="AG42" s="163"/>
      <c r="AH42" s="163"/>
      <c r="AI42" s="163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4"/>
    </row>
    <row r="43" spans="1:56" ht="16.5" customHeight="1" x14ac:dyDescent="0.25">
      <c r="A43" s="177" t="s">
        <v>367</v>
      </c>
      <c r="B43" s="178"/>
      <c r="C43" s="35"/>
      <c r="D43" s="46"/>
      <c r="E43" s="50"/>
      <c r="F43" s="50"/>
      <c r="G43" s="50"/>
      <c r="H43" s="50"/>
      <c r="I43" s="50"/>
      <c r="J43" s="38" t="s">
        <v>4</v>
      </c>
      <c r="K43" s="38"/>
      <c r="L43" s="47"/>
      <c r="M43" s="47"/>
      <c r="N43" s="47"/>
      <c r="O43" s="48"/>
      <c r="P43" s="40"/>
      <c r="Q43" s="32"/>
      <c r="R43" s="32"/>
      <c r="S43" s="32"/>
      <c r="T43" s="32"/>
      <c r="U43" s="33"/>
      <c r="V43" s="33"/>
      <c r="W43" s="33"/>
      <c r="X43" s="33"/>
      <c r="Y43" s="33"/>
      <c r="Z43" s="33"/>
      <c r="AA43" s="32"/>
      <c r="AB43" s="32"/>
      <c r="AC43" s="32"/>
      <c r="AD43" s="32"/>
      <c r="AE43" s="32"/>
      <c r="AF43" s="33"/>
      <c r="AG43" s="33"/>
      <c r="AH43" s="33"/>
      <c r="AI43" s="33"/>
      <c r="AJ43" s="33"/>
      <c r="AK43" s="32"/>
      <c r="AL43" s="32"/>
      <c r="AM43" s="32"/>
      <c r="AN43" s="32"/>
      <c r="AO43" s="32"/>
      <c r="AP43" s="33"/>
      <c r="AQ43" s="33"/>
      <c r="AR43" s="33"/>
      <c r="AS43" s="33"/>
      <c r="AT43" s="33"/>
      <c r="AU43" s="32"/>
      <c r="AV43" s="32"/>
      <c r="AW43" s="32"/>
      <c r="AX43" s="32"/>
      <c r="AY43" s="32"/>
      <c r="AZ43" s="28"/>
      <c r="BA43" s="28"/>
      <c r="BB43" s="28"/>
      <c r="BC43" s="28"/>
      <c r="BD43" s="34"/>
    </row>
    <row r="44" spans="1:56" ht="16.5" customHeight="1" x14ac:dyDescent="0.25">
      <c r="A44" s="130" t="s">
        <v>189</v>
      </c>
      <c r="B44" s="127" t="e">
        <f>INDEX(AnnualFinancialData!$D$2:$D$50,MATCH(Operating!$A44,AnnualFinancialData!$B$2:$B$2051,0),MATCH(Operating!B$9,AnnualFinancialData!$D$1))</f>
        <v>#N/A</v>
      </c>
      <c r="C44" s="35"/>
      <c r="D44" s="135"/>
      <c r="E44" s="50"/>
      <c r="F44" s="157">
        <v>56812</v>
      </c>
      <c r="G44" s="50"/>
      <c r="H44" s="50"/>
      <c r="I44" s="50">
        <f>SUM(D44:H44)</f>
        <v>56812</v>
      </c>
      <c r="J44" s="38" t="e">
        <f>INDEX(Occupancy!$B$57:$AQ$57,1,MATCH(A44,Occupancy!$B$4:$AQ$4))</f>
        <v>#N/A</v>
      </c>
      <c r="K44" s="38"/>
      <c r="L44" s="136"/>
      <c r="M44" s="136"/>
      <c r="N44" s="136"/>
      <c r="O44" s="137"/>
      <c r="P44" s="40"/>
      <c r="Q44" s="32">
        <f>R44/12*Expenses!$BJ$6</f>
        <v>0</v>
      </c>
      <c r="R44" s="32"/>
      <c r="S44" s="32" t="str">
        <f>IF(P44="","",P44/VLOOKUP(Expenses!$BJ$6,Expenses!$BJ$9:$BJ$20,1)*12/$B44)</f>
        <v/>
      </c>
      <c r="T44" s="32" t="e">
        <f>IF(Q44="","",Q44/VLOOKUP(Expenses!$BJ$6,Expenses!$BJ$9:$BJ$20,1)*12/$B44)</f>
        <v>#N/A</v>
      </c>
      <c r="U44" s="33">
        <f>Expenses!BB39</f>
        <v>0</v>
      </c>
      <c r="V44" s="33">
        <f>Expenses!BC39</f>
        <v>0</v>
      </c>
      <c r="W44" s="33">
        <f>Expenses!BD39</f>
        <v>0</v>
      </c>
      <c r="X44" s="33" t="e">
        <f>Expenses!BE39</f>
        <v>#DIV/0!</v>
      </c>
      <c r="Y44" s="33" t="e">
        <f>Expenses!BF39</f>
        <v>#DIV/0!</v>
      </c>
      <c r="Z44" s="33" t="e">
        <f>U44/P44</f>
        <v>#DIV/0!</v>
      </c>
      <c r="AA44" s="166">
        <f>P44-U44</f>
        <v>0</v>
      </c>
      <c r="AB44" s="32">
        <f>Q44-V44</f>
        <v>0</v>
      </c>
      <c r="AC44" s="32">
        <f>R44-W44</f>
        <v>0</v>
      </c>
      <c r="AD44" s="32" t="e">
        <f>S44-X44</f>
        <v>#VALUE!</v>
      </c>
      <c r="AE44" s="32" t="e">
        <f>T44-Y44</f>
        <v>#N/A</v>
      </c>
      <c r="AF44" s="33"/>
      <c r="AG44" s="33">
        <f>AH44/12*Expenses!$BJ$6</f>
        <v>0</v>
      </c>
      <c r="AH44" s="33"/>
      <c r="AI44" s="33" t="str">
        <f>IF(AF44="","",AF44/VLOOKUP(Expenses!$BJ$6,Expenses!$BJ$9:$BJ$20,1)*12/$B44)</f>
        <v/>
      </c>
      <c r="AJ44" s="33" t="e">
        <f>IF(AG44="","",AG44/VLOOKUP(Expenses!$BJ$6,Expenses!$BJ$9:$BJ$20,1)*12/$B44)</f>
        <v>#N/A</v>
      </c>
      <c r="AK44" s="32"/>
      <c r="AL44" s="32">
        <f>AM44/12*Expenses!$BJ$6</f>
        <v>0</v>
      </c>
      <c r="AM44" s="32"/>
      <c r="AN44" s="32" t="str">
        <f>IF(AK44="","",AK44/VLOOKUP(Expenses!$BJ$6,Expenses!$BJ$9:$BJ$20,1)*12/$B44)</f>
        <v/>
      </c>
      <c r="AO44" s="32" t="e">
        <f>IF(AL44="","",AL44/VLOOKUP(Expenses!$BJ$6,Expenses!$BJ$9:$BJ$20,1)*12/$B44)</f>
        <v>#N/A</v>
      </c>
      <c r="AP44" s="33"/>
      <c r="AQ44" s="33">
        <f>AR44/12*Expenses!$BJ$6</f>
        <v>0</v>
      </c>
      <c r="AR44" s="33"/>
      <c r="AS44" s="33" t="str">
        <f>IF(AP44="","",AP44/VLOOKUP(Expenses!$BJ$6,Expenses!$BJ$9:$BJ$20,1)*12/$B44)</f>
        <v/>
      </c>
      <c r="AT44" s="33" t="e">
        <f>IF(AQ44="","",AQ44/VLOOKUP(Expenses!$BJ$6,Expenses!$BJ$9:$BJ$20,1)*12/$B44)</f>
        <v>#N/A</v>
      </c>
      <c r="AU44" s="32"/>
      <c r="AV44" s="32">
        <f>AW44/12*Expenses!$BJ$6</f>
        <v>0</v>
      </c>
      <c r="AW44" s="32"/>
      <c r="AX44" s="32" t="str">
        <f>IF(AU44="","",AU44/VLOOKUP(Expenses!$BJ$6,Expenses!$BJ$9:$BJ$20,1)*12/$B44)</f>
        <v/>
      </c>
      <c r="AY44" s="32" t="e">
        <f>IF(AV44="","",AV44/VLOOKUP(Expenses!$BJ$6,Expenses!$BJ$9:$BJ$20,1)*12/$B44)</f>
        <v>#N/A</v>
      </c>
      <c r="AZ44" s="167">
        <f>AA44-AF44-AK44-AP44-AU44</f>
        <v>0</v>
      </c>
      <c r="BA44" s="28">
        <f>AB44-AG44-AL44-AQ44-AV44</f>
        <v>0</v>
      </c>
      <c r="BB44" s="28">
        <f>AC44-AH44-AM44-AR44-AW44</f>
        <v>0</v>
      </c>
      <c r="BC44" s="28" t="e">
        <f>AD44-AI44-AN44-AS44-AX44</f>
        <v>#VALUE!</v>
      </c>
      <c r="BD44" s="34" t="e">
        <f>IF(BA44="","",BA44/VLOOKUP(Expenses!$BJ$6,Expenses!$BJ$9:$BJ$20,1)*12/$B44)</f>
        <v>#N/A</v>
      </c>
    </row>
    <row r="45" spans="1:56" ht="16.5" customHeight="1" x14ac:dyDescent="0.25">
      <c r="A45" s="130" t="s">
        <v>197</v>
      </c>
      <c r="B45" s="139" t="e">
        <f>INDEX(AnnualFinancialData!$D$2:$D$50,MATCH(Operating!$A45,AnnualFinancialData!$B$2:$B$2051,0),MATCH(Operating!B$9,AnnualFinancialData!$D$1))</f>
        <v>#N/A</v>
      </c>
      <c r="C45" s="35"/>
      <c r="D45" s="135"/>
      <c r="E45" s="50"/>
      <c r="F45" s="50"/>
      <c r="G45" s="50"/>
      <c r="H45" s="50"/>
      <c r="I45" s="50">
        <f t="shared" ref="I45:I47" si="11">SUM(D45:H45)</f>
        <v>0</v>
      </c>
      <c r="J45" s="38" t="e">
        <f>INDEX(Occupancy!$B$57:$AQ$57,1,MATCH(A45,Occupancy!$B$4:$AQ$4))</f>
        <v>#N/A</v>
      </c>
      <c r="K45" s="38"/>
      <c r="L45" s="136"/>
      <c r="M45" s="136"/>
      <c r="N45" s="136"/>
      <c r="O45" s="137"/>
      <c r="P45" s="40"/>
      <c r="Q45" s="32">
        <f>R45/12*Expenses!$BJ$6</f>
        <v>0</v>
      </c>
      <c r="R45" s="32"/>
      <c r="S45" s="32" t="str">
        <f>IF(P45="","",P45/VLOOKUP(Expenses!$BJ$6,Expenses!$BJ$9:$BJ$20,1)*12/$B45)</f>
        <v/>
      </c>
      <c r="T45" s="32" t="e">
        <f>IF(Q45="","",Q45/VLOOKUP(Expenses!$BJ$6,Expenses!$BJ$9:$BJ$20,1)*12/$B45)</f>
        <v>#N/A</v>
      </c>
      <c r="U45" s="33">
        <f>Expenses!BB40</f>
        <v>0</v>
      </c>
      <c r="V45" s="33">
        <f>Expenses!BC40</f>
        <v>0</v>
      </c>
      <c r="W45" s="33">
        <f>Expenses!BD40</f>
        <v>0</v>
      </c>
      <c r="X45" s="33" t="e">
        <f>Expenses!BE40</f>
        <v>#DIV/0!</v>
      </c>
      <c r="Y45" s="33" t="e">
        <f>Expenses!BF40</f>
        <v>#DIV/0!</v>
      </c>
      <c r="Z45" s="33" t="e">
        <f t="shared" ref="Z45:Z47" si="12">U45/P45</f>
        <v>#DIV/0!</v>
      </c>
      <c r="AA45" s="166">
        <f t="shared" ref="AA45:AA47" si="13">P45-U45</f>
        <v>0</v>
      </c>
      <c r="AB45" s="32">
        <f t="shared" ref="AB45:AB47" si="14">Q45-V45</f>
        <v>0</v>
      </c>
      <c r="AC45" s="32">
        <f t="shared" ref="AC45:AC47" si="15">R45-W45</f>
        <v>0</v>
      </c>
      <c r="AD45" s="32" t="e">
        <f t="shared" ref="AD45:AD47" si="16">S45-X45</f>
        <v>#VALUE!</v>
      </c>
      <c r="AE45" s="32" t="e">
        <f t="shared" ref="AE45:AE47" si="17">T45-Y45</f>
        <v>#N/A</v>
      </c>
      <c r="AF45" s="33"/>
      <c r="AG45" s="33">
        <f>AH45/12*Expenses!$BJ$6</f>
        <v>0</v>
      </c>
      <c r="AH45" s="33"/>
      <c r="AI45" s="33" t="str">
        <f>IF(AF45="","",AF45/VLOOKUP(Expenses!$BJ$6,Expenses!$BJ$9:$BJ$20,1)*12/$B45)</f>
        <v/>
      </c>
      <c r="AJ45" s="33" t="e">
        <f>IF(AG45="","",AG45/VLOOKUP(Expenses!$BJ$6,Expenses!$BJ$9:$BJ$20,1)*12/$B45)</f>
        <v>#N/A</v>
      </c>
      <c r="AK45" s="32"/>
      <c r="AL45" s="32">
        <f>AM45/12*Expenses!$BJ$6</f>
        <v>0</v>
      </c>
      <c r="AM45" s="32"/>
      <c r="AN45" s="32" t="str">
        <f>IF(AK45="","",AK45/VLOOKUP(Expenses!$BJ$6,Expenses!$BJ$9:$BJ$20,1)*12/$B45)</f>
        <v/>
      </c>
      <c r="AO45" s="32" t="e">
        <f>IF(AL45="","",AL45/VLOOKUP(Expenses!$BJ$6,Expenses!$BJ$9:$BJ$20,1)*12/$B45)</f>
        <v>#N/A</v>
      </c>
      <c r="AP45" s="33"/>
      <c r="AQ45" s="33">
        <f>AR45/12*Expenses!$BJ$6</f>
        <v>0</v>
      </c>
      <c r="AR45" s="33"/>
      <c r="AS45" s="33" t="str">
        <f>IF(AP45="","",AP45/VLOOKUP(Expenses!$BJ$6,Expenses!$BJ$9:$BJ$20,1)*12/$B45)</f>
        <v/>
      </c>
      <c r="AT45" s="33" t="e">
        <f>IF(AQ45="","",AQ45/VLOOKUP(Expenses!$BJ$6,Expenses!$BJ$9:$BJ$20,1)*12/$B45)</f>
        <v>#N/A</v>
      </c>
      <c r="AU45" s="32"/>
      <c r="AV45" s="32">
        <f>AW45/12*Expenses!$BJ$6</f>
        <v>0</v>
      </c>
      <c r="AW45" s="32"/>
      <c r="AX45" s="32" t="str">
        <f>IF(AU45="","",AU45/VLOOKUP(Expenses!$BJ$6,Expenses!$BJ$9:$BJ$20,1)*12/$B45)</f>
        <v/>
      </c>
      <c r="AY45" s="32" t="e">
        <f>IF(AV45="","",AV45/VLOOKUP(Expenses!$BJ$6,Expenses!$BJ$9:$BJ$20,1)*12/$B45)</f>
        <v>#N/A</v>
      </c>
      <c r="AZ45" s="167">
        <f t="shared" ref="AZ45:AZ47" si="18">AA45-AF45-AK45-AP45-AU45</f>
        <v>0</v>
      </c>
      <c r="BA45" s="28">
        <f t="shared" ref="BA45:BA47" si="19">AB45-AG45-AL45-AQ45-AV45</f>
        <v>0</v>
      </c>
      <c r="BB45" s="28">
        <f t="shared" ref="BB45:BB47" si="20">AC45-AH45-AM45-AR45-AW45</f>
        <v>0</v>
      </c>
      <c r="BC45" s="28" t="e">
        <f t="shared" ref="BC45:BC47" si="21">AD45-AI45-AN45-AS45-AX45</f>
        <v>#VALUE!</v>
      </c>
      <c r="BD45" s="34" t="e">
        <f>IF(BA45="","",BA45/VLOOKUP(Expenses!$BJ$6,Expenses!$BJ$9:$BJ$20,1)*12/$B45)</f>
        <v>#N/A</v>
      </c>
    </row>
    <row r="46" spans="1:56" ht="16.5" customHeight="1" x14ac:dyDescent="0.25">
      <c r="A46" s="130" t="s">
        <v>219</v>
      </c>
      <c r="B46" s="139" t="e">
        <f>INDEX(AnnualFinancialData!$D$2:$D$50,MATCH(Operating!$A46,AnnualFinancialData!$B$2:$B$2051,0),MATCH(Operating!B$9,AnnualFinancialData!$D$1))</f>
        <v>#N/A</v>
      </c>
      <c r="C46" s="35"/>
      <c r="D46" s="135"/>
      <c r="E46" s="50"/>
      <c r="F46" s="50"/>
      <c r="G46" s="50"/>
      <c r="H46" s="50"/>
      <c r="I46" s="50">
        <f t="shared" si="11"/>
        <v>0</v>
      </c>
      <c r="J46" s="38" t="e">
        <f>INDEX(Occupancy!$B$57:$AQ$57,1,MATCH(A46,Occupancy!$B$4:$AQ$4))</f>
        <v>#N/A</v>
      </c>
      <c r="K46" s="38"/>
      <c r="L46" s="136"/>
      <c r="M46" s="136"/>
      <c r="N46" s="136"/>
      <c r="O46" s="137"/>
      <c r="P46" s="40">
        <v>707681</v>
      </c>
      <c r="Q46" s="32">
        <f>R46/12*Expenses!$BJ$6</f>
        <v>0</v>
      </c>
      <c r="R46" s="32"/>
      <c r="S46" s="32" t="e">
        <f>IF(P46="","",P46/VLOOKUP(Expenses!$BJ$6,Expenses!$BJ$9:$BJ$20,1)*12/$B46)</f>
        <v>#N/A</v>
      </c>
      <c r="T46" s="32" t="e">
        <f>IF(Q46="","",Q46/VLOOKUP(Expenses!$BJ$6,Expenses!$BJ$9:$BJ$20,1)*12/$B46)</f>
        <v>#N/A</v>
      </c>
      <c r="U46" s="33">
        <f>Expenses!BB41</f>
        <v>0</v>
      </c>
      <c r="V46" s="33">
        <f>Expenses!BC41</f>
        <v>0</v>
      </c>
      <c r="W46" s="33">
        <f>Expenses!BD41</f>
        <v>0</v>
      </c>
      <c r="X46" s="33" t="e">
        <f>Expenses!BE41</f>
        <v>#DIV/0!</v>
      </c>
      <c r="Y46" s="33" t="e">
        <f>Expenses!BF41</f>
        <v>#DIV/0!</v>
      </c>
      <c r="Z46" s="165">
        <f>U46/P46</f>
        <v>0</v>
      </c>
      <c r="AA46" s="166">
        <f t="shared" si="13"/>
        <v>707681</v>
      </c>
      <c r="AB46" s="32">
        <f t="shared" si="14"/>
        <v>0</v>
      </c>
      <c r="AC46" s="32">
        <f t="shared" si="15"/>
        <v>0</v>
      </c>
      <c r="AD46" s="32" t="e">
        <f t="shared" si="16"/>
        <v>#N/A</v>
      </c>
      <c r="AE46" s="32" t="e">
        <f t="shared" si="17"/>
        <v>#N/A</v>
      </c>
      <c r="AF46" s="33"/>
      <c r="AG46" s="33">
        <f>AH46/12*Expenses!$BJ$6</f>
        <v>0</v>
      </c>
      <c r="AH46" s="33"/>
      <c r="AI46" s="33" t="str">
        <f>IF(AF46="","",AF46/VLOOKUP(Expenses!$BJ$6,Expenses!$BJ$9:$BJ$20,1)*12/$B46)</f>
        <v/>
      </c>
      <c r="AJ46" s="33" t="e">
        <f>IF(AG46="","",AG46/VLOOKUP(Expenses!$BJ$6,Expenses!$BJ$9:$BJ$20,1)*12/$B46)</f>
        <v>#N/A</v>
      </c>
      <c r="AK46" s="32"/>
      <c r="AL46" s="32">
        <f>AM46/12*Expenses!$BJ$6</f>
        <v>0</v>
      </c>
      <c r="AM46" s="32"/>
      <c r="AN46" s="32" t="str">
        <f>IF(AK46="","",AK46/VLOOKUP(Expenses!$BJ$6,Expenses!$BJ$9:$BJ$20,1)*12/$B46)</f>
        <v/>
      </c>
      <c r="AO46" s="32" t="e">
        <f>IF(AL46="","",AL46/VLOOKUP(Expenses!$BJ$6,Expenses!$BJ$9:$BJ$20,1)*12/$B46)</f>
        <v>#N/A</v>
      </c>
      <c r="AP46" s="33"/>
      <c r="AQ46" s="33">
        <f>AR46/12*Expenses!$BJ$6</f>
        <v>0</v>
      </c>
      <c r="AR46" s="33"/>
      <c r="AS46" s="33" t="str">
        <f>IF(AP46="","",AP46/VLOOKUP(Expenses!$BJ$6,Expenses!$BJ$9:$BJ$20,1)*12/$B46)</f>
        <v/>
      </c>
      <c r="AT46" s="33" t="e">
        <f>IF(AQ46="","",AQ46/VLOOKUP(Expenses!$BJ$6,Expenses!$BJ$9:$BJ$20,1)*12/$B46)</f>
        <v>#N/A</v>
      </c>
      <c r="AU46" s="32"/>
      <c r="AV46" s="32">
        <f>AW46/12*Expenses!$BJ$6</f>
        <v>0</v>
      </c>
      <c r="AW46" s="32"/>
      <c r="AX46" s="32" t="str">
        <f>IF(AU46="","",AU46/VLOOKUP(Expenses!$BJ$6,Expenses!$BJ$9:$BJ$20,1)*12/$B46)</f>
        <v/>
      </c>
      <c r="AY46" s="32" t="e">
        <f>IF(AV46="","",AV46/VLOOKUP(Expenses!$BJ$6,Expenses!$BJ$9:$BJ$20,1)*12/$B46)</f>
        <v>#N/A</v>
      </c>
      <c r="AZ46" s="167">
        <f t="shared" si="18"/>
        <v>707681</v>
      </c>
      <c r="BA46" s="28">
        <f t="shared" si="19"/>
        <v>0</v>
      </c>
      <c r="BB46" s="28">
        <f t="shared" si="20"/>
        <v>0</v>
      </c>
      <c r="BC46" s="28" t="e">
        <f t="shared" si="21"/>
        <v>#N/A</v>
      </c>
      <c r="BD46" s="34" t="e">
        <f>IF(BA46="","",BA46/VLOOKUP(Expenses!$BJ$6,Expenses!$BJ$9:$BJ$20,1)*12/$B46)</f>
        <v>#N/A</v>
      </c>
    </row>
    <row r="47" spans="1:56" ht="16.5" customHeight="1" x14ac:dyDescent="0.25">
      <c r="A47" s="130" t="s">
        <v>233</v>
      </c>
      <c r="B47" s="139" t="e">
        <f>INDEX(AnnualFinancialData!$D$2:$D$50,MATCH(Operating!$A47,AnnualFinancialData!$B$2:$B$2051,0),MATCH(Operating!B$9,AnnualFinancialData!$D$1))</f>
        <v>#N/A</v>
      </c>
      <c r="C47" s="35"/>
      <c r="D47" s="135"/>
      <c r="E47" s="50"/>
      <c r="F47" s="50">
        <v>86551</v>
      </c>
      <c r="G47" s="50"/>
      <c r="H47" s="50"/>
      <c r="I47" s="50">
        <f t="shared" si="11"/>
        <v>86551</v>
      </c>
      <c r="J47" s="38" t="e">
        <f>INDEX(Occupancy!$B$57:$AQ$57,1,MATCH(A47,Occupancy!$B$4:$AQ$4))</f>
        <v>#N/A</v>
      </c>
      <c r="K47" s="38"/>
      <c r="L47" s="136"/>
      <c r="M47" s="136"/>
      <c r="N47" s="136"/>
      <c r="O47" s="137"/>
      <c r="P47" s="40">
        <v>707681</v>
      </c>
      <c r="Q47" s="32">
        <f>R47/12*Expenses!$BJ$6</f>
        <v>0</v>
      </c>
      <c r="R47" s="32"/>
      <c r="S47" s="32" t="e">
        <f>IF(P47="","",P47/VLOOKUP(Expenses!$BJ$6,Expenses!$BJ$9:$BJ$20,1)*12/$B47)</f>
        <v>#N/A</v>
      </c>
      <c r="T47" s="32" t="e">
        <f>IF(Q47="","",Q47/VLOOKUP(Expenses!$BJ$6,Expenses!$BJ$9:$BJ$20,1)*12/$B47)</f>
        <v>#N/A</v>
      </c>
      <c r="U47" s="33">
        <f>Expenses!BB42</f>
        <v>0</v>
      </c>
      <c r="V47" s="33">
        <f>Expenses!BC42</f>
        <v>0</v>
      </c>
      <c r="W47" s="33">
        <f>Expenses!BD42</f>
        <v>0</v>
      </c>
      <c r="X47" s="33" t="e">
        <f>Expenses!BE42</f>
        <v>#DIV/0!</v>
      </c>
      <c r="Y47" s="33" t="e">
        <f>Expenses!BF42</f>
        <v>#DIV/0!</v>
      </c>
      <c r="Z47" s="33">
        <f t="shared" si="12"/>
        <v>0</v>
      </c>
      <c r="AA47" s="166">
        <f t="shared" si="13"/>
        <v>707681</v>
      </c>
      <c r="AB47" s="32">
        <f t="shared" si="14"/>
        <v>0</v>
      </c>
      <c r="AC47" s="32">
        <f t="shared" si="15"/>
        <v>0</v>
      </c>
      <c r="AD47" s="32" t="e">
        <f t="shared" si="16"/>
        <v>#N/A</v>
      </c>
      <c r="AE47" s="32" t="e">
        <f t="shared" si="17"/>
        <v>#N/A</v>
      </c>
      <c r="AF47" s="33"/>
      <c r="AG47" s="33">
        <f>AH47/12*Expenses!$BJ$6</f>
        <v>0</v>
      </c>
      <c r="AH47" s="33"/>
      <c r="AI47" s="33" t="str">
        <f>IF(AF47="","",AF47/VLOOKUP(Expenses!$BJ$6,Expenses!$BJ$9:$BJ$20,1)*12/$B47)</f>
        <v/>
      </c>
      <c r="AJ47" s="33" t="e">
        <f>IF(AG47="","",AG47/VLOOKUP(Expenses!$BJ$6,Expenses!$BJ$9:$BJ$20,1)*12/$B47)</f>
        <v>#N/A</v>
      </c>
      <c r="AK47" s="32"/>
      <c r="AL47" s="32">
        <f>AM47/12*Expenses!$BJ$6</f>
        <v>0</v>
      </c>
      <c r="AM47" s="32"/>
      <c r="AN47" s="32" t="str">
        <f>IF(AK47="","",AK47/VLOOKUP(Expenses!$BJ$6,Expenses!$BJ$9:$BJ$20,1)*12/$B47)</f>
        <v/>
      </c>
      <c r="AO47" s="32" t="e">
        <f>IF(AL47="","",AL47/VLOOKUP(Expenses!$BJ$6,Expenses!$BJ$9:$BJ$20,1)*12/$B47)</f>
        <v>#N/A</v>
      </c>
      <c r="AP47" s="33"/>
      <c r="AQ47" s="33">
        <f>AR47/12*Expenses!$BJ$6</f>
        <v>0</v>
      </c>
      <c r="AR47" s="33"/>
      <c r="AS47" s="33" t="str">
        <f>IF(AP47="","",AP47/VLOOKUP(Expenses!$BJ$6,Expenses!$BJ$9:$BJ$20,1)*12/$B47)</f>
        <v/>
      </c>
      <c r="AT47" s="33" t="e">
        <f>IF(AQ47="","",AQ47/VLOOKUP(Expenses!$BJ$6,Expenses!$BJ$9:$BJ$20,1)*12/$B47)</f>
        <v>#N/A</v>
      </c>
      <c r="AU47" s="32"/>
      <c r="AV47" s="32">
        <f>AW47/12*Expenses!$BJ$6</f>
        <v>0</v>
      </c>
      <c r="AW47" s="32"/>
      <c r="AX47" s="32" t="str">
        <f>IF(AU47="","",AU47/VLOOKUP(Expenses!$BJ$6,Expenses!$BJ$9:$BJ$20,1)*12/$B47)</f>
        <v/>
      </c>
      <c r="AY47" s="32" t="e">
        <f>IF(AV47="","",AV47/VLOOKUP(Expenses!$BJ$6,Expenses!$BJ$9:$BJ$20,1)*12/$B47)</f>
        <v>#N/A</v>
      </c>
      <c r="AZ47" s="167">
        <f t="shared" si="18"/>
        <v>707681</v>
      </c>
      <c r="BA47" s="28">
        <f t="shared" si="19"/>
        <v>0</v>
      </c>
      <c r="BB47" s="28">
        <f t="shared" si="20"/>
        <v>0</v>
      </c>
      <c r="BC47" s="28" t="e">
        <f t="shared" si="21"/>
        <v>#N/A</v>
      </c>
      <c r="BD47" s="34" t="e">
        <f>IF(BA47="","",BA47/VLOOKUP(Expenses!$BJ$6,Expenses!$BJ$9:$BJ$20,1)*12/$B47)</f>
        <v>#N/A</v>
      </c>
    </row>
    <row r="48" spans="1:56" x14ac:dyDescent="0.25">
      <c r="B48" s="35"/>
      <c r="C48" s="35"/>
      <c r="E48" s="50"/>
      <c r="F48" s="50"/>
      <c r="G48" s="50"/>
      <c r="H48" s="50"/>
      <c r="I48" s="50"/>
      <c r="J48" s="38"/>
      <c r="K48" s="38"/>
      <c r="P48" s="40"/>
      <c r="Q48" s="32"/>
      <c r="R48" s="32"/>
      <c r="S48" s="32"/>
      <c r="T48" s="32"/>
      <c r="U48" s="33"/>
      <c r="V48" s="33"/>
      <c r="W48" s="33"/>
      <c r="X48" s="33"/>
      <c r="Y48" s="33"/>
      <c r="Z48" s="33"/>
      <c r="AA48" s="32"/>
      <c r="AB48" s="32"/>
      <c r="AC48" s="32"/>
      <c r="AD48" s="32"/>
      <c r="AE48" s="32"/>
      <c r="AF48" s="33"/>
      <c r="AG48" s="33"/>
      <c r="AH48" s="33"/>
      <c r="AI48" s="33"/>
      <c r="AJ48" s="33"/>
      <c r="AK48" s="32"/>
      <c r="AL48" s="32"/>
      <c r="AM48" s="32"/>
      <c r="AN48" s="32"/>
      <c r="AO48" s="32"/>
      <c r="AP48" s="33"/>
      <c r="AQ48" s="33"/>
      <c r="AR48" s="33"/>
      <c r="AS48" s="33"/>
      <c r="AT48" s="33"/>
      <c r="AU48" s="32"/>
      <c r="AV48" s="32"/>
      <c r="AW48" s="32"/>
      <c r="AX48" s="32"/>
      <c r="AY48" s="32"/>
      <c r="AZ48" s="28"/>
      <c r="BA48" s="28"/>
      <c r="BB48" s="28"/>
      <c r="BC48" s="28"/>
      <c r="BD48" s="34"/>
    </row>
    <row r="49" spans="1:56" s="45" customFormat="1" ht="16.5" customHeight="1" x14ac:dyDescent="0.2">
      <c r="A49" s="251" t="s">
        <v>40</v>
      </c>
      <c r="B49" s="35"/>
      <c r="C49" s="35"/>
      <c r="D49" s="35"/>
      <c r="E49" s="50"/>
      <c r="F49" s="50"/>
      <c r="G49" s="50"/>
      <c r="H49" s="50"/>
      <c r="I49" s="50"/>
      <c r="J49" s="38"/>
      <c r="K49" s="38"/>
      <c r="L49" s="35"/>
      <c r="M49" s="35"/>
      <c r="N49" s="35"/>
      <c r="O49" s="39"/>
      <c r="P49" s="40"/>
      <c r="Q49" s="32"/>
      <c r="R49" s="32"/>
      <c r="S49" s="32"/>
      <c r="T49" s="32"/>
      <c r="U49" s="33"/>
      <c r="V49" s="33"/>
      <c r="W49" s="33"/>
      <c r="X49" s="33"/>
      <c r="Y49" s="33"/>
      <c r="Z49" s="33"/>
      <c r="AA49" s="32"/>
      <c r="AB49" s="32"/>
      <c r="AC49" s="32"/>
      <c r="AD49" s="32"/>
      <c r="AE49" s="32"/>
      <c r="AF49" s="33"/>
      <c r="AG49" s="33"/>
      <c r="AH49" s="33"/>
      <c r="AI49" s="33"/>
      <c r="AJ49" s="33"/>
      <c r="AK49" s="32"/>
      <c r="AL49" s="32"/>
      <c r="AM49" s="32"/>
      <c r="AN49" s="32"/>
      <c r="AO49" s="32"/>
      <c r="AP49" s="33"/>
      <c r="AQ49" s="33"/>
      <c r="AR49" s="33"/>
      <c r="AS49" s="33"/>
      <c r="AT49" s="33"/>
      <c r="AU49" s="32"/>
      <c r="AV49" s="32"/>
      <c r="AW49" s="32"/>
      <c r="AX49" s="32"/>
      <c r="AY49" s="32"/>
      <c r="AZ49" s="28"/>
      <c r="BA49" s="28"/>
      <c r="BB49" s="28"/>
      <c r="BC49" s="28"/>
      <c r="BD49" s="34"/>
    </row>
    <row r="50" spans="1:56" x14ac:dyDescent="0.25">
      <c r="A50" s="49"/>
      <c r="B50" s="37"/>
      <c r="C50" s="35"/>
      <c r="E50" s="50"/>
      <c r="F50" s="50"/>
      <c r="G50" s="50"/>
      <c r="H50" s="50"/>
      <c r="I50" s="50"/>
      <c r="J50" s="38"/>
      <c r="K50" s="38"/>
      <c r="P50" s="40"/>
      <c r="Q50" s="32"/>
      <c r="R50" s="32"/>
      <c r="S50" s="32"/>
      <c r="T50" s="32"/>
      <c r="U50" s="33"/>
      <c r="V50" s="33"/>
      <c r="W50" s="33"/>
      <c r="X50" s="33"/>
      <c r="Y50" s="33"/>
      <c r="Z50" s="33"/>
      <c r="AA50" s="32"/>
      <c r="AB50" s="32"/>
      <c r="AC50" s="32"/>
      <c r="AD50" s="32"/>
      <c r="AE50" s="32"/>
      <c r="AF50" s="33"/>
      <c r="AG50" s="33"/>
      <c r="AH50" s="33"/>
      <c r="AI50" s="33"/>
      <c r="AJ50" s="33"/>
      <c r="AK50" s="32"/>
      <c r="AL50" s="32"/>
      <c r="AM50" s="32"/>
      <c r="AN50" s="32"/>
      <c r="AO50" s="32"/>
      <c r="AP50" s="33"/>
      <c r="AQ50" s="33"/>
      <c r="AR50" s="33"/>
      <c r="AS50" s="33"/>
      <c r="AT50" s="33"/>
      <c r="AU50" s="32"/>
      <c r="AV50" s="32"/>
      <c r="AW50" s="32"/>
      <c r="AX50" s="32"/>
      <c r="AY50" s="32"/>
      <c r="AZ50" s="28"/>
      <c r="BA50" s="28"/>
      <c r="BB50" s="28"/>
      <c r="BC50" s="28"/>
      <c r="BD50" s="34"/>
    </row>
    <row r="51" spans="1:56" s="45" customFormat="1" ht="18.75" customHeight="1" thickBot="1" x14ac:dyDescent="0.25">
      <c r="A51" s="251" t="s">
        <v>41</v>
      </c>
      <c r="B51" s="37"/>
      <c r="C51" s="35"/>
      <c r="D51" s="35"/>
      <c r="E51" s="50"/>
      <c r="F51" s="50"/>
      <c r="G51" s="50"/>
      <c r="H51" s="50"/>
      <c r="I51" s="50"/>
      <c r="J51" s="38"/>
      <c r="K51" s="38"/>
      <c r="L51" s="37"/>
      <c r="M51" s="37"/>
      <c r="N51" s="37"/>
      <c r="O51" s="39"/>
      <c r="P51" s="51"/>
      <c r="Q51" s="52"/>
      <c r="R51" s="52"/>
      <c r="S51" s="52"/>
      <c r="T51" s="52"/>
      <c r="U51" s="53"/>
      <c r="V51" s="53"/>
      <c r="W51" s="53"/>
      <c r="X51" s="53"/>
      <c r="Y51" s="53"/>
      <c r="Z51" s="54"/>
      <c r="AA51" s="52"/>
      <c r="AB51" s="52"/>
      <c r="AC51" s="52"/>
      <c r="AD51" s="52"/>
      <c r="AE51" s="52"/>
      <c r="AF51" s="53"/>
      <c r="AG51" s="53"/>
      <c r="AH51" s="53"/>
      <c r="AI51" s="53"/>
      <c r="AJ51" s="53"/>
      <c r="AK51" s="52"/>
      <c r="AL51" s="52"/>
      <c r="AM51" s="52"/>
      <c r="AN51" s="52"/>
      <c r="AO51" s="52"/>
      <c r="AP51" s="53"/>
      <c r="AQ51" s="53"/>
      <c r="AR51" s="53"/>
      <c r="AS51" s="53"/>
      <c r="AT51" s="53"/>
      <c r="AU51" s="52"/>
      <c r="AV51" s="52"/>
      <c r="AW51" s="52"/>
      <c r="AX51" s="52"/>
      <c r="AY51" s="52"/>
      <c r="AZ51" s="55"/>
      <c r="BA51" s="55"/>
      <c r="BB51" s="55"/>
      <c r="BC51" s="56"/>
      <c r="BD51" s="57"/>
    </row>
  </sheetData>
  <mergeCells count="14">
    <mergeCell ref="A43:B43"/>
    <mergeCell ref="AU6:AY8"/>
    <mergeCell ref="AZ6:BD8"/>
    <mergeCell ref="A10:B10"/>
    <mergeCell ref="P5:AE5"/>
    <mergeCell ref="AF5:BD5"/>
    <mergeCell ref="E6:I8"/>
    <mergeCell ref="K6:O8"/>
    <mergeCell ref="P6:T8"/>
    <mergeCell ref="U6:Z8"/>
    <mergeCell ref="AA6:AE8"/>
    <mergeCell ref="AF6:AJ8"/>
    <mergeCell ref="AK6:AO8"/>
    <mergeCell ref="AP6:AT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9525</xdr:colOff>
                    <xdr:row>0</xdr:row>
                    <xdr:rowOff>219075</xdr:rowOff>
                  </from>
                  <to>
                    <xdr:col>6</xdr:col>
                    <xdr:colOff>114300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44"/>
  <sheetViews>
    <sheetView topLeftCell="A3" zoomScale="85" zoomScaleNormal="85" workbookViewId="0">
      <selection activeCell="C6" sqref="C6"/>
    </sheetView>
  </sheetViews>
  <sheetFormatPr defaultRowHeight="15" x14ac:dyDescent="0.25"/>
  <cols>
    <col min="1" max="1" width="38.85546875" bestFit="1" customWidth="1"/>
    <col min="2" max="2" width="7.42578125" customWidth="1"/>
    <col min="3" max="3" width="15.42578125" customWidth="1"/>
    <col min="4" max="4" width="11.42578125" customWidth="1"/>
    <col min="5" max="5" width="12.85546875" customWidth="1"/>
    <col min="6" max="6" width="13.42578125" customWidth="1"/>
    <col min="7" max="7" width="10.7109375" customWidth="1"/>
    <col min="8" max="8" width="7.85546875" customWidth="1"/>
    <col min="9" max="9" width="12.28515625" customWidth="1"/>
    <col min="10" max="11" width="10.140625" customWidth="1"/>
    <col min="12" max="12" width="9.5703125" customWidth="1"/>
    <col min="13" max="13" width="7.140625" customWidth="1"/>
    <col min="14" max="14" width="9.28515625" customWidth="1"/>
    <col min="15" max="15" width="10.42578125" customWidth="1"/>
    <col min="16" max="16" width="10.140625" customWidth="1"/>
    <col min="17" max="18" width="7.140625" customWidth="1"/>
    <col min="19" max="19" width="13.42578125" customWidth="1"/>
    <col min="20" max="20" width="12" customWidth="1"/>
    <col min="21" max="21" width="11.7109375" customWidth="1"/>
    <col min="22" max="22" width="9.42578125" customWidth="1"/>
    <col min="23" max="23" width="7.42578125" customWidth="1"/>
    <col min="24" max="25" width="11.7109375" customWidth="1"/>
    <col min="26" max="26" width="12.28515625" customWidth="1"/>
    <col min="27" max="27" width="9.42578125" customWidth="1"/>
    <col min="28" max="28" width="8.42578125" customWidth="1"/>
    <col min="29" max="29" width="10.85546875" customWidth="1"/>
    <col min="30" max="30" width="9.7109375" customWidth="1"/>
    <col min="31" max="31" width="11.42578125" customWidth="1"/>
    <col min="32" max="32" width="8.42578125" customWidth="1"/>
    <col min="33" max="33" width="10.28515625" customWidth="1"/>
    <col min="34" max="34" width="12.140625" customWidth="1"/>
    <col min="35" max="35" width="13.42578125" customWidth="1"/>
    <col min="36" max="36" width="12.140625" customWidth="1"/>
    <col min="37" max="37" width="9.42578125" customWidth="1"/>
    <col min="38" max="38" width="7.7109375" customWidth="1"/>
    <col min="39" max="39" width="10.7109375" customWidth="1"/>
    <col min="40" max="40" width="11" customWidth="1"/>
    <col min="41" max="41" width="12" customWidth="1"/>
    <col min="42" max="42" width="9.85546875" customWidth="1"/>
    <col min="43" max="43" width="7.7109375" customWidth="1"/>
    <col min="44" max="44" width="10.5703125" customWidth="1"/>
    <col min="45" max="45" width="12.42578125" customWidth="1"/>
    <col min="46" max="46" width="13.42578125" customWidth="1"/>
    <col min="47" max="47" width="9.42578125" customWidth="1"/>
    <col min="48" max="48" width="8.42578125" customWidth="1"/>
    <col min="49" max="52" width="10" customWidth="1"/>
    <col min="53" max="53" width="7.7109375" customWidth="1"/>
    <col min="54" max="56" width="11.28515625" customWidth="1"/>
    <col min="57" max="57" width="11.85546875" customWidth="1"/>
    <col min="58" max="58" width="9.28515625" bestFit="1" customWidth="1"/>
    <col min="62" max="62" width="12.140625" bestFit="1" customWidth="1"/>
    <col min="257" max="257" width="26.140625" customWidth="1"/>
    <col min="258" max="258" width="7.42578125" customWidth="1"/>
    <col min="259" max="259" width="15.42578125" customWidth="1"/>
    <col min="260" max="260" width="11.42578125" customWidth="1"/>
    <col min="261" max="261" width="12.85546875" customWidth="1"/>
    <col min="262" max="262" width="13.42578125" customWidth="1"/>
    <col min="263" max="263" width="10.7109375" customWidth="1"/>
    <col min="264" max="264" width="7.85546875" customWidth="1"/>
    <col min="265" max="265" width="12.28515625" customWidth="1"/>
    <col min="266" max="267" width="10.140625" customWidth="1"/>
    <col min="268" max="268" width="9.5703125" customWidth="1"/>
    <col min="269" max="269" width="7.140625" customWidth="1"/>
    <col min="270" max="270" width="9.28515625" customWidth="1"/>
    <col min="271" max="271" width="10.42578125" customWidth="1"/>
    <col min="272" max="272" width="10.140625" customWidth="1"/>
    <col min="273" max="274" width="7.140625" customWidth="1"/>
    <col min="275" max="275" width="13.42578125" customWidth="1"/>
    <col min="276" max="276" width="12" customWidth="1"/>
    <col min="277" max="277" width="11.7109375" customWidth="1"/>
    <col min="278" max="278" width="9.42578125" customWidth="1"/>
    <col min="279" max="279" width="7.42578125" customWidth="1"/>
    <col min="280" max="281" width="11.7109375" customWidth="1"/>
    <col min="282" max="282" width="12.28515625" customWidth="1"/>
    <col min="283" max="283" width="9.42578125" customWidth="1"/>
    <col min="284" max="284" width="8.42578125" customWidth="1"/>
    <col min="285" max="285" width="10.85546875" customWidth="1"/>
    <col min="286" max="286" width="9.7109375" customWidth="1"/>
    <col min="287" max="287" width="11.42578125" customWidth="1"/>
    <col min="288" max="288" width="8.42578125" customWidth="1"/>
    <col min="289" max="289" width="10.28515625" customWidth="1"/>
    <col min="290" max="290" width="12.140625" customWidth="1"/>
    <col min="291" max="291" width="13.42578125" customWidth="1"/>
    <col min="292" max="292" width="12.140625" customWidth="1"/>
    <col min="293" max="293" width="9.42578125" customWidth="1"/>
    <col min="294" max="294" width="7.7109375" customWidth="1"/>
    <col min="295" max="295" width="10.7109375" customWidth="1"/>
    <col min="296" max="296" width="11" customWidth="1"/>
    <col min="297" max="297" width="12" customWidth="1"/>
    <col min="298" max="298" width="9.85546875" customWidth="1"/>
    <col min="299" max="299" width="7.7109375" customWidth="1"/>
    <col min="300" max="300" width="10.5703125" customWidth="1"/>
    <col min="301" max="301" width="12.42578125" customWidth="1"/>
    <col min="302" max="302" width="13.42578125" customWidth="1"/>
    <col min="303" max="303" width="9.42578125" customWidth="1"/>
    <col min="304" max="304" width="8.42578125" customWidth="1"/>
    <col min="305" max="308" width="10" customWidth="1"/>
    <col min="309" max="309" width="7.7109375" customWidth="1"/>
    <col min="310" max="312" width="11.28515625" customWidth="1"/>
    <col min="313" max="313" width="11.85546875" customWidth="1"/>
    <col min="314" max="314" width="9.28515625" bestFit="1" customWidth="1"/>
    <col min="513" max="513" width="26.140625" customWidth="1"/>
    <col min="514" max="514" width="7.42578125" customWidth="1"/>
    <col min="515" max="515" width="15.42578125" customWidth="1"/>
    <col min="516" max="516" width="11.42578125" customWidth="1"/>
    <col min="517" max="517" width="12.85546875" customWidth="1"/>
    <col min="518" max="518" width="13.42578125" customWidth="1"/>
    <col min="519" max="519" width="10.7109375" customWidth="1"/>
    <col min="520" max="520" width="7.85546875" customWidth="1"/>
    <col min="521" max="521" width="12.28515625" customWidth="1"/>
    <col min="522" max="523" width="10.140625" customWidth="1"/>
    <col min="524" max="524" width="9.5703125" customWidth="1"/>
    <col min="525" max="525" width="7.140625" customWidth="1"/>
    <col min="526" max="526" width="9.28515625" customWidth="1"/>
    <col min="527" max="527" width="10.42578125" customWidth="1"/>
    <col min="528" max="528" width="10.140625" customWidth="1"/>
    <col min="529" max="530" width="7.140625" customWidth="1"/>
    <col min="531" max="531" width="13.42578125" customWidth="1"/>
    <col min="532" max="532" width="12" customWidth="1"/>
    <col min="533" max="533" width="11.7109375" customWidth="1"/>
    <col min="534" max="534" width="9.42578125" customWidth="1"/>
    <col min="535" max="535" width="7.42578125" customWidth="1"/>
    <col min="536" max="537" width="11.7109375" customWidth="1"/>
    <col min="538" max="538" width="12.28515625" customWidth="1"/>
    <col min="539" max="539" width="9.42578125" customWidth="1"/>
    <col min="540" max="540" width="8.42578125" customWidth="1"/>
    <col min="541" max="541" width="10.85546875" customWidth="1"/>
    <col min="542" max="542" width="9.7109375" customWidth="1"/>
    <col min="543" max="543" width="11.42578125" customWidth="1"/>
    <col min="544" max="544" width="8.42578125" customWidth="1"/>
    <col min="545" max="545" width="10.28515625" customWidth="1"/>
    <col min="546" max="546" width="12.140625" customWidth="1"/>
    <col min="547" max="547" width="13.42578125" customWidth="1"/>
    <col min="548" max="548" width="12.140625" customWidth="1"/>
    <col min="549" max="549" width="9.42578125" customWidth="1"/>
    <col min="550" max="550" width="7.7109375" customWidth="1"/>
    <col min="551" max="551" width="10.7109375" customWidth="1"/>
    <col min="552" max="552" width="11" customWidth="1"/>
    <col min="553" max="553" width="12" customWidth="1"/>
    <col min="554" max="554" width="9.85546875" customWidth="1"/>
    <col min="555" max="555" width="7.7109375" customWidth="1"/>
    <col min="556" max="556" width="10.5703125" customWidth="1"/>
    <col min="557" max="557" width="12.42578125" customWidth="1"/>
    <col min="558" max="558" width="13.42578125" customWidth="1"/>
    <col min="559" max="559" width="9.42578125" customWidth="1"/>
    <col min="560" max="560" width="8.42578125" customWidth="1"/>
    <col min="561" max="564" width="10" customWidth="1"/>
    <col min="565" max="565" width="7.7109375" customWidth="1"/>
    <col min="566" max="568" width="11.28515625" customWidth="1"/>
    <col min="569" max="569" width="11.85546875" customWidth="1"/>
    <col min="570" max="570" width="9.28515625" bestFit="1" customWidth="1"/>
    <col min="769" max="769" width="26.140625" customWidth="1"/>
    <col min="770" max="770" width="7.42578125" customWidth="1"/>
    <col min="771" max="771" width="15.42578125" customWidth="1"/>
    <col min="772" max="772" width="11.42578125" customWidth="1"/>
    <col min="773" max="773" width="12.85546875" customWidth="1"/>
    <col min="774" max="774" width="13.42578125" customWidth="1"/>
    <col min="775" max="775" width="10.7109375" customWidth="1"/>
    <col min="776" max="776" width="7.85546875" customWidth="1"/>
    <col min="777" max="777" width="12.28515625" customWidth="1"/>
    <col min="778" max="779" width="10.140625" customWidth="1"/>
    <col min="780" max="780" width="9.5703125" customWidth="1"/>
    <col min="781" max="781" width="7.140625" customWidth="1"/>
    <col min="782" max="782" width="9.28515625" customWidth="1"/>
    <col min="783" max="783" width="10.42578125" customWidth="1"/>
    <col min="784" max="784" width="10.140625" customWidth="1"/>
    <col min="785" max="786" width="7.140625" customWidth="1"/>
    <col min="787" max="787" width="13.42578125" customWidth="1"/>
    <col min="788" max="788" width="12" customWidth="1"/>
    <col min="789" max="789" width="11.7109375" customWidth="1"/>
    <col min="790" max="790" width="9.42578125" customWidth="1"/>
    <col min="791" max="791" width="7.42578125" customWidth="1"/>
    <col min="792" max="793" width="11.7109375" customWidth="1"/>
    <col min="794" max="794" width="12.28515625" customWidth="1"/>
    <col min="795" max="795" width="9.42578125" customWidth="1"/>
    <col min="796" max="796" width="8.42578125" customWidth="1"/>
    <col min="797" max="797" width="10.85546875" customWidth="1"/>
    <col min="798" max="798" width="9.7109375" customWidth="1"/>
    <col min="799" max="799" width="11.42578125" customWidth="1"/>
    <col min="800" max="800" width="8.42578125" customWidth="1"/>
    <col min="801" max="801" width="10.28515625" customWidth="1"/>
    <col min="802" max="802" width="12.140625" customWidth="1"/>
    <col min="803" max="803" width="13.42578125" customWidth="1"/>
    <col min="804" max="804" width="12.140625" customWidth="1"/>
    <col min="805" max="805" width="9.42578125" customWidth="1"/>
    <col min="806" max="806" width="7.7109375" customWidth="1"/>
    <col min="807" max="807" width="10.7109375" customWidth="1"/>
    <col min="808" max="808" width="11" customWidth="1"/>
    <col min="809" max="809" width="12" customWidth="1"/>
    <col min="810" max="810" width="9.85546875" customWidth="1"/>
    <col min="811" max="811" width="7.7109375" customWidth="1"/>
    <col min="812" max="812" width="10.5703125" customWidth="1"/>
    <col min="813" max="813" width="12.42578125" customWidth="1"/>
    <col min="814" max="814" width="13.42578125" customWidth="1"/>
    <col min="815" max="815" width="9.42578125" customWidth="1"/>
    <col min="816" max="816" width="8.42578125" customWidth="1"/>
    <col min="817" max="820" width="10" customWidth="1"/>
    <col min="821" max="821" width="7.7109375" customWidth="1"/>
    <col min="822" max="824" width="11.28515625" customWidth="1"/>
    <col min="825" max="825" width="11.85546875" customWidth="1"/>
    <col min="826" max="826" width="9.28515625" bestFit="1" customWidth="1"/>
    <col min="1025" max="1025" width="26.140625" customWidth="1"/>
    <col min="1026" max="1026" width="7.42578125" customWidth="1"/>
    <col min="1027" max="1027" width="15.42578125" customWidth="1"/>
    <col min="1028" max="1028" width="11.42578125" customWidth="1"/>
    <col min="1029" max="1029" width="12.85546875" customWidth="1"/>
    <col min="1030" max="1030" width="13.42578125" customWidth="1"/>
    <col min="1031" max="1031" width="10.7109375" customWidth="1"/>
    <col min="1032" max="1032" width="7.85546875" customWidth="1"/>
    <col min="1033" max="1033" width="12.28515625" customWidth="1"/>
    <col min="1034" max="1035" width="10.140625" customWidth="1"/>
    <col min="1036" max="1036" width="9.5703125" customWidth="1"/>
    <col min="1037" max="1037" width="7.140625" customWidth="1"/>
    <col min="1038" max="1038" width="9.28515625" customWidth="1"/>
    <col min="1039" max="1039" width="10.42578125" customWidth="1"/>
    <col min="1040" max="1040" width="10.140625" customWidth="1"/>
    <col min="1041" max="1042" width="7.140625" customWidth="1"/>
    <col min="1043" max="1043" width="13.42578125" customWidth="1"/>
    <col min="1044" max="1044" width="12" customWidth="1"/>
    <col min="1045" max="1045" width="11.7109375" customWidth="1"/>
    <col min="1046" max="1046" width="9.42578125" customWidth="1"/>
    <col min="1047" max="1047" width="7.42578125" customWidth="1"/>
    <col min="1048" max="1049" width="11.7109375" customWidth="1"/>
    <col min="1050" max="1050" width="12.28515625" customWidth="1"/>
    <col min="1051" max="1051" width="9.42578125" customWidth="1"/>
    <col min="1052" max="1052" width="8.42578125" customWidth="1"/>
    <col min="1053" max="1053" width="10.85546875" customWidth="1"/>
    <col min="1054" max="1054" width="9.7109375" customWidth="1"/>
    <col min="1055" max="1055" width="11.42578125" customWidth="1"/>
    <col min="1056" max="1056" width="8.42578125" customWidth="1"/>
    <col min="1057" max="1057" width="10.28515625" customWidth="1"/>
    <col min="1058" max="1058" width="12.140625" customWidth="1"/>
    <col min="1059" max="1059" width="13.42578125" customWidth="1"/>
    <col min="1060" max="1060" width="12.140625" customWidth="1"/>
    <col min="1061" max="1061" width="9.42578125" customWidth="1"/>
    <col min="1062" max="1062" width="7.7109375" customWidth="1"/>
    <col min="1063" max="1063" width="10.7109375" customWidth="1"/>
    <col min="1064" max="1064" width="11" customWidth="1"/>
    <col min="1065" max="1065" width="12" customWidth="1"/>
    <col min="1066" max="1066" width="9.85546875" customWidth="1"/>
    <col min="1067" max="1067" width="7.7109375" customWidth="1"/>
    <col min="1068" max="1068" width="10.5703125" customWidth="1"/>
    <col min="1069" max="1069" width="12.42578125" customWidth="1"/>
    <col min="1070" max="1070" width="13.42578125" customWidth="1"/>
    <col min="1071" max="1071" width="9.42578125" customWidth="1"/>
    <col min="1072" max="1072" width="8.42578125" customWidth="1"/>
    <col min="1073" max="1076" width="10" customWidth="1"/>
    <col min="1077" max="1077" width="7.7109375" customWidth="1"/>
    <col min="1078" max="1080" width="11.28515625" customWidth="1"/>
    <col min="1081" max="1081" width="11.85546875" customWidth="1"/>
    <col min="1082" max="1082" width="9.28515625" bestFit="1" customWidth="1"/>
    <col min="1281" max="1281" width="26.140625" customWidth="1"/>
    <col min="1282" max="1282" width="7.42578125" customWidth="1"/>
    <col min="1283" max="1283" width="15.42578125" customWidth="1"/>
    <col min="1284" max="1284" width="11.42578125" customWidth="1"/>
    <col min="1285" max="1285" width="12.85546875" customWidth="1"/>
    <col min="1286" max="1286" width="13.42578125" customWidth="1"/>
    <col min="1287" max="1287" width="10.7109375" customWidth="1"/>
    <col min="1288" max="1288" width="7.85546875" customWidth="1"/>
    <col min="1289" max="1289" width="12.28515625" customWidth="1"/>
    <col min="1290" max="1291" width="10.140625" customWidth="1"/>
    <col min="1292" max="1292" width="9.5703125" customWidth="1"/>
    <col min="1293" max="1293" width="7.140625" customWidth="1"/>
    <col min="1294" max="1294" width="9.28515625" customWidth="1"/>
    <col min="1295" max="1295" width="10.42578125" customWidth="1"/>
    <col min="1296" max="1296" width="10.140625" customWidth="1"/>
    <col min="1297" max="1298" width="7.140625" customWidth="1"/>
    <col min="1299" max="1299" width="13.42578125" customWidth="1"/>
    <col min="1300" max="1300" width="12" customWidth="1"/>
    <col min="1301" max="1301" width="11.7109375" customWidth="1"/>
    <col min="1302" max="1302" width="9.42578125" customWidth="1"/>
    <col min="1303" max="1303" width="7.42578125" customWidth="1"/>
    <col min="1304" max="1305" width="11.7109375" customWidth="1"/>
    <col min="1306" max="1306" width="12.28515625" customWidth="1"/>
    <col min="1307" max="1307" width="9.42578125" customWidth="1"/>
    <col min="1308" max="1308" width="8.42578125" customWidth="1"/>
    <col min="1309" max="1309" width="10.85546875" customWidth="1"/>
    <col min="1310" max="1310" width="9.7109375" customWidth="1"/>
    <col min="1311" max="1311" width="11.42578125" customWidth="1"/>
    <col min="1312" max="1312" width="8.42578125" customWidth="1"/>
    <col min="1313" max="1313" width="10.28515625" customWidth="1"/>
    <col min="1314" max="1314" width="12.140625" customWidth="1"/>
    <col min="1315" max="1315" width="13.42578125" customWidth="1"/>
    <col min="1316" max="1316" width="12.140625" customWidth="1"/>
    <col min="1317" max="1317" width="9.42578125" customWidth="1"/>
    <col min="1318" max="1318" width="7.7109375" customWidth="1"/>
    <col min="1319" max="1319" width="10.7109375" customWidth="1"/>
    <col min="1320" max="1320" width="11" customWidth="1"/>
    <col min="1321" max="1321" width="12" customWidth="1"/>
    <col min="1322" max="1322" width="9.85546875" customWidth="1"/>
    <col min="1323" max="1323" width="7.7109375" customWidth="1"/>
    <col min="1324" max="1324" width="10.5703125" customWidth="1"/>
    <col min="1325" max="1325" width="12.42578125" customWidth="1"/>
    <col min="1326" max="1326" width="13.42578125" customWidth="1"/>
    <col min="1327" max="1327" width="9.42578125" customWidth="1"/>
    <col min="1328" max="1328" width="8.42578125" customWidth="1"/>
    <col min="1329" max="1332" width="10" customWidth="1"/>
    <col min="1333" max="1333" width="7.7109375" customWidth="1"/>
    <col min="1334" max="1336" width="11.28515625" customWidth="1"/>
    <col min="1337" max="1337" width="11.85546875" customWidth="1"/>
    <col min="1338" max="1338" width="9.28515625" bestFit="1" customWidth="1"/>
    <col min="1537" max="1537" width="26.140625" customWidth="1"/>
    <col min="1538" max="1538" width="7.42578125" customWidth="1"/>
    <col min="1539" max="1539" width="15.42578125" customWidth="1"/>
    <col min="1540" max="1540" width="11.42578125" customWidth="1"/>
    <col min="1541" max="1541" width="12.85546875" customWidth="1"/>
    <col min="1542" max="1542" width="13.42578125" customWidth="1"/>
    <col min="1543" max="1543" width="10.7109375" customWidth="1"/>
    <col min="1544" max="1544" width="7.85546875" customWidth="1"/>
    <col min="1545" max="1545" width="12.28515625" customWidth="1"/>
    <col min="1546" max="1547" width="10.140625" customWidth="1"/>
    <col min="1548" max="1548" width="9.5703125" customWidth="1"/>
    <col min="1549" max="1549" width="7.140625" customWidth="1"/>
    <col min="1550" max="1550" width="9.28515625" customWidth="1"/>
    <col min="1551" max="1551" width="10.42578125" customWidth="1"/>
    <col min="1552" max="1552" width="10.140625" customWidth="1"/>
    <col min="1553" max="1554" width="7.140625" customWidth="1"/>
    <col min="1555" max="1555" width="13.42578125" customWidth="1"/>
    <col min="1556" max="1556" width="12" customWidth="1"/>
    <col min="1557" max="1557" width="11.7109375" customWidth="1"/>
    <col min="1558" max="1558" width="9.42578125" customWidth="1"/>
    <col min="1559" max="1559" width="7.42578125" customWidth="1"/>
    <col min="1560" max="1561" width="11.7109375" customWidth="1"/>
    <col min="1562" max="1562" width="12.28515625" customWidth="1"/>
    <col min="1563" max="1563" width="9.42578125" customWidth="1"/>
    <col min="1564" max="1564" width="8.42578125" customWidth="1"/>
    <col min="1565" max="1565" width="10.85546875" customWidth="1"/>
    <col min="1566" max="1566" width="9.7109375" customWidth="1"/>
    <col min="1567" max="1567" width="11.42578125" customWidth="1"/>
    <col min="1568" max="1568" width="8.42578125" customWidth="1"/>
    <col min="1569" max="1569" width="10.28515625" customWidth="1"/>
    <col min="1570" max="1570" width="12.140625" customWidth="1"/>
    <col min="1571" max="1571" width="13.42578125" customWidth="1"/>
    <col min="1572" max="1572" width="12.140625" customWidth="1"/>
    <col min="1573" max="1573" width="9.42578125" customWidth="1"/>
    <col min="1574" max="1574" width="7.7109375" customWidth="1"/>
    <col min="1575" max="1575" width="10.7109375" customWidth="1"/>
    <col min="1576" max="1576" width="11" customWidth="1"/>
    <col min="1577" max="1577" width="12" customWidth="1"/>
    <col min="1578" max="1578" width="9.85546875" customWidth="1"/>
    <col min="1579" max="1579" width="7.7109375" customWidth="1"/>
    <col min="1580" max="1580" width="10.5703125" customWidth="1"/>
    <col min="1581" max="1581" width="12.42578125" customWidth="1"/>
    <col min="1582" max="1582" width="13.42578125" customWidth="1"/>
    <col min="1583" max="1583" width="9.42578125" customWidth="1"/>
    <col min="1584" max="1584" width="8.42578125" customWidth="1"/>
    <col min="1585" max="1588" width="10" customWidth="1"/>
    <col min="1589" max="1589" width="7.7109375" customWidth="1"/>
    <col min="1590" max="1592" width="11.28515625" customWidth="1"/>
    <col min="1593" max="1593" width="11.85546875" customWidth="1"/>
    <col min="1594" max="1594" width="9.28515625" bestFit="1" customWidth="1"/>
    <col min="1793" max="1793" width="26.140625" customWidth="1"/>
    <col min="1794" max="1794" width="7.42578125" customWidth="1"/>
    <col min="1795" max="1795" width="15.42578125" customWidth="1"/>
    <col min="1796" max="1796" width="11.42578125" customWidth="1"/>
    <col min="1797" max="1797" width="12.85546875" customWidth="1"/>
    <col min="1798" max="1798" width="13.42578125" customWidth="1"/>
    <col min="1799" max="1799" width="10.7109375" customWidth="1"/>
    <col min="1800" max="1800" width="7.85546875" customWidth="1"/>
    <col min="1801" max="1801" width="12.28515625" customWidth="1"/>
    <col min="1802" max="1803" width="10.140625" customWidth="1"/>
    <col min="1804" max="1804" width="9.5703125" customWidth="1"/>
    <col min="1805" max="1805" width="7.140625" customWidth="1"/>
    <col min="1806" max="1806" width="9.28515625" customWidth="1"/>
    <col min="1807" max="1807" width="10.42578125" customWidth="1"/>
    <col min="1808" max="1808" width="10.140625" customWidth="1"/>
    <col min="1809" max="1810" width="7.140625" customWidth="1"/>
    <col min="1811" max="1811" width="13.42578125" customWidth="1"/>
    <col min="1812" max="1812" width="12" customWidth="1"/>
    <col min="1813" max="1813" width="11.7109375" customWidth="1"/>
    <col min="1814" max="1814" width="9.42578125" customWidth="1"/>
    <col min="1815" max="1815" width="7.42578125" customWidth="1"/>
    <col min="1816" max="1817" width="11.7109375" customWidth="1"/>
    <col min="1818" max="1818" width="12.28515625" customWidth="1"/>
    <col min="1819" max="1819" width="9.42578125" customWidth="1"/>
    <col min="1820" max="1820" width="8.42578125" customWidth="1"/>
    <col min="1821" max="1821" width="10.85546875" customWidth="1"/>
    <col min="1822" max="1822" width="9.7109375" customWidth="1"/>
    <col min="1823" max="1823" width="11.42578125" customWidth="1"/>
    <col min="1824" max="1824" width="8.42578125" customWidth="1"/>
    <col min="1825" max="1825" width="10.28515625" customWidth="1"/>
    <col min="1826" max="1826" width="12.140625" customWidth="1"/>
    <col min="1827" max="1827" width="13.42578125" customWidth="1"/>
    <col min="1828" max="1828" width="12.140625" customWidth="1"/>
    <col min="1829" max="1829" width="9.42578125" customWidth="1"/>
    <col min="1830" max="1830" width="7.7109375" customWidth="1"/>
    <col min="1831" max="1831" width="10.7109375" customWidth="1"/>
    <col min="1832" max="1832" width="11" customWidth="1"/>
    <col min="1833" max="1833" width="12" customWidth="1"/>
    <col min="1834" max="1834" width="9.85546875" customWidth="1"/>
    <col min="1835" max="1835" width="7.7109375" customWidth="1"/>
    <col min="1836" max="1836" width="10.5703125" customWidth="1"/>
    <col min="1837" max="1837" width="12.42578125" customWidth="1"/>
    <col min="1838" max="1838" width="13.42578125" customWidth="1"/>
    <col min="1839" max="1839" width="9.42578125" customWidth="1"/>
    <col min="1840" max="1840" width="8.42578125" customWidth="1"/>
    <col min="1841" max="1844" width="10" customWidth="1"/>
    <col min="1845" max="1845" width="7.7109375" customWidth="1"/>
    <col min="1846" max="1848" width="11.28515625" customWidth="1"/>
    <col min="1849" max="1849" width="11.85546875" customWidth="1"/>
    <col min="1850" max="1850" width="9.28515625" bestFit="1" customWidth="1"/>
    <col min="2049" max="2049" width="26.140625" customWidth="1"/>
    <col min="2050" max="2050" width="7.42578125" customWidth="1"/>
    <col min="2051" max="2051" width="15.42578125" customWidth="1"/>
    <col min="2052" max="2052" width="11.42578125" customWidth="1"/>
    <col min="2053" max="2053" width="12.85546875" customWidth="1"/>
    <col min="2054" max="2054" width="13.42578125" customWidth="1"/>
    <col min="2055" max="2055" width="10.7109375" customWidth="1"/>
    <col min="2056" max="2056" width="7.85546875" customWidth="1"/>
    <col min="2057" max="2057" width="12.28515625" customWidth="1"/>
    <col min="2058" max="2059" width="10.140625" customWidth="1"/>
    <col min="2060" max="2060" width="9.5703125" customWidth="1"/>
    <col min="2061" max="2061" width="7.140625" customWidth="1"/>
    <col min="2062" max="2062" width="9.28515625" customWidth="1"/>
    <col min="2063" max="2063" width="10.42578125" customWidth="1"/>
    <col min="2064" max="2064" width="10.140625" customWidth="1"/>
    <col min="2065" max="2066" width="7.140625" customWidth="1"/>
    <col min="2067" max="2067" width="13.42578125" customWidth="1"/>
    <col min="2068" max="2068" width="12" customWidth="1"/>
    <col min="2069" max="2069" width="11.7109375" customWidth="1"/>
    <col min="2070" max="2070" width="9.42578125" customWidth="1"/>
    <col min="2071" max="2071" width="7.42578125" customWidth="1"/>
    <col min="2072" max="2073" width="11.7109375" customWidth="1"/>
    <col min="2074" max="2074" width="12.28515625" customWidth="1"/>
    <col min="2075" max="2075" width="9.42578125" customWidth="1"/>
    <col min="2076" max="2076" width="8.42578125" customWidth="1"/>
    <col min="2077" max="2077" width="10.85546875" customWidth="1"/>
    <col min="2078" max="2078" width="9.7109375" customWidth="1"/>
    <col min="2079" max="2079" width="11.42578125" customWidth="1"/>
    <col min="2080" max="2080" width="8.42578125" customWidth="1"/>
    <col min="2081" max="2081" width="10.28515625" customWidth="1"/>
    <col min="2082" max="2082" width="12.140625" customWidth="1"/>
    <col min="2083" max="2083" width="13.42578125" customWidth="1"/>
    <col min="2084" max="2084" width="12.140625" customWidth="1"/>
    <col min="2085" max="2085" width="9.42578125" customWidth="1"/>
    <col min="2086" max="2086" width="7.7109375" customWidth="1"/>
    <col min="2087" max="2087" width="10.7109375" customWidth="1"/>
    <col min="2088" max="2088" width="11" customWidth="1"/>
    <col min="2089" max="2089" width="12" customWidth="1"/>
    <col min="2090" max="2090" width="9.85546875" customWidth="1"/>
    <col min="2091" max="2091" width="7.7109375" customWidth="1"/>
    <col min="2092" max="2092" width="10.5703125" customWidth="1"/>
    <col min="2093" max="2093" width="12.42578125" customWidth="1"/>
    <col min="2094" max="2094" width="13.42578125" customWidth="1"/>
    <col min="2095" max="2095" width="9.42578125" customWidth="1"/>
    <col min="2096" max="2096" width="8.42578125" customWidth="1"/>
    <col min="2097" max="2100" width="10" customWidth="1"/>
    <col min="2101" max="2101" width="7.7109375" customWidth="1"/>
    <col min="2102" max="2104" width="11.28515625" customWidth="1"/>
    <col min="2105" max="2105" width="11.85546875" customWidth="1"/>
    <col min="2106" max="2106" width="9.28515625" bestFit="1" customWidth="1"/>
    <col min="2305" max="2305" width="26.140625" customWidth="1"/>
    <col min="2306" max="2306" width="7.42578125" customWidth="1"/>
    <col min="2307" max="2307" width="15.42578125" customWidth="1"/>
    <col min="2308" max="2308" width="11.42578125" customWidth="1"/>
    <col min="2309" max="2309" width="12.85546875" customWidth="1"/>
    <col min="2310" max="2310" width="13.42578125" customWidth="1"/>
    <col min="2311" max="2311" width="10.7109375" customWidth="1"/>
    <col min="2312" max="2312" width="7.85546875" customWidth="1"/>
    <col min="2313" max="2313" width="12.28515625" customWidth="1"/>
    <col min="2314" max="2315" width="10.140625" customWidth="1"/>
    <col min="2316" max="2316" width="9.5703125" customWidth="1"/>
    <col min="2317" max="2317" width="7.140625" customWidth="1"/>
    <col min="2318" max="2318" width="9.28515625" customWidth="1"/>
    <col min="2319" max="2319" width="10.42578125" customWidth="1"/>
    <col min="2320" max="2320" width="10.140625" customWidth="1"/>
    <col min="2321" max="2322" width="7.140625" customWidth="1"/>
    <col min="2323" max="2323" width="13.42578125" customWidth="1"/>
    <col min="2324" max="2324" width="12" customWidth="1"/>
    <col min="2325" max="2325" width="11.7109375" customWidth="1"/>
    <col min="2326" max="2326" width="9.42578125" customWidth="1"/>
    <col min="2327" max="2327" width="7.42578125" customWidth="1"/>
    <col min="2328" max="2329" width="11.7109375" customWidth="1"/>
    <col min="2330" max="2330" width="12.28515625" customWidth="1"/>
    <col min="2331" max="2331" width="9.42578125" customWidth="1"/>
    <col min="2332" max="2332" width="8.42578125" customWidth="1"/>
    <col min="2333" max="2333" width="10.85546875" customWidth="1"/>
    <col min="2334" max="2334" width="9.7109375" customWidth="1"/>
    <col min="2335" max="2335" width="11.42578125" customWidth="1"/>
    <col min="2336" max="2336" width="8.42578125" customWidth="1"/>
    <col min="2337" max="2337" width="10.28515625" customWidth="1"/>
    <col min="2338" max="2338" width="12.140625" customWidth="1"/>
    <col min="2339" max="2339" width="13.42578125" customWidth="1"/>
    <col min="2340" max="2340" width="12.140625" customWidth="1"/>
    <col min="2341" max="2341" width="9.42578125" customWidth="1"/>
    <col min="2342" max="2342" width="7.7109375" customWidth="1"/>
    <col min="2343" max="2343" width="10.7109375" customWidth="1"/>
    <col min="2344" max="2344" width="11" customWidth="1"/>
    <col min="2345" max="2345" width="12" customWidth="1"/>
    <col min="2346" max="2346" width="9.85546875" customWidth="1"/>
    <col min="2347" max="2347" width="7.7109375" customWidth="1"/>
    <col min="2348" max="2348" width="10.5703125" customWidth="1"/>
    <col min="2349" max="2349" width="12.42578125" customWidth="1"/>
    <col min="2350" max="2350" width="13.42578125" customWidth="1"/>
    <col min="2351" max="2351" width="9.42578125" customWidth="1"/>
    <col min="2352" max="2352" width="8.42578125" customWidth="1"/>
    <col min="2353" max="2356" width="10" customWidth="1"/>
    <col min="2357" max="2357" width="7.7109375" customWidth="1"/>
    <col min="2358" max="2360" width="11.28515625" customWidth="1"/>
    <col min="2361" max="2361" width="11.85546875" customWidth="1"/>
    <col min="2362" max="2362" width="9.28515625" bestFit="1" customWidth="1"/>
    <col min="2561" max="2561" width="26.140625" customWidth="1"/>
    <col min="2562" max="2562" width="7.42578125" customWidth="1"/>
    <col min="2563" max="2563" width="15.42578125" customWidth="1"/>
    <col min="2564" max="2564" width="11.42578125" customWidth="1"/>
    <col min="2565" max="2565" width="12.85546875" customWidth="1"/>
    <col min="2566" max="2566" width="13.42578125" customWidth="1"/>
    <col min="2567" max="2567" width="10.7109375" customWidth="1"/>
    <col min="2568" max="2568" width="7.85546875" customWidth="1"/>
    <col min="2569" max="2569" width="12.28515625" customWidth="1"/>
    <col min="2570" max="2571" width="10.140625" customWidth="1"/>
    <col min="2572" max="2572" width="9.5703125" customWidth="1"/>
    <col min="2573" max="2573" width="7.140625" customWidth="1"/>
    <col min="2574" max="2574" width="9.28515625" customWidth="1"/>
    <col min="2575" max="2575" width="10.42578125" customWidth="1"/>
    <col min="2576" max="2576" width="10.140625" customWidth="1"/>
    <col min="2577" max="2578" width="7.140625" customWidth="1"/>
    <col min="2579" max="2579" width="13.42578125" customWidth="1"/>
    <col min="2580" max="2580" width="12" customWidth="1"/>
    <col min="2581" max="2581" width="11.7109375" customWidth="1"/>
    <col min="2582" max="2582" width="9.42578125" customWidth="1"/>
    <col min="2583" max="2583" width="7.42578125" customWidth="1"/>
    <col min="2584" max="2585" width="11.7109375" customWidth="1"/>
    <col min="2586" max="2586" width="12.28515625" customWidth="1"/>
    <col min="2587" max="2587" width="9.42578125" customWidth="1"/>
    <col min="2588" max="2588" width="8.42578125" customWidth="1"/>
    <col min="2589" max="2589" width="10.85546875" customWidth="1"/>
    <col min="2590" max="2590" width="9.7109375" customWidth="1"/>
    <col min="2591" max="2591" width="11.42578125" customWidth="1"/>
    <col min="2592" max="2592" width="8.42578125" customWidth="1"/>
    <col min="2593" max="2593" width="10.28515625" customWidth="1"/>
    <col min="2594" max="2594" width="12.140625" customWidth="1"/>
    <col min="2595" max="2595" width="13.42578125" customWidth="1"/>
    <col min="2596" max="2596" width="12.140625" customWidth="1"/>
    <col min="2597" max="2597" width="9.42578125" customWidth="1"/>
    <col min="2598" max="2598" width="7.7109375" customWidth="1"/>
    <col min="2599" max="2599" width="10.7109375" customWidth="1"/>
    <col min="2600" max="2600" width="11" customWidth="1"/>
    <col min="2601" max="2601" width="12" customWidth="1"/>
    <col min="2602" max="2602" width="9.85546875" customWidth="1"/>
    <col min="2603" max="2603" width="7.7109375" customWidth="1"/>
    <col min="2604" max="2604" width="10.5703125" customWidth="1"/>
    <col min="2605" max="2605" width="12.42578125" customWidth="1"/>
    <col min="2606" max="2606" width="13.42578125" customWidth="1"/>
    <col min="2607" max="2607" width="9.42578125" customWidth="1"/>
    <col min="2608" max="2608" width="8.42578125" customWidth="1"/>
    <col min="2609" max="2612" width="10" customWidth="1"/>
    <col min="2613" max="2613" width="7.7109375" customWidth="1"/>
    <col min="2614" max="2616" width="11.28515625" customWidth="1"/>
    <col min="2617" max="2617" width="11.85546875" customWidth="1"/>
    <col min="2618" max="2618" width="9.28515625" bestFit="1" customWidth="1"/>
    <col min="2817" max="2817" width="26.140625" customWidth="1"/>
    <col min="2818" max="2818" width="7.42578125" customWidth="1"/>
    <col min="2819" max="2819" width="15.42578125" customWidth="1"/>
    <col min="2820" max="2820" width="11.42578125" customWidth="1"/>
    <col min="2821" max="2821" width="12.85546875" customWidth="1"/>
    <col min="2822" max="2822" width="13.42578125" customWidth="1"/>
    <col min="2823" max="2823" width="10.7109375" customWidth="1"/>
    <col min="2824" max="2824" width="7.85546875" customWidth="1"/>
    <col min="2825" max="2825" width="12.28515625" customWidth="1"/>
    <col min="2826" max="2827" width="10.140625" customWidth="1"/>
    <col min="2828" max="2828" width="9.5703125" customWidth="1"/>
    <col min="2829" max="2829" width="7.140625" customWidth="1"/>
    <col min="2830" max="2830" width="9.28515625" customWidth="1"/>
    <col min="2831" max="2831" width="10.42578125" customWidth="1"/>
    <col min="2832" max="2832" width="10.140625" customWidth="1"/>
    <col min="2833" max="2834" width="7.140625" customWidth="1"/>
    <col min="2835" max="2835" width="13.42578125" customWidth="1"/>
    <col min="2836" max="2836" width="12" customWidth="1"/>
    <col min="2837" max="2837" width="11.7109375" customWidth="1"/>
    <col min="2838" max="2838" width="9.42578125" customWidth="1"/>
    <col min="2839" max="2839" width="7.42578125" customWidth="1"/>
    <col min="2840" max="2841" width="11.7109375" customWidth="1"/>
    <col min="2842" max="2842" width="12.28515625" customWidth="1"/>
    <col min="2843" max="2843" width="9.42578125" customWidth="1"/>
    <col min="2844" max="2844" width="8.42578125" customWidth="1"/>
    <col min="2845" max="2845" width="10.85546875" customWidth="1"/>
    <col min="2846" max="2846" width="9.7109375" customWidth="1"/>
    <col min="2847" max="2847" width="11.42578125" customWidth="1"/>
    <col min="2848" max="2848" width="8.42578125" customWidth="1"/>
    <col min="2849" max="2849" width="10.28515625" customWidth="1"/>
    <col min="2850" max="2850" width="12.140625" customWidth="1"/>
    <col min="2851" max="2851" width="13.42578125" customWidth="1"/>
    <col min="2852" max="2852" width="12.140625" customWidth="1"/>
    <col min="2853" max="2853" width="9.42578125" customWidth="1"/>
    <col min="2854" max="2854" width="7.7109375" customWidth="1"/>
    <col min="2855" max="2855" width="10.7109375" customWidth="1"/>
    <col min="2856" max="2856" width="11" customWidth="1"/>
    <col min="2857" max="2857" width="12" customWidth="1"/>
    <col min="2858" max="2858" width="9.85546875" customWidth="1"/>
    <col min="2859" max="2859" width="7.7109375" customWidth="1"/>
    <col min="2860" max="2860" width="10.5703125" customWidth="1"/>
    <col min="2861" max="2861" width="12.42578125" customWidth="1"/>
    <col min="2862" max="2862" width="13.42578125" customWidth="1"/>
    <col min="2863" max="2863" width="9.42578125" customWidth="1"/>
    <col min="2864" max="2864" width="8.42578125" customWidth="1"/>
    <col min="2865" max="2868" width="10" customWidth="1"/>
    <col min="2869" max="2869" width="7.7109375" customWidth="1"/>
    <col min="2870" max="2872" width="11.28515625" customWidth="1"/>
    <col min="2873" max="2873" width="11.85546875" customWidth="1"/>
    <col min="2874" max="2874" width="9.28515625" bestFit="1" customWidth="1"/>
    <col min="3073" max="3073" width="26.140625" customWidth="1"/>
    <col min="3074" max="3074" width="7.42578125" customWidth="1"/>
    <col min="3075" max="3075" width="15.42578125" customWidth="1"/>
    <col min="3076" max="3076" width="11.42578125" customWidth="1"/>
    <col min="3077" max="3077" width="12.85546875" customWidth="1"/>
    <col min="3078" max="3078" width="13.42578125" customWidth="1"/>
    <col min="3079" max="3079" width="10.7109375" customWidth="1"/>
    <col min="3080" max="3080" width="7.85546875" customWidth="1"/>
    <col min="3081" max="3081" width="12.28515625" customWidth="1"/>
    <col min="3082" max="3083" width="10.140625" customWidth="1"/>
    <col min="3084" max="3084" width="9.5703125" customWidth="1"/>
    <col min="3085" max="3085" width="7.140625" customWidth="1"/>
    <col min="3086" max="3086" width="9.28515625" customWidth="1"/>
    <col min="3087" max="3087" width="10.42578125" customWidth="1"/>
    <col min="3088" max="3088" width="10.140625" customWidth="1"/>
    <col min="3089" max="3090" width="7.140625" customWidth="1"/>
    <col min="3091" max="3091" width="13.42578125" customWidth="1"/>
    <col min="3092" max="3092" width="12" customWidth="1"/>
    <col min="3093" max="3093" width="11.7109375" customWidth="1"/>
    <col min="3094" max="3094" width="9.42578125" customWidth="1"/>
    <col min="3095" max="3095" width="7.42578125" customWidth="1"/>
    <col min="3096" max="3097" width="11.7109375" customWidth="1"/>
    <col min="3098" max="3098" width="12.28515625" customWidth="1"/>
    <col min="3099" max="3099" width="9.42578125" customWidth="1"/>
    <col min="3100" max="3100" width="8.42578125" customWidth="1"/>
    <col min="3101" max="3101" width="10.85546875" customWidth="1"/>
    <col min="3102" max="3102" width="9.7109375" customWidth="1"/>
    <col min="3103" max="3103" width="11.42578125" customWidth="1"/>
    <col min="3104" max="3104" width="8.42578125" customWidth="1"/>
    <col min="3105" max="3105" width="10.28515625" customWidth="1"/>
    <col min="3106" max="3106" width="12.140625" customWidth="1"/>
    <col min="3107" max="3107" width="13.42578125" customWidth="1"/>
    <col min="3108" max="3108" width="12.140625" customWidth="1"/>
    <col min="3109" max="3109" width="9.42578125" customWidth="1"/>
    <col min="3110" max="3110" width="7.7109375" customWidth="1"/>
    <col min="3111" max="3111" width="10.7109375" customWidth="1"/>
    <col min="3112" max="3112" width="11" customWidth="1"/>
    <col min="3113" max="3113" width="12" customWidth="1"/>
    <col min="3114" max="3114" width="9.85546875" customWidth="1"/>
    <col min="3115" max="3115" width="7.7109375" customWidth="1"/>
    <col min="3116" max="3116" width="10.5703125" customWidth="1"/>
    <col min="3117" max="3117" width="12.42578125" customWidth="1"/>
    <col min="3118" max="3118" width="13.42578125" customWidth="1"/>
    <col min="3119" max="3119" width="9.42578125" customWidth="1"/>
    <col min="3120" max="3120" width="8.42578125" customWidth="1"/>
    <col min="3121" max="3124" width="10" customWidth="1"/>
    <col min="3125" max="3125" width="7.7109375" customWidth="1"/>
    <col min="3126" max="3128" width="11.28515625" customWidth="1"/>
    <col min="3129" max="3129" width="11.85546875" customWidth="1"/>
    <col min="3130" max="3130" width="9.28515625" bestFit="1" customWidth="1"/>
    <col min="3329" max="3329" width="26.140625" customWidth="1"/>
    <col min="3330" max="3330" width="7.42578125" customWidth="1"/>
    <col min="3331" max="3331" width="15.42578125" customWidth="1"/>
    <col min="3332" max="3332" width="11.42578125" customWidth="1"/>
    <col min="3333" max="3333" width="12.85546875" customWidth="1"/>
    <col min="3334" max="3334" width="13.42578125" customWidth="1"/>
    <col min="3335" max="3335" width="10.7109375" customWidth="1"/>
    <col min="3336" max="3336" width="7.85546875" customWidth="1"/>
    <col min="3337" max="3337" width="12.28515625" customWidth="1"/>
    <col min="3338" max="3339" width="10.140625" customWidth="1"/>
    <col min="3340" max="3340" width="9.5703125" customWidth="1"/>
    <col min="3341" max="3341" width="7.140625" customWidth="1"/>
    <col min="3342" max="3342" width="9.28515625" customWidth="1"/>
    <col min="3343" max="3343" width="10.42578125" customWidth="1"/>
    <col min="3344" max="3344" width="10.140625" customWidth="1"/>
    <col min="3345" max="3346" width="7.140625" customWidth="1"/>
    <col min="3347" max="3347" width="13.42578125" customWidth="1"/>
    <col min="3348" max="3348" width="12" customWidth="1"/>
    <col min="3349" max="3349" width="11.7109375" customWidth="1"/>
    <col min="3350" max="3350" width="9.42578125" customWidth="1"/>
    <col min="3351" max="3351" width="7.42578125" customWidth="1"/>
    <col min="3352" max="3353" width="11.7109375" customWidth="1"/>
    <col min="3354" max="3354" width="12.28515625" customWidth="1"/>
    <col min="3355" max="3355" width="9.42578125" customWidth="1"/>
    <col min="3356" max="3356" width="8.42578125" customWidth="1"/>
    <col min="3357" max="3357" width="10.85546875" customWidth="1"/>
    <col min="3358" max="3358" width="9.7109375" customWidth="1"/>
    <col min="3359" max="3359" width="11.42578125" customWidth="1"/>
    <col min="3360" max="3360" width="8.42578125" customWidth="1"/>
    <col min="3361" max="3361" width="10.28515625" customWidth="1"/>
    <col min="3362" max="3362" width="12.140625" customWidth="1"/>
    <col min="3363" max="3363" width="13.42578125" customWidth="1"/>
    <col min="3364" max="3364" width="12.140625" customWidth="1"/>
    <col min="3365" max="3365" width="9.42578125" customWidth="1"/>
    <col min="3366" max="3366" width="7.7109375" customWidth="1"/>
    <col min="3367" max="3367" width="10.7109375" customWidth="1"/>
    <col min="3368" max="3368" width="11" customWidth="1"/>
    <col min="3369" max="3369" width="12" customWidth="1"/>
    <col min="3370" max="3370" width="9.85546875" customWidth="1"/>
    <col min="3371" max="3371" width="7.7109375" customWidth="1"/>
    <col min="3372" max="3372" width="10.5703125" customWidth="1"/>
    <col min="3373" max="3373" width="12.42578125" customWidth="1"/>
    <col min="3374" max="3374" width="13.42578125" customWidth="1"/>
    <col min="3375" max="3375" width="9.42578125" customWidth="1"/>
    <col min="3376" max="3376" width="8.42578125" customWidth="1"/>
    <col min="3377" max="3380" width="10" customWidth="1"/>
    <col min="3381" max="3381" width="7.7109375" customWidth="1"/>
    <col min="3382" max="3384" width="11.28515625" customWidth="1"/>
    <col min="3385" max="3385" width="11.85546875" customWidth="1"/>
    <col min="3386" max="3386" width="9.28515625" bestFit="1" customWidth="1"/>
    <col min="3585" max="3585" width="26.140625" customWidth="1"/>
    <col min="3586" max="3586" width="7.42578125" customWidth="1"/>
    <col min="3587" max="3587" width="15.42578125" customWidth="1"/>
    <col min="3588" max="3588" width="11.42578125" customWidth="1"/>
    <col min="3589" max="3589" width="12.85546875" customWidth="1"/>
    <col min="3590" max="3590" width="13.42578125" customWidth="1"/>
    <col min="3591" max="3591" width="10.7109375" customWidth="1"/>
    <col min="3592" max="3592" width="7.85546875" customWidth="1"/>
    <col min="3593" max="3593" width="12.28515625" customWidth="1"/>
    <col min="3594" max="3595" width="10.140625" customWidth="1"/>
    <col min="3596" max="3596" width="9.5703125" customWidth="1"/>
    <col min="3597" max="3597" width="7.140625" customWidth="1"/>
    <col min="3598" max="3598" width="9.28515625" customWidth="1"/>
    <col min="3599" max="3599" width="10.42578125" customWidth="1"/>
    <col min="3600" max="3600" width="10.140625" customWidth="1"/>
    <col min="3601" max="3602" width="7.140625" customWidth="1"/>
    <col min="3603" max="3603" width="13.42578125" customWidth="1"/>
    <col min="3604" max="3604" width="12" customWidth="1"/>
    <col min="3605" max="3605" width="11.7109375" customWidth="1"/>
    <col min="3606" max="3606" width="9.42578125" customWidth="1"/>
    <col min="3607" max="3607" width="7.42578125" customWidth="1"/>
    <col min="3608" max="3609" width="11.7109375" customWidth="1"/>
    <col min="3610" max="3610" width="12.28515625" customWidth="1"/>
    <col min="3611" max="3611" width="9.42578125" customWidth="1"/>
    <col min="3612" max="3612" width="8.42578125" customWidth="1"/>
    <col min="3613" max="3613" width="10.85546875" customWidth="1"/>
    <col min="3614" max="3614" width="9.7109375" customWidth="1"/>
    <col min="3615" max="3615" width="11.42578125" customWidth="1"/>
    <col min="3616" max="3616" width="8.42578125" customWidth="1"/>
    <col min="3617" max="3617" width="10.28515625" customWidth="1"/>
    <col min="3618" max="3618" width="12.140625" customWidth="1"/>
    <col min="3619" max="3619" width="13.42578125" customWidth="1"/>
    <col min="3620" max="3620" width="12.140625" customWidth="1"/>
    <col min="3621" max="3621" width="9.42578125" customWidth="1"/>
    <col min="3622" max="3622" width="7.7109375" customWidth="1"/>
    <col min="3623" max="3623" width="10.7109375" customWidth="1"/>
    <col min="3624" max="3624" width="11" customWidth="1"/>
    <col min="3625" max="3625" width="12" customWidth="1"/>
    <col min="3626" max="3626" width="9.85546875" customWidth="1"/>
    <col min="3627" max="3627" width="7.7109375" customWidth="1"/>
    <col min="3628" max="3628" width="10.5703125" customWidth="1"/>
    <col min="3629" max="3629" width="12.42578125" customWidth="1"/>
    <col min="3630" max="3630" width="13.42578125" customWidth="1"/>
    <col min="3631" max="3631" width="9.42578125" customWidth="1"/>
    <col min="3632" max="3632" width="8.42578125" customWidth="1"/>
    <col min="3633" max="3636" width="10" customWidth="1"/>
    <col min="3637" max="3637" width="7.7109375" customWidth="1"/>
    <col min="3638" max="3640" width="11.28515625" customWidth="1"/>
    <col min="3641" max="3641" width="11.85546875" customWidth="1"/>
    <col min="3642" max="3642" width="9.28515625" bestFit="1" customWidth="1"/>
    <col min="3841" max="3841" width="26.140625" customWidth="1"/>
    <col min="3842" max="3842" width="7.42578125" customWidth="1"/>
    <col min="3843" max="3843" width="15.42578125" customWidth="1"/>
    <col min="3844" max="3844" width="11.42578125" customWidth="1"/>
    <col min="3845" max="3845" width="12.85546875" customWidth="1"/>
    <col min="3846" max="3846" width="13.42578125" customWidth="1"/>
    <col min="3847" max="3847" width="10.7109375" customWidth="1"/>
    <col min="3848" max="3848" width="7.85546875" customWidth="1"/>
    <col min="3849" max="3849" width="12.28515625" customWidth="1"/>
    <col min="3850" max="3851" width="10.140625" customWidth="1"/>
    <col min="3852" max="3852" width="9.5703125" customWidth="1"/>
    <col min="3853" max="3853" width="7.140625" customWidth="1"/>
    <col min="3854" max="3854" width="9.28515625" customWidth="1"/>
    <col min="3855" max="3855" width="10.42578125" customWidth="1"/>
    <col min="3856" max="3856" width="10.140625" customWidth="1"/>
    <col min="3857" max="3858" width="7.140625" customWidth="1"/>
    <col min="3859" max="3859" width="13.42578125" customWidth="1"/>
    <col min="3860" max="3860" width="12" customWidth="1"/>
    <col min="3861" max="3861" width="11.7109375" customWidth="1"/>
    <col min="3862" max="3862" width="9.42578125" customWidth="1"/>
    <col min="3863" max="3863" width="7.42578125" customWidth="1"/>
    <col min="3864" max="3865" width="11.7109375" customWidth="1"/>
    <col min="3866" max="3866" width="12.28515625" customWidth="1"/>
    <col min="3867" max="3867" width="9.42578125" customWidth="1"/>
    <col min="3868" max="3868" width="8.42578125" customWidth="1"/>
    <col min="3869" max="3869" width="10.85546875" customWidth="1"/>
    <col min="3870" max="3870" width="9.7109375" customWidth="1"/>
    <col min="3871" max="3871" width="11.42578125" customWidth="1"/>
    <col min="3872" max="3872" width="8.42578125" customWidth="1"/>
    <col min="3873" max="3873" width="10.28515625" customWidth="1"/>
    <col min="3874" max="3874" width="12.140625" customWidth="1"/>
    <col min="3875" max="3875" width="13.42578125" customWidth="1"/>
    <col min="3876" max="3876" width="12.140625" customWidth="1"/>
    <col min="3877" max="3877" width="9.42578125" customWidth="1"/>
    <col min="3878" max="3878" width="7.7109375" customWidth="1"/>
    <col min="3879" max="3879" width="10.7109375" customWidth="1"/>
    <col min="3880" max="3880" width="11" customWidth="1"/>
    <col min="3881" max="3881" width="12" customWidth="1"/>
    <col min="3882" max="3882" width="9.85546875" customWidth="1"/>
    <col min="3883" max="3883" width="7.7109375" customWidth="1"/>
    <col min="3884" max="3884" width="10.5703125" customWidth="1"/>
    <col min="3885" max="3885" width="12.42578125" customWidth="1"/>
    <col min="3886" max="3886" width="13.42578125" customWidth="1"/>
    <col min="3887" max="3887" width="9.42578125" customWidth="1"/>
    <col min="3888" max="3888" width="8.42578125" customWidth="1"/>
    <col min="3889" max="3892" width="10" customWidth="1"/>
    <col min="3893" max="3893" width="7.7109375" customWidth="1"/>
    <col min="3894" max="3896" width="11.28515625" customWidth="1"/>
    <col min="3897" max="3897" width="11.85546875" customWidth="1"/>
    <col min="3898" max="3898" width="9.28515625" bestFit="1" customWidth="1"/>
    <col min="4097" max="4097" width="26.140625" customWidth="1"/>
    <col min="4098" max="4098" width="7.42578125" customWidth="1"/>
    <col min="4099" max="4099" width="15.42578125" customWidth="1"/>
    <col min="4100" max="4100" width="11.42578125" customWidth="1"/>
    <col min="4101" max="4101" width="12.85546875" customWidth="1"/>
    <col min="4102" max="4102" width="13.42578125" customWidth="1"/>
    <col min="4103" max="4103" width="10.7109375" customWidth="1"/>
    <col min="4104" max="4104" width="7.85546875" customWidth="1"/>
    <col min="4105" max="4105" width="12.28515625" customWidth="1"/>
    <col min="4106" max="4107" width="10.140625" customWidth="1"/>
    <col min="4108" max="4108" width="9.5703125" customWidth="1"/>
    <col min="4109" max="4109" width="7.140625" customWidth="1"/>
    <col min="4110" max="4110" width="9.28515625" customWidth="1"/>
    <col min="4111" max="4111" width="10.42578125" customWidth="1"/>
    <col min="4112" max="4112" width="10.140625" customWidth="1"/>
    <col min="4113" max="4114" width="7.140625" customWidth="1"/>
    <col min="4115" max="4115" width="13.42578125" customWidth="1"/>
    <col min="4116" max="4116" width="12" customWidth="1"/>
    <col min="4117" max="4117" width="11.7109375" customWidth="1"/>
    <col min="4118" max="4118" width="9.42578125" customWidth="1"/>
    <col min="4119" max="4119" width="7.42578125" customWidth="1"/>
    <col min="4120" max="4121" width="11.7109375" customWidth="1"/>
    <col min="4122" max="4122" width="12.28515625" customWidth="1"/>
    <col min="4123" max="4123" width="9.42578125" customWidth="1"/>
    <col min="4124" max="4124" width="8.42578125" customWidth="1"/>
    <col min="4125" max="4125" width="10.85546875" customWidth="1"/>
    <col min="4126" max="4126" width="9.7109375" customWidth="1"/>
    <col min="4127" max="4127" width="11.42578125" customWidth="1"/>
    <col min="4128" max="4128" width="8.42578125" customWidth="1"/>
    <col min="4129" max="4129" width="10.28515625" customWidth="1"/>
    <col min="4130" max="4130" width="12.140625" customWidth="1"/>
    <col min="4131" max="4131" width="13.42578125" customWidth="1"/>
    <col min="4132" max="4132" width="12.140625" customWidth="1"/>
    <col min="4133" max="4133" width="9.42578125" customWidth="1"/>
    <col min="4134" max="4134" width="7.7109375" customWidth="1"/>
    <col min="4135" max="4135" width="10.7109375" customWidth="1"/>
    <col min="4136" max="4136" width="11" customWidth="1"/>
    <col min="4137" max="4137" width="12" customWidth="1"/>
    <col min="4138" max="4138" width="9.85546875" customWidth="1"/>
    <col min="4139" max="4139" width="7.7109375" customWidth="1"/>
    <col min="4140" max="4140" width="10.5703125" customWidth="1"/>
    <col min="4141" max="4141" width="12.42578125" customWidth="1"/>
    <col min="4142" max="4142" width="13.42578125" customWidth="1"/>
    <col min="4143" max="4143" width="9.42578125" customWidth="1"/>
    <col min="4144" max="4144" width="8.42578125" customWidth="1"/>
    <col min="4145" max="4148" width="10" customWidth="1"/>
    <col min="4149" max="4149" width="7.7109375" customWidth="1"/>
    <col min="4150" max="4152" width="11.28515625" customWidth="1"/>
    <col min="4153" max="4153" width="11.85546875" customWidth="1"/>
    <col min="4154" max="4154" width="9.28515625" bestFit="1" customWidth="1"/>
    <col min="4353" max="4353" width="26.140625" customWidth="1"/>
    <col min="4354" max="4354" width="7.42578125" customWidth="1"/>
    <col min="4355" max="4355" width="15.42578125" customWidth="1"/>
    <col min="4356" max="4356" width="11.42578125" customWidth="1"/>
    <col min="4357" max="4357" width="12.85546875" customWidth="1"/>
    <col min="4358" max="4358" width="13.42578125" customWidth="1"/>
    <col min="4359" max="4359" width="10.7109375" customWidth="1"/>
    <col min="4360" max="4360" width="7.85546875" customWidth="1"/>
    <col min="4361" max="4361" width="12.28515625" customWidth="1"/>
    <col min="4362" max="4363" width="10.140625" customWidth="1"/>
    <col min="4364" max="4364" width="9.5703125" customWidth="1"/>
    <col min="4365" max="4365" width="7.140625" customWidth="1"/>
    <col min="4366" max="4366" width="9.28515625" customWidth="1"/>
    <col min="4367" max="4367" width="10.42578125" customWidth="1"/>
    <col min="4368" max="4368" width="10.140625" customWidth="1"/>
    <col min="4369" max="4370" width="7.140625" customWidth="1"/>
    <col min="4371" max="4371" width="13.42578125" customWidth="1"/>
    <col min="4372" max="4372" width="12" customWidth="1"/>
    <col min="4373" max="4373" width="11.7109375" customWidth="1"/>
    <col min="4374" max="4374" width="9.42578125" customWidth="1"/>
    <col min="4375" max="4375" width="7.42578125" customWidth="1"/>
    <col min="4376" max="4377" width="11.7109375" customWidth="1"/>
    <col min="4378" max="4378" width="12.28515625" customWidth="1"/>
    <col min="4379" max="4379" width="9.42578125" customWidth="1"/>
    <col min="4380" max="4380" width="8.42578125" customWidth="1"/>
    <col min="4381" max="4381" width="10.85546875" customWidth="1"/>
    <col min="4382" max="4382" width="9.7109375" customWidth="1"/>
    <col min="4383" max="4383" width="11.42578125" customWidth="1"/>
    <col min="4384" max="4384" width="8.42578125" customWidth="1"/>
    <col min="4385" max="4385" width="10.28515625" customWidth="1"/>
    <col min="4386" max="4386" width="12.140625" customWidth="1"/>
    <col min="4387" max="4387" width="13.42578125" customWidth="1"/>
    <col min="4388" max="4388" width="12.140625" customWidth="1"/>
    <col min="4389" max="4389" width="9.42578125" customWidth="1"/>
    <col min="4390" max="4390" width="7.7109375" customWidth="1"/>
    <col min="4391" max="4391" width="10.7109375" customWidth="1"/>
    <col min="4392" max="4392" width="11" customWidth="1"/>
    <col min="4393" max="4393" width="12" customWidth="1"/>
    <col min="4394" max="4394" width="9.85546875" customWidth="1"/>
    <col min="4395" max="4395" width="7.7109375" customWidth="1"/>
    <col min="4396" max="4396" width="10.5703125" customWidth="1"/>
    <col min="4397" max="4397" width="12.42578125" customWidth="1"/>
    <col min="4398" max="4398" width="13.42578125" customWidth="1"/>
    <col min="4399" max="4399" width="9.42578125" customWidth="1"/>
    <col min="4400" max="4400" width="8.42578125" customWidth="1"/>
    <col min="4401" max="4404" width="10" customWidth="1"/>
    <col min="4405" max="4405" width="7.7109375" customWidth="1"/>
    <col min="4406" max="4408" width="11.28515625" customWidth="1"/>
    <col min="4409" max="4409" width="11.85546875" customWidth="1"/>
    <col min="4410" max="4410" width="9.28515625" bestFit="1" customWidth="1"/>
    <col min="4609" max="4609" width="26.140625" customWidth="1"/>
    <col min="4610" max="4610" width="7.42578125" customWidth="1"/>
    <col min="4611" max="4611" width="15.42578125" customWidth="1"/>
    <col min="4612" max="4612" width="11.42578125" customWidth="1"/>
    <col min="4613" max="4613" width="12.85546875" customWidth="1"/>
    <col min="4614" max="4614" width="13.42578125" customWidth="1"/>
    <col min="4615" max="4615" width="10.7109375" customWidth="1"/>
    <col min="4616" max="4616" width="7.85546875" customWidth="1"/>
    <col min="4617" max="4617" width="12.28515625" customWidth="1"/>
    <col min="4618" max="4619" width="10.140625" customWidth="1"/>
    <col min="4620" max="4620" width="9.5703125" customWidth="1"/>
    <col min="4621" max="4621" width="7.140625" customWidth="1"/>
    <col min="4622" max="4622" width="9.28515625" customWidth="1"/>
    <col min="4623" max="4623" width="10.42578125" customWidth="1"/>
    <col min="4624" max="4624" width="10.140625" customWidth="1"/>
    <col min="4625" max="4626" width="7.140625" customWidth="1"/>
    <col min="4627" max="4627" width="13.42578125" customWidth="1"/>
    <col min="4628" max="4628" width="12" customWidth="1"/>
    <col min="4629" max="4629" width="11.7109375" customWidth="1"/>
    <col min="4630" max="4630" width="9.42578125" customWidth="1"/>
    <col min="4631" max="4631" width="7.42578125" customWidth="1"/>
    <col min="4632" max="4633" width="11.7109375" customWidth="1"/>
    <col min="4634" max="4634" width="12.28515625" customWidth="1"/>
    <col min="4635" max="4635" width="9.42578125" customWidth="1"/>
    <col min="4636" max="4636" width="8.42578125" customWidth="1"/>
    <col min="4637" max="4637" width="10.85546875" customWidth="1"/>
    <col min="4638" max="4638" width="9.7109375" customWidth="1"/>
    <col min="4639" max="4639" width="11.42578125" customWidth="1"/>
    <col min="4640" max="4640" width="8.42578125" customWidth="1"/>
    <col min="4641" max="4641" width="10.28515625" customWidth="1"/>
    <col min="4642" max="4642" width="12.140625" customWidth="1"/>
    <col min="4643" max="4643" width="13.42578125" customWidth="1"/>
    <col min="4644" max="4644" width="12.140625" customWidth="1"/>
    <col min="4645" max="4645" width="9.42578125" customWidth="1"/>
    <col min="4646" max="4646" width="7.7109375" customWidth="1"/>
    <col min="4647" max="4647" width="10.7109375" customWidth="1"/>
    <col min="4648" max="4648" width="11" customWidth="1"/>
    <col min="4649" max="4649" width="12" customWidth="1"/>
    <col min="4650" max="4650" width="9.85546875" customWidth="1"/>
    <col min="4651" max="4651" width="7.7109375" customWidth="1"/>
    <col min="4652" max="4652" width="10.5703125" customWidth="1"/>
    <col min="4653" max="4653" width="12.42578125" customWidth="1"/>
    <col min="4654" max="4654" width="13.42578125" customWidth="1"/>
    <col min="4655" max="4655" width="9.42578125" customWidth="1"/>
    <col min="4656" max="4656" width="8.42578125" customWidth="1"/>
    <col min="4657" max="4660" width="10" customWidth="1"/>
    <col min="4661" max="4661" width="7.7109375" customWidth="1"/>
    <col min="4662" max="4664" width="11.28515625" customWidth="1"/>
    <col min="4665" max="4665" width="11.85546875" customWidth="1"/>
    <col min="4666" max="4666" width="9.28515625" bestFit="1" customWidth="1"/>
    <col min="4865" max="4865" width="26.140625" customWidth="1"/>
    <col min="4866" max="4866" width="7.42578125" customWidth="1"/>
    <col min="4867" max="4867" width="15.42578125" customWidth="1"/>
    <col min="4868" max="4868" width="11.42578125" customWidth="1"/>
    <col min="4869" max="4869" width="12.85546875" customWidth="1"/>
    <col min="4870" max="4870" width="13.42578125" customWidth="1"/>
    <col min="4871" max="4871" width="10.7109375" customWidth="1"/>
    <col min="4872" max="4872" width="7.85546875" customWidth="1"/>
    <col min="4873" max="4873" width="12.28515625" customWidth="1"/>
    <col min="4874" max="4875" width="10.140625" customWidth="1"/>
    <col min="4876" max="4876" width="9.5703125" customWidth="1"/>
    <col min="4877" max="4877" width="7.140625" customWidth="1"/>
    <col min="4878" max="4878" width="9.28515625" customWidth="1"/>
    <col min="4879" max="4879" width="10.42578125" customWidth="1"/>
    <col min="4880" max="4880" width="10.140625" customWidth="1"/>
    <col min="4881" max="4882" width="7.140625" customWidth="1"/>
    <col min="4883" max="4883" width="13.42578125" customWidth="1"/>
    <col min="4884" max="4884" width="12" customWidth="1"/>
    <col min="4885" max="4885" width="11.7109375" customWidth="1"/>
    <col min="4886" max="4886" width="9.42578125" customWidth="1"/>
    <col min="4887" max="4887" width="7.42578125" customWidth="1"/>
    <col min="4888" max="4889" width="11.7109375" customWidth="1"/>
    <col min="4890" max="4890" width="12.28515625" customWidth="1"/>
    <col min="4891" max="4891" width="9.42578125" customWidth="1"/>
    <col min="4892" max="4892" width="8.42578125" customWidth="1"/>
    <col min="4893" max="4893" width="10.85546875" customWidth="1"/>
    <col min="4894" max="4894" width="9.7109375" customWidth="1"/>
    <col min="4895" max="4895" width="11.42578125" customWidth="1"/>
    <col min="4896" max="4896" width="8.42578125" customWidth="1"/>
    <col min="4897" max="4897" width="10.28515625" customWidth="1"/>
    <col min="4898" max="4898" width="12.140625" customWidth="1"/>
    <col min="4899" max="4899" width="13.42578125" customWidth="1"/>
    <col min="4900" max="4900" width="12.140625" customWidth="1"/>
    <col min="4901" max="4901" width="9.42578125" customWidth="1"/>
    <col min="4902" max="4902" width="7.7109375" customWidth="1"/>
    <col min="4903" max="4903" width="10.7109375" customWidth="1"/>
    <col min="4904" max="4904" width="11" customWidth="1"/>
    <col min="4905" max="4905" width="12" customWidth="1"/>
    <col min="4906" max="4906" width="9.85546875" customWidth="1"/>
    <col min="4907" max="4907" width="7.7109375" customWidth="1"/>
    <col min="4908" max="4908" width="10.5703125" customWidth="1"/>
    <col min="4909" max="4909" width="12.42578125" customWidth="1"/>
    <col min="4910" max="4910" width="13.42578125" customWidth="1"/>
    <col min="4911" max="4911" width="9.42578125" customWidth="1"/>
    <col min="4912" max="4912" width="8.42578125" customWidth="1"/>
    <col min="4913" max="4916" width="10" customWidth="1"/>
    <col min="4917" max="4917" width="7.7109375" customWidth="1"/>
    <col min="4918" max="4920" width="11.28515625" customWidth="1"/>
    <col min="4921" max="4921" width="11.85546875" customWidth="1"/>
    <col min="4922" max="4922" width="9.28515625" bestFit="1" customWidth="1"/>
    <col min="5121" max="5121" width="26.140625" customWidth="1"/>
    <col min="5122" max="5122" width="7.42578125" customWidth="1"/>
    <col min="5123" max="5123" width="15.42578125" customWidth="1"/>
    <col min="5124" max="5124" width="11.42578125" customWidth="1"/>
    <col min="5125" max="5125" width="12.85546875" customWidth="1"/>
    <col min="5126" max="5126" width="13.42578125" customWidth="1"/>
    <col min="5127" max="5127" width="10.7109375" customWidth="1"/>
    <col min="5128" max="5128" width="7.85546875" customWidth="1"/>
    <col min="5129" max="5129" width="12.28515625" customWidth="1"/>
    <col min="5130" max="5131" width="10.140625" customWidth="1"/>
    <col min="5132" max="5132" width="9.5703125" customWidth="1"/>
    <col min="5133" max="5133" width="7.140625" customWidth="1"/>
    <col min="5134" max="5134" width="9.28515625" customWidth="1"/>
    <col min="5135" max="5135" width="10.42578125" customWidth="1"/>
    <col min="5136" max="5136" width="10.140625" customWidth="1"/>
    <col min="5137" max="5138" width="7.140625" customWidth="1"/>
    <col min="5139" max="5139" width="13.42578125" customWidth="1"/>
    <col min="5140" max="5140" width="12" customWidth="1"/>
    <col min="5141" max="5141" width="11.7109375" customWidth="1"/>
    <col min="5142" max="5142" width="9.42578125" customWidth="1"/>
    <col min="5143" max="5143" width="7.42578125" customWidth="1"/>
    <col min="5144" max="5145" width="11.7109375" customWidth="1"/>
    <col min="5146" max="5146" width="12.28515625" customWidth="1"/>
    <col min="5147" max="5147" width="9.42578125" customWidth="1"/>
    <col min="5148" max="5148" width="8.42578125" customWidth="1"/>
    <col min="5149" max="5149" width="10.85546875" customWidth="1"/>
    <col min="5150" max="5150" width="9.7109375" customWidth="1"/>
    <col min="5151" max="5151" width="11.42578125" customWidth="1"/>
    <col min="5152" max="5152" width="8.42578125" customWidth="1"/>
    <col min="5153" max="5153" width="10.28515625" customWidth="1"/>
    <col min="5154" max="5154" width="12.140625" customWidth="1"/>
    <col min="5155" max="5155" width="13.42578125" customWidth="1"/>
    <col min="5156" max="5156" width="12.140625" customWidth="1"/>
    <col min="5157" max="5157" width="9.42578125" customWidth="1"/>
    <col min="5158" max="5158" width="7.7109375" customWidth="1"/>
    <col min="5159" max="5159" width="10.7109375" customWidth="1"/>
    <col min="5160" max="5160" width="11" customWidth="1"/>
    <col min="5161" max="5161" width="12" customWidth="1"/>
    <col min="5162" max="5162" width="9.85546875" customWidth="1"/>
    <col min="5163" max="5163" width="7.7109375" customWidth="1"/>
    <col min="5164" max="5164" width="10.5703125" customWidth="1"/>
    <col min="5165" max="5165" width="12.42578125" customWidth="1"/>
    <col min="5166" max="5166" width="13.42578125" customWidth="1"/>
    <col min="5167" max="5167" width="9.42578125" customWidth="1"/>
    <col min="5168" max="5168" width="8.42578125" customWidth="1"/>
    <col min="5169" max="5172" width="10" customWidth="1"/>
    <col min="5173" max="5173" width="7.7109375" customWidth="1"/>
    <col min="5174" max="5176" width="11.28515625" customWidth="1"/>
    <col min="5177" max="5177" width="11.85546875" customWidth="1"/>
    <col min="5178" max="5178" width="9.28515625" bestFit="1" customWidth="1"/>
    <col min="5377" max="5377" width="26.140625" customWidth="1"/>
    <col min="5378" max="5378" width="7.42578125" customWidth="1"/>
    <col min="5379" max="5379" width="15.42578125" customWidth="1"/>
    <col min="5380" max="5380" width="11.42578125" customWidth="1"/>
    <col min="5381" max="5381" width="12.85546875" customWidth="1"/>
    <col min="5382" max="5382" width="13.42578125" customWidth="1"/>
    <col min="5383" max="5383" width="10.7109375" customWidth="1"/>
    <col min="5384" max="5384" width="7.85546875" customWidth="1"/>
    <col min="5385" max="5385" width="12.28515625" customWidth="1"/>
    <col min="5386" max="5387" width="10.140625" customWidth="1"/>
    <col min="5388" max="5388" width="9.5703125" customWidth="1"/>
    <col min="5389" max="5389" width="7.140625" customWidth="1"/>
    <col min="5390" max="5390" width="9.28515625" customWidth="1"/>
    <col min="5391" max="5391" width="10.42578125" customWidth="1"/>
    <col min="5392" max="5392" width="10.140625" customWidth="1"/>
    <col min="5393" max="5394" width="7.140625" customWidth="1"/>
    <col min="5395" max="5395" width="13.42578125" customWidth="1"/>
    <col min="5396" max="5396" width="12" customWidth="1"/>
    <col min="5397" max="5397" width="11.7109375" customWidth="1"/>
    <col min="5398" max="5398" width="9.42578125" customWidth="1"/>
    <col min="5399" max="5399" width="7.42578125" customWidth="1"/>
    <col min="5400" max="5401" width="11.7109375" customWidth="1"/>
    <col min="5402" max="5402" width="12.28515625" customWidth="1"/>
    <col min="5403" max="5403" width="9.42578125" customWidth="1"/>
    <col min="5404" max="5404" width="8.42578125" customWidth="1"/>
    <col min="5405" max="5405" width="10.85546875" customWidth="1"/>
    <col min="5406" max="5406" width="9.7109375" customWidth="1"/>
    <col min="5407" max="5407" width="11.42578125" customWidth="1"/>
    <col min="5408" max="5408" width="8.42578125" customWidth="1"/>
    <col min="5409" max="5409" width="10.28515625" customWidth="1"/>
    <col min="5410" max="5410" width="12.140625" customWidth="1"/>
    <col min="5411" max="5411" width="13.42578125" customWidth="1"/>
    <col min="5412" max="5412" width="12.140625" customWidth="1"/>
    <col min="5413" max="5413" width="9.42578125" customWidth="1"/>
    <col min="5414" max="5414" width="7.7109375" customWidth="1"/>
    <col min="5415" max="5415" width="10.7109375" customWidth="1"/>
    <col min="5416" max="5416" width="11" customWidth="1"/>
    <col min="5417" max="5417" width="12" customWidth="1"/>
    <col min="5418" max="5418" width="9.85546875" customWidth="1"/>
    <col min="5419" max="5419" width="7.7109375" customWidth="1"/>
    <col min="5420" max="5420" width="10.5703125" customWidth="1"/>
    <col min="5421" max="5421" width="12.42578125" customWidth="1"/>
    <col min="5422" max="5422" width="13.42578125" customWidth="1"/>
    <col min="5423" max="5423" width="9.42578125" customWidth="1"/>
    <col min="5424" max="5424" width="8.42578125" customWidth="1"/>
    <col min="5425" max="5428" width="10" customWidth="1"/>
    <col min="5429" max="5429" width="7.7109375" customWidth="1"/>
    <col min="5430" max="5432" width="11.28515625" customWidth="1"/>
    <col min="5433" max="5433" width="11.85546875" customWidth="1"/>
    <col min="5434" max="5434" width="9.28515625" bestFit="1" customWidth="1"/>
    <col min="5633" max="5633" width="26.140625" customWidth="1"/>
    <col min="5634" max="5634" width="7.42578125" customWidth="1"/>
    <col min="5635" max="5635" width="15.42578125" customWidth="1"/>
    <col min="5636" max="5636" width="11.42578125" customWidth="1"/>
    <col min="5637" max="5637" width="12.85546875" customWidth="1"/>
    <col min="5638" max="5638" width="13.42578125" customWidth="1"/>
    <col min="5639" max="5639" width="10.7109375" customWidth="1"/>
    <col min="5640" max="5640" width="7.85546875" customWidth="1"/>
    <col min="5641" max="5641" width="12.28515625" customWidth="1"/>
    <col min="5642" max="5643" width="10.140625" customWidth="1"/>
    <col min="5644" max="5644" width="9.5703125" customWidth="1"/>
    <col min="5645" max="5645" width="7.140625" customWidth="1"/>
    <col min="5646" max="5646" width="9.28515625" customWidth="1"/>
    <col min="5647" max="5647" width="10.42578125" customWidth="1"/>
    <col min="5648" max="5648" width="10.140625" customWidth="1"/>
    <col min="5649" max="5650" width="7.140625" customWidth="1"/>
    <col min="5651" max="5651" width="13.42578125" customWidth="1"/>
    <col min="5652" max="5652" width="12" customWidth="1"/>
    <col min="5653" max="5653" width="11.7109375" customWidth="1"/>
    <col min="5654" max="5654" width="9.42578125" customWidth="1"/>
    <col min="5655" max="5655" width="7.42578125" customWidth="1"/>
    <col min="5656" max="5657" width="11.7109375" customWidth="1"/>
    <col min="5658" max="5658" width="12.28515625" customWidth="1"/>
    <col min="5659" max="5659" width="9.42578125" customWidth="1"/>
    <col min="5660" max="5660" width="8.42578125" customWidth="1"/>
    <col min="5661" max="5661" width="10.85546875" customWidth="1"/>
    <col min="5662" max="5662" width="9.7109375" customWidth="1"/>
    <col min="5663" max="5663" width="11.42578125" customWidth="1"/>
    <col min="5664" max="5664" width="8.42578125" customWidth="1"/>
    <col min="5665" max="5665" width="10.28515625" customWidth="1"/>
    <col min="5666" max="5666" width="12.140625" customWidth="1"/>
    <col min="5667" max="5667" width="13.42578125" customWidth="1"/>
    <col min="5668" max="5668" width="12.140625" customWidth="1"/>
    <col min="5669" max="5669" width="9.42578125" customWidth="1"/>
    <col min="5670" max="5670" width="7.7109375" customWidth="1"/>
    <col min="5671" max="5671" width="10.7109375" customWidth="1"/>
    <col min="5672" max="5672" width="11" customWidth="1"/>
    <col min="5673" max="5673" width="12" customWidth="1"/>
    <col min="5674" max="5674" width="9.85546875" customWidth="1"/>
    <col min="5675" max="5675" width="7.7109375" customWidth="1"/>
    <col min="5676" max="5676" width="10.5703125" customWidth="1"/>
    <col min="5677" max="5677" width="12.42578125" customWidth="1"/>
    <col min="5678" max="5678" width="13.42578125" customWidth="1"/>
    <col min="5679" max="5679" width="9.42578125" customWidth="1"/>
    <col min="5680" max="5680" width="8.42578125" customWidth="1"/>
    <col min="5681" max="5684" width="10" customWidth="1"/>
    <col min="5685" max="5685" width="7.7109375" customWidth="1"/>
    <col min="5686" max="5688" width="11.28515625" customWidth="1"/>
    <col min="5689" max="5689" width="11.85546875" customWidth="1"/>
    <col min="5690" max="5690" width="9.28515625" bestFit="1" customWidth="1"/>
    <col min="5889" max="5889" width="26.140625" customWidth="1"/>
    <col min="5890" max="5890" width="7.42578125" customWidth="1"/>
    <col min="5891" max="5891" width="15.42578125" customWidth="1"/>
    <col min="5892" max="5892" width="11.42578125" customWidth="1"/>
    <col min="5893" max="5893" width="12.85546875" customWidth="1"/>
    <col min="5894" max="5894" width="13.42578125" customWidth="1"/>
    <col min="5895" max="5895" width="10.7109375" customWidth="1"/>
    <col min="5896" max="5896" width="7.85546875" customWidth="1"/>
    <col min="5897" max="5897" width="12.28515625" customWidth="1"/>
    <col min="5898" max="5899" width="10.140625" customWidth="1"/>
    <col min="5900" max="5900" width="9.5703125" customWidth="1"/>
    <col min="5901" max="5901" width="7.140625" customWidth="1"/>
    <col min="5902" max="5902" width="9.28515625" customWidth="1"/>
    <col min="5903" max="5903" width="10.42578125" customWidth="1"/>
    <col min="5904" max="5904" width="10.140625" customWidth="1"/>
    <col min="5905" max="5906" width="7.140625" customWidth="1"/>
    <col min="5907" max="5907" width="13.42578125" customWidth="1"/>
    <col min="5908" max="5908" width="12" customWidth="1"/>
    <col min="5909" max="5909" width="11.7109375" customWidth="1"/>
    <col min="5910" max="5910" width="9.42578125" customWidth="1"/>
    <col min="5911" max="5911" width="7.42578125" customWidth="1"/>
    <col min="5912" max="5913" width="11.7109375" customWidth="1"/>
    <col min="5914" max="5914" width="12.28515625" customWidth="1"/>
    <col min="5915" max="5915" width="9.42578125" customWidth="1"/>
    <col min="5916" max="5916" width="8.42578125" customWidth="1"/>
    <col min="5917" max="5917" width="10.85546875" customWidth="1"/>
    <col min="5918" max="5918" width="9.7109375" customWidth="1"/>
    <col min="5919" max="5919" width="11.42578125" customWidth="1"/>
    <col min="5920" max="5920" width="8.42578125" customWidth="1"/>
    <col min="5921" max="5921" width="10.28515625" customWidth="1"/>
    <col min="5922" max="5922" width="12.140625" customWidth="1"/>
    <col min="5923" max="5923" width="13.42578125" customWidth="1"/>
    <col min="5924" max="5924" width="12.140625" customWidth="1"/>
    <col min="5925" max="5925" width="9.42578125" customWidth="1"/>
    <col min="5926" max="5926" width="7.7109375" customWidth="1"/>
    <col min="5927" max="5927" width="10.7109375" customWidth="1"/>
    <col min="5928" max="5928" width="11" customWidth="1"/>
    <col min="5929" max="5929" width="12" customWidth="1"/>
    <col min="5930" max="5930" width="9.85546875" customWidth="1"/>
    <col min="5931" max="5931" width="7.7109375" customWidth="1"/>
    <col min="5932" max="5932" width="10.5703125" customWidth="1"/>
    <col min="5933" max="5933" width="12.42578125" customWidth="1"/>
    <col min="5934" max="5934" width="13.42578125" customWidth="1"/>
    <col min="5935" max="5935" width="9.42578125" customWidth="1"/>
    <col min="5936" max="5936" width="8.42578125" customWidth="1"/>
    <col min="5937" max="5940" width="10" customWidth="1"/>
    <col min="5941" max="5941" width="7.7109375" customWidth="1"/>
    <col min="5942" max="5944" width="11.28515625" customWidth="1"/>
    <col min="5945" max="5945" width="11.85546875" customWidth="1"/>
    <col min="5946" max="5946" width="9.28515625" bestFit="1" customWidth="1"/>
    <col min="6145" max="6145" width="26.140625" customWidth="1"/>
    <col min="6146" max="6146" width="7.42578125" customWidth="1"/>
    <col min="6147" max="6147" width="15.42578125" customWidth="1"/>
    <col min="6148" max="6148" width="11.42578125" customWidth="1"/>
    <col min="6149" max="6149" width="12.85546875" customWidth="1"/>
    <col min="6150" max="6150" width="13.42578125" customWidth="1"/>
    <col min="6151" max="6151" width="10.7109375" customWidth="1"/>
    <col min="6152" max="6152" width="7.85546875" customWidth="1"/>
    <col min="6153" max="6153" width="12.28515625" customWidth="1"/>
    <col min="6154" max="6155" width="10.140625" customWidth="1"/>
    <col min="6156" max="6156" width="9.5703125" customWidth="1"/>
    <col min="6157" max="6157" width="7.140625" customWidth="1"/>
    <col min="6158" max="6158" width="9.28515625" customWidth="1"/>
    <col min="6159" max="6159" width="10.42578125" customWidth="1"/>
    <col min="6160" max="6160" width="10.140625" customWidth="1"/>
    <col min="6161" max="6162" width="7.140625" customWidth="1"/>
    <col min="6163" max="6163" width="13.42578125" customWidth="1"/>
    <col min="6164" max="6164" width="12" customWidth="1"/>
    <col min="6165" max="6165" width="11.7109375" customWidth="1"/>
    <col min="6166" max="6166" width="9.42578125" customWidth="1"/>
    <col min="6167" max="6167" width="7.42578125" customWidth="1"/>
    <col min="6168" max="6169" width="11.7109375" customWidth="1"/>
    <col min="6170" max="6170" width="12.28515625" customWidth="1"/>
    <col min="6171" max="6171" width="9.42578125" customWidth="1"/>
    <col min="6172" max="6172" width="8.42578125" customWidth="1"/>
    <col min="6173" max="6173" width="10.85546875" customWidth="1"/>
    <col min="6174" max="6174" width="9.7109375" customWidth="1"/>
    <col min="6175" max="6175" width="11.42578125" customWidth="1"/>
    <col min="6176" max="6176" width="8.42578125" customWidth="1"/>
    <col min="6177" max="6177" width="10.28515625" customWidth="1"/>
    <col min="6178" max="6178" width="12.140625" customWidth="1"/>
    <col min="6179" max="6179" width="13.42578125" customWidth="1"/>
    <col min="6180" max="6180" width="12.140625" customWidth="1"/>
    <col min="6181" max="6181" width="9.42578125" customWidth="1"/>
    <col min="6182" max="6182" width="7.7109375" customWidth="1"/>
    <col min="6183" max="6183" width="10.7109375" customWidth="1"/>
    <col min="6184" max="6184" width="11" customWidth="1"/>
    <col min="6185" max="6185" width="12" customWidth="1"/>
    <col min="6186" max="6186" width="9.85546875" customWidth="1"/>
    <col min="6187" max="6187" width="7.7109375" customWidth="1"/>
    <col min="6188" max="6188" width="10.5703125" customWidth="1"/>
    <col min="6189" max="6189" width="12.42578125" customWidth="1"/>
    <col min="6190" max="6190" width="13.42578125" customWidth="1"/>
    <col min="6191" max="6191" width="9.42578125" customWidth="1"/>
    <col min="6192" max="6192" width="8.42578125" customWidth="1"/>
    <col min="6193" max="6196" width="10" customWidth="1"/>
    <col min="6197" max="6197" width="7.7109375" customWidth="1"/>
    <col min="6198" max="6200" width="11.28515625" customWidth="1"/>
    <col min="6201" max="6201" width="11.85546875" customWidth="1"/>
    <col min="6202" max="6202" width="9.28515625" bestFit="1" customWidth="1"/>
    <col min="6401" max="6401" width="26.140625" customWidth="1"/>
    <col min="6402" max="6402" width="7.42578125" customWidth="1"/>
    <col min="6403" max="6403" width="15.42578125" customWidth="1"/>
    <col min="6404" max="6404" width="11.42578125" customWidth="1"/>
    <col min="6405" max="6405" width="12.85546875" customWidth="1"/>
    <col min="6406" max="6406" width="13.42578125" customWidth="1"/>
    <col min="6407" max="6407" width="10.7109375" customWidth="1"/>
    <col min="6408" max="6408" width="7.85546875" customWidth="1"/>
    <col min="6409" max="6409" width="12.28515625" customWidth="1"/>
    <col min="6410" max="6411" width="10.140625" customWidth="1"/>
    <col min="6412" max="6412" width="9.5703125" customWidth="1"/>
    <col min="6413" max="6413" width="7.140625" customWidth="1"/>
    <col min="6414" max="6414" width="9.28515625" customWidth="1"/>
    <col min="6415" max="6415" width="10.42578125" customWidth="1"/>
    <col min="6416" max="6416" width="10.140625" customWidth="1"/>
    <col min="6417" max="6418" width="7.140625" customWidth="1"/>
    <col min="6419" max="6419" width="13.42578125" customWidth="1"/>
    <col min="6420" max="6420" width="12" customWidth="1"/>
    <col min="6421" max="6421" width="11.7109375" customWidth="1"/>
    <col min="6422" max="6422" width="9.42578125" customWidth="1"/>
    <col min="6423" max="6423" width="7.42578125" customWidth="1"/>
    <col min="6424" max="6425" width="11.7109375" customWidth="1"/>
    <col min="6426" max="6426" width="12.28515625" customWidth="1"/>
    <col min="6427" max="6427" width="9.42578125" customWidth="1"/>
    <col min="6428" max="6428" width="8.42578125" customWidth="1"/>
    <col min="6429" max="6429" width="10.85546875" customWidth="1"/>
    <col min="6430" max="6430" width="9.7109375" customWidth="1"/>
    <col min="6431" max="6431" width="11.42578125" customWidth="1"/>
    <col min="6432" max="6432" width="8.42578125" customWidth="1"/>
    <col min="6433" max="6433" width="10.28515625" customWidth="1"/>
    <col min="6434" max="6434" width="12.140625" customWidth="1"/>
    <col min="6435" max="6435" width="13.42578125" customWidth="1"/>
    <col min="6436" max="6436" width="12.140625" customWidth="1"/>
    <col min="6437" max="6437" width="9.42578125" customWidth="1"/>
    <col min="6438" max="6438" width="7.7109375" customWidth="1"/>
    <col min="6439" max="6439" width="10.7109375" customWidth="1"/>
    <col min="6440" max="6440" width="11" customWidth="1"/>
    <col min="6441" max="6441" width="12" customWidth="1"/>
    <col min="6442" max="6442" width="9.85546875" customWidth="1"/>
    <col min="6443" max="6443" width="7.7109375" customWidth="1"/>
    <col min="6444" max="6444" width="10.5703125" customWidth="1"/>
    <col min="6445" max="6445" width="12.42578125" customWidth="1"/>
    <col min="6446" max="6446" width="13.42578125" customWidth="1"/>
    <col min="6447" max="6447" width="9.42578125" customWidth="1"/>
    <col min="6448" max="6448" width="8.42578125" customWidth="1"/>
    <col min="6449" max="6452" width="10" customWidth="1"/>
    <col min="6453" max="6453" width="7.7109375" customWidth="1"/>
    <col min="6454" max="6456" width="11.28515625" customWidth="1"/>
    <col min="6457" max="6457" width="11.85546875" customWidth="1"/>
    <col min="6458" max="6458" width="9.28515625" bestFit="1" customWidth="1"/>
    <col min="6657" max="6657" width="26.140625" customWidth="1"/>
    <col min="6658" max="6658" width="7.42578125" customWidth="1"/>
    <col min="6659" max="6659" width="15.42578125" customWidth="1"/>
    <col min="6660" max="6660" width="11.42578125" customWidth="1"/>
    <col min="6661" max="6661" width="12.85546875" customWidth="1"/>
    <col min="6662" max="6662" width="13.42578125" customWidth="1"/>
    <col min="6663" max="6663" width="10.7109375" customWidth="1"/>
    <col min="6664" max="6664" width="7.85546875" customWidth="1"/>
    <col min="6665" max="6665" width="12.28515625" customWidth="1"/>
    <col min="6666" max="6667" width="10.140625" customWidth="1"/>
    <col min="6668" max="6668" width="9.5703125" customWidth="1"/>
    <col min="6669" max="6669" width="7.140625" customWidth="1"/>
    <col min="6670" max="6670" width="9.28515625" customWidth="1"/>
    <col min="6671" max="6671" width="10.42578125" customWidth="1"/>
    <col min="6672" max="6672" width="10.140625" customWidth="1"/>
    <col min="6673" max="6674" width="7.140625" customWidth="1"/>
    <col min="6675" max="6675" width="13.42578125" customWidth="1"/>
    <col min="6676" max="6676" width="12" customWidth="1"/>
    <col min="6677" max="6677" width="11.7109375" customWidth="1"/>
    <col min="6678" max="6678" width="9.42578125" customWidth="1"/>
    <col min="6679" max="6679" width="7.42578125" customWidth="1"/>
    <col min="6680" max="6681" width="11.7109375" customWidth="1"/>
    <col min="6682" max="6682" width="12.28515625" customWidth="1"/>
    <col min="6683" max="6683" width="9.42578125" customWidth="1"/>
    <col min="6684" max="6684" width="8.42578125" customWidth="1"/>
    <col min="6685" max="6685" width="10.85546875" customWidth="1"/>
    <col min="6686" max="6686" width="9.7109375" customWidth="1"/>
    <col min="6687" max="6687" width="11.42578125" customWidth="1"/>
    <col min="6688" max="6688" width="8.42578125" customWidth="1"/>
    <col min="6689" max="6689" width="10.28515625" customWidth="1"/>
    <col min="6690" max="6690" width="12.140625" customWidth="1"/>
    <col min="6691" max="6691" width="13.42578125" customWidth="1"/>
    <col min="6692" max="6692" width="12.140625" customWidth="1"/>
    <col min="6693" max="6693" width="9.42578125" customWidth="1"/>
    <col min="6694" max="6694" width="7.7109375" customWidth="1"/>
    <col min="6695" max="6695" width="10.7109375" customWidth="1"/>
    <col min="6696" max="6696" width="11" customWidth="1"/>
    <col min="6697" max="6697" width="12" customWidth="1"/>
    <col min="6698" max="6698" width="9.85546875" customWidth="1"/>
    <col min="6699" max="6699" width="7.7109375" customWidth="1"/>
    <col min="6700" max="6700" width="10.5703125" customWidth="1"/>
    <col min="6701" max="6701" width="12.42578125" customWidth="1"/>
    <col min="6702" max="6702" width="13.42578125" customWidth="1"/>
    <col min="6703" max="6703" width="9.42578125" customWidth="1"/>
    <col min="6704" max="6704" width="8.42578125" customWidth="1"/>
    <col min="6705" max="6708" width="10" customWidth="1"/>
    <col min="6709" max="6709" width="7.7109375" customWidth="1"/>
    <col min="6710" max="6712" width="11.28515625" customWidth="1"/>
    <col min="6713" max="6713" width="11.85546875" customWidth="1"/>
    <col min="6714" max="6714" width="9.28515625" bestFit="1" customWidth="1"/>
    <col min="6913" max="6913" width="26.140625" customWidth="1"/>
    <col min="6914" max="6914" width="7.42578125" customWidth="1"/>
    <col min="6915" max="6915" width="15.42578125" customWidth="1"/>
    <col min="6916" max="6916" width="11.42578125" customWidth="1"/>
    <col min="6917" max="6917" width="12.85546875" customWidth="1"/>
    <col min="6918" max="6918" width="13.42578125" customWidth="1"/>
    <col min="6919" max="6919" width="10.7109375" customWidth="1"/>
    <col min="6920" max="6920" width="7.85546875" customWidth="1"/>
    <col min="6921" max="6921" width="12.28515625" customWidth="1"/>
    <col min="6922" max="6923" width="10.140625" customWidth="1"/>
    <col min="6924" max="6924" width="9.5703125" customWidth="1"/>
    <col min="6925" max="6925" width="7.140625" customWidth="1"/>
    <col min="6926" max="6926" width="9.28515625" customWidth="1"/>
    <col min="6927" max="6927" width="10.42578125" customWidth="1"/>
    <col min="6928" max="6928" width="10.140625" customWidth="1"/>
    <col min="6929" max="6930" width="7.140625" customWidth="1"/>
    <col min="6931" max="6931" width="13.42578125" customWidth="1"/>
    <col min="6932" max="6932" width="12" customWidth="1"/>
    <col min="6933" max="6933" width="11.7109375" customWidth="1"/>
    <col min="6934" max="6934" width="9.42578125" customWidth="1"/>
    <col min="6935" max="6935" width="7.42578125" customWidth="1"/>
    <col min="6936" max="6937" width="11.7109375" customWidth="1"/>
    <col min="6938" max="6938" width="12.28515625" customWidth="1"/>
    <col min="6939" max="6939" width="9.42578125" customWidth="1"/>
    <col min="6940" max="6940" width="8.42578125" customWidth="1"/>
    <col min="6941" max="6941" width="10.85546875" customWidth="1"/>
    <col min="6942" max="6942" width="9.7109375" customWidth="1"/>
    <col min="6943" max="6943" width="11.42578125" customWidth="1"/>
    <col min="6944" max="6944" width="8.42578125" customWidth="1"/>
    <col min="6945" max="6945" width="10.28515625" customWidth="1"/>
    <col min="6946" max="6946" width="12.140625" customWidth="1"/>
    <col min="6947" max="6947" width="13.42578125" customWidth="1"/>
    <col min="6948" max="6948" width="12.140625" customWidth="1"/>
    <col min="6949" max="6949" width="9.42578125" customWidth="1"/>
    <col min="6950" max="6950" width="7.7109375" customWidth="1"/>
    <col min="6951" max="6951" width="10.7109375" customWidth="1"/>
    <col min="6952" max="6952" width="11" customWidth="1"/>
    <col min="6953" max="6953" width="12" customWidth="1"/>
    <col min="6954" max="6954" width="9.85546875" customWidth="1"/>
    <col min="6955" max="6955" width="7.7109375" customWidth="1"/>
    <col min="6956" max="6956" width="10.5703125" customWidth="1"/>
    <col min="6957" max="6957" width="12.42578125" customWidth="1"/>
    <col min="6958" max="6958" width="13.42578125" customWidth="1"/>
    <col min="6959" max="6959" width="9.42578125" customWidth="1"/>
    <col min="6960" max="6960" width="8.42578125" customWidth="1"/>
    <col min="6961" max="6964" width="10" customWidth="1"/>
    <col min="6965" max="6965" width="7.7109375" customWidth="1"/>
    <col min="6966" max="6968" width="11.28515625" customWidth="1"/>
    <col min="6969" max="6969" width="11.85546875" customWidth="1"/>
    <col min="6970" max="6970" width="9.28515625" bestFit="1" customWidth="1"/>
    <col min="7169" max="7169" width="26.140625" customWidth="1"/>
    <col min="7170" max="7170" width="7.42578125" customWidth="1"/>
    <col min="7171" max="7171" width="15.42578125" customWidth="1"/>
    <col min="7172" max="7172" width="11.42578125" customWidth="1"/>
    <col min="7173" max="7173" width="12.85546875" customWidth="1"/>
    <col min="7174" max="7174" width="13.42578125" customWidth="1"/>
    <col min="7175" max="7175" width="10.7109375" customWidth="1"/>
    <col min="7176" max="7176" width="7.85546875" customWidth="1"/>
    <col min="7177" max="7177" width="12.28515625" customWidth="1"/>
    <col min="7178" max="7179" width="10.140625" customWidth="1"/>
    <col min="7180" max="7180" width="9.5703125" customWidth="1"/>
    <col min="7181" max="7181" width="7.140625" customWidth="1"/>
    <col min="7182" max="7182" width="9.28515625" customWidth="1"/>
    <col min="7183" max="7183" width="10.42578125" customWidth="1"/>
    <col min="7184" max="7184" width="10.140625" customWidth="1"/>
    <col min="7185" max="7186" width="7.140625" customWidth="1"/>
    <col min="7187" max="7187" width="13.42578125" customWidth="1"/>
    <col min="7188" max="7188" width="12" customWidth="1"/>
    <col min="7189" max="7189" width="11.7109375" customWidth="1"/>
    <col min="7190" max="7190" width="9.42578125" customWidth="1"/>
    <col min="7191" max="7191" width="7.42578125" customWidth="1"/>
    <col min="7192" max="7193" width="11.7109375" customWidth="1"/>
    <col min="7194" max="7194" width="12.28515625" customWidth="1"/>
    <col min="7195" max="7195" width="9.42578125" customWidth="1"/>
    <col min="7196" max="7196" width="8.42578125" customWidth="1"/>
    <col min="7197" max="7197" width="10.85546875" customWidth="1"/>
    <col min="7198" max="7198" width="9.7109375" customWidth="1"/>
    <col min="7199" max="7199" width="11.42578125" customWidth="1"/>
    <col min="7200" max="7200" width="8.42578125" customWidth="1"/>
    <col min="7201" max="7201" width="10.28515625" customWidth="1"/>
    <col min="7202" max="7202" width="12.140625" customWidth="1"/>
    <col min="7203" max="7203" width="13.42578125" customWidth="1"/>
    <col min="7204" max="7204" width="12.140625" customWidth="1"/>
    <col min="7205" max="7205" width="9.42578125" customWidth="1"/>
    <col min="7206" max="7206" width="7.7109375" customWidth="1"/>
    <col min="7207" max="7207" width="10.7109375" customWidth="1"/>
    <col min="7208" max="7208" width="11" customWidth="1"/>
    <col min="7209" max="7209" width="12" customWidth="1"/>
    <col min="7210" max="7210" width="9.85546875" customWidth="1"/>
    <col min="7211" max="7211" width="7.7109375" customWidth="1"/>
    <col min="7212" max="7212" width="10.5703125" customWidth="1"/>
    <col min="7213" max="7213" width="12.42578125" customWidth="1"/>
    <col min="7214" max="7214" width="13.42578125" customWidth="1"/>
    <col min="7215" max="7215" width="9.42578125" customWidth="1"/>
    <col min="7216" max="7216" width="8.42578125" customWidth="1"/>
    <col min="7217" max="7220" width="10" customWidth="1"/>
    <col min="7221" max="7221" width="7.7109375" customWidth="1"/>
    <col min="7222" max="7224" width="11.28515625" customWidth="1"/>
    <col min="7225" max="7225" width="11.85546875" customWidth="1"/>
    <col min="7226" max="7226" width="9.28515625" bestFit="1" customWidth="1"/>
    <col min="7425" max="7425" width="26.140625" customWidth="1"/>
    <col min="7426" max="7426" width="7.42578125" customWidth="1"/>
    <col min="7427" max="7427" width="15.42578125" customWidth="1"/>
    <col min="7428" max="7428" width="11.42578125" customWidth="1"/>
    <col min="7429" max="7429" width="12.85546875" customWidth="1"/>
    <col min="7430" max="7430" width="13.42578125" customWidth="1"/>
    <col min="7431" max="7431" width="10.7109375" customWidth="1"/>
    <col min="7432" max="7432" width="7.85546875" customWidth="1"/>
    <col min="7433" max="7433" width="12.28515625" customWidth="1"/>
    <col min="7434" max="7435" width="10.140625" customWidth="1"/>
    <col min="7436" max="7436" width="9.5703125" customWidth="1"/>
    <col min="7437" max="7437" width="7.140625" customWidth="1"/>
    <col min="7438" max="7438" width="9.28515625" customWidth="1"/>
    <col min="7439" max="7439" width="10.42578125" customWidth="1"/>
    <col min="7440" max="7440" width="10.140625" customWidth="1"/>
    <col min="7441" max="7442" width="7.140625" customWidth="1"/>
    <col min="7443" max="7443" width="13.42578125" customWidth="1"/>
    <col min="7444" max="7444" width="12" customWidth="1"/>
    <col min="7445" max="7445" width="11.7109375" customWidth="1"/>
    <col min="7446" max="7446" width="9.42578125" customWidth="1"/>
    <col min="7447" max="7447" width="7.42578125" customWidth="1"/>
    <col min="7448" max="7449" width="11.7109375" customWidth="1"/>
    <col min="7450" max="7450" width="12.28515625" customWidth="1"/>
    <col min="7451" max="7451" width="9.42578125" customWidth="1"/>
    <col min="7452" max="7452" width="8.42578125" customWidth="1"/>
    <col min="7453" max="7453" width="10.85546875" customWidth="1"/>
    <col min="7454" max="7454" width="9.7109375" customWidth="1"/>
    <col min="7455" max="7455" width="11.42578125" customWidth="1"/>
    <col min="7456" max="7456" width="8.42578125" customWidth="1"/>
    <col min="7457" max="7457" width="10.28515625" customWidth="1"/>
    <col min="7458" max="7458" width="12.140625" customWidth="1"/>
    <col min="7459" max="7459" width="13.42578125" customWidth="1"/>
    <col min="7460" max="7460" width="12.140625" customWidth="1"/>
    <col min="7461" max="7461" width="9.42578125" customWidth="1"/>
    <col min="7462" max="7462" width="7.7109375" customWidth="1"/>
    <col min="7463" max="7463" width="10.7109375" customWidth="1"/>
    <col min="7464" max="7464" width="11" customWidth="1"/>
    <col min="7465" max="7465" width="12" customWidth="1"/>
    <col min="7466" max="7466" width="9.85546875" customWidth="1"/>
    <col min="7467" max="7467" width="7.7109375" customWidth="1"/>
    <col min="7468" max="7468" width="10.5703125" customWidth="1"/>
    <col min="7469" max="7469" width="12.42578125" customWidth="1"/>
    <col min="7470" max="7470" width="13.42578125" customWidth="1"/>
    <col min="7471" max="7471" width="9.42578125" customWidth="1"/>
    <col min="7472" max="7472" width="8.42578125" customWidth="1"/>
    <col min="7473" max="7476" width="10" customWidth="1"/>
    <col min="7477" max="7477" width="7.7109375" customWidth="1"/>
    <col min="7478" max="7480" width="11.28515625" customWidth="1"/>
    <col min="7481" max="7481" width="11.85546875" customWidth="1"/>
    <col min="7482" max="7482" width="9.28515625" bestFit="1" customWidth="1"/>
    <col min="7681" max="7681" width="26.140625" customWidth="1"/>
    <col min="7682" max="7682" width="7.42578125" customWidth="1"/>
    <col min="7683" max="7683" width="15.42578125" customWidth="1"/>
    <col min="7684" max="7684" width="11.42578125" customWidth="1"/>
    <col min="7685" max="7685" width="12.85546875" customWidth="1"/>
    <col min="7686" max="7686" width="13.42578125" customWidth="1"/>
    <col min="7687" max="7687" width="10.7109375" customWidth="1"/>
    <col min="7688" max="7688" width="7.85546875" customWidth="1"/>
    <col min="7689" max="7689" width="12.28515625" customWidth="1"/>
    <col min="7690" max="7691" width="10.140625" customWidth="1"/>
    <col min="7692" max="7692" width="9.5703125" customWidth="1"/>
    <col min="7693" max="7693" width="7.140625" customWidth="1"/>
    <col min="7694" max="7694" width="9.28515625" customWidth="1"/>
    <col min="7695" max="7695" width="10.42578125" customWidth="1"/>
    <col min="7696" max="7696" width="10.140625" customWidth="1"/>
    <col min="7697" max="7698" width="7.140625" customWidth="1"/>
    <col min="7699" max="7699" width="13.42578125" customWidth="1"/>
    <col min="7700" max="7700" width="12" customWidth="1"/>
    <col min="7701" max="7701" width="11.7109375" customWidth="1"/>
    <col min="7702" max="7702" width="9.42578125" customWidth="1"/>
    <col min="7703" max="7703" width="7.42578125" customWidth="1"/>
    <col min="7704" max="7705" width="11.7109375" customWidth="1"/>
    <col min="7706" max="7706" width="12.28515625" customWidth="1"/>
    <col min="7707" max="7707" width="9.42578125" customWidth="1"/>
    <col min="7708" max="7708" width="8.42578125" customWidth="1"/>
    <col min="7709" max="7709" width="10.85546875" customWidth="1"/>
    <col min="7710" max="7710" width="9.7109375" customWidth="1"/>
    <col min="7711" max="7711" width="11.42578125" customWidth="1"/>
    <col min="7712" max="7712" width="8.42578125" customWidth="1"/>
    <col min="7713" max="7713" width="10.28515625" customWidth="1"/>
    <col min="7714" max="7714" width="12.140625" customWidth="1"/>
    <col min="7715" max="7715" width="13.42578125" customWidth="1"/>
    <col min="7716" max="7716" width="12.140625" customWidth="1"/>
    <col min="7717" max="7717" width="9.42578125" customWidth="1"/>
    <col min="7718" max="7718" width="7.7109375" customWidth="1"/>
    <col min="7719" max="7719" width="10.7109375" customWidth="1"/>
    <col min="7720" max="7720" width="11" customWidth="1"/>
    <col min="7721" max="7721" width="12" customWidth="1"/>
    <col min="7722" max="7722" width="9.85546875" customWidth="1"/>
    <col min="7723" max="7723" width="7.7109375" customWidth="1"/>
    <col min="7724" max="7724" width="10.5703125" customWidth="1"/>
    <col min="7725" max="7725" width="12.42578125" customWidth="1"/>
    <col min="7726" max="7726" width="13.42578125" customWidth="1"/>
    <col min="7727" max="7727" width="9.42578125" customWidth="1"/>
    <col min="7728" max="7728" width="8.42578125" customWidth="1"/>
    <col min="7729" max="7732" width="10" customWidth="1"/>
    <col min="7733" max="7733" width="7.7109375" customWidth="1"/>
    <col min="7734" max="7736" width="11.28515625" customWidth="1"/>
    <col min="7737" max="7737" width="11.85546875" customWidth="1"/>
    <col min="7738" max="7738" width="9.28515625" bestFit="1" customWidth="1"/>
    <col min="7937" max="7937" width="26.140625" customWidth="1"/>
    <col min="7938" max="7938" width="7.42578125" customWidth="1"/>
    <col min="7939" max="7939" width="15.42578125" customWidth="1"/>
    <col min="7940" max="7940" width="11.42578125" customWidth="1"/>
    <col min="7941" max="7941" width="12.85546875" customWidth="1"/>
    <col min="7942" max="7942" width="13.42578125" customWidth="1"/>
    <col min="7943" max="7943" width="10.7109375" customWidth="1"/>
    <col min="7944" max="7944" width="7.85546875" customWidth="1"/>
    <col min="7945" max="7945" width="12.28515625" customWidth="1"/>
    <col min="7946" max="7947" width="10.140625" customWidth="1"/>
    <col min="7948" max="7948" width="9.5703125" customWidth="1"/>
    <col min="7949" max="7949" width="7.140625" customWidth="1"/>
    <col min="7950" max="7950" width="9.28515625" customWidth="1"/>
    <col min="7951" max="7951" width="10.42578125" customWidth="1"/>
    <col min="7952" max="7952" width="10.140625" customWidth="1"/>
    <col min="7953" max="7954" width="7.140625" customWidth="1"/>
    <col min="7955" max="7955" width="13.42578125" customWidth="1"/>
    <col min="7956" max="7956" width="12" customWidth="1"/>
    <col min="7957" max="7957" width="11.7109375" customWidth="1"/>
    <col min="7958" max="7958" width="9.42578125" customWidth="1"/>
    <col min="7959" max="7959" width="7.42578125" customWidth="1"/>
    <col min="7960" max="7961" width="11.7109375" customWidth="1"/>
    <col min="7962" max="7962" width="12.28515625" customWidth="1"/>
    <col min="7963" max="7963" width="9.42578125" customWidth="1"/>
    <col min="7964" max="7964" width="8.42578125" customWidth="1"/>
    <col min="7965" max="7965" width="10.85546875" customWidth="1"/>
    <col min="7966" max="7966" width="9.7109375" customWidth="1"/>
    <col min="7967" max="7967" width="11.42578125" customWidth="1"/>
    <col min="7968" max="7968" width="8.42578125" customWidth="1"/>
    <col min="7969" max="7969" width="10.28515625" customWidth="1"/>
    <col min="7970" max="7970" width="12.140625" customWidth="1"/>
    <col min="7971" max="7971" width="13.42578125" customWidth="1"/>
    <col min="7972" max="7972" width="12.140625" customWidth="1"/>
    <col min="7973" max="7973" width="9.42578125" customWidth="1"/>
    <col min="7974" max="7974" width="7.7109375" customWidth="1"/>
    <col min="7975" max="7975" width="10.7109375" customWidth="1"/>
    <col min="7976" max="7976" width="11" customWidth="1"/>
    <col min="7977" max="7977" width="12" customWidth="1"/>
    <col min="7978" max="7978" width="9.85546875" customWidth="1"/>
    <col min="7979" max="7979" width="7.7109375" customWidth="1"/>
    <col min="7980" max="7980" width="10.5703125" customWidth="1"/>
    <col min="7981" max="7981" width="12.42578125" customWidth="1"/>
    <col min="7982" max="7982" width="13.42578125" customWidth="1"/>
    <col min="7983" max="7983" width="9.42578125" customWidth="1"/>
    <col min="7984" max="7984" width="8.42578125" customWidth="1"/>
    <col min="7985" max="7988" width="10" customWidth="1"/>
    <col min="7989" max="7989" width="7.7109375" customWidth="1"/>
    <col min="7990" max="7992" width="11.28515625" customWidth="1"/>
    <col min="7993" max="7993" width="11.85546875" customWidth="1"/>
    <col min="7994" max="7994" width="9.28515625" bestFit="1" customWidth="1"/>
    <col min="8193" max="8193" width="26.140625" customWidth="1"/>
    <col min="8194" max="8194" width="7.42578125" customWidth="1"/>
    <col min="8195" max="8195" width="15.42578125" customWidth="1"/>
    <col min="8196" max="8196" width="11.42578125" customWidth="1"/>
    <col min="8197" max="8197" width="12.85546875" customWidth="1"/>
    <col min="8198" max="8198" width="13.42578125" customWidth="1"/>
    <col min="8199" max="8199" width="10.7109375" customWidth="1"/>
    <col min="8200" max="8200" width="7.85546875" customWidth="1"/>
    <col min="8201" max="8201" width="12.28515625" customWidth="1"/>
    <col min="8202" max="8203" width="10.140625" customWidth="1"/>
    <col min="8204" max="8204" width="9.5703125" customWidth="1"/>
    <col min="8205" max="8205" width="7.140625" customWidth="1"/>
    <col min="8206" max="8206" width="9.28515625" customWidth="1"/>
    <col min="8207" max="8207" width="10.42578125" customWidth="1"/>
    <col min="8208" max="8208" width="10.140625" customWidth="1"/>
    <col min="8209" max="8210" width="7.140625" customWidth="1"/>
    <col min="8211" max="8211" width="13.42578125" customWidth="1"/>
    <col min="8212" max="8212" width="12" customWidth="1"/>
    <col min="8213" max="8213" width="11.7109375" customWidth="1"/>
    <col min="8214" max="8214" width="9.42578125" customWidth="1"/>
    <col min="8215" max="8215" width="7.42578125" customWidth="1"/>
    <col min="8216" max="8217" width="11.7109375" customWidth="1"/>
    <col min="8218" max="8218" width="12.28515625" customWidth="1"/>
    <col min="8219" max="8219" width="9.42578125" customWidth="1"/>
    <col min="8220" max="8220" width="8.42578125" customWidth="1"/>
    <col min="8221" max="8221" width="10.85546875" customWidth="1"/>
    <col min="8222" max="8222" width="9.7109375" customWidth="1"/>
    <col min="8223" max="8223" width="11.42578125" customWidth="1"/>
    <col min="8224" max="8224" width="8.42578125" customWidth="1"/>
    <col min="8225" max="8225" width="10.28515625" customWidth="1"/>
    <col min="8226" max="8226" width="12.140625" customWidth="1"/>
    <col min="8227" max="8227" width="13.42578125" customWidth="1"/>
    <col min="8228" max="8228" width="12.140625" customWidth="1"/>
    <col min="8229" max="8229" width="9.42578125" customWidth="1"/>
    <col min="8230" max="8230" width="7.7109375" customWidth="1"/>
    <col min="8231" max="8231" width="10.7109375" customWidth="1"/>
    <col min="8232" max="8232" width="11" customWidth="1"/>
    <col min="8233" max="8233" width="12" customWidth="1"/>
    <col min="8234" max="8234" width="9.85546875" customWidth="1"/>
    <col min="8235" max="8235" width="7.7109375" customWidth="1"/>
    <col min="8236" max="8236" width="10.5703125" customWidth="1"/>
    <col min="8237" max="8237" width="12.42578125" customWidth="1"/>
    <col min="8238" max="8238" width="13.42578125" customWidth="1"/>
    <col min="8239" max="8239" width="9.42578125" customWidth="1"/>
    <col min="8240" max="8240" width="8.42578125" customWidth="1"/>
    <col min="8241" max="8244" width="10" customWidth="1"/>
    <col min="8245" max="8245" width="7.7109375" customWidth="1"/>
    <col min="8246" max="8248" width="11.28515625" customWidth="1"/>
    <col min="8249" max="8249" width="11.85546875" customWidth="1"/>
    <col min="8250" max="8250" width="9.28515625" bestFit="1" customWidth="1"/>
    <col min="8449" max="8449" width="26.140625" customWidth="1"/>
    <col min="8450" max="8450" width="7.42578125" customWidth="1"/>
    <col min="8451" max="8451" width="15.42578125" customWidth="1"/>
    <col min="8452" max="8452" width="11.42578125" customWidth="1"/>
    <col min="8453" max="8453" width="12.85546875" customWidth="1"/>
    <col min="8454" max="8454" width="13.42578125" customWidth="1"/>
    <col min="8455" max="8455" width="10.7109375" customWidth="1"/>
    <col min="8456" max="8456" width="7.85546875" customWidth="1"/>
    <col min="8457" max="8457" width="12.28515625" customWidth="1"/>
    <col min="8458" max="8459" width="10.140625" customWidth="1"/>
    <col min="8460" max="8460" width="9.5703125" customWidth="1"/>
    <col min="8461" max="8461" width="7.140625" customWidth="1"/>
    <col min="8462" max="8462" width="9.28515625" customWidth="1"/>
    <col min="8463" max="8463" width="10.42578125" customWidth="1"/>
    <col min="8464" max="8464" width="10.140625" customWidth="1"/>
    <col min="8465" max="8466" width="7.140625" customWidth="1"/>
    <col min="8467" max="8467" width="13.42578125" customWidth="1"/>
    <col min="8468" max="8468" width="12" customWidth="1"/>
    <col min="8469" max="8469" width="11.7109375" customWidth="1"/>
    <col min="8470" max="8470" width="9.42578125" customWidth="1"/>
    <col min="8471" max="8471" width="7.42578125" customWidth="1"/>
    <col min="8472" max="8473" width="11.7109375" customWidth="1"/>
    <col min="8474" max="8474" width="12.28515625" customWidth="1"/>
    <col min="8475" max="8475" width="9.42578125" customWidth="1"/>
    <col min="8476" max="8476" width="8.42578125" customWidth="1"/>
    <col min="8477" max="8477" width="10.85546875" customWidth="1"/>
    <col min="8478" max="8478" width="9.7109375" customWidth="1"/>
    <col min="8479" max="8479" width="11.42578125" customWidth="1"/>
    <col min="8480" max="8480" width="8.42578125" customWidth="1"/>
    <col min="8481" max="8481" width="10.28515625" customWidth="1"/>
    <col min="8482" max="8482" width="12.140625" customWidth="1"/>
    <col min="8483" max="8483" width="13.42578125" customWidth="1"/>
    <col min="8484" max="8484" width="12.140625" customWidth="1"/>
    <col min="8485" max="8485" width="9.42578125" customWidth="1"/>
    <col min="8486" max="8486" width="7.7109375" customWidth="1"/>
    <col min="8487" max="8487" width="10.7109375" customWidth="1"/>
    <col min="8488" max="8488" width="11" customWidth="1"/>
    <col min="8489" max="8489" width="12" customWidth="1"/>
    <col min="8490" max="8490" width="9.85546875" customWidth="1"/>
    <col min="8491" max="8491" width="7.7109375" customWidth="1"/>
    <col min="8492" max="8492" width="10.5703125" customWidth="1"/>
    <col min="8493" max="8493" width="12.42578125" customWidth="1"/>
    <col min="8494" max="8494" width="13.42578125" customWidth="1"/>
    <col min="8495" max="8495" width="9.42578125" customWidth="1"/>
    <col min="8496" max="8496" width="8.42578125" customWidth="1"/>
    <col min="8497" max="8500" width="10" customWidth="1"/>
    <col min="8501" max="8501" width="7.7109375" customWidth="1"/>
    <col min="8502" max="8504" width="11.28515625" customWidth="1"/>
    <col min="8505" max="8505" width="11.85546875" customWidth="1"/>
    <col min="8506" max="8506" width="9.28515625" bestFit="1" customWidth="1"/>
    <col min="8705" max="8705" width="26.140625" customWidth="1"/>
    <col min="8706" max="8706" width="7.42578125" customWidth="1"/>
    <col min="8707" max="8707" width="15.42578125" customWidth="1"/>
    <col min="8708" max="8708" width="11.42578125" customWidth="1"/>
    <col min="8709" max="8709" width="12.85546875" customWidth="1"/>
    <col min="8710" max="8710" width="13.42578125" customWidth="1"/>
    <col min="8711" max="8711" width="10.7109375" customWidth="1"/>
    <col min="8712" max="8712" width="7.85546875" customWidth="1"/>
    <col min="8713" max="8713" width="12.28515625" customWidth="1"/>
    <col min="8714" max="8715" width="10.140625" customWidth="1"/>
    <col min="8716" max="8716" width="9.5703125" customWidth="1"/>
    <col min="8717" max="8717" width="7.140625" customWidth="1"/>
    <col min="8718" max="8718" width="9.28515625" customWidth="1"/>
    <col min="8719" max="8719" width="10.42578125" customWidth="1"/>
    <col min="8720" max="8720" width="10.140625" customWidth="1"/>
    <col min="8721" max="8722" width="7.140625" customWidth="1"/>
    <col min="8723" max="8723" width="13.42578125" customWidth="1"/>
    <col min="8724" max="8724" width="12" customWidth="1"/>
    <col min="8725" max="8725" width="11.7109375" customWidth="1"/>
    <col min="8726" max="8726" width="9.42578125" customWidth="1"/>
    <col min="8727" max="8727" width="7.42578125" customWidth="1"/>
    <col min="8728" max="8729" width="11.7109375" customWidth="1"/>
    <col min="8730" max="8730" width="12.28515625" customWidth="1"/>
    <col min="8731" max="8731" width="9.42578125" customWidth="1"/>
    <col min="8732" max="8732" width="8.42578125" customWidth="1"/>
    <col min="8733" max="8733" width="10.85546875" customWidth="1"/>
    <col min="8734" max="8734" width="9.7109375" customWidth="1"/>
    <col min="8735" max="8735" width="11.42578125" customWidth="1"/>
    <col min="8736" max="8736" width="8.42578125" customWidth="1"/>
    <col min="8737" max="8737" width="10.28515625" customWidth="1"/>
    <col min="8738" max="8738" width="12.140625" customWidth="1"/>
    <col min="8739" max="8739" width="13.42578125" customWidth="1"/>
    <col min="8740" max="8740" width="12.140625" customWidth="1"/>
    <col min="8741" max="8741" width="9.42578125" customWidth="1"/>
    <col min="8742" max="8742" width="7.7109375" customWidth="1"/>
    <col min="8743" max="8743" width="10.7109375" customWidth="1"/>
    <col min="8744" max="8744" width="11" customWidth="1"/>
    <col min="8745" max="8745" width="12" customWidth="1"/>
    <col min="8746" max="8746" width="9.85546875" customWidth="1"/>
    <col min="8747" max="8747" width="7.7109375" customWidth="1"/>
    <col min="8748" max="8748" width="10.5703125" customWidth="1"/>
    <col min="8749" max="8749" width="12.42578125" customWidth="1"/>
    <col min="8750" max="8750" width="13.42578125" customWidth="1"/>
    <col min="8751" max="8751" width="9.42578125" customWidth="1"/>
    <col min="8752" max="8752" width="8.42578125" customWidth="1"/>
    <col min="8753" max="8756" width="10" customWidth="1"/>
    <col min="8757" max="8757" width="7.7109375" customWidth="1"/>
    <col min="8758" max="8760" width="11.28515625" customWidth="1"/>
    <col min="8761" max="8761" width="11.85546875" customWidth="1"/>
    <col min="8762" max="8762" width="9.28515625" bestFit="1" customWidth="1"/>
    <col min="8961" max="8961" width="26.140625" customWidth="1"/>
    <col min="8962" max="8962" width="7.42578125" customWidth="1"/>
    <col min="8963" max="8963" width="15.42578125" customWidth="1"/>
    <col min="8964" max="8964" width="11.42578125" customWidth="1"/>
    <col min="8965" max="8965" width="12.85546875" customWidth="1"/>
    <col min="8966" max="8966" width="13.42578125" customWidth="1"/>
    <col min="8967" max="8967" width="10.7109375" customWidth="1"/>
    <col min="8968" max="8968" width="7.85546875" customWidth="1"/>
    <col min="8969" max="8969" width="12.28515625" customWidth="1"/>
    <col min="8970" max="8971" width="10.140625" customWidth="1"/>
    <col min="8972" max="8972" width="9.5703125" customWidth="1"/>
    <col min="8973" max="8973" width="7.140625" customWidth="1"/>
    <col min="8974" max="8974" width="9.28515625" customWidth="1"/>
    <col min="8975" max="8975" width="10.42578125" customWidth="1"/>
    <col min="8976" max="8976" width="10.140625" customWidth="1"/>
    <col min="8977" max="8978" width="7.140625" customWidth="1"/>
    <col min="8979" max="8979" width="13.42578125" customWidth="1"/>
    <col min="8980" max="8980" width="12" customWidth="1"/>
    <col min="8981" max="8981" width="11.7109375" customWidth="1"/>
    <col min="8982" max="8982" width="9.42578125" customWidth="1"/>
    <col min="8983" max="8983" width="7.42578125" customWidth="1"/>
    <col min="8984" max="8985" width="11.7109375" customWidth="1"/>
    <col min="8986" max="8986" width="12.28515625" customWidth="1"/>
    <col min="8987" max="8987" width="9.42578125" customWidth="1"/>
    <col min="8988" max="8988" width="8.42578125" customWidth="1"/>
    <col min="8989" max="8989" width="10.85546875" customWidth="1"/>
    <col min="8990" max="8990" width="9.7109375" customWidth="1"/>
    <col min="8991" max="8991" width="11.42578125" customWidth="1"/>
    <col min="8992" max="8992" width="8.42578125" customWidth="1"/>
    <col min="8993" max="8993" width="10.28515625" customWidth="1"/>
    <col min="8994" max="8994" width="12.140625" customWidth="1"/>
    <col min="8995" max="8995" width="13.42578125" customWidth="1"/>
    <col min="8996" max="8996" width="12.140625" customWidth="1"/>
    <col min="8997" max="8997" width="9.42578125" customWidth="1"/>
    <col min="8998" max="8998" width="7.7109375" customWidth="1"/>
    <col min="8999" max="8999" width="10.7109375" customWidth="1"/>
    <col min="9000" max="9000" width="11" customWidth="1"/>
    <col min="9001" max="9001" width="12" customWidth="1"/>
    <col min="9002" max="9002" width="9.85546875" customWidth="1"/>
    <col min="9003" max="9003" width="7.7109375" customWidth="1"/>
    <col min="9004" max="9004" width="10.5703125" customWidth="1"/>
    <col min="9005" max="9005" width="12.42578125" customWidth="1"/>
    <col min="9006" max="9006" width="13.42578125" customWidth="1"/>
    <col min="9007" max="9007" width="9.42578125" customWidth="1"/>
    <col min="9008" max="9008" width="8.42578125" customWidth="1"/>
    <col min="9009" max="9012" width="10" customWidth="1"/>
    <col min="9013" max="9013" width="7.7109375" customWidth="1"/>
    <col min="9014" max="9016" width="11.28515625" customWidth="1"/>
    <col min="9017" max="9017" width="11.85546875" customWidth="1"/>
    <col min="9018" max="9018" width="9.28515625" bestFit="1" customWidth="1"/>
    <col min="9217" max="9217" width="26.140625" customWidth="1"/>
    <col min="9218" max="9218" width="7.42578125" customWidth="1"/>
    <col min="9219" max="9219" width="15.42578125" customWidth="1"/>
    <col min="9220" max="9220" width="11.42578125" customWidth="1"/>
    <col min="9221" max="9221" width="12.85546875" customWidth="1"/>
    <col min="9222" max="9222" width="13.42578125" customWidth="1"/>
    <col min="9223" max="9223" width="10.7109375" customWidth="1"/>
    <col min="9224" max="9224" width="7.85546875" customWidth="1"/>
    <col min="9225" max="9225" width="12.28515625" customWidth="1"/>
    <col min="9226" max="9227" width="10.140625" customWidth="1"/>
    <col min="9228" max="9228" width="9.5703125" customWidth="1"/>
    <col min="9229" max="9229" width="7.140625" customWidth="1"/>
    <col min="9230" max="9230" width="9.28515625" customWidth="1"/>
    <col min="9231" max="9231" width="10.42578125" customWidth="1"/>
    <col min="9232" max="9232" width="10.140625" customWidth="1"/>
    <col min="9233" max="9234" width="7.140625" customWidth="1"/>
    <col min="9235" max="9235" width="13.42578125" customWidth="1"/>
    <col min="9236" max="9236" width="12" customWidth="1"/>
    <col min="9237" max="9237" width="11.7109375" customWidth="1"/>
    <col min="9238" max="9238" width="9.42578125" customWidth="1"/>
    <col min="9239" max="9239" width="7.42578125" customWidth="1"/>
    <col min="9240" max="9241" width="11.7109375" customWidth="1"/>
    <col min="9242" max="9242" width="12.28515625" customWidth="1"/>
    <col min="9243" max="9243" width="9.42578125" customWidth="1"/>
    <col min="9244" max="9244" width="8.42578125" customWidth="1"/>
    <col min="9245" max="9245" width="10.85546875" customWidth="1"/>
    <col min="9246" max="9246" width="9.7109375" customWidth="1"/>
    <col min="9247" max="9247" width="11.42578125" customWidth="1"/>
    <col min="9248" max="9248" width="8.42578125" customWidth="1"/>
    <col min="9249" max="9249" width="10.28515625" customWidth="1"/>
    <col min="9250" max="9250" width="12.140625" customWidth="1"/>
    <col min="9251" max="9251" width="13.42578125" customWidth="1"/>
    <col min="9252" max="9252" width="12.140625" customWidth="1"/>
    <col min="9253" max="9253" width="9.42578125" customWidth="1"/>
    <col min="9254" max="9254" width="7.7109375" customWidth="1"/>
    <col min="9255" max="9255" width="10.7109375" customWidth="1"/>
    <col min="9256" max="9256" width="11" customWidth="1"/>
    <col min="9257" max="9257" width="12" customWidth="1"/>
    <col min="9258" max="9258" width="9.85546875" customWidth="1"/>
    <col min="9259" max="9259" width="7.7109375" customWidth="1"/>
    <col min="9260" max="9260" width="10.5703125" customWidth="1"/>
    <col min="9261" max="9261" width="12.42578125" customWidth="1"/>
    <col min="9262" max="9262" width="13.42578125" customWidth="1"/>
    <col min="9263" max="9263" width="9.42578125" customWidth="1"/>
    <col min="9264" max="9264" width="8.42578125" customWidth="1"/>
    <col min="9265" max="9268" width="10" customWidth="1"/>
    <col min="9269" max="9269" width="7.7109375" customWidth="1"/>
    <col min="9270" max="9272" width="11.28515625" customWidth="1"/>
    <col min="9273" max="9273" width="11.85546875" customWidth="1"/>
    <col min="9274" max="9274" width="9.28515625" bestFit="1" customWidth="1"/>
    <col min="9473" max="9473" width="26.140625" customWidth="1"/>
    <col min="9474" max="9474" width="7.42578125" customWidth="1"/>
    <col min="9475" max="9475" width="15.42578125" customWidth="1"/>
    <col min="9476" max="9476" width="11.42578125" customWidth="1"/>
    <col min="9477" max="9477" width="12.85546875" customWidth="1"/>
    <col min="9478" max="9478" width="13.42578125" customWidth="1"/>
    <col min="9479" max="9479" width="10.7109375" customWidth="1"/>
    <col min="9480" max="9480" width="7.85546875" customWidth="1"/>
    <col min="9481" max="9481" width="12.28515625" customWidth="1"/>
    <col min="9482" max="9483" width="10.140625" customWidth="1"/>
    <col min="9484" max="9484" width="9.5703125" customWidth="1"/>
    <col min="9485" max="9485" width="7.140625" customWidth="1"/>
    <col min="9486" max="9486" width="9.28515625" customWidth="1"/>
    <col min="9487" max="9487" width="10.42578125" customWidth="1"/>
    <col min="9488" max="9488" width="10.140625" customWidth="1"/>
    <col min="9489" max="9490" width="7.140625" customWidth="1"/>
    <col min="9491" max="9491" width="13.42578125" customWidth="1"/>
    <col min="9492" max="9492" width="12" customWidth="1"/>
    <col min="9493" max="9493" width="11.7109375" customWidth="1"/>
    <col min="9494" max="9494" width="9.42578125" customWidth="1"/>
    <col min="9495" max="9495" width="7.42578125" customWidth="1"/>
    <col min="9496" max="9497" width="11.7109375" customWidth="1"/>
    <col min="9498" max="9498" width="12.28515625" customWidth="1"/>
    <col min="9499" max="9499" width="9.42578125" customWidth="1"/>
    <col min="9500" max="9500" width="8.42578125" customWidth="1"/>
    <col min="9501" max="9501" width="10.85546875" customWidth="1"/>
    <col min="9502" max="9502" width="9.7109375" customWidth="1"/>
    <col min="9503" max="9503" width="11.42578125" customWidth="1"/>
    <col min="9504" max="9504" width="8.42578125" customWidth="1"/>
    <col min="9505" max="9505" width="10.28515625" customWidth="1"/>
    <col min="9506" max="9506" width="12.140625" customWidth="1"/>
    <col min="9507" max="9507" width="13.42578125" customWidth="1"/>
    <col min="9508" max="9508" width="12.140625" customWidth="1"/>
    <col min="9509" max="9509" width="9.42578125" customWidth="1"/>
    <col min="9510" max="9510" width="7.7109375" customWidth="1"/>
    <col min="9511" max="9511" width="10.7109375" customWidth="1"/>
    <col min="9512" max="9512" width="11" customWidth="1"/>
    <col min="9513" max="9513" width="12" customWidth="1"/>
    <col min="9514" max="9514" width="9.85546875" customWidth="1"/>
    <col min="9515" max="9515" width="7.7109375" customWidth="1"/>
    <col min="9516" max="9516" width="10.5703125" customWidth="1"/>
    <col min="9517" max="9517" width="12.42578125" customWidth="1"/>
    <col min="9518" max="9518" width="13.42578125" customWidth="1"/>
    <col min="9519" max="9519" width="9.42578125" customWidth="1"/>
    <col min="9520" max="9520" width="8.42578125" customWidth="1"/>
    <col min="9521" max="9524" width="10" customWidth="1"/>
    <col min="9525" max="9525" width="7.7109375" customWidth="1"/>
    <col min="9526" max="9528" width="11.28515625" customWidth="1"/>
    <col min="9529" max="9529" width="11.85546875" customWidth="1"/>
    <col min="9530" max="9530" width="9.28515625" bestFit="1" customWidth="1"/>
    <col min="9729" max="9729" width="26.140625" customWidth="1"/>
    <col min="9730" max="9730" width="7.42578125" customWidth="1"/>
    <col min="9731" max="9731" width="15.42578125" customWidth="1"/>
    <col min="9732" max="9732" width="11.42578125" customWidth="1"/>
    <col min="9733" max="9733" width="12.85546875" customWidth="1"/>
    <col min="9734" max="9734" width="13.42578125" customWidth="1"/>
    <col min="9735" max="9735" width="10.7109375" customWidth="1"/>
    <col min="9736" max="9736" width="7.85546875" customWidth="1"/>
    <col min="9737" max="9737" width="12.28515625" customWidth="1"/>
    <col min="9738" max="9739" width="10.140625" customWidth="1"/>
    <col min="9740" max="9740" width="9.5703125" customWidth="1"/>
    <col min="9741" max="9741" width="7.140625" customWidth="1"/>
    <col min="9742" max="9742" width="9.28515625" customWidth="1"/>
    <col min="9743" max="9743" width="10.42578125" customWidth="1"/>
    <col min="9744" max="9744" width="10.140625" customWidth="1"/>
    <col min="9745" max="9746" width="7.140625" customWidth="1"/>
    <col min="9747" max="9747" width="13.42578125" customWidth="1"/>
    <col min="9748" max="9748" width="12" customWidth="1"/>
    <col min="9749" max="9749" width="11.7109375" customWidth="1"/>
    <col min="9750" max="9750" width="9.42578125" customWidth="1"/>
    <col min="9751" max="9751" width="7.42578125" customWidth="1"/>
    <col min="9752" max="9753" width="11.7109375" customWidth="1"/>
    <col min="9754" max="9754" width="12.28515625" customWidth="1"/>
    <col min="9755" max="9755" width="9.42578125" customWidth="1"/>
    <col min="9756" max="9756" width="8.42578125" customWidth="1"/>
    <col min="9757" max="9757" width="10.85546875" customWidth="1"/>
    <col min="9758" max="9758" width="9.7109375" customWidth="1"/>
    <col min="9759" max="9759" width="11.42578125" customWidth="1"/>
    <col min="9760" max="9760" width="8.42578125" customWidth="1"/>
    <col min="9761" max="9761" width="10.28515625" customWidth="1"/>
    <col min="9762" max="9762" width="12.140625" customWidth="1"/>
    <col min="9763" max="9763" width="13.42578125" customWidth="1"/>
    <col min="9764" max="9764" width="12.140625" customWidth="1"/>
    <col min="9765" max="9765" width="9.42578125" customWidth="1"/>
    <col min="9766" max="9766" width="7.7109375" customWidth="1"/>
    <col min="9767" max="9767" width="10.7109375" customWidth="1"/>
    <col min="9768" max="9768" width="11" customWidth="1"/>
    <col min="9769" max="9769" width="12" customWidth="1"/>
    <col min="9770" max="9770" width="9.85546875" customWidth="1"/>
    <col min="9771" max="9771" width="7.7109375" customWidth="1"/>
    <col min="9772" max="9772" width="10.5703125" customWidth="1"/>
    <col min="9773" max="9773" width="12.42578125" customWidth="1"/>
    <col min="9774" max="9774" width="13.42578125" customWidth="1"/>
    <col min="9775" max="9775" width="9.42578125" customWidth="1"/>
    <col min="9776" max="9776" width="8.42578125" customWidth="1"/>
    <col min="9777" max="9780" width="10" customWidth="1"/>
    <col min="9781" max="9781" width="7.7109375" customWidth="1"/>
    <col min="9782" max="9784" width="11.28515625" customWidth="1"/>
    <col min="9785" max="9785" width="11.85546875" customWidth="1"/>
    <col min="9786" max="9786" width="9.28515625" bestFit="1" customWidth="1"/>
    <col min="9985" max="9985" width="26.140625" customWidth="1"/>
    <col min="9986" max="9986" width="7.42578125" customWidth="1"/>
    <col min="9987" max="9987" width="15.42578125" customWidth="1"/>
    <col min="9988" max="9988" width="11.42578125" customWidth="1"/>
    <col min="9989" max="9989" width="12.85546875" customWidth="1"/>
    <col min="9990" max="9990" width="13.42578125" customWidth="1"/>
    <col min="9991" max="9991" width="10.7109375" customWidth="1"/>
    <col min="9992" max="9992" width="7.85546875" customWidth="1"/>
    <col min="9993" max="9993" width="12.28515625" customWidth="1"/>
    <col min="9994" max="9995" width="10.140625" customWidth="1"/>
    <col min="9996" max="9996" width="9.5703125" customWidth="1"/>
    <col min="9997" max="9997" width="7.140625" customWidth="1"/>
    <col min="9998" max="9998" width="9.28515625" customWidth="1"/>
    <col min="9999" max="9999" width="10.42578125" customWidth="1"/>
    <col min="10000" max="10000" width="10.140625" customWidth="1"/>
    <col min="10001" max="10002" width="7.140625" customWidth="1"/>
    <col min="10003" max="10003" width="13.42578125" customWidth="1"/>
    <col min="10004" max="10004" width="12" customWidth="1"/>
    <col min="10005" max="10005" width="11.7109375" customWidth="1"/>
    <col min="10006" max="10006" width="9.42578125" customWidth="1"/>
    <col min="10007" max="10007" width="7.42578125" customWidth="1"/>
    <col min="10008" max="10009" width="11.7109375" customWidth="1"/>
    <col min="10010" max="10010" width="12.28515625" customWidth="1"/>
    <col min="10011" max="10011" width="9.42578125" customWidth="1"/>
    <col min="10012" max="10012" width="8.42578125" customWidth="1"/>
    <col min="10013" max="10013" width="10.85546875" customWidth="1"/>
    <col min="10014" max="10014" width="9.7109375" customWidth="1"/>
    <col min="10015" max="10015" width="11.42578125" customWidth="1"/>
    <col min="10016" max="10016" width="8.42578125" customWidth="1"/>
    <col min="10017" max="10017" width="10.28515625" customWidth="1"/>
    <col min="10018" max="10018" width="12.140625" customWidth="1"/>
    <col min="10019" max="10019" width="13.42578125" customWidth="1"/>
    <col min="10020" max="10020" width="12.140625" customWidth="1"/>
    <col min="10021" max="10021" width="9.42578125" customWidth="1"/>
    <col min="10022" max="10022" width="7.7109375" customWidth="1"/>
    <col min="10023" max="10023" width="10.7109375" customWidth="1"/>
    <col min="10024" max="10024" width="11" customWidth="1"/>
    <col min="10025" max="10025" width="12" customWidth="1"/>
    <col min="10026" max="10026" width="9.85546875" customWidth="1"/>
    <col min="10027" max="10027" width="7.7109375" customWidth="1"/>
    <col min="10028" max="10028" width="10.5703125" customWidth="1"/>
    <col min="10029" max="10029" width="12.42578125" customWidth="1"/>
    <col min="10030" max="10030" width="13.42578125" customWidth="1"/>
    <col min="10031" max="10031" width="9.42578125" customWidth="1"/>
    <col min="10032" max="10032" width="8.42578125" customWidth="1"/>
    <col min="10033" max="10036" width="10" customWidth="1"/>
    <col min="10037" max="10037" width="7.7109375" customWidth="1"/>
    <col min="10038" max="10040" width="11.28515625" customWidth="1"/>
    <col min="10041" max="10041" width="11.85546875" customWidth="1"/>
    <col min="10042" max="10042" width="9.28515625" bestFit="1" customWidth="1"/>
    <col min="10241" max="10241" width="26.140625" customWidth="1"/>
    <col min="10242" max="10242" width="7.42578125" customWidth="1"/>
    <col min="10243" max="10243" width="15.42578125" customWidth="1"/>
    <col min="10244" max="10244" width="11.42578125" customWidth="1"/>
    <col min="10245" max="10245" width="12.85546875" customWidth="1"/>
    <col min="10246" max="10246" width="13.42578125" customWidth="1"/>
    <col min="10247" max="10247" width="10.7109375" customWidth="1"/>
    <col min="10248" max="10248" width="7.85546875" customWidth="1"/>
    <col min="10249" max="10249" width="12.28515625" customWidth="1"/>
    <col min="10250" max="10251" width="10.140625" customWidth="1"/>
    <col min="10252" max="10252" width="9.5703125" customWidth="1"/>
    <col min="10253" max="10253" width="7.140625" customWidth="1"/>
    <col min="10254" max="10254" width="9.28515625" customWidth="1"/>
    <col min="10255" max="10255" width="10.42578125" customWidth="1"/>
    <col min="10256" max="10256" width="10.140625" customWidth="1"/>
    <col min="10257" max="10258" width="7.140625" customWidth="1"/>
    <col min="10259" max="10259" width="13.42578125" customWidth="1"/>
    <col min="10260" max="10260" width="12" customWidth="1"/>
    <col min="10261" max="10261" width="11.7109375" customWidth="1"/>
    <col min="10262" max="10262" width="9.42578125" customWidth="1"/>
    <col min="10263" max="10263" width="7.42578125" customWidth="1"/>
    <col min="10264" max="10265" width="11.7109375" customWidth="1"/>
    <col min="10266" max="10266" width="12.28515625" customWidth="1"/>
    <col min="10267" max="10267" width="9.42578125" customWidth="1"/>
    <col min="10268" max="10268" width="8.42578125" customWidth="1"/>
    <col min="10269" max="10269" width="10.85546875" customWidth="1"/>
    <col min="10270" max="10270" width="9.7109375" customWidth="1"/>
    <col min="10271" max="10271" width="11.42578125" customWidth="1"/>
    <col min="10272" max="10272" width="8.42578125" customWidth="1"/>
    <col min="10273" max="10273" width="10.28515625" customWidth="1"/>
    <col min="10274" max="10274" width="12.140625" customWidth="1"/>
    <col min="10275" max="10275" width="13.42578125" customWidth="1"/>
    <col min="10276" max="10276" width="12.140625" customWidth="1"/>
    <col min="10277" max="10277" width="9.42578125" customWidth="1"/>
    <col min="10278" max="10278" width="7.7109375" customWidth="1"/>
    <col min="10279" max="10279" width="10.7109375" customWidth="1"/>
    <col min="10280" max="10280" width="11" customWidth="1"/>
    <col min="10281" max="10281" width="12" customWidth="1"/>
    <col min="10282" max="10282" width="9.85546875" customWidth="1"/>
    <col min="10283" max="10283" width="7.7109375" customWidth="1"/>
    <col min="10284" max="10284" width="10.5703125" customWidth="1"/>
    <col min="10285" max="10285" width="12.42578125" customWidth="1"/>
    <col min="10286" max="10286" width="13.42578125" customWidth="1"/>
    <col min="10287" max="10287" width="9.42578125" customWidth="1"/>
    <col min="10288" max="10288" width="8.42578125" customWidth="1"/>
    <col min="10289" max="10292" width="10" customWidth="1"/>
    <col min="10293" max="10293" width="7.7109375" customWidth="1"/>
    <col min="10294" max="10296" width="11.28515625" customWidth="1"/>
    <col min="10297" max="10297" width="11.85546875" customWidth="1"/>
    <col min="10298" max="10298" width="9.28515625" bestFit="1" customWidth="1"/>
    <col min="10497" max="10497" width="26.140625" customWidth="1"/>
    <col min="10498" max="10498" width="7.42578125" customWidth="1"/>
    <col min="10499" max="10499" width="15.42578125" customWidth="1"/>
    <col min="10500" max="10500" width="11.42578125" customWidth="1"/>
    <col min="10501" max="10501" width="12.85546875" customWidth="1"/>
    <col min="10502" max="10502" width="13.42578125" customWidth="1"/>
    <col min="10503" max="10503" width="10.7109375" customWidth="1"/>
    <col min="10504" max="10504" width="7.85546875" customWidth="1"/>
    <col min="10505" max="10505" width="12.28515625" customWidth="1"/>
    <col min="10506" max="10507" width="10.140625" customWidth="1"/>
    <col min="10508" max="10508" width="9.5703125" customWidth="1"/>
    <col min="10509" max="10509" width="7.140625" customWidth="1"/>
    <col min="10510" max="10510" width="9.28515625" customWidth="1"/>
    <col min="10511" max="10511" width="10.42578125" customWidth="1"/>
    <col min="10512" max="10512" width="10.140625" customWidth="1"/>
    <col min="10513" max="10514" width="7.140625" customWidth="1"/>
    <col min="10515" max="10515" width="13.42578125" customWidth="1"/>
    <col min="10516" max="10516" width="12" customWidth="1"/>
    <col min="10517" max="10517" width="11.7109375" customWidth="1"/>
    <col min="10518" max="10518" width="9.42578125" customWidth="1"/>
    <col min="10519" max="10519" width="7.42578125" customWidth="1"/>
    <col min="10520" max="10521" width="11.7109375" customWidth="1"/>
    <col min="10522" max="10522" width="12.28515625" customWidth="1"/>
    <col min="10523" max="10523" width="9.42578125" customWidth="1"/>
    <col min="10524" max="10524" width="8.42578125" customWidth="1"/>
    <col min="10525" max="10525" width="10.85546875" customWidth="1"/>
    <col min="10526" max="10526" width="9.7109375" customWidth="1"/>
    <col min="10527" max="10527" width="11.42578125" customWidth="1"/>
    <col min="10528" max="10528" width="8.42578125" customWidth="1"/>
    <col min="10529" max="10529" width="10.28515625" customWidth="1"/>
    <col min="10530" max="10530" width="12.140625" customWidth="1"/>
    <col min="10531" max="10531" width="13.42578125" customWidth="1"/>
    <col min="10532" max="10532" width="12.140625" customWidth="1"/>
    <col min="10533" max="10533" width="9.42578125" customWidth="1"/>
    <col min="10534" max="10534" width="7.7109375" customWidth="1"/>
    <col min="10535" max="10535" width="10.7109375" customWidth="1"/>
    <col min="10536" max="10536" width="11" customWidth="1"/>
    <col min="10537" max="10537" width="12" customWidth="1"/>
    <col min="10538" max="10538" width="9.85546875" customWidth="1"/>
    <col min="10539" max="10539" width="7.7109375" customWidth="1"/>
    <col min="10540" max="10540" width="10.5703125" customWidth="1"/>
    <col min="10541" max="10541" width="12.42578125" customWidth="1"/>
    <col min="10542" max="10542" width="13.42578125" customWidth="1"/>
    <col min="10543" max="10543" width="9.42578125" customWidth="1"/>
    <col min="10544" max="10544" width="8.42578125" customWidth="1"/>
    <col min="10545" max="10548" width="10" customWidth="1"/>
    <col min="10549" max="10549" width="7.7109375" customWidth="1"/>
    <col min="10550" max="10552" width="11.28515625" customWidth="1"/>
    <col min="10553" max="10553" width="11.85546875" customWidth="1"/>
    <col min="10554" max="10554" width="9.28515625" bestFit="1" customWidth="1"/>
    <col min="10753" max="10753" width="26.140625" customWidth="1"/>
    <col min="10754" max="10754" width="7.42578125" customWidth="1"/>
    <col min="10755" max="10755" width="15.42578125" customWidth="1"/>
    <col min="10756" max="10756" width="11.42578125" customWidth="1"/>
    <col min="10757" max="10757" width="12.85546875" customWidth="1"/>
    <col min="10758" max="10758" width="13.42578125" customWidth="1"/>
    <col min="10759" max="10759" width="10.7109375" customWidth="1"/>
    <col min="10760" max="10760" width="7.85546875" customWidth="1"/>
    <col min="10761" max="10761" width="12.28515625" customWidth="1"/>
    <col min="10762" max="10763" width="10.140625" customWidth="1"/>
    <col min="10764" max="10764" width="9.5703125" customWidth="1"/>
    <col min="10765" max="10765" width="7.140625" customWidth="1"/>
    <col min="10766" max="10766" width="9.28515625" customWidth="1"/>
    <col min="10767" max="10767" width="10.42578125" customWidth="1"/>
    <col min="10768" max="10768" width="10.140625" customWidth="1"/>
    <col min="10769" max="10770" width="7.140625" customWidth="1"/>
    <col min="10771" max="10771" width="13.42578125" customWidth="1"/>
    <col min="10772" max="10772" width="12" customWidth="1"/>
    <col min="10773" max="10773" width="11.7109375" customWidth="1"/>
    <col min="10774" max="10774" width="9.42578125" customWidth="1"/>
    <col min="10775" max="10775" width="7.42578125" customWidth="1"/>
    <col min="10776" max="10777" width="11.7109375" customWidth="1"/>
    <col min="10778" max="10778" width="12.28515625" customWidth="1"/>
    <col min="10779" max="10779" width="9.42578125" customWidth="1"/>
    <col min="10780" max="10780" width="8.42578125" customWidth="1"/>
    <col min="10781" max="10781" width="10.85546875" customWidth="1"/>
    <col min="10782" max="10782" width="9.7109375" customWidth="1"/>
    <col min="10783" max="10783" width="11.42578125" customWidth="1"/>
    <col min="10784" max="10784" width="8.42578125" customWidth="1"/>
    <col min="10785" max="10785" width="10.28515625" customWidth="1"/>
    <col min="10786" max="10786" width="12.140625" customWidth="1"/>
    <col min="10787" max="10787" width="13.42578125" customWidth="1"/>
    <col min="10788" max="10788" width="12.140625" customWidth="1"/>
    <col min="10789" max="10789" width="9.42578125" customWidth="1"/>
    <col min="10790" max="10790" width="7.7109375" customWidth="1"/>
    <col min="10791" max="10791" width="10.7109375" customWidth="1"/>
    <col min="10792" max="10792" width="11" customWidth="1"/>
    <col min="10793" max="10793" width="12" customWidth="1"/>
    <col min="10794" max="10794" width="9.85546875" customWidth="1"/>
    <col min="10795" max="10795" width="7.7109375" customWidth="1"/>
    <col min="10796" max="10796" width="10.5703125" customWidth="1"/>
    <col min="10797" max="10797" width="12.42578125" customWidth="1"/>
    <col min="10798" max="10798" width="13.42578125" customWidth="1"/>
    <col min="10799" max="10799" width="9.42578125" customWidth="1"/>
    <col min="10800" max="10800" width="8.42578125" customWidth="1"/>
    <col min="10801" max="10804" width="10" customWidth="1"/>
    <col min="10805" max="10805" width="7.7109375" customWidth="1"/>
    <col min="10806" max="10808" width="11.28515625" customWidth="1"/>
    <col min="10809" max="10809" width="11.85546875" customWidth="1"/>
    <col min="10810" max="10810" width="9.28515625" bestFit="1" customWidth="1"/>
    <col min="11009" max="11009" width="26.140625" customWidth="1"/>
    <col min="11010" max="11010" width="7.42578125" customWidth="1"/>
    <col min="11011" max="11011" width="15.42578125" customWidth="1"/>
    <col min="11012" max="11012" width="11.42578125" customWidth="1"/>
    <col min="11013" max="11013" width="12.85546875" customWidth="1"/>
    <col min="11014" max="11014" width="13.42578125" customWidth="1"/>
    <col min="11015" max="11015" width="10.7109375" customWidth="1"/>
    <col min="11016" max="11016" width="7.85546875" customWidth="1"/>
    <col min="11017" max="11017" width="12.28515625" customWidth="1"/>
    <col min="11018" max="11019" width="10.140625" customWidth="1"/>
    <col min="11020" max="11020" width="9.5703125" customWidth="1"/>
    <col min="11021" max="11021" width="7.140625" customWidth="1"/>
    <col min="11022" max="11022" width="9.28515625" customWidth="1"/>
    <col min="11023" max="11023" width="10.42578125" customWidth="1"/>
    <col min="11024" max="11024" width="10.140625" customWidth="1"/>
    <col min="11025" max="11026" width="7.140625" customWidth="1"/>
    <col min="11027" max="11027" width="13.42578125" customWidth="1"/>
    <col min="11028" max="11028" width="12" customWidth="1"/>
    <col min="11029" max="11029" width="11.7109375" customWidth="1"/>
    <col min="11030" max="11030" width="9.42578125" customWidth="1"/>
    <col min="11031" max="11031" width="7.42578125" customWidth="1"/>
    <col min="11032" max="11033" width="11.7109375" customWidth="1"/>
    <col min="11034" max="11034" width="12.28515625" customWidth="1"/>
    <col min="11035" max="11035" width="9.42578125" customWidth="1"/>
    <col min="11036" max="11036" width="8.42578125" customWidth="1"/>
    <col min="11037" max="11037" width="10.85546875" customWidth="1"/>
    <col min="11038" max="11038" width="9.7109375" customWidth="1"/>
    <col min="11039" max="11039" width="11.42578125" customWidth="1"/>
    <col min="11040" max="11040" width="8.42578125" customWidth="1"/>
    <col min="11041" max="11041" width="10.28515625" customWidth="1"/>
    <col min="11042" max="11042" width="12.140625" customWidth="1"/>
    <col min="11043" max="11043" width="13.42578125" customWidth="1"/>
    <col min="11044" max="11044" width="12.140625" customWidth="1"/>
    <col min="11045" max="11045" width="9.42578125" customWidth="1"/>
    <col min="11046" max="11046" width="7.7109375" customWidth="1"/>
    <col min="11047" max="11047" width="10.7109375" customWidth="1"/>
    <col min="11048" max="11048" width="11" customWidth="1"/>
    <col min="11049" max="11049" width="12" customWidth="1"/>
    <col min="11050" max="11050" width="9.85546875" customWidth="1"/>
    <col min="11051" max="11051" width="7.7109375" customWidth="1"/>
    <col min="11052" max="11052" width="10.5703125" customWidth="1"/>
    <col min="11053" max="11053" width="12.42578125" customWidth="1"/>
    <col min="11054" max="11054" width="13.42578125" customWidth="1"/>
    <col min="11055" max="11055" width="9.42578125" customWidth="1"/>
    <col min="11056" max="11056" width="8.42578125" customWidth="1"/>
    <col min="11057" max="11060" width="10" customWidth="1"/>
    <col min="11061" max="11061" width="7.7109375" customWidth="1"/>
    <col min="11062" max="11064" width="11.28515625" customWidth="1"/>
    <col min="11065" max="11065" width="11.85546875" customWidth="1"/>
    <col min="11066" max="11066" width="9.28515625" bestFit="1" customWidth="1"/>
    <col min="11265" max="11265" width="26.140625" customWidth="1"/>
    <col min="11266" max="11266" width="7.42578125" customWidth="1"/>
    <col min="11267" max="11267" width="15.42578125" customWidth="1"/>
    <col min="11268" max="11268" width="11.42578125" customWidth="1"/>
    <col min="11269" max="11269" width="12.85546875" customWidth="1"/>
    <col min="11270" max="11270" width="13.42578125" customWidth="1"/>
    <col min="11271" max="11271" width="10.7109375" customWidth="1"/>
    <col min="11272" max="11272" width="7.85546875" customWidth="1"/>
    <col min="11273" max="11273" width="12.28515625" customWidth="1"/>
    <col min="11274" max="11275" width="10.140625" customWidth="1"/>
    <col min="11276" max="11276" width="9.5703125" customWidth="1"/>
    <col min="11277" max="11277" width="7.140625" customWidth="1"/>
    <col min="11278" max="11278" width="9.28515625" customWidth="1"/>
    <col min="11279" max="11279" width="10.42578125" customWidth="1"/>
    <col min="11280" max="11280" width="10.140625" customWidth="1"/>
    <col min="11281" max="11282" width="7.140625" customWidth="1"/>
    <col min="11283" max="11283" width="13.42578125" customWidth="1"/>
    <col min="11284" max="11284" width="12" customWidth="1"/>
    <col min="11285" max="11285" width="11.7109375" customWidth="1"/>
    <col min="11286" max="11286" width="9.42578125" customWidth="1"/>
    <col min="11287" max="11287" width="7.42578125" customWidth="1"/>
    <col min="11288" max="11289" width="11.7109375" customWidth="1"/>
    <col min="11290" max="11290" width="12.28515625" customWidth="1"/>
    <col min="11291" max="11291" width="9.42578125" customWidth="1"/>
    <col min="11292" max="11292" width="8.42578125" customWidth="1"/>
    <col min="11293" max="11293" width="10.85546875" customWidth="1"/>
    <col min="11294" max="11294" width="9.7109375" customWidth="1"/>
    <col min="11295" max="11295" width="11.42578125" customWidth="1"/>
    <col min="11296" max="11296" width="8.42578125" customWidth="1"/>
    <col min="11297" max="11297" width="10.28515625" customWidth="1"/>
    <col min="11298" max="11298" width="12.140625" customWidth="1"/>
    <col min="11299" max="11299" width="13.42578125" customWidth="1"/>
    <col min="11300" max="11300" width="12.140625" customWidth="1"/>
    <col min="11301" max="11301" width="9.42578125" customWidth="1"/>
    <col min="11302" max="11302" width="7.7109375" customWidth="1"/>
    <col min="11303" max="11303" width="10.7109375" customWidth="1"/>
    <col min="11304" max="11304" width="11" customWidth="1"/>
    <col min="11305" max="11305" width="12" customWidth="1"/>
    <col min="11306" max="11306" width="9.85546875" customWidth="1"/>
    <col min="11307" max="11307" width="7.7109375" customWidth="1"/>
    <col min="11308" max="11308" width="10.5703125" customWidth="1"/>
    <col min="11309" max="11309" width="12.42578125" customWidth="1"/>
    <col min="11310" max="11310" width="13.42578125" customWidth="1"/>
    <col min="11311" max="11311" width="9.42578125" customWidth="1"/>
    <col min="11312" max="11312" width="8.42578125" customWidth="1"/>
    <col min="11313" max="11316" width="10" customWidth="1"/>
    <col min="11317" max="11317" width="7.7109375" customWidth="1"/>
    <col min="11318" max="11320" width="11.28515625" customWidth="1"/>
    <col min="11321" max="11321" width="11.85546875" customWidth="1"/>
    <col min="11322" max="11322" width="9.28515625" bestFit="1" customWidth="1"/>
    <col min="11521" max="11521" width="26.140625" customWidth="1"/>
    <col min="11522" max="11522" width="7.42578125" customWidth="1"/>
    <col min="11523" max="11523" width="15.42578125" customWidth="1"/>
    <col min="11524" max="11524" width="11.42578125" customWidth="1"/>
    <col min="11525" max="11525" width="12.85546875" customWidth="1"/>
    <col min="11526" max="11526" width="13.42578125" customWidth="1"/>
    <col min="11527" max="11527" width="10.7109375" customWidth="1"/>
    <col min="11528" max="11528" width="7.85546875" customWidth="1"/>
    <col min="11529" max="11529" width="12.28515625" customWidth="1"/>
    <col min="11530" max="11531" width="10.140625" customWidth="1"/>
    <col min="11532" max="11532" width="9.5703125" customWidth="1"/>
    <col min="11533" max="11533" width="7.140625" customWidth="1"/>
    <col min="11534" max="11534" width="9.28515625" customWidth="1"/>
    <col min="11535" max="11535" width="10.42578125" customWidth="1"/>
    <col min="11536" max="11536" width="10.140625" customWidth="1"/>
    <col min="11537" max="11538" width="7.140625" customWidth="1"/>
    <col min="11539" max="11539" width="13.42578125" customWidth="1"/>
    <col min="11540" max="11540" width="12" customWidth="1"/>
    <col min="11541" max="11541" width="11.7109375" customWidth="1"/>
    <col min="11542" max="11542" width="9.42578125" customWidth="1"/>
    <col min="11543" max="11543" width="7.42578125" customWidth="1"/>
    <col min="11544" max="11545" width="11.7109375" customWidth="1"/>
    <col min="11546" max="11546" width="12.28515625" customWidth="1"/>
    <col min="11547" max="11547" width="9.42578125" customWidth="1"/>
    <col min="11548" max="11548" width="8.42578125" customWidth="1"/>
    <col min="11549" max="11549" width="10.85546875" customWidth="1"/>
    <col min="11550" max="11550" width="9.7109375" customWidth="1"/>
    <col min="11551" max="11551" width="11.42578125" customWidth="1"/>
    <col min="11552" max="11552" width="8.42578125" customWidth="1"/>
    <col min="11553" max="11553" width="10.28515625" customWidth="1"/>
    <col min="11554" max="11554" width="12.140625" customWidth="1"/>
    <col min="11555" max="11555" width="13.42578125" customWidth="1"/>
    <col min="11556" max="11556" width="12.140625" customWidth="1"/>
    <col min="11557" max="11557" width="9.42578125" customWidth="1"/>
    <col min="11558" max="11558" width="7.7109375" customWidth="1"/>
    <col min="11559" max="11559" width="10.7109375" customWidth="1"/>
    <col min="11560" max="11560" width="11" customWidth="1"/>
    <col min="11561" max="11561" width="12" customWidth="1"/>
    <col min="11562" max="11562" width="9.85546875" customWidth="1"/>
    <col min="11563" max="11563" width="7.7109375" customWidth="1"/>
    <col min="11564" max="11564" width="10.5703125" customWidth="1"/>
    <col min="11565" max="11565" width="12.42578125" customWidth="1"/>
    <col min="11566" max="11566" width="13.42578125" customWidth="1"/>
    <col min="11567" max="11567" width="9.42578125" customWidth="1"/>
    <col min="11568" max="11568" width="8.42578125" customWidth="1"/>
    <col min="11569" max="11572" width="10" customWidth="1"/>
    <col min="11573" max="11573" width="7.7109375" customWidth="1"/>
    <col min="11574" max="11576" width="11.28515625" customWidth="1"/>
    <col min="11577" max="11577" width="11.85546875" customWidth="1"/>
    <col min="11578" max="11578" width="9.28515625" bestFit="1" customWidth="1"/>
    <col min="11777" max="11777" width="26.140625" customWidth="1"/>
    <col min="11778" max="11778" width="7.42578125" customWidth="1"/>
    <col min="11779" max="11779" width="15.42578125" customWidth="1"/>
    <col min="11780" max="11780" width="11.42578125" customWidth="1"/>
    <col min="11781" max="11781" width="12.85546875" customWidth="1"/>
    <col min="11782" max="11782" width="13.42578125" customWidth="1"/>
    <col min="11783" max="11783" width="10.7109375" customWidth="1"/>
    <col min="11784" max="11784" width="7.85546875" customWidth="1"/>
    <col min="11785" max="11785" width="12.28515625" customWidth="1"/>
    <col min="11786" max="11787" width="10.140625" customWidth="1"/>
    <col min="11788" max="11788" width="9.5703125" customWidth="1"/>
    <col min="11789" max="11789" width="7.140625" customWidth="1"/>
    <col min="11790" max="11790" width="9.28515625" customWidth="1"/>
    <col min="11791" max="11791" width="10.42578125" customWidth="1"/>
    <col min="11792" max="11792" width="10.140625" customWidth="1"/>
    <col min="11793" max="11794" width="7.140625" customWidth="1"/>
    <col min="11795" max="11795" width="13.42578125" customWidth="1"/>
    <col min="11796" max="11796" width="12" customWidth="1"/>
    <col min="11797" max="11797" width="11.7109375" customWidth="1"/>
    <col min="11798" max="11798" width="9.42578125" customWidth="1"/>
    <col min="11799" max="11799" width="7.42578125" customWidth="1"/>
    <col min="11800" max="11801" width="11.7109375" customWidth="1"/>
    <col min="11802" max="11802" width="12.28515625" customWidth="1"/>
    <col min="11803" max="11803" width="9.42578125" customWidth="1"/>
    <col min="11804" max="11804" width="8.42578125" customWidth="1"/>
    <col min="11805" max="11805" width="10.85546875" customWidth="1"/>
    <col min="11806" max="11806" width="9.7109375" customWidth="1"/>
    <col min="11807" max="11807" width="11.42578125" customWidth="1"/>
    <col min="11808" max="11808" width="8.42578125" customWidth="1"/>
    <col min="11809" max="11809" width="10.28515625" customWidth="1"/>
    <col min="11810" max="11810" width="12.140625" customWidth="1"/>
    <col min="11811" max="11811" width="13.42578125" customWidth="1"/>
    <col min="11812" max="11812" width="12.140625" customWidth="1"/>
    <col min="11813" max="11813" width="9.42578125" customWidth="1"/>
    <col min="11814" max="11814" width="7.7109375" customWidth="1"/>
    <col min="11815" max="11815" width="10.7109375" customWidth="1"/>
    <col min="11816" max="11816" width="11" customWidth="1"/>
    <col min="11817" max="11817" width="12" customWidth="1"/>
    <col min="11818" max="11818" width="9.85546875" customWidth="1"/>
    <col min="11819" max="11819" width="7.7109375" customWidth="1"/>
    <col min="11820" max="11820" width="10.5703125" customWidth="1"/>
    <col min="11821" max="11821" width="12.42578125" customWidth="1"/>
    <col min="11822" max="11822" width="13.42578125" customWidth="1"/>
    <col min="11823" max="11823" width="9.42578125" customWidth="1"/>
    <col min="11824" max="11824" width="8.42578125" customWidth="1"/>
    <col min="11825" max="11828" width="10" customWidth="1"/>
    <col min="11829" max="11829" width="7.7109375" customWidth="1"/>
    <col min="11830" max="11832" width="11.28515625" customWidth="1"/>
    <col min="11833" max="11833" width="11.85546875" customWidth="1"/>
    <col min="11834" max="11834" width="9.28515625" bestFit="1" customWidth="1"/>
    <col min="12033" max="12033" width="26.140625" customWidth="1"/>
    <col min="12034" max="12034" width="7.42578125" customWidth="1"/>
    <col min="12035" max="12035" width="15.42578125" customWidth="1"/>
    <col min="12036" max="12036" width="11.42578125" customWidth="1"/>
    <col min="12037" max="12037" width="12.85546875" customWidth="1"/>
    <col min="12038" max="12038" width="13.42578125" customWidth="1"/>
    <col min="12039" max="12039" width="10.7109375" customWidth="1"/>
    <col min="12040" max="12040" width="7.85546875" customWidth="1"/>
    <col min="12041" max="12041" width="12.28515625" customWidth="1"/>
    <col min="12042" max="12043" width="10.140625" customWidth="1"/>
    <col min="12044" max="12044" width="9.5703125" customWidth="1"/>
    <col min="12045" max="12045" width="7.140625" customWidth="1"/>
    <col min="12046" max="12046" width="9.28515625" customWidth="1"/>
    <col min="12047" max="12047" width="10.42578125" customWidth="1"/>
    <col min="12048" max="12048" width="10.140625" customWidth="1"/>
    <col min="12049" max="12050" width="7.140625" customWidth="1"/>
    <col min="12051" max="12051" width="13.42578125" customWidth="1"/>
    <col min="12052" max="12052" width="12" customWidth="1"/>
    <col min="12053" max="12053" width="11.7109375" customWidth="1"/>
    <col min="12054" max="12054" width="9.42578125" customWidth="1"/>
    <col min="12055" max="12055" width="7.42578125" customWidth="1"/>
    <col min="12056" max="12057" width="11.7109375" customWidth="1"/>
    <col min="12058" max="12058" width="12.28515625" customWidth="1"/>
    <col min="12059" max="12059" width="9.42578125" customWidth="1"/>
    <col min="12060" max="12060" width="8.42578125" customWidth="1"/>
    <col min="12061" max="12061" width="10.85546875" customWidth="1"/>
    <col min="12062" max="12062" width="9.7109375" customWidth="1"/>
    <col min="12063" max="12063" width="11.42578125" customWidth="1"/>
    <col min="12064" max="12064" width="8.42578125" customWidth="1"/>
    <col min="12065" max="12065" width="10.28515625" customWidth="1"/>
    <col min="12066" max="12066" width="12.140625" customWidth="1"/>
    <col min="12067" max="12067" width="13.42578125" customWidth="1"/>
    <col min="12068" max="12068" width="12.140625" customWidth="1"/>
    <col min="12069" max="12069" width="9.42578125" customWidth="1"/>
    <col min="12070" max="12070" width="7.7109375" customWidth="1"/>
    <col min="12071" max="12071" width="10.7109375" customWidth="1"/>
    <col min="12072" max="12072" width="11" customWidth="1"/>
    <col min="12073" max="12073" width="12" customWidth="1"/>
    <col min="12074" max="12074" width="9.85546875" customWidth="1"/>
    <col min="12075" max="12075" width="7.7109375" customWidth="1"/>
    <col min="12076" max="12076" width="10.5703125" customWidth="1"/>
    <col min="12077" max="12077" width="12.42578125" customWidth="1"/>
    <col min="12078" max="12078" width="13.42578125" customWidth="1"/>
    <col min="12079" max="12079" width="9.42578125" customWidth="1"/>
    <col min="12080" max="12080" width="8.42578125" customWidth="1"/>
    <col min="12081" max="12084" width="10" customWidth="1"/>
    <col min="12085" max="12085" width="7.7109375" customWidth="1"/>
    <col min="12086" max="12088" width="11.28515625" customWidth="1"/>
    <col min="12089" max="12089" width="11.85546875" customWidth="1"/>
    <col min="12090" max="12090" width="9.28515625" bestFit="1" customWidth="1"/>
    <col min="12289" max="12289" width="26.140625" customWidth="1"/>
    <col min="12290" max="12290" width="7.42578125" customWidth="1"/>
    <col min="12291" max="12291" width="15.42578125" customWidth="1"/>
    <col min="12292" max="12292" width="11.42578125" customWidth="1"/>
    <col min="12293" max="12293" width="12.85546875" customWidth="1"/>
    <col min="12294" max="12294" width="13.42578125" customWidth="1"/>
    <col min="12295" max="12295" width="10.7109375" customWidth="1"/>
    <col min="12296" max="12296" width="7.85546875" customWidth="1"/>
    <col min="12297" max="12297" width="12.28515625" customWidth="1"/>
    <col min="12298" max="12299" width="10.140625" customWidth="1"/>
    <col min="12300" max="12300" width="9.5703125" customWidth="1"/>
    <col min="12301" max="12301" width="7.140625" customWidth="1"/>
    <col min="12302" max="12302" width="9.28515625" customWidth="1"/>
    <col min="12303" max="12303" width="10.42578125" customWidth="1"/>
    <col min="12304" max="12304" width="10.140625" customWidth="1"/>
    <col min="12305" max="12306" width="7.140625" customWidth="1"/>
    <col min="12307" max="12307" width="13.42578125" customWidth="1"/>
    <col min="12308" max="12308" width="12" customWidth="1"/>
    <col min="12309" max="12309" width="11.7109375" customWidth="1"/>
    <col min="12310" max="12310" width="9.42578125" customWidth="1"/>
    <col min="12311" max="12311" width="7.42578125" customWidth="1"/>
    <col min="12312" max="12313" width="11.7109375" customWidth="1"/>
    <col min="12314" max="12314" width="12.28515625" customWidth="1"/>
    <col min="12315" max="12315" width="9.42578125" customWidth="1"/>
    <col min="12316" max="12316" width="8.42578125" customWidth="1"/>
    <col min="12317" max="12317" width="10.85546875" customWidth="1"/>
    <col min="12318" max="12318" width="9.7109375" customWidth="1"/>
    <col min="12319" max="12319" width="11.42578125" customWidth="1"/>
    <col min="12320" max="12320" width="8.42578125" customWidth="1"/>
    <col min="12321" max="12321" width="10.28515625" customWidth="1"/>
    <col min="12322" max="12322" width="12.140625" customWidth="1"/>
    <col min="12323" max="12323" width="13.42578125" customWidth="1"/>
    <col min="12324" max="12324" width="12.140625" customWidth="1"/>
    <col min="12325" max="12325" width="9.42578125" customWidth="1"/>
    <col min="12326" max="12326" width="7.7109375" customWidth="1"/>
    <col min="12327" max="12327" width="10.7109375" customWidth="1"/>
    <col min="12328" max="12328" width="11" customWidth="1"/>
    <col min="12329" max="12329" width="12" customWidth="1"/>
    <col min="12330" max="12330" width="9.85546875" customWidth="1"/>
    <col min="12331" max="12331" width="7.7109375" customWidth="1"/>
    <col min="12332" max="12332" width="10.5703125" customWidth="1"/>
    <col min="12333" max="12333" width="12.42578125" customWidth="1"/>
    <col min="12334" max="12334" width="13.42578125" customWidth="1"/>
    <col min="12335" max="12335" width="9.42578125" customWidth="1"/>
    <col min="12336" max="12336" width="8.42578125" customWidth="1"/>
    <col min="12337" max="12340" width="10" customWidth="1"/>
    <col min="12341" max="12341" width="7.7109375" customWidth="1"/>
    <col min="12342" max="12344" width="11.28515625" customWidth="1"/>
    <col min="12345" max="12345" width="11.85546875" customWidth="1"/>
    <col min="12346" max="12346" width="9.28515625" bestFit="1" customWidth="1"/>
    <col min="12545" max="12545" width="26.140625" customWidth="1"/>
    <col min="12546" max="12546" width="7.42578125" customWidth="1"/>
    <col min="12547" max="12547" width="15.42578125" customWidth="1"/>
    <col min="12548" max="12548" width="11.42578125" customWidth="1"/>
    <col min="12549" max="12549" width="12.85546875" customWidth="1"/>
    <col min="12550" max="12550" width="13.42578125" customWidth="1"/>
    <col min="12551" max="12551" width="10.7109375" customWidth="1"/>
    <col min="12552" max="12552" width="7.85546875" customWidth="1"/>
    <col min="12553" max="12553" width="12.28515625" customWidth="1"/>
    <col min="12554" max="12555" width="10.140625" customWidth="1"/>
    <col min="12556" max="12556" width="9.5703125" customWidth="1"/>
    <col min="12557" max="12557" width="7.140625" customWidth="1"/>
    <col min="12558" max="12558" width="9.28515625" customWidth="1"/>
    <col min="12559" max="12559" width="10.42578125" customWidth="1"/>
    <col min="12560" max="12560" width="10.140625" customWidth="1"/>
    <col min="12561" max="12562" width="7.140625" customWidth="1"/>
    <col min="12563" max="12563" width="13.42578125" customWidth="1"/>
    <col min="12564" max="12564" width="12" customWidth="1"/>
    <col min="12565" max="12565" width="11.7109375" customWidth="1"/>
    <col min="12566" max="12566" width="9.42578125" customWidth="1"/>
    <col min="12567" max="12567" width="7.42578125" customWidth="1"/>
    <col min="12568" max="12569" width="11.7109375" customWidth="1"/>
    <col min="12570" max="12570" width="12.28515625" customWidth="1"/>
    <col min="12571" max="12571" width="9.42578125" customWidth="1"/>
    <col min="12572" max="12572" width="8.42578125" customWidth="1"/>
    <col min="12573" max="12573" width="10.85546875" customWidth="1"/>
    <col min="12574" max="12574" width="9.7109375" customWidth="1"/>
    <col min="12575" max="12575" width="11.42578125" customWidth="1"/>
    <col min="12576" max="12576" width="8.42578125" customWidth="1"/>
    <col min="12577" max="12577" width="10.28515625" customWidth="1"/>
    <col min="12578" max="12578" width="12.140625" customWidth="1"/>
    <col min="12579" max="12579" width="13.42578125" customWidth="1"/>
    <col min="12580" max="12580" width="12.140625" customWidth="1"/>
    <col min="12581" max="12581" width="9.42578125" customWidth="1"/>
    <col min="12582" max="12582" width="7.7109375" customWidth="1"/>
    <col min="12583" max="12583" width="10.7109375" customWidth="1"/>
    <col min="12584" max="12584" width="11" customWidth="1"/>
    <col min="12585" max="12585" width="12" customWidth="1"/>
    <col min="12586" max="12586" width="9.85546875" customWidth="1"/>
    <col min="12587" max="12587" width="7.7109375" customWidth="1"/>
    <col min="12588" max="12588" width="10.5703125" customWidth="1"/>
    <col min="12589" max="12589" width="12.42578125" customWidth="1"/>
    <col min="12590" max="12590" width="13.42578125" customWidth="1"/>
    <col min="12591" max="12591" width="9.42578125" customWidth="1"/>
    <col min="12592" max="12592" width="8.42578125" customWidth="1"/>
    <col min="12593" max="12596" width="10" customWidth="1"/>
    <col min="12597" max="12597" width="7.7109375" customWidth="1"/>
    <col min="12598" max="12600" width="11.28515625" customWidth="1"/>
    <col min="12601" max="12601" width="11.85546875" customWidth="1"/>
    <col min="12602" max="12602" width="9.28515625" bestFit="1" customWidth="1"/>
    <col min="12801" max="12801" width="26.140625" customWidth="1"/>
    <col min="12802" max="12802" width="7.42578125" customWidth="1"/>
    <col min="12803" max="12803" width="15.42578125" customWidth="1"/>
    <col min="12804" max="12804" width="11.42578125" customWidth="1"/>
    <col min="12805" max="12805" width="12.85546875" customWidth="1"/>
    <col min="12806" max="12806" width="13.42578125" customWidth="1"/>
    <col min="12807" max="12807" width="10.7109375" customWidth="1"/>
    <col min="12808" max="12808" width="7.85546875" customWidth="1"/>
    <col min="12809" max="12809" width="12.28515625" customWidth="1"/>
    <col min="12810" max="12811" width="10.140625" customWidth="1"/>
    <col min="12812" max="12812" width="9.5703125" customWidth="1"/>
    <col min="12813" max="12813" width="7.140625" customWidth="1"/>
    <col min="12814" max="12814" width="9.28515625" customWidth="1"/>
    <col min="12815" max="12815" width="10.42578125" customWidth="1"/>
    <col min="12816" max="12816" width="10.140625" customWidth="1"/>
    <col min="12817" max="12818" width="7.140625" customWidth="1"/>
    <col min="12819" max="12819" width="13.42578125" customWidth="1"/>
    <col min="12820" max="12820" width="12" customWidth="1"/>
    <col min="12821" max="12821" width="11.7109375" customWidth="1"/>
    <col min="12822" max="12822" width="9.42578125" customWidth="1"/>
    <col min="12823" max="12823" width="7.42578125" customWidth="1"/>
    <col min="12824" max="12825" width="11.7109375" customWidth="1"/>
    <col min="12826" max="12826" width="12.28515625" customWidth="1"/>
    <col min="12827" max="12827" width="9.42578125" customWidth="1"/>
    <col min="12828" max="12828" width="8.42578125" customWidth="1"/>
    <col min="12829" max="12829" width="10.85546875" customWidth="1"/>
    <col min="12830" max="12830" width="9.7109375" customWidth="1"/>
    <col min="12831" max="12831" width="11.42578125" customWidth="1"/>
    <col min="12832" max="12832" width="8.42578125" customWidth="1"/>
    <col min="12833" max="12833" width="10.28515625" customWidth="1"/>
    <col min="12834" max="12834" width="12.140625" customWidth="1"/>
    <col min="12835" max="12835" width="13.42578125" customWidth="1"/>
    <col min="12836" max="12836" width="12.140625" customWidth="1"/>
    <col min="12837" max="12837" width="9.42578125" customWidth="1"/>
    <col min="12838" max="12838" width="7.7109375" customWidth="1"/>
    <col min="12839" max="12839" width="10.7109375" customWidth="1"/>
    <col min="12840" max="12840" width="11" customWidth="1"/>
    <col min="12841" max="12841" width="12" customWidth="1"/>
    <col min="12842" max="12842" width="9.85546875" customWidth="1"/>
    <col min="12843" max="12843" width="7.7109375" customWidth="1"/>
    <col min="12844" max="12844" width="10.5703125" customWidth="1"/>
    <col min="12845" max="12845" width="12.42578125" customWidth="1"/>
    <col min="12846" max="12846" width="13.42578125" customWidth="1"/>
    <col min="12847" max="12847" width="9.42578125" customWidth="1"/>
    <col min="12848" max="12848" width="8.42578125" customWidth="1"/>
    <col min="12849" max="12852" width="10" customWidth="1"/>
    <col min="12853" max="12853" width="7.7109375" customWidth="1"/>
    <col min="12854" max="12856" width="11.28515625" customWidth="1"/>
    <col min="12857" max="12857" width="11.85546875" customWidth="1"/>
    <col min="12858" max="12858" width="9.28515625" bestFit="1" customWidth="1"/>
    <col min="13057" max="13057" width="26.140625" customWidth="1"/>
    <col min="13058" max="13058" width="7.42578125" customWidth="1"/>
    <col min="13059" max="13059" width="15.42578125" customWidth="1"/>
    <col min="13060" max="13060" width="11.42578125" customWidth="1"/>
    <col min="13061" max="13061" width="12.85546875" customWidth="1"/>
    <col min="13062" max="13062" width="13.42578125" customWidth="1"/>
    <col min="13063" max="13063" width="10.7109375" customWidth="1"/>
    <col min="13064" max="13064" width="7.85546875" customWidth="1"/>
    <col min="13065" max="13065" width="12.28515625" customWidth="1"/>
    <col min="13066" max="13067" width="10.140625" customWidth="1"/>
    <col min="13068" max="13068" width="9.5703125" customWidth="1"/>
    <col min="13069" max="13069" width="7.140625" customWidth="1"/>
    <col min="13070" max="13070" width="9.28515625" customWidth="1"/>
    <col min="13071" max="13071" width="10.42578125" customWidth="1"/>
    <col min="13072" max="13072" width="10.140625" customWidth="1"/>
    <col min="13073" max="13074" width="7.140625" customWidth="1"/>
    <col min="13075" max="13075" width="13.42578125" customWidth="1"/>
    <col min="13076" max="13076" width="12" customWidth="1"/>
    <col min="13077" max="13077" width="11.7109375" customWidth="1"/>
    <col min="13078" max="13078" width="9.42578125" customWidth="1"/>
    <col min="13079" max="13079" width="7.42578125" customWidth="1"/>
    <col min="13080" max="13081" width="11.7109375" customWidth="1"/>
    <col min="13082" max="13082" width="12.28515625" customWidth="1"/>
    <col min="13083" max="13083" width="9.42578125" customWidth="1"/>
    <col min="13084" max="13084" width="8.42578125" customWidth="1"/>
    <col min="13085" max="13085" width="10.85546875" customWidth="1"/>
    <col min="13086" max="13086" width="9.7109375" customWidth="1"/>
    <col min="13087" max="13087" width="11.42578125" customWidth="1"/>
    <col min="13088" max="13088" width="8.42578125" customWidth="1"/>
    <col min="13089" max="13089" width="10.28515625" customWidth="1"/>
    <col min="13090" max="13090" width="12.140625" customWidth="1"/>
    <col min="13091" max="13091" width="13.42578125" customWidth="1"/>
    <col min="13092" max="13092" width="12.140625" customWidth="1"/>
    <col min="13093" max="13093" width="9.42578125" customWidth="1"/>
    <col min="13094" max="13094" width="7.7109375" customWidth="1"/>
    <col min="13095" max="13095" width="10.7109375" customWidth="1"/>
    <col min="13096" max="13096" width="11" customWidth="1"/>
    <col min="13097" max="13097" width="12" customWidth="1"/>
    <col min="13098" max="13098" width="9.85546875" customWidth="1"/>
    <col min="13099" max="13099" width="7.7109375" customWidth="1"/>
    <col min="13100" max="13100" width="10.5703125" customWidth="1"/>
    <col min="13101" max="13101" width="12.42578125" customWidth="1"/>
    <col min="13102" max="13102" width="13.42578125" customWidth="1"/>
    <col min="13103" max="13103" width="9.42578125" customWidth="1"/>
    <col min="13104" max="13104" width="8.42578125" customWidth="1"/>
    <col min="13105" max="13108" width="10" customWidth="1"/>
    <col min="13109" max="13109" width="7.7109375" customWidth="1"/>
    <col min="13110" max="13112" width="11.28515625" customWidth="1"/>
    <col min="13113" max="13113" width="11.85546875" customWidth="1"/>
    <col min="13114" max="13114" width="9.28515625" bestFit="1" customWidth="1"/>
    <col min="13313" max="13313" width="26.140625" customWidth="1"/>
    <col min="13314" max="13314" width="7.42578125" customWidth="1"/>
    <col min="13315" max="13315" width="15.42578125" customWidth="1"/>
    <col min="13316" max="13316" width="11.42578125" customWidth="1"/>
    <col min="13317" max="13317" width="12.85546875" customWidth="1"/>
    <col min="13318" max="13318" width="13.42578125" customWidth="1"/>
    <col min="13319" max="13319" width="10.7109375" customWidth="1"/>
    <col min="13320" max="13320" width="7.85546875" customWidth="1"/>
    <col min="13321" max="13321" width="12.28515625" customWidth="1"/>
    <col min="13322" max="13323" width="10.140625" customWidth="1"/>
    <col min="13324" max="13324" width="9.5703125" customWidth="1"/>
    <col min="13325" max="13325" width="7.140625" customWidth="1"/>
    <col min="13326" max="13326" width="9.28515625" customWidth="1"/>
    <col min="13327" max="13327" width="10.42578125" customWidth="1"/>
    <col min="13328" max="13328" width="10.140625" customWidth="1"/>
    <col min="13329" max="13330" width="7.140625" customWidth="1"/>
    <col min="13331" max="13331" width="13.42578125" customWidth="1"/>
    <col min="13332" max="13332" width="12" customWidth="1"/>
    <col min="13333" max="13333" width="11.7109375" customWidth="1"/>
    <col min="13334" max="13334" width="9.42578125" customWidth="1"/>
    <col min="13335" max="13335" width="7.42578125" customWidth="1"/>
    <col min="13336" max="13337" width="11.7109375" customWidth="1"/>
    <col min="13338" max="13338" width="12.28515625" customWidth="1"/>
    <col min="13339" max="13339" width="9.42578125" customWidth="1"/>
    <col min="13340" max="13340" width="8.42578125" customWidth="1"/>
    <col min="13341" max="13341" width="10.85546875" customWidth="1"/>
    <col min="13342" max="13342" width="9.7109375" customWidth="1"/>
    <col min="13343" max="13343" width="11.42578125" customWidth="1"/>
    <col min="13344" max="13344" width="8.42578125" customWidth="1"/>
    <col min="13345" max="13345" width="10.28515625" customWidth="1"/>
    <col min="13346" max="13346" width="12.140625" customWidth="1"/>
    <col min="13347" max="13347" width="13.42578125" customWidth="1"/>
    <col min="13348" max="13348" width="12.140625" customWidth="1"/>
    <col min="13349" max="13349" width="9.42578125" customWidth="1"/>
    <col min="13350" max="13350" width="7.7109375" customWidth="1"/>
    <col min="13351" max="13351" width="10.7109375" customWidth="1"/>
    <col min="13352" max="13352" width="11" customWidth="1"/>
    <col min="13353" max="13353" width="12" customWidth="1"/>
    <col min="13354" max="13354" width="9.85546875" customWidth="1"/>
    <col min="13355" max="13355" width="7.7109375" customWidth="1"/>
    <col min="13356" max="13356" width="10.5703125" customWidth="1"/>
    <col min="13357" max="13357" width="12.42578125" customWidth="1"/>
    <col min="13358" max="13358" width="13.42578125" customWidth="1"/>
    <col min="13359" max="13359" width="9.42578125" customWidth="1"/>
    <col min="13360" max="13360" width="8.42578125" customWidth="1"/>
    <col min="13361" max="13364" width="10" customWidth="1"/>
    <col min="13365" max="13365" width="7.7109375" customWidth="1"/>
    <col min="13366" max="13368" width="11.28515625" customWidth="1"/>
    <col min="13369" max="13369" width="11.85546875" customWidth="1"/>
    <col min="13370" max="13370" width="9.28515625" bestFit="1" customWidth="1"/>
    <col min="13569" max="13569" width="26.140625" customWidth="1"/>
    <col min="13570" max="13570" width="7.42578125" customWidth="1"/>
    <col min="13571" max="13571" width="15.42578125" customWidth="1"/>
    <col min="13572" max="13572" width="11.42578125" customWidth="1"/>
    <col min="13573" max="13573" width="12.85546875" customWidth="1"/>
    <col min="13574" max="13574" width="13.42578125" customWidth="1"/>
    <col min="13575" max="13575" width="10.7109375" customWidth="1"/>
    <col min="13576" max="13576" width="7.85546875" customWidth="1"/>
    <col min="13577" max="13577" width="12.28515625" customWidth="1"/>
    <col min="13578" max="13579" width="10.140625" customWidth="1"/>
    <col min="13580" max="13580" width="9.5703125" customWidth="1"/>
    <col min="13581" max="13581" width="7.140625" customWidth="1"/>
    <col min="13582" max="13582" width="9.28515625" customWidth="1"/>
    <col min="13583" max="13583" width="10.42578125" customWidth="1"/>
    <col min="13584" max="13584" width="10.140625" customWidth="1"/>
    <col min="13585" max="13586" width="7.140625" customWidth="1"/>
    <col min="13587" max="13587" width="13.42578125" customWidth="1"/>
    <col min="13588" max="13588" width="12" customWidth="1"/>
    <col min="13589" max="13589" width="11.7109375" customWidth="1"/>
    <col min="13590" max="13590" width="9.42578125" customWidth="1"/>
    <col min="13591" max="13591" width="7.42578125" customWidth="1"/>
    <col min="13592" max="13593" width="11.7109375" customWidth="1"/>
    <col min="13594" max="13594" width="12.28515625" customWidth="1"/>
    <col min="13595" max="13595" width="9.42578125" customWidth="1"/>
    <col min="13596" max="13596" width="8.42578125" customWidth="1"/>
    <col min="13597" max="13597" width="10.85546875" customWidth="1"/>
    <col min="13598" max="13598" width="9.7109375" customWidth="1"/>
    <col min="13599" max="13599" width="11.42578125" customWidth="1"/>
    <col min="13600" max="13600" width="8.42578125" customWidth="1"/>
    <col min="13601" max="13601" width="10.28515625" customWidth="1"/>
    <col min="13602" max="13602" width="12.140625" customWidth="1"/>
    <col min="13603" max="13603" width="13.42578125" customWidth="1"/>
    <col min="13604" max="13604" width="12.140625" customWidth="1"/>
    <col min="13605" max="13605" width="9.42578125" customWidth="1"/>
    <col min="13606" max="13606" width="7.7109375" customWidth="1"/>
    <col min="13607" max="13607" width="10.7109375" customWidth="1"/>
    <col min="13608" max="13608" width="11" customWidth="1"/>
    <col min="13609" max="13609" width="12" customWidth="1"/>
    <col min="13610" max="13610" width="9.85546875" customWidth="1"/>
    <col min="13611" max="13611" width="7.7109375" customWidth="1"/>
    <col min="13612" max="13612" width="10.5703125" customWidth="1"/>
    <col min="13613" max="13613" width="12.42578125" customWidth="1"/>
    <col min="13614" max="13614" width="13.42578125" customWidth="1"/>
    <col min="13615" max="13615" width="9.42578125" customWidth="1"/>
    <col min="13616" max="13616" width="8.42578125" customWidth="1"/>
    <col min="13617" max="13620" width="10" customWidth="1"/>
    <col min="13621" max="13621" width="7.7109375" customWidth="1"/>
    <col min="13622" max="13624" width="11.28515625" customWidth="1"/>
    <col min="13625" max="13625" width="11.85546875" customWidth="1"/>
    <col min="13626" max="13626" width="9.28515625" bestFit="1" customWidth="1"/>
    <col min="13825" max="13825" width="26.140625" customWidth="1"/>
    <col min="13826" max="13826" width="7.42578125" customWidth="1"/>
    <col min="13827" max="13827" width="15.42578125" customWidth="1"/>
    <col min="13828" max="13828" width="11.42578125" customWidth="1"/>
    <col min="13829" max="13829" width="12.85546875" customWidth="1"/>
    <col min="13830" max="13830" width="13.42578125" customWidth="1"/>
    <col min="13831" max="13831" width="10.7109375" customWidth="1"/>
    <col min="13832" max="13832" width="7.85546875" customWidth="1"/>
    <col min="13833" max="13833" width="12.28515625" customWidth="1"/>
    <col min="13834" max="13835" width="10.140625" customWidth="1"/>
    <col min="13836" max="13836" width="9.5703125" customWidth="1"/>
    <col min="13837" max="13837" width="7.140625" customWidth="1"/>
    <col min="13838" max="13838" width="9.28515625" customWidth="1"/>
    <col min="13839" max="13839" width="10.42578125" customWidth="1"/>
    <col min="13840" max="13840" width="10.140625" customWidth="1"/>
    <col min="13841" max="13842" width="7.140625" customWidth="1"/>
    <col min="13843" max="13843" width="13.42578125" customWidth="1"/>
    <col min="13844" max="13844" width="12" customWidth="1"/>
    <col min="13845" max="13845" width="11.7109375" customWidth="1"/>
    <col min="13846" max="13846" width="9.42578125" customWidth="1"/>
    <col min="13847" max="13847" width="7.42578125" customWidth="1"/>
    <col min="13848" max="13849" width="11.7109375" customWidth="1"/>
    <col min="13850" max="13850" width="12.28515625" customWidth="1"/>
    <col min="13851" max="13851" width="9.42578125" customWidth="1"/>
    <col min="13852" max="13852" width="8.42578125" customWidth="1"/>
    <col min="13853" max="13853" width="10.85546875" customWidth="1"/>
    <col min="13854" max="13854" width="9.7109375" customWidth="1"/>
    <col min="13855" max="13855" width="11.42578125" customWidth="1"/>
    <col min="13856" max="13856" width="8.42578125" customWidth="1"/>
    <col min="13857" max="13857" width="10.28515625" customWidth="1"/>
    <col min="13858" max="13858" width="12.140625" customWidth="1"/>
    <col min="13859" max="13859" width="13.42578125" customWidth="1"/>
    <col min="13860" max="13860" width="12.140625" customWidth="1"/>
    <col min="13861" max="13861" width="9.42578125" customWidth="1"/>
    <col min="13862" max="13862" width="7.7109375" customWidth="1"/>
    <col min="13863" max="13863" width="10.7109375" customWidth="1"/>
    <col min="13864" max="13864" width="11" customWidth="1"/>
    <col min="13865" max="13865" width="12" customWidth="1"/>
    <col min="13866" max="13866" width="9.85546875" customWidth="1"/>
    <col min="13867" max="13867" width="7.7109375" customWidth="1"/>
    <col min="13868" max="13868" width="10.5703125" customWidth="1"/>
    <col min="13869" max="13869" width="12.42578125" customWidth="1"/>
    <col min="13870" max="13870" width="13.42578125" customWidth="1"/>
    <col min="13871" max="13871" width="9.42578125" customWidth="1"/>
    <col min="13872" max="13872" width="8.42578125" customWidth="1"/>
    <col min="13873" max="13876" width="10" customWidth="1"/>
    <col min="13877" max="13877" width="7.7109375" customWidth="1"/>
    <col min="13878" max="13880" width="11.28515625" customWidth="1"/>
    <col min="13881" max="13881" width="11.85546875" customWidth="1"/>
    <col min="13882" max="13882" width="9.28515625" bestFit="1" customWidth="1"/>
    <col min="14081" max="14081" width="26.140625" customWidth="1"/>
    <col min="14082" max="14082" width="7.42578125" customWidth="1"/>
    <col min="14083" max="14083" width="15.42578125" customWidth="1"/>
    <col min="14084" max="14084" width="11.42578125" customWidth="1"/>
    <col min="14085" max="14085" width="12.85546875" customWidth="1"/>
    <col min="14086" max="14086" width="13.42578125" customWidth="1"/>
    <col min="14087" max="14087" width="10.7109375" customWidth="1"/>
    <col min="14088" max="14088" width="7.85546875" customWidth="1"/>
    <col min="14089" max="14089" width="12.28515625" customWidth="1"/>
    <col min="14090" max="14091" width="10.140625" customWidth="1"/>
    <col min="14092" max="14092" width="9.5703125" customWidth="1"/>
    <col min="14093" max="14093" width="7.140625" customWidth="1"/>
    <col min="14094" max="14094" width="9.28515625" customWidth="1"/>
    <col min="14095" max="14095" width="10.42578125" customWidth="1"/>
    <col min="14096" max="14096" width="10.140625" customWidth="1"/>
    <col min="14097" max="14098" width="7.140625" customWidth="1"/>
    <col min="14099" max="14099" width="13.42578125" customWidth="1"/>
    <col min="14100" max="14100" width="12" customWidth="1"/>
    <col min="14101" max="14101" width="11.7109375" customWidth="1"/>
    <col min="14102" max="14102" width="9.42578125" customWidth="1"/>
    <col min="14103" max="14103" width="7.42578125" customWidth="1"/>
    <col min="14104" max="14105" width="11.7109375" customWidth="1"/>
    <col min="14106" max="14106" width="12.28515625" customWidth="1"/>
    <col min="14107" max="14107" width="9.42578125" customWidth="1"/>
    <col min="14108" max="14108" width="8.42578125" customWidth="1"/>
    <col min="14109" max="14109" width="10.85546875" customWidth="1"/>
    <col min="14110" max="14110" width="9.7109375" customWidth="1"/>
    <col min="14111" max="14111" width="11.42578125" customWidth="1"/>
    <col min="14112" max="14112" width="8.42578125" customWidth="1"/>
    <col min="14113" max="14113" width="10.28515625" customWidth="1"/>
    <col min="14114" max="14114" width="12.140625" customWidth="1"/>
    <col min="14115" max="14115" width="13.42578125" customWidth="1"/>
    <col min="14116" max="14116" width="12.140625" customWidth="1"/>
    <col min="14117" max="14117" width="9.42578125" customWidth="1"/>
    <col min="14118" max="14118" width="7.7109375" customWidth="1"/>
    <col min="14119" max="14119" width="10.7109375" customWidth="1"/>
    <col min="14120" max="14120" width="11" customWidth="1"/>
    <col min="14121" max="14121" width="12" customWidth="1"/>
    <col min="14122" max="14122" width="9.85546875" customWidth="1"/>
    <col min="14123" max="14123" width="7.7109375" customWidth="1"/>
    <col min="14124" max="14124" width="10.5703125" customWidth="1"/>
    <col min="14125" max="14125" width="12.42578125" customWidth="1"/>
    <col min="14126" max="14126" width="13.42578125" customWidth="1"/>
    <col min="14127" max="14127" width="9.42578125" customWidth="1"/>
    <col min="14128" max="14128" width="8.42578125" customWidth="1"/>
    <col min="14129" max="14132" width="10" customWidth="1"/>
    <col min="14133" max="14133" width="7.7109375" customWidth="1"/>
    <col min="14134" max="14136" width="11.28515625" customWidth="1"/>
    <col min="14137" max="14137" width="11.85546875" customWidth="1"/>
    <col min="14138" max="14138" width="9.28515625" bestFit="1" customWidth="1"/>
    <col min="14337" max="14337" width="26.140625" customWidth="1"/>
    <col min="14338" max="14338" width="7.42578125" customWidth="1"/>
    <col min="14339" max="14339" width="15.42578125" customWidth="1"/>
    <col min="14340" max="14340" width="11.42578125" customWidth="1"/>
    <col min="14341" max="14341" width="12.85546875" customWidth="1"/>
    <col min="14342" max="14342" width="13.42578125" customWidth="1"/>
    <col min="14343" max="14343" width="10.7109375" customWidth="1"/>
    <col min="14344" max="14344" width="7.85546875" customWidth="1"/>
    <col min="14345" max="14345" width="12.28515625" customWidth="1"/>
    <col min="14346" max="14347" width="10.140625" customWidth="1"/>
    <col min="14348" max="14348" width="9.5703125" customWidth="1"/>
    <col min="14349" max="14349" width="7.140625" customWidth="1"/>
    <col min="14350" max="14350" width="9.28515625" customWidth="1"/>
    <col min="14351" max="14351" width="10.42578125" customWidth="1"/>
    <col min="14352" max="14352" width="10.140625" customWidth="1"/>
    <col min="14353" max="14354" width="7.140625" customWidth="1"/>
    <col min="14355" max="14355" width="13.42578125" customWidth="1"/>
    <col min="14356" max="14356" width="12" customWidth="1"/>
    <col min="14357" max="14357" width="11.7109375" customWidth="1"/>
    <col min="14358" max="14358" width="9.42578125" customWidth="1"/>
    <col min="14359" max="14359" width="7.42578125" customWidth="1"/>
    <col min="14360" max="14361" width="11.7109375" customWidth="1"/>
    <col min="14362" max="14362" width="12.28515625" customWidth="1"/>
    <col min="14363" max="14363" width="9.42578125" customWidth="1"/>
    <col min="14364" max="14364" width="8.42578125" customWidth="1"/>
    <col min="14365" max="14365" width="10.85546875" customWidth="1"/>
    <col min="14366" max="14366" width="9.7109375" customWidth="1"/>
    <col min="14367" max="14367" width="11.42578125" customWidth="1"/>
    <col min="14368" max="14368" width="8.42578125" customWidth="1"/>
    <col min="14369" max="14369" width="10.28515625" customWidth="1"/>
    <col min="14370" max="14370" width="12.140625" customWidth="1"/>
    <col min="14371" max="14371" width="13.42578125" customWidth="1"/>
    <col min="14372" max="14372" width="12.140625" customWidth="1"/>
    <col min="14373" max="14373" width="9.42578125" customWidth="1"/>
    <col min="14374" max="14374" width="7.7109375" customWidth="1"/>
    <col min="14375" max="14375" width="10.7109375" customWidth="1"/>
    <col min="14376" max="14376" width="11" customWidth="1"/>
    <col min="14377" max="14377" width="12" customWidth="1"/>
    <col min="14378" max="14378" width="9.85546875" customWidth="1"/>
    <col min="14379" max="14379" width="7.7109375" customWidth="1"/>
    <col min="14380" max="14380" width="10.5703125" customWidth="1"/>
    <col min="14381" max="14381" width="12.42578125" customWidth="1"/>
    <col min="14382" max="14382" width="13.42578125" customWidth="1"/>
    <col min="14383" max="14383" width="9.42578125" customWidth="1"/>
    <col min="14384" max="14384" width="8.42578125" customWidth="1"/>
    <col min="14385" max="14388" width="10" customWidth="1"/>
    <col min="14389" max="14389" width="7.7109375" customWidth="1"/>
    <col min="14390" max="14392" width="11.28515625" customWidth="1"/>
    <col min="14393" max="14393" width="11.85546875" customWidth="1"/>
    <col min="14394" max="14394" width="9.28515625" bestFit="1" customWidth="1"/>
    <col min="14593" max="14593" width="26.140625" customWidth="1"/>
    <col min="14594" max="14594" width="7.42578125" customWidth="1"/>
    <col min="14595" max="14595" width="15.42578125" customWidth="1"/>
    <col min="14596" max="14596" width="11.42578125" customWidth="1"/>
    <col min="14597" max="14597" width="12.85546875" customWidth="1"/>
    <col min="14598" max="14598" width="13.42578125" customWidth="1"/>
    <col min="14599" max="14599" width="10.7109375" customWidth="1"/>
    <col min="14600" max="14600" width="7.85546875" customWidth="1"/>
    <col min="14601" max="14601" width="12.28515625" customWidth="1"/>
    <col min="14602" max="14603" width="10.140625" customWidth="1"/>
    <col min="14604" max="14604" width="9.5703125" customWidth="1"/>
    <col min="14605" max="14605" width="7.140625" customWidth="1"/>
    <col min="14606" max="14606" width="9.28515625" customWidth="1"/>
    <col min="14607" max="14607" width="10.42578125" customWidth="1"/>
    <col min="14608" max="14608" width="10.140625" customWidth="1"/>
    <col min="14609" max="14610" width="7.140625" customWidth="1"/>
    <col min="14611" max="14611" width="13.42578125" customWidth="1"/>
    <col min="14612" max="14612" width="12" customWidth="1"/>
    <col min="14613" max="14613" width="11.7109375" customWidth="1"/>
    <col min="14614" max="14614" width="9.42578125" customWidth="1"/>
    <col min="14615" max="14615" width="7.42578125" customWidth="1"/>
    <col min="14616" max="14617" width="11.7109375" customWidth="1"/>
    <col min="14618" max="14618" width="12.28515625" customWidth="1"/>
    <col min="14619" max="14619" width="9.42578125" customWidth="1"/>
    <col min="14620" max="14620" width="8.42578125" customWidth="1"/>
    <col min="14621" max="14621" width="10.85546875" customWidth="1"/>
    <col min="14622" max="14622" width="9.7109375" customWidth="1"/>
    <col min="14623" max="14623" width="11.42578125" customWidth="1"/>
    <col min="14624" max="14624" width="8.42578125" customWidth="1"/>
    <col min="14625" max="14625" width="10.28515625" customWidth="1"/>
    <col min="14626" max="14626" width="12.140625" customWidth="1"/>
    <col min="14627" max="14627" width="13.42578125" customWidth="1"/>
    <col min="14628" max="14628" width="12.140625" customWidth="1"/>
    <col min="14629" max="14629" width="9.42578125" customWidth="1"/>
    <col min="14630" max="14630" width="7.7109375" customWidth="1"/>
    <col min="14631" max="14631" width="10.7109375" customWidth="1"/>
    <col min="14632" max="14632" width="11" customWidth="1"/>
    <col min="14633" max="14633" width="12" customWidth="1"/>
    <col min="14634" max="14634" width="9.85546875" customWidth="1"/>
    <col min="14635" max="14635" width="7.7109375" customWidth="1"/>
    <col min="14636" max="14636" width="10.5703125" customWidth="1"/>
    <col min="14637" max="14637" width="12.42578125" customWidth="1"/>
    <col min="14638" max="14638" width="13.42578125" customWidth="1"/>
    <col min="14639" max="14639" width="9.42578125" customWidth="1"/>
    <col min="14640" max="14640" width="8.42578125" customWidth="1"/>
    <col min="14641" max="14644" width="10" customWidth="1"/>
    <col min="14645" max="14645" width="7.7109375" customWidth="1"/>
    <col min="14646" max="14648" width="11.28515625" customWidth="1"/>
    <col min="14649" max="14649" width="11.85546875" customWidth="1"/>
    <col min="14650" max="14650" width="9.28515625" bestFit="1" customWidth="1"/>
    <col min="14849" max="14849" width="26.140625" customWidth="1"/>
    <col min="14850" max="14850" width="7.42578125" customWidth="1"/>
    <col min="14851" max="14851" width="15.42578125" customWidth="1"/>
    <col min="14852" max="14852" width="11.42578125" customWidth="1"/>
    <col min="14853" max="14853" width="12.85546875" customWidth="1"/>
    <col min="14854" max="14854" width="13.42578125" customWidth="1"/>
    <col min="14855" max="14855" width="10.7109375" customWidth="1"/>
    <col min="14856" max="14856" width="7.85546875" customWidth="1"/>
    <col min="14857" max="14857" width="12.28515625" customWidth="1"/>
    <col min="14858" max="14859" width="10.140625" customWidth="1"/>
    <col min="14860" max="14860" width="9.5703125" customWidth="1"/>
    <col min="14861" max="14861" width="7.140625" customWidth="1"/>
    <col min="14862" max="14862" width="9.28515625" customWidth="1"/>
    <col min="14863" max="14863" width="10.42578125" customWidth="1"/>
    <col min="14864" max="14864" width="10.140625" customWidth="1"/>
    <col min="14865" max="14866" width="7.140625" customWidth="1"/>
    <col min="14867" max="14867" width="13.42578125" customWidth="1"/>
    <col min="14868" max="14868" width="12" customWidth="1"/>
    <col min="14869" max="14869" width="11.7109375" customWidth="1"/>
    <col min="14870" max="14870" width="9.42578125" customWidth="1"/>
    <col min="14871" max="14871" width="7.42578125" customWidth="1"/>
    <col min="14872" max="14873" width="11.7109375" customWidth="1"/>
    <col min="14874" max="14874" width="12.28515625" customWidth="1"/>
    <col min="14875" max="14875" width="9.42578125" customWidth="1"/>
    <col min="14876" max="14876" width="8.42578125" customWidth="1"/>
    <col min="14877" max="14877" width="10.85546875" customWidth="1"/>
    <col min="14878" max="14878" width="9.7109375" customWidth="1"/>
    <col min="14879" max="14879" width="11.42578125" customWidth="1"/>
    <col min="14880" max="14880" width="8.42578125" customWidth="1"/>
    <col min="14881" max="14881" width="10.28515625" customWidth="1"/>
    <col min="14882" max="14882" width="12.140625" customWidth="1"/>
    <col min="14883" max="14883" width="13.42578125" customWidth="1"/>
    <col min="14884" max="14884" width="12.140625" customWidth="1"/>
    <col min="14885" max="14885" width="9.42578125" customWidth="1"/>
    <col min="14886" max="14886" width="7.7109375" customWidth="1"/>
    <col min="14887" max="14887" width="10.7109375" customWidth="1"/>
    <col min="14888" max="14888" width="11" customWidth="1"/>
    <col min="14889" max="14889" width="12" customWidth="1"/>
    <col min="14890" max="14890" width="9.85546875" customWidth="1"/>
    <col min="14891" max="14891" width="7.7109375" customWidth="1"/>
    <col min="14892" max="14892" width="10.5703125" customWidth="1"/>
    <col min="14893" max="14893" width="12.42578125" customWidth="1"/>
    <col min="14894" max="14894" width="13.42578125" customWidth="1"/>
    <col min="14895" max="14895" width="9.42578125" customWidth="1"/>
    <col min="14896" max="14896" width="8.42578125" customWidth="1"/>
    <col min="14897" max="14900" width="10" customWidth="1"/>
    <col min="14901" max="14901" width="7.7109375" customWidth="1"/>
    <col min="14902" max="14904" width="11.28515625" customWidth="1"/>
    <col min="14905" max="14905" width="11.85546875" customWidth="1"/>
    <col min="14906" max="14906" width="9.28515625" bestFit="1" customWidth="1"/>
    <col min="15105" max="15105" width="26.140625" customWidth="1"/>
    <col min="15106" max="15106" width="7.42578125" customWidth="1"/>
    <col min="15107" max="15107" width="15.42578125" customWidth="1"/>
    <col min="15108" max="15108" width="11.42578125" customWidth="1"/>
    <col min="15109" max="15109" width="12.85546875" customWidth="1"/>
    <col min="15110" max="15110" width="13.42578125" customWidth="1"/>
    <col min="15111" max="15111" width="10.7109375" customWidth="1"/>
    <col min="15112" max="15112" width="7.85546875" customWidth="1"/>
    <col min="15113" max="15113" width="12.28515625" customWidth="1"/>
    <col min="15114" max="15115" width="10.140625" customWidth="1"/>
    <col min="15116" max="15116" width="9.5703125" customWidth="1"/>
    <col min="15117" max="15117" width="7.140625" customWidth="1"/>
    <col min="15118" max="15118" width="9.28515625" customWidth="1"/>
    <col min="15119" max="15119" width="10.42578125" customWidth="1"/>
    <col min="15120" max="15120" width="10.140625" customWidth="1"/>
    <col min="15121" max="15122" width="7.140625" customWidth="1"/>
    <col min="15123" max="15123" width="13.42578125" customWidth="1"/>
    <col min="15124" max="15124" width="12" customWidth="1"/>
    <col min="15125" max="15125" width="11.7109375" customWidth="1"/>
    <col min="15126" max="15126" width="9.42578125" customWidth="1"/>
    <col min="15127" max="15127" width="7.42578125" customWidth="1"/>
    <col min="15128" max="15129" width="11.7109375" customWidth="1"/>
    <col min="15130" max="15130" width="12.28515625" customWidth="1"/>
    <col min="15131" max="15131" width="9.42578125" customWidth="1"/>
    <col min="15132" max="15132" width="8.42578125" customWidth="1"/>
    <col min="15133" max="15133" width="10.85546875" customWidth="1"/>
    <col min="15134" max="15134" width="9.7109375" customWidth="1"/>
    <col min="15135" max="15135" width="11.42578125" customWidth="1"/>
    <col min="15136" max="15136" width="8.42578125" customWidth="1"/>
    <col min="15137" max="15137" width="10.28515625" customWidth="1"/>
    <col min="15138" max="15138" width="12.140625" customWidth="1"/>
    <col min="15139" max="15139" width="13.42578125" customWidth="1"/>
    <col min="15140" max="15140" width="12.140625" customWidth="1"/>
    <col min="15141" max="15141" width="9.42578125" customWidth="1"/>
    <col min="15142" max="15142" width="7.7109375" customWidth="1"/>
    <col min="15143" max="15143" width="10.7109375" customWidth="1"/>
    <col min="15144" max="15144" width="11" customWidth="1"/>
    <col min="15145" max="15145" width="12" customWidth="1"/>
    <col min="15146" max="15146" width="9.85546875" customWidth="1"/>
    <col min="15147" max="15147" width="7.7109375" customWidth="1"/>
    <col min="15148" max="15148" width="10.5703125" customWidth="1"/>
    <col min="15149" max="15149" width="12.42578125" customWidth="1"/>
    <col min="15150" max="15150" width="13.42578125" customWidth="1"/>
    <col min="15151" max="15151" width="9.42578125" customWidth="1"/>
    <col min="15152" max="15152" width="8.42578125" customWidth="1"/>
    <col min="15153" max="15156" width="10" customWidth="1"/>
    <col min="15157" max="15157" width="7.7109375" customWidth="1"/>
    <col min="15158" max="15160" width="11.28515625" customWidth="1"/>
    <col min="15161" max="15161" width="11.85546875" customWidth="1"/>
    <col min="15162" max="15162" width="9.28515625" bestFit="1" customWidth="1"/>
    <col min="15361" max="15361" width="26.140625" customWidth="1"/>
    <col min="15362" max="15362" width="7.42578125" customWidth="1"/>
    <col min="15363" max="15363" width="15.42578125" customWidth="1"/>
    <col min="15364" max="15364" width="11.42578125" customWidth="1"/>
    <col min="15365" max="15365" width="12.85546875" customWidth="1"/>
    <col min="15366" max="15366" width="13.42578125" customWidth="1"/>
    <col min="15367" max="15367" width="10.7109375" customWidth="1"/>
    <col min="15368" max="15368" width="7.85546875" customWidth="1"/>
    <col min="15369" max="15369" width="12.28515625" customWidth="1"/>
    <col min="15370" max="15371" width="10.140625" customWidth="1"/>
    <col min="15372" max="15372" width="9.5703125" customWidth="1"/>
    <col min="15373" max="15373" width="7.140625" customWidth="1"/>
    <col min="15374" max="15374" width="9.28515625" customWidth="1"/>
    <col min="15375" max="15375" width="10.42578125" customWidth="1"/>
    <col min="15376" max="15376" width="10.140625" customWidth="1"/>
    <col min="15377" max="15378" width="7.140625" customWidth="1"/>
    <col min="15379" max="15379" width="13.42578125" customWidth="1"/>
    <col min="15380" max="15380" width="12" customWidth="1"/>
    <col min="15381" max="15381" width="11.7109375" customWidth="1"/>
    <col min="15382" max="15382" width="9.42578125" customWidth="1"/>
    <col min="15383" max="15383" width="7.42578125" customWidth="1"/>
    <col min="15384" max="15385" width="11.7109375" customWidth="1"/>
    <col min="15386" max="15386" width="12.28515625" customWidth="1"/>
    <col min="15387" max="15387" width="9.42578125" customWidth="1"/>
    <col min="15388" max="15388" width="8.42578125" customWidth="1"/>
    <col min="15389" max="15389" width="10.85546875" customWidth="1"/>
    <col min="15390" max="15390" width="9.7109375" customWidth="1"/>
    <col min="15391" max="15391" width="11.42578125" customWidth="1"/>
    <col min="15392" max="15392" width="8.42578125" customWidth="1"/>
    <col min="15393" max="15393" width="10.28515625" customWidth="1"/>
    <col min="15394" max="15394" width="12.140625" customWidth="1"/>
    <col min="15395" max="15395" width="13.42578125" customWidth="1"/>
    <col min="15396" max="15396" width="12.140625" customWidth="1"/>
    <col min="15397" max="15397" width="9.42578125" customWidth="1"/>
    <col min="15398" max="15398" width="7.7109375" customWidth="1"/>
    <col min="15399" max="15399" width="10.7109375" customWidth="1"/>
    <col min="15400" max="15400" width="11" customWidth="1"/>
    <col min="15401" max="15401" width="12" customWidth="1"/>
    <col min="15402" max="15402" width="9.85546875" customWidth="1"/>
    <col min="15403" max="15403" width="7.7109375" customWidth="1"/>
    <col min="15404" max="15404" width="10.5703125" customWidth="1"/>
    <col min="15405" max="15405" width="12.42578125" customWidth="1"/>
    <col min="15406" max="15406" width="13.42578125" customWidth="1"/>
    <col min="15407" max="15407" width="9.42578125" customWidth="1"/>
    <col min="15408" max="15408" width="8.42578125" customWidth="1"/>
    <col min="15409" max="15412" width="10" customWidth="1"/>
    <col min="15413" max="15413" width="7.7109375" customWidth="1"/>
    <col min="15414" max="15416" width="11.28515625" customWidth="1"/>
    <col min="15417" max="15417" width="11.85546875" customWidth="1"/>
    <col min="15418" max="15418" width="9.28515625" bestFit="1" customWidth="1"/>
    <col min="15617" max="15617" width="26.140625" customWidth="1"/>
    <col min="15618" max="15618" width="7.42578125" customWidth="1"/>
    <col min="15619" max="15619" width="15.42578125" customWidth="1"/>
    <col min="15620" max="15620" width="11.42578125" customWidth="1"/>
    <col min="15621" max="15621" width="12.85546875" customWidth="1"/>
    <col min="15622" max="15622" width="13.42578125" customWidth="1"/>
    <col min="15623" max="15623" width="10.7109375" customWidth="1"/>
    <col min="15624" max="15624" width="7.85546875" customWidth="1"/>
    <col min="15625" max="15625" width="12.28515625" customWidth="1"/>
    <col min="15626" max="15627" width="10.140625" customWidth="1"/>
    <col min="15628" max="15628" width="9.5703125" customWidth="1"/>
    <col min="15629" max="15629" width="7.140625" customWidth="1"/>
    <col min="15630" max="15630" width="9.28515625" customWidth="1"/>
    <col min="15631" max="15631" width="10.42578125" customWidth="1"/>
    <col min="15632" max="15632" width="10.140625" customWidth="1"/>
    <col min="15633" max="15634" width="7.140625" customWidth="1"/>
    <col min="15635" max="15635" width="13.42578125" customWidth="1"/>
    <col min="15636" max="15636" width="12" customWidth="1"/>
    <col min="15637" max="15637" width="11.7109375" customWidth="1"/>
    <col min="15638" max="15638" width="9.42578125" customWidth="1"/>
    <col min="15639" max="15639" width="7.42578125" customWidth="1"/>
    <col min="15640" max="15641" width="11.7109375" customWidth="1"/>
    <col min="15642" max="15642" width="12.28515625" customWidth="1"/>
    <col min="15643" max="15643" width="9.42578125" customWidth="1"/>
    <col min="15644" max="15644" width="8.42578125" customWidth="1"/>
    <col min="15645" max="15645" width="10.85546875" customWidth="1"/>
    <col min="15646" max="15646" width="9.7109375" customWidth="1"/>
    <col min="15647" max="15647" width="11.42578125" customWidth="1"/>
    <col min="15648" max="15648" width="8.42578125" customWidth="1"/>
    <col min="15649" max="15649" width="10.28515625" customWidth="1"/>
    <col min="15650" max="15650" width="12.140625" customWidth="1"/>
    <col min="15651" max="15651" width="13.42578125" customWidth="1"/>
    <col min="15652" max="15652" width="12.140625" customWidth="1"/>
    <col min="15653" max="15653" width="9.42578125" customWidth="1"/>
    <col min="15654" max="15654" width="7.7109375" customWidth="1"/>
    <col min="15655" max="15655" width="10.7109375" customWidth="1"/>
    <col min="15656" max="15656" width="11" customWidth="1"/>
    <col min="15657" max="15657" width="12" customWidth="1"/>
    <col min="15658" max="15658" width="9.85546875" customWidth="1"/>
    <col min="15659" max="15659" width="7.7109375" customWidth="1"/>
    <col min="15660" max="15660" width="10.5703125" customWidth="1"/>
    <col min="15661" max="15661" width="12.42578125" customWidth="1"/>
    <col min="15662" max="15662" width="13.42578125" customWidth="1"/>
    <col min="15663" max="15663" width="9.42578125" customWidth="1"/>
    <col min="15664" max="15664" width="8.42578125" customWidth="1"/>
    <col min="15665" max="15668" width="10" customWidth="1"/>
    <col min="15669" max="15669" width="7.7109375" customWidth="1"/>
    <col min="15670" max="15672" width="11.28515625" customWidth="1"/>
    <col min="15673" max="15673" width="11.85546875" customWidth="1"/>
    <col min="15674" max="15674" width="9.28515625" bestFit="1" customWidth="1"/>
    <col min="15873" max="15873" width="26.140625" customWidth="1"/>
    <col min="15874" max="15874" width="7.42578125" customWidth="1"/>
    <col min="15875" max="15875" width="15.42578125" customWidth="1"/>
    <col min="15876" max="15876" width="11.42578125" customWidth="1"/>
    <col min="15877" max="15877" width="12.85546875" customWidth="1"/>
    <col min="15878" max="15878" width="13.42578125" customWidth="1"/>
    <col min="15879" max="15879" width="10.7109375" customWidth="1"/>
    <col min="15880" max="15880" width="7.85546875" customWidth="1"/>
    <col min="15881" max="15881" width="12.28515625" customWidth="1"/>
    <col min="15882" max="15883" width="10.140625" customWidth="1"/>
    <col min="15884" max="15884" width="9.5703125" customWidth="1"/>
    <col min="15885" max="15885" width="7.140625" customWidth="1"/>
    <col min="15886" max="15886" width="9.28515625" customWidth="1"/>
    <col min="15887" max="15887" width="10.42578125" customWidth="1"/>
    <col min="15888" max="15888" width="10.140625" customWidth="1"/>
    <col min="15889" max="15890" width="7.140625" customWidth="1"/>
    <col min="15891" max="15891" width="13.42578125" customWidth="1"/>
    <col min="15892" max="15892" width="12" customWidth="1"/>
    <col min="15893" max="15893" width="11.7109375" customWidth="1"/>
    <col min="15894" max="15894" width="9.42578125" customWidth="1"/>
    <col min="15895" max="15895" width="7.42578125" customWidth="1"/>
    <col min="15896" max="15897" width="11.7109375" customWidth="1"/>
    <col min="15898" max="15898" width="12.28515625" customWidth="1"/>
    <col min="15899" max="15899" width="9.42578125" customWidth="1"/>
    <col min="15900" max="15900" width="8.42578125" customWidth="1"/>
    <col min="15901" max="15901" width="10.85546875" customWidth="1"/>
    <col min="15902" max="15902" width="9.7109375" customWidth="1"/>
    <col min="15903" max="15903" width="11.42578125" customWidth="1"/>
    <col min="15904" max="15904" width="8.42578125" customWidth="1"/>
    <col min="15905" max="15905" width="10.28515625" customWidth="1"/>
    <col min="15906" max="15906" width="12.140625" customWidth="1"/>
    <col min="15907" max="15907" width="13.42578125" customWidth="1"/>
    <col min="15908" max="15908" width="12.140625" customWidth="1"/>
    <col min="15909" max="15909" width="9.42578125" customWidth="1"/>
    <col min="15910" max="15910" width="7.7109375" customWidth="1"/>
    <col min="15911" max="15911" width="10.7109375" customWidth="1"/>
    <col min="15912" max="15912" width="11" customWidth="1"/>
    <col min="15913" max="15913" width="12" customWidth="1"/>
    <col min="15914" max="15914" width="9.85546875" customWidth="1"/>
    <col min="15915" max="15915" width="7.7109375" customWidth="1"/>
    <col min="15916" max="15916" width="10.5703125" customWidth="1"/>
    <col min="15917" max="15917" width="12.42578125" customWidth="1"/>
    <col min="15918" max="15918" width="13.42578125" customWidth="1"/>
    <col min="15919" max="15919" width="9.42578125" customWidth="1"/>
    <col min="15920" max="15920" width="8.42578125" customWidth="1"/>
    <col min="15921" max="15924" width="10" customWidth="1"/>
    <col min="15925" max="15925" width="7.7109375" customWidth="1"/>
    <col min="15926" max="15928" width="11.28515625" customWidth="1"/>
    <col min="15929" max="15929" width="11.85546875" customWidth="1"/>
    <col min="15930" max="15930" width="9.28515625" bestFit="1" customWidth="1"/>
    <col min="16129" max="16129" width="26.140625" customWidth="1"/>
    <col min="16130" max="16130" width="7.42578125" customWidth="1"/>
    <col min="16131" max="16131" width="15.42578125" customWidth="1"/>
    <col min="16132" max="16132" width="11.42578125" customWidth="1"/>
    <col min="16133" max="16133" width="12.85546875" customWidth="1"/>
    <col min="16134" max="16134" width="13.42578125" customWidth="1"/>
    <col min="16135" max="16135" width="10.7109375" customWidth="1"/>
    <col min="16136" max="16136" width="7.85546875" customWidth="1"/>
    <col min="16137" max="16137" width="12.28515625" customWidth="1"/>
    <col min="16138" max="16139" width="10.140625" customWidth="1"/>
    <col min="16140" max="16140" width="9.5703125" customWidth="1"/>
    <col min="16141" max="16141" width="7.140625" customWidth="1"/>
    <col min="16142" max="16142" width="9.28515625" customWidth="1"/>
    <col min="16143" max="16143" width="10.42578125" customWidth="1"/>
    <col min="16144" max="16144" width="10.140625" customWidth="1"/>
    <col min="16145" max="16146" width="7.140625" customWidth="1"/>
    <col min="16147" max="16147" width="13.42578125" customWidth="1"/>
    <col min="16148" max="16148" width="12" customWidth="1"/>
    <col min="16149" max="16149" width="11.7109375" customWidth="1"/>
    <col min="16150" max="16150" width="9.42578125" customWidth="1"/>
    <col min="16151" max="16151" width="7.42578125" customWidth="1"/>
    <col min="16152" max="16153" width="11.7109375" customWidth="1"/>
    <col min="16154" max="16154" width="12.28515625" customWidth="1"/>
    <col min="16155" max="16155" width="9.42578125" customWidth="1"/>
    <col min="16156" max="16156" width="8.42578125" customWidth="1"/>
    <col min="16157" max="16157" width="10.85546875" customWidth="1"/>
    <col min="16158" max="16158" width="9.7109375" customWidth="1"/>
    <col min="16159" max="16159" width="11.42578125" customWidth="1"/>
    <col min="16160" max="16160" width="8.42578125" customWidth="1"/>
    <col min="16161" max="16161" width="10.28515625" customWidth="1"/>
    <col min="16162" max="16162" width="12.140625" customWidth="1"/>
    <col min="16163" max="16163" width="13.42578125" customWidth="1"/>
    <col min="16164" max="16164" width="12.140625" customWidth="1"/>
    <col min="16165" max="16165" width="9.42578125" customWidth="1"/>
    <col min="16166" max="16166" width="7.7109375" customWidth="1"/>
    <col min="16167" max="16167" width="10.7109375" customWidth="1"/>
    <col min="16168" max="16168" width="11" customWidth="1"/>
    <col min="16169" max="16169" width="12" customWidth="1"/>
    <col min="16170" max="16170" width="9.85546875" customWidth="1"/>
    <col min="16171" max="16171" width="7.7109375" customWidth="1"/>
    <col min="16172" max="16172" width="10.5703125" customWidth="1"/>
    <col min="16173" max="16173" width="12.42578125" customWidth="1"/>
    <col min="16174" max="16174" width="13.42578125" customWidth="1"/>
    <col min="16175" max="16175" width="9.42578125" customWidth="1"/>
    <col min="16176" max="16176" width="8.42578125" customWidth="1"/>
    <col min="16177" max="16180" width="10" customWidth="1"/>
    <col min="16181" max="16181" width="7.7109375" customWidth="1"/>
    <col min="16182" max="16184" width="11.28515625" customWidth="1"/>
    <col min="16185" max="16185" width="11.85546875" customWidth="1"/>
    <col min="16186" max="16186" width="9.28515625" bestFit="1" customWidth="1"/>
  </cols>
  <sheetData>
    <row r="1" spans="1:62" x14ac:dyDescent="0.25">
      <c r="A1" t="s">
        <v>42</v>
      </c>
    </row>
    <row r="3" spans="1:62" ht="19.5" customHeight="1" thickBot="1" x14ac:dyDescent="0.3">
      <c r="B3" t="s">
        <v>4</v>
      </c>
      <c r="D3" s="235" t="s">
        <v>5</v>
      </c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7"/>
      <c r="AC3" s="58"/>
      <c r="AD3" s="58"/>
      <c r="AE3" s="58"/>
      <c r="AF3" s="58"/>
      <c r="AG3" s="58"/>
      <c r="AH3" s="238" t="str">
        <f>D3</f>
        <v>March 2016 YTD Operating and Budgeted Results</v>
      </c>
      <c r="AI3" s="239"/>
      <c r="AJ3" s="239"/>
      <c r="AK3" s="239"/>
      <c r="AL3" s="239"/>
      <c r="AM3" s="239"/>
      <c r="AN3" s="239"/>
      <c r="AO3" s="239"/>
      <c r="AP3" s="239"/>
      <c r="AQ3" s="239"/>
      <c r="AR3" s="239"/>
      <c r="AS3" s="239"/>
      <c r="AT3" s="239"/>
      <c r="AU3" s="239"/>
      <c r="AV3" s="239"/>
      <c r="AW3" s="239"/>
      <c r="AX3" s="239"/>
      <c r="AY3" s="239"/>
      <c r="AZ3" s="239"/>
      <c r="BA3" s="239"/>
      <c r="BB3" s="239"/>
      <c r="BC3" s="239"/>
      <c r="BD3" s="239"/>
      <c r="BE3" s="239"/>
      <c r="BF3" s="240"/>
    </row>
    <row r="4" spans="1:62" x14ac:dyDescent="0.25">
      <c r="A4" s="102"/>
      <c r="B4" s="244" t="s">
        <v>16</v>
      </c>
      <c r="C4" s="246" t="s">
        <v>43</v>
      </c>
      <c r="D4" s="248" t="s">
        <v>44</v>
      </c>
      <c r="E4" s="229"/>
      <c r="F4" s="229"/>
      <c r="G4" s="229"/>
      <c r="H4" s="229"/>
      <c r="I4" s="230" t="s">
        <v>45</v>
      </c>
      <c r="J4" s="231"/>
      <c r="K4" s="231"/>
      <c r="L4" s="231"/>
      <c r="M4" s="232"/>
      <c r="N4" s="241" t="s">
        <v>46</v>
      </c>
      <c r="O4" s="229"/>
      <c r="P4" s="229"/>
      <c r="Q4" s="229"/>
      <c r="R4" s="242"/>
      <c r="S4" s="230" t="s">
        <v>47</v>
      </c>
      <c r="T4" s="231"/>
      <c r="U4" s="231"/>
      <c r="V4" s="231"/>
      <c r="W4" s="232"/>
      <c r="X4" s="241" t="s">
        <v>48</v>
      </c>
      <c r="Y4" s="229"/>
      <c r="Z4" s="229"/>
      <c r="AA4" s="229"/>
      <c r="AB4" s="229"/>
      <c r="AC4" s="103"/>
      <c r="AD4" s="104"/>
      <c r="AE4" s="104" t="s">
        <v>49</v>
      </c>
      <c r="AF4" s="104"/>
      <c r="AG4" s="105"/>
      <c r="AH4" s="242" t="s">
        <v>50</v>
      </c>
      <c r="AI4" s="243"/>
      <c r="AJ4" s="243"/>
      <c r="AK4" s="243"/>
      <c r="AL4" s="241"/>
      <c r="AM4" s="106"/>
      <c r="AN4" s="104"/>
      <c r="AO4" s="59" t="s">
        <v>51</v>
      </c>
      <c r="AP4" s="104"/>
      <c r="AQ4" s="107"/>
      <c r="AR4" s="229" t="s">
        <v>52</v>
      </c>
      <c r="AS4" s="229"/>
      <c r="AT4" s="229"/>
      <c r="AU4" s="229"/>
      <c r="AV4" s="229"/>
      <c r="AW4" s="230" t="s">
        <v>53</v>
      </c>
      <c r="AX4" s="231"/>
      <c r="AY4" s="231"/>
      <c r="AZ4" s="231"/>
      <c r="BA4" s="232"/>
      <c r="BB4" s="233" t="s">
        <v>54</v>
      </c>
      <c r="BC4" s="233"/>
      <c r="BD4" s="233"/>
      <c r="BE4" s="233"/>
      <c r="BF4" s="234"/>
    </row>
    <row r="5" spans="1:62" ht="65.25" thickBot="1" x14ac:dyDescent="0.3">
      <c r="A5" s="100" t="s">
        <v>37</v>
      </c>
      <c r="B5" s="245"/>
      <c r="C5" s="247"/>
      <c r="D5" s="108" t="s">
        <v>55</v>
      </c>
      <c r="E5" s="109" t="s">
        <v>56</v>
      </c>
      <c r="F5" s="110" t="s">
        <v>32</v>
      </c>
      <c r="G5" s="109" t="s">
        <v>57</v>
      </c>
      <c r="H5" s="111" t="s">
        <v>58</v>
      </c>
      <c r="I5" s="112" t="s">
        <v>55</v>
      </c>
      <c r="J5" s="112" t="s">
        <v>56</v>
      </c>
      <c r="K5" s="113" t="s">
        <v>32</v>
      </c>
      <c r="L5" s="112" t="s">
        <v>57</v>
      </c>
      <c r="M5" s="112" t="s">
        <v>58</v>
      </c>
      <c r="N5" s="109" t="s">
        <v>55</v>
      </c>
      <c r="O5" s="109" t="s">
        <v>56</v>
      </c>
      <c r="P5" s="110" t="s">
        <v>32</v>
      </c>
      <c r="Q5" s="109" t="s">
        <v>57</v>
      </c>
      <c r="R5" s="109" t="s">
        <v>58</v>
      </c>
      <c r="S5" s="113" t="s">
        <v>55</v>
      </c>
      <c r="T5" s="112" t="s">
        <v>56</v>
      </c>
      <c r="U5" s="113" t="s">
        <v>32</v>
      </c>
      <c r="V5" s="112" t="s">
        <v>57</v>
      </c>
      <c r="W5" s="114" t="s">
        <v>58</v>
      </c>
      <c r="X5" s="109" t="s">
        <v>55</v>
      </c>
      <c r="Y5" s="109" t="s">
        <v>56</v>
      </c>
      <c r="Z5" s="110" t="s">
        <v>32</v>
      </c>
      <c r="AA5" s="109" t="s">
        <v>57</v>
      </c>
      <c r="AB5" s="115" t="s">
        <v>58</v>
      </c>
      <c r="AC5" s="116" t="s">
        <v>55</v>
      </c>
      <c r="AD5" s="112" t="s">
        <v>56</v>
      </c>
      <c r="AE5" s="113" t="s">
        <v>32</v>
      </c>
      <c r="AF5" s="112" t="s">
        <v>57</v>
      </c>
      <c r="AG5" s="117" t="s">
        <v>58</v>
      </c>
      <c r="AH5" s="110" t="s">
        <v>55</v>
      </c>
      <c r="AI5" s="109" t="s">
        <v>56</v>
      </c>
      <c r="AJ5" s="110" t="s">
        <v>32</v>
      </c>
      <c r="AK5" s="109" t="s">
        <v>57</v>
      </c>
      <c r="AL5" s="118" t="s">
        <v>58</v>
      </c>
      <c r="AM5" s="112" t="s">
        <v>55</v>
      </c>
      <c r="AN5" s="112" t="s">
        <v>56</v>
      </c>
      <c r="AO5" s="113" t="s">
        <v>32</v>
      </c>
      <c r="AP5" s="112" t="s">
        <v>57</v>
      </c>
      <c r="AQ5" s="114" t="s">
        <v>58</v>
      </c>
      <c r="AR5" s="119" t="s">
        <v>55</v>
      </c>
      <c r="AS5" s="109" t="s">
        <v>56</v>
      </c>
      <c r="AT5" s="110" t="s">
        <v>32</v>
      </c>
      <c r="AU5" s="109" t="s">
        <v>57</v>
      </c>
      <c r="AV5" s="115" t="s">
        <v>58</v>
      </c>
      <c r="AW5" s="112" t="s">
        <v>55</v>
      </c>
      <c r="AX5" s="112" t="s">
        <v>56</v>
      </c>
      <c r="AY5" s="113" t="s">
        <v>32</v>
      </c>
      <c r="AZ5" s="112" t="s">
        <v>57</v>
      </c>
      <c r="BA5" s="112" t="s">
        <v>58</v>
      </c>
      <c r="BB5" s="120" t="s">
        <v>55</v>
      </c>
      <c r="BC5" s="121" t="s">
        <v>56</v>
      </c>
      <c r="BD5" s="120" t="s">
        <v>32</v>
      </c>
      <c r="BE5" s="121" t="s">
        <v>57</v>
      </c>
      <c r="BF5" s="122" t="s">
        <v>58</v>
      </c>
    </row>
    <row r="6" spans="1:62" ht="15.75" thickBot="1" x14ac:dyDescent="0.3">
      <c r="A6" s="134" t="s">
        <v>169</v>
      </c>
      <c r="B6" s="128"/>
      <c r="C6" s="129"/>
      <c r="D6" s="142"/>
      <c r="E6" s="143">
        <f>F6/12*$BJ$6</f>
        <v>0</v>
      </c>
      <c r="F6" s="144"/>
      <c r="G6" s="145" t="str">
        <f>IF(D6="","",D6/VLOOKUP($BJ$6,$BJ$9:$BJ$20,1)*12/$B6)</f>
        <v/>
      </c>
      <c r="H6" s="145" t="e">
        <f>IF(E6="","",E6/VLOOKUP($BJ$6,$BJ$9:$BJ$20,1)*12/$B6)</f>
        <v>#DIV/0!</v>
      </c>
      <c r="I6" s="146"/>
      <c r="J6" s="147">
        <f>K6/12*$BJ$6</f>
        <v>0</v>
      </c>
      <c r="K6" s="146"/>
      <c r="L6" s="148" t="str">
        <f>IF(I6="","",I6/VLOOKUP($BJ$6,$BJ$9:$BJ$20,1)*12/$B6)</f>
        <v/>
      </c>
      <c r="M6" s="148" t="e">
        <f>IF(J6="","",J6/VLOOKUP($BJ$6,$BJ$9:$BJ$20,1)*12/$B6)</f>
        <v>#DIV/0!</v>
      </c>
      <c r="N6" s="144"/>
      <c r="O6" s="143">
        <f>P6/12*$BJ$6</f>
        <v>0</v>
      </c>
      <c r="P6" s="144"/>
      <c r="Q6" s="145" t="str">
        <f>IF(N6="","",N6/VLOOKUP($BJ$6,$BJ$9:$BJ$20,1)*12/$B6)</f>
        <v/>
      </c>
      <c r="R6" s="145" t="e">
        <f>IF(O6="","",O6/VLOOKUP($BJ$6,$BJ$9:$BJ$20,1)*12/$B6)</f>
        <v>#DIV/0!</v>
      </c>
      <c r="S6" s="146"/>
      <c r="T6" s="147">
        <f>U6/12*$BJ$6</f>
        <v>0</v>
      </c>
      <c r="U6" s="146"/>
      <c r="V6" s="148" t="str">
        <f>IF(S6="","",S6/VLOOKUP($BJ$6,$BJ$9:$BJ$20,1)*12/$B6)</f>
        <v/>
      </c>
      <c r="W6" s="148" t="e">
        <f>IF(T6="","",T6/VLOOKUP($BJ$6,$BJ$9:$BJ$20,1)*12/$B6)</f>
        <v>#DIV/0!</v>
      </c>
      <c r="X6" s="144"/>
      <c r="Y6" s="143">
        <f>Z6/12*$BJ$6</f>
        <v>0</v>
      </c>
      <c r="Z6" s="144"/>
      <c r="AA6" s="145" t="str">
        <f>IF(X6="","",X6/VLOOKUP($BJ$6,$BJ$9:$BJ$20,1)*12/$B6)</f>
        <v/>
      </c>
      <c r="AB6" s="149" t="e">
        <f>IF(Y6="","",Y6/VLOOKUP($BJ$6,$BJ$9:$BJ$20,1)*12/$B6)</f>
        <v>#DIV/0!</v>
      </c>
      <c r="AC6" s="150"/>
      <c r="AD6" s="147">
        <f>AE6/12*$BJ$6</f>
        <v>0</v>
      </c>
      <c r="AE6" s="150"/>
      <c r="AF6" s="148" t="str">
        <f>IF(AC6="","",AC6/VLOOKUP($BJ$6,$BJ$9:$BJ$20,1)*12/$B6)</f>
        <v/>
      </c>
      <c r="AG6" s="151" t="e">
        <f>IF(AD6="","",AD6/VLOOKUP($BJ$6,$BJ$9:$BJ$20,1)*12/$B6)</f>
        <v>#DIV/0!</v>
      </c>
      <c r="AH6" s="152"/>
      <c r="AI6" s="143">
        <f>AJ6/12*$BJ$6</f>
        <v>0</v>
      </c>
      <c r="AJ6" s="144"/>
      <c r="AK6" s="145" t="str">
        <f>IF(AH6="","",AH6/VLOOKUP($BJ$6,$BJ$9:$BJ$20,1)*12/$B6)</f>
        <v/>
      </c>
      <c r="AL6" s="149" t="e">
        <f>IF(AI6="","",AI6/VLOOKUP($BJ$6,$BJ$9:$BJ$20,1)*12/$B6)</f>
        <v>#DIV/0!</v>
      </c>
      <c r="AM6" s="153"/>
      <c r="AN6" s="147">
        <f>AO6/12*$BJ$6</f>
        <v>0</v>
      </c>
      <c r="AO6" s="153"/>
      <c r="AP6" s="148" t="str">
        <f>IF(AM6="","",AM6/VLOOKUP($BJ$6,$BJ$9:$BJ$20,1)*12/$B6)</f>
        <v/>
      </c>
      <c r="AQ6" s="148" t="e">
        <f>IF(AN6="","",AN6/VLOOKUP($BJ$6,$BJ$9:$BJ$20,1)*12/$B6)</f>
        <v>#DIV/0!</v>
      </c>
      <c r="AR6" s="152"/>
      <c r="AS6" s="143">
        <f>AT6/12*$BJ$6</f>
        <v>0</v>
      </c>
      <c r="AT6" s="144"/>
      <c r="AU6" s="145" t="str">
        <f>IF(AR6="","",AR6/VLOOKUP($BJ$6,$BJ$9:$BJ$20,1)*12/$B6)</f>
        <v/>
      </c>
      <c r="AV6" s="145" t="e">
        <f>IF(AS6="","",AS6/VLOOKUP($BJ$6,$BJ$9:$BJ$20,1)*12/$B6)</f>
        <v>#DIV/0!</v>
      </c>
      <c r="AW6" s="146"/>
      <c r="AX6" s="147">
        <f>AY6/12*$BJ$6</f>
        <v>0</v>
      </c>
      <c r="AY6" s="146"/>
      <c r="AZ6" s="148" t="str">
        <f>IF(AW6="","",AW6/VLOOKUP($BJ$6,$BJ$9:$BJ$20,1)*12/$B6)</f>
        <v/>
      </c>
      <c r="BA6" s="148" t="e">
        <f>IF(AX6="","",AX6/VLOOKUP($BJ$6,$BJ$9:$BJ$20,1)*12/$B6)</f>
        <v>#DIV/0!</v>
      </c>
      <c r="BB6" s="154">
        <f>+D6+I6+N6+S6+X6+AC6+AM6+AH6+AR6+AW6</f>
        <v>0</v>
      </c>
      <c r="BC6" s="154">
        <f>+E6+J6+O6+T6+Y6+AD6+AN6+AI6+AS6+AX6</f>
        <v>0</v>
      </c>
      <c r="BD6" s="154">
        <f>+F6+K6+P6+U6+Z6+AE6+AO6+AJ6+AT6+AY6</f>
        <v>0</v>
      </c>
      <c r="BE6" s="155" t="e">
        <f>IF(BB6="","",BB6/VLOOKUP($BJ$6,$BJ$9:$BJ$20,1)*12/$B6)</f>
        <v>#DIV/0!</v>
      </c>
      <c r="BF6" s="156" t="e">
        <f>IF(BC6="","",BC6/VLOOKUP($BJ$6,$BJ$9:$BJ$20,1)*12/$B6)</f>
        <v>#DIV/0!</v>
      </c>
      <c r="BJ6" s="77">
        <v>3</v>
      </c>
    </row>
    <row r="7" spans="1:62" ht="15.75" thickBot="1" x14ac:dyDescent="0.3">
      <c r="A7" s="134" t="s">
        <v>171</v>
      </c>
      <c r="B7" s="128"/>
      <c r="C7" s="129"/>
      <c r="D7" s="108"/>
      <c r="E7" s="143">
        <f t="shared" ref="E7:E34" si="0">F7/12*$BJ$6</f>
        <v>0</v>
      </c>
      <c r="F7" s="110"/>
      <c r="G7" s="145" t="str">
        <f t="shared" ref="G7:G34" si="1">IF(D7="","",D7/VLOOKUP($BJ$6,$BJ$9:$BJ$20,1)*12/$B7)</f>
        <v/>
      </c>
      <c r="H7" s="145" t="e">
        <f t="shared" ref="H7:H34" si="2">IF(E7="","",E7/VLOOKUP($BJ$6,$BJ$9:$BJ$20,1)*12/$B7)</f>
        <v>#DIV/0!</v>
      </c>
      <c r="I7" s="112"/>
      <c r="J7" s="147">
        <f t="shared" ref="J7:J34" si="3">K7/12*$BJ$6</f>
        <v>0</v>
      </c>
      <c r="K7" s="113"/>
      <c r="L7" s="148" t="str">
        <f t="shared" ref="L7:L34" si="4">IF(I7="","",I7/VLOOKUP($BJ$6,$BJ$9:$BJ$20,1)*12/$B7)</f>
        <v/>
      </c>
      <c r="M7" s="148" t="e">
        <f t="shared" ref="M7:M34" si="5">IF(J7="","",J7/VLOOKUP($BJ$6,$BJ$9:$BJ$20,1)*12/$B7)</f>
        <v>#DIV/0!</v>
      </c>
      <c r="N7" s="109"/>
      <c r="O7" s="143">
        <f t="shared" ref="O7:O34" si="6">P7/12*$BJ$6</f>
        <v>0</v>
      </c>
      <c r="P7" s="110"/>
      <c r="Q7" s="145" t="str">
        <f t="shared" ref="Q7:Q34" si="7">IF(N7="","",N7/VLOOKUP($BJ$6,$BJ$9:$BJ$20,1)*12/$B7)</f>
        <v/>
      </c>
      <c r="R7" s="145" t="e">
        <f t="shared" ref="R7:R34" si="8">IF(O7="","",O7/VLOOKUP($BJ$6,$BJ$9:$BJ$20,1)*12/$B7)</f>
        <v>#DIV/0!</v>
      </c>
      <c r="S7" s="113"/>
      <c r="T7" s="147">
        <f t="shared" ref="T7:T34" si="9">U7/12*$BJ$6</f>
        <v>0</v>
      </c>
      <c r="U7" s="113"/>
      <c r="V7" s="148" t="str">
        <f t="shared" ref="V7:V34" si="10">IF(S7="","",S7/VLOOKUP($BJ$6,$BJ$9:$BJ$20,1)*12/$B7)</f>
        <v/>
      </c>
      <c r="W7" s="148" t="e">
        <f t="shared" ref="W7:W34" si="11">IF(T7="","",T7/VLOOKUP($BJ$6,$BJ$9:$BJ$20,1)*12/$B7)</f>
        <v>#DIV/0!</v>
      </c>
      <c r="X7" s="109"/>
      <c r="Y7" s="143">
        <f t="shared" ref="Y7:Y34" si="12">Z7/12*$BJ$6</f>
        <v>0</v>
      </c>
      <c r="Z7" s="110"/>
      <c r="AA7" s="145" t="str">
        <f t="shared" ref="AA7:AA34" si="13">IF(X7="","",X7/VLOOKUP($BJ$6,$BJ$9:$BJ$20,1)*12/$B7)</f>
        <v/>
      </c>
      <c r="AB7" s="149" t="e">
        <f t="shared" ref="AB7:AB34" si="14">IF(Y7="","",Y7/VLOOKUP($BJ$6,$BJ$9:$BJ$20,1)*12/$B7)</f>
        <v>#DIV/0!</v>
      </c>
      <c r="AC7" s="116"/>
      <c r="AD7" s="147">
        <f t="shared" ref="AD7:AD34" si="15">AE7/12*$BJ$6</f>
        <v>0</v>
      </c>
      <c r="AE7" s="113"/>
      <c r="AF7" s="148" t="str">
        <f t="shared" ref="AF7:AF34" si="16">IF(AC7="","",AC7/VLOOKUP($BJ$6,$BJ$9:$BJ$20,1)*12/$B7)</f>
        <v/>
      </c>
      <c r="AG7" s="151" t="e">
        <f t="shared" ref="AG7:AG34" si="17">IF(AD7="","",AD7/VLOOKUP($BJ$6,$BJ$9:$BJ$20,1)*12/$B7)</f>
        <v>#DIV/0!</v>
      </c>
      <c r="AH7" s="110"/>
      <c r="AI7" s="143">
        <f t="shared" ref="AI7:AI34" si="18">AJ7/12*$BJ$6</f>
        <v>0</v>
      </c>
      <c r="AJ7" s="110"/>
      <c r="AK7" s="145" t="str">
        <f t="shared" ref="AK7:AK34" si="19">IF(AH7="","",AH7/VLOOKUP($BJ$6,$BJ$9:$BJ$20,1)*12/$B7)</f>
        <v/>
      </c>
      <c r="AL7" s="149" t="e">
        <f t="shared" ref="AL7:AL34" si="20">IF(AI7="","",AI7/VLOOKUP($BJ$6,$BJ$9:$BJ$20,1)*12/$B7)</f>
        <v>#DIV/0!</v>
      </c>
      <c r="AM7" s="112"/>
      <c r="AN7" s="147">
        <f t="shared" ref="AN7:AN34" si="21">AO7/12*$BJ$6</f>
        <v>0</v>
      </c>
      <c r="AO7" s="113"/>
      <c r="AP7" s="148" t="str">
        <f t="shared" ref="AP7:AP34" si="22">IF(AM7="","",AM7/VLOOKUP($BJ$6,$BJ$9:$BJ$20,1)*12/$B7)</f>
        <v/>
      </c>
      <c r="AQ7" s="148" t="e">
        <f t="shared" ref="AQ7:AQ34" si="23">IF(AN7="","",AN7/VLOOKUP($BJ$6,$BJ$9:$BJ$20,1)*12/$B7)</f>
        <v>#DIV/0!</v>
      </c>
      <c r="AR7" s="119"/>
      <c r="AS7" s="143">
        <f t="shared" ref="AS7:AS34" si="24">AT7/12*$BJ$6</f>
        <v>0</v>
      </c>
      <c r="AT7" s="110"/>
      <c r="AU7" s="145" t="str">
        <f t="shared" ref="AU7:AU34" si="25">IF(AR7="","",AR7/VLOOKUP($BJ$6,$BJ$9:$BJ$20,1)*12/$B7)</f>
        <v/>
      </c>
      <c r="AV7" s="145" t="e">
        <f t="shared" ref="AV7:AV34" si="26">IF(AS7="","",AS7/VLOOKUP($BJ$6,$BJ$9:$BJ$20,1)*12/$B7)</f>
        <v>#DIV/0!</v>
      </c>
      <c r="AW7" s="112"/>
      <c r="AX7" s="147">
        <f t="shared" ref="AX7:AX34" si="27">AY7/12*$BJ$6</f>
        <v>0</v>
      </c>
      <c r="AY7" s="113"/>
      <c r="AZ7" s="148" t="str">
        <f t="shared" ref="AZ7:AZ34" si="28">IF(AW7="","",AW7/VLOOKUP($BJ$6,$BJ$9:$BJ$20,1)*12/$B7)</f>
        <v/>
      </c>
      <c r="BA7" s="148" t="e">
        <f t="shared" ref="BA7:BA34" si="29">IF(AX7="","",AX7/VLOOKUP($BJ$6,$BJ$9:$BJ$20,1)*12/$B7)</f>
        <v>#DIV/0!</v>
      </c>
      <c r="BB7" s="154">
        <f t="shared" ref="BB7:BB34" si="30">+D7+I7+N7+S7+X7+AC7+AM7+AH7+AR7+AW7</f>
        <v>0</v>
      </c>
      <c r="BC7" s="154">
        <f t="shared" ref="BC7:BC34" si="31">+E7+J7+O7+T7+Y7+AD7+AN7+AI7+AS7+AX7</f>
        <v>0</v>
      </c>
      <c r="BD7" s="154">
        <f t="shared" ref="BD7:BD34" si="32">+F7+K7+P7+U7+Z7+AE7+AO7+AJ7+AT7+AY7</f>
        <v>0</v>
      </c>
      <c r="BE7" s="155" t="e">
        <f t="shared" ref="BE7:BE34" si="33">IF(BB7="","",BB7/VLOOKUP($BJ$6,$BJ$9:$BJ$20,1)*12/$B7)</f>
        <v>#DIV/0!</v>
      </c>
      <c r="BF7" s="156" t="e">
        <f t="shared" ref="BF7:BF34" si="34">IF(BC7="","",BC7/VLOOKUP($BJ$6,$BJ$9:$BJ$20,1)*12/$B7)</f>
        <v>#DIV/0!</v>
      </c>
    </row>
    <row r="8" spans="1:62" x14ac:dyDescent="0.25">
      <c r="A8" s="134" t="s">
        <v>173</v>
      </c>
      <c r="B8" s="128"/>
      <c r="C8" s="129"/>
      <c r="D8" s="108"/>
      <c r="E8" s="143">
        <f t="shared" si="0"/>
        <v>0</v>
      </c>
      <c r="F8" s="110"/>
      <c r="G8" s="145" t="str">
        <f t="shared" si="1"/>
        <v/>
      </c>
      <c r="H8" s="145" t="e">
        <f t="shared" si="2"/>
        <v>#DIV/0!</v>
      </c>
      <c r="I8" s="112"/>
      <c r="J8" s="147">
        <f t="shared" si="3"/>
        <v>0</v>
      </c>
      <c r="K8" s="113"/>
      <c r="L8" s="148" t="str">
        <f t="shared" si="4"/>
        <v/>
      </c>
      <c r="M8" s="148" t="e">
        <f t="shared" si="5"/>
        <v>#DIV/0!</v>
      </c>
      <c r="N8" s="109"/>
      <c r="O8" s="143">
        <f t="shared" si="6"/>
        <v>0</v>
      </c>
      <c r="P8" s="110"/>
      <c r="Q8" s="145" t="str">
        <f t="shared" si="7"/>
        <v/>
      </c>
      <c r="R8" s="145" t="e">
        <f t="shared" si="8"/>
        <v>#DIV/0!</v>
      </c>
      <c r="S8" s="113"/>
      <c r="T8" s="147">
        <f t="shared" si="9"/>
        <v>0</v>
      </c>
      <c r="U8" s="113"/>
      <c r="V8" s="148" t="str">
        <f t="shared" si="10"/>
        <v/>
      </c>
      <c r="W8" s="148" t="e">
        <f t="shared" si="11"/>
        <v>#DIV/0!</v>
      </c>
      <c r="X8" s="109"/>
      <c r="Y8" s="143">
        <f t="shared" si="12"/>
        <v>0</v>
      </c>
      <c r="Z8" s="110"/>
      <c r="AA8" s="145" t="str">
        <f t="shared" si="13"/>
        <v/>
      </c>
      <c r="AB8" s="149" t="e">
        <f t="shared" si="14"/>
        <v>#DIV/0!</v>
      </c>
      <c r="AC8" s="116"/>
      <c r="AD8" s="147">
        <f t="shared" si="15"/>
        <v>0</v>
      </c>
      <c r="AE8" s="113"/>
      <c r="AF8" s="148" t="str">
        <f t="shared" si="16"/>
        <v/>
      </c>
      <c r="AG8" s="151" t="e">
        <f t="shared" si="17"/>
        <v>#DIV/0!</v>
      </c>
      <c r="AH8" s="110"/>
      <c r="AI8" s="143">
        <f t="shared" si="18"/>
        <v>0</v>
      </c>
      <c r="AJ8" s="110"/>
      <c r="AK8" s="145" t="str">
        <f t="shared" si="19"/>
        <v/>
      </c>
      <c r="AL8" s="149" t="e">
        <f t="shared" si="20"/>
        <v>#DIV/0!</v>
      </c>
      <c r="AM8" s="112"/>
      <c r="AN8" s="147">
        <f t="shared" si="21"/>
        <v>0</v>
      </c>
      <c r="AO8" s="113"/>
      <c r="AP8" s="148" t="str">
        <f t="shared" si="22"/>
        <v/>
      </c>
      <c r="AQ8" s="148" t="e">
        <f t="shared" si="23"/>
        <v>#DIV/0!</v>
      </c>
      <c r="AR8" s="119"/>
      <c r="AS8" s="143">
        <f t="shared" si="24"/>
        <v>0</v>
      </c>
      <c r="AT8" s="110"/>
      <c r="AU8" s="145" t="str">
        <f t="shared" si="25"/>
        <v/>
      </c>
      <c r="AV8" s="145" t="e">
        <f t="shared" si="26"/>
        <v>#DIV/0!</v>
      </c>
      <c r="AW8" s="112"/>
      <c r="AX8" s="147">
        <f t="shared" si="27"/>
        <v>0</v>
      </c>
      <c r="AY8" s="113"/>
      <c r="AZ8" s="148" t="str">
        <f t="shared" si="28"/>
        <v/>
      </c>
      <c r="BA8" s="148" t="e">
        <f t="shared" si="29"/>
        <v>#DIV/0!</v>
      </c>
      <c r="BB8" s="154">
        <f t="shared" si="30"/>
        <v>0</v>
      </c>
      <c r="BC8" s="154">
        <f t="shared" si="31"/>
        <v>0</v>
      </c>
      <c r="BD8" s="154">
        <f t="shared" si="32"/>
        <v>0</v>
      </c>
      <c r="BE8" s="155" t="e">
        <f t="shared" si="33"/>
        <v>#DIV/0!</v>
      </c>
      <c r="BF8" s="156" t="e">
        <f t="shared" si="34"/>
        <v>#DIV/0!</v>
      </c>
      <c r="BJ8" s="78" t="s">
        <v>60</v>
      </c>
    </row>
    <row r="9" spans="1:62" x14ac:dyDescent="0.25">
      <c r="A9" s="134" t="s">
        <v>175</v>
      </c>
      <c r="B9" s="128"/>
      <c r="C9" s="129"/>
      <c r="D9" s="108"/>
      <c r="E9" s="143">
        <f t="shared" si="0"/>
        <v>0</v>
      </c>
      <c r="F9" s="110"/>
      <c r="G9" s="145" t="str">
        <f t="shared" si="1"/>
        <v/>
      </c>
      <c r="H9" s="145" t="e">
        <f t="shared" si="2"/>
        <v>#DIV/0!</v>
      </c>
      <c r="I9" s="112"/>
      <c r="J9" s="147">
        <f t="shared" si="3"/>
        <v>0</v>
      </c>
      <c r="K9" s="113"/>
      <c r="L9" s="148" t="str">
        <f t="shared" si="4"/>
        <v/>
      </c>
      <c r="M9" s="148" t="e">
        <f t="shared" si="5"/>
        <v>#DIV/0!</v>
      </c>
      <c r="N9" s="109"/>
      <c r="O9" s="143">
        <f t="shared" si="6"/>
        <v>0</v>
      </c>
      <c r="P9" s="110"/>
      <c r="Q9" s="145" t="str">
        <f t="shared" si="7"/>
        <v/>
      </c>
      <c r="R9" s="145" t="e">
        <f t="shared" si="8"/>
        <v>#DIV/0!</v>
      </c>
      <c r="S9" s="113"/>
      <c r="T9" s="147">
        <f t="shared" si="9"/>
        <v>0</v>
      </c>
      <c r="U9" s="113"/>
      <c r="V9" s="148" t="str">
        <f t="shared" si="10"/>
        <v/>
      </c>
      <c r="W9" s="148" t="e">
        <f t="shared" si="11"/>
        <v>#DIV/0!</v>
      </c>
      <c r="X9" s="109"/>
      <c r="Y9" s="143">
        <f t="shared" si="12"/>
        <v>0</v>
      </c>
      <c r="Z9" s="110"/>
      <c r="AA9" s="145" t="str">
        <f t="shared" si="13"/>
        <v/>
      </c>
      <c r="AB9" s="149" t="e">
        <f t="shared" si="14"/>
        <v>#DIV/0!</v>
      </c>
      <c r="AC9" s="116"/>
      <c r="AD9" s="147">
        <f t="shared" si="15"/>
        <v>0</v>
      </c>
      <c r="AE9" s="113"/>
      <c r="AF9" s="148" t="str">
        <f t="shared" si="16"/>
        <v/>
      </c>
      <c r="AG9" s="151" t="e">
        <f t="shared" si="17"/>
        <v>#DIV/0!</v>
      </c>
      <c r="AH9" s="110"/>
      <c r="AI9" s="143">
        <f t="shared" si="18"/>
        <v>0</v>
      </c>
      <c r="AJ9" s="110"/>
      <c r="AK9" s="145" t="str">
        <f t="shared" si="19"/>
        <v/>
      </c>
      <c r="AL9" s="149" t="e">
        <f t="shared" si="20"/>
        <v>#DIV/0!</v>
      </c>
      <c r="AM9" s="112"/>
      <c r="AN9" s="147">
        <f t="shared" si="21"/>
        <v>0</v>
      </c>
      <c r="AO9" s="113"/>
      <c r="AP9" s="148" t="str">
        <f t="shared" si="22"/>
        <v/>
      </c>
      <c r="AQ9" s="148" t="e">
        <f t="shared" si="23"/>
        <v>#DIV/0!</v>
      </c>
      <c r="AR9" s="119"/>
      <c r="AS9" s="143">
        <f t="shared" si="24"/>
        <v>0</v>
      </c>
      <c r="AT9" s="110"/>
      <c r="AU9" s="145" t="str">
        <f t="shared" si="25"/>
        <v/>
      </c>
      <c r="AV9" s="145" t="e">
        <f t="shared" si="26"/>
        <v>#DIV/0!</v>
      </c>
      <c r="AW9" s="112"/>
      <c r="AX9" s="147">
        <f t="shared" si="27"/>
        <v>0</v>
      </c>
      <c r="AY9" s="113"/>
      <c r="AZ9" s="148" t="str">
        <f t="shared" si="28"/>
        <v/>
      </c>
      <c r="BA9" s="148" t="e">
        <f t="shared" si="29"/>
        <v>#DIV/0!</v>
      </c>
      <c r="BB9" s="154">
        <f t="shared" si="30"/>
        <v>0</v>
      </c>
      <c r="BC9" s="154">
        <f t="shared" si="31"/>
        <v>0</v>
      </c>
      <c r="BD9" s="154">
        <f t="shared" si="32"/>
        <v>0</v>
      </c>
      <c r="BE9" s="155" t="e">
        <f t="shared" si="33"/>
        <v>#DIV/0!</v>
      </c>
      <c r="BF9" s="156" t="e">
        <f t="shared" si="34"/>
        <v>#DIV/0!</v>
      </c>
      <c r="BI9" t="s">
        <v>61</v>
      </c>
      <c r="BJ9" s="79">
        <v>1</v>
      </c>
    </row>
    <row r="10" spans="1:62" x14ac:dyDescent="0.25">
      <c r="A10" s="134" t="s">
        <v>177</v>
      </c>
      <c r="B10" s="128"/>
      <c r="C10" s="129"/>
      <c r="D10" s="108"/>
      <c r="E10" s="143">
        <f t="shared" si="0"/>
        <v>0</v>
      </c>
      <c r="F10" s="110"/>
      <c r="G10" s="145" t="str">
        <f t="shared" si="1"/>
        <v/>
      </c>
      <c r="H10" s="145" t="e">
        <f t="shared" si="2"/>
        <v>#DIV/0!</v>
      </c>
      <c r="I10" s="112"/>
      <c r="J10" s="147">
        <f t="shared" si="3"/>
        <v>0</v>
      </c>
      <c r="K10" s="113"/>
      <c r="L10" s="148" t="str">
        <f t="shared" si="4"/>
        <v/>
      </c>
      <c r="M10" s="148" t="e">
        <f t="shared" si="5"/>
        <v>#DIV/0!</v>
      </c>
      <c r="N10" s="109"/>
      <c r="O10" s="143">
        <f t="shared" si="6"/>
        <v>0</v>
      </c>
      <c r="P10" s="110"/>
      <c r="Q10" s="145" t="str">
        <f t="shared" si="7"/>
        <v/>
      </c>
      <c r="R10" s="145" t="e">
        <f t="shared" si="8"/>
        <v>#DIV/0!</v>
      </c>
      <c r="S10" s="113"/>
      <c r="T10" s="147">
        <f t="shared" si="9"/>
        <v>0</v>
      </c>
      <c r="U10" s="113"/>
      <c r="V10" s="148" t="str">
        <f t="shared" si="10"/>
        <v/>
      </c>
      <c r="W10" s="148" t="e">
        <f t="shared" si="11"/>
        <v>#DIV/0!</v>
      </c>
      <c r="X10" s="109"/>
      <c r="Y10" s="143">
        <f t="shared" si="12"/>
        <v>0</v>
      </c>
      <c r="Z10" s="110"/>
      <c r="AA10" s="145" t="str">
        <f t="shared" si="13"/>
        <v/>
      </c>
      <c r="AB10" s="149" t="e">
        <f t="shared" si="14"/>
        <v>#DIV/0!</v>
      </c>
      <c r="AC10" s="116"/>
      <c r="AD10" s="147">
        <f t="shared" si="15"/>
        <v>0</v>
      </c>
      <c r="AE10" s="113"/>
      <c r="AF10" s="148" t="str">
        <f t="shared" si="16"/>
        <v/>
      </c>
      <c r="AG10" s="151" t="e">
        <f t="shared" si="17"/>
        <v>#DIV/0!</v>
      </c>
      <c r="AH10" s="110"/>
      <c r="AI10" s="143">
        <f t="shared" si="18"/>
        <v>0</v>
      </c>
      <c r="AJ10" s="110"/>
      <c r="AK10" s="145" t="str">
        <f t="shared" si="19"/>
        <v/>
      </c>
      <c r="AL10" s="149" t="e">
        <f t="shared" si="20"/>
        <v>#DIV/0!</v>
      </c>
      <c r="AM10" s="112"/>
      <c r="AN10" s="147">
        <f t="shared" si="21"/>
        <v>0</v>
      </c>
      <c r="AO10" s="113"/>
      <c r="AP10" s="148" t="str">
        <f t="shared" si="22"/>
        <v/>
      </c>
      <c r="AQ10" s="148" t="e">
        <f t="shared" si="23"/>
        <v>#DIV/0!</v>
      </c>
      <c r="AR10" s="119"/>
      <c r="AS10" s="143">
        <f t="shared" si="24"/>
        <v>0</v>
      </c>
      <c r="AT10" s="110"/>
      <c r="AU10" s="145" t="str">
        <f t="shared" si="25"/>
        <v/>
      </c>
      <c r="AV10" s="145" t="e">
        <f t="shared" si="26"/>
        <v>#DIV/0!</v>
      </c>
      <c r="AW10" s="112"/>
      <c r="AX10" s="147">
        <f t="shared" si="27"/>
        <v>0</v>
      </c>
      <c r="AY10" s="113"/>
      <c r="AZ10" s="148" t="str">
        <f t="shared" si="28"/>
        <v/>
      </c>
      <c r="BA10" s="148" t="e">
        <f t="shared" si="29"/>
        <v>#DIV/0!</v>
      </c>
      <c r="BB10" s="154">
        <f t="shared" si="30"/>
        <v>0</v>
      </c>
      <c r="BC10" s="154">
        <f t="shared" si="31"/>
        <v>0</v>
      </c>
      <c r="BD10" s="154">
        <f t="shared" si="32"/>
        <v>0</v>
      </c>
      <c r="BE10" s="155" t="e">
        <f t="shared" si="33"/>
        <v>#DIV/0!</v>
      </c>
      <c r="BF10" s="156" t="e">
        <f t="shared" si="34"/>
        <v>#DIV/0!</v>
      </c>
      <c r="BI10" t="s">
        <v>62</v>
      </c>
      <c r="BJ10" s="79">
        <f>BJ9+1</f>
        <v>2</v>
      </c>
    </row>
    <row r="11" spans="1:62" x14ac:dyDescent="0.25">
      <c r="A11" s="134" t="s">
        <v>179</v>
      </c>
      <c r="B11" s="128"/>
      <c r="C11" s="129"/>
      <c r="D11" s="108"/>
      <c r="E11" s="143">
        <f t="shared" si="0"/>
        <v>0</v>
      </c>
      <c r="F11" s="110"/>
      <c r="G11" s="145" t="str">
        <f t="shared" si="1"/>
        <v/>
      </c>
      <c r="H11" s="145" t="e">
        <f t="shared" si="2"/>
        <v>#DIV/0!</v>
      </c>
      <c r="I11" s="112"/>
      <c r="J11" s="147">
        <f t="shared" si="3"/>
        <v>0</v>
      </c>
      <c r="K11" s="113"/>
      <c r="L11" s="148" t="str">
        <f t="shared" si="4"/>
        <v/>
      </c>
      <c r="M11" s="148" t="e">
        <f t="shared" si="5"/>
        <v>#DIV/0!</v>
      </c>
      <c r="N11" s="109"/>
      <c r="O11" s="143">
        <f t="shared" si="6"/>
        <v>0</v>
      </c>
      <c r="P11" s="110"/>
      <c r="Q11" s="145" t="str">
        <f t="shared" si="7"/>
        <v/>
      </c>
      <c r="R11" s="145" t="e">
        <f t="shared" si="8"/>
        <v>#DIV/0!</v>
      </c>
      <c r="S11" s="113"/>
      <c r="T11" s="147">
        <f t="shared" si="9"/>
        <v>0</v>
      </c>
      <c r="U11" s="113"/>
      <c r="V11" s="148" t="str">
        <f t="shared" si="10"/>
        <v/>
      </c>
      <c r="W11" s="148" t="e">
        <f t="shared" si="11"/>
        <v>#DIV/0!</v>
      </c>
      <c r="X11" s="109"/>
      <c r="Y11" s="143">
        <f t="shared" si="12"/>
        <v>0</v>
      </c>
      <c r="Z11" s="110"/>
      <c r="AA11" s="145" t="str">
        <f t="shared" si="13"/>
        <v/>
      </c>
      <c r="AB11" s="149" t="e">
        <f t="shared" si="14"/>
        <v>#DIV/0!</v>
      </c>
      <c r="AC11" s="116"/>
      <c r="AD11" s="147">
        <f t="shared" si="15"/>
        <v>0</v>
      </c>
      <c r="AE11" s="113"/>
      <c r="AF11" s="148" t="str">
        <f t="shared" si="16"/>
        <v/>
      </c>
      <c r="AG11" s="151" t="e">
        <f t="shared" si="17"/>
        <v>#DIV/0!</v>
      </c>
      <c r="AH11" s="110"/>
      <c r="AI11" s="143">
        <f t="shared" si="18"/>
        <v>0</v>
      </c>
      <c r="AJ11" s="110"/>
      <c r="AK11" s="145" t="str">
        <f t="shared" si="19"/>
        <v/>
      </c>
      <c r="AL11" s="149" t="e">
        <f t="shared" si="20"/>
        <v>#DIV/0!</v>
      </c>
      <c r="AM11" s="112"/>
      <c r="AN11" s="147">
        <f t="shared" si="21"/>
        <v>0</v>
      </c>
      <c r="AO11" s="113"/>
      <c r="AP11" s="148" t="str">
        <f t="shared" si="22"/>
        <v/>
      </c>
      <c r="AQ11" s="148" t="e">
        <f t="shared" si="23"/>
        <v>#DIV/0!</v>
      </c>
      <c r="AR11" s="119"/>
      <c r="AS11" s="143">
        <f t="shared" si="24"/>
        <v>0</v>
      </c>
      <c r="AT11" s="110"/>
      <c r="AU11" s="145" t="str">
        <f t="shared" si="25"/>
        <v/>
      </c>
      <c r="AV11" s="145" t="e">
        <f t="shared" si="26"/>
        <v>#DIV/0!</v>
      </c>
      <c r="AW11" s="112"/>
      <c r="AX11" s="147">
        <f t="shared" si="27"/>
        <v>0</v>
      </c>
      <c r="AY11" s="113"/>
      <c r="AZ11" s="148" t="str">
        <f t="shared" si="28"/>
        <v/>
      </c>
      <c r="BA11" s="148" t="e">
        <f t="shared" si="29"/>
        <v>#DIV/0!</v>
      </c>
      <c r="BB11" s="154">
        <f t="shared" si="30"/>
        <v>0</v>
      </c>
      <c r="BC11" s="154">
        <f t="shared" si="31"/>
        <v>0</v>
      </c>
      <c r="BD11" s="154">
        <f t="shared" si="32"/>
        <v>0</v>
      </c>
      <c r="BE11" s="155" t="e">
        <f t="shared" si="33"/>
        <v>#DIV/0!</v>
      </c>
      <c r="BF11" s="156" t="e">
        <f t="shared" si="34"/>
        <v>#DIV/0!</v>
      </c>
      <c r="BI11" t="s">
        <v>63</v>
      </c>
      <c r="BJ11" s="79">
        <f t="shared" ref="BJ11:BJ20" si="35">BJ10+1</f>
        <v>3</v>
      </c>
    </row>
    <row r="12" spans="1:62" x14ac:dyDescent="0.25">
      <c r="A12" s="134" t="s">
        <v>181</v>
      </c>
      <c r="B12" s="128"/>
      <c r="C12" s="129"/>
      <c r="D12" s="108"/>
      <c r="E12" s="143">
        <f t="shared" si="0"/>
        <v>0</v>
      </c>
      <c r="F12" s="110"/>
      <c r="G12" s="145" t="str">
        <f t="shared" si="1"/>
        <v/>
      </c>
      <c r="H12" s="145" t="e">
        <f t="shared" si="2"/>
        <v>#DIV/0!</v>
      </c>
      <c r="I12" s="112"/>
      <c r="J12" s="147">
        <f t="shared" si="3"/>
        <v>0</v>
      </c>
      <c r="K12" s="113"/>
      <c r="L12" s="148" t="str">
        <f t="shared" si="4"/>
        <v/>
      </c>
      <c r="M12" s="148" t="e">
        <f t="shared" si="5"/>
        <v>#DIV/0!</v>
      </c>
      <c r="N12" s="109"/>
      <c r="O12" s="143">
        <f t="shared" si="6"/>
        <v>0</v>
      </c>
      <c r="P12" s="110"/>
      <c r="Q12" s="145" t="str">
        <f t="shared" si="7"/>
        <v/>
      </c>
      <c r="R12" s="145" t="e">
        <f t="shared" si="8"/>
        <v>#DIV/0!</v>
      </c>
      <c r="S12" s="113"/>
      <c r="T12" s="147">
        <f t="shared" si="9"/>
        <v>0</v>
      </c>
      <c r="U12" s="113"/>
      <c r="V12" s="148" t="str">
        <f t="shared" si="10"/>
        <v/>
      </c>
      <c r="W12" s="148" t="e">
        <f t="shared" si="11"/>
        <v>#DIV/0!</v>
      </c>
      <c r="X12" s="109"/>
      <c r="Y12" s="143">
        <f t="shared" si="12"/>
        <v>0</v>
      </c>
      <c r="Z12" s="110"/>
      <c r="AA12" s="145" t="str">
        <f t="shared" si="13"/>
        <v/>
      </c>
      <c r="AB12" s="149" t="e">
        <f t="shared" si="14"/>
        <v>#DIV/0!</v>
      </c>
      <c r="AC12" s="116"/>
      <c r="AD12" s="147">
        <f t="shared" si="15"/>
        <v>0</v>
      </c>
      <c r="AE12" s="113"/>
      <c r="AF12" s="148" t="str">
        <f t="shared" si="16"/>
        <v/>
      </c>
      <c r="AG12" s="151" t="e">
        <f t="shared" si="17"/>
        <v>#DIV/0!</v>
      </c>
      <c r="AH12" s="110"/>
      <c r="AI12" s="143">
        <f t="shared" si="18"/>
        <v>0</v>
      </c>
      <c r="AJ12" s="110"/>
      <c r="AK12" s="145" t="str">
        <f t="shared" si="19"/>
        <v/>
      </c>
      <c r="AL12" s="149" t="e">
        <f t="shared" si="20"/>
        <v>#DIV/0!</v>
      </c>
      <c r="AM12" s="112"/>
      <c r="AN12" s="147">
        <f t="shared" si="21"/>
        <v>0</v>
      </c>
      <c r="AO12" s="113"/>
      <c r="AP12" s="148" t="str">
        <f t="shared" si="22"/>
        <v/>
      </c>
      <c r="AQ12" s="148" t="e">
        <f t="shared" si="23"/>
        <v>#DIV/0!</v>
      </c>
      <c r="AR12" s="119"/>
      <c r="AS12" s="143">
        <f t="shared" si="24"/>
        <v>0</v>
      </c>
      <c r="AT12" s="110"/>
      <c r="AU12" s="145" t="str">
        <f t="shared" si="25"/>
        <v/>
      </c>
      <c r="AV12" s="145" t="e">
        <f t="shared" si="26"/>
        <v>#DIV/0!</v>
      </c>
      <c r="AW12" s="112"/>
      <c r="AX12" s="147">
        <f t="shared" si="27"/>
        <v>0</v>
      </c>
      <c r="AY12" s="113"/>
      <c r="AZ12" s="148" t="str">
        <f t="shared" si="28"/>
        <v/>
      </c>
      <c r="BA12" s="148" t="e">
        <f t="shared" si="29"/>
        <v>#DIV/0!</v>
      </c>
      <c r="BB12" s="154">
        <f t="shared" si="30"/>
        <v>0</v>
      </c>
      <c r="BC12" s="154">
        <f t="shared" si="31"/>
        <v>0</v>
      </c>
      <c r="BD12" s="154">
        <f t="shared" si="32"/>
        <v>0</v>
      </c>
      <c r="BE12" s="155" t="e">
        <f t="shared" si="33"/>
        <v>#DIV/0!</v>
      </c>
      <c r="BF12" s="156" t="e">
        <f t="shared" si="34"/>
        <v>#DIV/0!</v>
      </c>
      <c r="BI12" t="s">
        <v>64</v>
      </c>
      <c r="BJ12" s="79">
        <f t="shared" si="35"/>
        <v>4</v>
      </c>
    </row>
    <row r="13" spans="1:62" x14ac:dyDescent="0.25">
      <c r="A13" s="134" t="s">
        <v>183</v>
      </c>
      <c r="B13" s="128"/>
      <c r="C13" s="129"/>
      <c r="D13" s="108"/>
      <c r="E13" s="143">
        <f t="shared" si="0"/>
        <v>0</v>
      </c>
      <c r="F13" s="110"/>
      <c r="G13" s="145" t="str">
        <f t="shared" si="1"/>
        <v/>
      </c>
      <c r="H13" s="145" t="e">
        <f t="shared" si="2"/>
        <v>#DIV/0!</v>
      </c>
      <c r="I13" s="112"/>
      <c r="J13" s="147">
        <f t="shared" si="3"/>
        <v>0</v>
      </c>
      <c r="K13" s="113"/>
      <c r="L13" s="148" t="str">
        <f t="shared" si="4"/>
        <v/>
      </c>
      <c r="M13" s="148" t="e">
        <f t="shared" si="5"/>
        <v>#DIV/0!</v>
      </c>
      <c r="N13" s="109"/>
      <c r="O13" s="143">
        <f t="shared" si="6"/>
        <v>0</v>
      </c>
      <c r="P13" s="110"/>
      <c r="Q13" s="145" t="str">
        <f t="shared" si="7"/>
        <v/>
      </c>
      <c r="R13" s="145" t="e">
        <f t="shared" si="8"/>
        <v>#DIV/0!</v>
      </c>
      <c r="S13" s="113"/>
      <c r="T13" s="147">
        <f t="shared" si="9"/>
        <v>0</v>
      </c>
      <c r="U13" s="113"/>
      <c r="V13" s="148" t="str">
        <f t="shared" si="10"/>
        <v/>
      </c>
      <c r="W13" s="148" t="e">
        <f t="shared" si="11"/>
        <v>#DIV/0!</v>
      </c>
      <c r="X13" s="109"/>
      <c r="Y13" s="143">
        <f t="shared" si="12"/>
        <v>0</v>
      </c>
      <c r="Z13" s="110"/>
      <c r="AA13" s="145" t="str">
        <f t="shared" si="13"/>
        <v/>
      </c>
      <c r="AB13" s="149" t="e">
        <f t="shared" si="14"/>
        <v>#DIV/0!</v>
      </c>
      <c r="AC13" s="116"/>
      <c r="AD13" s="147">
        <f t="shared" si="15"/>
        <v>0</v>
      </c>
      <c r="AE13" s="113"/>
      <c r="AF13" s="148" t="str">
        <f t="shared" si="16"/>
        <v/>
      </c>
      <c r="AG13" s="151" t="e">
        <f t="shared" si="17"/>
        <v>#DIV/0!</v>
      </c>
      <c r="AH13" s="110"/>
      <c r="AI13" s="143">
        <f t="shared" si="18"/>
        <v>0</v>
      </c>
      <c r="AJ13" s="110"/>
      <c r="AK13" s="145" t="str">
        <f t="shared" si="19"/>
        <v/>
      </c>
      <c r="AL13" s="149" t="e">
        <f t="shared" si="20"/>
        <v>#DIV/0!</v>
      </c>
      <c r="AM13" s="112"/>
      <c r="AN13" s="147">
        <f t="shared" si="21"/>
        <v>0</v>
      </c>
      <c r="AO13" s="113"/>
      <c r="AP13" s="148" t="str">
        <f t="shared" si="22"/>
        <v/>
      </c>
      <c r="AQ13" s="148" t="e">
        <f t="shared" si="23"/>
        <v>#DIV/0!</v>
      </c>
      <c r="AR13" s="119"/>
      <c r="AS13" s="143">
        <f t="shared" si="24"/>
        <v>0</v>
      </c>
      <c r="AT13" s="110"/>
      <c r="AU13" s="145" t="str">
        <f t="shared" si="25"/>
        <v/>
      </c>
      <c r="AV13" s="145" t="e">
        <f t="shared" si="26"/>
        <v>#DIV/0!</v>
      </c>
      <c r="AW13" s="112"/>
      <c r="AX13" s="147">
        <f t="shared" si="27"/>
        <v>0</v>
      </c>
      <c r="AY13" s="113"/>
      <c r="AZ13" s="148" t="str">
        <f t="shared" si="28"/>
        <v/>
      </c>
      <c r="BA13" s="148" t="e">
        <f t="shared" si="29"/>
        <v>#DIV/0!</v>
      </c>
      <c r="BB13" s="154">
        <f t="shared" si="30"/>
        <v>0</v>
      </c>
      <c r="BC13" s="154">
        <f t="shared" si="31"/>
        <v>0</v>
      </c>
      <c r="BD13" s="154">
        <f t="shared" si="32"/>
        <v>0</v>
      </c>
      <c r="BE13" s="155" t="e">
        <f t="shared" si="33"/>
        <v>#DIV/0!</v>
      </c>
      <c r="BF13" s="156" t="e">
        <f t="shared" si="34"/>
        <v>#DIV/0!</v>
      </c>
      <c r="BI13" t="s">
        <v>65</v>
      </c>
      <c r="BJ13" s="79">
        <f t="shared" si="35"/>
        <v>5</v>
      </c>
    </row>
    <row r="14" spans="1:62" x14ac:dyDescent="0.25">
      <c r="A14" s="134" t="s">
        <v>185</v>
      </c>
      <c r="B14" s="128"/>
      <c r="C14" s="129"/>
      <c r="D14" s="108"/>
      <c r="E14" s="143">
        <f t="shared" si="0"/>
        <v>0</v>
      </c>
      <c r="F14" s="110"/>
      <c r="G14" s="145" t="str">
        <f t="shared" si="1"/>
        <v/>
      </c>
      <c r="H14" s="145" t="e">
        <f t="shared" si="2"/>
        <v>#DIV/0!</v>
      </c>
      <c r="I14" s="112"/>
      <c r="J14" s="147">
        <f t="shared" si="3"/>
        <v>0</v>
      </c>
      <c r="K14" s="113"/>
      <c r="L14" s="148" t="str">
        <f t="shared" si="4"/>
        <v/>
      </c>
      <c r="M14" s="148" t="e">
        <f t="shared" si="5"/>
        <v>#DIV/0!</v>
      </c>
      <c r="N14" s="109"/>
      <c r="O14" s="143">
        <f t="shared" si="6"/>
        <v>0</v>
      </c>
      <c r="P14" s="110"/>
      <c r="Q14" s="145" t="str">
        <f t="shared" si="7"/>
        <v/>
      </c>
      <c r="R14" s="145" t="e">
        <f t="shared" si="8"/>
        <v>#DIV/0!</v>
      </c>
      <c r="S14" s="113"/>
      <c r="T14" s="147">
        <f t="shared" si="9"/>
        <v>0</v>
      </c>
      <c r="U14" s="113"/>
      <c r="V14" s="148" t="str">
        <f t="shared" si="10"/>
        <v/>
      </c>
      <c r="W14" s="148" t="e">
        <f t="shared" si="11"/>
        <v>#DIV/0!</v>
      </c>
      <c r="X14" s="109"/>
      <c r="Y14" s="143">
        <f t="shared" si="12"/>
        <v>0</v>
      </c>
      <c r="Z14" s="110"/>
      <c r="AA14" s="145" t="str">
        <f t="shared" si="13"/>
        <v/>
      </c>
      <c r="AB14" s="149" t="e">
        <f t="shared" si="14"/>
        <v>#DIV/0!</v>
      </c>
      <c r="AC14" s="116"/>
      <c r="AD14" s="147">
        <f t="shared" si="15"/>
        <v>0</v>
      </c>
      <c r="AE14" s="113"/>
      <c r="AF14" s="148" t="str">
        <f t="shared" si="16"/>
        <v/>
      </c>
      <c r="AG14" s="151" t="e">
        <f t="shared" si="17"/>
        <v>#DIV/0!</v>
      </c>
      <c r="AH14" s="110"/>
      <c r="AI14" s="143">
        <f t="shared" si="18"/>
        <v>0</v>
      </c>
      <c r="AJ14" s="110"/>
      <c r="AK14" s="145" t="str">
        <f t="shared" si="19"/>
        <v/>
      </c>
      <c r="AL14" s="149" t="e">
        <f t="shared" si="20"/>
        <v>#DIV/0!</v>
      </c>
      <c r="AM14" s="112"/>
      <c r="AN14" s="147">
        <f t="shared" si="21"/>
        <v>0</v>
      </c>
      <c r="AO14" s="113"/>
      <c r="AP14" s="148" t="str">
        <f t="shared" si="22"/>
        <v/>
      </c>
      <c r="AQ14" s="148" t="e">
        <f t="shared" si="23"/>
        <v>#DIV/0!</v>
      </c>
      <c r="AR14" s="119"/>
      <c r="AS14" s="143">
        <f t="shared" si="24"/>
        <v>0</v>
      </c>
      <c r="AT14" s="110"/>
      <c r="AU14" s="145" t="str">
        <f t="shared" si="25"/>
        <v/>
      </c>
      <c r="AV14" s="145" t="e">
        <f t="shared" si="26"/>
        <v>#DIV/0!</v>
      </c>
      <c r="AW14" s="112"/>
      <c r="AX14" s="147">
        <f t="shared" si="27"/>
        <v>0</v>
      </c>
      <c r="AY14" s="113"/>
      <c r="AZ14" s="148" t="str">
        <f t="shared" si="28"/>
        <v/>
      </c>
      <c r="BA14" s="148" t="e">
        <f t="shared" si="29"/>
        <v>#DIV/0!</v>
      </c>
      <c r="BB14" s="154">
        <f t="shared" si="30"/>
        <v>0</v>
      </c>
      <c r="BC14" s="154">
        <f t="shared" si="31"/>
        <v>0</v>
      </c>
      <c r="BD14" s="154">
        <f t="shared" si="32"/>
        <v>0</v>
      </c>
      <c r="BE14" s="155" t="e">
        <f t="shared" si="33"/>
        <v>#DIV/0!</v>
      </c>
      <c r="BF14" s="156" t="e">
        <f t="shared" si="34"/>
        <v>#DIV/0!</v>
      </c>
      <c r="BI14" t="s">
        <v>66</v>
      </c>
      <c r="BJ14" s="79">
        <f t="shared" si="35"/>
        <v>6</v>
      </c>
    </row>
    <row r="15" spans="1:62" x14ac:dyDescent="0.25">
      <c r="A15" s="134" t="s">
        <v>187</v>
      </c>
      <c r="B15" s="128"/>
      <c r="C15" s="129"/>
      <c r="D15" s="108"/>
      <c r="E15" s="143">
        <f t="shared" si="0"/>
        <v>0</v>
      </c>
      <c r="F15" s="110"/>
      <c r="G15" s="145" t="str">
        <f t="shared" si="1"/>
        <v/>
      </c>
      <c r="H15" s="145" t="e">
        <f t="shared" si="2"/>
        <v>#DIV/0!</v>
      </c>
      <c r="I15" s="112"/>
      <c r="J15" s="147">
        <f t="shared" si="3"/>
        <v>0</v>
      </c>
      <c r="K15" s="113"/>
      <c r="L15" s="148" t="str">
        <f t="shared" si="4"/>
        <v/>
      </c>
      <c r="M15" s="148" t="e">
        <f t="shared" si="5"/>
        <v>#DIV/0!</v>
      </c>
      <c r="N15" s="109"/>
      <c r="O15" s="143">
        <f t="shared" si="6"/>
        <v>0</v>
      </c>
      <c r="P15" s="110"/>
      <c r="Q15" s="145" t="str">
        <f t="shared" si="7"/>
        <v/>
      </c>
      <c r="R15" s="145" t="e">
        <f t="shared" si="8"/>
        <v>#DIV/0!</v>
      </c>
      <c r="S15" s="113"/>
      <c r="T15" s="147">
        <f t="shared" si="9"/>
        <v>0</v>
      </c>
      <c r="U15" s="113"/>
      <c r="V15" s="148" t="str">
        <f t="shared" si="10"/>
        <v/>
      </c>
      <c r="W15" s="148" t="e">
        <f t="shared" si="11"/>
        <v>#DIV/0!</v>
      </c>
      <c r="X15" s="109"/>
      <c r="Y15" s="143">
        <f t="shared" si="12"/>
        <v>0</v>
      </c>
      <c r="Z15" s="110"/>
      <c r="AA15" s="145" t="str">
        <f t="shared" si="13"/>
        <v/>
      </c>
      <c r="AB15" s="149" t="e">
        <f t="shared" si="14"/>
        <v>#DIV/0!</v>
      </c>
      <c r="AC15" s="116"/>
      <c r="AD15" s="147">
        <f t="shared" si="15"/>
        <v>0</v>
      </c>
      <c r="AE15" s="113"/>
      <c r="AF15" s="148" t="str">
        <f t="shared" si="16"/>
        <v/>
      </c>
      <c r="AG15" s="151" t="e">
        <f t="shared" si="17"/>
        <v>#DIV/0!</v>
      </c>
      <c r="AH15" s="110"/>
      <c r="AI15" s="143">
        <f t="shared" si="18"/>
        <v>0</v>
      </c>
      <c r="AJ15" s="110"/>
      <c r="AK15" s="145" t="str">
        <f t="shared" si="19"/>
        <v/>
      </c>
      <c r="AL15" s="149" t="e">
        <f t="shared" si="20"/>
        <v>#DIV/0!</v>
      </c>
      <c r="AM15" s="112"/>
      <c r="AN15" s="147">
        <f t="shared" si="21"/>
        <v>0</v>
      </c>
      <c r="AO15" s="113"/>
      <c r="AP15" s="148" t="str">
        <f t="shared" si="22"/>
        <v/>
      </c>
      <c r="AQ15" s="148" t="e">
        <f t="shared" si="23"/>
        <v>#DIV/0!</v>
      </c>
      <c r="AR15" s="119"/>
      <c r="AS15" s="143">
        <f t="shared" si="24"/>
        <v>0</v>
      </c>
      <c r="AT15" s="110"/>
      <c r="AU15" s="145" t="str">
        <f t="shared" si="25"/>
        <v/>
      </c>
      <c r="AV15" s="145" t="e">
        <f t="shared" si="26"/>
        <v>#DIV/0!</v>
      </c>
      <c r="AW15" s="112"/>
      <c r="AX15" s="147">
        <f t="shared" si="27"/>
        <v>0</v>
      </c>
      <c r="AY15" s="113"/>
      <c r="AZ15" s="148" t="str">
        <f t="shared" si="28"/>
        <v/>
      </c>
      <c r="BA15" s="148" t="e">
        <f t="shared" si="29"/>
        <v>#DIV/0!</v>
      </c>
      <c r="BB15" s="154">
        <f t="shared" si="30"/>
        <v>0</v>
      </c>
      <c r="BC15" s="154">
        <f t="shared" si="31"/>
        <v>0</v>
      </c>
      <c r="BD15" s="154">
        <f t="shared" si="32"/>
        <v>0</v>
      </c>
      <c r="BE15" s="155" t="e">
        <f t="shared" si="33"/>
        <v>#DIV/0!</v>
      </c>
      <c r="BF15" s="156" t="e">
        <f t="shared" si="34"/>
        <v>#DIV/0!</v>
      </c>
      <c r="BI15" t="s">
        <v>67</v>
      </c>
      <c r="BJ15" s="79">
        <f t="shared" si="35"/>
        <v>7</v>
      </c>
    </row>
    <row r="16" spans="1:62" x14ac:dyDescent="0.25">
      <c r="A16" s="134" t="s">
        <v>191</v>
      </c>
      <c r="B16" s="128"/>
      <c r="C16" s="129"/>
      <c r="D16" s="108"/>
      <c r="E16" s="143">
        <f t="shared" si="0"/>
        <v>0</v>
      </c>
      <c r="F16" s="110"/>
      <c r="G16" s="145" t="str">
        <f t="shared" si="1"/>
        <v/>
      </c>
      <c r="H16" s="145" t="e">
        <f t="shared" si="2"/>
        <v>#DIV/0!</v>
      </c>
      <c r="I16" s="112"/>
      <c r="J16" s="147">
        <f t="shared" si="3"/>
        <v>0</v>
      </c>
      <c r="K16" s="113"/>
      <c r="L16" s="148" t="str">
        <f t="shared" si="4"/>
        <v/>
      </c>
      <c r="M16" s="148" t="e">
        <f t="shared" si="5"/>
        <v>#DIV/0!</v>
      </c>
      <c r="N16" s="109"/>
      <c r="O16" s="143">
        <f t="shared" si="6"/>
        <v>0</v>
      </c>
      <c r="P16" s="110"/>
      <c r="Q16" s="145" t="str">
        <f t="shared" si="7"/>
        <v/>
      </c>
      <c r="R16" s="145" t="e">
        <f t="shared" si="8"/>
        <v>#DIV/0!</v>
      </c>
      <c r="S16" s="113"/>
      <c r="T16" s="147">
        <f t="shared" si="9"/>
        <v>0</v>
      </c>
      <c r="U16" s="113"/>
      <c r="V16" s="148" t="str">
        <f t="shared" si="10"/>
        <v/>
      </c>
      <c r="W16" s="148" t="e">
        <f t="shared" si="11"/>
        <v>#DIV/0!</v>
      </c>
      <c r="X16" s="109"/>
      <c r="Y16" s="143">
        <f t="shared" si="12"/>
        <v>0</v>
      </c>
      <c r="Z16" s="110"/>
      <c r="AA16" s="145" t="str">
        <f t="shared" si="13"/>
        <v/>
      </c>
      <c r="AB16" s="149" t="e">
        <f t="shared" si="14"/>
        <v>#DIV/0!</v>
      </c>
      <c r="AC16" s="116"/>
      <c r="AD16" s="147">
        <f t="shared" si="15"/>
        <v>0</v>
      </c>
      <c r="AE16" s="113"/>
      <c r="AF16" s="148" t="str">
        <f t="shared" si="16"/>
        <v/>
      </c>
      <c r="AG16" s="151" t="e">
        <f t="shared" si="17"/>
        <v>#DIV/0!</v>
      </c>
      <c r="AH16" s="110"/>
      <c r="AI16" s="143">
        <f t="shared" si="18"/>
        <v>0</v>
      </c>
      <c r="AJ16" s="110"/>
      <c r="AK16" s="145" t="str">
        <f t="shared" si="19"/>
        <v/>
      </c>
      <c r="AL16" s="149" t="e">
        <f t="shared" si="20"/>
        <v>#DIV/0!</v>
      </c>
      <c r="AM16" s="112"/>
      <c r="AN16" s="147">
        <f t="shared" si="21"/>
        <v>0</v>
      </c>
      <c r="AO16" s="113"/>
      <c r="AP16" s="148" t="str">
        <f t="shared" si="22"/>
        <v/>
      </c>
      <c r="AQ16" s="148" t="e">
        <f t="shared" si="23"/>
        <v>#DIV/0!</v>
      </c>
      <c r="AR16" s="119"/>
      <c r="AS16" s="143">
        <f t="shared" si="24"/>
        <v>0</v>
      </c>
      <c r="AT16" s="110"/>
      <c r="AU16" s="145" t="str">
        <f t="shared" si="25"/>
        <v/>
      </c>
      <c r="AV16" s="145" t="e">
        <f t="shared" si="26"/>
        <v>#DIV/0!</v>
      </c>
      <c r="AW16" s="112"/>
      <c r="AX16" s="147">
        <f t="shared" si="27"/>
        <v>0</v>
      </c>
      <c r="AY16" s="113"/>
      <c r="AZ16" s="148" t="str">
        <f t="shared" si="28"/>
        <v/>
      </c>
      <c r="BA16" s="148" t="e">
        <f t="shared" si="29"/>
        <v>#DIV/0!</v>
      </c>
      <c r="BB16" s="154">
        <f t="shared" si="30"/>
        <v>0</v>
      </c>
      <c r="BC16" s="154">
        <f t="shared" si="31"/>
        <v>0</v>
      </c>
      <c r="BD16" s="154">
        <f t="shared" si="32"/>
        <v>0</v>
      </c>
      <c r="BE16" s="155" t="e">
        <f t="shared" si="33"/>
        <v>#DIV/0!</v>
      </c>
      <c r="BF16" s="156" t="e">
        <f t="shared" si="34"/>
        <v>#DIV/0!</v>
      </c>
      <c r="BI16" t="s">
        <v>68</v>
      </c>
      <c r="BJ16" s="79">
        <f t="shared" si="35"/>
        <v>8</v>
      </c>
    </row>
    <row r="17" spans="1:62" x14ac:dyDescent="0.25">
      <c r="A17" s="134" t="s">
        <v>193</v>
      </c>
      <c r="B17" s="128"/>
      <c r="C17" s="129"/>
      <c r="D17" s="108"/>
      <c r="E17" s="143">
        <f t="shared" si="0"/>
        <v>0</v>
      </c>
      <c r="F17" s="110"/>
      <c r="G17" s="145" t="str">
        <f t="shared" si="1"/>
        <v/>
      </c>
      <c r="H17" s="145" t="e">
        <f t="shared" si="2"/>
        <v>#DIV/0!</v>
      </c>
      <c r="I17" s="112"/>
      <c r="J17" s="147">
        <f t="shared" si="3"/>
        <v>0</v>
      </c>
      <c r="K17" s="113"/>
      <c r="L17" s="148" t="str">
        <f t="shared" si="4"/>
        <v/>
      </c>
      <c r="M17" s="148" t="e">
        <f t="shared" si="5"/>
        <v>#DIV/0!</v>
      </c>
      <c r="N17" s="109"/>
      <c r="O17" s="143">
        <f t="shared" si="6"/>
        <v>0</v>
      </c>
      <c r="P17" s="110"/>
      <c r="Q17" s="145" t="str">
        <f t="shared" si="7"/>
        <v/>
      </c>
      <c r="R17" s="145" t="e">
        <f t="shared" si="8"/>
        <v>#DIV/0!</v>
      </c>
      <c r="S17" s="113"/>
      <c r="T17" s="147">
        <f t="shared" si="9"/>
        <v>0</v>
      </c>
      <c r="U17" s="113"/>
      <c r="V17" s="148" t="str">
        <f t="shared" si="10"/>
        <v/>
      </c>
      <c r="W17" s="148" t="e">
        <f t="shared" si="11"/>
        <v>#DIV/0!</v>
      </c>
      <c r="X17" s="109"/>
      <c r="Y17" s="143">
        <f t="shared" si="12"/>
        <v>0</v>
      </c>
      <c r="Z17" s="110"/>
      <c r="AA17" s="145" t="str">
        <f t="shared" si="13"/>
        <v/>
      </c>
      <c r="AB17" s="149" t="e">
        <f t="shared" si="14"/>
        <v>#DIV/0!</v>
      </c>
      <c r="AC17" s="116"/>
      <c r="AD17" s="147">
        <f t="shared" si="15"/>
        <v>0</v>
      </c>
      <c r="AE17" s="113"/>
      <c r="AF17" s="148" t="str">
        <f t="shared" si="16"/>
        <v/>
      </c>
      <c r="AG17" s="151" t="e">
        <f t="shared" si="17"/>
        <v>#DIV/0!</v>
      </c>
      <c r="AH17" s="110"/>
      <c r="AI17" s="143">
        <f t="shared" si="18"/>
        <v>0</v>
      </c>
      <c r="AJ17" s="110"/>
      <c r="AK17" s="145" t="str">
        <f t="shared" si="19"/>
        <v/>
      </c>
      <c r="AL17" s="149" t="e">
        <f t="shared" si="20"/>
        <v>#DIV/0!</v>
      </c>
      <c r="AM17" s="112"/>
      <c r="AN17" s="147">
        <f t="shared" si="21"/>
        <v>0</v>
      </c>
      <c r="AO17" s="113"/>
      <c r="AP17" s="148" t="str">
        <f t="shared" si="22"/>
        <v/>
      </c>
      <c r="AQ17" s="148" t="e">
        <f t="shared" si="23"/>
        <v>#DIV/0!</v>
      </c>
      <c r="AR17" s="119"/>
      <c r="AS17" s="143">
        <f t="shared" si="24"/>
        <v>0</v>
      </c>
      <c r="AT17" s="110"/>
      <c r="AU17" s="145" t="str">
        <f t="shared" si="25"/>
        <v/>
      </c>
      <c r="AV17" s="145" t="e">
        <f t="shared" si="26"/>
        <v>#DIV/0!</v>
      </c>
      <c r="AW17" s="112"/>
      <c r="AX17" s="147">
        <f t="shared" si="27"/>
        <v>0</v>
      </c>
      <c r="AY17" s="113"/>
      <c r="AZ17" s="148" t="str">
        <f t="shared" si="28"/>
        <v/>
      </c>
      <c r="BA17" s="148" t="e">
        <f t="shared" si="29"/>
        <v>#DIV/0!</v>
      </c>
      <c r="BB17" s="154">
        <f t="shared" si="30"/>
        <v>0</v>
      </c>
      <c r="BC17" s="154">
        <f t="shared" si="31"/>
        <v>0</v>
      </c>
      <c r="BD17" s="154">
        <f t="shared" si="32"/>
        <v>0</v>
      </c>
      <c r="BE17" s="155" t="e">
        <f t="shared" si="33"/>
        <v>#DIV/0!</v>
      </c>
      <c r="BF17" s="156" t="e">
        <f t="shared" si="34"/>
        <v>#DIV/0!</v>
      </c>
      <c r="BI17" t="s">
        <v>69</v>
      </c>
      <c r="BJ17" s="79">
        <f t="shared" si="35"/>
        <v>9</v>
      </c>
    </row>
    <row r="18" spans="1:62" x14ac:dyDescent="0.25">
      <c r="A18" s="134" t="s">
        <v>195</v>
      </c>
      <c r="B18" s="128"/>
      <c r="C18" s="129"/>
      <c r="D18" s="108"/>
      <c r="E18" s="143">
        <f t="shared" si="0"/>
        <v>0</v>
      </c>
      <c r="F18" s="110"/>
      <c r="G18" s="145" t="str">
        <f t="shared" si="1"/>
        <v/>
      </c>
      <c r="H18" s="145" t="e">
        <f t="shared" si="2"/>
        <v>#DIV/0!</v>
      </c>
      <c r="I18" s="112"/>
      <c r="J18" s="147">
        <f t="shared" si="3"/>
        <v>0</v>
      </c>
      <c r="K18" s="113"/>
      <c r="L18" s="148" t="str">
        <f t="shared" si="4"/>
        <v/>
      </c>
      <c r="M18" s="148" t="e">
        <f t="shared" si="5"/>
        <v>#DIV/0!</v>
      </c>
      <c r="N18" s="109"/>
      <c r="O18" s="143">
        <f t="shared" si="6"/>
        <v>0</v>
      </c>
      <c r="P18" s="110"/>
      <c r="Q18" s="145" t="str">
        <f t="shared" si="7"/>
        <v/>
      </c>
      <c r="R18" s="145" t="e">
        <f t="shared" si="8"/>
        <v>#DIV/0!</v>
      </c>
      <c r="S18" s="113"/>
      <c r="T18" s="147">
        <f t="shared" si="9"/>
        <v>0</v>
      </c>
      <c r="U18" s="113"/>
      <c r="V18" s="148" t="str">
        <f t="shared" si="10"/>
        <v/>
      </c>
      <c r="W18" s="148" t="e">
        <f t="shared" si="11"/>
        <v>#DIV/0!</v>
      </c>
      <c r="X18" s="109"/>
      <c r="Y18" s="143">
        <f t="shared" si="12"/>
        <v>0</v>
      </c>
      <c r="Z18" s="110"/>
      <c r="AA18" s="145" t="str">
        <f t="shared" si="13"/>
        <v/>
      </c>
      <c r="AB18" s="149" t="e">
        <f t="shared" si="14"/>
        <v>#DIV/0!</v>
      </c>
      <c r="AC18" s="116"/>
      <c r="AD18" s="147">
        <f t="shared" si="15"/>
        <v>0</v>
      </c>
      <c r="AE18" s="113"/>
      <c r="AF18" s="148" t="str">
        <f t="shared" si="16"/>
        <v/>
      </c>
      <c r="AG18" s="151" t="e">
        <f t="shared" si="17"/>
        <v>#DIV/0!</v>
      </c>
      <c r="AH18" s="110"/>
      <c r="AI18" s="143">
        <f t="shared" si="18"/>
        <v>0</v>
      </c>
      <c r="AJ18" s="110"/>
      <c r="AK18" s="145" t="str">
        <f t="shared" si="19"/>
        <v/>
      </c>
      <c r="AL18" s="149" t="e">
        <f t="shared" si="20"/>
        <v>#DIV/0!</v>
      </c>
      <c r="AM18" s="112"/>
      <c r="AN18" s="147">
        <f t="shared" si="21"/>
        <v>0</v>
      </c>
      <c r="AO18" s="113"/>
      <c r="AP18" s="148" t="str">
        <f t="shared" si="22"/>
        <v/>
      </c>
      <c r="AQ18" s="148" t="e">
        <f t="shared" si="23"/>
        <v>#DIV/0!</v>
      </c>
      <c r="AR18" s="119"/>
      <c r="AS18" s="143">
        <f t="shared" si="24"/>
        <v>0</v>
      </c>
      <c r="AT18" s="110"/>
      <c r="AU18" s="145" t="str">
        <f t="shared" si="25"/>
        <v/>
      </c>
      <c r="AV18" s="145" t="e">
        <f t="shared" si="26"/>
        <v>#DIV/0!</v>
      </c>
      <c r="AW18" s="112"/>
      <c r="AX18" s="147">
        <f t="shared" si="27"/>
        <v>0</v>
      </c>
      <c r="AY18" s="113"/>
      <c r="AZ18" s="148" t="str">
        <f t="shared" si="28"/>
        <v/>
      </c>
      <c r="BA18" s="148" t="e">
        <f t="shared" si="29"/>
        <v>#DIV/0!</v>
      </c>
      <c r="BB18" s="154">
        <f t="shared" si="30"/>
        <v>0</v>
      </c>
      <c r="BC18" s="154">
        <f t="shared" si="31"/>
        <v>0</v>
      </c>
      <c r="BD18" s="154">
        <f t="shared" si="32"/>
        <v>0</v>
      </c>
      <c r="BE18" s="155" t="e">
        <f t="shared" si="33"/>
        <v>#DIV/0!</v>
      </c>
      <c r="BF18" s="156" t="e">
        <f t="shared" si="34"/>
        <v>#DIV/0!</v>
      </c>
      <c r="BI18" t="s">
        <v>70</v>
      </c>
      <c r="BJ18" s="79">
        <f t="shared" si="35"/>
        <v>10</v>
      </c>
    </row>
    <row r="19" spans="1:62" x14ac:dyDescent="0.25">
      <c r="A19" s="134" t="s">
        <v>199</v>
      </c>
      <c r="B19" s="128"/>
      <c r="C19" s="129"/>
      <c r="D19" s="108"/>
      <c r="E19" s="143">
        <f t="shared" si="0"/>
        <v>0</v>
      </c>
      <c r="F19" s="110"/>
      <c r="G19" s="145" t="str">
        <f t="shared" si="1"/>
        <v/>
      </c>
      <c r="H19" s="145" t="e">
        <f t="shared" si="2"/>
        <v>#DIV/0!</v>
      </c>
      <c r="I19" s="112"/>
      <c r="J19" s="147">
        <f t="shared" si="3"/>
        <v>0</v>
      </c>
      <c r="K19" s="113"/>
      <c r="L19" s="148" t="str">
        <f t="shared" si="4"/>
        <v/>
      </c>
      <c r="M19" s="148" t="e">
        <f t="shared" si="5"/>
        <v>#DIV/0!</v>
      </c>
      <c r="N19" s="109"/>
      <c r="O19" s="143">
        <f t="shared" si="6"/>
        <v>0</v>
      </c>
      <c r="P19" s="110"/>
      <c r="Q19" s="145" t="str">
        <f t="shared" si="7"/>
        <v/>
      </c>
      <c r="R19" s="145" t="e">
        <f t="shared" si="8"/>
        <v>#DIV/0!</v>
      </c>
      <c r="S19" s="113"/>
      <c r="T19" s="147">
        <f t="shared" si="9"/>
        <v>0</v>
      </c>
      <c r="U19" s="113"/>
      <c r="V19" s="148" t="str">
        <f t="shared" si="10"/>
        <v/>
      </c>
      <c r="W19" s="148" t="e">
        <f t="shared" si="11"/>
        <v>#DIV/0!</v>
      </c>
      <c r="X19" s="109"/>
      <c r="Y19" s="143">
        <f t="shared" si="12"/>
        <v>0</v>
      </c>
      <c r="Z19" s="110"/>
      <c r="AA19" s="145" t="str">
        <f t="shared" si="13"/>
        <v/>
      </c>
      <c r="AB19" s="149" t="e">
        <f t="shared" si="14"/>
        <v>#DIV/0!</v>
      </c>
      <c r="AC19" s="116"/>
      <c r="AD19" s="147">
        <f t="shared" si="15"/>
        <v>0</v>
      </c>
      <c r="AE19" s="113"/>
      <c r="AF19" s="148" t="str">
        <f t="shared" si="16"/>
        <v/>
      </c>
      <c r="AG19" s="151" t="e">
        <f t="shared" si="17"/>
        <v>#DIV/0!</v>
      </c>
      <c r="AH19" s="110"/>
      <c r="AI19" s="143">
        <f t="shared" si="18"/>
        <v>0</v>
      </c>
      <c r="AJ19" s="110"/>
      <c r="AK19" s="145" t="str">
        <f t="shared" si="19"/>
        <v/>
      </c>
      <c r="AL19" s="149" t="e">
        <f t="shared" si="20"/>
        <v>#DIV/0!</v>
      </c>
      <c r="AM19" s="112"/>
      <c r="AN19" s="147">
        <f t="shared" si="21"/>
        <v>0</v>
      </c>
      <c r="AO19" s="113"/>
      <c r="AP19" s="148" t="str">
        <f t="shared" si="22"/>
        <v/>
      </c>
      <c r="AQ19" s="148" t="e">
        <f t="shared" si="23"/>
        <v>#DIV/0!</v>
      </c>
      <c r="AR19" s="119"/>
      <c r="AS19" s="143">
        <f t="shared" si="24"/>
        <v>0</v>
      </c>
      <c r="AT19" s="110"/>
      <c r="AU19" s="145" t="str">
        <f t="shared" si="25"/>
        <v/>
      </c>
      <c r="AV19" s="145" t="e">
        <f t="shared" si="26"/>
        <v>#DIV/0!</v>
      </c>
      <c r="AW19" s="112"/>
      <c r="AX19" s="147">
        <f t="shared" si="27"/>
        <v>0</v>
      </c>
      <c r="AY19" s="113"/>
      <c r="AZ19" s="148" t="str">
        <f t="shared" si="28"/>
        <v/>
      </c>
      <c r="BA19" s="148" t="e">
        <f t="shared" si="29"/>
        <v>#DIV/0!</v>
      </c>
      <c r="BB19" s="154">
        <f t="shared" si="30"/>
        <v>0</v>
      </c>
      <c r="BC19" s="154">
        <f t="shared" si="31"/>
        <v>0</v>
      </c>
      <c r="BD19" s="154">
        <f t="shared" si="32"/>
        <v>0</v>
      </c>
      <c r="BE19" s="155" t="e">
        <f t="shared" si="33"/>
        <v>#DIV/0!</v>
      </c>
      <c r="BF19" s="156" t="e">
        <f t="shared" si="34"/>
        <v>#DIV/0!</v>
      </c>
      <c r="BI19" t="s">
        <v>71</v>
      </c>
      <c r="BJ19" s="79">
        <f t="shared" si="35"/>
        <v>11</v>
      </c>
    </row>
    <row r="20" spans="1:62" ht="15.75" thickBot="1" x14ac:dyDescent="0.3">
      <c r="A20" s="134" t="s">
        <v>201</v>
      </c>
      <c r="B20" s="128"/>
      <c r="C20" s="129"/>
      <c r="D20" s="108"/>
      <c r="E20" s="143">
        <f t="shared" si="0"/>
        <v>0</v>
      </c>
      <c r="F20" s="110"/>
      <c r="G20" s="145" t="str">
        <f t="shared" si="1"/>
        <v/>
      </c>
      <c r="H20" s="145" t="e">
        <f t="shared" si="2"/>
        <v>#DIV/0!</v>
      </c>
      <c r="I20" s="112"/>
      <c r="J20" s="147">
        <f t="shared" si="3"/>
        <v>0</v>
      </c>
      <c r="K20" s="113"/>
      <c r="L20" s="148" t="str">
        <f t="shared" si="4"/>
        <v/>
      </c>
      <c r="M20" s="148" t="e">
        <f t="shared" si="5"/>
        <v>#DIV/0!</v>
      </c>
      <c r="N20" s="109"/>
      <c r="O20" s="143">
        <f t="shared" si="6"/>
        <v>0</v>
      </c>
      <c r="P20" s="110"/>
      <c r="Q20" s="145" t="str">
        <f t="shared" si="7"/>
        <v/>
      </c>
      <c r="R20" s="145" t="e">
        <f t="shared" si="8"/>
        <v>#DIV/0!</v>
      </c>
      <c r="S20" s="113"/>
      <c r="T20" s="147">
        <f t="shared" si="9"/>
        <v>0</v>
      </c>
      <c r="U20" s="113"/>
      <c r="V20" s="148" t="str">
        <f t="shared" si="10"/>
        <v/>
      </c>
      <c r="W20" s="148" t="e">
        <f t="shared" si="11"/>
        <v>#DIV/0!</v>
      </c>
      <c r="X20" s="109"/>
      <c r="Y20" s="143">
        <f t="shared" si="12"/>
        <v>0</v>
      </c>
      <c r="Z20" s="110"/>
      <c r="AA20" s="145" t="str">
        <f t="shared" si="13"/>
        <v/>
      </c>
      <c r="AB20" s="149" t="e">
        <f t="shared" si="14"/>
        <v>#DIV/0!</v>
      </c>
      <c r="AC20" s="116"/>
      <c r="AD20" s="147">
        <f t="shared" si="15"/>
        <v>0</v>
      </c>
      <c r="AE20" s="113"/>
      <c r="AF20" s="148" t="str">
        <f t="shared" si="16"/>
        <v/>
      </c>
      <c r="AG20" s="151" t="e">
        <f t="shared" si="17"/>
        <v>#DIV/0!</v>
      </c>
      <c r="AH20" s="110"/>
      <c r="AI20" s="143">
        <f t="shared" si="18"/>
        <v>0</v>
      </c>
      <c r="AJ20" s="110"/>
      <c r="AK20" s="145" t="str">
        <f t="shared" si="19"/>
        <v/>
      </c>
      <c r="AL20" s="149" t="e">
        <f t="shared" si="20"/>
        <v>#DIV/0!</v>
      </c>
      <c r="AM20" s="112"/>
      <c r="AN20" s="147">
        <f t="shared" si="21"/>
        <v>0</v>
      </c>
      <c r="AO20" s="113"/>
      <c r="AP20" s="148" t="str">
        <f t="shared" si="22"/>
        <v/>
      </c>
      <c r="AQ20" s="148" t="e">
        <f t="shared" si="23"/>
        <v>#DIV/0!</v>
      </c>
      <c r="AR20" s="119"/>
      <c r="AS20" s="143">
        <f t="shared" si="24"/>
        <v>0</v>
      </c>
      <c r="AT20" s="110"/>
      <c r="AU20" s="145" t="str">
        <f t="shared" si="25"/>
        <v/>
      </c>
      <c r="AV20" s="145" t="e">
        <f t="shared" si="26"/>
        <v>#DIV/0!</v>
      </c>
      <c r="AW20" s="112"/>
      <c r="AX20" s="147">
        <f t="shared" si="27"/>
        <v>0</v>
      </c>
      <c r="AY20" s="113"/>
      <c r="AZ20" s="148" t="str">
        <f t="shared" si="28"/>
        <v/>
      </c>
      <c r="BA20" s="148" t="e">
        <f t="shared" si="29"/>
        <v>#DIV/0!</v>
      </c>
      <c r="BB20" s="154">
        <f t="shared" si="30"/>
        <v>0</v>
      </c>
      <c r="BC20" s="154">
        <f t="shared" si="31"/>
        <v>0</v>
      </c>
      <c r="BD20" s="154">
        <f t="shared" si="32"/>
        <v>0</v>
      </c>
      <c r="BE20" s="155" t="e">
        <f t="shared" si="33"/>
        <v>#DIV/0!</v>
      </c>
      <c r="BF20" s="156" t="e">
        <f t="shared" si="34"/>
        <v>#DIV/0!</v>
      </c>
      <c r="BI20" t="s">
        <v>72</v>
      </c>
      <c r="BJ20" s="80">
        <f t="shared" si="35"/>
        <v>12</v>
      </c>
    </row>
    <row r="21" spans="1:62" x14ac:dyDescent="0.25">
      <c r="A21" s="134" t="s">
        <v>203</v>
      </c>
      <c r="B21" s="128"/>
      <c r="C21" s="129"/>
      <c r="D21" s="108"/>
      <c r="E21" s="143">
        <f t="shared" si="0"/>
        <v>0</v>
      </c>
      <c r="F21" s="110"/>
      <c r="G21" s="145" t="str">
        <f t="shared" si="1"/>
        <v/>
      </c>
      <c r="H21" s="145" t="e">
        <f t="shared" si="2"/>
        <v>#DIV/0!</v>
      </c>
      <c r="I21" s="112"/>
      <c r="J21" s="147">
        <f t="shared" si="3"/>
        <v>0</v>
      </c>
      <c r="K21" s="113"/>
      <c r="L21" s="148" t="str">
        <f t="shared" si="4"/>
        <v/>
      </c>
      <c r="M21" s="148" t="e">
        <f t="shared" si="5"/>
        <v>#DIV/0!</v>
      </c>
      <c r="N21" s="109"/>
      <c r="O21" s="143">
        <f t="shared" si="6"/>
        <v>0</v>
      </c>
      <c r="P21" s="110"/>
      <c r="Q21" s="145" t="str">
        <f t="shared" si="7"/>
        <v/>
      </c>
      <c r="R21" s="145" t="e">
        <f t="shared" si="8"/>
        <v>#DIV/0!</v>
      </c>
      <c r="S21" s="113"/>
      <c r="T21" s="147">
        <f t="shared" si="9"/>
        <v>0</v>
      </c>
      <c r="U21" s="113"/>
      <c r="V21" s="148" t="str">
        <f t="shared" si="10"/>
        <v/>
      </c>
      <c r="W21" s="148" t="e">
        <f t="shared" si="11"/>
        <v>#DIV/0!</v>
      </c>
      <c r="X21" s="109"/>
      <c r="Y21" s="143">
        <f t="shared" si="12"/>
        <v>0</v>
      </c>
      <c r="Z21" s="110"/>
      <c r="AA21" s="145" t="str">
        <f t="shared" si="13"/>
        <v/>
      </c>
      <c r="AB21" s="149" t="e">
        <f t="shared" si="14"/>
        <v>#DIV/0!</v>
      </c>
      <c r="AC21" s="116"/>
      <c r="AD21" s="147">
        <f t="shared" si="15"/>
        <v>0</v>
      </c>
      <c r="AE21" s="113"/>
      <c r="AF21" s="148" t="str">
        <f t="shared" si="16"/>
        <v/>
      </c>
      <c r="AG21" s="151" t="e">
        <f t="shared" si="17"/>
        <v>#DIV/0!</v>
      </c>
      <c r="AH21" s="110"/>
      <c r="AI21" s="143">
        <f t="shared" si="18"/>
        <v>0</v>
      </c>
      <c r="AJ21" s="110"/>
      <c r="AK21" s="145" t="str">
        <f t="shared" si="19"/>
        <v/>
      </c>
      <c r="AL21" s="149" t="e">
        <f t="shared" si="20"/>
        <v>#DIV/0!</v>
      </c>
      <c r="AM21" s="112"/>
      <c r="AN21" s="147">
        <f t="shared" si="21"/>
        <v>0</v>
      </c>
      <c r="AO21" s="113"/>
      <c r="AP21" s="148" t="str">
        <f t="shared" si="22"/>
        <v/>
      </c>
      <c r="AQ21" s="148" t="e">
        <f t="shared" si="23"/>
        <v>#DIV/0!</v>
      </c>
      <c r="AR21" s="119"/>
      <c r="AS21" s="143">
        <f t="shared" si="24"/>
        <v>0</v>
      </c>
      <c r="AT21" s="110"/>
      <c r="AU21" s="145" t="str">
        <f t="shared" si="25"/>
        <v/>
      </c>
      <c r="AV21" s="145" t="e">
        <f t="shared" si="26"/>
        <v>#DIV/0!</v>
      </c>
      <c r="AW21" s="112"/>
      <c r="AX21" s="147">
        <f t="shared" si="27"/>
        <v>0</v>
      </c>
      <c r="AY21" s="113"/>
      <c r="AZ21" s="148" t="str">
        <f t="shared" si="28"/>
        <v/>
      </c>
      <c r="BA21" s="148" t="e">
        <f t="shared" si="29"/>
        <v>#DIV/0!</v>
      </c>
      <c r="BB21" s="154">
        <f t="shared" si="30"/>
        <v>0</v>
      </c>
      <c r="BC21" s="154">
        <f t="shared" si="31"/>
        <v>0</v>
      </c>
      <c r="BD21" s="154">
        <f t="shared" si="32"/>
        <v>0</v>
      </c>
      <c r="BE21" s="155" t="e">
        <f t="shared" si="33"/>
        <v>#DIV/0!</v>
      </c>
      <c r="BF21" s="156" t="e">
        <f t="shared" si="34"/>
        <v>#DIV/0!</v>
      </c>
    </row>
    <row r="22" spans="1:62" x14ac:dyDescent="0.25">
      <c r="A22" s="134" t="s">
        <v>205</v>
      </c>
      <c r="B22" s="128"/>
      <c r="C22" s="129"/>
      <c r="D22" s="108"/>
      <c r="E22" s="143">
        <f t="shared" si="0"/>
        <v>0</v>
      </c>
      <c r="F22" s="110"/>
      <c r="G22" s="145" t="str">
        <f t="shared" si="1"/>
        <v/>
      </c>
      <c r="H22" s="145" t="e">
        <f t="shared" si="2"/>
        <v>#DIV/0!</v>
      </c>
      <c r="I22" s="112"/>
      <c r="J22" s="147">
        <f t="shared" si="3"/>
        <v>0</v>
      </c>
      <c r="K22" s="113"/>
      <c r="L22" s="148" t="str">
        <f t="shared" si="4"/>
        <v/>
      </c>
      <c r="M22" s="148" t="e">
        <f t="shared" si="5"/>
        <v>#DIV/0!</v>
      </c>
      <c r="N22" s="109"/>
      <c r="O22" s="143">
        <f t="shared" si="6"/>
        <v>0</v>
      </c>
      <c r="P22" s="110"/>
      <c r="Q22" s="145" t="str">
        <f t="shared" si="7"/>
        <v/>
      </c>
      <c r="R22" s="145" t="e">
        <f t="shared" si="8"/>
        <v>#DIV/0!</v>
      </c>
      <c r="S22" s="113"/>
      <c r="T22" s="147">
        <f t="shared" si="9"/>
        <v>0</v>
      </c>
      <c r="U22" s="113"/>
      <c r="V22" s="148" t="str">
        <f t="shared" si="10"/>
        <v/>
      </c>
      <c r="W22" s="148" t="e">
        <f t="shared" si="11"/>
        <v>#DIV/0!</v>
      </c>
      <c r="X22" s="109"/>
      <c r="Y22" s="143">
        <f t="shared" si="12"/>
        <v>0</v>
      </c>
      <c r="Z22" s="110"/>
      <c r="AA22" s="145" t="str">
        <f t="shared" si="13"/>
        <v/>
      </c>
      <c r="AB22" s="149" t="e">
        <f t="shared" si="14"/>
        <v>#DIV/0!</v>
      </c>
      <c r="AC22" s="116"/>
      <c r="AD22" s="147">
        <f t="shared" si="15"/>
        <v>0</v>
      </c>
      <c r="AE22" s="113"/>
      <c r="AF22" s="148" t="str">
        <f t="shared" si="16"/>
        <v/>
      </c>
      <c r="AG22" s="151" t="e">
        <f t="shared" si="17"/>
        <v>#DIV/0!</v>
      </c>
      <c r="AH22" s="110"/>
      <c r="AI22" s="143">
        <f t="shared" si="18"/>
        <v>0</v>
      </c>
      <c r="AJ22" s="110"/>
      <c r="AK22" s="145" t="str">
        <f t="shared" si="19"/>
        <v/>
      </c>
      <c r="AL22" s="149" t="e">
        <f t="shared" si="20"/>
        <v>#DIV/0!</v>
      </c>
      <c r="AM22" s="112"/>
      <c r="AN22" s="147">
        <f t="shared" si="21"/>
        <v>0</v>
      </c>
      <c r="AO22" s="113"/>
      <c r="AP22" s="148" t="str">
        <f t="shared" si="22"/>
        <v/>
      </c>
      <c r="AQ22" s="148" t="e">
        <f t="shared" si="23"/>
        <v>#DIV/0!</v>
      </c>
      <c r="AR22" s="119"/>
      <c r="AS22" s="143">
        <f t="shared" si="24"/>
        <v>0</v>
      </c>
      <c r="AT22" s="110"/>
      <c r="AU22" s="145" t="str">
        <f t="shared" si="25"/>
        <v/>
      </c>
      <c r="AV22" s="145" t="e">
        <f t="shared" si="26"/>
        <v>#DIV/0!</v>
      </c>
      <c r="AW22" s="112"/>
      <c r="AX22" s="147">
        <f t="shared" si="27"/>
        <v>0</v>
      </c>
      <c r="AY22" s="113"/>
      <c r="AZ22" s="148" t="str">
        <f t="shared" si="28"/>
        <v/>
      </c>
      <c r="BA22" s="148" t="e">
        <f t="shared" si="29"/>
        <v>#DIV/0!</v>
      </c>
      <c r="BB22" s="154">
        <f t="shared" si="30"/>
        <v>0</v>
      </c>
      <c r="BC22" s="154">
        <f t="shared" si="31"/>
        <v>0</v>
      </c>
      <c r="BD22" s="154">
        <f t="shared" si="32"/>
        <v>0</v>
      </c>
      <c r="BE22" s="155" t="e">
        <f t="shared" si="33"/>
        <v>#DIV/0!</v>
      </c>
      <c r="BF22" s="156" t="e">
        <f t="shared" si="34"/>
        <v>#DIV/0!</v>
      </c>
    </row>
    <row r="23" spans="1:62" x14ac:dyDescent="0.25">
      <c r="A23" s="134" t="s">
        <v>207</v>
      </c>
      <c r="B23" s="128"/>
      <c r="C23" s="129"/>
      <c r="D23" s="108"/>
      <c r="E23" s="143">
        <f t="shared" si="0"/>
        <v>0</v>
      </c>
      <c r="F23" s="110"/>
      <c r="G23" s="145" t="str">
        <f t="shared" si="1"/>
        <v/>
      </c>
      <c r="H23" s="145" t="e">
        <f t="shared" si="2"/>
        <v>#DIV/0!</v>
      </c>
      <c r="I23" s="112"/>
      <c r="J23" s="147">
        <f t="shared" si="3"/>
        <v>0</v>
      </c>
      <c r="K23" s="113"/>
      <c r="L23" s="148" t="str">
        <f t="shared" si="4"/>
        <v/>
      </c>
      <c r="M23" s="148" t="e">
        <f t="shared" si="5"/>
        <v>#DIV/0!</v>
      </c>
      <c r="N23" s="109"/>
      <c r="O23" s="143">
        <f t="shared" si="6"/>
        <v>0</v>
      </c>
      <c r="P23" s="110"/>
      <c r="Q23" s="145" t="str">
        <f t="shared" si="7"/>
        <v/>
      </c>
      <c r="R23" s="145" t="e">
        <f t="shared" si="8"/>
        <v>#DIV/0!</v>
      </c>
      <c r="S23" s="113"/>
      <c r="T23" s="147">
        <f t="shared" si="9"/>
        <v>0</v>
      </c>
      <c r="U23" s="113"/>
      <c r="V23" s="148" t="str">
        <f t="shared" si="10"/>
        <v/>
      </c>
      <c r="W23" s="148" t="e">
        <f t="shared" si="11"/>
        <v>#DIV/0!</v>
      </c>
      <c r="X23" s="109"/>
      <c r="Y23" s="143">
        <f t="shared" si="12"/>
        <v>0</v>
      </c>
      <c r="Z23" s="110"/>
      <c r="AA23" s="145" t="str">
        <f t="shared" si="13"/>
        <v/>
      </c>
      <c r="AB23" s="149" t="e">
        <f t="shared" si="14"/>
        <v>#DIV/0!</v>
      </c>
      <c r="AC23" s="116"/>
      <c r="AD23" s="147">
        <f t="shared" si="15"/>
        <v>0</v>
      </c>
      <c r="AE23" s="113"/>
      <c r="AF23" s="148" t="str">
        <f t="shared" si="16"/>
        <v/>
      </c>
      <c r="AG23" s="151" t="e">
        <f t="shared" si="17"/>
        <v>#DIV/0!</v>
      </c>
      <c r="AH23" s="110"/>
      <c r="AI23" s="143">
        <f t="shared" si="18"/>
        <v>0</v>
      </c>
      <c r="AJ23" s="110"/>
      <c r="AK23" s="145" t="str">
        <f t="shared" si="19"/>
        <v/>
      </c>
      <c r="AL23" s="149" t="e">
        <f t="shared" si="20"/>
        <v>#DIV/0!</v>
      </c>
      <c r="AM23" s="112"/>
      <c r="AN23" s="147">
        <f t="shared" si="21"/>
        <v>0</v>
      </c>
      <c r="AO23" s="113"/>
      <c r="AP23" s="148" t="str">
        <f t="shared" si="22"/>
        <v/>
      </c>
      <c r="AQ23" s="148" t="e">
        <f t="shared" si="23"/>
        <v>#DIV/0!</v>
      </c>
      <c r="AR23" s="119"/>
      <c r="AS23" s="143">
        <f t="shared" si="24"/>
        <v>0</v>
      </c>
      <c r="AT23" s="110"/>
      <c r="AU23" s="145" t="str">
        <f t="shared" si="25"/>
        <v/>
      </c>
      <c r="AV23" s="145" t="e">
        <f t="shared" si="26"/>
        <v>#DIV/0!</v>
      </c>
      <c r="AW23" s="112"/>
      <c r="AX23" s="147">
        <f t="shared" si="27"/>
        <v>0</v>
      </c>
      <c r="AY23" s="113"/>
      <c r="AZ23" s="148" t="str">
        <f t="shared" si="28"/>
        <v/>
      </c>
      <c r="BA23" s="148" t="e">
        <f t="shared" si="29"/>
        <v>#DIV/0!</v>
      </c>
      <c r="BB23" s="154">
        <f t="shared" si="30"/>
        <v>0</v>
      </c>
      <c r="BC23" s="154">
        <f t="shared" si="31"/>
        <v>0</v>
      </c>
      <c r="BD23" s="154">
        <f t="shared" si="32"/>
        <v>0</v>
      </c>
      <c r="BE23" s="155" t="e">
        <f t="shared" si="33"/>
        <v>#DIV/0!</v>
      </c>
      <c r="BF23" s="156" t="e">
        <f t="shared" si="34"/>
        <v>#DIV/0!</v>
      </c>
    </row>
    <row r="24" spans="1:62" x14ac:dyDescent="0.25">
      <c r="A24" s="134" t="s">
        <v>76</v>
      </c>
      <c r="B24" s="128"/>
      <c r="C24" s="129"/>
      <c r="D24" s="108"/>
      <c r="E24" s="143">
        <f t="shared" si="0"/>
        <v>0</v>
      </c>
      <c r="F24" s="110"/>
      <c r="G24" s="145" t="str">
        <f t="shared" si="1"/>
        <v/>
      </c>
      <c r="H24" s="145" t="e">
        <f t="shared" si="2"/>
        <v>#DIV/0!</v>
      </c>
      <c r="I24" s="112"/>
      <c r="J24" s="147">
        <f t="shared" si="3"/>
        <v>0</v>
      </c>
      <c r="K24" s="113"/>
      <c r="L24" s="148" t="str">
        <f t="shared" si="4"/>
        <v/>
      </c>
      <c r="M24" s="148" t="e">
        <f t="shared" si="5"/>
        <v>#DIV/0!</v>
      </c>
      <c r="N24" s="109"/>
      <c r="O24" s="143">
        <f t="shared" si="6"/>
        <v>0</v>
      </c>
      <c r="P24" s="110"/>
      <c r="Q24" s="145" t="str">
        <f t="shared" si="7"/>
        <v/>
      </c>
      <c r="R24" s="145" t="e">
        <f t="shared" si="8"/>
        <v>#DIV/0!</v>
      </c>
      <c r="S24" s="113"/>
      <c r="T24" s="147">
        <f t="shared" si="9"/>
        <v>0</v>
      </c>
      <c r="U24" s="113"/>
      <c r="V24" s="148" t="str">
        <f t="shared" si="10"/>
        <v/>
      </c>
      <c r="W24" s="148" t="e">
        <f t="shared" si="11"/>
        <v>#DIV/0!</v>
      </c>
      <c r="X24" s="109"/>
      <c r="Y24" s="143">
        <f t="shared" si="12"/>
        <v>0</v>
      </c>
      <c r="Z24" s="110"/>
      <c r="AA24" s="145" t="str">
        <f t="shared" si="13"/>
        <v/>
      </c>
      <c r="AB24" s="149" t="e">
        <f t="shared" si="14"/>
        <v>#DIV/0!</v>
      </c>
      <c r="AC24" s="116"/>
      <c r="AD24" s="147">
        <f t="shared" si="15"/>
        <v>0</v>
      </c>
      <c r="AE24" s="113"/>
      <c r="AF24" s="148" t="str">
        <f t="shared" si="16"/>
        <v/>
      </c>
      <c r="AG24" s="151" t="e">
        <f t="shared" si="17"/>
        <v>#DIV/0!</v>
      </c>
      <c r="AH24" s="110"/>
      <c r="AI24" s="143">
        <f t="shared" si="18"/>
        <v>0</v>
      </c>
      <c r="AJ24" s="110"/>
      <c r="AK24" s="145" t="str">
        <f t="shared" si="19"/>
        <v/>
      </c>
      <c r="AL24" s="149" t="e">
        <f t="shared" si="20"/>
        <v>#DIV/0!</v>
      </c>
      <c r="AM24" s="112"/>
      <c r="AN24" s="147">
        <f t="shared" si="21"/>
        <v>0</v>
      </c>
      <c r="AO24" s="113"/>
      <c r="AP24" s="148" t="str">
        <f t="shared" si="22"/>
        <v/>
      </c>
      <c r="AQ24" s="148" t="e">
        <f t="shared" si="23"/>
        <v>#DIV/0!</v>
      </c>
      <c r="AR24" s="119"/>
      <c r="AS24" s="143">
        <f t="shared" si="24"/>
        <v>0</v>
      </c>
      <c r="AT24" s="110"/>
      <c r="AU24" s="145" t="str">
        <f t="shared" si="25"/>
        <v/>
      </c>
      <c r="AV24" s="145" t="e">
        <f t="shared" si="26"/>
        <v>#DIV/0!</v>
      </c>
      <c r="AW24" s="112"/>
      <c r="AX24" s="147">
        <f t="shared" si="27"/>
        <v>0</v>
      </c>
      <c r="AY24" s="113"/>
      <c r="AZ24" s="148" t="str">
        <f t="shared" si="28"/>
        <v/>
      </c>
      <c r="BA24" s="148" t="e">
        <f t="shared" si="29"/>
        <v>#DIV/0!</v>
      </c>
      <c r="BB24" s="154">
        <f t="shared" si="30"/>
        <v>0</v>
      </c>
      <c r="BC24" s="154">
        <f t="shared" si="31"/>
        <v>0</v>
      </c>
      <c r="BD24" s="154">
        <f t="shared" si="32"/>
        <v>0</v>
      </c>
      <c r="BE24" s="155" t="e">
        <f t="shared" si="33"/>
        <v>#DIV/0!</v>
      </c>
      <c r="BF24" s="156" t="e">
        <f t="shared" si="34"/>
        <v>#DIV/0!</v>
      </c>
    </row>
    <row r="25" spans="1:62" x14ac:dyDescent="0.25">
      <c r="A25" s="134" t="s">
        <v>209</v>
      </c>
      <c r="B25" s="128"/>
      <c r="C25" s="129"/>
      <c r="D25" s="108"/>
      <c r="E25" s="143">
        <f t="shared" si="0"/>
        <v>0</v>
      </c>
      <c r="F25" s="110"/>
      <c r="G25" s="145" t="str">
        <f t="shared" si="1"/>
        <v/>
      </c>
      <c r="H25" s="145" t="e">
        <f t="shared" si="2"/>
        <v>#DIV/0!</v>
      </c>
      <c r="I25" s="112"/>
      <c r="J25" s="147">
        <f t="shared" si="3"/>
        <v>0</v>
      </c>
      <c r="K25" s="113"/>
      <c r="L25" s="148" t="str">
        <f t="shared" si="4"/>
        <v/>
      </c>
      <c r="M25" s="148" t="e">
        <f t="shared" si="5"/>
        <v>#DIV/0!</v>
      </c>
      <c r="N25" s="109"/>
      <c r="O25" s="143">
        <f t="shared" si="6"/>
        <v>0</v>
      </c>
      <c r="P25" s="110"/>
      <c r="Q25" s="145" t="str">
        <f t="shared" si="7"/>
        <v/>
      </c>
      <c r="R25" s="145" t="e">
        <f t="shared" si="8"/>
        <v>#DIV/0!</v>
      </c>
      <c r="S25" s="113"/>
      <c r="T25" s="147">
        <f t="shared" si="9"/>
        <v>0</v>
      </c>
      <c r="U25" s="113"/>
      <c r="V25" s="148" t="str">
        <f t="shared" si="10"/>
        <v/>
      </c>
      <c r="W25" s="148" t="e">
        <f t="shared" si="11"/>
        <v>#DIV/0!</v>
      </c>
      <c r="X25" s="109"/>
      <c r="Y25" s="143">
        <f t="shared" si="12"/>
        <v>0</v>
      </c>
      <c r="Z25" s="110"/>
      <c r="AA25" s="145" t="str">
        <f t="shared" si="13"/>
        <v/>
      </c>
      <c r="AB25" s="149" t="e">
        <f t="shared" si="14"/>
        <v>#DIV/0!</v>
      </c>
      <c r="AC25" s="116"/>
      <c r="AD25" s="147">
        <f t="shared" si="15"/>
        <v>0</v>
      </c>
      <c r="AE25" s="113"/>
      <c r="AF25" s="148" t="str">
        <f t="shared" si="16"/>
        <v/>
      </c>
      <c r="AG25" s="151" t="e">
        <f t="shared" si="17"/>
        <v>#DIV/0!</v>
      </c>
      <c r="AH25" s="110"/>
      <c r="AI25" s="143">
        <f t="shared" si="18"/>
        <v>0</v>
      </c>
      <c r="AJ25" s="110"/>
      <c r="AK25" s="145" t="str">
        <f t="shared" si="19"/>
        <v/>
      </c>
      <c r="AL25" s="149" t="e">
        <f t="shared" si="20"/>
        <v>#DIV/0!</v>
      </c>
      <c r="AM25" s="112"/>
      <c r="AN25" s="147">
        <f t="shared" si="21"/>
        <v>0</v>
      </c>
      <c r="AO25" s="113"/>
      <c r="AP25" s="148" t="str">
        <f t="shared" si="22"/>
        <v/>
      </c>
      <c r="AQ25" s="148" t="e">
        <f t="shared" si="23"/>
        <v>#DIV/0!</v>
      </c>
      <c r="AR25" s="119"/>
      <c r="AS25" s="143">
        <f t="shared" si="24"/>
        <v>0</v>
      </c>
      <c r="AT25" s="110"/>
      <c r="AU25" s="145" t="str">
        <f t="shared" si="25"/>
        <v/>
      </c>
      <c r="AV25" s="145" t="e">
        <f t="shared" si="26"/>
        <v>#DIV/0!</v>
      </c>
      <c r="AW25" s="112"/>
      <c r="AX25" s="147">
        <f t="shared" si="27"/>
        <v>0</v>
      </c>
      <c r="AY25" s="113"/>
      <c r="AZ25" s="148" t="str">
        <f t="shared" si="28"/>
        <v/>
      </c>
      <c r="BA25" s="148" t="e">
        <f t="shared" si="29"/>
        <v>#DIV/0!</v>
      </c>
      <c r="BB25" s="154">
        <f t="shared" si="30"/>
        <v>0</v>
      </c>
      <c r="BC25" s="154">
        <f t="shared" si="31"/>
        <v>0</v>
      </c>
      <c r="BD25" s="154">
        <f t="shared" si="32"/>
        <v>0</v>
      </c>
      <c r="BE25" s="155" t="e">
        <f t="shared" si="33"/>
        <v>#DIV/0!</v>
      </c>
      <c r="BF25" s="156" t="e">
        <f t="shared" si="34"/>
        <v>#DIV/0!</v>
      </c>
    </row>
    <row r="26" spans="1:62" x14ac:dyDescent="0.25">
      <c r="A26" s="134" t="s">
        <v>211</v>
      </c>
      <c r="B26" s="128"/>
      <c r="C26" s="129"/>
      <c r="D26" s="108"/>
      <c r="E26" s="143">
        <f t="shared" si="0"/>
        <v>0</v>
      </c>
      <c r="F26" s="110"/>
      <c r="G26" s="145" t="str">
        <f t="shared" si="1"/>
        <v/>
      </c>
      <c r="H26" s="145" t="e">
        <f t="shared" si="2"/>
        <v>#DIV/0!</v>
      </c>
      <c r="I26" s="112"/>
      <c r="J26" s="147">
        <f t="shared" si="3"/>
        <v>0</v>
      </c>
      <c r="K26" s="113"/>
      <c r="L26" s="148" t="str">
        <f t="shared" si="4"/>
        <v/>
      </c>
      <c r="M26" s="148" t="e">
        <f t="shared" si="5"/>
        <v>#DIV/0!</v>
      </c>
      <c r="N26" s="109"/>
      <c r="O26" s="143">
        <f t="shared" si="6"/>
        <v>0</v>
      </c>
      <c r="P26" s="110"/>
      <c r="Q26" s="145" t="str">
        <f t="shared" si="7"/>
        <v/>
      </c>
      <c r="R26" s="145" t="e">
        <f t="shared" si="8"/>
        <v>#DIV/0!</v>
      </c>
      <c r="S26" s="113"/>
      <c r="T26" s="147">
        <f t="shared" si="9"/>
        <v>0</v>
      </c>
      <c r="U26" s="113"/>
      <c r="V26" s="148" t="str">
        <f t="shared" si="10"/>
        <v/>
      </c>
      <c r="W26" s="148" t="e">
        <f t="shared" si="11"/>
        <v>#DIV/0!</v>
      </c>
      <c r="X26" s="109"/>
      <c r="Y26" s="143">
        <f t="shared" si="12"/>
        <v>0</v>
      </c>
      <c r="Z26" s="110"/>
      <c r="AA26" s="145" t="str">
        <f t="shared" si="13"/>
        <v/>
      </c>
      <c r="AB26" s="149" t="e">
        <f t="shared" si="14"/>
        <v>#DIV/0!</v>
      </c>
      <c r="AC26" s="116"/>
      <c r="AD26" s="147">
        <f t="shared" si="15"/>
        <v>0</v>
      </c>
      <c r="AE26" s="113"/>
      <c r="AF26" s="148" t="str">
        <f t="shared" si="16"/>
        <v/>
      </c>
      <c r="AG26" s="151" t="e">
        <f t="shared" si="17"/>
        <v>#DIV/0!</v>
      </c>
      <c r="AH26" s="110"/>
      <c r="AI26" s="143">
        <f t="shared" si="18"/>
        <v>0</v>
      </c>
      <c r="AJ26" s="110"/>
      <c r="AK26" s="145" t="str">
        <f t="shared" si="19"/>
        <v/>
      </c>
      <c r="AL26" s="149" t="e">
        <f t="shared" si="20"/>
        <v>#DIV/0!</v>
      </c>
      <c r="AM26" s="112"/>
      <c r="AN26" s="147">
        <f t="shared" si="21"/>
        <v>0</v>
      </c>
      <c r="AO26" s="113"/>
      <c r="AP26" s="148" t="str">
        <f t="shared" si="22"/>
        <v/>
      </c>
      <c r="AQ26" s="148" t="e">
        <f t="shared" si="23"/>
        <v>#DIV/0!</v>
      </c>
      <c r="AR26" s="119"/>
      <c r="AS26" s="143">
        <f t="shared" si="24"/>
        <v>0</v>
      </c>
      <c r="AT26" s="110"/>
      <c r="AU26" s="145" t="str">
        <f t="shared" si="25"/>
        <v/>
      </c>
      <c r="AV26" s="145" t="e">
        <f t="shared" si="26"/>
        <v>#DIV/0!</v>
      </c>
      <c r="AW26" s="112"/>
      <c r="AX26" s="147">
        <f t="shared" si="27"/>
        <v>0</v>
      </c>
      <c r="AY26" s="113"/>
      <c r="AZ26" s="148" t="str">
        <f t="shared" si="28"/>
        <v/>
      </c>
      <c r="BA26" s="148" t="e">
        <f t="shared" si="29"/>
        <v>#DIV/0!</v>
      </c>
      <c r="BB26" s="154">
        <f t="shared" si="30"/>
        <v>0</v>
      </c>
      <c r="BC26" s="154">
        <f t="shared" si="31"/>
        <v>0</v>
      </c>
      <c r="BD26" s="154">
        <f t="shared" si="32"/>
        <v>0</v>
      </c>
      <c r="BE26" s="155" t="e">
        <f t="shared" si="33"/>
        <v>#DIV/0!</v>
      </c>
      <c r="BF26" s="156" t="e">
        <f t="shared" si="34"/>
        <v>#DIV/0!</v>
      </c>
    </row>
    <row r="27" spans="1:62" x14ac:dyDescent="0.25">
      <c r="A27" s="134" t="s">
        <v>213</v>
      </c>
      <c r="B27" s="128"/>
      <c r="C27" s="129"/>
      <c r="D27" s="108"/>
      <c r="E27" s="143">
        <f t="shared" si="0"/>
        <v>0</v>
      </c>
      <c r="F27" s="110"/>
      <c r="G27" s="145" t="str">
        <f t="shared" si="1"/>
        <v/>
      </c>
      <c r="H27" s="145" t="e">
        <f t="shared" si="2"/>
        <v>#DIV/0!</v>
      </c>
      <c r="I27" s="112"/>
      <c r="J27" s="147">
        <f t="shared" si="3"/>
        <v>0</v>
      </c>
      <c r="K27" s="113"/>
      <c r="L27" s="148" t="str">
        <f t="shared" si="4"/>
        <v/>
      </c>
      <c r="M27" s="148" t="e">
        <f t="shared" si="5"/>
        <v>#DIV/0!</v>
      </c>
      <c r="N27" s="109"/>
      <c r="O27" s="143">
        <f t="shared" si="6"/>
        <v>0</v>
      </c>
      <c r="P27" s="110"/>
      <c r="Q27" s="145" t="str">
        <f t="shared" si="7"/>
        <v/>
      </c>
      <c r="R27" s="145" t="e">
        <f t="shared" si="8"/>
        <v>#DIV/0!</v>
      </c>
      <c r="S27" s="113"/>
      <c r="T27" s="147">
        <f t="shared" si="9"/>
        <v>0</v>
      </c>
      <c r="U27" s="113"/>
      <c r="V27" s="148" t="str">
        <f t="shared" si="10"/>
        <v/>
      </c>
      <c r="W27" s="148" t="e">
        <f t="shared" si="11"/>
        <v>#DIV/0!</v>
      </c>
      <c r="X27" s="109"/>
      <c r="Y27" s="143">
        <f t="shared" si="12"/>
        <v>0</v>
      </c>
      <c r="Z27" s="110"/>
      <c r="AA27" s="145" t="str">
        <f t="shared" si="13"/>
        <v/>
      </c>
      <c r="AB27" s="149" t="e">
        <f t="shared" si="14"/>
        <v>#DIV/0!</v>
      </c>
      <c r="AC27" s="116"/>
      <c r="AD27" s="147">
        <f t="shared" si="15"/>
        <v>0</v>
      </c>
      <c r="AE27" s="113"/>
      <c r="AF27" s="148" t="str">
        <f t="shared" si="16"/>
        <v/>
      </c>
      <c r="AG27" s="151" t="e">
        <f t="shared" si="17"/>
        <v>#DIV/0!</v>
      </c>
      <c r="AH27" s="110"/>
      <c r="AI27" s="143">
        <f t="shared" si="18"/>
        <v>0</v>
      </c>
      <c r="AJ27" s="110"/>
      <c r="AK27" s="145" t="str">
        <f t="shared" si="19"/>
        <v/>
      </c>
      <c r="AL27" s="149" t="e">
        <f t="shared" si="20"/>
        <v>#DIV/0!</v>
      </c>
      <c r="AM27" s="112"/>
      <c r="AN27" s="147">
        <f t="shared" si="21"/>
        <v>0</v>
      </c>
      <c r="AO27" s="113"/>
      <c r="AP27" s="148" t="str">
        <f t="shared" si="22"/>
        <v/>
      </c>
      <c r="AQ27" s="148" t="e">
        <f t="shared" si="23"/>
        <v>#DIV/0!</v>
      </c>
      <c r="AR27" s="119"/>
      <c r="AS27" s="143">
        <f t="shared" si="24"/>
        <v>0</v>
      </c>
      <c r="AT27" s="110"/>
      <c r="AU27" s="145" t="str">
        <f t="shared" si="25"/>
        <v/>
      </c>
      <c r="AV27" s="145" t="e">
        <f t="shared" si="26"/>
        <v>#DIV/0!</v>
      </c>
      <c r="AW27" s="112"/>
      <c r="AX27" s="147">
        <f t="shared" si="27"/>
        <v>0</v>
      </c>
      <c r="AY27" s="113"/>
      <c r="AZ27" s="148" t="str">
        <f t="shared" si="28"/>
        <v/>
      </c>
      <c r="BA27" s="148" t="e">
        <f t="shared" si="29"/>
        <v>#DIV/0!</v>
      </c>
      <c r="BB27" s="154">
        <f t="shared" si="30"/>
        <v>0</v>
      </c>
      <c r="BC27" s="154">
        <f t="shared" si="31"/>
        <v>0</v>
      </c>
      <c r="BD27" s="154">
        <f t="shared" si="32"/>
        <v>0</v>
      </c>
      <c r="BE27" s="155" t="e">
        <f t="shared" si="33"/>
        <v>#DIV/0!</v>
      </c>
      <c r="BF27" s="156" t="e">
        <f t="shared" si="34"/>
        <v>#DIV/0!</v>
      </c>
    </row>
    <row r="28" spans="1:62" x14ac:dyDescent="0.25">
      <c r="A28" s="134" t="s">
        <v>215</v>
      </c>
      <c r="B28" s="128"/>
      <c r="C28" s="129"/>
      <c r="D28" s="108"/>
      <c r="E28" s="143">
        <f t="shared" si="0"/>
        <v>0</v>
      </c>
      <c r="F28" s="110"/>
      <c r="G28" s="145" t="str">
        <f t="shared" si="1"/>
        <v/>
      </c>
      <c r="H28" s="145" t="e">
        <f t="shared" si="2"/>
        <v>#DIV/0!</v>
      </c>
      <c r="I28" s="112"/>
      <c r="J28" s="147">
        <f t="shared" si="3"/>
        <v>0</v>
      </c>
      <c r="K28" s="113"/>
      <c r="L28" s="148" t="str">
        <f t="shared" si="4"/>
        <v/>
      </c>
      <c r="M28" s="148" t="e">
        <f t="shared" si="5"/>
        <v>#DIV/0!</v>
      </c>
      <c r="N28" s="109"/>
      <c r="O28" s="143">
        <f t="shared" si="6"/>
        <v>0</v>
      </c>
      <c r="P28" s="110"/>
      <c r="Q28" s="145" t="str">
        <f t="shared" si="7"/>
        <v/>
      </c>
      <c r="R28" s="145" t="e">
        <f t="shared" si="8"/>
        <v>#DIV/0!</v>
      </c>
      <c r="S28" s="113"/>
      <c r="T28" s="147">
        <f t="shared" si="9"/>
        <v>0</v>
      </c>
      <c r="U28" s="113"/>
      <c r="V28" s="148" t="str">
        <f t="shared" si="10"/>
        <v/>
      </c>
      <c r="W28" s="148" t="e">
        <f t="shared" si="11"/>
        <v>#DIV/0!</v>
      </c>
      <c r="X28" s="109"/>
      <c r="Y28" s="143">
        <f t="shared" si="12"/>
        <v>0</v>
      </c>
      <c r="Z28" s="110"/>
      <c r="AA28" s="145" t="str">
        <f t="shared" si="13"/>
        <v/>
      </c>
      <c r="AB28" s="149" t="e">
        <f t="shared" si="14"/>
        <v>#DIV/0!</v>
      </c>
      <c r="AC28" s="116"/>
      <c r="AD28" s="147">
        <f t="shared" si="15"/>
        <v>0</v>
      </c>
      <c r="AE28" s="113"/>
      <c r="AF28" s="148" t="str">
        <f t="shared" si="16"/>
        <v/>
      </c>
      <c r="AG28" s="151" t="e">
        <f t="shared" si="17"/>
        <v>#DIV/0!</v>
      </c>
      <c r="AH28" s="110"/>
      <c r="AI28" s="143">
        <f t="shared" si="18"/>
        <v>0</v>
      </c>
      <c r="AJ28" s="110"/>
      <c r="AK28" s="145" t="str">
        <f t="shared" si="19"/>
        <v/>
      </c>
      <c r="AL28" s="149" t="e">
        <f t="shared" si="20"/>
        <v>#DIV/0!</v>
      </c>
      <c r="AM28" s="112"/>
      <c r="AN28" s="147">
        <f t="shared" si="21"/>
        <v>0</v>
      </c>
      <c r="AO28" s="113"/>
      <c r="AP28" s="148" t="str">
        <f t="shared" si="22"/>
        <v/>
      </c>
      <c r="AQ28" s="148" t="e">
        <f t="shared" si="23"/>
        <v>#DIV/0!</v>
      </c>
      <c r="AR28" s="119"/>
      <c r="AS28" s="143">
        <f t="shared" si="24"/>
        <v>0</v>
      </c>
      <c r="AT28" s="110"/>
      <c r="AU28" s="145" t="str">
        <f t="shared" si="25"/>
        <v/>
      </c>
      <c r="AV28" s="145" t="e">
        <f t="shared" si="26"/>
        <v>#DIV/0!</v>
      </c>
      <c r="AW28" s="112"/>
      <c r="AX28" s="147">
        <f t="shared" si="27"/>
        <v>0</v>
      </c>
      <c r="AY28" s="113"/>
      <c r="AZ28" s="148" t="str">
        <f t="shared" si="28"/>
        <v/>
      </c>
      <c r="BA28" s="148" t="e">
        <f t="shared" si="29"/>
        <v>#DIV/0!</v>
      </c>
      <c r="BB28" s="154">
        <f t="shared" si="30"/>
        <v>0</v>
      </c>
      <c r="BC28" s="154">
        <f t="shared" si="31"/>
        <v>0</v>
      </c>
      <c r="BD28" s="154">
        <f t="shared" si="32"/>
        <v>0</v>
      </c>
      <c r="BE28" s="155" t="e">
        <f t="shared" si="33"/>
        <v>#DIV/0!</v>
      </c>
      <c r="BF28" s="156" t="e">
        <f t="shared" si="34"/>
        <v>#DIV/0!</v>
      </c>
    </row>
    <row r="29" spans="1:62" x14ac:dyDescent="0.25">
      <c r="A29" s="134" t="s">
        <v>217</v>
      </c>
      <c r="B29" s="128"/>
      <c r="C29" s="129"/>
      <c r="D29" s="108"/>
      <c r="E29" s="143">
        <f t="shared" si="0"/>
        <v>0</v>
      </c>
      <c r="F29" s="110"/>
      <c r="G29" s="145" t="str">
        <f t="shared" si="1"/>
        <v/>
      </c>
      <c r="H29" s="145" t="e">
        <f t="shared" si="2"/>
        <v>#DIV/0!</v>
      </c>
      <c r="I29" s="112"/>
      <c r="J29" s="147">
        <f t="shared" si="3"/>
        <v>0</v>
      </c>
      <c r="K29" s="113"/>
      <c r="L29" s="148" t="str">
        <f t="shared" si="4"/>
        <v/>
      </c>
      <c r="M29" s="148" t="e">
        <f t="shared" si="5"/>
        <v>#DIV/0!</v>
      </c>
      <c r="N29" s="109"/>
      <c r="O29" s="143">
        <f t="shared" si="6"/>
        <v>0</v>
      </c>
      <c r="P29" s="110"/>
      <c r="Q29" s="145" t="str">
        <f t="shared" si="7"/>
        <v/>
      </c>
      <c r="R29" s="145" t="e">
        <f t="shared" si="8"/>
        <v>#DIV/0!</v>
      </c>
      <c r="S29" s="113"/>
      <c r="T29" s="147">
        <f t="shared" si="9"/>
        <v>0</v>
      </c>
      <c r="U29" s="113"/>
      <c r="V29" s="148" t="str">
        <f t="shared" si="10"/>
        <v/>
      </c>
      <c r="W29" s="148" t="e">
        <f t="shared" si="11"/>
        <v>#DIV/0!</v>
      </c>
      <c r="X29" s="109"/>
      <c r="Y29" s="143">
        <f t="shared" si="12"/>
        <v>0</v>
      </c>
      <c r="Z29" s="110"/>
      <c r="AA29" s="145" t="str">
        <f t="shared" si="13"/>
        <v/>
      </c>
      <c r="AB29" s="149" t="e">
        <f t="shared" si="14"/>
        <v>#DIV/0!</v>
      </c>
      <c r="AC29" s="116"/>
      <c r="AD29" s="147">
        <f t="shared" si="15"/>
        <v>0</v>
      </c>
      <c r="AE29" s="113"/>
      <c r="AF29" s="148" t="str">
        <f t="shared" si="16"/>
        <v/>
      </c>
      <c r="AG29" s="151" t="e">
        <f t="shared" si="17"/>
        <v>#DIV/0!</v>
      </c>
      <c r="AH29" s="110"/>
      <c r="AI29" s="143">
        <f t="shared" si="18"/>
        <v>0</v>
      </c>
      <c r="AJ29" s="110"/>
      <c r="AK29" s="145" t="str">
        <f t="shared" si="19"/>
        <v/>
      </c>
      <c r="AL29" s="149" t="e">
        <f t="shared" si="20"/>
        <v>#DIV/0!</v>
      </c>
      <c r="AM29" s="112"/>
      <c r="AN29" s="147">
        <f t="shared" si="21"/>
        <v>0</v>
      </c>
      <c r="AO29" s="113"/>
      <c r="AP29" s="148" t="str">
        <f t="shared" si="22"/>
        <v/>
      </c>
      <c r="AQ29" s="148" t="e">
        <f t="shared" si="23"/>
        <v>#DIV/0!</v>
      </c>
      <c r="AR29" s="119"/>
      <c r="AS29" s="143">
        <f t="shared" si="24"/>
        <v>0</v>
      </c>
      <c r="AT29" s="110"/>
      <c r="AU29" s="145" t="str">
        <f t="shared" si="25"/>
        <v/>
      </c>
      <c r="AV29" s="145" t="e">
        <f t="shared" si="26"/>
        <v>#DIV/0!</v>
      </c>
      <c r="AW29" s="112"/>
      <c r="AX29" s="147">
        <f t="shared" si="27"/>
        <v>0</v>
      </c>
      <c r="AY29" s="113"/>
      <c r="AZ29" s="148" t="str">
        <f t="shared" si="28"/>
        <v/>
      </c>
      <c r="BA29" s="148" t="e">
        <f t="shared" si="29"/>
        <v>#DIV/0!</v>
      </c>
      <c r="BB29" s="154">
        <f t="shared" si="30"/>
        <v>0</v>
      </c>
      <c r="BC29" s="154">
        <f t="shared" si="31"/>
        <v>0</v>
      </c>
      <c r="BD29" s="154">
        <f t="shared" si="32"/>
        <v>0</v>
      </c>
      <c r="BE29" s="155" t="e">
        <f t="shared" si="33"/>
        <v>#DIV/0!</v>
      </c>
      <c r="BF29" s="156" t="e">
        <f t="shared" si="34"/>
        <v>#DIV/0!</v>
      </c>
    </row>
    <row r="30" spans="1:62" x14ac:dyDescent="0.25">
      <c r="A30" s="134" t="s">
        <v>221</v>
      </c>
      <c r="B30" s="128"/>
      <c r="C30" s="129"/>
      <c r="D30" s="108"/>
      <c r="E30" s="143">
        <f t="shared" si="0"/>
        <v>0</v>
      </c>
      <c r="F30" s="110"/>
      <c r="G30" s="145" t="str">
        <f t="shared" si="1"/>
        <v/>
      </c>
      <c r="H30" s="145" t="e">
        <f t="shared" si="2"/>
        <v>#DIV/0!</v>
      </c>
      <c r="I30" s="112"/>
      <c r="J30" s="147">
        <f t="shared" si="3"/>
        <v>0</v>
      </c>
      <c r="K30" s="113"/>
      <c r="L30" s="148" t="str">
        <f t="shared" si="4"/>
        <v/>
      </c>
      <c r="M30" s="148" t="e">
        <f t="shared" si="5"/>
        <v>#DIV/0!</v>
      </c>
      <c r="N30" s="109"/>
      <c r="O30" s="143">
        <f t="shared" si="6"/>
        <v>0</v>
      </c>
      <c r="P30" s="110"/>
      <c r="Q30" s="145" t="str">
        <f t="shared" si="7"/>
        <v/>
      </c>
      <c r="R30" s="145" t="e">
        <f t="shared" si="8"/>
        <v>#DIV/0!</v>
      </c>
      <c r="S30" s="113"/>
      <c r="T30" s="147">
        <f t="shared" si="9"/>
        <v>0</v>
      </c>
      <c r="U30" s="113"/>
      <c r="V30" s="148" t="str">
        <f t="shared" si="10"/>
        <v/>
      </c>
      <c r="W30" s="148" t="e">
        <f t="shared" si="11"/>
        <v>#DIV/0!</v>
      </c>
      <c r="X30" s="109"/>
      <c r="Y30" s="143">
        <f t="shared" si="12"/>
        <v>0</v>
      </c>
      <c r="Z30" s="110"/>
      <c r="AA30" s="145" t="str">
        <f t="shared" si="13"/>
        <v/>
      </c>
      <c r="AB30" s="149" t="e">
        <f t="shared" si="14"/>
        <v>#DIV/0!</v>
      </c>
      <c r="AC30" s="116"/>
      <c r="AD30" s="147">
        <f t="shared" si="15"/>
        <v>0</v>
      </c>
      <c r="AE30" s="113"/>
      <c r="AF30" s="148" t="str">
        <f t="shared" si="16"/>
        <v/>
      </c>
      <c r="AG30" s="151" t="e">
        <f t="shared" si="17"/>
        <v>#DIV/0!</v>
      </c>
      <c r="AH30" s="110"/>
      <c r="AI30" s="143">
        <f t="shared" si="18"/>
        <v>0</v>
      </c>
      <c r="AJ30" s="110"/>
      <c r="AK30" s="145" t="str">
        <f t="shared" si="19"/>
        <v/>
      </c>
      <c r="AL30" s="149" t="e">
        <f t="shared" si="20"/>
        <v>#DIV/0!</v>
      </c>
      <c r="AM30" s="112"/>
      <c r="AN30" s="147">
        <f t="shared" si="21"/>
        <v>0</v>
      </c>
      <c r="AO30" s="113"/>
      <c r="AP30" s="148" t="str">
        <f t="shared" si="22"/>
        <v/>
      </c>
      <c r="AQ30" s="148" t="e">
        <f t="shared" si="23"/>
        <v>#DIV/0!</v>
      </c>
      <c r="AR30" s="119"/>
      <c r="AS30" s="143">
        <f t="shared" si="24"/>
        <v>0</v>
      </c>
      <c r="AT30" s="110"/>
      <c r="AU30" s="145" t="str">
        <f t="shared" si="25"/>
        <v/>
      </c>
      <c r="AV30" s="145" t="e">
        <f t="shared" si="26"/>
        <v>#DIV/0!</v>
      </c>
      <c r="AW30" s="112"/>
      <c r="AX30" s="147">
        <f t="shared" si="27"/>
        <v>0</v>
      </c>
      <c r="AY30" s="113"/>
      <c r="AZ30" s="148" t="str">
        <f t="shared" si="28"/>
        <v/>
      </c>
      <c r="BA30" s="148" t="e">
        <f t="shared" si="29"/>
        <v>#DIV/0!</v>
      </c>
      <c r="BB30" s="154">
        <f t="shared" si="30"/>
        <v>0</v>
      </c>
      <c r="BC30" s="154">
        <f t="shared" si="31"/>
        <v>0</v>
      </c>
      <c r="BD30" s="154">
        <f t="shared" si="32"/>
        <v>0</v>
      </c>
      <c r="BE30" s="155" t="e">
        <f t="shared" si="33"/>
        <v>#DIV/0!</v>
      </c>
      <c r="BF30" s="156" t="e">
        <f t="shared" si="34"/>
        <v>#DIV/0!</v>
      </c>
    </row>
    <row r="31" spans="1:62" x14ac:dyDescent="0.25">
      <c r="A31" s="134" t="s">
        <v>223</v>
      </c>
      <c r="B31" s="128"/>
      <c r="C31" s="129"/>
      <c r="D31" s="108"/>
      <c r="E31" s="143">
        <f t="shared" si="0"/>
        <v>0</v>
      </c>
      <c r="F31" s="110"/>
      <c r="G31" s="145" t="str">
        <f t="shared" si="1"/>
        <v/>
      </c>
      <c r="H31" s="145" t="e">
        <f t="shared" si="2"/>
        <v>#DIV/0!</v>
      </c>
      <c r="I31" s="112"/>
      <c r="J31" s="147">
        <f t="shared" si="3"/>
        <v>0</v>
      </c>
      <c r="K31" s="113"/>
      <c r="L31" s="148" t="str">
        <f t="shared" si="4"/>
        <v/>
      </c>
      <c r="M31" s="148" t="e">
        <f t="shared" si="5"/>
        <v>#DIV/0!</v>
      </c>
      <c r="N31" s="109"/>
      <c r="O31" s="143">
        <f t="shared" si="6"/>
        <v>0</v>
      </c>
      <c r="P31" s="110"/>
      <c r="Q31" s="145" t="str">
        <f t="shared" si="7"/>
        <v/>
      </c>
      <c r="R31" s="145" t="e">
        <f t="shared" si="8"/>
        <v>#DIV/0!</v>
      </c>
      <c r="S31" s="113"/>
      <c r="T31" s="147">
        <f t="shared" si="9"/>
        <v>0</v>
      </c>
      <c r="U31" s="113"/>
      <c r="V31" s="148" t="str">
        <f t="shared" si="10"/>
        <v/>
      </c>
      <c r="W31" s="148" t="e">
        <f t="shared" si="11"/>
        <v>#DIV/0!</v>
      </c>
      <c r="X31" s="109"/>
      <c r="Y31" s="143">
        <f t="shared" si="12"/>
        <v>0</v>
      </c>
      <c r="Z31" s="110"/>
      <c r="AA31" s="145" t="str">
        <f t="shared" si="13"/>
        <v/>
      </c>
      <c r="AB31" s="149" t="e">
        <f t="shared" si="14"/>
        <v>#DIV/0!</v>
      </c>
      <c r="AC31" s="116"/>
      <c r="AD31" s="147">
        <f t="shared" si="15"/>
        <v>0</v>
      </c>
      <c r="AE31" s="113"/>
      <c r="AF31" s="148" t="str">
        <f t="shared" si="16"/>
        <v/>
      </c>
      <c r="AG31" s="151" t="e">
        <f t="shared" si="17"/>
        <v>#DIV/0!</v>
      </c>
      <c r="AH31" s="110"/>
      <c r="AI31" s="143">
        <f t="shared" si="18"/>
        <v>0</v>
      </c>
      <c r="AJ31" s="110"/>
      <c r="AK31" s="145" t="str">
        <f t="shared" si="19"/>
        <v/>
      </c>
      <c r="AL31" s="149" t="e">
        <f t="shared" si="20"/>
        <v>#DIV/0!</v>
      </c>
      <c r="AM31" s="112"/>
      <c r="AN31" s="147">
        <f t="shared" si="21"/>
        <v>0</v>
      </c>
      <c r="AO31" s="113"/>
      <c r="AP31" s="148" t="str">
        <f t="shared" si="22"/>
        <v/>
      </c>
      <c r="AQ31" s="148" t="e">
        <f t="shared" si="23"/>
        <v>#DIV/0!</v>
      </c>
      <c r="AR31" s="119"/>
      <c r="AS31" s="143">
        <f t="shared" si="24"/>
        <v>0</v>
      </c>
      <c r="AT31" s="110"/>
      <c r="AU31" s="145" t="str">
        <f t="shared" si="25"/>
        <v/>
      </c>
      <c r="AV31" s="145" t="e">
        <f t="shared" si="26"/>
        <v>#DIV/0!</v>
      </c>
      <c r="AW31" s="112"/>
      <c r="AX31" s="147">
        <f t="shared" si="27"/>
        <v>0</v>
      </c>
      <c r="AY31" s="113"/>
      <c r="AZ31" s="148" t="str">
        <f t="shared" si="28"/>
        <v/>
      </c>
      <c r="BA31" s="148" t="e">
        <f t="shared" si="29"/>
        <v>#DIV/0!</v>
      </c>
      <c r="BB31" s="154">
        <f t="shared" si="30"/>
        <v>0</v>
      </c>
      <c r="BC31" s="154">
        <f t="shared" si="31"/>
        <v>0</v>
      </c>
      <c r="BD31" s="154">
        <f t="shared" si="32"/>
        <v>0</v>
      </c>
      <c r="BE31" s="155" t="e">
        <f t="shared" si="33"/>
        <v>#DIV/0!</v>
      </c>
      <c r="BF31" s="156" t="e">
        <f t="shared" si="34"/>
        <v>#DIV/0!</v>
      </c>
    </row>
    <row r="32" spans="1:62" x14ac:dyDescent="0.25">
      <c r="A32" s="134" t="s">
        <v>225</v>
      </c>
      <c r="B32" s="128"/>
      <c r="C32" s="129"/>
      <c r="D32" s="108"/>
      <c r="E32" s="143">
        <f t="shared" si="0"/>
        <v>0</v>
      </c>
      <c r="F32" s="110"/>
      <c r="G32" s="145" t="str">
        <f t="shared" si="1"/>
        <v/>
      </c>
      <c r="H32" s="145" t="e">
        <f t="shared" si="2"/>
        <v>#DIV/0!</v>
      </c>
      <c r="I32" s="112"/>
      <c r="J32" s="147">
        <f t="shared" si="3"/>
        <v>0</v>
      </c>
      <c r="K32" s="113"/>
      <c r="L32" s="148" t="str">
        <f t="shared" si="4"/>
        <v/>
      </c>
      <c r="M32" s="148" t="e">
        <f t="shared" si="5"/>
        <v>#DIV/0!</v>
      </c>
      <c r="N32" s="109"/>
      <c r="O32" s="143">
        <f t="shared" si="6"/>
        <v>0</v>
      </c>
      <c r="P32" s="110"/>
      <c r="Q32" s="145" t="str">
        <f t="shared" si="7"/>
        <v/>
      </c>
      <c r="R32" s="145" t="e">
        <f t="shared" si="8"/>
        <v>#DIV/0!</v>
      </c>
      <c r="S32" s="113"/>
      <c r="T32" s="147">
        <f t="shared" si="9"/>
        <v>0</v>
      </c>
      <c r="U32" s="113"/>
      <c r="V32" s="148" t="str">
        <f t="shared" si="10"/>
        <v/>
      </c>
      <c r="W32" s="148" t="e">
        <f t="shared" si="11"/>
        <v>#DIV/0!</v>
      </c>
      <c r="X32" s="109"/>
      <c r="Y32" s="143">
        <f t="shared" si="12"/>
        <v>0</v>
      </c>
      <c r="Z32" s="110"/>
      <c r="AA32" s="145" t="str">
        <f t="shared" si="13"/>
        <v/>
      </c>
      <c r="AB32" s="149" t="e">
        <f t="shared" si="14"/>
        <v>#DIV/0!</v>
      </c>
      <c r="AC32" s="116"/>
      <c r="AD32" s="147">
        <f t="shared" si="15"/>
        <v>0</v>
      </c>
      <c r="AE32" s="113"/>
      <c r="AF32" s="148" t="str">
        <f t="shared" si="16"/>
        <v/>
      </c>
      <c r="AG32" s="151" t="e">
        <f t="shared" si="17"/>
        <v>#DIV/0!</v>
      </c>
      <c r="AH32" s="110"/>
      <c r="AI32" s="143">
        <f t="shared" si="18"/>
        <v>0</v>
      </c>
      <c r="AJ32" s="110"/>
      <c r="AK32" s="145" t="str">
        <f t="shared" si="19"/>
        <v/>
      </c>
      <c r="AL32" s="149" t="e">
        <f t="shared" si="20"/>
        <v>#DIV/0!</v>
      </c>
      <c r="AM32" s="112"/>
      <c r="AN32" s="147">
        <f t="shared" si="21"/>
        <v>0</v>
      </c>
      <c r="AO32" s="113"/>
      <c r="AP32" s="148" t="str">
        <f t="shared" si="22"/>
        <v/>
      </c>
      <c r="AQ32" s="148" t="e">
        <f t="shared" si="23"/>
        <v>#DIV/0!</v>
      </c>
      <c r="AR32" s="119"/>
      <c r="AS32" s="143">
        <f t="shared" si="24"/>
        <v>0</v>
      </c>
      <c r="AT32" s="110"/>
      <c r="AU32" s="145" t="str">
        <f t="shared" si="25"/>
        <v/>
      </c>
      <c r="AV32" s="145" t="e">
        <f t="shared" si="26"/>
        <v>#DIV/0!</v>
      </c>
      <c r="AW32" s="112"/>
      <c r="AX32" s="147">
        <f t="shared" si="27"/>
        <v>0</v>
      </c>
      <c r="AY32" s="113"/>
      <c r="AZ32" s="148" t="str">
        <f t="shared" si="28"/>
        <v/>
      </c>
      <c r="BA32" s="148" t="e">
        <f t="shared" si="29"/>
        <v>#DIV/0!</v>
      </c>
      <c r="BB32" s="154">
        <f t="shared" si="30"/>
        <v>0</v>
      </c>
      <c r="BC32" s="154">
        <f t="shared" si="31"/>
        <v>0</v>
      </c>
      <c r="BD32" s="154">
        <f t="shared" si="32"/>
        <v>0</v>
      </c>
      <c r="BE32" s="155" t="e">
        <f t="shared" si="33"/>
        <v>#DIV/0!</v>
      </c>
      <c r="BF32" s="156" t="e">
        <f t="shared" si="34"/>
        <v>#DIV/0!</v>
      </c>
    </row>
    <row r="33" spans="1:58" x14ac:dyDescent="0.25">
      <c r="A33" s="134" t="s">
        <v>227</v>
      </c>
      <c r="B33" s="128"/>
      <c r="C33" s="129"/>
      <c r="D33" s="108"/>
      <c r="E33" s="143">
        <f t="shared" si="0"/>
        <v>0</v>
      </c>
      <c r="F33" s="110"/>
      <c r="G33" s="145" t="str">
        <f t="shared" si="1"/>
        <v/>
      </c>
      <c r="H33" s="145" t="e">
        <f t="shared" si="2"/>
        <v>#DIV/0!</v>
      </c>
      <c r="I33" s="112"/>
      <c r="J33" s="147">
        <f t="shared" si="3"/>
        <v>0</v>
      </c>
      <c r="K33" s="113"/>
      <c r="L33" s="148" t="str">
        <f t="shared" si="4"/>
        <v/>
      </c>
      <c r="M33" s="148" t="e">
        <f t="shared" si="5"/>
        <v>#DIV/0!</v>
      </c>
      <c r="N33" s="109"/>
      <c r="O33" s="143">
        <f t="shared" si="6"/>
        <v>0</v>
      </c>
      <c r="P33" s="110"/>
      <c r="Q33" s="145" t="str">
        <f t="shared" si="7"/>
        <v/>
      </c>
      <c r="R33" s="145" t="e">
        <f t="shared" si="8"/>
        <v>#DIV/0!</v>
      </c>
      <c r="S33" s="113"/>
      <c r="T33" s="147">
        <f t="shared" si="9"/>
        <v>0</v>
      </c>
      <c r="U33" s="113"/>
      <c r="V33" s="148" t="str">
        <f t="shared" si="10"/>
        <v/>
      </c>
      <c r="W33" s="148" t="e">
        <f t="shared" si="11"/>
        <v>#DIV/0!</v>
      </c>
      <c r="X33" s="109"/>
      <c r="Y33" s="143">
        <f t="shared" si="12"/>
        <v>0</v>
      </c>
      <c r="Z33" s="110"/>
      <c r="AA33" s="145" t="str">
        <f t="shared" si="13"/>
        <v/>
      </c>
      <c r="AB33" s="149" t="e">
        <f t="shared" si="14"/>
        <v>#DIV/0!</v>
      </c>
      <c r="AC33" s="116"/>
      <c r="AD33" s="147">
        <f t="shared" si="15"/>
        <v>0</v>
      </c>
      <c r="AE33" s="113"/>
      <c r="AF33" s="148" t="str">
        <f t="shared" si="16"/>
        <v/>
      </c>
      <c r="AG33" s="151" t="e">
        <f t="shared" si="17"/>
        <v>#DIV/0!</v>
      </c>
      <c r="AH33" s="110"/>
      <c r="AI33" s="143">
        <f t="shared" si="18"/>
        <v>0</v>
      </c>
      <c r="AJ33" s="110"/>
      <c r="AK33" s="145" t="str">
        <f t="shared" si="19"/>
        <v/>
      </c>
      <c r="AL33" s="149" t="e">
        <f t="shared" si="20"/>
        <v>#DIV/0!</v>
      </c>
      <c r="AM33" s="112"/>
      <c r="AN33" s="147">
        <f t="shared" si="21"/>
        <v>0</v>
      </c>
      <c r="AO33" s="113"/>
      <c r="AP33" s="148" t="str">
        <f t="shared" si="22"/>
        <v/>
      </c>
      <c r="AQ33" s="148" t="e">
        <f t="shared" si="23"/>
        <v>#DIV/0!</v>
      </c>
      <c r="AR33" s="119"/>
      <c r="AS33" s="143">
        <f t="shared" si="24"/>
        <v>0</v>
      </c>
      <c r="AT33" s="110"/>
      <c r="AU33" s="145" t="str">
        <f t="shared" si="25"/>
        <v/>
      </c>
      <c r="AV33" s="145" t="e">
        <f t="shared" si="26"/>
        <v>#DIV/0!</v>
      </c>
      <c r="AW33" s="112"/>
      <c r="AX33" s="147">
        <f t="shared" si="27"/>
        <v>0</v>
      </c>
      <c r="AY33" s="113"/>
      <c r="AZ33" s="148" t="str">
        <f t="shared" si="28"/>
        <v/>
      </c>
      <c r="BA33" s="148" t="e">
        <f t="shared" si="29"/>
        <v>#DIV/0!</v>
      </c>
      <c r="BB33" s="154">
        <f t="shared" si="30"/>
        <v>0</v>
      </c>
      <c r="BC33" s="154">
        <f t="shared" si="31"/>
        <v>0</v>
      </c>
      <c r="BD33" s="154">
        <f t="shared" si="32"/>
        <v>0</v>
      </c>
      <c r="BE33" s="155" t="e">
        <f t="shared" si="33"/>
        <v>#DIV/0!</v>
      </c>
      <c r="BF33" s="156" t="e">
        <f t="shared" si="34"/>
        <v>#DIV/0!</v>
      </c>
    </row>
    <row r="34" spans="1:58" x14ac:dyDescent="0.25">
      <c r="A34" s="134" t="s">
        <v>235</v>
      </c>
      <c r="B34" s="128"/>
      <c r="C34" s="129"/>
      <c r="D34" s="108"/>
      <c r="E34" s="143">
        <f t="shared" si="0"/>
        <v>0</v>
      </c>
      <c r="F34" s="110"/>
      <c r="G34" s="145" t="str">
        <f t="shared" si="1"/>
        <v/>
      </c>
      <c r="H34" s="145" t="e">
        <f t="shared" si="2"/>
        <v>#DIV/0!</v>
      </c>
      <c r="I34" s="112"/>
      <c r="J34" s="147">
        <f t="shared" si="3"/>
        <v>0</v>
      </c>
      <c r="K34" s="113"/>
      <c r="L34" s="148" t="str">
        <f t="shared" si="4"/>
        <v/>
      </c>
      <c r="M34" s="148" t="e">
        <f t="shared" si="5"/>
        <v>#DIV/0!</v>
      </c>
      <c r="N34" s="109"/>
      <c r="O34" s="143">
        <f t="shared" si="6"/>
        <v>0</v>
      </c>
      <c r="P34" s="110"/>
      <c r="Q34" s="145" t="str">
        <f t="shared" si="7"/>
        <v/>
      </c>
      <c r="R34" s="145" t="e">
        <f t="shared" si="8"/>
        <v>#DIV/0!</v>
      </c>
      <c r="S34" s="113"/>
      <c r="T34" s="147">
        <f t="shared" si="9"/>
        <v>0</v>
      </c>
      <c r="U34" s="113"/>
      <c r="V34" s="148" t="str">
        <f t="shared" si="10"/>
        <v/>
      </c>
      <c r="W34" s="148" t="e">
        <f t="shared" si="11"/>
        <v>#DIV/0!</v>
      </c>
      <c r="X34" s="109"/>
      <c r="Y34" s="143">
        <f t="shared" si="12"/>
        <v>0</v>
      </c>
      <c r="Z34" s="110"/>
      <c r="AA34" s="145" t="str">
        <f t="shared" si="13"/>
        <v/>
      </c>
      <c r="AB34" s="149" t="e">
        <f t="shared" si="14"/>
        <v>#DIV/0!</v>
      </c>
      <c r="AC34" s="116"/>
      <c r="AD34" s="147">
        <f t="shared" si="15"/>
        <v>0</v>
      </c>
      <c r="AE34" s="113"/>
      <c r="AF34" s="148" t="str">
        <f t="shared" si="16"/>
        <v/>
      </c>
      <c r="AG34" s="151" t="e">
        <f t="shared" si="17"/>
        <v>#DIV/0!</v>
      </c>
      <c r="AH34" s="110"/>
      <c r="AI34" s="143">
        <f t="shared" si="18"/>
        <v>0</v>
      </c>
      <c r="AJ34" s="110"/>
      <c r="AK34" s="145" t="str">
        <f t="shared" si="19"/>
        <v/>
      </c>
      <c r="AL34" s="149" t="e">
        <f t="shared" si="20"/>
        <v>#DIV/0!</v>
      </c>
      <c r="AM34" s="112"/>
      <c r="AN34" s="147">
        <f t="shared" si="21"/>
        <v>0</v>
      </c>
      <c r="AO34" s="113"/>
      <c r="AP34" s="148" t="str">
        <f t="shared" si="22"/>
        <v/>
      </c>
      <c r="AQ34" s="148" t="e">
        <f t="shared" si="23"/>
        <v>#DIV/0!</v>
      </c>
      <c r="AR34" s="119"/>
      <c r="AS34" s="143">
        <f t="shared" si="24"/>
        <v>0</v>
      </c>
      <c r="AT34" s="110"/>
      <c r="AU34" s="145" t="str">
        <f t="shared" si="25"/>
        <v/>
      </c>
      <c r="AV34" s="145" t="e">
        <f t="shared" si="26"/>
        <v>#DIV/0!</v>
      </c>
      <c r="AW34" s="112"/>
      <c r="AX34" s="147">
        <f t="shared" si="27"/>
        <v>0</v>
      </c>
      <c r="AY34" s="113"/>
      <c r="AZ34" s="148" t="str">
        <f t="shared" si="28"/>
        <v/>
      </c>
      <c r="BA34" s="148" t="e">
        <f t="shared" si="29"/>
        <v>#DIV/0!</v>
      </c>
      <c r="BB34" s="154">
        <f t="shared" si="30"/>
        <v>0</v>
      </c>
      <c r="BC34" s="154">
        <f t="shared" si="31"/>
        <v>0</v>
      </c>
      <c r="BD34" s="154">
        <f t="shared" si="32"/>
        <v>0</v>
      </c>
      <c r="BE34" s="155" t="e">
        <f t="shared" si="33"/>
        <v>#DIV/0!</v>
      </c>
      <c r="BF34" s="156" t="e">
        <f t="shared" si="34"/>
        <v>#DIV/0!</v>
      </c>
    </row>
    <row r="35" spans="1:58" x14ac:dyDescent="0.25">
      <c r="A35" s="123"/>
      <c r="B35" s="35"/>
      <c r="C35" s="60"/>
      <c r="D35" s="40"/>
      <c r="E35" s="143"/>
      <c r="F35" s="41"/>
      <c r="G35" s="145"/>
      <c r="H35" s="145"/>
      <c r="I35" s="42"/>
      <c r="J35" s="147"/>
      <c r="K35" s="42"/>
      <c r="L35" s="148"/>
      <c r="M35" s="148"/>
      <c r="N35" s="41"/>
      <c r="O35" s="143"/>
      <c r="P35" s="41"/>
      <c r="Q35" s="145"/>
      <c r="R35" s="145"/>
      <c r="S35" s="42"/>
      <c r="T35" s="147"/>
      <c r="U35" s="42"/>
      <c r="V35" s="148"/>
      <c r="W35" s="148"/>
      <c r="X35" s="41"/>
      <c r="Y35" s="143"/>
      <c r="Z35" s="41"/>
      <c r="AA35" s="145"/>
      <c r="AB35" s="149"/>
      <c r="AC35" s="62"/>
      <c r="AD35" s="147"/>
      <c r="AE35" s="63"/>
      <c r="AF35" s="148"/>
      <c r="AG35" s="151"/>
      <c r="AH35" s="65"/>
      <c r="AI35" s="143"/>
      <c r="AJ35" s="65"/>
      <c r="AK35" s="145"/>
      <c r="AL35" s="149"/>
      <c r="AM35" s="42"/>
      <c r="AN35" s="147"/>
      <c r="AO35" s="42"/>
      <c r="AP35" s="148"/>
      <c r="AQ35" s="148"/>
      <c r="AR35" s="65"/>
      <c r="AS35" s="143"/>
      <c r="AT35" s="41"/>
      <c r="AU35" s="145"/>
      <c r="AV35" s="145"/>
      <c r="AW35" s="42"/>
      <c r="AX35" s="147"/>
      <c r="AY35" s="42"/>
      <c r="AZ35" s="148"/>
      <c r="BA35" s="148"/>
      <c r="BB35" s="43"/>
      <c r="BC35" s="43"/>
      <c r="BD35" s="43"/>
      <c r="BE35" s="43"/>
      <c r="BF35" s="44"/>
    </row>
    <row r="36" spans="1:58" s="66" customFormat="1" ht="22.5" customHeight="1" x14ac:dyDescent="0.2">
      <c r="A36" s="249" t="s">
        <v>59</v>
      </c>
      <c r="B36" s="35"/>
      <c r="C36" s="60"/>
      <c r="D36" s="40"/>
      <c r="E36" s="41"/>
      <c r="F36" s="41"/>
      <c r="G36" s="41"/>
      <c r="H36" s="41"/>
      <c r="I36" s="42"/>
      <c r="J36" s="42"/>
      <c r="K36" s="42"/>
      <c r="L36" s="42"/>
      <c r="M36" s="42"/>
      <c r="N36" s="41"/>
      <c r="O36" s="41"/>
      <c r="P36" s="41"/>
      <c r="Q36" s="41"/>
      <c r="R36" s="41"/>
      <c r="S36" s="42"/>
      <c r="T36" s="42"/>
      <c r="U36" s="42"/>
      <c r="V36" s="42"/>
      <c r="W36" s="42"/>
      <c r="X36" s="41"/>
      <c r="Y36" s="41"/>
      <c r="Z36" s="41"/>
      <c r="AA36" s="41"/>
      <c r="AB36" s="61"/>
      <c r="AC36" s="62"/>
      <c r="AD36" s="42"/>
      <c r="AE36" s="63"/>
      <c r="AF36" s="42"/>
      <c r="AG36" s="64"/>
      <c r="AH36" s="65"/>
      <c r="AI36" s="65"/>
      <c r="AJ36" s="65"/>
      <c r="AK36" s="41"/>
      <c r="AL36" s="61"/>
      <c r="AM36" s="42"/>
      <c r="AN36" s="42"/>
      <c r="AO36" s="42"/>
      <c r="AP36" s="42"/>
      <c r="AQ36" s="42"/>
      <c r="AR36" s="65"/>
      <c r="AS36" s="41"/>
      <c r="AT36" s="41"/>
      <c r="AU36" s="41"/>
      <c r="AV36" s="41"/>
      <c r="AW36" s="42"/>
      <c r="AX36" s="42"/>
      <c r="AY36" s="42"/>
      <c r="AZ36" s="42"/>
      <c r="BA36" s="42"/>
      <c r="BB36" s="43"/>
      <c r="BC36" s="43"/>
      <c r="BD36" s="43"/>
      <c r="BE36" s="43"/>
      <c r="BF36" s="44"/>
    </row>
    <row r="37" spans="1:58" s="158" customFormat="1" x14ac:dyDescent="0.25">
      <c r="B37" s="159"/>
      <c r="C37" s="168"/>
      <c r="D37" s="162"/>
      <c r="E37" s="169"/>
      <c r="F37" s="169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70"/>
      <c r="AC37" s="171"/>
      <c r="AD37" s="169"/>
      <c r="AE37" s="172"/>
      <c r="AF37" s="169"/>
      <c r="AG37" s="173"/>
      <c r="AH37" s="174"/>
      <c r="AI37" s="169"/>
      <c r="AJ37" s="169"/>
      <c r="AK37" s="169"/>
      <c r="AL37" s="170"/>
      <c r="AM37" s="169"/>
      <c r="AN37" s="169"/>
      <c r="AO37" s="169"/>
      <c r="AP37" s="169"/>
      <c r="AQ37" s="169"/>
      <c r="AR37" s="174"/>
      <c r="AS37" s="169"/>
      <c r="AT37" s="169"/>
      <c r="AU37" s="169"/>
      <c r="AV37" s="169"/>
      <c r="AW37" s="169"/>
      <c r="AX37" s="169"/>
      <c r="AY37" s="169"/>
      <c r="AZ37" s="169"/>
      <c r="BA37" s="169"/>
      <c r="BB37" s="169"/>
      <c r="BC37" s="169"/>
      <c r="BD37" s="169"/>
      <c r="BE37" s="169"/>
      <c r="BF37" s="173"/>
    </row>
    <row r="38" spans="1:58" ht="16.5" customHeight="1" x14ac:dyDescent="0.25">
      <c r="A38" s="101" t="s">
        <v>39</v>
      </c>
      <c r="B38" s="35"/>
      <c r="C38" s="60"/>
      <c r="D38" s="40"/>
      <c r="E38" s="41"/>
      <c r="F38" s="41"/>
      <c r="G38" s="41"/>
      <c r="H38" s="41"/>
      <c r="I38" s="42"/>
      <c r="J38" s="42"/>
      <c r="K38" s="42"/>
      <c r="L38" s="42"/>
      <c r="M38" s="42"/>
      <c r="N38" s="41"/>
      <c r="O38" s="41"/>
      <c r="P38" s="41"/>
      <c r="Q38" s="41"/>
      <c r="R38" s="41"/>
      <c r="S38" s="42"/>
      <c r="T38" s="42"/>
      <c r="U38" s="42"/>
      <c r="V38" s="42"/>
      <c r="W38" s="42"/>
      <c r="X38" s="41"/>
      <c r="Y38" s="41"/>
      <c r="Z38" s="41"/>
      <c r="AA38" s="41"/>
      <c r="AB38" s="61"/>
      <c r="AC38" s="62"/>
      <c r="AD38" s="42"/>
      <c r="AE38" s="63"/>
      <c r="AF38" s="42"/>
      <c r="AG38" s="64"/>
      <c r="AH38" s="65"/>
      <c r="AI38" s="41"/>
      <c r="AJ38" s="41"/>
      <c r="AK38" s="41"/>
      <c r="AL38" s="61"/>
      <c r="AM38" s="42"/>
      <c r="AN38" s="42"/>
      <c r="AO38" s="42"/>
      <c r="AP38" s="42"/>
      <c r="AQ38" s="42"/>
      <c r="AR38" s="65"/>
      <c r="AS38" s="41"/>
      <c r="AT38" s="41"/>
      <c r="AU38" s="41"/>
      <c r="AV38" s="41"/>
      <c r="AW38" s="42"/>
      <c r="AX38" s="42"/>
      <c r="AY38" s="42"/>
      <c r="AZ38" s="42"/>
      <c r="BA38" s="42"/>
      <c r="BB38" s="43"/>
      <c r="BC38" s="43"/>
      <c r="BD38" s="43"/>
      <c r="BE38" s="43"/>
      <c r="BF38" s="44"/>
    </row>
    <row r="39" spans="1:58" ht="16.5" customHeight="1" x14ac:dyDescent="0.25">
      <c r="A39" s="138" t="s">
        <v>189</v>
      </c>
      <c r="B39" s="35"/>
      <c r="C39" s="60"/>
      <c r="D39" s="40"/>
      <c r="E39" s="41">
        <f>F39/12*$BJ$6</f>
        <v>0</v>
      </c>
      <c r="F39" s="41"/>
      <c r="G39" s="41" t="str">
        <f>IF(D39="","",D39/VLOOKUP($BJ$6,$BJ$9:$BJ$20,1)*12/$B39)</f>
        <v/>
      </c>
      <c r="H39" s="41" t="e">
        <f>IF(E39="","",E39/VLOOKUP($BJ$6,$BJ$9:$BJ$20,1)*12/$B39)</f>
        <v>#DIV/0!</v>
      </c>
      <c r="I39" s="42"/>
      <c r="J39" s="42">
        <f>K39/12*$BJ$6</f>
        <v>0</v>
      </c>
      <c r="K39" s="42"/>
      <c r="L39" s="42" t="str">
        <f>IF(I39="","",I39/VLOOKUP($BJ$6,$BJ$9:$BJ$20,1)*12/$B39)</f>
        <v/>
      </c>
      <c r="M39" s="42" t="e">
        <f>IF(J39="","",J39/VLOOKUP($BJ$6,$BJ$9:$BJ$20,1)*12/$B39)</f>
        <v>#DIV/0!</v>
      </c>
      <c r="N39" s="41"/>
      <c r="O39" s="41">
        <f>P39/12*$BJ$6</f>
        <v>0</v>
      </c>
      <c r="P39" s="41"/>
      <c r="Q39" s="41" t="str">
        <f>IF(N39="","",N39/VLOOKUP($BJ$6,$BJ$9:$BJ$20,1)*12/$B39)</f>
        <v/>
      </c>
      <c r="R39" s="41" t="e">
        <f>IF(O39="","",O39/VLOOKUP($BJ$6,$BJ$9:$BJ$20,1)*12/$B39)</f>
        <v>#DIV/0!</v>
      </c>
      <c r="S39" s="42"/>
      <c r="T39" s="42">
        <f>U39/12*$BJ$6</f>
        <v>0</v>
      </c>
      <c r="U39" s="42"/>
      <c r="V39" s="42" t="str">
        <f>IF(S39="","",S39/VLOOKUP($BJ$6,$BJ$9:$BJ$20,1)*12/$B39)</f>
        <v/>
      </c>
      <c r="W39" s="42" t="e">
        <f>IF(T39="","",T39/VLOOKUP($BJ$6,$BJ$9:$BJ$20,1)*12/$B39)</f>
        <v>#DIV/0!</v>
      </c>
      <c r="X39" s="41"/>
      <c r="Y39" s="41">
        <f>Z39/12*$BJ$6</f>
        <v>0</v>
      </c>
      <c r="Z39" s="41"/>
      <c r="AA39" s="41" t="str">
        <f>IF(X39="","",X39/VLOOKUP($BJ$6,$BJ$9:$BJ$20,1)*12/$B39)</f>
        <v/>
      </c>
      <c r="AB39" s="61" t="e">
        <f>IF(Y39="","",Y39/VLOOKUP($BJ$6,$BJ$9:$BJ$20,1)*12/$B39)</f>
        <v>#DIV/0!</v>
      </c>
      <c r="AC39" s="62"/>
      <c r="AD39" s="42">
        <f>AE39/12*$BJ$6</f>
        <v>0</v>
      </c>
      <c r="AE39" s="63"/>
      <c r="AF39" s="42" t="str">
        <f>IF(AC39="","",AC39/VLOOKUP($BJ$6,$BJ$9:$BJ$20,1)*12/$B39)</f>
        <v/>
      </c>
      <c r="AG39" s="64" t="e">
        <f>IF(AD39="","",AD39/VLOOKUP($BJ$6,$BJ$9:$BJ$20,1)*12/$B39)</f>
        <v>#DIV/0!</v>
      </c>
      <c r="AH39" s="65"/>
      <c r="AI39" s="41">
        <f>AJ39/12*$BJ$6</f>
        <v>0</v>
      </c>
      <c r="AJ39" s="41"/>
      <c r="AK39" s="41" t="str">
        <f>IF(AH39="","",AH39/VLOOKUP($BJ$6,$BJ$9:$BJ$20,1)*12/$B39)</f>
        <v/>
      </c>
      <c r="AL39" s="61" t="e">
        <f>IF(AI39="","",AI39/VLOOKUP($BJ$6,$BJ$9:$BJ$20,1)*12/$B39)</f>
        <v>#DIV/0!</v>
      </c>
      <c r="AM39" s="42"/>
      <c r="AN39" s="42">
        <f>AO39/12*$BJ$6</f>
        <v>0</v>
      </c>
      <c r="AO39" s="42"/>
      <c r="AP39" s="42" t="str">
        <f>IF(AM39="","",AM39/VLOOKUP($BJ$6,$BJ$9:$BJ$20,1)*12/$B39)</f>
        <v/>
      </c>
      <c r="AQ39" s="42" t="e">
        <f>IF(AN39="","",AN39/VLOOKUP($BJ$6,$BJ$9:$BJ$20,1)*12/$B39)</f>
        <v>#DIV/0!</v>
      </c>
      <c r="AR39" s="65"/>
      <c r="AS39" s="41">
        <f>AT39/12*$BJ$6</f>
        <v>0</v>
      </c>
      <c r="AT39" s="41"/>
      <c r="AU39" s="41" t="str">
        <f>IF(AR39="","",AR39/VLOOKUP($BJ$6,$BJ$9:$BJ$20,1)*12/$B39)</f>
        <v/>
      </c>
      <c r="AV39" s="41" t="e">
        <f>IF(AS39="","",AS39/VLOOKUP($BJ$6,$BJ$9:$BJ$20,1)*12/$B39)</f>
        <v>#DIV/0!</v>
      </c>
      <c r="AW39" s="42"/>
      <c r="AX39" s="42">
        <f>AY39/12*$BJ$6</f>
        <v>0</v>
      </c>
      <c r="AY39" s="42"/>
      <c r="AZ39" s="42" t="str">
        <f>IF(AW39="","",AW39/VLOOKUP($BJ$6,$BJ$9:$BJ$20,1)*12/$B39)</f>
        <v/>
      </c>
      <c r="BA39" s="42" t="e">
        <f>IF(AX39="","",AX39/VLOOKUP($BJ$6,$BJ$9:$BJ$20,1)*12/$B39)</f>
        <v>#DIV/0!</v>
      </c>
      <c r="BB39" s="43">
        <f>+D39+I39+N39+S39+X39+AC39+AM39+AH39+AR39+AW39</f>
        <v>0</v>
      </c>
      <c r="BC39" s="43">
        <f>+E39+J39+O39+T39+Y39+AD39+AN39+AI39+AS39+AX39</f>
        <v>0</v>
      </c>
      <c r="BD39" s="43">
        <f>+F39+K39+P39+U39+Z39+AE39+AO39+AJ39+AT39+AY39</f>
        <v>0</v>
      </c>
      <c r="BE39" s="43" t="e">
        <f>IF(BB39="","",BB39/VLOOKUP($BJ$6,$BJ$9:$BJ$20,1)*12/$B39)</f>
        <v>#DIV/0!</v>
      </c>
      <c r="BF39" s="44" t="e">
        <f>IF(BC39="","",BC39/VLOOKUP($BJ$6,$BJ$9:$BJ$20,1)*12/$B39)</f>
        <v>#DIV/0!</v>
      </c>
    </row>
    <row r="40" spans="1:58" ht="16.5" customHeight="1" x14ac:dyDescent="0.25">
      <c r="A40" s="138" t="s">
        <v>197</v>
      </c>
      <c r="B40" s="35"/>
      <c r="C40" s="60"/>
      <c r="D40" s="40"/>
      <c r="E40" s="41">
        <f t="shared" ref="E40:E42" si="36">F40/12*$BJ$6</f>
        <v>0</v>
      </c>
      <c r="F40" s="41"/>
      <c r="G40" s="41" t="str">
        <f t="shared" ref="G40:G42" si="37">IF(D40="","",D40/VLOOKUP($BJ$6,$BJ$9:$BJ$20,1)*12/$B40)</f>
        <v/>
      </c>
      <c r="H40" s="41" t="e">
        <f t="shared" ref="H40:H42" si="38">IF(E40="","",E40/VLOOKUP($BJ$6,$BJ$9:$BJ$20,1)*12/$B40)</f>
        <v>#DIV/0!</v>
      </c>
      <c r="I40" s="42"/>
      <c r="J40" s="42">
        <f t="shared" ref="J40:J42" si="39">K40/12*$BJ$6</f>
        <v>0</v>
      </c>
      <c r="K40" s="42"/>
      <c r="L40" s="42" t="str">
        <f t="shared" ref="L40:L42" si="40">IF(I40="","",I40/VLOOKUP($BJ$6,$BJ$9:$BJ$20,1)*12/$B40)</f>
        <v/>
      </c>
      <c r="M40" s="42" t="e">
        <f t="shared" ref="M40:M42" si="41">IF(J40="","",J40/VLOOKUP($BJ$6,$BJ$9:$BJ$20,1)*12/$B40)</f>
        <v>#DIV/0!</v>
      </c>
      <c r="N40" s="41"/>
      <c r="O40" s="41">
        <f t="shared" ref="O40:O42" si="42">P40/12*$BJ$6</f>
        <v>0</v>
      </c>
      <c r="P40" s="41"/>
      <c r="Q40" s="41" t="str">
        <f t="shared" ref="Q40:Q42" si="43">IF(N40="","",N40/VLOOKUP($BJ$6,$BJ$9:$BJ$20,1)*12/$B40)</f>
        <v/>
      </c>
      <c r="R40" s="41" t="e">
        <f t="shared" ref="R40:R42" si="44">IF(O40="","",O40/VLOOKUP($BJ$6,$BJ$9:$BJ$20,1)*12/$B40)</f>
        <v>#DIV/0!</v>
      </c>
      <c r="S40" s="42"/>
      <c r="T40" s="42">
        <f t="shared" ref="T40:T42" si="45">U40/12*$BJ$6</f>
        <v>0</v>
      </c>
      <c r="U40" s="42"/>
      <c r="V40" s="42" t="str">
        <f t="shared" ref="V40:V42" si="46">IF(S40="","",S40/VLOOKUP($BJ$6,$BJ$9:$BJ$20,1)*12/$B40)</f>
        <v/>
      </c>
      <c r="W40" s="42" t="e">
        <f t="shared" ref="W40:W42" si="47">IF(T40="","",T40/VLOOKUP($BJ$6,$BJ$9:$BJ$20,1)*12/$B40)</f>
        <v>#DIV/0!</v>
      </c>
      <c r="X40" s="41"/>
      <c r="Y40" s="41">
        <f t="shared" ref="Y40:Y42" si="48">Z40/12*$BJ$6</f>
        <v>0</v>
      </c>
      <c r="Z40" s="41"/>
      <c r="AA40" s="41" t="str">
        <f t="shared" ref="AA40:AA42" si="49">IF(X40="","",X40/VLOOKUP($BJ$6,$BJ$9:$BJ$20,1)*12/$B40)</f>
        <v/>
      </c>
      <c r="AB40" s="61" t="e">
        <f t="shared" ref="AB40:AB42" si="50">IF(Y40="","",Y40/VLOOKUP($BJ$6,$BJ$9:$BJ$20,1)*12/$B40)</f>
        <v>#DIV/0!</v>
      </c>
      <c r="AC40" s="62"/>
      <c r="AD40" s="42">
        <f t="shared" ref="AD40:AD42" si="51">AE40/12*$BJ$6</f>
        <v>0</v>
      </c>
      <c r="AE40" s="63"/>
      <c r="AF40" s="42" t="str">
        <f t="shared" ref="AF40:AF42" si="52">IF(AC40="","",AC40/VLOOKUP($BJ$6,$BJ$9:$BJ$20,1)*12/$B40)</f>
        <v/>
      </c>
      <c r="AG40" s="64" t="e">
        <f t="shared" ref="AG40:AG42" si="53">IF(AD40="","",AD40/VLOOKUP($BJ$6,$BJ$9:$BJ$20,1)*12/$B40)</f>
        <v>#DIV/0!</v>
      </c>
      <c r="AH40" s="65"/>
      <c r="AI40" s="41">
        <f t="shared" ref="AI40:AI42" si="54">AJ40/12*$BJ$6</f>
        <v>0</v>
      </c>
      <c r="AJ40" s="41"/>
      <c r="AK40" s="41" t="str">
        <f t="shared" ref="AK40:AK42" si="55">IF(AH40="","",AH40/VLOOKUP($BJ$6,$BJ$9:$BJ$20,1)*12/$B40)</f>
        <v/>
      </c>
      <c r="AL40" s="61" t="e">
        <f t="shared" ref="AL40:AL42" si="56">IF(AI40="","",AI40/VLOOKUP($BJ$6,$BJ$9:$BJ$20,1)*12/$B40)</f>
        <v>#DIV/0!</v>
      </c>
      <c r="AM40" s="42"/>
      <c r="AN40" s="42">
        <f t="shared" ref="AN40:AN42" si="57">AO40/12*$BJ$6</f>
        <v>0</v>
      </c>
      <c r="AO40" s="42"/>
      <c r="AP40" s="42" t="str">
        <f t="shared" ref="AP40:AP42" si="58">IF(AM40="","",AM40/VLOOKUP($BJ$6,$BJ$9:$BJ$20,1)*12/$B40)</f>
        <v/>
      </c>
      <c r="AQ40" s="42" t="e">
        <f t="shared" ref="AQ40:AQ42" si="59">IF(AN40="","",AN40/VLOOKUP($BJ$6,$BJ$9:$BJ$20,1)*12/$B40)</f>
        <v>#DIV/0!</v>
      </c>
      <c r="AR40" s="65"/>
      <c r="AS40" s="41">
        <f t="shared" ref="AS40:AS42" si="60">AT40/12*$BJ$6</f>
        <v>0</v>
      </c>
      <c r="AT40" s="41"/>
      <c r="AU40" s="41" t="str">
        <f t="shared" ref="AU40:AU42" si="61">IF(AR40="","",AR40/VLOOKUP($BJ$6,$BJ$9:$BJ$20,1)*12/$B40)</f>
        <v/>
      </c>
      <c r="AV40" s="41" t="e">
        <f t="shared" ref="AV40:AV42" si="62">IF(AS40="","",AS40/VLOOKUP($BJ$6,$BJ$9:$BJ$20,1)*12/$B40)</f>
        <v>#DIV/0!</v>
      </c>
      <c r="AW40" s="42"/>
      <c r="AX40" s="42">
        <f t="shared" ref="AX40:AX42" si="63">AY40/12*$BJ$6</f>
        <v>0</v>
      </c>
      <c r="AY40" s="42"/>
      <c r="AZ40" s="42" t="str">
        <f t="shared" ref="AZ40:AZ42" si="64">IF(AW40="","",AW40/VLOOKUP($BJ$6,$BJ$9:$BJ$20,1)*12/$B40)</f>
        <v/>
      </c>
      <c r="BA40" s="42" t="e">
        <f t="shared" ref="BA40:BA42" si="65">IF(AX40="","",AX40/VLOOKUP($BJ$6,$BJ$9:$BJ$20,1)*12/$B40)</f>
        <v>#DIV/0!</v>
      </c>
      <c r="BB40" s="43">
        <f t="shared" ref="BB40:BB42" si="66">+D40+I40+N40+S40+X40+AC40+AM40+AH40+AR40+AW40</f>
        <v>0</v>
      </c>
      <c r="BC40" s="43">
        <f t="shared" ref="BC40:BC42" si="67">+E40+J40+O40+T40+Y40+AD40+AN40+AI40+AS40+AX40</f>
        <v>0</v>
      </c>
      <c r="BD40" s="43">
        <f t="shared" ref="BD40:BD42" si="68">+F40+K40+P40+U40+Z40+AE40+AO40+AJ40+AT40+AY40</f>
        <v>0</v>
      </c>
      <c r="BE40" s="43" t="e">
        <f t="shared" ref="BE40:BE42" si="69">IF(BB40="","",BB40/VLOOKUP($BJ$6,$BJ$9:$BJ$20,1)*12/$B40)</f>
        <v>#DIV/0!</v>
      </c>
      <c r="BF40" s="44" t="e">
        <f t="shared" ref="BF40:BF42" si="70">IF(BC40="","",BC40/VLOOKUP($BJ$6,$BJ$9:$BJ$20,1)*12/$B40)</f>
        <v>#DIV/0!</v>
      </c>
    </row>
    <row r="41" spans="1:58" ht="16.5" customHeight="1" x14ac:dyDescent="0.25">
      <c r="A41" s="138" t="s">
        <v>219</v>
      </c>
      <c r="B41" s="35"/>
      <c r="C41" s="60"/>
      <c r="D41" s="40"/>
      <c r="E41" s="41">
        <f t="shared" si="36"/>
        <v>0</v>
      </c>
      <c r="F41" s="41"/>
      <c r="G41" s="41" t="str">
        <f t="shared" si="37"/>
        <v/>
      </c>
      <c r="H41" s="41" t="e">
        <f t="shared" si="38"/>
        <v>#DIV/0!</v>
      </c>
      <c r="I41" s="42"/>
      <c r="J41" s="42">
        <f t="shared" si="39"/>
        <v>0</v>
      </c>
      <c r="K41" s="42"/>
      <c r="L41" s="42" t="str">
        <f t="shared" si="40"/>
        <v/>
      </c>
      <c r="M41" s="42" t="e">
        <f t="shared" si="41"/>
        <v>#DIV/0!</v>
      </c>
      <c r="N41" s="41"/>
      <c r="O41" s="41">
        <f t="shared" si="42"/>
        <v>0</v>
      </c>
      <c r="P41" s="41"/>
      <c r="Q41" s="41" t="str">
        <f t="shared" si="43"/>
        <v/>
      </c>
      <c r="R41" s="41" t="e">
        <f t="shared" si="44"/>
        <v>#DIV/0!</v>
      </c>
      <c r="S41" s="42"/>
      <c r="T41" s="42">
        <f t="shared" si="45"/>
        <v>0</v>
      </c>
      <c r="U41" s="42"/>
      <c r="V41" s="42" t="str">
        <f t="shared" si="46"/>
        <v/>
      </c>
      <c r="W41" s="42" t="e">
        <f t="shared" si="47"/>
        <v>#DIV/0!</v>
      </c>
      <c r="X41" s="41"/>
      <c r="Y41" s="41">
        <f t="shared" si="48"/>
        <v>0</v>
      </c>
      <c r="Z41" s="41"/>
      <c r="AA41" s="41" t="str">
        <f t="shared" si="49"/>
        <v/>
      </c>
      <c r="AB41" s="61" t="e">
        <f t="shared" si="50"/>
        <v>#DIV/0!</v>
      </c>
      <c r="AC41" s="62"/>
      <c r="AD41" s="42">
        <f t="shared" si="51"/>
        <v>0</v>
      </c>
      <c r="AE41" s="63"/>
      <c r="AF41" s="42" t="str">
        <f t="shared" si="52"/>
        <v/>
      </c>
      <c r="AG41" s="64" t="e">
        <f t="shared" si="53"/>
        <v>#DIV/0!</v>
      </c>
      <c r="AH41" s="65"/>
      <c r="AI41" s="41">
        <f t="shared" si="54"/>
        <v>0</v>
      </c>
      <c r="AJ41" s="41"/>
      <c r="AK41" s="41" t="str">
        <f t="shared" si="55"/>
        <v/>
      </c>
      <c r="AL41" s="61" t="e">
        <f t="shared" si="56"/>
        <v>#DIV/0!</v>
      </c>
      <c r="AM41" s="42"/>
      <c r="AN41" s="42">
        <f t="shared" si="57"/>
        <v>0</v>
      </c>
      <c r="AO41" s="42"/>
      <c r="AP41" s="42" t="str">
        <f t="shared" si="58"/>
        <v/>
      </c>
      <c r="AQ41" s="42" t="e">
        <f t="shared" si="59"/>
        <v>#DIV/0!</v>
      </c>
      <c r="AR41" s="65"/>
      <c r="AS41" s="41">
        <f t="shared" si="60"/>
        <v>0</v>
      </c>
      <c r="AT41" s="41"/>
      <c r="AU41" s="41" t="str">
        <f t="shared" si="61"/>
        <v/>
      </c>
      <c r="AV41" s="41" t="e">
        <f t="shared" si="62"/>
        <v>#DIV/0!</v>
      </c>
      <c r="AW41" s="42"/>
      <c r="AX41" s="42">
        <f t="shared" si="63"/>
        <v>0</v>
      </c>
      <c r="AY41" s="42"/>
      <c r="AZ41" s="42" t="str">
        <f t="shared" si="64"/>
        <v/>
      </c>
      <c r="BA41" s="42" t="e">
        <f t="shared" si="65"/>
        <v>#DIV/0!</v>
      </c>
      <c r="BB41" s="43">
        <f t="shared" si="66"/>
        <v>0</v>
      </c>
      <c r="BC41" s="43">
        <f t="shared" si="67"/>
        <v>0</v>
      </c>
      <c r="BD41" s="43">
        <f t="shared" si="68"/>
        <v>0</v>
      </c>
      <c r="BE41" s="43" t="e">
        <f t="shared" si="69"/>
        <v>#DIV/0!</v>
      </c>
      <c r="BF41" s="44" t="e">
        <f t="shared" si="70"/>
        <v>#DIV/0!</v>
      </c>
    </row>
    <row r="42" spans="1:58" ht="16.5" customHeight="1" x14ac:dyDescent="0.25">
      <c r="A42" s="138" t="s">
        <v>233</v>
      </c>
      <c r="B42" s="35"/>
      <c r="C42" s="60"/>
      <c r="D42" s="40"/>
      <c r="E42" s="41">
        <f t="shared" si="36"/>
        <v>0</v>
      </c>
      <c r="F42" s="41"/>
      <c r="G42" s="41" t="str">
        <f t="shared" si="37"/>
        <v/>
      </c>
      <c r="H42" s="41" t="e">
        <f t="shared" si="38"/>
        <v>#DIV/0!</v>
      </c>
      <c r="I42" s="42"/>
      <c r="J42" s="42">
        <f t="shared" si="39"/>
        <v>0</v>
      </c>
      <c r="K42" s="42"/>
      <c r="L42" s="42" t="str">
        <f t="shared" si="40"/>
        <v/>
      </c>
      <c r="M42" s="42" t="e">
        <f t="shared" si="41"/>
        <v>#DIV/0!</v>
      </c>
      <c r="N42" s="41"/>
      <c r="O42" s="41">
        <f t="shared" si="42"/>
        <v>0</v>
      </c>
      <c r="P42" s="41"/>
      <c r="Q42" s="41" t="str">
        <f t="shared" si="43"/>
        <v/>
      </c>
      <c r="R42" s="41" t="e">
        <f t="shared" si="44"/>
        <v>#DIV/0!</v>
      </c>
      <c r="S42" s="42"/>
      <c r="T42" s="42">
        <f t="shared" si="45"/>
        <v>0</v>
      </c>
      <c r="U42" s="42"/>
      <c r="V42" s="42" t="str">
        <f t="shared" si="46"/>
        <v/>
      </c>
      <c r="W42" s="42" t="e">
        <f t="shared" si="47"/>
        <v>#DIV/0!</v>
      </c>
      <c r="X42" s="41"/>
      <c r="Y42" s="41">
        <f t="shared" si="48"/>
        <v>0</v>
      </c>
      <c r="Z42" s="41"/>
      <c r="AA42" s="41" t="str">
        <f t="shared" si="49"/>
        <v/>
      </c>
      <c r="AB42" s="61" t="e">
        <f t="shared" si="50"/>
        <v>#DIV/0!</v>
      </c>
      <c r="AC42" s="62"/>
      <c r="AD42" s="42">
        <f t="shared" si="51"/>
        <v>0</v>
      </c>
      <c r="AE42" s="63"/>
      <c r="AF42" s="42" t="str">
        <f t="shared" si="52"/>
        <v/>
      </c>
      <c r="AG42" s="64" t="e">
        <f t="shared" si="53"/>
        <v>#DIV/0!</v>
      </c>
      <c r="AH42" s="65"/>
      <c r="AI42" s="41">
        <f t="shared" si="54"/>
        <v>0</v>
      </c>
      <c r="AJ42" s="41"/>
      <c r="AK42" s="41" t="str">
        <f t="shared" si="55"/>
        <v/>
      </c>
      <c r="AL42" s="61" t="e">
        <f t="shared" si="56"/>
        <v>#DIV/0!</v>
      </c>
      <c r="AM42" s="42"/>
      <c r="AN42" s="42">
        <f t="shared" si="57"/>
        <v>0</v>
      </c>
      <c r="AO42" s="42"/>
      <c r="AP42" s="42" t="str">
        <f t="shared" si="58"/>
        <v/>
      </c>
      <c r="AQ42" s="42" t="e">
        <f t="shared" si="59"/>
        <v>#DIV/0!</v>
      </c>
      <c r="AR42" s="65"/>
      <c r="AS42" s="41">
        <f t="shared" si="60"/>
        <v>0</v>
      </c>
      <c r="AT42" s="41"/>
      <c r="AU42" s="41" t="str">
        <f t="shared" si="61"/>
        <v/>
      </c>
      <c r="AV42" s="41" t="e">
        <f t="shared" si="62"/>
        <v>#DIV/0!</v>
      </c>
      <c r="AW42" s="42"/>
      <c r="AX42" s="42">
        <f t="shared" si="63"/>
        <v>0</v>
      </c>
      <c r="AY42" s="42"/>
      <c r="AZ42" s="42" t="str">
        <f t="shared" si="64"/>
        <v/>
      </c>
      <c r="BA42" s="42" t="e">
        <f t="shared" si="65"/>
        <v>#DIV/0!</v>
      </c>
      <c r="BB42" s="43">
        <f t="shared" si="66"/>
        <v>0</v>
      </c>
      <c r="BC42" s="43">
        <f t="shared" si="67"/>
        <v>0</v>
      </c>
      <c r="BD42" s="43">
        <f t="shared" si="68"/>
        <v>0</v>
      </c>
      <c r="BE42" s="43" t="e">
        <f t="shared" si="69"/>
        <v>#DIV/0!</v>
      </c>
      <c r="BF42" s="44" t="e">
        <f t="shared" si="70"/>
        <v>#DIV/0!</v>
      </c>
    </row>
    <row r="43" spans="1:58" x14ac:dyDescent="0.25">
      <c r="A43" s="123"/>
      <c r="B43" s="35"/>
      <c r="C43" s="60"/>
      <c r="D43" s="40"/>
      <c r="E43" s="41"/>
      <c r="F43" s="41"/>
      <c r="G43" s="41"/>
      <c r="H43" s="41"/>
      <c r="I43" s="42"/>
      <c r="J43" s="42"/>
      <c r="K43" s="42"/>
      <c r="L43" s="42"/>
      <c r="M43" s="42"/>
      <c r="N43" s="41"/>
      <c r="O43" s="41"/>
      <c r="P43" s="41"/>
      <c r="Q43" s="41"/>
      <c r="R43" s="41"/>
      <c r="S43" s="42"/>
      <c r="T43" s="42"/>
      <c r="U43" s="42"/>
      <c r="V43" s="42"/>
      <c r="W43" s="42"/>
      <c r="X43" s="41"/>
      <c r="Y43" s="41"/>
      <c r="Z43" s="41"/>
      <c r="AA43" s="41"/>
      <c r="AB43" s="61"/>
      <c r="AC43" s="62"/>
      <c r="AD43" s="42"/>
      <c r="AE43" s="63"/>
      <c r="AF43" s="42"/>
      <c r="AG43" s="64"/>
      <c r="AH43" s="65"/>
      <c r="AI43" s="41"/>
      <c r="AJ43" s="41"/>
      <c r="AK43" s="41"/>
      <c r="AL43" s="61"/>
      <c r="AM43" s="42"/>
      <c r="AN43" s="42"/>
      <c r="AO43" s="42"/>
      <c r="AP43" s="42"/>
      <c r="AQ43" s="42"/>
      <c r="AR43" s="65"/>
      <c r="AS43" s="41"/>
      <c r="AT43" s="41"/>
      <c r="AU43" s="41"/>
      <c r="AV43" s="41"/>
      <c r="AW43" s="42"/>
      <c r="AX43" s="42"/>
      <c r="AY43" s="42"/>
      <c r="AZ43" s="42"/>
      <c r="BA43" s="42"/>
      <c r="BB43" s="43"/>
      <c r="BC43" s="43"/>
      <c r="BD43" s="43"/>
      <c r="BE43" s="43"/>
      <c r="BF43" s="44"/>
    </row>
    <row r="44" spans="1:58" s="66" customFormat="1" ht="20.25" customHeight="1" thickBot="1" x14ac:dyDescent="0.25">
      <c r="A44" s="249" t="s">
        <v>40</v>
      </c>
      <c r="B44" s="35"/>
      <c r="C44" s="35"/>
      <c r="D44" s="67"/>
      <c r="E44" s="68"/>
      <c r="F44" s="68"/>
      <c r="G44" s="68"/>
      <c r="H44" s="68"/>
      <c r="I44" s="69"/>
      <c r="J44" s="69"/>
      <c r="K44" s="69"/>
      <c r="L44" s="69"/>
      <c r="M44" s="69"/>
      <c r="N44" s="68"/>
      <c r="O44" s="68"/>
      <c r="P44" s="68"/>
      <c r="Q44" s="68"/>
      <c r="R44" s="68"/>
      <c r="S44" s="69"/>
      <c r="T44" s="69"/>
      <c r="U44" s="69"/>
      <c r="V44" s="69"/>
      <c r="W44" s="69"/>
      <c r="X44" s="68"/>
      <c r="Y44" s="68"/>
      <c r="Z44" s="68"/>
      <c r="AA44" s="68"/>
      <c r="AB44" s="70"/>
      <c r="AC44" s="71"/>
      <c r="AD44" s="69"/>
      <c r="AE44" s="72"/>
      <c r="AF44" s="69"/>
      <c r="AG44" s="73"/>
      <c r="AH44" s="74"/>
      <c r="AI44" s="68"/>
      <c r="AJ44" s="68"/>
      <c r="AK44" s="68"/>
      <c r="AL44" s="70"/>
      <c r="AM44" s="69"/>
      <c r="AN44" s="69"/>
      <c r="AO44" s="69"/>
      <c r="AP44" s="69"/>
      <c r="AQ44" s="69"/>
      <c r="AR44" s="74"/>
      <c r="AS44" s="68"/>
      <c r="AT44" s="68"/>
      <c r="AU44" s="68"/>
      <c r="AV44" s="68"/>
      <c r="AW44" s="69"/>
      <c r="AX44" s="69"/>
      <c r="AY44" s="69"/>
      <c r="AZ44" s="69"/>
      <c r="BA44" s="69"/>
      <c r="BB44" s="75"/>
      <c r="BC44" s="75"/>
      <c r="BD44" s="75"/>
      <c r="BE44" s="75"/>
      <c r="BF44" s="76"/>
    </row>
  </sheetData>
  <mergeCells count="13">
    <mergeCell ref="B4:B5"/>
    <mergeCell ref="C4:C5"/>
    <mergeCell ref="D4:H4"/>
    <mergeCell ref="I4:M4"/>
    <mergeCell ref="N4:R4"/>
    <mergeCell ref="AR4:AV4"/>
    <mergeCell ref="AW4:BA4"/>
    <mergeCell ref="BB4:BF4"/>
    <mergeCell ref="D3:AB3"/>
    <mergeCell ref="AH3:BF3"/>
    <mergeCell ref="S4:W4"/>
    <mergeCell ref="X4:AB4"/>
    <mergeCell ref="AH4:AL4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S58"/>
  <sheetViews>
    <sheetView topLeftCell="A4" zoomScale="70" zoomScaleNormal="70" workbookViewId="0">
      <selection activeCell="B31" sqref="B31"/>
    </sheetView>
  </sheetViews>
  <sheetFormatPr defaultRowHeight="15" x14ac:dyDescent="0.25"/>
  <cols>
    <col min="1" max="1" width="20.42578125" customWidth="1"/>
  </cols>
  <sheetData>
    <row r="1" spans="1:45" x14ac:dyDescent="0.25">
      <c r="A1" s="81" t="s">
        <v>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3"/>
      <c r="Y1" s="83"/>
      <c r="Z1" s="82"/>
      <c r="AA1" s="82"/>
    </row>
    <row r="2" spans="1:45" x14ac:dyDescent="0.25">
      <c r="A2" s="81" t="s">
        <v>238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</row>
    <row r="3" spans="1:45" x14ac:dyDescent="0.25">
      <c r="A3" s="97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</row>
    <row r="4" spans="1:45" ht="45.75" x14ac:dyDescent="0.25">
      <c r="A4" s="95"/>
      <c r="B4" s="130"/>
      <c r="C4" s="84"/>
      <c r="D4" s="84"/>
      <c r="E4" s="84"/>
      <c r="F4" s="84"/>
      <c r="G4" s="84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6"/>
      <c r="AA4" s="86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6"/>
      <c r="AQ4" s="86"/>
      <c r="AR4" s="86" t="s">
        <v>73</v>
      </c>
      <c r="AS4" s="86" t="s">
        <v>74</v>
      </c>
    </row>
    <row r="5" spans="1:45" x14ac:dyDescent="0.25">
      <c r="A5" s="95"/>
      <c r="B5" s="87"/>
      <c r="C5" s="87"/>
      <c r="D5" s="87"/>
      <c r="E5" s="87"/>
      <c r="F5" s="87"/>
      <c r="G5" s="87"/>
      <c r="H5" s="88"/>
      <c r="I5" s="88"/>
      <c r="J5" s="88"/>
      <c r="K5" s="87"/>
      <c r="L5" s="88"/>
      <c r="M5" s="88"/>
      <c r="N5" s="88"/>
      <c r="O5" s="88"/>
      <c r="P5" s="87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9" t="e">
        <f>AVERAGE(T5:AL5)</f>
        <v>#DIV/0!</v>
      </c>
      <c r="AS5" s="90" t="e">
        <f>AVERAGE(AI5,AH5,AF5,AE5,AD5,AC5,AB5,AA5,Z5,Y5,X5,W5,V5,U5,T5)</f>
        <v>#DIV/0!</v>
      </c>
    </row>
    <row r="6" spans="1:45" x14ac:dyDescent="0.25">
      <c r="A6" s="95"/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2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C6" s="91"/>
      <c r="AD6" s="91"/>
      <c r="AE6" s="91"/>
      <c r="AF6" s="91"/>
      <c r="AG6" s="91"/>
      <c r="AH6" s="91"/>
      <c r="AI6" s="91"/>
      <c r="AJ6" s="91"/>
      <c r="AK6" s="91"/>
      <c r="AL6" s="91"/>
      <c r="AM6" s="91"/>
      <c r="AN6" s="91"/>
      <c r="AO6" s="91"/>
      <c r="AP6" s="91"/>
      <c r="AQ6" s="91"/>
      <c r="AR6" s="89" t="e">
        <f t="shared" ref="AR6:AR35" si="0">AVERAGE(T6:AL6)</f>
        <v>#DIV/0!</v>
      </c>
      <c r="AS6" s="90" t="e">
        <f t="shared" ref="AS6:AS13" si="1">AVERAGE(AI6,AH6,AF6,AE6,AD6,AC6,AB6,AA6,Z6,Y6,X6,W6,V6,U6,T6)</f>
        <v>#DIV/0!</v>
      </c>
    </row>
    <row r="7" spans="1:45" x14ac:dyDescent="0.25">
      <c r="A7" s="95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87"/>
      <c r="Q7" s="94"/>
      <c r="R7" s="94"/>
      <c r="S7" s="94"/>
      <c r="T7" s="94"/>
      <c r="U7" s="94"/>
      <c r="V7" s="94"/>
      <c r="W7" s="94"/>
      <c r="X7" s="94"/>
      <c r="Y7" s="94"/>
      <c r="Z7" s="94"/>
      <c r="AA7" s="93"/>
      <c r="AB7" s="94"/>
      <c r="AC7" s="94"/>
      <c r="AD7" s="94"/>
      <c r="AE7" s="94"/>
      <c r="AF7" s="94"/>
      <c r="AG7" s="94"/>
      <c r="AH7" s="94"/>
      <c r="AI7" s="94"/>
      <c r="AJ7" s="93"/>
      <c r="AK7" s="94"/>
      <c r="AL7" s="94"/>
      <c r="AM7" s="94"/>
      <c r="AN7" s="94"/>
      <c r="AO7" s="94"/>
      <c r="AP7" s="94"/>
      <c r="AQ7" s="94"/>
      <c r="AR7" s="89" t="e">
        <f t="shared" si="0"/>
        <v>#DIV/0!</v>
      </c>
      <c r="AS7" s="90" t="e">
        <f t="shared" si="1"/>
        <v>#DIV/0!</v>
      </c>
    </row>
    <row r="8" spans="1:45" x14ac:dyDescent="0.25">
      <c r="A8" s="95"/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2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89" t="e">
        <f t="shared" si="0"/>
        <v>#DIV/0!</v>
      </c>
      <c r="AS8" s="90" t="e">
        <f t="shared" si="1"/>
        <v>#DIV/0!</v>
      </c>
    </row>
    <row r="9" spans="1:45" x14ac:dyDescent="0.25">
      <c r="A9" s="95"/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3"/>
      <c r="S9" s="94"/>
      <c r="T9" s="94"/>
      <c r="U9" s="94"/>
      <c r="V9" s="94"/>
      <c r="W9" s="94"/>
      <c r="X9" s="94"/>
      <c r="Y9" s="94"/>
      <c r="Z9" s="94"/>
      <c r="AA9" s="93"/>
      <c r="AB9" s="94"/>
      <c r="AC9" s="94"/>
      <c r="AD9" s="94"/>
      <c r="AE9" s="94"/>
      <c r="AF9" s="94"/>
      <c r="AG9" s="94"/>
      <c r="AH9" s="94"/>
      <c r="AI9" s="94"/>
      <c r="AJ9" s="93"/>
      <c r="AK9" s="94"/>
      <c r="AL9" s="94"/>
      <c r="AM9" s="94"/>
      <c r="AN9" s="94"/>
      <c r="AO9" s="94"/>
      <c r="AP9" s="94"/>
      <c r="AQ9" s="94"/>
      <c r="AR9" s="89" t="e">
        <f t="shared" si="0"/>
        <v>#DIV/0!</v>
      </c>
      <c r="AS9" s="90" t="e">
        <f t="shared" si="1"/>
        <v>#DIV/0!</v>
      </c>
    </row>
    <row r="10" spans="1:45" x14ac:dyDescent="0.25">
      <c r="A10" s="95"/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91"/>
      <c r="AL10" s="91"/>
      <c r="AM10" s="91"/>
      <c r="AN10" s="91"/>
      <c r="AO10" s="91"/>
      <c r="AP10" s="91"/>
      <c r="AQ10" s="91"/>
      <c r="AR10" s="89" t="e">
        <f t="shared" si="0"/>
        <v>#DIV/0!</v>
      </c>
      <c r="AS10" s="90" t="e">
        <f t="shared" si="1"/>
        <v>#DIV/0!</v>
      </c>
    </row>
    <row r="11" spans="1:45" x14ac:dyDescent="0.25">
      <c r="A11" s="95"/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3"/>
      <c r="S11" s="94"/>
      <c r="T11" s="94"/>
      <c r="U11" s="94"/>
      <c r="V11" s="94"/>
      <c r="W11" s="94"/>
      <c r="X11" s="94"/>
      <c r="Y11" s="94"/>
      <c r="Z11" s="94"/>
      <c r="AA11" s="93"/>
      <c r="AB11" s="94"/>
      <c r="AC11" s="94"/>
      <c r="AD11" s="94"/>
      <c r="AE11" s="94"/>
      <c r="AF11" s="94"/>
      <c r="AG11" s="94"/>
      <c r="AH11" s="94"/>
      <c r="AI11" s="94"/>
      <c r="AJ11" s="93"/>
      <c r="AK11" s="94"/>
      <c r="AL11" s="94"/>
      <c r="AM11" s="94"/>
      <c r="AN11" s="94"/>
      <c r="AO11" s="94"/>
      <c r="AP11" s="94"/>
      <c r="AQ11" s="94"/>
      <c r="AR11" s="89" t="e">
        <f t="shared" si="0"/>
        <v>#DIV/0!</v>
      </c>
      <c r="AS11" s="90" t="e">
        <f t="shared" si="1"/>
        <v>#DIV/0!</v>
      </c>
    </row>
    <row r="12" spans="1:45" x14ac:dyDescent="0.25">
      <c r="A12" s="95"/>
      <c r="B12" s="91"/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89" t="e">
        <f t="shared" si="0"/>
        <v>#DIV/0!</v>
      </c>
      <c r="AS12" s="90" t="e">
        <f t="shared" si="1"/>
        <v>#DIV/0!</v>
      </c>
    </row>
    <row r="13" spans="1:45" x14ac:dyDescent="0.25">
      <c r="A13" s="95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3"/>
      <c r="S13" s="94"/>
      <c r="T13" s="94"/>
      <c r="U13" s="94"/>
      <c r="V13" s="94"/>
      <c r="W13" s="94"/>
      <c r="X13" s="94"/>
      <c r="Y13" s="94"/>
      <c r="Z13" s="94"/>
      <c r="AA13" s="93"/>
      <c r="AB13" s="94"/>
      <c r="AC13" s="94"/>
      <c r="AD13" s="94"/>
      <c r="AE13" s="94"/>
      <c r="AF13" s="94"/>
      <c r="AG13" s="94"/>
      <c r="AH13" s="94"/>
      <c r="AI13" s="94"/>
      <c r="AJ13" s="93"/>
      <c r="AK13" s="94"/>
      <c r="AL13" s="94"/>
      <c r="AM13" s="94"/>
      <c r="AN13" s="94"/>
      <c r="AO13" s="94"/>
      <c r="AP13" s="94"/>
      <c r="AQ13" s="94"/>
      <c r="AR13" s="89" t="e">
        <f t="shared" si="0"/>
        <v>#DIV/0!</v>
      </c>
      <c r="AS13" s="90" t="e">
        <f t="shared" si="1"/>
        <v>#DIV/0!</v>
      </c>
    </row>
    <row r="14" spans="1:45" x14ac:dyDescent="0.25">
      <c r="A14" s="95"/>
      <c r="B14" s="91"/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89" t="e">
        <f t="shared" si="0"/>
        <v>#DIV/0!</v>
      </c>
      <c r="AS14" s="90" t="e">
        <f>AVERAGE(AI14,AH14,AG14,AK14,AL14,AF14,AE14,AD14,AC14,AB14,AA14,Z14,Y14,X14,W14,V14,U14,T14)</f>
        <v>#DIV/0!</v>
      </c>
    </row>
    <row r="15" spans="1:45" x14ac:dyDescent="0.25">
      <c r="A15" s="95"/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3"/>
      <c r="S15" s="94"/>
      <c r="T15" s="94"/>
      <c r="U15" s="94"/>
      <c r="V15" s="94"/>
      <c r="W15" s="94"/>
      <c r="X15" s="94"/>
      <c r="Y15" s="94"/>
      <c r="Z15" s="94"/>
      <c r="AA15" s="93"/>
      <c r="AB15" s="94"/>
      <c r="AC15" s="94"/>
      <c r="AD15" s="94"/>
      <c r="AE15" s="94"/>
      <c r="AF15" s="94"/>
      <c r="AG15" s="94"/>
      <c r="AH15" s="94"/>
      <c r="AI15" s="94"/>
      <c r="AJ15" s="93"/>
      <c r="AK15" s="94"/>
      <c r="AL15" s="94"/>
      <c r="AM15" s="94"/>
      <c r="AN15" s="94"/>
      <c r="AO15" s="94"/>
      <c r="AP15" s="94"/>
      <c r="AQ15" s="94"/>
      <c r="AR15" s="89" t="e">
        <f t="shared" si="0"/>
        <v>#DIV/0!</v>
      </c>
      <c r="AS15" s="90" t="e">
        <f>AVERAGE(AI15,AH15,AG15,AK15,AL15,AF15,AE15,AD15,AC15,AB15,AA15,Z15,Y15,X15,W15,V15,U15,T15)</f>
        <v>#DIV/0!</v>
      </c>
    </row>
    <row r="16" spans="1:45" x14ac:dyDescent="0.25">
      <c r="A16" s="95"/>
      <c r="B16" s="91"/>
      <c r="C16" s="91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89" t="e">
        <f t="shared" si="0"/>
        <v>#DIV/0!</v>
      </c>
      <c r="AS16" s="90" t="e">
        <f>AVERAGE(AI16,AH16,AG16,AK16,AL16,AF16,AE16,AD16,AC16,AB16,AA16,Z16,Y16,X16,W16,V16,U16,T16)</f>
        <v>#DIV/0!</v>
      </c>
    </row>
    <row r="17" spans="1:45" x14ac:dyDescent="0.25">
      <c r="A17" s="95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89" t="e">
        <f t="shared" si="0"/>
        <v>#DIV/0!</v>
      </c>
      <c r="AS17" s="90" t="e">
        <f>AVERAGE(AI17,AH17,AG17,AK17,AL17,AF17,AE17,AD17,AC17,AB17,AA17,Z17,Y17,X17,W17,V17,U17,T17)</f>
        <v>#DIV/0!</v>
      </c>
    </row>
    <row r="18" spans="1:45" x14ac:dyDescent="0.25">
      <c r="A18" s="95"/>
      <c r="B18" s="91"/>
      <c r="C18" s="91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89" t="e">
        <f t="shared" si="0"/>
        <v>#DIV/0!</v>
      </c>
      <c r="AS18" s="90" t="e">
        <f t="shared" ref="AS18:AS30" si="2">AVERAGE(AI18,AH18,AF18,AE18,AD18,AC18,AB18,AA18,Z18,Y18,X18,W18,V18,U18,T18)</f>
        <v>#DIV/0!</v>
      </c>
    </row>
    <row r="19" spans="1:45" x14ac:dyDescent="0.25">
      <c r="A19" s="95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4"/>
      <c r="AJ19" s="94"/>
      <c r="AK19" s="94"/>
      <c r="AL19" s="94"/>
      <c r="AM19" s="94"/>
      <c r="AN19" s="94"/>
      <c r="AO19" s="94"/>
      <c r="AP19" s="94"/>
      <c r="AQ19" s="94"/>
      <c r="AR19" s="89" t="e">
        <f t="shared" si="0"/>
        <v>#DIV/0!</v>
      </c>
      <c r="AS19" s="90" t="e">
        <f t="shared" si="2"/>
        <v>#DIV/0!</v>
      </c>
    </row>
    <row r="20" spans="1:45" x14ac:dyDescent="0.25">
      <c r="A20" s="95"/>
      <c r="B20" s="91"/>
      <c r="C20" s="91"/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  <c r="V20" s="91"/>
      <c r="W20" s="91"/>
      <c r="X20" s="91"/>
      <c r="Y20" s="91"/>
      <c r="Z20" s="91"/>
      <c r="AA20" s="91"/>
      <c r="AB20" s="91"/>
      <c r="AC20" s="91"/>
      <c r="AD20" s="91"/>
      <c r="AE20" s="91"/>
      <c r="AF20" s="91"/>
      <c r="AG20" s="91"/>
      <c r="AH20" s="91"/>
      <c r="AI20" s="91"/>
      <c r="AJ20" s="91"/>
      <c r="AK20" s="91"/>
      <c r="AL20" s="91"/>
      <c r="AM20" s="91"/>
      <c r="AN20" s="91"/>
      <c r="AO20" s="91"/>
      <c r="AP20" s="91"/>
      <c r="AQ20" s="91"/>
      <c r="AR20" s="89" t="e">
        <f t="shared" si="0"/>
        <v>#DIV/0!</v>
      </c>
      <c r="AS20" s="90" t="e">
        <f t="shared" si="2"/>
        <v>#DIV/0!</v>
      </c>
    </row>
    <row r="21" spans="1:45" x14ac:dyDescent="0.25">
      <c r="A21" s="95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I21" s="94"/>
      <c r="AJ21" s="94"/>
      <c r="AK21" s="94"/>
      <c r="AL21" s="94"/>
      <c r="AM21" s="94"/>
      <c r="AN21" s="94"/>
      <c r="AO21" s="94"/>
      <c r="AP21" s="94"/>
      <c r="AQ21" s="94"/>
      <c r="AR21" s="89" t="e">
        <f t="shared" si="0"/>
        <v>#DIV/0!</v>
      </c>
      <c r="AS21" s="90" t="e">
        <f t="shared" si="2"/>
        <v>#DIV/0!</v>
      </c>
    </row>
    <row r="22" spans="1:45" x14ac:dyDescent="0.25">
      <c r="A22" s="95"/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89" t="e">
        <f t="shared" si="0"/>
        <v>#DIV/0!</v>
      </c>
      <c r="AS22" s="90" t="e">
        <f t="shared" si="2"/>
        <v>#DIV/0!</v>
      </c>
    </row>
    <row r="23" spans="1:45" x14ac:dyDescent="0.25">
      <c r="A23" s="95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89" t="e">
        <f t="shared" si="0"/>
        <v>#DIV/0!</v>
      </c>
      <c r="AS23" s="90" t="e">
        <f t="shared" si="2"/>
        <v>#DIV/0!</v>
      </c>
    </row>
    <row r="24" spans="1:45" x14ac:dyDescent="0.25">
      <c r="A24" s="95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89" t="e">
        <f t="shared" si="0"/>
        <v>#DIV/0!</v>
      </c>
      <c r="AS24" s="90" t="e">
        <f t="shared" si="2"/>
        <v>#DIV/0!</v>
      </c>
    </row>
    <row r="25" spans="1:45" x14ac:dyDescent="0.25">
      <c r="A25" s="95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6"/>
      <c r="S25" s="96"/>
      <c r="T25" s="96"/>
      <c r="U25" s="96"/>
      <c r="V25" s="96"/>
      <c r="W25" s="96"/>
      <c r="X25" s="96"/>
      <c r="Y25" s="96"/>
      <c r="Z25" s="94"/>
      <c r="AA25" s="96"/>
      <c r="AB25" s="96"/>
      <c r="AC25" s="96"/>
      <c r="AD25" s="96"/>
      <c r="AE25" s="96"/>
      <c r="AF25" s="96"/>
      <c r="AG25" s="96"/>
      <c r="AH25" s="96"/>
      <c r="AI25" s="94"/>
      <c r="AJ25" s="96"/>
      <c r="AK25" s="96"/>
      <c r="AL25" s="96"/>
      <c r="AM25" s="96"/>
      <c r="AN25" s="96"/>
      <c r="AO25" s="96"/>
      <c r="AP25" s="96"/>
      <c r="AQ25" s="96"/>
      <c r="AR25" s="89" t="e">
        <f t="shared" si="0"/>
        <v>#DIV/0!</v>
      </c>
      <c r="AS25" s="90" t="e">
        <f t="shared" si="2"/>
        <v>#DIV/0!</v>
      </c>
    </row>
    <row r="26" spans="1:45" x14ac:dyDescent="0.25">
      <c r="A26" s="95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91"/>
      <c r="AB26" s="91"/>
      <c r="AC26" s="91"/>
      <c r="AD26" s="91"/>
      <c r="AE26" s="91"/>
      <c r="AF26" s="91"/>
      <c r="AG26" s="91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89" t="e">
        <f t="shared" si="0"/>
        <v>#DIV/0!</v>
      </c>
      <c r="AS26" s="90" t="e">
        <f t="shared" si="2"/>
        <v>#DIV/0!</v>
      </c>
    </row>
    <row r="27" spans="1:45" x14ac:dyDescent="0.25">
      <c r="A27" s="95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6"/>
      <c r="S27" s="96"/>
      <c r="T27" s="96"/>
      <c r="U27" s="96"/>
      <c r="V27" s="96"/>
      <c r="W27" s="96"/>
      <c r="X27" s="96"/>
      <c r="Y27" s="96"/>
      <c r="Z27" s="94"/>
      <c r="AA27" s="96"/>
      <c r="AB27" s="96"/>
      <c r="AC27" s="96"/>
      <c r="AD27" s="96"/>
      <c r="AE27" s="96"/>
      <c r="AF27" s="96"/>
      <c r="AG27" s="96"/>
      <c r="AH27" s="96"/>
      <c r="AI27" s="94"/>
      <c r="AJ27" s="96"/>
      <c r="AK27" s="96"/>
      <c r="AL27" s="96"/>
      <c r="AM27" s="96"/>
      <c r="AN27" s="96"/>
      <c r="AO27" s="96"/>
      <c r="AP27" s="96"/>
      <c r="AQ27" s="96"/>
      <c r="AR27" s="89" t="e">
        <f t="shared" si="0"/>
        <v>#DIV/0!</v>
      </c>
      <c r="AS27" s="90" t="e">
        <f t="shared" si="2"/>
        <v>#DIV/0!</v>
      </c>
    </row>
    <row r="28" spans="1:45" x14ac:dyDescent="0.25">
      <c r="A28" s="95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  <c r="AC28" s="91"/>
      <c r="AD28" s="91"/>
      <c r="AE28" s="91"/>
      <c r="AF28" s="91"/>
      <c r="AG28" s="91"/>
      <c r="AH28" s="91"/>
      <c r="AI28" s="91"/>
      <c r="AJ28" s="91"/>
      <c r="AK28" s="91"/>
      <c r="AL28" s="91"/>
      <c r="AM28" s="91"/>
      <c r="AN28" s="91"/>
      <c r="AO28" s="91"/>
      <c r="AP28" s="91"/>
      <c r="AQ28" s="91"/>
      <c r="AR28" s="89" t="e">
        <f t="shared" si="0"/>
        <v>#DIV/0!</v>
      </c>
      <c r="AS28" s="90" t="e">
        <f t="shared" si="2"/>
        <v>#DIV/0!</v>
      </c>
    </row>
    <row r="29" spans="1:45" x14ac:dyDescent="0.25">
      <c r="A29" s="95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I29" s="94"/>
      <c r="AJ29" s="94"/>
      <c r="AK29" s="94"/>
      <c r="AL29" s="94"/>
      <c r="AM29" s="94"/>
      <c r="AN29" s="94"/>
      <c r="AO29" s="94"/>
      <c r="AP29" s="94"/>
      <c r="AQ29" s="94"/>
      <c r="AR29" s="89" t="e">
        <f t="shared" si="0"/>
        <v>#DIV/0!</v>
      </c>
      <c r="AS29" s="90" t="e">
        <f t="shared" si="2"/>
        <v>#DIV/0!</v>
      </c>
    </row>
    <row r="30" spans="1:45" x14ac:dyDescent="0.25">
      <c r="A30" s="95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91"/>
      <c r="AL30" s="91"/>
      <c r="AM30" s="91"/>
      <c r="AN30" s="91"/>
      <c r="AO30" s="91"/>
      <c r="AP30" s="91"/>
      <c r="AQ30" s="91"/>
      <c r="AR30" s="89" t="e">
        <f t="shared" si="0"/>
        <v>#DIV/0!</v>
      </c>
      <c r="AS30" s="90" t="e">
        <f t="shared" si="2"/>
        <v>#DIV/0!</v>
      </c>
    </row>
    <row r="31" spans="1:45" x14ac:dyDescent="0.25">
      <c r="A31" s="95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  <c r="AI31" s="94"/>
      <c r="AJ31" s="94"/>
      <c r="AK31" s="94"/>
      <c r="AL31" s="94"/>
      <c r="AM31" s="94"/>
      <c r="AN31" s="94"/>
      <c r="AO31" s="94"/>
      <c r="AP31" s="94"/>
      <c r="AQ31" s="94"/>
      <c r="AR31" s="89" t="e">
        <f t="shared" si="0"/>
        <v>#DIV/0!</v>
      </c>
      <c r="AS31" s="90" t="e">
        <f>AVERAGE(AI31,AF31,AE31,AD31,T31:AC31)</f>
        <v>#DIV/0!</v>
      </c>
    </row>
    <row r="32" spans="1:45" x14ac:dyDescent="0.25">
      <c r="A32" s="95"/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  <c r="AC32" s="91"/>
      <c r="AD32" s="91"/>
      <c r="AE32" s="91"/>
      <c r="AF32" s="91"/>
      <c r="AG32" s="91"/>
      <c r="AH32" s="91"/>
      <c r="AI32" s="91"/>
      <c r="AJ32" s="91"/>
      <c r="AK32" s="91"/>
      <c r="AL32" s="91"/>
      <c r="AM32" s="91"/>
      <c r="AN32" s="91"/>
      <c r="AO32" s="91"/>
      <c r="AP32" s="91"/>
      <c r="AQ32" s="91"/>
      <c r="AR32" s="89" t="e">
        <f t="shared" si="0"/>
        <v>#DIV/0!</v>
      </c>
      <c r="AS32" s="90" t="e">
        <f>AVERAGE(AI32,AH32,T32:AF32)</f>
        <v>#DIV/0!</v>
      </c>
    </row>
    <row r="33" spans="1:45" x14ac:dyDescent="0.25">
      <c r="A33" s="95"/>
      <c r="B33" s="87"/>
      <c r="C33" s="87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  <c r="AI33" s="94"/>
      <c r="AJ33" s="94"/>
      <c r="AK33" s="94"/>
      <c r="AL33" s="94"/>
      <c r="AM33" s="94"/>
      <c r="AN33" s="94"/>
      <c r="AO33" s="94"/>
      <c r="AP33" s="94"/>
      <c r="AQ33" s="94"/>
      <c r="AR33" s="89" t="e">
        <f t="shared" si="0"/>
        <v>#DIV/0!</v>
      </c>
      <c r="AS33" s="90" t="e">
        <f>AVERAGE(AI33,AH33,T33:AF33)</f>
        <v>#DIV/0!</v>
      </c>
    </row>
    <row r="34" spans="1:45" x14ac:dyDescent="0.25">
      <c r="A34" s="95"/>
      <c r="B34" s="91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91"/>
      <c r="AN34" s="91"/>
      <c r="AO34" s="91"/>
      <c r="AP34" s="91"/>
      <c r="AQ34" s="91"/>
      <c r="AR34" s="89" t="e">
        <f t="shared" si="0"/>
        <v>#DIV/0!</v>
      </c>
      <c r="AS34" s="90" t="e">
        <f>AVERAGE(AI34,AH34,T34:AG34)</f>
        <v>#DIV/0!</v>
      </c>
    </row>
    <row r="35" spans="1:45" x14ac:dyDescent="0.25">
      <c r="A35" s="95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  <c r="AM35" s="94"/>
      <c r="AN35" s="94"/>
      <c r="AO35" s="94"/>
      <c r="AP35" s="94"/>
      <c r="AQ35" s="94"/>
      <c r="AR35" s="89" t="e">
        <f t="shared" si="0"/>
        <v>#DIV/0!</v>
      </c>
      <c r="AS35" s="90" t="e">
        <f t="shared" ref="AS35:AS49" si="3">AVERAGE(AI35,AH35,T35:AF35)</f>
        <v>#DIV/0!</v>
      </c>
    </row>
    <row r="36" spans="1:45" x14ac:dyDescent="0.25">
      <c r="A36" s="95"/>
      <c r="B36" s="91"/>
      <c r="C36" s="91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  <c r="X36" s="91"/>
      <c r="Y36" s="91"/>
      <c r="Z36" s="91"/>
      <c r="AA36" s="91"/>
      <c r="AB36" s="91"/>
      <c r="AC36" s="91"/>
      <c r="AD36" s="91"/>
      <c r="AE36" s="91"/>
      <c r="AF36" s="91"/>
      <c r="AG36" s="91"/>
      <c r="AH36" s="91"/>
      <c r="AI36" s="91"/>
      <c r="AJ36" s="91"/>
      <c r="AK36" s="91"/>
      <c r="AL36" s="91"/>
      <c r="AM36" s="91"/>
      <c r="AN36" s="91"/>
      <c r="AO36" s="91"/>
      <c r="AP36" s="91"/>
      <c r="AQ36" s="91"/>
      <c r="AR36" s="89" t="e">
        <f t="shared" ref="AR36:AR56" si="4">AVERAGE(T36:AM36)</f>
        <v>#DIV/0!</v>
      </c>
      <c r="AS36" s="90" t="e">
        <f t="shared" si="3"/>
        <v>#DIV/0!</v>
      </c>
    </row>
    <row r="37" spans="1:45" x14ac:dyDescent="0.25">
      <c r="A37" s="95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  <c r="AI37" s="94"/>
      <c r="AJ37" s="94"/>
      <c r="AK37" s="94"/>
      <c r="AL37" s="94"/>
      <c r="AM37" s="94"/>
      <c r="AN37" s="94"/>
      <c r="AO37" s="94"/>
      <c r="AP37" s="94"/>
      <c r="AQ37" s="94"/>
      <c r="AR37" s="89" t="e">
        <f t="shared" si="4"/>
        <v>#DIV/0!</v>
      </c>
      <c r="AS37" s="90" t="e">
        <f t="shared" si="3"/>
        <v>#DIV/0!</v>
      </c>
    </row>
    <row r="38" spans="1:45" x14ac:dyDescent="0.25">
      <c r="A38" s="95"/>
      <c r="B38" s="91"/>
      <c r="C38" s="91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  <c r="X38" s="91"/>
      <c r="Y38" s="91"/>
      <c r="Z38" s="91"/>
      <c r="AA38" s="91"/>
      <c r="AB38" s="91"/>
      <c r="AC38" s="91"/>
      <c r="AD38" s="91"/>
      <c r="AE38" s="91"/>
      <c r="AF38" s="91"/>
      <c r="AG38" s="91"/>
      <c r="AH38" s="91"/>
      <c r="AI38" s="91"/>
      <c r="AJ38" s="91"/>
      <c r="AK38" s="91"/>
      <c r="AL38" s="91"/>
      <c r="AM38" s="91"/>
      <c r="AN38" s="91"/>
      <c r="AO38" s="91"/>
      <c r="AP38" s="91"/>
      <c r="AQ38" s="91"/>
      <c r="AR38" s="89" t="e">
        <f t="shared" si="4"/>
        <v>#DIV/0!</v>
      </c>
      <c r="AS38" s="90" t="e">
        <f t="shared" si="3"/>
        <v>#DIV/0!</v>
      </c>
    </row>
    <row r="39" spans="1:45" x14ac:dyDescent="0.25">
      <c r="A39" s="95"/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  <c r="AI39" s="94"/>
      <c r="AJ39" s="94"/>
      <c r="AK39" s="94"/>
      <c r="AL39" s="94"/>
      <c r="AM39" s="94"/>
      <c r="AN39" s="94"/>
      <c r="AO39" s="94"/>
      <c r="AP39" s="94"/>
      <c r="AQ39" s="94"/>
      <c r="AR39" s="89" t="e">
        <f t="shared" si="4"/>
        <v>#DIV/0!</v>
      </c>
      <c r="AS39" s="90" t="e">
        <f t="shared" si="3"/>
        <v>#DIV/0!</v>
      </c>
    </row>
    <row r="40" spans="1:45" x14ac:dyDescent="0.25">
      <c r="A40" s="95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91"/>
      <c r="Z40" s="91"/>
      <c r="AA40" s="91"/>
      <c r="AB40" s="91"/>
      <c r="AC40" s="91"/>
      <c r="AD40" s="91"/>
      <c r="AE40" s="91"/>
      <c r="AF40" s="91"/>
      <c r="AG40" s="91"/>
      <c r="AH40" s="91"/>
      <c r="AI40" s="91"/>
      <c r="AJ40" s="91"/>
      <c r="AK40" s="91"/>
      <c r="AL40" s="91"/>
      <c r="AM40" s="91"/>
      <c r="AN40" s="91"/>
      <c r="AO40" s="91"/>
      <c r="AP40" s="91"/>
      <c r="AQ40" s="91"/>
      <c r="AR40" s="89" t="e">
        <f t="shared" si="4"/>
        <v>#DIV/0!</v>
      </c>
      <c r="AS40" s="90" t="e">
        <f t="shared" si="3"/>
        <v>#DIV/0!</v>
      </c>
    </row>
    <row r="41" spans="1:45" x14ac:dyDescent="0.25">
      <c r="A41" s="95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3"/>
      <c r="S41" s="94"/>
      <c r="T41" s="94"/>
      <c r="U41" s="94"/>
      <c r="V41" s="94"/>
      <c r="W41" s="94"/>
      <c r="X41" s="94"/>
      <c r="Y41" s="94"/>
      <c r="Z41" s="94"/>
      <c r="AA41" s="93"/>
      <c r="AB41" s="94"/>
      <c r="AC41" s="94"/>
      <c r="AD41" s="94"/>
      <c r="AE41" s="94"/>
      <c r="AF41" s="94"/>
      <c r="AG41" s="94"/>
      <c r="AH41" s="94"/>
      <c r="AI41" s="94"/>
      <c r="AJ41" s="93"/>
      <c r="AK41" s="94"/>
      <c r="AL41" s="94"/>
      <c r="AM41" s="94"/>
      <c r="AN41" s="94"/>
      <c r="AO41" s="94"/>
      <c r="AP41" s="94"/>
      <c r="AQ41" s="94"/>
      <c r="AR41" s="89" t="e">
        <f t="shared" si="4"/>
        <v>#DIV/0!</v>
      </c>
      <c r="AS41" s="90" t="e">
        <f t="shared" si="3"/>
        <v>#DIV/0!</v>
      </c>
    </row>
    <row r="42" spans="1:45" x14ac:dyDescent="0.25">
      <c r="A42" s="95"/>
      <c r="B42" s="91"/>
      <c r="C42" s="91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89" t="e">
        <f t="shared" si="4"/>
        <v>#DIV/0!</v>
      </c>
      <c r="AS42" s="90" t="e">
        <f t="shared" si="3"/>
        <v>#DIV/0!</v>
      </c>
    </row>
    <row r="43" spans="1:45" x14ac:dyDescent="0.25">
      <c r="A43" s="95"/>
      <c r="B43" s="94"/>
      <c r="C43" s="94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89" t="e">
        <f t="shared" si="4"/>
        <v>#DIV/0!</v>
      </c>
      <c r="AS43" s="90" t="e">
        <f t="shared" si="3"/>
        <v>#DIV/0!</v>
      </c>
    </row>
    <row r="44" spans="1:45" x14ac:dyDescent="0.25">
      <c r="A44" s="95"/>
      <c r="B44" s="91"/>
      <c r="C44" s="91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1"/>
      <c r="AF44" s="91"/>
      <c r="AG44" s="91"/>
      <c r="AH44" s="91"/>
      <c r="AI44" s="91"/>
      <c r="AJ44" s="91"/>
      <c r="AK44" s="91"/>
      <c r="AL44" s="91"/>
      <c r="AM44" s="91"/>
      <c r="AN44" s="91"/>
      <c r="AO44" s="91"/>
      <c r="AP44" s="91"/>
      <c r="AQ44" s="91"/>
      <c r="AR44" s="89" t="e">
        <f t="shared" si="4"/>
        <v>#DIV/0!</v>
      </c>
      <c r="AS44" s="90" t="e">
        <f t="shared" si="3"/>
        <v>#DIV/0!</v>
      </c>
    </row>
    <row r="45" spans="1:45" x14ac:dyDescent="0.25">
      <c r="A45" s="95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89" t="e">
        <f t="shared" si="4"/>
        <v>#DIV/0!</v>
      </c>
      <c r="AS45" s="90" t="e">
        <f t="shared" si="3"/>
        <v>#DIV/0!</v>
      </c>
    </row>
    <row r="46" spans="1:45" x14ac:dyDescent="0.25">
      <c r="A46" s="95"/>
      <c r="B46" s="91"/>
      <c r="C46" s="91"/>
      <c r="D46" s="91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  <c r="AF46" s="91"/>
      <c r="AG46" s="91"/>
      <c r="AH46" s="91"/>
      <c r="AI46" s="91"/>
      <c r="AJ46" s="91"/>
      <c r="AK46" s="91"/>
      <c r="AL46" s="91"/>
      <c r="AM46" s="91"/>
      <c r="AN46" s="91"/>
      <c r="AO46" s="91"/>
      <c r="AP46" s="91"/>
      <c r="AQ46" s="91"/>
      <c r="AR46" s="89" t="e">
        <f t="shared" si="4"/>
        <v>#DIV/0!</v>
      </c>
      <c r="AS46" s="90" t="e">
        <f t="shared" si="3"/>
        <v>#DIV/0!</v>
      </c>
    </row>
    <row r="47" spans="1:45" x14ac:dyDescent="0.25">
      <c r="A47" s="95"/>
      <c r="B47" s="9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  <c r="AI47" s="94"/>
      <c r="AJ47" s="94"/>
      <c r="AK47" s="94"/>
      <c r="AL47" s="94"/>
      <c r="AM47" s="94"/>
      <c r="AN47" s="94"/>
      <c r="AO47" s="94"/>
      <c r="AP47" s="94"/>
      <c r="AQ47" s="94"/>
      <c r="AR47" s="89" t="e">
        <f t="shared" si="4"/>
        <v>#DIV/0!</v>
      </c>
      <c r="AS47" s="90" t="e">
        <f t="shared" si="3"/>
        <v>#DIV/0!</v>
      </c>
    </row>
    <row r="48" spans="1:45" x14ac:dyDescent="0.25">
      <c r="A48" s="95"/>
      <c r="B48" s="91"/>
      <c r="C48" s="91"/>
      <c r="D48" s="91"/>
      <c r="E48" s="91"/>
      <c r="F48" s="91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91"/>
      <c r="T48" s="91"/>
      <c r="U48" s="91"/>
      <c r="V48" s="91"/>
      <c r="W48" s="91"/>
      <c r="X48" s="91"/>
      <c r="Y48" s="91"/>
      <c r="Z48" s="91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91"/>
      <c r="AO48" s="91"/>
      <c r="AP48" s="91"/>
      <c r="AQ48" s="91"/>
      <c r="AR48" s="89" t="e">
        <f t="shared" si="4"/>
        <v>#DIV/0!</v>
      </c>
      <c r="AS48" s="90" t="e">
        <f t="shared" si="3"/>
        <v>#DIV/0!</v>
      </c>
    </row>
    <row r="49" spans="1:45" x14ac:dyDescent="0.25">
      <c r="A49" s="95"/>
      <c r="B49" s="94"/>
      <c r="C49" s="94"/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O49" s="94"/>
      <c r="P49" s="94"/>
      <c r="Q49" s="94"/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  <c r="AI49" s="94"/>
      <c r="AJ49" s="94"/>
      <c r="AK49" s="94"/>
      <c r="AL49" s="94"/>
      <c r="AM49" s="94"/>
      <c r="AN49" s="94"/>
      <c r="AO49" s="94"/>
      <c r="AP49" s="94"/>
      <c r="AQ49" s="94"/>
      <c r="AR49" s="89" t="e">
        <f t="shared" si="4"/>
        <v>#DIV/0!</v>
      </c>
      <c r="AS49" s="90" t="e">
        <f t="shared" si="3"/>
        <v>#DIV/0!</v>
      </c>
    </row>
    <row r="50" spans="1:45" x14ac:dyDescent="0.25">
      <c r="A50" s="95"/>
      <c r="B50" s="91"/>
      <c r="C50" s="91"/>
      <c r="D50" s="91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91"/>
      <c r="AL50" s="91"/>
      <c r="AM50" s="91"/>
      <c r="AN50" s="91"/>
      <c r="AO50" s="91"/>
      <c r="AP50" s="91"/>
      <c r="AQ50" s="91"/>
      <c r="AR50" s="89" t="e">
        <f t="shared" si="4"/>
        <v>#DIV/0!</v>
      </c>
      <c r="AS50" s="90" t="e">
        <f>AVERAGE(T50:AF50,AH50:AI50)</f>
        <v>#DIV/0!</v>
      </c>
    </row>
    <row r="51" spans="1:45" x14ac:dyDescent="0.25">
      <c r="A51" s="95"/>
      <c r="B51" s="94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  <c r="AI51" s="94"/>
      <c r="AJ51" s="94"/>
      <c r="AK51" s="94"/>
      <c r="AL51" s="94"/>
      <c r="AM51" s="94"/>
      <c r="AN51" s="94"/>
      <c r="AO51" s="94"/>
      <c r="AP51" s="94"/>
      <c r="AQ51" s="94"/>
      <c r="AR51" s="89" t="e">
        <f t="shared" si="4"/>
        <v>#DIV/0!</v>
      </c>
      <c r="AS51" s="90" t="e">
        <f>AVERAGE(AH51:AI51,T51:AF51)</f>
        <v>#DIV/0!</v>
      </c>
    </row>
    <row r="52" spans="1:45" x14ac:dyDescent="0.25">
      <c r="A52" s="95"/>
      <c r="B52" s="91"/>
      <c r="C52" s="91"/>
      <c r="D52" s="91"/>
      <c r="E52" s="91"/>
      <c r="F52" s="91"/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1"/>
      <c r="S52" s="91"/>
      <c r="T52" s="91"/>
      <c r="U52" s="91"/>
      <c r="V52" s="91"/>
      <c r="W52" s="91"/>
      <c r="X52" s="91"/>
      <c r="Y52" s="91"/>
      <c r="Z52" s="91"/>
      <c r="AA52" s="91"/>
      <c r="AB52" s="91"/>
      <c r="AC52" s="91"/>
      <c r="AD52" s="91"/>
      <c r="AE52" s="91"/>
      <c r="AF52" s="91"/>
      <c r="AG52" s="91"/>
      <c r="AH52" s="91"/>
      <c r="AI52" s="91"/>
      <c r="AJ52" s="91"/>
      <c r="AK52" s="91"/>
      <c r="AL52" s="91"/>
      <c r="AM52" s="91"/>
      <c r="AN52" s="91"/>
      <c r="AO52" s="91"/>
      <c r="AP52" s="91"/>
      <c r="AQ52" s="91"/>
      <c r="AR52" s="89" t="e">
        <f t="shared" si="4"/>
        <v>#DIV/0!</v>
      </c>
      <c r="AS52" s="90" t="e">
        <f>AVERAGE(AH52:AI52,T52:AF52)</f>
        <v>#DIV/0!</v>
      </c>
    </row>
    <row r="53" spans="1:45" x14ac:dyDescent="0.25">
      <c r="A53" s="95"/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89" t="e">
        <f t="shared" si="4"/>
        <v>#DIV/0!</v>
      </c>
      <c r="AS53" s="90" t="e">
        <f>AVERAGE(AH53:AI53,T53:AF53)</f>
        <v>#DIV/0!</v>
      </c>
    </row>
    <row r="54" spans="1:45" x14ac:dyDescent="0.25">
      <c r="A54" s="95"/>
      <c r="B54" s="91"/>
      <c r="C54" s="91"/>
      <c r="D54" s="91"/>
      <c r="E54" s="91"/>
      <c r="F54" s="91"/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1"/>
      <c r="S54" s="91"/>
      <c r="T54" s="91"/>
      <c r="U54" s="91"/>
      <c r="V54" s="91"/>
      <c r="W54" s="91"/>
      <c r="X54" s="91"/>
      <c r="Y54" s="91"/>
      <c r="Z54" s="91"/>
      <c r="AA54" s="91"/>
      <c r="AB54" s="91"/>
      <c r="AC54" s="91"/>
      <c r="AD54" s="91"/>
      <c r="AE54" s="91"/>
      <c r="AF54" s="91"/>
      <c r="AG54" s="91"/>
      <c r="AH54" s="91"/>
      <c r="AI54" s="91"/>
      <c r="AJ54" s="91"/>
      <c r="AK54" s="91"/>
      <c r="AL54" s="91"/>
      <c r="AM54" s="91"/>
      <c r="AN54" s="91"/>
      <c r="AO54" s="91"/>
      <c r="AP54" s="91"/>
      <c r="AQ54" s="91"/>
      <c r="AR54" s="89" t="e">
        <f t="shared" si="4"/>
        <v>#DIV/0!</v>
      </c>
      <c r="AS54" s="90" t="e">
        <f>AVERAGE(T54:AI54)</f>
        <v>#DIV/0!</v>
      </c>
    </row>
    <row r="55" spans="1:45" x14ac:dyDescent="0.25">
      <c r="A55" s="95"/>
      <c r="B55" s="94"/>
      <c r="C55" s="94"/>
      <c r="D55" s="94"/>
      <c r="E55" s="94"/>
      <c r="F55" s="94"/>
      <c r="G55" s="94"/>
      <c r="H55" s="94"/>
      <c r="I55" s="94"/>
      <c r="J55" s="94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  <c r="AI55" s="94"/>
      <c r="AJ55" s="94"/>
      <c r="AK55" s="94"/>
      <c r="AL55" s="94"/>
      <c r="AM55" s="94"/>
      <c r="AN55" s="94"/>
      <c r="AO55" s="94"/>
      <c r="AP55" s="94"/>
      <c r="AQ55" s="94"/>
      <c r="AR55" s="89" t="e">
        <f t="shared" si="4"/>
        <v>#DIV/0!</v>
      </c>
      <c r="AS55" s="90" t="e">
        <f>AVERAGE(T54:AI54)</f>
        <v>#DIV/0!</v>
      </c>
    </row>
    <row r="56" spans="1:45" x14ac:dyDescent="0.25">
      <c r="A56" s="95"/>
      <c r="B56" s="91"/>
      <c r="C56" s="91"/>
      <c r="D56" s="91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1"/>
      <c r="AD56" s="91"/>
      <c r="AE56" s="91"/>
      <c r="AF56" s="91"/>
      <c r="AG56" s="91"/>
      <c r="AH56" s="91"/>
      <c r="AI56" s="91"/>
      <c r="AJ56" s="91"/>
      <c r="AK56" s="91"/>
      <c r="AL56" s="91"/>
      <c r="AM56" s="91"/>
      <c r="AN56" s="91"/>
      <c r="AO56" s="91"/>
      <c r="AP56" s="91"/>
      <c r="AQ56" s="91"/>
      <c r="AR56" s="89" t="e">
        <f t="shared" si="4"/>
        <v>#DIV/0!</v>
      </c>
      <c r="AS56" s="90" t="e">
        <f>AVERAGE(T56:AI56)</f>
        <v>#DIV/0!</v>
      </c>
    </row>
    <row r="57" spans="1:45" x14ac:dyDescent="0.25">
      <c r="A57" s="97"/>
      <c r="B57" s="98" t="e">
        <f t="shared" ref="B57:AQ57" si="5">AVERAGE(B5:B56)</f>
        <v>#DIV/0!</v>
      </c>
      <c r="C57" s="98" t="e">
        <f t="shared" si="5"/>
        <v>#DIV/0!</v>
      </c>
      <c r="D57" s="98" t="e">
        <f t="shared" si="5"/>
        <v>#DIV/0!</v>
      </c>
      <c r="E57" s="98" t="e">
        <f t="shared" si="5"/>
        <v>#DIV/0!</v>
      </c>
      <c r="F57" s="98" t="e">
        <f t="shared" si="5"/>
        <v>#DIV/0!</v>
      </c>
      <c r="G57" s="98" t="e">
        <f t="shared" si="5"/>
        <v>#DIV/0!</v>
      </c>
      <c r="H57" s="98" t="e">
        <f t="shared" si="5"/>
        <v>#DIV/0!</v>
      </c>
      <c r="I57" s="98" t="e">
        <f t="shared" si="5"/>
        <v>#DIV/0!</v>
      </c>
      <c r="J57" s="98" t="e">
        <f t="shared" si="5"/>
        <v>#DIV/0!</v>
      </c>
      <c r="K57" s="98" t="e">
        <f t="shared" si="5"/>
        <v>#DIV/0!</v>
      </c>
      <c r="L57" s="98" t="e">
        <f t="shared" si="5"/>
        <v>#DIV/0!</v>
      </c>
      <c r="M57" s="98" t="e">
        <f t="shared" si="5"/>
        <v>#DIV/0!</v>
      </c>
      <c r="N57" s="98" t="e">
        <f t="shared" si="5"/>
        <v>#DIV/0!</v>
      </c>
      <c r="O57" s="98" t="e">
        <f t="shared" si="5"/>
        <v>#DIV/0!</v>
      </c>
      <c r="P57" s="98" t="e">
        <f t="shared" si="5"/>
        <v>#DIV/0!</v>
      </c>
      <c r="Q57" s="98" t="e">
        <f t="shared" si="5"/>
        <v>#DIV/0!</v>
      </c>
      <c r="R57" s="98" t="e">
        <f t="shared" si="5"/>
        <v>#DIV/0!</v>
      </c>
      <c r="S57" s="98" t="e">
        <f t="shared" si="5"/>
        <v>#DIV/0!</v>
      </c>
      <c r="T57" s="98" t="e">
        <f t="shared" si="5"/>
        <v>#DIV/0!</v>
      </c>
      <c r="U57" s="98" t="e">
        <f t="shared" si="5"/>
        <v>#DIV/0!</v>
      </c>
      <c r="V57" s="98" t="e">
        <f t="shared" si="5"/>
        <v>#DIV/0!</v>
      </c>
      <c r="W57" s="98" t="e">
        <f t="shared" si="5"/>
        <v>#DIV/0!</v>
      </c>
      <c r="X57" s="98" t="e">
        <f t="shared" si="5"/>
        <v>#DIV/0!</v>
      </c>
      <c r="Y57" s="98" t="e">
        <f t="shared" si="5"/>
        <v>#DIV/0!</v>
      </c>
      <c r="Z57" s="98" t="e">
        <f t="shared" si="5"/>
        <v>#DIV/0!</v>
      </c>
      <c r="AA57" s="98" t="e">
        <f t="shared" si="5"/>
        <v>#DIV/0!</v>
      </c>
      <c r="AB57" s="98" t="e">
        <f t="shared" si="5"/>
        <v>#DIV/0!</v>
      </c>
      <c r="AC57" s="98" t="e">
        <f t="shared" si="5"/>
        <v>#DIV/0!</v>
      </c>
      <c r="AD57" s="98" t="e">
        <f t="shared" si="5"/>
        <v>#DIV/0!</v>
      </c>
      <c r="AE57" s="98" t="e">
        <f t="shared" si="5"/>
        <v>#DIV/0!</v>
      </c>
      <c r="AF57" s="98" t="e">
        <f t="shared" si="5"/>
        <v>#DIV/0!</v>
      </c>
      <c r="AG57" s="98" t="e">
        <f t="shared" si="5"/>
        <v>#DIV/0!</v>
      </c>
      <c r="AH57" s="98" t="e">
        <f t="shared" si="5"/>
        <v>#DIV/0!</v>
      </c>
      <c r="AI57" s="98" t="e">
        <f t="shared" si="5"/>
        <v>#DIV/0!</v>
      </c>
      <c r="AJ57" s="98" t="e">
        <f t="shared" si="5"/>
        <v>#DIV/0!</v>
      </c>
      <c r="AK57" s="98" t="e">
        <f t="shared" si="5"/>
        <v>#DIV/0!</v>
      </c>
      <c r="AL57" s="98" t="e">
        <f t="shared" si="5"/>
        <v>#DIV/0!</v>
      </c>
      <c r="AM57" s="98" t="e">
        <f t="shared" si="5"/>
        <v>#DIV/0!</v>
      </c>
      <c r="AN57" s="98" t="e">
        <f t="shared" si="5"/>
        <v>#DIV/0!</v>
      </c>
      <c r="AO57" s="98" t="e">
        <f t="shared" si="5"/>
        <v>#DIV/0!</v>
      </c>
      <c r="AP57" s="98" t="e">
        <f t="shared" si="5"/>
        <v>#DIV/0!</v>
      </c>
      <c r="AQ57" s="98" t="e">
        <f t="shared" si="5"/>
        <v>#DIV/0!</v>
      </c>
      <c r="AR57" s="98"/>
      <c r="AS57" s="82"/>
    </row>
    <row r="58" spans="1:45" x14ac:dyDescent="0.25">
      <c r="A58" s="97"/>
      <c r="B58" s="98"/>
      <c r="C58" s="98"/>
      <c r="D58" s="98"/>
      <c r="E58" s="98"/>
      <c r="F58" s="98"/>
      <c r="G58" s="98"/>
      <c r="H58" s="98"/>
      <c r="I58" s="98"/>
      <c r="J58" s="99"/>
      <c r="K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  <c r="AK58" s="98"/>
      <c r="AL58" s="98"/>
      <c r="AM58" s="98"/>
      <c r="AN58" s="98"/>
      <c r="AO58" s="98"/>
      <c r="AP58" s="98"/>
      <c r="AQ58" s="98"/>
      <c r="AR58" s="98"/>
      <c r="AS58" s="8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61"/>
  <sheetViews>
    <sheetView topLeftCell="A28" workbookViewId="0">
      <selection activeCell="C40" sqref="C40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3" x14ac:dyDescent="0.25">
      <c r="A1" t="s">
        <v>158</v>
      </c>
      <c r="B1" t="s">
        <v>159</v>
      </c>
      <c r="C1" t="s">
        <v>165</v>
      </c>
      <c r="D1" t="s">
        <v>16</v>
      </c>
      <c r="E1" t="s">
        <v>17</v>
      </c>
      <c r="F1" t="s">
        <v>160</v>
      </c>
      <c r="G1" t="s">
        <v>161</v>
      </c>
      <c r="H1" t="s">
        <v>167</v>
      </c>
      <c r="I1" t="s">
        <v>162</v>
      </c>
      <c r="J1" t="s">
        <v>166</v>
      </c>
      <c r="K1" t="s">
        <v>163</v>
      </c>
      <c r="L1" t="s">
        <v>164</v>
      </c>
      <c r="M1" t="s">
        <v>366</v>
      </c>
    </row>
    <row r="2" spans="1:13" x14ac:dyDescent="0.25">
      <c r="A2" t="s">
        <v>75</v>
      </c>
      <c r="B2" t="s">
        <v>76</v>
      </c>
      <c r="C2" t="s">
        <v>77</v>
      </c>
      <c r="D2">
        <v>105</v>
      </c>
      <c r="E2" t="s">
        <v>78</v>
      </c>
      <c r="F2" t="s">
        <v>268</v>
      </c>
      <c r="G2" t="s">
        <v>79</v>
      </c>
      <c r="H2" t="s">
        <v>80</v>
      </c>
      <c r="I2" t="s">
        <v>81</v>
      </c>
      <c r="J2" t="s">
        <v>82</v>
      </c>
      <c r="K2" t="s">
        <v>83</v>
      </c>
      <c r="L2">
        <v>1200</v>
      </c>
      <c r="M2">
        <v>957437</v>
      </c>
    </row>
    <row r="3" spans="1:13" x14ac:dyDescent="0.25">
      <c r="A3" t="s">
        <v>75</v>
      </c>
      <c r="B3" t="s">
        <v>76</v>
      </c>
      <c r="C3" t="s">
        <v>77</v>
      </c>
      <c r="D3">
        <v>105</v>
      </c>
      <c r="E3" t="s">
        <v>78</v>
      </c>
      <c r="F3" t="s">
        <v>268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>
        <v>550</v>
      </c>
      <c r="M3">
        <v>957437</v>
      </c>
    </row>
    <row r="4" spans="1:13" x14ac:dyDescent="0.25">
      <c r="A4" t="s">
        <v>75</v>
      </c>
      <c r="B4" t="s">
        <v>76</v>
      </c>
      <c r="C4" t="s">
        <v>77</v>
      </c>
      <c r="D4">
        <v>105</v>
      </c>
      <c r="E4" t="s">
        <v>78</v>
      </c>
      <c r="F4" t="s">
        <v>268</v>
      </c>
      <c r="G4" t="s">
        <v>79</v>
      </c>
      <c r="H4" t="s">
        <v>80</v>
      </c>
      <c r="I4" t="s">
        <v>81</v>
      </c>
      <c r="J4" t="s">
        <v>82</v>
      </c>
      <c r="K4" t="s">
        <v>83</v>
      </c>
      <c r="L4">
        <v>720</v>
      </c>
      <c r="M4">
        <v>957437</v>
      </c>
    </row>
    <row r="5" spans="1:13" x14ac:dyDescent="0.25">
      <c r="A5" t="s">
        <v>75</v>
      </c>
      <c r="B5" t="s">
        <v>76</v>
      </c>
      <c r="C5" t="s">
        <v>77</v>
      </c>
      <c r="D5">
        <v>105</v>
      </c>
      <c r="E5" t="s">
        <v>78</v>
      </c>
      <c r="F5" t="s">
        <v>268</v>
      </c>
      <c r="G5" t="s">
        <v>79</v>
      </c>
      <c r="H5" t="s">
        <v>80</v>
      </c>
      <c r="I5" t="s">
        <v>81</v>
      </c>
      <c r="J5" t="s">
        <v>82</v>
      </c>
      <c r="K5" t="s">
        <v>83</v>
      </c>
      <c r="L5">
        <v>600</v>
      </c>
      <c r="M5">
        <v>957437</v>
      </c>
    </row>
    <row r="6" spans="1:13" x14ac:dyDescent="0.25">
      <c r="A6" t="s">
        <v>75</v>
      </c>
      <c r="B6" t="s">
        <v>76</v>
      </c>
      <c r="C6" t="s">
        <v>77</v>
      </c>
      <c r="D6">
        <v>105</v>
      </c>
      <c r="E6" t="s">
        <v>78</v>
      </c>
      <c r="F6" t="s">
        <v>268</v>
      </c>
      <c r="G6" t="s">
        <v>79</v>
      </c>
      <c r="H6" t="s">
        <v>80</v>
      </c>
      <c r="I6" t="s">
        <v>81</v>
      </c>
      <c r="J6" t="s">
        <v>82</v>
      </c>
      <c r="K6" t="s">
        <v>83</v>
      </c>
      <c r="L6">
        <v>6000</v>
      </c>
      <c r="M6">
        <v>957437</v>
      </c>
    </row>
    <row r="7" spans="1:13" x14ac:dyDescent="0.25">
      <c r="A7" t="s">
        <v>75</v>
      </c>
      <c r="B7" t="s">
        <v>76</v>
      </c>
      <c r="C7" t="s">
        <v>77</v>
      </c>
      <c r="D7">
        <v>105</v>
      </c>
      <c r="E7" t="s">
        <v>78</v>
      </c>
      <c r="F7" t="s">
        <v>268</v>
      </c>
      <c r="G7" t="s">
        <v>79</v>
      </c>
      <c r="H7" t="s">
        <v>80</v>
      </c>
      <c r="I7" t="s">
        <v>81</v>
      </c>
      <c r="J7" t="s">
        <v>82</v>
      </c>
      <c r="K7" t="s">
        <v>83</v>
      </c>
      <c r="L7">
        <v>4200</v>
      </c>
      <c r="M7">
        <v>957437</v>
      </c>
    </row>
    <row r="8" spans="1:13" x14ac:dyDescent="0.25">
      <c r="A8" t="s">
        <v>75</v>
      </c>
      <c r="B8" t="s">
        <v>76</v>
      </c>
      <c r="C8" t="s">
        <v>77</v>
      </c>
      <c r="D8">
        <v>105</v>
      </c>
      <c r="E8" t="s">
        <v>78</v>
      </c>
      <c r="F8" t="s">
        <v>268</v>
      </c>
      <c r="G8" t="s">
        <v>79</v>
      </c>
      <c r="H8" t="s">
        <v>80</v>
      </c>
      <c r="I8" t="s">
        <v>81</v>
      </c>
      <c r="J8" t="s">
        <v>82</v>
      </c>
      <c r="K8" t="s">
        <v>83</v>
      </c>
      <c r="L8">
        <v>400</v>
      </c>
      <c r="M8">
        <v>957437</v>
      </c>
    </row>
    <row r="9" spans="1:13" x14ac:dyDescent="0.25">
      <c r="A9" t="s">
        <v>75</v>
      </c>
      <c r="B9" t="s">
        <v>76</v>
      </c>
      <c r="C9" t="s">
        <v>77</v>
      </c>
      <c r="D9">
        <v>105</v>
      </c>
      <c r="E9" t="s">
        <v>78</v>
      </c>
      <c r="F9" t="s">
        <v>268</v>
      </c>
      <c r="G9" t="s">
        <v>79</v>
      </c>
      <c r="H9" t="s">
        <v>80</v>
      </c>
      <c r="I9" t="s">
        <v>81</v>
      </c>
      <c r="J9" t="s">
        <v>82</v>
      </c>
      <c r="K9" t="s">
        <v>83</v>
      </c>
      <c r="L9">
        <v>3000</v>
      </c>
      <c r="M9">
        <v>957437</v>
      </c>
    </row>
    <row r="10" spans="1:13" x14ac:dyDescent="0.25">
      <c r="A10" t="s">
        <v>75</v>
      </c>
      <c r="B10" t="s">
        <v>76</v>
      </c>
      <c r="C10" t="s">
        <v>77</v>
      </c>
      <c r="D10">
        <v>105</v>
      </c>
      <c r="E10" t="s">
        <v>78</v>
      </c>
      <c r="F10" t="s">
        <v>268</v>
      </c>
      <c r="G10" t="s">
        <v>79</v>
      </c>
      <c r="H10" t="s">
        <v>80</v>
      </c>
      <c r="I10" t="s">
        <v>81</v>
      </c>
      <c r="J10" t="s">
        <v>82</v>
      </c>
      <c r="K10" t="s">
        <v>83</v>
      </c>
      <c r="L10">
        <v>1750</v>
      </c>
      <c r="M10">
        <v>957437</v>
      </c>
    </row>
    <row r="11" spans="1:13" x14ac:dyDescent="0.25">
      <c r="A11" t="s">
        <v>75</v>
      </c>
      <c r="B11" t="s">
        <v>76</v>
      </c>
      <c r="C11" t="s">
        <v>77</v>
      </c>
      <c r="D11">
        <v>105</v>
      </c>
      <c r="E11" t="s">
        <v>78</v>
      </c>
      <c r="F11" t="s">
        <v>268</v>
      </c>
      <c r="G11" t="s">
        <v>79</v>
      </c>
      <c r="H11" t="s">
        <v>80</v>
      </c>
      <c r="I11" t="s">
        <v>81</v>
      </c>
      <c r="J11" t="s">
        <v>82</v>
      </c>
      <c r="K11" t="s">
        <v>83</v>
      </c>
      <c r="L11">
        <v>9500</v>
      </c>
      <c r="M11">
        <v>957437</v>
      </c>
    </row>
    <row r="12" spans="1:13" x14ac:dyDescent="0.25">
      <c r="A12" t="s">
        <v>75</v>
      </c>
      <c r="B12" t="s">
        <v>76</v>
      </c>
      <c r="C12" t="s">
        <v>77</v>
      </c>
      <c r="D12">
        <v>105</v>
      </c>
      <c r="E12" t="s">
        <v>78</v>
      </c>
      <c r="F12" t="s">
        <v>268</v>
      </c>
      <c r="G12" t="s">
        <v>79</v>
      </c>
      <c r="H12" t="s">
        <v>80</v>
      </c>
      <c r="I12" t="s">
        <v>81</v>
      </c>
      <c r="J12" t="s">
        <v>82</v>
      </c>
      <c r="K12" t="s">
        <v>83</v>
      </c>
      <c r="L12">
        <v>12900</v>
      </c>
      <c r="M12">
        <v>957437</v>
      </c>
    </row>
    <row r="13" spans="1:13" x14ac:dyDescent="0.25">
      <c r="A13" t="s">
        <v>75</v>
      </c>
      <c r="B13" t="s">
        <v>76</v>
      </c>
      <c r="C13" t="s">
        <v>77</v>
      </c>
      <c r="D13">
        <v>105</v>
      </c>
      <c r="E13" t="s">
        <v>78</v>
      </c>
      <c r="F13" t="s">
        <v>268</v>
      </c>
      <c r="G13" t="s">
        <v>79</v>
      </c>
      <c r="H13" t="s">
        <v>80</v>
      </c>
      <c r="I13" t="s">
        <v>81</v>
      </c>
      <c r="J13" t="s">
        <v>82</v>
      </c>
      <c r="K13" t="s">
        <v>83</v>
      </c>
      <c r="L13">
        <v>9565</v>
      </c>
      <c r="M13">
        <v>957437</v>
      </c>
    </row>
    <row r="14" spans="1:13" x14ac:dyDescent="0.25">
      <c r="A14" t="s">
        <v>75</v>
      </c>
      <c r="B14" t="s">
        <v>76</v>
      </c>
      <c r="C14" t="s">
        <v>77</v>
      </c>
      <c r="D14">
        <v>105</v>
      </c>
      <c r="E14" t="s">
        <v>78</v>
      </c>
      <c r="F14" t="s">
        <v>268</v>
      </c>
      <c r="G14" t="s">
        <v>79</v>
      </c>
      <c r="H14" t="s">
        <v>80</v>
      </c>
      <c r="I14" t="s">
        <v>81</v>
      </c>
      <c r="J14" t="s">
        <v>82</v>
      </c>
      <c r="K14" t="s">
        <v>83</v>
      </c>
      <c r="L14">
        <v>1025</v>
      </c>
      <c r="M14">
        <v>957437</v>
      </c>
    </row>
    <row r="15" spans="1:13" x14ac:dyDescent="0.25">
      <c r="A15" t="s">
        <v>75</v>
      </c>
      <c r="B15" t="s">
        <v>76</v>
      </c>
      <c r="C15" t="s">
        <v>77</v>
      </c>
      <c r="D15">
        <v>105</v>
      </c>
      <c r="E15" t="s">
        <v>78</v>
      </c>
      <c r="F15" t="s">
        <v>268</v>
      </c>
      <c r="G15" t="s">
        <v>79</v>
      </c>
      <c r="H15" t="s">
        <v>80</v>
      </c>
      <c r="I15" t="s">
        <v>84</v>
      </c>
      <c r="J15" t="s">
        <v>82</v>
      </c>
      <c r="K15" t="s">
        <v>85</v>
      </c>
      <c r="L15">
        <v>4192</v>
      </c>
      <c r="M15">
        <v>957437</v>
      </c>
    </row>
    <row r="16" spans="1:13" x14ac:dyDescent="0.25">
      <c r="A16" t="s">
        <v>75</v>
      </c>
      <c r="B16" t="s">
        <v>76</v>
      </c>
      <c r="C16" t="s">
        <v>77</v>
      </c>
      <c r="D16">
        <v>105</v>
      </c>
      <c r="E16" t="s">
        <v>78</v>
      </c>
      <c r="F16" t="s">
        <v>268</v>
      </c>
      <c r="G16" t="s">
        <v>79</v>
      </c>
      <c r="H16" t="s">
        <v>80</v>
      </c>
      <c r="I16" t="s">
        <v>84</v>
      </c>
      <c r="J16" t="s">
        <v>82</v>
      </c>
      <c r="K16" t="s">
        <v>85</v>
      </c>
      <c r="L16">
        <v>1000</v>
      </c>
      <c r="M16">
        <v>957437</v>
      </c>
    </row>
    <row r="17" spans="1:13" x14ac:dyDescent="0.25">
      <c r="A17" t="s">
        <v>75</v>
      </c>
      <c r="B17" t="s">
        <v>76</v>
      </c>
      <c r="C17" t="s">
        <v>77</v>
      </c>
      <c r="D17">
        <v>105</v>
      </c>
      <c r="E17" t="s">
        <v>78</v>
      </c>
      <c r="F17" t="s">
        <v>268</v>
      </c>
      <c r="G17" t="s">
        <v>79</v>
      </c>
      <c r="H17" t="s">
        <v>80</v>
      </c>
      <c r="I17" t="s">
        <v>84</v>
      </c>
      <c r="J17" t="s">
        <v>82</v>
      </c>
      <c r="K17" t="s">
        <v>85</v>
      </c>
      <c r="L17">
        <v>125</v>
      </c>
      <c r="M17">
        <v>957437</v>
      </c>
    </row>
    <row r="18" spans="1:13" x14ac:dyDescent="0.25">
      <c r="A18" t="s">
        <v>75</v>
      </c>
      <c r="B18" t="s">
        <v>76</v>
      </c>
      <c r="C18" t="s">
        <v>77</v>
      </c>
      <c r="D18">
        <v>105</v>
      </c>
      <c r="E18" t="s">
        <v>78</v>
      </c>
      <c r="F18" t="s">
        <v>268</v>
      </c>
      <c r="G18" t="s">
        <v>79</v>
      </c>
      <c r="H18" t="s">
        <v>80</v>
      </c>
      <c r="I18" t="s">
        <v>86</v>
      </c>
      <c r="J18" t="s">
        <v>82</v>
      </c>
      <c r="K18" t="s">
        <v>87</v>
      </c>
      <c r="L18">
        <v>6376</v>
      </c>
      <c r="M18">
        <v>957437</v>
      </c>
    </row>
    <row r="19" spans="1:13" x14ac:dyDescent="0.25">
      <c r="A19" t="s">
        <v>75</v>
      </c>
      <c r="B19" t="s">
        <v>76</v>
      </c>
      <c r="C19" t="s">
        <v>77</v>
      </c>
      <c r="D19">
        <v>105</v>
      </c>
      <c r="E19" t="s">
        <v>78</v>
      </c>
      <c r="F19" t="s">
        <v>268</v>
      </c>
      <c r="G19" t="s">
        <v>79</v>
      </c>
      <c r="H19" t="s">
        <v>80</v>
      </c>
      <c r="I19" t="s">
        <v>86</v>
      </c>
      <c r="J19" t="s">
        <v>82</v>
      </c>
      <c r="K19" t="s">
        <v>87</v>
      </c>
      <c r="L19">
        <v>52371</v>
      </c>
      <c r="M19">
        <v>957437</v>
      </c>
    </row>
    <row r="20" spans="1:13" x14ac:dyDescent="0.25">
      <c r="A20" t="s">
        <v>75</v>
      </c>
      <c r="B20" t="s">
        <v>76</v>
      </c>
      <c r="C20" t="s">
        <v>77</v>
      </c>
      <c r="D20">
        <v>105</v>
      </c>
      <c r="E20" t="s">
        <v>78</v>
      </c>
      <c r="F20" t="s">
        <v>268</v>
      </c>
      <c r="G20" t="s">
        <v>79</v>
      </c>
      <c r="H20" t="s">
        <v>80</v>
      </c>
      <c r="I20" t="s">
        <v>86</v>
      </c>
      <c r="J20" t="s">
        <v>82</v>
      </c>
      <c r="K20" t="s">
        <v>87</v>
      </c>
      <c r="L20">
        <v>52371</v>
      </c>
      <c r="M20">
        <v>957437</v>
      </c>
    </row>
    <row r="21" spans="1:13" x14ac:dyDescent="0.25">
      <c r="A21" t="s">
        <v>75</v>
      </c>
      <c r="B21" t="s">
        <v>76</v>
      </c>
      <c r="C21" t="s">
        <v>77</v>
      </c>
      <c r="D21">
        <v>105</v>
      </c>
      <c r="E21" t="s">
        <v>78</v>
      </c>
      <c r="F21" t="s">
        <v>268</v>
      </c>
      <c r="G21" t="s">
        <v>79</v>
      </c>
      <c r="H21" t="s">
        <v>80</v>
      </c>
      <c r="I21" t="s">
        <v>86</v>
      </c>
      <c r="J21" t="s">
        <v>82</v>
      </c>
      <c r="K21" t="s">
        <v>87</v>
      </c>
      <c r="L21">
        <v>7183</v>
      </c>
      <c r="M21">
        <v>957437</v>
      </c>
    </row>
    <row r="22" spans="1:13" x14ac:dyDescent="0.25">
      <c r="A22" t="s">
        <v>75</v>
      </c>
      <c r="B22" t="s">
        <v>76</v>
      </c>
      <c r="C22" t="s">
        <v>77</v>
      </c>
      <c r="D22">
        <v>105</v>
      </c>
      <c r="E22" t="s">
        <v>78</v>
      </c>
      <c r="F22" t="s">
        <v>268</v>
      </c>
      <c r="G22" t="s">
        <v>79</v>
      </c>
      <c r="H22" t="s">
        <v>80</v>
      </c>
      <c r="I22" t="s">
        <v>88</v>
      </c>
      <c r="J22" t="s">
        <v>82</v>
      </c>
      <c r="K22" t="s">
        <v>89</v>
      </c>
      <c r="L22">
        <v>25972</v>
      </c>
      <c r="M22">
        <v>957437</v>
      </c>
    </row>
    <row r="23" spans="1:13" x14ac:dyDescent="0.25">
      <c r="A23" t="s">
        <v>75</v>
      </c>
      <c r="B23" t="s">
        <v>76</v>
      </c>
      <c r="C23" t="s">
        <v>77</v>
      </c>
      <c r="D23">
        <v>105</v>
      </c>
      <c r="E23" t="s">
        <v>78</v>
      </c>
      <c r="F23" t="s">
        <v>268</v>
      </c>
      <c r="G23" t="s">
        <v>79</v>
      </c>
      <c r="H23" t="s">
        <v>80</v>
      </c>
      <c r="I23" t="s">
        <v>88</v>
      </c>
      <c r="J23" t="s">
        <v>82</v>
      </c>
      <c r="K23" t="s">
        <v>89</v>
      </c>
      <c r="L23">
        <v>54593</v>
      </c>
      <c r="M23">
        <v>957437</v>
      </c>
    </row>
    <row r="24" spans="1:13" x14ac:dyDescent="0.25">
      <c r="A24" t="s">
        <v>75</v>
      </c>
      <c r="B24" t="s">
        <v>76</v>
      </c>
      <c r="C24" t="s">
        <v>77</v>
      </c>
      <c r="D24">
        <v>105</v>
      </c>
      <c r="E24" t="s">
        <v>78</v>
      </c>
      <c r="F24" t="s">
        <v>268</v>
      </c>
      <c r="G24" t="s">
        <v>79</v>
      </c>
      <c r="H24" t="s">
        <v>80</v>
      </c>
      <c r="I24" t="s">
        <v>88</v>
      </c>
      <c r="J24" t="s">
        <v>82</v>
      </c>
      <c r="K24" t="s">
        <v>89</v>
      </c>
      <c r="L24">
        <v>80565</v>
      </c>
      <c r="M24">
        <v>957437</v>
      </c>
    </row>
    <row r="25" spans="1:13" x14ac:dyDescent="0.25">
      <c r="A25" t="s">
        <v>75</v>
      </c>
      <c r="B25" t="s">
        <v>76</v>
      </c>
      <c r="C25" t="s">
        <v>77</v>
      </c>
      <c r="D25">
        <v>105</v>
      </c>
      <c r="E25" t="s">
        <v>78</v>
      </c>
      <c r="F25" t="s">
        <v>268</v>
      </c>
      <c r="G25" t="s">
        <v>79</v>
      </c>
      <c r="H25" t="s">
        <v>80</v>
      </c>
      <c r="I25" t="s">
        <v>90</v>
      </c>
      <c r="J25" t="s">
        <v>82</v>
      </c>
      <c r="K25" t="s">
        <v>91</v>
      </c>
      <c r="L25">
        <v>16449</v>
      </c>
      <c r="M25">
        <v>957437</v>
      </c>
    </row>
    <row r="26" spans="1:13" x14ac:dyDescent="0.25">
      <c r="A26" t="s">
        <v>75</v>
      </c>
      <c r="B26" t="s">
        <v>76</v>
      </c>
      <c r="C26" t="s">
        <v>77</v>
      </c>
      <c r="D26">
        <v>105</v>
      </c>
      <c r="E26" t="s">
        <v>78</v>
      </c>
      <c r="F26" t="s">
        <v>268</v>
      </c>
      <c r="G26" t="s">
        <v>79</v>
      </c>
      <c r="H26" t="s">
        <v>80</v>
      </c>
      <c r="I26" t="s">
        <v>90</v>
      </c>
      <c r="J26" t="s">
        <v>82</v>
      </c>
      <c r="K26" t="s">
        <v>91</v>
      </c>
      <c r="L26">
        <v>3868</v>
      </c>
      <c r="M26">
        <v>957437</v>
      </c>
    </row>
    <row r="27" spans="1:13" x14ac:dyDescent="0.25">
      <c r="A27" t="s">
        <v>75</v>
      </c>
      <c r="B27" t="s">
        <v>76</v>
      </c>
      <c r="C27" t="s">
        <v>77</v>
      </c>
      <c r="D27">
        <v>105</v>
      </c>
      <c r="E27" t="s">
        <v>78</v>
      </c>
      <c r="F27" t="s">
        <v>268</v>
      </c>
      <c r="G27" t="s">
        <v>79</v>
      </c>
      <c r="H27" t="s">
        <v>80</v>
      </c>
      <c r="I27" t="s">
        <v>90</v>
      </c>
      <c r="J27" t="s">
        <v>82</v>
      </c>
      <c r="K27" t="s">
        <v>91</v>
      </c>
      <c r="L27">
        <v>24570</v>
      </c>
      <c r="M27">
        <v>957437</v>
      </c>
    </row>
    <row r="28" spans="1:13" x14ac:dyDescent="0.25">
      <c r="A28" t="s">
        <v>75</v>
      </c>
      <c r="B28" t="s">
        <v>76</v>
      </c>
      <c r="C28" t="s">
        <v>77</v>
      </c>
      <c r="D28">
        <v>105</v>
      </c>
      <c r="E28" t="s">
        <v>78</v>
      </c>
      <c r="F28" t="s">
        <v>268</v>
      </c>
      <c r="G28" t="s">
        <v>79</v>
      </c>
      <c r="H28" t="s">
        <v>80</v>
      </c>
      <c r="I28" t="s">
        <v>92</v>
      </c>
      <c r="J28" t="s">
        <v>82</v>
      </c>
      <c r="K28" t="s">
        <v>93</v>
      </c>
      <c r="L28">
        <v>1875</v>
      </c>
      <c r="M28">
        <v>957437</v>
      </c>
    </row>
    <row r="29" spans="1:13" x14ac:dyDescent="0.25">
      <c r="A29" t="s">
        <v>75</v>
      </c>
      <c r="B29" t="s">
        <v>76</v>
      </c>
      <c r="C29" t="s">
        <v>77</v>
      </c>
      <c r="D29">
        <v>105</v>
      </c>
      <c r="E29" t="s">
        <v>78</v>
      </c>
      <c r="F29" t="s">
        <v>268</v>
      </c>
      <c r="G29" t="s">
        <v>79</v>
      </c>
      <c r="H29" t="s">
        <v>80</v>
      </c>
      <c r="I29" t="s">
        <v>94</v>
      </c>
      <c r="J29" t="s">
        <v>82</v>
      </c>
      <c r="K29" t="s">
        <v>95</v>
      </c>
      <c r="L29">
        <v>2520</v>
      </c>
      <c r="M29">
        <v>957437</v>
      </c>
    </row>
    <row r="30" spans="1:13" x14ac:dyDescent="0.25">
      <c r="A30" t="s">
        <v>75</v>
      </c>
      <c r="B30" t="s">
        <v>76</v>
      </c>
      <c r="C30" t="s">
        <v>77</v>
      </c>
      <c r="D30">
        <v>105</v>
      </c>
      <c r="E30" t="s">
        <v>78</v>
      </c>
      <c r="F30" t="s">
        <v>268</v>
      </c>
      <c r="G30" t="s">
        <v>79</v>
      </c>
      <c r="H30" t="s">
        <v>80</v>
      </c>
      <c r="I30" t="s">
        <v>96</v>
      </c>
      <c r="J30" t="s">
        <v>82</v>
      </c>
      <c r="K30" t="s">
        <v>97</v>
      </c>
      <c r="L30">
        <v>13854</v>
      </c>
      <c r="M30">
        <v>957437</v>
      </c>
    </row>
    <row r="31" spans="1:13" x14ac:dyDescent="0.25">
      <c r="A31" t="s">
        <v>75</v>
      </c>
      <c r="B31" t="s">
        <v>76</v>
      </c>
      <c r="C31" t="s">
        <v>77</v>
      </c>
      <c r="D31">
        <v>105</v>
      </c>
      <c r="E31" t="s">
        <v>78</v>
      </c>
      <c r="F31" t="s">
        <v>268</v>
      </c>
      <c r="G31" t="s">
        <v>79</v>
      </c>
      <c r="H31" t="s">
        <v>80</v>
      </c>
      <c r="I31" t="s">
        <v>96</v>
      </c>
      <c r="J31" t="s">
        <v>82</v>
      </c>
      <c r="K31" t="s">
        <v>97</v>
      </c>
      <c r="L31">
        <v>6568</v>
      </c>
      <c r="M31">
        <v>957437</v>
      </c>
    </row>
    <row r="32" spans="1:13" x14ac:dyDescent="0.25">
      <c r="A32" t="s">
        <v>75</v>
      </c>
      <c r="B32" t="s">
        <v>76</v>
      </c>
      <c r="C32" t="s">
        <v>77</v>
      </c>
      <c r="D32">
        <v>105</v>
      </c>
      <c r="E32" t="s">
        <v>78</v>
      </c>
      <c r="F32" t="s">
        <v>268</v>
      </c>
      <c r="G32" t="s">
        <v>79</v>
      </c>
      <c r="H32" t="s">
        <v>80</v>
      </c>
      <c r="I32" t="s">
        <v>96</v>
      </c>
      <c r="J32" t="s">
        <v>82</v>
      </c>
      <c r="K32" t="s">
        <v>97</v>
      </c>
      <c r="L32">
        <v>2882</v>
      </c>
      <c r="M32">
        <v>957437</v>
      </c>
    </row>
    <row r="33" spans="1:13" x14ac:dyDescent="0.25">
      <c r="A33" t="s">
        <v>75</v>
      </c>
      <c r="B33" t="s">
        <v>76</v>
      </c>
      <c r="C33" t="s">
        <v>77</v>
      </c>
      <c r="D33">
        <v>105</v>
      </c>
      <c r="E33" t="s">
        <v>78</v>
      </c>
      <c r="F33" t="s">
        <v>268</v>
      </c>
      <c r="G33" t="s">
        <v>79</v>
      </c>
      <c r="H33" t="s">
        <v>80</v>
      </c>
      <c r="I33" t="s">
        <v>96</v>
      </c>
      <c r="J33" t="s">
        <v>82</v>
      </c>
      <c r="K33" t="s">
        <v>97</v>
      </c>
      <c r="L33">
        <v>12375</v>
      </c>
      <c r="M33">
        <v>957437</v>
      </c>
    </row>
    <row r="34" spans="1:13" x14ac:dyDescent="0.25">
      <c r="A34" t="s">
        <v>75</v>
      </c>
      <c r="B34" t="s">
        <v>76</v>
      </c>
      <c r="C34" t="s">
        <v>77</v>
      </c>
      <c r="D34">
        <v>105</v>
      </c>
      <c r="E34" t="s">
        <v>78</v>
      </c>
      <c r="F34" t="s">
        <v>268</v>
      </c>
      <c r="G34" t="s">
        <v>79</v>
      </c>
      <c r="H34" t="s">
        <v>80</v>
      </c>
      <c r="I34" t="s">
        <v>96</v>
      </c>
      <c r="J34" t="s">
        <v>82</v>
      </c>
      <c r="K34" t="s">
        <v>97</v>
      </c>
      <c r="L34">
        <v>2828</v>
      </c>
      <c r="M34">
        <v>957437</v>
      </c>
    </row>
    <row r="35" spans="1:13" x14ac:dyDescent="0.25">
      <c r="A35" t="s">
        <v>75</v>
      </c>
      <c r="B35" t="s">
        <v>76</v>
      </c>
      <c r="C35" t="s">
        <v>77</v>
      </c>
      <c r="D35">
        <v>105</v>
      </c>
      <c r="E35" t="s">
        <v>78</v>
      </c>
      <c r="F35" t="s">
        <v>268</v>
      </c>
      <c r="G35" t="s">
        <v>79</v>
      </c>
      <c r="H35" t="s">
        <v>80</v>
      </c>
      <c r="I35" t="s">
        <v>96</v>
      </c>
      <c r="J35" t="s">
        <v>82</v>
      </c>
      <c r="K35" t="s">
        <v>97</v>
      </c>
      <c r="L35">
        <v>5875</v>
      </c>
      <c r="M35">
        <v>957437</v>
      </c>
    </row>
    <row r="36" spans="1:13" x14ac:dyDescent="0.25">
      <c r="A36" t="s">
        <v>75</v>
      </c>
      <c r="B36" t="s">
        <v>76</v>
      </c>
      <c r="C36" t="s">
        <v>77</v>
      </c>
      <c r="D36">
        <v>105</v>
      </c>
      <c r="E36" t="s">
        <v>78</v>
      </c>
      <c r="F36" t="s">
        <v>268</v>
      </c>
      <c r="G36" t="s">
        <v>79</v>
      </c>
      <c r="H36" t="s">
        <v>80</v>
      </c>
      <c r="I36" t="s">
        <v>96</v>
      </c>
      <c r="J36" t="s">
        <v>82</v>
      </c>
      <c r="K36" t="s">
        <v>97</v>
      </c>
      <c r="L36">
        <v>840</v>
      </c>
      <c r="M36">
        <v>957437</v>
      </c>
    </row>
    <row r="37" spans="1:13" x14ac:dyDescent="0.25">
      <c r="A37" t="s">
        <v>75</v>
      </c>
      <c r="B37" t="s">
        <v>76</v>
      </c>
      <c r="C37" t="s">
        <v>77</v>
      </c>
      <c r="D37">
        <v>105</v>
      </c>
      <c r="E37" t="s">
        <v>78</v>
      </c>
      <c r="F37" t="s">
        <v>268</v>
      </c>
      <c r="G37" t="s">
        <v>79</v>
      </c>
      <c r="H37" t="s">
        <v>80</v>
      </c>
      <c r="I37" t="s">
        <v>96</v>
      </c>
      <c r="J37" t="s">
        <v>82</v>
      </c>
      <c r="K37" t="s">
        <v>97</v>
      </c>
      <c r="L37">
        <v>196</v>
      </c>
      <c r="M37">
        <v>957437</v>
      </c>
    </row>
    <row r="38" spans="1:13" x14ac:dyDescent="0.25">
      <c r="A38" t="s">
        <v>75</v>
      </c>
      <c r="B38" t="s">
        <v>76</v>
      </c>
      <c r="C38" t="s">
        <v>77</v>
      </c>
      <c r="D38">
        <v>105</v>
      </c>
      <c r="E38" t="s">
        <v>78</v>
      </c>
      <c r="F38" t="s">
        <v>268</v>
      </c>
      <c r="G38" t="s">
        <v>79</v>
      </c>
      <c r="H38" t="s">
        <v>80</v>
      </c>
      <c r="I38" t="s">
        <v>96</v>
      </c>
      <c r="J38" t="s">
        <v>82</v>
      </c>
      <c r="K38" t="s">
        <v>97</v>
      </c>
      <c r="L38">
        <v>1250</v>
      </c>
      <c r="M38">
        <v>957437</v>
      </c>
    </row>
    <row r="39" spans="1:13" x14ac:dyDescent="0.25">
      <c r="A39" t="s">
        <v>75</v>
      </c>
      <c r="B39" t="s">
        <v>76</v>
      </c>
      <c r="C39" t="s">
        <v>77</v>
      </c>
      <c r="D39">
        <v>105</v>
      </c>
      <c r="E39" t="s">
        <v>78</v>
      </c>
      <c r="F39" t="s">
        <v>268</v>
      </c>
      <c r="G39" t="s">
        <v>79</v>
      </c>
      <c r="H39" t="s">
        <v>80</v>
      </c>
      <c r="I39" t="s">
        <v>96</v>
      </c>
      <c r="J39" t="s">
        <v>82</v>
      </c>
      <c r="K39" t="s">
        <v>97</v>
      </c>
      <c r="L39">
        <v>4159</v>
      </c>
      <c r="M39">
        <v>957437</v>
      </c>
    </row>
    <row r="40" spans="1:13" x14ac:dyDescent="0.25">
      <c r="A40" t="s">
        <v>75</v>
      </c>
      <c r="B40" t="s">
        <v>76</v>
      </c>
      <c r="C40" t="s">
        <v>77</v>
      </c>
      <c r="D40">
        <v>105</v>
      </c>
      <c r="E40" t="s">
        <v>78</v>
      </c>
      <c r="F40" t="s">
        <v>268</v>
      </c>
      <c r="G40" t="s">
        <v>79</v>
      </c>
      <c r="H40" t="s">
        <v>80</v>
      </c>
      <c r="I40" t="s">
        <v>96</v>
      </c>
      <c r="J40" t="s">
        <v>82</v>
      </c>
      <c r="K40" t="s">
        <v>97</v>
      </c>
      <c r="L40">
        <v>525</v>
      </c>
      <c r="M40">
        <v>957437</v>
      </c>
    </row>
    <row r="41" spans="1:13" x14ac:dyDescent="0.25">
      <c r="A41" t="s">
        <v>75</v>
      </c>
      <c r="B41" t="s">
        <v>76</v>
      </c>
      <c r="C41" t="s">
        <v>77</v>
      </c>
      <c r="D41">
        <v>105</v>
      </c>
      <c r="E41" t="s">
        <v>78</v>
      </c>
      <c r="F41" t="s">
        <v>268</v>
      </c>
      <c r="G41" t="s">
        <v>79</v>
      </c>
      <c r="H41" t="s">
        <v>80</v>
      </c>
      <c r="I41" t="s">
        <v>96</v>
      </c>
      <c r="J41" t="s">
        <v>82</v>
      </c>
      <c r="K41" t="s">
        <v>97</v>
      </c>
      <c r="L41">
        <v>550</v>
      </c>
      <c r="M41">
        <v>957437</v>
      </c>
    </row>
    <row r="42" spans="1:13" x14ac:dyDescent="0.25">
      <c r="A42" t="s">
        <v>75</v>
      </c>
      <c r="B42" t="s">
        <v>76</v>
      </c>
      <c r="C42" t="s">
        <v>77</v>
      </c>
      <c r="D42">
        <v>105</v>
      </c>
      <c r="E42" t="s">
        <v>78</v>
      </c>
      <c r="F42" t="s">
        <v>268</v>
      </c>
      <c r="G42" t="s">
        <v>79</v>
      </c>
      <c r="H42" t="s">
        <v>80</v>
      </c>
      <c r="I42" t="s">
        <v>96</v>
      </c>
      <c r="J42" t="s">
        <v>82</v>
      </c>
      <c r="K42" t="s">
        <v>97</v>
      </c>
      <c r="L42">
        <v>609</v>
      </c>
      <c r="M42">
        <v>957437</v>
      </c>
    </row>
    <row r="43" spans="1:13" x14ac:dyDescent="0.25">
      <c r="A43" t="s">
        <v>75</v>
      </c>
      <c r="B43" t="s">
        <v>76</v>
      </c>
      <c r="C43" t="s">
        <v>77</v>
      </c>
      <c r="D43">
        <v>105</v>
      </c>
      <c r="E43" t="s">
        <v>78</v>
      </c>
      <c r="F43" t="s">
        <v>268</v>
      </c>
      <c r="G43" t="s">
        <v>79</v>
      </c>
      <c r="H43" t="s">
        <v>80</v>
      </c>
      <c r="I43" t="s">
        <v>96</v>
      </c>
      <c r="J43" t="s">
        <v>82</v>
      </c>
      <c r="K43" t="s">
        <v>97</v>
      </c>
      <c r="L43">
        <v>1548</v>
      </c>
      <c r="M43">
        <v>957437</v>
      </c>
    </row>
    <row r="44" spans="1:13" x14ac:dyDescent="0.25">
      <c r="A44" t="s">
        <v>75</v>
      </c>
      <c r="B44" t="s">
        <v>76</v>
      </c>
      <c r="C44" t="s">
        <v>77</v>
      </c>
      <c r="D44">
        <v>105</v>
      </c>
      <c r="E44" t="s">
        <v>78</v>
      </c>
      <c r="F44" t="s">
        <v>268</v>
      </c>
      <c r="G44" t="s">
        <v>79</v>
      </c>
      <c r="H44" t="s">
        <v>80</v>
      </c>
      <c r="I44" t="s">
        <v>98</v>
      </c>
      <c r="J44" t="s">
        <v>82</v>
      </c>
      <c r="K44" t="s">
        <v>99</v>
      </c>
      <c r="L44">
        <v>9875</v>
      </c>
      <c r="M44">
        <v>957437</v>
      </c>
    </row>
    <row r="45" spans="1:13" x14ac:dyDescent="0.25">
      <c r="A45" t="s">
        <v>75</v>
      </c>
      <c r="B45" t="s">
        <v>76</v>
      </c>
      <c r="C45" t="s">
        <v>77</v>
      </c>
      <c r="D45">
        <v>105</v>
      </c>
      <c r="E45" t="s">
        <v>78</v>
      </c>
      <c r="F45" t="s">
        <v>268</v>
      </c>
      <c r="G45" t="s">
        <v>79</v>
      </c>
      <c r="H45" t="s">
        <v>80</v>
      </c>
      <c r="I45" t="s">
        <v>100</v>
      </c>
      <c r="J45" t="s">
        <v>82</v>
      </c>
      <c r="K45" t="s">
        <v>101</v>
      </c>
      <c r="L45">
        <v>900</v>
      </c>
      <c r="M45">
        <v>957437</v>
      </c>
    </row>
    <row r="46" spans="1:13" x14ac:dyDescent="0.25">
      <c r="A46" t="s">
        <v>75</v>
      </c>
      <c r="B46" t="s">
        <v>76</v>
      </c>
      <c r="C46" t="s">
        <v>77</v>
      </c>
      <c r="D46">
        <v>105</v>
      </c>
      <c r="E46" t="s">
        <v>78</v>
      </c>
      <c r="F46" t="s">
        <v>268</v>
      </c>
      <c r="G46" t="s">
        <v>79</v>
      </c>
      <c r="H46" t="s">
        <v>80</v>
      </c>
      <c r="I46" t="s">
        <v>100</v>
      </c>
      <c r="J46" t="s">
        <v>82</v>
      </c>
      <c r="K46" t="s">
        <v>101</v>
      </c>
      <c r="L46">
        <v>6998</v>
      </c>
      <c r="M46">
        <v>957437</v>
      </c>
    </row>
    <row r="47" spans="1:13" x14ac:dyDescent="0.25">
      <c r="A47" t="s">
        <v>75</v>
      </c>
      <c r="B47" t="s">
        <v>76</v>
      </c>
      <c r="C47" t="s">
        <v>77</v>
      </c>
      <c r="D47">
        <v>105</v>
      </c>
      <c r="E47" t="s">
        <v>78</v>
      </c>
      <c r="F47" t="s">
        <v>268</v>
      </c>
      <c r="G47" t="s">
        <v>79</v>
      </c>
      <c r="H47" t="s">
        <v>80</v>
      </c>
      <c r="I47" t="s">
        <v>102</v>
      </c>
      <c r="J47" t="s">
        <v>82</v>
      </c>
      <c r="K47" t="s">
        <v>103</v>
      </c>
      <c r="L47">
        <v>47778</v>
      </c>
      <c r="M47">
        <v>957437</v>
      </c>
    </row>
    <row r="48" spans="1:13" x14ac:dyDescent="0.25">
      <c r="A48" t="s">
        <v>75</v>
      </c>
      <c r="B48" t="s">
        <v>76</v>
      </c>
      <c r="C48" t="s">
        <v>77</v>
      </c>
      <c r="D48">
        <v>105</v>
      </c>
      <c r="E48" t="s">
        <v>78</v>
      </c>
      <c r="F48" t="s">
        <v>268</v>
      </c>
      <c r="G48" t="s">
        <v>79</v>
      </c>
      <c r="H48" t="s">
        <v>80</v>
      </c>
      <c r="I48" t="s">
        <v>104</v>
      </c>
      <c r="J48" t="s">
        <v>82</v>
      </c>
      <c r="K48" t="s">
        <v>105</v>
      </c>
      <c r="L48">
        <v>9900</v>
      </c>
      <c r="M48">
        <v>957437</v>
      </c>
    </row>
    <row r="49" spans="1:13" x14ac:dyDescent="0.25">
      <c r="A49" t="s">
        <v>75</v>
      </c>
      <c r="B49" t="s">
        <v>76</v>
      </c>
      <c r="C49" t="s">
        <v>77</v>
      </c>
      <c r="D49">
        <v>105</v>
      </c>
      <c r="E49" t="s">
        <v>78</v>
      </c>
      <c r="F49" t="s">
        <v>268</v>
      </c>
      <c r="G49" t="s">
        <v>79</v>
      </c>
      <c r="H49" t="s">
        <v>80</v>
      </c>
      <c r="I49" t="s">
        <v>104</v>
      </c>
      <c r="J49" t="s">
        <v>82</v>
      </c>
      <c r="K49" t="s">
        <v>105</v>
      </c>
      <c r="L49">
        <v>1245</v>
      </c>
      <c r="M49">
        <v>957437</v>
      </c>
    </row>
    <row r="50" spans="1:13" x14ac:dyDescent="0.25">
      <c r="A50" t="s">
        <v>75</v>
      </c>
      <c r="B50" t="s">
        <v>76</v>
      </c>
      <c r="C50" t="s">
        <v>77</v>
      </c>
      <c r="D50">
        <v>105</v>
      </c>
      <c r="E50" t="s">
        <v>78</v>
      </c>
      <c r="F50" t="s">
        <v>268</v>
      </c>
      <c r="G50" t="s">
        <v>79</v>
      </c>
      <c r="H50" t="s">
        <v>80</v>
      </c>
      <c r="I50" t="s">
        <v>106</v>
      </c>
      <c r="J50" t="s">
        <v>82</v>
      </c>
      <c r="K50" t="s">
        <v>107</v>
      </c>
      <c r="L50">
        <v>1000</v>
      </c>
      <c r="M50">
        <v>957437</v>
      </c>
    </row>
    <row r="51" spans="1:13" x14ac:dyDescent="0.25">
      <c r="A51" t="s">
        <v>75</v>
      </c>
      <c r="B51" t="s">
        <v>76</v>
      </c>
      <c r="C51" t="s">
        <v>77</v>
      </c>
      <c r="D51">
        <v>105</v>
      </c>
      <c r="E51" t="s">
        <v>78</v>
      </c>
      <c r="F51" t="s">
        <v>268</v>
      </c>
      <c r="G51" t="s">
        <v>79</v>
      </c>
      <c r="H51" t="s">
        <v>80</v>
      </c>
      <c r="I51" t="s">
        <v>106</v>
      </c>
      <c r="J51" t="s">
        <v>82</v>
      </c>
      <c r="K51" t="s">
        <v>107</v>
      </c>
      <c r="L51">
        <v>4942</v>
      </c>
      <c r="M51">
        <v>957437</v>
      </c>
    </row>
    <row r="52" spans="1:13" x14ac:dyDescent="0.25">
      <c r="A52" t="s">
        <v>75</v>
      </c>
      <c r="B52" t="s">
        <v>76</v>
      </c>
      <c r="C52" t="s">
        <v>77</v>
      </c>
      <c r="D52">
        <v>105</v>
      </c>
      <c r="E52" t="s">
        <v>78</v>
      </c>
      <c r="F52" t="s">
        <v>268</v>
      </c>
      <c r="G52" t="s">
        <v>79</v>
      </c>
      <c r="H52" t="s">
        <v>80</v>
      </c>
      <c r="I52" t="s">
        <v>108</v>
      </c>
      <c r="J52" t="s">
        <v>82</v>
      </c>
      <c r="K52" t="s">
        <v>109</v>
      </c>
      <c r="L52">
        <v>2940</v>
      </c>
      <c r="M52">
        <v>957437</v>
      </c>
    </row>
    <row r="53" spans="1:13" x14ac:dyDescent="0.25">
      <c r="A53" t="s">
        <v>75</v>
      </c>
      <c r="B53" t="s">
        <v>76</v>
      </c>
      <c r="C53" t="s">
        <v>77</v>
      </c>
      <c r="D53">
        <v>105</v>
      </c>
      <c r="E53" t="s">
        <v>78</v>
      </c>
      <c r="F53" t="s">
        <v>268</v>
      </c>
      <c r="G53" t="s">
        <v>79</v>
      </c>
      <c r="H53" t="s">
        <v>80</v>
      </c>
      <c r="I53" t="s">
        <v>110</v>
      </c>
      <c r="J53" t="s">
        <v>82</v>
      </c>
      <c r="K53" t="s">
        <v>111</v>
      </c>
      <c r="L53">
        <v>3050</v>
      </c>
      <c r="M53">
        <v>957437</v>
      </c>
    </row>
    <row r="54" spans="1:13" x14ac:dyDescent="0.25">
      <c r="A54" t="s">
        <v>75</v>
      </c>
      <c r="B54" t="s">
        <v>76</v>
      </c>
      <c r="C54" t="s">
        <v>77</v>
      </c>
      <c r="D54">
        <v>105</v>
      </c>
      <c r="E54" t="s">
        <v>78</v>
      </c>
      <c r="F54" t="s">
        <v>268</v>
      </c>
      <c r="G54" t="s">
        <v>79</v>
      </c>
      <c r="H54" t="s">
        <v>80</v>
      </c>
      <c r="I54" t="s">
        <v>110</v>
      </c>
      <c r="J54" t="s">
        <v>82</v>
      </c>
      <c r="K54" t="s">
        <v>111</v>
      </c>
      <c r="L54">
        <v>1000</v>
      </c>
      <c r="M54">
        <v>957437</v>
      </c>
    </row>
    <row r="55" spans="1:13" x14ac:dyDescent="0.25">
      <c r="A55" t="s">
        <v>75</v>
      </c>
      <c r="B55" t="s">
        <v>76</v>
      </c>
      <c r="C55" t="s">
        <v>77</v>
      </c>
      <c r="D55">
        <v>105</v>
      </c>
      <c r="E55" t="s">
        <v>78</v>
      </c>
      <c r="F55" t="s">
        <v>268</v>
      </c>
      <c r="G55" t="s">
        <v>79</v>
      </c>
      <c r="H55" t="s">
        <v>80</v>
      </c>
      <c r="I55" t="s">
        <v>112</v>
      </c>
      <c r="J55" t="s">
        <v>82</v>
      </c>
      <c r="K55" t="s">
        <v>113</v>
      </c>
      <c r="L55">
        <v>3000</v>
      </c>
      <c r="M55">
        <v>957437</v>
      </c>
    </row>
    <row r="56" spans="1:13" x14ac:dyDescent="0.25">
      <c r="A56" t="s">
        <v>75</v>
      </c>
      <c r="B56" t="s">
        <v>76</v>
      </c>
      <c r="C56" t="s">
        <v>77</v>
      </c>
      <c r="D56">
        <v>105</v>
      </c>
      <c r="E56" t="s">
        <v>78</v>
      </c>
      <c r="F56" t="s">
        <v>268</v>
      </c>
      <c r="G56" t="s">
        <v>79</v>
      </c>
      <c r="H56" t="s">
        <v>80</v>
      </c>
      <c r="I56" t="s">
        <v>112</v>
      </c>
      <c r="J56" t="s">
        <v>82</v>
      </c>
      <c r="K56" t="s">
        <v>113</v>
      </c>
      <c r="L56">
        <v>500</v>
      </c>
      <c r="M56">
        <v>957437</v>
      </c>
    </row>
    <row r="57" spans="1:13" x14ac:dyDescent="0.25">
      <c r="A57" t="s">
        <v>75</v>
      </c>
      <c r="B57" t="s">
        <v>76</v>
      </c>
      <c r="C57" t="s">
        <v>77</v>
      </c>
      <c r="D57">
        <v>105</v>
      </c>
      <c r="E57" t="s">
        <v>78</v>
      </c>
      <c r="F57" t="s">
        <v>268</v>
      </c>
      <c r="G57" t="s">
        <v>79</v>
      </c>
      <c r="H57" t="s">
        <v>80</v>
      </c>
      <c r="I57" t="s">
        <v>114</v>
      </c>
      <c r="J57" t="s">
        <v>82</v>
      </c>
      <c r="K57" t="s">
        <v>115</v>
      </c>
      <c r="L57">
        <v>2533</v>
      </c>
      <c r="M57">
        <v>957437</v>
      </c>
    </row>
    <row r="58" spans="1:13" x14ac:dyDescent="0.25">
      <c r="A58" t="s">
        <v>75</v>
      </c>
      <c r="B58" t="s">
        <v>76</v>
      </c>
      <c r="C58" t="s">
        <v>77</v>
      </c>
      <c r="D58">
        <v>105</v>
      </c>
      <c r="E58" t="s">
        <v>78</v>
      </c>
      <c r="F58" t="s">
        <v>268</v>
      </c>
      <c r="G58" t="s">
        <v>79</v>
      </c>
      <c r="H58" t="s">
        <v>80</v>
      </c>
      <c r="I58" t="s">
        <v>116</v>
      </c>
      <c r="J58" t="s">
        <v>82</v>
      </c>
      <c r="K58" t="s">
        <v>117</v>
      </c>
      <c r="L58">
        <v>23895</v>
      </c>
      <c r="M58">
        <v>957437</v>
      </c>
    </row>
    <row r="59" spans="1:13" x14ac:dyDescent="0.25">
      <c r="A59" t="s">
        <v>75</v>
      </c>
      <c r="B59" t="s">
        <v>76</v>
      </c>
      <c r="C59" t="s">
        <v>77</v>
      </c>
      <c r="D59">
        <v>105</v>
      </c>
      <c r="E59" t="s">
        <v>78</v>
      </c>
      <c r="F59" t="s">
        <v>268</v>
      </c>
      <c r="G59" t="s">
        <v>79</v>
      </c>
      <c r="H59" t="s">
        <v>80</v>
      </c>
      <c r="I59" t="s">
        <v>118</v>
      </c>
      <c r="J59" t="s">
        <v>82</v>
      </c>
      <c r="K59" t="s">
        <v>119</v>
      </c>
      <c r="L59">
        <v>235</v>
      </c>
      <c r="M59">
        <v>957437</v>
      </c>
    </row>
    <row r="60" spans="1:13" x14ac:dyDescent="0.25">
      <c r="A60" t="s">
        <v>75</v>
      </c>
      <c r="B60" t="s">
        <v>76</v>
      </c>
      <c r="C60" t="s">
        <v>77</v>
      </c>
      <c r="D60">
        <v>105</v>
      </c>
      <c r="E60" t="s">
        <v>78</v>
      </c>
      <c r="F60" t="s">
        <v>268</v>
      </c>
      <c r="G60" t="s">
        <v>79</v>
      </c>
      <c r="H60" t="s">
        <v>80</v>
      </c>
      <c r="I60" t="s">
        <v>118</v>
      </c>
      <c r="J60" t="s">
        <v>82</v>
      </c>
      <c r="K60" t="s">
        <v>119</v>
      </c>
      <c r="L60">
        <v>900</v>
      </c>
      <c r="M60">
        <v>957437</v>
      </c>
    </row>
    <row r="61" spans="1:13" x14ac:dyDescent="0.25">
      <c r="A61" t="s">
        <v>75</v>
      </c>
      <c r="B61" t="s">
        <v>76</v>
      </c>
      <c r="C61" t="s">
        <v>77</v>
      </c>
      <c r="D61">
        <v>105</v>
      </c>
      <c r="E61" t="s">
        <v>78</v>
      </c>
      <c r="F61" t="s">
        <v>268</v>
      </c>
      <c r="G61" t="s">
        <v>79</v>
      </c>
      <c r="H61" t="s">
        <v>80</v>
      </c>
      <c r="I61" t="s">
        <v>118</v>
      </c>
      <c r="J61" t="s">
        <v>82</v>
      </c>
      <c r="K61" t="s">
        <v>119</v>
      </c>
      <c r="L61">
        <v>4845</v>
      </c>
      <c r="M61">
        <v>957437</v>
      </c>
    </row>
    <row r="62" spans="1:13" x14ac:dyDescent="0.25">
      <c r="A62" t="s">
        <v>75</v>
      </c>
      <c r="B62" t="s">
        <v>76</v>
      </c>
      <c r="C62" t="s">
        <v>77</v>
      </c>
      <c r="D62">
        <v>105</v>
      </c>
      <c r="E62" t="s">
        <v>78</v>
      </c>
      <c r="F62" t="s">
        <v>268</v>
      </c>
      <c r="G62" t="s">
        <v>79</v>
      </c>
      <c r="H62" t="s">
        <v>80</v>
      </c>
      <c r="I62" t="s">
        <v>118</v>
      </c>
      <c r="J62" t="s">
        <v>82</v>
      </c>
      <c r="K62" t="s">
        <v>119</v>
      </c>
      <c r="L62">
        <v>8208</v>
      </c>
      <c r="M62">
        <v>957437</v>
      </c>
    </row>
    <row r="63" spans="1:13" x14ac:dyDescent="0.25">
      <c r="A63" t="s">
        <v>75</v>
      </c>
      <c r="B63" t="s">
        <v>76</v>
      </c>
      <c r="C63" t="s">
        <v>77</v>
      </c>
      <c r="D63">
        <v>105</v>
      </c>
      <c r="E63" t="s">
        <v>78</v>
      </c>
      <c r="F63" t="s">
        <v>268</v>
      </c>
      <c r="G63" t="s">
        <v>79</v>
      </c>
      <c r="H63" t="s">
        <v>80</v>
      </c>
      <c r="I63" t="s">
        <v>118</v>
      </c>
      <c r="J63" t="s">
        <v>82</v>
      </c>
      <c r="K63" t="s">
        <v>119</v>
      </c>
      <c r="L63">
        <v>300</v>
      </c>
      <c r="M63">
        <v>957437</v>
      </c>
    </row>
    <row r="64" spans="1:13" x14ac:dyDescent="0.25">
      <c r="A64" t="s">
        <v>75</v>
      </c>
      <c r="B64" t="s">
        <v>76</v>
      </c>
      <c r="C64" t="s">
        <v>77</v>
      </c>
      <c r="D64">
        <v>105</v>
      </c>
      <c r="E64" t="s">
        <v>78</v>
      </c>
      <c r="F64" t="s">
        <v>268</v>
      </c>
      <c r="G64" t="s">
        <v>79</v>
      </c>
      <c r="H64" t="s">
        <v>80</v>
      </c>
      <c r="I64" t="s">
        <v>118</v>
      </c>
      <c r="J64" t="s">
        <v>82</v>
      </c>
      <c r="K64" t="s">
        <v>119</v>
      </c>
      <c r="L64">
        <v>2500</v>
      </c>
      <c r="M64">
        <v>957437</v>
      </c>
    </row>
    <row r="65" spans="1:13" x14ac:dyDescent="0.25">
      <c r="A65" t="s">
        <v>75</v>
      </c>
      <c r="B65" t="s">
        <v>76</v>
      </c>
      <c r="C65" t="s">
        <v>77</v>
      </c>
      <c r="D65">
        <v>105</v>
      </c>
      <c r="E65" t="s">
        <v>78</v>
      </c>
      <c r="F65" t="s">
        <v>268</v>
      </c>
      <c r="G65" t="s">
        <v>79</v>
      </c>
      <c r="H65" t="s">
        <v>80</v>
      </c>
      <c r="I65" t="s">
        <v>118</v>
      </c>
      <c r="J65" t="s">
        <v>82</v>
      </c>
      <c r="K65" t="s">
        <v>119</v>
      </c>
      <c r="L65">
        <v>2664</v>
      </c>
      <c r="M65">
        <v>957437</v>
      </c>
    </row>
    <row r="66" spans="1:13" x14ac:dyDescent="0.25">
      <c r="A66" t="s">
        <v>75</v>
      </c>
      <c r="B66" t="s">
        <v>76</v>
      </c>
      <c r="C66" t="s">
        <v>77</v>
      </c>
      <c r="D66">
        <v>105</v>
      </c>
      <c r="E66" t="s">
        <v>78</v>
      </c>
      <c r="F66" t="s">
        <v>268</v>
      </c>
      <c r="G66" t="s">
        <v>79</v>
      </c>
      <c r="H66" t="s">
        <v>80</v>
      </c>
      <c r="I66" t="s">
        <v>118</v>
      </c>
      <c r="J66" t="s">
        <v>82</v>
      </c>
      <c r="K66" t="s">
        <v>119</v>
      </c>
      <c r="L66">
        <v>450</v>
      </c>
      <c r="M66">
        <v>957437</v>
      </c>
    </row>
    <row r="67" spans="1:13" x14ac:dyDescent="0.25">
      <c r="A67" t="s">
        <v>75</v>
      </c>
      <c r="B67" t="s">
        <v>76</v>
      </c>
      <c r="C67" t="s">
        <v>77</v>
      </c>
      <c r="D67">
        <v>105</v>
      </c>
      <c r="E67" t="s">
        <v>78</v>
      </c>
      <c r="F67" t="s">
        <v>268</v>
      </c>
      <c r="G67" t="s">
        <v>79</v>
      </c>
      <c r="H67" t="s">
        <v>80</v>
      </c>
      <c r="I67" t="s">
        <v>120</v>
      </c>
      <c r="J67" t="s">
        <v>82</v>
      </c>
      <c r="K67" t="s">
        <v>121</v>
      </c>
      <c r="L67">
        <v>-51464</v>
      </c>
      <c r="M67">
        <v>957437</v>
      </c>
    </row>
    <row r="68" spans="1:13" x14ac:dyDescent="0.25">
      <c r="A68" t="s">
        <v>75</v>
      </c>
      <c r="B68" t="s">
        <v>76</v>
      </c>
      <c r="C68" t="s">
        <v>77</v>
      </c>
      <c r="D68">
        <v>105</v>
      </c>
      <c r="E68" t="s">
        <v>78</v>
      </c>
      <c r="F68" t="s">
        <v>268</v>
      </c>
      <c r="G68" t="s">
        <v>79</v>
      </c>
      <c r="H68" t="s">
        <v>80</v>
      </c>
      <c r="I68" t="s">
        <v>122</v>
      </c>
      <c r="J68" t="s">
        <v>82</v>
      </c>
      <c r="K68" t="s">
        <v>123</v>
      </c>
      <c r="L68">
        <v>183005</v>
      </c>
      <c r="M68">
        <v>957437</v>
      </c>
    </row>
    <row r="69" spans="1:13" x14ac:dyDescent="0.25">
      <c r="A69" t="s">
        <v>75</v>
      </c>
      <c r="B69" t="s">
        <v>76</v>
      </c>
      <c r="C69" t="s">
        <v>77</v>
      </c>
      <c r="D69">
        <v>105</v>
      </c>
      <c r="E69" t="s">
        <v>78</v>
      </c>
      <c r="F69" t="s">
        <v>268</v>
      </c>
      <c r="G69" t="s">
        <v>79</v>
      </c>
      <c r="H69" t="s">
        <v>80</v>
      </c>
      <c r="I69" t="s">
        <v>124</v>
      </c>
      <c r="J69" t="s">
        <v>82</v>
      </c>
      <c r="K69" t="s">
        <v>125</v>
      </c>
      <c r="L69">
        <v>3000</v>
      </c>
      <c r="M69">
        <v>957437</v>
      </c>
    </row>
    <row r="70" spans="1:13" x14ac:dyDescent="0.25">
      <c r="A70" t="s">
        <v>75</v>
      </c>
      <c r="B70" t="s">
        <v>76</v>
      </c>
      <c r="C70" t="s">
        <v>77</v>
      </c>
      <c r="D70">
        <v>105</v>
      </c>
      <c r="E70" t="s">
        <v>78</v>
      </c>
      <c r="F70" t="s">
        <v>268</v>
      </c>
      <c r="G70" t="s">
        <v>79</v>
      </c>
      <c r="H70" t="s">
        <v>80</v>
      </c>
      <c r="I70" t="s">
        <v>124</v>
      </c>
      <c r="J70" t="s">
        <v>82</v>
      </c>
      <c r="K70" t="s">
        <v>125</v>
      </c>
      <c r="L70">
        <v>200</v>
      </c>
      <c r="M70">
        <v>957437</v>
      </c>
    </row>
    <row r="71" spans="1:13" x14ac:dyDescent="0.25">
      <c r="A71" t="s">
        <v>75</v>
      </c>
      <c r="B71" t="s">
        <v>76</v>
      </c>
      <c r="C71" t="s">
        <v>77</v>
      </c>
      <c r="D71">
        <v>105</v>
      </c>
      <c r="E71" t="s">
        <v>78</v>
      </c>
      <c r="F71" t="s">
        <v>268</v>
      </c>
      <c r="G71" t="s">
        <v>79</v>
      </c>
      <c r="H71" t="s">
        <v>80</v>
      </c>
      <c r="I71" t="s">
        <v>124</v>
      </c>
      <c r="J71" t="s">
        <v>82</v>
      </c>
      <c r="K71" t="s">
        <v>125</v>
      </c>
      <c r="L71">
        <v>1000</v>
      </c>
      <c r="M71">
        <v>957437</v>
      </c>
    </row>
    <row r="72" spans="1:13" x14ac:dyDescent="0.25">
      <c r="A72" t="s">
        <v>75</v>
      </c>
      <c r="B72" t="s">
        <v>76</v>
      </c>
      <c r="C72" t="s">
        <v>77</v>
      </c>
      <c r="D72">
        <v>105</v>
      </c>
      <c r="E72" t="s">
        <v>78</v>
      </c>
      <c r="F72" t="s">
        <v>268</v>
      </c>
      <c r="G72" t="s">
        <v>79</v>
      </c>
      <c r="H72" t="s">
        <v>80</v>
      </c>
      <c r="I72" t="s">
        <v>124</v>
      </c>
      <c r="J72" t="s">
        <v>82</v>
      </c>
      <c r="K72" t="s">
        <v>125</v>
      </c>
      <c r="L72">
        <v>100</v>
      </c>
      <c r="M72">
        <v>957437</v>
      </c>
    </row>
    <row r="73" spans="1:13" x14ac:dyDescent="0.25">
      <c r="A73" t="s">
        <v>75</v>
      </c>
      <c r="B73" t="s">
        <v>76</v>
      </c>
      <c r="C73" t="s">
        <v>77</v>
      </c>
      <c r="D73">
        <v>105</v>
      </c>
      <c r="E73" t="s">
        <v>78</v>
      </c>
      <c r="F73" t="s">
        <v>268</v>
      </c>
      <c r="G73" t="s">
        <v>79</v>
      </c>
      <c r="H73" t="s">
        <v>80</v>
      </c>
      <c r="I73" t="s">
        <v>124</v>
      </c>
      <c r="J73" t="s">
        <v>82</v>
      </c>
      <c r="K73" t="s">
        <v>125</v>
      </c>
      <c r="L73">
        <v>800</v>
      </c>
      <c r="M73">
        <v>957437</v>
      </c>
    </row>
    <row r="74" spans="1:13" x14ac:dyDescent="0.25">
      <c r="A74" t="s">
        <v>75</v>
      </c>
      <c r="B74" t="s">
        <v>76</v>
      </c>
      <c r="C74" t="s">
        <v>77</v>
      </c>
      <c r="D74">
        <v>105</v>
      </c>
      <c r="E74" t="s">
        <v>78</v>
      </c>
      <c r="F74" t="s">
        <v>268</v>
      </c>
      <c r="G74" t="s">
        <v>79</v>
      </c>
      <c r="H74" t="s">
        <v>80</v>
      </c>
      <c r="I74" t="s">
        <v>124</v>
      </c>
      <c r="J74" t="s">
        <v>82</v>
      </c>
      <c r="K74" t="s">
        <v>125</v>
      </c>
      <c r="L74">
        <v>350</v>
      </c>
      <c r="M74">
        <v>957437</v>
      </c>
    </row>
    <row r="75" spans="1:13" x14ac:dyDescent="0.25">
      <c r="A75" t="s">
        <v>75</v>
      </c>
      <c r="B75" t="s">
        <v>76</v>
      </c>
      <c r="C75" t="s">
        <v>77</v>
      </c>
      <c r="D75">
        <v>105</v>
      </c>
      <c r="E75" t="s">
        <v>78</v>
      </c>
      <c r="F75" t="s">
        <v>268</v>
      </c>
      <c r="G75" t="s">
        <v>79</v>
      </c>
      <c r="H75" t="s">
        <v>80</v>
      </c>
      <c r="I75" t="s">
        <v>124</v>
      </c>
      <c r="J75" t="s">
        <v>82</v>
      </c>
      <c r="K75" t="s">
        <v>125</v>
      </c>
      <c r="L75">
        <v>500</v>
      </c>
      <c r="M75">
        <v>957437</v>
      </c>
    </row>
    <row r="76" spans="1:13" x14ac:dyDescent="0.25">
      <c r="A76" t="s">
        <v>75</v>
      </c>
      <c r="B76" t="s">
        <v>76</v>
      </c>
      <c r="C76" t="s">
        <v>77</v>
      </c>
      <c r="D76">
        <v>105</v>
      </c>
      <c r="E76" t="s">
        <v>78</v>
      </c>
      <c r="F76" t="s">
        <v>268</v>
      </c>
      <c r="G76" t="s">
        <v>79</v>
      </c>
      <c r="H76" t="s">
        <v>80</v>
      </c>
      <c r="I76" t="s">
        <v>124</v>
      </c>
      <c r="J76" t="s">
        <v>82</v>
      </c>
      <c r="K76" t="s">
        <v>125</v>
      </c>
      <c r="L76">
        <v>80</v>
      </c>
      <c r="M76">
        <v>957437</v>
      </c>
    </row>
    <row r="77" spans="1:13" x14ac:dyDescent="0.25">
      <c r="A77" t="s">
        <v>75</v>
      </c>
      <c r="B77" t="s">
        <v>76</v>
      </c>
      <c r="C77" t="s">
        <v>77</v>
      </c>
      <c r="D77">
        <v>105</v>
      </c>
      <c r="E77" t="s">
        <v>78</v>
      </c>
      <c r="F77" t="s">
        <v>268</v>
      </c>
      <c r="G77" t="s">
        <v>79</v>
      </c>
      <c r="H77" t="s">
        <v>80</v>
      </c>
      <c r="I77" t="s">
        <v>124</v>
      </c>
      <c r="J77" t="s">
        <v>82</v>
      </c>
      <c r="K77" t="s">
        <v>125</v>
      </c>
      <c r="L77">
        <v>672</v>
      </c>
      <c r="M77">
        <v>957437</v>
      </c>
    </row>
    <row r="78" spans="1:13" x14ac:dyDescent="0.25">
      <c r="A78" t="s">
        <v>75</v>
      </c>
      <c r="B78" t="s">
        <v>76</v>
      </c>
      <c r="C78" t="s">
        <v>77</v>
      </c>
      <c r="D78">
        <v>105</v>
      </c>
      <c r="E78" t="s">
        <v>78</v>
      </c>
      <c r="F78" t="s">
        <v>268</v>
      </c>
      <c r="G78" t="s">
        <v>79</v>
      </c>
      <c r="H78" t="s">
        <v>80</v>
      </c>
      <c r="I78" t="s">
        <v>124</v>
      </c>
      <c r="J78" t="s">
        <v>82</v>
      </c>
      <c r="K78" t="s">
        <v>125</v>
      </c>
      <c r="L78">
        <v>750</v>
      </c>
      <c r="M78">
        <v>957437</v>
      </c>
    </row>
    <row r="79" spans="1:13" x14ac:dyDescent="0.25">
      <c r="A79" t="s">
        <v>75</v>
      </c>
      <c r="B79" t="s">
        <v>76</v>
      </c>
      <c r="C79" t="s">
        <v>77</v>
      </c>
      <c r="D79">
        <v>105</v>
      </c>
      <c r="E79" t="s">
        <v>78</v>
      </c>
      <c r="F79" t="s">
        <v>268</v>
      </c>
      <c r="G79" t="s">
        <v>79</v>
      </c>
      <c r="H79" t="s">
        <v>80</v>
      </c>
      <c r="I79" t="s">
        <v>124</v>
      </c>
      <c r="J79" t="s">
        <v>82</v>
      </c>
      <c r="K79" t="s">
        <v>125</v>
      </c>
      <c r="L79">
        <v>1900</v>
      </c>
      <c r="M79">
        <v>957437</v>
      </c>
    </row>
    <row r="80" spans="1:13" x14ac:dyDescent="0.25">
      <c r="A80" t="s">
        <v>75</v>
      </c>
      <c r="B80" t="s">
        <v>76</v>
      </c>
      <c r="C80" t="s">
        <v>77</v>
      </c>
      <c r="D80">
        <v>105</v>
      </c>
      <c r="E80" t="s">
        <v>78</v>
      </c>
      <c r="F80" t="s">
        <v>268</v>
      </c>
      <c r="G80" t="s">
        <v>79</v>
      </c>
      <c r="H80" t="s">
        <v>80</v>
      </c>
      <c r="I80" t="s">
        <v>126</v>
      </c>
      <c r="J80" t="s">
        <v>82</v>
      </c>
      <c r="K80" t="s">
        <v>127</v>
      </c>
      <c r="L80">
        <v>143795</v>
      </c>
      <c r="M80">
        <v>957437</v>
      </c>
    </row>
    <row r="81" spans="1:13" x14ac:dyDescent="0.25">
      <c r="A81" t="s">
        <v>75</v>
      </c>
      <c r="B81" t="s">
        <v>76</v>
      </c>
      <c r="C81" t="s">
        <v>77</v>
      </c>
      <c r="D81">
        <v>105</v>
      </c>
      <c r="E81" t="s">
        <v>78</v>
      </c>
      <c r="F81" t="s">
        <v>268</v>
      </c>
      <c r="G81" t="s">
        <v>79</v>
      </c>
      <c r="H81" t="s">
        <v>80</v>
      </c>
      <c r="I81" t="s">
        <v>126</v>
      </c>
      <c r="J81" t="s">
        <v>82</v>
      </c>
      <c r="K81" t="s">
        <v>127</v>
      </c>
      <c r="L81">
        <v>6252</v>
      </c>
      <c r="M81">
        <v>957437</v>
      </c>
    </row>
    <row r="82" spans="1:13" x14ac:dyDescent="0.25">
      <c r="A82" t="s">
        <v>75</v>
      </c>
      <c r="B82" t="s">
        <v>76</v>
      </c>
      <c r="C82" t="s">
        <v>77</v>
      </c>
      <c r="D82">
        <v>105</v>
      </c>
      <c r="E82" t="s">
        <v>78</v>
      </c>
      <c r="F82" t="s">
        <v>268</v>
      </c>
      <c r="G82" t="s">
        <v>79</v>
      </c>
      <c r="H82" t="s">
        <v>80</v>
      </c>
      <c r="I82" t="s">
        <v>126</v>
      </c>
      <c r="J82" t="s">
        <v>82</v>
      </c>
      <c r="K82" t="s">
        <v>127</v>
      </c>
      <c r="L82">
        <v>16205</v>
      </c>
      <c r="M82">
        <v>957437</v>
      </c>
    </row>
    <row r="83" spans="1:13" x14ac:dyDescent="0.25">
      <c r="A83" t="s">
        <v>75</v>
      </c>
      <c r="B83" t="s">
        <v>76</v>
      </c>
      <c r="C83" t="s">
        <v>77</v>
      </c>
      <c r="D83">
        <v>105</v>
      </c>
      <c r="E83" t="s">
        <v>78</v>
      </c>
      <c r="F83" t="s">
        <v>268</v>
      </c>
      <c r="G83" t="s">
        <v>79</v>
      </c>
      <c r="H83" t="s">
        <v>80</v>
      </c>
      <c r="I83" t="s">
        <v>128</v>
      </c>
      <c r="J83" t="s">
        <v>82</v>
      </c>
      <c r="K83" t="s">
        <v>129</v>
      </c>
      <c r="L83">
        <v>8708</v>
      </c>
      <c r="M83">
        <v>957437</v>
      </c>
    </row>
    <row r="84" spans="1:13" x14ac:dyDescent="0.25">
      <c r="A84" t="s">
        <v>75</v>
      </c>
      <c r="B84" t="s">
        <v>76</v>
      </c>
      <c r="C84" t="s">
        <v>77</v>
      </c>
      <c r="D84">
        <v>105</v>
      </c>
      <c r="E84" t="s">
        <v>78</v>
      </c>
      <c r="F84" t="s">
        <v>268</v>
      </c>
      <c r="G84" t="s">
        <v>79</v>
      </c>
      <c r="H84" t="s">
        <v>80</v>
      </c>
      <c r="I84" t="s">
        <v>130</v>
      </c>
      <c r="J84" t="s">
        <v>82</v>
      </c>
      <c r="K84" t="s">
        <v>131</v>
      </c>
      <c r="L84">
        <v>7339</v>
      </c>
      <c r="M84">
        <v>957437</v>
      </c>
    </row>
    <row r="85" spans="1:13" x14ac:dyDescent="0.25">
      <c r="A85" t="s">
        <v>75</v>
      </c>
      <c r="B85" t="s">
        <v>76</v>
      </c>
      <c r="C85" t="s">
        <v>77</v>
      </c>
      <c r="D85">
        <v>105</v>
      </c>
      <c r="E85" t="s">
        <v>78</v>
      </c>
      <c r="F85" t="s">
        <v>268</v>
      </c>
      <c r="G85" t="s">
        <v>79</v>
      </c>
      <c r="H85" t="s">
        <v>80</v>
      </c>
      <c r="I85" t="s">
        <v>132</v>
      </c>
      <c r="J85" t="s">
        <v>82</v>
      </c>
      <c r="K85" t="s">
        <v>133</v>
      </c>
      <c r="L85">
        <v>1325</v>
      </c>
      <c r="M85">
        <v>957437</v>
      </c>
    </row>
    <row r="86" spans="1:13" x14ac:dyDescent="0.25">
      <c r="A86" t="s">
        <v>75</v>
      </c>
      <c r="B86" t="s">
        <v>76</v>
      </c>
      <c r="C86" t="s">
        <v>77</v>
      </c>
      <c r="D86">
        <v>105</v>
      </c>
      <c r="E86" t="s">
        <v>78</v>
      </c>
      <c r="F86" t="s">
        <v>268</v>
      </c>
      <c r="G86" t="s">
        <v>79</v>
      </c>
      <c r="H86" t="s">
        <v>80</v>
      </c>
      <c r="I86" t="s">
        <v>134</v>
      </c>
      <c r="J86" t="s">
        <v>82</v>
      </c>
      <c r="K86" t="s">
        <v>135</v>
      </c>
      <c r="L86">
        <v>1400</v>
      </c>
      <c r="M86">
        <v>957437</v>
      </c>
    </row>
    <row r="87" spans="1:13" x14ac:dyDescent="0.25">
      <c r="A87" t="s">
        <v>75</v>
      </c>
      <c r="B87" t="s">
        <v>76</v>
      </c>
      <c r="C87" t="s">
        <v>77</v>
      </c>
      <c r="D87">
        <v>105</v>
      </c>
      <c r="E87" t="s">
        <v>78</v>
      </c>
      <c r="F87" t="s">
        <v>268</v>
      </c>
      <c r="G87" t="s">
        <v>79</v>
      </c>
      <c r="H87" t="s">
        <v>80</v>
      </c>
      <c r="I87" t="s">
        <v>134</v>
      </c>
      <c r="J87" t="s">
        <v>82</v>
      </c>
      <c r="K87" t="s">
        <v>135</v>
      </c>
      <c r="L87">
        <v>2040</v>
      </c>
      <c r="M87">
        <v>957437</v>
      </c>
    </row>
    <row r="88" spans="1:13" x14ac:dyDescent="0.25">
      <c r="A88" t="s">
        <v>75</v>
      </c>
      <c r="B88" t="s">
        <v>76</v>
      </c>
      <c r="C88" t="s">
        <v>77</v>
      </c>
      <c r="D88">
        <v>105</v>
      </c>
      <c r="E88" t="s">
        <v>78</v>
      </c>
      <c r="F88" t="s">
        <v>268</v>
      </c>
      <c r="G88" t="s">
        <v>79</v>
      </c>
      <c r="H88" t="s">
        <v>80</v>
      </c>
      <c r="I88" t="s">
        <v>136</v>
      </c>
      <c r="J88" t="s">
        <v>82</v>
      </c>
      <c r="K88" t="s">
        <v>137</v>
      </c>
      <c r="L88">
        <v>11340</v>
      </c>
      <c r="M88">
        <v>957437</v>
      </c>
    </row>
    <row r="89" spans="1:13" x14ac:dyDescent="0.25">
      <c r="A89" t="s">
        <v>75</v>
      </c>
      <c r="B89" t="s">
        <v>76</v>
      </c>
      <c r="C89" t="s">
        <v>77</v>
      </c>
      <c r="D89">
        <v>105</v>
      </c>
      <c r="E89" t="s">
        <v>78</v>
      </c>
      <c r="F89" t="s">
        <v>268</v>
      </c>
      <c r="G89" t="s">
        <v>79</v>
      </c>
      <c r="H89" t="s">
        <v>80</v>
      </c>
      <c r="I89" t="s">
        <v>136</v>
      </c>
      <c r="J89" t="s">
        <v>82</v>
      </c>
      <c r="K89" t="s">
        <v>137</v>
      </c>
      <c r="L89">
        <v>600</v>
      </c>
      <c r="M89">
        <v>957437</v>
      </c>
    </row>
    <row r="90" spans="1:13" x14ac:dyDescent="0.25">
      <c r="A90" t="s">
        <v>75</v>
      </c>
      <c r="B90" t="s">
        <v>76</v>
      </c>
      <c r="C90" t="s">
        <v>77</v>
      </c>
      <c r="D90">
        <v>105</v>
      </c>
      <c r="E90" t="s">
        <v>78</v>
      </c>
      <c r="F90" t="s">
        <v>268</v>
      </c>
      <c r="G90" t="s">
        <v>79</v>
      </c>
      <c r="H90" t="s">
        <v>80</v>
      </c>
      <c r="I90" t="s">
        <v>138</v>
      </c>
      <c r="J90" t="s">
        <v>82</v>
      </c>
      <c r="K90" t="s">
        <v>139</v>
      </c>
      <c r="L90">
        <v>360</v>
      </c>
      <c r="M90">
        <v>957437</v>
      </c>
    </row>
    <row r="91" spans="1:13" x14ac:dyDescent="0.25">
      <c r="A91" t="s">
        <v>75</v>
      </c>
      <c r="B91" t="s">
        <v>76</v>
      </c>
      <c r="C91" t="s">
        <v>77</v>
      </c>
      <c r="D91">
        <v>105</v>
      </c>
      <c r="E91" t="s">
        <v>78</v>
      </c>
      <c r="F91" t="s">
        <v>268</v>
      </c>
      <c r="G91" t="s">
        <v>79</v>
      </c>
      <c r="H91" t="s">
        <v>80</v>
      </c>
      <c r="I91" t="s">
        <v>140</v>
      </c>
      <c r="J91" t="s">
        <v>82</v>
      </c>
      <c r="K91" t="s">
        <v>141</v>
      </c>
      <c r="L91">
        <v>3500</v>
      </c>
      <c r="M91">
        <v>957437</v>
      </c>
    </row>
    <row r="92" spans="1:13" x14ac:dyDescent="0.25">
      <c r="A92" t="s">
        <v>75</v>
      </c>
      <c r="B92" t="s">
        <v>76</v>
      </c>
      <c r="C92" t="s">
        <v>77</v>
      </c>
      <c r="D92">
        <v>105</v>
      </c>
      <c r="E92" t="s">
        <v>78</v>
      </c>
      <c r="F92" t="s">
        <v>268</v>
      </c>
      <c r="G92" t="s">
        <v>79</v>
      </c>
      <c r="H92" t="s">
        <v>80</v>
      </c>
      <c r="I92" t="s">
        <v>142</v>
      </c>
      <c r="J92" t="s">
        <v>82</v>
      </c>
      <c r="K92" t="s">
        <v>143</v>
      </c>
      <c r="L92">
        <v>46691</v>
      </c>
      <c r="M92">
        <v>957437</v>
      </c>
    </row>
    <row r="93" spans="1:13" x14ac:dyDescent="0.25">
      <c r="A93" t="s">
        <v>75</v>
      </c>
      <c r="B93" t="s">
        <v>76</v>
      </c>
      <c r="C93" t="s">
        <v>77</v>
      </c>
      <c r="D93">
        <v>105</v>
      </c>
      <c r="E93" t="s">
        <v>78</v>
      </c>
      <c r="F93" t="s">
        <v>268</v>
      </c>
      <c r="G93" t="s">
        <v>79</v>
      </c>
      <c r="H93" t="s">
        <v>80</v>
      </c>
      <c r="I93" t="s">
        <v>142</v>
      </c>
      <c r="J93" t="s">
        <v>82</v>
      </c>
      <c r="K93" t="s">
        <v>143</v>
      </c>
      <c r="L93">
        <v>1980</v>
      </c>
      <c r="M93">
        <v>957437</v>
      </c>
    </row>
    <row r="94" spans="1:13" x14ac:dyDescent="0.25">
      <c r="A94" t="s">
        <v>75</v>
      </c>
      <c r="B94" t="s">
        <v>76</v>
      </c>
      <c r="C94" t="s">
        <v>77</v>
      </c>
      <c r="D94">
        <v>105</v>
      </c>
      <c r="E94" t="s">
        <v>78</v>
      </c>
      <c r="F94" t="s">
        <v>268</v>
      </c>
      <c r="G94" t="s">
        <v>79</v>
      </c>
      <c r="H94" t="s">
        <v>80</v>
      </c>
      <c r="I94" t="s">
        <v>144</v>
      </c>
      <c r="J94" t="s">
        <v>82</v>
      </c>
      <c r="K94" t="s">
        <v>145</v>
      </c>
      <c r="L94">
        <v>4656</v>
      </c>
      <c r="M94">
        <v>957437</v>
      </c>
    </row>
    <row r="95" spans="1:13" x14ac:dyDescent="0.25">
      <c r="A95" t="s">
        <v>75</v>
      </c>
      <c r="B95" t="s">
        <v>76</v>
      </c>
      <c r="C95" t="s">
        <v>77</v>
      </c>
      <c r="D95">
        <v>105</v>
      </c>
      <c r="E95" t="s">
        <v>78</v>
      </c>
      <c r="F95" t="s">
        <v>268</v>
      </c>
      <c r="G95" t="s">
        <v>79</v>
      </c>
      <c r="H95" t="s">
        <v>80</v>
      </c>
      <c r="I95" t="s">
        <v>146</v>
      </c>
      <c r="J95" t="s">
        <v>82</v>
      </c>
      <c r="K95" t="s">
        <v>147</v>
      </c>
      <c r="L95">
        <v>35593</v>
      </c>
      <c r="M95">
        <v>957437</v>
      </c>
    </row>
    <row r="96" spans="1:13" x14ac:dyDescent="0.25">
      <c r="A96" t="s">
        <v>75</v>
      </c>
      <c r="B96" t="s">
        <v>76</v>
      </c>
      <c r="C96" t="s">
        <v>77</v>
      </c>
      <c r="D96">
        <v>105</v>
      </c>
      <c r="E96" t="s">
        <v>78</v>
      </c>
      <c r="F96" t="s">
        <v>268</v>
      </c>
      <c r="G96" t="s">
        <v>79</v>
      </c>
      <c r="H96" t="s">
        <v>80</v>
      </c>
      <c r="I96" t="s">
        <v>148</v>
      </c>
      <c r="J96" t="s">
        <v>82</v>
      </c>
      <c r="K96" t="s">
        <v>149</v>
      </c>
      <c r="L96">
        <v>33887</v>
      </c>
      <c r="M96">
        <v>957437</v>
      </c>
    </row>
    <row r="97" spans="1:13" x14ac:dyDescent="0.25">
      <c r="A97" t="s">
        <v>75</v>
      </c>
      <c r="B97" t="s">
        <v>76</v>
      </c>
      <c r="C97" t="s">
        <v>77</v>
      </c>
      <c r="D97">
        <v>105</v>
      </c>
      <c r="E97" t="s">
        <v>78</v>
      </c>
      <c r="F97" t="s">
        <v>268</v>
      </c>
      <c r="G97" t="s">
        <v>79</v>
      </c>
      <c r="H97" t="s">
        <v>80</v>
      </c>
      <c r="I97" t="s">
        <v>150</v>
      </c>
      <c r="J97" t="s">
        <v>82</v>
      </c>
      <c r="K97" t="s">
        <v>151</v>
      </c>
      <c r="L97">
        <v>-49275</v>
      </c>
      <c r="M97">
        <v>957437</v>
      </c>
    </row>
    <row r="98" spans="1:13" x14ac:dyDescent="0.25">
      <c r="A98" t="s">
        <v>75</v>
      </c>
      <c r="B98" t="s">
        <v>76</v>
      </c>
      <c r="C98" t="s">
        <v>77</v>
      </c>
      <c r="D98">
        <v>105</v>
      </c>
      <c r="E98" t="s">
        <v>78</v>
      </c>
      <c r="F98" t="s">
        <v>268</v>
      </c>
      <c r="G98" t="s">
        <v>79</v>
      </c>
      <c r="H98" t="s">
        <v>80</v>
      </c>
      <c r="I98" t="s">
        <v>150</v>
      </c>
      <c r="J98" t="s">
        <v>82</v>
      </c>
      <c r="K98" t="s">
        <v>151</v>
      </c>
      <c r="L98">
        <v>1038074</v>
      </c>
      <c r="M98">
        <v>957437</v>
      </c>
    </row>
    <row r="99" spans="1:13" x14ac:dyDescent="0.25">
      <c r="A99" t="s">
        <v>75</v>
      </c>
      <c r="B99" t="s">
        <v>76</v>
      </c>
      <c r="C99" t="s">
        <v>77</v>
      </c>
      <c r="D99">
        <v>105</v>
      </c>
      <c r="E99" t="s">
        <v>78</v>
      </c>
      <c r="F99" t="s">
        <v>268</v>
      </c>
      <c r="G99" t="s">
        <v>79</v>
      </c>
      <c r="H99" t="s">
        <v>80</v>
      </c>
      <c r="I99" t="s">
        <v>152</v>
      </c>
      <c r="J99" t="s">
        <v>82</v>
      </c>
      <c r="K99" t="s">
        <v>153</v>
      </c>
      <c r="L99">
        <v>5350</v>
      </c>
      <c r="M99">
        <v>957437</v>
      </c>
    </row>
    <row r="100" spans="1:13" x14ac:dyDescent="0.25">
      <c r="A100" t="s">
        <v>75</v>
      </c>
      <c r="B100" t="s">
        <v>76</v>
      </c>
      <c r="C100" t="s">
        <v>77</v>
      </c>
      <c r="D100">
        <v>105</v>
      </c>
      <c r="E100" t="s">
        <v>78</v>
      </c>
      <c r="F100" t="s">
        <v>268</v>
      </c>
      <c r="G100" t="s">
        <v>79</v>
      </c>
      <c r="H100" t="s">
        <v>80</v>
      </c>
      <c r="I100" t="s">
        <v>154</v>
      </c>
      <c r="J100" t="s">
        <v>269</v>
      </c>
      <c r="K100" t="s">
        <v>155</v>
      </c>
      <c r="L100">
        <v>-6775</v>
      </c>
      <c r="M100">
        <v>707681</v>
      </c>
    </row>
    <row r="101" spans="1:13" x14ac:dyDescent="0.25">
      <c r="A101" t="s">
        <v>75</v>
      </c>
      <c r="B101" t="s">
        <v>76</v>
      </c>
      <c r="C101" t="s">
        <v>77</v>
      </c>
      <c r="D101">
        <v>105</v>
      </c>
      <c r="E101" t="s">
        <v>78</v>
      </c>
      <c r="F101" t="s">
        <v>268</v>
      </c>
      <c r="G101" t="s">
        <v>79</v>
      </c>
      <c r="H101" t="s">
        <v>80</v>
      </c>
      <c r="I101" t="s">
        <v>270</v>
      </c>
      <c r="J101" t="s">
        <v>269</v>
      </c>
      <c r="K101" t="s">
        <v>271</v>
      </c>
      <c r="L101">
        <v>642</v>
      </c>
      <c r="M101">
        <v>707681</v>
      </c>
    </row>
    <row r="102" spans="1:13" x14ac:dyDescent="0.25">
      <c r="A102" t="s">
        <v>75</v>
      </c>
      <c r="B102" t="s">
        <v>76</v>
      </c>
      <c r="C102" t="s">
        <v>77</v>
      </c>
      <c r="D102">
        <v>105</v>
      </c>
      <c r="E102" t="s">
        <v>78</v>
      </c>
      <c r="F102" t="s">
        <v>268</v>
      </c>
      <c r="G102" t="s">
        <v>79</v>
      </c>
      <c r="H102" t="s">
        <v>80</v>
      </c>
      <c r="I102" t="s">
        <v>84</v>
      </c>
      <c r="J102" t="s">
        <v>269</v>
      </c>
      <c r="K102" t="s">
        <v>85</v>
      </c>
      <c r="L102">
        <v>1402</v>
      </c>
      <c r="M102">
        <v>707681</v>
      </c>
    </row>
    <row r="103" spans="1:13" x14ac:dyDescent="0.25">
      <c r="A103" t="s">
        <v>75</v>
      </c>
      <c r="B103" t="s">
        <v>76</v>
      </c>
      <c r="C103" t="s">
        <v>77</v>
      </c>
      <c r="D103">
        <v>105</v>
      </c>
      <c r="E103" t="s">
        <v>78</v>
      </c>
      <c r="F103" t="s">
        <v>268</v>
      </c>
      <c r="G103" t="s">
        <v>79</v>
      </c>
      <c r="H103" t="s">
        <v>80</v>
      </c>
      <c r="I103" t="s">
        <v>86</v>
      </c>
      <c r="J103" t="s">
        <v>269</v>
      </c>
      <c r="K103" t="s">
        <v>87</v>
      </c>
      <c r="L103">
        <v>65649</v>
      </c>
      <c r="M103">
        <v>707681</v>
      </c>
    </row>
    <row r="104" spans="1:13" x14ac:dyDescent="0.25">
      <c r="A104" t="s">
        <v>75</v>
      </c>
      <c r="B104" t="s">
        <v>76</v>
      </c>
      <c r="C104" t="s">
        <v>77</v>
      </c>
      <c r="D104">
        <v>105</v>
      </c>
      <c r="E104" t="s">
        <v>78</v>
      </c>
      <c r="F104" t="s">
        <v>268</v>
      </c>
      <c r="G104" t="s">
        <v>79</v>
      </c>
      <c r="H104" t="s">
        <v>80</v>
      </c>
      <c r="I104" t="s">
        <v>88</v>
      </c>
      <c r="J104" t="s">
        <v>269</v>
      </c>
      <c r="K104" t="s">
        <v>89</v>
      </c>
      <c r="L104">
        <v>37280</v>
      </c>
      <c r="M104">
        <v>707681</v>
      </c>
    </row>
    <row r="105" spans="1:13" x14ac:dyDescent="0.25">
      <c r="A105" t="s">
        <v>75</v>
      </c>
      <c r="B105" t="s">
        <v>76</v>
      </c>
      <c r="C105" t="s">
        <v>77</v>
      </c>
      <c r="D105">
        <v>105</v>
      </c>
      <c r="E105" t="s">
        <v>78</v>
      </c>
      <c r="F105" t="s">
        <v>268</v>
      </c>
      <c r="G105" t="s">
        <v>79</v>
      </c>
      <c r="H105" t="s">
        <v>80</v>
      </c>
      <c r="I105" t="s">
        <v>90</v>
      </c>
      <c r="J105" t="s">
        <v>269</v>
      </c>
      <c r="K105" t="s">
        <v>91</v>
      </c>
      <c r="L105">
        <v>30198</v>
      </c>
      <c r="M105">
        <v>707681</v>
      </c>
    </row>
    <row r="106" spans="1:13" x14ac:dyDescent="0.25">
      <c r="A106" t="s">
        <v>75</v>
      </c>
      <c r="B106" t="s">
        <v>76</v>
      </c>
      <c r="C106" t="s">
        <v>77</v>
      </c>
      <c r="D106">
        <v>105</v>
      </c>
      <c r="E106" t="s">
        <v>78</v>
      </c>
      <c r="F106" t="s">
        <v>268</v>
      </c>
      <c r="G106" t="s">
        <v>79</v>
      </c>
      <c r="H106" t="s">
        <v>80</v>
      </c>
      <c r="I106" t="s">
        <v>94</v>
      </c>
      <c r="J106" t="s">
        <v>269</v>
      </c>
      <c r="K106" t="s">
        <v>95</v>
      </c>
      <c r="L106">
        <v>1846</v>
      </c>
      <c r="M106">
        <v>707681</v>
      </c>
    </row>
    <row r="107" spans="1:13" x14ac:dyDescent="0.25">
      <c r="A107" t="s">
        <v>75</v>
      </c>
      <c r="B107" t="s">
        <v>76</v>
      </c>
      <c r="C107" t="s">
        <v>77</v>
      </c>
      <c r="D107">
        <v>105</v>
      </c>
      <c r="E107" t="s">
        <v>78</v>
      </c>
      <c r="F107" t="s">
        <v>268</v>
      </c>
      <c r="G107" t="s">
        <v>79</v>
      </c>
      <c r="H107" t="s">
        <v>80</v>
      </c>
      <c r="I107" t="s">
        <v>96</v>
      </c>
      <c r="J107" t="s">
        <v>269</v>
      </c>
      <c r="K107" t="s">
        <v>97</v>
      </c>
      <c r="L107">
        <v>1040</v>
      </c>
      <c r="M107">
        <v>707681</v>
      </c>
    </row>
    <row r="108" spans="1:13" x14ac:dyDescent="0.25">
      <c r="A108" t="s">
        <v>75</v>
      </c>
      <c r="B108" t="s">
        <v>76</v>
      </c>
      <c r="C108" t="s">
        <v>77</v>
      </c>
      <c r="D108">
        <v>105</v>
      </c>
      <c r="E108" t="s">
        <v>78</v>
      </c>
      <c r="F108" t="s">
        <v>268</v>
      </c>
      <c r="G108" t="s">
        <v>79</v>
      </c>
      <c r="H108" t="s">
        <v>80</v>
      </c>
      <c r="I108" t="s">
        <v>98</v>
      </c>
      <c r="J108" t="s">
        <v>269</v>
      </c>
      <c r="K108" t="s">
        <v>99</v>
      </c>
      <c r="L108">
        <v>11300</v>
      </c>
      <c r="M108">
        <v>707681</v>
      </c>
    </row>
    <row r="109" spans="1:13" x14ac:dyDescent="0.25">
      <c r="A109" t="s">
        <v>75</v>
      </c>
      <c r="B109" t="s">
        <v>76</v>
      </c>
      <c r="C109" t="s">
        <v>77</v>
      </c>
      <c r="D109">
        <v>105</v>
      </c>
      <c r="E109" t="s">
        <v>78</v>
      </c>
      <c r="F109" t="s">
        <v>268</v>
      </c>
      <c r="G109" t="s">
        <v>79</v>
      </c>
      <c r="H109" t="s">
        <v>80</v>
      </c>
      <c r="I109" t="s">
        <v>100</v>
      </c>
      <c r="J109" t="s">
        <v>269</v>
      </c>
      <c r="K109" t="s">
        <v>101</v>
      </c>
      <c r="L109">
        <v>3865</v>
      </c>
      <c r="M109">
        <v>707681</v>
      </c>
    </row>
    <row r="110" spans="1:13" x14ac:dyDescent="0.25">
      <c r="A110" t="s">
        <v>75</v>
      </c>
      <c r="B110" t="s">
        <v>76</v>
      </c>
      <c r="C110" t="s">
        <v>77</v>
      </c>
      <c r="D110">
        <v>105</v>
      </c>
      <c r="E110" t="s">
        <v>78</v>
      </c>
      <c r="F110" t="s">
        <v>268</v>
      </c>
      <c r="G110" t="s">
        <v>79</v>
      </c>
      <c r="H110" t="s">
        <v>80</v>
      </c>
      <c r="I110" t="s">
        <v>102</v>
      </c>
      <c r="J110" t="s">
        <v>269</v>
      </c>
      <c r="K110" t="s">
        <v>103</v>
      </c>
      <c r="L110">
        <v>38978</v>
      </c>
      <c r="M110">
        <v>707681</v>
      </c>
    </row>
    <row r="111" spans="1:13" x14ac:dyDescent="0.25">
      <c r="A111" t="s">
        <v>75</v>
      </c>
      <c r="B111" t="s">
        <v>76</v>
      </c>
      <c r="C111" t="s">
        <v>77</v>
      </c>
      <c r="D111">
        <v>105</v>
      </c>
      <c r="E111" t="s">
        <v>78</v>
      </c>
      <c r="F111" t="s">
        <v>268</v>
      </c>
      <c r="G111" t="s">
        <v>79</v>
      </c>
      <c r="H111" t="s">
        <v>80</v>
      </c>
      <c r="I111" t="s">
        <v>106</v>
      </c>
      <c r="J111" t="s">
        <v>269</v>
      </c>
      <c r="K111" t="s">
        <v>107</v>
      </c>
      <c r="L111">
        <v>350</v>
      </c>
      <c r="M111">
        <v>707681</v>
      </c>
    </row>
    <row r="112" spans="1:13" x14ac:dyDescent="0.25">
      <c r="A112" t="s">
        <v>75</v>
      </c>
      <c r="B112" t="s">
        <v>76</v>
      </c>
      <c r="C112" t="s">
        <v>77</v>
      </c>
      <c r="D112">
        <v>105</v>
      </c>
      <c r="E112" t="s">
        <v>78</v>
      </c>
      <c r="F112" t="s">
        <v>268</v>
      </c>
      <c r="G112" t="s">
        <v>79</v>
      </c>
      <c r="H112" t="s">
        <v>80</v>
      </c>
      <c r="I112" t="s">
        <v>108</v>
      </c>
      <c r="J112" t="s">
        <v>269</v>
      </c>
      <c r="K112" t="s">
        <v>109</v>
      </c>
      <c r="L112">
        <v>6689</v>
      </c>
      <c r="M112">
        <v>707681</v>
      </c>
    </row>
    <row r="113" spans="1:13" x14ac:dyDescent="0.25">
      <c r="A113" t="s">
        <v>75</v>
      </c>
      <c r="B113" t="s">
        <v>76</v>
      </c>
      <c r="C113" t="s">
        <v>77</v>
      </c>
      <c r="D113">
        <v>105</v>
      </c>
      <c r="E113" t="s">
        <v>78</v>
      </c>
      <c r="F113" t="s">
        <v>268</v>
      </c>
      <c r="G113" t="s">
        <v>79</v>
      </c>
      <c r="H113" t="s">
        <v>80</v>
      </c>
      <c r="I113" t="s">
        <v>112</v>
      </c>
      <c r="J113" t="s">
        <v>269</v>
      </c>
      <c r="K113" t="s">
        <v>113</v>
      </c>
      <c r="L113">
        <v>2236</v>
      </c>
      <c r="M113">
        <v>707681</v>
      </c>
    </row>
    <row r="114" spans="1:13" x14ac:dyDescent="0.25">
      <c r="A114" t="s">
        <v>75</v>
      </c>
      <c r="B114" t="s">
        <v>76</v>
      </c>
      <c r="C114" t="s">
        <v>77</v>
      </c>
      <c r="D114">
        <v>105</v>
      </c>
      <c r="E114" t="s">
        <v>78</v>
      </c>
      <c r="F114" t="s">
        <v>268</v>
      </c>
      <c r="G114" t="s">
        <v>79</v>
      </c>
      <c r="H114" t="s">
        <v>80</v>
      </c>
      <c r="I114" t="s">
        <v>114</v>
      </c>
      <c r="J114" t="s">
        <v>269</v>
      </c>
      <c r="K114" t="s">
        <v>115</v>
      </c>
      <c r="L114">
        <v>3467</v>
      </c>
      <c r="M114">
        <v>707681</v>
      </c>
    </row>
    <row r="115" spans="1:13" x14ac:dyDescent="0.25">
      <c r="A115" t="s">
        <v>75</v>
      </c>
      <c r="B115" t="s">
        <v>76</v>
      </c>
      <c r="C115" t="s">
        <v>77</v>
      </c>
      <c r="D115">
        <v>105</v>
      </c>
      <c r="E115" t="s">
        <v>78</v>
      </c>
      <c r="F115" t="s">
        <v>268</v>
      </c>
      <c r="G115" t="s">
        <v>79</v>
      </c>
      <c r="H115" t="s">
        <v>80</v>
      </c>
      <c r="I115" t="s">
        <v>116</v>
      </c>
      <c r="J115" t="s">
        <v>269</v>
      </c>
      <c r="K115" t="s">
        <v>117</v>
      </c>
      <c r="L115">
        <v>21535</v>
      </c>
      <c r="M115">
        <v>707681</v>
      </c>
    </row>
    <row r="116" spans="1:13" x14ac:dyDescent="0.25">
      <c r="A116" t="s">
        <v>75</v>
      </c>
      <c r="B116" t="s">
        <v>76</v>
      </c>
      <c r="C116" t="s">
        <v>77</v>
      </c>
      <c r="D116">
        <v>105</v>
      </c>
      <c r="E116" t="s">
        <v>78</v>
      </c>
      <c r="F116" t="s">
        <v>268</v>
      </c>
      <c r="G116" t="s">
        <v>79</v>
      </c>
      <c r="H116" t="s">
        <v>80</v>
      </c>
      <c r="I116" t="s">
        <v>272</v>
      </c>
      <c r="J116" t="s">
        <v>269</v>
      </c>
      <c r="K116" t="s">
        <v>273</v>
      </c>
      <c r="L116">
        <v>49453</v>
      </c>
      <c r="M116">
        <v>707681</v>
      </c>
    </row>
    <row r="117" spans="1:13" x14ac:dyDescent="0.25">
      <c r="A117" t="s">
        <v>75</v>
      </c>
      <c r="B117" t="s">
        <v>76</v>
      </c>
      <c r="C117" t="s">
        <v>77</v>
      </c>
      <c r="D117">
        <v>105</v>
      </c>
      <c r="E117" t="s">
        <v>78</v>
      </c>
      <c r="F117" t="s">
        <v>268</v>
      </c>
      <c r="G117" t="s">
        <v>79</v>
      </c>
      <c r="H117" t="s">
        <v>80</v>
      </c>
      <c r="I117" t="s">
        <v>118</v>
      </c>
      <c r="J117" t="s">
        <v>269</v>
      </c>
      <c r="K117" t="s">
        <v>119</v>
      </c>
      <c r="L117">
        <v>16970</v>
      </c>
      <c r="M117">
        <v>707681</v>
      </c>
    </row>
    <row r="118" spans="1:13" x14ac:dyDescent="0.25">
      <c r="A118" t="s">
        <v>75</v>
      </c>
      <c r="B118" t="s">
        <v>76</v>
      </c>
      <c r="C118" t="s">
        <v>77</v>
      </c>
      <c r="D118">
        <v>105</v>
      </c>
      <c r="E118" t="s">
        <v>78</v>
      </c>
      <c r="F118" t="s">
        <v>268</v>
      </c>
      <c r="G118" t="s">
        <v>79</v>
      </c>
      <c r="H118" t="s">
        <v>80</v>
      </c>
      <c r="I118" t="s">
        <v>120</v>
      </c>
      <c r="J118" t="s">
        <v>269</v>
      </c>
      <c r="K118" t="s">
        <v>121</v>
      </c>
      <c r="L118">
        <v>-16165</v>
      </c>
      <c r="M118">
        <v>707681</v>
      </c>
    </row>
    <row r="119" spans="1:13" x14ac:dyDescent="0.25">
      <c r="A119" t="s">
        <v>75</v>
      </c>
      <c r="B119" t="s">
        <v>76</v>
      </c>
      <c r="C119" t="s">
        <v>77</v>
      </c>
      <c r="D119">
        <v>105</v>
      </c>
      <c r="E119" t="s">
        <v>78</v>
      </c>
      <c r="F119" t="s">
        <v>268</v>
      </c>
      <c r="G119" t="s">
        <v>79</v>
      </c>
      <c r="H119" t="s">
        <v>80</v>
      </c>
      <c r="I119" t="s">
        <v>124</v>
      </c>
      <c r="J119" t="s">
        <v>269</v>
      </c>
      <c r="K119" t="s">
        <v>125</v>
      </c>
      <c r="L119">
        <v>20561</v>
      </c>
      <c r="M119">
        <v>707681</v>
      </c>
    </row>
    <row r="120" spans="1:13" x14ac:dyDescent="0.25">
      <c r="A120" t="s">
        <v>75</v>
      </c>
      <c r="B120" t="s">
        <v>76</v>
      </c>
      <c r="C120" t="s">
        <v>77</v>
      </c>
      <c r="D120">
        <v>105</v>
      </c>
      <c r="E120" t="s">
        <v>78</v>
      </c>
      <c r="F120" t="s">
        <v>268</v>
      </c>
      <c r="G120" t="s">
        <v>79</v>
      </c>
      <c r="H120" t="s">
        <v>80</v>
      </c>
      <c r="I120" t="s">
        <v>126</v>
      </c>
      <c r="J120" t="s">
        <v>269</v>
      </c>
      <c r="K120" t="s">
        <v>127</v>
      </c>
      <c r="L120">
        <v>129988</v>
      </c>
      <c r="M120">
        <v>707681</v>
      </c>
    </row>
    <row r="121" spans="1:13" x14ac:dyDescent="0.25">
      <c r="A121" t="s">
        <v>75</v>
      </c>
      <c r="B121" t="s">
        <v>76</v>
      </c>
      <c r="C121" t="s">
        <v>77</v>
      </c>
      <c r="D121">
        <v>105</v>
      </c>
      <c r="E121" t="s">
        <v>78</v>
      </c>
      <c r="F121" t="s">
        <v>268</v>
      </c>
      <c r="G121" t="s">
        <v>79</v>
      </c>
      <c r="H121" t="s">
        <v>80</v>
      </c>
      <c r="I121" t="s">
        <v>156</v>
      </c>
      <c r="J121" t="s">
        <v>269</v>
      </c>
      <c r="K121" t="s">
        <v>157</v>
      </c>
      <c r="L121">
        <v>120</v>
      </c>
      <c r="M121">
        <v>707681</v>
      </c>
    </row>
    <row r="122" spans="1:13" x14ac:dyDescent="0.25">
      <c r="A122" t="s">
        <v>75</v>
      </c>
      <c r="B122" t="s">
        <v>76</v>
      </c>
      <c r="C122" t="s">
        <v>77</v>
      </c>
      <c r="D122">
        <v>105</v>
      </c>
      <c r="E122" t="s">
        <v>78</v>
      </c>
      <c r="F122" t="s">
        <v>268</v>
      </c>
      <c r="G122" t="s">
        <v>79</v>
      </c>
      <c r="H122" t="s">
        <v>80</v>
      </c>
      <c r="I122" t="s">
        <v>130</v>
      </c>
      <c r="J122" t="s">
        <v>269</v>
      </c>
      <c r="K122" t="s">
        <v>131</v>
      </c>
      <c r="L122">
        <v>1859</v>
      </c>
      <c r="M122">
        <v>707681</v>
      </c>
    </row>
    <row r="123" spans="1:13" x14ac:dyDescent="0.25">
      <c r="A123" t="s">
        <v>75</v>
      </c>
      <c r="B123" t="s">
        <v>76</v>
      </c>
      <c r="C123" t="s">
        <v>77</v>
      </c>
      <c r="D123">
        <v>105</v>
      </c>
      <c r="E123" t="s">
        <v>78</v>
      </c>
      <c r="F123" t="s">
        <v>268</v>
      </c>
      <c r="G123" t="s">
        <v>79</v>
      </c>
      <c r="H123" t="s">
        <v>80</v>
      </c>
      <c r="I123" t="s">
        <v>132</v>
      </c>
      <c r="J123" t="s">
        <v>269</v>
      </c>
      <c r="K123" t="s">
        <v>133</v>
      </c>
      <c r="L123">
        <v>6308</v>
      </c>
      <c r="M123">
        <v>707681</v>
      </c>
    </row>
    <row r="124" spans="1:13" x14ac:dyDescent="0.25">
      <c r="A124" t="s">
        <v>75</v>
      </c>
      <c r="B124" t="s">
        <v>76</v>
      </c>
      <c r="C124" t="s">
        <v>77</v>
      </c>
      <c r="D124">
        <v>105</v>
      </c>
      <c r="E124" t="s">
        <v>78</v>
      </c>
      <c r="F124" t="s">
        <v>268</v>
      </c>
      <c r="G124" t="s">
        <v>79</v>
      </c>
      <c r="H124" t="s">
        <v>80</v>
      </c>
      <c r="I124" t="s">
        <v>134</v>
      </c>
      <c r="J124" t="s">
        <v>269</v>
      </c>
      <c r="K124" t="s">
        <v>135</v>
      </c>
      <c r="L124">
        <v>10990</v>
      </c>
      <c r="M124">
        <v>707681</v>
      </c>
    </row>
    <row r="125" spans="1:13" x14ac:dyDescent="0.25">
      <c r="A125" t="s">
        <v>75</v>
      </c>
      <c r="B125" t="s">
        <v>76</v>
      </c>
      <c r="C125" t="s">
        <v>77</v>
      </c>
      <c r="D125">
        <v>105</v>
      </c>
      <c r="E125" t="s">
        <v>78</v>
      </c>
      <c r="F125" t="s">
        <v>268</v>
      </c>
      <c r="G125" t="s">
        <v>79</v>
      </c>
      <c r="H125" t="s">
        <v>80</v>
      </c>
      <c r="I125" t="s">
        <v>136</v>
      </c>
      <c r="J125" t="s">
        <v>269</v>
      </c>
      <c r="K125" t="s">
        <v>137</v>
      </c>
      <c r="L125">
        <v>8200</v>
      </c>
      <c r="M125">
        <v>707681</v>
      </c>
    </row>
    <row r="126" spans="1:13" x14ac:dyDescent="0.25">
      <c r="A126" t="s">
        <v>75</v>
      </c>
      <c r="B126" t="s">
        <v>76</v>
      </c>
      <c r="C126" t="s">
        <v>77</v>
      </c>
      <c r="D126">
        <v>105</v>
      </c>
      <c r="E126" t="s">
        <v>78</v>
      </c>
      <c r="F126" t="s">
        <v>268</v>
      </c>
      <c r="G126" t="s">
        <v>79</v>
      </c>
      <c r="H126" t="s">
        <v>80</v>
      </c>
      <c r="I126" t="s">
        <v>138</v>
      </c>
      <c r="J126" t="s">
        <v>269</v>
      </c>
      <c r="K126" t="s">
        <v>139</v>
      </c>
      <c r="L126">
        <v>795</v>
      </c>
      <c r="M126">
        <v>707681</v>
      </c>
    </row>
    <row r="127" spans="1:13" x14ac:dyDescent="0.25">
      <c r="A127" t="s">
        <v>75</v>
      </c>
      <c r="B127" t="s">
        <v>76</v>
      </c>
      <c r="C127" t="s">
        <v>77</v>
      </c>
      <c r="D127">
        <v>105</v>
      </c>
      <c r="E127" t="s">
        <v>78</v>
      </c>
      <c r="F127" t="s">
        <v>268</v>
      </c>
      <c r="G127" t="s">
        <v>79</v>
      </c>
      <c r="H127" t="s">
        <v>80</v>
      </c>
      <c r="I127" t="s">
        <v>140</v>
      </c>
      <c r="J127" t="s">
        <v>269</v>
      </c>
      <c r="K127" t="s">
        <v>141</v>
      </c>
      <c r="L127">
        <v>5354</v>
      </c>
      <c r="M127">
        <v>707681</v>
      </c>
    </row>
    <row r="128" spans="1:13" x14ac:dyDescent="0.25">
      <c r="A128" t="s">
        <v>75</v>
      </c>
      <c r="B128" t="s">
        <v>76</v>
      </c>
      <c r="C128" t="s">
        <v>77</v>
      </c>
      <c r="D128">
        <v>105</v>
      </c>
      <c r="E128" t="s">
        <v>78</v>
      </c>
      <c r="F128" t="s">
        <v>268</v>
      </c>
      <c r="G128" t="s">
        <v>79</v>
      </c>
      <c r="H128" t="s">
        <v>80</v>
      </c>
      <c r="I128" t="s">
        <v>142</v>
      </c>
      <c r="J128" t="s">
        <v>269</v>
      </c>
      <c r="K128" t="s">
        <v>143</v>
      </c>
      <c r="L128">
        <v>20336</v>
      </c>
      <c r="M128">
        <v>707681</v>
      </c>
    </row>
    <row r="129" spans="1:13" x14ac:dyDescent="0.25">
      <c r="A129" t="s">
        <v>75</v>
      </c>
      <c r="B129" t="s">
        <v>76</v>
      </c>
      <c r="C129" t="s">
        <v>77</v>
      </c>
      <c r="D129">
        <v>105</v>
      </c>
      <c r="E129" t="s">
        <v>78</v>
      </c>
      <c r="F129" t="s">
        <v>268</v>
      </c>
      <c r="G129" t="s">
        <v>79</v>
      </c>
      <c r="H129" t="s">
        <v>80</v>
      </c>
      <c r="I129" t="s">
        <v>144</v>
      </c>
      <c r="J129" t="s">
        <v>269</v>
      </c>
      <c r="K129" t="s">
        <v>145</v>
      </c>
      <c r="L129">
        <v>4962</v>
      </c>
      <c r="M129">
        <v>707681</v>
      </c>
    </row>
    <row r="130" spans="1:13" x14ac:dyDescent="0.25">
      <c r="A130" t="s">
        <v>75</v>
      </c>
      <c r="B130" t="s">
        <v>76</v>
      </c>
      <c r="C130" t="s">
        <v>77</v>
      </c>
      <c r="D130">
        <v>105</v>
      </c>
      <c r="E130" t="s">
        <v>78</v>
      </c>
      <c r="F130" t="s">
        <v>268</v>
      </c>
      <c r="G130" t="s">
        <v>79</v>
      </c>
      <c r="H130" t="s">
        <v>80</v>
      </c>
      <c r="I130" t="s">
        <v>146</v>
      </c>
      <c r="J130" t="s">
        <v>269</v>
      </c>
      <c r="K130" t="s">
        <v>147</v>
      </c>
      <c r="L130">
        <v>2160</v>
      </c>
      <c r="M130">
        <v>707681</v>
      </c>
    </row>
    <row r="131" spans="1:13" x14ac:dyDescent="0.25">
      <c r="A131" t="s">
        <v>75</v>
      </c>
      <c r="B131" t="s">
        <v>76</v>
      </c>
      <c r="C131" t="s">
        <v>77</v>
      </c>
      <c r="D131">
        <v>105</v>
      </c>
      <c r="E131" t="s">
        <v>78</v>
      </c>
      <c r="F131" t="s">
        <v>268</v>
      </c>
      <c r="G131" t="s">
        <v>79</v>
      </c>
      <c r="H131" t="s">
        <v>80</v>
      </c>
      <c r="I131" t="s">
        <v>148</v>
      </c>
      <c r="J131" t="s">
        <v>269</v>
      </c>
      <c r="K131" t="s">
        <v>149</v>
      </c>
      <c r="L131">
        <v>46070</v>
      </c>
      <c r="M131">
        <v>707681</v>
      </c>
    </row>
    <row r="132" spans="1:13" x14ac:dyDescent="0.25">
      <c r="A132" t="s">
        <v>75</v>
      </c>
      <c r="B132" t="s">
        <v>76</v>
      </c>
      <c r="C132" t="s">
        <v>77</v>
      </c>
      <c r="D132">
        <v>105</v>
      </c>
      <c r="E132" t="s">
        <v>78</v>
      </c>
      <c r="F132" t="s">
        <v>268</v>
      </c>
      <c r="G132" t="s">
        <v>79</v>
      </c>
      <c r="H132" t="s">
        <v>80</v>
      </c>
      <c r="I132" t="s">
        <v>150</v>
      </c>
      <c r="J132" t="s">
        <v>269</v>
      </c>
      <c r="K132" t="s">
        <v>151</v>
      </c>
      <c r="L132">
        <v>663556</v>
      </c>
      <c r="M132">
        <v>707681</v>
      </c>
    </row>
    <row r="133" spans="1:13" x14ac:dyDescent="0.25">
      <c r="A133" t="s">
        <v>75</v>
      </c>
      <c r="B133" t="s">
        <v>76</v>
      </c>
      <c r="C133" t="s">
        <v>77</v>
      </c>
      <c r="D133">
        <v>105</v>
      </c>
      <c r="E133" t="s">
        <v>78</v>
      </c>
      <c r="F133" t="s">
        <v>268</v>
      </c>
      <c r="G133" t="s">
        <v>79</v>
      </c>
      <c r="H133" t="s">
        <v>80</v>
      </c>
      <c r="I133" t="s">
        <v>274</v>
      </c>
      <c r="J133" t="s">
        <v>269</v>
      </c>
      <c r="K133" t="s">
        <v>275</v>
      </c>
      <c r="L133">
        <v>13966</v>
      </c>
      <c r="M133">
        <v>707681</v>
      </c>
    </row>
    <row r="134" spans="1:13" x14ac:dyDescent="0.25">
      <c r="A134" t="s">
        <v>75</v>
      </c>
      <c r="B134" t="s">
        <v>76</v>
      </c>
      <c r="C134" t="s">
        <v>77</v>
      </c>
      <c r="D134">
        <v>105</v>
      </c>
      <c r="E134" t="s">
        <v>78</v>
      </c>
      <c r="F134" t="s">
        <v>268</v>
      </c>
      <c r="G134" t="s">
        <v>79</v>
      </c>
      <c r="H134" t="s">
        <v>276</v>
      </c>
      <c r="I134" t="s">
        <v>277</v>
      </c>
      <c r="J134" t="s">
        <v>269</v>
      </c>
      <c r="K134" t="s">
        <v>278</v>
      </c>
      <c r="L134">
        <v>370332</v>
      </c>
      <c r="M134">
        <v>0</v>
      </c>
    </row>
    <row r="135" spans="1:13" x14ac:dyDescent="0.25">
      <c r="A135" t="s">
        <v>75</v>
      </c>
      <c r="B135" t="s">
        <v>76</v>
      </c>
      <c r="C135" t="s">
        <v>77</v>
      </c>
      <c r="D135">
        <v>105</v>
      </c>
      <c r="E135" t="s">
        <v>78</v>
      </c>
      <c r="F135" t="s">
        <v>268</v>
      </c>
      <c r="G135" t="s">
        <v>79</v>
      </c>
      <c r="H135" t="s">
        <v>276</v>
      </c>
      <c r="I135" t="s">
        <v>279</v>
      </c>
      <c r="J135" t="s">
        <v>269</v>
      </c>
      <c r="K135" t="s">
        <v>280</v>
      </c>
      <c r="L135">
        <v>4424</v>
      </c>
      <c r="M135">
        <v>0</v>
      </c>
    </row>
    <row r="136" spans="1:13" x14ac:dyDescent="0.25">
      <c r="A136" t="s">
        <v>75</v>
      </c>
      <c r="B136" t="s">
        <v>76</v>
      </c>
      <c r="C136" t="s">
        <v>77</v>
      </c>
      <c r="D136">
        <v>105</v>
      </c>
      <c r="E136" t="s">
        <v>78</v>
      </c>
      <c r="F136" t="s">
        <v>268</v>
      </c>
      <c r="G136" t="s">
        <v>79</v>
      </c>
      <c r="H136" t="s">
        <v>276</v>
      </c>
      <c r="I136" t="s">
        <v>281</v>
      </c>
      <c r="J136" t="s">
        <v>269</v>
      </c>
      <c r="K136" t="s">
        <v>282</v>
      </c>
      <c r="L136">
        <v>122937</v>
      </c>
      <c r="M136">
        <v>0</v>
      </c>
    </row>
    <row r="137" spans="1:13" x14ac:dyDescent="0.25">
      <c r="A137" t="s">
        <v>75</v>
      </c>
      <c r="B137" t="s">
        <v>76</v>
      </c>
      <c r="C137" t="s">
        <v>77</v>
      </c>
      <c r="D137">
        <v>105</v>
      </c>
      <c r="E137" t="s">
        <v>78</v>
      </c>
      <c r="F137" t="s">
        <v>268</v>
      </c>
      <c r="G137" t="s">
        <v>79</v>
      </c>
      <c r="H137" t="s">
        <v>276</v>
      </c>
      <c r="I137" t="s">
        <v>283</v>
      </c>
      <c r="J137" t="s">
        <v>269</v>
      </c>
      <c r="K137" t="s">
        <v>284</v>
      </c>
      <c r="L137">
        <v>-21552</v>
      </c>
      <c r="M137">
        <v>0</v>
      </c>
    </row>
    <row r="138" spans="1:13" x14ac:dyDescent="0.25">
      <c r="A138" t="s">
        <v>75</v>
      </c>
      <c r="B138" t="s">
        <v>76</v>
      </c>
      <c r="C138" t="s">
        <v>77</v>
      </c>
      <c r="D138">
        <v>105</v>
      </c>
      <c r="E138" t="s">
        <v>78</v>
      </c>
      <c r="F138" t="s">
        <v>268</v>
      </c>
      <c r="G138" t="s">
        <v>79</v>
      </c>
      <c r="H138" t="s">
        <v>276</v>
      </c>
      <c r="I138" t="s">
        <v>285</v>
      </c>
      <c r="J138" t="s">
        <v>269</v>
      </c>
      <c r="K138" t="s">
        <v>286</v>
      </c>
      <c r="L138">
        <v>5194</v>
      </c>
      <c r="M138">
        <v>0</v>
      </c>
    </row>
    <row r="139" spans="1:13" x14ac:dyDescent="0.25">
      <c r="A139" t="s">
        <v>75</v>
      </c>
      <c r="B139" t="s">
        <v>76</v>
      </c>
      <c r="C139" t="s">
        <v>77</v>
      </c>
      <c r="D139">
        <v>105</v>
      </c>
      <c r="E139" t="s">
        <v>78</v>
      </c>
      <c r="F139" t="s">
        <v>268</v>
      </c>
      <c r="G139" t="s">
        <v>79</v>
      </c>
      <c r="H139" t="s">
        <v>276</v>
      </c>
      <c r="I139" t="s">
        <v>287</v>
      </c>
      <c r="J139" t="s">
        <v>269</v>
      </c>
      <c r="K139" t="s">
        <v>288</v>
      </c>
      <c r="L139">
        <v>-3702242</v>
      </c>
      <c r="M139">
        <v>0</v>
      </c>
    </row>
    <row r="140" spans="1:13" x14ac:dyDescent="0.25">
      <c r="A140" t="s">
        <v>75</v>
      </c>
      <c r="B140" t="s">
        <v>76</v>
      </c>
      <c r="C140" t="s">
        <v>77</v>
      </c>
      <c r="D140">
        <v>105</v>
      </c>
      <c r="E140" t="s">
        <v>78</v>
      </c>
      <c r="F140" t="s">
        <v>268</v>
      </c>
      <c r="G140" t="s">
        <v>79</v>
      </c>
      <c r="H140" t="s">
        <v>276</v>
      </c>
      <c r="I140" t="s">
        <v>289</v>
      </c>
      <c r="J140" t="s">
        <v>269</v>
      </c>
      <c r="K140" t="s">
        <v>290</v>
      </c>
      <c r="L140">
        <v>13678974</v>
      </c>
      <c r="M140">
        <v>0</v>
      </c>
    </row>
    <row r="141" spans="1:13" x14ac:dyDescent="0.25">
      <c r="A141" t="s">
        <v>75</v>
      </c>
      <c r="B141" t="s">
        <v>76</v>
      </c>
      <c r="C141" t="s">
        <v>77</v>
      </c>
      <c r="D141">
        <v>105</v>
      </c>
      <c r="E141" t="s">
        <v>78</v>
      </c>
      <c r="F141" t="s">
        <v>268</v>
      </c>
      <c r="G141" t="s">
        <v>79</v>
      </c>
      <c r="H141" t="s">
        <v>276</v>
      </c>
      <c r="I141" t="s">
        <v>291</v>
      </c>
      <c r="J141" t="s">
        <v>269</v>
      </c>
      <c r="K141" t="s">
        <v>292</v>
      </c>
      <c r="L141">
        <v>16438</v>
      </c>
      <c r="M141">
        <v>0</v>
      </c>
    </row>
    <row r="142" spans="1:13" x14ac:dyDescent="0.25">
      <c r="A142" t="s">
        <v>75</v>
      </c>
      <c r="B142" t="s">
        <v>76</v>
      </c>
      <c r="C142" t="s">
        <v>77</v>
      </c>
      <c r="D142">
        <v>105</v>
      </c>
      <c r="E142" t="s">
        <v>78</v>
      </c>
      <c r="F142" t="s">
        <v>268</v>
      </c>
      <c r="G142" t="s">
        <v>79</v>
      </c>
      <c r="H142" t="s">
        <v>276</v>
      </c>
      <c r="I142" t="s">
        <v>293</v>
      </c>
      <c r="J142" t="s">
        <v>269</v>
      </c>
      <c r="K142" t="s">
        <v>294</v>
      </c>
      <c r="L142">
        <v>45492</v>
      </c>
      <c r="M142">
        <v>0</v>
      </c>
    </row>
    <row r="143" spans="1:13" x14ac:dyDescent="0.25">
      <c r="A143" t="s">
        <v>75</v>
      </c>
      <c r="B143" t="s">
        <v>76</v>
      </c>
      <c r="C143" t="s">
        <v>77</v>
      </c>
      <c r="D143">
        <v>105</v>
      </c>
      <c r="E143" t="s">
        <v>78</v>
      </c>
      <c r="F143" t="s">
        <v>268</v>
      </c>
      <c r="G143" t="s">
        <v>79</v>
      </c>
      <c r="H143" t="s">
        <v>276</v>
      </c>
      <c r="I143" t="s">
        <v>295</v>
      </c>
      <c r="J143" t="s">
        <v>269</v>
      </c>
      <c r="K143" t="s">
        <v>296</v>
      </c>
      <c r="L143">
        <v>189967</v>
      </c>
      <c r="M143">
        <v>0</v>
      </c>
    </row>
    <row r="144" spans="1:13" x14ac:dyDescent="0.25">
      <c r="A144" t="s">
        <v>75</v>
      </c>
      <c r="B144" t="s">
        <v>76</v>
      </c>
      <c r="C144" t="s">
        <v>77</v>
      </c>
      <c r="D144">
        <v>105</v>
      </c>
      <c r="E144" t="s">
        <v>78</v>
      </c>
      <c r="F144" t="s">
        <v>268</v>
      </c>
      <c r="G144" t="s">
        <v>79</v>
      </c>
      <c r="H144" t="s">
        <v>276</v>
      </c>
      <c r="I144" t="s">
        <v>297</v>
      </c>
      <c r="J144" t="s">
        <v>269</v>
      </c>
      <c r="K144" t="s">
        <v>298</v>
      </c>
      <c r="L144">
        <v>5970</v>
      </c>
      <c r="M144">
        <v>0</v>
      </c>
    </row>
    <row r="145" spans="1:13" x14ac:dyDescent="0.25">
      <c r="A145" t="s">
        <v>75</v>
      </c>
      <c r="B145" t="s">
        <v>76</v>
      </c>
      <c r="C145" t="s">
        <v>77</v>
      </c>
      <c r="D145">
        <v>105</v>
      </c>
      <c r="E145" t="s">
        <v>78</v>
      </c>
      <c r="F145" t="s">
        <v>268</v>
      </c>
      <c r="G145" t="s">
        <v>79</v>
      </c>
      <c r="H145" t="s">
        <v>276</v>
      </c>
      <c r="I145" t="s">
        <v>299</v>
      </c>
      <c r="J145" t="s">
        <v>269</v>
      </c>
      <c r="K145" t="s">
        <v>300</v>
      </c>
      <c r="L145">
        <v>254561</v>
      </c>
      <c r="M145">
        <v>0</v>
      </c>
    </row>
    <row r="146" spans="1:13" x14ac:dyDescent="0.25">
      <c r="A146" t="s">
        <v>75</v>
      </c>
      <c r="B146" t="s">
        <v>76</v>
      </c>
      <c r="C146" t="s">
        <v>77</v>
      </c>
      <c r="D146">
        <v>105</v>
      </c>
      <c r="E146" t="s">
        <v>78</v>
      </c>
      <c r="F146" t="s">
        <v>268</v>
      </c>
      <c r="G146" t="s">
        <v>79</v>
      </c>
      <c r="H146" t="s">
        <v>276</v>
      </c>
      <c r="I146" t="s">
        <v>301</v>
      </c>
      <c r="J146" t="s">
        <v>269</v>
      </c>
      <c r="K146" t="s">
        <v>302</v>
      </c>
      <c r="L146">
        <v>53882</v>
      </c>
      <c r="M146">
        <v>0</v>
      </c>
    </row>
    <row r="147" spans="1:13" x14ac:dyDescent="0.25">
      <c r="A147" t="s">
        <v>75</v>
      </c>
      <c r="B147" t="s">
        <v>76</v>
      </c>
      <c r="C147" t="s">
        <v>77</v>
      </c>
      <c r="D147">
        <v>105</v>
      </c>
      <c r="E147" t="s">
        <v>78</v>
      </c>
      <c r="F147" t="s">
        <v>268</v>
      </c>
      <c r="G147" t="s">
        <v>79</v>
      </c>
      <c r="H147" t="s">
        <v>276</v>
      </c>
      <c r="I147" t="s">
        <v>303</v>
      </c>
      <c r="J147" t="s">
        <v>269</v>
      </c>
      <c r="K147" t="s">
        <v>304</v>
      </c>
      <c r="L147">
        <v>691244</v>
      </c>
      <c r="M147">
        <v>0</v>
      </c>
    </row>
    <row r="148" spans="1:13" x14ac:dyDescent="0.25">
      <c r="A148" t="s">
        <v>75</v>
      </c>
      <c r="B148" t="s">
        <v>76</v>
      </c>
      <c r="C148" t="s">
        <v>77</v>
      </c>
      <c r="D148">
        <v>105</v>
      </c>
      <c r="E148" t="s">
        <v>78</v>
      </c>
      <c r="F148" t="s">
        <v>268</v>
      </c>
      <c r="G148" t="s">
        <v>79</v>
      </c>
      <c r="H148" t="s">
        <v>276</v>
      </c>
      <c r="I148" t="s">
        <v>305</v>
      </c>
      <c r="J148" t="s">
        <v>269</v>
      </c>
      <c r="K148" t="s">
        <v>306</v>
      </c>
      <c r="L148">
        <v>3908128</v>
      </c>
      <c r="M148">
        <v>0</v>
      </c>
    </row>
    <row r="149" spans="1:13" x14ac:dyDescent="0.25">
      <c r="A149" t="s">
        <v>75</v>
      </c>
      <c r="B149" t="s">
        <v>76</v>
      </c>
      <c r="C149" t="s">
        <v>77</v>
      </c>
      <c r="D149">
        <v>105</v>
      </c>
      <c r="E149" t="s">
        <v>78</v>
      </c>
      <c r="F149" t="s">
        <v>268</v>
      </c>
      <c r="G149" t="s">
        <v>79</v>
      </c>
      <c r="H149" t="s">
        <v>276</v>
      </c>
      <c r="I149" t="s">
        <v>307</v>
      </c>
      <c r="J149" t="s">
        <v>269</v>
      </c>
      <c r="K149" t="s">
        <v>308</v>
      </c>
      <c r="L149">
        <v>1959296</v>
      </c>
      <c r="M149">
        <v>0</v>
      </c>
    </row>
    <row r="150" spans="1:13" x14ac:dyDescent="0.25">
      <c r="A150" t="s">
        <v>75</v>
      </c>
      <c r="B150" t="s">
        <v>76</v>
      </c>
      <c r="C150" t="s">
        <v>77</v>
      </c>
      <c r="D150">
        <v>105</v>
      </c>
      <c r="E150" t="s">
        <v>78</v>
      </c>
      <c r="F150" t="s">
        <v>268</v>
      </c>
      <c r="G150" t="s">
        <v>79</v>
      </c>
      <c r="H150" t="s">
        <v>276</v>
      </c>
      <c r="I150" t="s">
        <v>309</v>
      </c>
      <c r="J150" t="s">
        <v>269</v>
      </c>
      <c r="K150" t="s">
        <v>310</v>
      </c>
      <c r="L150">
        <v>500000</v>
      </c>
      <c r="M150">
        <v>0</v>
      </c>
    </row>
    <row r="151" spans="1:13" x14ac:dyDescent="0.25">
      <c r="A151" t="s">
        <v>75</v>
      </c>
      <c r="B151" t="s">
        <v>76</v>
      </c>
      <c r="C151" t="s">
        <v>77</v>
      </c>
      <c r="D151">
        <v>105</v>
      </c>
      <c r="E151" t="s">
        <v>78</v>
      </c>
      <c r="F151" t="s">
        <v>268</v>
      </c>
      <c r="G151" t="s">
        <v>79</v>
      </c>
      <c r="H151" t="s">
        <v>276</v>
      </c>
      <c r="I151" t="s">
        <v>311</v>
      </c>
      <c r="J151" t="s">
        <v>269</v>
      </c>
      <c r="K151" t="s">
        <v>312</v>
      </c>
      <c r="L151">
        <v>262500</v>
      </c>
      <c r="M151">
        <v>0</v>
      </c>
    </row>
    <row r="152" spans="1:13" x14ac:dyDescent="0.25">
      <c r="A152" t="s">
        <v>75</v>
      </c>
      <c r="B152" t="s">
        <v>76</v>
      </c>
      <c r="C152" t="s">
        <v>77</v>
      </c>
      <c r="D152">
        <v>105</v>
      </c>
      <c r="E152" t="s">
        <v>78</v>
      </c>
      <c r="F152" t="s">
        <v>268</v>
      </c>
      <c r="G152" t="s">
        <v>79</v>
      </c>
      <c r="H152" t="s">
        <v>276</v>
      </c>
      <c r="I152" t="s">
        <v>313</v>
      </c>
      <c r="J152" t="s">
        <v>269</v>
      </c>
      <c r="K152" t="s">
        <v>314</v>
      </c>
      <c r="L152">
        <v>69782</v>
      </c>
      <c r="M152">
        <v>0</v>
      </c>
    </row>
    <row r="153" spans="1:13" x14ac:dyDescent="0.25">
      <c r="A153" t="s">
        <v>75</v>
      </c>
      <c r="B153" t="s">
        <v>76</v>
      </c>
      <c r="C153" t="s">
        <v>77</v>
      </c>
      <c r="D153">
        <v>105</v>
      </c>
      <c r="E153" t="s">
        <v>78</v>
      </c>
      <c r="F153" t="s">
        <v>268</v>
      </c>
      <c r="G153" t="s">
        <v>79</v>
      </c>
      <c r="H153" t="s">
        <v>276</v>
      </c>
      <c r="I153" t="s">
        <v>315</v>
      </c>
      <c r="J153" t="s">
        <v>269</v>
      </c>
      <c r="K153" t="s">
        <v>316</v>
      </c>
      <c r="L153">
        <v>2101</v>
      </c>
      <c r="M153">
        <v>0</v>
      </c>
    </row>
    <row r="154" spans="1:13" x14ac:dyDescent="0.25">
      <c r="A154" t="s">
        <v>75</v>
      </c>
      <c r="B154" t="s">
        <v>76</v>
      </c>
      <c r="C154" t="s">
        <v>77</v>
      </c>
      <c r="D154">
        <v>105</v>
      </c>
      <c r="E154" t="s">
        <v>78</v>
      </c>
      <c r="F154" t="s">
        <v>268</v>
      </c>
      <c r="G154" t="s">
        <v>79</v>
      </c>
      <c r="H154" t="s">
        <v>276</v>
      </c>
      <c r="I154" t="s">
        <v>317</v>
      </c>
      <c r="J154" t="s">
        <v>269</v>
      </c>
      <c r="K154" t="s">
        <v>318</v>
      </c>
      <c r="L154">
        <v>24215</v>
      </c>
      <c r="M154">
        <v>0</v>
      </c>
    </row>
    <row r="155" spans="1:13" x14ac:dyDescent="0.25">
      <c r="A155" t="s">
        <v>75</v>
      </c>
      <c r="B155" t="s">
        <v>76</v>
      </c>
      <c r="C155" t="s">
        <v>77</v>
      </c>
      <c r="D155">
        <v>105</v>
      </c>
      <c r="E155" t="s">
        <v>78</v>
      </c>
      <c r="F155" t="s">
        <v>268</v>
      </c>
      <c r="G155" t="s">
        <v>79</v>
      </c>
      <c r="H155" t="s">
        <v>276</v>
      </c>
      <c r="I155" t="s">
        <v>319</v>
      </c>
      <c r="J155" t="s">
        <v>269</v>
      </c>
      <c r="K155" t="s">
        <v>320</v>
      </c>
      <c r="L155">
        <v>4747079</v>
      </c>
      <c r="M155">
        <v>0</v>
      </c>
    </row>
    <row r="156" spans="1:13" x14ac:dyDescent="0.25">
      <c r="A156" t="s">
        <v>75</v>
      </c>
      <c r="B156" t="s">
        <v>76</v>
      </c>
      <c r="C156" t="s">
        <v>77</v>
      </c>
      <c r="D156">
        <v>105</v>
      </c>
      <c r="E156" t="s">
        <v>78</v>
      </c>
      <c r="F156" t="s">
        <v>268</v>
      </c>
      <c r="G156" t="s">
        <v>79</v>
      </c>
      <c r="H156" t="s">
        <v>276</v>
      </c>
      <c r="I156" t="s">
        <v>321</v>
      </c>
      <c r="J156" t="s">
        <v>269</v>
      </c>
      <c r="K156" t="s">
        <v>322</v>
      </c>
      <c r="L156">
        <v>161005</v>
      </c>
      <c r="M156">
        <v>0</v>
      </c>
    </row>
    <row r="157" spans="1:13" x14ac:dyDescent="0.25">
      <c r="A157" t="s">
        <v>75</v>
      </c>
      <c r="B157" t="s">
        <v>76</v>
      </c>
      <c r="C157" t="s">
        <v>77</v>
      </c>
      <c r="D157">
        <v>105</v>
      </c>
      <c r="E157" t="s">
        <v>78</v>
      </c>
      <c r="F157" t="s">
        <v>268</v>
      </c>
      <c r="G157" t="s">
        <v>79</v>
      </c>
      <c r="H157" t="s">
        <v>276</v>
      </c>
      <c r="I157" t="s">
        <v>323</v>
      </c>
      <c r="J157" t="s">
        <v>269</v>
      </c>
      <c r="K157" t="s">
        <v>324</v>
      </c>
      <c r="L157">
        <v>2256</v>
      </c>
      <c r="M157">
        <v>0</v>
      </c>
    </row>
    <row r="158" spans="1:13" x14ac:dyDescent="0.25">
      <c r="A158" t="s">
        <v>75</v>
      </c>
      <c r="B158" t="s">
        <v>76</v>
      </c>
      <c r="C158" t="s">
        <v>77</v>
      </c>
      <c r="D158">
        <v>105</v>
      </c>
      <c r="E158" t="s">
        <v>78</v>
      </c>
      <c r="F158" t="s">
        <v>268</v>
      </c>
      <c r="G158" t="s">
        <v>79</v>
      </c>
      <c r="H158" t="s">
        <v>276</v>
      </c>
      <c r="I158" t="s">
        <v>325</v>
      </c>
      <c r="J158" t="s">
        <v>269</v>
      </c>
      <c r="K158" t="s">
        <v>326</v>
      </c>
      <c r="L158">
        <v>53023</v>
      </c>
      <c r="M158">
        <v>0</v>
      </c>
    </row>
    <row r="159" spans="1:13" x14ac:dyDescent="0.25">
      <c r="A159" t="s">
        <v>75</v>
      </c>
      <c r="B159" t="s">
        <v>76</v>
      </c>
      <c r="C159" t="s">
        <v>77</v>
      </c>
      <c r="D159">
        <v>105</v>
      </c>
      <c r="E159" t="s">
        <v>78</v>
      </c>
      <c r="F159" t="s">
        <v>268</v>
      </c>
      <c r="G159" t="s">
        <v>79</v>
      </c>
      <c r="H159" t="s">
        <v>276</v>
      </c>
      <c r="I159" t="s">
        <v>325</v>
      </c>
      <c r="J159" t="s">
        <v>269</v>
      </c>
      <c r="K159" t="s">
        <v>327</v>
      </c>
      <c r="L159">
        <v>47909</v>
      </c>
      <c r="M159">
        <v>0</v>
      </c>
    </row>
    <row r="160" spans="1:13" x14ac:dyDescent="0.25">
      <c r="A160" t="s">
        <v>75</v>
      </c>
      <c r="B160" t="s">
        <v>76</v>
      </c>
      <c r="C160" t="s">
        <v>77</v>
      </c>
      <c r="D160">
        <v>105</v>
      </c>
      <c r="E160" t="s">
        <v>78</v>
      </c>
      <c r="F160" t="s">
        <v>268</v>
      </c>
      <c r="G160" t="s">
        <v>79</v>
      </c>
      <c r="H160" t="s">
        <v>276</v>
      </c>
      <c r="I160" t="s">
        <v>328</v>
      </c>
      <c r="J160" t="s">
        <v>269</v>
      </c>
      <c r="K160" t="s">
        <v>329</v>
      </c>
      <c r="L160">
        <v>4170</v>
      </c>
      <c r="M160">
        <v>0</v>
      </c>
    </row>
    <row r="161" spans="1:13" x14ac:dyDescent="0.25">
      <c r="A161" t="s">
        <v>75</v>
      </c>
      <c r="B161" t="s">
        <v>76</v>
      </c>
      <c r="C161" t="s">
        <v>77</v>
      </c>
      <c r="D161">
        <v>105</v>
      </c>
      <c r="E161" t="s">
        <v>78</v>
      </c>
      <c r="F161" t="s">
        <v>268</v>
      </c>
      <c r="G161" t="s">
        <v>79</v>
      </c>
      <c r="H161" t="s">
        <v>276</v>
      </c>
      <c r="I161" t="s">
        <v>330</v>
      </c>
      <c r="J161" t="s">
        <v>269</v>
      </c>
      <c r="K161" t="s">
        <v>331</v>
      </c>
      <c r="L161">
        <v>-12166</v>
      </c>
      <c r="M16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4"/>
  <sheetViews>
    <sheetView workbookViewId="0">
      <selection activeCell="B2" sqref="B2"/>
    </sheetView>
  </sheetViews>
  <sheetFormatPr defaultRowHeight="15" x14ac:dyDescent="0.25"/>
  <cols>
    <col min="2" max="2" width="39.5703125" bestFit="1" customWidth="1"/>
    <col min="3" max="3" width="20.42578125" bestFit="1" customWidth="1"/>
  </cols>
  <sheetData>
    <row r="1" spans="1:3" x14ac:dyDescent="0.25">
      <c r="A1" t="s">
        <v>158</v>
      </c>
      <c r="B1" t="s">
        <v>236</v>
      </c>
      <c r="C1" t="s">
        <v>237</v>
      </c>
    </row>
    <row r="2" spans="1:3" x14ac:dyDescent="0.25">
      <c r="A2" t="s">
        <v>168</v>
      </c>
      <c r="B2" t="s">
        <v>169</v>
      </c>
      <c r="C2" t="s">
        <v>77</v>
      </c>
    </row>
    <row r="3" spans="1:3" x14ac:dyDescent="0.25">
      <c r="A3" t="s">
        <v>170</v>
      </c>
      <c r="B3" t="s">
        <v>171</v>
      </c>
      <c r="C3" t="s">
        <v>77</v>
      </c>
    </row>
    <row r="4" spans="1:3" x14ac:dyDescent="0.25">
      <c r="A4" t="s">
        <v>172</v>
      </c>
      <c r="B4" t="s">
        <v>173</v>
      </c>
      <c r="C4" t="s">
        <v>77</v>
      </c>
    </row>
    <row r="5" spans="1:3" x14ac:dyDescent="0.25">
      <c r="A5" t="s">
        <v>174</v>
      </c>
      <c r="B5" t="s">
        <v>175</v>
      </c>
      <c r="C5" t="s">
        <v>77</v>
      </c>
    </row>
    <row r="6" spans="1:3" x14ac:dyDescent="0.25">
      <c r="A6" t="s">
        <v>176</v>
      </c>
      <c r="B6" t="s">
        <v>177</v>
      </c>
      <c r="C6" t="s">
        <v>77</v>
      </c>
    </row>
    <row r="7" spans="1:3" x14ac:dyDescent="0.25">
      <c r="A7" t="s">
        <v>178</v>
      </c>
      <c r="B7" t="s">
        <v>179</v>
      </c>
      <c r="C7" t="s">
        <v>77</v>
      </c>
    </row>
    <row r="8" spans="1:3" x14ac:dyDescent="0.25">
      <c r="A8" t="s">
        <v>180</v>
      </c>
      <c r="B8" t="s">
        <v>181</v>
      </c>
      <c r="C8" t="s">
        <v>77</v>
      </c>
    </row>
    <row r="9" spans="1:3" x14ac:dyDescent="0.25">
      <c r="A9" t="s">
        <v>182</v>
      </c>
      <c r="B9" t="s">
        <v>183</v>
      </c>
      <c r="C9" t="s">
        <v>77</v>
      </c>
    </row>
    <row r="10" spans="1:3" x14ac:dyDescent="0.25">
      <c r="A10" t="s">
        <v>184</v>
      </c>
      <c r="B10" t="s">
        <v>185</v>
      </c>
      <c r="C10" t="s">
        <v>77</v>
      </c>
    </row>
    <row r="11" spans="1:3" x14ac:dyDescent="0.25">
      <c r="A11" t="s">
        <v>186</v>
      </c>
      <c r="B11" t="s">
        <v>187</v>
      </c>
      <c r="C11" t="s">
        <v>77</v>
      </c>
    </row>
    <row r="12" spans="1:3" x14ac:dyDescent="0.25">
      <c r="A12" t="s">
        <v>190</v>
      </c>
      <c r="B12" t="s">
        <v>191</v>
      </c>
      <c r="C12" t="s">
        <v>77</v>
      </c>
    </row>
    <row r="13" spans="1:3" x14ac:dyDescent="0.25">
      <c r="A13" t="s">
        <v>192</v>
      </c>
      <c r="B13" t="s">
        <v>193</v>
      </c>
      <c r="C13" t="s">
        <v>77</v>
      </c>
    </row>
    <row r="14" spans="1:3" x14ac:dyDescent="0.25">
      <c r="A14" t="s">
        <v>194</v>
      </c>
      <c r="B14" t="s">
        <v>195</v>
      </c>
      <c r="C14" t="s">
        <v>77</v>
      </c>
    </row>
    <row r="15" spans="1:3" x14ac:dyDescent="0.25">
      <c r="A15" t="s">
        <v>198</v>
      </c>
      <c r="B15" t="s">
        <v>199</v>
      </c>
      <c r="C15" t="s">
        <v>77</v>
      </c>
    </row>
    <row r="16" spans="1:3" x14ac:dyDescent="0.25">
      <c r="A16" t="s">
        <v>200</v>
      </c>
      <c r="B16" t="s">
        <v>201</v>
      </c>
      <c r="C16" t="s">
        <v>77</v>
      </c>
    </row>
    <row r="17" spans="1:3" x14ac:dyDescent="0.25">
      <c r="A17" t="s">
        <v>202</v>
      </c>
      <c r="B17" t="s">
        <v>203</v>
      </c>
      <c r="C17" t="s">
        <v>77</v>
      </c>
    </row>
    <row r="18" spans="1:3" x14ac:dyDescent="0.25">
      <c r="A18" t="s">
        <v>204</v>
      </c>
      <c r="B18" t="s">
        <v>205</v>
      </c>
      <c r="C18" t="s">
        <v>77</v>
      </c>
    </row>
    <row r="19" spans="1:3" x14ac:dyDescent="0.25">
      <c r="A19" t="s">
        <v>206</v>
      </c>
      <c r="B19" t="s">
        <v>207</v>
      </c>
      <c r="C19" t="s">
        <v>77</v>
      </c>
    </row>
    <row r="20" spans="1:3" x14ac:dyDescent="0.25">
      <c r="A20" t="s">
        <v>75</v>
      </c>
      <c r="B20" t="s">
        <v>76</v>
      </c>
      <c r="C20" t="s">
        <v>77</v>
      </c>
    </row>
    <row r="21" spans="1:3" x14ac:dyDescent="0.25">
      <c r="A21" t="s">
        <v>208</v>
      </c>
      <c r="B21" t="s">
        <v>209</v>
      </c>
      <c r="C21" t="s">
        <v>77</v>
      </c>
    </row>
    <row r="22" spans="1:3" x14ac:dyDescent="0.25">
      <c r="A22" t="s">
        <v>210</v>
      </c>
      <c r="B22" t="s">
        <v>211</v>
      </c>
      <c r="C22" t="s">
        <v>77</v>
      </c>
    </row>
    <row r="23" spans="1:3" x14ac:dyDescent="0.25">
      <c r="A23" t="s">
        <v>212</v>
      </c>
      <c r="B23" t="s">
        <v>213</v>
      </c>
      <c r="C23" t="s">
        <v>77</v>
      </c>
    </row>
    <row r="24" spans="1:3" x14ac:dyDescent="0.25">
      <c r="A24" t="s">
        <v>214</v>
      </c>
      <c r="B24" t="s">
        <v>215</v>
      </c>
      <c r="C24" t="s">
        <v>77</v>
      </c>
    </row>
    <row r="25" spans="1:3" x14ac:dyDescent="0.25">
      <c r="A25" t="s">
        <v>216</v>
      </c>
      <c r="B25" t="s">
        <v>217</v>
      </c>
      <c r="C25" t="s">
        <v>77</v>
      </c>
    </row>
    <row r="26" spans="1:3" x14ac:dyDescent="0.25">
      <c r="A26" t="s">
        <v>220</v>
      </c>
      <c r="B26" t="s">
        <v>221</v>
      </c>
      <c r="C26" t="s">
        <v>77</v>
      </c>
    </row>
    <row r="27" spans="1:3" x14ac:dyDescent="0.25">
      <c r="A27" t="s">
        <v>222</v>
      </c>
      <c r="B27" t="s">
        <v>223</v>
      </c>
      <c r="C27" t="s">
        <v>77</v>
      </c>
    </row>
    <row r="28" spans="1:3" x14ac:dyDescent="0.25">
      <c r="A28" t="s">
        <v>224</v>
      </c>
      <c r="B28" t="s">
        <v>225</v>
      </c>
      <c r="C28" t="s">
        <v>77</v>
      </c>
    </row>
    <row r="29" spans="1:3" x14ac:dyDescent="0.25">
      <c r="A29" t="s">
        <v>226</v>
      </c>
      <c r="B29" t="s">
        <v>227</v>
      </c>
      <c r="C29" t="s">
        <v>77</v>
      </c>
    </row>
    <row r="30" spans="1:3" x14ac:dyDescent="0.25">
      <c r="A30" t="s">
        <v>234</v>
      </c>
      <c r="B30" t="s">
        <v>235</v>
      </c>
      <c r="C30" t="s">
        <v>77</v>
      </c>
    </row>
    <row r="31" spans="1:3" x14ac:dyDescent="0.25">
      <c r="A31" t="s">
        <v>188</v>
      </c>
      <c r="B31" t="s">
        <v>189</v>
      </c>
      <c r="C31" t="s">
        <v>231</v>
      </c>
    </row>
    <row r="32" spans="1:3" x14ac:dyDescent="0.25">
      <c r="A32" t="s">
        <v>196</v>
      </c>
      <c r="B32" t="s">
        <v>197</v>
      </c>
      <c r="C32" t="s">
        <v>231</v>
      </c>
    </row>
    <row r="33" spans="1:3" x14ac:dyDescent="0.25">
      <c r="A33" t="s">
        <v>218</v>
      </c>
      <c r="B33" t="s">
        <v>219</v>
      </c>
      <c r="C33" t="s">
        <v>231</v>
      </c>
    </row>
    <row r="34" spans="1:3" x14ac:dyDescent="0.25">
      <c r="A34" t="s">
        <v>232</v>
      </c>
      <c r="B34" t="s">
        <v>233</v>
      </c>
      <c r="C34" t="s">
        <v>231</v>
      </c>
    </row>
  </sheetData>
  <autoFilter ref="A2:C34">
    <sortState ref="A3:C34">
      <sortCondition ref="C2:C34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1"/>
  <sheetViews>
    <sheetView topLeftCell="A16" workbookViewId="0">
      <selection activeCell="H37" sqref="H37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158</v>
      </c>
      <c r="B1" t="s">
        <v>159</v>
      </c>
      <c r="C1" t="s">
        <v>165</v>
      </c>
      <c r="D1" t="s">
        <v>16</v>
      </c>
      <c r="E1" t="s">
        <v>17</v>
      </c>
      <c r="F1" t="s">
        <v>160</v>
      </c>
      <c r="G1" t="s">
        <v>161</v>
      </c>
      <c r="H1" t="s">
        <v>162</v>
      </c>
      <c r="I1" t="s">
        <v>163</v>
      </c>
      <c r="J1" t="s">
        <v>164</v>
      </c>
    </row>
    <row r="2" spans="1:10" x14ac:dyDescent="0.25">
      <c r="A2" t="s">
        <v>75</v>
      </c>
      <c r="B2" t="s">
        <v>76</v>
      </c>
      <c r="C2" t="s">
        <v>77</v>
      </c>
      <c r="D2">
        <v>105</v>
      </c>
      <c r="E2" t="s">
        <v>78</v>
      </c>
      <c r="F2" t="s">
        <v>268</v>
      </c>
      <c r="G2" t="s">
        <v>332</v>
      </c>
      <c r="H2" t="s">
        <v>277</v>
      </c>
      <c r="I2" t="s">
        <v>278</v>
      </c>
      <c r="J2">
        <v>370332</v>
      </c>
    </row>
    <row r="3" spans="1:10" x14ac:dyDescent="0.25">
      <c r="A3" t="s">
        <v>75</v>
      </c>
      <c r="B3" t="s">
        <v>76</v>
      </c>
      <c r="C3" t="s">
        <v>77</v>
      </c>
      <c r="D3">
        <v>105</v>
      </c>
      <c r="E3" t="s">
        <v>78</v>
      </c>
      <c r="F3" t="s">
        <v>268</v>
      </c>
      <c r="G3" t="s">
        <v>332</v>
      </c>
      <c r="H3" t="s">
        <v>279</v>
      </c>
      <c r="I3" t="s">
        <v>280</v>
      </c>
      <c r="J3">
        <v>4424</v>
      </c>
    </row>
    <row r="4" spans="1:10" x14ac:dyDescent="0.25">
      <c r="A4" t="s">
        <v>75</v>
      </c>
      <c r="B4" t="s">
        <v>76</v>
      </c>
      <c r="C4" t="s">
        <v>77</v>
      </c>
      <c r="D4">
        <v>105</v>
      </c>
      <c r="E4" t="s">
        <v>78</v>
      </c>
      <c r="F4" t="s">
        <v>268</v>
      </c>
      <c r="G4" t="s">
        <v>332</v>
      </c>
      <c r="H4" t="s">
        <v>281</v>
      </c>
      <c r="I4" t="s">
        <v>282</v>
      </c>
      <c r="J4">
        <v>122937</v>
      </c>
    </row>
    <row r="5" spans="1:10" x14ac:dyDescent="0.25">
      <c r="A5" t="s">
        <v>75</v>
      </c>
      <c r="B5" t="s">
        <v>76</v>
      </c>
      <c r="C5" t="s">
        <v>77</v>
      </c>
      <c r="D5">
        <v>105</v>
      </c>
      <c r="E5" t="s">
        <v>78</v>
      </c>
      <c r="F5" t="s">
        <v>268</v>
      </c>
      <c r="G5" t="s">
        <v>332</v>
      </c>
      <c r="H5" t="s">
        <v>283</v>
      </c>
      <c r="I5" t="s">
        <v>284</v>
      </c>
      <c r="J5">
        <v>-21552</v>
      </c>
    </row>
    <row r="6" spans="1:10" x14ac:dyDescent="0.25">
      <c r="A6" t="s">
        <v>75</v>
      </c>
      <c r="B6" t="s">
        <v>76</v>
      </c>
      <c r="C6" t="s">
        <v>77</v>
      </c>
      <c r="D6">
        <v>105</v>
      </c>
      <c r="E6" t="s">
        <v>78</v>
      </c>
      <c r="F6" t="s">
        <v>268</v>
      </c>
      <c r="G6" t="s">
        <v>332</v>
      </c>
      <c r="H6" t="s">
        <v>285</v>
      </c>
      <c r="I6" t="s">
        <v>286</v>
      </c>
      <c r="J6">
        <v>5194</v>
      </c>
    </row>
    <row r="7" spans="1:10" x14ac:dyDescent="0.25">
      <c r="A7" t="s">
        <v>75</v>
      </c>
      <c r="B7" t="s">
        <v>76</v>
      </c>
      <c r="C7" t="s">
        <v>77</v>
      </c>
      <c r="D7">
        <v>105</v>
      </c>
      <c r="E7" t="s">
        <v>78</v>
      </c>
      <c r="F7" t="s">
        <v>268</v>
      </c>
      <c r="G7" t="s">
        <v>332</v>
      </c>
      <c r="H7" t="s">
        <v>287</v>
      </c>
      <c r="I7" t="s">
        <v>288</v>
      </c>
      <c r="J7">
        <v>-3702242</v>
      </c>
    </row>
    <row r="8" spans="1:10" x14ac:dyDescent="0.25">
      <c r="A8" t="s">
        <v>75</v>
      </c>
      <c r="B8" t="s">
        <v>76</v>
      </c>
      <c r="C8" t="s">
        <v>77</v>
      </c>
      <c r="D8">
        <v>105</v>
      </c>
      <c r="E8" t="s">
        <v>78</v>
      </c>
      <c r="F8" t="s">
        <v>268</v>
      </c>
      <c r="G8" t="s">
        <v>332</v>
      </c>
      <c r="H8" t="s">
        <v>289</v>
      </c>
      <c r="I8" t="s">
        <v>290</v>
      </c>
      <c r="J8">
        <v>13678974</v>
      </c>
    </row>
    <row r="9" spans="1:10" x14ac:dyDescent="0.25">
      <c r="A9" t="s">
        <v>75</v>
      </c>
      <c r="B9" t="s">
        <v>76</v>
      </c>
      <c r="C9" t="s">
        <v>77</v>
      </c>
      <c r="D9">
        <v>105</v>
      </c>
      <c r="E9" t="s">
        <v>78</v>
      </c>
      <c r="F9" t="s">
        <v>268</v>
      </c>
      <c r="G9" t="s">
        <v>332</v>
      </c>
      <c r="H9" t="s">
        <v>291</v>
      </c>
      <c r="I9" t="s">
        <v>292</v>
      </c>
      <c r="J9">
        <v>16438</v>
      </c>
    </row>
    <row r="10" spans="1:10" x14ac:dyDescent="0.25">
      <c r="A10" t="s">
        <v>75</v>
      </c>
      <c r="B10" t="s">
        <v>76</v>
      </c>
      <c r="C10" t="s">
        <v>77</v>
      </c>
      <c r="D10">
        <v>105</v>
      </c>
      <c r="E10" t="s">
        <v>78</v>
      </c>
      <c r="F10" t="s">
        <v>268</v>
      </c>
      <c r="G10" t="s">
        <v>332</v>
      </c>
      <c r="H10" t="s">
        <v>293</v>
      </c>
      <c r="I10" t="s">
        <v>294</v>
      </c>
      <c r="J10">
        <v>45492</v>
      </c>
    </row>
    <row r="11" spans="1:10" x14ac:dyDescent="0.25">
      <c r="A11" t="s">
        <v>75</v>
      </c>
      <c r="B11" t="s">
        <v>76</v>
      </c>
      <c r="C11" t="s">
        <v>77</v>
      </c>
      <c r="D11">
        <v>105</v>
      </c>
      <c r="E11" t="s">
        <v>78</v>
      </c>
      <c r="F11" t="s">
        <v>268</v>
      </c>
      <c r="G11" t="s">
        <v>332</v>
      </c>
      <c r="H11" t="s">
        <v>295</v>
      </c>
      <c r="I11" t="s">
        <v>296</v>
      </c>
      <c r="J11">
        <v>189967</v>
      </c>
    </row>
    <row r="12" spans="1:10" x14ac:dyDescent="0.25">
      <c r="A12" t="s">
        <v>75</v>
      </c>
      <c r="B12" t="s">
        <v>76</v>
      </c>
      <c r="C12" t="s">
        <v>77</v>
      </c>
      <c r="D12">
        <v>105</v>
      </c>
      <c r="E12" t="s">
        <v>78</v>
      </c>
      <c r="F12" t="s">
        <v>268</v>
      </c>
      <c r="G12" t="s">
        <v>332</v>
      </c>
      <c r="H12" t="s">
        <v>297</v>
      </c>
      <c r="I12" t="s">
        <v>298</v>
      </c>
      <c r="J12">
        <v>5970</v>
      </c>
    </row>
    <row r="13" spans="1:10" x14ac:dyDescent="0.25">
      <c r="A13" t="s">
        <v>75</v>
      </c>
      <c r="B13" t="s">
        <v>76</v>
      </c>
      <c r="C13" t="s">
        <v>77</v>
      </c>
      <c r="D13">
        <v>105</v>
      </c>
      <c r="E13" t="s">
        <v>78</v>
      </c>
      <c r="F13" t="s">
        <v>268</v>
      </c>
      <c r="G13" t="s">
        <v>332</v>
      </c>
      <c r="H13" t="s">
        <v>299</v>
      </c>
      <c r="I13" t="s">
        <v>300</v>
      </c>
      <c r="J13">
        <v>254561</v>
      </c>
    </row>
    <row r="14" spans="1:10" x14ac:dyDescent="0.25">
      <c r="A14" t="s">
        <v>75</v>
      </c>
      <c r="B14" t="s">
        <v>76</v>
      </c>
      <c r="C14" t="s">
        <v>77</v>
      </c>
      <c r="D14">
        <v>105</v>
      </c>
      <c r="E14" t="s">
        <v>78</v>
      </c>
      <c r="F14" t="s">
        <v>268</v>
      </c>
      <c r="G14" t="s">
        <v>332</v>
      </c>
      <c r="H14" t="s">
        <v>301</v>
      </c>
      <c r="I14" t="s">
        <v>302</v>
      </c>
      <c r="J14">
        <v>53882</v>
      </c>
    </row>
    <row r="15" spans="1:10" x14ac:dyDescent="0.25">
      <c r="A15" t="s">
        <v>75</v>
      </c>
      <c r="B15" t="s">
        <v>76</v>
      </c>
      <c r="C15" t="s">
        <v>77</v>
      </c>
      <c r="D15">
        <v>105</v>
      </c>
      <c r="E15" t="s">
        <v>78</v>
      </c>
      <c r="F15" t="s">
        <v>268</v>
      </c>
      <c r="G15" t="s">
        <v>332</v>
      </c>
      <c r="H15" t="s">
        <v>303</v>
      </c>
      <c r="I15" t="s">
        <v>304</v>
      </c>
      <c r="J15">
        <v>691244</v>
      </c>
    </row>
    <row r="16" spans="1:10" x14ac:dyDescent="0.25">
      <c r="A16" t="s">
        <v>75</v>
      </c>
      <c r="B16" t="s">
        <v>76</v>
      </c>
      <c r="C16" t="s">
        <v>77</v>
      </c>
      <c r="D16">
        <v>105</v>
      </c>
      <c r="E16" t="s">
        <v>78</v>
      </c>
      <c r="F16" t="s">
        <v>268</v>
      </c>
      <c r="G16" t="s">
        <v>332</v>
      </c>
      <c r="H16" t="s">
        <v>305</v>
      </c>
      <c r="I16" t="s">
        <v>306</v>
      </c>
      <c r="J16">
        <v>3908128</v>
      </c>
    </row>
    <row r="17" spans="1:10" x14ac:dyDescent="0.25">
      <c r="A17" t="s">
        <v>75</v>
      </c>
      <c r="B17" t="s">
        <v>76</v>
      </c>
      <c r="C17" t="s">
        <v>77</v>
      </c>
      <c r="D17">
        <v>105</v>
      </c>
      <c r="E17" t="s">
        <v>78</v>
      </c>
      <c r="F17" t="s">
        <v>268</v>
      </c>
      <c r="G17" t="s">
        <v>332</v>
      </c>
      <c r="H17" t="s">
        <v>307</v>
      </c>
      <c r="I17" t="s">
        <v>308</v>
      </c>
      <c r="J17">
        <v>1959296</v>
      </c>
    </row>
    <row r="18" spans="1:10" x14ac:dyDescent="0.25">
      <c r="A18" t="s">
        <v>75</v>
      </c>
      <c r="B18" t="s">
        <v>76</v>
      </c>
      <c r="C18" t="s">
        <v>77</v>
      </c>
      <c r="D18">
        <v>105</v>
      </c>
      <c r="E18" t="s">
        <v>78</v>
      </c>
      <c r="F18" t="s">
        <v>268</v>
      </c>
      <c r="G18" t="s">
        <v>332</v>
      </c>
      <c r="H18" t="s">
        <v>309</v>
      </c>
      <c r="I18" t="s">
        <v>310</v>
      </c>
      <c r="J18">
        <v>500000</v>
      </c>
    </row>
    <row r="19" spans="1:10" x14ac:dyDescent="0.25">
      <c r="A19" t="s">
        <v>75</v>
      </c>
      <c r="B19" t="s">
        <v>76</v>
      </c>
      <c r="C19" t="s">
        <v>77</v>
      </c>
      <c r="D19">
        <v>105</v>
      </c>
      <c r="E19" t="s">
        <v>78</v>
      </c>
      <c r="F19" t="s">
        <v>268</v>
      </c>
      <c r="G19" t="s">
        <v>332</v>
      </c>
      <c r="H19" t="s">
        <v>311</v>
      </c>
      <c r="I19" t="s">
        <v>312</v>
      </c>
      <c r="J19">
        <v>262500</v>
      </c>
    </row>
    <row r="20" spans="1:10" x14ac:dyDescent="0.25">
      <c r="A20" t="s">
        <v>75</v>
      </c>
      <c r="B20" t="s">
        <v>76</v>
      </c>
      <c r="C20" t="s">
        <v>77</v>
      </c>
      <c r="D20">
        <v>105</v>
      </c>
      <c r="E20" t="s">
        <v>78</v>
      </c>
      <c r="F20" t="s">
        <v>268</v>
      </c>
      <c r="G20" t="s">
        <v>332</v>
      </c>
      <c r="H20" t="s">
        <v>313</v>
      </c>
      <c r="I20" t="s">
        <v>314</v>
      </c>
      <c r="J20">
        <v>69782</v>
      </c>
    </row>
    <row r="21" spans="1:10" x14ac:dyDescent="0.25">
      <c r="A21" t="s">
        <v>75</v>
      </c>
      <c r="B21" t="s">
        <v>76</v>
      </c>
      <c r="C21" t="s">
        <v>77</v>
      </c>
      <c r="D21">
        <v>105</v>
      </c>
      <c r="E21" t="s">
        <v>78</v>
      </c>
      <c r="F21" t="s">
        <v>268</v>
      </c>
      <c r="G21" t="s">
        <v>332</v>
      </c>
      <c r="H21" t="s">
        <v>315</v>
      </c>
      <c r="I21" t="s">
        <v>316</v>
      </c>
      <c r="J21">
        <v>2101</v>
      </c>
    </row>
    <row r="22" spans="1:10" x14ac:dyDescent="0.25">
      <c r="A22" t="s">
        <v>75</v>
      </c>
      <c r="B22" t="s">
        <v>76</v>
      </c>
      <c r="C22" t="s">
        <v>77</v>
      </c>
      <c r="D22">
        <v>105</v>
      </c>
      <c r="E22" t="s">
        <v>78</v>
      </c>
      <c r="F22" t="s">
        <v>268</v>
      </c>
      <c r="G22" t="s">
        <v>332</v>
      </c>
      <c r="H22" t="s">
        <v>317</v>
      </c>
      <c r="I22" t="s">
        <v>318</v>
      </c>
      <c r="J22">
        <v>24215</v>
      </c>
    </row>
    <row r="23" spans="1:10" x14ac:dyDescent="0.25">
      <c r="A23" t="s">
        <v>75</v>
      </c>
      <c r="B23" t="s">
        <v>76</v>
      </c>
      <c r="C23" t="s">
        <v>77</v>
      </c>
      <c r="D23">
        <v>105</v>
      </c>
      <c r="E23" t="s">
        <v>78</v>
      </c>
      <c r="F23" t="s">
        <v>268</v>
      </c>
      <c r="G23" t="s">
        <v>332</v>
      </c>
      <c r="H23" t="s">
        <v>319</v>
      </c>
      <c r="I23" t="s">
        <v>320</v>
      </c>
      <c r="J23">
        <v>4747079</v>
      </c>
    </row>
    <row r="24" spans="1:10" x14ac:dyDescent="0.25">
      <c r="A24" t="s">
        <v>75</v>
      </c>
      <c r="B24" t="s">
        <v>76</v>
      </c>
      <c r="C24" t="s">
        <v>77</v>
      </c>
      <c r="D24">
        <v>105</v>
      </c>
      <c r="E24" t="s">
        <v>78</v>
      </c>
      <c r="F24" t="s">
        <v>268</v>
      </c>
      <c r="G24" t="s">
        <v>332</v>
      </c>
      <c r="H24" t="s">
        <v>321</v>
      </c>
      <c r="I24" t="s">
        <v>322</v>
      </c>
      <c r="J24">
        <v>161005</v>
      </c>
    </row>
    <row r="25" spans="1:10" x14ac:dyDescent="0.25">
      <c r="A25" t="s">
        <v>75</v>
      </c>
      <c r="B25" t="s">
        <v>76</v>
      </c>
      <c r="C25" t="s">
        <v>77</v>
      </c>
      <c r="D25">
        <v>105</v>
      </c>
      <c r="E25" t="s">
        <v>78</v>
      </c>
      <c r="F25" t="s">
        <v>268</v>
      </c>
      <c r="G25" t="s">
        <v>332</v>
      </c>
      <c r="H25" t="s">
        <v>323</v>
      </c>
      <c r="I25" t="s">
        <v>324</v>
      </c>
      <c r="J25">
        <v>2256</v>
      </c>
    </row>
    <row r="26" spans="1:10" x14ac:dyDescent="0.25">
      <c r="A26" t="s">
        <v>75</v>
      </c>
      <c r="B26" t="s">
        <v>76</v>
      </c>
      <c r="C26" t="s">
        <v>77</v>
      </c>
      <c r="D26">
        <v>105</v>
      </c>
      <c r="E26" t="s">
        <v>78</v>
      </c>
      <c r="F26" t="s">
        <v>268</v>
      </c>
      <c r="G26" t="s">
        <v>332</v>
      </c>
      <c r="H26" t="s">
        <v>325</v>
      </c>
      <c r="I26" t="s">
        <v>326</v>
      </c>
      <c r="J26">
        <v>53023</v>
      </c>
    </row>
    <row r="27" spans="1:10" x14ac:dyDescent="0.25">
      <c r="A27" t="s">
        <v>75</v>
      </c>
      <c r="B27" t="s">
        <v>76</v>
      </c>
      <c r="C27" t="s">
        <v>77</v>
      </c>
      <c r="D27">
        <v>105</v>
      </c>
      <c r="E27" t="s">
        <v>78</v>
      </c>
      <c r="F27" t="s">
        <v>268</v>
      </c>
      <c r="G27" t="s">
        <v>332</v>
      </c>
      <c r="H27" t="s">
        <v>325</v>
      </c>
      <c r="I27" t="s">
        <v>327</v>
      </c>
      <c r="J27">
        <v>47909</v>
      </c>
    </row>
    <row r="28" spans="1:10" x14ac:dyDescent="0.25">
      <c r="A28" t="s">
        <v>75</v>
      </c>
      <c r="B28" t="s">
        <v>76</v>
      </c>
      <c r="C28" t="s">
        <v>77</v>
      </c>
      <c r="D28">
        <v>105</v>
      </c>
      <c r="E28" t="s">
        <v>78</v>
      </c>
      <c r="F28" t="s">
        <v>268</v>
      </c>
      <c r="G28" t="s">
        <v>332</v>
      </c>
      <c r="H28" t="s">
        <v>328</v>
      </c>
      <c r="I28" t="s">
        <v>329</v>
      </c>
      <c r="J28">
        <v>4170</v>
      </c>
    </row>
    <row r="29" spans="1:10" x14ac:dyDescent="0.25">
      <c r="A29" t="s">
        <v>75</v>
      </c>
      <c r="B29" t="s">
        <v>76</v>
      </c>
      <c r="C29" t="s">
        <v>77</v>
      </c>
      <c r="D29">
        <v>105</v>
      </c>
      <c r="E29" t="s">
        <v>78</v>
      </c>
      <c r="F29" t="s">
        <v>268</v>
      </c>
      <c r="G29" t="s">
        <v>332</v>
      </c>
      <c r="H29" t="s">
        <v>330</v>
      </c>
      <c r="I29" t="s">
        <v>331</v>
      </c>
      <c r="J29">
        <v>-12166</v>
      </c>
    </row>
    <row r="30" spans="1:10" x14ac:dyDescent="0.25">
      <c r="A30" t="s">
        <v>368</v>
      </c>
      <c r="B30" t="s">
        <v>189</v>
      </c>
      <c r="H30" t="s">
        <v>321</v>
      </c>
      <c r="I30" t="s">
        <v>322</v>
      </c>
      <c r="J30">
        <v>56812</v>
      </c>
    </row>
    <row r="31" spans="1:10" x14ac:dyDescent="0.25">
      <c r="A31" t="s">
        <v>208</v>
      </c>
      <c r="B31" t="s">
        <v>233</v>
      </c>
      <c r="H31" t="s">
        <v>321</v>
      </c>
      <c r="I31" t="s">
        <v>322</v>
      </c>
      <c r="J31">
        <v>86551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7"/>
  <sheetViews>
    <sheetView topLeftCell="A22" workbookViewId="0">
      <selection activeCell="K37" sqref="K37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1" x14ac:dyDescent="0.25">
      <c r="A1" t="s">
        <v>158</v>
      </c>
      <c r="B1" t="s">
        <v>159</v>
      </c>
      <c r="C1" t="s">
        <v>165</v>
      </c>
      <c r="D1" t="s">
        <v>16</v>
      </c>
      <c r="E1" t="s">
        <v>17</v>
      </c>
      <c r="F1" t="s">
        <v>160</v>
      </c>
      <c r="G1" t="s">
        <v>161</v>
      </c>
      <c r="H1" t="s">
        <v>162</v>
      </c>
      <c r="I1" t="s">
        <v>163</v>
      </c>
      <c r="J1" t="s">
        <v>164</v>
      </c>
      <c r="K1" t="s">
        <v>366</v>
      </c>
    </row>
    <row r="2" spans="1:11" x14ac:dyDescent="0.25">
      <c r="A2" t="s">
        <v>75</v>
      </c>
      <c r="B2" t="s">
        <v>76</v>
      </c>
      <c r="C2" t="s">
        <v>77</v>
      </c>
      <c r="D2">
        <v>105</v>
      </c>
      <c r="E2" t="s">
        <v>78</v>
      </c>
      <c r="F2" t="s">
        <v>268</v>
      </c>
      <c r="G2" t="s">
        <v>332</v>
      </c>
      <c r="H2" t="s">
        <v>154</v>
      </c>
      <c r="I2" t="s">
        <v>155</v>
      </c>
      <c r="J2">
        <v>-6775</v>
      </c>
      <c r="K2">
        <v>707681</v>
      </c>
    </row>
    <row r="3" spans="1:11" x14ac:dyDescent="0.25">
      <c r="A3" t="s">
        <v>75</v>
      </c>
      <c r="B3" t="s">
        <v>76</v>
      </c>
      <c r="C3" t="s">
        <v>77</v>
      </c>
      <c r="D3">
        <v>105</v>
      </c>
      <c r="E3" t="s">
        <v>78</v>
      </c>
      <c r="F3" t="s">
        <v>268</v>
      </c>
      <c r="G3" t="s">
        <v>332</v>
      </c>
      <c r="H3" t="s">
        <v>270</v>
      </c>
      <c r="I3" t="s">
        <v>271</v>
      </c>
      <c r="J3">
        <v>642</v>
      </c>
      <c r="K3">
        <v>707681</v>
      </c>
    </row>
    <row r="4" spans="1:11" x14ac:dyDescent="0.25">
      <c r="A4" t="s">
        <v>75</v>
      </c>
      <c r="B4" t="s">
        <v>76</v>
      </c>
      <c r="C4" t="s">
        <v>77</v>
      </c>
      <c r="D4">
        <v>105</v>
      </c>
      <c r="E4" t="s">
        <v>78</v>
      </c>
      <c r="F4" t="s">
        <v>268</v>
      </c>
      <c r="G4" t="s">
        <v>332</v>
      </c>
      <c r="H4" t="s">
        <v>84</v>
      </c>
      <c r="I4" t="s">
        <v>85</v>
      </c>
      <c r="J4">
        <v>1402</v>
      </c>
      <c r="K4">
        <v>707681</v>
      </c>
    </row>
    <row r="5" spans="1:11" x14ac:dyDescent="0.25">
      <c r="A5" t="s">
        <v>75</v>
      </c>
      <c r="B5" t="s">
        <v>76</v>
      </c>
      <c r="C5" t="s">
        <v>77</v>
      </c>
      <c r="D5">
        <v>105</v>
      </c>
      <c r="E5" t="s">
        <v>78</v>
      </c>
      <c r="F5" t="s">
        <v>268</v>
      </c>
      <c r="G5" t="s">
        <v>332</v>
      </c>
      <c r="H5" t="s">
        <v>86</v>
      </c>
      <c r="I5" t="s">
        <v>87</v>
      </c>
      <c r="J5">
        <v>65649</v>
      </c>
      <c r="K5">
        <v>707681</v>
      </c>
    </row>
    <row r="6" spans="1:11" x14ac:dyDescent="0.25">
      <c r="A6" t="s">
        <v>75</v>
      </c>
      <c r="B6" t="s">
        <v>76</v>
      </c>
      <c r="C6" t="s">
        <v>77</v>
      </c>
      <c r="D6">
        <v>105</v>
      </c>
      <c r="E6" t="s">
        <v>78</v>
      </c>
      <c r="F6" t="s">
        <v>268</v>
      </c>
      <c r="G6" t="s">
        <v>332</v>
      </c>
      <c r="H6" t="s">
        <v>88</v>
      </c>
      <c r="I6" t="s">
        <v>89</v>
      </c>
      <c r="J6">
        <v>37280</v>
      </c>
      <c r="K6">
        <v>707681</v>
      </c>
    </row>
    <row r="7" spans="1:11" x14ac:dyDescent="0.25">
      <c r="A7" t="s">
        <v>75</v>
      </c>
      <c r="B7" t="s">
        <v>76</v>
      </c>
      <c r="C7" t="s">
        <v>77</v>
      </c>
      <c r="D7">
        <v>105</v>
      </c>
      <c r="E7" t="s">
        <v>78</v>
      </c>
      <c r="F7" t="s">
        <v>268</v>
      </c>
      <c r="G7" t="s">
        <v>332</v>
      </c>
      <c r="H7" t="s">
        <v>90</v>
      </c>
      <c r="I7" t="s">
        <v>91</v>
      </c>
      <c r="J7">
        <v>30198</v>
      </c>
      <c r="K7">
        <v>707681</v>
      </c>
    </row>
    <row r="8" spans="1:11" x14ac:dyDescent="0.25">
      <c r="A8" t="s">
        <v>75</v>
      </c>
      <c r="B8" t="s">
        <v>76</v>
      </c>
      <c r="C8" t="s">
        <v>77</v>
      </c>
      <c r="D8">
        <v>105</v>
      </c>
      <c r="E8" t="s">
        <v>78</v>
      </c>
      <c r="F8" t="s">
        <v>268</v>
      </c>
      <c r="G8" t="s">
        <v>332</v>
      </c>
      <c r="H8" t="s">
        <v>94</v>
      </c>
      <c r="I8" t="s">
        <v>95</v>
      </c>
      <c r="J8">
        <v>1846</v>
      </c>
      <c r="K8">
        <v>707681</v>
      </c>
    </row>
    <row r="9" spans="1:11" x14ac:dyDescent="0.25">
      <c r="A9" t="s">
        <v>75</v>
      </c>
      <c r="B9" t="s">
        <v>76</v>
      </c>
      <c r="C9" t="s">
        <v>77</v>
      </c>
      <c r="D9">
        <v>105</v>
      </c>
      <c r="E9" t="s">
        <v>78</v>
      </c>
      <c r="F9" t="s">
        <v>268</v>
      </c>
      <c r="G9" t="s">
        <v>332</v>
      </c>
      <c r="H9" t="s">
        <v>96</v>
      </c>
      <c r="I9" t="s">
        <v>97</v>
      </c>
      <c r="J9">
        <v>1040</v>
      </c>
      <c r="K9">
        <v>707681</v>
      </c>
    </row>
    <row r="10" spans="1:11" x14ac:dyDescent="0.25">
      <c r="A10" t="s">
        <v>75</v>
      </c>
      <c r="B10" t="s">
        <v>76</v>
      </c>
      <c r="C10" t="s">
        <v>77</v>
      </c>
      <c r="D10">
        <v>105</v>
      </c>
      <c r="E10" t="s">
        <v>78</v>
      </c>
      <c r="F10" t="s">
        <v>268</v>
      </c>
      <c r="G10" t="s">
        <v>332</v>
      </c>
      <c r="H10" t="s">
        <v>98</v>
      </c>
      <c r="I10" t="s">
        <v>99</v>
      </c>
      <c r="J10">
        <v>11300</v>
      </c>
      <c r="K10">
        <v>707681</v>
      </c>
    </row>
    <row r="11" spans="1:11" x14ac:dyDescent="0.25">
      <c r="A11" t="s">
        <v>75</v>
      </c>
      <c r="B11" t="s">
        <v>76</v>
      </c>
      <c r="C11" t="s">
        <v>77</v>
      </c>
      <c r="D11">
        <v>105</v>
      </c>
      <c r="E11" t="s">
        <v>78</v>
      </c>
      <c r="F11" t="s">
        <v>268</v>
      </c>
      <c r="G11" t="s">
        <v>332</v>
      </c>
      <c r="H11" t="s">
        <v>100</v>
      </c>
      <c r="I11" t="s">
        <v>101</v>
      </c>
      <c r="J11">
        <v>3865</v>
      </c>
      <c r="K11">
        <v>707681</v>
      </c>
    </row>
    <row r="12" spans="1:11" x14ac:dyDescent="0.25">
      <c r="A12" t="s">
        <v>75</v>
      </c>
      <c r="B12" t="s">
        <v>76</v>
      </c>
      <c r="C12" t="s">
        <v>77</v>
      </c>
      <c r="D12">
        <v>105</v>
      </c>
      <c r="E12" t="s">
        <v>78</v>
      </c>
      <c r="F12" t="s">
        <v>268</v>
      </c>
      <c r="G12" t="s">
        <v>332</v>
      </c>
      <c r="H12" t="s">
        <v>102</v>
      </c>
      <c r="I12" t="s">
        <v>103</v>
      </c>
      <c r="J12">
        <v>38978</v>
      </c>
      <c r="K12">
        <v>707681</v>
      </c>
    </row>
    <row r="13" spans="1:11" x14ac:dyDescent="0.25">
      <c r="A13" t="s">
        <v>75</v>
      </c>
      <c r="B13" t="s">
        <v>76</v>
      </c>
      <c r="C13" t="s">
        <v>77</v>
      </c>
      <c r="D13">
        <v>105</v>
      </c>
      <c r="E13" t="s">
        <v>78</v>
      </c>
      <c r="F13" t="s">
        <v>268</v>
      </c>
      <c r="G13" t="s">
        <v>332</v>
      </c>
      <c r="H13" t="s">
        <v>106</v>
      </c>
      <c r="I13" t="s">
        <v>107</v>
      </c>
      <c r="J13">
        <v>350</v>
      </c>
      <c r="K13">
        <v>707681</v>
      </c>
    </row>
    <row r="14" spans="1:11" x14ac:dyDescent="0.25">
      <c r="A14" t="s">
        <v>75</v>
      </c>
      <c r="B14" t="s">
        <v>76</v>
      </c>
      <c r="C14" t="s">
        <v>77</v>
      </c>
      <c r="D14">
        <v>105</v>
      </c>
      <c r="E14" t="s">
        <v>78</v>
      </c>
      <c r="F14" t="s">
        <v>268</v>
      </c>
      <c r="G14" t="s">
        <v>332</v>
      </c>
      <c r="H14" t="s">
        <v>108</v>
      </c>
      <c r="I14" t="s">
        <v>109</v>
      </c>
      <c r="J14">
        <v>6689</v>
      </c>
      <c r="K14">
        <v>707681</v>
      </c>
    </row>
    <row r="15" spans="1:11" x14ac:dyDescent="0.25">
      <c r="A15" t="s">
        <v>75</v>
      </c>
      <c r="B15" t="s">
        <v>76</v>
      </c>
      <c r="C15" t="s">
        <v>77</v>
      </c>
      <c r="D15">
        <v>105</v>
      </c>
      <c r="E15" t="s">
        <v>78</v>
      </c>
      <c r="F15" t="s">
        <v>268</v>
      </c>
      <c r="G15" t="s">
        <v>332</v>
      </c>
      <c r="H15" t="s">
        <v>112</v>
      </c>
      <c r="I15" t="s">
        <v>113</v>
      </c>
      <c r="J15">
        <v>2236</v>
      </c>
      <c r="K15">
        <v>707681</v>
      </c>
    </row>
    <row r="16" spans="1:11" x14ac:dyDescent="0.25">
      <c r="A16" t="s">
        <v>75</v>
      </c>
      <c r="B16" t="s">
        <v>76</v>
      </c>
      <c r="C16" t="s">
        <v>77</v>
      </c>
      <c r="D16">
        <v>105</v>
      </c>
      <c r="E16" t="s">
        <v>78</v>
      </c>
      <c r="F16" t="s">
        <v>268</v>
      </c>
      <c r="G16" t="s">
        <v>332</v>
      </c>
      <c r="H16" t="s">
        <v>114</v>
      </c>
      <c r="I16" t="s">
        <v>115</v>
      </c>
      <c r="J16">
        <v>3467</v>
      </c>
      <c r="K16">
        <v>707681</v>
      </c>
    </row>
    <row r="17" spans="1:11" x14ac:dyDescent="0.25">
      <c r="A17" t="s">
        <v>75</v>
      </c>
      <c r="B17" t="s">
        <v>76</v>
      </c>
      <c r="C17" t="s">
        <v>77</v>
      </c>
      <c r="D17">
        <v>105</v>
      </c>
      <c r="E17" t="s">
        <v>78</v>
      </c>
      <c r="F17" t="s">
        <v>268</v>
      </c>
      <c r="G17" t="s">
        <v>332</v>
      </c>
      <c r="H17" t="s">
        <v>116</v>
      </c>
      <c r="I17" t="s">
        <v>117</v>
      </c>
      <c r="J17">
        <v>21535</v>
      </c>
      <c r="K17">
        <v>707681</v>
      </c>
    </row>
    <row r="18" spans="1:11" x14ac:dyDescent="0.25">
      <c r="A18" t="s">
        <v>75</v>
      </c>
      <c r="B18" t="s">
        <v>76</v>
      </c>
      <c r="C18" t="s">
        <v>77</v>
      </c>
      <c r="D18">
        <v>105</v>
      </c>
      <c r="E18" t="s">
        <v>78</v>
      </c>
      <c r="F18" t="s">
        <v>268</v>
      </c>
      <c r="G18" t="s">
        <v>332</v>
      </c>
      <c r="H18" t="s">
        <v>272</v>
      </c>
      <c r="I18" t="s">
        <v>273</v>
      </c>
      <c r="J18">
        <v>49453</v>
      </c>
      <c r="K18">
        <v>707681</v>
      </c>
    </row>
    <row r="19" spans="1:11" x14ac:dyDescent="0.25">
      <c r="A19" t="s">
        <v>75</v>
      </c>
      <c r="B19" t="s">
        <v>76</v>
      </c>
      <c r="C19" t="s">
        <v>77</v>
      </c>
      <c r="D19">
        <v>105</v>
      </c>
      <c r="E19" t="s">
        <v>78</v>
      </c>
      <c r="F19" t="s">
        <v>268</v>
      </c>
      <c r="G19" t="s">
        <v>332</v>
      </c>
      <c r="H19" t="s">
        <v>118</v>
      </c>
      <c r="I19" t="s">
        <v>119</v>
      </c>
      <c r="J19">
        <v>16970</v>
      </c>
      <c r="K19">
        <v>707681</v>
      </c>
    </row>
    <row r="20" spans="1:11" x14ac:dyDescent="0.25">
      <c r="A20" t="s">
        <v>75</v>
      </c>
      <c r="B20" t="s">
        <v>76</v>
      </c>
      <c r="C20" t="s">
        <v>77</v>
      </c>
      <c r="D20">
        <v>105</v>
      </c>
      <c r="E20" t="s">
        <v>78</v>
      </c>
      <c r="F20" t="s">
        <v>268</v>
      </c>
      <c r="G20" t="s">
        <v>332</v>
      </c>
      <c r="H20" t="s">
        <v>120</v>
      </c>
      <c r="I20" t="s">
        <v>121</v>
      </c>
      <c r="J20">
        <v>-16165</v>
      </c>
      <c r="K20">
        <v>707681</v>
      </c>
    </row>
    <row r="21" spans="1:11" x14ac:dyDescent="0.25">
      <c r="A21" t="s">
        <v>75</v>
      </c>
      <c r="B21" t="s">
        <v>76</v>
      </c>
      <c r="C21" t="s">
        <v>77</v>
      </c>
      <c r="D21">
        <v>105</v>
      </c>
      <c r="E21" t="s">
        <v>78</v>
      </c>
      <c r="F21" t="s">
        <v>268</v>
      </c>
      <c r="G21" t="s">
        <v>332</v>
      </c>
      <c r="H21" t="s">
        <v>124</v>
      </c>
      <c r="I21" t="s">
        <v>125</v>
      </c>
      <c r="J21">
        <v>20561</v>
      </c>
      <c r="K21">
        <v>707681</v>
      </c>
    </row>
    <row r="22" spans="1:11" x14ac:dyDescent="0.25">
      <c r="A22" t="s">
        <v>75</v>
      </c>
      <c r="B22" t="s">
        <v>76</v>
      </c>
      <c r="C22" t="s">
        <v>77</v>
      </c>
      <c r="D22">
        <v>105</v>
      </c>
      <c r="E22" t="s">
        <v>78</v>
      </c>
      <c r="F22" t="s">
        <v>268</v>
      </c>
      <c r="G22" t="s">
        <v>332</v>
      </c>
      <c r="H22" t="s">
        <v>126</v>
      </c>
      <c r="I22" t="s">
        <v>127</v>
      </c>
      <c r="J22">
        <v>129988</v>
      </c>
      <c r="K22">
        <v>707681</v>
      </c>
    </row>
    <row r="23" spans="1:11" x14ac:dyDescent="0.25">
      <c r="A23" t="s">
        <v>75</v>
      </c>
      <c r="B23" t="s">
        <v>76</v>
      </c>
      <c r="C23" t="s">
        <v>77</v>
      </c>
      <c r="D23">
        <v>105</v>
      </c>
      <c r="E23" t="s">
        <v>78</v>
      </c>
      <c r="F23" t="s">
        <v>268</v>
      </c>
      <c r="G23" t="s">
        <v>332</v>
      </c>
      <c r="H23" t="s">
        <v>156</v>
      </c>
      <c r="I23" t="s">
        <v>157</v>
      </c>
      <c r="J23">
        <v>120</v>
      </c>
      <c r="K23">
        <v>707681</v>
      </c>
    </row>
    <row r="24" spans="1:11" x14ac:dyDescent="0.25">
      <c r="A24" t="s">
        <v>75</v>
      </c>
      <c r="B24" t="s">
        <v>76</v>
      </c>
      <c r="C24" t="s">
        <v>77</v>
      </c>
      <c r="D24">
        <v>105</v>
      </c>
      <c r="E24" t="s">
        <v>78</v>
      </c>
      <c r="F24" t="s">
        <v>268</v>
      </c>
      <c r="G24" t="s">
        <v>332</v>
      </c>
      <c r="H24" t="s">
        <v>130</v>
      </c>
      <c r="I24" t="s">
        <v>131</v>
      </c>
      <c r="J24">
        <v>1859</v>
      </c>
      <c r="K24">
        <v>707681</v>
      </c>
    </row>
    <row r="25" spans="1:11" x14ac:dyDescent="0.25">
      <c r="A25" t="s">
        <v>75</v>
      </c>
      <c r="B25" t="s">
        <v>76</v>
      </c>
      <c r="C25" t="s">
        <v>77</v>
      </c>
      <c r="D25">
        <v>105</v>
      </c>
      <c r="E25" t="s">
        <v>78</v>
      </c>
      <c r="F25" t="s">
        <v>268</v>
      </c>
      <c r="G25" t="s">
        <v>332</v>
      </c>
      <c r="H25" t="s">
        <v>132</v>
      </c>
      <c r="I25" t="s">
        <v>133</v>
      </c>
      <c r="J25">
        <v>6308</v>
      </c>
      <c r="K25">
        <v>707681</v>
      </c>
    </row>
    <row r="26" spans="1:11" x14ac:dyDescent="0.25">
      <c r="A26" t="s">
        <v>75</v>
      </c>
      <c r="B26" t="s">
        <v>76</v>
      </c>
      <c r="C26" t="s">
        <v>77</v>
      </c>
      <c r="D26">
        <v>105</v>
      </c>
      <c r="E26" t="s">
        <v>78</v>
      </c>
      <c r="F26" t="s">
        <v>268</v>
      </c>
      <c r="G26" t="s">
        <v>332</v>
      </c>
      <c r="H26" t="s">
        <v>134</v>
      </c>
      <c r="I26" t="s">
        <v>135</v>
      </c>
      <c r="J26">
        <v>10990</v>
      </c>
      <c r="K26">
        <v>707681</v>
      </c>
    </row>
    <row r="27" spans="1:11" x14ac:dyDescent="0.25">
      <c r="A27" t="s">
        <v>75</v>
      </c>
      <c r="B27" t="s">
        <v>76</v>
      </c>
      <c r="C27" t="s">
        <v>77</v>
      </c>
      <c r="D27">
        <v>105</v>
      </c>
      <c r="E27" t="s">
        <v>78</v>
      </c>
      <c r="F27" t="s">
        <v>268</v>
      </c>
      <c r="G27" t="s">
        <v>332</v>
      </c>
      <c r="H27" t="s">
        <v>136</v>
      </c>
      <c r="I27" t="s">
        <v>137</v>
      </c>
      <c r="J27">
        <v>8200</v>
      </c>
      <c r="K27">
        <v>707681</v>
      </c>
    </row>
    <row r="28" spans="1:11" x14ac:dyDescent="0.25">
      <c r="A28" t="s">
        <v>75</v>
      </c>
      <c r="B28" t="s">
        <v>76</v>
      </c>
      <c r="C28" t="s">
        <v>77</v>
      </c>
      <c r="D28">
        <v>105</v>
      </c>
      <c r="E28" t="s">
        <v>78</v>
      </c>
      <c r="F28" t="s">
        <v>268</v>
      </c>
      <c r="G28" t="s">
        <v>332</v>
      </c>
      <c r="H28" t="s">
        <v>138</v>
      </c>
      <c r="I28" t="s">
        <v>139</v>
      </c>
      <c r="J28">
        <v>795</v>
      </c>
      <c r="K28">
        <v>707681</v>
      </c>
    </row>
    <row r="29" spans="1:11" x14ac:dyDescent="0.25">
      <c r="A29" t="s">
        <v>75</v>
      </c>
      <c r="B29" t="s">
        <v>76</v>
      </c>
      <c r="C29" t="s">
        <v>77</v>
      </c>
      <c r="D29">
        <v>105</v>
      </c>
      <c r="E29" t="s">
        <v>78</v>
      </c>
      <c r="F29" t="s">
        <v>268</v>
      </c>
      <c r="G29" t="s">
        <v>332</v>
      </c>
      <c r="H29" t="s">
        <v>140</v>
      </c>
      <c r="I29" t="s">
        <v>141</v>
      </c>
      <c r="J29">
        <v>5354</v>
      </c>
      <c r="K29">
        <v>707681</v>
      </c>
    </row>
    <row r="30" spans="1:11" x14ac:dyDescent="0.25">
      <c r="A30" t="s">
        <v>75</v>
      </c>
      <c r="B30" t="s">
        <v>76</v>
      </c>
      <c r="C30" t="s">
        <v>77</v>
      </c>
      <c r="D30">
        <v>105</v>
      </c>
      <c r="E30" t="s">
        <v>78</v>
      </c>
      <c r="F30" t="s">
        <v>268</v>
      </c>
      <c r="G30" t="s">
        <v>332</v>
      </c>
      <c r="H30" t="s">
        <v>142</v>
      </c>
      <c r="I30" t="s">
        <v>143</v>
      </c>
      <c r="J30">
        <v>20336</v>
      </c>
      <c r="K30">
        <v>707681</v>
      </c>
    </row>
    <row r="31" spans="1:11" x14ac:dyDescent="0.25">
      <c r="A31" t="s">
        <v>75</v>
      </c>
      <c r="B31" t="s">
        <v>76</v>
      </c>
      <c r="C31" t="s">
        <v>77</v>
      </c>
      <c r="D31">
        <v>105</v>
      </c>
      <c r="E31" t="s">
        <v>78</v>
      </c>
      <c r="F31" t="s">
        <v>268</v>
      </c>
      <c r="G31" t="s">
        <v>332</v>
      </c>
      <c r="H31" t="s">
        <v>144</v>
      </c>
      <c r="I31" t="s">
        <v>145</v>
      </c>
      <c r="J31">
        <v>4962</v>
      </c>
      <c r="K31">
        <v>707681</v>
      </c>
    </row>
    <row r="32" spans="1:11" x14ac:dyDescent="0.25">
      <c r="A32" t="s">
        <v>75</v>
      </c>
      <c r="B32" t="s">
        <v>76</v>
      </c>
      <c r="C32" t="s">
        <v>77</v>
      </c>
      <c r="D32">
        <v>105</v>
      </c>
      <c r="E32" t="s">
        <v>78</v>
      </c>
      <c r="F32" t="s">
        <v>268</v>
      </c>
      <c r="G32" t="s">
        <v>332</v>
      </c>
      <c r="H32" t="s">
        <v>146</v>
      </c>
      <c r="I32" t="s">
        <v>147</v>
      </c>
      <c r="J32">
        <v>2160</v>
      </c>
      <c r="K32">
        <v>707681</v>
      </c>
    </row>
    <row r="33" spans="1:11" x14ac:dyDescent="0.25">
      <c r="A33" t="s">
        <v>75</v>
      </c>
      <c r="B33" t="s">
        <v>76</v>
      </c>
      <c r="C33" t="s">
        <v>77</v>
      </c>
      <c r="D33">
        <v>105</v>
      </c>
      <c r="E33" t="s">
        <v>78</v>
      </c>
      <c r="F33" t="s">
        <v>268</v>
      </c>
      <c r="G33" t="s">
        <v>332</v>
      </c>
      <c r="H33" t="s">
        <v>148</v>
      </c>
      <c r="I33" t="s">
        <v>149</v>
      </c>
      <c r="J33">
        <v>46070</v>
      </c>
      <c r="K33">
        <v>707681</v>
      </c>
    </row>
    <row r="34" spans="1:11" x14ac:dyDescent="0.25">
      <c r="A34" t="s">
        <v>75</v>
      </c>
      <c r="B34" t="s">
        <v>76</v>
      </c>
      <c r="C34" t="s">
        <v>77</v>
      </c>
      <c r="D34">
        <v>105</v>
      </c>
      <c r="E34" t="s">
        <v>78</v>
      </c>
      <c r="F34" t="s">
        <v>268</v>
      </c>
      <c r="G34" t="s">
        <v>332</v>
      </c>
      <c r="H34" t="s">
        <v>150</v>
      </c>
      <c r="I34" t="s">
        <v>151</v>
      </c>
      <c r="J34">
        <v>663556</v>
      </c>
      <c r="K34">
        <v>707681</v>
      </c>
    </row>
    <row r="35" spans="1:11" x14ac:dyDescent="0.25">
      <c r="A35" t="s">
        <v>75</v>
      </c>
      <c r="B35" t="s">
        <v>76</v>
      </c>
      <c r="C35" t="s">
        <v>77</v>
      </c>
      <c r="D35">
        <v>105</v>
      </c>
      <c r="E35" t="s">
        <v>78</v>
      </c>
      <c r="F35" t="s">
        <v>268</v>
      </c>
      <c r="G35" t="s">
        <v>332</v>
      </c>
      <c r="H35" t="s">
        <v>274</v>
      </c>
      <c r="I35" t="s">
        <v>275</v>
      </c>
      <c r="J35">
        <v>13966</v>
      </c>
      <c r="K35">
        <v>707681</v>
      </c>
    </row>
    <row r="36" spans="1:11" x14ac:dyDescent="0.25">
      <c r="A36" t="s">
        <v>368</v>
      </c>
      <c r="B36" t="s">
        <v>219</v>
      </c>
      <c r="J36">
        <v>24501</v>
      </c>
      <c r="K36">
        <v>707681</v>
      </c>
    </row>
    <row r="37" spans="1:11" x14ac:dyDescent="0.25">
      <c r="A37" t="s">
        <v>208</v>
      </c>
      <c r="B37" t="s">
        <v>233</v>
      </c>
      <c r="J37">
        <v>54218</v>
      </c>
      <c r="K37">
        <v>707681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330"/>
  <sheetViews>
    <sheetView workbookViewId="0">
      <selection activeCell="A2" sqref="A2:Z1048576"/>
    </sheetView>
  </sheetViews>
  <sheetFormatPr defaultRowHeight="15" x14ac:dyDescent="0.25"/>
  <cols>
    <col min="2" max="2" width="39.5703125" bestFit="1" customWidth="1"/>
    <col min="3" max="3" width="10.7109375" bestFit="1" customWidth="1"/>
    <col min="4" max="4" width="12.140625" bestFit="1" customWidth="1"/>
    <col min="7" max="7" width="12.140625" bestFit="1" customWidth="1"/>
  </cols>
  <sheetData>
    <row r="1" spans="1:4" x14ac:dyDescent="0.25">
      <c r="A1" t="s">
        <v>228</v>
      </c>
      <c r="B1" t="s">
        <v>159</v>
      </c>
      <c r="C1" s="126" t="s">
        <v>229</v>
      </c>
      <c r="D1" t="s">
        <v>230</v>
      </c>
    </row>
    <row r="2" spans="1:4" x14ac:dyDescent="0.25">
      <c r="A2" t="s">
        <v>168</v>
      </c>
      <c r="B2" t="s">
        <v>169</v>
      </c>
      <c r="C2" t="s">
        <v>239</v>
      </c>
      <c r="D2">
        <v>0</v>
      </c>
    </row>
    <row r="3" spans="1:4" x14ac:dyDescent="0.25">
      <c r="A3" t="s">
        <v>168</v>
      </c>
      <c r="B3" t="s">
        <v>169</v>
      </c>
      <c r="C3" t="s">
        <v>240</v>
      </c>
      <c r="D3">
        <v>0</v>
      </c>
    </row>
    <row r="4" spans="1:4" x14ac:dyDescent="0.25">
      <c r="A4" t="s">
        <v>168</v>
      </c>
      <c r="B4" t="s">
        <v>169</v>
      </c>
      <c r="C4" t="s">
        <v>333</v>
      </c>
      <c r="D4">
        <v>0</v>
      </c>
    </row>
    <row r="5" spans="1:4" x14ac:dyDescent="0.25">
      <c r="A5" t="s">
        <v>168</v>
      </c>
      <c r="B5" t="s">
        <v>169</v>
      </c>
      <c r="C5" t="s">
        <v>334</v>
      </c>
      <c r="D5">
        <v>0</v>
      </c>
    </row>
    <row r="6" spans="1:4" x14ac:dyDescent="0.25">
      <c r="A6" t="s">
        <v>168</v>
      </c>
      <c r="B6" t="s">
        <v>169</v>
      </c>
      <c r="C6" t="s">
        <v>335</v>
      </c>
      <c r="D6">
        <v>0</v>
      </c>
    </row>
    <row r="7" spans="1:4" x14ac:dyDescent="0.25">
      <c r="A7" t="s">
        <v>168</v>
      </c>
      <c r="B7" t="s">
        <v>169</v>
      </c>
      <c r="C7" t="s">
        <v>336</v>
      </c>
      <c r="D7">
        <v>0</v>
      </c>
    </row>
    <row r="8" spans="1:4" x14ac:dyDescent="0.25">
      <c r="A8" t="s">
        <v>168</v>
      </c>
      <c r="B8" t="s">
        <v>169</v>
      </c>
      <c r="C8" t="s">
        <v>337</v>
      </c>
      <c r="D8">
        <v>0</v>
      </c>
    </row>
    <row r="9" spans="1:4" x14ac:dyDescent="0.25">
      <c r="A9" t="s">
        <v>168</v>
      </c>
      <c r="B9" t="s">
        <v>169</v>
      </c>
      <c r="C9" t="s">
        <v>338</v>
      </c>
      <c r="D9">
        <v>0</v>
      </c>
    </row>
    <row r="10" spans="1:4" x14ac:dyDescent="0.25">
      <c r="A10" t="s">
        <v>168</v>
      </c>
      <c r="B10" t="s">
        <v>169</v>
      </c>
      <c r="C10" t="s">
        <v>339</v>
      </c>
      <c r="D10">
        <v>0</v>
      </c>
    </row>
    <row r="11" spans="1:4" x14ac:dyDescent="0.25">
      <c r="A11" t="s">
        <v>168</v>
      </c>
      <c r="B11" t="s">
        <v>169</v>
      </c>
      <c r="C11" t="s">
        <v>340</v>
      </c>
      <c r="D11">
        <v>0</v>
      </c>
    </row>
    <row r="12" spans="1:4" x14ac:dyDescent="0.25">
      <c r="A12" t="s">
        <v>168</v>
      </c>
      <c r="B12" t="s">
        <v>169</v>
      </c>
      <c r="C12" t="s">
        <v>341</v>
      </c>
      <c r="D12">
        <v>0</v>
      </c>
    </row>
    <row r="13" spans="1:4" x14ac:dyDescent="0.25">
      <c r="A13" t="s">
        <v>168</v>
      </c>
      <c r="B13" t="s">
        <v>169</v>
      </c>
      <c r="C13" t="s">
        <v>342</v>
      </c>
      <c r="D13">
        <v>0</v>
      </c>
    </row>
    <row r="14" spans="1:4" x14ac:dyDescent="0.25">
      <c r="A14" t="s">
        <v>168</v>
      </c>
      <c r="B14" t="s">
        <v>169</v>
      </c>
      <c r="C14" t="s">
        <v>343</v>
      </c>
      <c r="D14">
        <v>0</v>
      </c>
    </row>
    <row r="15" spans="1:4" x14ac:dyDescent="0.25">
      <c r="A15" t="s">
        <v>168</v>
      </c>
      <c r="B15" t="s">
        <v>169</v>
      </c>
      <c r="C15" t="s">
        <v>344</v>
      </c>
      <c r="D15">
        <v>0</v>
      </c>
    </row>
    <row r="16" spans="1:4" x14ac:dyDescent="0.25">
      <c r="A16" t="s">
        <v>168</v>
      </c>
      <c r="B16" t="s">
        <v>169</v>
      </c>
      <c r="C16" t="s">
        <v>345</v>
      </c>
      <c r="D16">
        <v>0</v>
      </c>
    </row>
    <row r="17" spans="1:4" x14ac:dyDescent="0.25">
      <c r="A17" t="s">
        <v>168</v>
      </c>
      <c r="B17" t="s">
        <v>169</v>
      </c>
      <c r="C17" t="s">
        <v>346</v>
      </c>
      <c r="D17">
        <v>0</v>
      </c>
    </row>
    <row r="18" spans="1:4" x14ac:dyDescent="0.25">
      <c r="A18" t="s">
        <v>168</v>
      </c>
      <c r="B18" t="s">
        <v>169</v>
      </c>
      <c r="C18" t="s">
        <v>347</v>
      </c>
      <c r="D18">
        <v>0</v>
      </c>
    </row>
    <row r="19" spans="1:4" x14ac:dyDescent="0.25">
      <c r="A19" t="s">
        <v>168</v>
      </c>
      <c r="B19" t="s">
        <v>169</v>
      </c>
      <c r="C19" t="s">
        <v>348</v>
      </c>
      <c r="D19">
        <v>0</v>
      </c>
    </row>
    <row r="20" spans="1:4" x14ac:dyDescent="0.25">
      <c r="A20" t="s">
        <v>168</v>
      </c>
      <c r="B20" t="s">
        <v>169</v>
      </c>
      <c r="C20" t="s">
        <v>349</v>
      </c>
      <c r="D20">
        <v>0</v>
      </c>
    </row>
    <row r="21" spans="1:4" x14ac:dyDescent="0.25">
      <c r="A21" t="s">
        <v>168</v>
      </c>
      <c r="B21" t="s">
        <v>169</v>
      </c>
      <c r="C21" t="s">
        <v>350</v>
      </c>
      <c r="D21">
        <v>0</v>
      </c>
    </row>
    <row r="22" spans="1:4" x14ac:dyDescent="0.25">
      <c r="A22" t="s">
        <v>168</v>
      </c>
      <c r="B22" t="s">
        <v>169</v>
      </c>
      <c r="C22" t="s">
        <v>351</v>
      </c>
      <c r="D22">
        <v>0</v>
      </c>
    </row>
    <row r="23" spans="1:4" x14ac:dyDescent="0.25">
      <c r="A23" t="s">
        <v>168</v>
      </c>
      <c r="B23" t="s">
        <v>169</v>
      </c>
      <c r="C23" t="s">
        <v>352</v>
      </c>
      <c r="D23">
        <v>0</v>
      </c>
    </row>
    <row r="24" spans="1:4" x14ac:dyDescent="0.25">
      <c r="A24" t="s">
        <v>168</v>
      </c>
      <c r="B24" t="s">
        <v>169</v>
      </c>
      <c r="C24" t="s">
        <v>353</v>
      </c>
      <c r="D24">
        <v>0</v>
      </c>
    </row>
    <row r="25" spans="1:4" x14ac:dyDescent="0.25">
      <c r="A25" t="s">
        <v>168</v>
      </c>
      <c r="B25" t="s">
        <v>169</v>
      </c>
      <c r="C25" t="s">
        <v>354</v>
      </c>
      <c r="D25">
        <v>0</v>
      </c>
    </row>
    <row r="26" spans="1:4" x14ac:dyDescent="0.25">
      <c r="A26" t="s">
        <v>168</v>
      </c>
      <c r="B26" t="s">
        <v>169</v>
      </c>
      <c r="C26" t="s">
        <v>355</v>
      </c>
      <c r="D26">
        <v>0</v>
      </c>
    </row>
    <row r="27" spans="1:4" x14ac:dyDescent="0.25">
      <c r="A27" t="s">
        <v>168</v>
      </c>
      <c r="B27" t="s">
        <v>169</v>
      </c>
      <c r="C27" t="s">
        <v>356</v>
      </c>
      <c r="D27">
        <v>0</v>
      </c>
    </row>
    <row r="28" spans="1:4" x14ac:dyDescent="0.25">
      <c r="A28" t="s">
        <v>168</v>
      </c>
      <c r="B28" t="s">
        <v>169</v>
      </c>
      <c r="C28" t="s">
        <v>357</v>
      </c>
      <c r="D28">
        <v>0</v>
      </c>
    </row>
    <row r="29" spans="1:4" x14ac:dyDescent="0.25">
      <c r="A29" t="s">
        <v>168</v>
      </c>
      <c r="B29" t="s">
        <v>169</v>
      </c>
      <c r="C29" t="s">
        <v>358</v>
      </c>
      <c r="D29">
        <v>0</v>
      </c>
    </row>
    <row r="30" spans="1:4" x14ac:dyDescent="0.25">
      <c r="A30" t="s">
        <v>168</v>
      </c>
      <c r="B30" t="s">
        <v>169</v>
      </c>
      <c r="C30" t="s">
        <v>359</v>
      </c>
      <c r="D30">
        <v>0</v>
      </c>
    </row>
    <row r="31" spans="1:4" x14ac:dyDescent="0.25">
      <c r="A31" t="s">
        <v>168</v>
      </c>
      <c r="B31" t="s">
        <v>169</v>
      </c>
      <c r="C31" t="s">
        <v>360</v>
      </c>
      <c r="D31">
        <v>0</v>
      </c>
    </row>
    <row r="32" spans="1:4" x14ac:dyDescent="0.25">
      <c r="A32" t="s">
        <v>168</v>
      </c>
      <c r="B32" t="s">
        <v>169</v>
      </c>
      <c r="C32" t="s">
        <v>361</v>
      </c>
      <c r="D32">
        <v>0</v>
      </c>
    </row>
    <row r="33" spans="1:4" x14ac:dyDescent="0.25">
      <c r="A33" t="s">
        <v>168</v>
      </c>
      <c r="B33" t="s">
        <v>169</v>
      </c>
      <c r="C33" t="s">
        <v>362</v>
      </c>
      <c r="D33">
        <v>0</v>
      </c>
    </row>
    <row r="34" spans="1:4" x14ac:dyDescent="0.25">
      <c r="A34" t="s">
        <v>168</v>
      </c>
      <c r="B34" t="s">
        <v>169</v>
      </c>
      <c r="C34" t="s">
        <v>363</v>
      </c>
      <c r="D34">
        <v>0</v>
      </c>
    </row>
    <row r="35" spans="1:4" x14ac:dyDescent="0.25">
      <c r="A35" t="s">
        <v>168</v>
      </c>
      <c r="B35" t="s">
        <v>169</v>
      </c>
      <c r="C35" t="s">
        <v>364</v>
      </c>
      <c r="D35">
        <v>0</v>
      </c>
    </row>
    <row r="36" spans="1:4" x14ac:dyDescent="0.25">
      <c r="A36" t="s">
        <v>168</v>
      </c>
      <c r="B36" t="s">
        <v>169</v>
      </c>
      <c r="C36" t="s">
        <v>365</v>
      </c>
      <c r="D36">
        <v>0</v>
      </c>
    </row>
    <row r="37" spans="1:4" x14ac:dyDescent="0.25">
      <c r="A37" t="s">
        <v>170</v>
      </c>
      <c r="B37" t="s">
        <v>171</v>
      </c>
      <c r="C37" t="s">
        <v>239</v>
      </c>
      <c r="D37">
        <v>0</v>
      </c>
    </row>
    <row r="38" spans="1:4" x14ac:dyDescent="0.25">
      <c r="A38" t="s">
        <v>170</v>
      </c>
      <c r="B38" t="s">
        <v>171</v>
      </c>
      <c r="C38" t="s">
        <v>240</v>
      </c>
      <c r="D38">
        <v>0</v>
      </c>
    </row>
    <row r="39" spans="1:4" x14ac:dyDescent="0.25">
      <c r="A39" t="s">
        <v>170</v>
      </c>
      <c r="B39" t="s">
        <v>171</v>
      </c>
      <c r="C39" t="s">
        <v>333</v>
      </c>
      <c r="D39">
        <v>0</v>
      </c>
    </row>
    <row r="40" spans="1:4" x14ac:dyDescent="0.25">
      <c r="A40" t="s">
        <v>170</v>
      </c>
      <c r="B40" t="s">
        <v>171</v>
      </c>
      <c r="C40" t="s">
        <v>334</v>
      </c>
      <c r="D40">
        <v>0</v>
      </c>
    </row>
    <row r="41" spans="1:4" x14ac:dyDescent="0.25">
      <c r="A41" t="s">
        <v>170</v>
      </c>
      <c r="B41" t="s">
        <v>171</v>
      </c>
      <c r="C41" t="s">
        <v>335</v>
      </c>
      <c r="D41">
        <v>0</v>
      </c>
    </row>
    <row r="42" spans="1:4" x14ac:dyDescent="0.25">
      <c r="A42" t="s">
        <v>170</v>
      </c>
      <c r="B42" t="s">
        <v>171</v>
      </c>
      <c r="C42" t="s">
        <v>336</v>
      </c>
      <c r="D42">
        <v>0</v>
      </c>
    </row>
    <row r="43" spans="1:4" x14ac:dyDescent="0.25">
      <c r="A43" t="s">
        <v>170</v>
      </c>
      <c r="B43" t="s">
        <v>171</v>
      </c>
      <c r="C43" t="s">
        <v>337</v>
      </c>
      <c r="D43">
        <v>0</v>
      </c>
    </row>
    <row r="44" spans="1:4" x14ac:dyDescent="0.25">
      <c r="A44" t="s">
        <v>170</v>
      </c>
      <c r="B44" t="s">
        <v>171</v>
      </c>
      <c r="C44" t="s">
        <v>338</v>
      </c>
      <c r="D44">
        <v>0</v>
      </c>
    </row>
    <row r="45" spans="1:4" x14ac:dyDescent="0.25">
      <c r="A45" t="s">
        <v>170</v>
      </c>
      <c r="B45" t="s">
        <v>171</v>
      </c>
      <c r="C45" t="s">
        <v>339</v>
      </c>
      <c r="D45">
        <v>0</v>
      </c>
    </row>
    <row r="46" spans="1:4" x14ac:dyDescent="0.25">
      <c r="A46" t="s">
        <v>170</v>
      </c>
      <c r="B46" t="s">
        <v>171</v>
      </c>
      <c r="C46" t="s">
        <v>340</v>
      </c>
      <c r="D46">
        <v>0</v>
      </c>
    </row>
    <row r="47" spans="1:4" x14ac:dyDescent="0.25">
      <c r="A47" t="s">
        <v>170</v>
      </c>
      <c r="B47" t="s">
        <v>171</v>
      </c>
      <c r="C47" t="s">
        <v>341</v>
      </c>
      <c r="D47">
        <v>0</v>
      </c>
    </row>
    <row r="48" spans="1:4" x14ac:dyDescent="0.25">
      <c r="A48" t="s">
        <v>170</v>
      </c>
      <c r="B48" t="s">
        <v>171</v>
      </c>
      <c r="C48" t="s">
        <v>342</v>
      </c>
      <c r="D48">
        <v>0</v>
      </c>
    </row>
    <row r="49" spans="1:4" x14ac:dyDescent="0.25">
      <c r="A49" t="s">
        <v>170</v>
      </c>
      <c r="B49" t="s">
        <v>171</v>
      </c>
      <c r="C49" t="s">
        <v>343</v>
      </c>
      <c r="D49">
        <v>0</v>
      </c>
    </row>
    <row r="50" spans="1:4" x14ac:dyDescent="0.25">
      <c r="A50" t="s">
        <v>170</v>
      </c>
      <c r="B50" t="s">
        <v>171</v>
      </c>
      <c r="C50" t="s">
        <v>344</v>
      </c>
      <c r="D50">
        <v>0</v>
      </c>
    </row>
    <row r="51" spans="1:4" x14ac:dyDescent="0.25">
      <c r="A51" t="s">
        <v>170</v>
      </c>
      <c r="B51" t="s">
        <v>171</v>
      </c>
      <c r="C51" t="s">
        <v>345</v>
      </c>
      <c r="D51">
        <v>0</v>
      </c>
    </row>
    <row r="52" spans="1:4" x14ac:dyDescent="0.25">
      <c r="A52" t="s">
        <v>170</v>
      </c>
      <c r="B52" t="s">
        <v>171</v>
      </c>
      <c r="C52" t="s">
        <v>346</v>
      </c>
      <c r="D52">
        <v>0</v>
      </c>
    </row>
    <row r="53" spans="1:4" x14ac:dyDescent="0.25">
      <c r="A53" t="s">
        <v>170</v>
      </c>
      <c r="B53" t="s">
        <v>171</v>
      </c>
      <c r="C53" t="s">
        <v>347</v>
      </c>
      <c r="D53">
        <v>0</v>
      </c>
    </row>
    <row r="54" spans="1:4" x14ac:dyDescent="0.25">
      <c r="A54" t="s">
        <v>170</v>
      </c>
      <c r="B54" t="s">
        <v>171</v>
      </c>
      <c r="C54" t="s">
        <v>348</v>
      </c>
      <c r="D54">
        <v>0</v>
      </c>
    </row>
    <row r="55" spans="1:4" x14ac:dyDescent="0.25">
      <c r="A55" t="s">
        <v>170</v>
      </c>
      <c r="B55" t="s">
        <v>171</v>
      </c>
      <c r="C55" t="s">
        <v>349</v>
      </c>
      <c r="D55">
        <v>0</v>
      </c>
    </row>
    <row r="56" spans="1:4" x14ac:dyDescent="0.25">
      <c r="A56" t="s">
        <v>170</v>
      </c>
      <c r="B56" t="s">
        <v>171</v>
      </c>
      <c r="C56" t="s">
        <v>350</v>
      </c>
      <c r="D56">
        <v>0</v>
      </c>
    </row>
    <row r="57" spans="1:4" x14ac:dyDescent="0.25">
      <c r="A57" t="s">
        <v>170</v>
      </c>
      <c r="B57" t="s">
        <v>171</v>
      </c>
      <c r="C57" t="s">
        <v>351</v>
      </c>
      <c r="D57">
        <v>0</v>
      </c>
    </row>
    <row r="58" spans="1:4" x14ac:dyDescent="0.25">
      <c r="A58" t="s">
        <v>170</v>
      </c>
      <c r="B58" t="s">
        <v>171</v>
      </c>
      <c r="C58" t="s">
        <v>352</v>
      </c>
      <c r="D58">
        <v>0</v>
      </c>
    </row>
    <row r="59" spans="1:4" x14ac:dyDescent="0.25">
      <c r="A59" t="s">
        <v>170</v>
      </c>
      <c r="B59" t="s">
        <v>171</v>
      </c>
      <c r="C59" t="s">
        <v>353</v>
      </c>
      <c r="D59">
        <v>0.43</v>
      </c>
    </row>
    <row r="60" spans="1:4" x14ac:dyDescent="0.25">
      <c r="A60" t="s">
        <v>170</v>
      </c>
      <c r="B60" t="s">
        <v>171</v>
      </c>
      <c r="C60" t="s">
        <v>354</v>
      </c>
      <c r="D60">
        <v>9</v>
      </c>
    </row>
    <row r="61" spans="1:4" x14ac:dyDescent="0.25">
      <c r="A61" t="s">
        <v>170</v>
      </c>
      <c r="B61" t="s">
        <v>171</v>
      </c>
      <c r="C61" t="s">
        <v>355</v>
      </c>
      <c r="D61">
        <v>10.5</v>
      </c>
    </row>
    <row r="62" spans="1:4" x14ac:dyDescent="0.25">
      <c r="A62" t="s">
        <v>170</v>
      </c>
      <c r="B62" t="s">
        <v>171</v>
      </c>
      <c r="C62" t="s">
        <v>356</v>
      </c>
      <c r="D62">
        <v>9</v>
      </c>
    </row>
    <row r="63" spans="1:4" x14ac:dyDescent="0.25">
      <c r="A63" t="s">
        <v>170</v>
      </c>
      <c r="B63" t="s">
        <v>171</v>
      </c>
      <c r="C63" t="s">
        <v>357</v>
      </c>
      <c r="D63">
        <v>8</v>
      </c>
    </row>
    <row r="64" spans="1:4" x14ac:dyDescent="0.25">
      <c r="A64" t="s">
        <v>170</v>
      </c>
      <c r="B64" t="s">
        <v>171</v>
      </c>
      <c r="C64" t="s">
        <v>358</v>
      </c>
      <c r="D64">
        <v>6.8</v>
      </c>
    </row>
    <row r="65" spans="1:4" x14ac:dyDescent="0.25">
      <c r="A65" t="s">
        <v>170</v>
      </c>
      <c r="B65" t="s">
        <v>171</v>
      </c>
      <c r="C65" t="s">
        <v>359</v>
      </c>
      <c r="D65">
        <v>8.17</v>
      </c>
    </row>
    <row r="66" spans="1:4" x14ac:dyDescent="0.25">
      <c r="A66" t="s">
        <v>170</v>
      </c>
      <c r="B66" t="s">
        <v>171</v>
      </c>
      <c r="C66" t="s">
        <v>360</v>
      </c>
      <c r="D66">
        <v>7</v>
      </c>
    </row>
    <row r="67" spans="1:4" x14ac:dyDescent="0.25">
      <c r="A67" t="s">
        <v>170</v>
      </c>
      <c r="B67" t="s">
        <v>171</v>
      </c>
      <c r="C67" t="s">
        <v>361</v>
      </c>
      <c r="D67">
        <v>6.12</v>
      </c>
    </row>
    <row r="68" spans="1:4" x14ac:dyDescent="0.25">
      <c r="A68" t="s">
        <v>170</v>
      </c>
      <c r="B68" t="s">
        <v>171</v>
      </c>
      <c r="C68" t="s">
        <v>362</v>
      </c>
      <c r="D68">
        <v>5.44</v>
      </c>
    </row>
    <row r="69" spans="1:4" x14ac:dyDescent="0.25">
      <c r="A69" t="s">
        <v>170</v>
      </c>
      <c r="B69" t="s">
        <v>171</v>
      </c>
      <c r="C69" t="s">
        <v>363</v>
      </c>
      <c r="D69">
        <v>4.9000000000000004</v>
      </c>
    </row>
    <row r="70" spans="1:4" x14ac:dyDescent="0.25">
      <c r="A70" t="s">
        <v>170</v>
      </c>
      <c r="B70" t="s">
        <v>171</v>
      </c>
      <c r="C70" t="s">
        <v>364</v>
      </c>
      <c r="D70">
        <v>4.45</v>
      </c>
    </row>
    <row r="71" spans="1:4" x14ac:dyDescent="0.25">
      <c r="A71" t="s">
        <v>170</v>
      </c>
      <c r="B71" t="s">
        <v>171</v>
      </c>
      <c r="C71" t="s">
        <v>365</v>
      </c>
      <c r="D71">
        <v>4.08</v>
      </c>
    </row>
    <row r="72" spans="1:4" x14ac:dyDescent="0.25">
      <c r="A72" t="s">
        <v>172</v>
      </c>
      <c r="B72" t="s">
        <v>173</v>
      </c>
      <c r="C72" t="s">
        <v>239</v>
      </c>
      <c r="D72">
        <v>0</v>
      </c>
    </row>
    <row r="73" spans="1:4" x14ac:dyDescent="0.25">
      <c r="A73" t="s">
        <v>172</v>
      </c>
      <c r="B73" t="s">
        <v>173</v>
      </c>
      <c r="C73" t="s">
        <v>240</v>
      </c>
      <c r="D73">
        <v>0</v>
      </c>
    </row>
    <row r="74" spans="1:4" x14ac:dyDescent="0.25">
      <c r="A74" t="s">
        <v>172</v>
      </c>
      <c r="B74" t="s">
        <v>173</v>
      </c>
      <c r="C74" t="s">
        <v>333</v>
      </c>
      <c r="D74">
        <v>0</v>
      </c>
    </row>
    <row r="75" spans="1:4" x14ac:dyDescent="0.25">
      <c r="A75" t="s">
        <v>172</v>
      </c>
      <c r="B75" t="s">
        <v>173</v>
      </c>
      <c r="C75" t="s">
        <v>334</v>
      </c>
      <c r="D75">
        <v>0</v>
      </c>
    </row>
    <row r="76" spans="1:4" x14ac:dyDescent="0.25">
      <c r="A76" t="s">
        <v>172</v>
      </c>
      <c r="B76" t="s">
        <v>173</v>
      </c>
      <c r="C76" t="s">
        <v>335</v>
      </c>
      <c r="D76">
        <v>0</v>
      </c>
    </row>
    <row r="77" spans="1:4" x14ac:dyDescent="0.25">
      <c r="A77" t="s">
        <v>172</v>
      </c>
      <c r="B77" t="s">
        <v>173</v>
      </c>
      <c r="C77" t="s">
        <v>336</v>
      </c>
      <c r="D77">
        <v>0</v>
      </c>
    </row>
    <row r="78" spans="1:4" x14ac:dyDescent="0.25">
      <c r="A78" t="s">
        <v>172</v>
      </c>
      <c r="B78" t="s">
        <v>173</v>
      </c>
      <c r="C78" t="s">
        <v>337</v>
      </c>
      <c r="D78">
        <v>0</v>
      </c>
    </row>
    <row r="79" spans="1:4" x14ac:dyDescent="0.25">
      <c r="A79" t="s">
        <v>172</v>
      </c>
      <c r="B79" t="s">
        <v>173</v>
      </c>
      <c r="C79" t="s">
        <v>338</v>
      </c>
      <c r="D79">
        <v>0</v>
      </c>
    </row>
    <row r="80" spans="1:4" x14ac:dyDescent="0.25">
      <c r="A80" t="s">
        <v>172</v>
      </c>
      <c r="B80" t="s">
        <v>173</v>
      </c>
      <c r="C80" t="s">
        <v>339</v>
      </c>
      <c r="D80">
        <v>0</v>
      </c>
    </row>
    <row r="81" spans="1:4" x14ac:dyDescent="0.25">
      <c r="A81" t="s">
        <v>172</v>
      </c>
      <c r="B81" t="s">
        <v>173</v>
      </c>
      <c r="C81" t="s">
        <v>340</v>
      </c>
      <c r="D81">
        <v>0</v>
      </c>
    </row>
    <row r="82" spans="1:4" x14ac:dyDescent="0.25">
      <c r="A82" t="s">
        <v>172</v>
      </c>
      <c r="B82" t="s">
        <v>173</v>
      </c>
      <c r="C82" t="s">
        <v>341</v>
      </c>
      <c r="D82">
        <v>0</v>
      </c>
    </row>
    <row r="83" spans="1:4" x14ac:dyDescent="0.25">
      <c r="A83" t="s">
        <v>172</v>
      </c>
      <c r="B83" t="s">
        <v>173</v>
      </c>
      <c r="C83" t="s">
        <v>342</v>
      </c>
      <c r="D83">
        <v>0</v>
      </c>
    </row>
    <row r="84" spans="1:4" x14ac:dyDescent="0.25">
      <c r="A84" t="s">
        <v>172</v>
      </c>
      <c r="B84" t="s">
        <v>173</v>
      </c>
      <c r="C84" t="s">
        <v>343</v>
      </c>
      <c r="D84">
        <v>0</v>
      </c>
    </row>
    <row r="85" spans="1:4" x14ac:dyDescent="0.25">
      <c r="A85" t="s">
        <v>172</v>
      </c>
      <c r="B85" t="s">
        <v>173</v>
      </c>
      <c r="C85" t="s">
        <v>344</v>
      </c>
      <c r="D85">
        <v>0</v>
      </c>
    </row>
    <row r="86" spans="1:4" x14ac:dyDescent="0.25">
      <c r="A86" t="s">
        <v>172</v>
      </c>
      <c r="B86" t="s">
        <v>173</v>
      </c>
      <c r="C86" t="s">
        <v>345</v>
      </c>
      <c r="D86">
        <v>0</v>
      </c>
    </row>
    <row r="87" spans="1:4" x14ac:dyDescent="0.25">
      <c r="A87" t="s">
        <v>172</v>
      </c>
      <c r="B87" t="s">
        <v>173</v>
      </c>
      <c r="C87" t="s">
        <v>346</v>
      </c>
      <c r="D87">
        <v>0</v>
      </c>
    </row>
    <row r="88" spans="1:4" x14ac:dyDescent="0.25">
      <c r="A88" t="s">
        <v>172</v>
      </c>
      <c r="B88" t="s">
        <v>173</v>
      </c>
      <c r="C88" t="s">
        <v>347</v>
      </c>
      <c r="D88">
        <v>0</v>
      </c>
    </row>
    <row r="89" spans="1:4" x14ac:dyDescent="0.25">
      <c r="A89" t="s">
        <v>172</v>
      </c>
      <c r="B89" t="s">
        <v>173</v>
      </c>
      <c r="C89" t="s">
        <v>348</v>
      </c>
      <c r="D89">
        <v>0</v>
      </c>
    </row>
    <row r="90" spans="1:4" x14ac:dyDescent="0.25">
      <c r="A90" t="s">
        <v>172</v>
      </c>
      <c r="B90" t="s">
        <v>173</v>
      </c>
      <c r="C90" t="s">
        <v>349</v>
      </c>
      <c r="D90">
        <v>0</v>
      </c>
    </row>
    <row r="91" spans="1:4" x14ac:dyDescent="0.25">
      <c r="A91" t="s">
        <v>172</v>
      </c>
      <c r="B91" t="s">
        <v>173</v>
      </c>
      <c r="C91" t="s">
        <v>350</v>
      </c>
      <c r="D91">
        <v>0</v>
      </c>
    </row>
    <row r="92" spans="1:4" x14ac:dyDescent="0.25">
      <c r="A92" t="s">
        <v>172</v>
      </c>
      <c r="B92" t="s">
        <v>173</v>
      </c>
      <c r="C92" t="s">
        <v>351</v>
      </c>
      <c r="D92">
        <v>0</v>
      </c>
    </row>
    <row r="93" spans="1:4" x14ac:dyDescent="0.25">
      <c r="A93" t="s">
        <v>172</v>
      </c>
      <c r="B93" t="s">
        <v>173</v>
      </c>
      <c r="C93" t="s">
        <v>352</v>
      </c>
      <c r="D93">
        <v>0</v>
      </c>
    </row>
    <row r="94" spans="1:4" x14ac:dyDescent="0.25">
      <c r="A94" t="s">
        <v>172</v>
      </c>
      <c r="B94" t="s">
        <v>173</v>
      </c>
      <c r="C94" t="s">
        <v>353</v>
      </c>
      <c r="D94">
        <v>0</v>
      </c>
    </row>
    <row r="95" spans="1:4" x14ac:dyDescent="0.25">
      <c r="A95" t="s">
        <v>172</v>
      </c>
      <c r="B95" t="s">
        <v>173</v>
      </c>
      <c r="C95" t="s">
        <v>354</v>
      </c>
      <c r="D95">
        <v>0</v>
      </c>
    </row>
    <row r="96" spans="1:4" x14ac:dyDescent="0.25">
      <c r="A96" t="s">
        <v>172</v>
      </c>
      <c r="B96" t="s">
        <v>173</v>
      </c>
      <c r="C96" t="s">
        <v>355</v>
      </c>
      <c r="D96">
        <v>0</v>
      </c>
    </row>
    <row r="97" spans="1:4" x14ac:dyDescent="0.25">
      <c r="A97" t="s">
        <v>172</v>
      </c>
      <c r="B97" t="s">
        <v>173</v>
      </c>
      <c r="C97" t="s">
        <v>356</v>
      </c>
      <c r="D97">
        <v>0</v>
      </c>
    </row>
    <row r="98" spans="1:4" x14ac:dyDescent="0.25">
      <c r="A98" t="s">
        <v>172</v>
      </c>
      <c r="B98" t="s">
        <v>173</v>
      </c>
      <c r="C98" t="s">
        <v>357</v>
      </c>
      <c r="D98">
        <v>0</v>
      </c>
    </row>
    <row r="99" spans="1:4" x14ac:dyDescent="0.25">
      <c r="A99" t="s">
        <v>172</v>
      </c>
      <c r="B99" t="s">
        <v>173</v>
      </c>
      <c r="C99" t="s">
        <v>358</v>
      </c>
      <c r="D99">
        <v>0</v>
      </c>
    </row>
    <row r="100" spans="1:4" x14ac:dyDescent="0.25">
      <c r="A100" t="s">
        <v>172</v>
      </c>
      <c r="B100" t="s">
        <v>173</v>
      </c>
      <c r="C100" t="s">
        <v>359</v>
      </c>
      <c r="D100">
        <v>0</v>
      </c>
    </row>
    <row r="101" spans="1:4" x14ac:dyDescent="0.25">
      <c r="A101" t="s">
        <v>172</v>
      </c>
      <c r="B101" t="s">
        <v>173</v>
      </c>
      <c r="C101" t="s">
        <v>360</v>
      </c>
      <c r="D101">
        <v>0</v>
      </c>
    </row>
    <row r="102" spans="1:4" x14ac:dyDescent="0.25">
      <c r="A102" t="s">
        <v>172</v>
      </c>
      <c r="B102" t="s">
        <v>173</v>
      </c>
      <c r="C102" t="s">
        <v>361</v>
      </c>
      <c r="D102">
        <v>0</v>
      </c>
    </row>
    <row r="103" spans="1:4" x14ac:dyDescent="0.25">
      <c r="A103" t="s">
        <v>172</v>
      </c>
      <c r="B103" t="s">
        <v>173</v>
      </c>
      <c r="C103" t="s">
        <v>362</v>
      </c>
      <c r="D103">
        <v>0</v>
      </c>
    </row>
    <row r="104" spans="1:4" x14ac:dyDescent="0.25">
      <c r="A104" t="s">
        <v>172</v>
      </c>
      <c r="B104" t="s">
        <v>173</v>
      </c>
      <c r="C104" t="s">
        <v>363</v>
      </c>
      <c r="D104">
        <v>0</v>
      </c>
    </row>
    <row r="105" spans="1:4" x14ac:dyDescent="0.25">
      <c r="A105" t="s">
        <v>172</v>
      </c>
      <c r="B105" t="s">
        <v>173</v>
      </c>
      <c r="C105" t="s">
        <v>364</v>
      </c>
      <c r="D105">
        <v>0</v>
      </c>
    </row>
    <row r="106" spans="1:4" x14ac:dyDescent="0.25">
      <c r="A106" t="s">
        <v>172</v>
      </c>
      <c r="B106" t="s">
        <v>173</v>
      </c>
      <c r="C106" t="s">
        <v>365</v>
      </c>
      <c r="D106">
        <v>0</v>
      </c>
    </row>
    <row r="107" spans="1:4" x14ac:dyDescent="0.25">
      <c r="A107" t="s">
        <v>174</v>
      </c>
      <c r="B107" t="s">
        <v>175</v>
      </c>
      <c r="C107" t="s">
        <v>239</v>
      </c>
      <c r="D107">
        <v>0</v>
      </c>
    </row>
    <row r="108" spans="1:4" x14ac:dyDescent="0.25">
      <c r="A108" t="s">
        <v>174</v>
      </c>
      <c r="B108" t="s">
        <v>175</v>
      </c>
      <c r="C108" t="s">
        <v>240</v>
      </c>
      <c r="D108">
        <v>0</v>
      </c>
    </row>
    <row r="109" spans="1:4" x14ac:dyDescent="0.25">
      <c r="A109" t="s">
        <v>174</v>
      </c>
      <c r="B109" t="s">
        <v>175</v>
      </c>
      <c r="C109" t="s">
        <v>333</v>
      </c>
      <c r="D109">
        <v>0</v>
      </c>
    </row>
    <row r="110" spans="1:4" x14ac:dyDescent="0.25">
      <c r="A110" t="s">
        <v>174</v>
      </c>
      <c r="B110" t="s">
        <v>175</v>
      </c>
      <c r="C110" t="s">
        <v>334</v>
      </c>
      <c r="D110">
        <v>0</v>
      </c>
    </row>
    <row r="111" spans="1:4" x14ac:dyDescent="0.25">
      <c r="A111" t="s">
        <v>174</v>
      </c>
      <c r="B111" t="s">
        <v>175</v>
      </c>
      <c r="C111" t="s">
        <v>335</v>
      </c>
      <c r="D111">
        <v>0</v>
      </c>
    </row>
    <row r="112" spans="1:4" x14ac:dyDescent="0.25">
      <c r="A112" t="s">
        <v>174</v>
      </c>
      <c r="B112" t="s">
        <v>175</v>
      </c>
      <c r="C112" t="s">
        <v>336</v>
      </c>
      <c r="D112">
        <v>0</v>
      </c>
    </row>
    <row r="113" spans="1:4" x14ac:dyDescent="0.25">
      <c r="A113" t="s">
        <v>174</v>
      </c>
      <c r="B113" t="s">
        <v>175</v>
      </c>
      <c r="C113" t="s">
        <v>337</v>
      </c>
      <c r="D113">
        <v>0</v>
      </c>
    </row>
    <row r="114" spans="1:4" x14ac:dyDescent="0.25">
      <c r="A114" t="s">
        <v>174</v>
      </c>
      <c r="B114" t="s">
        <v>175</v>
      </c>
      <c r="C114" t="s">
        <v>338</v>
      </c>
      <c r="D114">
        <v>0</v>
      </c>
    </row>
    <row r="115" spans="1:4" x14ac:dyDescent="0.25">
      <c r="A115" t="s">
        <v>174</v>
      </c>
      <c r="B115" t="s">
        <v>175</v>
      </c>
      <c r="C115" t="s">
        <v>339</v>
      </c>
      <c r="D115">
        <v>0</v>
      </c>
    </row>
    <row r="116" spans="1:4" x14ac:dyDescent="0.25">
      <c r="A116" t="s">
        <v>174</v>
      </c>
      <c r="B116" t="s">
        <v>175</v>
      </c>
      <c r="C116" t="s">
        <v>340</v>
      </c>
      <c r="D116">
        <v>0</v>
      </c>
    </row>
    <row r="117" spans="1:4" x14ac:dyDescent="0.25">
      <c r="A117" t="s">
        <v>174</v>
      </c>
      <c r="B117" t="s">
        <v>175</v>
      </c>
      <c r="C117" t="s">
        <v>341</v>
      </c>
      <c r="D117">
        <v>0</v>
      </c>
    </row>
    <row r="118" spans="1:4" x14ac:dyDescent="0.25">
      <c r="A118" t="s">
        <v>174</v>
      </c>
      <c r="B118" t="s">
        <v>175</v>
      </c>
      <c r="C118" t="s">
        <v>342</v>
      </c>
      <c r="D118">
        <v>0</v>
      </c>
    </row>
    <row r="119" spans="1:4" x14ac:dyDescent="0.25">
      <c r="A119" t="s">
        <v>174</v>
      </c>
      <c r="B119" t="s">
        <v>175</v>
      </c>
      <c r="C119" t="s">
        <v>343</v>
      </c>
      <c r="D119">
        <v>0</v>
      </c>
    </row>
    <row r="120" spans="1:4" x14ac:dyDescent="0.25">
      <c r="A120" t="s">
        <v>174</v>
      </c>
      <c r="B120" t="s">
        <v>175</v>
      </c>
      <c r="C120" t="s">
        <v>344</v>
      </c>
      <c r="D120">
        <v>0</v>
      </c>
    </row>
    <row r="121" spans="1:4" x14ac:dyDescent="0.25">
      <c r="A121" t="s">
        <v>174</v>
      </c>
      <c r="B121" t="s">
        <v>175</v>
      </c>
      <c r="C121" t="s">
        <v>345</v>
      </c>
      <c r="D121">
        <v>0</v>
      </c>
    </row>
    <row r="122" spans="1:4" x14ac:dyDescent="0.25">
      <c r="A122" t="s">
        <v>174</v>
      </c>
      <c r="B122" t="s">
        <v>175</v>
      </c>
      <c r="C122" t="s">
        <v>346</v>
      </c>
      <c r="D122">
        <v>0</v>
      </c>
    </row>
    <row r="123" spans="1:4" x14ac:dyDescent="0.25">
      <c r="A123" t="s">
        <v>174</v>
      </c>
      <c r="B123" t="s">
        <v>175</v>
      </c>
      <c r="C123" t="s">
        <v>347</v>
      </c>
      <c r="D123">
        <v>0</v>
      </c>
    </row>
    <row r="124" spans="1:4" x14ac:dyDescent="0.25">
      <c r="A124" t="s">
        <v>174</v>
      </c>
      <c r="B124" t="s">
        <v>175</v>
      </c>
      <c r="C124" t="s">
        <v>348</v>
      </c>
      <c r="D124">
        <v>0</v>
      </c>
    </row>
    <row r="125" spans="1:4" x14ac:dyDescent="0.25">
      <c r="A125" t="s">
        <v>174</v>
      </c>
      <c r="B125" t="s">
        <v>175</v>
      </c>
      <c r="C125" t="s">
        <v>349</v>
      </c>
      <c r="D125">
        <v>0</v>
      </c>
    </row>
    <row r="126" spans="1:4" x14ac:dyDescent="0.25">
      <c r="A126" t="s">
        <v>174</v>
      </c>
      <c r="B126" t="s">
        <v>175</v>
      </c>
      <c r="C126" t="s">
        <v>350</v>
      </c>
      <c r="D126">
        <v>0</v>
      </c>
    </row>
    <row r="127" spans="1:4" x14ac:dyDescent="0.25">
      <c r="A127" t="s">
        <v>174</v>
      </c>
      <c r="B127" t="s">
        <v>175</v>
      </c>
      <c r="C127" t="s">
        <v>351</v>
      </c>
      <c r="D127">
        <v>0</v>
      </c>
    </row>
    <row r="128" spans="1:4" x14ac:dyDescent="0.25">
      <c r="A128" t="s">
        <v>174</v>
      </c>
      <c r="B128" t="s">
        <v>175</v>
      </c>
      <c r="C128" t="s">
        <v>352</v>
      </c>
      <c r="D128">
        <v>0</v>
      </c>
    </row>
    <row r="129" spans="1:4" x14ac:dyDescent="0.25">
      <c r="A129" t="s">
        <v>174</v>
      </c>
      <c r="B129" t="s">
        <v>175</v>
      </c>
      <c r="C129" t="s">
        <v>353</v>
      </c>
      <c r="D129">
        <v>0</v>
      </c>
    </row>
    <row r="130" spans="1:4" x14ac:dyDescent="0.25">
      <c r="A130" t="s">
        <v>174</v>
      </c>
      <c r="B130" t="s">
        <v>175</v>
      </c>
      <c r="C130" t="s">
        <v>354</v>
      </c>
      <c r="D130">
        <v>0</v>
      </c>
    </row>
    <row r="131" spans="1:4" x14ac:dyDescent="0.25">
      <c r="A131" t="s">
        <v>174</v>
      </c>
      <c r="B131" t="s">
        <v>175</v>
      </c>
      <c r="C131" t="s">
        <v>355</v>
      </c>
      <c r="D131">
        <v>0</v>
      </c>
    </row>
    <row r="132" spans="1:4" x14ac:dyDescent="0.25">
      <c r="A132" t="s">
        <v>174</v>
      </c>
      <c r="B132" t="s">
        <v>175</v>
      </c>
      <c r="C132" t="s">
        <v>356</v>
      </c>
      <c r="D132">
        <v>0</v>
      </c>
    </row>
    <row r="133" spans="1:4" x14ac:dyDescent="0.25">
      <c r="A133" t="s">
        <v>174</v>
      </c>
      <c r="B133" t="s">
        <v>175</v>
      </c>
      <c r="C133" t="s">
        <v>357</v>
      </c>
      <c r="D133">
        <v>0</v>
      </c>
    </row>
    <row r="134" spans="1:4" x14ac:dyDescent="0.25">
      <c r="A134" t="s">
        <v>174</v>
      </c>
      <c r="B134" t="s">
        <v>175</v>
      </c>
      <c r="C134" t="s">
        <v>358</v>
      </c>
      <c r="D134">
        <v>0</v>
      </c>
    </row>
    <row r="135" spans="1:4" x14ac:dyDescent="0.25">
      <c r="A135" t="s">
        <v>174</v>
      </c>
      <c r="B135" t="s">
        <v>175</v>
      </c>
      <c r="C135" t="s">
        <v>359</v>
      </c>
      <c r="D135">
        <v>0</v>
      </c>
    </row>
    <row r="136" spans="1:4" x14ac:dyDescent="0.25">
      <c r="A136" t="s">
        <v>174</v>
      </c>
      <c r="B136" t="s">
        <v>175</v>
      </c>
      <c r="C136" t="s">
        <v>360</v>
      </c>
      <c r="D136">
        <v>0</v>
      </c>
    </row>
    <row r="137" spans="1:4" x14ac:dyDescent="0.25">
      <c r="A137" t="s">
        <v>174</v>
      </c>
      <c r="B137" t="s">
        <v>175</v>
      </c>
      <c r="C137" t="s">
        <v>361</v>
      </c>
      <c r="D137">
        <v>0</v>
      </c>
    </row>
    <row r="138" spans="1:4" x14ac:dyDescent="0.25">
      <c r="A138" t="s">
        <v>174</v>
      </c>
      <c r="B138" t="s">
        <v>175</v>
      </c>
      <c r="C138" t="s">
        <v>362</v>
      </c>
      <c r="D138">
        <v>0</v>
      </c>
    </row>
    <row r="139" spans="1:4" x14ac:dyDescent="0.25">
      <c r="A139" t="s">
        <v>174</v>
      </c>
      <c r="B139" t="s">
        <v>175</v>
      </c>
      <c r="C139" t="s">
        <v>363</v>
      </c>
      <c r="D139">
        <v>0</v>
      </c>
    </row>
    <row r="140" spans="1:4" x14ac:dyDescent="0.25">
      <c r="A140" t="s">
        <v>174</v>
      </c>
      <c r="B140" t="s">
        <v>175</v>
      </c>
      <c r="C140" t="s">
        <v>364</v>
      </c>
      <c r="D140">
        <v>0</v>
      </c>
    </row>
    <row r="141" spans="1:4" x14ac:dyDescent="0.25">
      <c r="A141" t="s">
        <v>174</v>
      </c>
      <c r="B141" t="s">
        <v>175</v>
      </c>
      <c r="C141" t="s">
        <v>365</v>
      </c>
      <c r="D141">
        <v>0</v>
      </c>
    </row>
    <row r="142" spans="1:4" x14ac:dyDescent="0.25">
      <c r="A142" t="s">
        <v>176</v>
      </c>
      <c r="B142" t="s">
        <v>177</v>
      </c>
      <c r="C142" t="s">
        <v>239</v>
      </c>
      <c r="D142">
        <v>0</v>
      </c>
    </row>
    <row r="143" spans="1:4" x14ac:dyDescent="0.25">
      <c r="A143" t="s">
        <v>176</v>
      </c>
      <c r="B143" t="s">
        <v>177</v>
      </c>
      <c r="C143" t="s">
        <v>240</v>
      </c>
      <c r="D143">
        <v>0</v>
      </c>
    </row>
    <row r="144" spans="1:4" x14ac:dyDescent="0.25">
      <c r="A144" t="s">
        <v>176</v>
      </c>
      <c r="B144" t="s">
        <v>177</v>
      </c>
      <c r="C144" t="s">
        <v>333</v>
      </c>
      <c r="D144">
        <v>0</v>
      </c>
    </row>
    <row r="145" spans="1:4" x14ac:dyDescent="0.25">
      <c r="A145" t="s">
        <v>176</v>
      </c>
      <c r="B145" t="s">
        <v>177</v>
      </c>
      <c r="C145" t="s">
        <v>334</v>
      </c>
      <c r="D145">
        <v>0</v>
      </c>
    </row>
    <row r="146" spans="1:4" x14ac:dyDescent="0.25">
      <c r="A146" t="s">
        <v>176</v>
      </c>
      <c r="B146" t="s">
        <v>177</v>
      </c>
      <c r="C146" t="s">
        <v>335</v>
      </c>
      <c r="D146">
        <v>0</v>
      </c>
    </row>
    <row r="147" spans="1:4" x14ac:dyDescent="0.25">
      <c r="A147" t="s">
        <v>176</v>
      </c>
      <c r="B147" t="s">
        <v>177</v>
      </c>
      <c r="C147" t="s">
        <v>336</v>
      </c>
      <c r="D147">
        <v>0</v>
      </c>
    </row>
    <row r="148" spans="1:4" x14ac:dyDescent="0.25">
      <c r="A148" t="s">
        <v>176</v>
      </c>
      <c r="B148" t="s">
        <v>177</v>
      </c>
      <c r="C148" t="s">
        <v>337</v>
      </c>
      <c r="D148">
        <v>0</v>
      </c>
    </row>
    <row r="149" spans="1:4" x14ac:dyDescent="0.25">
      <c r="A149" t="s">
        <v>176</v>
      </c>
      <c r="B149" t="s">
        <v>177</v>
      </c>
      <c r="C149" t="s">
        <v>338</v>
      </c>
      <c r="D149">
        <v>0</v>
      </c>
    </row>
    <row r="150" spans="1:4" x14ac:dyDescent="0.25">
      <c r="A150" t="s">
        <v>176</v>
      </c>
      <c r="B150" t="s">
        <v>177</v>
      </c>
      <c r="C150" t="s">
        <v>339</v>
      </c>
      <c r="D150">
        <v>0</v>
      </c>
    </row>
    <row r="151" spans="1:4" x14ac:dyDescent="0.25">
      <c r="A151" t="s">
        <v>176</v>
      </c>
      <c r="B151" t="s">
        <v>177</v>
      </c>
      <c r="C151" t="s">
        <v>340</v>
      </c>
      <c r="D151">
        <v>0</v>
      </c>
    </row>
    <row r="152" spans="1:4" x14ac:dyDescent="0.25">
      <c r="A152" t="s">
        <v>176</v>
      </c>
      <c r="B152" t="s">
        <v>177</v>
      </c>
      <c r="C152" t="s">
        <v>341</v>
      </c>
      <c r="D152">
        <v>0</v>
      </c>
    </row>
    <row r="153" spans="1:4" x14ac:dyDescent="0.25">
      <c r="A153" t="s">
        <v>176</v>
      </c>
      <c r="B153" t="s">
        <v>177</v>
      </c>
      <c r="C153" t="s">
        <v>342</v>
      </c>
      <c r="D153">
        <v>0</v>
      </c>
    </row>
    <row r="154" spans="1:4" x14ac:dyDescent="0.25">
      <c r="A154" t="s">
        <v>176</v>
      </c>
      <c r="B154" t="s">
        <v>177</v>
      </c>
      <c r="C154" t="s">
        <v>343</v>
      </c>
      <c r="D154">
        <v>0</v>
      </c>
    </row>
    <row r="155" spans="1:4" x14ac:dyDescent="0.25">
      <c r="A155" t="s">
        <v>176</v>
      </c>
      <c r="B155" t="s">
        <v>177</v>
      </c>
      <c r="C155" t="s">
        <v>344</v>
      </c>
      <c r="D155">
        <v>0</v>
      </c>
    </row>
    <row r="156" spans="1:4" x14ac:dyDescent="0.25">
      <c r="A156" t="s">
        <v>176</v>
      </c>
      <c r="B156" t="s">
        <v>177</v>
      </c>
      <c r="C156" t="s">
        <v>345</v>
      </c>
      <c r="D156">
        <v>0</v>
      </c>
    </row>
    <row r="157" spans="1:4" x14ac:dyDescent="0.25">
      <c r="A157" t="s">
        <v>176</v>
      </c>
      <c r="B157" t="s">
        <v>177</v>
      </c>
      <c r="C157" t="s">
        <v>346</v>
      </c>
      <c r="D157">
        <v>0</v>
      </c>
    </row>
    <row r="158" spans="1:4" x14ac:dyDescent="0.25">
      <c r="A158" t="s">
        <v>176</v>
      </c>
      <c r="B158" t="s">
        <v>177</v>
      </c>
      <c r="C158" t="s">
        <v>347</v>
      </c>
      <c r="D158">
        <v>0</v>
      </c>
    </row>
    <row r="159" spans="1:4" x14ac:dyDescent="0.25">
      <c r="A159" t="s">
        <v>176</v>
      </c>
      <c r="B159" t="s">
        <v>177</v>
      </c>
      <c r="C159" t="s">
        <v>348</v>
      </c>
      <c r="D159">
        <v>0</v>
      </c>
    </row>
    <row r="160" spans="1:4" x14ac:dyDescent="0.25">
      <c r="A160" t="s">
        <v>176</v>
      </c>
      <c r="B160" t="s">
        <v>177</v>
      </c>
      <c r="C160" t="s">
        <v>349</v>
      </c>
      <c r="D160">
        <v>0</v>
      </c>
    </row>
    <row r="161" spans="1:4" x14ac:dyDescent="0.25">
      <c r="A161" t="s">
        <v>176</v>
      </c>
      <c r="B161" t="s">
        <v>177</v>
      </c>
      <c r="C161" t="s">
        <v>350</v>
      </c>
      <c r="D161">
        <v>0</v>
      </c>
    </row>
    <row r="162" spans="1:4" x14ac:dyDescent="0.25">
      <c r="A162" t="s">
        <v>176</v>
      </c>
      <c r="B162" t="s">
        <v>177</v>
      </c>
      <c r="C162" t="s">
        <v>351</v>
      </c>
      <c r="D162">
        <v>0</v>
      </c>
    </row>
    <row r="163" spans="1:4" x14ac:dyDescent="0.25">
      <c r="A163" t="s">
        <v>176</v>
      </c>
      <c r="B163" t="s">
        <v>177</v>
      </c>
      <c r="C163" t="s">
        <v>352</v>
      </c>
      <c r="D163">
        <v>0</v>
      </c>
    </row>
    <row r="164" spans="1:4" x14ac:dyDescent="0.25">
      <c r="A164" t="s">
        <v>176</v>
      </c>
      <c r="B164" t="s">
        <v>177</v>
      </c>
      <c r="C164" t="s">
        <v>353</v>
      </c>
      <c r="D164">
        <v>0</v>
      </c>
    </row>
    <row r="165" spans="1:4" x14ac:dyDescent="0.25">
      <c r="A165" t="s">
        <v>176</v>
      </c>
      <c r="B165" t="s">
        <v>177</v>
      </c>
      <c r="C165" t="s">
        <v>354</v>
      </c>
      <c r="D165">
        <v>0</v>
      </c>
    </row>
    <row r="166" spans="1:4" x14ac:dyDescent="0.25">
      <c r="A166" t="s">
        <v>176</v>
      </c>
      <c r="B166" t="s">
        <v>177</v>
      </c>
      <c r="C166" t="s">
        <v>355</v>
      </c>
      <c r="D166">
        <v>0</v>
      </c>
    </row>
    <row r="167" spans="1:4" x14ac:dyDescent="0.25">
      <c r="A167" t="s">
        <v>176</v>
      </c>
      <c r="B167" t="s">
        <v>177</v>
      </c>
      <c r="C167" t="s">
        <v>356</v>
      </c>
      <c r="D167">
        <v>0</v>
      </c>
    </row>
    <row r="168" spans="1:4" x14ac:dyDescent="0.25">
      <c r="A168" t="s">
        <v>176</v>
      </c>
      <c r="B168" t="s">
        <v>177</v>
      </c>
      <c r="C168" t="s">
        <v>357</v>
      </c>
      <c r="D168">
        <v>0</v>
      </c>
    </row>
    <row r="169" spans="1:4" x14ac:dyDescent="0.25">
      <c r="A169" t="s">
        <v>176</v>
      </c>
      <c r="B169" t="s">
        <v>177</v>
      </c>
      <c r="C169" t="s">
        <v>358</v>
      </c>
      <c r="D169">
        <v>0</v>
      </c>
    </row>
    <row r="170" spans="1:4" x14ac:dyDescent="0.25">
      <c r="A170" t="s">
        <v>176</v>
      </c>
      <c r="B170" t="s">
        <v>177</v>
      </c>
      <c r="C170" t="s">
        <v>359</v>
      </c>
      <c r="D170">
        <v>0</v>
      </c>
    </row>
    <row r="171" spans="1:4" x14ac:dyDescent="0.25">
      <c r="A171" t="s">
        <v>176</v>
      </c>
      <c r="B171" t="s">
        <v>177</v>
      </c>
      <c r="C171" t="s">
        <v>360</v>
      </c>
      <c r="D171">
        <v>0</v>
      </c>
    </row>
    <row r="172" spans="1:4" x14ac:dyDescent="0.25">
      <c r="A172" t="s">
        <v>176</v>
      </c>
      <c r="B172" t="s">
        <v>177</v>
      </c>
      <c r="C172" t="s">
        <v>361</v>
      </c>
      <c r="D172">
        <v>0</v>
      </c>
    </row>
    <row r="173" spans="1:4" x14ac:dyDescent="0.25">
      <c r="A173" t="s">
        <v>176</v>
      </c>
      <c r="B173" t="s">
        <v>177</v>
      </c>
      <c r="C173" t="s">
        <v>362</v>
      </c>
      <c r="D173">
        <v>0</v>
      </c>
    </row>
    <row r="174" spans="1:4" x14ac:dyDescent="0.25">
      <c r="A174" t="s">
        <v>176</v>
      </c>
      <c r="B174" t="s">
        <v>177</v>
      </c>
      <c r="C174" t="s">
        <v>363</v>
      </c>
      <c r="D174">
        <v>0</v>
      </c>
    </row>
    <row r="175" spans="1:4" x14ac:dyDescent="0.25">
      <c r="A175" t="s">
        <v>176</v>
      </c>
      <c r="B175" t="s">
        <v>177</v>
      </c>
      <c r="C175" t="s">
        <v>364</v>
      </c>
      <c r="D175">
        <v>0</v>
      </c>
    </row>
    <row r="176" spans="1:4" x14ac:dyDescent="0.25">
      <c r="A176" t="s">
        <v>176</v>
      </c>
      <c r="B176" t="s">
        <v>177</v>
      </c>
      <c r="C176" t="s">
        <v>365</v>
      </c>
      <c r="D176">
        <v>0</v>
      </c>
    </row>
    <row r="177" spans="1:4" x14ac:dyDescent="0.25">
      <c r="A177" t="s">
        <v>178</v>
      </c>
      <c r="B177" t="s">
        <v>179</v>
      </c>
      <c r="C177" t="s">
        <v>239</v>
      </c>
      <c r="D177">
        <v>0</v>
      </c>
    </row>
    <row r="178" spans="1:4" x14ac:dyDescent="0.25">
      <c r="A178" t="s">
        <v>178</v>
      </c>
      <c r="B178" t="s">
        <v>179</v>
      </c>
      <c r="C178" t="s">
        <v>240</v>
      </c>
      <c r="D178">
        <v>0</v>
      </c>
    </row>
    <row r="179" spans="1:4" x14ac:dyDescent="0.25">
      <c r="A179" t="s">
        <v>178</v>
      </c>
      <c r="B179" t="s">
        <v>179</v>
      </c>
      <c r="C179" t="s">
        <v>333</v>
      </c>
      <c r="D179">
        <v>0</v>
      </c>
    </row>
    <row r="180" spans="1:4" x14ac:dyDescent="0.25">
      <c r="A180" t="s">
        <v>178</v>
      </c>
      <c r="B180" t="s">
        <v>179</v>
      </c>
      <c r="C180" t="s">
        <v>334</v>
      </c>
      <c r="D180">
        <v>0</v>
      </c>
    </row>
    <row r="181" spans="1:4" x14ac:dyDescent="0.25">
      <c r="A181" t="s">
        <v>178</v>
      </c>
      <c r="B181" t="s">
        <v>179</v>
      </c>
      <c r="C181" t="s">
        <v>335</v>
      </c>
      <c r="D181">
        <v>0</v>
      </c>
    </row>
    <row r="182" spans="1:4" x14ac:dyDescent="0.25">
      <c r="A182" t="s">
        <v>178</v>
      </c>
      <c r="B182" t="s">
        <v>179</v>
      </c>
      <c r="C182" t="s">
        <v>336</v>
      </c>
      <c r="D182">
        <v>0</v>
      </c>
    </row>
    <row r="183" spans="1:4" x14ac:dyDescent="0.25">
      <c r="A183" t="s">
        <v>178</v>
      </c>
      <c r="B183" t="s">
        <v>179</v>
      </c>
      <c r="C183" t="s">
        <v>337</v>
      </c>
      <c r="D183">
        <v>0</v>
      </c>
    </row>
    <row r="184" spans="1:4" x14ac:dyDescent="0.25">
      <c r="A184" t="s">
        <v>178</v>
      </c>
      <c r="B184" t="s">
        <v>179</v>
      </c>
      <c r="C184" t="s">
        <v>338</v>
      </c>
      <c r="D184">
        <v>0</v>
      </c>
    </row>
    <row r="185" spans="1:4" x14ac:dyDescent="0.25">
      <c r="A185" t="s">
        <v>178</v>
      </c>
      <c r="B185" t="s">
        <v>179</v>
      </c>
      <c r="C185" t="s">
        <v>339</v>
      </c>
      <c r="D185">
        <v>0</v>
      </c>
    </row>
    <row r="186" spans="1:4" x14ac:dyDescent="0.25">
      <c r="A186" t="s">
        <v>178</v>
      </c>
      <c r="B186" t="s">
        <v>179</v>
      </c>
      <c r="C186" t="s">
        <v>340</v>
      </c>
      <c r="D186">
        <v>0</v>
      </c>
    </row>
    <row r="187" spans="1:4" x14ac:dyDescent="0.25">
      <c r="A187" t="s">
        <v>178</v>
      </c>
      <c r="B187" t="s">
        <v>179</v>
      </c>
      <c r="C187" t="s">
        <v>341</v>
      </c>
      <c r="D187">
        <v>0</v>
      </c>
    </row>
    <row r="188" spans="1:4" x14ac:dyDescent="0.25">
      <c r="A188" t="s">
        <v>178</v>
      </c>
      <c r="B188" t="s">
        <v>179</v>
      </c>
      <c r="C188" t="s">
        <v>342</v>
      </c>
      <c r="D188">
        <v>0</v>
      </c>
    </row>
    <row r="189" spans="1:4" x14ac:dyDescent="0.25">
      <c r="A189" t="s">
        <v>178</v>
      </c>
      <c r="B189" t="s">
        <v>179</v>
      </c>
      <c r="C189" t="s">
        <v>343</v>
      </c>
      <c r="D189">
        <v>0</v>
      </c>
    </row>
    <row r="190" spans="1:4" x14ac:dyDescent="0.25">
      <c r="A190" t="s">
        <v>178</v>
      </c>
      <c r="B190" t="s">
        <v>179</v>
      </c>
      <c r="C190" t="s">
        <v>344</v>
      </c>
      <c r="D190">
        <v>0</v>
      </c>
    </row>
    <row r="191" spans="1:4" x14ac:dyDescent="0.25">
      <c r="A191" t="s">
        <v>178</v>
      </c>
      <c r="B191" t="s">
        <v>179</v>
      </c>
      <c r="C191" t="s">
        <v>345</v>
      </c>
      <c r="D191">
        <v>0</v>
      </c>
    </row>
    <row r="192" spans="1:4" x14ac:dyDescent="0.25">
      <c r="A192" t="s">
        <v>178</v>
      </c>
      <c r="B192" t="s">
        <v>179</v>
      </c>
      <c r="C192" t="s">
        <v>346</v>
      </c>
      <c r="D192">
        <v>0</v>
      </c>
    </row>
    <row r="193" spans="1:4" x14ac:dyDescent="0.25">
      <c r="A193" t="s">
        <v>178</v>
      </c>
      <c r="B193" t="s">
        <v>179</v>
      </c>
      <c r="C193" t="s">
        <v>347</v>
      </c>
      <c r="D193">
        <v>0</v>
      </c>
    </row>
    <row r="194" spans="1:4" x14ac:dyDescent="0.25">
      <c r="A194" t="s">
        <v>178</v>
      </c>
      <c r="B194" t="s">
        <v>179</v>
      </c>
      <c r="C194" t="s">
        <v>348</v>
      </c>
      <c r="D194">
        <v>0</v>
      </c>
    </row>
    <row r="195" spans="1:4" x14ac:dyDescent="0.25">
      <c r="A195" t="s">
        <v>178</v>
      </c>
      <c r="B195" t="s">
        <v>179</v>
      </c>
      <c r="C195" t="s">
        <v>349</v>
      </c>
      <c r="D195">
        <v>0</v>
      </c>
    </row>
    <row r="196" spans="1:4" x14ac:dyDescent="0.25">
      <c r="A196" t="s">
        <v>178</v>
      </c>
      <c r="B196" t="s">
        <v>179</v>
      </c>
      <c r="C196" t="s">
        <v>350</v>
      </c>
      <c r="D196">
        <v>0</v>
      </c>
    </row>
    <row r="197" spans="1:4" x14ac:dyDescent="0.25">
      <c r="A197" t="s">
        <v>178</v>
      </c>
      <c r="B197" t="s">
        <v>179</v>
      </c>
      <c r="C197" t="s">
        <v>351</v>
      </c>
      <c r="D197">
        <v>0</v>
      </c>
    </row>
    <row r="198" spans="1:4" x14ac:dyDescent="0.25">
      <c r="A198" t="s">
        <v>178</v>
      </c>
      <c r="B198" t="s">
        <v>179</v>
      </c>
      <c r="C198" t="s">
        <v>352</v>
      </c>
      <c r="D198">
        <v>0</v>
      </c>
    </row>
    <row r="199" spans="1:4" x14ac:dyDescent="0.25">
      <c r="A199" t="s">
        <v>178</v>
      </c>
      <c r="B199" t="s">
        <v>179</v>
      </c>
      <c r="C199" t="s">
        <v>353</v>
      </c>
      <c r="D199">
        <v>0</v>
      </c>
    </row>
    <row r="200" spans="1:4" x14ac:dyDescent="0.25">
      <c r="A200" t="s">
        <v>178</v>
      </c>
      <c r="B200" t="s">
        <v>179</v>
      </c>
      <c r="C200" t="s">
        <v>354</v>
      </c>
      <c r="D200">
        <v>0</v>
      </c>
    </row>
    <row r="201" spans="1:4" x14ac:dyDescent="0.25">
      <c r="A201" t="s">
        <v>178</v>
      </c>
      <c r="B201" t="s">
        <v>179</v>
      </c>
      <c r="C201" t="s">
        <v>355</v>
      </c>
      <c r="D201">
        <v>0</v>
      </c>
    </row>
    <row r="202" spans="1:4" x14ac:dyDescent="0.25">
      <c r="A202" t="s">
        <v>178</v>
      </c>
      <c r="B202" t="s">
        <v>179</v>
      </c>
      <c r="C202" t="s">
        <v>356</v>
      </c>
      <c r="D202">
        <v>0</v>
      </c>
    </row>
    <row r="203" spans="1:4" x14ac:dyDescent="0.25">
      <c r="A203" t="s">
        <v>178</v>
      </c>
      <c r="B203" t="s">
        <v>179</v>
      </c>
      <c r="C203" t="s">
        <v>357</v>
      </c>
      <c r="D203">
        <v>0</v>
      </c>
    </row>
    <row r="204" spans="1:4" x14ac:dyDescent="0.25">
      <c r="A204" t="s">
        <v>178</v>
      </c>
      <c r="B204" t="s">
        <v>179</v>
      </c>
      <c r="C204" t="s">
        <v>358</v>
      </c>
      <c r="D204">
        <v>0</v>
      </c>
    </row>
    <row r="205" spans="1:4" x14ac:dyDescent="0.25">
      <c r="A205" t="s">
        <v>178</v>
      </c>
      <c r="B205" t="s">
        <v>179</v>
      </c>
      <c r="C205" t="s">
        <v>359</v>
      </c>
      <c r="D205">
        <v>0</v>
      </c>
    </row>
    <row r="206" spans="1:4" x14ac:dyDescent="0.25">
      <c r="A206" t="s">
        <v>178</v>
      </c>
      <c r="B206" t="s">
        <v>179</v>
      </c>
      <c r="C206" t="s">
        <v>360</v>
      </c>
      <c r="D206">
        <v>0</v>
      </c>
    </row>
    <row r="207" spans="1:4" x14ac:dyDescent="0.25">
      <c r="A207" t="s">
        <v>178</v>
      </c>
      <c r="B207" t="s">
        <v>179</v>
      </c>
      <c r="C207" t="s">
        <v>361</v>
      </c>
      <c r="D207">
        <v>0</v>
      </c>
    </row>
    <row r="208" spans="1:4" x14ac:dyDescent="0.25">
      <c r="A208" t="s">
        <v>178</v>
      </c>
      <c r="B208" t="s">
        <v>179</v>
      </c>
      <c r="C208" t="s">
        <v>362</v>
      </c>
      <c r="D208">
        <v>0</v>
      </c>
    </row>
    <row r="209" spans="1:4" x14ac:dyDescent="0.25">
      <c r="A209" t="s">
        <v>178</v>
      </c>
      <c r="B209" t="s">
        <v>179</v>
      </c>
      <c r="C209" t="s">
        <v>363</v>
      </c>
      <c r="D209">
        <v>0</v>
      </c>
    </row>
    <row r="210" spans="1:4" x14ac:dyDescent="0.25">
      <c r="A210" t="s">
        <v>178</v>
      </c>
      <c r="B210" t="s">
        <v>179</v>
      </c>
      <c r="C210" t="s">
        <v>364</v>
      </c>
      <c r="D210">
        <v>0</v>
      </c>
    </row>
    <row r="211" spans="1:4" x14ac:dyDescent="0.25">
      <c r="A211" t="s">
        <v>178</v>
      </c>
      <c r="B211" t="s">
        <v>179</v>
      </c>
      <c r="C211" t="s">
        <v>365</v>
      </c>
      <c r="D211">
        <v>0</v>
      </c>
    </row>
    <row r="212" spans="1:4" x14ac:dyDescent="0.25">
      <c r="A212" t="s">
        <v>180</v>
      </c>
      <c r="B212" t="s">
        <v>181</v>
      </c>
      <c r="C212" t="s">
        <v>239</v>
      </c>
      <c r="D212">
        <v>0</v>
      </c>
    </row>
    <row r="213" spans="1:4" x14ac:dyDescent="0.25">
      <c r="A213" t="s">
        <v>180</v>
      </c>
      <c r="B213" t="s">
        <v>181</v>
      </c>
      <c r="C213" t="s">
        <v>240</v>
      </c>
      <c r="D213">
        <v>0</v>
      </c>
    </row>
    <row r="214" spans="1:4" x14ac:dyDescent="0.25">
      <c r="A214" t="s">
        <v>180</v>
      </c>
      <c r="B214" t="s">
        <v>181</v>
      </c>
      <c r="C214" t="s">
        <v>333</v>
      </c>
      <c r="D214">
        <v>0</v>
      </c>
    </row>
    <row r="215" spans="1:4" x14ac:dyDescent="0.25">
      <c r="A215" t="s">
        <v>180</v>
      </c>
      <c r="B215" t="s">
        <v>181</v>
      </c>
      <c r="C215" t="s">
        <v>334</v>
      </c>
      <c r="D215">
        <v>0</v>
      </c>
    </row>
    <row r="216" spans="1:4" x14ac:dyDescent="0.25">
      <c r="A216" t="s">
        <v>180</v>
      </c>
      <c r="B216" t="s">
        <v>181</v>
      </c>
      <c r="C216" t="s">
        <v>335</v>
      </c>
      <c r="D216">
        <v>0</v>
      </c>
    </row>
    <row r="217" spans="1:4" x14ac:dyDescent="0.25">
      <c r="A217" t="s">
        <v>180</v>
      </c>
      <c r="B217" t="s">
        <v>181</v>
      </c>
      <c r="C217" t="s">
        <v>336</v>
      </c>
      <c r="D217">
        <v>0</v>
      </c>
    </row>
    <row r="218" spans="1:4" x14ac:dyDescent="0.25">
      <c r="A218" t="s">
        <v>180</v>
      </c>
      <c r="B218" t="s">
        <v>181</v>
      </c>
      <c r="C218" t="s">
        <v>337</v>
      </c>
      <c r="D218">
        <v>0</v>
      </c>
    </row>
    <row r="219" spans="1:4" x14ac:dyDescent="0.25">
      <c r="A219" t="s">
        <v>180</v>
      </c>
      <c r="B219" t="s">
        <v>181</v>
      </c>
      <c r="C219" t="s">
        <v>338</v>
      </c>
      <c r="D219">
        <v>0</v>
      </c>
    </row>
    <row r="220" spans="1:4" x14ac:dyDescent="0.25">
      <c r="A220" t="s">
        <v>180</v>
      </c>
      <c r="B220" t="s">
        <v>181</v>
      </c>
      <c r="C220" t="s">
        <v>339</v>
      </c>
      <c r="D220">
        <v>0</v>
      </c>
    </row>
    <row r="221" spans="1:4" x14ac:dyDescent="0.25">
      <c r="A221" t="s">
        <v>180</v>
      </c>
      <c r="B221" t="s">
        <v>181</v>
      </c>
      <c r="C221" t="s">
        <v>340</v>
      </c>
      <c r="D221">
        <v>0</v>
      </c>
    </row>
    <row r="222" spans="1:4" x14ac:dyDescent="0.25">
      <c r="A222" t="s">
        <v>180</v>
      </c>
      <c r="B222" t="s">
        <v>181</v>
      </c>
      <c r="C222" t="s">
        <v>341</v>
      </c>
      <c r="D222">
        <v>0</v>
      </c>
    </row>
    <row r="223" spans="1:4" x14ac:dyDescent="0.25">
      <c r="A223" t="s">
        <v>180</v>
      </c>
      <c r="B223" t="s">
        <v>181</v>
      </c>
      <c r="C223" t="s">
        <v>342</v>
      </c>
      <c r="D223">
        <v>0</v>
      </c>
    </row>
    <row r="224" spans="1:4" x14ac:dyDescent="0.25">
      <c r="A224" t="s">
        <v>180</v>
      </c>
      <c r="B224" t="s">
        <v>181</v>
      </c>
      <c r="C224" t="s">
        <v>343</v>
      </c>
      <c r="D224">
        <v>0</v>
      </c>
    </row>
    <row r="225" spans="1:4" x14ac:dyDescent="0.25">
      <c r="A225" t="s">
        <v>180</v>
      </c>
      <c r="B225" t="s">
        <v>181</v>
      </c>
      <c r="C225" t="s">
        <v>344</v>
      </c>
      <c r="D225">
        <v>0</v>
      </c>
    </row>
    <row r="226" spans="1:4" x14ac:dyDescent="0.25">
      <c r="A226" t="s">
        <v>180</v>
      </c>
      <c r="B226" t="s">
        <v>181</v>
      </c>
      <c r="C226" t="s">
        <v>345</v>
      </c>
      <c r="D226">
        <v>0</v>
      </c>
    </row>
    <row r="227" spans="1:4" x14ac:dyDescent="0.25">
      <c r="A227" t="s">
        <v>180</v>
      </c>
      <c r="B227" t="s">
        <v>181</v>
      </c>
      <c r="C227" t="s">
        <v>346</v>
      </c>
      <c r="D227">
        <v>0</v>
      </c>
    </row>
    <row r="228" spans="1:4" x14ac:dyDescent="0.25">
      <c r="A228" t="s">
        <v>180</v>
      </c>
      <c r="B228" t="s">
        <v>181</v>
      </c>
      <c r="C228" t="s">
        <v>347</v>
      </c>
      <c r="D228">
        <v>0</v>
      </c>
    </row>
    <row r="229" spans="1:4" x14ac:dyDescent="0.25">
      <c r="A229" t="s">
        <v>180</v>
      </c>
      <c r="B229" t="s">
        <v>181</v>
      </c>
      <c r="C229" t="s">
        <v>348</v>
      </c>
      <c r="D229">
        <v>0</v>
      </c>
    </row>
    <row r="230" spans="1:4" x14ac:dyDescent="0.25">
      <c r="A230" t="s">
        <v>180</v>
      </c>
      <c r="B230" t="s">
        <v>181</v>
      </c>
      <c r="C230" t="s">
        <v>349</v>
      </c>
      <c r="D230">
        <v>0</v>
      </c>
    </row>
    <row r="231" spans="1:4" x14ac:dyDescent="0.25">
      <c r="A231" t="s">
        <v>180</v>
      </c>
      <c r="B231" t="s">
        <v>181</v>
      </c>
      <c r="C231" t="s">
        <v>350</v>
      </c>
      <c r="D231">
        <v>0</v>
      </c>
    </row>
    <row r="232" spans="1:4" x14ac:dyDescent="0.25">
      <c r="A232" t="s">
        <v>180</v>
      </c>
      <c r="B232" t="s">
        <v>181</v>
      </c>
      <c r="C232" t="s">
        <v>351</v>
      </c>
      <c r="D232">
        <v>0</v>
      </c>
    </row>
    <row r="233" spans="1:4" x14ac:dyDescent="0.25">
      <c r="A233" t="s">
        <v>180</v>
      </c>
      <c r="B233" t="s">
        <v>181</v>
      </c>
      <c r="C233" t="s">
        <v>352</v>
      </c>
      <c r="D233">
        <v>0</v>
      </c>
    </row>
    <row r="234" spans="1:4" x14ac:dyDescent="0.25">
      <c r="A234" t="s">
        <v>180</v>
      </c>
      <c r="B234" t="s">
        <v>181</v>
      </c>
      <c r="C234" t="s">
        <v>353</v>
      </c>
      <c r="D234">
        <v>0</v>
      </c>
    </row>
    <row r="235" spans="1:4" x14ac:dyDescent="0.25">
      <c r="A235" t="s">
        <v>180</v>
      </c>
      <c r="B235" t="s">
        <v>181</v>
      </c>
      <c r="C235" t="s">
        <v>354</v>
      </c>
      <c r="D235">
        <v>0</v>
      </c>
    </row>
    <row r="236" spans="1:4" x14ac:dyDescent="0.25">
      <c r="A236" t="s">
        <v>180</v>
      </c>
      <c r="B236" t="s">
        <v>181</v>
      </c>
      <c r="C236" t="s">
        <v>355</v>
      </c>
      <c r="D236">
        <v>0</v>
      </c>
    </row>
    <row r="237" spans="1:4" x14ac:dyDescent="0.25">
      <c r="A237" t="s">
        <v>180</v>
      </c>
      <c r="B237" t="s">
        <v>181</v>
      </c>
      <c r="C237" t="s">
        <v>356</v>
      </c>
      <c r="D237">
        <v>0</v>
      </c>
    </row>
    <row r="238" spans="1:4" x14ac:dyDescent="0.25">
      <c r="A238" t="s">
        <v>180</v>
      </c>
      <c r="B238" t="s">
        <v>181</v>
      </c>
      <c r="C238" t="s">
        <v>357</v>
      </c>
      <c r="D238">
        <v>0</v>
      </c>
    </row>
    <row r="239" spans="1:4" x14ac:dyDescent="0.25">
      <c r="A239" t="s">
        <v>180</v>
      </c>
      <c r="B239" t="s">
        <v>181</v>
      </c>
      <c r="C239" t="s">
        <v>358</v>
      </c>
      <c r="D239">
        <v>0</v>
      </c>
    </row>
    <row r="240" spans="1:4" x14ac:dyDescent="0.25">
      <c r="A240" t="s">
        <v>180</v>
      </c>
      <c r="B240" t="s">
        <v>181</v>
      </c>
      <c r="C240" t="s">
        <v>359</v>
      </c>
      <c r="D240">
        <v>0</v>
      </c>
    </row>
    <row r="241" spans="1:4" x14ac:dyDescent="0.25">
      <c r="A241" t="s">
        <v>180</v>
      </c>
      <c r="B241" t="s">
        <v>181</v>
      </c>
      <c r="C241" t="s">
        <v>360</v>
      </c>
      <c r="D241">
        <v>0</v>
      </c>
    </row>
    <row r="242" spans="1:4" x14ac:dyDescent="0.25">
      <c r="A242" t="s">
        <v>180</v>
      </c>
      <c r="B242" t="s">
        <v>181</v>
      </c>
      <c r="C242" t="s">
        <v>361</v>
      </c>
      <c r="D242">
        <v>0</v>
      </c>
    </row>
    <row r="243" spans="1:4" x14ac:dyDescent="0.25">
      <c r="A243" t="s">
        <v>180</v>
      </c>
      <c r="B243" t="s">
        <v>181</v>
      </c>
      <c r="C243" t="s">
        <v>362</v>
      </c>
      <c r="D243">
        <v>0</v>
      </c>
    </row>
    <row r="244" spans="1:4" x14ac:dyDescent="0.25">
      <c r="A244" t="s">
        <v>180</v>
      </c>
      <c r="B244" t="s">
        <v>181</v>
      </c>
      <c r="C244" t="s">
        <v>363</v>
      </c>
      <c r="D244">
        <v>0</v>
      </c>
    </row>
    <row r="245" spans="1:4" x14ac:dyDescent="0.25">
      <c r="A245" t="s">
        <v>180</v>
      </c>
      <c r="B245" t="s">
        <v>181</v>
      </c>
      <c r="C245" t="s">
        <v>364</v>
      </c>
      <c r="D245">
        <v>0</v>
      </c>
    </row>
    <row r="246" spans="1:4" x14ac:dyDescent="0.25">
      <c r="A246" t="s">
        <v>180</v>
      </c>
      <c r="B246" t="s">
        <v>181</v>
      </c>
      <c r="C246" t="s">
        <v>365</v>
      </c>
      <c r="D246">
        <v>0</v>
      </c>
    </row>
    <row r="247" spans="1:4" x14ac:dyDescent="0.25">
      <c r="A247" t="s">
        <v>182</v>
      </c>
      <c r="B247" t="s">
        <v>183</v>
      </c>
      <c r="C247" t="s">
        <v>239</v>
      </c>
      <c r="D247">
        <v>0</v>
      </c>
    </row>
    <row r="248" spans="1:4" x14ac:dyDescent="0.25">
      <c r="A248" t="s">
        <v>182</v>
      </c>
      <c r="B248" t="s">
        <v>183</v>
      </c>
      <c r="C248" t="s">
        <v>240</v>
      </c>
      <c r="D248">
        <v>0</v>
      </c>
    </row>
    <row r="249" spans="1:4" x14ac:dyDescent="0.25">
      <c r="A249" t="s">
        <v>182</v>
      </c>
      <c r="B249" t="s">
        <v>183</v>
      </c>
      <c r="C249" t="s">
        <v>333</v>
      </c>
      <c r="D249">
        <v>0</v>
      </c>
    </row>
    <row r="250" spans="1:4" x14ac:dyDescent="0.25">
      <c r="A250" t="s">
        <v>182</v>
      </c>
      <c r="B250" t="s">
        <v>183</v>
      </c>
      <c r="C250" t="s">
        <v>334</v>
      </c>
      <c r="D250">
        <v>0</v>
      </c>
    </row>
    <row r="251" spans="1:4" x14ac:dyDescent="0.25">
      <c r="A251" t="s">
        <v>182</v>
      </c>
      <c r="B251" t="s">
        <v>183</v>
      </c>
      <c r="C251" t="s">
        <v>335</v>
      </c>
      <c r="D251">
        <v>0</v>
      </c>
    </row>
    <row r="252" spans="1:4" x14ac:dyDescent="0.25">
      <c r="A252" t="s">
        <v>182</v>
      </c>
      <c r="B252" t="s">
        <v>183</v>
      </c>
      <c r="C252" t="s">
        <v>336</v>
      </c>
      <c r="D252">
        <v>0</v>
      </c>
    </row>
    <row r="253" spans="1:4" x14ac:dyDescent="0.25">
      <c r="A253" t="s">
        <v>182</v>
      </c>
      <c r="B253" t="s">
        <v>183</v>
      </c>
      <c r="C253" t="s">
        <v>337</v>
      </c>
      <c r="D253">
        <v>0</v>
      </c>
    </row>
    <row r="254" spans="1:4" x14ac:dyDescent="0.25">
      <c r="A254" t="s">
        <v>182</v>
      </c>
      <c r="B254" t="s">
        <v>183</v>
      </c>
      <c r="C254" t="s">
        <v>338</v>
      </c>
      <c r="D254">
        <v>0</v>
      </c>
    </row>
    <row r="255" spans="1:4" x14ac:dyDescent="0.25">
      <c r="A255" t="s">
        <v>182</v>
      </c>
      <c r="B255" t="s">
        <v>183</v>
      </c>
      <c r="C255" t="s">
        <v>339</v>
      </c>
      <c r="D255">
        <v>0</v>
      </c>
    </row>
    <row r="256" spans="1:4" x14ac:dyDescent="0.25">
      <c r="A256" t="s">
        <v>182</v>
      </c>
      <c r="B256" t="s">
        <v>183</v>
      </c>
      <c r="C256" t="s">
        <v>340</v>
      </c>
      <c r="D256">
        <v>0</v>
      </c>
    </row>
    <row r="257" spans="1:4" x14ac:dyDescent="0.25">
      <c r="A257" t="s">
        <v>182</v>
      </c>
      <c r="B257" t="s">
        <v>183</v>
      </c>
      <c r="C257" t="s">
        <v>341</v>
      </c>
      <c r="D257">
        <v>0</v>
      </c>
    </row>
    <row r="258" spans="1:4" x14ac:dyDescent="0.25">
      <c r="A258" t="s">
        <v>182</v>
      </c>
      <c r="B258" t="s">
        <v>183</v>
      </c>
      <c r="C258" t="s">
        <v>342</v>
      </c>
      <c r="D258">
        <v>0</v>
      </c>
    </row>
    <row r="259" spans="1:4" x14ac:dyDescent="0.25">
      <c r="A259" t="s">
        <v>182</v>
      </c>
      <c r="B259" t="s">
        <v>183</v>
      </c>
      <c r="C259" t="s">
        <v>343</v>
      </c>
      <c r="D259">
        <v>0</v>
      </c>
    </row>
    <row r="260" spans="1:4" x14ac:dyDescent="0.25">
      <c r="A260" t="s">
        <v>182</v>
      </c>
      <c r="B260" t="s">
        <v>183</v>
      </c>
      <c r="C260" t="s">
        <v>344</v>
      </c>
      <c r="D260">
        <v>0</v>
      </c>
    </row>
    <row r="261" spans="1:4" x14ac:dyDescent="0.25">
      <c r="A261" t="s">
        <v>182</v>
      </c>
      <c r="B261" t="s">
        <v>183</v>
      </c>
      <c r="C261" t="s">
        <v>345</v>
      </c>
      <c r="D261">
        <v>0</v>
      </c>
    </row>
    <row r="262" spans="1:4" x14ac:dyDescent="0.25">
      <c r="A262" t="s">
        <v>182</v>
      </c>
      <c r="B262" t="s">
        <v>183</v>
      </c>
      <c r="C262" t="s">
        <v>346</v>
      </c>
      <c r="D262">
        <v>0</v>
      </c>
    </row>
    <row r="263" spans="1:4" x14ac:dyDescent="0.25">
      <c r="A263" t="s">
        <v>182</v>
      </c>
      <c r="B263" t="s">
        <v>183</v>
      </c>
      <c r="C263" t="s">
        <v>347</v>
      </c>
      <c r="D263">
        <v>0</v>
      </c>
    </row>
    <row r="264" spans="1:4" x14ac:dyDescent="0.25">
      <c r="A264" t="s">
        <v>182</v>
      </c>
      <c r="B264" t="s">
        <v>183</v>
      </c>
      <c r="C264" t="s">
        <v>348</v>
      </c>
      <c r="D264">
        <v>0</v>
      </c>
    </row>
    <row r="265" spans="1:4" x14ac:dyDescent="0.25">
      <c r="A265" t="s">
        <v>182</v>
      </c>
      <c r="B265" t="s">
        <v>183</v>
      </c>
      <c r="C265" t="s">
        <v>349</v>
      </c>
      <c r="D265">
        <v>0</v>
      </c>
    </row>
    <row r="266" spans="1:4" x14ac:dyDescent="0.25">
      <c r="A266" t="s">
        <v>182</v>
      </c>
      <c r="B266" t="s">
        <v>183</v>
      </c>
      <c r="C266" t="s">
        <v>350</v>
      </c>
      <c r="D266">
        <v>0</v>
      </c>
    </row>
    <row r="267" spans="1:4" x14ac:dyDescent="0.25">
      <c r="A267" t="s">
        <v>182</v>
      </c>
      <c r="B267" t="s">
        <v>183</v>
      </c>
      <c r="C267" t="s">
        <v>351</v>
      </c>
      <c r="D267">
        <v>0</v>
      </c>
    </row>
    <row r="268" spans="1:4" x14ac:dyDescent="0.25">
      <c r="A268" t="s">
        <v>182</v>
      </c>
      <c r="B268" t="s">
        <v>183</v>
      </c>
      <c r="C268" t="s">
        <v>352</v>
      </c>
      <c r="D268">
        <v>0</v>
      </c>
    </row>
    <row r="269" spans="1:4" x14ac:dyDescent="0.25">
      <c r="A269" t="s">
        <v>182</v>
      </c>
      <c r="B269" t="s">
        <v>183</v>
      </c>
      <c r="C269" t="s">
        <v>353</v>
      </c>
      <c r="D269">
        <v>0</v>
      </c>
    </row>
    <row r="270" spans="1:4" x14ac:dyDescent="0.25">
      <c r="A270" t="s">
        <v>182</v>
      </c>
      <c r="B270" t="s">
        <v>183</v>
      </c>
      <c r="C270" t="s">
        <v>354</v>
      </c>
      <c r="D270">
        <v>0</v>
      </c>
    </row>
    <row r="271" spans="1:4" x14ac:dyDescent="0.25">
      <c r="A271" t="s">
        <v>182</v>
      </c>
      <c r="B271" t="s">
        <v>183</v>
      </c>
      <c r="C271" t="s">
        <v>355</v>
      </c>
      <c r="D271">
        <v>0</v>
      </c>
    </row>
    <row r="272" spans="1:4" x14ac:dyDescent="0.25">
      <c r="A272" t="s">
        <v>182</v>
      </c>
      <c r="B272" t="s">
        <v>183</v>
      </c>
      <c r="C272" t="s">
        <v>356</v>
      </c>
      <c r="D272">
        <v>0</v>
      </c>
    </row>
    <row r="273" spans="1:4" x14ac:dyDescent="0.25">
      <c r="A273" t="s">
        <v>182</v>
      </c>
      <c r="B273" t="s">
        <v>183</v>
      </c>
      <c r="C273" t="s">
        <v>357</v>
      </c>
      <c r="D273">
        <v>0</v>
      </c>
    </row>
    <row r="274" spans="1:4" x14ac:dyDescent="0.25">
      <c r="A274" t="s">
        <v>182</v>
      </c>
      <c r="B274" t="s">
        <v>183</v>
      </c>
      <c r="C274" t="s">
        <v>358</v>
      </c>
      <c r="D274">
        <v>0</v>
      </c>
    </row>
    <row r="275" spans="1:4" x14ac:dyDescent="0.25">
      <c r="A275" t="s">
        <v>182</v>
      </c>
      <c r="B275" t="s">
        <v>183</v>
      </c>
      <c r="C275" t="s">
        <v>359</v>
      </c>
      <c r="D275">
        <v>0</v>
      </c>
    </row>
    <row r="276" spans="1:4" x14ac:dyDescent="0.25">
      <c r="A276" t="s">
        <v>182</v>
      </c>
      <c r="B276" t="s">
        <v>183</v>
      </c>
      <c r="C276" t="s">
        <v>360</v>
      </c>
      <c r="D276">
        <v>0</v>
      </c>
    </row>
    <row r="277" spans="1:4" x14ac:dyDescent="0.25">
      <c r="A277" t="s">
        <v>182</v>
      </c>
      <c r="B277" t="s">
        <v>183</v>
      </c>
      <c r="C277" t="s">
        <v>361</v>
      </c>
      <c r="D277">
        <v>0</v>
      </c>
    </row>
    <row r="278" spans="1:4" x14ac:dyDescent="0.25">
      <c r="A278" t="s">
        <v>182</v>
      </c>
      <c r="B278" t="s">
        <v>183</v>
      </c>
      <c r="C278" t="s">
        <v>362</v>
      </c>
      <c r="D278">
        <v>0</v>
      </c>
    </row>
    <row r="279" spans="1:4" x14ac:dyDescent="0.25">
      <c r="A279" t="s">
        <v>182</v>
      </c>
      <c r="B279" t="s">
        <v>183</v>
      </c>
      <c r="C279" t="s">
        <v>363</v>
      </c>
      <c r="D279">
        <v>0</v>
      </c>
    </row>
    <row r="280" spans="1:4" x14ac:dyDescent="0.25">
      <c r="A280" t="s">
        <v>182</v>
      </c>
      <c r="B280" t="s">
        <v>183</v>
      </c>
      <c r="C280" t="s">
        <v>364</v>
      </c>
      <c r="D280">
        <v>0</v>
      </c>
    </row>
    <row r="281" spans="1:4" x14ac:dyDescent="0.25">
      <c r="A281" t="s">
        <v>182</v>
      </c>
      <c r="B281" t="s">
        <v>183</v>
      </c>
      <c r="C281" t="s">
        <v>365</v>
      </c>
      <c r="D281">
        <v>0</v>
      </c>
    </row>
    <row r="282" spans="1:4" x14ac:dyDescent="0.25">
      <c r="A282" t="s">
        <v>184</v>
      </c>
      <c r="B282" t="s">
        <v>185</v>
      </c>
      <c r="C282" t="s">
        <v>239</v>
      </c>
      <c r="D282">
        <v>0</v>
      </c>
    </row>
    <row r="283" spans="1:4" x14ac:dyDescent="0.25">
      <c r="A283" t="s">
        <v>184</v>
      </c>
      <c r="B283" t="s">
        <v>185</v>
      </c>
      <c r="C283" t="s">
        <v>240</v>
      </c>
      <c r="D283">
        <v>0</v>
      </c>
    </row>
    <row r="284" spans="1:4" x14ac:dyDescent="0.25">
      <c r="A284" t="s">
        <v>184</v>
      </c>
      <c r="B284" t="s">
        <v>185</v>
      </c>
      <c r="C284" t="s">
        <v>333</v>
      </c>
      <c r="D284">
        <v>0</v>
      </c>
    </row>
    <row r="285" spans="1:4" x14ac:dyDescent="0.25">
      <c r="A285" t="s">
        <v>184</v>
      </c>
      <c r="B285" t="s">
        <v>185</v>
      </c>
      <c r="C285" t="s">
        <v>334</v>
      </c>
      <c r="D285">
        <v>0</v>
      </c>
    </row>
    <row r="286" spans="1:4" x14ac:dyDescent="0.25">
      <c r="A286" t="s">
        <v>184</v>
      </c>
      <c r="B286" t="s">
        <v>185</v>
      </c>
      <c r="C286" t="s">
        <v>335</v>
      </c>
      <c r="D286">
        <v>0</v>
      </c>
    </row>
    <row r="287" spans="1:4" x14ac:dyDescent="0.25">
      <c r="A287" t="s">
        <v>184</v>
      </c>
      <c r="B287" t="s">
        <v>185</v>
      </c>
      <c r="C287" t="s">
        <v>336</v>
      </c>
      <c r="D287">
        <v>0</v>
      </c>
    </row>
    <row r="288" spans="1:4" x14ac:dyDescent="0.25">
      <c r="A288" t="s">
        <v>184</v>
      </c>
      <c r="B288" t="s">
        <v>185</v>
      </c>
      <c r="C288" t="s">
        <v>337</v>
      </c>
      <c r="D288">
        <v>0</v>
      </c>
    </row>
    <row r="289" spans="1:4" x14ac:dyDescent="0.25">
      <c r="A289" t="s">
        <v>184</v>
      </c>
      <c r="B289" t="s">
        <v>185</v>
      </c>
      <c r="C289" t="s">
        <v>338</v>
      </c>
      <c r="D289">
        <v>0</v>
      </c>
    </row>
    <row r="290" spans="1:4" x14ac:dyDescent="0.25">
      <c r="A290" t="s">
        <v>184</v>
      </c>
      <c r="B290" t="s">
        <v>185</v>
      </c>
      <c r="C290" t="s">
        <v>339</v>
      </c>
      <c r="D290">
        <v>0</v>
      </c>
    </row>
    <row r="291" spans="1:4" x14ac:dyDescent="0.25">
      <c r="A291" t="s">
        <v>184</v>
      </c>
      <c r="B291" t="s">
        <v>185</v>
      </c>
      <c r="C291" t="s">
        <v>340</v>
      </c>
      <c r="D291">
        <v>0</v>
      </c>
    </row>
    <row r="292" spans="1:4" x14ac:dyDescent="0.25">
      <c r="A292" t="s">
        <v>184</v>
      </c>
      <c r="B292" t="s">
        <v>185</v>
      </c>
      <c r="C292" t="s">
        <v>341</v>
      </c>
      <c r="D292">
        <v>0</v>
      </c>
    </row>
    <row r="293" spans="1:4" x14ac:dyDescent="0.25">
      <c r="A293" t="s">
        <v>184</v>
      </c>
      <c r="B293" t="s">
        <v>185</v>
      </c>
      <c r="C293" t="s">
        <v>342</v>
      </c>
      <c r="D293">
        <v>0</v>
      </c>
    </row>
    <row r="294" spans="1:4" x14ac:dyDescent="0.25">
      <c r="A294" t="s">
        <v>184</v>
      </c>
      <c r="B294" t="s">
        <v>185</v>
      </c>
      <c r="C294" t="s">
        <v>343</v>
      </c>
      <c r="D294">
        <v>0</v>
      </c>
    </row>
    <row r="295" spans="1:4" x14ac:dyDescent="0.25">
      <c r="A295" t="s">
        <v>184</v>
      </c>
      <c r="B295" t="s">
        <v>185</v>
      </c>
      <c r="C295" t="s">
        <v>344</v>
      </c>
      <c r="D295">
        <v>0</v>
      </c>
    </row>
    <row r="296" spans="1:4" x14ac:dyDescent="0.25">
      <c r="A296" t="s">
        <v>184</v>
      </c>
      <c r="B296" t="s">
        <v>185</v>
      </c>
      <c r="C296" t="s">
        <v>345</v>
      </c>
      <c r="D296">
        <v>0</v>
      </c>
    </row>
    <row r="297" spans="1:4" x14ac:dyDescent="0.25">
      <c r="A297" t="s">
        <v>184</v>
      </c>
      <c r="B297" t="s">
        <v>185</v>
      </c>
      <c r="C297" t="s">
        <v>346</v>
      </c>
      <c r="D297">
        <v>0</v>
      </c>
    </row>
    <row r="298" spans="1:4" x14ac:dyDescent="0.25">
      <c r="A298" t="s">
        <v>184</v>
      </c>
      <c r="B298" t="s">
        <v>185</v>
      </c>
      <c r="C298" t="s">
        <v>347</v>
      </c>
      <c r="D298">
        <v>0</v>
      </c>
    </row>
    <row r="299" spans="1:4" x14ac:dyDescent="0.25">
      <c r="A299" t="s">
        <v>184</v>
      </c>
      <c r="B299" t="s">
        <v>185</v>
      </c>
      <c r="C299" t="s">
        <v>348</v>
      </c>
      <c r="D299">
        <v>0</v>
      </c>
    </row>
    <row r="300" spans="1:4" x14ac:dyDescent="0.25">
      <c r="A300" t="s">
        <v>184</v>
      </c>
      <c r="B300" t="s">
        <v>185</v>
      </c>
      <c r="C300" t="s">
        <v>349</v>
      </c>
      <c r="D300">
        <v>0</v>
      </c>
    </row>
    <row r="301" spans="1:4" x14ac:dyDescent="0.25">
      <c r="A301" t="s">
        <v>184</v>
      </c>
      <c r="B301" t="s">
        <v>185</v>
      </c>
      <c r="C301" t="s">
        <v>350</v>
      </c>
      <c r="D301">
        <v>0</v>
      </c>
    </row>
    <row r="302" spans="1:4" x14ac:dyDescent="0.25">
      <c r="A302" t="s">
        <v>184</v>
      </c>
      <c r="B302" t="s">
        <v>185</v>
      </c>
      <c r="C302" t="s">
        <v>351</v>
      </c>
      <c r="D302">
        <v>0</v>
      </c>
    </row>
    <row r="303" spans="1:4" x14ac:dyDescent="0.25">
      <c r="A303" t="s">
        <v>184</v>
      </c>
      <c r="B303" t="s">
        <v>185</v>
      </c>
      <c r="C303" t="s">
        <v>352</v>
      </c>
      <c r="D303">
        <v>0</v>
      </c>
    </row>
    <row r="304" spans="1:4" x14ac:dyDescent="0.25">
      <c r="A304" t="s">
        <v>184</v>
      </c>
      <c r="B304" t="s">
        <v>185</v>
      </c>
      <c r="C304" t="s">
        <v>353</v>
      </c>
      <c r="D304">
        <v>0</v>
      </c>
    </row>
    <row r="305" spans="1:4" x14ac:dyDescent="0.25">
      <c r="A305" t="s">
        <v>184</v>
      </c>
      <c r="B305" t="s">
        <v>185</v>
      </c>
      <c r="C305" t="s">
        <v>354</v>
      </c>
      <c r="D305">
        <v>0</v>
      </c>
    </row>
    <row r="306" spans="1:4" x14ac:dyDescent="0.25">
      <c r="A306" t="s">
        <v>184</v>
      </c>
      <c r="B306" t="s">
        <v>185</v>
      </c>
      <c r="C306" t="s">
        <v>355</v>
      </c>
      <c r="D306">
        <v>0</v>
      </c>
    </row>
    <row r="307" spans="1:4" x14ac:dyDescent="0.25">
      <c r="A307" t="s">
        <v>184</v>
      </c>
      <c r="B307" t="s">
        <v>185</v>
      </c>
      <c r="C307" t="s">
        <v>356</v>
      </c>
      <c r="D307">
        <v>0</v>
      </c>
    </row>
    <row r="308" spans="1:4" x14ac:dyDescent="0.25">
      <c r="A308" t="s">
        <v>184</v>
      </c>
      <c r="B308" t="s">
        <v>185</v>
      </c>
      <c r="C308" t="s">
        <v>357</v>
      </c>
      <c r="D308">
        <v>0</v>
      </c>
    </row>
    <row r="309" spans="1:4" x14ac:dyDescent="0.25">
      <c r="A309" t="s">
        <v>184</v>
      </c>
      <c r="B309" t="s">
        <v>185</v>
      </c>
      <c r="C309" t="s">
        <v>358</v>
      </c>
      <c r="D309">
        <v>0</v>
      </c>
    </row>
    <row r="310" spans="1:4" x14ac:dyDescent="0.25">
      <c r="A310" t="s">
        <v>184</v>
      </c>
      <c r="B310" t="s">
        <v>185</v>
      </c>
      <c r="C310" t="s">
        <v>359</v>
      </c>
      <c r="D310">
        <v>0</v>
      </c>
    </row>
    <row r="311" spans="1:4" x14ac:dyDescent="0.25">
      <c r="A311" t="s">
        <v>184</v>
      </c>
      <c r="B311" t="s">
        <v>185</v>
      </c>
      <c r="C311" t="s">
        <v>360</v>
      </c>
      <c r="D311">
        <v>0</v>
      </c>
    </row>
    <row r="312" spans="1:4" x14ac:dyDescent="0.25">
      <c r="A312" t="s">
        <v>184</v>
      </c>
      <c r="B312" t="s">
        <v>185</v>
      </c>
      <c r="C312" t="s">
        <v>361</v>
      </c>
      <c r="D312">
        <v>0</v>
      </c>
    </row>
    <row r="313" spans="1:4" x14ac:dyDescent="0.25">
      <c r="A313" t="s">
        <v>184</v>
      </c>
      <c r="B313" t="s">
        <v>185</v>
      </c>
      <c r="C313" t="s">
        <v>362</v>
      </c>
      <c r="D313">
        <v>0</v>
      </c>
    </row>
    <row r="314" spans="1:4" x14ac:dyDescent="0.25">
      <c r="A314" t="s">
        <v>184</v>
      </c>
      <c r="B314" t="s">
        <v>185</v>
      </c>
      <c r="C314" t="s">
        <v>363</v>
      </c>
      <c r="D314">
        <v>0</v>
      </c>
    </row>
    <row r="315" spans="1:4" x14ac:dyDescent="0.25">
      <c r="A315" t="s">
        <v>184</v>
      </c>
      <c r="B315" t="s">
        <v>185</v>
      </c>
      <c r="C315" t="s">
        <v>364</v>
      </c>
      <c r="D315">
        <v>0</v>
      </c>
    </row>
    <row r="316" spans="1:4" x14ac:dyDescent="0.25">
      <c r="A316" t="s">
        <v>184</v>
      </c>
      <c r="B316" t="s">
        <v>185</v>
      </c>
      <c r="C316" t="s">
        <v>365</v>
      </c>
      <c r="D316">
        <v>0</v>
      </c>
    </row>
    <row r="317" spans="1:4" x14ac:dyDescent="0.25">
      <c r="A317" t="s">
        <v>186</v>
      </c>
      <c r="B317" t="s">
        <v>187</v>
      </c>
      <c r="C317" t="s">
        <v>239</v>
      </c>
      <c r="D317">
        <v>0</v>
      </c>
    </row>
    <row r="318" spans="1:4" x14ac:dyDescent="0.25">
      <c r="A318" t="s">
        <v>186</v>
      </c>
      <c r="B318" t="s">
        <v>187</v>
      </c>
      <c r="C318" t="s">
        <v>240</v>
      </c>
      <c r="D318">
        <v>0</v>
      </c>
    </row>
    <row r="319" spans="1:4" x14ac:dyDescent="0.25">
      <c r="A319" t="s">
        <v>186</v>
      </c>
      <c r="B319" t="s">
        <v>187</v>
      </c>
      <c r="C319" t="s">
        <v>333</v>
      </c>
      <c r="D319">
        <v>0</v>
      </c>
    </row>
    <row r="320" spans="1:4" x14ac:dyDescent="0.25">
      <c r="A320" t="s">
        <v>186</v>
      </c>
      <c r="B320" t="s">
        <v>187</v>
      </c>
      <c r="C320" t="s">
        <v>334</v>
      </c>
      <c r="D320">
        <v>0</v>
      </c>
    </row>
    <row r="321" spans="1:4" x14ac:dyDescent="0.25">
      <c r="A321" t="s">
        <v>186</v>
      </c>
      <c r="B321" t="s">
        <v>187</v>
      </c>
      <c r="C321" t="s">
        <v>335</v>
      </c>
      <c r="D321">
        <v>0</v>
      </c>
    </row>
    <row r="322" spans="1:4" x14ac:dyDescent="0.25">
      <c r="A322" t="s">
        <v>186</v>
      </c>
      <c r="B322" t="s">
        <v>187</v>
      </c>
      <c r="C322" t="s">
        <v>336</v>
      </c>
      <c r="D322">
        <v>0</v>
      </c>
    </row>
    <row r="323" spans="1:4" x14ac:dyDescent="0.25">
      <c r="A323" t="s">
        <v>186</v>
      </c>
      <c r="B323" t="s">
        <v>187</v>
      </c>
      <c r="C323" t="s">
        <v>337</v>
      </c>
      <c r="D323">
        <v>0</v>
      </c>
    </row>
    <row r="324" spans="1:4" x14ac:dyDescent="0.25">
      <c r="A324" t="s">
        <v>186</v>
      </c>
      <c r="B324" t="s">
        <v>187</v>
      </c>
      <c r="C324" t="s">
        <v>338</v>
      </c>
      <c r="D324">
        <v>0</v>
      </c>
    </row>
    <row r="325" spans="1:4" x14ac:dyDescent="0.25">
      <c r="A325" t="s">
        <v>186</v>
      </c>
      <c r="B325" t="s">
        <v>187</v>
      </c>
      <c r="C325" t="s">
        <v>339</v>
      </c>
      <c r="D325">
        <v>0</v>
      </c>
    </row>
    <row r="326" spans="1:4" x14ac:dyDescent="0.25">
      <c r="A326" t="s">
        <v>186</v>
      </c>
      <c r="B326" t="s">
        <v>187</v>
      </c>
      <c r="C326" t="s">
        <v>340</v>
      </c>
      <c r="D326">
        <v>0</v>
      </c>
    </row>
    <row r="327" spans="1:4" x14ac:dyDescent="0.25">
      <c r="A327" t="s">
        <v>186</v>
      </c>
      <c r="B327" t="s">
        <v>187</v>
      </c>
      <c r="C327" t="s">
        <v>341</v>
      </c>
      <c r="D327">
        <v>0</v>
      </c>
    </row>
    <row r="328" spans="1:4" x14ac:dyDescent="0.25">
      <c r="A328" t="s">
        <v>186</v>
      </c>
      <c r="B328" t="s">
        <v>187</v>
      </c>
      <c r="C328" t="s">
        <v>342</v>
      </c>
      <c r="D328">
        <v>0</v>
      </c>
    </row>
    <row r="329" spans="1:4" x14ac:dyDescent="0.25">
      <c r="A329" t="s">
        <v>186</v>
      </c>
      <c r="B329" t="s">
        <v>187</v>
      </c>
      <c r="C329" t="s">
        <v>343</v>
      </c>
      <c r="D329">
        <v>0</v>
      </c>
    </row>
    <row r="330" spans="1:4" x14ac:dyDescent="0.25">
      <c r="A330" t="s">
        <v>186</v>
      </c>
      <c r="B330" t="s">
        <v>187</v>
      </c>
      <c r="C330" t="s">
        <v>344</v>
      </c>
      <c r="D330">
        <v>0</v>
      </c>
    </row>
    <row r="331" spans="1:4" x14ac:dyDescent="0.25">
      <c r="A331" t="s">
        <v>186</v>
      </c>
      <c r="B331" t="s">
        <v>187</v>
      </c>
      <c r="C331" t="s">
        <v>345</v>
      </c>
      <c r="D331">
        <v>0</v>
      </c>
    </row>
    <row r="332" spans="1:4" x14ac:dyDescent="0.25">
      <c r="A332" t="s">
        <v>186</v>
      </c>
      <c r="B332" t="s">
        <v>187</v>
      </c>
      <c r="C332" t="s">
        <v>346</v>
      </c>
      <c r="D332">
        <v>0</v>
      </c>
    </row>
    <row r="333" spans="1:4" x14ac:dyDescent="0.25">
      <c r="A333" t="s">
        <v>186</v>
      </c>
      <c r="B333" t="s">
        <v>187</v>
      </c>
      <c r="C333" t="s">
        <v>347</v>
      </c>
      <c r="D333">
        <v>0</v>
      </c>
    </row>
    <row r="334" spans="1:4" x14ac:dyDescent="0.25">
      <c r="A334" t="s">
        <v>186</v>
      </c>
      <c r="B334" t="s">
        <v>187</v>
      </c>
      <c r="C334" t="s">
        <v>348</v>
      </c>
      <c r="D334">
        <v>0</v>
      </c>
    </row>
    <row r="335" spans="1:4" x14ac:dyDescent="0.25">
      <c r="A335" t="s">
        <v>186</v>
      </c>
      <c r="B335" t="s">
        <v>187</v>
      </c>
      <c r="C335" t="s">
        <v>349</v>
      </c>
      <c r="D335">
        <v>0</v>
      </c>
    </row>
    <row r="336" spans="1:4" x14ac:dyDescent="0.25">
      <c r="A336" t="s">
        <v>186</v>
      </c>
      <c r="B336" t="s">
        <v>187</v>
      </c>
      <c r="C336" t="s">
        <v>350</v>
      </c>
      <c r="D336">
        <v>0</v>
      </c>
    </row>
    <row r="337" spans="1:4" x14ac:dyDescent="0.25">
      <c r="A337" t="s">
        <v>186</v>
      </c>
      <c r="B337" t="s">
        <v>187</v>
      </c>
      <c r="C337" t="s">
        <v>351</v>
      </c>
      <c r="D337">
        <v>0</v>
      </c>
    </row>
    <row r="338" spans="1:4" x14ac:dyDescent="0.25">
      <c r="A338" t="s">
        <v>186</v>
      </c>
      <c r="B338" t="s">
        <v>187</v>
      </c>
      <c r="C338" t="s">
        <v>352</v>
      </c>
      <c r="D338">
        <v>0</v>
      </c>
    </row>
    <row r="339" spans="1:4" x14ac:dyDescent="0.25">
      <c r="A339" t="s">
        <v>186</v>
      </c>
      <c r="B339" t="s">
        <v>187</v>
      </c>
      <c r="C339" t="s">
        <v>353</v>
      </c>
      <c r="D339">
        <v>0</v>
      </c>
    </row>
    <row r="340" spans="1:4" x14ac:dyDescent="0.25">
      <c r="A340" t="s">
        <v>186</v>
      </c>
      <c r="B340" t="s">
        <v>187</v>
      </c>
      <c r="C340" t="s">
        <v>354</v>
      </c>
      <c r="D340">
        <v>0</v>
      </c>
    </row>
    <row r="341" spans="1:4" x14ac:dyDescent="0.25">
      <c r="A341" t="s">
        <v>186</v>
      </c>
      <c r="B341" t="s">
        <v>187</v>
      </c>
      <c r="C341" t="s">
        <v>355</v>
      </c>
      <c r="D341">
        <v>0</v>
      </c>
    </row>
    <row r="342" spans="1:4" x14ac:dyDescent="0.25">
      <c r="A342" t="s">
        <v>186</v>
      </c>
      <c r="B342" t="s">
        <v>187</v>
      </c>
      <c r="C342" t="s">
        <v>356</v>
      </c>
      <c r="D342">
        <v>0</v>
      </c>
    </row>
    <row r="343" spans="1:4" x14ac:dyDescent="0.25">
      <c r="A343" t="s">
        <v>186</v>
      </c>
      <c r="B343" t="s">
        <v>187</v>
      </c>
      <c r="C343" t="s">
        <v>357</v>
      </c>
      <c r="D343">
        <v>0</v>
      </c>
    </row>
    <row r="344" spans="1:4" x14ac:dyDescent="0.25">
      <c r="A344" t="s">
        <v>186</v>
      </c>
      <c r="B344" t="s">
        <v>187</v>
      </c>
      <c r="C344" t="s">
        <v>358</v>
      </c>
      <c r="D344">
        <v>0</v>
      </c>
    </row>
    <row r="345" spans="1:4" x14ac:dyDescent="0.25">
      <c r="A345" t="s">
        <v>186</v>
      </c>
      <c r="B345" t="s">
        <v>187</v>
      </c>
      <c r="C345" t="s">
        <v>359</v>
      </c>
      <c r="D345">
        <v>0</v>
      </c>
    </row>
    <row r="346" spans="1:4" x14ac:dyDescent="0.25">
      <c r="A346" t="s">
        <v>186</v>
      </c>
      <c r="B346" t="s">
        <v>187</v>
      </c>
      <c r="C346" t="s">
        <v>360</v>
      </c>
      <c r="D346">
        <v>0</v>
      </c>
    </row>
    <row r="347" spans="1:4" x14ac:dyDescent="0.25">
      <c r="A347" t="s">
        <v>186</v>
      </c>
      <c r="B347" t="s">
        <v>187</v>
      </c>
      <c r="C347" t="s">
        <v>361</v>
      </c>
      <c r="D347">
        <v>0</v>
      </c>
    </row>
    <row r="348" spans="1:4" x14ac:dyDescent="0.25">
      <c r="A348" t="s">
        <v>186</v>
      </c>
      <c r="B348" t="s">
        <v>187</v>
      </c>
      <c r="C348" t="s">
        <v>362</v>
      </c>
      <c r="D348">
        <v>0</v>
      </c>
    </row>
    <row r="349" spans="1:4" x14ac:dyDescent="0.25">
      <c r="A349" t="s">
        <v>186</v>
      </c>
      <c r="B349" t="s">
        <v>187</v>
      </c>
      <c r="C349" t="s">
        <v>363</v>
      </c>
      <c r="D349">
        <v>0</v>
      </c>
    </row>
    <row r="350" spans="1:4" x14ac:dyDescent="0.25">
      <c r="A350" t="s">
        <v>186</v>
      </c>
      <c r="B350" t="s">
        <v>187</v>
      </c>
      <c r="C350" t="s">
        <v>364</v>
      </c>
      <c r="D350">
        <v>0</v>
      </c>
    </row>
    <row r="351" spans="1:4" x14ac:dyDescent="0.25">
      <c r="A351" t="s">
        <v>186</v>
      </c>
      <c r="B351" t="s">
        <v>187</v>
      </c>
      <c r="C351" t="s">
        <v>365</v>
      </c>
      <c r="D351">
        <v>0</v>
      </c>
    </row>
    <row r="352" spans="1:4" x14ac:dyDescent="0.25">
      <c r="A352" t="s">
        <v>188</v>
      </c>
      <c r="B352" t="s">
        <v>189</v>
      </c>
      <c r="C352" t="s">
        <v>239</v>
      </c>
      <c r="D352">
        <v>100</v>
      </c>
    </row>
    <row r="353" spans="1:4" x14ac:dyDescent="0.25">
      <c r="A353" t="s">
        <v>188</v>
      </c>
      <c r="B353" t="s">
        <v>189</v>
      </c>
      <c r="C353" t="s">
        <v>240</v>
      </c>
      <c r="D353">
        <v>100</v>
      </c>
    </row>
    <row r="354" spans="1:4" x14ac:dyDescent="0.25">
      <c r="A354" t="s">
        <v>188</v>
      </c>
      <c r="B354" t="s">
        <v>189</v>
      </c>
      <c r="C354" t="s">
        <v>333</v>
      </c>
      <c r="D354">
        <v>100</v>
      </c>
    </row>
    <row r="355" spans="1:4" x14ac:dyDescent="0.25">
      <c r="A355" t="s">
        <v>188</v>
      </c>
      <c r="B355" t="s">
        <v>189</v>
      </c>
      <c r="C355" t="s">
        <v>334</v>
      </c>
      <c r="D355">
        <v>100</v>
      </c>
    </row>
    <row r="356" spans="1:4" x14ac:dyDescent="0.25">
      <c r="A356" t="s">
        <v>188</v>
      </c>
      <c r="B356" t="s">
        <v>189</v>
      </c>
      <c r="C356" t="s">
        <v>335</v>
      </c>
      <c r="D356">
        <v>100</v>
      </c>
    </row>
    <row r="357" spans="1:4" x14ac:dyDescent="0.25">
      <c r="A357" t="s">
        <v>188</v>
      </c>
      <c r="B357" t="s">
        <v>189</v>
      </c>
      <c r="C357" t="s">
        <v>336</v>
      </c>
      <c r="D357">
        <v>100</v>
      </c>
    </row>
    <row r="358" spans="1:4" x14ac:dyDescent="0.25">
      <c r="A358" t="s">
        <v>188</v>
      </c>
      <c r="B358" t="s">
        <v>189</v>
      </c>
      <c r="C358" t="s">
        <v>337</v>
      </c>
      <c r="D358">
        <v>100</v>
      </c>
    </row>
    <row r="359" spans="1:4" x14ac:dyDescent="0.25">
      <c r="A359" t="s">
        <v>188</v>
      </c>
      <c r="B359" t="s">
        <v>189</v>
      </c>
      <c r="C359" t="s">
        <v>338</v>
      </c>
      <c r="D359">
        <v>100</v>
      </c>
    </row>
    <row r="360" spans="1:4" x14ac:dyDescent="0.25">
      <c r="A360" t="s">
        <v>188</v>
      </c>
      <c r="B360" t="s">
        <v>189</v>
      </c>
      <c r="C360" t="s">
        <v>339</v>
      </c>
      <c r="D360">
        <v>100</v>
      </c>
    </row>
    <row r="361" spans="1:4" x14ac:dyDescent="0.25">
      <c r="A361" t="s">
        <v>188</v>
      </c>
      <c r="B361" t="s">
        <v>189</v>
      </c>
      <c r="C361" t="s">
        <v>340</v>
      </c>
      <c r="D361">
        <v>100</v>
      </c>
    </row>
    <row r="362" spans="1:4" x14ac:dyDescent="0.25">
      <c r="A362" t="s">
        <v>188</v>
      </c>
      <c r="B362" t="s">
        <v>189</v>
      </c>
      <c r="C362" t="s">
        <v>341</v>
      </c>
      <c r="D362">
        <v>100</v>
      </c>
    </row>
    <row r="363" spans="1:4" x14ac:dyDescent="0.25">
      <c r="A363" t="s">
        <v>188</v>
      </c>
      <c r="B363" t="s">
        <v>189</v>
      </c>
      <c r="C363" t="s">
        <v>342</v>
      </c>
      <c r="D363">
        <v>100</v>
      </c>
    </row>
    <row r="364" spans="1:4" x14ac:dyDescent="0.25">
      <c r="A364" t="s">
        <v>188</v>
      </c>
      <c r="B364" t="s">
        <v>189</v>
      </c>
      <c r="C364" t="s">
        <v>343</v>
      </c>
      <c r="D364">
        <v>100</v>
      </c>
    </row>
    <row r="365" spans="1:4" x14ac:dyDescent="0.25">
      <c r="A365" t="s">
        <v>188</v>
      </c>
      <c r="B365" t="s">
        <v>189</v>
      </c>
      <c r="C365" t="s">
        <v>344</v>
      </c>
      <c r="D365">
        <v>100</v>
      </c>
    </row>
    <row r="366" spans="1:4" x14ac:dyDescent="0.25">
      <c r="A366" t="s">
        <v>188</v>
      </c>
      <c r="B366" t="s">
        <v>189</v>
      </c>
      <c r="C366" t="s">
        <v>345</v>
      </c>
      <c r="D366">
        <v>100</v>
      </c>
    </row>
    <row r="367" spans="1:4" x14ac:dyDescent="0.25">
      <c r="A367" t="s">
        <v>188</v>
      </c>
      <c r="B367" t="s">
        <v>189</v>
      </c>
      <c r="C367" t="s">
        <v>346</v>
      </c>
      <c r="D367">
        <v>100</v>
      </c>
    </row>
    <row r="368" spans="1:4" x14ac:dyDescent="0.25">
      <c r="A368" t="s">
        <v>188</v>
      </c>
      <c r="B368" t="s">
        <v>189</v>
      </c>
      <c r="C368" t="s">
        <v>347</v>
      </c>
      <c r="D368">
        <v>99.94</v>
      </c>
    </row>
    <row r="369" spans="1:4" x14ac:dyDescent="0.25">
      <c r="A369" t="s">
        <v>188</v>
      </c>
      <c r="B369" t="s">
        <v>189</v>
      </c>
      <c r="C369" t="s">
        <v>348</v>
      </c>
      <c r="D369">
        <v>99.89</v>
      </c>
    </row>
    <row r="370" spans="1:4" x14ac:dyDescent="0.25">
      <c r="A370" t="s">
        <v>188</v>
      </c>
      <c r="B370" t="s">
        <v>189</v>
      </c>
      <c r="C370" t="s">
        <v>349</v>
      </c>
      <c r="D370">
        <v>99.84</v>
      </c>
    </row>
    <row r="371" spans="1:4" x14ac:dyDescent="0.25">
      <c r="A371" t="s">
        <v>188</v>
      </c>
      <c r="B371" t="s">
        <v>189</v>
      </c>
      <c r="C371" t="s">
        <v>350</v>
      </c>
      <c r="D371">
        <v>99.8</v>
      </c>
    </row>
    <row r="372" spans="1:4" x14ac:dyDescent="0.25">
      <c r="A372" t="s">
        <v>188</v>
      </c>
      <c r="B372" t="s">
        <v>189</v>
      </c>
      <c r="C372" t="s">
        <v>351</v>
      </c>
      <c r="D372">
        <v>95.05</v>
      </c>
    </row>
    <row r="373" spans="1:4" x14ac:dyDescent="0.25">
      <c r="A373" t="s">
        <v>188</v>
      </c>
      <c r="B373" t="s">
        <v>189</v>
      </c>
      <c r="C373" t="s">
        <v>352</v>
      </c>
      <c r="D373">
        <v>90.73</v>
      </c>
    </row>
    <row r="374" spans="1:4" x14ac:dyDescent="0.25">
      <c r="A374" t="s">
        <v>188</v>
      </c>
      <c r="B374" t="s">
        <v>189</v>
      </c>
      <c r="C374" t="s">
        <v>353</v>
      </c>
      <c r="D374">
        <v>86.78</v>
      </c>
    </row>
    <row r="375" spans="1:4" x14ac:dyDescent="0.25">
      <c r="A375" t="s">
        <v>188</v>
      </c>
      <c r="B375" t="s">
        <v>189</v>
      </c>
      <c r="C375" t="s">
        <v>354</v>
      </c>
      <c r="D375">
        <v>0</v>
      </c>
    </row>
    <row r="376" spans="1:4" x14ac:dyDescent="0.25">
      <c r="A376" t="s">
        <v>188</v>
      </c>
      <c r="B376" t="s">
        <v>189</v>
      </c>
      <c r="C376" t="s">
        <v>355</v>
      </c>
      <c r="D376">
        <v>0</v>
      </c>
    </row>
    <row r="377" spans="1:4" x14ac:dyDescent="0.25">
      <c r="A377" t="s">
        <v>188</v>
      </c>
      <c r="B377" t="s">
        <v>189</v>
      </c>
      <c r="C377" t="s">
        <v>356</v>
      </c>
      <c r="D377">
        <v>0</v>
      </c>
    </row>
    <row r="378" spans="1:4" x14ac:dyDescent="0.25">
      <c r="A378" t="s">
        <v>188</v>
      </c>
      <c r="B378" t="s">
        <v>189</v>
      </c>
      <c r="C378" t="s">
        <v>357</v>
      </c>
      <c r="D378">
        <v>0</v>
      </c>
    </row>
    <row r="379" spans="1:4" x14ac:dyDescent="0.25">
      <c r="A379" t="s">
        <v>188</v>
      </c>
      <c r="B379" t="s">
        <v>189</v>
      </c>
      <c r="C379" t="s">
        <v>358</v>
      </c>
      <c r="D379">
        <v>0</v>
      </c>
    </row>
    <row r="380" spans="1:4" x14ac:dyDescent="0.25">
      <c r="A380" t="s">
        <v>188</v>
      </c>
      <c r="B380" t="s">
        <v>189</v>
      </c>
      <c r="C380" t="s">
        <v>359</v>
      </c>
      <c r="D380">
        <v>0</v>
      </c>
    </row>
    <row r="381" spans="1:4" x14ac:dyDescent="0.25">
      <c r="A381" t="s">
        <v>188</v>
      </c>
      <c r="B381" t="s">
        <v>189</v>
      </c>
      <c r="C381" t="s">
        <v>360</v>
      </c>
      <c r="D381">
        <v>0</v>
      </c>
    </row>
    <row r="382" spans="1:4" x14ac:dyDescent="0.25">
      <c r="A382" t="s">
        <v>188</v>
      </c>
      <c r="B382" t="s">
        <v>189</v>
      </c>
      <c r="C382" t="s">
        <v>361</v>
      </c>
      <c r="D382">
        <v>0</v>
      </c>
    </row>
    <row r="383" spans="1:4" x14ac:dyDescent="0.25">
      <c r="A383" t="s">
        <v>188</v>
      </c>
      <c r="B383" t="s">
        <v>189</v>
      </c>
      <c r="C383" t="s">
        <v>362</v>
      </c>
      <c r="D383">
        <v>0</v>
      </c>
    </row>
    <row r="384" spans="1:4" x14ac:dyDescent="0.25">
      <c r="A384" t="s">
        <v>188</v>
      </c>
      <c r="B384" t="s">
        <v>189</v>
      </c>
      <c r="C384" t="s">
        <v>363</v>
      </c>
      <c r="D384">
        <v>0</v>
      </c>
    </row>
    <row r="385" spans="1:4" x14ac:dyDescent="0.25">
      <c r="A385" t="s">
        <v>188</v>
      </c>
      <c r="B385" t="s">
        <v>189</v>
      </c>
      <c r="C385" t="s">
        <v>364</v>
      </c>
      <c r="D385">
        <v>0</v>
      </c>
    </row>
    <row r="386" spans="1:4" x14ac:dyDescent="0.25">
      <c r="A386" t="s">
        <v>188</v>
      </c>
      <c r="B386" t="s">
        <v>189</v>
      </c>
      <c r="C386" t="s">
        <v>365</v>
      </c>
      <c r="D386">
        <v>0</v>
      </c>
    </row>
    <row r="387" spans="1:4" x14ac:dyDescent="0.25">
      <c r="A387" t="s">
        <v>190</v>
      </c>
      <c r="B387" t="s">
        <v>191</v>
      </c>
      <c r="C387" t="s">
        <v>241</v>
      </c>
      <c r="D387">
        <v>81</v>
      </c>
    </row>
    <row r="388" spans="1:4" x14ac:dyDescent="0.25">
      <c r="A388" t="s">
        <v>190</v>
      </c>
      <c r="B388" t="s">
        <v>191</v>
      </c>
      <c r="C388" t="s">
        <v>242</v>
      </c>
      <c r="D388">
        <v>81</v>
      </c>
    </row>
    <row r="389" spans="1:4" x14ac:dyDescent="0.25">
      <c r="A389" t="s">
        <v>190</v>
      </c>
      <c r="B389" t="s">
        <v>191</v>
      </c>
      <c r="C389" t="s">
        <v>243</v>
      </c>
      <c r="D389">
        <v>81.67</v>
      </c>
    </row>
    <row r="390" spans="1:4" x14ac:dyDescent="0.25">
      <c r="A390" t="s">
        <v>190</v>
      </c>
      <c r="B390" t="s">
        <v>191</v>
      </c>
      <c r="C390" t="s">
        <v>244</v>
      </c>
      <c r="D390">
        <v>82</v>
      </c>
    </row>
    <row r="391" spans="1:4" x14ac:dyDescent="0.25">
      <c r="A391" t="s">
        <v>190</v>
      </c>
      <c r="B391" t="s">
        <v>191</v>
      </c>
      <c r="C391" t="s">
        <v>245</v>
      </c>
      <c r="D391">
        <v>83.2</v>
      </c>
    </row>
    <row r="392" spans="1:4" x14ac:dyDescent="0.25">
      <c r="A392" t="s">
        <v>190</v>
      </c>
      <c r="B392" t="s">
        <v>191</v>
      </c>
      <c r="C392" t="s">
        <v>246</v>
      </c>
      <c r="D392">
        <v>84.33</v>
      </c>
    </row>
    <row r="393" spans="1:4" x14ac:dyDescent="0.25">
      <c r="A393" t="s">
        <v>190</v>
      </c>
      <c r="B393" t="s">
        <v>191</v>
      </c>
      <c r="C393" t="s">
        <v>247</v>
      </c>
      <c r="D393">
        <v>85.14</v>
      </c>
    </row>
    <row r="394" spans="1:4" x14ac:dyDescent="0.25">
      <c r="A394" t="s">
        <v>190</v>
      </c>
      <c r="B394" t="s">
        <v>191</v>
      </c>
      <c r="C394" t="s">
        <v>248</v>
      </c>
      <c r="D394">
        <v>85.75</v>
      </c>
    </row>
    <row r="395" spans="1:4" x14ac:dyDescent="0.25">
      <c r="A395" t="s">
        <v>190</v>
      </c>
      <c r="B395" t="s">
        <v>191</v>
      </c>
      <c r="C395" t="s">
        <v>249</v>
      </c>
      <c r="D395">
        <v>86.67</v>
      </c>
    </row>
    <row r="396" spans="1:4" x14ac:dyDescent="0.25">
      <c r="A396" t="s">
        <v>190</v>
      </c>
      <c r="B396" t="s">
        <v>191</v>
      </c>
      <c r="C396" t="s">
        <v>250</v>
      </c>
      <c r="D396">
        <v>87.4</v>
      </c>
    </row>
    <row r="397" spans="1:4" x14ac:dyDescent="0.25">
      <c r="A397" t="s">
        <v>190</v>
      </c>
      <c r="B397" t="s">
        <v>191</v>
      </c>
      <c r="C397" t="s">
        <v>251</v>
      </c>
      <c r="D397">
        <v>88.18</v>
      </c>
    </row>
    <row r="398" spans="1:4" x14ac:dyDescent="0.25">
      <c r="A398" t="s">
        <v>190</v>
      </c>
      <c r="B398" t="s">
        <v>191</v>
      </c>
      <c r="C398" t="s">
        <v>252</v>
      </c>
      <c r="D398">
        <v>88.92</v>
      </c>
    </row>
    <row r="399" spans="1:4" x14ac:dyDescent="0.25">
      <c r="A399" t="s">
        <v>190</v>
      </c>
      <c r="B399" t="s">
        <v>191</v>
      </c>
      <c r="C399" t="s">
        <v>253</v>
      </c>
      <c r="D399">
        <v>89.69</v>
      </c>
    </row>
    <row r="400" spans="1:4" x14ac:dyDescent="0.25">
      <c r="A400" t="s">
        <v>190</v>
      </c>
      <c r="B400" t="s">
        <v>191</v>
      </c>
      <c r="C400" t="s">
        <v>254</v>
      </c>
      <c r="D400">
        <v>90.36</v>
      </c>
    </row>
    <row r="401" spans="1:4" x14ac:dyDescent="0.25">
      <c r="A401" t="s">
        <v>190</v>
      </c>
      <c r="B401" t="s">
        <v>191</v>
      </c>
      <c r="C401" t="s">
        <v>255</v>
      </c>
      <c r="D401">
        <v>90.93</v>
      </c>
    </row>
    <row r="402" spans="1:4" x14ac:dyDescent="0.25">
      <c r="A402" t="s">
        <v>190</v>
      </c>
      <c r="B402" t="s">
        <v>191</v>
      </c>
      <c r="C402" t="s">
        <v>256</v>
      </c>
      <c r="D402">
        <v>91.44</v>
      </c>
    </row>
    <row r="403" spans="1:4" x14ac:dyDescent="0.25">
      <c r="A403" t="s">
        <v>190</v>
      </c>
      <c r="B403" t="s">
        <v>191</v>
      </c>
      <c r="C403" t="s">
        <v>257</v>
      </c>
      <c r="D403">
        <v>91.88</v>
      </c>
    </row>
    <row r="404" spans="1:4" x14ac:dyDescent="0.25">
      <c r="A404" t="s">
        <v>190</v>
      </c>
      <c r="B404" t="s">
        <v>191</v>
      </c>
      <c r="C404" t="s">
        <v>258</v>
      </c>
      <c r="D404">
        <v>92.28</v>
      </c>
    </row>
    <row r="405" spans="1:4" x14ac:dyDescent="0.25">
      <c r="A405" t="s">
        <v>190</v>
      </c>
      <c r="B405" t="s">
        <v>191</v>
      </c>
      <c r="C405" t="s">
        <v>259</v>
      </c>
      <c r="D405">
        <v>92.63</v>
      </c>
    </row>
    <row r="406" spans="1:4" x14ac:dyDescent="0.25">
      <c r="A406" t="s">
        <v>190</v>
      </c>
      <c r="B406" t="s">
        <v>191</v>
      </c>
      <c r="C406" t="s">
        <v>260</v>
      </c>
      <c r="D406">
        <v>92.95</v>
      </c>
    </row>
    <row r="407" spans="1:4" x14ac:dyDescent="0.25">
      <c r="A407" t="s">
        <v>190</v>
      </c>
      <c r="B407" t="s">
        <v>191</v>
      </c>
      <c r="C407" t="s">
        <v>261</v>
      </c>
      <c r="D407">
        <v>93.24</v>
      </c>
    </row>
    <row r="408" spans="1:4" x14ac:dyDescent="0.25">
      <c r="A408" t="s">
        <v>190</v>
      </c>
      <c r="B408" t="s">
        <v>191</v>
      </c>
      <c r="C408" t="s">
        <v>262</v>
      </c>
      <c r="D408">
        <v>93.5</v>
      </c>
    </row>
    <row r="409" spans="1:4" x14ac:dyDescent="0.25">
      <c r="A409" t="s">
        <v>190</v>
      </c>
      <c r="B409" t="s">
        <v>191</v>
      </c>
      <c r="C409" t="s">
        <v>263</v>
      </c>
      <c r="D409">
        <v>93.74</v>
      </c>
    </row>
    <row r="410" spans="1:4" x14ac:dyDescent="0.25">
      <c r="A410" t="s">
        <v>190</v>
      </c>
      <c r="B410" t="s">
        <v>191</v>
      </c>
      <c r="C410" t="s">
        <v>264</v>
      </c>
      <c r="D410">
        <v>93.88</v>
      </c>
    </row>
    <row r="411" spans="1:4" x14ac:dyDescent="0.25">
      <c r="A411" t="s">
        <v>190</v>
      </c>
      <c r="B411" t="s">
        <v>191</v>
      </c>
      <c r="C411" t="s">
        <v>265</v>
      </c>
      <c r="D411">
        <v>94</v>
      </c>
    </row>
    <row r="412" spans="1:4" x14ac:dyDescent="0.25">
      <c r="A412" t="s">
        <v>190</v>
      </c>
      <c r="B412" t="s">
        <v>191</v>
      </c>
      <c r="C412" t="s">
        <v>266</v>
      </c>
      <c r="D412">
        <v>94.08</v>
      </c>
    </row>
    <row r="413" spans="1:4" x14ac:dyDescent="0.25">
      <c r="A413" t="s">
        <v>190</v>
      </c>
      <c r="B413" t="s">
        <v>191</v>
      </c>
      <c r="C413" t="s">
        <v>267</v>
      </c>
      <c r="D413">
        <v>94.15</v>
      </c>
    </row>
    <row r="414" spans="1:4" x14ac:dyDescent="0.25">
      <c r="A414" t="s">
        <v>190</v>
      </c>
      <c r="B414" t="s">
        <v>191</v>
      </c>
      <c r="C414" t="s">
        <v>239</v>
      </c>
      <c r="D414">
        <v>94.21</v>
      </c>
    </row>
    <row r="415" spans="1:4" x14ac:dyDescent="0.25">
      <c r="A415" t="s">
        <v>190</v>
      </c>
      <c r="B415" t="s">
        <v>191</v>
      </c>
      <c r="C415" t="s">
        <v>240</v>
      </c>
      <c r="D415">
        <v>94.21</v>
      </c>
    </row>
    <row r="416" spans="1:4" x14ac:dyDescent="0.25">
      <c r="A416" t="s">
        <v>190</v>
      </c>
      <c r="B416" t="s">
        <v>191</v>
      </c>
      <c r="C416" t="s">
        <v>333</v>
      </c>
      <c r="D416">
        <v>94.2</v>
      </c>
    </row>
    <row r="417" spans="1:4" x14ac:dyDescent="0.25">
      <c r="A417" t="s">
        <v>190</v>
      </c>
      <c r="B417" t="s">
        <v>191</v>
      </c>
      <c r="C417" t="s">
        <v>334</v>
      </c>
      <c r="D417">
        <v>94.19</v>
      </c>
    </row>
    <row r="418" spans="1:4" x14ac:dyDescent="0.25">
      <c r="A418" t="s">
        <v>190</v>
      </c>
      <c r="B418" t="s">
        <v>191</v>
      </c>
      <c r="C418" t="s">
        <v>335</v>
      </c>
      <c r="D418">
        <v>94.16</v>
      </c>
    </row>
    <row r="419" spans="1:4" x14ac:dyDescent="0.25">
      <c r="A419" t="s">
        <v>190</v>
      </c>
      <c r="B419" t="s">
        <v>191</v>
      </c>
      <c r="C419" t="s">
        <v>336</v>
      </c>
      <c r="D419">
        <v>94.06</v>
      </c>
    </row>
    <row r="420" spans="1:4" x14ac:dyDescent="0.25">
      <c r="A420" t="s">
        <v>190</v>
      </c>
      <c r="B420" t="s">
        <v>191</v>
      </c>
      <c r="C420" t="s">
        <v>337</v>
      </c>
      <c r="D420">
        <v>93.97</v>
      </c>
    </row>
    <row r="421" spans="1:4" x14ac:dyDescent="0.25">
      <c r="A421" t="s">
        <v>190</v>
      </c>
      <c r="B421" t="s">
        <v>191</v>
      </c>
      <c r="C421" t="s">
        <v>338</v>
      </c>
      <c r="D421">
        <v>93.89</v>
      </c>
    </row>
    <row r="422" spans="1:4" x14ac:dyDescent="0.25">
      <c r="A422" t="s">
        <v>190</v>
      </c>
      <c r="B422" t="s">
        <v>191</v>
      </c>
      <c r="C422" t="s">
        <v>339</v>
      </c>
      <c r="D422">
        <v>93.78</v>
      </c>
    </row>
    <row r="423" spans="1:4" x14ac:dyDescent="0.25">
      <c r="A423" t="s">
        <v>190</v>
      </c>
      <c r="B423" t="s">
        <v>191</v>
      </c>
      <c r="C423" t="s">
        <v>340</v>
      </c>
      <c r="D423">
        <v>93.62</v>
      </c>
    </row>
    <row r="424" spans="1:4" x14ac:dyDescent="0.25">
      <c r="A424" t="s">
        <v>190</v>
      </c>
      <c r="B424" t="s">
        <v>191</v>
      </c>
      <c r="C424" t="s">
        <v>341</v>
      </c>
      <c r="D424">
        <v>93.45</v>
      </c>
    </row>
    <row r="425" spans="1:4" x14ac:dyDescent="0.25">
      <c r="A425" t="s">
        <v>190</v>
      </c>
      <c r="B425" t="s">
        <v>191</v>
      </c>
      <c r="C425" t="s">
        <v>342</v>
      </c>
      <c r="D425">
        <v>93.36</v>
      </c>
    </row>
    <row r="426" spans="1:4" x14ac:dyDescent="0.25">
      <c r="A426" t="s">
        <v>190</v>
      </c>
      <c r="B426" t="s">
        <v>191</v>
      </c>
      <c r="C426" t="s">
        <v>343</v>
      </c>
      <c r="D426">
        <v>93.28</v>
      </c>
    </row>
    <row r="427" spans="1:4" x14ac:dyDescent="0.25">
      <c r="A427" t="s">
        <v>190</v>
      </c>
      <c r="B427" t="s">
        <v>191</v>
      </c>
      <c r="C427" t="s">
        <v>344</v>
      </c>
      <c r="D427">
        <v>93.2</v>
      </c>
    </row>
    <row r="428" spans="1:4" x14ac:dyDescent="0.25">
      <c r="A428" t="s">
        <v>190</v>
      </c>
      <c r="B428" t="s">
        <v>191</v>
      </c>
      <c r="C428" t="s">
        <v>345</v>
      </c>
      <c r="D428">
        <v>93.12</v>
      </c>
    </row>
    <row r="429" spans="1:4" x14ac:dyDescent="0.25">
      <c r="A429" t="s">
        <v>190</v>
      </c>
      <c r="B429" t="s">
        <v>191</v>
      </c>
      <c r="C429" t="s">
        <v>346</v>
      </c>
      <c r="D429">
        <v>93</v>
      </c>
    </row>
    <row r="430" spans="1:4" x14ac:dyDescent="0.25">
      <c r="A430" t="s">
        <v>190</v>
      </c>
      <c r="B430" t="s">
        <v>191</v>
      </c>
      <c r="C430" t="s">
        <v>347</v>
      </c>
      <c r="D430">
        <v>92.89</v>
      </c>
    </row>
    <row r="431" spans="1:4" x14ac:dyDescent="0.25">
      <c r="A431" t="s">
        <v>190</v>
      </c>
      <c r="B431" t="s">
        <v>191</v>
      </c>
      <c r="C431" t="s">
        <v>348</v>
      </c>
      <c r="D431">
        <v>92.84</v>
      </c>
    </row>
    <row r="432" spans="1:4" x14ac:dyDescent="0.25">
      <c r="A432" t="s">
        <v>190</v>
      </c>
      <c r="B432" t="s">
        <v>191</v>
      </c>
      <c r="C432" t="s">
        <v>349</v>
      </c>
      <c r="D432">
        <v>92.8</v>
      </c>
    </row>
    <row r="433" spans="1:4" x14ac:dyDescent="0.25">
      <c r="A433" t="s">
        <v>190</v>
      </c>
      <c r="B433" t="s">
        <v>191</v>
      </c>
      <c r="C433" t="s">
        <v>350</v>
      </c>
      <c r="D433">
        <v>92.77</v>
      </c>
    </row>
    <row r="434" spans="1:4" x14ac:dyDescent="0.25">
      <c r="A434" t="s">
        <v>190</v>
      </c>
      <c r="B434" t="s">
        <v>191</v>
      </c>
      <c r="C434" t="s">
        <v>351</v>
      </c>
      <c r="D434">
        <v>92.71</v>
      </c>
    </row>
    <row r="435" spans="1:4" x14ac:dyDescent="0.25">
      <c r="A435" t="s">
        <v>190</v>
      </c>
      <c r="B435" t="s">
        <v>191</v>
      </c>
      <c r="C435" t="s">
        <v>352</v>
      </c>
      <c r="D435">
        <v>92.65</v>
      </c>
    </row>
    <row r="436" spans="1:4" x14ac:dyDescent="0.25">
      <c r="A436" t="s">
        <v>190</v>
      </c>
      <c r="B436" t="s">
        <v>191</v>
      </c>
      <c r="C436" t="s">
        <v>353</v>
      </c>
      <c r="D436">
        <v>92.6</v>
      </c>
    </row>
    <row r="437" spans="1:4" x14ac:dyDescent="0.25">
      <c r="A437" t="s">
        <v>190</v>
      </c>
      <c r="B437" t="s">
        <v>191</v>
      </c>
      <c r="C437" t="s">
        <v>354</v>
      </c>
      <c r="D437">
        <v>0</v>
      </c>
    </row>
    <row r="438" spans="1:4" x14ac:dyDescent="0.25">
      <c r="A438" t="s">
        <v>190</v>
      </c>
      <c r="B438" t="s">
        <v>191</v>
      </c>
      <c r="C438" t="s">
        <v>355</v>
      </c>
      <c r="D438">
        <v>0</v>
      </c>
    </row>
    <row r="439" spans="1:4" x14ac:dyDescent="0.25">
      <c r="A439" t="s">
        <v>190</v>
      </c>
      <c r="B439" t="s">
        <v>191</v>
      </c>
      <c r="C439" t="s">
        <v>356</v>
      </c>
      <c r="D439">
        <v>0</v>
      </c>
    </row>
    <row r="440" spans="1:4" x14ac:dyDescent="0.25">
      <c r="A440" t="s">
        <v>190</v>
      </c>
      <c r="B440" t="s">
        <v>191</v>
      </c>
      <c r="C440" t="s">
        <v>357</v>
      </c>
      <c r="D440">
        <v>0</v>
      </c>
    </row>
    <row r="441" spans="1:4" x14ac:dyDescent="0.25">
      <c r="A441" t="s">
        <v>190</v>
      </c>
      <c r="B441" t="s">
        <v>191</v>
      </c>
      <c r="C441" t="s">
        <v>358</v>
      </c>
      <c r="D441">
        <v>0</v>
      </c>
    </row>
    <row r="442" spans="1:4" x14ac:dyDescent="0.25">
      <c r="A442" t="s">
        <v>190</v>
      </c>
      <c r="B442" t="s">
        <v>191</v>
      </c>
      <c r="C442" t="s">
        <v>359</v>
      </c>
      <c r="D442">
        <v>0</v>
      </c>
    </row>
    <row r="443" spans="1:4" x14ac:dyDescent="0.25">
      <c r="A443" t="s">
        <v>190</v>
      </c>
      <c r="B443" t="s">
        <v>191</v>
      </c>
      <c r="C443" t="s">
        <v>360</v>
      </c>
      <c r="D443">
        <v>0</v>
      </c>
    </row>
    <row r="444" spans="1:4" x14ac:dyDescent="0.25">
      <c r="A444" t="s">
        <v>190</v>
      </c>
      <c r="B444" t="s">
        <v>191</v>
      </c>
      <c r="C444" t="s">
        <v>361</v>
      </c>
      <c r="D444">
        <v>0</v>
      </c>
    </row>
    <row r="445" spans="1:4" x14ac:dyDescent="0.25">
      <c r="A445" t="s">
        <v>190</v>
      </c>
      <c r="B445" t="s">
        <v>191</v>
      </c>
      <c r="C445" t="s">
        <v>362</v>
      </c>
      <c r="D445">
        <v>0</v>
      </c>
    </row>
    <row r="446" spans="1:4" x14ac:dyDescent="0.25">
      <c r="A446" t="s">
        <v>190</v>
      </c>
      <c r="B446" t="s">
        <v>191</v>
      </c>
      <c r="C446" t="s">
        <v>363</v>
      </c>
      <c r="D446">
        <v>0</v>
      </c>
    </row>
    <row r="447" spans="1:4" x14ac:dyDescent="0.25">
      <c r="A447" t="s">
        <v>190</v>
      </c>
      <c r="B447" t="s">
        <v>191</v>
      </c>
      <c r="C447" t="s">
        <v>364</v>
      </c>
      <c r="D447">
        <v>0</v>
      </c>
    </row>
    <row r="448" spans="1:4" x14ac:dyDescent="0.25">
      <c r="A448" t="s">
        <v>190</v>
      </c>
      <c r="B448" t="s">
        <v>191</v>
      </c>
      <c r="C448" t="s">
        <v>365</v>
      </c>
      <c r="D448">
        <v>0</v>
      </c>
    </row>
    <row r="449" spans="1:4" x14ac:dyDescent="0.25">
      <c r="A449" t="s">
        <v>192</v>
      </c>
      <c r="B449" t="s">
        <v>193</v>
      </c>
      <c r="C449" t="s">
        <v>241</v>
      </c>
      <c r="D449">
        <v>95</v>
      </c>
    </row>
    <row r="450" spans="1:4" x14ac:dyDescent="0.25">
      <c r="A450" t="s">
        <v>192</v>
      </c>
      <c r="B450" t="s">
        <v>193</v>
      </c>
      <c r="C450" t="s">
        <v>242</v>
      </c>
      <c r="D450">
        <v>95</v>
      </c>
    </row>
    <row r="451" spans="1:4" x14ac:dyDescent="0.25">
      <c r="A451" t="s">
        <v>192</v>
      </c>
      <c r="B451" t="s">
        <v>193</v>
      </c>
      <c r="C451" t="s">
        <v>243</v>
      </c>
      <c r="D451">
        <v>95.33</v>
      </c>
    </row>
    <row r="452" spans="1:4" x14ac:dyDescent="0.25">
      <c r="A452" t="s">
        <v>192</v>
      </c>
      <c r="B452" t="s">
        <v>193</v>
      </c>
      <c r="C452" t="s">
        <v>244</v>
      </c>
      <c r="D452">
        <v>95.75</v>
      </c>
    </row>
    <row r="453" spans="1:4" x14ac:dyDescent="0.25">
      <c r="A453" t="s">
        <v>192</v>
      </c>
      <c r="B453" t="s">
        <v>193</v>
      </c>
      <c r="C453" t="s">
        <v>245</v>
      </c>
      <c r="D453">
        <v>95.6</v>
      </c>
    </row>
    <row r="454" spans="1:4" x14ac:dyDescent="0.25">
      <c r="A454" t="s">
        <v>192</v>
      </c>
      <c r="B454" t="s">
        <v>193</v>
      </c>
      <c r="C454" t="s">
        <v>246</v>
      </c>
      <c r="D454">
        <v>95.67</v>
      </c>
    </row>
    <row r="455" spans="1:4" x14ac:dyDescent="0.25">
      <c r="A455" t="s">
        <v>192</v>
      </c>
      <c r="B455" t="s">
        <v>193</v>
      </c>
      <c r="C455" t="s">
        <v>247</v>
      </c>
      <c r="D455">
        <v>95.71</v>
      </c>
    </row>
    <row r="456" spans="1:4" x14ac:dyDescent="0.25">
      <c r="A456" t="s">
        <v>192</v>
      </c>
      <c r="B456" t="s">
        <v>193</v>
      </c>
      <c r="C456" t="s">
        <v>248</v>
      </c>
      <c r="D456">
        <v>96.12</v>
      </c>
    </row>
    <row r="457" spans="1:4" x14ac:dyDescent="0.25">
      <c r="A457" t="s">
        <v>192</v>
      </c>
      <c r="B457" t="s">
        <v>193</v>
      </c>
      <c r="C457" t="s">
        <v>249</v>
      </c>
      <c r="D457">
        <v>96.22</v>
      </c>
    </row>
    <row r="458" spans="1:4" x14ac:dyDescent="0.25">
      <c r="A458" t="s">
        <v>192</v>
      </c>
      <c r="B458" t="s">
        <v>193</v>
      </c>
      <c r="C458" t="s">
        <v>250</v>
      </c>
      <c r="D458">
        <v>96.5</v>
      </c>
    </row>
    <row r="459" spans="1:4" x14ac:dyDescent="0.25">
      <c r="A459" t="s">
        <v>192</v>
      </c>
      <c r="B459" t="s">
        <v>193</v>
      </c>
      <c r="C459" t="s">
        <v>251</v>
      </c>
      <c r="D459">
        <v>96.55</v>
      </c>
    </row>
    <row r="460" spans="1:4" x14ac:dyDescent="0.25">
      <c r="A460" t="s">
        <v>192</v>
      </c>
      <c r="B460" t="s">
        <v>193</v>
      </c>
      <c r="C460" t="s">
        <v>252</v>
      </c>
      <c r="D460">
        <v>96.58</v>
      </c>
    </row>
    <row r="461" spans="1:4" x14ac:dyDescent="0.25">
      <c r="A461" t="s">
        <v>192</v>
      </c>
      <c r="B461" t="s">
        <v>193</v>
      </c>
      <c r="C461" t="s">
        <v>253</v>
      </c>
      <c r="D461">
        <v>96.62</v>
      </c>
    </row>
    <row r="462" spans="1:4" x14ac:dyDescent="0.25">
      <c r="A462" t="s">
        <v>192</v>
      </c>
      <c r="B462" t="s">
        <v>193</v>
      </c>
      <c r="C462" t="s">
        <v>254</v>
      </c>
      <c r="D462">
        <v>96.57</v>
      </c>
    </row>
    <row r="463" spans="1:4" x14ac:dyDescent="0.25">
      <c r="A463" t="s">
        <v>192</v>
      </c>
      <c r="B463" t="s">
        <v>193</v>
      </c>
      <c r="C463" t="s">
        <v>255</v>
      </c>
      <c r="D463">
        <v>96.53</v>
      </c>
    </row>
    <row r="464" spans="1:4" x14ac:dyDescent="0.25">
      <c r="A464" t="s">
        <v>192</v>
      </c>
      <c r="B464" t="s">
        <v>193</v>
      </c>
      <c r="C464" t="s">
        <v>256</v>
      </c>
      <c r="D464">
        <v>96.56</v>
      </c>
    </row>
    <row r="465" spans="1:4" x14ac:dyDescent="0.25">
      <c r="A465" t="s">
        <v>192</v>
      </c>
      <c r="B465" t="s">
        <v>193</v>
      </c>
      <c r="C465" t="s">
        <v>257</v>
      </c>
      <c r="D465">
        <v>96.53</v>
      </c>
    </row>
    <row r="466" spans="1:4" x14ac:dyDescent="0.25">
      <c r="A466" t="s">
        <v>192</v>
      </c>
      <c r="B466" t="s">
        <v>193</v>
      </c>
      <c r="C466" t="s">
        <v>258</v>
      </c>
      <c r="D466">
        <v>96.5</v>
      </c>
    </row>
    <row r="467" spans="1:4" x14ac:dyDescent="0.25">
      <c r="A467" t="s">
        <v>192</v>
      </c>
      <c r="B467" t="s">
        <v>193</v>
      </c>
      <c r="C467" t="s">
        <v>259</v>
      </c>
      <c r="D467">
        <v>96.53</v>
      </c>
    </row>
    <row r="468" spans="1:4" x14ac:dyDescent="0.25">
      <c r="A468" t="s">
        <v>192</v>
      </c>
      <c r="B468" t="s">
        <v>193</v>
      </c>
      <c r="C468" t="s">
        <v>260</v>
      </c>
      <c r="D468">
        <v>96.55</v>
      </c>
    </row>
    <row r="469" spans="1:4" x14ac:dyDescent="0.25">
      <c r="A469" t="s">
        <v>192</v>
      </c>
      <c r="B469" t="s">
        <v>193</v>
      </c>
      <c r="C469" t="s">
        <v>261</v>
      </c>
      <c r="D469">
        <v>96.57</v>
      </c>
    </row>
    <row r="470" spans="1:4" x14ac:dyDescent="0.25">
      <c r="A470" t="s">
        <v>192</v>
      </c>
      <c r="B470" t="s">
        <v>193</v>
      </c>
      <c r="C470" t="s">
        <v>262</v>
      </c>
      <c r="D470">
        <v>96.41</v>
      </c>
    </row>
    <row r="471" spans="1:4" x14ac:dyDescent="0.25">
      <c r="A471" t="s">
        <v>192</v>
      </c>
      <c r="B471" t="s">
        <v>193</v>
      </c>
      <c r="C471" t="s">
        <v>263</v>
      </c>
      <c r="D471">
        <v>96.26</v>
      </c>
    </row>
    <row r="472" spans="1:4" x14ac:dyDescent="0.25">
      <c r="A472" t="s">
        <v>192</v>
      </c>
      <c r="B472" t="s">
        <v>193</v>
      </c>
      <c r="C472" t="s">
        <v>264</v>
      </c>
      <c r="D472">
        <v>96.21</v>
      </c>
    </row>
    <row r="473" spans="1:4" x14ac:dyDescent="0.25">
      <c r="A473" t="s">
        <v>192</v>
      </c>
      <c r="B473" t="s">
        <v>193</v>
      </c>
      <c r="C473" t="s">
        <v>265</v>
      </c>
      <c r="D473">
        <v>96.16</v>
      </c>
    </row>
    <row r="474" spans="1:4" x14ac:dyDescent="0.25">
      <c r="A474" t="s">
        <v>192</v>
      </c>
      <c r="B474" t="s">
        <v>193</v>
      </c>
      <c r="C474" t="s">
        <v>266</v>
      </c>
      <c r="D474">
        <v>96.04</v>
      </c>
    </row>
    <row r="475" spans="1:4" x14ac:dyDescent="0.25">
      <c r="A475" t="s">
        <v>192</v>
      </c>
      <c r="B475" t="s">
        <v>193</v>
      </c>
      <c r="C475" t="s">
        <v>267</v>
      </c>
      <c r="D475">
        <v>95.93</v>
      </c>
    </row>
    <row r="476" spans="1:4" x14ac:dyDescent="0.25">
      <c r="A476" t="s">
        <v>192</v>
      </c>
      <c r="B476" t="s">
        <v>193</v>
      </c>
      <c r="C476" t="s">
        <v>239</v>
      </c>
      <c r="D476">
        <v>95.89</v>
      </c>
    </row>
    <row r="477" spans="1:4" x14ac:dyDescent="0.25">
      <c r="A477" t="s">
        <v>192</v>
      </c>
      <c r="B477" t="s">
        <v>193</v>
      </c>
      <c r="C477" t="s">
        <v>240</v>
      </c>
      <c r="D477">
        <v>95.86</v>
      </c>
    </row>
    <row r="478" spans="1:4" x14ac:dyDescent="0.25">
      <c r="A478" t="s">
        <v>192</v>
      </c>
      <c r="B478" t="s">
        <v>193</v>
      </c>
      <c r="C478" t="s">
        <v>333</v>
      </c>
      <c r="D478">
        <v>95.77</v>
      </c>
    </row>
    <row r="479" spans="1:4" x14ac:dyDescent="0.25">
      <c r="A479" t="s">
        <v>192</v>
      </c>
      <c r="B479" t="s">
        <v>193</v>
      </c>
      <c r="C479" t="s">
        <v>334</v>
      </c>
      <c r="D479">
        <v>95.77</v>
      </c>
    </row>
    <row r="480" spans="1:4" x14ac:dyDescent="0.25">
      <c r="A480" t="s">
        <v>192</v>
      </c>
      <c r="B480" t="s">
        <v>193</v>
      </c>
      <c r="C480" t="s">
        <v>335</v>
      </c>
      <c r="D480">
        <v>95.81</v>
      </c>
    </row>
    <row r="481" spans="1:4" x14ac:dyDescent="0.25">
      <c r="A481" t="s">
        <v>192</v>
      </c>
      <c r="B481" t="s">
        <v>193</v>
      </c>
      <c r="C481" t="s">
        <v>336</v>
      </c>
      <c r="D481">
        <v>95.85</v>
      </c>
    </row>
    <row r="482" spans="1:4" x14ac:dyDescent="0.25">
      <c r="A482" t="s">
        <v>192</v>
      </c>
      <c r="B482" t="s">
        <v>193</v>
      </c>
      <c r="C482" t="s">
        <v>337</v>
      </c>
      <c r="D482">
        <v>95.88</v>
      </c>
    </row>
    <row r="483" spans="1:4" x14ac:dyDescent="0.25">
      <c r="A483" t="s">
        <v>192</v>
      </c>
      <c r="B483" t="s">
        <v>193</v>
      </c>
      <c r="C483" t="s">
        <v>338</v>
      </c>
      <c r="D483">
        <v>95.91</v>
      </c>
    </row>
    <row r="484" spans="1:4" x14ac:dyDescent="0.25">
      <c r="A484" t="s">
        <v>192</v>
      </c>
      <c r="B484" t="s">
        <v>193</v>
      </c>
      <c r="C484" t="s">
        <v>339</v>
      </c>
      <c r="D484">
        <v>95.92</v>
      </c>
    </row>
    <row r="485" spans="1:4" x14ac:dyDescent="0.25">
      <c r="A485" t="s">
        <v>192</v>
      </c>
      <c r="B485" t="s">
        <v>193</v>
      </c>
      <c r="C485" t="s">
        <v>340</v>
      </c>
      <c r="D485">
        <v>95.92</v>
      </c>
    </row>
    <row r="486" spans="1:4" x14ac:dyDescent="0.25">
      <c r="A486" t="s">
        <v>192</v>
      </c>
      <c r="B486" t="s">
        <v>193</v>
      </c>
      <c r="C486" t="s">
        <v>341</v>
      </c>
      <c r="D486">
        <v>95.92</v>
      </c>
    </row>
    <row r="487" spans="1:4" x14ac:dyDescent="0.25">
      <c r="A487" t="s">
        <v>192</v>
      </c>
      <c r="B487" t="s">
        <v>193</v>
      </c>
      <c r="C487" t="s">
        <v>342</v>
      </c>
      <c r="D487">
        <v>95.82</v>
      </c>
    </row>
    <row r="488" spans="1:4" x14ac:dyDescent="0.25">
      <c r="A488" t="s">
        <v>192</v>
      </c>
      <c r="B488" t="s">
        <v>193</v>
      </c>
      <c r="C488" t="s">
        <v>343</v>
      </c>
      <c r="D488">
        <v>95.8</v>
      </c>
    </row>
    <row r="489" spans="1:4" x14ac:dyDescent="0.25">
      <c r="A489" t="s">
        <v>192</v>
      </c>
      <c r="B489" t="s">
        <v>193</v>
      </c>
      <c r="C489" t="s">
        <v>344</v>
      </c>
      <c r="D489">
        <v>95.8</v>
      </c>
    </row>
    <row r="490" spans="1:4" x14ac:dyDescent="0.25">
      <c r="A490" t="s">
        <v>192</v>
      </c>
      <c r="B490" t="s">
        <v>193</v>
      </c>
      <c r="C490" t="s">
        <v>345</v>
      </c>
      <c r="D490">
        <v>95.81</v>
      </c>
    </row>
    <row r="491" spans="1:4" x14ac:dyDescent="0.25">
      <c r="A491" t="s">
        <v>192</v>
      </c>
      <c r="B491" t="s">
        <v>193</v>
      </c>
      <c r="C491" t="s">
        <v>346</v>
      </c>
      <c r="D491">
        <v>95.88</v>
      </c>
    </row>
    <row r="492" spans="1:4" x14ac:dyDescent="0.25">
      <c r="A492" t="s">
        <v>192</v>
      </c>
      <c r="B492" t="s">
        <v>193</v>
      </c>
      <c r="C492" t="s">
        <v>347</v>
      </c>
      <c r="D492">
        <v>95.95</v>
      </c>
    </row>
    <row r="493" spans="1:4" x14ac:dyDescent="0.25">
      <c r="A493" t="s">
        <v>192</v>
      </c>
      <c r="B493" t="s">
        <v>193</v>
      </c>
      <c r="C493" t="s">
        <v>348</v>
      </c>
      <c r="D493">
        <v>96.02</v>
      </c>
    </row>
    <row r="494" spans="1:4" x14ac:dyDescent="0.25">
      <c r="A494" t="s">
        <v>192</v>
      </c>
      <c r="B494" t="s">
        <v>193</v>
      </c>
      <c r="C494" t="s">
        <v>349</v>
      </c>
      <c r="D494">
        <v>96.04</v>
      </c>
    </row>
    <row r="495" spans="1:4" x14ac:dyDescent="0.25">
      <c r="A495" t="s">
        <v>192</v>
      </c>
      <c r="B495" t="s">
        <v>193</v>
      </c>
      <c r="C495" t="s">
        <v>350</v>
      </c>
      <c r="D495">
        <v>96.06</v>
      </c>
    </row>
    <row r="496" spans="1:4" x14ac:dyDescent="0.25">
      <c r="A496" t="s">
        <v>192</v>
      </c>
      <c r="B496" t="s">
        <v>193</v>
      </c>
      <c r="C496" t="s">
        <v>351</v>
      </c>
      <c r="D496">
        <v>96.12</v>
      </c>
    </row>
    <row r="497" spans="1:4" x14ac:dyDescent="0.25">
      <c r="A497" t="s">
        <v>192</v>
      </c>
      <c r="B497" t="s">
        <v>193</v>
      </c>
      <c r="C497" t="s">
        <v>352</v>
      </c>
      <c r="D497">
        <v>96.2</v>
      </c>
    </row>
    <row r="498" spans="1:4" x14ac:dyDescent="0.25">
      <c r="A498" t="s">
        <v>192</v>
      </c>
      <c r="B498" t="s">
        <v>193</v>
      </c>
      <c r="C498" t="s">
        <v>353</v>
      </c>
      <c r="D498">
        <v>96.28</v>
      </c>
    </row>
    <row r="499" spans="1:4" x14ac:dyDescent="0.25">
      <c r="A499" t="s">
        <v>192</v>
      </c>
      <c r="B499" t="s">
        <v>193</v>
      </c>
      <c r="C499" t="s">
        <v>354</v>
      </c>
      <c r="D499">
        <v>0</v>
      </c>
    </row>
    <row r="500" spans="1:4" x14ac:dyDescent="0.25">
      <c r="A500" t="s">
        <v>192</v>
      </c>
      <c r="B500" t="s">
        <v>193</v>
      </c>
      <c r="C500" t="s">
        <v>355</v>
      </c>
      <c r="D500">
        <v>0</v>
      </c>
    </row>
    <row r="501" spans="1:4" x14ac:dyDescent="0.25">
      <c r="A501" t="s">
        <v>192</v>
      </c>
      <c r="B501" t="s">
        <v>193</v>
      </c>
      <c r="C501" t="s">
        <v>356</v>
      </c>
      <c r="D501">
        <v>0</v>
      </c>
    </row>
    <row r="502" spans="1:4" x14ac:dyDescent="0.25">
      <c r="A502" t="s">
        <v>192</v>
      </c>
      <c r="B502" t="s">
        <v>193</v>
      </c>
      <c r="C502" t="s">
        <v>357</v>
      </c>
      <c r="D502">
        <v>0</v>
      </c>
    </row>
    <row r="503" spans="1:4" x14ac:dyDescent="0.25">
      <c r="A503" t="s">
        <v>192</v>
      </c>
      <c r="B503" t="s">
        <v>193</v>
      </c>
      <c r="C503" t="s">
        <v>358</v>
      </c>
      <c r="D503">
        <v>0</v>
      </c>
    </row>
    <row r="504" spans="1:4" x14ac:dyDescent="0.25">
      <c r="A504" t="s">
        <v>192</v>
      </c>
      <c r="B504" t="s">
        <v>193</v>
      </c>
      <c r="C504" t="s">
        <v>359</v>
      </c>
      <c r="D504">
        <v>0</v>
      </c>
    </row>
    <row r="505" spans="1:4" x14ac:dyDescent="0.25">
      <c r="A505" t="s">
        <v>192</v>
      </c>
      <c r="B505" t="s">
        <v>193</v>
      </c>
      <c r="C505" t="s">
        <v>360</v>
      </c>
      <c r="D505">
        <v>0</v>
      </c>
    </row>
    <row r="506" spans="1:4" x14ac:dyDescent="0.25">
      <c r="A506" t="s">
        <v>192</v>
      </c>
      <c r="B506" t="s">
        <v>193</v>
      </c>
      <c r="C506" t="s">
        <v>361</v>
      </c>
      <c r="D506">
        <v>0</v>
      </c>
    </row>
    <row r="507" spans="1:4" x14ac:dyDescent="0.25">
      <c r="A507" t="s">
        <v>192</v>
      </c>
      <c r="B507" t="s">
        <v>193</v>
      </c>
      <c r="C507" t="s">
        <v>362</v>
      </c>
      <c r="D507">
        <v>0</v>
      </c>
    </row>
    <row r="508" spans="1:4" x14ac:dyDescent="0.25">
      <c r="A508" t="s">
        <v>192</v>
      </c>
      <c r="B508" t="s">
        <v>193</v>
      </c>
      <c r="C508" t="s">
        <v>363</v>
      </c>
      <c r="D508">
        <v>0</v>
      </c>
    </row>
    <row r="509" spans="1:4" x14ac:dyDescent="0.25">
      <c r="A509" t="s">
        <v>192</v>
      </c>
      <c r="B509" t="s">
        <v>193</v>
      </c>
      <c r="C509" t="s">
        <v>364</v>
      </c>
      <c r="D509">
        <v>0</v>
      </c>
    </row>
    <row r="510" spans="1:4" x14ac:dyDescent="0.25">
      <c r="A510" t="s">
        <v>192</v>
      </c>
      <c r="B510" t="s">
        <v>193</v>
      </c>
      <c r="C510" t="s">
        <v>365</v>
      </c>
      <c r="D510">
        <v>0</v>
      </c>
    </row>
    <row r="511" spans="1:4" x14ac:dyDescent="0.25">
      <c r="A511" t="s">
        <v>194</v>
      </c>
      <c r="B511" t="s">
        <v>195</v>
      </c>
      <c r="C511" t="s">
        <v>239</v>
      </c>
      <c r="D511">
        <v>0</v>
      </c>
    </row>
    <row r="512" spans="1:4" x14ac:dyDescent="0.25">
      <c r="A512" t="s">
        <v>194</v>
      </c>
      <c r="B512" t="s">
        <v>195</v>
      </c>
      <c r="C512" t="s">
        <v>240</v>
      </c>
      <c r="D512">
        <v>0</v>
      </c>
    </row>
    <row r="513" spans="1:4" x14ac:dyDescent="0.25">
      <c r="A513" t="s">
        <v>194</v>
      </c>
      <c r="B513" t="s">
        <v>195</v>
      </c>
      <c r="C513" t="s">
        <v>333</v>
      </c>
      <c r="D513">
        <v>0</v>
      </c>
    </row>
    <row r="514" spans="1:4" x14ac:dyDescent="0.25">
      <c r="A514" t="s">
        <v>194</v>
      </c>
      <c r="B514" t="s">
        <v>195</v>
      </c>
      <c r="C514" t="s">
        <v>334</v>
      </c>
      <c r="D514">
        <v>0</v>
      </c>
    </row>
    <row r="515" spans="1:4" x14ac:dyDescent="0.25">
      <c r="A515" t="s">
        <v>194</v>
      </c>
      <c r="B515" t="s">
        <v>195</v>
      </c>
      <c r="C515" t="s">
        <v>335</v>
      </c>
      <c r="D515">
        <v>0</v>
      </c>
    </row>
    <row r="516" spans="1:4" x14ac:dyDescent="0.25">
      <c r="A516" t="s">
        <v>194</v>
      </c>
      <c r="B516" t="s">
        <v>195</v>
      </c>
      <c r="C516" t="s">
        <v>336</v>
      </c>
      <c r="D516">
        <v>0</v>
      </c>
    </row>
    <row r="517" spans="1:4" x14ac:dyDescent="0.25">
      <c r="A517" t="s">
        <v>194</v>
      </c>
      <c r="B517" t="s">
        <v>195</v>
      </c>
      <c r="C517" t="s">
        <v>337</v>
      </c>
      <c r="D517">
        <v>0</v>
      </c>
    </row>
    <row r="518" spans="1:4" x14ac:dyDescent="0.25">
      <c r="A518" t="s">
        <v>194</v>
      </c>
      <c r="B518" t="s">
        <v>195</v>
      </c>
      <c r="C518" t="s">
        <v>338</v>
      </c>
      <c r="D518">
        <v>0</v>
      </c>
    </row>
    <row r="519" spans="1:4" x14ac:dyDescent="0.25">
      <c r="A519" t="s">
        <v>194</v>
      </c>
      <c r="B519" t="s">
        <v>195</v>
      </c>
      <c r="C519" t="s">
        <v>339</v>
      </c>
      <c r="D519">
        <v>0</v>
      </c>
    </row>
    <row r="520" spans="1:4" x14ac:dyDescent="0.25">
      <c r="A520" t="s">
        <v>194</v>
      </c>
      <c r="B520" t="s">
        <v>195</v>
      </c>
      <c r="C520" t="s">
        <v>340</v>
      </c>
      <c r="D520">
        <v>0</v>
      </c>
    </row>
    <row r="521" spans="1:4" x14ac:dyDescent="0.25">
      <c r="A521" t="s">
        <v>194</v>
      </c>
      <c r="B521" t="s">
        <v>195</v>
      </c>
      <c r="C521" t="s">
        <v>341</v>
      </c>
      <c r="D521">
        <v>0</v>
      </c>
    </row>
    <row r="522" spans="1:4" x14ac:dyDescent="0.25">
      <c r="A522" t="s">
        <v>194</v>
      </c>
      <c r="B522" t="s">
        <v>195</v>
      </c>
      <c r="C522" t="s">
        <v>342</v>
      </c>
      <c r="D522">
        <v>0</v>
      </c>
    </row>
    <row r="523" spans="1:4" x14ac:dyDescent="0.25">
      <c r="A523" t="s">
        <v>194</v>
      </c>
      <c r="B523" t="s">
        <v>195</v>
      </c>
      <c r="C523" t="s">
        <v>343</v>
      </c>
      <c r="D523">
        <v>0</v>
      </c>
    </row>
    <row r="524" spans="1:4" x14ac:dyDescent="0.25">
      <c r="A524" t="s">
        <v>194</v>
      </c>
      <c r="B524" t="s">
        <v>195</v>
      </c>
      <c r="C524" t="s">
        <v>344</v>
      </c>
      <c r="D524">
        <v>0</v>
      </c>
    </row>
    <row r="525" spans="1:4" x14ac:dyDescent="0.25">
      <c r="A525" t="s">
        <v>194</v>
      </c>
      <c r="B525" t="s">
        <v>195</v>
      </c>
      <c r="C525" t="s">
        <v>345</v>
      </c>
      <c r="D525">
        <v>0</v>
      </c>
    </row>
    <row r="526" spans="1:4" x14ac:dyDescent="0.25">
      <c r="A526" t="s">
        <v>194</v>
      </c>
      <c r="B526" t="s">
        <v>195</v>
      </c>
      <c r="C526" t="s">
        <v>346</v>
      </c>
      <c r="D526">
        <v>0</v>
      </c>
    </row>
    <row r="527" spans="1:4" x14ac:dyDescent="0.25">
      <c r="A527" t="s">
        <v>194</v>
      </c>
      <c r="B527" t="s">
        <v>195</v>
      </c>
      <c r="C527" t="s">
        <v>347</v>
      </c>
      <c r="D527">
        <v>0</v>
      </c>
    </row>
    <row r="528" spans="1:4" x14ac:dyDescent="0.25">
      <c r="A528" t="s">
        <v>194</v>
      </c>
      <c r="B528" t="s">
        <v>195</v>
      </c>
      <c r="C528" t="s">
        <v>348</v>
      </c>
      <c r="D528">
        <v>0</v>
      </c>
    </row>
    <row r="529" spans="1:4" x14ac:dyDescent="0.25">
      <c r="A529" t="s">
        <v>194</v>
      </c>
      <c r="B529" t="s">
        <v>195</v>
      </c>
      <c r="C529" t="s">
        <v>349</v>
      </c>
      <c r="D529">
        <v>0</v>
      </c>
    </row>
    <row r="530" spans="1:4" x14ac:dyDescent="0.25">
      <c r="A530" t="s">
        <v>194</v>
      </c>
      <c r="B530" t="s">
        <v>195</v>
      </c>
      <c r="C530" t="s">
        <v>350</v>
      </c>
      <c r="D530">
        <v>0</v>
      </c>
    </row>
    <row r="531" spans="1:4" x14ac:dyDescent="0.25">
      <c r="A531" t="s">
        <v>194</v>
      </c>
      <c r="B531" t="s">
        <v>195</v>
      </c>
      <c r="C531" t="s">
        <v>351</v>
      </c>
      <c r="D531">
        <v>0</v>
      </c>
    </row>
    <row r="532" spans="1:4" x14ac:dyDescent="0.25">
      <c r="A532" t="s">
        <v>194</v>
      </c>
      <c r="B532" t="s">
        <v>195</v>
      </c>
      <c r="C532" t="s">
        <v>352</v>
      </c>
      <c r="D532">
        <v>0</v>
      </c>
    </row>
    <row r="533" spans="1:4" x14ac:dyDescent="0.25">
      <c r="A533" t="s">
        <v>194</v>
      </c>
      <c r="B533" t="s">
        <v>195</v>
      </c>
      <c r="C533" t="s">
        <v>353</v>
      </c>
      <c r="D533">
        <v>0</v>
      </c>
    </row>
    <row r="534" spans="1:4" x14ac:dyDescent="0.25">
      <c r="A534" t="s">
        <v>194</v>
      </c>
      <c r="B534" t="s">
        <v>195</v>
      </c>
      <c r="C534" t="s">
        <v>354</v>
      </c>
      <c r="D534">
        <v>0</v>
      </c>
    </row>
    <row r="535" spans="1:4" x14ac:dyDescent="0.25">
      <c r="A535" t="s">
        <v>194</v>
      </c>
      <c r="B535" t="s">
        <v>195</v>
      </c>
      <c r="C535" t="s">
        <v>355</v>
      </c>
      <c r="D535">
        <v>0</v>
      </c>
    </row>
    <row r="536" spans="1:4" x14ac:dyDescent="0.25">
      <c r="A536" t="s">
        <v>194</v>
      </c>
      <c r="B536" t="s">
        <v>195</v>
      </c>
      <c r="C536" t="s">
        <v>356</v>
      </c>
      <c r="D536">
        <v>0</v>
      </c>
    </row>
    <row r="537" spans="1:4" x14ac:dyDescent="0.25">
      <c r="A537" t="s">
        <v>194</v>
      </c>
      <c r="B537" t="s">
        <v>195</v>
      </c>
      <c r="C537" t="s">
        <v>357</v>
      </c>
      <c r="D537">
        <v>0</v>
      </c>
    </row>
    <row r="538" spans="1:4" x14ac:dyDescent="0.25">
      <c r="A538" t="s">
        <v>194</v>
      </c>
      <c r="B538" t="s">
        <v>195</v>
      </c>
      <c r="C538" t="s">
        <v>358</v>
      </c>
      <c r="D538">
        <v>0</v>
      </c>
    </row>
    <row r="539" spans="1:4" x14ac:dyDescent="0.25">
      <c r="A539" t="s">
        <v>194</v>
      </c>
      <c r="B539" t="s">
        <v>195</v>
      </c>
      <c r="C539" t="s">
        <v>359</v>
      </c>
      <c r="D539">
        <v>0</v>
      </c>
    </row>
    <row r="540" spans="1:4" x14ac:dyDescent="0.25">
      <c r="A540" t="s">
        <v>194</v>
      </c>
      <c r="B540" t="s">
        <v>195</v>
      </c>
      <c r="C540" t="s">
        <v>360</v>
      </c>
      <c r="D540">
        <v>0</v>
      </c>
    </row>
    <row r="541" spans="1:4" x14ac:dyDescent="0.25">
      <c r="A541" t="s">
        <v>194</v>
      </c>
      <c r="B541" t="s">
        <v>195</v>
      </c>
      <c r="C541" t="s">
        <v>361</v>
      </c>
      <c r="D541">
        <v>0</v>
      </c>
    </row>
    <row r="542" spans="1:4" x14ac:dyDescent="0.25">
      <c r="A542" t="s">
        <v>194</v>
      </c>
      <c r="B542" t="s">
        <v>195</v>
      </c>
      <c r="C542" t="s">
        <v>362</v>
      </c>
      <c r="D542">
        <v>0</v>
      </c>
    </row>
    <row r="543" spans="1:4" x14ac:dyDescent="0.25">
      <c r="A543" t="s">
        <v>194</v>
      </c>
      <c r="B543" t="s">
        <v>195</v>
      </c>
      <c r="C543" t="s">
        <v>363</v>
      </c>
      <c r="D543">
        <v>0</v>
      </c>
    </row>
    <row r="544" spans="1:4" x14ac:dyDescent="0.25">
      <c r="A544" t="s">
        <v>194</v>
      </c>
      <c r="B544" t="s">
        <v>195</v>
      </c>
      <c r="C544" t="s">
        <v>364</v>
      </c>
      <c r="D544">
        <v>0</v>
      </c>
    </row>
    <row r="545" spans="1:4" x14ac:dyDescent="0.25">
      <c r="A545" t="s">
        <v>194</v>
      </c>
      <c r="B545" t="s">
        <v>195</v>
      </c>
      <c r="C545" t="s">
        <v>365</v>
      </c>
      <c r="D545">
        <v>0</v>
      </c>
    </row>
    <row r="546" spans="1:4" x14ac:dyDescent="0.25">
      <c r="A546" t="s">
        <v>196</v>
      </c>
      <c r="B546" t="s">
        <v>197</v>
      </c>
      <c r="C546" t="s">
        <v>239</v>
      </c>
      <c r="D546">
        <v>0</v>
      </c>
    </row>
    <row r="547" spans="1:4" x14ac:dyDescent="0.25">
      <c r="A547" t="s">
        <v>196</v>
      </c>
      <c r="B547" t="s">
        <v>197</v>
      </c>
      <c r="C547" t="s">
        <v>240</v>
      </c>
      <c r="D547">
        <v>0</v>
      </c>
    </row>
    <row r="548" spans="1:4" x14ac:dyDescent="0.25">
      <c r="A548" t="s">
        <v>196</v>
      </c>
      <c r="B548" t="s">
        <v>197</v>
      </c>
      <c r="C548" t="s">
        <v>333</v>
      </c>
      <c r="D548">
        <v>0</v>
      </c>
    </row>
    <row r="549" spans="1:4" x14ac:dyDescent="0.25">
      <c r="A549" t="s">
        <v>196</v>
      </c>
      <c r="B549" t="s">
        <v>197</v>
      </c>
      <c r="C549" t="s">
        <v>334</v>
      </c>
      <c r="D549">
        <v>0</v>
      </c>
    </row>
    <row r="550" spans="1:4" x14ac:dyDescent="0.25">
      <c r="A550" t="s">
        <v>196</v>
      </c>
      <c r="B550" t="s">
        <v>197</v>
      </c>
      <c r="C550" t="s">
        <v>335</v>
      </c>
      <c r="D550">
        <v>0</v>
      </c>
    </row>
    <row r="551" spans="1:4" x14ac:dyDescent="0.25">
      <c r="A551" t="s">
        <v>196</v>
      </c>
      <c r="B551" t="s">
        <v>197</v>
      </c>
      <c r="C551" t="s">
        <v>336</v>
      </c>
      <c r="D551">
        <v>0</v>
      </c>
    </row>
    <row r="552" spans="1:4" x14ac:dyDescent="0.25">
      <c r="A552" t="s">
        <v>196</v>
      </c>
      <c r="B552" t="s">
        <v>197</v>
      </c>
      <c r="C552" t="s">
        <v>337</v>
      </c>
      <c r="D552">
        <v>0</v>
      </c>
    </row>
    <row r="553" spans="1:4" x14ac:dyDescent="0.25">
      <c r="A553" t="s">
        <v>196</v>
      </c>
      <c r="B553" t="s">
        <v>197</v>
      </c>
      <c r="C553" t="s">
        <v>338</v>
      </c>
      <c r="D553">
        <v>0</v>
      </c>
    </row>
    <row r="554" spans="1:4" x14ac:dyDescent="0.25">
      <c r="A554" t="s">
        <v>196</v>
      </c>
      <c r="B554" t="s">
        <v>197</v>
      </c>
      <c r="C554" t="s">
        <v>339</v>
      </c>
      <c r="D554">
        <v>0</v>
      </c>
    </row>
    <row r="555" spans="1:4" x14ac:dyDescent="0.25">
      <c r="A555" t="s">
        <v>196</v>
      </c>
      <c r="B555" t="s">
        <v>197</v>
      </c>
      <c r="C555" t="s">
        <v>340</v>
      </c>
      <c r="D555">
        <v>0</v>
      </c>
    </row>
    <row r="556" spans="1:4" x14ac:dyDescent="0.25">
      <c r="A556" t="s">
        <v>196</v>
      </c>
      <c r="B556" t="s">
        <v>197</v>
      </c>
      <c r="C556" t="s">
        <v>341</v>
      </c>
      <c r="D556">
        <v>0</v>
      </c>
    </row>
    <row r="557" spans="1:4" x14ac:dyDescent="0.25">
      <c r="A557" t="s">
        <v>196</v>
      </c>
      <c r="B557" t="s">
        <v>197</v>
      </c>
      <c r="C557" t="s">
        <v>342</v>
      </c>
      <c r="D557">
        <v>0</v>
      </c>
    </row>
    <row r="558" spans="1:4" x14ac:dyDescent="0.25">
      <c r="A558" t="s">
        <v>196</v>
      </c>
      <c r="B558" t="s">
        <v>197</v>
      </c>
      <c r="C558" t="s">
        <v>343</v>
      </c>
      <c r="D558">
        <v>0</v>
      </c>
    </row>
    <row r="559" spans="1:4" x14ac:dyDescent="0.25">
      <c r="A559" t="s">
        <v>196</v>
      </c>
      <c r="B559" t="s">
        <v>197</v>
      </c>
      <c r="C559" t="s">
        <v>344</v>
      </c>
      <c r="D559">
        <v>0</v>
      </c>
    </row>
    <row r="560" spans="1:4" x14ac:dyDescent="0.25">
      <c r="A560" t="s">
        <v>196</v>
      </c>
      <c r="B560" t="s">
        <v>197</v>
      </c>
      <c r="C560" t="s">
        <v>345</v>
      </c>
      <c r="D560">
        <v>0</v>
      </c>
    </row>
    <row r="561" spans="1:4" x14ac:dyDescent="0.25">
      <c r="A561" t="s">
        <v>196</v>
      </c>
      <c r="B561" t="s">
        <v>197</v>
      </c>
      <c r="C561" t="s">
        <v>346</v>
      </c>
      <c r="D561">
        <v>0</v>
      </c>
    </row>
    <row r="562" spans="1:4" x14ac:dyDescent="0.25">
      <c r="A562" t="s">
        <v>196</v>
      </c>
      <c r="B562" t="s">
        <v>197</v>
      </c>
      <c r="C562" t="s">
        <v>347</v>
      </c>
      <c r="D562">
        <v>0</v>
      </c>
    </row>
    <row r="563" spans="1:4" x14ac:dyDescent="0.25">
      <c r="A563" t="s">
        <v>196</v>
      </c>
      <c r="B563" t="s">
        <v>197</v>
      </c>
      <c r="C563" t="s">
        <v>348</v>
      </c>
      <c r="D563">
        <v>0</v>
      </c>
    </row>
    <row r="564" spans="1:4" x14ac:dyDescent="0.25">
      <c r="A564" t="s">
        <v>196</v>
      </c>
      <c r="B564" t="s">
        <v>197</v>
      </c>
      <c r="C564" t="s">
        <v>349</v>
      </c>
      <c r="D564">
        <v>0</v>
      </c>
    </row>
    <row r="565" spans="1:4" x14ac:dyDescent="0.25">
      <c r="A565" t="s">
        <v>196</v>
      </c>
      <c r="B565" t="s">
        <v>197</v>
      </c>
      <c r="C565" t="s">
        <v>350</v>
      </c>
      <c r="D565">
        <v>0</v>
      </c>
    </row>
    <row r="566" spans="1:4" x14ac:dyDescent="0.25">
      <c r="A566" t="s">
        <v>196</v>
      </c>
      <c r="B566" t="s">
        <v>197</v>
      </c>
      <c r="C566" t="s">
        <v>351</v>
      </c>
      <c r="D566">
        <v>0</v>
      </c>
    </row>
    <row r="567" spans="1:4" x14ac:dyDescent="0.25">
      <c r="A567" t="s">
        <v>196</v>
      </c>
      <c r="B567" t="s">
        <v>197</v>
      </c>
      <c r="C567" t="s">
        <v>352</v>
      </c>
      <c r="D567">
        <v>0</v>
      </c>
    </row>
    <row r="568" spans="1:4" x14ac:dyDescent="0.25">
      <c r="A568" t="s">
        <v>196</v>
      </c>
      <c r="B568" t="s">
        <v>197</v>
      </c>
      <c r="C568" t="s">
        <v>353</v>
      </c>
      <c r="D568">
        <v>0</v>
      </c>
    </row>
    <row r="569" spans="1:4" x14ac:dyDescent="0.25">
      <c r="A569" t="s">
        <v>196</v>
      </c>
      <c r="B569" t="s">
        <v>197</v>
      </c>
      <c r="C569" t="s">
        <v>354</v>
      </c>
      <c r="D569">
        <v>0</v>
      </c>
    </row>
    <row r="570" spans="1:4" x14ac:dyDescent="0.25">
      <c r="A570" t="s">
        <v>196</v>
      </c>
      <c r="B570" t="s">
        <v>197</v>
      </c>
      <c r="C570" t="s">
        <v>355</v>
      </c>
      <c r="D570">
        <v>0</v>
      </c>
    </row>
    <row r="571" spans="1:4" x14ac:dyDescent="0.25">
      <c r="A571" t="s">
        <v>196</v>
      </c>
      <c r="B571" t="s">
        <v>197</v>
      </c>
      <c r="C571" t="s">
        <v>356</v>
      </c>
      <c r="D571">
        <v>0</v>
      </c>
    </row>
    <row r="572" spans="1:4" x14ac:dyDescent="0.25">
      <c r="A572" t="s">
        <v>196</v>
      </c>
      <c r="B572" t="s">
        <v>197</v>
      </c>
      <c r="C572" t="s">
        <v>357</v>
      </c>
      <c r="D572">
        <v>0</v>
      </c>
    </row>
    <row r="573" spans="1:4" x14ac:dyDescent="0.25">
      <c r="A573" t="s">
        <v>196</v>
      </c>
      <c r="B573" t="s">
        <v>197</v>
      </c>
      <c r="C573" t="s">
        <v>358</v>
      </c>
      <c r="D573">
        <v>0</v>
      </c>
    </row>
    <row r="574" spans="1:4" x14ac:dyDescent="0.25">
      <c r="A574" t="s">
        <v>196</v>
      </c>
      <c r="B574" t="s">
        <v>197</v>
      </c>
      <c r="C574" t="s">
        <v>359</v>
      </c>
      <c r="D574">
        <v>0</v>
      </c>
    </row>
    <row r="575" spans="1:4" x14ac:dyDescent="0.25">
      <c r="A575" t="s">
        <v>196</v>
      </c>
      <c r="B575" t="s">
        <v>197</v>
      </c>
      <c r="C575" t="s">
        <v>360</v>
      </c>
      <c r="D575">
        <v>0</v>
      </c>
    </row>
    <row r="576" spans="1:4" x14ac:dyDescent="0.25">
      <c r="A576" t="s">
        <v>196</v>
      </c>
      <c r="B576" t="s">
        <v>197</v>
      </c>
      <c r="C576" t="s">
        <v>361</v>
      </c>
      <c r="D576">
        <v>0</v>
      </c>
    </row>
    <row r="577" spans="1:4" x14ac:dyDescent="0.25">
      <c r="A577" t="s">
        <v>196</v>
      </c>
      <c r="B577" t="s">
        <v>197</v>
      </c>
      <c r="C577" t="s">
        <v>362</v>
      </c>
      <c r="D577">
        <v>0</v>
      </c>
    </row>
    <row r="578" spans="1:4" x14ac:dyDescent="0.25">
      <c r="A578" t="s">
        <v>196</v>
      </c>
      <c r="B578" t="s">
        <v>197</v>
      </c>
      <c r="C578" t="s">
        <v>363</v>
      </c>
      <c r="D578">
        <v>0</v>
      </c>
    </row>
    <row r="579" spans="1:4" x14ac:dyDescent="0.25">
      <c r="A579" t="s">
        <v>196</v>
      </c>
      <c r="B579" t="s">
        <v>197</v>
      </c>
      <c r="C579" t="s">
        <v>364</v>
      </c>
      <c r="D579">
        <v>0</v>
      </c>
    </row>
    <row r="580" spans="1:4" x14ac:dyDescent="0.25">
      <c r="A580" t="s">
        <v>196</v>
      </c>
      <c r="B580" t="s">
        <v>197</v>
      </c>
      <c r="C580" t="s">
        <v>365</v>
      </c>
      <c r="D580">
        <v>0</v>
      </c>
    </row>
    <row r="581" spans="1:4" x14ac:dyDescent="0.25">
      <c r="A581" t="s">
        <v>198</v>
      </c>
      <c r="B581" t="s">
        <v>199</v>
      </c>
      <c r="C581" t="s">
        <v>239</v>
      </c>
      <c r="D581">
        <v>0</v>
      </c>
    </row>
    <row r="582" spans="1:4" x14ac:dyDescent="0.25">
      <c r="A582" t="s">
        <v>198</v>
      </c>
      <c r="B582" t="s">
        <v>199</v>
      </c>
      <c r="C582" t="s">
        <v>240</v>
      </c>
      <c r="D582">
        <v>0</v>
      </c>
    </row>
    <row r="583" spans="1:4" x14ac:dyDescent="0.25">
      <c r="A583" t="s">
        <v>198</v>
      </c>
      <c r="B583" t="s">
        <v>199</v>
      </c>
      <c r="C583" t="s">
        <v>333</v>
      </c>
      <c r="D583">
        <v>0</v>
      </c>
    </row>
    <row r="584" spans="1:4" x14ac:dyDescent="0.25">
      <c r="A584" t="s">
        <v>198</v>
      </c>
      <c r="B584" t="s">
        <v>199</v>
      </c>
      <c r="C584" t="s">
        <v>334</v>
      </c>
      <c r="D584">
        <v>0</v>
      </c>
    </row>
    <row r="585" spans="1:4" x14ac:dyDescent="0.25">
      <c r="A585" t="s">
        <v>198</v>
      </c>
      <c r="B585" t="s">
        <v>199</v>
      </c>
      <c r="C585" t="s">
        <v>335</v>
      </c>
      <c r="D585">
        <v>0</v>
      </c>
    </row>
    <row r="586" spans="1:4" x14ac:dyDescent="0.25">
      <c r="A586" t="s">
        <v>198</v>
      </c>
      <c r="B586" t="s">
        <v>199</v>
      </c>
      <c r="C586" t="s">
        <v>336</v>
      </c>
      <c r="D586">
        <v>0</v>
      </c>
    </row>
    <row r="587" spans="1:4" x14ac:dyDescent="0.25">
      <c r="A587" t="s">
        <v>198</v>
      </c>
      <c r="B587" t="s">
        <v>199</v>
      </c>
      <c r="C587" t="s">
        <v>337</v>
      </c>
      <c r="D587">
        <v>0</v>
      </c>
    </row>
    <row r="588" spans="1:4" x14ac:dyDescent="0.25">
      <c r="A588" t="s">
        <v>198</v>
      </c>
      <c r="B588" t="s">
        <v>199</v>
      </c>
      <c r="C588" t="s">
        <v>338</v>
      </c>
      <c r="D588">
        <v>0</v>
      </c>
    </row>
    <row r="589" spans="1:4" x14ac:dyDescent="0.25">
      <c r="A589" t="s">
        <v>198</v>
      </c>
      <c r="B589" t="s">
        <v>199</v>
      </c>
      <c r="C589" t="s">
        <v>339</v>
      </c>
      <c r="D589">
        <v>0</v>
      </c>
    </row>
    <row r="590" spans="1:4" x14ac:dyDescent="0.25">
      <c r="A590" t="s">
        <v>198</v>
      </c>
      <c r="B590" t="s">
        <v>199</v>
      </c>
      <c r="C590" t="s">
        <v>340</v>
      </c>
      <c r="D590">
        <v>0</v>
      </c>
    </row>
    <row r="591" spans="1:4" x14ac:dyDescent="0.25">
      <c r="A591" t="s">
        <v>198</v>
      </c>
      <c r="B591" t="s">
        <v>199</v>
      </c>
      <c r="C591" t="s">
        <v>341</v>
      </c>
      <c r="D591">
        <v>0</v>
      </c>
    </row>
    <row r="592" spans="1:4" x14ac:dyDescent="0.25">
      <c r="A592" t="s">
        <v>198</v>
      </c>
      <c r="B592" t="s">
        <v>199</v>
      </c>
      <c r="C592" t="s">
        <v>342</v>
      </c>
      <c r="D592">
        <v>0</v>
      </c>
    </row>
    <row r="593" spans="1:4" x14ac:dyDescent="0.25">
      <c r="A593" t="s">
        <v>198</v>
      </c>
      <c r="B593" t="s">
        <v>199</v>
      </c>
      <c r="C593" t="s">
        <v>343</v>
      </c>
      <c r="D593">
        <v>0</v>
      </c>
    </row>
    <row r="594" spans="1:4" x14ac:dyDescent="0.25">
      <c r="A594" t="s">
        <v>198</v>
      </c>
      <c r="B594" t="s">
        <v>199</v>
      </c>
      <c r="C594" t="s">
        <v>344</v>
      </c>
      <c r="D594">
        <v>0</v>
      </c>
    </row>
    <row r="595" spans="1:4" x14ac:dyDescent="0.25">
      <c r="A595" t="s">
        <v>198</v>
      </c>
      <c r="B595" t="s">
        <v>199</v>
      </c>
      <c r="C595" t="s">
        <v>345</v>
      </c>
      <c r="D595">
        <v>0</v>
      </c>
    </row>
    <row r="596" spans="1:4" x14ac:dyDescent="0.25">
      <c r="A596" t="s">
        <v>198</v>
      </c>
      <c r="B596" t="s">
        <v>199</v>
      </c>
      <c r="C596" t="s">
        <v>346</v>
      </c>
      <c r="D596">
        <v>0</v>
      </c>
    </row>
    <row r="597" spans="1:4" x14ac:dyDescent="0.25">
      <c r="A597" t="s">
        <v>198</v>
      </c>
      <c r="B597" t="s">
        <v>199</v>
      </c>
      <c r="C597" t="s">
        <v>347</v>
      </c>
      <c r="D597">
        <v>0</v>
      </c>
    </row>
    <row r="598" spans="1:4" x14ac:dyDescent="0.25">
      <c r="A598" t="s">
        <v>198</v>
      </c>
      <c r="B598" t="s">
        <v>199</v>
      </c>
      <c r="C598" t="s">
        <v>348</v>
      </c>
      <c r="D598">
        <v>0</v>
      </c>
    </row>
    <row r="599" spans="1:4" x14ac:dyDescent="0.25">
      <c r="A599" t="s">
        <v>198</v>
      </c>
      <c r="B599" t="s">
        <v>199</v>
      </c>
      <c r="C599" t="s">
        <v>349</v>
      </c>
      <c r="D599">
        <v>0</v>
      </c>
    </row>
    <row r="600" spans="1:4" x14ac:dyDescent="0.25">
      <c r="A600" t="s">
        <v>198</v>
      </c>
      <c r="B600" t="s">
        <v>199</v>
      </c>
      <c r="C600" t="s">
        <v>350</v>
      </c>
      <c r="D600">
        <v>0</v>
      </c>
    </row>
    <row r="601" spans="1:4" x14ac:dyDescent="0.25">
      <c r="A601" t="s">
        <v>198</v>
      </c>
      <c r="B601" t="s">
        <v>199</v>
      </c>
      <c r="C601" t="s">
        <v>351</v>
      </c>
      <c r="D601">
        <v>0</v>
      </c>
    </row>
    <row r="602" spans="1:4" x14ac:dyDescent="0.25">
      <c r="A602" t="s">
        <v>198</v>
      </c>
      <c r="B602" t="s">
        <v>199</v>
      </c>
      <c r="C602" t="s">
        <v>352</v>
      </c>
      <c r="D602">
        <v>0</v>
      </c>
    </row>
    <row r="603" spans="1:4" x14ac:dyDescent="0.25">
      <c r="A603" t="s">
        <v>198</v>
      </c>
      <c r="B603" t="s">
        <v>199</v>
      </c>
      <c r="C603" t="s">
        <v>353</v>
      </c>
      <c r="D603">
        <v>0</v>
      </c>
    </row>
    <row r="604" spans="1:4" x14ac:dyDescent="0.25">
      <c r="A604" t="s">
        <v>198</v>
      </c>
      <c r="B604" t="s">
        <v>199</v>
      </c>
      <c r="C604" t="s">
        <v>354</v>
      </c>
      <c r="D604">
        <v>0</v>
      </c>
    </row>
    <row r="605" spans="1:4" x14ac:dyDescent="0.25">
      <c r="A605" t="s">
        <v>198</v>
      </c>
      <c r="B605" t="s">
        <v>199</v>
      </c>
      <c r="C605" t="s">
        <v>355</v>
      </c>
      <c r="D605">
        <v>0</v>
      </c>
    </row>
    <row r="606" spans="1:4" x14ac:dyDescent="0.25">
      <c r="A606" t="s">
        <v>198</v>
      </c>
      <c r="B606" t="s">
        <v>199</v>
      </c>
      <c r="C606" t="s">
        <v>356</v>
      </c>
      <c r="D606">
        <v>0</v>
      </c>
    </row>
    <row r="607" spans="1:4" x14ac:dyDescent="0.25">
      <c r="A607" t="s">
        <v>198</v>
      </c>
      <c r="B607" t="s">
        <v>199</v>
      </c>
      <c r="C607" t="s">
        <v>357</v>
      </c>
      <c r="D607">
        <v>0</v>
      </c>
    </row>
    <row r="608" spans="1:4" x14ac:dyDescent="0.25">
      <c r="A608" t="s">
        <v>198</v>
      </c>
      <c r="B608" t="s">
        <v>199</v>
      </c>
      <c r="C608" t="s">
        <v>358</v>
      </c>
      <c r="D608">
        <v>0</v>
      </c>
    </row>
    <row r="609" spans="1:4" x14ac:dyDescent="0.25">
      <c r="A609" t="s">
        <v>198</v>
      </c>
      <c r="B609" t="s">
        <v>199</v>
      </c>
      <c r="C609" t="s">
        <v>359</v>
      </c>
      <c r="D609">
        <v>0</v>
      </c>
    </row>
    <row r="610" spans="1:4" x14ac:dyDescent="0.25">
      <c r="A610" t="s">
        <v>198</v>
      </c>
      <c r="B610" t="s">
        <v>199</v>
      </c>
      <c r="C610" t="s">
        <v>360</v>
      </c>
      <c r="D610">
        <v>0</v>
      </c>
    </row>
    <row r="611" spans="1:4" x14ac:dyDescent="0.25">
      <c r="A611" t="s">
        <v>198</v>
      </c>
      <c r="B611" t="s">
        <v>199</v>
      </c>
      <c r="C611" t="s">
        <v>361</v>
      </c>
      <c r="D611">
        <v>0</v>
      </c>
    </row>
    <row r="612" spans="1:4" x14ac:dyDescent="0.25">
      <c r="A612" t="s">
        <v>198</v>
      </c>
      <c r="B612" t="s">
        <v>199</v>
      </c>
      <c r="C612" t="s">
        <v>362</v>
      </c>
      <c r="D612">
        <v>0</v>
      </c>
    </row>
    <row r="613" spans="1:4" x14ac:dyDescent="0.25">
      <c r="A613" t="s">
        <v>198</v>
      </c>
      <c r="B613" t="s">
        <v>199</v>
      </c>
      <c r="C613" t="s">
        <v>363</v>
      </c>
      <c r="D613">
        <v>0</v>
      </c>
    </row>
    <row r="614" spans="1:4" x14ac:dyDescent="0.25">
      <c r="A614" t="s">
        <v>198</v>
      </c>
      <c r="B614" t="s">
        <v>199</v>
      </c>
      <c r="C614" t="s">
        <v>364</v>
      </c>
      <c r="D614">
        <v>0</v>
      </c>
    </row>
    <row r="615" spans="1:4" x14ac:dyDescent="0.25">
      <c r="A615" t="s">
        <v>198</v>
      </c>
      <c r="B615" t="s">
        <v>199</v>
      </c>
      <c r="C615" t="s">
        <v>365</v>
      </c>
      <c r="D615">
        <v>0</v>
      </c>
    </row>
    <row r="616" spans="1:4" x14ac:dyDescent="0.25">
      <c r="A616" t="s">
        <v>200</v>
      </c>
      <c r="B616" t="s">
        <v>201</v>
      </c>
      <c r="C616" t="s">
        <v>241</v>
      </c>
      <c r="D616">
        <v>98</v>
      </c>
    </row>
    <row r="617" spans="1:4" x14ac:dyDescent="0.25">
      <c r="A617" t="s">
        <v>200</v>
      </c>
      <c r="B617" t="s">
        <v>201</v>
      </c>
      <c r="C617" t="s">
        <v>242</v>
      </c>
      <c r="D617">
        <v>98</v>
      </c>
    </row>
    <row r="618" spans="1:4" x14ac:dyDescent="0.25">
      <c r="A618" t="s">
        <v>200</v>
      </c>
      <c r="B618" t="s">
        <v>201</v>
      </c>
      <c r="C618" t="s">
        <v>243</v>
      </c>
      <c r="D618">
        <v>98</v>
      </c>
    </row>
    <row r="619" spans="1:4" x14ac:dyDescent="0.25">
      <c r="A619" t="s">
        <v>200</v>
      </c>
      <c r="B619" t="s">
        <v>201</v>
      </c>
      <c r="C619" t="s">
        <v>244</v>
      </c>
      <c r="D619">
        <v>98</v>
      </c>
    </row>
    <row r="620" spans="1:4" x14ac:dyDescent="0.25">
      <c r="A620" t="s">
        <v>200</v>
      </c>
      <c r="B620" t="s">
        <v>201</v>
      </c>
      <c r="C620" t="s">
        <v>245</v>
      </c>
      <c r="D620">
        <v>98</v>
      </c>
    </row>
    <row r="621" spans="1:4" x14ac:dyDescent="0.25">
      <c r="A621" t="s">
        <v>200</v>
      </c>
      <c r="B621" t="s">
        <v>201</v>
      </c>
      <c r="C621" t="s">
        <v>246</v>
      </c>
      <c r="D621">
        <v>98</v>
      </c>
    </row>
    <row r="622" spans="1:4" x14ac:dyDescent="0.25">
      <c r="A622" t="s">
        <v>200</v>
      </c>
      <c r="B622" t="s">
        <v>201</v>
      </c>
      <c r="C622" t="s">
        <v>247</v>
      </c>
      <c r="D622">
        <v>98</v>
      </c>
    </row>
    <row r="623" spans="1:4" x14ac:dyDescent="0.25">
      <c r="A623" t="s">
        <v>200</v>
      </c>
      <c r="B623" t="s">
        <v>201</v>
      </c>
      <c r="C623" t="s">
        <v>248</v>
      </c>
      <c r="D623">
        <v>98.12</v>
      </c>
    </row>
    <row r="624" spans="1:4" x14ac:dyDescent="0.25">
      <c r="A624" t="s">
        <v>200</v>
      </c>
      <c r="B624" t="s">
        <v>201</v>
      </c>
      <c r="C624" t="s">
        <v>249</v>
      </c>
      <c r="D624">
        <v>98.22</v>
      </c>
    </row>
    <row r="625" spans="1:4" x14ac:dyDescent="0.25">
      <c r="A625" t="s">
        <v>200</v>
      </c>
      <c r="B625" t="s">
        <v>201</v>
      </c>
      <c r="C625" t="s">
        <v>250</v>
      </c>
      <c r="D625">
        <v>98.3</v>
      </c>
    </row>
    <row r="626" spans="1:4" x14ac:dyDescent="0.25">
      <c r="A626" t="s">
        <v>200</v>
      </c>
      <c r="B626" t="s">
        <v>201</v>
      </c>
      <c r="C626" t="s">
        <v>251</v>
      </c>
      <c r="D626">
        <v>98.36</v>
      </c>
    </row>
    <row r="627" spans="1:4" x14ac:dyDescent="0.25">
      <c r="A627" t="s">
        <v>200</v>
      </c>
      <c r="B627" t="s">
        <v>201</v>
      </c>
      <c r="C627" t="s">
        <v>252</v>
      </c>
      <c r="D627">
        <v>98.42</v>
      </c>
    </row>
    <row r="628" spans="1:4" x14ac:dyDescent="0.25">
      <c r="A628" t="s">
        <v>200</v>
      </c>
      <c r="B628" t="s">
        <v>201</v>
      </c>
      <c r="C628" t="s">
        <v>253</v>
      </c>
      <c r="D628">
        <v>98.46</v>
      </c>
    </row>
    <row r="629" spans="1:4" x14ac:dyDescent="0.25">
      <c r="A629" t="s">
        <v>200</v>
      </c>
      <c r="B629" t="s">
        <v>201</v>
      </c>
      <c r="C629" t="s">
        <v>254</v>
      </c>
      <c r="D629">
        <v>98.36</v>
      </c>
    </row>
    <row r="630" spans="1:4" x14ac:dyDescent="0.25">
      <c r="A630" t="s">
        <v>200</v>
      </c>
      <c r="B630" t="s">
        <v>201</v>
      </c>
      <c r="C630" t="s">
        <v>255</v>
      </c>
      <c r="D630">
        <v>98.27</v>
      </c>
    </row>
    <row r="631" spans="1:4" x14ac:dyDescent="0.25">
      <c r="A631" t="s">
        <v>200</v>
      </c>
      <c r="B631" t="s">
        <v>201</v>
      </c>
      <c r="C631" t="s">
        <v>256</v>
      </c>
      <c r="D631">
        <v>98.19</v>
      </c>
    </row>
    <row r="632" spans="1:4" x14ac:dyDescent="0.25">
      <c r="A632" t="s">
        <v>200</v>
      </c>
      <c r="B632" t="s">
        <v>201</v>
      </c>
      <c r="C632" t="s">
        <v>257</v>
      </c>
      <c r="D632">
        <v>98.06</v>
      </c>
    </row>
    <row r="633" spans="1:4" x14ac:dyDescent="0.25">
      <c r="A633" t="s">
        <v>200</v>
      </c>
      <c r="B633" t="s">
        <v>201</v>
      </c>
      <c r="C633" t="s">
        <v>258</v>
      </c>
      <c r="D633">
        <v>98</v>
      </c>
    </row>
    <row r="634" spans="1:4" x14ac:dyDescent="0.25">
      <c r="A634" t="s">
        <v>200</v>
      </c>
      <c r="B634" t="s">
        <v>201</v>
      </c>
      <c r="C634" t="s">
        <v>259</v>
      </c>
      <c r="D634">
        <v>98</v>
      </c>
    </row>
    <row r="635" spans="1:4" x14ac:dyDescent="0.25">
      <c r="A635" t="s">
        <v>200</v>
      </c>
      <c r="B635" t="s">
        <v>201</v>
      </c>
      <c r="C635" t="s">
        <v>260</v>
      </c>
      <c r="D635">
        <v>98</v>
      </c>
    </row>
    <row r="636" spans="1:4" x14ac:dyDescent="0.25">
      <c r="A636" t="s">
        <v>200</v>
      </c>
      <c r="B636" t="s">
        <v>201</v>
      </c>
      <c r="C636" t="s">
        <v>261</v>
      </c>
      <c r="D636">
        <v>98.05</v>
      </c>
    </row>
    <row r="637" spans="1:4" x14ac:dyDescent="0.25">
      <c r="A637" t="s">
        <v>200</v>
      </c>
      <c r="B637" t="s">
        <v>201</v>
      </c>
      <c r="C637" t="s">
        <v>262</v>
      </c>
      <c r="D637">
        <v>98.14</v>
      </c>
    </row>
    <row r="638" spans="1:4" x14ac:dyDescent="0.25">
      <c r="A638" t="s">
        <v>200</v>
      </c>
      <c r="B638" t="s">
        <v>201</v>
      </c>
      <c r="C638" t="s">
        <v>263</v>
      </c>
      <c r="D638">
        <v>98.22</v>
      </c>
    </row>
    <row r="639" spans="1:4" x14ac:dyDescent="0.25">
      <c r="A639" t="s">
        <v>200</v>
      </c>
      <c r="B639" t="s">
        <v>201</v>
      </c>
      <c r="C639" t="s">
        <v>264</v>
      </c>
      <c r="D639">
        <v>98.29</v>
      </c>
    </row>
    <row r="640" spans="1:4" x14ac:dyDescent="0.25">
      <c r="A640" t="s">
        <v>200</v>
      </c>
      <c r="B640" t="s">
        <v>201</v>
      </c>
      <c r="C640" t="s">
        <v>265</v>
      </c>
      <c r="D640">
        <v>98.36</v>
      </c>
    </row>
    <row r="641" spans="1:4" x14ac:dyDescent="0.25">
      <c r="A641" t="s">
        <v>200</v>
      </c>
      <c r="B641" t="s">
        <v>201</v>
      </c>
      <c r="C641" t="s">
        <v>266</v>
      </c>
      <c r="D641">
        <v>98.38</v>
      </c>
    </row>
    <row r="642" spans="1:4" x14ac:dyDescent="0.25">
      <c r="A642" t="s">
        <v>200</v>
      </c>
      <c r="B642" t="s">
        <v>201</v>
      </c>
      <c r="C642" t="s">
        <v>267</v>
      </c>
      <c r="D642">
        <v>98.41</v>
      </c>
    </row>
    <row r="643" spans="1:4" x14ac:dyDescent="0.25">
      <c r="A643" t="s">
        <v>200</v>
      </c>
      <c r="B643" t="s">
        <v>201</v>
      </c>
      <c r="C643" t="s">
        <v>239</v>
      </c>
      <c r="D643">
        <v>98.43</v>
      </c>
    </row>
    <row r="644" spans="1:4" x14ac:dyDescent="0.25">
      <c r="A644" t="s">
        <v>200</v>
      </c>
      <c r="B644" t="s">
        <v>201</v>
      </c>
      <c r="C644" t="s">
        <v>240</v>
      </c>
      <c r="D644">
        <v>98.45</v>
      </c>
    </row>
    <row r="645" spans="1:4" x14ac:dyDescent="0.25">
      <c r="A645" t="s">
        <v>200</v>
      </c>
      <c r="B645" t="s">
        <v>201</v>
      </c>
      <c r="C645" t="s">
        <v>333</v>
      </c>
      <c r="D645">
        <v>98.47</v>
      </c>
    </row>
    <row r="646" spans="1:4" x14ac:dyDescent="0.25">
      <c r="A646" t="s">
        <v>200</v>
      </c>
      <c r="B646" t="s">
        <v>201</v>
      </c>
      <c r="C646" t="s">
        <v>334</v>
      </c>
      <c r="D646">
        <v>98.48</v>
      </c>
    </row>
    <row r="647" spans="1:4" x14ac:dyDescent="0.25">
      <c r="A647" t="s">
        <v>200</v>
      </c>
      <c r="B647" t="s">
        <v>201</v>
      </c>
      <c r="C647" t="s">
        <v>335</v>
      </c>
      <c r="D647">
        <v>98.47</v>
      </c>
    </row>
    <row r="648" spans="1:4" x14ac:dyDescent="0.25">
      <c r="A648" t="s">
        <v>200</v>
      </c>
      <c r="B648" t="s">
        <v>201</v>
      </c>
      <c r="C648" t="s">
        <v>336</v>
      </c>
      <c r="D648">
        <v>98.45</v>
      </c>
    </row>
    <row r="649" spans="1:4" x14ac:dyDescent="0.25">
      <c r="A649" t="s">
        <v>200</v>
      </c>
      <c r="B649" t="s">
        <v>201</v>
      </c>
      <c r="C649" t="s">
        <v>337</v>
      </c>
      <c r="D649">
        <v>98.44</v>
      </c>
    </row>
    <row r="650" spans="1:4" x14ac:dyDescent="0.25">
      <c r="A650" t="s">
        <v>200</v>
      </c>
      <c r="B650" t="s">
        <v>201</v>
      </c>
      <c r="C650" t="s">
        <v>338</v>
      </c>
      <c r="D650">
        <v>98.43</v>
      </c>
    </row>
    <row r="651" spans="1:4" x14ac:dyDescent="0.25">
      <c r="A651" t="s">
        <v>200</v>
      </c>
      <c r="B651" t="s">
        <v>201</v>
      </c>
      <c r="C651" t="s">
        <v>339</v>
      </c>
      <c r="D651">
        <v>98.42</v>
      </c>
    </row>
    <row r="652" spans="1:4" x14ac:dyDescent="0.25">
      <c r="A652" t="s">
        <v>200</v>
      </c>
      <c r="B652" t="s">
        <v>201</v>
      </c>
      <c r="C652" t="s">
        <v>340</v>
      </c>
      <c r="D652">
        <v>98.41</v>
      </c>
    </row>
    <row r="653" spans="1:4" x14ac:dyDescent="0.25">
      <c r="A653" t="s">
        <v>200</v>
      </c>
      <c r="B653" t="s">
        <v>201</v>
      </c>
      <c r="C653" t="s">
        <v>341</v>
      </c>
      <c r="D653">
        <v>98.42</v>
      </c>
    </row>
    <row r="654" spans="1:4" x14ac:dyDescent="0.25">
      <c r="A654" t="s">
        <v>200</v>
      </c>
      <c r="B654" t="s">
        <v>201</v>
      </c>
      <c r="C654" t="s">
        <v>342</v>
      </c>
      <c r="D654">
        <v>98.44</v>
      </c>
    </row>
    <row r="655" spans="1:4" x14ac:dyDescent="0.25">
      <c r="A655" t="s">
        <v>200</v>
      </c>
      <c r="B655" t="s">
        <v>201</v>
      </c>
      <c r="C655" t="s">
        <v>343</v>
      </c>
      <c r="D655">
        <v>98.45</v>
      </c>
    </row>
    <row r="656" spans="1:4" x14ac:dyDescent="0.25">
      <c r="A656" t="s">
        <v>200</v>
      </c>
      <c r="B656" t="s">
        <v>201</v>
      </c>
      <c r="C656" t="s">
        <v>344</v>
      </c>
      <c r="D656">
        <v>98.49</v>
      </c>
    </row>
    <row r="657" spans="1:4" x14ac:dyDescent="0.25">
      <c r="A657" t="s">
        <v>200</v>
      </c>
      <c r="B657" t="s">
        <v>201</v>
      </c>
      <c r="C657" t="s">
        <v>345</v>
      </c>
      <c r="D657">
        <v>98.52</v>
      </c>
    </row>
    <row r="658" spans="1:4" x14ac:dyDescent="0.25">
      <c r="A658" t="s">
        <v>200</v>
      </c>
      <c r="B658" t="s">
        <v>201</v>
      </c>
      <c r="C658" t="s">
        <v>346</v>
      </c>
      <c r="D658">
        <v>98.56</v>
      </c>
    </row>
    <row r="659" spans="1:4" x14ac:dyDescent="0.25">
      <c r="A659" t="s">
        <v>200</v>
      </c>
      <c r="B659" t="s">
        <v>201</v>
      </c>
      <c r="C659" t="s">
        <v>347</v>
      </c>
      <c r="D659">
        <v>98.59</v>
      </c>
    </row>
    <row r="660" spans="1:4" x14ac:dyDescent="0.25">
      <c r="A660" t="s">
        <v>200</v>
      </c>
      <c r="B660" t="s">
        <v>201</v>
      </c>
      <c r="C660" t="s">
        <v>348</v>
      </c>
      <c r="D660">
        <v>98.62</v>
      </c>
    </row>
    <row r="661" spans="1:4" x14ac:dyDescent="0.25">
      <c r="A661" t="s">
        <v>200</v>
      </c>
      <c r="B661" t="s">
        <v>201</v>
      </c>
      <c r="C661" t="s">
        <v>349</v>
      </c>
      <c r="D661">
        <v>98.65</v>
      </c>
    </row>
    <row r="662" spans="1:4" x14ac:dyDescent="0.25">
      <c r="A662" t="s">
        <v>200</v>
      </c>
      <c r="B662" t="s">
        <v>201</v>
      </c>
      <c r="C662" t="s">
        <v>350</v>
      </c>
      <c r="D662">
        <v>98.68</v>
      </c>
    </row>
    <row r="663" spans="1:4" x14ac:dyDescent="0.25">
      <c r="A663" t="s">
        <v>200</v>
      </c>
      <c r="B663" t="s">
        <v>201</v>
      </c>
      <c r="C663" t="s">
        <v>351</v>
      </c>
      <c r="D663">
        <v>98.65</v>
      </c>
    </row>
    <row r="664" spans="1:4" x14ac:dyDescent="0.25">
      <c r="A664" t="s">
        <v>200</v>
      </c>
      <c r="B664" t="s">
        <v>201</v>
      </c>
      <c r="C664" t="s">
        <v>352</v>
      </c>
      <c r="D664">
        <v>98.61</v>
      </c>
    </row>
    <row r="665" spans="1:4" x14ac:dyDescent="0.25">
      <c r="A665" t="s">
        <v>200</v>
      </c>
      <c r="B665" t="s">
        <v>201</v>
      </c>
      <c r="C665" t="s">
        <v>353</v>
      </c>
      <c r="D665">
        <v>98.58</v>
      </c>
    </row>
    <row r="666" spans="1:4" x14ac:dyDescent="0.25">
      <c r="A666" t="s">
        <v>200</v>
      </c>
      <c r="B666" t="s">
        <v>201</v>
      </c>
      <c r="C666" t="s">
        <v>354</v>
      </c>
      <c r="D666">
        <v>0</v>
      </c>
    </row>
    <row r="667" spans="1:4" x14ac:dyDescent="0.25">
      <c r="A667" t="s">
        <v>200</v>
      </c>
      <c r="B667" t="s">
        <v>201</v>
      </c>
      <c r="C667" t="s">
        <v>355</v>
      </c>
      <c r="D667">
        <v>0</v>
      </c>
    </row>
    <row r="668" spans="1:4" x14ac:dyDescent="0.25">
      <c r="A668" t="s">
        <v>200</v>
      </c>
      <c r="B668" t="s">
        <v>201</v>
      </c>
      <c r="C668" t="s">
        <v>356</v>
      </c>
      <c r="D668">
        <v>0</v>
      </c>
    </row>
    <row r="669" spans="1:4" x14ac:dyDescent="0.25">
      <c r="A669" t="s">
        <v>200</v>
      </c>
      <c r="B669" t="s">
        <v>201</v>
      </c>
      <c r="C669" t="s">
        <v>357</v>
      </c>
      <c r="D669">
        <v>0</v>
      </c>
    </row>
    <row r="670" spans="1:4" x14ac:dyDescent="0.25">
      <c r="A670" t="s">
        <v>200</v>
      </c>
      <c r="B670" t="s">
        <v>201</v>
      </c>
      <c r="C670" t="s">
        <v>358</v>
      </c>
      <c r="D670">
        <v>0</v>
      </c>
    </row>
    <row r="671" spans="1:4" x14ac:dyDescent="0.25">
      <c r="A671" t="s">
        <v>200</v>
      </c>
      <c r="B671" t="s">
        <v>201</v>
      </c>
      <c r="C671" t="s">
        <v>359</v>
      </c>
      <c r="D671">
        <v>0</v>
      </c>
    </row>
    <row r="672" spans="1:4" x14ac:dyDescent="0.25">
      <c r="A672" t="s">
        <v>200</v>
      </c>
      <c r="B672" t="s">
        <v>201</v>
      </c>
      <c r="C672" t="s">
        <v>360</v>
      </c>
      <c r="D672">
        <v>0</v>
      </c>
    </row>
    <row r="673" spans="1:4" x14ac:dyDescent="0.25">
      <c r="A673" t="s">
        <v>200</v>
      </c>
      <c r="B673" t="s">
        <v>201</v>
      </c>
      <c r="C673" t="s">
        <v>361</v>
      </c>
      <c r="D673">
        <v>0</v>
      </c>
    </row>
    <row r="674" spans="1:4" x14ac:dyDescent="0.25">
      <c r="A674" t="s">
        <v>200</v>
      </c>
      <c r="B674" t="s">
        <v>201</v>
      </c>
      <c r="C674" t="s">
        <v>362</v>
      </c>
      <c r="D674">
        <v>0</v>
      </c>
    </row>
    <row r="675" spans="1:4" x14ac:dyDescent="0.25">
      <c r="A675" t="s">
        <v>200</v>
      </c>
      <c r="B675" t="s">
        <v>201</v>
      </c>
      <c r="C675" t="s">
        <v>363</v>
      </c>
      <c r="D675">
        <v>0</v>
      </c>
    </row>
    <row r="676" spans="1:4" x14ac:dyDescent="0.25">
      <c r="A676" t="s">
        <v>200</v>
      </c>
      <c r="B676" t="s">
        <v>201</v>
      </c>
      <c r="C676" t="s">
        <v>364</v>
      </c>
      <c r="D676">
        <v>0</v>
      </c>
    </row>
    <row r="677" spans="1:4" x14ac:dyDescent="0.25">
      <c r="A677" t="s">
        <v>200</v>
      </c>
      <c r="B677" t="s">
        <v>201</v>
      </c>
      <c r="C677" t="s">
        <v>365</v>
      </c>
      <c r="D677">
        <v>0</v>
      </c>
    </row>
    <row r="678" spans="1:4" x14ac:dyDescent="0.25">
      <c r="A678" t="s">
        <v>202</v>
      </c>
      <c r="B678" t="s">
        <v>203</v>
      </c>
      <c r="C678" t="s">
        <v>241</v>
      </c>
      <c r="D678">
        <v>100</v>
      </c>
    </row>
    <row r="679" spans="1:4" x14ac:dyDescent="0.25">
      <c r="A679" t="s">
        <v>202</v>
      </c>
      <c r="B679" t="s">
        <v>203</v>
      </c>
      <c r="C679" t="s">
        <v>242</v>
      </c>
      <c r="D679">
        <v>100</v>
      </c>
    </row>
    <row r="680" spans="1:4" x14ac:dyDescent="0.25">
      <c r="A680" t="s">
        <v>202</v>
      </c>
      <c r="B680" t="s">
        <v>203</v>
      </c>
      <c r="C680" t="s">
        <v>243</v>
      </c>
      <c r="D680">
        <v>100</v>
      </c>
    </row>
    <row r="681" spans="1:4" x14ac:dyDescent="0.25">
      <c r="A681" t="s">
        <v>202</v>
      </c>
      <c r="B681" t="s">
        <v>203</v>
      </c>
      <c r="C681" t="s">
        <v>244</v>
      </c>
      <c r="D681">
        <v>99.5</v>
      </c>
    </row>
    <row r="682" spans="1:4" x14ac:dyDescent="0.25">
      <c r="A682" t="s">
        <v>202</v>
      </c>
      <c r="B682" t="s">
        <v>203</v>
      </c>
      <c r="C682" t="s">
        <v>245</v>
      </c>
      <c r="D682">
        <v>98.8</v>
      </c>
    </row>
    <row r="683" spans="1:4" x14ac:dyDescent="0.25">
      <c r="A683" t="s">
        <v>202</v>
      </c>
      <c r="B683" t="s">
        <v>203</v>
      </c>
      <c r="C683" t="s">
        <v>246</v>
      </c>
      <c r="D683">
        <v>98.33</v>
      </c>
    </row>
    <row r="684" spans="1:4" x14ac:dyDescent="0.25">
      <c r="A684" t="s">
        <v>202</v>
      </c>
      <c r="B684" t="s">
        <v>203</v>
      </c>
      <c r="C684" t="s">
        <v>247</v>
      </c>
      <c r="D684">
        <v>98</v>
      </c>
    </row>
    <row r="685" spans="1:4" x14ac:dyDescent="0.25">
      <c r="A685" t="s">
        <v>202</v>
      </c>
      <c r="B685" t="s">
        <v>203</v>
      </c>
      <c r="C685" t="s">
        <v>248</v>
      </c>
      <c r="D685">
        <v>98</v>
      </c>
    </row>
    <row r="686" spans="1:4" x14ac:dyDescent="0.25">
      <c r="A686" t="s">
        <v>202</v>
      </c>
      <c r="B686" t="s">
        <v>203</v>
      </c>
      <c r="C686" t="s">
        <v>249</v>
      </c>
      <c r="D686">
        <v>98.11</v>
      </c>
    </row>
    <row r="687" spans="1:4" x14ac:dyDescent="0.25">
      <c r="A687" t="s">
        <v>202</v>
      </c>
      <c r="B687" t="s">
        <v>203</v>
      </c>
      <c r="C687" t="s">
        <v>250</v>
      </c>
      <c r="D687">
        <v>98.2</v>
      </c>
    </row>
    <row r="688" spans="1:4" x14ac:dyDescent="0.25">
      <c r="A688" t="s">
        <v>202</v>
      </c>
      <c r="B688" t="s">
        <v>203</v>
      </c>
      <c r="C688" t="s">
        <v>251</v>
      </c>
      <c r="D688">
        <v>98.36</v>
      </c>
    </row>
    <row r="689" spans="1:4" x14ac:dyDescent="0.25">
      <c r="A689" t="s">
        <v>202</v>
      </c>
      <c r="B689" t="s">
        <v>203</v>
      </c>
      <c r="C689" t="s">
        <v>252</v>
      </c>
      <c r="D689">
        <v>98.5</v>
      </c>
    </row>
    <row r="690" spans="1:4" x14ac:dyDescent="0.25">
      <c r="A690" t="s">
        <v>202</v>
      </c>
      <c r="B690" t="s">
        <v>203</v>
      </c>
      <c r="C690" t="s">
        <v>253</v>
      </c>
      <c r="D690">
        <v>98.62</v>
      </c>
    </row>
    <row r="691" spans="1:4" x14ac:dyDescent="0.25">
      <c r="A691" t="s">
        <v>202</v>
      </c>
      <c r="B691" t="s">
        <v>203</v>
      </c>
      <c r="C691" t="s">
        <v>254</v>
      </c>
      <c r="D691">
        <v>98.71</v>
      </c>
    </row>
    <row r="692" spans="1:4" x14ac:dyDescent="0.25">
      <c r="A692" t="s">
        <v>202</v>
      </c>
      <c r="B692" t="s">
        <v>203</v>
      </c>
      <c r="C692" t="s">
        <v>255</v>
      </c>
      <c r="D692">
        <v>98.8</v>
      </c>
    </row>
    <row r="693" spans="1:4" x14ac:dyDescent="0.25">
      <c r="A693" t="s">
        <v>202</v>
      </c>
      <c r="B693" t="s">
        <v>203</v>
      </c>
      <c r="C693" t="s">
        <v>256</v>
      </c>
      <c r="D693">
        <v>98.88</v>
      </c>
    </row>
    <row r="694" spans="1:4" x14ac:dyDescent="0.25">
      <c r="A694" t="s">
        <v>202</v>
      </c>
      <c r="B694" t="s">
        <v>203</v>
      </c>
      <c r="C694" t="s">
        <v>257</v>
      </c>
      <c r="D694">
        <v>98.88</v>
      </c>
    </row>
    <row r="695" spans="1:4" x14ac:dyDescent="0.25">
      <c r="A695" t="s">
        <v>202</v>
      </c>
      <c r="B695" t="s">
        <v>203</v>
      </c>
      <c r="C695" t="s">
        <v>258</v>
      </c>
      <c r="D695">
        <v>98.89</v>
      </c>
    </row>
    <row r="696" spans="1:4" x14ac:dyDescent="0.25">
      <c r="A696" t="s">
        <v>202</v>
      </c>
      <c r="B696" t="s">
        <v>203</v>
      </c>
      <c r="C696" t="s">
        <v>259</v>
      </c>
      <c r="D696">
        <v>98.95</v>
      </c>
    </row>
    <row r="697" spans="1:4" x14ac:dyDescent="0.25">
      <c r="A697" t="s">
        <v>202</v>
      </c>
      <c r="B697" t="s">
        <v>203</v>
      </c>
      <c r="C697" t="s">
        <v>260</v>
      </c>
      <c r="D697">
        <v>99</v>
      </c>
    </row>
    <row r="698" spans="1:4" x14ac:dyDescent="0.25">
      <c r="A698" t="s">
        <v>202</v>
      </c>
      <c r="B698" t="s">
        <v>203</v>
      </c>
      <c r="C698" t="s">
        <v>261</v>
      </c>
      <c r="D698">
        <v>99.05</v>
      </c>
    </row>
    <row r="699" spans="1:4" x14ac:dyDescent="0.25">
      <c r="A699" t="s">
        <v>202</v>
      </c>
      <c r="B699" t="s">
        <v>203</v>
      </c>
      <c r="C699" t="s">
        <v>262</v>
      </c>
      <c r="D699">
        <v>99.05</v>
      </c>
    </row>
    <row r="700" spans="1:4" x14ac:dyDescent="0.25">
      <c r="A700" t="s">
        <v>202</v>
      </c>
      <c r="B700" t="s">
        <v>203</v>
      </c>
      <c r="C700" t="s">
        <v>263</v>
      </c>
      <c r="D700">
        <v>99.04</v>
      </c>
    </row>
    <row r="701" spans="1:4" x14ac:dyDescent="0.25">
      <c r="A701" t="s">
        <v>202</v>
      </c>
      <c r="B701" t="s">
        <v>203</v>
      </c>
      <c r="C701" t="s">
        <v>264</v>
      </c>
      <c r="D701">
        <v>99.08</v>
      </c>
    </row>
    <row r="702" spans="1:4" x14ac:dyDescent="0.25">
      <c r="A702" t="s">
        <v>202</v>
      </c>
      <c r="B702" t="s">
        <v>203</v>
      </c>
      <c r="C702" t="s">
        <v>265</v>
      </c>
      <c r="D702">
        <v>99.12</v>
      </c>
    </row>
    <row r="703" spans="1:4" x14ac:dyDescent="0.25">
      <c r="A703" t="s">
        <v>202</v>
      </c>
      <c r="B703" t="s">
        <v>203</v>
      </c>
      <c r="C703" t="s">
        <v>266</v>
      </c>
      <c r="D703">
        <v>99.15</v>
      </c>
    </row>
    <row r="704" spans="1:4" x14ac:dyDescent="0.25">
      <c r="A704" t="s">
        <v>202</v>
      </c>
      <c r="B704" t="s">
        <v>203</v>
      </c>
      <c r="C704" t="s">
        <v>267</v>
      </c>
      <c r="D704">
        <v>99.19</v>
      </c>
    </row>
    <row r="705" spans="1:4" x14ac:dyDescent="0.25">
      <c r="A705" t="s">
        <v>202</v>
      </c>
      <c r="B705" t="s">
        <v>203</v>
      </c>
      <c r="C705" t="s">
        <v>239</v>
      </c>
      <c r="D705">
        <v>99.21</v>
      </c>
    </row>
    <row r="706" spans="1:4" x14ac:dyDescent="0.25">
      <c r="A706" t="s">
        <v>202</v>
      </c>
      <c r="B706" t="s">
        <v>203</v>
      </c>
      <c r="C706" t="s">
        <v>240</v>
      </c>
      <c r="D706">
        <v>99.24</v>
      </c>
    </row>
    <row r="707" spans="1:4" x14ac:dyDescent="0.25">
      <c r="A707" t="s">
        <v>202</v>
      </c>
      <c r="B707" t="s">
        <v>203</v>
      </c>
      <c r="C707" t="s">
        <v>333</v>
      </c>
      <c r="D707">
        <v>99.2</v>
      </c>
    </row>
    <row r="708" spans="1:4" x14ac:dyDescent="0.25">
      <c r="A708" t="s">
        <v>202</v>
      </c>
      <c r="B708" t="s">
        <v>203</v>
      </c>
      <c r="C708" t="s">
        <v>334</v>
      </c>
      <c r="D708">
        <v>99.16</v>
      </c>
    </row>
    <row r="709" spans="1:4" x14ac:dyDescent="0.25">
      <c r="A709" t="s">
        <v>202</v>
      </c>
      <c r="B709" t="s">
        <v>203</v>
      </c>
      <c r="C709" t="s">
        <v>335</v>
      </c>
      <c r="D709">
        <v>99.12</v>
      </c>
    </row>
    <row r="710" spans="1:4" x14ac:dyDescent="0.25">
      <c r="A710" t="s">
        <v>202</v>
      </c>
      <c r="B710" t="s">
        <v>203</v>
      </c>
      <c r="C710" t="s">
        <v>336</v>
      </c>
      <c r="D710">
        <v>99.09</v>
      </c>
    </row>
    <row r="711" spans="1:4" x14ac:dyDescent="0.25">
      <c r="A711" t="s">
        <v>202</v>
      </c>
      <c r="B711" t="s">
        <v>203</v>
      </c>
      <c r="C711" t="s">
        <v>337</v>
      </c>
      <c r="D711">
        <v>99</v>
      </c>
    </row>
    <row r="712" spans="1:4" x14ac:dyDescent="0.25">
      <c r="A712" t="s">
        <v>202</v>
      </c>
      <c r="B712" t="s">
        <v>203</v>
      </c>
      <c r="C712" t="s">
        <v>338</v>
      </c>
      <c r="D712">
        <v>98.89</v>
      </c>
    </row>
    <row r="713" spans="1:4" x14ac:dyDescent="0.25">
      <c r="A713" t="s">
        <v>202</v>
      </c>
      <c r="B713" t="s">
        <v>203</v>
      </c>
      <c r="C713" t="s">
        <v>339</v>
      </c>
      <c r="D713">
        <v>98.78</v>
      </c>
    </row>
    <row r="714" spans="1:4" x14ac:dyDescent="0.25">
      <c r="A714" t="s">
        <v>202</v>
      </c>
      <c r="B714" t="s">
        <v>203</v>
      </c>
      <c r="C714" t="s">
        <v>340</v>
      </c>
      <c r="D714">
        <v>98.68</v>
      </c>
    </row>
    <row r="715" spans="1:4" x14ac:dyDescent="0.25">
      <c r="A715" t="s">
        <v>202</v>
      </c>
      <c r="B715" t="s">
        <v>203</v>
      </c>
      <c r="C715" t="s">
        <v>341</v>
      </c>
      <c r="D715">
        <v>98.58</v>
      </c>
    </row>
    <row r="716" spans="1:4" x14ac:dyDescent="0.25">
      <c r="A716" t="s">
        <v>202</v>
      </c>
      <c r="B716" t="s">
        <v>203</v>
      </c>
      <c r="C716" t="s">
        <v>342</v>
      </c>
      <c r="D716">
        <v>98.46</v>
      </c>
    </row>
    <row r="717" spans="1:4" x14ac:dyDescent="0.25">
      <c r="A717" t="s">
        <v>202</v>
      </c>
      <c r="B717" t="s">
        <v>203</v>
      </c>
      <c r="C717" t="s">
        <v>343</v>
      </c>
      <c r="D717">
        <v>98.38</v>
      </c>
    </row>
    <row r="718" spans="1:4" x14ac:dyDescent="0.25">
      <c r="A718" t="s">
        <v>202</v>
      </c>
      <c r="B718" t="s">
        <v>203</v>
      </c>
      <c r="C718" t="s">
        <v>344</v>
      </c>
      <c r="D718">
        <v>98.37</v>
      </c>
    </row>
    <row r="719" spans="1:4" x14ac:dyDescent="0.25">
      <c r="A719" t="s">
        <v>202</v>
      </c>
      <c r="B719" t="s">
        <v>203</v>
      </c>
      <c r="C719" t="s">
        <v>345</v>
      </c>
      <c r="D719">
        <v>98.38</v>
      </c>
    </row>
    <row r="720" spans="1:4" x14ac:dyDescent="0.25">
      <c r="A720" t="s">
        <v>202</v>
      </c>
      <c r="B720" t="s">
        <v>203</v>
      </c>
      <c r="C720" t="s">
        <v>346</v>
      </c>
      <c r="D720">
        <v>98.4</v>
      </c>
    </row>
    <row r="721" spans="1:4" x14ac:dyDescent="0.25">
      <c r="A721" t="s">
        <v>202</v>
      </c>
      <c r="B721" t="s">
        <v>203</v>
      </c>
      <c r="C721" t="s">
        <v>347</v>
      </c>
      <c r="D721">
        <v>98.41</v>
      </c>
    </row>
    <row r="722" spans="1:4" x14ac:dyDescent="0.25">
      <c r="A722" t="s">
        <v>202</v>
      </c>
      <c r="B722" t="s">
        <v>203</v>
      </c>
      <c r="C722" t="s">
        <v>348</v>
      </c>
      <c r="D722">
        <v>98.42</v>
      </c>
    </row>
    <row r="723" spans="1:4" x14ac:dyDescent="0.25">
      <c r="A723" t="s">
        <v>202</v>
      </c>
      <c r="B723" t="s">
        <v>203</v>
      </c>
      <c r="C723" t="s">
        <v>349</v>
      </c>
      <c r="D723">
        <v>98.43</v>
      </c>
    </row>
    <row r="724" spans="1:4" x14ac:dyDescent="0.25">
      <c r="A724" t="s">
        <v>202</v>
      </c>
      <c r="B724" t="s">
        <v>203</v>
      </c>
      <c r="C724" t="s">
        <v>350</v>
      </c>
      <c r="D724">
        <v>98.45</v>
      </c>
    </row>
    <row r="725" spans="1:4" x14ac:dyDescent="0.25">
      <c r="A725" t="s">
        <v>202</v>
      </c>
      <c r="B725" t="s">
        <v>203</v>
      </c>
      <c r="C725" t="s">
        <v>351</v>
      </c>
      <c r="D725">
        <v>98.48</v>
      </c>
    </row>
    <row r="726" spans="1:4" x14ac:dyDescent="0.25">
      <c r="A726" t="s">
        <v>202</v>
      </c>
      <c r="B726" t="s">
        <v>203</v>
      </c>
      <c r="C726" t="s">
        <v>352</v>
      </c>
      <c r="D726">
        <v>98.51</v>
      </c>
    </row>
    <row r="727" spans="1:4" x14ac:dyDescent="0.25">
      <c r="A727" t="s">
        <v>202</v>
      </c>
      <c r="B727" t="s">
        <v>203</v>
      </c>
      <c r="C727" t="s">
        <v>353</v>
      </c>
      <c r="D727">
        <v>98.54</v>
      </c>
    </row>
    <row r="728" spans="1:4" x14ac:dyDescent="0.25">
      <c r="A728" t="s">
        <v>202</v>
      </c>
      <c r="B728" t="s">
        <v>203</v>
      </c>
      <c r="C728" t="s">
        <v>354</v>
      </c>
      <c r="D728">
        <v>0</v>
      </c>
    </row>
    <row r="729" spans="1:4" x14ac:dyDescent="0.25">
      <c r="A729" t="s">
        <v>202</v>
      </c>
      <c r="B729" t="s">
        <v>203</v>
      </c>
      <c r="C729" t="s">
        <v>355</v>
      </c>
      <c r="D729">
        <v>0</v>
      </c>
    </row>
    <row r="730" spans="1:4" x14ac:dyDescent="0.25">
      <c r="A730" t="s">
        <v>202</v>
      </c>
      <c r="B730" t="s">
        <v>203</v>
      </c>
      <c r="C730" t="s">
        <v>356</v>
      </c>
      <c r="D730">
        <v>0</v>
      </c>
    </row>
    <row r="731" spans="1:4" x14ac:dyDescent="0.25">
      <c r="A731" t="s">
        <v>202</v>
      </c>
      <c r="B731" t="s">
        <v>203</v>
      </c>
      <c r="C731" t="s">
        <v>357</v>
      </c>
      <c r="D731">
        <v>0</v>
      </c>
    </row>
    <row r="732" spans="1:4" x14ac:dyDescent="0.25">
      <c r="A732" t="s">
        <v>202</v>
      </c>
      <c r="B732" t="s">
        <v>203</v>
      </c>
      <c r="C732" t="s">
        <v>358</v>
      </c>
      <c r="D732">
        <v>0</v>
      </c>
    </row>
    <row r="733" spans="1:4" x14ac:dyDescent="0.25">
      <c r="A733" t="s">
        <v>202</v>
      </c>
      <c r="B733" t="s">
        <v>203</v>
      </c>
      <c r="C733" t="s">
        <v>359</v>
      </c>
      <c r="D733">
        <v>0</v>
      </c>
    </row>
    <row r="734" spans="1:4" x14ac:dyDescent="0.25">
      <c r="A734" t="s">
        <v>202</v>
      </c>
      <c r="B734" t="s">
        <v>203</v>
      </c>
      <c r="C734" t="s">
        <v>360</v>
      </c>
      <c r="D734">
        <v>0</v>
      </c>
    </row>
    <row r="735" spans="1:4" x14ac:dyDescent="0.25">
      <c r="A735" t="s">
        <v>202</v>
      </c>
      <c r="B735" t="s">
        <v>203</v>
      </c>
      <c r="C735" t="s">
        <v>361</v>
      </c>
      <c r="D735">
        <v>0</v>
      </c>
    </row>
    <row r="736" spans="1:4" x14ac:dyDescent="0.25">
      <c r="A736" t="s">
        <v>202</v>
      </c>
      <c r="B736" t="s">
        <v>203</v>
      </c>
      <c r="C736" t="s">
        <v>362</v>
      </c>
      <c r="D736">
        <v>0</v>
      </c>
    </row>
    <row r="737" spans="1:4" x14ac:dyDescent="0.25">
      <c r="A737" t="s">
        <v>202</v>
      </c>
      <c r="B737" t="s">
        <v>203</v>
      </c>
      <c r="C737" t="s">
        <v>363</v>
      </c>
      <c r="D737">
        <v>0</v>
      </c>
    </row>
    <row r="738" spans="1:4" x14ac:dyDescent="0.25">
      <c r="A738" t="s">
        <v>202</v>
      </c>
      <c r="B738" t="s">
        <v>203</v>
      </c>
      <c r="C738" t="s">
        <v>364</v>
      </c>
      <c r="D738">
        <v>0</v>
      </c>
    </row>
    <row r="739" spans="1:4" x14ac:dyDescent="0.25">
      <c r="A739" t="s">
        <v>202</v>
      </c>
      <c r="B739" t="s">
        <v>203</v>
      </c>
      <c r="C739" t="s">
        <v>365</v>
      </c>
      <c r="D739">
        <v>0</v>
      </c>
    </row>
    <row r="740" spans="1:4" x14ac:dyDescent="0.25">
      <c r="A740" t="s">
        <v>204</v>
      </c>
      <c r="B740" t="s">
        <v>205</v>
      </c>
      <c r="C740" t="s">
        <v>241</v>
      </c>
      <c r="D740">
        <v>100</v>
      </c>
    </row>
    <row r="741" spans="1:4" x14ac:dyDescent="0.25">
      <c r="A741" t="s">
        <v>204</v>
      </c>
      <c r="B741" t="s">
        <v>205</v>
      </c>
      <c r="C741" t="s">
        <v>242</v>
      </c>
      <c r="D741">
        <v>100</v>
      </c>
    </row>
    <row r="742" spans="1:4" x14ac:dyDescent="0.25">
      <c r="A742" t="s">
        <v>204</v>
      </c>
      <c r="B742" t="s">
        <v>205</v>
      </c>
      <c r="C742" t="s">
        <v>243</v>
      </c>
      <c r="D742">
        <v>100</v>
      </c>
    </row>
    <row r="743" spans="1:4" x14ac:dyDescent="0.25">
      <c r="A743" t="s">
        <v>204</v>
      </c>
      <c r="B743" t="s">
        <v>205</v>
      </c>
      <c r="C743" t="s">
        <v>244</v>
      </c>
      <c r="D743">
        <v>100</v>
      </c>
    </row>
    <row r="744" spans="1:4" x14ac:dyDescent="0.25">
      <c r="A744" t="s">
        <v>204</v>
      </c>
      <c r="B744" t="s">
        <v>205</v>
      </c>
      <c r="C744" t="s">
        <v>245</v>
      </c>
      <c r="D744">
        <v>99.8</v>
      </c>
    </row>
    <row r="745" spans="1:4" x14ac:dyDescent="0.25">
      <c r="A745" t="s">
        <v>204</v>
      </c>
      <c r="B745" t="s">
        <v>205</v>
      </c>
      <c r="C745" t="s">
        <v>246</v>
      </c>
      <c r="D745">
        <v>99.67</v>
      </c>
    </row>
    <row r="746" spans="1:4" x14ac:dyDescent="0.25">
      <c r="A746" t="s">
        <v>204</v>
      </c>
      <c r="B746" t="s">
        <v>205</v>
      </c>
      <c r="C746" t="s">
        <v>247</v>
      </c>
      <c r="D746">
        <v>99.57</v>
      </c>
    </row>
    <row r="747" spans="1:4" x14ac:dyDescent="0.25">
      <c r="A747" t="s">
        <v>204</v>
      </c>
      <c r="B747" t="s">
        <v>205</v>
      </c>
      <c r="C747" t="s">
        <v>248</v>
      </c>
      <c r="D747">
        <v>99.5</v>
      </c>
    </row>
    <row r="748" spans="1:4" x14ac:dyDescent="0.25">
      <c r="A748" t="s">
        <v>204</v>
      </c>
      <c r="B748" t="s">
        <v>205</v>
      </c>
      <c r="C748" t="s">
        <v>249</v>
      </c>
      <c r="D748">
        <v>99.56</v>
      </c>
    </row>
    <row r="749" spans="1:4" x14ac:dyDescent="0.25">
      <c r="A749" t="s">
        <v>204</v>
      </c>
      <c r="B749" t="s">
        <v>205</v>
      </c>
      <c r="C749" t="s">
        <v>250</v>
      </c>
      <c r="D749">
        <v>99.6</v>
      </c>
    </row>
    <row r="750" spans="1:4" x14ac:dyDescent="0.25">
      <c r="A750" t="s">
        <v>204</v>
      </c>
      <c r="B750" t="s">
        <v>205</v>
      </c>
      <c r="C750" t="s">
        <v>251</v>
      </c>
      <c r="D750">
        <v>99.64</v>
      </c>
    </row>
    <row r="751" spans="1:4" x14ac:dyDescent="0.25">
      <c r="A751" t="s">
        <v>204</v>
      </c>
      <c r="B751" t="s">
        <v>205</v>
      </c>
      <c r="C751" t="s">
        <v>252</v>
      </c>
      <c r="D751">
        <v>99.67</v>
      </c>
    </row>
    <row r="752" spans="1:4" x14ac:dyDescent="0.25">
      <c r="A752" t="s">
        <v>204</v>
      </c>
      <c r="B752" t="s">
        <v>205</v>
      </c>
      <c r="C752" t="s">
        <v>253</v>
      </c>
      <c r="D752">
        <v>99.69</v>
      </c>
    </row>
    <row r="753" spans="1:4" x14ac:dyDescent="0.25">
      <c r="A753" t="s">
        <v>204</v>
      </c>
      <c r="B753" t="s">
        <v>205</v>
      </c>
      <c r="C753" t="s">
        <v>254</v>
      </c>
      <c r="D753">
        <v>99.71</v>
      </c>
    </row>
    <row r="754" spans="1:4" x14ac:dyDescent="0.25">
      <c r="A754" t="s">
        <v>204</v>
      </c>
      <c r="B754" t="s">
        <v>205</v>
      </c>
      <c r="C754" t="s">
        <v>255</v>
      </c>
      <c r="D754">
        <v>99.73</v>
      </c>
    </row>
    <row r="755" spans="1:4" x14ac:dyDescent="0.25">
      <c r="A755" t="s">
        <v>204</v>
      </c>
      <c r="B755" t="s">
        <v>205</v>
      </c>
      <c r="C755" t="s">
        <v>256</v>
      </c>
      <c r="D755">
        <v>99.75</v>
      </c>
    </row>
    <row r="756" spans="1:4" x14ac:dyDescent="0.25">
      <c r="A756" t="s">
        <v>204</v>
      </c>
      <c r="B756" t="s">
        <v>205</v>
      </c>
      <c r="C756" t="s">
        <v>257</v>
      </c>
      <c r="D756">
        <v>99.76</v>
      </c>
    </row>
    <row r="757" spans="1:4" x14ac:dyDescent="0.25">
      <c r="A757" t="s">
        <v>204</v>
      </c>
      <c r="B757" t="s">
        <v>205</v>
      </c>
      <c r="C757" t="s">
        <v>258</v>
      </c>
      <c r="D757">
        <v>99.78</v>
      </c>
    </row>
    <row r="758" spans="1:4" x14ac:dyDescent="0.25">
      <c r="A758" t="s">
        <v>204</v>
      </c>
      <c r="B758" t="s">
        <v>205</v>
      </c>
      <c r="C758" t="s">
        <v>259</v>
      </c>
      <c r="D758">
        <v>99.79</v>
      </c>
    </row>
    <row r="759" spans="1:4" x14ac:dyDescent="0.25">
      <c r="A759" t="s">
        <v>204</v>
      </c>
      <c r="B759" t="s">
        <v>205</v>
      </c>
      <c r="C759" t="s">
        <v>260</v>
      </c>
      <c r="D759">
        <v>99.8</v>
      </c>
    </row>
    <row r="760" spans="1:4" x14ac:dyDescent="0.25">
      <c r="A760" t="s">
        <v>204</v>
      </c>
      <c r="B760" t="s">
        <v>205</v>
      </c>
      <c r="C760" t="s">
        <v>261</v>
      </c>
      <c r="D760">
        <v>99.81</v>
      </c>
    </row>
    <row r="761" spans="1:4" x14ac:dyDescent="0.25">
      <c r="A761" t="s">
        <v>204</v>
      </c>
      <c r="B761" t="s">
        <v>205</v>
      </c>
      <c r="C761" t="s">
        <v>262</v>
      </c>
      <c r="D761">
        <v>99.82</v>
      </c>
    </row>
    <row r="762" spans="1:4" x14ac:dyDescent="0.25">
      <c r="A762" t="s">
        <v>204</v>
      </c>
      <c r="B762" t="s">
        <v>205</v>
      </c>
      <c r="C762" t="s">
        <v>263</v>
      </c>
      <c r="D762">
        <v>99.83</v>
      </c>
    </row>
    <row r="763" spans="1:4" x14ac:dyDescent="0.25">
      <c r="A763" t="s">
        <v>204</v>
      </c>
      <c r="B763" t="s">
        <v>205</v>
      </c>
      <c r="C763" t="s">
        <v>264</v>
      </c>
      <c r="D763">
        <v>99.83</v>
      </c>
    </row>
    <row r="764" spans="1:4" x14ac:dyDescent="0.25">
      <c r="A764" t="s">
        <v>204</v>
      </c>
      <c r="B764" t="s">
        <v>205</v>
      </c>
      <c r="C764" t="s">
        <v>265</v>
      </c>
      <c r="D764">
        <v>99.84</v>
      </c>
    </row>
    <row r="765" spans="1:4" x14ac:dyDescent="0.25">
      <c r="A765" t="s">
        <v>204</v>
      </c>
      <c r="B765" t="s">
        <v>205</v>
      </c>
      <c r="C765" t="s">
        <v>266</v>
      </c>
      <c r="D765">
        <v>99.85</v>
      </c>
    </row>
    <row r="766" spans="1:4" x14ac:dyDescent="0.25">
      <c r="A766" t="s">
        <v>204</v>
      </c>
      <c r="B766" t="s">
        <v>205</v>
      </c>
      <c r="C766" t="s">
        <v>267</v>
      </c>
      <c r="D766">
        <v>99.85</v>
      </c>
    </row>
    <row r="767" spans="1:4" x14ac:dyDescent="0.25">
      <c r="A767" t="s">
        <v>204</v>
      </c>
      <c r="B767" t="s">
        <v>205</v>
      </c>
      <c r="C767" t="s">
        <v>239</v>
      </c>
      <c r="D767">
        <v>99.86</v>
      </c>
    </row>
    <row r="768" spans="1:4" x14ac:dyDescent="0.25">
      <c r="A768" t="s">
        <v>204</v>
      </c>
      <c r="B768" t="s">
        <v>205</v>
      </c>
      <c r="C768" t="s">
        <v>240</v>
      </c>
      <c r="D768">
        <v>99.86</v>
      </c>
    </row>
    <row r="769" spans="1:4" x14ac:dyDescent="0.25">
      <c r="A769" t="s">
        <v>204</v>
      </c>
      <c r="B769" t="s">
        <v>205</v>
      </c>
      <c r="C769" t="s">
        <v>333</v>
      </c>
      <c r="D769">
        <v>99.83</v>
      </c>
    </row>
    <row r="770" spans="1:4" x14ac:dyDescent="0.25">
      <c r="A770" t="s">
        <v>204</v>
      </c>
      <c r="B770" t="s">
        <v>205</v>
      </c>
      <c r="C770" t="s">
        <v>334</v>
      </c>
      <c r="D770">
        <v>99.77</v>
      </c>
    </row>
    <row r="771" spans="1:4" x14ac:dyDescent="0.25">
      <c r="A771" t="s">
        <v>204</v>
      </c>
      <c r="B771" t="s">
        <v>205</v>
      </c>
      <c r="C771" t="s">
        <v>335</v>
      </c>
      <c r="D771">
        <v>99.72</v>
      </c>
    </row>
    <row r="772" spans="1:4" x14ac:dyDescent="0.25">
      <c r="A772" t="s">
        <v>204</v>
      </c>
      <c r="B772" t="s">
        <v>205</v>
      </c>
      <c r="C772" t="s">
        <v>336</v>
      </c>
      <c r="D772">
        <v>99.67</v>
      </c>
    </row>
    <row r="773" spans="1:4" x14ac:dyDescent="0.25">
      <c r="A773" t="s">
        <v>204</v>
      </c>
      <c r="B773" t="s">
        <v>205</v>
      </c>
      <c r="C773" t="s">
        <v>337</v>
      </c>
      <c r="D773">
        <v>99.56</v>
      </c>
    </row>
    <row r="774" spans="1:4" x14ac:dyDescent="0.25">
      <c r="A774" t="s">
        <v>204</v>
      </c>
      <c r="B774" t="s">
        <v>205</v>
      </c>
      <c r="C774" t="s">
        <v>338</v>
      </c>
      <c r="D774">
        <v>99.46</v>
      </c>
    </row>
    <row r="775" spans="1:4" x14ac:dyDescent="0.25">
      <c r="A775" t="s">
        <v>204</v>
      </c>
      <c r="B775" t="s">
        <v>205</v>
      </c>
      <c r="C775" t="s">
        <v>339</v>
      </c>
      <c r="D775">
        <v>99.36</v>
      </c>
    </row>
    <row r="776" spans="1:4" x14ac:dyDescent="0.25">
      <c r="A776" t="s">
        <v>204</v>
      </c>
      <c r="B776" t="s">
        <v>205</v>
      </c>
      <c r="C776" t="s">
        <v>340</v>
      </c>
      <c r="D776">
        <v>99.27</v>
      </c>
    </row>
    <row r="777" spans="1:4" x14ac:dyDescent="0.25">
      <c r="A777" t="s">
        <v>204</v>
      </c>
      <c r="B777" t="s">
        <v>205</v>
      </c>
      <c r="C777" t="s">
        <v>341</v>
      </c>
      <c r="D777">
        <v>99.18</v>
      </c>
    </row>
    <row r="778" spans="1:4" x14ac:dyDescent="0.25">
      <c r="A778" t="s">
        <v>204</v>
      </c>
      <c r="B778" t="s">
        <v>205</v>
      </c>
      <c r="C778" t="s">
        <v>342</v>
      </c>
      <c r="D778">
        <v>99.1</v>
      </c>
    </row>
    <row r="779" spans="1:4" x14ac:dyDescent="0.25">
      <c r="A779" t="s">
        <v>204</v>
      </c>
      <c r="B779" t="s">
        <v>205</v>
      </c>
      <c r="C779" t="s">
        <v>343</v>
      </c>
      <c r="D779">
        <v>99.08</v>
      </c>
    </row>
    <row r="780" spans="1:4" x14ac:dyDescent="0.25">
      <c r="A780" t="s">
        <v>204</v>
      </c>
      <c r="B780" t="s">
        <v>205</v>
      </c>
      <c r="C780" t="s">
        <v>344</v>
      </c>
      <c r="D780">
        <v>99.05</v>
      </c>
    </row>
    <row r="781" spans="1:4" x14ac:dyDescent="0.25">
      <c r="A781" t="s">
        <v>204</v>
      </c>
      <c r="B781" t="s">
        <v>205</v>
      </c>
      <c r="C781" t="s">
        <v>345</v>
      </c>
      <c r="D781">
        <v>99.02</v>
      </c>
    </row>
    <row r="782" spans="1:4" x14ac:dyDescent="0.25">
      <c r="A782" t="s">
        <v>204</v>
      </c>
      <c r="B782" t="s">
        <v>205</v>
      </c>
      <c r="C782" t="s">
        <v>346</v>
      </c>
      <c r="D782">
        <v>99</v>
      </c>
    </row>
    <row r="783" spans="1:4" x14ac:dyDescent="0.25">
      <c r="A783" t="s">
        <v>204</v>
      </c>
      <c r="B783" t="s">
        <v>205</v>
      </c>
      <c r="C783" t="s">
        <v>347</v>
      </c>
      <c r="D783">
        <v>98.98</v>
      </c>
    </row>
    <row r="784" spans="1:4" x14ac:dyDescent="0.25">
      <c r="A784" t="s">
        <v>204</v>
      </c>
      <c r="B784" t="s">
        <v>205</v>
      </c>
      <c r="C784" t="s">
        <v>348</v>
      </c>
      <c r="D784">
        <v>98.96</v>
      </c>
    </row>
    <row r="785" spans="1:4" x14ac:dyDescent="0.25">
      <c r="A785" t="s">
        <v>204</v>
      </c>
      <c r="B785" t="s">
        <v>205</v>
      </c>
      <c r="C785" t="s">
        <v>349</v>
      </c>
      <c r="D785">
        <v>98.93</v>
      </c>
    </row>
    <row r="786" spans="1:4" x14ac:dyDescent="0.25">
      <c r="A786" t="s">
        <v>204</v>
      </c>
      <c r="B786" t="s">
        <v>205</v>
      </c>
      <c r="C786" t="s">
        <v>350</v>
      </c>
      <c r="D786">
        <v>98.87</v>
      </c>
    </row>
    <row r="787" spans="1:4" x14ac:dyDescent="0.25">
      <c r="A787" t="s">
        <v>204</v>
      </c>
      <c r="B787" t="s">
        <v>205</v>
      </c>
      <c r="C787" t="s">
        <v>351</v>
      </c>
      <c r="D787">
        <v>98.85</v>
      </c>
    </row>
    <row r="788" spans="1:4" x14ac:dyDescent="0.25">
      <c r="A788" t="s">
        <v>204</v>
      </c>
      <c r="B788" t="s">
        <v>205</v>
      </c>
      <c r="C788" t="s">
        <v>352</v>
      </c>
      <c r="D788">
        <v>98.84</v>
      </c>
    </row>
    <row r="789" spans="1:4" x14ac:dyDescent="0.25">
      <c r="A789" t="s">
        <v>204</v>
      </c>
      <c r="B789" t="s">
        <v>205</v>
      </c>
      <c r="C789" t="s">
        <v>353</v>
      </c>
      <c r="D789">
        <v>98.82</v>
      </c>
    </row>
    <row r="790" spans="1:4" x14ac:dyDescent="0.25">
      <c r="A790" t="s">
        <v>204</v>
      </c>
      <c r="B790" t="s">
        <v>205</v>
      </c>
      <c r="C790" t="s">
        <v>354</v>
      </c>
      <c r="D790">
        <v>0</v>
      </c>
    </row>
    <row r="791" spans="1:4" x14ac:dyDescent="0.25">
      <c r="A791" t="s">
        <v>204</v>
      </c>
      <c r="B791" t="s">
        <v>205</v>
      </c>
      <c r="C791" t="s">
        <v>355</v>
      </c>
      <c r="D791">
        <v>0</v>
      </c>
    </row>
    <row r="792" spans="1:4" x14ac:dyDescent="0.25">
      <c r="A792" t="s">
        <v>204</v>
      </c>
      <c r="B792" t="s">
        <v>205</v>
      </c>
      <c r="C792" t="s">
        <v>356</v>
      </c>
      <c r="D792">
        <v>0</v>
      </c>
    </row>
    <row r="793" spans="1:4" x14ac:dyDescent="0.25">
      <c r="A793" t="s">
        <v>204</v>
      </c>
      <c r="B793" t="s">
        <v>205</v>
      </c>
      <c r="C793" t="s">
        <v>357</v>
      </c>
      <c r="D793">
        <v>0</v>
      </c>
    </row>
    <row r="794" spans="1:4" x14ac:dyDescent="0.25">
      <c r="A794" t="s">
        <v>204</v>
      </c>
      <c r="B794" t="s">
        <v>205</v>
      </c>
      <c r="C794" t="s">
        <v>358</v>
      </c>
      <c r="D794">
        <v>0</v>
      </c>
    </row>
    <row r="795" spans="1:4" x14ac:dyDescent="0.25">
      <c r="A795" t="s">
        <v>204</v>
      </c>
      <c r="B795" t="s">
        <v>205</v>
      </c>
      <c r="C795" t="s">
        <v>359</v>
      </c>
      <c r="D795">
        <v>0</v>
      </c>
    </row>
    <row r="796" spans="1:4" x14ac:dyDescent="0.25">
      <c r="A796" t="s">
        <v>204</v>
      </c>
      <c r="B796" t="s">
        <v>205</v>
      </c>
      <c r="C796" t="s">
        <v>360</v>
      </c>
      <c r="D796">
        <v>0</v>
      </c>
    </row>
    <row r="797" spans="1:4" x14ac:dyDescent="0.25">
      <c r="A797" t="s">
        <v>204</v>
      </c>
      <c r="B797" t="s">
        <v>205</v>
      </c>
      <c r="C797" t="s">
        <v>361</v>
      </c>
      <c r="D797">
        <v>0</v>
      </c>
    </row>
    <row r="798" spans="1:4" x14ac:dyDescent="0.25">
      <c r="A798" t="s">
        <v>204</v>
      </c>
      <c r="B798" t="s">
        <v>205</v>
      </c>
      <c r="C798" t="s">
        <v>362</v>
      </c>
      <c r="D798">
        <v>0</v>
      </c>
    </row>
    <row r="799" spans="1:4" x14ac:dyDescent="0.25">
      <c r="A799" t="s">
        <v>204</v>
      </c>
      <c r="B799" t="s">
        <v>205</v>
      </c>
      <c r="C799" t="s">
        <v>363</v>
      </c>
      <c r="D799">
        <v>0</v>
      </c>
    </row>
    <row r="800" spans="1:4" x14ac:dyDescent="0.25">
      <c r="A800" t="s">
        <v>204</v>
      </c>
      <c r="B800" t="s">
        <v>205</v>
      </c>
      <c r="C800" t="s">
        <v>364</v>
      </c>
      <c r="D800">
        <v>0</v>
      </c>
    </row>
    <row r="801" spans="1:4" x14ac:dyDescent="0.25">
      <c r="A801" t="s">
        <v>204</v>
      </c>
      <c r="B801" t="s">
        <v>205</v>
      </c>
      <c r="C801" t="s">
        <v>365</v>
      </c>
      <c r="D801">
        <v>0</v>
      </c>
    </row>
    <row r="802" spans="1:4" x14ac:dyDescent="0.25">
      <c r="A802" t="s">
        <v>206</v>
      </c>
      <c r="B802" t="s">
        <v>207</v>
      </c>
      <c r="C802" t="s">
        <v>241</v>
      </c>
      <c r="D802">
        <v>100</v>
      </c>
    </row>
    <row r="803" spans="1:4" x14ac:dyDescent="0.25">
      <c r="A803" t="s">
        <v>206</v>
      </c>
      <c r="B803" t="s">
        <v>207</v>
      </c>
      <c r="C803" t="s">
        <v>242</v>
      </c>
      <c r="D803">
        <v>100</v>
      </c>
    </row>
    <row r="804" spans="1:4" x14ac:dyDescent="0.25">
      <c r="A804" t="s">
        <v>206</v>
      </c>
      <c r="B804" t="s">
        <v>207</v>
      </c>
      <c r="C804" t="s">
        <v>243</v>
      </c>
      <c r="D804">
        <v>100</v>
      </c>
    </row>
    <row r="805" spans="1:4" x14ac:dyDescent="0.25">
      <c r="A805" t="s">
        <v>206</v>
      </c>
      <c r="B805" t="s">
        <v>207</v>
      </c>
      <c r="C805" t="s">
        <v>244</v>
      </c>
      <c r="D805">
        <v>100</v>
      </c>
    </row>
    <row r="806" spans="1:4" x14ac:dyDescent="0.25">
      <c r="A806" t="s">
        <v>206</v>
      </c>
      <c r="B806" t="s">
        <v>207</v>
      </c>
      <c r="C806" t="s">
        <v>245</v>
      </c>
      <c r="D806">
        <v>100</v>
      </c>
    </row>
    <row r="807" spans="1:4" x14ac:dyDescent="0.25">
      <c r="A807" t="s">
        <v>206</v>
      </c>
      <c r="B807" t="s">
        <v>207</v>
      </c>
      <c r="C807" t="s">
        <v>246</v>
      </c>
      <c r="D807">
        <v>100</v>
      </c>
    </row>
    <row r="808" spans="1:4" x14ac:dyDescent="0.25">
      <c r="A808" t="s">
        <v>206</v>
      </c>
      <c r="B808" t="s">
        <v>207</v>
      </c>
      <c r="C808" t="s">
        <v>247</v>
      </c>
      <c r="D808">
        <v>100</v>
      </c>
    </row>
    <row r="809" spans="1:4" x14ac:dyDescent="0.25">
      <c r="A809" t="s">
        <v>206</v>
      </c>
      <c r="B809" t="s">
        <v>207</v>
      </c>
      <c r="C809" t="s">
        <v>248</v>
      </c>
      <c r="D809">
        <v>100</v>
      </c>
    </row>
    <row r="810" spans="1:4" x14ac:dyDescent="0.25">
      <c r="A810" t="s">
        <v>206</v>
      </c>
      <c r="B810" t="s">
        <v>207</v>
      </c>
      <c r="C810" t="s">
        <v>249</v>
      </c>
      <c r="D810">
        <v>100</v>
      </c>
    </row>
    <row r="811" spans="1:4" x14ac:dyDescent="0.25">
      <c r="A811" t="s">
        <v>206</v>
      </c>
      <c r="B811" t="s">
        <v>207</v>
      </c>
      <c r="C811" t="s">
        <v>250</v>
      </c>
      <c r="D811">
        <v>99.8</v>
      </c>
    </row>
    <row r="812" spans="1:4" x14ac:dyDescent="0.25">
      <c r="A812" t="s">
        <v>206</v>
      </c>
      <c r="B812" t="s">
        <v>207</v>
      </c>
      <c r="C812" t="s">
        <v>251</v>
      </c>
      <c r="D812">
        <v>99.64</v>
      </c>
    </row>
    <row r="813" spans="1:4" x14ac:dyDescent="0.25">
      <c r="A813" t="s">
        <v>206</v>
      </c>
      <c r="B813" t="s">
        <v>207</v>
      </c>
      <c r="C813" t="s">
        <v>252</v>
      </c>
      <c r="D813">
        <v>99.5</v>
      </c>
    </row>
    <row r="814" spans="1:4" x14ac:dyDescent="0.25">
      <c r="A814" t="s">
        <v>206</v>
      </c>
      <c r="B814" t="s">
        <v>207</v>
      </c>
      <c r="C814" t="s">
        <v>253</v>
      </c>
      <c r="D814">
        <v>99.38</v>
      </c>
    </row>
    <row r="815" spans="1:4" x14ac:dyDescent="0.25">
      <c r="A815" t="s">
        <v>206</v>
      </c>
      <c r="B815" t="s">
        <v>207</v>
      </c>
      <c r="C815" t="s">
        <v>254</v>
      </c>
      <c r="D815">
        <v>99.29</v>
      </c>
    </row>
    <row r="816" spans="1:4" x14ac:dyDescent="0.25">
      <c r="A816" t="s">
        <v>206</v>
      </c>
      <c r="B816" t="s">
        <v>207</v>
      </c>
      <c r="C816" t="s">
        <v>255</v>
      </c>
      <c r="D816">
        <v>99.2</v>
      </c>
    </row>
    <row r="817" spans="1:4" x14ac:dyDescent="0.25">
      <c r="A817" t="s">
        <v>206</v>
      </c>
      <c r="B817" t="s">
        <v>207</v>
      </c>
      <c r="C817" t="s">
        <v>256</v>
      </c>
      <c r="D817">
        <v>99.12</v>
      </c>
    </row>
    <row r="818" spans="1:4" x14ac:dyDescent="0.25">
      <c r="A818" t="s">
        <v>206</v>
      </c>
      <c r="B818" t="s">
        <v>207</v>
      </c>
      <c r="C818" t="s">
        <v>257</v>
      </c>
      <c r="D818">
        <v>99.18</v>
      </c>
    </row>
    <row r="819" spans="1:4" x14ac:dyDescent="0.25">
      <c r="A819" t="s">
        <v>206</v>
      </c>
      <c r="B819" t="s">
        <v>207</v>
      </c>
      <c r="C819" t="s">
        <v>258</v>
      </c>
      <c r="D819">
        <v>99.22</v>
      </c>
    </row>
    <row r="820" spans="1:4" x14ac:dyDescent="0.25">
      <c r="A820" t="s">
        <v>206</v>
      </c>
      <c r="B820" t="s">
        <v>207</v>
      </c>
      <c r="C820" t="s">
        <v>259</v>
      </c>
      <c r="D820">
        <v>99.16</v>
      </c>
    </row>
    <row r="821" spans="1:4" x14ac:dyDescent="0.25">
      <c r="A821" t="s">
        <v>206</v>
      </c>
      <c r="B821" t="s">
        <v>207</v>
      </c>
      <c r="C821" t="s">
        <v>260</v>
      </c>
      <c r="D821">
        <v>99.1</v>
      </c>
    </row>
    <row r="822" spans="1:4" x14ac:dyDescent="0.25">
      <c r="A822" t="s">
        <v>206</v>
      </c>
      <c r="B822" t="s">
        <v>207</v>
      </c>
      <c r="C822" t="s">
        <v>261</v>
      </c>
      <c r="D822">
        <v>99.05</v>
      </c>
    </row>
    <row r="823" spans="1:4" x14ac:dyDescent="0.25">
      <c r="A823" t="s">
        <v>206</v>
      </c>
      <c r="B823" t="s">
        <v>207</v>
      </c>
      <c r="C823" t="s">
        <v>262</v>
      </c>
      <c r="D823">
        <v>99</v>
      </c>
    </row>
    <row r="824" spans="1:4" x14ac:dyDescent="0.25">
      <c r="A824" t="s">
        <v>206</v>
      </c>
      <c r="B824" t="s">
        <v>207</v>
      </c>
      <c r="C824" t="s">
        <v>263</v>
      </c>
      <c r="D824">
        <v>98.96</v>
      </c>
    </row>
    <row r="825" spans="1:4" x14ac:dyDescent="0.25">
      <c r="A825" t="s">
        <v>206</v>
      </c>
      <c r="B825" t="s">
        <v>207</v>
      </c>
      <c r="C825" t="s">
        <v>264</v>
      </c>
      <c r="D825">
        <v>98.92</v>
      </c>
    </row>
    <row r="826" spans="1:4" x14ac:dyDescent="0.25">
      <c r="A826" t="s">
        <v>206</v>
      </c>
      <c r="B826" t="s">
        <v>207</v>
      </c>
      <c r="C826" t="s">
        <v>265</v>
      </c>
      <c r="D826">
        <v>98.88</v>
      </c>
    </row>
    <row r="827" spans="1:4" x14ac:dyDescent="0.25">
      <c r="A827" t="s">
        <v>206</v>
      </c>
      <c r="B827" t="s">
        <v>207</v>
      </c>
      <c r="C827" t="s">
        <v>266</v>
      </c>
      <c r="D827">
        <v>98.85</v>
      </c>
    </row>
    <row r="828" spans="1:4" x14ac:dyDescent="0.25">
      <c r="A828" t="s">
        <v>206</v>
      </c>
      <c r="B828" t="s">
        <v>207</v>
      </c>
      <c r="C828" t="s">
        <v>267</v>
      </c>
      <c r="D828">
        <v>98.81</v>
      </c>
    </row>
    <row r="829" spans="1:4" x14ac:dyDescent="0.25">
      <c r="A829" t="s">
        <v>206</v>
      </c>
      <c r="B829" t="s">
        <v>207</v>
      </c>
      <c r="C829" t="s">
        <v>239</v>
      </c>
      <c r="D829">
        <v>98.79</v>
      </c>
    </row>
    <row r="830" spans="1:4" x14ac:dyDescent="0.25">
      <c r="A830" t="s">
        <v>206</v>
      </c>
      <c r="B830" t="s">
        <v>207</v>
      </c>
      <c r="C830" t="s">
        <v>240</v>
      </c>
      <c r="D830">
        <v>98.76</v>
      </c>
    </row>
    <row r="831" spans="1:4" x14ac:dyDescent="0.25">
      <c r="A831" t="s">
        <v>206</v>
      </c>
      <c r="B831" t="s">
        <v>207</v>
      </c>
      <c r="C831" t="s">
        <v>333</v>
      </c>
      <c r="D831">
        <v>98.73</v>
      </c>
    </row>
    <row r="832" spans="1:4" x14ac:dyDescent="0.25">
      <c r="A832" t="s">
        <v>206</v>
      </c>
      <c r="B832" t="s">
        <v>207</v>
      </c>
      <c r="C832" t="s">
        <v>334</v>
      </c>
      <c r="D832">
        <v>98.71</v>
      </c>
    </row>
    <row r="833" spans="1:4" x14ac:dyDescent="0.25">
      <c r="A833" t="s">
        <v>206</v>
      </c>
      <c r="B833" t="s">
        <v>207</v>
      </c>
      <c r="C833" t="s">
        <v>335</v>
      </c>
      <c r="D833">
        <v>98.69</v>
      </c>
    </row>
    <row r="834" spans="1:4" x14ac:dyDescent="0.25">
      <c r="A834" t="s">
        <v>206</v>
      </c>
      <c r="B834" t="s">
        <v>207</v>
      </c>
      <c r="C834" t="s">
        <v>336</v>
      </c>
      <c r="D834">
        <v>98.61</v>
      </c>
    </row>
    <row r="835" spans="1:4" x14ac:dyDescent="0.25">
      <c r="A835" t="s">
        <v>206</v>
      </c>
      <c r="B835" t="s">
        <v>207</v>
      </c>
      <c r="C835" t="s">
        <v>337</v>
      </c>
      <c r="D835">
        <v>98.53</v>
      </c>
    </row>
    <row r="836" spans="1:4" x14ac:dyDescent="0.25">
      <c r="A836" t="s">
        <v>206</v>
      </c>
      <c r="B836" t="s">
        <v>207</v>
      </c>
      <c r="C836" t="s">
        <v>338</v>
      </c>
      <c r="D836">
        <v>98.46</v>
      </c>
    </row>
    <row r="837" spans="1:4" x14ac:dyDescent="0.25">
      <c r="A837" t="s">
        <v>206</v>
      </c>
      <c r="B837" t="s">
        <v>207</v>
      </c>
      <c r="C837" t="s">
        <v>339</v>
      </c>
      <c r="D837">
        <v>98.39</v>
      </c>
    </row>
    <row r="838" spans="1:4" x14ac:dyDescent="0.25">
      <c r="A838" t="s">
        <v>206</v>
      </c>
      <c r="B838" t="s">
        <v>207</v>
      </c>
      <c r="C838" t="s">
        <v>340</v>
      </c>
      <c r="D838">
        <v>98.32</v>
      </c>
    </row>
    <row r="839" spans="1:4" x14ac:dyDescent="0.25">
      <c r="A839" t="s">
        <v>206</v>
      </c>
      <c r="B839" t="s">
        <v>207</v>
      </c>
      <c r="C839" t="s">
        <v>341</v>
      </c>
      <c r="D839">
        <v>98.26</v>
      </c>
    </row>
    <row r="840" spans="1:4" x14ac:dyDescent="0.25">
      <c r="A840" t="s">
        <v>206</v>
      </c>
      <c r="B840" t="s">
        <v>207</v>
      </c>
      <c r="C840" t="s">
        <v>342</v>
      </c>
      <c r="D840">
        <v>98.21</v>
      </c>
    </row>
    <row r="841" spans="1:4" x14ac:dyDescent="0.25">
      <c r="A841" t="s">
        <v>206</v>
      </c>
      <c r="B841" t="s">
        <v>207</v>
      </c>
      <c r="C841" t="s">
        <v>343</v>
      </c>
      <c r="D841">
        <v>98.1</v>
      </c>
    </row>
    <row r="842" spans="1:4" x14ac:dyDescent="0.25">
      <c r="A842" t="s">
        <v>206</v>
      </c>
      <c r="B842" t="s">
        <v>207</v>
      </c>
      <c r="C842" t="s">
        <v>344</v>
      </c>
      <c r="D842">
        <v>98</v>
      </c>
    </row>
    <row r="843" spans="1:4" x14ac:dyDescent="0.25">
      <c r="A843" t="s">
        <v>206</v>
      </c>
      <c r="B843" t="s">
        <v>207</v>
      </c>
      <c r="C843" t="s">
        <v>345</v>
      </c>
      <c r="D843">
        <v>97.9</v>
      </c>
    </row>
    <row r="844" spans="1:4" x14ac:dyDescent="0.25">
      <c r="A844" t="s">
        <v>206</v>
      </c>
      <c r="B844" t="s">
        <v>207</v>
      </c>
      <c r="C844" t="s">
        <v>346</v>
      </c>
      <c r="D844">
        <v>97.77</v>
      </c>
    </row>
    <row r="845" spans="1:4" x14ac:dyDescent="0.25">
      <c r="A845" t="s">
        <v>206</v>
      </c>
      <c r="B845" t="s">
        <v>207</v>
      </c>
      <c r="C845" t="s">
        <v>347</v>
      </c>
      <c r="D845">
        <v>97.64</v>
      </c>
    </row>
    <row r="846" spans="1:4" x14ac:dyDescent="0.25">
      <c r="A846" t="s">
        <v>206</v>
      </c>
      <c r="B846" t="s">
        <v>207</v>
      </c>
      <c r="C846" t="s">
        <v>348</v>
      </c>
      <c r="D846">
        <v>97.56</v>
      </c>
    </row>
    <row r="847" spans="1:4" x14ac:dyDescent="0.25">
      <c r="A847" t="s">
        <v>206</v>
      </c>
      <c r="B847" t="s">
        <v>207</v>
      </c>
      <c r="C847" t="s">
        <v>349</v>
      </c>
      <c r="D847">
        <v>97.48</v>
      </c>
    </row>
    <row r="848" spans="1:4" x14ac:dyDescent="0.25">
      <c r="A848" t="s">
        <v>206</v>
      </c>
      <c r="B848" t="s">
        <v>207</v>
      </c>
      <c r="C848" t="s">
        <v>350</v>
      </c>
      <c r="D848">
        <v>97.4</v>
      </c>
    </row>
    <row r="849" spans="1:4" x14ac:dyDescent="0.25">
      <c r="A849" t="s">
        <v>206</v>
      </c>
      <c r="B849" t="s">
        <v>207</v>
      </c>
      <c r="C849" t="s">
        <v>351</v>
      </c>
      <c r="D849">
        <v>97.38</v>
      </c>
    </row>
    <row r="850" spans="1:4" x14ac:dyDescent="0.25">
      <c r="A850" t="s">
        <v>206</v>
      </c>
      <c r="B850" t="s">
        <v>207</v>
      </c>
      <c r="C850" t="s">
        <v>352</v>
      </c>
      <c r="D850">
        <v>97.35</v>
      </c>
    </row>
    <row r="851" spans="1:4" x14ac:dyDescent="0.25">
      <c r="A851" t="s">
        <v>206</v>
      </c>
      <c r="B851" t="s">
        <v>207</v>
      </c>
      <c r="C851" t="s">
        <v>353</v>
      </c>
      <c r="D851">
        <v>97.32</v>
      </c>
    </row>
    <row r="852" spans="1:4" x14ac:dyDescent="0.25">
      <c r="A852" t="s">
        <v>206</v>
      </c>
      <c r="B852" t="s">
        <v>207</v>
      </c>
      <c r="C852" t="s">
        <v>354</v>
      </c>
      <c r="D852">
        <v>0</v>
      </c>
    </row>
    <row r="853" spans="1:4" x14ac:dyDescent="0.25">
      <c r="A853" t="s">
        <v>206</v>
      </c>
      <c r="B853" t="s">
        <v>207</v>
      </c>
      <c r="C853" t="s">
        <v>355</v>
      </c>
      <c r="D853">
        <v>0</v>
      </c>
    </row>
    <row r="854" spans="1:4" x14ac:dyDescent="0.25">
      <c r="A854" t="s">
        <v>206</v>
      </c>
      <c r="B854" t="s">
        <v>207</v>
      </c>
      <c r="C854" t="s">
        <v>356</v>
      </c>
      <c r="D854">
        <v>0</v>
      </c>
    </row>
    <row r="855" spans="1:4" x14ac:dyDescent="0.25">
      <c r="A855" t="s">
        <v>206</v>
      </c>
      <c r="B855" t="s">
        <v>207</v>
      </c>
      <c r="C855" t="s">
        <v>357</v>
      </c>
      <c r="D855">
        <v>0</v>
      </c>
    </row>
    <row r="856" spans="1:4" x14ac:dyDescent="0.25">
      <c r="A856" t="s">
        <v>206</v>
      </c>
      <c r="B856" t="s">
        <v>207</v>
      </c>
      <c r="C856" t="s">
        <v>358</v>
      </c>
      <c r="D856">
        <v>0</v>
      </c>
    </row>
    <row r="857" spans="1:4" x14ac:dyDescent="0.25">
      <c r="A857" t="s">
        <v>206</v>
      </c>
      <c r="B857" t="s">
        <v>207</v>
      </c>
      <c r="C857" t="s">
        <v>359</v>
      </c>
      <c r="D857">
        <v>0</v>
      </c>
    </row>
    <row r="858" spans="1:4" x14ac:dyDescent="0.25">
      <c r="A858" t="s">
        <v>206</v>
      </c>
      <c r="B858" t="s">
        <v>207</v>
      </c>
      <c r="C858" t="s">
        <v>360</v>
      </c>
      <c r="D858">
        <v>0</v>
      </c>
    </row>
    <row r="859" spans="1:4" x14ac:dyDescent="0.25">
      <c r="A859" t="s">
        <v>206</v>
      </c>
      <c r="B859" t="s">
        <v>207</v>
      </c>
      <c r="C859" t="s">
        <v>361</v>
      </c>
      <c r="D859">
        <v>0</v>
      </c>
    </row>
    <row r="860" spans="1:4" x14ac:dyDescent="0.25">
      <c r="A860" t="s">
        <v>206</v>
      </c>
      <c r="B860" t="s">
        <v>207</v>
      </c>
      <c r="C860" t="s">
        <v>362</v>
      </c>
      <c r="D860">
        <v>0</v>
      </c>
    </row>
    <row r="861" spans="1:4" x14ac:dyDescent="0.25">
      <c r="A861" t="s">
        <v>206</v>
      </c>
      <c r="B861" t="s">
        <v>207</v>
      </c>
      <c r="C861" t="s">
        <v>363</v>
      </c>
      <c r="D861">
        <v>0</v>
      </c>
    </row>
    <row r="862" spans="1:4" x14ac:dyDescent="0.25">
      <c r="A862" t="s">
        <v>206</v>
      </c>
      <c r="B862" t="s">
        <v>207</v>
      </c>
      <c r="C862" t="s">
        <v>364</v>
      </c>
      <c r="D862">
        <v>0</v>
      </c>
    </row>
    <row r="863" spans="1:4" x14ac:dyDescent="0.25">
      <c r="A863" t="s">
        <v>206</v>
      </c>
      <c r="B863" t="s">
        <v>207</v>
      </c>
      <c r="C863" t="s">
        <v>365</v>
      </c>
      <c r="D863">
        <v>0</v>
      </c>
    </row>
    <row r="864" spans="1:4" x14ac:dyDescent="0.25">
      <c r="A864" t="s">
        <v>75</v>
      </c>
      <c r="B864" t="s">
        <v>76</v>
      </c>
      <c r="C864" t="s">
        <v>241</v>
      </c>
      <c r="D864">
        <v>100</v>
      </c>
    </row>
    <row r="865" spans="1:4" x14ac:dyDescent="0.25">
      <c r="A865" t="s">
        <v>75</v>
      </c>
      <c r="B865" t="s">
        <v>76</v>
      </c>
      <c r="C865" t="s">
        <v>242</v>
      </c>
      <c r="D865">
        <v>100</v>
      </c>
    </row>
    <row r="866" spans="1:4" x14ac:dyDescent="0.25">
      <c r="A866" t="s">
        <v>75</v>
      </c>
      <c r="B866" t="s">
        <v>76</v>
      </c>
      <c r="C866" t="s">
        <v>243</v>
      </c>
      <c r="D866">
        <v>100</v>
      </c>
    </row>
    <row r="867" spans="1:4" x14ac:dyDescent="0.25">
      <c r="A867" t="s">
        <v>75</v>
      </c>
      <c r="B867" t="s">
        <v>76</v>
      </c>
      <c r="C867" t="s">
        <v>244</v>
      </c>
      <c r="D867">
        <v>100</v>
      </c>
    </row>
    <row r="868" spans="1:4" x14ac:dyDescent="0.25">
      <c r="A868" t="s">
        <v>75</v>
      </c>
      <c r="B868" t="s">
        <v>76</v>
      </c>
      <c r="C868" t="s">
        <v>245</v>
      </c>
      <c r="D868">
        <v>100</v>
      </c>
    </row>
    <row r="869" spans="1:4" x14ac:dyDescent="0.25">
      <c r="A869" t="s">
        <v>75</v>
      </c>
      <c r="B869" t="s">
        <v>76</v>
      </c>
      <c r="C869" t="s">
        <v>246</v>
      </c>
      <c r="D869">
        <v>99.83</v>
      </c>
    </row>
    <row r="870" spans="1:4" x14ac:dyDescent="0.25">
      <c r="A870" t="s">
        <v>75</v>
      </c>
      <c r="B870" t="s">
        <v>76</v>
      </c>
      <c r="C870" t="s">
        <v>247</v>
      </c>
      <c r="D870">
        <v>99.71</v>
      </c>
    </row>
    <row r="871" spans="1:4" x14ac:dyDescent="0.25">
      <c r="A871" t="s">
        <v>75</v>
      </c>
      <c r="B871" t="s">
        <v>76</v>
      </c>
      <c r="C871" t="s">
        <v>248</v>
      </c>
      <c r="D871">
        <v>99.62</v>
      </c>
    </row>
    <row r="872" spans="1:4" x14ac:dyDescent="0.25">
      <c r="A872" t="s">
        <v>75</v>
      </c>
      <c r="B872" t="s">
        <v>76</v>
      </c>
      <c r="C872" t="s">
        <v>249</v>
      </c>
      <c r="D872">
        <v>99.56</v>
      </c>
    </row>
    <row r="873" spans="1:4" x14ac:dyDescent="0.25">
      <c r="A873" t="s">
        <v>75</v>
      </c>
      <c r="B873" t="s">
        <v>76</v>
      </c>
      <c r="C873" t="s">
        <v>250</v>
      </c>
      <c r="D873">
        <v>99.5</v>
      </c>
    </row>
    <row r="874" spans="1:4" x14ac:dyDescent="0.25">
      <c r="A874" t="s">
        <v>75</v>
      </c>
      <c r="B874" t="s">
        <v>76</v>
      </c>
      <c r="C874" t="s">
        <v>251</v>
      </c>
      <c r="D874">
        <v>99.45</v>
      </c>
    </row>
    <row r="875" spans="1:4" x14ac:dyDescent="0.25">
      <c r="A875" t="s">
        <v>75</v>
      </c>
      <c r="B875" t="s">
        <v>76</v>
      </c>
      <c r="C875" t="s">
        <v>252</v>
      </c>
      <c r="D875">
        <v>99.42</v>
      </c>
    </row>
    <row r="876" spans="1:4" x14ac:dyDescent="0.25">
      <c r="A876" t="s">
        <v>75</v>
      </c>
      <c r="B876" t="s">
        <v>76</v>
      </c>
      <c r="C876" t="s">
        <v>253</v>
      </c>
      <c r="D876">
        <v>99.38</v>
      </c>
    </row>
    <row r="877" spans="1:4" x14ac:dyDescent="0.25">
      <c r="A877" t="s">
        <v>75</v>
      </c>
      <c r="B877" t="s">
        <v>76</v>
      </c>
      <c r="C877" t="s">
        <v>254</v>
      </c>
      <c r="D877">
        <v>99.36</v>
      </c>
    </row>
    <row r="878" spans="1:4" x14ac:dyDescent="0.25">
      <c r="A878" t="s">
        <v>75</v>
      </c>
      <c r="B878" t="s">
        <v>76</v>
      </c>
      <c r="C878" t="s">
        <v>255</v>
      </c>
      <c r="D878">
        <v>99.33</v>
      </c>
    </row>
    <row r="879" spans="1:4" x14ac:dyDescent="0.25">
      <c r="A879" t="s">
        <v>75</v>
      </c>
      <c r="B879" t="s">
        <v>76</v>
      </c>
      <c r="C879" t="s">
        <v>256</v>
      </c>
      <c r="D879">
        <v>99.31</v>
      </c>
    </row>
    <row r="880" spans="1:4" x14ac:dyDescent="0.25">
      <c r="A880" t="s">
        <v>75</v>
      </c>
      <c r="B880" t="s">
        <v>76</v>
      </c>
      <c r="C880" t="s">
        <v>257</v>
      </c>
      <c r="D880">
        <v>99.29</v>
      </c>
    </row>
    <row r="881" spans="1:4" x14ac:dyDescent="0.25">
      <c r="A881" t="s">
        <v>75</v>
      </c>
      <c r="B881" t="s">
        <v>76</v>
      </c>
      <c r="C881" t="s">
        <v>258</v>
      </c>
      <c r="D881">
        <v>99.17</v>
      </c>
    </row>
    <row r="882" spans="1:4" x14ac:dyDescent="0.25">
      <c r="A882" t="s">
        <v>75</v>
      </c>
      <c r="B882" t="s">
        <v>76</v>
      </c>
      <c r="C882" t="s">
        <v>259</v>
      </c>
      <c r="D882">
        <v>99.05</v>
      </c>
    </row>
    <row r="883" spans="1:4" x14ac:dyDescent="0.25">
      <c r="A883" t="s">
        <v>75</v>
      </c>
      <c r="B883" t="s">
        <v>76</v>
      </c>
      <c r="C883" t="s">
        <v>260</v>
      </c>
      <c r="D883">
        <v>98.95</v>
      </c>
    </row>
    <row r="884" spans="1:4" x14ac:dyDescent="0.25">
      <c r="A884" t="s">
        <v>75</v>
      </c>
      <c r="B884" t="s">
        <v>76</v>
      </c>
      <c r="C884" t="s">
        <v>261</v>
      </c>
      <c r="D884">
        <v>98.86</v>
      </c>
    </row>
    <row r="885" spans="1:4" x14ac:dyDescent="0.25">
      <c r="A885" t="s">
        <v>75</v>
      </c>
      <c r="B885" t="s">
        <v>76</v>
      </c>
      <c r="C885" t="s">
        <v>262</v>
      </c>
      <c r="D885">
        <v>98.77</v>
      </c>
    </row>
    <row r="886" spans="1:4" x14ac:dyDescent="0.25">
      <c r="A886" t="s">
        <v>75</v>
      </c>
      <c r="B886" t="s">
        <v>76</v>
      </c>
      <c r="C886" t="s">
        <v>263</v>
      </c>
      <c r="D886">
        <v>98.61</v>
      </c>
    </row>
    <row r="887" spans="1:4" x14ac:dyDescent="0.25">
      <c r="A887" t="s">
        <v>75</v>
      </c>
      <c r="B887" t="s">
        <v>76</v>
      </c>
      <c r="C887" t="s">
        <v>264</v>
      </c>
      <c r="D887">
        <v>98.46</v>
      </c>
    </row>
    <row r="888" spans="1:4" x14ac:dyDescent="0.25">
      <c r="A888" t="s">
        <v>75</v>
      </c>
      <c r="B888" t="s">
        <v>76</v>
      </c>
      <c r="C888" t="s">
        <v>265</v>
      </c>
      <c r="D888">
        <v>98.32</v>
      </c>
    </row>
    <row r="889" spans="1:4" x14ac:dyDescent="0.25">
      <c r="A889" t="s">
        <v>75</v>
      </c>
      <c r="B889" t="s">
        <v>76</v>
      </c>
      <c r="C889" t="s">
        <v>266</v>
      </c>
      <c r="D889">
        <v>98.19</v>
      </c>
    </row>
    <row r="890" spans="1:4" x14ac:dyDescent="0.25">
      <c r="A890" t="s">
        <v>75</v>
      </c>
      <c r="B890" t="s">
        <v>76</v>
      </c>
      <c r="C890" t="s">
        <v>267</v>
      </c>
      <c r="D890">
        <v>98.11</v>
      </c>
    </row>
    <row r="891" spans="1:4" x14ac:dyDescent="0.25">
      <c r="A891" t="s">
        <v>75</v>
      </c>
      <c r="B891" t="s">
        <v>76</v>
      </c>
      <c r="C891" t="s">
        <v>239</v>
      </c>
      <c r="D891">
        <v>98.07</v>
      </c>
    </row>
    <row r="892" spans="1:4" x14ac:dyDescent="0.25">
      <c r="A892" t="s">
        <v>75</v>
      </c>
      <c r="B892" t="s">
        <v>76</v>
      </c>
      <c r="C892" t="s">
        <v>240</v>
      </c>
      <c r="D892">
        <v>98</v>
      </c>
    </row>
    <row r="893" spans="1:4" x14ac:dyDescent="0.25">
      <c r="A893" t="s">
        <v>75</v>
      </c>
      <c r="B893" t="s">
        <v>76</v>
      </c>
      <c r="C893" t="s">
        <v>333</v>
      </c>
      <c r="D893">
        <v>97.97</v>
      </c>
    </row>
    <row r="894" spans="1:4" x14ac:dyDescent="0.25">
      <c r="A894" t="s">
        <v>75</v>
      </c>
      <c r="B894" t="s">
        <v>76</v>
      </c>
      <c r="C894" t="s">
        <v>334</v>
      </c>
      <c r="D894">
        <v>97.94</v>
      </c>
    </row>
    <row r="895" spans="1:4" x14ac:dyDescent="0.25">
      <c r="A895" t="s">
        <v>75</v>
      </c>
      <c r="B895" t="s">
        <v>76</v>
      </c>
      <c r="C895" t="s">
        <v>335</v>
      </c>
      <c r="D895">
        <v>97.91</v>
      </c>
    </row>
    <row r="896" spans="1:4" x14ac:dyDescent="0.25">
      <c r="A896" t="s">
        <v>75</v>
      </c>
      <c r="B896" t="s">
        <v>76</v>
      </c>
      <c r="C896" t="s">
        <v>336</v>
      </c>
      <c r="D896">
        <v>97.88</v>
      </c>
    </row>
    <row r="897" spans="1:4" x14ac:dyDescent="0.25">
      <c r="A897" t="s">
        <v>75</v>
      </c>
      <c r="B897" t="s">
        <v>76</v>
      </c>
      <c r="C897" t="s">
        <v>337</v>
      </c>
      <c r="D897">
        <v>97.85</v>
      </c>
    </row>
    <row r="898" spans="1:4" x14ac:dyDescent="0.25">
      <c r="A898" t="s">
        <v>75</v>
      </c>
      <c r="B898" t="s">
        <v>76</v>
      </c>
      <c r="C898" t="s">
        <v>338</v>
      </c>
      <c r="D898">
        <v>97.83</v>
      </c>
    </row>
    <row r="899" spans="1:4" x14ac:dyDescent="0.25">
      <c r="A899" t="s">
        <v>75</v>
      </c>
      <c r="B899" t="s">
        <v>76</v>
      </c>
      <c r="C899" t="s">
        <v>339</v>
      </c>
      <c r="D899">
        <v>97.83</v>
      </c>
    </row>
    <row r="900" spans="1:4" x14ac:dyDescent="0.25">
      <c r="A900" t="s">
        <v>75</v>
      </c>
      <c r="B900" t="s">
        <v>76</v>
      </c>
      <c r="C900" t="s">
        <v>340</v>
      </c>
      <c r="D900">
        <v>97.84</v>
      </c>
    </row>
    <row r="901" spans="1:4" x14ac:dyDescent="0.25">
      <c r="A901" t="s">
        <v>75</v>
      </c>
      <c r="B901" t="s">
        <v>76</v>
      </c>
      <c r="C901" t="s">
        <v>341</v>
      </c>
      <c r="D901">
        <v>97.84</v>
      </c>
    </row>
    <row r="902" spans="1:4" x14ac:dyDescent="0.25">
      <c r="A902" t="s">
        <v>75</v>
      </c>
      <c r="B902" t="s">
        <v>76</v>
      </c>
      <c r="C902" t="s">
        <v>342</v>
      </c>
      <c r="D902">
        <v>97.82</v>
      </c>
    </row>
    <row r="903" spans="1:4" x14ac:dyDescent="0.25">
      <c r="A903" t="s">
        <v>75</v>
      </c>
      <c r="B903" t="s">
        <v>76</v>
      </c>
      <c r="C903" t="s">
        <v>343</v>
      </c>
      <c r="D903">
        <v>97.8</v>
      </c>
    </row>
    <row r="904" spans="1:4" x14ac:dyDescent="0.25">
      <c r="A904" t="s">
        <v>75</v>
      </c>
      <c r="B904" t="s">
        <v>76</v>
      </c>
      <c r="C904" t="s">
        <v>344</v>
      </c>
      <c r="D904">
        <v>97.83</v>
      </c>
    </row>
    <row r="905" spans="1:4" x14ac:dyDescent="0.25">
      <c r="A905" t="s">
        <v>75</v>
      </c>
      <c r="B905" t="s">
        <v>76</v>
      </c>
      <c r="C905" t="s">
        <v>345</v>
      </c>
      <c r="D905">
        <v>97.86</v>
      </c>
    </row>
    <row r="906" spans="1:4" x14ac:dyDescent="0.25">
      <c r="A906" t="s">
        <v>75</v>
      </c>
      <c r="B906" t="s">
        <v>76</v>
      </c>
      <c r="C906" t="s">
        <v>346</v>
      </c>
      <c r="D906">
        <v>97.88</v>
      </c>
    </row>
    <row r="907" spans="1:4" x14ac:dyDescent="0.25">
      <c r="A907" t="s">
        <v>75</v>
      </c>
      <c r="B907" t="s">
        <v>76</v>
      </c>
      <c r="C907" t="s">
        <v>347</v>
      </c>
      <c r="D907">
        <v>97.91</v>
      </c>
    </row>
    <row r="908" spans="1:4" x14ac:dyDescent="0.25">
      <c r="A908" t="s">
        <v>75</v>
      </c>
      <c r="B908" t="s">
        <v>76</v>
      </c>
      <c r="C908" t="s">
        <v>348</v>
      </c>
      <c r="D908">
        <v>97.93</v>
      </c>
    </row>
    <row r="909" spans="1:4" x14ac:dyDescent="0.25">
      <c r="A909" t="s">
        <v>75</v>
      </c>
      <c r="B909" t="s">
        <v>76</v>
      </c>
      <c r="C909" t="s">
        <v>349</v>
      </c>
      <c r="D909">
        <v>97.96</v>
      </c>
    </row>
    <row r="910" spans="1:4" x14ac:dyDescent="0.25">
      <c r="A910" t="s">
        <v>75</v>
      </c>
      <c r="B910" t="s">
        <v>76</v>
      </c>
      <c r="C910" t="s">
        <v>350</v>
      </c>
      <c r="D910">
        <v>97.98</v>
      </c>
    </row>
    <row r="911" spans="1:4" x14ac:dyDescent="0.25">
      <c r="A911" t="s">
        <v>75</v>
      </c>
      <c r="B911" t="s">
        <v>76</v>
      </c>
      <c r="C911" t="s">
        <v>351</v>
      </c>
      <c r="D911">
        <v>98.02</v>
      </c>
    </row>
    <row r="912" spans="1:4" x14ac:dyDescent="0.25">
      <c r="A912" t="s">
        <v>75</v>
      </c>
      <c r="B912" t="s">
        <v>76</v>
      </c>
      <c r="C912" t="s">
        <v>352</v>
      </c>
      <c r="D912">
        <v>98.02</v>
      </c>
    </row>
    <row r="913" spans="1:4" x14ac:dyDescent="0.25">
      <c r="A913" t="s">
        <v>75</v>
      </c>
      <c r="B913" t="s">
        <v>76</v>
      </c>
      <c r="C913" t="s">
        <v>353</v>
      </c>
      <c r="D913">
        <v>98.02</v>
      </c>
    </row>
    <row r="914" spans="1:4" x14ac:dyDescent="0.25">
      <c r="A914" t="s">
        <v>75</v>
      </c>
      <c r="B914" t="s">
        <v>76</v>
      </c>
      <c r="C914" t="s">
        <v>354</v>
      </c>
      <c r="D914">
        <v>0</v>
      </c>
    </row>
    <row r="915" spans="1:4" x14ac:dyDescent="0.25">
      <c r="A915" t="s">
        <v>75</v>
      </c>
      <c r="B915" t="s">
        <v>76</v>
      </c>
      <c r="C915" t="s">
        <v>355</v>
      </c>
      <c r="D915">
        <v>0</v>
      </c>
    </row>
    <row r="916" spans="1:4" x14ac:dyDescent="0.25">
      <c r="A916" t="s">
        <v>75</v>
      </c>
      <c r="B916" t="s">
        <v>76</v>
      </c>
      <c r="C916" t="s">
        <v>356</v>
      </c>
      <c r="D916">
        <v>0</v>
      </c>
    </row>
    <row r="917" spans="1:4" x14ac:dyDescent="0.25">
      <c r="A917" t="s">
        <v>75</v>
      </c>
      <c r="B917" t="s">
        <v>76</v>
      </c>
      <c r="C917" t="s">
        <v>357</v>
      </c>
      <c r="D917">
        <v>0</v>
      </c>
    </row>
    <row r="918" spans="1:4" x14ac:dyDescent="0.25">
      <c r="A918" t="s">
        <v>75</v>
      </c>
      <c r="B918" t="s">
        <v>76</v>
      </c>
      <c r="C918" t="s">
        <v>358</v>
      </c>
      <c r="D918">
        <v>0</v>
      </c>
    </row>
    <row r="919" spans="1:4" x14ac:dyDescent="0.25">
      <c r="A919" t="s">
        <v>75</v>
      </c>
      <c r="B919" t="s">
        <v>76</v>
      </c>
      <c r="C919" t="s">
        <v>359</v>
      </c>
      <c r="D919">
        <v>8</v>
      </c>
    </row>
    <row r="920" spans="1:4" x14ac:dyDescent="0.25">
      <c r="A920" t="s">
        <v>75</v>
      </c>
      <c r="B920" t="s">
        <v>76</v>
      </c>
      <c r="C920" t="s">
        <v>360</v>
      </c>
      <c r="D920">
        <v>14.43</v>
      </c>
    </row>
    <row r="921" spans="1:4" x14ac:dyDescent="0.25">
      <c r="A921" t="s">
        <v>75</v>
      </c>
      <c r="B921" t="s">
        <v>76</v>
      </c>
      <c r="C921" t="s">
        <v>361</v>
      </c>
      <c r="D921">
        <v>12.62</v>
      </c>
    </row>
    <row r="922" spans="1:4" x14ac:dyDescent="0.25">
      <c r="A922" t="s">
        <v>75</v>
      </c>
      <c r="B922" t="s">
        <v>76</v>
      </c>
      <c r="C922" t="s">
        <v>362</v>
      </c>
      <c r="D922">
        <v>21.78</v>
      </c>
    </row>
    <row r="923" spans="1:4" x14ac:dyDescent="0.25">
      <c r="A923" t="s">
        <v>75</v>
      </c>
      <c r="B923" t="s">
        <v>76</v>
      </c>
      <c r="C923" t="s">
        <v>363</v>
      </c>
      <c r="D923">
        <v>19.600000000000001</v>
      </c>
    </row>
    <row r="924" spans="1:4" x14ac:dyDescent="0.25">
      <c r="A924" t="s">
        <v>75</v>
      </c>
      <c r="B924" t="s">
        <v>76</v>
      </c>
      <c r="C924" t="s">
        <v>364</v>
      </c>
      <c r="D924">
        <v>17.82</v>
      </c>
    </row>
    <row r="925" spans="1:4" x14ac:dyDescent="0.25">
      <c r="A925" t="s">
        <v>75</v>
      </c>
      <c r="B925" t="s">
        <v>76</v>
      </c>
      <c r="C925" t="s">
        <v>365</v>
      </c>
      <c r="D925">
        <v>16.329999999999998</v>
      </c>
    </row>
    <row r="926" spans="1:4" x14ac:dyDescent="0.25">
      <c r="A926" t="s">
        <v>208</v>
      </c>
      <c r="B926" t="s">
        <v>209</v>
      </c>
      <c r="C926" t="s">
        <v>241</v>
      </c>
      <c r="D926">
        <v>98</v>
      </c>
    </row>
    <row r="927" spans="1:4" x14ac:dyDescent="0.25">
      <c r="A927" t="s">
        <v>208</v>
      </c>
      <c r="B927" t="s">
        <v>209</v>
      </c>
      <c r="C927" t="s">
        <v>242</v>
      </c>
      <c r="D927">
        <v>98</v>
      </c>
    </row>
    <row r="928" spans="1:4" x14ac:dyDescent="0.25">
      <c r="A928" t="s">
        <v>208</v>
      </c>
      <c r="B928" t="s">
        <v>209</v>
      </c>
      <c r="C928" t="s">
        <v>243</v>
      </c>
      <c r="D928">
        <v>98</v>
      </c>
    </row>
    <row r="929" spans="1:4" x14ac:dyDescent="0.25">
      <c r="A929" t="s">
        <v>208</v>
      </c>
      <c r="B929" t="s">
        <v>209</v>
      </c>
      <c r="C929" t="s">
        <v>244</v>
      </c>
      <c r="D929">
        <v>98</v>
      </c>
    </row>
    <row r="930" spans="1:4" x14ac:dyDescent="0.25">
      <c r="A930" t="s">
        <v>208</v>
      </c>
      <c r="B930" t="s">
        <v>209</v>
      </c>
      <c r="C930" t="s">
        <v>245</v>
      </c>
      <c r="D930">
        <v>98</v>
      </c>
    </row>
    <row r="931" spans="1:4" x14ac:dyDescent="0.25">
      <c r="A931" t="s">
        <v>208</v>
      </c>
      <c r="B931" t="s">
        <v>209</v>
      </c>
      <c r="C931" t="s">
        <v>246</v>
      </c>
      <c r="D931">
        <v>98</v>
      </c>
    </row>
    <row r="932" spans="1:4" x14ac:dyDescent="0.25">
      <c r="A932" t="s">
        <v>208</v>
      </c>
      <c r="B932" t="s">
        <v>209</v>
      </c>
      <c r="C932" t="s">
        <v>247</v>
      </c>
      <c r="D932">
        <v>98</v>
      </c>
    </row>
    <row r="933" spans="1:4" x14ac:dyDescent="0.25">
      <c r="A933" t="s">
        <v>208</v>
      </c>
      <c r="B933" t="s">
        <v>209</v>
      </c>
      <c r="C933" t="s">
        <v>248</v>
      </c>
      <c r="D933">
        <v>98</v>
      </c>
    </row>
    <row r="934" spans="1:4" x14ac:dyDescent="0.25">
      <c r="A934" t="s">
        <v>208</v>
      </c>
      <c r="B934" t="s">
        <v>209</v>
      </c>
      <c r="C934" t="s">
        <v>249</v>
      </c>
      <c r="D934">
        <v>98</v>
      </c>
    </row>
    <row r="935" spans="1:4" x14ac:dyDescent="0.25">
      <c r="A935" t="s">
        <v>208</v>
      </c>
      <c r="B935" t="s">
        <v>209</v>
      </c>
      <c r="C935" t="s">
        <v>250</v>
      </c>
      <c r="D935">
        <v>98</v>
      </c>
    </row>
    <row r="936" spans="1:4" x14ac:dyDescent="0.25">
      <c r="A936" t="s">
        <v>208</v>
      </c>
      <c r="B936" t="s">
        <v>209</v>
      </c>
      <c r="C936" t="s">
        <v>251</v>
      </c>
      <c r="D936">
        <v>98</v>
      </c>
    </row>
    <row r="937" spans="1:4" x14ac:dyDescent="0.25">
      <c r="A937" t="s">
        <v>208</v>
      </c>
      <c r="B937" t="s">
        <v>209</v>
      </c>
      <c r="C937" t="s">
        <v>252</v>
      </c>
      <c r="D937">
        <v>98</v>
      </c>
    </row>
    <row r="938" spans="1:4" x14ac:dyDescent="0.25">
      <c r="A938" t="s">
        <v>208</v>
      </c>
      <c r="B938" t="s">
        <v>209</v>
      </c>
      <c r="C938" t="s">
        <v>253</v>
      </c>
      <c r="D938">
        <v>98</v>
      </c>
    </row>
    <row r="939" spans="1:4" x14ac:dyDescent="0.25">
      <c r="A939" t="s">
        <v>208</v>
      </c>
      <c r="B939" t="s">
        <v>209</v>
      </c>
      <c r="C939" t="s">
        <v>254</v>
      </c>
      <c r="D939">
        <v>98</v>
      </c>
    </row>
    <row r="940" spans="1:4" x14ac:dyDescent="0.25">
      <c r="A940" t="s">
        <v>208</v>
      </c>
      <c r="B940" t="s">
        <v>209</v>
      </c>
      <c r="C940" t="s">
        <v>255</v>
      </c>
      <c r="D940">
        <v>98</v>
      </c>
    </row>
    <row r="941" spans="1:4" x14ac:dyDescent="0.25">
      <c r="A941" t="s">
        <v>208</v>
      </c>
      <c r="B941" t="s">
        <v>209</v>
      </c>
      <c r="C941" t="s">
        <v>256</v>
      </c>
      <c r="D941">
        <v>98</v>
      </c>
    </row>
    <row r="942" spans="1:4" x14ac:dyDescent="0.25">
      <c r="A942" t="s">
        <v>208</v>
      </c>
      <c r="B942" t="s">
        <v>209</v>
      </c>
      <c r="C942" t="s">
        <v>257</v>
      </c>
      <c r="D942">
        <v>97.88</v>
      </c>
    </row>
    <row r="943" spans="1:4" x14ac:dyDescent="0.25">
      <c r="A943" t="s">
        <v>208</v>
      </c>
      <c r="B943" t="s">
        <v>209</v>
      </c>
      <c r="C943" t="s">
        <v>258</v>
      </c>
      <c r="D943">
        <v>97.72</v>
      </c>
    </row>
    <row r="944" spans="1:4" x14ac:dyDescent="0.25">
      <c r="A944" t="s">
        <v>208</v>
      </c>
      <c r="B944" t="s">
        <v>209</v>
      </c>
      <c r="C944" t="s">
        <v>259</v>
      </c>
      <c r="D944">
        <v>97.58</v>
      </c>
    </row>
    <row r="945" spans="1:4" x14ac:dyDescent="0.25">
      <c r="A945" t="s">
        <v>208</v>
      </c>
      <c r="B945" t="s">
        <v>209</v>
      </c>
      <c r="C945" t="s">
        <v>260</v>
      </c>
      <c r="D945">
        <v>97.45</v>
      </c>
    </row>
    <row r="946" spans="1:4" x14ac:dyDescent="0.25">
      <c r="A946" t="s">
        <v>208</v>
      </c>
      <c r="B946" t="s">
        <v>209</v>
      </c>
      <c r="C946" t="s">
        <v>261</v>
      </c>
      <c r="D946">
        <v>97.33</v>
      </c>
    </row>
    <row r="947" spans="1:4" x14ac:dyDescent="0.25">
      <c r="A947" t="s">
        <v>208</v>
      </c>
      <c r="B947" t="s">
        <v>209</v>
      </c>
      <c r="C947" t="s">
        <v>262</v>
      </c>
      <c r="D947">
        <v>97.23</v>
      </c>
    </row>
    <row r="948" spans="1:4" x14ac:dyDescent="0.25">
      <c r="A948" t="s">
        <v>208</v>
      </c>
      <c r="B948" t="s">
        <v>209</v>
      </c>
      <c r="C948" t="s">
        <v>263</v>
      </c>
      <c r="D948">
        <v>97.17</v>
      </c>
    </row>
    <row r="949" spans="1:4" x14ac:dyDescent="0.25">
      <c r="A949" t="s">
        <v>208</v>
      </c>
      <c r="B949" t="s">
        <v>209</v>
      </c>
      <c r="C949" t="s">
        <v>264</v>
      </c>
      <c r="D949">
        <v>97.12</v>
      </c>
    </row>
    <row r="950" spans="1:4" x14ac:dyDescent="0.25">
      <c r="A950" t="s">
        <v>208</v>
      </c>
      <c r="B950" t="s">
        <v>209</v>
      </c>
      <c r="C950" t="s">
        <v>265</v>
      </c>
      <c r="D950">
        <v>97.08</v>
      </c>
    </row>
    <row r="951" spans="1:4" x14ac:dyDescent="0.25">
      <c r="A951" t="s">
        <v>208</v>
      </c>
      <c r="B951" t="s">
        <v>209</v>
      </c>
      <c r="C951" t="s">
        <v>266</v>
      </c>
      <c r="D951">
        <v>97.04</v>
      </c>
    </row>
    <row r="952" spans="1:4" x14ac:dyDescent="0.25">
      <c r="A952" t="s">
        <v>208</v>
      </c>
      <c r="B952" t="s">
        <v>209</v>
      </c>
      <c r="C952" t="s">
        <v>267</v>
      </c>
      <c r="D952">
        <v>97</v>
      </c>
    </row>
    <row r="953" spans="1:4" x14ac:dyDescent="0.25">
      <c r="A953" t="s">
        <v>208</v>
      </c>
      <c r="B953" t="s">
        <v>209</v>
      </c>
      <c r="C953" t="s">
        <v>239</v>
      </c>
      <c r="D953">
        <v>97</v>
      </c>
    </row>
    <row r="954" spans="1:4" x14ac:dyDescent="0.25">
      <c r="A954" t="s">
        <v>208</v>
      </c>
      <c r="B954" t="s">
        <v>209</v>
      </c>
      <c r="C954" t="s">
        <v>240</v>
      </c>
      <c r="D954">
        <v>96.97</v>
      </c>
    </row>
    <row r="955" spans="1:4" x14ac:dyDescent="0.25">
      <c r="A955" t="s">
        <v>208</v>
      </c>
      <c r="B955" t="s">
        <v>209</v>
      </c>
      <c r="C955" t="s">
        <v>333</v>
      </c>
      <c r="D955">
        <v>96.93</v>
      </c>
    </row>
    <row r="956" spans="1:4" x14ac:dyDescent="0.25">
      <c r="A956" t="s">
        <v>208</v>
      </c>
      <c r="B956" t="s">
        <v>209</v>
      </c>
      <c r="C956" t="s">
        <v>334</v>
      </c>
      <c r="D956">
        <v>96.94</v>
      </c>
    </row>
    <row r="957" spans="1:4" x14ac:dyDescent="0.25">
      <c r="A957" t="s">
        <v>208</v>
      </c>
      <c r="B957" t="s">
        <v>209</v>
      </c>
      <c r="C957" t="s">
        <v>335</v>
      </c>
      <c r="D957">
        <v>96.94</v>
      </c>
    </row>
    <row r="958" spans="1:4" x14ac:dyDescent="0.25">
      <c r="A958" t="s">
        <v>208</v>
      </c>
      <c r="B958" t="s">
        <v>209</v>
      </c>
      <c r="C958" t="s">
        <v>336</v>
      </c>
      <c r="D958">
        <v>96.94</v>
      </c>
    </row>
    <row r="959" spans="1:4" x14ac:dyDescent="0.25">
      <c r="A959" t="s">
        <v>208</v>
      </c>
      <c r="B959" t="s">
        <v>209</v>
      </c>
      <c r="C959" t="s">
        <v>337</v>
      </c>
      <c r="D959">
        <v>96.94</v>
      </c>
    </row>
    <row r="960" spans="1:4" x14ac:dyDescent="0.25">
      <c r="A960" t="s">
        <v>208</v>
      </c>
      <c r="B960" t="s">
        <v>209</v>
      </c>
      <c r="C960" t="s">
        <v>338</v>
      </c>
      <c r="D960">
        <v>96.94</v>
      </c>
    </row>
    <row r="961" spans="1:4" x14ac:dyDescent="0.25">
      <c r="A961" t="s">
        <v>208</v>
      </c>
      <c r="B961" t="s">
        <v>209</v>
      </c>
      <c r="C961" t="s">
        <v>339</v>
      </c>
      <c r="D961">
        <v>96.94</v>
      </c>
    </row>
    <row r="962" spans="1:4" x14ac:dyDescent="0.25">
      <c r="A962" t="s">
        <v>208</v>
      </c>
      <c r="B962" t="s">
        <v>209</v>
      </c>
      <c r="C962" t="s">
        <v>340</v>
      </c>
      <c r="D962">
        <v>96.95</v>
      </c>
    </row>
    <row r="963" spans="1:4" x14ac:dyDescent="0.25">
      <c r="A963" t="s">
        <v>208</v>
      </c>
      <c r="B963" t="s">
        <v>209</v>
      </c>
      <c r="C963" t="s">
        <v>341</v>
      </c>
      <c r="D963">
        <v>96.97</v>
      </c>
    </row>
    <row r="964" spans="1:4" x14ac:dyDescent="0.25">
      <c r="A964" t="s">
        <v>208</v>
      </c>
      <c r="B964" t="s">
        <v>209</v>
      </c>
      <c r="C964" t="s">
        <v>342</v>
      </c>
      <c r="D964">
        <v>96.97</v>
      </c>
    </row>
    <row r="965" spans="1:4" x14ac:dyDescent="0.25">
      <c r="A965" t="s">
        <v>208</v>
      </c>
      <c r="B965" t="s">
        <v>209</v>
      </c>
      <c r="C965" t="s">
        <v>343</v>
      </c>
      <c r="D965">
        <v>96.98</v>
      </c>
    </row>
    <row r="966" spans="1:4" x14ac:dyDescent="0.25">
      <c r="A966" t="s">
        <v>208</v>
      </c>
      <c r="B966" t="s">
        <v>209</v>
      </c>
      <c r="C966" t="s">
        <v>344</v>
      </c>
      <c r="D966">
        <v>96.98</v>
      </c>
    </row>
    <row r="967" spans="1:4" x14ac:dyDescent="0.25">
      <c r="A967" t="s">
        <v>208</v>
      </c>
      <c r="B967" t="s">
        <v>209</v>
      </c>
      <c r="C967" t="s">
        <v>345</v>
      </c>
      <c r="D967">
        <v>96.98</v>
      </c>
    </row>
    <row r="968" spans="1:4" x14ac:dyDescent="0.25">
      <c r="A968" t="s">
        <v>208</v>
      </c>
      <c r="B968" t="s">
        <v>209</v>
      </c>
      <c r="C968" t="s">
        <v>346</v>
      </c>
      <c r="D968">
        <v>97</v>
      </c>
    </row>
    <row r="969" spans="1:4" x14ac:dyDescent="0.25">
      <c r="A969" t="s">
        <v>208</v>
      </c>
      <c r="B969" t="s">
        <v>209</v>
      </c>
      <c r="C969" t="s">
        <v>347</v>
      </c>
      <c r="D969">
        <v>97.02</v>
      </c>
    </row>
    <row r="970" spans="1:4" x14ac:dyDescent="0.25">
      <c r="A970" t="s">
        <v>208</v>
      </c>
      <c r="B970" t="s">
        <v>209</v>
      </c>
      <c r="C970" t="s">
        <v>348</v>
      </c>
      <c r="D970">
        <v>97.04</v>
      </c>
    </row>
    <row r="971" spans="1:4" x14ac:dyDescent="0.25">
      <c r="A971" t="s">
        <v>208</v>
      </c>
      <c r="B971" t="s">
        <v>209</v>
      </c>
      <c r="C971" t="s">
        <v>349</v>
      </c>
      <c r="D971">
        <v>97.07</v>
      </c>
    </row>
    <row r="972" spans="1:4" x14ac:dyDescent="0.25">
      <c r="A972" t="s">
        <v>208</v>
      </c>
      <c r="B972" t="s">
        <v>209</v>
      </c>
      <c r="C972" t="s">
        <v>350</v>
      </c>
      <c r="D972">
        <v>97.06</v>
      </c>
    </row>
    <row r="973" spans="1:4" x14ac:dyDescent="0.25">
      <c r="A973" t="s">
        <v>208</v>
      </c>
      <c r="B973" t="s">
        <v>209</v>
      </c>
      <c r="C973" t="s">
        <v>351</v>
      </c>
      <c r="D973">
        <v>97.06</v>
      </c>
    </row>
    <row r="974" spans="1:4" x14ac:dyDescent="0.25">
      <c r="A974" t="s">
        <v>208</v>
      </c>
      <c r="B974" t="s">
        <v>209</v>
      </c>
      <c r="C974" t="s">
        <v>352</v>
      </c>
      <c r="D974">
        <v>97.06</v>
      </c>
    </row>
    <row r="975" spans="1:4" x14ac:dyDescent="0.25">
      <c r="A975" t="s">
        <v>208</v>
      </c>
      <c r="B975" t="s">
        <v>209</v>
      </c>
      <c r="C975" t="s">
        <v>353</v>
      </c>
      <c r="D975">
        <v>97.06</v>
      </c>
    </row>
    <row r="976" spans="1:4" x14ac:dyDescent="0.25">
      <c r="A976" t="s">
        <v>208</v>
      </c>
      <c r="B976" t="s">
        <v>209</v>
      </c>
      <c r="C976" t="s">
        <v>354</v>
      </c>
      <c r="D976">
        <v>0</v>
      </c>
    </row>
    <row r="977" spans="1:4" x14ac:dyDescent="0.25">
      <c r="A977" t="s">
        <v>208</v>
      </c>
      <c r="B977" t="s">
        <v>209</v>
      </c>
      <c r="C977" t="s">
        <v>355</v>
      </c>
      <c r="D977">
        <v>0</v>
      </c>
    </row>
    <row r="978" spans="1:4" x14ac:dyDescent="0.25">
      <c r="A978" t="s">
        <v>208</v>
      </c>
      <c r="B978" t="s">
        <v>209</v>
      </c>
      <c r="C978" t="s">
        <v>356</v>
      </c>
      <c r="D978">
        <v>0</v>
      </c>
    </row>
    <row r="979" spans="1:4" x14ac:dyDescent="0.25">
      <c r="A979" t="s">
        <v>208</v>
      </c>
      <c r="B979" t="s">
        <v>209</v>
      </c>
      <c r="C979" t="s">
        <v>357</v>
      </c>
      <c r="D979">
        <v>0</v>
      </c>
    </row>
    <row r="980" spans="1:4" x14ac:dyDescent="0.25">
      <c r="A980" t="s">
        <v>208</v>
      </c>
      <c r="B980" t="s">
        <v>209</v>
      </c>
      <c r="C980" t="s">
        <v>358</v>
      </c>
      <c r="D980">
        <v>0</v>
      </c>
    </row>
    <row r="981" spans="1:4" x14ac:dyDescent="0.25">
      <c r="A981" t="s">
        <v>208</v>
      </c>
      <c r="B981" t="s">
        <v>209</v>
      </c>
      <c r="C981" t="s">
        <v>359</v>
      </c>
      <c r="D981">
        <v>0</v>
      </c>
    </row>
    <row r="982" spans="1:4" x14ac:dyDescent="0.25">
      <c r="A982" t="s">
        <v>208</v>
      </c>
      <c r="B982" t="s">
        <v>209</v>
      </c>
      <c r="C982" t="s">
        <v>360</v>
      </c>
      <c r="D982">
        <v>0</v>
      </c>
    </row>
    <row r="983" spans="1:4" x14ac:dyDescent="0.25">
      <c r="A983" t="s">
        <v>208</v>
      </c>
      <c r="B983" t="s">
        <v>209</v>
      </c>
      <c r="C983" t="s">
        <v>361</v>
      </c>
      <c r="D983">
        <v>0</v>
      </c>
    </row>
    <row r="984" spans="1:4" x14ac:dyDescent="0.25">
      <c r="A984" t="s">
        <v>208</v>
      </c>
      <c r="B984" t="s">
        <v>209</v>
      </c>
      <c r="C984" t="s">
        <v>362</v>
      </c>
      <c r="D984">
        <v>0</v>
      </c>
    </row>
    <row r="985" spans="1:4" x14ac:dyDescent="0.25">
      <c r="A985" t="s">
        <v>208</v>
      </c>
      <c r="B985" t="s">
        <v>209</v>
      </c>
      <c r="C985" t="s">
        <v>363</v>
      </c>
      <c r="D985">
        <v>0</v>
      </c>
    </row>
    <row r="986" spans="1:4" x14ac:dyDescent="0.25">
      <c r="A986" t="s">
        <v>208</v>
      </c>
      <c r="B986" t="s">
        <v>209</v>
      </c>
      <c r="C986" t="s">
        <v>364</v>
      </c>
      <c r="D986">
        <v>0</v>
      </c>
    </row>
    <row r="987" spans="1:4" x14ac:dyDescent="0.25">
      <c r="A987" t="s">
        <v>208</v>
      </c>
      <c r="B987" t="s">
        <v>209</v>
      </c>
      <c r="C987" t="s">
        <v>365</v>
      </c>
      <c r="D987">
        <v>0</v>
      </c>
    </row>
    <row r="988" spans="1:4" x14ac:dyDescent="0.25">
      <c r="A988" t="s">
        <v>210</v>
      </c>
      <c r="B988" t="s">
        <v>211</v>
      </c>
      <c r="C988" t="s">
        <v>241</v>
      </c>
      <c r="D988">
        <v>99</v>
      </c>
    </row>
    <row r="989" spans="1:4" x14ac:dyDescent="0.25">
      <c r="A989" t="s">
        <v>210</v>
      </c>
      <c r="B989" t="s">
        <v>211</v>
      </c>
      <c r="C989" t="s">
        <v>242</v>
      </c>
      <c r="D989">
        <v>99</v>
      </c>
    </row>
    <row r="990" spans="1:4" x14ac:dyDescent="0.25">
      <c r="A990" t="s">
        <v>210</v>
      </c>
      <c r="B990" t="s">
        <v>211</v>
      </c>
      <c r="C990" t="s">
        <v>243</v>
      </c>
      <c r="D990">
        <v>99</v>
      </c>
    </row>
    <row r="991" spans="1:4" x14ac:dyDescent="0.25">
      <c r="A991" t="s">
        <v>210</v>
      </c>
      <c r="B991" t="s">
        <v>211</v>
      </c>
      <c r="C991" t="s">
        <v>244</v>
      </c>
      <c r="D991">
        <v>99</v>
      </c>
    </row>
    <row r="992" spans="1:4" x14ac:dyDescent="0.25">
      <c r="A992" t="s">
        <v>210</v>
      </c>
      <c r="B992" t="s">
        <v>211</v>
      </c>
      <c r="C992" t="s">
        <v>245</v>
      </c>
      <c r="D992">
        <v>99</v>
      </c>
    </row>
    <row r="993" spans="1:4" x14ac:dyDescent="0.25">
      <c r="A993" t="s">
        <v>210</v>
      </c>
      <c r="B993" t="s">
        <v>211</v>
      </c>
      <c r="C993" t="s">
        <v>246</v>
      </c>
      <c r="D993">
        <v>99.17</v>
      </c>
    </row>
    <row r="994" spans="1:4" x14ac:dyDescent="0.25">
      <c r="A994" t="s">
        <v>210</v>
      </c>
      <c r="B994" t="s">
        <v>211</v>
      </c>
      <c r="C994" t="s">
        <v>247</v>
      </c>
      <c r="D994">
        <v>99.29</v>
      </c>
    </row>
    <row r="995" spans="1:4" x14ac:dyDescent="0.25">
      <c r="A995" t="s">
        <v>210</v>
      </c>
      <c r="B995" t="s">
        <v>211</v>
      </c>
      <c r="C995" t="s">
        <v>248</v>
      </c>
      <c r="D995">
        <v>99.38</v>
      </c>
    </row>
    <row r="996" spans="1:4" x14ac:dyDescent="0.25">
      <c r="A996" t="s">
        <v>210</v>
      </c>
      <c r="B996" t="s">
        <v>211</v>
      </c>
      <c r="C996" t="s">
        <v>249</v>
      </c>
      <c r="D996">
        <v>99.33</v>
      </c>
    </row>
    <row r="997" spans="1:4" x14ac:dyDescent="0.25">
      <c r="A997" t="s">
        <v>210</v>
      </c>
      <c r="B997" t="s">
        <v>211</v>
      </c>
      <c r="C997" t="s">
        <v>250</v>
      </c>
      <c r="D997">
        <v>99.2</v>
      </c>
    </row>
    <row r="998" spans="1:4" x14ac:dyDescent="0.25">
      <c r="A998" t="s">
        <v>210</v>
      </c>
      <c r="B998" t="s">
        <v>211</v>
      </c>
      <c r="C998" t="s">
        <v>251</v>
      </c>
      <c r="D998">
        <v>99.09</v>
      </c>
    </row>
    <row r="999" spans="1:4" x14ac:dyDescent="0.25">
      <c r="A999" t="s">
        <v>210</v>
      </c>
      <c r="B999" t="s">
        <v>211</v>
      </c>
      <c r="C999" t="s">
        <v>252</v>
      </c>
      <c r="D999">
        <v>99</v>
      </c>
    </row>
    <row r="1000" spans="1:4" x14ac:dyDescent="0.25">
      <c r="A1000" t="s">
        <v>210</v>
      </c>
      <c r="B1000" t="s">
        <v>211</v>
      </c>
      <c r="C1000" t="s">
        <v>253</v>
      </c>
      <c r="D1000">
        <v>98.92</v>
      </c>
    </row>
    <row r="1001" spans="1:4" x14ac:dyDescent="0.25">
      <c r="A1001" t="s">
        <v>210</v>
      </c>
      <c r="B1001" t="s">
        <v>211</v>
      </c>
      <c r="C1001" t="s">
        <v>254</v>
      </c>
      <c r="D1001">
        <v>98.86</v>
      </c>
    </row>
    <row r="1002" spans="1:4" x14ac:dyDescent="0.25">
      <c r="A1002" t="s">
        <v>210</v>
      </c>
      <c r="B1002" t="s">
        <v>211</v>
      </c>
      <c r="C1002" t="s">
        <v>255</v>
      </c>
      <c r="D1002">
        <v>98.87</v>
      </c>
    </row>
    <row r="1003" spans="1:4" x14ac:dyDescent="0.25">
      <c r="A1003" t="s">
        <v>210</v>
      </c>
      <c r="B1003" t="s">
        <v>211</v>
      </c>
      <c r="C1003" t="s">
        <v>256</v>
      </c>
      <c r="D1003">
        <v>98.88</v>
      </c>
    </row>
    <row r="1004" spans="1:4" x14ac:dyDescent="0.25">
      <c r="A1004" t="s">
        <v>210</v>
      </c>
      <c r="B1004" t="s">
        <v>211</v>
      </c>
      <c r="C1004" t="s">
        <v>257</v>
      </c>
      <c r="D1004">
        <v>98.94</v>
      </c>
    </row>
    <row r="1005" spans="1:4" x14ac:dyDescent="0.25">
      <c r="A1005" t="s">
        <v>210</v>
      </c>
      <c r="B1005" t="s">
        <v>211</v>
      </c>
      <c r="C1005" t="s">
        <v>258</v>
      </c>
      <c r="D1005">
        <v>99</v>
      </c>
    </row>
    <row r="1006" spans="1:4" x14ac:dyDescent="0.25">
      <c r="A1006" t="s">
        <v>210</v>
      </c>
      <c r="B1006" t="s">
        <v>211</v>
      </c>
      <c r="C1006" t="s">
        <v>259</v>
      </c>
      <c r="D1006">
        <v>99.05</v>
      </c>
    </row>
    <row r="1007" spans="1:4" x14ac:dyDescent="0.25">
      <c r="A1007" t="s">
        <v>210</v>
      </c>
      <c r="B1007" t="s">
        <v>211</v>
      </c>
      <c r="C1007" t="s">
        <v>260</v>
      </c>
      <c r="D1007">
        <v>99.1</v>
      </c>
    </row>
    <row r="1008" spans="1:4" x14ac:dyDescent="0.25">
      <c r="A1008" t="s">
        <v>210</v>
      </c>
      <c r="B1008" t="s">
        <v>211</v>
      </c>
      <c r="C1008" t="s">
        <v>261</v>
      </c>
      <c r="D1008">
        <v>99.14</v>
      </c>
    </row>
    <row r="1009" spans="1:4" x14ac:dyDescent="0.25">
      <c r="A1009" t="s">
        <v>210</v>
      </c>
      <c r="B1009" t="s">
        <v>211</v>
      </c>
      <c r="C1009" t="s">
        <v>262</v>
      </c>
      <c r="D1009">
        <v>99.18</v>
      </c>
    </row>
    <row r="1010" spans="1:4" x14ac:dyDescent="0.25">
      <c r="A1010" t="s">
        <v>210</v>
      </c>
      <c r="B1010" t="s">
        <v>211</v>
      </c>
      <c r="C1010" t="s">
        <v>263</v>
      </c>
      <c r="D1010">
        <v>99.22</v>
      </c>
    </row>
    <row r="1011" spans="1:4" x14ac:dyDescent="0.25">
      <c r="A1011" t="s">
        <v>210</v>
      </c>
      <c r="B1011" t="s">
        <v>211</v>
      </c>
      <c r="C1011" t="s">
        <v>264</v>
      </c>
      <c r="D1011">
        <v>99.25</v>
      </c>
    </row>
    <row r="1012" spans="1:4" x14ac:dyDescent="0.25">
      <c r="A1012" t="s">
        <v>210</v>
      </c>
      <c r="B1012" t="s">
        <v>211</v>
      </c>
      <c r="C1012" t="s">
        <v>265</v>
      </c>
      <c r="D1012">
        <v>99.24</v>
      </c>
    </row>
    <row r="1013" spans="1:4" x14ac:dyDescent="0.25">
      <c r="A1013" t="s">
        <v>210</v>
      </c>
      <c r="B1013" t="s">
        <v>211</v>
      </c>
      <c r="C1013" t="s">
        <v>266</v>
      </c>
      <c r="D1013">
        <v>99.19</v>
      </c>
    </row>
    <row r="1014" spans="1:4" x14ac:dyDescent="0.25">
      <c r="A1014" t="s">
        <v>210</v>
      </c>
      <c r="B1014" t="s">
        <v>211</v>
      </c>
      <c r="C1014" t="s">
        <v>267</v>
      </c>
      <c r="D1014">
        <v>99.15</v>
      </c>
    </row>
    <row r="1015" spans="1:4" x14ac:dyDescent="0.25">
      <c r="A1015" t="s">
        <v>210</v>
      </c>
      <c r="B1015" t="s">
        <v>211</v>
      </c>
      <c r="C1015" t="s">
        <v>239</v>
      </c>
      <c r="D1015">
        <v>99.11</v>
      </c>
    </row>
    <row r="1016" spans="1:4" x14ac:dyDescent="0.25">
      <c r="A1016" t="s">
        <v>210</v>
      </c>
      <c r="B1016" t="s">
        <v>211</v>
      </c>
      <c r="C1016" t="s">
        <v>240</v>
      </c>
      <c r="D1016">
        <v>99.07</v>
      </c>
    </row>
    <row r="1017" spans="1:4" x14ac:dyDescent="0.25">
      <c r="A1017" t="s">
        <v>210</v>
      </c>
      <c r="B1017" t="s">
        <v>211</v>
      </c>
      <c r="C1017" t="s">
        <v>333</v>
      </c>
      <c r="D1017">
        <v>99.07</v>
      </c>
    </row>
    <row r="1018" spans="1:4" x14ac:dyDescent="0.25">
      <c r="A1018" t="s">
        <v>210</v>
      </c>
      <c r="B1018" t="s">
        <v>211</v>
      </c>
      <c r="C1018" t="s">
        <v>334</v>
      </c>
      <c r="D1018">
        <v>99.1</v>
      </c>
    </row>
    <row r="1019" spans="1:4" x14ac:dyDescent="0.25">
      <c r="A1019" t="s">
        <v>210</v>
      </c>
      <c r="B1019" t="s">
        <v>211</v>
      </c>
      <c r="C1019" t="s">
        <v>335</v>
      </c>
      <c r="D1019">
        <v>99.09</v>
      </c>
    </row>
    <row r="1020" spans="1:4" x14ac:dyDescent="0.25">
      <c r="A1020" t="s">
        <v>210</v>
      </c>
      <c r="B1020" t="s">
        <v>211</v>
      </c>
      <c r="C1020" t="s">
        <v>336</v>
      </c>
      <c r="D1020">
        <v>99.09</v>
      </c>
    </row>
    <row r="1021" spans="1:4" x14ac:dyDescent="0.25">
      <c r="A1021" t="s">
        <v>210</v>
      </c>
      <c r="B1021" t="s">
        <v>211</v>
      </c>
      <c r="C1021" t="s">
        <v>337</v>
      </c>
      <c r="D1021">
        <v>99.06</v>
      </c>
    </row>
    <row r="1022" spans="1:4" x14ac:dyDescent="0.25">
      <c r="A1022" t="s">
        <v>210</v>
      </c>
      <c r="B1022" t="s">
        <v>211</v>
      </c>
      <c r="C1022" t="s">
        <v>338</v>
      </c>
      <c r="D1022">
        <v>99.03</v>
      </c>
    </row>
    <row r="1023" spans="1:4" x14ac:dyDescent="0.25">
      <c r="A1023" t="s">
        <v>210</v>
      </c>
      <c r="B1023" t="s">
        <v>211</v>
      </c>
      <c r="C1023" t="s">
        <v>339</v>
      </c>
      <c r="D1023">
        <v>99</v>
      </c>
    </row>
    <row r="1024" spans="1:4" x14ac:dyDescent="0.25">
      <c r="A1024" t="s">
        <v>210</v>
      </c>
      <c r="B1024" t="s">
        <v>211</v>
      </c>
      <c r="C1024" t="s">
        <v>340</v>
      </c>
      <c r="D1024">
        <v>98.97</v>
      </c>
    </row>
    <row r="1025" spans="1:4" x14ac:dyDescent="0.25">
      <c r="A1025" t="s">
        <v>210</v>
      </c>
      <c r="B1025" t="s">
        <v>211</v>
      </c>
      <c r="C1025" t="s">
        <v>341</v>
      </c>
      <c r="D1025">
        <v>98.95</v>
      </c>
    </row>
    <row r="1026" spans="1:4" x14ac:dyDescent="0.25">
      <c r="A1026" t="s">
        <v>210</v>
      </c>
      <c r="B1026" t="s">
        <v>211</v>
      </c>
      <c r="C1026" t="s">
        <v>342</v>
      </c>
      <c r="D1026">
        <v>98.92</v>
      </c>
    </row>
    <row r="1027" spans="1:4" x14ac:dyDescent="0.25">
      <c r="A1027" t="s">
        <v>210</v>
      </c>
      <c r="B1027" t="s">
        <v>211</v>
      </c>
      <c r="C1027" t="s">
        <v>343</v>
      </c>
      <c r="D1027">
        <v>98.9</v>
      </c>
    </row>
    <row r="1028" spans="1:4" x14ac:dyDescent="0.25">
      <c r="A1028" t="s">
        <v>210</v>
      </c>
      <c r="B1028" t="s">
        <v>211</v>
      </c>
      <c r="C1028" t="s">
        <v>344</v>
      </c>
      <c r="D1028">
        <v>98.88</v>
      </c>
    </row>
    <row r="1029" spans="1:4" x14ac:dyDescent="0.25">
      <c r="A1029" t="s">
        <v>210</v>
      </c>
      <c r="B1029" t="s">
        <v>211</v>
      </c>
      <c r="C1029" t="s">
        <v>345</v>
      </c>
      <c r="D1029">
        <v>98.86</v>
      </c>
    </row>
    <row r="1030" spans="1:4" x14ac:dyDescent="0.25">
      <c r="A1030" t="s">
        <v>210</v>
      </c>
      <c r="B1030" t="s">
        <v>211</v>
      </c>
      <c r="C1030" t="s">
        <v>346</v>
      </c>
      <c r="D1030">
        <v>98.84</v>
      </c>
    </row>
    <row r="1031" spans="1:4" x14ac:dyDescent="0.25">
      <c r="A1031" t="s">
        <v>210</v>
      </c>
      <c r="B1031" t="s">
        <v>211</v>
      </c>
      <c r="C1031" t="s">
        <v>347</v>
      </c>
      <c r="D1031">
        <v>98.82</v>
      </c>
    </row>
    <row r="1032" spans="1:4" x14ac:dyDescent="0.25">
      <c r="A1032" t="s">
        <v>210</v>
      </c>
      <c r="B1032" t="s">
        <v>211</v>
      </c>
      <c r="C1032" t="s">
        <v>348</v>
      </c>
      <c r="D1032">
        <v>98.8</v>
      </c>
    </row>
    <row r="1033" spans="1:4" x14ac:dyDescent="0.25">
      <c r="A1033" t="s">
        <v>210</v>
      </c>
      <c r="B1033" t="s">
        <v>211</v>
      </c>
      <c r="C1033" t="s">
        <v>349</v>
      </c>
      <c r="D1033">
        <v>98.8</v>
      </c>
    </row>
    <row r="1034" spans="1:4" x14ac:dyDescent="0.25">
      <c r="A1034" t="s">
        <v>210</v>
      </c>
      <c r="B1034" t="s">
        <v>211</v>
      </c>
      <c r="C1034" t="s">
        <v>350</v>
      </c>
      <c r="D1034">
        <v>98.81</v>
      </c>
    </row>
    <row r="1035" spans="1:4" x14ac:dyDescent="0.25">
      <c r="A1035" t="s">
        <v>210</v>
      </c>
      <c r="B1035" t="s">
        <v>211</v>
      </c>
      <c r="C1035" t="s">
        <v>351</v>
      </c>
      <c r="D1035">
        <v>98.81</v>
      </c>
    </row>
    <row r="1036" spans="1:4" x14ac:dyDescent="0.25">
      <c r="A1036" t="s">
        <v>210</v>
      </c>
      <c r="B1036" t="s">
        <v>211</v>
      </c>
      <c r="C1036" t="s">
        <v>352</v>
      </c>
      <c r="D1036">
        <v>98.82</v>
      </c>
    </row>
    <row r="1037" spans="1:4" x14ac:dyDescent="0.25">
      <c r="A1037" t="s">
        <v>210</v>
      </c>
      <c r="B1037" t="s">
        <v>211</v>
      </c>
      <c r="C1037" t="s">
        <v>353</v>
      </c>
      <c r="D1037">
        <v>98.8</v>
      </c>
    </row>
    <row r="1038" spans="1:4" x14ac:dyDescent="0.25">
      <c r="A1038" t="s">
        <v>210</v>
      </c>
      <c r="B1038" t="s">
        <v>211</v>
      </c>
      <c r="C1038" t="s">
        <v>354</v>
      </c>
      <c r="D1038">
        <v>0</v>
      </c>
    </row>
    <row r="1039" spans="1:4" x14ac:dyDescent="0.25">
      <c r="A1039" t="s">
        <v>210</v>
      </c>
      <c r="B1039" t="s">
        <v>211</v>
      </c>
      <c r="C1039" t="s">
        <v>355</v>
      </c>
      <c r="D1039">
        <v>0</v>
      </c>
    </row>
    <row r="1040" spans="1:4" x14ac:dyDescent="0.25">
      <c r="A1040" t="s">
        <v>210</v>
      </c>
      <c r="B1040" t="s">
        <v>211</v>
      </c>
      <c r="C1040" t="s">
        <v>356</v>
      </c>
      <c r="D1040">
        <v>0</v>
      </c>
    </row>
    <row r="1041" spans="1:4" x14ac:dyDescent="0.25">
      <c r="A1041" t="s">
        <v>210</v>
      </c>
      <c r="B1041" t="s">
        <v>211</v>
      </c>
      <c r="C1041" t="s">
        <v>357</v>
      </c>
      <c r="D1041">
        <v>0</v>
      </c>
    </row>
    <row r="1042" spans="1:4" x14ac:dyDescent="0.25">
      <c r="A1042" t="s">
        <v>210</v>
      </c>
      <c r="B1042" t="s">
        <v>211</v>
      </c>
      <c r="C1042" t="s">
        <v>358</v>
      </c>
      <c r="D1042">
        <v>0</v>
      </c>
    </row>
    <row r="1043" spans="1:4" x14ac:dyDescent="0.25">
      <c r="A1043" t="s">
        <v>210</v>
      </c>
      <c r="B1043" t="s">
        <v>211</v>
      </c>
      <c r="C1043" t="s">
        <v>359</v>
      </c>
      <c r="D1043">
        <v>0</v>
      </c>
    </row>
    <row r="1044" spans="1:4" x14ac:dyDescent="0.25">
      <c r="A1044" t="s">
        <v>210</v>
      </c>
      <c r="B1044" t="s">
        <v>211</v>
      </c>
      <c r="C1044" t="s">
        <v>360</v>
      </c>
      <c r="D1044">
        <v>0</v>
      </c>
    </row>
    <row r="1045" spans="1:4" x14ac:dyDescent="0.25">
      <c r="A1045" t="s">
        <v>210</v>
      </c>
      <c r="B1045" t="s">
        <v>211</v>
      </c>
      <c r="C1045" t="s">
        <v>361</v>
      </c>
      <c r="D1045">
        <v>0</v>
      </c>
    </row>
    <row r="1046" spans="1:4" x14ac:dyDescent="0.25">
      <c r="A1046" t="s">
        <v>210</v>
      </c>
      <c r="B1046" t="s">
        <v>211</v>
      </c>
      <c r="C1046" t="s">
        <v>362</v>
      </c>
      <c r="D1046">
        <v>0</v>
      </c>
    </row>
    <row r="1047" spans="1:4" x14ac:dyDescent="0.25">
      <c r="A1047" t="s">
        <v>210</v>
      </c>
      <c r="B1047" t="s">
        <v>211</v>
      </c>
      <c r="C1047" t="s">
        <v>363</v>
      </c>
      <c r="D1047">
        <v>0</v>
      </c>
    </row>
    <row r="1048" spans="1:4" x14ac:dyDescent="0.25">
      <c r="A1048" t="s">
        <v>210</v>
      </c>
      <c r="B1048" t="s">
        <v>211</v>
      </c>
      <c r="C1048" t="s">
        <v>364</v>
      </c>
      <c r="D1048">
        <v>0</v>
      </c>
    </row>
    <row r="1049" spans="1:4" x14ac:dyDescent="0.25">
      <c r="A1049" t="s">
        <v>210</v>
      </c>
      <c r="B1049" t="s">
        <v>211</v>
      </c>
      <c r="C1049" t="s">
        <v>365</v>
      </c>
      <c r="D1049">
        <v>0</v>
      </c>
    </row>
    <row r="1050" spans="1:4" x14ac:dyDescent="0.25">
      <c r="A1050" t="s">
        <v>212</v>
      </c>
      <c r="B1050" t="s">
        <v>213</v>
      </c>
      <c r="C1050" t="s">
        <v>241</v>
      </c>
      <c r="D1050">
        <v>95</v>
      </c>
    </row>
    <row r="1051" spans="1:4" x14ac:dyDescent="0.25">
      <c r="A1051" t="s">
        <v>212</v>
      </c>
      <c r="B1051" t="s">
        <v>213</v>
      </c>
      <c r="C1051" t="s">
        <v>242</v>
      </c>
      <c r="D1051">
        <v>95</v>
      </c>
    </row>
    <row r="1052" spans="1:4" x14ac:dyDescent="0.25">
      <c r="A1052" t="s">
        <v>212</v>
      </c>
      <c r="B1052" t="s">
        <v>213</v>
      </c>
      <c r="C1052" t="s">
        <v>243</v>
      </c>
      <c r="D1052">
        <v>95</v>
      </c>
    </row>
    <row r="1053" spans="1:4" x14ac:dyDescent="0.25">
      <c r="A1053" t="s">
        <v>212</v>
      </c>
      <c r="B1053" t="s">
        <v>213</v>
      </c>
      <c r="C1053" t="s">
        <v>244</v>
      </c>
      <c r="D1053">
        <v>95</v>
      </c>
    </row>
    <row r="1054" spans="1:4" x14ac:dyDescent="0.25">
      <c r="A1054" t="s">
        <v>212</v>
      </c>
      <c r="B1054" t="s">
        <v>213</v>
      </c>
      <c r="C1054" t="s">
        <v>245</v>
      </c>
      <c r="D1054">
        <v>95</v>
      </c>
    </row>
    <row r="1055" spans="1:4" x14ac:dyDescent="0.25">
      <c r="A1055" t="s">
        <v>212</v>
      </c>
      <c r="B1055" t="s">
        <v>213</v>
      </c>
      <c r="C1055" t="s">
        <v>246</v>
      </c>
      <c r="D1055">
        <v>95</v>
      </c>
    </row>
    <row r="1056" spans="1:4" x14ac:dyDescent="0.25">
      <c r="A1056" t="s">
        <v>212</v>
      </c>
      <c r="B1056" t="s">
        <v>213</v>
      </c>
      <c r="C1056" t="s">
        <v>247</v>
      </c>
      <c r="D1056">
        <v>95</v>
      </c>
    </row>
    <row r="1057" spans="1:4" x14ac:dyDescent="0.25">
      <c r="A1057" t="s">
        <v>212</v>
      </c>
      <c r="B1057" t="s">
        <v>213</v>
      </c>
      <c r="C1057" t="s">
        <v>248</v>
      </c>
      <c r="D1057">
        <v>95</v>
      </c>
    </row>
    <row r="1058" spans="1:4" x14ac:dyDescent="0.25">
      <c r="A1058" t="s">
        <v>212</v>
      </c>
      <c r="B1058" t="s">
        <v>213</v>
      </c>
      <c r="C1058" t="s">
        <v>249</v>
      </c>
      <c r="D1058">
        <v>95.11</v>
      </c>
    </row>
    <row r="1059" spans="1:4" x14ac:dyDescent="0.25">
      <c r="A1059" t="s">
        <v>212</v>
      </c>
      <c r="B1059" t="s">
        <v>213</v>
      </c>
      <c r="C1059" t="s">
        <v>250</v>
      </c>
      <c r="D1059">
        <v>95.2</v>
      </c>
    </row>
    <row r="1060" spans="1:4" x14ac:dyDescent="0.25">
      <c r="A1060" t="s">
        <v>212</v>
      </c>
      <c r="B1060" t="s">
        <v>213</v>
      </c>
      <c r="C1060" t="s">
        <v>251</v>
      </c>
      <c r="D1060">
        <v>95.27</v>
      </c>
    </row>
    <row r="1061" spans="1:4" x14ac:dyDescent="0.25">
      <c r="A1061" t="s">
        <v>212</v>
      </c>
      <c r="B1061" t="s">
        <v>213</v>
      </c>
      <c r="C1061" t="s">
        <v>252</v>
      </c>
      <c r="D1061">
        <v>95.33</v>
      </c>
    </row>
    <row r="1062" spans="1:4" x14ac:dyDescent="0.25">
      <c r="A1062" t="s">
        <v>212</v>
      </c>
      <c r="B1062" t="s">
        <v>213</v>
      </c>
      <c r="C1062" t="s">
        <v>253</v>
      </c>
      <c r="D1062">
        <v>95.31</v>
      </c>
    </row>
    <row r="1063" spans="1:4" x14ac:dyDescent="0.25">
      <c r="A1063" t="s">
        <v>212</v>
      </c>
      <c r="B1063" t="s">
        <v>213</v>
      </c>
      <c r="C1063" t="s">
        <v>254</v>
      </c>
      <c r="D1063">
        <v>95.21</v>
      </c>
    </row>
    <row r="1064" spans="1:4" x14ac:dyDescent="0.25">
      <c r="A1064" t="s">
        <v>212</v>
      </c>
      <c r="B1064" t="s">
        <v>213</v>
      </c>
      <c r="C1064" t="s">
        <v>255</v>
      </c>
      <c r="D1064">
        <v>95.13</v>
      </c>
    </row>
    <row r="1065" spans="1:4" x14ac:dyDescent="0.25">
      <c r="A1065" t="s">
        <v>212</v>
      </c>
      <c r="B1065" t="s">
        <v>213</v>
      </c>
      <c r="C1065" t="s">
        <v>256</v>
      </c>
      <c r="D1065">
        <v>95.06</v>
      </c>
    </row>
    <row r="1066" spans="1:4" x14ac:dyDescent="0.25">
      <c r="A1066" t="s">
        <v>212</v>
      </c>
      <c r="B1066" t="s">
        <v>213</v>
      </c>
      <c r="C1066" t="s">
        <v>257</v>
      </c>
      <c r="D1066">
        <v>95</v>
      </c>
    </row>
    <row r="1067" spans="1:4" x14ac:dyDescent="0.25">
      <c r="A1067" t="s">
        <v>212</v>
      </c>
      <c r="B1067" t="s">
        <v>213</v>
      </c>
      <c r="C1067" t="s">
        <v>258</v>
      </c>
      <c r="D1067">
        <v>94.78</v>
      </c>
    </row>
    <row r="1068" spans="1:4" x14ac:dyDescent="0.25">
      <c r="A1068" t="s">
        <v>212</v>
      </c>
      <c r="B1068" t="s">
        <v>213</v>
      </c>
      <c r="C1068" t="s">
        <v>259</v>
      </c>
      <c r="D1068">
        <v>94.63</v>
      </c>
    </row>
    <row r="1069" spans="1:4" x14ac:dyDescent="0.25">
      <c r="A1069" t="s">
        <v>212</v>
      </c>
      <c r="B1069" t="s">
        <v>213</v>
      </c>
      <c r="C1069" t="s">
        <v>260</v>
      </c>
      <c r="D1069">
        <v>94.5</v>
      </c>
    </row>
    <row r="1070" spans="1:4" x14ac:dyDescent="0.25">
      <c r="A1070" t="s">
        <v>212</v>
      </c>
      <c r="B1070" t="s">
        <v>213</v>
      </c>
      <c r="C1070" t="s">
        <v>261</v>
      </c>
      <c r="D1070">
        <v>94.38</v>
      </c>
    </row>
    <row r="1071" spans="1:4" x14ac:dyDescent="0.25">
      <c r="A1071" t="s">
        <v>212</v>
      </c>
      <c r="B1071" t="s">
        <v>213</v>
      </c>
      <c r="C1071" t="s">
        <v>262</v>
      </c>
      <c r="D1071">
        <v>94.23</v>
      </c>
    </row>
    <row r="1072" spans="1:4" x14ac:dyDescent="0.25">
      <c r="A1072" t="s">
        <v>212</v>
      </c>
      <c r="B1072" t="s">
        <v>213</v>
      </c>
      <c r="C1072" t="s">
        <v>263</v>
      </c>
      <c r="D1072">
        <v>94.09</v>
      </c>
    </row>
    <row r="1073" spans="1:4" x14ac:dyDescent="0.25">
      <c r="A1073" t="s">
        <v>212</v>
      </c>
      <c r="B1073" t="s">
        <v>213</v>
      </c>
      <c r="C1073" t="s">
        <v>264</v>
      </c>
      <c r="D1073">
        <v>93.96</v>
      </c>
    </row>
    <row r="1074" spans="1:4" x14ac:dyDescent="0.25">
      <c r="A1074" t="s">
        <v>212</v>
      </c>
      <c r="B1074" t="s">
        <v>213</v>
      </c>
      <c r="C1074" t="s">
        <v>265</v>
      </c>
      <c r="D1074">
        <v>93.88</v>
      </c>
    </row>
    <row r="1075" spans="1:4" x14ac:dyDescent="0.25">
      <c r="A1075" t="s">
        <v>212</v>
      </c>
      <c r="B1075" t="s">
        <v>213</v>
      </c>
      <c r="C1075" t="s">
        <v>266</v>
      </c>
      <c r="D1075">
        <v>93.81</v>
      </c>
    </row>
    <row r="1076" spans="1:4" x14ac:dyDescent="0.25">
      <c r="A1076" t="s">
        <v>212</v>
      </c>
      <c r="B1076" t="s">
        <v>213</v>
      </c>
      <c r="C1076" t="s">
        <v>267</v>
      </c>
      <c r="D1076">
        <v>93.81</v>
      </c>
    </row>
    <row r="1077" spans="1:4" x14ac:dyDescent="0.25">
      <c r="A1077" t="s">
        <v>212</v>
      </c>
      <c r="B1077" t="s">
        <v>213</v>
      </c>
      <c r="C1077" t="s">
        <v>239</v>
      </c>
      <c r="D1077">
        <v>93.86</v>
      </c>
    </row>
    <row r="1078" spans="1:4" x14ac:dyDescent="0.25">
      <c r="A1078" t="s">
        <v>212</v>
      </c>
      <c r="B1078" t="s">
        <v>213</v>
      </c>
      <c r="C1078" t="s">
        <v>240</v>
      </c>
      <c r="D1078">
        <v>93.93</v>
      </c>
    </row>
    <row r="1079" spans="1:4" x14ac:dyDescent="0.25">
      <c r="A1079" t="s">
        <v>212</v>
      </c>
      <c r="B1079" t="s">
        <v>213</v>
      </c>
      <c r="C1079" t="s">
        <v>333</v>
      </c>
      <c r="D1079">
        <v>94</v>
      </c>
    </row>
    <row r="1080" spans="1:4" x14ac:dyDescent="0.25">
      <c r="A1080" t="s">
        <v>212</v>
      </c>
      <c r="B1080" t="s">
        <v>213</v>
      </c>
      <c r="C1080" t="s">
        <v>334</v>
      </c>
      <c r="D1080">
        <v>94.06</v>
      </c>
    </row>
    <row r="1081" spans="1:4" x14ac:dyDescent="0.25">
      <c r="A1081" t="s">
        <v>212</v>
      </c>
      <c r="B1081" t="s">
        <v>213</v>
      </c>
      <c r="C1081" t="s">
        <v>335</v>
      </c>
      <c r="D1081">
        <v>94.12</v>
      </c>
    </row>
    <row r="1082" spans="1:4" x14ac:dyDescent="0.25">
      <c r="A1082" t="s">
        <v>212</v>
      </c>
      <c r="B1082" t="s">
        <v>213</v>
      </c>
      <c r="C1082" t="s">
        <v>336</v>
      </c>
      <c r="D1082">
        <v>94.21</v>
      </c>
    </row>
    <row r="1083" spans="1:4" x14ac:dyDescent="0.25">
      <c r="A1083" t="s">
        <v>212</v>
      </c>
      <c r="B1083" t="s">
        <v>213</v>
      </c>
      <c r="C1083" t="s">
        <v>337</v>
      </c>
      <c r="D1083">
        <v>94.32</v>
      </c>
    </row>
    <row r="1084" spans="1:4" x14ac:dyDescent="0.25">
      <c r="A1084" t="s">
        <v>212</v>
      </c>
      <c r="B1084" t="s">
        <v>213</v>
      </c>
      <c r="C1084" t="s">
        <v>338</v>
      </c>
      <c r="D1084">
        <v>94.43</v>
      </c>
    </row>
    <row r="1085" spans="1:4" x14ac:dyDescent="0.25">
      <c r="A1085" t="s">
        <v>212</v>
      </c>
      <c r="B1085" t="s">
        <v>213</v>
      </c>
      <c r="C1085" t="s">
        <v>339</v>
      </c>
      <c r="D1085">
        <v>94.56</v>
      </c>
    </row>
    <row r="1086" spans="1:4" x14ac:dyDescent="0.25">
      <c r="A1086" t="s">
        <v>212</v>
      </c>
      <c r="B1086" t="s">
        <v>213</v>
      </c>
      <c r="C1086" t="s">
        <v>340</v>
      </c>
      <c r="D1086">
        <v>94.68</v>
      </c>
    </row>
    <row r="1087" spans="1:4" x14ac:dyDescent="0.25">
      <c r="A1087" t="s">
        <v>212</v>
      </c>
      <c r="B1087" t="s">
        <v>213</v>
      </c>
      <c r="C1087" t="s">
        <v>341</v>
      </c>
      <c r="D1087">
        <v>94.79</v>
      </c>
    </row>
    <row r="1088" spans="1:4" x14ac:dyDescent="0.25">
      <c r="A1088" t="s">
        <v>212</v>
      </c>
      <c r="B1088" t="s">
        <v>213</v>
      </c>
      <c r="C1088" t="s">
        <v>342</v>
      </c>
      <c r="D1088">
        <v>94.9</v>
      </c>
    </row>
    <row r="1089" spans="1:4" x14ac:dyDescent="0.25">
      <c r="A1089" t="s">
        <v>212</v>
      </c>
      <c r="B1089" t="s">
        <v>213</v>
      </c>
      <c r="C1089" t="s">
        <v>343</v>
      </c>
      <c r="D1089">
        <v>95</v>
      </c>
    </row>
    <row r="1090" spans="1:4" x14ac:dyDescent="0.25">
      <c r="A1090" t="s">
        <v>212</v>
      </c>
      <c r="B1090" t="s">
        <v>213</v>
      </c>
      <c r="C1090" t="s">
        <v>344</v>
      </c>
      <c r="D1090">
        <v>95.1</v>
      </c>
    </row>
    <row r="1091" spans="1:4" x14ac:dyDescent="0.25">
      <c r="A1091" t="s">
        <v>212</v>
      </c>
      <c r="B1091" t="s">
        <v>213</v>
      </c>
      <c r="C1091" t="s">
        <v>345</v>
      </c>
      <c r="D1091">
        <v>95.19</v>
      </c>
    </row>
    <row r="1092" spans="1:4" x14ac:dyDescent="0.25">
      <c r="A1092" t="s">
        <v>212</v>
      </c>
      <c r="B1092" t="s">
        <v>213</v>
      </c>
      <c r="C1092" t="s">
        <v>346</v>
      </c>
      <c r="D1092">
        <v>95.28</v>
      </c>
    </row>
    <row r="1093" spans="1:4" x14ac:dyDescent="0.25">
      <c r="A1093" t="s">
        <v>212</v>
      </c>
      <c r="B1093" t="s">
        <v>213</v>
      </c>
      <c r="C1093" t="s">
        <v>347</v>
      </c>
      <c r="D1093">
        <v>95.36</v>
      </c>
    </row>
    <row r="1094" spans="1:4" x14ac:dyDescent="0.25">
      <c r="A1094" t="s">
        <v>212</v>
      </c>
      <c r="B1094" t="s">
        <v>213</v>
      </c>
      <c r="C1094" t="s">
        <v>348</v>
      </c>
      <c r="D1094">
        <v>95.42</v>
      </c>
    </row>
    <row r="1095" spans="1:4" x14ac:dyDescent="0.25">
      <c r="A1095" t="s">
        <v>212</v>
      </c>
      <c r="B1095" t="s">
        <v>213</v>
      </c>
      <c r="C1095" t="s">
        <v>349</v>
      </c>
      <c r="D1095">
        <v>95.46</v>
      </c>
    </row>
    <row r="1096" spans="1:4" x14ac:dyDescent="0.25">
      <c r="A1096" t="s">
        <v>212</v>
      </c>
      <c r="B1096" t="s">
        <v>213</v>
      </c>
      <c r="C1096" t="s">
        <v>350</v>
      </c>
      <c r="D1096">
        <v>95.49</v>
      </c>
    </row>
    <row r="1097" spans="1:4" x14ac:dyDescent="0.25">
      <c r="A1097" t="s">
        <v>212</v>
      </c>
      <c r="B1097" t="s">
        <v>213</v>
      </c>
      <c r="C1097" t="s">
        <v>351</v>
      </c>
      <c r="D1097">
        <v>95.52</v>
      </c>
    </row>
    <row r="1098" spans="1:4" x14ac:dyDescent="0.25">
      <c r="A1098" t="s">
        <v>212</v>
      </c>
      <c r="B1098" t="s">
        <v>213</v>
      </c>
      <c r="C1098" t="s">
        <v>352</v>
      </c>
      <c r="D1098">
        <v>95.55</v>
      </c>
    </row>
    <row r="1099" spans="1:4" x14ac:dyDescent="0.25">
      <c r="A1099" t="s">
        <v>212</v>
      </c>
      <c r="B1099" t="s">
        <v>213</v>
      </c>
      <c r="C1099" t="s">
        <v>353</v>
      </c>
      <c r="D1099">
        <v>95.58</v>
      </c>
    </row>
    <row r="1100" spans="1:4" x14ac:dyDescent="0.25">
      <c r="A1100" t="s">
        <v>212</v>
      </c>
      <c r="B1100" t="s">
        <v>213</v>
      </c>
      <c r="C1100" t="s">
        <v>354</v>
      </c>
      <c r="D1100">
        <v>0</v>
      </c>
    </row>
    <row r="1101" spans="1:4" x14ac:dyDescent="0.25">
      <c r="A1101" t="s">
        <v>212</v>
      </c>
      <c r="B1101" t="s">
        <v>213</v>
      </c>
      <c r="C1101" t="s">
        <v>355</v>
      </c>
      <c r="D1101">
        <v>0</v>
      </c>
    </row>
    <row r="1102" spans="1:4" x14ac:dyDescent="0.25">
      <c r="A1102" t="s">
        <v>212</v>
      </c>
      <c r="B1102" t="s">
        <v>213</v>
      </c>
      <c r="C1102" t="s">
        <v>356</v>
      </c>
      <c r="D1102">
        <v>0</v>
      </c>
    </row>
    <row r="1103" spans="1:4" x14ac:dyDescent="0.25">
      <c r="A1103" t="s">
        <v>212</v>
      </c>
      <c r="B1103" t="s">
        <v>213</v>
      </c>
      <c r="C1103" t="s">
        <v>357</v>
      </c>
      <c r="D1103">
        <v>0</v>
      </c>
    </row>
    <row r="1104" spans="1:4" x14ac:dyDescent="0.25">
      <c r="A1104" t="s">
        <v>212</v>
      </c>
      <c r="B1104" t="s">
        <v>213</v>
      </c>
      <c r="C1104" t="s">
        <v>358</v>
      </c>
      <c r="D1104">
        <v>0</v>
      </c>
    </row>
    <row r="1105" spans="1:4" x14ac:dyDescent="0.25">
      <c r="A1105" t="s">
        <v>212</v>
      </c>
      <c r="B1105" t="s">
        <v>213</v>
      </c>
      <c r="C1105" t="s">
        <v>359</v>
      </c>
      <c r="D1105">
        <v>0</v>
      </c>
    </row>
    <row r="1106" spans="1:4" x14ac:dyDescent="0.25">
      <c r="A1106" t="s">
        <v>212</v>
      </c>
      <c r="B1106" t="s">
        <v>213</v>
      </c>
      <c r="C1106" t="s">
        <v>360</v>
      </c>
      <c r="D1106">
        <v>0</v>
      </c>
    </row>
    <row r="1107" spans="1:4" x14ac:dyDescent="0.25">
      <c r="A1107" t="s">
        <v>212</v>
      </c>
      <c r="B1107" t="s">
        <v>213</v>
      </c>
      <c r="C1107" t="s">
        <v>361</v>
      </c>
      <c r="D1107">
        <v>0</v>
      </c>
    </row>
    <row r="1108" spans="1:4" x14ac:dyDescent="0.25">
      <c r="A1108" t="s">
        <v>212</v>
      </c>
      <c r="B1108" t="s">
        <v>213</v>
      </c>
      <c r="C1108" t="s">
        <v>362</v>
      </c>
      <c r="D1108">
        <v>0</v>
      </c>
    </row>
    <row r="1109" spans="1:4" x14ac:dyDescent="0.25">
      <c r="A1109" t="s">
        <v>212</v>
      </c>
      <c r="B1109" t="s">
        <v>213</v>
      </c>
      <c r="C1109" t="s">
        <v>363</v>
      </c>
      <c r="D1109">
        <v>0</v>
      </c>
    </row>
    <row r="1110" spans="1:4" x14ac:dyDescent="0.25">
      <c r="A1110" t="s">
        <v>212</v>
      </c>
      <c r="B1110" t="s">
        <v>213</v>
      </c>
      <c r="C1110" t="s">
        <v>364</v>
      </c>
      <c r="D1110">
        <v>0</v>
      </c>
    </row>
    <row r="1111" spans="1:4" x14ac:dyDescent="0.25">
      <c r="A1111" t="s">
        <v>212</v>
      </c>
      <c r="B1111" t="s">
        <v>213</v>
      </c>
      <c r="C1111" t="s">
        <v>365</v>
      </c>
      <c r="D1111">
        <v>0</v>
      </c>
    </row>
    <row r="1112" spans="1:4" x14ac:dyDescent="0.25">
      <c r="A1112" t="s">
        <v>214</v>
      </c>
      <c r="B1112" t="s">
        <v>215</v>
      </c>
      <c r="C1112" t="s">
        <v>241</v>
      </c>
      <c r="D1112">
        <v>94</v>
      </c>
    </row>
    <row r="1113" spans="1:4" x14ac:dyDescent="0.25">
      <c r="A1113" t="s">
        <v>214</v>
      </c>
      <c r="B1113" t="s">
        <v>215</v>
      </c>
      <c r="C1113" t="s">
        <v>242</v>
      </c>
      <c r="D1113">
        <v>94</v>
      </c>
    </row>
    <row r="1114" spans="1:4" x14ac:dyDescent="0.25">
      <c r="A1114" t="s">
        <v>214</v>
      </c>
      <c r="B1114" t="s">
        <v>215</v>
      </c>
      <c r="C1114" t="s">
        <v>243</v>
      </c>
      <c r="D1114">
        <v>94</v>
      </c>
    </row>
    <row r="1115" spans="1:4" x14ac:dyDescent="0.25">
      <c r="A1115" t="s">
        <v>214</v>
      </c>
      <c r="B1115" t="s">
        <v>215</v>
      </c>
      <c r="C1115" t="s">
        <v>244</v>
      </c>
      <c r="D1115">
        <v>94</v>
      </c>
    </row>
    <row r="1116" spans="1:4" x14ac:dyDescent="0.25">
      <c r="A1116" t="s">
        <v>214</v>
      </c>
      <c r="B1116" t="s">
        <v>215</v>
      </c>
      <c r="C1116" t="s">
        <v>245</v>
      </c>
      <c r="D1116">
        <v>94</v>
      </c>
    </row>
    <row r="1117" spans="1:4" x14ac:dyDescent="0.25">
      <c r="A1117" t="s">
        <v>214</v>
      </c>
      <c r="B1117" t="s">
        <v>215</v>
      </c>
      <c r="C1117" t="s">
        <v>246</v>
      </c>
      <c r="D1117">
        <v>94</v>
      </c>
    </row>
    <row r="1118" spans="1:4" x14ac:dyDescent="0.25">
      <c r="A1118" t="s">
        <v>214</v>
      </c>
      <c r="B1118" t="s">
        <v>215</v>
      </c>
      <c r="C1118" t="s">
        <v>247</v>
      </c>
      <c r="D1118">
        <v>94</v>
      </c>
    </row>
    <row r="1119" spans="1:4" x14ac:dyDescent="0.25">
      <c r="A1119" t="s">
        <v>214</v>
      </c>
      <c r="B1119" t="s">
        <v>215</v>
      </c>
      <c r="C1119" t="s">
        <v>248</v>
      </c>
      <c r="D1119">
        <v>94.25</v>
      </c>
    </row>
    <row r="1120" spans="1:4" x14ac:dyDescent="0.25">
      <c r="A1120" t="s">
        <v>214</v>
      </c>
      <c r="B1120" t="s">
        <v>215</v>
      </c>
      <c r="C1120" t="s">
        <v>249</v>
      </c>
      <c r="D1120">
        <v>94.44</v>
      </c>
    </row>
    <row r="1121" spans="1:4" x14ac:dyDescent="0.25">
      <c r="A1121" t="s">
        <v>214</v>
      </c>
      <c r="B1121" t="s">
        <v>215</v>
      </c>
      <c r="C1121" t="s">
        <v>250</v>
      </c>
      <c r="D1121">
        <v>94.8</v>
      </c>
    </row>
    <row r="1122" spans="1:4" x14ac:dyDescent="0.25">
      <c r="A1122" t="s">
        <v>214</v>
      </c>
      <c r="B1122" t="s">
        <v>215</v>
      </c>
      <c r="C1122" t="s">
        <v>251</v>
      </c>
      <c r="D1122">
        <v>95.09</v>
      </c>
    </row>
    <row r="1123" spans="1:4" x14ac:dyDescent="0.25">
      <c r="A1123" t="s">
        <v>214</v>
      </c>
      <c r="B1123" t="s">
        <v>215</v>
      </c>
      <c r="C1123" t="s">
        <v>252</v>
      </c>
      <c r="D1123">
        <v>95.33</v>
      </c>
    </row>
    <row r="1124" spans="1:4" x14ac:dyDescent="0.25">
      <c r="A1124" t="s">
        <v>214</v>
      </c>
      <c r="B1124" t="s">
        <v>215</v>
      </c>
      <c r="C1124" t="s">
        <v>253</v>
      </c>
      <c r="D1124">
        <v>95.23</v>
      </c>
    </row>
    <row r="1125" spans="1:4" x14ac:dyDescent="0.25">
      <c r="A1125" t="s">
        <v>214</v>
      </c>
      <c r="B1125" t="s">
        <v>215</v>
      </c>
      <c r="C1125" t="s">
        <v>254</v>
      </c>
      <c r="D1125">
        <v>95.14</v>
      </c>
    </row>
    <row r="1126" spans="1:4" x14ac:dyDescent="0.25">
      <c r="A1126" t="s">
        <v>214</v>
      </c>
      <c r="B1126" t="s">
        <v>215</v>
      </c>
      <c r="C1126" t="s">
        <v>255</v>
      </c>
      <c r="D1126">
        <v>95.07</v>
      </c>
    </row>
    <row r="1127" spans="1:4" x14ac:dyDescent="0.25">
      <c r="A1127" t="s">
        <v>214</v>
      </c>
      <c r="B1127" t="s">
        <v>215</v>
      </c>
      <c r="C1127" t="s">
        <v>256</v>
      </c>
      <c r="D1127">
        <v>95</v>
      </c>
    </row>
    <row r="1128" spans="1:4" x14ac:dyDescent="0.25">
      <c r="A1128" t="s">
        <v>214</v>
      </c>
      <c r="B1128" t="s">
        <v>215</v>
      </c>
      <c r="C1128" t="s">
        <v>257</v>
      </c>
      <c r="D1128">
        <v>95.06</v>
      </c>
    </row>
    <row r="1129" spans="1:4" x14ac:dyDescent="0.25">
      <c r="A1129" t="s">
        <v>214</v>
      </c>
      <c r="B1129" t="s">
        <v>215</v>
      </c>
      <c r="C1129" t="s">
        <v>258</v>
      </c>
      <c r="D1129">
        <v>95.11</v>
      </c>
    </row>
    <row r="1130" spans="1:4" x14ac:dyDescent="0.25">
      <c r="A1130" t="s">
        <v>214</v>
      </c>
      <c r="B1130" t="s">
        <v>215</v>
      </c>
      <c r="C1130" t="s">
        <v>259</v>
      </c>
      <c r="D1130">
        <v>95.16</v>
      </c>
    </row>
    <row r="1131" spans="1:4" x14ac:dyDescent="0.25">
      <c r="A1131" t="s">
        <v>214</v>
      </c>
      <c r="B1131" t="s">
        <v>215</v>
      </c>
      <c r="C1131" t="s">
        <v>260</v>
      </c>
      <c r="D1131">
        <v>95.2</v>
      </c>
    </row>
    <row r="1132" spans="1:4" x14ac:dyDescent="0.25">
      <c r="A1132" t="s">
        <v>214</v>
      </c>
      <c r="B1132" t="s">
        <v>215</v>
      </c>
      <c r="C1132" t="s">
        <v>261</v>
      </c>
      <c r="D1132">
        <v>95.24</v>
      </c>
    </row>
    <row r="1133" spans="1:4" x14ac:dyDescent="0.25">
      <c r="A1133" t="s">
        <v>214</v>
      </c>
      <c r="B1133" t="s">
        <v>215</v>
      </c>
      <c r="C1133" t="s">
        <v>262</v>
      </c>
      <c r="D1133">
        <v>95.27</v>
      </c>
    </row>
    <row r="1134" spans="1:4" x14ac:dyDescent="0.25">
      <c r="A1134" t="s">
        <v>214</v>
      </c>
      <c r="B1134" t="s">
        <v>215</v>
      </c>
      <c r="C1134" t="s">
        <v>263</v>
      </c>
      <c r="D1134">
        <v>95.3</v>
      </c>
    </row>
    <row r="1135" spans="1:4" x14ac:dyDescent="0.25">
      <c r="A1135" t="s">
        <v>214</v>
      </c>
      <c r="B1135" t="s">
        <v>215</v>
      </c>
      <c r="C1135" t="s">
        <v>264</v>
      </c>
      <c r="D1135">
        <v>95.42</v>
      </c>
    </row>
    <row r="1136" spans="1:4" x14ac:dyDescent="0.25">
      <c r="A1136" t="s">
        <v>214</v>
      </c>
      <c r="B1136" t="s">
        <v>215</v>
      </c>
      <c r="C1136" t="s">
        <v>265</v>
      </c>
      <c r="D1136">
        <v>95.52</v>
      </c>
    </row>
    <row r="1137" spans="1:4" x14ac:dyDescent="0.25">
      <c r="A1137" t="s">
        <v>214</v>
      </c>
      <c r="B1137" t="s">
        <v>215</v>
      </c>
      <c r="C1137" t="s">
        <v>266</v>
      </c>
      <c r="D1137">
        <v>95.69</v>
      </c>
    </row>
    <row r="1138" spans="1:4" x14ac:dyDescent="0.25">
      <c r="A1138" t="s">
        <v>214</v>
      </c>
      <c r="B1138" t="s">
        <v>215</v>
      </c>
      <c r="C1138" t="s">
        <v>267</v>
      </c>
      <c r="D1138">
        <v>95.85</v>
      </c>
    </row>
    <row r="1139" spans="1:4" x14ac:dyDescent="0.25">
      <c r="A1139" t="s">
        <v>214</v>
      </c>
      <c r="B1139" t="s">
        <v>215</v>
      </c>
      <c r="C1139" t="s">
        <v>239</v>
      </c>
      <c r="D1139">
        <v>96</v>
      </c>
    </row>
    <row r="1140" spans="1:4" x14ac:dyDescent="0.25">
      <c r="A1140" t="s">
        <v>214</v>
      </c>
      <c r="B1140" t="s">
        <v>215</v>
      </c>
      <c r="C1140" t="s">
        <v>240</v>
      </c>
      <c r="D1140">
        <v>96.14</v>
      </c>
    </row>
    <row r="1141" spans="1:4" x14ac:dyDescent="0.25">
      <c r="A1141" t="s">
        <v>214</v>
      </c>
      <c r="B1141" t="s">
        <v>215</v>
      </c>
      <c r="C1141" t="s">
        <v>333</v>
      </c>
      <c r="D1141">
        <v>96.27</v>
      </c>
    </row>
    <row r="1142" spans="1:4" x14ac:dyDescent="0.25">
      <c r="A1142" t="s">
        <v>214</v>
      </c>
      <c r="B1142" t="s">
        <v>215</v>
      </c>
      <c r="C1142" t="s">
        <v>334</v>
      </c>
      <c r="D1142">
        <v>96.39</v>
      </c>
    </row>
    <row r="1143" spans="1:4" x14ac:dyDescent="0.25">
      <c r="A1143" t="s">
        <v>214</v>
      </c>
      <c r="B1143" t="s">
        <v>215</v>
      </c>
      <c r="C1143" t="s">
        <v>335</v>
      </c>
      <c r="D1143">
        <v>96.5</v>
      </c>
    </row>
    <row r="1144" spans="1:4" x14ac:dyDescent="0.25">
      <c r="A1144" t="s">
        <v>214</v>
      </c>
      <c r="B1144" t="s">
        <v>215</v>
      </c>
      <c r="C1144" t="s">
        <v>336</v>
      </c>
      <c r="D1144">
        <v>96.61</v>
      </c>
    </row>
    <row r="1145" spans="1:4" x14ac:dyDescent="0.25">
      <c r="A1145" t="s">
        <v>214</v>
      </c>
      <c r="B1145" t="s">
        <v>215</v>
      </c>
      <c r="C1145" t="s">
        <v>337</v>
      </c>
      <c r="D1145">
        <v>96.71</v>
      </c>
    </row>
    <row r="1146" spans="1:4" x14ac:dyDescent="0.25">
      <c r="A1146" t="s">
        <v>214</v>
      </c>
      <c r="B1146" t="s">
        <v>215</v>
      </c>
      <c r="C1146" t="s">
        <v>338</v>
      </c>
      <c r="D1146">
        <v>96.8</v>
      </c>
    </row>
    <row r="1147" spans="1:4" x14ac:dyDescent="0.25">
      <c r="A1147" t="s">
        <v>214</v>
      </c>
      <c r="B1147" t="s">
        <v>215</v>
      </c>
      <c r="C1147" t="s">
        <v>339</v>
      </c>
      <c r="D1147">
        <v>96.89</v>
      </c>
    </row>
    <row r="1148" spans="1:4" x14ac:dyDescent="0.25">
      <c r="A1148" t="s">
        <v>214</v>
      </c>
      <c r="B1148" t="s">
        <v>215</v>
      </c>
      <c r="C1148" t="s">
        <v>340</v>
      </c>
      <c r="D1148">
        <v>96.97</v>
      </c>
    </row>
    <row r="1149" spans="1:4" x14ac:dyDescent="0.25">
      <c r="A1149" t="s">
        <v>214</v>
      </c>
      <c r="B1149" t="s">
        <v>215</v>
      </c>
      <c r="C1149" t="s">
        <v>341</v>
      </c>
      <c r="D1149">
        <v>97.05</v>
      </c>
    </row>
    <row r="1150" spans="1:4" x14ac:dyDescent="0.25">
      <c r="A1150" t="s">
        <v>214</v>
      </c>
      <c r="B1150" t="s">
        <v>215</v>
      </c>
      <c r="C1150" t="s">
        <v>342</v>
      </c>
      <c r="D1150">
        <v>97.13</v>
      </c>
    </row>
    <row r="1151" spans="1:4" x14ac:dyDescent="0.25">
      <c r="A1151" t="s">
        <v>214</v>
      </c>
      <c r="B1151" t="s">
        <v>215</v>
      </c>
      <c r="C1151" t="s">
        <v>343</v>
      </c>
      <c r="D1151">
        <v>97.2</v>
      </c>
    </row>
    <row r="1152" spans="1:4" x14ac:dyDescent="0.25">
      <c r="A1152" t="s">
        <v>214</v>
      </c>
      <c r="B1152" t="s">
        <v>215</v>
      </c>
      <c r="C1152" t="s">
        <v>344</v>
      </c>
      <c r="D1152">
        <v>97.27</v>
      </c>
    </row>
    <row r="1153" spans="1:4" x14ac:dyDescent="0.25">
      <c r="A1153" t="s">
        <v>214</v>
      </c>
      <c r="B1153" t="s">
        <v>215</v>
      </c>
      <c r="C1153" t="s">
        <v>345</v>
      </c>
      <c r="D1153">
        <v>97.33</v>
      </c>
    </row>
    <row r="1154" spans="1:4" x14ac:dyDescent="0.25">
      <c r="A1154" t="s">
        <v>214</v>
      </c>
      <c r="B1154" t="s">
        <v>215</v>
      </c>
      <c r="C1154" t="s">
        <v>346</v>
      </c>
      <c r="D1154">
        <v>97.4</v>
      </c>
    </row>
    <row r="1155" spans="1:4" x14ac:dyDescent="0.25">
      <c r="A1155" t="s">
        <v>214</v>
      </c>
      <c r="B1155" t="s">
        <v>215</v>
      </c>
      <c r="C1155" t="s">
        <v>347</v>
      </c>
      <c r="D1155">
        <v>97.45</v>
      </c>
    </row>
    <row r="1156" spans="1:4" x14ac:dyDescent="0.25">
      <c r="A1156" t="s">
        <v>214</v>
      </c>
      <c r="B1156" t="s">
        <v>215</v>
      </c>
      <c r="C1156" t="s">
        <v>348</v>
      </c>
      <c r="D1156">
        <v>97.51</v>
      </c>
    </row>
    <row r="1157" spans="1:4" x14ac:dyDescent="0.25">
      <c r="A1157" t="s">
        <v>214</v>
      </c>
      <c r="B1157" t="s">
        <v>215</v>
      </c>
      <c r="C1157" t="s">
        <v>349</v>
      </c>
      <c r="D1157">
        <v>97.57</v>
      </c>
    </row>
    <row r="1158" spans="1:4" x14ac:dyDescent="0.25">
      <c r="A1158" t="s">
        <v>214</v>
      </c>
      <c r="B1158" t="s">
        <v>215</v>
      </c>
      <c r="C1158" t="s">
        <v>350</v>
      </c>
      <c r="D1158">
        <v>97.62</v>
      </c>
    </row>
    <row r="1159" spans="1:4" x14ac:dyDescent="0.25">
      <c r="A1159" t="s">
        <v>214</v>
      </c>
      <c r="B1159" t="s">
        <v>215</v>
      </c>
      <c r="C1159" t="s">
        <v>351</v>
      </c>
      <c r="D1159">
        <v>97.67</v>
      </c>
    </row>
    <row r="1160" spans="1:4" x14ac:dyDescent="0.25">
      <c r="A1160" t="s">
        <v>214</v>
      </c>
      <c r="B1160" t="s">
        <v>215</v>
      </c>
      <c r="C1160" t="s">
        <v>352</v>
      </c>
      <c r="D1160">
        <v>97.71</v>
      </c>
    </row>
    <row r="1161" spans="1:4" x14ac:dyDescent="0.25">
      <c r="A1161" t="s">
        <v>214</v>
      </c>
      <c r="B1161" t="s">
        <v>215</v>
      </c>
      <c r="C1161" t="s">
        <v>353</v>
      </c>
      <c r="D1161">
        <v>97.76</v>
      </c>
    </row>
    <row r="1162" spans="1:4" x14ac:dyDescent="0.25">
      <c r="A1162" t="s">
        <v>214</v>
      </c>
      <c r="B1162" t="s">
        <v>215</v>
      </c>
      <c r="C1162" t="s">
        <v>354</v>
      </c>
      <c r="D1162">
        <v>0</v>
      </c>
    </row>
    <row r="1163" spans="1:4" x14ac:dyDescent="0.25">
      <c r="A1163" t="s">
        <v>214</v>
      </c>
      <c r="B1163" t="s">
        <v>215</v>
      </c>
      <c r="C1163" t="s">
        <v>355</v>
      </c>
      <c r="D1163">
        <v>0</v>
      </c>
    </row>
    <row r="1164" spans="1:4" x14ac:dyDescent="0.25">
      <c r="A1164" t="s">
        <v>214</v>
      </c>
      <c r="B1164" t="s">
        <v>215</v>
      </c>
      <c r="C1164" t="s">
        <v>356</v>
      </c>
      <c r="D1164">
        <v>0</v>
      </c>
    </row>
    <row r="1165" spans="1:4" x14ac:dyDescent="0.25">
      <c r="A1165" t="s">
        <v>214</v>
      </c>
      <c r="B1165" t="s">
        <v>215</v>
      </c>
      <c r="C1165" t="s">
        <v>357</v>
      </c>
      <c r="D1165">
        <v>0</v>
      </c>
    </row>
    <row r="1166" spans="1:4" x14ac:dyDescent="0.25">
      <c r="A1166" t="s">
        <v>214</v>
      </c>
      <c r="B1166" t="s">
        <v>215</v>
      </c>
      <c r="C1166" t="s">
        <v>358</v>
      </c>
      <c r="D1166">
        <v>0</v>
      </c>
    </row>
    <row r="1167" spans="1:4" x14ac:dyDescent="0.25">
      <c r="A1167" t="s">
        <v>214</v>
      </c>
      <c r="B1167" t="s">
        <v>215</v>
      </c>
      <c r="C1167" t="s">
        <v>359</v>
      </c>
      <c r="D1167">
        <v>0</v>
      </c>
    </row>
    <row r="1168" spans="1:4" x14ac:dyDescent="0.25">
      <c r="A1168" t="s">
        <v>214</v>
      </c>
      <c r="B1168" t="s">
        <v>215</v>
      </c>
      <c r="C1168" t="s">
        <v>360</v>
      </c>
      <c r="D1168">
        <v>0</v>
      </c>
    </row>
    <row r="1169" spans="1:4" x14ac:dyDescent="0.25">
      <c r="A1169" t="s">
        <v>214</v>
      </c>
      <c r="B1169" t="s">
        <v>215</v>
      </c>
      <c r="C1169" t="s">
        <v>361</v>
      </c>
      <c r="D1169">
        <v>0</v>
      </c>
    </row>
    <row r="1170" spans="1:4" x14ac:dyDescent="0.25">
      <c r="A1170" t="s">
        <v>214</v>
      </c>
      <c r="B1170" t="s">
        <v>215</v>
      </c>
      <c r="C1170" t="s">
        <v>362</v>
      </c>
      <c r="D1170">
        <v>0</v>
      </c>
    </row>
    <row r="1171" spans="1:4" x14ac:dyDescent="0.25">
      <c r="A1171" t="s">
        <v>214</v>
      </c>
      <c r="B1171" t="s">
        <v>215</v>
      </c>
      <c r="C1171" t="s">
        <v>363</v>
      </c>
      <c r="D1171">
        <v>0</v>
      </c>
    </row>
    <row r="1172" spans="1:4" x14ac:dyDescent="0.25">
      <c r="A1172" t="s">
        <v>214</v>
      </c>
      <c r="B1172" t="s">
        <v>215</v>
      </c>
      <c r="C1172" t="s">
        <v>364</v>
      </c>
      <c r="D1172">
        <v>0</v>
      </c>
    </row>
    <row r="1173" spans="1:4" x14ac:dyDescent="0.25">
      <c r="A1173" t="s">
        <v>214</v>
      </c>
      <c r="B1173" t="s">
        <v>215</v>
      </c>
      <c r="C1173" t="s">
        <v>365</v>
      </c>
      <c r="D1173">
        <v>0</v>
      </c>
    </row>
    <row r="1174" spans="1:4" x14ac:dyDescent="0.25">
      <c r="A1174" t="s">
        <v>216</v>
      </c>
      <c r="B1174" t="s">
        <v>217</v>
      </c>
      <c r="C1174" t="s">
        <v>239</v>
      </c>
      <c r="D1174">
        <v>0</v>
      </c>
    </row>
    <row r="1175" spans="1:4" x14ac:dyDescent="0.25">
      <c r="A1175" t="s">
        <v>216</v>
      </c>
      <c r="B1175" t="s">
        <v>217</v>
      </c>
      <c r="C1175" t="s">
        <v>240</v>
      </c>
      <c r="D1175">
        <v>0</v>
      </c>
    </row>
    <row r="1176" spans="1:4" x14ac:dyDescent="0.25">
      <c r="A1176" t="s">
        <v>216</v>
      </c>
      <c r="B1176" t="s">
        <v>217</v>
      </c>
      <c r="C1176" t="s">
        <v>333</v>
      </c>
      <c r="D1176">
        <v>0</v>
      </c>
    </row>
    <row r="1177" spans="1:4" x14ac:dyDescent="0.25">
      <c r="A1177" t="s">
        <v>216</v>
      </c>
      <c r="B1177" t="s">
        <v>217</v>
      </c>
      <c r="C1177" t="s">
        <v>334</v>
      </c>
      <c r="D1177">
        <v>0</v>
      </c>
    </row>
    <row r="1178" spans="1:4" x14ac:dyDescent="0.25">
      <c r="A1178" t="s">
        <v>216</v>
      </c>
      <c r="B1178" t="s">
        <v>217</v>
      </c>
      <c r="C1178" t="s">
        <v>335</v>
      </c>
      <c r="D1178">
        <v>0</v>
      </c>
    </row>
    <row r="1179" spans="1:4" x14ac:dyDescent="0.25">
      <c r="A1179" t="s">
        <v>216</v>
      </c>
      <c r="B1179" t="s">
        <v>217</v>
      </c>
      <c r="C1179" t="s">
        <v>336</v>
      </c>
      <c r="D1179">
        <v>0</v>
      </c>
    </row>
    <row r="1180" spans="1:4" x14ac:dyDescent="0.25">
      <c r="A1180" t="s">
        <v>216</v>
      </c>
      <c r="B1180" t="s">
        <v>217</v>
      </c>
      <c r="C1180" t="s">
        <v>337</v>
      </c>
      <c r="D1180">
        <v>0</v>
      </c>
    </row>
    <row r="1181" spans="1:4" x14ac:dyDescent="0.25">
      <c r="A1181" t="s">
        <v>216</v>
      </c>
      <c r="B1181" t="s">
        <v>217</v>
      </c>
      <c r="C1181" t="s">
        <v>338</v>
      </c>
      <c r="D1181">
        <v>0</v>
      </c>
    </row>
    <row r="1182" spans="1:4" x14ac:dyDescent="0.25">
      <c r="A1182" t="s">
        <v>216</v>
      </c>
      <c r="B1182" t="s">
        <v>217</v>
      </c>
      <c r="C1182" t="s">
        <v>339</v>
      </c>
      <c r="D1182">
        <v>0</v>
      </c>
    </row>
    <row r="1183" spans="1:4" x14ac:dyDescent="0.25">
      <c r="A1183" t="s">
        <v>216</v>
      </c>
      <c r="B1183" t="s">
        <v>217</v>
      </c>
      <c r="C1183" t="s">
        <v>340</v>
      </c>
      <c r="D1183">
        <v>0</v>
      </c>
    </row>
    <row r="1184" spans="1:4" x14ac:dyDescent="0.25">
      <c r="A1184" t="s">
        <v>216</v>
      </c>
      <c r="B1184" t="s">
        <v>217</v>
      </c>
      <c r="C1184" t="s">
        <v>341</v>
      </c>
      <c r="D1184">
        <v>0</v>
      </c>
    </row>
    <row r="1185" spans="1:4" x14ac:dyDescent="0.25">
      <c r="A1185" t="s">
        <v>216</v>
      </c>
      <c r="B1185" t="s">
        <v>217</v>
      </c>
      <c r="C1185" t="s">
        <v>342</v>
      </c>
      <c r="D1185">
        <v>0</v>
      </c>
    </row>
    <row r="1186" spans="1:4" x14ac:dyDescent="0.25">
      <c r="A1186" t="s">
        <v>216</v>
      </c>
      <c r="B1186" t="s">
        <v>217</v>
      </c>
      <c r="C1186" t="s">
        <v>343</v>
      </c>
      <c r="D1186">
        <v>0</v>
      </c>
    </row>
    <row r="1187" spans="1:4" x14ac:dyDescent="0.25">
      <c r="A1187" t="s">
        <v>216</v>
      </c>
      <c r="B1187" t="s">
        <v>217</v>
      </c>
      <c r="C1187" t="s">
        <v>344</v>
      </c>
      <c r="D1187">
        <v>0</v>
      </c>
    </row>
    <row r="1188" spans="1:4" x14ac:dyDescent="0.25">
      <c r="A1188" t="s">
        <v>216</v>
      </c>
      <c r="B1188" t="s">
        <v>217</v>
      </c>
      <c r="C1188" t="s">
        <v>345</v>
      </c>
      <c r="D1188">
        <v>0</v>
      </c>
    </row>
    <row r="1189" spans="1:4" x14ac:dyDescent="0.25">
      <c r="A1189" t="s">
        <v>216</v>
      </c>
      <c r="B1189" t="s">
        <v>217</v>
      </c>
      <c r="C1189" t="s">
        <v>346</v>
      </c>
      <c r="D1189">
        <v>0</v>
      </c>
    </row>
    <row r="1190" spans="1:4" x14ac:dyDescent="0.25">
      <c r="A1190" t="s">
        <v>216</v>
      </c>
      <c r="B1190" t="s">
        <v>217</v>
      </c>
      <c r="C1190" t="s">
        <v>347</v>
      </c>
      <c r="D1190">
        <v>0</v>
      </c>
    </row>
    <row r="1191" spans="1:4" x14ac:dyDescent="0.25">
      <c r="A1191" t="s">
        <v>216</v>
      </c>
      <c r="B1191" t="s">
        <v>217</v>
      </c>
      <c r="C1191" t="s">
        <v>348</v>
      </c>
      <c r="D1191">
        <v>0</v>
      </c>
    </row>
    <row r="1192" spans="1:4" x14ac:dyDescent="0.25">
      <c r="A1192" t="s">
        <v>216</v>
      </c>
      <c r="B1192" t="s">
        <v>217</v>
      </c>
      <c r="C1192" t="s">
        <v>349</v>
      </c>
      <c r="D1192">
        <v>0</v>
      </c>
    </row>
    <row r="1193" spans="1:4" x14ac:dyDescent="0.25">
      <c r="A1193" t="s">
        <v>216</v>
      </c>
      <c r="B1193" t="s">
        <v>217</v>
      </c>
      <c r="C1193" t="s">
        <v>350</v>
      </c>
      <c r="D1193">
        <v>0</v>
      </c>
    </row>
    <row r="1194" spans="1:4" x14ac:dyDescent="0.25">
      <c r="A1194" t="s">
        <v>216</v>
      </c>
      <c r="B1194" t="s">
        <v>217</v>
      </c>
      <c r="C1194" t="s">
        <v>351</v>
      </c>
      <c r="D1194">
        <v>0</v>
      </c>
    </row>
    <row r="1195" spans="1:4" x14ac:dyDescent="0.25">
      <c r="A1195" t="s">
        <v>216</v>
      </c>
      <c r="B1195" t="s">
        <v>217</v>
      </c>
      <c r="C1195" t="s">
        <v>352</v>
      </c>
      <c r="D1195">
        <v>0</v>
      </c>
    </row>
    <row r="1196" spans="1:4" x14ac:dyDescent="0.25">
      <c r="A1196" t="s">
        <v>216</v>
      </c>
      <c r="B1196" t="s">
        <v>217</v>
      </c>
      <c r="C1196" t="s">
        <v>353</v>
      </c>
      <c r="D1196">
        <v>0</v>
      </c>
    </row>
    <row r="1197" spans="1:4" x14ac:dyDescent="0.25">
      <c r="A1197" t="s">
        <v>216</v>
      </c>
      <c r="B1197" t="s">
        <v>217</v>
      </c>
      <c r="C1197" t="s">
        <v>354</v>
      </c>
      <c r="D1197">
        <v>0</v>
      </c>
    </row>
    <row r="1198" spans="1:4" x14ac:dyDescent="0.25">
      <c r="A1198" t="s">
        <v>216</v>
      </c>
      <c r="B1198" t="s">
        <v>217</v>
      </c>
      <c r="C1198" t="s">
        <v>355</v>
      </c>
      <c r="D1198">
        <v>0</v>
      </c>
    </row>
    <row r="1199" spans="1:4" x14ac:dyDescent="0.25">
      <c r="A1199" t="s">
        <v>216</v>
      </c>
      <c r="B1199" t="s">
        <v>217</v>
      </c>
      <c r="C1199" t="s">
        <v>356</v>
      </c>
      <c r="D1199">
        <v>0</v>
      </c>
    </row>
    <row r="1200" spans="1:4" x14ac:dyDescent="0.25">
      <c r="A1200" t="s">
        <v>216</v>
      </c>
      <c r="B1200" t="s">
        <v>217</v>
      </c>
      <c r="C1200" t="s">
        <v>357</v>
      </c>
      <c r="D1200">
        <v>0</v>
      </c>
    </row>
    <row r="1201" spans="1:4" x14ac:dyDescent="0.25">
      <c r="A1201" t="s">
        <v>216</v>
      </c>
      <c r="B1201" t="s">
        <v>217</v>
      </c>
      <c r="C1201" t="s">
        <v>358</v>
      </c>
      <c r="D1201">
        <v>0</v>
      </c>
    </row>
    <row r="1202" spans="1:4" x14ac:dyDescent="0.25">
      <c r="A1202" t="s">
        <v>216</v>
      </c>
      <c r="B1202" t="s">
        <v>217</v>
      </c>
      <c r="C1202" t="s">
        <v>359</v>
      </c>
      <c r="D1202">
        <v>0</v>
      </c>
    </row>
    <row r="1203" spans="1:4" x14ac:dyDescent="0.25">
      <c r="A1203" t="s">
        <v>216</v>
      </c>
      <c r="B1203" t="s">
        <v>217</v>
      </c>
      <c r="C1203" t="s">
        <v>360</v>
      </c>
      <c r="D1203">
        <v>0</v>
      </c>
    </row>
    <row r="1204" spans="1:4" x14ac:dyDescent="0.25">
      <c r="A1204" t="s">
        <v>216</v>
      </c>
      <c r="B1204" t="s">
        <v>217</v>
      </c>
      <c r="C1204" t="s">
        <v>361</v>
      </c>
      <c r="D1204">
        <v>0</v>
      </c>
    </row>
    <row r="1205" spans="1:4" x14ac:dyDescent="0.25">
      <c r="A1205" t="s">
        <v>216</v>
      </c>
      <c r="B1205" t="s">
        <v>217</v>
      </c>
      <c r="C1205" t="s">
        <v>362</v>
      </c>
      <c r="D1205">
        <v>0</v>
      </c>
    </row>
    <row r="1206" spans="1:4" x14ac:dyDescent="0.25">
      <c r="A1206" t="s">
        <v>216</v>
      </c>
      <c r="B1206" t="s">
        <v>217</v>
      </c>
      <c r="C1206" t="s">
        <v>363</v>
      </c>
      <c r="D1206">
        <v>0</v>
      </c>
    </row>
    <row r="1207" spans="1:4" x14ac:dyDescent="0.25">
      <c r="A1207" t="s">
        <v>216</v>
      </c>
      <c r="B1207" t="s">
        <v>217</v>
      </c>
      <c r="C1207" t="s">
        <v>364</v>
      </c>
      <c r="D1207">
        <v>0</v>
      </c>
    </row>
    <row r="1208" spans="1:4" x14ac:dyDescent="0.25">
      <c r="A1208" t="s">
        <v>216</v>
      </c>
      <c r="B1208" t="s">
        <v>217</v>
      </c>
      <c r="C1208" t="s">
        <v>365</v>
      </c>
      <c r="D1208">
        <v>0</v>
      </c>
    </row>
    <row r="1209" spans="1:4" x14ac:dyDescent="0.25">
      <c r="A1209" t="s">
        <v>218</v>
      </c>
      <c r="B1209" t="s">
        <v>219</v>
      </c>
      <c r="C1209" t="s">
        <v>239</v>
      </c>
      <c r="D1209">
        <v>0</v>
      </c>
    </row>
    <row r="1210" spans="1:4" x14ac:dyDescent="0.25">
      <c r="A1210" t="s">
        <v>218</v>
      </c>
      <c r="B1210" t="s">
        <v>219</v>
      </c>
      <c r="C1210" t="s">
        <v>240</v>
      </c>
      <c r="D1210">
        <v>0</v>
      </c>
    </row>
    <row r="1211" spans="1:4" x14ac:dyDescent="0.25">
      <c r="A1211" t="s">
        <v>218</v>
      </c>
      <c r="B1211" t="s">
        <v>219</v>
      </c>
      <c r="C1211" t="s">
        <v>333</v>
      </c>
      <c r="D1211">
        <v>0</v>
      </c>
    </row>
    <row r="1212" spans="1:4" x14ac:dyDescent="0.25">
      <c r="A1212" t="s">
        <v>218</v>
      </c>
      <c r="B1212" t="s">
        <v>219</v>
      </c>
      <c r="C1212" t="s">
        <v>334</v>
      </c>
      <c r="D1212">
        <v>0</v>
      </c>
    </row>
    <row r="1213" spans="1:4" x14ac:dyDescent="0.25">
      <c r="A1213" t="s">
        <v>218</v>
      </c>
      <c r="B1213" t="s">
        <v>219</v>
      </c>
      <c r="C1213" t="s">
        <v>335</v>
      </c>
      <c r="D1213">
        <v>0</v>
      </c>
    </row>
    <row r="1214" spans="1:4" x14ac:dyDescent="0.25">
      <c r="A1214" t="s">
        <v>218</v>
      </c>
      <c r="B1214" t="s">
        <v>219</v>
      </c>
      <c r="C1214" t="s">
        <v>336</v>
      </c>
      <c r="D1214">
        <v>0</v>
      </c>
    </row>
    <row r="1215" spans="1:4" x14ac:dyDescent="0.25">
      <c r="A1215" t="s">
        <v>218</v>
      </c>
      <c r="B1215" t="s">
        <v>219</v>
      </c>
      <c r="C1215" t="s">
        <v>337</v>
      </c>
      <c r="D1215">
        <v>0</v>
      </c>
    </row>
    <row r="1216" spans="1:4" x14ac:dyDescent="0.25">
      <c r="A1216" t="s">
        <v>218</v>
      </c>
      <c r="B1216" t="s">
        <v>219</v>
      </c>
      <c r="C1216" t="s">
        <v>338</v>
      </c>
      <c r="D1216">
        <v>0</v>
      </c>
    </row>
    <row r="1217" spans="1:4" x14ac:dyDescent="0.25">
      <c r="A1217" t="s">
        <v>218</v>
      </c>
      <c r="B1217" t="s">
        <v>219</v>
      </c>
      <c r="C1217" t="s">
        <v>339</v>
      </c>
      <c r="D1217">
        <v>0</v>
      </c>
    </row>
    <row r="1218" spans="1:4" x14ac:dyDescent="0.25">
      <c r="A1218" t="s">
        <v>218</v>
      </c>
      <c r="B1218" t="s">
        <v>219</v>
      </c>
      <c r="C1218" t="s">
        <v>340</v>
      </c>
      <c r="D1218">
        <v>0</v>
      </c>
    </row>
    <row r="1219" spans="1:4" x14ac:dyDescent="0.25">
      <c r="A1219" t="s">
        <v>218</v>
      </c>
      <c r="B1219" t="s">
        <v>219</v>
      </c>
      <c r="C1219" t="s">
        <v>341</v>
      </c>
      <c r="D1219">
        <v>0</v>
      </c>
    </row>
    <row r="1220" spans="1:4" x14ac:dyDescent="0.25">
      <c r="A1220" t="s">
        <v>218</v>
      </c>
      <c r="B1220" t="s">
        <v>219</v>
      </c>
      <c r="C1220" t="s">
        <v>342</v>
      </c>
      <c r="D1220">
        <v>0</v>
      </c>
    </row>
    <row r="1221" spans="1:4" x14ac:dyDescent="0.25">
      <c r="A1221" t="s">
        <v>218</v>
      </c>
      <c r="B1221" t="s">
        <v>219</v>
      </c>
      <c r="C1221" t="s">
        <v>343</v>
      </c>
      <c r="D1221">
        <v>0</v>
      </c>
    </row>
    <row r="1222" spans="1:4" x14ac:dyDescent="0.25">
      <c r="A1222" t="s">
        <v>218</v>
      </c>
      <c r="B1222" t="s">
        <v>219</v>
      </c>
      <c r="C1222" t="s">
        <v>344</v>
      </c>
      <c r="D1222">
        <v>0</v>
      </c>
    </row>
    <row r="1223" spans="1:4" x14ac:dyDescent="0.25">
      <c r="A1223" t="s">
        <v>218</v>
      </c>
      <c r="B1223" t="s">
        <v>219</v>
      </c>
      <c r="C1223" t="s">
        <v>345</v>
      </c>
      <c r="D1223">
        <v>0</v>
      </c>
    </row>
    <row r="1224" spans="1:4" x14ac:dyDescent="0.25">
      <c r="A1224" t="s">
        <v>218</v>
      </c>
      <c r="B1224" t="s">
        <v>219</v>
      </c>
      <c r="C1224" t="s">
        <v>346</v>
      </c>
      <c r="D1224">
        <v>0</v>
      </c>
    </row>
    <row r="1225" spans="1:4" x14ac:dyDescent="0.25">
      <c r="A1225" t="s">
        <v>218</v>
      </c>
      <c r="B1225" t="s">
        <v>219</v>
      </c>
      <c r="C1225" t="s">
        <v>347</v>
      </c>
      <c r="D1225">
        <v>0</v>
      </c>
    </row>
    <row r="1226" spans="1:4" x14ac:dyDescent="0.25">
      <c r="A1226" t="s">
        <v>218</v>
      </c>
      <c r="B1226" t="s">
        <v>219</v>
      </c>
      <c r="C1226" t="s">
        <v>348</v>
      </c>
      <c r="D1226">
        <v>0</v>
      </c>
    </row>
    <row r="1227" spans="1:4" x14ac:dyDescent="0.25">
      <c r="A1227" t="s">
        <v>218</v>
      </c>
      <c r="B1227" t="s">
        <v>219</v>
      </c>
      <c r="C1227" t="s">
        <v>349</v>
      </c>
      <c r="D1227">
        <v>0</v>
      </c>
    </row>
    <row r="1228" spans="1:4" x14ac:dyDescent="0.25">
      <c r="A1228" t="s">
        <v>218</v>
      </c>
      <c r="B1228" t="s">
        <v>219</v>
      </c>
      <c r="C1228" t="s">
        <v>350</v>
      </c>
      <c r="D1228">
        <v>0</v>
      </c>
    </row>
    <row r="1229" spans="1:4" x14ac:dyDescent="0.25">
      <c r="A1229" t="s">
        <v>218</v>
      </c>
      <c r="B1229" t="s">
        <v>219</v>
      </c>
      <c r="C1229" t="s">
        <v>351</v>
      </c>
      <c r="D1229">
        <v>0</v>
      </c>
    </row>
    <row r="1230" spans="1:4" x14ac:dyDescent="0.25">
      <c r="A1230" t="s">
        <v>218</v>
      </c>
      <c r="B1230" t="s">
        <v>219</v>
      </c>
      <c r="C1230" t="s">
        <v>352</v>
      </c>
      <c r="D1230">
        <v>0</v>
      </c>
    </row>
    <row r="1231" spans="1:4" x14ac:dyDescent="0.25">
      <c r="A1231" t="s">
        <v>218</v>
      </c>
      <c r="B1231" t="s">
        <v>219</v>
      </c>
      <c r="C1231" t="s">
        <v>353</v>
      </c>
      <c r="D1231">
        <v>0</v>
      </c>
    </row>
    <row r="1232" spans="1:4" x14ac:dyDescent="0.25">
      <c r="A1232" t="s">
        <v>218</v>
      </c>
      <c r="B1232" t="s">
        <v>219</v>
      </c>
      <c r="C1232" t="s">
        <v>354</v>
      </c>
      <c r="D1232">
        <v>0</v>
      </c>
    </row>
    <row r="1233" spans="1:4" x14ac:dyDescent="0.25">
      <c r="A1233" t="s">
        <v>218</v>
      </c>
      <c r="B1233" t="s">
        <v>219</v>
      </c>
      <c r="C1233" t="s">
        <v>355</v>
      </c>
      <c r="D1233">
        <v>0</v>
      </c>
    </row>
    <row r="1234" spans="1:4" x14ac:dyDescent="0.25">
      <c r="A1234" t="s">
        <v>218</v>
      </c>
      <c r="B1234" t="s">
        <v>219</v>
      </c>
      <c r="C1234" t="s">
        <v>356</v>
      </c>
      <c r="D1234">
        <v>0</v>
      </c>
    </row>
    <row r="1235" spans="1:4" x14ac:dyDescent="0.25">
      <c r="A1235" t="s">
        <v>218</v>
      </c>
      <c r="B1235" t="s">
        <v>219</v>
      </c>
      <c r="C1235" t="s">
        <v>357</v>
      </c>
      <c r="D1235">
        <v>0</v>
      </c>
    </row>
    <row r="1236" spans="1:4" x14ac:dyDescent="0.25">
      <c r="A1236" t="s">
        <v>218</v>
      </c>
      <c r="B1236" t="s">
        <v>219</v>
      </c>
      <c r="C1236" t="s">
        <v>358</v>
      </c>
      <c r="D1236">
        <v>0</v>
      </c>
    </row>
    <row r="1237" spans="1:4" x14ac:dyDescent="0.25">
      <c r="A1237" t="s">
        <v>218</v>
      </c>
      <c r="B1237" t="s">
        <v>219</v>
      </c>
      <c r="C1237" t="s">
        <v>359</v>
      </c>
      <c r="D1237">
        <v>0</v>
      </c>
    </row>
    <row r="1238" spans="1:4" x14ac:dyDescent="0.25">
      <c r="A1238" t="s">
        <v>218</v>
      </c>
      <c r="B1238" t="s">
        <v>219</v>
      </c>
      <c r="C1238" t="s">
        <v>360</v>
      </c>
      <c r="D1238">
        <v>0</v>
      </c>
    </row>
    <row r="1239" spans="1:4" x14ac:dyDescent="0.25">
      <c r="A1239" t="s">
        <v>218</v>
      </c>
      <c r="B1239" t="s">
        <v>219</v>
      </c>
      <c r="C1239" t="s">
        <v>361</v>
      </c>
      <c r="D1239">
        <v>0</v>
      </c>
    </row>
    <row r="1240" spans="1:4" x14ac:dyDescent="0.25">
      <c r="A1240" t="s">
        <v>218</v>
      </c>
      <c r="B1240" t="s">
        <v>219</v>
      </c>
      <c r="C1240" t="s">
        <v>362</v>
      </c>
      <c r="D1240">
        <v>0</v>
      </c>
    </row>
    <row r="1241" spans="1:4" x14ac:dyDescent="0.25">
      <c r="A1241" t="s">
        <v>218</v>
      </c>
      <c r="B1241" t="s">
        <v>219</v>
      </c>
      <c r="C1241" t="s">
        <v>363</v>
      </c>
      <c r="D1241">
        <v>0</v>
      </c>
    </row>
    <row r="1242" spans="1:4" x14ac:dyDescent="0.25">
      <c r="A1242" t="s">
        <v>218</v>
      </c>
      <c r="B1242" t="s">
        <v>219</v>
      </c>
      <c r="C1242" t="s">
        <v>364</v>
      </c>
      <c r="D1242">
        <v>0</v>
      </c>
    </row>
    <row r="1243" spans="1:4" x14ac:dyDescent="0.25">
      <c r="A1243" t="s">
        <v>218</v>
      </c>
      <c r="B1243" t="s">
        <v>219</v>
      </c>
      <c r="C1243" t="s">
        <v>365</v>
      </c>
      <c r="D1243">
        <v>0</v>
      </c>
    </row>
    <row r="1244" spans="1:4" x14ac:dyDescent="0.25">
      <c r="A1244" t="s">
        <v>220</v>
      </c>
      <c r="B1244" t="s">
        <v>221</v>
      </c>
      <c r="C1244" t="s">
        <v>239</v>
      </c>
      <c r="D1244">
        <v>0</v>
      </c>
    </row>
    <row r="1245" spans="1:4" x14ac:dyDescent="0.25">
      <c r="A1245" t="s">
        <v>220</v>
      </c>
      <c r="B1245" t="s">
        <v>221</v>
      </c>
      <c r="C1245" t="s">
        <v>240</v>
      </c>
      <c r="D1245">
        <v>0</v>
      </c>
    </row>
    <row r="1246" spans="1:4" x14ac:dyDescent="0.25">
      <c r="A1246" t="s">
        <v>220</v>
      </c>
      <c r="B1246" t="s">
        <v>221</v>
      </c>
      <c r="C1246" t="s">
        <v>333</v>
      </c>
      <c r="D1246">
        <v>0</v>
      </c>
    </row>
    <row r="1247" spans="1:4" x14ac:dyDescent="0.25">
      <c r="A1247" t="s">
        <v>220</v>
      </c>
      <c r="B1247" t="s">
        <v>221</v>
      </c>
      <c r="C1247" t="s">
        <v>334</v>
      </c>
      <c r="D1247">
        <v>0</v>
      </c>
    </row>
    <row r="1248" spans="1:4" x14ac:dyDescent="0.25">
      <c r="A1248" t="s">
        <v>220</v>
      </c>
      <c r="B1248" t="s">
        <v>221</v>
      </c>
      <c r="C1248" t="s">
        <v>335</v>
      </c>
      <c r="D1248">
        <v>0</v>
      </c>
    </row>
    <row r="1249" spans="1:4" x14ac:dyDescent="0.25">
      <c r="A1249" t="s">
        <v>220</v>
      </c>
      <c r="B1249" t="s">
        <v>221</v>
      </c>
      <c r="C1249" t="s">
        <v>336</v>
      </c>
      <c r="D1249">
        <v>0</v>
      </c>
    </row>
    <row r="1250" spans="1:4" x14ac:dyDescent="0.25">
      <c r="A1250" t="s">
        <v>220</v>
      </c>
      <c r="B1250" t="s">
        <v>221</v>
      </c>
      <c r="C1250" t="s">
        <v>337</v>
      </c>
      <c r="D1250">
        <v>0</v>
      </c>
    </row>
    <row r="1251" spans="1:4" x14ac:dyDescent="0.25">
      <c r="A1251" t="s">
        <v>220</v>
      </c>
      <c r="B1251" t="s">
        <v>221</v>
      </c>
      <c r="C1251" t="s">
        <v>338</v>
      </c>
      <c r="D1251">
        <v>0</v>
      </c>
    </row>
    <row r="1252" spans="1:4" x14ac:dyDescent="0.25">
      <c r="A1252" t="s">
        <v>220</v>
      </c>
      <c r="B1252" t="s">
        <v>221</v>
      </c>
      <c r="C1252" t="s">
        <v>339</v>
      </c>
      <c r="D1252">
        <v>0</v>
      </c>
    </row>
    <row r="1253" spans="1:4" x14ac:dyDescent="0.25">
      <c r="A1253" t="s">
        <v>220</v>
      </c>
      <c r="B1253" t="s">
        <v>221</v>
      </c>
      <c r="C1253" t="s">
        <v>340</v>
      </c>
      <c r="D1253">
        <v>0</v>
      </c>
    </row>
    <row r="1254" spans="1:4" x14ac:dyDescent="0.25">
      <c r="A1254" t="s">
        <v>220</v>
      </c>
      <c r="B1254" t="s">
        <v>221</v>
      </c>
      <c r="C1254" t="s">
        <v>341</v>
      </c>
      <c r="D1254">
        <v>0</v>
      </c>
    </row>
    <row r="1255" spans="1:4" x14ac:dyDescent="0.25">
      <c r="A1255" t="s">
        <v>220</v>
      </c>
      <c r="B1255" t="s">
        <v>221</v>
      </c>
      <c r="C1255" t="s">
        <v>342</v>
      </c>
      <c r="D1255">
        <v>0</v>
      </c>
    </row>
    <row r="1256" spans="1:4" x14ac:dyDescent="0.25">
      <c r="A1256" t="s">
        <v>220</v>
      </c>
      <c r="B1256" t="s">
        <v>221</v>
      </c>
      <c r="C1256" t="s">
        <v>343</v>
      </c>
      <c r="D1256">
        <v>0</v>
      </c>
    </row>
    <row r="1257" spans="1:4" x14ac:dyDescent="0.25">
      <c r="A1257" t="s">
        <v>220</v>
      </c>
      <c r="B1257" t="s">
        <v>221</v>
      </c>
      <c r="C1257" t="s">
        <v>344</v>
      </c>
      <c r="D1257">
        <v>0</v>
      </c>
    </row>
    <row r="1258" spans="1:4" x14ac:dyDescent="0.25">
      <c r="A1258" t="s">
        <v>220</v>
      </c>
      <c r="B1258" t="s">
        <v>221</v>
      </c>
      <c r="C1258" t="s">
        <v>345</v>
      </c>
      <c r="D1258">
        <v>0</v>
      </c>
    </row>
    <row r="1259" spans="1:4" x14ac:dyDescent="0.25">
      <c r="A1259" t="s">
        <v>220</v>
      </c>
      <c r="B1259" t="s">
        <v>221</v>
      </c>
      <c r="C1259" t="s">
        <v>346</v>
      </c>
      <c r="D1259">
        <v>0</v>
      </c>
    </row>
    <row r="1260" spans="1:4" x14ac:dyDescent="0.25">
      <c r="A1260" t="s">
        <v>220</v>
      </c>
      <c r="B1260" t="s">
        <v>221</v>
      </c>
      <c r="C1260" t="s">
        <v>347</v>
      </c>
      <c r="D1260">
        <v>0</v>
      </c>
    </row>
    <row r="1261" spans="1:4" x14ac:dyDescent="0.25">
      <c r="A1261" t="s">
        <v>220</v>
      </c>
      <c r="B1261" t="s">
        <v>221</v>
      </c>
      <c r="C1261" t="s">
        <v>348</v>
      </c>
      <c r="D1261">
        <v>0</v>
      </c>
    </row>
    <row r="1262" spans="1:4" x14ac:dyDescent="0.25">
      <c r="A1262" t="s">
        <v>220</v>
      </c>
      <c r="B1262" t="s">
        <v>221</v>
      </c>
      <c r="C1262" t="s">
        <v>349</v>
      </c>
      <c r="D1262">
        <v>0</v>
      </c>
    </row>
    <row r="1263" spans="1:4" x14ac:dyDescent="0.25">
      <c r="A1263" t="s">
        <v>220</v>
      </c>
      <c r="B1263" t="s">
        <v>221</v>
      </c>
      <c r="C1263" t="s">
        <v>350</v>
      </c>
      <c r="D1263">
        <v>0</v>
      </c>
    </row>
    <row r="1264" spans="1:4" x14ac:dyDescent="0.25">
      <c r="A1264" t="s">
        <v>220</v>
      </c>
      <c r="B1264" t="s">
        <v>221</v>
      </c>
      <c r="C1264" t="s">
        <v>351</v>
      </c>
      <c r="D1264">
        <v>0</v>
      </c>
    </row>
    <row r="1265" spans="1:4" x14ac:dyDescent="0.25">
      <c r="A1265" t="s">
        <v>220</v>
      </c>
      <c r="B1265" t="s">
        <v>221</v>
      </c>
      <c r="C1265" t="s">
        <v>352</v>
      </c>
      <c r="D1265">
        <v>0</v>
      </c>
    </row>
    <row r="1266" spans="1:4" x14ac:dyDescent="0.25">
      <c r="A1266" t="s">
        <v>220</v>
      </c>
      <c r="B1266" t="s">
        <v>221</v>
      </c>
      <c r="C1266" t="s">
        <v>353</v>
      </c>
      <c r="D1266">
        <v>0</v>
      </c>
    </row>
    <row r="1267" spans="1:4" x14ac:dyDescent="0.25">
      <c r="A1267" t="s">
        <v>220</v>
      </c>
      <c r="B1267" t="s">
        <v>221</v>
      </c>
      <c r="C1267" t="s">
        <v>354</v>
      </c>
      <c r="D1267">
        <v>0</v>
      </c>
    </row>
    <row r="1268" spans="1:4" x14ac:dyDescent="0.25">
      <c r="A1268" t="s">
        <v>220</v>
      </c>
      <c r="B1268" t="s">
        <v>221</v>
      </c>
      <c r="C1268" t="s">
        <v>355</v>
      </c>
      <c r="D1268">
        <v>0</v>
      </c>
    </row>
    <row r="1269" spans="1:4" x14ac:dyDescent="0.25">
      <c r="A1269" t="s">
        <v>220</v>
      </c>
      <c r="B1269" t="s">
        <v>221</v>
      </c>
      <c r="C1269" t="s">
        <v>356</v>
      </c>
      <c r="D1269">
        <v>0</v>
      </c>
    </row>
    <row r="1270" spans="1:4" x14ac:dyDescent="0.25">
      <c r="A1270" t="s">
        <v>220</v>
      </c>
      <c r="B1270" t="s">
        <v>221</v>
      </c>
      <c r="C1270" t="s">
        <v>357</v>
      </c>
      <c r="D1270">
        <v>0</v>
      </c>
    </row>
    <row r="1271" spans="1:4" x14ac:dyDescent="0.25">
      <c r="A1271" t="s">
        <v>220</v>
      </c>
      <c r="B1271" t="s">
        <v>221</v>
      </c>
      <c r="C1271" t="s">
        <v>358</v>
      </c>
      <c r="D1271">
        <v>0</v>
      </c>
    </row>
    <row r="1272" spans="1:4" x14ac:dyDescent="0.25">
      <c r="A1272" t="s">
        <v>220</v>
      </c>
      <c r="B1272" t="s">
        <v>221</v>
      </c>
      <c r="C1272" t="s">
        <v>359</v>
      </c>
      <c r="D1272">
        <v>0</v>
      </c>
    </row>
    <row r="1273" spans="1:4" x14ac:dyDescent="0.25">
      <c r="A1273" t="s">
        <v>220</v>
      </c>
      <c r="B1273" t="s">
        <v>221</v>
      </c>
      <c r="C1273" t="s">
        <v>360</v>
      </c>
      <c r="D1273">
        <v>0</v>
      </c>
    </row>
    <row r="1274" spans="1:4" x14ac:dyDescent="0.25">
      <c r="A1274" t="s">
        <v>220</v>
      </c>
      <c r="B1274" t="s">
        <v>221</v>
      </c>
      <c r="C1274" t="s">
        <v>361</v>
      </c>
      <c r="D1274">
        <v>0</v>
      </c>
    </row>
    <row r="1275" spans="1:4" x14ac:dyDescent="0.25">
      <c r="A1275" t="s">
        <v>220</v>
      </c>
      <c r="B1275" t="s">
        <v>221</v>
      </c>
      <c r="C1275" t="s">
        <v>362</v>
      </c>
      <c r="D1275">
        <v>0</v>
      </c>
    </row>
    <row r="1276" spans="1:4" x14ac:dyDescent="0.25">
      <c r="A1276" t="s">
        <v>220</v>
      </c>
      <c r="B1276" t="s">
        <v>221</v>
      </c>
      <c r="C1276" t="s">
        <v>363</v>
      </c>
      <c r="D1276">
        <v>0</v>
      </c>
    </row>
    <row r="1277" spans="1:4" x14ac:dyDescent="0.25">
      <c r="A1277" t="s">
        <v>220</v>
      </c>
      <c r="B1277" t="s">
        <v>221</v>
      </c>
      <c r="C1277" t="s">
        <v>364</v>
      </c>
      <c r="D1277">
        <v>0</v>
      </c>
    </row>
    <row r="1278" spans="1:4" x14ac:dyDescent="0.25">
      <c r="A1278" t="s">
        <v>220</v>
      </c>
      <c r="B1278" t="s">
        <v>221</v>
      </c>
      <c r="C1278" t="s">
        <v>365</v>
      </c>
      <c r="D1278">
        <v>0</v>
      </c>
    </row>
    <row r="1279" spans="1:4" x14ac:dyDescent="0.25">
      <c r="A1279" t="s">
        <v>222</v>
      </c>
      <c r="B1279" t="s">
        <v>223</v>
      </c>
      <c r="C1279" t="s">
        <v>345</v>
      </c>
      <c r="D1279">
        <v>0</v>
      </c>
    </row>
    <row r="1280" spans="1:4" x14ac:dyDescent="0.25">
      <c r="A1280" t="s">
        <v>222</v>
      </c>
      <c r="B1280" t="s">
        <v>223</v>
      </c>
      <c r="C1280" t="s">
        <v>346</v>
      </c>
      <c r="D1280">
        <v>0</v>
      </c>
    </row>
    <row r="1281" spans="1:4" x14ac:dyDescent="0.25">
      <c r="A1281" t="s">
        <v>222</v>
      </c>
      <c r="B1281" t="s">
        <v>223</v>
      </c>
      <c r="C1281" t="s">
        <v>347</v>
      </c>
      <c r="D1281">
        <v>0</v>
      </c>
    </row>
    <row r="1282" spans="1:4" x14ac:dyDescent="0.25">
      <c r="A1282" t="s">
        <v>222</v>
      </c>
      <c r="B1282" t="s">
        <v>223</v>
      </c>
      <c r="C1282" t="s">
        <v>348</v>
      </c>
      <c r="D1282">
        <v>0</v>
      </c>
    </row>
    <row r="1283" spans="1:4" x14ac:dyDescent="0.25">
      <c r="A1283" t="s">
        <v>222</v>
      </c>
      <c r="B1283" t="s">
        <v>223</v>
      </c>
      <c r="C1283" t="s">
        <v>349</v>
      </c>
      <c r="D1283">
        <v>0</v>
      </c>
    </row>
    <row r="1284" spans="1:4" x14ac:dyDescent="0.25">
      <c r="A1284" t="s">
        <v>222</v>
      </c>
      <c r="B1284" t="s">
        <v>223</v>
      </c>
      <c r="C1284" t="s">
        <v>350</v>
      </c>
      <c r="D1284">
        <v>0</v>
      </c>
    </row>
    <row r="1285" spans="1:4" x14ac:dyDescent="0.25">
      <c r="A1285" t="s">
        <v>222</v>
      </c>
      <c r="B1285" t="s">
        <v>223</v>
      </c>
      <c r="C1285" t="s">
        <v>351</v>
      </c>
      <c r="D1285">
        <v>0</v>
      </c>
    </row>
    <row r="1286" spans="1:4" x14ac:dyDescent="0.25">
      <c r="A1286" t="s">
        <v>222</v>
      </c>
      <c r="B1286" t="s">
        <v>223</v>
      </c>
      <c r="C1286" t="s">
        <v>352</v>
      </c>
      <c r="D1286">
        <v>0</v>
      </c>
    </row>
    <row r="1287" spans="1:4" x14ac:dyDescent="0.25">
      <c r="A1287" t="s">
        <v>222</v>
      </c>
      <c r="B1287" t="s">
        <v>223</v>
      </c>
      <c r="C1287" t="s">
        <v>353</v>
      </c>
      <c r="D1287">
        <v>0</v>
      </c>
    </row>
    <row r="1288" spans="1:4" x14ac:dyDescent="0.25">
      <c r="A1288" t="s">
        <v>222</v>
      </c>
      <c r="B1288" t="s">
        <v>223</v>
      </c>
      <c r="C1288" t="s">
        <v>354</v>
      </c>
      <c r="D1288">
        <v>0</v>
      </c>
    </row>
    <row r="1289" spans="1:4" x14ac:dyDescent="0.25">
      <c r="A1289" t="s">
        <v>222</v>
      </c>
      <c r="B1289" t="s">
        <v>223</v>
      </c>
      <c r="C1289" t="s">
        <v>355</v>
      </c>
      <c r="D1289">
        <v>0</v>
      </c>
    </row>
    <row r="1290" spans="1:4" x14ac:dyDescent="0.25">
      <c r="A1290" t="s">
        <v>222</v>
      </c>
      <c r="B1290" t="s">
        <v>223</v>
      </c>
      <c r="C1290" t="s">
        <v>356</v>
      </c>
      <c r="D1290">
        <v>0</v>
      </c>
    </row>
    <row r="1291" spans="1:4" x14ac:dyDescent="0.25">
      <c r="A1291" t="s">
        <v>222</v>
      </c>
      <c r="B1291" t="s">
        <v>223</v>
      </c>
      <c r="C1291" t="s">
        <v>357</v>
      </c>
      <c r="D1291">
        <v>0</v>
      </c>
    </row>
    <row r="1292" spans="1:4" x14ac:dyDescent="0.25">
      <c r="A1292" t="s">
        <v>222</v>
      </c>
      <c r="B1292" t="s">
        <v>223</v>
      </c>
      <c r="C1292" t="s">
        <v>358</v>
      </c>
      <c r="D1292">
        <v>0</v>
      </c>
    </row>
    <row r="1293" spans="1:4" x14ac:dyDescent="0.25">
      <c r="A1293" t="s">
        <v>222</v>
      </c>
      <c r="B1293" t="s">
        <v>223</v>
      </c>
      <c r="C1293" t="s">
        <v>359</v>
      </c>
      <c r="D1293">
        <v>0</v>
      </c>
    </row>
    <row r="1294" spans="1:4" x14ac:dyDescent="0.25">
      <c r="A1294" t="s">
        <v>222</v>
      </c>
      <c r="B1294" t="s">
        <v>223</v>
      </c>
      <c r="C1294" t="s">
        <v>360</v>
      </c>
      <c r="D1294">
        <v>0</v>
      </c>
    </row>
    <row r="1295" spans="1:4" x14ac:dyDescent="0.25">
      <c r="A1295" t="s">
        <v>222</v>
      </c>
      <c r="B1295" t="s">
        <v>223</v>
      </c>
      <c r="C1295" t="s">
        <v>361</v>
      </c>
      <c r="D1295">
        <v>0</v>
      </c>
    </row>
    <row r="1296" spans="1:4" x14ac:dyDescent="0.25">
      <c r="A1296" t="s">
        <v>222</v>
      </c>
      <c r="B1296" t="s">
        <v>223</v>
      </c>
      <c r="C1296" t="s">
        <v>362</v>
      </c>
      <c r="D1296">
        <v>0</v>
      </c>
    </row>
    <row r="1297" spans="1:4" x14ac:dyDescent="0.25">
      <c r="A1297" t="s">
        <v>222</v>
      </c>
      <c r="B1297" t="s">
        <v>223</v>
      </c>
      <c r="C1297" t="s">
        <v>363</v>
      </c>
      <c r="D1297">
        <v>0</v>
      </c>
    </row>
    <row r="1298" spans="1:4" x14ac:dyDescent="0.25">
      <c r="A1298" t="s">
        <v>222</v>
      </c>
      <c r="B1298" t="s">
        <v>223</v>
      </c>
      <c r="C1298" t="s">
        <v>364</v>
      </c>
      <c r="D1298">
        <v>0</v>
      </c>
    </row>
    <row r="1299" spans="1:4" x14ac:dyDescent="0.25">
      <c r="A1299" t="s">
        <v>222</v>
      </c>
      <c r="B1299" t="s">
        <v>223</v>
      </c>
      <c r="C1299" t="s">
        <v>365</v>
      </c>
      <c r="D1299">
        <v>0</v>
      </c>
    </row>
    <row r="1300" spans="1:4" x14ac:dyDescent="0.25">
      <c r="A1300" t="s">
        <v>224</v>
      </c>
      <c r="B1300" t="s">
        <v>225</v>
      </c>
      <c r="C1300" t="s">
        <v>351</v>
      </c>
      <c r="D1300">
        <v>0</v>
      </c>
    </row>
    <row r="1301" spans="1:4" x14ac:dyDescent="0.25">
      <c r="A1301" t="s">
        <v>224</v>
      </c>
      <c r="B1301" t="s">
        <v>225</v>
      </c>
      <c r="C1301" t="s">
        <v>352</v>
      </c>
      <c r="D1301">
        <v>0</v>
      </c>
    </row>
    <row r="1302" spans="1:4" x14ac:dyDescent="0.25">
      <c r="A1302" t="s">
        <v>224</v>
      </c>
      <c r="B1302" t="s">
        <v>225</v>
      </c>
      <c r="C1302" t="s">
        <v>353</v>
      </c>
      <c r="D1302">
        <v>0</v>
      </c>
    </row>
    <row r="1303" spans="1:4" x14ac:dyDescent="0.25">
      <c r="A1303" t="s">
        <v>224</v>
      </c>
      <c r="B1303" t="s">
        <v>225</v>
      </c>
      <c r="C1303" t="s">
        <v>354</v>
      </c>
      <c r="D1303">
        <v>0</v>
      </c>
    </row>
    <row r="1304" spans="1:4" x14ac:dyDescent="0.25">
      <c r="A1304" t="s">
        <v>224</v>
      </c>
      <c r="B1304" t="s">
        <v>225</v>
      </c>
      <c r="C1304" t="s">
        <v>355</v>
      </c>
      <c r="D1304">
        <v>0</v>
      </c>
    </row>
    <row r="1305" spans="1:4" x14ac:dyDescent="0.25">
      <c r="A1305" t="s">
        <v>224</v>
      </c>
      <c r="B1305" t="s">
        <v>225</v>
      </c>
      <c r="C1305" t="s">
        <v>356</v>
      </c>
      <c r="D1305">
        <v>0</v>
      </c>
    </row>
    <row r="1306" spans="1:4" x14ac:dyDescent="0.25">
      <c r="A1306" t="s">
        <v>224</v>
      </c>
      <c r="B1306" t="s">
        <v>225</v>
      </c>
      <c r="C1306" t="s">
        <v>357</v>
      </c>
      <c r="D1306">
        <v>0</v>
      </c>
    </row>
    <row r="1307" spans="1:4" x14ac:dyDescent="0.25">
      <c r="A1307" t="s">
        <v>224</v>
      </c>
      <c r="B1307" t="s">
        <v>225</v>
      </c>
      <c r="C1307" t="s">
        <v>358</v>
      </c>
      <c r="D1307">
        <v>0</v>
      </c>
    </row>
    <row r="1308" spans="1:4" x14ac:dyDescent="0.25">
      <c r="A1308" t="s">
        <v>224</v>
      </c>
      <c r="B1308" t="s">
        <v>225</v>
      </c>
      <c r="C1308" t="s">
        <v>359</v>
      </c>
      <c r="D1308">
        <v>0</v>
      </c>
    </row>
    <row r="1309" spans="1:4" x14ac:dyDescent="0.25">
      <c r="A1309" t="s">
        <v>224</v>
      </c>
      <c r="B1309" t="s">
        <v>225</v>
      </c>
      <c r="C1309" t="s">
        <v>360</v>
      </c>
      <c r="D1309">
        <v>0</v>
      </c>
    </row>
    <row r="1310" spans="1:4" x14ac:dyDescent="0.25">
      <c r="A1310" t="s">
        <v>224</v>
      </c>
      <c r="B1310" t="s">
        <v>225</v>
      </c>
      <c r="C1310" t="s">
        <v>361</v>
      </c>
      <c r="D1310">
        <v>0</v>
      </c>
    </row>
    <row r="1311" spans="1:4" x14ac:dyDescent="0.25">
      <c r="A1311" t="s">
        <v>224</v>
      </c>
      <c r="B1311" t="s">
        <v>225</v>
      </c>
      <c r="C1311" t="s">
        <v>362</v>
      </c>
      <c r="D1311">
        <v>0</v>
      </c>
    </row>
    <row r="1312" spans="1:4" x14ac:dyDescent="0.25">
      <c r="A1312" t="s">
        <v>224</v>
      </c>
      <c r="B1312" t="s">
        <v>225</v>
      </c>
      <c r="C1312" t="s">
        <v>363</v>
      </c>
      <c r="D1312">
        <v>0</v>
      </c>
    </row>
    <row r="1313" spans="1:4" x14ac:dyDescent="0.25">
      <c r="A1313" t="s">
        <v>224</v>
      </c>
      <c r="B1313" t="s">
        <v>225</v>
      </c>
      <c r="C1313" t="s">
        <v>364</v>
      </c>
      <c r="D1313">
        <v>0</v>
      </c>
    </row>
    <row r="1314" spans="1:4" x14ac:dyDescent="0.25">
      <c r="A1314" t="s">
        <v>224</v>
      </c>
      <c r="B1314" t="s">
        <v>225</v>
      </c>
      <c r="C1314" t="s">
        <v>365</v>
      </c>
      <c r="D1314">
        <v>0</v>
      </c>
    </row>
    <row r="1315" spans="1:4" x14ac:dyDescent="0.25">
      <c r="A1315" t="s">
        <v>226</v>
      </c>
      <c r="B1315" t="s">
        <v>227</v>
      </c>
      <c r="C1315" t="s">
        <v>355</v>
      </c>
      <c r="D1315">
        <v>0</v>
      </c>
    </row>
    <row r="1316" spans="1:4" x14ac:dyDescent="0.25">
      <c r="A1316" t="s">
        <v>226</v>
      </c>
      <c r="B1316" t="s">
        <v>227</v>
      </c>
      <c r="C1316" t="s">
        <v>356</v>
      </c>
      <c r="D1316">
        <v>0</v>
      </c>
    </row>
    <row r="1317" spans="1:4" x14ac:dyDescent="0.25">
      <c r="A1317" t="s">
        <v>226</v>
      </c>
      <c r="B1317" t="s">
        <v>227</v>
      </c>
      <c r="C1317" t="s">
        <v>357</v>
      </c>
      <c r="D1317">
        <v>0</v>
      </c>
    </row>
    <row r="1318" spans="1:4" x14ac:dyDescent="0.25">
      <c r="A1318" t="s">
        <v>226</v>
      </c>
      <c r="B1318" t="s">
        <v>227</v>
      </c>
      <c r="C1318" t="s">
        <v>358</v>
      </c>
      <c r="D1318">
        <v>0</v>
      </c>
    </row>
    <row r="1319" spans="1:4" x14ac:dyDescent="0.25">
      <c r="A1319" t="s">
        <v>226</v>
      </c>
      <c r="B1319" t="s">
        <v>227</v>
      </c>
      <c r="C1319" t="s">
        <v>359</v>
      </c>
      <c r="D1319">
        <v>0</v>
      </c>
    </row>
    <row r="1320" spans="1:4" x14ac:dyDescent="0.25">
      <c r="A1320" t="s">
        <v>226</v>
      </c>
      <c r="B1320" t="s">
        <v>227</v>
      </c>
      <c r="C1320" t="s">
        <v>360</v>
      </c>
      <c r="D1320">
        <v>0</v>
      </c>
    </row>
    <row r="1321" spans="1:4" x14ac:dyDescent="0.25">
      <c r="A1321" t="s">
        <v>226</v>
      </c>
      <c r="B1321" t="s">
        <v>227</v>
      </c>
      <c r="C1321" t="s">
        <v>361</v>
      </c>
      <c r="D1321">
        <v>0</v>
      </c>
    </row>
    <row r="1322" spans="1:4" x14ac:dyDescent="0.25">
      <c r="A1322" t="s">
        <v>226</v>
      </c>
      <c r="B1322" t="s">
        <v>227</v>
      </c>
      <c r="C1322" t="s">
        <v>362</v>
      </c>
      <c r="D1322">
        <v>0</v>
      </c>
    </row>
    <row r="1323" spans="1:4" x14ac:dyDescent="0.25">
      <c r="A1323" t="s">
        <v>226</v>
      </c>
      <c r="B1323" t="s">
        <v>227</v>
      </c>
      <c r="C1323" t="s">
        <v>363</v>
      </c>
      <c r="D1323">
        <v>0</v>
      </c>
    </row>
    <row r="1324" spans="1:4" x14ac:dyDescent="0.25">
      <c r="A1324" t="s">
        <v>226</v>
      </c>
      <c r="B1324" t="s">
        <v>227</v>
      </c>
      <c r="C1324" t="s">
        <v>364</v>
      </c>
      <c r="D1324">
        <v>0</v>
      </c>
    </row>
    <row r="1325" spans="1:4" x14ac:dyDescent="0.25">
      <c r="A1325" t="s">
        <v>226</v>
      </c>
      <c r="B1325" t="s">
        <v>227</v>
      </c>
      <c r="C1325" t="s">
        <v>365</v>
      </c>
      <c r="D1325">
        <v>0</v>
      </c>
    </row>
    <row r="1326" spans="1:4" x14ac:dyDescent="0.25">
      <c r="A1326" t="s">
        <v>232</v>
      </c>
      <c r="B1326" t="s">
        <v>233</v>
      </c>
      <c r="C1326" t="s">
        <v>363</v>
      </c>
      <c r="D1326">
        <v>0</v>
      </c>
    </row>
    <row r="1327" spans="1:4" x14ac:dyDescent="0.25">
      <c r="A1327" t="s">
        <v>232</v>
      </c>
      <c r="B1327" t="s">
        <v>233</v>
      </c>
      <c r="C1327" t="s">
        <v>364</v>
      </c>
      <c r="D1327">
        <v>0</v>
      </c>
    </row>
    <row r="1328" spans="1:4" x14ac:dyDescent="0.25">
      <c r="A1328" t="s">
        <v>232</v>
      </c>
      <c r="B1328" t="s">
        <v>233</v>
      </c>
      <c r="C1328" t="s">
        <v>365</v>
      </c>
      <c r="D1328">
        <v>0</v>
      </c>
    </row>
    <row r="1329" spans="1:4" x14ac:dyDescent="0.25">
      <c r="A1329" t="s">
        <v>234</v>
      </c>
      <c r="B1329" t="s">
        <v>235</v>
      </c>
      <c r="C1329" t="s">
        <v>364</v>
      </c>
      <c r="D1329">
        <v>0</v>
      </c>
    </row>
    <row r="1330" spans="1:4" x14ac:dyDescent="0.25">
      <c r="A1330" t="s">
        <v>234</v>
      </c>
      <c r="B1330" t="s">
        <v>235</v>
      </c>
      <c r="C1330" t="s">
        <v>365</v>
      </c>
      <c r="D133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152</vt:i4>
      </vt:variant>
    </vt:vector>
  </HeadingPairs>
  <TitlesOfParts>
    <vt:vector size="160" baseType="lpstr">
      <vt:lpstr>Operating</vt:lpstr>
      <vt:lpstr>Expenses</vt:lpstr>
      <vt:lpstr>Occupancy</vt:lpstr>
      <vt:lpstr>AnnualFinancialData</vt:lpstr>
      <vt:lpstr>ProjectTypeData</vt:lpstr>
      <vt:lpstr>BalanceSheetData</vt:lpstr>
      <vt:lpstr>IncomeStatementData</vt:lpstr>
      <vt:lpstr>OccupancyData</vt:lpstr>
      <vt:lpstr>Acf_ab_cell</vt:lpstr>
      <vt:lpstr>Acf_ab_cell1</vt:lpstr>
      <vt:lpstr>Acf_ytd_cell</vt:lpstr>
      <vt:lpstr>Acf_ytd_cell1</vt:lpstr>
      <vt:lpstr>Acf_ytda_cell</vt:lpstr>
      <vt:lpstr>Acf_ytda_cell1</vt:lpstr>
      <vt:lpstr>Acf_ytdau_cell</vt:lpstr>
      <vt:lpstr>Acf_ytdau_cell1</vt:lpstr>
      <vt:lpstr>Acf_ytdbu_cell</vt:lpstr>
      <vt:lpstr>Acf_ytdbu_cell1</vt:lpstr>
      <vt:lpstr>Adm_ytdau_cell</vt:lpstr>
      <vt:lpstr>Adm_ytdau_cell1</vt:lpstr>
      <vt:lpstr>Adm_ytdb_cell</vt:lpstr>
      <vt:lpstr>Adm_ytdb_cell1</vt:lpstr>
      <vt:lpstr>Adm_ytdbu_cell</vt:lpstr>
      <vt:lpstr>Adm_ytdbu_cell1</vt:lpstr>
      <vt:lpstr>Amf_ytd_cell</vt:lpstr>
      <vt:lpstr>Amf_ytd_cell1</vt:lpstr>
      <vt:lpstr>Amf_ytdau_cell</vt:lpstr>
      <vt:lpstr>Amf_ytdau_cell1</vt:lpstr>
      <vt:lpstr>Amf_ytdbu_cell</vt:lpstr>
      <vt:lpstr>Amf_ytdbu_cell1</vt:lpstr>
      <vt:lpstr>Bd_ytdau_cell</vt:lpstr>
      <vt:lpstr>Bd_ytdau_cell1</vt:lpstr>
      <vt:lpstr>Bd_ytdb_cell</vt:lpstr>
      <vt:lpstr>Bd_ytdb_cell1</vt:lpstr>
      <vt:lpstr>Bd_ytdbu_cell</vt:lpstr>
      <vt:lpstr>Bd_ytdbu_cell1</vt:lpstr>
      <vt:lpstr>Cap_ytd_cell</vt:lpstr>
      <vt:lpstr>Cap_ytd_cell1</vt:lpstr>
      <vt:lpstr>Cap_ytdau_cell</vt:lpstr>
      <vt:lpstr>Cap_ytdau_cell1</vt:lpstr>
      <vt:lpstr>Cap_ytdbu_cell</vt:lpstr>
      <vt:lpstr>Cap_ytdbu_cell1</vt:lpstr>
      <vt:lpstr>Cf_ytd_cell</vt:lpstr>
      <vt:lpstr>Cf_ytd_cell1</vt:lpstr>
      <vt:lpstr>Dev_cell</vt:lpstr>
      <vt:lpstr>Dev_exp</vt:lpstr>
      <vt:lpstr>Fm_ytd_cell</vt:lpstr>
      <vt:lpstr>Fm_ytd_cell1</vt:lpstr>
      <vt:lpstr>Fm_ytdau_cell</vt:lpstr>
      <vt:lpstr>Fm_ytdau_cell1</vt:lpstr>
      <vt:lpstr>Fm_ytdbu_cell</vt:lpstr>
      <vt:lpstr>Fm_ytdbu_cell1</vt:lpstr>
      <vt:lpstr>Ins_ytdau_cell</vt:lpstr>
      <vt:lpstr>Ins_ytdau_cell1</vt:lpstr>
      <vt:lpstr>Ins_ytdb_cell</vt:lpstr>
      <vt:lpstr>Ins_ytdb_cell1</vt:lpstr>
      <vt:lpstr>Ins_ytdbu_cell</vt:lpstr>
      <vt:lpstr>Ins_ytdbu_cell1</vt:lpstr>
      <vt:lpstr>Mf_ytdau_cell</vt:lpstr>
      <vt:lpstr>Mf_ytdau_cell1</vt:lpstr>
      <vt:lpstr>Mf_ytdb_cell</vt:lpstr>
      <vt:lpstr>Mf_ytdb_cell1</vt:lpstr>
      <vt:lpstr>Mf_ytdbu_cell</vt:lpstr>
      <vt:lpstr>Mf_ytdbu_cell1</vt:lpstr>
      <vt:lpstr>Noi_ab_cell</vt:lpstr>
      <vt:lpstr>Noi_ab_cell1</vt:lpstr>
      <vt:lpstr>Noi_ytd_cell</vt:lpstr>
      <vt:lpstr>Noi_ytd_cell1</vt:lpstr>
      <vt:lpstr>Noi_ytda_cell</vt:lpstr>
      <vt:lpstr>Noi_ytda_cell1</vt:lpstr>
      <vt:lpstr>Noi_ytdau_cell</vt:lpstr>
      <vt:lpstr>Noi_ytdau_cell1</vt:lpstr>
      <vt:lpstr>Noi_ytdb_cell</vt:lpstr>
      <vt:lpstr>Noi_ytdbu_cell</vt:lpstr>
      <vt:lpstr>Noi_ytdbu_cell1</vt:lpstr>
      <vt:lpstr>Oc_ab_cell</vt:lpstr>
      <vt:lpstr>Oc_ab_cell1</vt:lpstr>
      <vt:lpstr>Oc_ytd_cell</vt:lpstr>
      <vt:lpstr>Oc_ytd_cell1</vt:lpstr>
      <vt:lpstr>Oc_ytda_cell</vt:lpstr>
      <vt:lpstr>Oc_ytda_cell1</vt:lpstr>
      <vt:lpstr>Oc_ytdaer_cell</vt:lpstr>
      <vt:lpstr>Oc_ytdaer_cell1</vt:lpstr>
      <vt:lpstr>Oc_ytdau_cell</vt:lpstr>
      <vt:lpstr>Oc_ytdau_cell1</vt:lpstr>
      <vt:lpstr>Oc_ytdbu_cell</vt:lpstr>
      <vt:lpstr>Oc_ytdbu_cell1</vt:lpstr>
      <vt:lpstr>Occupancy_cell</vt:lpstr>
      <vt:lpstr>Occupancy_cell1</vt:lpstr>
      <vt:lpstr>Ocytd_cell</vt:lpstr>
      <vt:lpstr>Ocytd_cell1</vt:lpstr>
      <vt:lpstr>Pay_ytd_cell</vt:lpstr>
      <vt:lpstr>Pay_ytd_cell1</vt:lpstr>
      <vt:lpstr>Pay_ytdau_cell</vt:lpstr>
      <vt:lpstr>Pay_ytdau_cell1</vt:lpstr>
      <vt:lpstr>Pay_ytdb_cell</vt:lpstr>
      <vt:lpstr>Pay_ytdbu_cell</vt:lpstr>
      <vt:lpstr>Pay_ytdbu_cell1</vt:lpstr>
      <vt:lpstr>Rehab_cell</vt:lpstr>
      <vt:lpstr>Rehab_exp</vt:lpstr>
      <vt:lpstr>Res_ytd_cell</vt:lpstr>
      <vt:lpstr>Res_ytd_cell1</vt:lpstr>
      <vt:lpstr>Res_ytdau_cell</vt:lpstr>
      <vt:lpstr>Res_ytdau_cell1</vt:lpstr>
      <vt:lpstr>Res_ytdbu_cell</vt:lpstr>
      <vt:lpstr>Res_ytdbu_cell1</vt:lpstr>
      <vt:lpstr>Rm_ytdau_cell</vt:lpstr>
      <vt:lpstr>Rm_ytdau_cell1</vt:lpstr>
      <vt:lpstr>Rm_ytdb_cell</vt:lpstr>
      <vt:lpstr>Rm_ytdb_cell1</vt:lpstr>
      <vt:lpstr>Rm_ytdbu_cell</vt:lpstr>
      <vt:lpstr>Rm_ytdbu_cell1</vt:lpstr>
      <vt:lpstr>Rytd_cell</vt:lpstr>
      <vt:lpstr>Rytd_cell1</vt:lpstr>
      <vt:lpstr>Rytd_cells</vt:lpstr>
      <vt:lpstr>Rytdau_cell</vt:lpstr>
      <vt:lpstr>Rytdau_cell1</vt:lpstr>
      <vt:lpstr>Rytdbu_cell</vt:lpstr>
      <vt:lpstr>Rytdbu_cell1</vt:lpstr>
      <vt:lpstr>Sec_ytdau_cell</vt:lpstr>
      <vt:lpstr>Sec_ytdau_cell1</vt:lpstr>
      <vt:lpstr>Sec_ytdb_cell</vt:lpstr>
      <vt:lpstr>Sec_ytdb_cell1</vt:lpstr>
      <vt:lpstr>Sec_ytdbu_cell</vt:lpstr>
      <vt:lpstr>Sec_ytdbu_cell1</vt:lpstr>
      <vt:lpstr>Tax_ytdau_cell</vt:lpstr>
      <vt:lpstr>Tax_ytdau_cell1</vt:lpstr>
      <vt:lpstr>Tax_ytdb_cell</vt:lpstr>
      <vt:lpstr>Tax_ytdb_cell1</vt:lpstr>
      <vt:lpstr>Tax_ytdbu_cell</vt:lpstr>
      <vt:lpstr>Tax_ytdbu_cell1</vt:lpstr>
      <vt:lpstr>Toe_ytda_cell</vt:lpstr>
      <vt:lpstr>Toe_ytda_cell1</vt:lpstr>
      <vt:lpstr>Toe_ytdab_cell</vt:lpstr>
      <vt:lpstr>Toe_ytdab_cell1</vt:lpstr>
      <vt:lpstr>Toe_ytdau_cell</vt:lpstr>
      <vt:lpstr>Toe_ytdau_cell1</vt:lpstr>
      <vt:lpstr>Toe_ytdb_cell</vt:lpstr>
      <vt:lpstr>Toe_ytdb_cell1</vt:lpstr>
      <vt:lpstr>Toe_ytdbu_cell</vt:lpstr>
      <vt:lpstr>Toe_ytdbu_cell1</vt:lpstr>
      <vt:lpstr>Total_cell</vt:lpstr>
      <vt:lpstr>Total_cell1</vt:lpstr>
      <vt:lpstr>Units_cell</vt:lpstr>
      <vt:lpstr>Units_cell1</vt:lpstr>
      <vt:lpstr>Util_ytdau_cell</vt:lpstr>
      <vt:lpstr>Util_ytdau_cell1</vt:lpstr>
      <vt:lpstr>Util_ytdb_cell</vt:lpstr>
      <vt:lpstr>Util_ytdb_cell1</vt:lpstr>
      <vt:lpstr>Util_ytdbu_cell</vt:lpstr>
      <vt:lpstr>Util_ytdbu_cell1</vt:lpstr>
      <vt:lpstr>Ws_ytdau_cell</vt:lpstr>
      <vt:lpstr>Ws_ytdau_cell1</vt:lpstr>
      <vt:lpstr>Ws_ytdb_cell</vt:lpstr>
      <vt:lpstr>Ws_ytdb_cell1</vt:lpstr>
      <vt:lpstr>Ws_ytdbu_cell</vt:lpstr>
      <vt:lpstr>Ws_ytdbu_cell1</vt:lpstr>
      <vt:lpstr>YTD_Budget</vt:lpstr>
      <vt:lpstr>YtdOccupancy_cell</vt:lpstr>
      <vt:lpstr>YtdOccupancy_cell1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dcterms:created xsi:type="dcterms:W3CDTF">2018-03-08T05:22:43Z</dcterms:created>
  <dcterms:modified xsi:type="dcterms:W3CDTF">2018-03-30T10:52:14Z</dcterms:modified>
</cp:coreProperties>
</file>