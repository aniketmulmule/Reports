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431" codeName="{21656B06-1B9B-AA78-C99D-37B55691406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enterprisecommunity-my.sharepoint.com/personal/mlinnell_enterprisecommunity_com/Documents/IT Projects/Enterprise Homes/Investor Reporting/Supplementals/Supplemental December 2017/"/>
    </mc:Choice>
  </mc:AlternateContent>
  <bookViews>
    <workbookView xWindow="705" yWindow="705" windowWidth="15450" windowHeight="3960" tabRatio="899" firstSheet="1" activeTab="1"/>
  </bookViews>
  <sheets>
    <sheet name="Properties List" sheetId="48" state="hidden" r:id="rId1"/>
    <sheet name="Main" sheetId="34" r:id="rId2"/>
    <sheet name="BalSht" sheetId="2" r:id="rId3"/>
    <sheet name="IncStmt" sheetId="1" r:id="rId4"/>
    <sheet name=" Working TB 12.31" sheetId="53" r:id="rId5"/>
    <sheet name="Income Statement 8.1 to 12.31" sheetId="51" r:id="rId6"/>
    <sheet name="Actual TB as of 12.31" sheetId="52" r:id="rId7"/>
  </sheets>
  <externalReferences>
    <externalReference r:id="rId8"/>
  </externalReferences>
  <definedNames>
    <definedName name="_xlnm._FilterDatabase" localSheetId="1" hidden="1">Main!$C$19:$AH$854</definedName>
    <definedName name="DanaQuery">#REF!</definedName>
    <definedName name="DATA">#REF!</definedName>
    <definedName name="_xlnm.Extract" localSheetId="1">#REF!</definedName>
    <definedName name="FundList">#REF!</definedName>
    <definedName name="FUNDSELECT">#REF!</definedName>
    <definedName name="Investors">#REF!</definedName>
    <definedName name="LegalNames">Main!$D$19:$E$1516</definedName>
    <definedName name="_xlnm.Print_Area" localSheetId="2">BalSht!$A$1:$AK$57</definedName>
    <definedName name="_xlnm.Print_Area" localSheetId="3">IncStmt!$A$1:$AK$35</definedName>
    <definedName name="_xlnm.Print_Area" localSheetId="1">Main!$A$1:$I$55</definedName>
    <definedName name="_xlnm.Print_Titles" localSheetId="6">'Actual TB as of 12.31'!$1:$5</definedName>
    <definedName name="_xlnm.Print_Titles" localSheetId="2">BalSht!$A:$A,BalSht!$1:$9</definedName>
    <definedName name="_xlnm.Print_Titles" localSheetId="5">'Income Statement 8.1 to 12.31'!$1:$5</definedName>
    <definedName name="_xlnm.Print_Titles" localSheetId="3">IncStmt!$A:$A,IncStmt!$1:$9</definedName>
    <definedName name="Project_ID">#REF!</definedName>
    <definedName name="Query_from_ODS_PROD" localSheetId="1">Main!$C$19:$G$698</definedName>
    <definedName name="Query_from_ODS_PROD">#REF!</definedName>
    <definedName name="Query_from_TED">#REF!</definedName>
    <definedName name="ReferenceIndex">[1]Reference!$A$1:$B$1252</definedName>
    <definedName name="YEARSELECT">#REF!</definedName>
  </definedNames>
  <calcPr calcId="171027" calcOnSave="0"/>
</workbook>
</file>

<file path=xl/calcChain.xml><?xml version="1.0" encoding="utf-8"?>
<calcChain xmlns="http://schemas.openxmlformats.org/spreadsheetml/2006/main">
  <c r="P27" i="2" l="1"/>
  <c r="P26" i="2"/>
  <c r="BT156" i="53" l="1"/>
  <c r="BT123" i="53"/>
  <c r="BR156" i="53"/>
  <c r="BR123" i="53"/>
  <c r="BP156" i="53"/>
  <c r="BP123" i="53"/>
  <c r="BN160" i="53"/>
  <c r="BN123" i="53"/>
  <c r="BL156" i="53"/>
  <c r="BL123" i="53"/>
  <c r="BJ160" i="53"/>
  <c r="BJ123" i="53"/>
  <c r="BH162" i="53"/>
  <c r="BH123" i="53"/>
  <c r="BF156" i="53"/>
  <c r="BF123" i="53"/>
  <c r="BD156" i="53"/>
  <c r="BD123" i="53"/>
  <c r="BB156" i="53"/>
  <c r="BB123" i="53"/>
  <c r="AZ156" i="53"/>
  <c r="AZ123" i="53"/>
  <c r="AX156" i="53"/>
  <c r="AX123" i="53"/>
  <c r="AV160" i="53"/>
  <c r="AV123" i="53"/>
  <c r="AT159" i="53"/>
  <c r="AT123" i="53"/>
  <c r="AR156" i="53"/>
  <c r="AR123" i="53"/>
  <c r="AP160" i="53"/>
  <c r="AP123" i="53"/>
  <c r="AN156" i="53"/>
  <c r="AN123" i="53"/>
  <c r="AL156" i="53"/>
  <c r="AL123" i="53"/>
  <c r="AJ160" i="53"/>
  <c r="AJ123" i="53"/>
  <c r="AH160" i="53"/>
  <c r="AH123" i="53"/>
  <c r="AF160" i="53"/>
  <c r="AF123" i="53"/>
  <c r="AD160" i="53"/>
  <c r="AD123" i="53"/>
  <c r="AB160" i="53"/>
  <c r="AB123" i="53"/>
  <c r="Z156" i="53"/>
  <c r="Z123" i="53"/>
  <c r="X160" i="53"/>
  <c r="X123" i="53"/>
  <c r="V156" i="53"/>
  <c r="V123" i="53"/>
  <c r="T160" i="53"/>
  <c r="T123" i="53"/>
  <c r="R156" i="53"/>
  <c r="R123" i="53"/>
  <c r="P160" i="53"/>
  <c r="P123" i="53"/>
  <c r="N160" i="53"/>
  <c r="N123" i="53"/>
  <c r="L160" i="53"/>
  <c r="J161" i="53"/>
  <c r="L123" i="53"/>
  <c r="J123" i="53"/>
  <c r="H160" i="53"/>
  <c r="H123" i="53"/>
  <c r="F160" i="53"/>
  <c r="F123" i="53"/>
  <c r="D160" i="53"/>
  <c r="D123" i="53"/>
  <c r="AN255" i="53" l="1"/>
  <c r="AN251" i="53"/>
  <c r="AJ22" i="1" s="1"/>
  <c r="AJ30" i="1"/>
  <c r="AJ27" i="1"/>
  <c r="AJ25" i="1"/>
  <c r="AJ24" i="1"/>
  <c r="AJ23" i="1"/>
  <c r="AJ21" i="1"/>
  <c r="AJ20" i="1"/>
  <c r="AJ19" i="1"/>
  <c r="AJ15" i="1"/>
  <c r="AJ14" i="1"/>
  <c r="AJ13" i="1"/>
  <c r="AN462" i="53"/>
  <c r="AN416" i="53"/>
  <c r="AN409" i="53"/>
  <c r="AN403" i="53"/>
  <c r="AN402" i="53"/>
  <c r="AN395" i="53"/>
  <c r="AN331" i="53"/>
  <c r="AN249" i="53"/>
  <c r="AN245" i="53"/>
  <c r="AN223" i="53"/>
  <c r="AN212" i="53"/>
  <c r="AJ55" i="2"/>
  <c r="AJ63" i="2"/>
  <c r="AJ51" i="2"/>
  <c r="AJ50" i="2"/>
  <c r="AJ49" i="2"/>
  <c r="AJ48" i="2"/>
  <c r="AJ47" i="2"/>
  <c r="AJ46" i="2"/>
  <c r="AJ45" i="2"/>
  <c r="AJ43" i="2"/>
  <c r="AJ39" i="2"/>
  <c r="AJ32" i="2"/>
  <c r="AJ31" i="2"/>
  <c r="AJ28" i="2"/>
  <c r="AJ27" i="2"/>
  <c r="AJ26" i="2"/>
  <c r="AJ21" i="2"/>
  <c r="AJ16" i="2"/>
  <c r="AJ15" i="2"/>
  <c r="AJ14" i="2"/>
  <c r="AN183" i="53"/>
  <c r="AN199" i="53"/>
  <c r="AN193" i="53"/>
  <c r="AN170" i="53"/>
  <c r="AN163" i="53"/>
  <c r="AN131" i="53"/>
  <c r="AN120" i="53"/>
  <c r="AN109" i="53"/>
  <c r="AN103" i="53"/>
  <c r="AN85" i="53"/>
  <c r="AN49" i="53"/>
  <c r="AN48" i="53"/>
  <c r="AN14" i="53"/>
  <c r="AN6" i="53"/>
  <c r="AN4" i="53"/>
  <c r="AN2" i="53"/>
  <c r="AI30" i="1"/>
  <c r="AI27" i="1"/>
  <c r="AI25" i="1"/>
  <c r="AI24" i="1"/>
  <c r="AI23" i="1"/>
  <c r="AI22" i="1"/>
  <c r="AI21" i="1"/>
  <c r="AI20" i="1"/>
  <c r="AI19" i="1"/>
  <c r="AI15" i="1"/>
  <c r="AI14" i="1"/>
  <c r="AI13" i="1"/>
  <c r="AX480" i="53"/>
  <c r="AX479" i="53"/>
  <c r="AX462" i="53"/>
  <c r="AX416" i="53"/>
  <c r="AX409" i="53"/>
  <c r="AX403" i="53"/>
  <c r="AX402" i="53"/>
  <c r="AX395" i="53"/>
  <c r="AX331" i="53"/>
  <c r="AX256" i="53"/>
  <c r="AX251" i="53"/>
  <c r="AX249" i="53"/>
  <c r="AX245" i="53"/>
  <c r="AX222" i="53"/>
  <c r="AX212" i="53"/>
  <c r="AI55" i="2"/>
  <c r="AI63" i="2"/>
  <c r="AI51" i="2"/>
  <c r="AI50" i="2"/>
  <c r="AI49" i="2"/>
  <c r="AI48" i="2"/>
  <c r="AI47" i="2"/>
  <c r="AI46" i="2"/>
  <c r="AI43" i="2"/>
  <c r="AX183" i="53"/>
  <c r="AI39" i="2" s="1"/>
  <c r="AI32" i="2"/>
  <c r="AI31" i="2"/>
  <c r="AX5" i="53"/>
  <c r="AI28" i="2" s="1"/>
  <c r="AI27" i="2"/>
  <c r="AI26" i="2"/>
  <c r="AI21" i="2"/>
  <c r="AI16" i="2"/>
  <c r="AI15" i="2"/>
  <c r="AI14" i="2"/>
  <c r="AX199" i="53"/>
  <c r="AX170" i="53"/>
  <c r="AX163" i="53"/>
  <c r="AX131" i="53"/>
  <c r="AX120" i="53"/>
  <c r="AX109" i="53"/>
  <c r="AX103" i="53"/>
  <c r="AX85" i="53"/>
  <c r="AX49" i="53"/>
  <c r="AX48" i="53"/>
  <c r="AX14" i="53"/>
  <c r="AX4" i="53"/>
  <c r="AX2" i="53"/>
  <c r="AH30" i="1"/>
  <c r="AH27" i="1"/>
  <c r="AH25" i="1"/>
  <c r="AH24" i="1"/>
  <c r="AH23" i="1"/>
  <c r="AH22" i="1"/>
  <c r="AH21" i="1"/>
  <c r="AH20" i="1"/>
  <c r="AH19" i="1"/>
  <c r="AH15" i="1"/>
  <c r="AH14" i="1"/>
  <c r="AH13" i="1"/>
  <c r="V480" i="53"/>
  <c r="V479" i="53"/>
  <c r="V462" i="53"/>
  <c r="V416" i="53"/>
  <c r="V409" i="53"/>
  <c r="V403" i="53"/>
  <c r="V402" i="53"/>
  <c r="V395" i="53"/>
  <c r="V331" i="53"/>
  <c r="V256" i="53"/>
  <c r="V251" i="53"/>
  <c r="V249" i="53"/>
  <c r="V245" i="53"/>
  <c r="V222" i="53"/>
  <c r="V212" i="53"/>
  <c r="AH55" i="2"/>
  <c r="AH63" i="2"/>
  <c r="AH51" i="2"/>
  <c r="AH50" i="2"/>
  <c r="AH49" i="2"/>
  <c r="AH47" i="2"/>
  <c r="AH46" i="2"/>
  <c r="AH43" i="2"/>
  <c r="V183" i="53"/>
  <c r="AH39" i="2" s="1"/>
  <c r="AH32" i="2"/>
  <c r="AH31" i="2"/>
  <c r="AH28" i="2"/>
  <c r="AH27" i="2"/>
  <c r="AH26" i="2"/>
  <c r="AH21" i="2"/>
  <c r="AH16" i="2"/>
  <c r="AH15" i="2"/>
  <c r="AH14" i="2"/>
  <c r="V199" i="53"/>
  <c r="V170" i="53"/>
  <c r="V163" i="53"/>
  <c r="V131" i="53"/>
  <c r="V120" i="53"/>
  <c r="V109" i="53"/>
  <c r="V103" i="53"/>
  <c r="V85" i="53"/>
  <c r="V49" i="53"/>
  <c r="V48" i="53"/>
  <c r="V14" i="53"/>
  <c r="V6" i="53"/>
  <c r="V4" i="53"/>
  <c r="V2" i="53"/>
  <c r="AG30" i="1"/>
  <c r="AG27" i="1"/>
  <c r="AG25" i="1"/>
  <c r="AG24" i="1"/>
  <c r="AG23" i="1"/>
  <c r="AG22" i="1"/>
  <c r="AG21" i="1"/>
  <c r="AG20" i="1"/>
  <c r="AG19" i="1"/>
  <c r="AG15" i="1"/>
  <c r="AG14" i="1"/>
  <c r="AG13" i="1"/>
  <c r="BL480" i="53"/>
  <c r="BL251" i="53"/>
  <c r="BL416" i="53"/>
  <c r="BL403" i="53"/>
  <c r="BL256" i="53"/>
  <c r="BL395" i="53"/>
  <c r="BL331" i="53"/>
  <c r="BL462" i="53"/>
  <c r="BL409" i="53"/>
  <c r="BL402" i="53"/>
  <c r="BL249" i="53"/>
  <c r="BL245" i="53"/>
  <c r="BL222" i="53"/>
  <c r="BL212" i="53"/>
  <c r="AG55" i="2"/>
  <c r="AG63" i="2"/>
  <c r="AG51" i="2"/>
  <c r="AG50" i="2"/>
  <c r="AG49" i="2"/>
  <c r="AG47" i="2"/>
  <c r="AG46" i="2"/>
  <c r="AG43" i="2"/>
  <c r="AG39" i="2"/>
  <c r="AG32" i="2"/>
  <c r="AG31" i="2"/>
  <c r="AG28" i="2"/>
  <c r="AG27" i="2"/>
  <c r="AG26" i="2"/>
  <c r="AG21" i="2"/>
  <c r="AG16" i="2"/>
  <c r="AG15" i="2"/>
  <c r="AG14" i="2"/>
  <c r="BL199" i="53"/>
  <c r="BL183" i="53"/>
  <c r="BL170" i="53"/>
  <c r="BL163" i="53"/>
  <c r="BL131" i="53"/>
  <c r="BL120" i="53"/>
  <c r="BL103" i="53"/>
  <c r="BL85" i="53"/>
  <c r="BL49" i="53"/>
  <c r="BL48" i="53"/>
  <c r="BL14" i="53"/>
  <c r="BL6" i="53"/>
  <c r="BL4" i="53"/>
  <c r="BL2" i="53"/>
  <c r="AF30" i="1"/>
  <c r="AF27" i="1"/>
  <c r="AF25" i="1"/>
  <c r="AF24" i="1"/>
  <c r="AF23" i="1"/>
  <c r="AF22" i="1"/>
  <c r="AF21" i="1"/>
  <c r="AF20" i="1"/>
  <c r="AF19" i="1"/>
  <c r="AF15" i="1"/>
  <c r="AF14" i="1"/>
  <c r="AF13" i="1"/>
  <c r="AL480" i="53"/>
  <c r="AL479" i="53"/>
  <c r="AL462" i="53"/>
  <c r="AL416" i="53"/>
  <c r="AL409" i="53"/>
  <c r="AL403" i="53"/>
  <c r="AL402" i="53"/>
  <c r="AL395" i="53"/>
  <c r="AL331" i="53"/>
  <c r="AL256" i="53"/>
  <c r="AL251" i="53"/>
  <c r="AL249" i="53"/>
  <c r="AL245" i="53"/>
  <c r="AL222" i="53"/>
  <c r="AL212" i="53"/>
  <c r="AF55" i="2"/>
  <c r="AF63" i="2"/>
  <c r="AF51" i="2"/>
  <c r="AF50" i="2"/>
  <c r="AF49" i="2"/>
  <c r="AF48" i="2"/>
  <c r="AF47" i="2"/>
  <c r="AF46" i="2"/>
  <c r="AF43" i="2"/>
  <c r="AF39" i="2"/>
  <c r="AL183" i="53"/>
  <c r="AF32" i="2"/>
  <c r="AF31" i="2"/>
  <c r="AF28" i="2"/>
  <c r="AF27" i="2"/>
  <c r="AF26" i="2"/>
  <c r="AF21" i="2"/>
  <c r="AF16" i="2"/>
  <c r="AF15" i="2"/>
  <c r="AF14" i="2"/>
  <c r="AL199" i="53"/>
  <c r="AL170" i="53"/>
  <c r="AL163" i="53"/>
  <c r="AL131" i="53"/>
  <c r="AL120" i="53"/>
  <c r="AL103" i="53"/>
  <c r="AL85" i="53"/>
  <c r="AL49" i="53"/>
  <c r="AL48" i="53"/>
  <c r="AL14" i="53"/>
  <c r="AL6" i="53"/>
  <c r="AL4" i="53"/>
  <c r="AL2" i="53"/>
  <c r="AE30" i="1"/>
  <c r="AE27" i="1"/>
  <c r="AE25" i="1"/>
  <c r="AE24" i="1"/>
  <c r="AE23" i="1"/>
  <c r="AE22" i="1"/>
  <c r="AE21" i="1"/>
  <c r="AE20" i="1"/>
  <c r="AE19" i="1"/>
  <c r="AE15" i="1"/>
  <c r="AE14" i="1"/>
  <c r="AE13" i="1"/>
  <c r="BB480" i="53"/>
  <c r="BB479" i="53"/>
  <c r="BB462" i="53"/>
  <c r="BB416" i="53"/>
  <c r="BB409" i="53"/>
  <c r="BB403" i="53"/>
  <c r="BB402" i="53"/>
  <c r="BB395" i="53"/>
  <c r="BB331" i="53"/>
  <c r="BB256" i="53"/>
  <c r="BB251" i="53"/>
  <c r="BB249" i="53"/>
  <c r="BB245" i="53"/>
  <c r="BB222" i="53"/>
  <c r="BB212" i="53"/>
  <c r="AE55" i="2"/>
  <c r="BB163" i="53"/>
  <c r="BB131" i="53"/>
  <c r="AE63" i="2"/>
  <c r="AE51" i="2"/>
  <c r="AE50" i="2"/>
  <c r="AE49" i="2"/>
  <c r="AE47" i="2"/>
  <c r="AE46" i="2"/>
  <c r="AE43" i="2"/>
  <c r="AE39" i="2"/>
  <c r="AE32" i="2"/>
  <c r="AE31" i="2"/>
  <c r="AE28" i="2"/>
  <c r="AE27" i="2"/>
  <c r="AE26" i="2"/>
  <c r="AE21" i="2"/>
  <c r="AE16" i="2"/>
  <c r="AE15" i="2"/>
  <c r="AE14" i="2"/>
  <c r="BB199" i="53"/>
  <c r="BB183" i="53"/>
  <c r="BB170" i="53"/>
  <c r="BB120" i="53"/>
  <c r="BB109" i="53"/>
  <c r="BB103" i="53"/>
  <c r="BB85" i="53"/>
  <c r="BB49" i="53"/>
  <c r="BB48" i="53"/>
  <c r="BB14" i="53"/>
  <c r="BB6" i="53"/>
  <c r="BB4" i="53"/>
  <c r="BB2" i="53"/>
  <c r="AD30" i="1"/>
  <c r="AD27" i="1"/>
  <c r="AD25" i="1"/>
  <c r="AD24" i="1"/>
  <c r="AD23" i="1"/>
  <c r="AD22" i="1"/>
  <c r="AD21" i="1"/>
  <c r="AD20" i="1"/>
  <c r="AD19" i="1"/>
  <c r="AD15" i="1"/>
  <c r="AD14" i="1"/>
  <c r="AD13" i="1"/>
  <c r="R249" i="53"/>
  <c r="R480" i="53"/>
  <c r="R479" i="53"/>
  <c r="R462" i="53"/>
  <c r="R416" i="53"/>
  <c r="R409" i="53"/>
  <c r="R403" i="53"/>
  <c r="R402" i="53"/>
  <c r="R395" i="53"/>
  <c r="R331" i="53"/>
  <c r="R256" i="53"/>
  <c r="R251" i="53"/>
  <c r="R245" i="53"/>
  <c r="R222" i="53"/>
  <c r="R212" i="53"/>
  <c r="AD55" i="2"/>
  <c r="AD51" i="2"/>
  <c r="R163" i="53"/>
  <c r="R170" i="53"/>
  <c r="AD47" i="2" s="1"/>
  <c r="R183" i="53"/>
  <c r="AD39" i="2" s="1"/>
  <c r="R109" i="53"/>
  <c r="AD32" i="2" s="1"/>
  <c r="R103" i="53"/>
  <c r="R85" i="53"/>
  <c r="R49" i="53"/>
  <c r="R14" i="53"/>
  <c r="R5" i="53"/>
  <c r="AD28" i="2" s="1"/>
  <c r="R4" i="53"/>
  <c r="R2" i="53"/>
  <c r="AD63" i="2"/>
  <c r="AD50" i="2"/>
  <c r="AD49" i="2"/>
  <c r="AD46" i="2"/>
  <c r="AD43" i="2"/>
  <c r="AD31" i="2"/>
  <c r="AD27" i="2"/>
  <c r="AD26" i="2"/>
  <c r="AD21" i="2"/>
  <c r="AD16" i="2"/>
  <c r="AD15" i="2"/>
  <c r="AD14" i="2"/>
  <c r="R199" i="53"/>
  <c r="R131" i="53"/>
  <c r="R120" i="53"/>
  <c r="R48" i="53"/>
  <c r="AC30" i="1"/>
  <c r="AC27" i="1"/>
  <c r="AC25" i="1"/>
  <c r="AC24" i="1"/>
  <c r="AC23" i="1"/>
  <c r="AC22" i="1"/>
  <c r="AC21" i="1"/>
  <c r="AC20" i="1"/>
  <c r="AC19" i="1"/>
  <c r="AC15" i="1"/>
  <c r="AC14" i="1"/>
  <c r="AC13" i="1"/>
  <c r="BF480" i="53"/>
  <c r="BF479" i="53"/>
  <c r="BF462" i="53"/>
  <c r="BF416" i="53"/>
  <c r="BF409" i="53"/>
  <c r="BF403" i="53"/>
  <c r="BF402" i="53"/>
  <c r="BF395" i="53"/>
  <c r="BF331" i="53"/>
  <c r="BF256" i="53"/>
  <c r="BF251" i="53"/>
  <c r="BF249" i="53"/>
  <c r="BF245" i="53"/>
  <c r="BF222" i="53"/>
  <c r="BF212" i="53"/>
  <c r="AC55" i="2"/>
  <c r="AC63" i="2"/>
  <c r="BF183" i="53"/>
  <c r="AC51" i="2"/>
  <c r="AC50" i="2"/>
  <c r="AC49" i="2"/>
  <c r="AC47" i="2"/>
  <c r="AC46" i="2"/>
  <c r="AC43" i="2"/>
  <c r="AC39" i="2"/>
  <c r="AC32" i="2"/>
  <c r="AC31" i="2"/>
  <c r="AC28" i="2"/>
  <c r="AC27" i="2"/>
  <c r="AC26" i="2"/>
  <c r="AC21" i="2"/>
  <c r="AC16" i="2"/>
  <c r="AC15" i="2"/>
  <c r="AC14" i="2"/>
  <c r="BF199" i="53"/>
  <c r="BF170" i="53"/>
  <c r="BF163" i="53"/>
  <c r="BF131" i="53"/>
  <c r="BF120" i="53"/>
  <c r="BF109" i="53"/>
  <c r="BF103" i="53"/>
  <c r="BF85" i="53"/>
  <c r="BF49" i="53"/>
  <c r="BF48" i="53"/>
  <c r="BF14" i="53"/>
  <c r="BF6" i="53"/>
  <c r="BF4" i="53"/>
  <c r="BF2" i="53"/>
  <c r="AB30" i="1"/>
  <c r="AB27" i="1"/>
  <c r="AB25" i="1"/>
  <c r="AB24" i="1"/>
  <c r="AB23" i="1"/>
  <c r="AB22" i="1"/>
  <c r="AB21" i="1"/>
  <c r="AB20" i="1"/>
  <c r="AB19" i="1"/>
  <c r="AB15" i="1"/>
  <c r="AB14" i="1"/>
  <c r="AB13" i="1"/>
  <c r="AR480" i="53"/>
  <c r="AR479" i="53"/>
  <c r="AR462" i="53"/>
  <c r="AR416" i="53"/>
  <c r="AR409" i="53"/>
  <c r="AR403" i="53"/>
  <c r="AR402" i="53"/>
  <c r="AR395" i="53"/>
  <c r="AR331" i="53"/>
  <c r="AR256" i="53"/>
  <c r="AR251" i="53"/>
  <c r="AR249" i="53"/>
  <c r="AR245" i="53"/>
  <c r="AR222" i="53"/>
  <c r="AR212" i="53"/>
  <c r="AB55" i="2"/>
  <c r="AB31" i="2"/>
  <c r="AB63" i="2"/>
  <c r="AB51" i="2"/>
  <c r="AB50" i="2"/>
  <c r="AB49" i="2"/>
  <c r="AB47" i="2"/>
  <c r="AB46" i="2"/>
  <c r="AB43" i="2"/>
  <c r="AB39" i="2"/>
  <c r="AB32" i="2"/>
  <c r="AB28" i="2"/>
  <c r="AB27" i="2"/>
  <c r="AB26" i="2"/>
  <c r="AB21" i="2"/>
  <c r="AB16" i="2"/>
  <c r="AB15" i="2"/>
  <c r="AB14" i="2"/>
  <c r="AR199" i="53"/>
  <c r="AR185" i="53"/>
  <c r="AR170" i="53"/>
  <c r="AR163" i="53"/>
  <c r="AR131" i="53"/>
  <c r="AR120" i="53"/>
  <c r="AR109" i="53"/>
  <c r="AR103" i="53"/>
  <c r="AR85" i="53"/>
  <c r="AR49" i="53"/>
  <c r="AR48" i="53"/>
  <c r="AR14" i="53"/>
  <c r="AR6" i="53"/>
  <c r="AR4" i="53"/>
  <c r="AR2" i="53"/>
  <c r="AA30" i="1"/>
  <c r="AA27" i="1"/>
  <c r="AA25" i="1"/>
  <c r="AA24" i="1"/>
  <c r="AA23" i="1"/>
  <c r="AA22" i="1"/>
  <c r="AA21" i="1"/>
  <c r="AA20" i="1"/>
  <c r="AA19" i="1"/>
  <c r="AA15" i="1"/>
  <c r="AA14" i="1"/>
  <c r="AA13" i="1"/>
  <c r="AZ416" i="53"/>
  <c r="AZ409" i="53"/>
  <c r="AZ403" i="53"/>
  <c r="AZ402" i="53"/>
  <c r="AZ395" i="53"/>
  <c r="AZ331" i="53"/>
  <c r="AZ256" i="53"/>
  <c r="AZ251" i="53"/>
  <c r="AZ462" i="53"/>
  <c r="AZ249" i="53"/>
  <c r="AZ245" i="53"/>
  <c r="AZ222" i="53"/>
  <c r="AZ212" i="53"/>
  <c r="AA55" i="2"/>
  <c r="AA63" i="2"/>
  <c r="AA51" i="2"/>
  <c r="AA50" i="2"/>
  <c r="AA49" i="2"/>
  <c r="AA47" i="2"/>
  <c r="AA46" i="2"/>
  <c r="AA43" i="2"/>
  <c r="AA39" i="2"/>
  <c r="AA31" i="2"/>
  <c r="AA28" i="2"/>
  <c r="AA27" i="2"/>
  <c r="AA26" i="2"/>
  <c r="AA21" i="2"/>
  <c r="AA16" i="2"/>
  <c r="AA15" i="2"/>
  <c r="AA14" i="2"/>
  <c r="AZ199" i="53"/>
  <c r="AZ183" i="53"/>
  <c r="AZ170" i="53"/>
  <c r="AZ163" i="53"/>
  <c r="AZ131" i="53"/>
  <c r="AZ120" i="53"/>
  <c r="AZ103" i="53"/>
  <c r="AZ85" i="53"/>
  <c r="AZ49" i="53"/>
  <c r="AZ48" i="53"/>
  <c r="AZ14" i="53"/>
  <c r="AZ6" i="53"/>
  <c r="AZ4" i="53"/>
  <c r="AZ2" i="53"/>
  <c r="Z30" i="1"/>
  <c r="Z27" i="1"/>
  <c r="Z25" i="1"/>
  <c r="Z24" i="1"/>
  <c r="Z23" i="1"/>
  <c r="Z22" i="1"/>
  <c r="Z21" i="1"/>
  <c r="Z20" i="1"/>
  <c r="Z19" i="1"/>
  <c r="Z15" i="1"/>
  <c r="Z14" i="1"/>
  <c r="Z13" i="1"/>
  <c r="Z480" i="53"/>
  <c r="Z479" i="53"/>
  <c r="Z462" i="53"/>
  <c r="Z416" i="53"/>
  <c r="Z409" i="53"/>
  <c r="Z403" i="53"/>
  <c r="Z402" i="53"/>
  <c r="Z395" i="53"/>
  <c r="Z331" i="53"/>
  <c r="Z256" i="53"/>
  <c r="Z251" i="53"/>
  <c r="Z249" i="53"/>
  <c r="Z245" i="53"/>
  <c r="Z222" i="53"/>
  <c r="Z212" i="53"/>
  <c r="Z55" i="2"/>
  <c r="Z63" i="2"/>
  <c r="Z51" i="2"/>
  <c r="Z50" i="2"/>
  <c r="Z49" i="2"/>
  <c r="Z48" i="2"/>
  <c r="Z47" i="2"/>
  <c r="Z46" i="2"/>
  <c r="Z43" i="2"/>
  <c r="Z39" i="2"/>
  <c r="Z32" i="2"/>
  <c r="Z31" i="2"/>
  <c r="Z28" i="2"/>
  <c r="Z27" i="2"/>
  <c r="Z26" i="2"/>
  <c r="Z21" i="2"/>
  <c r="Z16" i="2"/>
  <c r="Z15" i="2"/>
  <c r="Z14" i="2"/>
  <c r="Z199" i="53"/>
  <c r="Z183" i="53"/>
  <c r="Z170" i="53"/>
  <c r="Z163" i="53"/>
  <c r="Z131" i="53"/>
  <c r="Z120" i="53"/>
  <c r="Z109" i="53"/>
  <c r="Z103" i="53"/>
  <c r="Z85" i="53"/>
  <c r="Z49" i="53"/>
  <c r="Z48" i="53"/>
  <c r="Z14" i="53"/>
  <c r="Z6" i="53"/>
  <c r="Z4" i="53"/>
  <c r="Z2" i="53"/>
  <c r="X49" i="2"/>
  <c r="BJ183" i="53"/>
  <c r="BH183" i="53"/>
  <c r="Y49" i="2"/>
  <c r="Y30" i="1"/>
  <c r="Y27" i="1"/>
  <c r="Y25" i="1"/>
  <c r="Y24" i="1"/>
  <c r="Y23" i="1"/>
  <c r="Y22" i="1"/>
  <c r="Y21" i="1"/>
  <c r="Y20" i="1"/>
  <c r="Y19" i="1"/>
  <c r="Y15" i="1"/>
  <c r="Y14" i="1"/>
  <c r="Y13" i="1"/>
  <c r="BD480" i="53"/>
  <c r="BD479" i="53"/>
  <c r="BD462" i="53"/>
  <c r="BD416" i="53"/>
  <c r="BD409" i="53"/>
  <c r="BD403" i="53"/>
  <c r="BD402" i="53"/>
  <c r="BD395" i="53"/>
  <c r="BD331" i="53"/>
  <c r="BD256" i="53"/>
  <c r="BD251" i="53"/>
  <c r="BD249" i="53"/>
  <c r="BD245" i="53"/>
  <c r="BD222" i="53"/>
  <c r="BD212" i="53"/>
  <c r="Y55" i="2"/>
  <c r="BD109" i="53"/>
  <c r="Y32" i="2" s="1"/>
  <c r="BD183" i="53"/>
  <c r="BD103" i="53"/>
  <c r="BD85" i="53"/>
  <c r="BD49" i="53"/>
  <c r="BD14" i="53"/>
  <c r="BD6" i="53"/>
  <c r="Y28" i="2" s="1"/>
  <c r="BD4" i="53"/>
  <c r="Y27" i="2" s="1"/>
  <c r="BD2" i="53"/>
  <c r="Y63" i="2"/>
  <c r="Y51" i="2"/>
  <c r="Y50" i="2"/>
  <c r="Y47" i="2"/>
  <c r="Y46" i="2"/>
  <c r="Y43" i="2"/>
  <c r="Y39" i="2"/>
  <c r="Y31" i="2"/>
  <c r="Y26" i="2"/>
  <c r="Y21" i="2"/>
  <c r="Y16" i="2"/>
  <c r="Y15" i="2"/>
  <c r="Y14" i="2"/>
  <c r="BD199" i="53"/>
  <c r="BD170" i="53"/>
  <c r="BD163" i="53"/>
  <c r="BD131" i="53"/>
  <c r="BD120" i="53"/>
  <c r="BD48" i="53"/>
  <c r="X30" i="1"/>
  <c r="X27" i="1"/>
  <c r="X25" i="1"/>
  <c r="X24" i="1"/>
  <c r="X23" i="1"/>
  <c r="X22" i="1"/>
  <c r="X21" i="1"/>
  <c r="X20" i="1"/>
  <c r="X19" i="1"/>
  <c r="X15" i="1"/>
  <c r="X14" i="1"/>
  <c r="X13" i="1"/>
  <c r="BR480" i="53"/>
  <c r="BR479" i="53"/>
  <c r="BR462" i="53"/>
  <c r="BR416" i="53"/>
  <c r="BR409" i="53"/>
  <c r="BR403" i="53"/>
  <c r="BR402" i="53"/>
  <c r="BR395" i="53"/>
  <c r="BR331" i="53"/>
  <c r="BR256" i="53"/>
  <c r="BR251" i="53"/>
  <c r="BR249" i="53"/>
  <c r="BR245" i="53"/>
  <c r="BR222" i="53"/>
  <c r="BR212" i="53"/>
  <c r="X55" i="2"/>
  <c r="X63" i="2"/>
  <c r="X51" i="2"/>
  <c r="X50" i="2"/>
  <c r="X47" i="2"/>
  <c r="X46" i="2"/>
  <c r="X43" i="2"/>
  <c r="X39" i="2"/>
  <c r="X32" i="2"/>
  <c r="X31" i="2"/>
  <c r="X28" i="2"/>
  <c r="X27" i="2"/>
  <c r="X26" i="2"/>
  <c r="X21" i="2"/>
  <c r="X16" i="2"/>
  <c r="X15" i="2"/>
  <c r="X14" i="2"/>
  <c r="BR199" i="53"/>
  <c r="BR183" i="53"/>
  <c r="BR170" i="53"/>
  <c r="BR163" i="53"/>
  <c r="BR131" i="53"/>
  <c r="BT183" i="53"/>
  <c r="V39" i="2" s="1"/>
  <c r="V49" i="2"/>
  <c r="BR120" i="53"/>
  <c r="BR109" i="53"/>
  <c r="BR103" i="53"/>
  <c r="BR85" i="53"/>
  <c r="BR49" i="53"/>
  <c r="BR48" i="53"/>
  <c r="BR14" i="53"/>
  <c r="BR6" i="53"/>
  <c r="BR4" i="53"/>
  <c r="BR2" i="53"/>
  <c r="W30" i="1"/>
  <c r="W27" i="1"/>
  <c r="W25" i="1"/>
  <c r="W24" i="1"/>
  <c r="W23" i="1"/>
  <c r="W22" i="1"/>
  <c r="W21" i="1"/>
  <c r="W20" i="1"/>
  <c r="W19" i="1"/>
  <c r="W15" i="1"/>
  <c r="W14" i="1"/>
  <c r="W13" i="1"/>
  <c r="BP480" i="53"/>
  <c r="BP249" i="53"/>
  <c r="BP479" i="53"/>
  <c r="BP462" i="53"/>
  <c r="BP416" i="53"/>
  <c r="BP409" i="53"/>
  <c r="BP403" i="53"/>
  <c r="BP402" i="53"/>
  <c r="BP395" i="53"/>
  <c r="BP331" i="53"/>
  <c r="BP256" i="53"/>
  <c r="BP251" i="53"/>
  <c r="BP245" i="53"/>
  <c r="BP222" i="53"/>
  <c r="BP212" i="53"/>
  <c r="W55" i="2"/>
  <c r="W63" i="2"/>
  <c r="W51" i="2"/>
  <c r="W50" i="2"/>
  <c r="W49" i="2"/>
  <c r="BP170" i="53"/>
  <c r="BP182" i="53"/>
  <c r="W48" i="2"/>
  <c r="W47" i="2"/>
  <c r="W46" i="2"/>
  <c r="W45" i="2"/>
  <c r="W43" i="2"/>
  <c r="W39" i="2"/>
  <c r="W32" i="2"/>
  <c r="W31" i="2"/>
  <c r="W28" i="2"/>
  <c r="W27" i="2"/>
  <c r="W26" i="2"/>
  <c r="W21" i="2"/>
  <c r="W16" i="2"/>
  <c r="W15" i="2"/>
  <c r="W14" i="2"/>
  <c r="BP199" i="53"/>
  <c r="BP183" i="53"/>
  <c r="BP197" i="53"/>
  <c r="BP163" i="53"/>
  <c r="BP131" i="53"/>
  <c r="BP120" i="53"/>
  <c r="BP109" i="53"/>
  <c r="BP103" i="53"/>
  <c r="BP85" i="53"/>
  <c r="BP49" i="53"/>
  <c r="BP48" i="53"/>
  <c r="BP14" i="53"/>
  <c r="BP6" i="53"/>
  <c r="BP4" i="53"/>
  <c r="BP2" i="53"/>
  <c r="V30" i="1"/>
  <c r="V27" i="1"/>
  <c r="V25" i="1"/>
  <c r="V24" i="1"/>
  <c r="V23" i="1"/>
  <c r="V22" i="1"/>
  <c r="V21" i="1"/>
  <c r="V20" i="1"/>
  <c r="V19" i="1"/>
  <c r="V15" i="1"/>
  <c r="V14" i="1"/>
  <c r="V13" i="1"/>
  <c r="BT480" i="53"/>
  <c r="BT416" i="53"/>
  <c r="BT479" i="53"/>
  <c r="BU479" i="53" s="1"/>
  <c r="BT462" i="53"/>
  <c r="BT409" i="53"/>
  <c r="BT403" i="53"/>
  <c r="BT402" i="53"/>
  <c r="BT395" i="53"/>
  <c r="BT331" i="53"/>
  <c r="BT256" i="53"/>
  <c r="BT251" i="53"/>
  <c r="BT249" i="53"/>
  <c r="BT245" i="53"/>
  <c r="BT222" i="53"/>
  <c r="BT212" i="53"/>
  <c r="V55" i="2"/>
  <c r="BT109" i="53"/>
  <c r="V32" i="2" s="1"/>
  <c r="V63" i="2"/>
  <c r="V51" i="2"/>
  <c r="V50" i="2"/>
  <c r="V48" i="2"/>
  <c r="V47" i="2"/>
  <c r="V46" i="2"/>
  <c r="V43" i="2"/>
  <c r="V31" i="2"/>
  <c r="V28" i="2"/>
  <c r="V27" i="2"/>
  <c r="V26" i="2"/>
  <c r="V21" i="2"/>
  <c r="V16" i="2"/>
  <c r="V15" i="2"/>
  <c r="V14" i="2"/>
  <c r="BT199" i="53"/>
  <c r="BT182" i="53"/>
  <c r="BT170" i="53"/>
  <c r="BT163" i="53"/>
  <c r="BT131" i="53"/>
  <c r="BT120" i="53"/>
  <c r="BT103" i="53"/>
  <c r="BT85" i="53"/>
  <c r="BT49" i="53"/>
  <c r="BT48" i="53"/>
  <c r="BT14" i="53"/>
  <c r="BT6" i="53"/>
  <c r="BT4" i="53"/>
  <c r="BT2" i="53"/>
  <c r="AN479" i="53" l="1"/>
  <c r="AN480" i="53" s="1"/>
  <c r="AN484" i="53" s="1"/>
  <c r="BL479" i="53"/>
  <c r="BL483" i="53" s="1"/>
  <c r="AZ479" i="53"/>
  <c r="U30" i="1"/>
  <c r="U27" i="1"/>
  <c r="U25" i="1"/>
  <c r="U24" i="1"/>
  <c r="U23" i="1"/>
  <c r="U22" i="1"/>
  <c r="U21" i="1"/>
  <c r="U20" i="1"/>
  <c r="U19" i="1"/>
  <c r="U15" i="1"/>
  <c r="U14" i="1"/>
  <c r="U13" i="1"/>
  <c r="J480" i="53"/>
  <c r="J479" i="53"/>
  <c r="J462" i="53"/>
  <c r="J409" i="53"/>
  <c r="J416" i="53"/>
  <c r="J403" i="53"/>
  <c r="J402" i="53"/>
  <c r="J395" i="53"/>
  <c r="J331" i="53"/>
  <c r="J256" i="53"/>
  <c r="J251" i="53"/>
  <c r="J249" i="53"/>
  <c r="J245" i="53"/>
  <c r="J223" i="53"/>
  <c r="J212" i="53"/>
  <c r="U55" i="2"/>
  <c r="J183" i="53"/>
  <c r="U63" i="2"/>
  <c r="U51" i="2"/>
  <c r="U50" i="2"/>
  <c r="U49" i="2"/>
  <c r="U48" i="2"/>
  <c r="U47" i="2"/>
  <c r="U46" i="2"/>
  <c r="U43" i="2"/>
  <c r="U40" i="2"/>
  <c r="U39" i="2"/>
  <c r="U32" i="2"/>
  <c r="U31" i="2"/>
  <c r="U28" i="2"/>
  <c r="U27" i="2"/>
  <c r="U26" i="2"/>
  <c r="U21" i="2"/>
  <c r="U16" i="2"/>
  <c r="U15" i="2"/>
  <c r="U14" i="2"/>
  <c r="J199" i="53"/>
  <c r="J193" i="53"/>
  <c r="J182" i="53"/>
  <c r="J170" i="53"/>
  <c r="J163" i="53"/>
  <c r="J131" i="53"/>
  <c r="J120" i="53"/>
  <c r="J109" i="53"/>
  <c r="J103" i="53"/>
  <c r="J85" i="53"/>
  <c r="J49" i="53"/>
  <c r="J48" i="53"/>
  <c r="J14" i="53"/>
  <c r="J5" i="53"/>
  <c r="J4" i="53"/>
  <c r="J2" i="53"/>
  <c r="T30" i="1"/>
  <c r="T27" i="1"/>
  <c r="T25" i="1"/>
  <c r="T24" i="1"/>
  <c r="T23" i="1"/>
  <c r="T22" i="1"/>
  <c r="T21" i="1"/>
  <c r="T20" i="1"/>
  <c r="T19" i="1"/>
  <c r="T15" i="1"/>
  <c r="T14" i="1"/>
  <c r="T13" i="1"/>
  <c r="BH480" i="53"/>
  <c r="BH479" i="53"/>
  <c r="BH416" i="53"/>
  <c r="BH462" i="53"/>
  <c r="BH409" i="53"/>
  <c r="BH403" i="53"/>
  <c r="BH402" i="53"/>
  <c r="BH395" i="53"/>
  <c r="BH331" i="53"/>
  <c r="BH256" i="53"/>
  <c r="BH251" i="53"/>
  <c r="BH249" i="53"/>
  <c r="BH245" i="53"/>
  <c r="BH222" i="53"/>
  <c r="BH212" i="53"/>
  <c r="T55" i="2"/>
  <c r="T39" i="2"/>
  <c r="T63" i="2"/>
  <c r="T51" i="2"/>
  <c r="T50" i="2"/>
  <c r="T49" i="2"/>
  <c r="T47" i="2"/>
  <c r="T46" i="2"/>
  <c r="T43" i="2"/>
  <c r="T32" i="2"/>
  <c r="T31" i="2"/>
  <c r="T28" i="2"/>
  <c r="T27" i="2"/>
  <c r="T26" i="2"/>
  <c r="T21" i="2"/>
  <c r="T16" i="2"/>
  <c r="T15" i="2"/>
  <c r="T14" i="2"/>
  <c r="BH199" i="53"/>
  <c r="BH170" i="53"/>
  <c r="BH163" i="53"/>
  <c r="BH131" i="53"/>
  <c r="BH120" i="53"/>
  <c r="BH109" i="53"/>
  <c r="BH103" i="53"/>
  <c r="BH85" i="53"/>
  <c r="BH49" i="53"/>
  <c r="BH48" i="53"/>
  <c r="BH14" i="53"/>
  <c r="BH6" i="53"/>
  <c r="BH4" i="53"/>
  <c r="BH2" i="53"/>
  <c r="S30" i="1"/>
  <c r="S27" i="1"/>
  <c r="S25" i="1"/>
  <c r="S24" i="1"/>
  <c r="S23" i="1"/>
  <c r="S22" i="1"/>
  <c r="S21" i="1"/>
  <c r="S20" i="1"/>
  <c r="S19" i="1"/>
  <c r="S15" i="1"/>
  <c r="S14" i="1"/>
  <c r="S13" i="1"/>
  <c r="BJ480" i="53"/>
  <c r="BJ479" i="53"/>
  <c r="BJ462" i="53"/>
  <c r="BJ416" i="53"/>
  <c r="BJ409" i="53"/>
  <c r="BJ403" i="53"/>
  <c r="BJ402" i="53"/>
  <c r="BJ395" i="53"/>
  <c r="BJ331" i="53"/>
  <c r="BJ256" i="53"/>
  <c r="BJ251" i="53"/>
  <c r="BJ249" i="53"/>
  <c r="BJ245" i="53"/>
  <c r="BJ223" i="53"/>
  <c r="BJ212" i="53"/>
  <c r="S55" i="2"/>
  <c r="S39" i="2"/>
  <c r="S63" i="2"/>
  <c r="S51" i="2"/>
  <c r="S50" i="2"/>
  <c r="S49" i="2"/>
  <c r="S47" i="2"/>
  <c r="S46" i="2"/>
  <c r="S43" i="2"/>
  <c r="S32" i="2"/>
  <c r="S31" i="2"/>
  <c r="S28" i="2"/>
  <c r="S27" i="2"/>
  <c r="S26" i="2"/>
  <c r="S21" i="2"/>
  <c r="S16" i="2"/>
  <c r="S15" i="2"/>
  <c r="S14" i="2"/>
  <c r="BJ199" i="53"/>
  <c r="BJ182" i="53"/>
  <c r="BJ170" i="53"/>
  <c r="BJ163" i="53"/>
  <c r="BJ131" i="53"/>
  <c r="BJ120" i="53"/>
  <c r="BJ109" i="53"/>
  <c r="BJ103" i="53"/>
  <c r="BJ85" i="53"/>
  <c r="BJ49" i="53"/>
  <c r="BJ48" i="53"/>
  <c r="BJ14" i="53"/>
  <c r="BJ6" i="53"/>
  <c r="BJ4" i="53"/>
  <c r="BJ2" i="53"/>
  <c r="R30" i="1"/>
  <c r="R27" i="1"/>
  <c r="R25" i="1"/>
  <c r="R24" i="1"/>
  <c r="R23" i="1"/>
  <c r="R22" i="1"/>
  <c r="R21" i="1"/>
  <c r="R20" i="1"/>
  <c r="R19" i="1"/>
  <c r="R15" i="1"/>
  <c r="R14" i="1"/>
  <c r="R13" i="1"/>
  <c r="AD480" i="53"/>
  <c r="AD479" i="53"/>
  <c r="AD462" i="53"/>
  <c r="AD416" i="53"/>
  <c r="AD409" i="53"/>
  <c r="AD403" i="53"/>
  <c r="AD402" i="53"/>
  <c r="AD395" i="53"/>
  <c r="AD331" i="53"/>
  <c r="AD256" i="53"/>
  <c r="AD251" i="53"/>
  <c r="AD249" i="53"/>
  <c r="AD245" i="53"/>
  <c r="AD222" i="53"/>
  <c r="AD212" i="53"/>
  <c r="R55" i="2"/>
  <c r="R63" i="2"/>
  <c r="R51" i="2"/>
  <c r="R50" i="2"/>
  <c r="R49" i="2"/>
  <c r="R48" i="2"/>
  <c r="R47" i="2"/>
  <c r="R46" i="2"/>
  <c r="R43" i="2"/>
  <c r="R39" i="2"/>
  <c r="R32" i="2"/>
  <c r="R31" i="2"/>
  <c r="R28" i="2"/>
  <c r="R27" i="2"/>
  <c r="R26" i="2"/>
  <c r="R21" i="2"/>
  <c r="R16" i="2"/>
  <c r="R15" i="2"/>
  <c r="R14" i="2"/>
  <c r="AD199" i="53"/>
  <c r="AD185" i="53"/>
  <c r="AD170" i="53"/>
  <c r="AD163" i="53"/>
  <c r="AD131" i="53"/>
  <c r="AD120" i="53"/>
  <c r="AD109" i="53"/>
  <c r="AD103" i="53"/>
  <c r="AD85" i="53"/>
  <c r="AD49" i="53"/>
  <c r="AD48" i="53"/>
  <c r="AD14" i="53"/>
  <c r="AD6" i="53"/>
  <c r="AD4" i="53"/>
  <c r="AD2" i="53"/>
  <c r="Q30" i="1"/>
  <c r="Q27" i="1"/>
  <c r="Q25" i="1"/>
  <c r="Q24" i="1"/>
  <c r="Q23" i="1"/>
  <c r="Q22" i="1"/>
  <c r="Q21" i="1"/>
  <c r="Q20" i="1"/>
  <c r="Q19" i="1"/>
  <c r="Q15" i="1"/>
  <c r="Q14" i="1"/>
  <c r="Q13" i="1"/>
  <c r="P480" i="53"/>
  <c r="P479" i="53"/>
  <c r="P462" i="53"/>
  <c r="P416" i="53"/>
  <c r="P409" i="53"/>
  <c r="P403" i="53"/>
  <c r="P402" i="53"/>
  <c r="P395" i="53"/>
  <c r="P331" i="53"/>
  <c r="P256" i="53"/>
  <c r="P251" i="53"/>
  <c r="P249" i="53"/>
  <c r="P245" i="53"/>
  <c r="P222" i="53"/>
  <c r="P212" i="53"/>
  <c r="Q55" i="2"/>
  <c r="Q63" i="2"/>
  <c r="Q51" i="2"/>
  <c r="Q50" i="2"/>
  <c r="Q49" i="2"/>
  <c r="Q47" i="2"/>
  <c r="Q46" i="2"/>
  <c r="Q43" i="2"/>
  <c r="Q39" i="2"/>
  <c r="Q32" i="2"/>
  <c r="Q31" i="2"/>
  <c r="Q28" i="2"/>
  <c r="Q27" i="2"/>
  <c r="Q26" i="2"/>
  <c r="Q21" i="2"/>
  <c r="Q16" i="2"/>
  <c r="Q15" i="2"/>
  <c r="Q14" i="2"/>
  <c r="P199" i="53"/>
  <c r="P185" i="53"/>
  <c r="P170" i="53"/>
  <c r="P163" i="53"/>
  <c r="P131" i="53"/>
  <c r="P120" i="53"/>
  <c r="P109" i="53"/>
  <c r="P103" i="53"/>
  <c r="P85" i="53"/>
  <c r="P49" i="53"/>
  <c r="P48" i="53"/>
  <c r="P14" i="53"/>
  <c r="P6" i="53"/>
  <c r="P4" i="53"/>
  <c r="P2" i="53"/>
  <c r="P30" i="1"/>
  <c r="P27" i="1"/>
  <c r="P25" i="1"/>
  <c r="P24" i="1"/>
  <c r="P23" i="1"/>
  <c r="P22" i="1"/>
  <c r="P21" i="1"/>
  <c r="P20" i="1"/>
  <c r="P19" i="1"/>
  <c r="P15" i="1"/>
  <c r="P14" i="1"/>
  <c r="P13" i="1"/>
  <c r="BN480" i="53"/>
  <c r="BN479" i="53"/>
  <c r="BN462" i="53"/>
  <c r="BN416" i="53"/>
  <c r="BN409" i="53"/>
  <c r="BN403" i="53"/>
  <c r="BN402" i="53"/>
  <c r="BN395" i="53"/>
  <c r="BN331" i="53"/>
  <c r="BN256" i="53"/>
  <c r="BN251" i="53"/>
  <c r="BN249" i="53"/>
  <c r="BN245" i="53"/>
  <c r="BN221" i="53"/>
  <c r="BN212" i="53"/>
  <c r="P55" i="2"/>
  <c r="BN49" i="53"/>
  <c r="P15" i="2" s="1"/>
  <c r="BN4" i="53"/>
  <c r="BN2" i="53"/>
  <c r="BN183" i="53"/>
  <c r="P39" i="2" s="1"/>
  <c r="BN109" i="53"/>
  <c r="P63" i="2"/>
  <c r="P51" i="2"/>
  <c r="P50" i="2"/>
  <c r="P49" i="2"/>
  <c r="P48" i="2"/>
  <c r="P47" i="2"/>
  <c r="P46" i="2"/>
  <c r="P43" i="2"/>
  <c r="P32" i="2"/>
  <c r="P31" i="2"/>
  <c r="P28" i="2"/>
  <c r="P21" i="2"/>
  <c r="P16" i="2"/>
  <c r="P14" i="2"/>
  <c r="BN199" i="53"/>
  <c r="BN170" i="53"/>
  <c r="BN163" i="53"/>
  <c r="BN131" i="53"/>
  <c r="BN120" i="53"/>
  <c r="BN103" i="53"/>
  <c r="BN85" i="53"/>
  <c r="BN48" i="53"/>
  <c r="BN14" i="53"/>
  <c r="BN6" i="53"/>
  <c r="O30" i="1"/>
  <c r="O27" i="1"/>
  <c r="O25" i="1"/>
  <c r="O24" i="1"/>
  <c r="O23" i="1"/>
  <c r="O22" i="1"/>
  <c r="O21" i="1"/>
  <c r="O20" i="1"/>
  <c r="O19" i="1"/>
  <c r="O15" i="1"/>
  <c r="O14" i="1"/>
  <c r="O13" i="1"/>
  <c r="AJ480" i="53"/>
  <c r="AJ479" i="53"/>
  <c r="AJ462" i="53"/>
  <c r="AJ416" i="53"/>
  <c r="AJ409" i="53"/>
  <c r="AJ403" i="53"/>
  <c r="AJ402" i="53"/>
  <c r="AJ395" i="53"/>
  <c r="AJ331" i="53"/>
  <c r="AJ256" i="53"/>
  <c r="AJ251" i="53"/>
  <c r="AJ249" i="53"/>
  <c r="AJ245" i="53"/>
  <c r="AJ222" i="53"/>
  <c r="AJ212" i="53"/>
  <c r="O55" i="2"/>
  <c r="O63" i="2"/>
  <c r="O51" i="2"/>
  <c r="O50" i="2"/>
  <c r="O49" i="2"/>
  <c r="O48" i="2"/>
  <c r="O47" i="2"/>
  <c r="O46" i="2"/>
  <c r="O43" i="2"/>
  <c r="O39" i="2"/>
  <c r="O32" i="2"/>
  <c r="O31" i="2"/>
  <c r="O28" i="2"/>
  <c r="O27" i="2"/>
  <c r="O26" i="2"/>
  <c r="O21" i="2"/>
  <c r="O16" i="2"/>
  <c r="O15" i="2"/>
  <c r="O14" i="2"/>
  <c r="AJ199" i="53"/>
  <c r="AJ185" i="53"/>
  <c r="AJ170" i="53"/>
  <c r="AJ163" i="53"/>
  <c r="AJ131" i="53"/>
  <c r="AJ120" i="53"/>
  <c r="AJ109" i="53"/>
  <c r="AJ103" i="53"/>
  <c r="AJ85" i="53"/>
  <c r="AJ49" i="53"/>
  <c r="AJ48" i="53"/>
  <c r="AJ14" i="53"/>
  <c r="AJ6" i="53"/>
  <c r="AJ4" i="53"/>
  <c r="AJ2" i="53"/>
  <c r="N30" i="1"/>
  <c r="N27" i="1"/>
  <c r="N25" i="1"/>
  <c r="N24" i="1"/>
  <c r="N23" i="1"/>
  <c r="N22" i="1"/>
  <c r="N21" i="1"/>
  <c r="N20" i="1"/>
  <c r="N19" i="1"/>
  <c r="N15" i="1"/>
  <c r="N14" i="1"/>
  <c r="N13" i="1"/>
  <c r="X480" i="53"/>
  <c r="X251" i="53"/>
  <c r="X479" i="53" s="1"/>
  <c r="X484" i="53" s="1"/>
  <c r="X462" i="53"/>
  <c r="X416" i="53"/>
  <c r="X409" i="53"/>
  <c r="X403" i="53"/>
  <c r="X402" i="53"/>
  <c r="X395" i="53"/>
  <c r="X331" i="53"/>
  <c r="X256" i="53"/>
  <c r="X249" i="53"/>
  <c r="X245" i="53"/>
  <c r="X222" i="53"/>
  <c r="X212" i="53"/>
  <c r="N55" i="2"/>
  <c r="X185" i="53"/>
  <c r="N39" i="2" s="1"/>
  <c r="N63" i="2"/>
  <c r="N51" i="2"/>
  <c r="N50" i="2"/>
  <c r="N49" i="2"/>
  <c r="N47" i="2"/>
  <c r="N46" i="2"/>
  <c r="N43" i="2"/>
  <c r="N32" i="2"/>
  <c r="N31" i="2"/>
  <c r="N28" i="2"/>
  <c r="N27" i="2"/>
  <c r="N26" i="2"/>
  <c r="N21" i="2"/>
  <c r="N16" i="2"/>
  <c r="N15" i="2"/>
  <c r="N14" i="2"/>
  <c r="X199" i="53"/>
  <c r="X170" i="53"/>
  <c r="X163" i="53"/>
  <c r="X131" i="53"/>
  <c r="X120" i="53"/>
  <c r="X109" i="53"/>
  <c r="X103" i="53"/>
  <c r="X85" i="53"/>
  <c r="X49" i="53"/>
  <c r="X48" i="53"/>
  <c r="X14" i="53"/>
  <c r="X6" i="53"/>
  <c r="X4" i="53"/>
  <c r="X2" i="53"/>
  <c r="M30" i="1"/>
  <c r="M27" i="1"/>
  <c r="M25" i="1"/>
  <c r="M24" i="1"/>
  <c r="M23" i="1"/>
  <c r="M22" i="1"/>
  <c r="M21" i="1"/>
  <c r="M20" i="1"/>
  <c r="M19" i="1"/>
  <c r="M15" i="1"/>
  <c r="M14" i="1"/>
  <c r="M13" i="1"/>
  <c r="T480" i="53"/>
  <c r="T479" i="53"/>
  <c r="T462" i="53"/>
  <c r="T416" i="53"/>
  <c r="T409" i="53"/>
  <c r="T403" i="53"/>
  <c r="T402" i="53"/>
  <c r="T395" i="53"/>
  <c r="T331" i="53"/>
  <c r="T256" i="53"/>
  <c r="T251" i="53"/>
  <c r="T249" i="53"/>
  <c r="T245" i="53"/>
  <c r="T222" i="53"/>
  <c r="T212" i="53"/>
  <c r="M55" i="2"/>
  <c r="M63" i="2"/>
  <c r="M51" i="2"/>
  <c r="M50" i="2"/>
  <c r="M49" i="2"/>
  <c r="M47" i="2"/>
  <c r="M46" i="2"/>
  <c r="M43" i="2"/>
  <c r="M39" i="2"/>
  <c r="M32" i="2"/>
  <c r="M31" i="2"/>
  <c r="M28" i="2"/>
  <c r="M27" i="2"/>
  <c r="M26" i="2"/>
  <c r="M21" i="2"/>
  <c r="M16" i="2"/>
  <c r="M15" i="2"/>
  <c r="M14" i="2"/>
  <c r="T199" i="53"/>
  <c r="T185" i="53"/>
  <c r="T170" i="53"/>
  <c r="T163" i="53"/>
  <c r="T131" i="53"/>
  <c r="T120" i="53"/>
  <c r="T109" i="53"/>
  <c r="T103" i="53"/>
  <c r="T85" i="53"/>
  <c r="T49" i="53"/>
  <c r="T48" i="53"/>
  <c r="T14" i="53"/>
  <c r="T6" i="53"/>
  <c r="T4" i="53"/>
  <c r="T2" i="53"/>
  <c r="L30" i="1"/>
  <c r="L27" i="1"/>
  <c r="L25" i="1"/>
  <c r="L24" i="1"/>
  <c r="L23" i="1"/>
  <c r="L22" i="1"/>
  <c r="L21" i="1"/>
  <c r="L20" i="1"/>
  <c r="L19" i="1"/>
  <c r="L15" i="1"/>
  <c r="L14" i="1"/>
  <c r="L13" i="1"/>
  <c r="F480" i="53"/>
  <c r="F479" i="53"/>
  <c r="F462" i="53"/>
  <c r="F416" i="53"/>
  <c r="F409" i="53"/>
  <c r="F403" i="53"/>
  <c r="F402" i="53"/>
  <c r="F395" i="53"/>
  <c r="F331" i="53"/>
  <c r="F256" i="53"/>
  <c r="F251" i="53"/>
  <c r="F249" i="53"/>
  <c r="F245" i="53"/>
  <c r="F222" i="53"/>
  <c r="F212" i="53"/>
  <c r="L55" i="2"/>
  <c r="L46" i="2"/>
  <c r="L50" i="2"/>
  <c r="F185" i="53"/>
  <c r="L39" i="2" s="1"/>
  <c r="F120" i="53"/>
  <c r="L43" i="2" s="1"/>
  <c r="L21" i="2"/>
  <c r="L16" i="2"/>
  <c r="L15" i="2"/>
  <c r="L14" i="2"/>
  <c r="F109" i="53"/>
  <c r="L32" i="2" s="1"/>
  <c r="F103" i="53"/>
  <c r="F85" i="53"/>
  <c r="F49" i="53"/>
  <c r="F4" i="53"/>
  <c r="L27" i="2" s="1"/>
  <c r="F2" i="53"/>
  <c r="F151" i="53"/>
  <c r="F14" i="53"/>
  <c r="L63" i="2"/>
  <c r="L51" i="2"/>
  <c r="L49" i="2"/>
  <c r="L47" i="2"/>
  <c r="L31" i="2"/>
  <c r="L28" i="2"/>
  <c r="L26" i="2"/>
  <c r="F199" i="53"/>
  <c r="F170" i="53"/>
  <c r="F163" i="53"/>
  <c r="F48" i="53"/>
  <c r="F6" i="53"/>
  <c r="K24" i="1"/>
  <c r="K23" i="1"/>
  <c r="K22" i="1"/>
  <c r="K21" i="1"/>
  <c r="K20" i="1"/>
  <c r="K19" i="1"/>
  <c r="K30" i="1"/>
  <c r="K27" i="1"/>
  <c r="K25" i="1"/>
  <c r="K15" i="1"/>
  <c r="K14" i="1"/>
  <c r="K13" i="1"/>
  <c r="AP480" i="53"/>
  <c r="AP479" i="53"/>
  <c r="AP462" i="53"/>
  <c r="AP416" i="53"/>
  <c r="AP409" i="53"/>
  <c r="AP403" i="53"/>
  <c r="AP402" i="53"/>
  <c r="AP395" i="53"/>
  <c r="AP331" i="53"/>
  <c r="AP256" i="53"/>
  <c r="AP251" i="53"/>
  <c r="AP249" i="53"/>
  <c r="AP245" i="53"/>
  <c r="AP222" i="53"/>
  <c r="AP212" i="53"/>
  <c r="K55" i="2"/>
  <c r="AP84" i="53"/>
  <c r="K49" i="2"/>
  <c r="AP131" i="53"/>
  <c r="AP163" i="53"/>
  <c r="AP170" i="53"/>
  <c r="K47" i="2" s="1"/>
  <c r="AP185" i="53"/>
  <c r="K39" i="2" s="1"/>
  <c r="AP199" i="53"/>
  <c r="K63" i="2"/>
  <c r="K51" i="2"/>
  <c r="K50" i="2"/>
  <c r="K46" i="2"/>
  <c r="K43" i="2"/>
  <c r="K32" i="2"/>
  <c r="K31" i="2"/>
  <c r="K28" i="2"/>
  <c r="K27" i="2"/>
  <c r="K26" i="2"/>
  <c r="K21" i="2"/>
  <c r="K16" i="2"/>
  <c r="K15" i="2"/>
  <c r="K14" i="2"/>
  <c r="AP120" i="53"/>
  <c r="AP109" i="53"/>
  <c r="AP103" i="53"/>
  <c r="AP49" i="53"/>
  <c r="AP48" i="53"/>
  <c r="AP14" i="53"/>
  <c r="AP6" i="53"/>
  <c r="AP4" i="53"/>
  <c r="AP2" i="53"/>
  <c r="J30" i="1"/>
  <c r="J27" i="1"/>
  <c r="J25" i="1"/>
  <c r="J24" i="1"/>
  <c r="J23" i="1"/>
  <c r="J22" i="1"/>
  <c r="J21" i="1"/>
  <c r="J20" i="1"/>
  <c r="J19" i="1"/>
  <c r="J15" i="1"/>
  <c r="J14" i="1"/>
  <c r="J13" i="1"/>
  <c r="H480" i="53"/>
  <c r="H479" i="53"/>
  <c r="H462" i="53"/>
  <c r="H416" i="53"/>
  <c r="H409" i="53"/>
  <c r="H403" i="53"/>
  <c r="H402" i="53"/>
  <c r="H395" i="53"/>
  <c r="H331" i="53"/>
  <c r="H256" i="53"/>
  <c r="H251" i="53"/>
  <c r="H222" i="53"/>
  <c r="H249" i="53"/>
  <c r="H245" i="53"/>
  <c r="H212" i="53"/>
  <c r="J55" i="2"/>
  <c r="J63" i="2"/>
  <c r="J51" i="2"/>
  <c r="J50" i="2"/>
  <c r="J49" i="2"/>
  <c r="J47" i="2"/>
  <c r="J46" i="2"/>
  <c r="J45" i="2"/>
  <c r="J43" i="2"/>
  <c r="J39" i="2"/>
  <c r="J32" i="2"/>
  <c r="J31" i="2"/>
  <c r="J28" i="2"/>
  <c r="J27" i="2"/>
  <c r="J26" i="2"/>
  <c r="J21" i="2"/>
  <c r="J16" i="2"/>
  <c r="J15" i="2"/>
  <c r="J14" i="2"/>
  <c r="H199" i="53"/>
  <c r="H185" i="53"/>
  <c r="H191" i="53"/>
  <c r="H170" i="53"/>
  <c r="H163" i="53"/>
  <c r="H131" i="53"/>
  <c r="H120" i="53"/>
  <c r="H109" i="53"/>
  <c r="H103" i="53"/>
  <c r="H85" i="53"/>
  <c r="H49" i="53"/>
  <c r="H48" i="53"/>
  <c r="H14" i="53"/>
  <c r="H6" i="53"/>
  <c r="H4" i="53"/>
  <c r="H2" i="53"/>
  <c r="I30" i="1"/>
  <c r="I27" i="1"/>
  <c r="I25" i="1"/>
  <c r="I24" i="1"/>
  <c r="I23" i="1"/>
  <c r="I22" i="1"/>
  <c r="I21" i="1"/>
  <c r="I20" i="1"/>
  <c r="I19" i="1"/>
  <c r="I15" i="1"/>
  <c r="I14" i="1"/>
  <c r="I13" i="1"/>
  <c r="D480" i="53"/>
  <c r="D479" i="53"/>
  <c r="D462" i="53"/>
  <c r="D416" i="53"/>
  <c r="D408" i="53"/>
  <c r="D403" i="53"/>
  <c r="D402" i="53"/>
  <c r="D395" i="53"/>
  <c r="D331" i="53"/>
  <c r="D256" i="53"/>
  <c r="D251" i="53"/>
  <c r="D249" i="53"/>
  <c r="D244" i="53"/>
  <c r="D222" i="53"/>
  <c r="D212" i="53"/>
  <c r="I55" i="2"/>
  <c r="D199" i="53"/>
  <c r="I63" i="2"/>
  <c r="I51" i="2"/>
  <c r="I50" i="2"/>
  <c r="I49" i="2"/>
  <c r="I47" i="2"/>
  <c r="I46" i="2"/>
  <c r="I43" i="2"/>
  <c r="I40" i="2"/>
  <c r="I39" i="2"/>
  <c r="I32" i="2"/>
  <c r="I31" i="2"/>
  <c r="I28" i="2"/>
  <c r="I27" i="2"/>
  <c r="I26" i="2"/>
  <c r="I21" i="2"/>
  <c r="I16" i="2"/>
  <c r="I15" i="2"/>
  <c r="I14" i="2"/>
  <c r="D185" i="53"/>
  <c r="D193" i="53"/>
  <c r="D170" i="53"/>
  <c r="D163" i="53"/>
  <c r="D131" i="53"/>
  <c r="D120" i="53"/>
  <c r="D109" i="53"/>
  <c r="D103" i="53"/>
  <c r="D85" i="53"/>
  <c r="D49" i="53"/>
  <c r="D48" i="53"/>
  <c r="D14" i="53"/>
  <c r="D6" i="53"/>
  <c r="D4" i="53"/>
  <c r="D2" i="53"/>
  <c r="H30" i="1"/>
  <c r="H27" i="1"/>
  <c r="H25" i="1"/>
  <c r="H24" i="1"/>
  <c r="H23" i="1"/>
  <c r="H22" i="1"/>
  <c r="H21" i="1"/>
  <c r="H20" i="1"/>
  <c r="H19" i="1"/>
  <c r="H15" i="1"/>
  <c r="H14" i="1"/>
  <c r="H13" i="1"/>
  <c r="AH249" i="53"/>
  <c r="AH480" i="53"/>
  <c r="AH416" i="53"/>
  <c r="AH479" i="53"/>
  <c r="AH462" i="53"/>
  <c r="AH409" i="53"/>
  <c r="AH403" i="53"/>
  <c r="AH402" i="53"/>
  <c r="AH395" i="53"/>
  <c r="AH331" i="53"/>
  <c r="AH256" i="53"/>
  <c r="AH251" i="53"/>
  <c r="AH245" i="53"/>
  <c r="AH222" i="53"/>
  <c r="AH212" i="53"/>
  <c r="H55" i="2"/>
  <c r="H51" i="2"/>
  <c r="H50" i="2"/>
  <c r="H49" i="2"/>
  <c r="H47" i="2"/>
  <c r="H46" i="2"/>
  <c r="H43" i="2"/>
  <c r="H39" i="2"/>
  <c r="H32" i="2"/>
  <c r="H31" i="2"/>
  <c r="H28" i="2"/>
  <c r="H27" i="2"/>
  <c r="H26" i="2"/>
  <c r="H21" i="2"/>
  <c r="H16" i="2"/>
  <c r="H15" i="2"/>
  <c r="H14" i="2"/>
  <c r="AH199" i="53"/>
  <c r="AH185" i="53"/>
  <c r="AH170" i="53"/>
  <c r="AH163" i="53"/>
  <c r="AH131" i="53"/>
  <c r="AH120" i="53"/>
  <c r="AH109" i="53"/>
  <c r="AH103" i="53"/>
  <c r="AH85" i="53"/>
  <c r="AH49" i="53"/>
  <c r="AH48" i="53"/>
  <c r="AH14" i="53"/>
  <c r="AH6" i="53"/>
  <c r="AH4" i="53"/>
  <c r="AH2" i="53"/>
  <c r="G30" i="1"/>
  <c r="G27" i="1"/>
  <c r="G25" i="1"/>
  <c r="G24" i="1"/>
  <c r="G23" i="1"/>
  <c r="G22" i="1"/>
  <c r="G21" i="1"/>
  <c r="G20" i="1"/>
  <c r="G19" i="1"/>
  <c r="G15" i="1"/>
  <c r="G14" i="1"/>
  <c r="G13" i="1"/>
  <c r="AB480" i="53"/>
  <c r="AB479" i="53"/>
  <c r="AB462" i="53"/>
  <c r="AB416" i="53"/>
  <c r="AB409" i="53"/>
  <c r="AB403" i="53"/>
  <c r="AB402" i="53"/>
  <c r="AB395" i="53"/>
  <c r="AB331" i="53"/>
  <c r="AB256" i="53"/>
  <c r="AB251" i="53"/>
  <c r="AB249" i="53"/>
  <c r="AB245" i="53"/>
  <c r="AB223" i="53"/>
  <c r="AB212" i="53"/>
  <c r="G55" i="2"/>
  <c r="G51" i="2"/>
  <c r="G50" i="2"/>
  <c r="G49" i="2"/>
  <c r="G47" i="2"/>
  <c r="G46" i="2"/>
  <c r="G43" i="2"/>
  <c r="G39" i="2"/>
  <c r="G32" i="2"/>
  <c r="G31" i="2"/>
  <c r="G28" i="2"/>
  <c r="G27" i="2"/>
  <c r="G26" i="2"/>
  <c r="G21" i="2"/>
  <c r="G16" i="2"/>
  <c r="G15" i="2"/>
  <c r="G14" i="2"/>
  <c r="AB199" i="53"/>
  <c r="AB185" i="53"/>
  <c r="AB170" i="53"/>
  <c r="AB163" i="53"/>
  <c r="AB131" i="53"/>
  <c r="AB120" i="53"/>
  <c r="AB109" i="53"/>
  <c r="AB103" i="53"/>
  <c r="AB85" i="53"/>
  <c r="AB49" i="53"/>
  <c r="AB48" i="53"/>
  <c r="AB14" i="53"/>
  <c r="AB6" i="53"/>
  <c r="AB4" i="53"/>
  <c r="AB2" i="53"/>
  <c r="F30" i="1"/>
  <c r="F27" i="1"/>
  <c r="F25" i="1"/>
  <c r="F24" i="1"/>
  <c r="F23" i="1"/>
  <c r="F22" i="1"/>
  <c r="F21" i="1"/>
  <c r="F20" i="1"/>
  <c r="F19" i="1"/>
  <c r="F15" i="1"/>
  <c r="F14" i="1"/>
  <c r="F13" i="1"/>
  <c r="N480" i="53"/>
  <c r="N479" i="53"/>
  <c r="N409" i="53"/>
  <c r="N462" i="53"/>
  <c r="N416" i="53"/>
  <c r="N403" i="53"/>
  <c r="N402" i="53"/>
  <c r="N395" i="53"/>
  <c r="N331" i="53"/>
  <c r="N256" i="53"/>
  <c r="N251" i="53"/>
  <c r="N249" i="53"/>
  <c r="N245" i="53"/>
  <c r="N222" i="53"/>
  <c r="N212" i="53"/>
  <c r="F55" i="2"/>
  <c r="F50" i="2"/>
  <c r="N120" i="53"/>
  <c r="F51" i="2"/>
  <c r="F49" i="2"/>
  <c r="F47" i="2"/>
  <c r="F46" i="2"/>
  <c r="F43" i="2"/>
  <c r="N185" i="53"/>
  <c r="F39" i="2" s="1"/>
  <c r="F32" i="2"/>
  <c r="F31" i="2"/>
  <c r="F28" i="2"/>
  <c r="F27" i="2"/>
  <c r="F26" i="2"/>
  <c r="F21" i="2"/>
  <c r="F16" i="2"/>
  <c r="F15" i="2"/>
  <c r="F14" i="2"/>
  <c r="N199" i="53"/>
  <c r="N171" i="53"/>
  <c r="N163" i="53"/>
  <c r="N131" i="53"/>
  <c r="N109" i="53"/>
  <c r="N103" i="53"/>
  <c r="N85" i="53"/>
  <c r="N49" i="53"/>
  <c r="N48" i="53"/>
  <c r="N14" i="53"/>
  <c r="N6" i="53"/>
  <c r="N4" i="53"/>
  <c r="N2" i="53"/>
  <c r="AV480" i="53"/>
  <c r="AV479" i="53"/>
  <c r="E30" i="1"/>
  <c r="E27" i="1"/>
  <c r="E25" i="1"/>
  <c r="E24" i="1"/>
  <c r="E23" i="1"/>
  <c r="E22" i="1"/>
  <c r="E21" i="1"/>
  <c r="E20" i="1"/>
  <c r="E19" i="1"/>
  <c r="E15" i="1"/>
  <c r="E14" i="1"/>
  <c r="E13" i="1"/>
  <c r="AV411" i="53"/>
  <c r="AV463" i="53"/>
  <c r="AV415" i="53"/>
  <c r="AV403" i="53"/>
  <c r="AV402" i="53"/>
  <c r="AV395" i="53"/>
  <c r="AV331" i="53"/>
  <c r="AV256" i="53"/>
  <c r="AV251" i="53"/>
  <c r="AV249" i="53"/>
  <c r="AV245" i="53"/>
  <c r="AV219" i="53"/>
  <c r="AV212" i="53"/>
  <c r="E55" i="2"/>
  <c r="E51" i="2"/>
  <c r="E50" i="2"/>
  <c r="E49" i="2"/>
  <c r="E47" i="2"/>
  <c r="E46" i="2"/>
  <c r="E44" i="2"/>
  <c r="E43" i="2"/>
  <c r="E39" i="2"/>
  <c r="AV185" i="53"/>
  <c r="E32" i="2"/>
  <c r="E31" i="2"/>
  <c r="E28" i="2"/>
  <c r="E27" i="2"/>
  <c r="E26" i="2"/>
  <c r="E21" i="2"/>
  <c r="E16" i="2"/>
  <c r="E15" i="2"/>
  <c r="E14" i="2"/>
  <c r="AV199" i="53"/>
  <c r="AV191" i="53"/>
  <c r="AV172" i="53"/>
  <c r="AV163" i="53"/>
  <c r="AV131" i="53"/>
  <c r="AV120" i="53"/>
  <c r="AV109" i="53"/>
  <c r="AV103" i="53"/>
  <c r="AV85" i="53"/>
  <c r="AV49" i="53"/>
  <c r="AV48" i="53"/>
  <c r="AV14" i="53"/>
  <c r="AV6" i="53"/>
  <c r="AV4" i="53"/>
  <c r="AV2" i="53"/>
  <c r="D30" i="1"/>
  <c r="D27" i="1"/>
  <c r="D25" i="1"/>
  <c r="D24" i="1"/>
  <c r="D23" i="1"/>
  <c r="D22" i="1"/>
  <c r="D21" i="1"/>
  <c r="D20" i="1"/>
  <c r="D19" i="1"/>
  <c r="D14" i="1"/>
  <c r="D15" i="1"/>
  <c r="D13" i="1"/>
  <c r="AF480" i="53"/>
  <c r="AF479" i="53"/>
  <c r="AF462" i="53"/>
  <c r="AF416" i="53"/>
  <c r="AF403" i="53"/>
  <c r="AF409" i="53"/>
  <c r="AF402" i="53"/>
  <c r="AF395" i="53"/>
  <c r="AF331" i="53"/>
  <c r="AF256" i="53"/>
  <c r="AF251" i="53"/>
  <c r="AF249" i="53"/>
  <c r="AF245" i="53"/>
  <c r="AF222" i="53"/>
  <c r="AF212" i="53"/>
  <c r="D55" i="2"/>
  <c r="AF151" i="53"/>
  <c r="AF183" i="53"/>
  <c r="D39" i="2" s="1"/>
  <c r="D51" i="2"/>
  <c r="D50" i="2"/>
  <c r="D49" i="2"/>
  <c r="D47" i="2"/>
  <c r="D46" i="2"/>
  <c r="D43" i="2"/>
  <c r="D32" i="2"/>
  <c r="D31" i="2"/>
  <c r="D28" i="2"/>
  <c r="D27" i="2"/>
  <c r="D26" i="2"/>
  <c r="D21" i="2"/>
  <c r="D16" i="2"/>
  <c r="D15" i="2"/>
  <c r="D14" i="2"/>
  <c r="AF199" i="53"/>
  <c r="AF172" i="53"/>
  <c r="AF163" i="53"/>
  <c r="AF120" i="53"/>
  <c r="AF109" i="53"/>
  <c r="AF14" i="53"/>
  <c r="AF103" i="53"/>
  <c r="AF85" i="53"/>
  <c r="AF52" i="53"/>
  <c r="AF48" i="53"/>
  <c r="AF6" i="53"/>
  <c r="AF4" i="53"/>
  <c r="AF2" i="53"/>
  <c r="L480" i="53"/>
  <c r="C30" i="1"/>
  <c r="C27" i="1"/>
  <c r="C25" i="1"/>
  <c r="C24" i="1"/>
  <c r="C23" i="1"/>
  <c r="C22" i="1"/>
  <c r="C21" i="1"/>
  <c r="C20" i="1"/>
  <c r="C19" i="1"/>
  <c r="L479" i="53"/>
  <c r="L409" i="53"/>
  <c r="L462" i="53"/>
  <c r="L416" i="53"/>
  <c r="L403" i="53"/>
  <c r="L402" i="53"/>
  <c r="L395" i="53"/>
  <c r="L331" i="53"/>
  <c r="L256" i="53"/>
  <c r="L251" i="53"/>
  <c r="C15" i="1"/>
  <c r="C14" i="1"/>
  <c r="C13" i="1"/>
  <c r="L249" i="53"/>
  <c r="L245" i="53"/>
  <c r="L219" i="53"/>
  <c r="L212" i="53"/>
  <c r="C55" i="2"/>
  <c r="L199" i="53"/>
  <c r="L188" i="53"/>
  <c r="L170" i="53"/>
  <c r="L163" i="53"/>
  <c r="L131" i="53"/>
  <c r="C50" i="2" s="1"/>
  <c r="C49" i="2"/>
  <c r="L120" i="53"/>
  <c r="C43" i="2" s="1"/>
  <c r="L109" i="53"/>
  <c r="C32" i="2" s="1"/>
  <c r="L14" i="53"/>
  <c r="L85" i="53"/>
  <c r="L49" i="53"/>
  <c r="L6" i="53"/>
  <c r="L4" i="53"/>
  <c r="C27" i="2" s="1"/>
  <c r="L2" i="53"/>
  <c r="C47" i="2"/>
  <c r="C51" i="2"/>
  <c r="C46" i="2"/>
  <c r="C44" i="2"/>
  <c r="L191" i="53"/>
  <c r="C39" i="2"/>
  <c r="C31" i="2"/>
  <c r="C28" i="2"/>
  <c r="C26" i="2"/>
  <c r="C21" i="2"/>
  <c r="C16" i="2"/>
  <c r="C15" i="2"/>
  <c r="C14" i="2"/>
  <c r="L103" i="53"/>
  <c r="L48" i="53"/>
  <c r="AT410" i="53"/>
  <c r="B25" i="1"/>
  <c r="B30" i="1"/>
  <c r="B27" i="1"/>
  <c r="B24" i="1"/>
  <c r="B23" i="1"/>
  <c r="AT403" i="53"/>
  <c r="B22" i="1"/>
  <c r="B21" i="1"/>
  <c r="B20" i="1"/>
  <c r="B19" i="1"/>
  <c r="AT251" i="53"/>
  <c r="AT479" i="53" s="1"/>
  <c r="AT480" i="53" s="1"/>
  <c r="AT249" i="53"/>
  <c r="AT462" i="53"/>
  <c r="AT416" i="53"/>
  <c r="AT402" i="53"/>
  <c r="AT395" i="53"/>
  <c r="AT331" i="53"/>
  <c r="AT257" i="53"/>
  <c r="B15" i="1"/>
  <c r="B14" i="1"/>
  <c r="B13" i="1"/>
  <c r="AT245" i="53"/>
  <c r="AT223" i="53"/>
  <c r="AT212" i="53"/>
  <c r="B55" i="2"/>
  <c r="B51" i="2"/>
  <c r="B50" i="2"/>
  <c r="B49" i="2"/>
  <c r="B47" i="2"/>
  <c r="B46" i="2"/>
  <c r="B43" i="2"/>
  <c r="B40" i="2"/>
  <c r="B39" i="2"/>
  <c r="AT185" i="53"/>
  <c r="AT199" i="53"/>
  <c r="AT192" i="53"/>
  <c r="AT171" i="53"/>
  <c r="AT163" i="53"/>
  <c r="AT131" i="53"/>
  <c r="AT122" i="53"/>
  <c r="AK505" i="52"/>
  <c r="AJ505" i="52"/>
  <c r="AI505" i="52"/>
  <c r="AH505" i="52"/>
  <c r="AG505" i="52"/>
  <c r="AF505" i="52"/>
  <c r="AE505" i="52"/>
  <c r="AD505" i="52"/>
  <c r="AC505" i="52"/>
  <c r="AB505" i="52"/>
  <c r="AA505" i="52"/>
  <c r="Z505" i="52"/>
  <c r="Y505" i="52"/>
  <c r="X505" i="52"/>
  <c r="W505" i="52"/>
  <c r="V505" i="52"/>
  <c r="U505" i="52"/>
  <c r="T505" i="52"/>
  <c r="S505" i="52"/>
  <c r="R505" i="52"/>
  <c r="Q505" i="52"/>
  <c r="P505" i="52"/>
  <c r="O505" i="52"/>
  <c r="N505" i="52"/>
  <c r="M505" i="52"/>
  <c r="L505" i="52"/>
  <c r="K505" i="52"/>
  <c r="J505" i="52"/>
  <c r="I505" i="52"/>
  <c r="H505" i="52"/>
  <c r="G505" i="52"/>
  <c r="F505" i="52"/>
  <c r="E505" i="52"/>
  <c r="D505" i="52"/>
  <c r="C505" i="52"/>
  <c r="AT85" i="53"/>
  <c r="AT49" i="53"/>
  <c r="AT14" i="53"/>
  <c r="AT4" i="53"/>
  <c r="AT2" i="53"/>
  <c r="B32" i="2"/>
  <c r="B31" i="2"/>
  <c r="B28" i="2"/>
  <c r="B27" i="2"/>
  <c r="B26" i="2"/>
  <c r="B21" i="2"/>
  <c r="B16" i="2"/>
  <c r="B15" i="2"/>
  <c r="B14" i="2"/>
  <c r="AT109" i="53"/>
  <c r="AT103" i="53"/>
  <c r="AT48" i="53"/>
  <c r="AT6" i="53"/>
  <c r="F53" i="2" l="1"/>
  <c r="BS211" i="53" l="1"/>
  <c r="BQ211" i="53"/>
  <c r="BO211" i="53"/>
  <c r="BM211" i="53"/>
  <c r="BK211" i="53"/>
  <c r="BI211" i="53"/>
  <c r="BG211" i="53"/>
  <c r="BE211" i="53"/>
  <c r="BC211" i="53"/>
  <c r="BA211" i="53"/>
  <c r="AY211" i="53"/>
  <c r="AW211" i="53"/>
  <c r="AU211" i="53"/>
  <c r="AS211" i="53"/>
  <c r="AQ211" i="53"/>
  <c r="AO211" i="53"/>
  <c r="AM211" i="53"/>
  <c r="AK211" i="53"/>
  <c r="AI211" i="53"/>
  <c r="AG211" i="53"/>
  <c r="AE211" i="53"/>
  <c r="AC211" i="53"/>
  <c r="AA211" i="53"/>
  <c r="Y211" i="53"/>
  <c r="W211" i="53"/>
  <c r="U211" i="53"/>
  <c r="S211" i="53"/>
  <c r="Q211" i="53"/>
  <c r="O211" i="53"/>
  <c r="M211" i="53"/>
  <c r="K211" i="53"/>
  <c r="I211" i="53"/>
  <c r="G211" i="53"/>
  <c r="E211" i="53"/>
  <c r="C211" i="53"/>
  <c r="BS479" i="53"/>
  <c r="BQ479" i="53"/>
  <c r="BO479" i="53"/>
  <c r="BM479" i="53"/>
  <c r="BK479" i="53"/>
  <c r="BI479" i="53"/>
  <c r="BG479" i="53"/>
  <c r="BE479" i="53"/>
  <c r="BC479" i="53"/>
  <c r="BA479" i="53"/>
  <c r="AY479" i="53"/>
  <c r="AW479" i="53"/>
  <c r="AU479" i="53"/>
  <c r="AS479" i="53"/>
  <c r="AQ479" i="53"/>
  <c r="AO479" i="53"/>
  <c r="AM479" i="53"/>
  <c r="AK479" i="53"/>
  <c r="AI479" i="53"/>
  <c r="AG479" i="53"/>
  <c r="AE479" i="53"/>
  <c r="AC479" i="53"/>
  <c r="AA479" i="53"/>
  <c r="Y479" i="53"/>
  <c r="W479" i="53"/>
  <c r="U479" i="53"/>
  <c r="S479" i="53"/>
  <c r="Q479" i="53"/>
  <c r="O479" i="53"/>
  <c r="M479" i="53"/>
  <c r="K479" i="53"/>
  <c r="I479" i="53"/>
  <c r="G479" i="53"/>
  <c r="E479" i="53"/>
  <c r="C479" i="53"/>
  <c r="BS249" i="53"/>
  <c r="BQ249" i="53"/>
  <c r="BO249" i="53"/>
  <c r="BO481" i="53" s="1"/>
  <c r="BO482" i="53" s="1"/>
  <c r="BM249" i="53"/>
  <c r="BM481" i="53" s="1"/>
  <c r="BM482" i="53" s="1"/>
  <c r="BK249" i="53"/>
  <c r="BI249" i="53"/>
  <c r="BG249" i="53"/>
  <c r="BG481" i="53" s="1"/>
  <c r="BG482" i="53" s="1"/>
  <c r="BE249" i="53"/>
  <c r="BE481" i="53" s="1"/>
  <c r="BE482" i="53" s="1"/>
  <c r="BC249" i="53"/>
  <c r="BA249" i="53"/>
  <c r="AY249" i="53"/>
  <c r="AY481" i="53" s="1"/>
  <c r="AY482" i="53" s="1"/>
  <c r="AW249" i="53"/>
  <c r="AW481" i="53" s="1"/>
  <c r="AW482" i="53" s="1"/>
  <c r="AU249" i="53"/>
  <c r="AS249" i="53"/>
  <c r="AQ249" i="53"/>
  <c r="AQ481" i="53" s="1"/>
  <c r="AQ482" i="53" s="1"/>
  <c r="AO249" i="53"/>
  <c r="AO481" i="53" s="1"/>
  <c r="AO482" i="53" s="1"/>
  <c r="AM249" i="53"/>
  <c r="AK249" i="53"/>
  <c r="AI249" i="53"/>
  <c r="AI481" i="53" s="1"/>
  <c r="AI482" i="53" s="1"/>
  <c r="AG249" i="53"/>
  <c r="AG481" i="53" s="1"/>
  <c r="AG482" i="53" s="1"/>
  <c r="AE249" i="53"/>
  <c r="AC249" i="53"/>
  <c r="AA249" i="53"/>
  <c r="AA481" i="53" s="1"/>
  <c r="AA482" i="53" s="1"/>
  <c r="Y249" i="53"/>
  <c r="Y481" i="53" s="1"/>
  <c r="Y482" i="53" s="1"/>
  <c r="W249" i="53"/>
  <c r="U249" i="53"/>
  <c r="S249" i="53"/>
  <c r="S481" i="53" s="1"/>
  <c r="S482" i="53" s="1"/>
  <c r="Q249" i="53"/>
  <c r="Q481" i="53" s="1"/>
  <c r="Q482" i="53" s="1"/>
  <c r="O249" i="53"/>
  <c r="M249" i="53"/>
  <c r="K249" i="53"/>
  <c r="K481" i="53" s="1"/>
  <c r="K482" i="53" s="1"/>
  <c r="I249" i="53"/>
  <c r="I481" i="53" s="1"/>
  <c r="I482" i="53" s="1"/>
  <c r="G249" i="53"/>
  <c r="E249" i="53"/>
  <c r="C249" i="53"/>
  <c r="C481" i="53" s="1"/>
  <c r="C482" i="53" s="1"/>
  <c r="AL273" i="51"/>
  <c r="AK273" i="51"/>
  <c r="AJ273" i="51"/>
  <c r="AI273" i="51"/>
  <c r="AH273" i="51"/>
  <c r="AG273" i="51"/>
  <c r="AF273" i="51"/>
  <c r="AE273" i="51"/>
  <c r="AD273" i="51"/>
  <c r="AC273" i="51"/>
  <c r="AB273" i="51"/>
  <c r="AA273" i="51"/>
  <c r="Z273" i="51"/>
  <c r="Y273" i="51"/>
  <c r="X273" i="51"/>
  <c r="W273" i="51"/>
  <c r="V273" i="51"/>
  <c r="U273" i="51"/>
  <c r="T273" i="51"/>
  <c r="S273" i="51"/>
  <c r="R273" i="51"/>
  <c r="Q273" i="51"/>
  <c r="P273" i="51"/>
  <c r="O273" i="51"/>
  <c r="N273" i="51"/>
  <c r="M273" i="51"/>
  <c r="L273" i="51"/>
  <c r="K273" i="51"/>
  <c r="J273" i="51"/>
  <c r="I273" i="51"/>
  <c r="H273" i="51"/>
  <c r="G273" i="51"/>
  <c r="F273" i="51"/>
  <c r="E273" i="51"/>
  <c r="D273" i="51"/>
  <c r="C273" i="51"/>
  <c r="AL43" i="51"/>
  <c r="AL275" i="51" s="1"/>
  <c r="AL276" i="51" s="1"/>
  <c r="AK43" i="51"/>
  <c r="AK275" i="51" s="1"/>
  <c r="AK276" i="51" s="1"/>
  <c r="AJ43" i="51"/>
  <c r="AJ275" i="51" s="1"/>
  <c r="AJ276" i="51" s="1"/>
  <c r="AI43" i="51"/>
  <c r="AI275" i="51" s="1"/>
  <c r="AI276" i="51" s="1"/>
  <c r="AH43" i="51"/>
  <c r="AH275" i="51" s="1"/>
  <c r="AH276" i="51" s="1"/>
  <c r="AG43" i="51"/>
  <c r="AG275" i="51" s="1"/>
  <c r="AG276" i="51" s="1"/>
  <c r="AF43" i="51"/>
  <c r="AF275" i="51" s="1"/>
  <c r="AF276" i="51" s="1"/>
  <c r="AE43" i="51"/>
  <c r="AE275" i="51" s="1"/>
  <c r="AE276" i="51" s="1"/>
  <c r="AD43" i="51"/>
  <c r="AD275" i="51" s="1"/>
  <c r="AD276" i="51" s="1"/>
  <c r="AC43" i="51"/>
  <c r="AC275" i="51" s="1"/>
  <c r="AC276" i="51" s="1"/>
  <c r="AB43" i="51"/>
  <c r="AB275" i="51" s="1"/>
  <c r="AB276" i="51" s="1"/>
  <c r="AA43" i="51"/>
  <c r="AA275" i="51" s="1"/>
  <c r="AA276" i="51" s="1"/>
  <c r="Z43" i="51"/>
  <c r="Z275" i="51" s="1"/>
  <c r="Z276" i="51" s="1"/>
  <c r="Y43" i="51"/>
  <c r="Y275" i="51" s="1"/>
  <c r="Y276" i="51" s="1"/>
  <c r="X43" i="51"/>
  <c r="X275" i="51" s="1"/>
  <c r="X276" i="51" s="1"/>
  <c r="W43" i="51"/>
  <c r="W275" i="51" s="1"/>
  <c r="W276" i="51" s="1"/>
  <c r="V43" i="51"/>
  <c r="V275" i="51" s="1"/>
  <c r="V276" i="51" s="1"/>
  <c r="U43" i="51"/>
  <c r="U275" i="51" s="1"/>
  <c r="U276" i="51" s="1"/>
  <c r="T43" i="51"/>
  <c r="T275" i="51" s="1"/>
  <c r="T276" i="51" s="1"/>
  <c r="S43" i="51"/>
  <c r="S275" i="51" s="1"/>
  <c r="S276" i="51" s="1"/>
  <c r="R43" i="51"/>
  <c r="R275" i="51" s="1"/>
  <c r="R276" i="51" s="1"/>
  <c r="Q43" i="51"/>
  <c r="Q275" i="51" s="1"/>
  <c r="Q276" i="51" s="1"/>
  <c r="P43" i="51"/>
  <c r="P275" i="51" s="1"/>
  <c r="P276" i="51" s="1"/>
  <c r="O43" i="51"/>
  <c r="O275" i="51" s="1"/>
  <c r="O276" i="51" s="1"/>
  <c r="N43" i="51"/>
  <c r="N275" i="51" s="1"/>
  <c r="N276" i="51" s="1"/>
  <c r="M43" i="51"/>
  <c r="M275" i="51" s="1"/>
  <c r="M276" i="51" s="1"/>
  <c r="L43" i="51"/>
  <c r="L275" i="51" s="1"/>
  <c r="L276" i="51" s="1"/>
  <c r="K43" i="51"/>
  <c r="K275" i="51" s="1"/>
  <c r="K276" i="51" s="1"/>
  <c r="J43" i="51"/>
  <c r="J275" i="51" s="1"/>
  <c r="J276" i="51" s="1"/>
  <c r="I43" i="51"/>
  <c r="I275" i="51" s="1"/>
  <c r="I276" i="51" s="1"/>
  <c r="H43" i="51"/>
  <c r="H275" i="51" s="1"/>
  <c r="H276" i="51" s="1"/>
  <c r="G43" i="51"/>
  <c r="G275" i="51" s="1"/>
  <c r="G276" i="51" s="1"/>
  <c r="F43" i="51"/>
  <c r="F275" i="51" s="1"/>
  <c r="F276" i="51" s="1"/>
  <c r="E43" i="51"/>
  <c r="E275" i="51" s="1"/>
  <c r="E276" i="51" s="1"/>
  <c r="D43" i="51"/>
  <c r="D275" i="51" s="1"/>
  <c r="D276" i="51" s="1"/>
  <c r="C43" i="51"/>
  <c r="C275" i="51" s="1"/>
  <c r="C276" i="51" s="1"/>
  <c r="E481" i="53" l="1"/>
  <c r="E482" i="53" s="1"/>
  <c r="AS481" i="53"/>
  <c r="AS482" i="53" s="1"/>
  <c r="M481" i="53"/>
  <c r="M482" i="53" s="1"/>
  <c r="U481" i="53"/>
  <c r="U482" i="53" s="1"/>
  <c r="AC481" i="53"/>
  <c r="AC482" i="53" s="1"/>
  <c r="AK481" i="53"/>
  <c r="AK482" i="53" s="1"/>
  <c r="BA481" i="53"/>
  <c r="BA482" i="53" s="1"/>
  <c r="BI481" i="53"/>
  <c r="BI482" i="53" s="1"/>
  <c r="BQ481" i="53"/>
  <c r="BQ482" i="53" s="1"/>
  <c r="G481" i="53"/>
  <c r="G482" i="53" s="1"/>
  <c r="O481" i="53"/>
  <c r="O482" i="53" s="1"/>
  <c r="W481" i="53"/>
  <c r="W482" i="53" s="1"/>
  <c r="AE481" i="53"/>
  <c r="AE482" i="53" s="1"/>
  <c r="AM481" i="53"/>
  <c r="AM482" i="53" s="1"/>
  <c r="AU481" i="53"/>
  <c r="AU482" i="53" s="1"/>
  <c r="BC481" i="53"/>
  <c r="BC482" i="53" s="1"/>
  <c r="BK481" i="53"/>
  <c r="BK482" i="53" s="1"/>
  <c r="BS481" i="53"/>
  <c r="BS482" i="53" s="1"/>
  <c r="B54" i="34" l="1"/>
  <c r="A54" i="34"/>
  <c r="B53" i="34"/>
  <c r="A53" i="34"/>
  <c r="B52" i="34"/>
  <c r="B51" i="34"/>
  <c r="A51" i="34"/>
  <c r="B50" i="34"/>
  <c r="A50" i="34"/>
  <c r="B49" i="34"/>
  <c r="A49" i="34"/>
  <c r="B48" i="34"/>
  <c r="A48" i="34"/>
  <c r="B47" i="34"/>
  <c r="A47" i="34"/>
  <c r="B46" i="34"/>
  <c r="A46" i="34"/>
  <c r="B45" i="34"/>
  <c r="A45" i="34"/>
  <c r="B44" i="34"/>
  <c r="A44" i="34"/>
  <c r="B43" i="34"/>
  <c r="B42" i="34"/>
  <c r="A42" i="34"/>
  <c r="B41" i="34"/>
  <c r="A41" i="34"/>
  <c r="B40" i="34"/>
  <c r="A40" i="34"/>
  <c r="B39" i="34"/>
  <c r="A39" i="34"/>
  <c r="B38" i="34"/>
  <c r="A38" i="34"/>
  <c r="B37" i="34"/>
  <c r="A37" i="34"/>
  <c r="B36" i="34"/>
  <c r="A36" i="34"/>
  <c r="B35" i="34"/>
  <c r="A35" i="34"/>
  <c r="B34" i="34"/>
  <c r="A34" i="34"/>
  <c r="B33" i="34"/>
  <c r="A33" i="34"/>
  <c r="B32" i="34"/>
  <c r="A32" i="34"/>
  <c r="B31" i="34"/>
  <c r="A31" i="34"/>
  <c r="B30" i="34"/>
  <c r="A30" i="34"/>
  <c r="B29" i="34"/>
  <c r="A29" i="34"/>
  <c r="B28" i="34"/>
  <c r="A28" i="34"/>
  <c r="B27" i="34"/>
  <c r="A27" i="34"/>
  <c r="B26" i="34"/>
  <c r="A26" i="34"/>
  <c r="B25" i="34"/>
  <c r="A25" i="34"/>
  <c r="B24" i="34"/>
  <c r="A24" i="34"/>
  <c r="B23" i="34"/>
  <c r="A23" i="34"/>
  <c r="B22" i="34"/>
  <c r="A22" i="34"/>
  <c r="B21" i="34"/>
  <c r="B20" i="34"/>
  <c r="A20" i="34"/>
  <c r="AJ10" i="1" l="1"/>
  <c r="AI10" i="1"/>
  <c r="AH10" i="1"/>
  <c r="AG10" i="1"/>
  <c r="AF10" i="1"/>
  <c r="AE10" i="1"/>
  <c r="AD10" i="1"/>
  <c r="AC10" i="1"/>
  <c r="AB10" i="1"/>
  <c r="AA10" i="1"/>
  <c r="Z10" i="1"/>
  <c r="Y10" i="1"/>
  <c r="X10" i="1"/>
  <c r="W10" i="1"/>
  <c r="V10" i="1"/>
  <c r="U10" i="1"/>
  <c r="T10" i="1"/>
  <c r="S10" i="1"/>
  <c r="R10" i="1"/>
  <c r="Q10" i="1"/>
  <c r="P10" i="1"/>
  <c r="O10" i="1"/>
  <c r="N10" i="1"/>
  <c r="M10" i="1"/>
  <c r="L10" i="1"/>
  <c r="K10" i="1"/>
  <c r="J10" i="1"/>
  <c r="I10" i="1"/>
  <c r="H10" i="1"/>
  <c r="G10" i="1"/>
  <c r="F10" i="1"/>
  <c r="E10" i="1"/>
  <c r="D10" i="1"/>
  <c r="C10" i="1"/>
  <c r="B10" i="1"/>
  <c r="B10" i="2"/>
  <c r="C10" i="2"/>
  <c r="AJ10" i="2"/>
  <c r="AI10" i="2"/>
  <c r="AH10" i="2"/>
  <c r="AG10" i="2"/>
  <c r="AF10" i="2"/>
  <c r="AE10" i="2"/>
  <c r="AD10" i="2"/>
  <c r="AC10" i="2"/>
  <c r="AB10" i="2"/>
  <c r="AA10" i="2"/>
  <c r="Z10" i="2"/>
  <c r="Y10" i="2"/>
  <c r="X10" i="2"/>
  <c r="W10" i="2"/>
  <c r="V10" i="2"/>
  <c r="U10" i="2"/>
  <c r="T10" i="2"/>
  <c r="S10" i="2"/>
  <c r="R10" i="2"/>
  <c r="Q10" i="2"/>
  <c r="P10" i="2"/>
  <c r="O10" i="2"/>
  <c r="N10" i="2"/>
  <c r="M10" i="2"/>
  <c r="L10" i="2"/>
  <c r="K10" i="2"/>
  <c r="J10" i="2"/>
  <c r="I10" i="2"/>
  <c r="H10" i="2"/>
  <c r="G10" i="2"/>
  <c r="F10" i="2"/>
  <c r="E10" i="2"/>
  <c r="D10" i="2"/>
  <c r="H699" i="34" l="1"/>
  <c r="H700" i="34"/>
  <c r="H701" i="34"/>
  <c r="H702" i="34"/>
  <c r="H703" i="34"/>
  <c r="H704" i="34"/>
  <c r="H705" i="34"/>
  <c r="H706" i="34"/>
  <c r="H707" i="34"/>
  <c r="H708" i="34"/>
  <c r="H709" i="34"/>
  <c r="H710" i="34"/>
  <c r="H711" i="34"/>
  <c r="H712" i="34"/>
  <c r="H713" i="34"/>
  <c r="H714" i="34"/>
  <c r="H715" i="34"/>
  <c r="H716" i="34"/>
  <c r="H717" i="34"/>
  <c r="H718" i="34"/>
  <c r="H719" i="34"/>
  <c r="H720" i="34"/>
  <c r="H721" i="34"/>
  <c r="H722" i="34"/>
  <c r="H723" i="34"/>
  <c r="H724" i="34"/>
  <c r="H725" i="34"/>
  <c r="H726" i="34"/>
  <c r="H727" i="34"/>
  <c r="H728" i="34"/>
  <c r="H729" i="34"/>
  <c r="H730" i="34"/>
  <c r="H731" i="34"/>
  <c r="H732" i="34"/>
  <c r="H733" i="34"/>
  <c r="H734" i="34"/>
  <c r="H735" i="34"/>
  <c r="H736" i="34"/>
  <c r="H737" i="34"/>
  <c r="H738" i="34"/>
  <c r="H739" i="34"/>
  <c r="H740" i="34"/>
  <c r="H741" i="34"/>
  <c r="H742" i="34"/>
  <c r="H743" i="34"/>
  <c r="H744" i="34"/>
  <c r="H745" i="34"/>
  <c r="H746" i="34"/>
  <c r="H747" i="34"/>
  <c r="H748" i="34"/>
  <c r="H749" i="34"/>
  <c r="H750" i="34"/>
  <c r="H751" i="34"/>
  <c r="H752" i="34"/>
  <c r="H753" i="34"/>
  <c r="H754" i="34"/>
  <c r="H755" i="34"/>
  <c r="H756" i="34"/>
  <c r="H757" i="34"/>
  <c r="H758" i="34"/>
  <c r="H759" i="34"/>
  <c r="H760" i="34"/>
  <c r="H761" i="34"/>
  <c r="H762" i="34"/>
  <c r="H763" i="34"/>
  <c r="H764" i="34"/>
  <c r="H765" i="34"/>
  <c r="H766" i="34"/>
  <c r="H767" i="34"/>
  <c r="H768" i="34"/>
  <c r="H769" i="34"/>
  <c r="H770" i="34"/>
  <c r="H771" i="34"/>
  <c r="H772" i="34"/>
  <c r="H773" i="34"/>
  <c r="H774" i="34"/>
  <c r="H775" i="34"/>
  <c r="H776" i="34"/>
  <c r="H777" i="34"/>
  <c r="H778" i="34"/>
  <c r="H779" i="34"/>
  <c r="H780" i="34"/>
  <c r="H781" i="34"/>
  <c r="H782" i="34"/>
  <c r="H783" i="34"/>
  <c r="H784" i="34"/>
  <c r="H785" i="34"/>
  <c r="H786" i="34"/>
  <c r="H787" i="34"/>
  <c r="H788" i="34"/>
  <c r="H789" i="34"/>
  <c r="H790" i="34"/>
  <c r="H791" i="34"/>
  <c r="H792" i="34"/>
  <c r="H793" i="34"/>
  <c r="H794" i="34"/>
  <c r="H795" i="34"/>
  <c r="H796" i="34"/>
  <c r="H797" i="34"/>
  <c r="H798" i="34"/>
  <c r="H799" i="34"/>
  <c r="H800" i="34"/>
  <c r="H801" i="34"/>
  <c r="H802" i="34"/>
  <c r="H803" i="34"/>
  <c r="H804" i="34"/>
  <c r="H805" i="34"/>
  <c r="H806" i="34"/>
  <c r="H807" i="34"/>
  <c r="H808" i="34"/>
  <c r="H809" i="34"/>
  <c r="H810" i="34"/>
  <c r="H811" i="34"/>
  <c r="H812" i="34"/>
  <c r="H813" i="34"/>
  <c r="H814" i="34"/>
  <c r="H815" i="34"/>
  <c r="H816" i="34"/>
  <c r="H817" i="34"/>
  <c r="H818" i="34"/>
  <c r="H819" i="34"/>
  <c r="H820" i="34"/>
  <c r="H821" i="34"/>
  <c r="H822" i="34"/>
  <c r="H823" i="34"/>
  <c r="H824" i="34"/>
  <c r="H825" i="34"/>
  <c r="H826" i="34"/>
  <c r="H827" i="34"/>
  <c r="H828" i="34"/>
  <c r="H829" i="34"/>
  <c r="H830" i="34"/>
  <c r="H831" i="34"/>
  <c r="H832" i="34"/>
  <c r="H833" i="34"/>
  <c r="H834" i="34"/>
  <c r="H835" i="34"/>
  <c r="H836" i="34"/>
  <c r="H837" i="34"/>
  <c r="H838" i="34"/>
  <c r="H839" i="34"/>
  <c r="H840" i="34"/>
  <c r="H841" i="34"/>
  <c r="H842" i="34"/>
  <c r="H843" i="34"/>
  <c r="H844" i="34"/>
  <c r="H845" i="34"/>
  <c r="H846" i="34"/>
  <c r="H847" i="34"/>
  <c r="H848" i="34"/>
  <c r="H849" i="34"/>
  <c r="H850" i="34"/>
  <c r="H851" i="34"/>
  <c r="H852" i="34"/>
  <c r="H853" i="34"/>
  <c r="H854" i="34"/>
  <c r="AL33" i="1"/>
  <c r="AM13" i="1"/>
  <c r="AM13" i="2" l="1"/>
  <c r="I699" i="34"/>
  <c r="I700" i="34"/>
  <c r="I701" i="34"/>
  <c r="I702" i="34"/>
  <c r="I703" i="34"/>
  <c r="I704" i="34"/>
  <c r="I705" i="34"/>
  <c r="I706" i="34"/>
  <c r="I707" i="34"/>
  <c r="I708" i="34"/>
  <c r="I709" i="34"/>
  <c r="I710" i="34"/>
  <c r="I711" i="34"/>
  <c r="I712" i="34"/>
  <c r="I713" i="34"/>
  <c r="I714" i="34"/>
  <c r="I715" i="34"/>
  <c r="I716" i="34"/>
  <c r="I717" i="34"/>
  <c r="I718" i="34"/>
  <c r="I719" i="34"/>
  <c r="I720" i="34"/>
  <c r="I721" i="34"/>
  <c r="I722" i="34"/>
  <c r="I723" i="34"/>
  <c r="I724" i="34"/>
  <c r="I725" i="34"/>
  <c r="I726" i="34"/>
  <c r="I727" i="34"/>
  <c r="I728" i="34"/>
  <c r="I729" i="34"/>
  <c r="I730" i="34"/>
  <c r="I731" i="34"/>
  <c r="I732" i="34"/>
  <c r="I733" i="34"/>
  <c r="I734" i="34"/>
  <c r="I735" i="34"/>
  <c r="I736" i="34"/>
  <c r="I737" i="34"/>
  <c r="I738" i="34"/>
  <c r="I739" i="34"/>
  <c r="I740" i="34"/>
  <c r="I741" i="34"/>
  <c r="I742" i="34"/>
  <c r="I743" i="34"/>
  <c r="I744" i="34"/>
  <c r="I745" i="34"/>
  <c r="I746" i="34"/>
  <c r="I747" i="34"/>
  <c r="I748" i="34"/>
  <c r="I749" i="34"/>
  <c r="I750" i="34"/>
  <c r="I751" i="34"/>
  <c r="I752" i="34"/>
  <c r="I753" i="34"/>
  <c r="I754" i="34"/>
  <c r="I755" i="34"/>
  <c r="I756" i="34"/>
  <c r="I757" i="34"/>
  <c r="I758" i="34"/>
  <c r="I759" i="34"/>
  <c r="I760" i="34"/>
  <c r="I761" i="34"/>
  <c r="I762" i="34"/>
  <c r="I763" i="34"/>
  <c r="I764" i="34"/>
  <c r="I765" i="34"/>
  <c r="I766" i="34"/>
  <c r="I767" i="34"/>
  <c r="I768" i="34"/>
  <c r="I769" i="34"/>
  <c r="I770" i="34"/>
  <c r="I771" i="34"/>
  <c r="I772" i="34"/>
  <c r="I773" i="34"/>
  <c r="I774" i="34"/>
  <c r="I775" i="34"/>
  <c r="I776" i="34"/>
  <c r="I777" i="34"/>
  <c r="I778" i="34"/>
  <c r="I779" i="34"/>
  <c r="I780" i="34"/>
  <c r="I781" i="34"/>
  <c r="I782" i="34"/>
  <c r="I783" i="34"/>
  <c r="I784" i="34"/>
  <c r="I785" i="34"/>
  <c r="I786" i="34"/>
  <c r="I787" i="34"/>
  <c r="I788" i="34"/>
  <c r="I789" i="34"/>
  <c r="I790" i="34"/>
  <c r="I791" i="34"/>
  <c r="I792" i="34"/>
  <c r="I793" i="34"/>
  <c r="I794" i="34"/>
  <c r="I795" i="34"/>
  <c r="I796" i="34"/>
  <c r="I797" i="34"/>
  <c r="I798" i="34"/>
  <c r="I799" i="34"/>
  <c r="I800" i="34"/>
  <c r="I801" i="34"/>
  <c r="I802" i="34"/>
  <c r="I803" i="34"/>
  <c r="I804" i="34"/>
  <c r="I805" i="34"/>
  <c r="I806" i="34"/>
  <c r="I807" i="34"/>
  <c r="I808" i="34"/>
  <c r="I809" i="34"/>
  <c r="I810" i="34"/>
  <c r="I811" i="34"/>
  <c r="I812" i="34"/>
  <c r="I813" i="34"/>
  <c r="I814" i="34"/>
  <c r="I815" i="34"/>
  <c r="I816" i="34"/>
  <c r="I817" i="34"/>
  <c r="I818" i="34"/>
  <c r="I819" i="34"/>
  <c r="I820" i="34"/>
  <c r="I821" i="34"/>
  <c r="I822" i="34"/>
  <c r="I823" i="34"/>
  <c r="I824" i="34"/>
  <c r="I825" i="34"/>
  <c r="I826" i="34"/>
  <c r="I827" i="34"/>
  <c r="I828" i="34"/>
  <c r="I829" i="34"/>
  <c r="I830" i="34"/>
  <c r="I831" i="34"/>
  <c r="I832" i="34"/>
  <c r="I833" i="34"/>
  <c r="I834" i="34"/>
  <c r="I835" i="34"/>
  <c r="I836" i="34"/>
  <c r="I837" i="34"/>
  <c r="I838" i="34"/>
  <c r="I839" i="34"/>
  <c r="I840" i="34"/>
  <c r="I841" i="34"/>
  <c r="I842" i="34"/>
  <c r="I843" i="34"/>
  <c r="I844" i="34"/>
  <c r="I845" i="34"/>
  <c r="I846" i="34"/>
  <c r="I847" i="34"/>
  <c r="I848" i="34"/>
  <c r="I849" i="34"/>
  <c r="I850" i="34"/>
  <c r="I851" i="34"/>
  <c r="I852" i="34"/>
  <c r="I853" i="34"/>
  <c r="I854" i="34"/>
  <c r="P16" i="1"/>
  <c r="D17" i="34"/>
  <c r="C14" i="34"/>
  <c r="C15" i="34"/>
  <c r="AJ53" i="2"/>
  <c r="AF53" i="2"/>
  <c r="AB53" i="2"/>
  <c r="X53" i="2"/>
  <c r="T53" i="2"/>
  <c r="P53" i="2"/>
  <c r="AL33" i="2"/>
  <c r="B19" i="2"/>
  <c r="B23" i="2" s="1"/>
  <c r="X16" i="1"/>
  <c r="AB16" i="1" l="1"/>
  <c r="AJ16" i="1"/>
  <c r="AC16" i="1"/>
  <c r="T16" i="1"/>
  <c r="AF16" i="1"/>
  <c r="N53" i="2"/>
  <c r="N57" i="2" s="1"/>
  <c r="R53" i="2"/>
  <c r="R57" i="2" s="1"/>
  <c r="V53" i="2"/>
  <c r="V57" i="2" s="1"/>
  <c r="AD53" i="2"/>
  <c r="AD57" i="2" s="1"/>
  <c r="AH53" i="2"/>
  <c r="AH57" i="2" s="1"/>
  <c r="N31" i="1"/>
  <c r="AH31" i="1"/>
  <c r="G16" i="1"/>
  <c r="P57" i="2"/>
  <c r="X57" i="2"/>
  <c r="AF57" i="2"/>
  <c r="B31" i="1"/>
  <c r="R31" i="1"/>
  <c r="O16" i="1"/>
  <c r="W16" i="1"/>
  <c r="AE16" i="1"/>
  <c r="AI16" i="1"/>
  <c r="X31" i="1"/>
  <c r="X35" i="1" s="1"/>
  <c r="H42" i="34" s="1"/>
  <c r="N16" i="1"/>
  <c r="AD16" i="1"/>
  <c r="V16" i="1"/>
  <c r="Z31" i="1"/>
  <c r="B16" i="1"/>
  <c r="H16" i="1"/>
  <c r="Q53" i="2"/>
  <c r="Q57" i="2" s="1"/>
  <c r="U53" i="2"/>
  <c r="U57" i="2" s="1"/>
  <c r="Y53" i="2"/>
  <c r="Y57" i="2" s="1"/>
  <c r="AC53" i="2"/>
  <c r="AC57" i="2" s="1"/>
  <c r="AG53" i="2"/>
  <c r="AG57" i="2" s="1"/>
  <c r="Z53" i="2"/>
  <c r="Z57" i="2" s="1"/>
  <c r="AA53" i="2"/>
  <c r="AA57" i="2" s="1"/>
  <c r="AE53" i="2"/>
  <c r="AE57" i="2" s="1"/>
  <c r="AI53" i="2"/>
  <c r="AI57" i="2" s="1"/>
  <c r="D31" i="1"/>
  <c r="L31" i="1"/>
  <c r="P31" i="1"/>
  <c r="P35" i="1" s="1"/>
  <c r="H34" i="34" s="1"/>
  <c r="T31" i="1"/>
  <c r="AB31" i="1"/>
  <c r="AF31" i="1"/>
  <c r="AJ31" i="1"/>
  <c r="D16" i="1"/>
  <c r="L16" i="1"/>
  <c r="I16" i="1"/>
  <c r="Q16" i="1"/>
  <c r="U16" i="1"/>
  <c r="Y16" i="1"/>
  <c r="AG16" i="1"/>
  <c r="H31" i="1"/>
  <c r="M16" i="1"/>
  <c r="J16" i="1"/>
  <c r="R16" i="1"/>
  <c r="Z16" i="1"/>
  <c r="AH16" i="1"/>
  <c r="J31" i="1"/>
  <c r="F31" i="1"/>
  <c r="V31" i="1"/>
  <c r="AD31" i="1"/>
  <c r="F16" i="1"/>
  <c r="C16" i="1"/>
  <c r="K16" i="1"/>
  <c r="S16" i="1"/>
  <c r="AA16" i="1"/>
  <c r="AK29" i="1"/>
  <c r="AL29" i="1" s="1"/>
  <c r="E16" i="1"/>
  <c r="H53" i="2"/>
  <c r="I53" i="2"/>
  <c r="J53" i="2"/>
  <c r="D53" i="2"/>
  <c r="L53" i="2"/>
  <c r="T57" i="2"/>
  <c r="AB57" i="2"/>
  <c r="AJ57" i="2"/>
  <c r="B53" i="2"/>
  <c r="E53" i="2"/>
  <c r="M53" i="2"/>
  <c r="M57" i="2" s="1"/>
  <c r="C53" i="2"/>
  <c r="G53" i="2"/>
  <c r="K53" i="2"/>
  <c r="O53" i="2"/>
  <c r="O57" i="2" s="1"/>
  <c r="S53" i="2"/>
  <c r="S57" i="2" s="1"/>
  <c r="W53" i="2"/>
  <c r="W57" i="2" s="1"/>
  <c r="AG31" i="1"/>
  <c r="AI31" i="1"/>
  <c r="B36" i="2"/>
  <c r="C31" i="1"/>
  <c r="E31" i="1"/>
  <c r="G31" i="1"/>
  <c r="I31" i="1"/>
  <c r="K31" i="1"/>
  <c r="M31" i="1"/>
  <c r="O31" i="1"/>
  <c r="Q31" i="1"/>
  <c r="S31" i="1"/>
  <c r="U31" i="1"/>
  <c r="W31" i="1"/>
  <c r="Y31" i="1"/>
  <c r="AA31" i="1"/>
  <c r="AC31" i="1"/>
  <c r="AE31" i="1"/>
  <c r="Y19" i="2"/>
  <c r="Y23" i="2" s="1"/>
  <c r="Y36" i="2" s="1"/>
  <c r="C19" i="2"/>
  <c r="C23" i="2" s="1"/>
  <c r="C36" i="2" s="1"/>
  <c r="Q19" i="2"/>
  <c r="Q23" i="2" s="1"/>
  <c r="Q36" i="2" s="1"/>
  <c r="K19" i="2"/>
  <c r="K23" i="2" s="1"/>
  <c r="K36" i="2" s="1"/>
  <c r="AE19" i="2"/>
  <c r="AE23" i="2" s="1"/>
  <c r="AE36" i="2" s="1"/>
  <c r="U19" i="2"/>
  <c r="U23" i="2" s="1"/>
  <c r="U36" i="2" s="1"/>
  <c r="O19" i="2"/>
  <c r="O23" i="2" s="1"/>
  <c r="O36" i="2" s="1"/>
  <c r="G19" i="2"/>
  <c r="G23" i="2" s="1"/>
  <c r="G36" i="2" s="1"/>
  <c r="AI19" i="2"/>
  <c r="AI23" i="2" s="1"/>
  <c r="AI36" i="2" s="1"/>
  <c r="S19" i="2"/>
  <c r="S23" i="2" s="1"/>
  <c r="S36" i="2" s="1"/>
  <c r="W19" i="2"/>
  <c r="W23" i="2" s="1"/>
  <c r="W36" i="2" s="1"/>
  <c r="AA19" i="2"/>
  <c r="AA23" i="2" s="1"/>
  <c r="AA36" i="2" s="1"/>
  <c r="M19" i="2"/>
  <c r="M23" i="2" s="1"/>
  <c r="M36" i="2" s="1"/>
  <c r="I19" i="2"/>
  <c r="I23" i="2" s="1"/>
  <c r="I36" i="2" s="1"/>
  <c r="E19" i="2"/>
  <c r="E23" i="2" s="1"/>
  <c r="E36" i="2" s="1"/>
  <c r="AG19" i="2"/>
  <c r="AG23" i="2" s="1"/>
  <c r="AG36" i="2" s="1"/>
  <c r="AC19" i="2"/>
  <c r="AC23" i="2" s="1"/>
  <c r="AC36" i="2" s="1"/>
  <c r="R19" i="2"/>
  <c r="R23" i="2" s="1"/>
  <c r="R36" i="2" s="1"/>
  <c r="T19" i="2"/>
  <c r="T23" i="2" s="1"/>
  <c r="T36" i="2" s="1"/>
  <c r="V19" i="2"/>
  <c r="V23" i="2" s="1"/>
  <c r="V36" i="2" s="1"/>
  <c r="X19" i="2"/>
  <c r="X23" i="2" s="1"/>
  <c r="X36" i="2" s="1"/>
  <c r="Z19" i="2"/>
  <c r="AB19" i="2"/>
  <c r="AB23" i="2" s="1"/>
  <c r="AB36" i="2" s="1"/>
  <c r="P19" i="2"/>
  <c r="P23" i="2" s="1"/>
  <c r="P36" i="2" s="1"/>
  <c r="N19" i="2"/>
  <c r="N23" i="2" s="1"/>
  <c r="N36" i="2" s="1"/>
  <c r="L19" i="2"/>
  <c r="L23" i="2" s="1"/>
  <c r="L36" i="2" s="1"/>
  <c r="J19" i="2"/>
  <c r="J23" i="2" s="1"/>
  <c r="J36" i="2" s="1"/>
  <c r="H19" i="2"/>
  <c r="H23" i="2" s="1"/>
  <c r="H36" i="2" s="1"/>
  <c r="F19" i="2"/>
  <c r="F23" i="2" s="1"/>
  <c r="F36" i="2" s="1"/>
  <c r="D19" i="2"/>
  <c r="D23" i="2" s="1"/>
  <c r="D36" i="2" s="1"/>
  <c r="AJ19" i="2"/>
  <c r="AJ23" i="2" s="1"/>
  <c r="AJ36" i="2" s="1"/>
  <c r="AH19" i="2"/>
  <c r="AH23" i="2" s="1"/>
  <c r="AH36" i="2" s="1"/>
  <c r="AF19" i="2"/>
  <c r="AF23" i="2" s="1"/>
  <c r="AF36" i="2" s="1"/>
  <c r="AD19" i="2"/>
  <c r="AD23" i="2" s="1"/>
  <c r="AD36" i="2" s="1"/>
  <c r="AK14" i="2"/>
  <c r="AL14" i="2" s="1"/>
  <c r="AK41" i="2"/>
  <c r="AL41" i="2" s="1"/>
  <c r="AK20" i="1"/>
  <c r="AL20" i="1" s="1"/>
  <c r="AK28" i="1"/>
  <c r="AL28" i="1" s="1"/>
  <c r="AK24" i="1"/>
  <c r="AL24" i="1" s="1"/>
  <c r="AK22" i="1"/>
  <c r="AL22" i="1" s="1"/>
  <c r="AK21" i="1"/>
  <c r="AL21" i="1" s="1"/>
  <c r="AK21" i="2"/>
  <c r="AL21" i="2" s="1"/>
  <c r="AK27" i="2"/>
  <c r="AL27" i="2" s="1"/>
  <c r="AK28" i="2"/>
  <c r="AL28" i="2" s="1"/>
  <c r="AK29" i="2"/>
  <c r="AL29" i="2" s="1"/>
  <c r="AK31" i="2"/>
  <c r="AL31" i="2" s="1"/>
  <c r="AK32" i="2"/>
  <c r="AL32" i="2" s="1"/>
  <c r="AK45" i="2"/>
  <c r="AL45" i="2" s="1"/>
  <c r="AK47" i="2"/>
  <c r="AL47" i="2" s="1"/>
  <c r="AK48" i="2"/>
  <c r="AL48" i="2" s="1"/>
  <c r="AK49" i="2"/>
  <c r="AL49" i="2" s="1"/>
  <c r="AK51" i="2"/>
  <c r="AL51" i="2" s="1"/>
  <c r="AK30" i="1"/>
  <c r="AL30" i="1" s="1"/>
  <c r="AK16" i="2"/>
  <c r="AL16" i="2" s="1"/>
  <c r="AK17" i="2"/>
  <c r="AL17" i="2" s="1"/>
  <c r="AK43" i="2"/>
  <c r="AL43" i="2" s="1"/>
  <c r="AK44" i="2"/>
  <c r="AL44" i="2" s="1"/>
  <c r="AK39" i="2"/>
  <c r="AL39" i="2" s="1"/>
  <c r="AK40" i="2"/>
  <c r="AL40" i="2" s="1"/>
  <c r="AK26" i="1"/>
  <c r="AL26" i="1" s="1"/>
  <c r="AK25" i="1"/>
  <c r="AL25" i="1" s="1"/>
  <c r="AK14" i="1"/>
  <c r="AL14" i="1" s="1"/>
  <c r="AK13" i="1"/>
  <c r="AL13" i="1" s="1"/>
  <c r="AK15" i="2"/>
  <c r="AL15" i="2" s="1"/>
  <c r="AK26" i="2"/>
  <c r="AL26" i="2" s="1"/>
  <c r="AK30" i="2"/>
  <c r="AL30" i="2" s="1"/>
  <c r="AK34" i="2"/>
  <c r="AL34" i="2" s="1"/>
  <c r="AK42" i="2"/>
  <c r="AL42" i="2" s="1"/>
  <c r="AK46" i="2"/>
  <c r="AL46" i="2" s="1"/>
  <c r="AK50" i="2"/>
  <c r="AL50" i="2" s="1"/>
  <c r="AK27" i="1"/>
  <c r="AL27" i="1" s="1"/>
  <c r="AK23" i="1"/>
  <c r="AL23" i="1" s="1"/>
  <c r="AK19" i="1"/>
  <c r="AL19" i="1" s="1"/>
  <c r="AK15" i="1"/>
  <c r="AL15" i="1" s="1"/>
  <c r="AJ61" i="2" l="1"/>
  <c r="AE35" i="1"/>
  <c r="H49" i="34" s="1"/>
  <c r="AB35" i="1"/>
  <c r="H46" i="34" s="1"/>
  <c r="Z23" i="2"/>
  <c r="Z36" i="2" s="1"/>
  <c r="Z61" i="2" s="1"/>
  <c r="AJ35" i="1"/>
  <c r="H54" i="34" s="1"/>
  <c r="AI61" i="2"/>
  <c r="AH61" i="2"/>
  <c r="AF61" i="2"/>
  <c r="AE61" i="2"/>
  <c r="AD61" i="2"/>
  <c r="AC35" i="1"/>
  <c r="H47" i="34" s="1"/>
  <c r="AC61" i="2"/>
  <c r="AB61" i="2"/>
  <c r="AA61" i="2"/>
  <c r="Y61" i="2"/>
  <c r="X61" i="2"/>
  <c r="W61" i="2"/>
  <c r="U61" i="2"/>
  <c r="S61" i="2"/>
  <c r="R61" i="2"/>
  <c r="P61" i="2"/>
  <c r="O61" i="2"/>
  <c r="N61" i="2"/>
  <c r="M61" i="2"/>
  <c r="V61" i="2"/>
  <c r="AG61" i="2"/>
  <c r="T61" i="2"/>
  <c r="Q61" i="2"/>
  <c r="K35" i="1"/>
  <c r="T35" i="1"/>
  <c r="H38" i="34" s="1"/>
  <c r="N35" i="1"/>
  <c r="H32" i="34" s="1"/>
  <c r="O35" i="1"/>
  <c r="G35" i="1"/>
  <c r="H25" i="34" s="1"/>
  <c r="J35" i="1"/>
  <c r="AD35" i="1"/>
  <c r="AF35" i="1"/>
  <c r="AH35" i="1"/>
  <c r="B35" i="1"/>
  <c r="U35" i="1"/>
  <c r="H39" i="34" s="1"/>
  <c r="I39" i="34" s="1"/>
  <c r="E35" i="1"/>
  <c r="AA35" i="1"/>
  <c r="R35" i="1"/>
  <c r="H36" i="34" s="1"/>
  <c r="AI35" i="1"/>
  <c r="S35" i="1"/>
  <c r="Q35" i="1"/>
  <c r="H35" i="34" s="1"/>
  <c r="W35" i="1"/>
  <c r="H41" i="34" s="1"/>
  <c r="I35" i="1"/>
  <c r="AG35" i="1"/>
  <c r="V35" i="1"/>
  <c r="L35" i="1"/>
  <c r="Z35" i="1"/>
  <c r="D35" i="1"/>
  <c r="H35" i="1"/>
  <c r="C35" i="1"/>
  <c r="M35" i="1"/>
  <c r="H31" i="34" s="1"/>
  <c r="F35" i="1"/>
  <c r="Y35" i="1"/>
  <c r="AK16" i="1"/>
  <c r="AL16" i="1" s="1"/>
  <c r="AK19" i="2"/>
  <c r="AK31" i="1"/>
  <c r="AL31" i="1" s="1"/>
  <c r="AK53" i="2"/>
  <c r="AK57" i="2" s="1"/>
  <c r="I41" i="34" l="1"/>
  <c r="H40" i="34"/>
  <c r="I40" i="34" s="1"/>
  <c r="H50" i="34"/>
  <c r="I50" i="34" s="1"/>
  <c r="I34" i="34"/>
  <c r="H33" i="34"/>
  <c r="I33" i="34" s="1"/>
  <c r="I38" i="34"/>
  <c r="H37" i="34"/>
  <c r="I37" i="34" s="1"/>
  <c r="I36" i="34"/>
  <c r="H44" i="34"/>
  <c r="I44" i="34" s="1"/>
  <c r="I54" i="34"/>
  <c r="H53" i="34"/>
  <c r="I53" i="34" s="1"/>
  <c r="I49" i="34"/>
  <c r="H48" i="34"/>
  <c r="I48" i="34" s="1"/>
  <c r="I35" i="34"/>
  <c r="H43" i="34"/>
  <c r="I43" i="34" s="1"/>
  <c r="I46" i="34"/>
  <c r="H45" i="34"/>
  <c r="I45" i="34" s="1"/>
  <c r="H52" i="34"/>
  <c r="I52" i="34" s="1"/>
  <c r="H51" i="34"/>
  <c r="I51" i="34" s="1"/>
  <c r="H23" i="34"/>
  <c r="I23" i="34" s="1"/>
  <c r="E57" i="2"/>
  <c r="E61" i="2" s="1"/>
  <c r="H22" i="34"/>
  <c r="I22" i="34" s="1"/>
  <c r="D57" i="2"/>
  <c r="D61" i="2" s="1"/>
  <c r="H24" i="34"/>
  <c r="I24" i="34" s="1"/>
  <c r="C57" i="2"/>
  <c r="C61" i="2" s="1"/>
  <c r="H21" i="34"/>
  <c r="I21" i="34" s="1"/>
  <c r="H20" i="34"/>
  <c r="B57" i="2"/>
  <c r="B61" i="2" s="1"/>
  <c r="H26" i="34"/>
  <c r="I26" i="34" s="1"/>
  <c r="I57" i="2"/>
  <c r="I61" i="2" s="1"/>
  <c r="H27" i="34"/>
  <c r="I27" i="34" s="1"/>
  <c r="H28" i="34"/>
  <c r="I28" i="34" s="1"/>
  <c r="J57" i="2"/>
  <c r="J61" i="2" s="1"/>
  <c r="K57" i="2"/>
  <c r="K61" i="2" s="1"/>
  <c r="H29" i="34"/>
  <c r="I29" i="34" s="1"/>
  <c r="H30" i="34"/>
  <c r="I30" i="34" s="1"/>
  <c r="L57" i="2"/>
  <c r="L61" i="2" s="1"/>
  <c r="G57" i="2"/>
  <c r="G61" i="2" s="1"/>
  <c r="F57" i="2"/>
  <c r="F61" i="2" s="1"/>
  <c r="I31" i="34"/>
  <c r="I32" i="34"/>
  <c r="I42" i="34"/>
  <c r="I25" i="34"/>
  <c r="I47" i="34"/>
  <c r="AL53" i="2"/>
  <c r="AK23" i="2"/>
  <c r="AL19" i="2"/>
  <c r="AK35" i="1"/>
  <c r="I20" i="34" l="1"/>
  <c r="I55" i="34" s="1"/>
  <c r="H55" i="34"/>
  <c r="AK36" i="2"/>
  <c r="AK61" i="2" s="1"/>
  <c r="AL23" i="2"/>
  <c r="AL36" i="2" l="1"/>
  <c r="AK55" i="2"/>
  <c r="H57" i="2"/>
  <c r="H61" i="2" s="1"/>
  <c r="AL57" i="2" l="1"/>
  <c r="AL55" i="2"/>
</calcChain>
</file>

<file path=xl/comments1.xml><?xml version="1.0" encoding="utf-8"?>
<comments xmlns="http://schemas.openxmlformats.org/spreadsheetml/2006/main">
  <authors>
    <author>Linnell, Mark</author>
  </authors>
  <commentList>
    <comment ref="H20" authorId="0" shapeId="0">
      <text>
        <r>
          <rPr>
            <b/>
            <sz val="9"/>
            <color indexed="81"/>
            <rFont val="Tahoma"/>
            <family val="2"/>
          </rPr>
          <t>Linnell, Mark:</t>
        </r>
        <r>
          <rPr>
            <sz val="9"/>
            <color indexed="81"/>
            <rFont val="Tahoma"/>
            <family val="2"/>
          </rPr>
          <t xml:space="preserve">
Salesforce
</t>
        </r>
      </text>
    </comment>
    <comment ref="I20" authorId="0" shapeId="0">
      <text>
        <r>
          <rPr>
            <b/>
            <sz val="9"/>
            <color indexed="81"/>
            <rFont val="Tahoma"/>
            <family val="2"/>
          </rPr>
          <t>Linnell, Mark:</t>
        </r>
        <r>
          <rPr>
            <sz val="9"/>
            <color indexed="81"/>
            <rFont val="Tahoma"/>
            <family val="2"/>
          </rPr>
          <t xml:space="preserve">
Calculation ("Project Losses @ 100% * Ownership %)
</t>
        </r>
      </text>
    </comment>
    <comment ref="H21" authorId="0" shapeId="0">
      <text>
        <r>
          <rPr>
            <b/>
            <sz val="9"/>
            <color indexed="81"/>
            <rFont val="Tahoma"/>
            <family val="2"/>
          </rPr>
          <t>Linnell, Mark:</t>
        </r>
        <r>
          <rPr>
            <sz val="9"/>
            <color indexed="81"/>
            <rFont val="Tahoma"/>
            <family val="2"/>
          </rPr>
          <t xml:space="preserve">
Salesforce
</t>
        </r>
      </text>
    </comment>
    <comment ref="H22" authorId="0" shapeId="0">
      <text>
        <r>
          <rPr>
            <b/>
            <sz val="9"/>
            <color indexed="81"/>
            <rFont val="Tahoma"/>
            <family val="2"/>
          </rPr>
          <t>Linnell, Mark:</t>
        </r>
        <r>
          <rPr>
            <sz val="9"/>
            <color indexed="81"/>
            <rFont val="Tahoma"/>
            <family val="2"/>
          </rPr>
          <t xml:space="preserve">
Salesforce
</t>
        </r>
      </text>
    </comment>
    <comment ref="H23" authorId="0" shapeId="0">
      <text>
        <r>
          <rPr>
            <b/>
            <sz val="9"/>
            <color indexed="81"/>
            <rFont val="Tahoma"/>
            <family val="2"/>
          </rPr>
          <t>Linnell, Mark:</t>
        </r>
        <r>
          <rPr>
            <sz val="9"/>
            <color indexed="81"/>
            <rFont val="Tahoma"/>
            <family val="2"/>
          </rPr>
          <t xml:space="preserve">
Salesforce
</t>
        </r>
      </text>
    </comment>
    <comment ref="H24" authorId="0" shapeId="0">
      <text>
        <r>
          <rPr>
            <b/>
            <sz val="9"/>
            <color indexed="81"/>
            <rFont val="Tahoma"/>
            <family val="2"/>
          </rPr>
          <t>Linnell, Mark:</t>
        </r>
        <r>
          <rPr>
            <sz val="9"/>
            <color indexed="81"/>
            <rFont val="Tahoma"/>
            <family val="2"/>
          </rPr>
          <t xml:space="preserve">
Salesforce
</t>
        </r>
      </text>
    </comment>
    <comment ref="H25" authorId="0" shapeId="0">
      <text>
        <r>
          <rPr>
            <b/>
            <sz val="9"/>
            <color indexed="81"/>
            <rFont val="Tahoma"/>
            <family val="2"/>
          </rPr>
          <t>Linnell, Mark:</t>
        </r>
        <r>
          <rPr>
            <sz val="9"/>
            <color indexed="81"/>
            <rFont val="Tahoma"/>
            <family val="2"/>
          </rPr>
          <t xml:space="preserve">
Salesforce
</t>
        </r>
      </text>
    </comment>
    <comment ref="H26" authorId="0" shapeId="0">
      <text>
        <r>
          <rPr>
            <b/>
            <sz val="9"/>
            <color indexed="81"/>
            <rFont val="Tahoma"/>
            <family val="2"/>
          </rPr>
          <t>Linnell, Mark:</t>
        </r>
        <r>
          <rPr>
            <sz val="9"/>
            <color indexed="81"/>
            <rFont val="Tahoma"/>
            <family val="2"/>
          </rPr>
          <t xml:space="preserve">
Salesforce
</t>
        </r>
      </text>
    </comment>
    <comment ref="H27" authorId="0" shapeId="0">
      <text>
        <r>
          <rPr>
            <b/>
            <sz val="9"/>
            <color indexed="81"/>
            <rFont val="Tahoma"/>
            <family val="2"/>
          </rPr>
          <t>Linnell, Mark:</t>
        </r>
        <r>
          <rPr>
            <sz val="9"/>
            <color indexed="81"/>
            <rFont val="Tahoma"/>
            <family val="2"/>
          </rPr>
          <t xml:space="preserve">
Salesforce
</t>
        </r>
      </text>
    </comment>
    <comment ref="H28" authorId="0" shapeId="0">
      <text>
        <r>
          <rPr>
            <b/>
            <sz val="9"/>
            <color indexed="81"/>
            <rFont val="Tahoma"/>
            <family val="2"/>
          </rPr>
          <t>Linnell, Mark:</t>
        </r>
        <r>
          <rPr>
            <sz val="9"/>
            <color indexed="81"/>
            <rFont val="Tahoma"/>
            <family val="2"/>
          </rPr>
          <t xml:space="preserve">
Salesforce
</t>
        </r>
      </text>
    </comment>
    <comment ref="H29" authorId="0" shapeId="0">
      <text>
        <r>
          <rPr>
            <b/>
            <sz val="9"/>
            <color indexed="81"/>
            <rFont val="Tahoma"/>
            <family val="2"/>
          </rPr>
          <t>Linnell, Mark:</t>
        </r>
        <r>
          <rPr>
            <sz val="9"/>
            <color indexed="81"/>
            <rFont val="Tahoma"/>
            <family val="2"/>
          </rPr>
          <t xml:space="preserve">
Salesforce
</t>
        </r>
      </text>
    </comment>
    <comment ref="H30" authorId="0" shapeId="0">
      <text>
        <r>
          <rPr>
            <b/>
            <sz val="9"/>
            <color indexed="81"/>
            <rFont val="Tahoma"/>
            <family val="2"/>
          </rPr>
          <t>Linnell, Mark:</t>
        </r>
        <r>
          <rPr>
            <sz val="9"/>
            <color indexed="81"/>
            <rFont val="Tahoma"/>
            <family val="2"/>
          </rPr>
          <t xml:space="preserve">
Salesforce
</t>
        </r>
      </text>
    </comment>
    <comment ref="H31" authorId="0" shapeId="0">
      <text>
        <r>
          <rPr>
            <b/>
            <sz val="9"/>
            <color indexed="81"/>
            <rFont val="Tahoma"/>
            <family val="2"/>
          </rPr>
          <t>Linnell, Mark:</t>
        </r>
        <r>
          <rPr>
            <sz val="9"/>
            <color indexed="81"/>
            <rFont val="Tahoma"/>
            <family val="2"/>
          </rPr>
          <t xml:space="preserve">
Salesforce
</t>
        </r>
      </text>
    </comment>
    <comment ref="H32" authorId="0" shapeId="0">
      <text>
        <r>
          <rPr>
            <b/>
            <sz val="9"/>
            <color indexed="81"/>
            <rFont val="Tahoma"/>
            <family val="2"/>
          </rPr>
          <t>Linnell, Mark:</t>
        </r>
        <r>
          <rPr>
            <sz val="9"/>
            <color indexed="81"/>
            <rFont val="Tahoma"/>
            <family val="2"/>
          </rPr>
          <t xml:space="preserve">
Salesforce
</t>
        </r>
      </text>
    </comment>
    <comment ref="H33" authorId="0" shapeId="0">
      <text>
        <r>
          <rPr>
            <b/>
            <sz val="9"/>
            <color indexed="81"/>
            <rFont val="Tahoma"/>
            <family val="2"/>
          </rPr>
          <t>Linnell, Mark:</t>
        </r>
        <r>
          <rPr>
            <sz val="9"/>
            <color indexed="81"/>
            <rFont val="Tahoma"/>
            <family val="2"/>
          </rPr>
          <t xml:space="preserve">
Salesforce
</t>
        </r>
      </text>
    </comment>
    <comment ref="H34" authorId="0" shapeId="0">
      <text>
        <r>
          <rPr>
            <b/>
            <sz val="9"/>
            <color indexed="81"/>
            <rFont val="Tahoma"/>
            <family val="2"/>
          </rPr>
          <t>Linnell, Mark:</t>
        </r>
        <r>
          <rPr>
            <sz val="9"/>
            <color indexed="81"/>
            <rFont val="Tahoma"/>
            <family val="2"/>
          </rPr>
          <t xml:space="preserve">
Salesforce
</t>
        </r>
      </text>
    </comment>
    <comment ref="H35" authorId="0" shapeId="0">
      <text>
        <r>
          <rPr>
            <b/>
            <sz val="9"/>
            <color indexed="81"/>
            <rFont val="Tahoma"/>
            <family val="2"/>
          </rPr>
          <t>Linnell, Mark:</t>
        </r>
        <r>
          <rPr>
            <sz val="9"/>
            <color indexed="81"/>
            <rFont val="Tahoma"/>
            <family val="2"/>
          </rPr>
          <t xml:space="preserve">
Salesforce
</t>
        </r>
      </text>
    </comment>
    <comment ref="H36" authorId="0" shapeId="0">
      <text>
        <r>
          <rPr>
            <b/>
            <sz val="9"/>
            <color indexed="81"/>
            <rFont val="Tahoma"/>
            <family val="2"/>
          </rPr>
          <t>Linnell, Mark:</t>
        </r>
        <r>
          <rPr>
            <sz val="9"/>
            <color indexed="81"/>
            <rFont val="Tahoma"/>
            <family val="2"/>
          </rPr>
          <t xml:space="preserve">
Salesforce
</t>
        </r>
      </text>
    </comment>
    <comment ref="H37" authorId="0" shapeId="0">
      <text>
        <r>
          <rPr>
            <b/>
            <sz val="9"/>
            <color indexed="81"/>
            <rFont val="Tahoma"/>
            <family val="2"/>
          </rPr>
          <t>Linnell, Mark:</t>
        </r>
        <r>
          <rPr>
            <sz val="9"/>
            <color indexed="81"/>
            <rFont val="Tahoma"/>
            <family val="2"/>
          </rPr>
          <t xml:space="preserve">
Salesforce
</t>
        </r>
      </text>
    </comment>
    <comment ref="H38" authorId="0" shapeId="0">
      <text>
        <r>
          <rPr>
            <b/>
            <sz val="9"/>
            <color indexed="81"/>
            <rFont val="Tahoma"/>
            <family val="2"/>
          </rPr>
          <t>Linnell, Mark:</t>
        </r>
        <r>
          <rPr>
            <sz val="9"/>
            <color indexed="81"/>
            <rFont val="Tahoma"/>
            <family val="2"/>
          </rPr>
          <t xml:space="preserve">
Salesforce
</t>
        </r>
      </text>
    </comment>
    <comment ref="H39" authorId="0" shapeId="0">
      <text>
        <r>
          <rPr>
            <b/>
            <sz val="9"/>
            <color indexed="81"/>
            <rFont val="Tahoma"/>
            <family val="2"/>
          </rPr>
          <t>Linnell, Mark:</t>
        </r>
        <r>
          <rPr>
            <sz val="9"/>
            <color indexed="81"/>
            <rFont val="Tahoma"/>
            <family val="2"/>
          </rPr>
          <t xml:space="preserve">
Salesforce
</t>
        </r>
      </text>
    </comment>
    <comment ref="H40" authorId="0" shapeId="0">
      <text>
        <r>
          <rPr>
            <b/>
            <sz val="9"/>
            <color indexed="81"/>
            <rFont val="Tahoma"/>
            <family val="2"/>
          </rPr>
          <t>Linnell, Mark:</t>
        </r>
        <r>
          <rPr>
            <sz val="9"/>
            <color indexed="81"/>
            <rFont val="Tahoma"/>
            <family val="2"/>
          </rPr>
          <t xml:space="preserve">
Salesforce
</t>
        </r>
      </text>
    </comment>
    <comment ref="H41" authorId="0" shapeId="0">
      <text>
        <r>
          <rPr>
            <b/>
            <sz val="9"/>
            <color indexed="81"/>
            <rFont val="Tahoma"/>
            <family val="2"/>
          </rPr>
          <t>Linnell, Mark:</t>
        </r>
        <r>
          <rPr>
            <sz val="9"/>
            <color indexed="81"/>
            <rFont val="Tahoma"/>
            <family val="2"/>
          </rPr>
          <t xml:space="preserve">
Salesforce
</t>
        </r>
      </text>
    </comment>
    <comment ref="H42" authorId="0" shapeId="0">
      <text>
        <r>
          <rPr>
            <b/>
            <sz val="9"/>
            <color indexed="81"/>
            <rFont val="Tahoma"/>
            <family val="2"/>
          </rPr>
          <t>Linnell, Mark:</t>
        </r>
        <r>
          <rPr>
            <sz val="9"/>
            <color indexed="81"/>
            <rFont val="Tahoma"/>
            <family val="2"/>
          </rPr>
          <t xml:space="preserve">
Salesforce
</t>
        </r>
      </text>
    </comment>
    <comment ref="H43" authorId="0" shapeId="0">
      <text>
        <r>
          <rPr>
            <b/>
            <sz val="9"/>
            <color indexed="81"/>
            <rFont val="Tahoma"/>
            <family val="2"/>
          </rPr>
          <t>Linnell, Mark:</t>
        </r>
        <r>
          <rPr>
            <sz val="9"/>
            <color indexed="81"/>
            <rFont val="Tahoma"/>
            <family val="2"/>
          </rPr>
          <t xml:space="preserve">
Salesforce
</t>
        </r>
      </text>
    </comment>
    <comment ref="H44" authorId="0" shapeId="0">
      <text>
        <r>
          <rPr>
            <b/>
            <sz val="9"/>
            <color indexed="81"/>
            <rFont val="Tahoma"/>
            <family val="2"/>
          </rPr>
          <t>Linnell, Mark:</t>
        </r>
        <r>
          <rPr>
            <sz val="9"/>
            <color indexed="81"/>
            <rFont val="Tahoma"/>
            <family val="2"/>
          </rPr>
          <t xml:space="preserve">
Salesforce
</t>
        </r>
      </text>
    </comment>
    <comment ref="H45" authorId="0" shapeId="0">
      <text>
        <r>
          <rPr>
            <b/>
            <sz val="9"/>
            <color indexed="81"/>
            <rFont val="Tahoma"/>
            <family val="2"/>
          </rPr>
          <t>Linnell, Mark:</t>
        </r>
        <r>
          <rPr>
            <sz val="9"/>
            <color indexed="81"/>
            <rFont val="Tahoma"/>
            <family val="2"/>
          </rPr>
          <t xml:space="preserve">
Salesforce
</t>
        </r>
      </text>
    </comment>
    <comment ref="H46" authorId="0" shapeId="0">
      <text>
        <r>
          <rPr>
            <b/>
            <sz val="9"/>
            <color indexed="81"/>
            <rFont val="Tahoma"/>
            <family val="2"/>
          </rPr>
          <t>Linnell, Mark:</t>
        </r>
        <r>
          <rPr>
            <sz val="9"/>
            <color indexed="81"/>
            <rFont val="Tahoma"/>
            <family val="2"/>
          </rPr>
          <t xml:space="preserve">
Salesforce
</t>
        </r>
      </text>
    </comment>
    <comment ref="H47" authorId="0" shapeId="0">
      <text>
        <r>
          <rPr>
            <b/>
            <sz val="9"/>
            <color indexed="81"/>
            <rFont val="Tahoma"/>
            <family val="2"/>
          </rPr>
          <t>Linnell, Mark:</t>
        </r>
        <r>
          <rPr>
            <sz val="9"/>
            <color indexed="81"/>
            <rFont val="Tahoma"/>
            <family val="2"/>
          </rPr>
          <t xml:space="preserve">
Salesforce
</t>
        </r>
      </text>
    </comment>
    <comment ref="H48" authorId="0" shapeId="0">
      <text>
        <r>
          <rPr>
            <b/>
            <sz val="9"/>
            <color indexed="81"/>
            <rFont val="Tahoma"/>
            <family val="2"/>
          </rPr>
          <t>Linnell, Mark:</t>
        </r>
        <r>
          <rPr>
            <sz val="9"/>
            <color indexed="81"/>
            <rFont val="Tahoma"/>
            <family val="2"/>
          </rPr>
          <t xml:space="preserve">
Salesforce
</t>
        </r>
      </text>
    </comment>
    <comment ref="H49" authorId="0" shapeId="0">
      <text>
        <r>
          <rPr>
            <b/>
            <sz val="9"/>
            <color indexed="81"/>
            <rFont val="Tahoma"/>
            <family val="2"/>
          </rPr>
          <t>Linnell, Mark:</t>
        </r>
        <r>
          <rPr>
            <sz val="9"/>
            <color indexed="81"/>
            <rFont val="Tahoma"/>
            <family val="2"/>
          </rPr>
          <t xml:space="preserve">
Salesforce
</t>
        </r>
      </text>
    </comment>
    <comment ref="H50" authorId="0" shapeId="0">
      <text>
        <r>
          <rPr>
            <b/>
            <sz val="9"/>
            <color indexed="81"/>
            <rFont val="Tahoma"/>
            <family val="2"/>
          </rPr>
          <t>Linnell, Mark:</t>
        </r>
        <r>
          <rPr>
            <sz val="9"/>
            <color indexed="81"/>
            <rFont val="Tahoma"/>
            <family val="2"/>
          </rPr>
          <t xml:space="preserve">
Salesforce
</t>
        </r>
      </text>
    </comment>
    <comment ref="H51" authorId="0" shapeId="0">
      <text>
        <r>
          <rPr>
            <b/>
            <sz val="9"/>
            <color indexed="81"/>
            <rFont val="Tahoma"/>
            <family val="2"/>
          </rPr>
          <t>Linnell, Mark:</t>
        </r>
        <r>
          <rPr>
            <sz val="9"/>
            <color indexed="81"/>
            <rFont val="Tahoma"/>
            <family val="2"/>
          </rPr>
          <t xml:space="preserve">
Salesforce
</t>
        </r>
      </text>
    </comment>
    <comment ref="H52" authorId="0" shapeId="0">
      <text>
        <r>
          <rPr>
            <b/>
            <sz val="9"/>
            <color indexed="81"/>
            <rFont val="Tahoma"/>
            <family val="2"/>
          </rPr>
          <t>Linnell, Mark:</t>
        </r>
        <r>
          <rPr>
            <sz val="9"/>
            <color indexed="81"/>
            <rFont val="Tahoma"/>
            <family val="2"/>
          </rPr>
          <t xml:space="preserve">
Salesforce
</t>
        </r>
      </text>
    </comment>
    <comment ref="H53" authorId="0" shapeId="0">
      <text>
        <r>
          <rPr>
            <b/>
            <sz val="9"/>
            <color indexed="81"/>
            <rFont val="Tahoma"/>
            <family val="2"/>
          </rPr>
          <t>Linnell, Mark:</t>
        </r>
        <r>
          <rPr>
            <sz val="9"/>
            <color indexed="81"/>
            <rFont val="Tahoma"/>
            <family val="2"/>
          </rPr>
          <t xml:space="preserve">
Salesforce
</t>
        </r>
      </text>
    </comment>
    <comment ref="H54" authorId="0" shapeId="0">
      <text>
        <r>
          <rPr>
            <b/>
            <sz val="9"/>
            <color indexed="81"/>
            <rFont val="Tahoma"/>
            <family val="2"/>
          </rPr>
          <t>Linnell, Mark:</t>
        </r>
        <r>
          <rPr>
            <sz val="9"/>
            <color indexed="81"/>
            <rFont val="Tahoma"/>
            <family val="2"/>
          </rPr>
          <t xml:space="preserve">
Salesforce
</t>
        </r>
      </text>
    </comment>
  </commentList>
</comments>
</file>

<file path=xl/comments2.xml><?xml version="1.0" encoding="utf-8"?>
<comments xmlns="http://schemas.openxmlformats.org/spreadsheetml/2006/main">
  <authors>
    <author>Linnell, Mark</author>
  </authors>
  <commentList>
    <comment ref="L188" authorId="0" shapeId="0">
      <text>
        <r>
          <rPr>
            <b/>
            <sz val="9"/>
            <color indexed="81"/>
            <rFont val="Tahoma"/>
            <family val="2"/>
          </rPr>
          <t>Linnell, Mark:</t>
        </r>
        <r>
          <rPr>
            <sz val="9"/>
            <color indexed="81"/>
            <rFont val="Tahoma"/>
            <family val="2"/>
          </rPr>
          <t xml:space="preserve">
Sum(</t>
        </r>
      </text>
    </comment>
  </commentList>
</comments>
</file>

<file path=xl/connections.xml><?xml version="1.0" encoding="utf-8"?>
<connections xmlns="http://schemas.openxmlformats.org/spreadsheetml/2006/main">
  <connection id="1" name="Query from ODS_PROD" type="1" refreshedVersion="6" savePassword="1" deleted="1" background="1" refreshOnLoad="1" saveData="1">
    <dbPr connection="" command=""/>
    <parameters count="3">
      <parameter name="ReportingDate" sqlType="11" parameterType="cell" refreshOnChange="1" cell="Main!$C$14"/>
      <parameter name="ReportingDate" sqlType="11" parameterType="cell" refreshOnChange="1" cell="Main!$C$14"/>
      <parameter name="ReportingDAte" sqlType="11" parameterType="cell" refreshOnChange="1" cell="Main!$C$14"/>
    </parameters>
  </connection>
</connections>
</file>

<file path=xl/sharedStrings.xml><?xml version="1.0" encoding="utf-8"?>
<sst xmlns="http://schemas.openxmlformats.org/spreadsheetml/2006/main" count="2855" uniqueCount="1450">
  <si>
    <t>FUND</t>
  </si>
  <si>
    <t>TOTALS</t>
  </si>
  <si>
    <t>= Number of Projects</t>
  </si>
  <si>
    <t>Ownership %</t>
  </si>
  <si>
    <t>Fund Abbreviation</t>
  </si>
  <si>
    <t>INVESTMENT IN REAL ESTATE - AT COST</t>
  </si>
  <si>
    <t xml:space="preserve">    Land</t>
  </si>
  <si>
    <t xml:space="preserve">    Building and improvements</t>
  </si>
  <si>
    <t xml:space="preserve">    Furnishings and equipment</t>
  </si>
  <si>
    <t xml:space="preserve">    Construction in progress</t>
  </si>
  <si>
    <t xml:space="preserve">    Accumulated depreciation</t>
  </si>
  <si>
    <t xml:space="preserve">       Net property</t>
  </si>
  <si>
    <t>OTHER ASSETS</t>
  </si>
  <si>
    <t xml:space="preserve">    Cash and cash equivalents</t>
  </si>
  <si>
    <t xml:space="preserve">    Funded reserves and restricted cash</t>
  </si>
  <si>
    <t xml:space="preserve">    Accounts receivable</t>
  </si>
  <si>
    <t xml:space="preserve">    Accounts receivable - affiliates</t>
  </si>
  <si>
    <t xml:space="preserve">    Prepaid interest</t>
  </si>
  <si>
    <t xml:space="preserve">    Prepaid expenses - other</t>
  </si>
  <si>
    <t xml:space="preserve">    Other assets</t>
  </si>
  <si>
    <t>TOTAL ASSETS</t>
  </si>
  <si>
    <t>LIABILITIES</t>
  </si>
  <si>
    <t xml:space="preserve">    Mortgages payable</t>
  </si>
  <si>
    <t xml:space="preserve">    Mortgages payable, affiliates</t>
  </si>
  <si>
    <t xml:space="preserve">    Land lease obligation</t>
  </si>
  <si>
    <t xml:space="preserve">    Accounts payable - construction</t>
  </si>
  <si>
    <t xml:space="preserve">    Accounts payable - trade</t>
  </si>
  <si>
    <t xml:space="preserve">    Notes payable</t>
  </si>
  <si>
    <t xml:space="preserve">    Notes payable, affiliates</t>
  </si>
  <si>
    <t xml:space="preserve">    Due to partner and affiliates</t>
  </si>
  <si>
    <t xml:space="preserve">    Accrued interest</t>
  </si>
  <si>
    <t xml:space="preserve">    Deferred interest</t>
  </si>
  <si>
    <t xml:space="preserve">    Accrued expenses</t>
  </si>
  <si>
    <t xml:space="preserve">    Deferred rental income</t>
  </si>
  <si>
    <t xml:space="preserve">    Tenant security deposits</t>
  </si>
  <si>
    <t>TOTAL LIABILITIES</t>
  </si>
  <si>
    <t>PARTNERS' CAPITAL</t>
  </si>
  <si>
    <t>TOTAL LIABILITIES &amp; PARTNERS' CAPITAL</t>
  </si>
  <si>
    <t>Total Combined</t>
  </si>
  <si>
    <t>REVENUE</t>
  </si>
  <si>
    <t xml:space="preserve">    Rental income</t>
  </si>
  <si>
    <t xml:space="preserve">    Interest income</t>
  </si>
  <si>
    <t xml:space="preserve">    Other income</t>
  </si>
  <si>
    <t>OPERATING EXPENSES</t>
  </si>
  <si>
    <t xml:space="preserve">    Professional fees</t>
  </si>
  <si>
    <t xml:space="preserve">    Administrative</t>
  </si>
  <si>
    <t xml:space="preserve">    Utilities </t>
  </si>
  <si>
    <t xml:space="preserve">    Repairs &amp; maintenance</t>
  </si>
  <si>
    <t xml:space="preserve">    Taxes &amp; insurance</t>
  </si>
  <si>
    <t xml:space="preserve">    Management fees</t>
  </si>
  <si>
    <t xml:space="preserve">    Interest expense</t>
  </si>
  <si>
    <t xml:space="preserve">    Deferred interest expense</t>
  </si>
  <si>
    <t xml:space="preserve">    Miscellaneous expense</t>
  </si>
  <si>
    <t xml:space="preserve">    Organization expense</t>
  </si>
  <si>
    <t xml:space="preserve">    Depreciation &amp; amortization</t>
  </si>
  <si>
    <t>NET INCOME / LOSS</t>
  </si>
  <si>
    <t>These should be all ZEROS. Hide row when done</t>
  </si>
  <si>
    <t xml:space="preserve">    Investment in Operating Partnerships</t>
  </si>
  <si>
    <t>do not delete this cell or row</t>
  </si>
  <si>
    <t xml:space="preserve">    Intangible assets, net</t>
  </si>
  <si>
    <t>Project Losses @ Fund level</t>
  </si>
  <si>
    <t>ENTER QTR</t>
  </si>
  <si>
    <t>ENTER YEAR</t>
  </si>
  <si>
    <t>Project ID</t>
  </si>
  <si>
    <t>Project Legal Name</t>
  </si>
  <si>
    <t xml:space="preserve">    Impairment</t>
  </si>
  <si>
    <t>ProjectStatus</t>
  </si>
  <si>
    <t>total columns</t>
  </si>
  <si>
    <t>9999</t>
  </si>
  <si>
    <t>EHPF</t>
  </si>
  <si>
    <t>GLEN BURNIE LLLP</t>
  </si>
  <si>
    <t>COLLEGE PARKWAY LLLP</t>
  </si>
  <si>
    <t>WOODBRIDGE COMMONS LLLP</t>
  </si>
  <si>
    <t>HICKORY RIDGE VILLAGE LLLP</t>
  </si>
  <si>
    <t>COLDSPRING LIMITED PARTNERSHIP</t>
  </si>
  <si>
    <t>PARKVILLE LLLP</t>
  </si>
  <si>
    <t>WOODLAWN APARTMENTS LIMITED PARTNERSHIP</t>
  </si>
  <si>
    <t>PARK VIEW AT BEL AIR II LLLP</t>
  </si>
  <si>
    <t>ABINGDON II LLLP</t>
  </si>
  <si>
    <t>ELLICOTT CITY II LIMITED PARTNERSHIP</t>
  </si>
  <si>
    <t>BETHLEHEM VILLAGE LIMITED PARTNERSHIP</t>
  </si>
  <si>
    <t>LOWER SALFORD LIMITED PARTNERSHIP</t>
  </si>
  <si>
    <t>NAAMAN’S CREEK LIMITED PARTNERSHIP</t>
  </si>
  <si>
    <t>WEST MANCHESTER LIMITED PARTNERSHIP</t>
  </si>
  <si>
    <t>SOMERSET COMMONS LLLP</t>
  </si>
  <si>
    <t>EASTON LIMITED PARTNERSHIP</t>
  </si>
  <si>
    <t>TYLER ROAD LIMITED PARTNERSHIP</t>
  </si>
  <si>
    <t>ASHLAND LLLP</t>
  </si>
  <si>
    <t>ASHLAND PARK VIEW LLLP</t>
  </si>
  <si>
    <t>CATONSVILLE LLLP</t>
  </si>
  <si>
    <t>FULLERTON LLLP</t>
  </si>
  <si>
    <t>RANDALLSTOWN LLLP</t>
  </si>
  <si>
    <t>ROSEDALE LLLP</t>
  </si>
  <si>
    <t>SALISBURY LLLP</t>
  </si>
  <si>
    <t>SNOWDEN RIVER LLLP</t>
  </si>
  <si>
    <t>MIRAMAR LLLP</t>
  </si>
  <si>
    <t>SEVERNA PARK LLLP</t>
  </si>
  <si>
    <t>ABERDEEN COMMONS LLLP</t>
  </si>
  <si>
    <t>EMERSON LLLP</t>
  </si>
  <si>
    <t>SOUTH PANTOPS LIMITED PARTNERSHIP</t>
  </si>
  <si>
    <t>YORK COMMONS LIMITED PARTNERSHIP LLLP</t>
  </si>
  <si>
    <t>TIMOTHY HOUSE LLLP</t>
  </si>
  <si>
    <t>COLUMBIA LLLP</t>
  </si>
  <si>
    <t xml:space="preserve">CHELTENHAM PARK VIEW LIMITED PARTNERSHIP </t>
  </si>
  <si>
    <t>LAUREL LLLP</t>
  </si>
  <si>
    <t>Operations/Asset Management</t>
  </si>
  <si>
    <t>11010-0000-000</t>
  </si>
  <si>
    <t>Cash-Operating</t>
  </si>
  <si>
    <t>11110-0000-000</t>
  </si>
  <si>
    <t>Cash-Petty Cash</t>
  </si>
  <si>
    <t>11115-0000-000</t>
  </si>
  <si>
    <t>Cash-Security Deposit</t>
  </si>
  <si>
    <t>12105-0000-000</t>
  </si>
  <si>
    <t>Accounts receivable-resident</t>
  </si>
  <si>
    <t>12115-0000-000</t>
  </si>
  <si>
    <t>Accounts receivable-Subsidy</t>
  </si>
  <si>
    <t>12115-0000-010</t>
  </si>
  <si>
    <t>A/R Suspense - Subsidy</t>
  </si>
  <si>
    <t>12305-0000-000</t>
  </si>
  <si>
    <t>Accounts receivable-Other</t>
  </si>
  <si>
    <t>12650-0000-000</t>
  </si>
  <si>
    <t>Allowance for doubtful accounts</t>
  </si>
  <si>
    <t>12710-0000-000</t>
  </si>
  <si>
    <t>Prepaid expense-Insurance</t>
  </si>
  <si>
    <t>12715-0000-000</t>
  </si>
  <si>
    <t>Prepaid expense-Taxes</t>
  </si>
  <si>
    <t>12725-0000-000</t>
  </si>
  <si>
    <t>Prepaid expense-License</t>
  </si>
  <si>
    <t>12740-0000-000</t>
  </si>
  <si>
    <t>Prepaid expense-Other</t>
  </si>
  <si>
    <t>13010-0000-000</t>
  </si>
  <si>
    <t>Reserves-Operating</t>
  </si>
  <si>
    <t>13010-0000-020</t>
  </si>
  <si>
    <t>Reserves-Operating -Payments</t>
  </si>
  <si>
    <t>13020-0000-000</t>
  </si>
  <si>
    <t>Reserves for Replacement</t>
  </si>
  <si>
    <t>13020-0000-010</t>
  </si>
  <si>
    <t>Reserves for Replacement-Deposits</t>
  </si>
  <si>
    <t>13020-0000-020</t>
  </si>
  <si>
    <t>Reserves for Replacement-Disbursements</t>
  </si>
  <si>
    <t>13410-0000-000</t>
  </si>
  <si>
    <t>Escrows-Taxes</t>
  </si>
  <si>
    <t>13410-0000-010</t>
  </si>
  <si>
    <t>Escrow Taxes - Deposits</t>
  </si>
  <si>
    <t>13410-0000-020</t>
  </si>
  <si>
    <t>Escrow Taxes - Disbursements</t>
  </si>
  <si>
    <t>13420-0000-000</t>
  </si>
  <si>
    <t>Escrows-Insurance</t>
  </si>
  <si>
    <t>13420-0000-010</t>
  </si>
  <si>
    <t>Escrows Insurance - Deposits</t>
  </si>
  <si>
    <t>13420-0000-020</t>
  </si>
  <si>
    <t>Escrow Insurance - Disbursements</t>
  </si>
  <si>
    <t>15103-0000-000</t>
  </si>
  <si>
    <t>Land</t>
  </si>
  <si>
    <t>15118-0000-000</t>
  </si>
  <si>
    <t>Land Improvement-Landscaping</t>
  </si>
  <si>
    <t>15127-0000-000</t>
  </si>
  <si>
    <t>Land Improvement-Paving</t>
  </si>
  <si>
    <t>15204-0000-000</t>
  </si>
  <si>
    <t>Buildings-Carpet and Flooring</t>
  </si>
  <si>
    <t>15224-0000-000</t>
  </si>
  <si>
    <t>Buildings-Exterior Lighting</t>
  </si>
  <si>
    <t>15228-0000-000</t>
  </si>
  <si>
    <t>Buildings-Flooring and Vinyl</t>
  </si>
  <si>
    <t>15240-0000-000</t>
  </si>
  <si>
    <t>Buildings-Security Alarm</t>
  </si>
  <si>
    <t>15250-0000-000</t>
  </si>
  <si>
    <t>Buildings-Clubhouse</t>
  </si>
  <si>
    <t>15256-0000-000</t>
  </si>
  <si>
    <t>Buildings-HVAC</t>
  </si>
  <si>
    <t>15266-0000-000</t>
  </si>
  <si>
    <t>Buildings-Miscellaneous</t>
  </si>
  <si>
    <t>15306-0000-000</t>
  </si>
  <si>
    <t>Equipment-Appliance</t>
  </si>
  <si>
    <t>15315-0000-000</t>
  </si>
  <si>
    <t>Equipment-Computers</t>
  </si>
  <si>
    <t>15321-0000-000</t>
  </si>
  <si>
    <t>Equipment-Dumpsters</t>
  </si>
  <si>
    <t>15327-0000-000</t>
  </si>
  <si>
    <t>Equipment-Office</t>
  </si>
  <si>
    <t>15336-0000-000</t>
  </si>
  <si>
    <t>Equipment-Miscellaneous</t>
  </si>
  <si>
    <t>15406-0000-000</t>
  </si>
  <si>
    <t>Furniture and Fixtures-Clubhouse</t>
  </si>
  <si>
    <t>15418-0000-000</t>
  </si>
  <si>
    <t>Furniture and Fixtures-Common Area</t>
  </si>
  <si>
    <t>15421-0000-000</t>
  </si>
  <si>
    <t>Furniture and Fixtures - Other</t>
  </si>
  <si>
    <t>15703-0000-000</t>
  </si>
  <si>
    <t>Accumulated Depreciation - Land Improvements</t>
  </si>
  <si>
    <t>15706-0000-000</t>
  </si>
  <si>
    <t>Accumulated Depreciation - Buildings</t>
  </si>
  <si>
    <t>15709-0000-000</t>
  </si>
  <si>
    <t>Accumulated Depreciation - Equipment</t>
  </si>
  <si>
    <t>15712-0000-000</t>
  </si>
  <si>
    <t>Accumulated Depreciation - Furniture and Fixtures</t>
  </si>
  <si>
    <t>18059-0000-000</t>
  </si>
  <si>
    <t>Other Intangible Assets</t>
  </si>
  <si>
    <t>18103-0000-000</t>
  </si>
  <si>
    <t>Debt Costs</t>
  </si>
  <si>
    <t>18506-0000-000</t>
  </si>
  <si>
    <t>Accumulated Amortization-Debt Costs</t>
  </si>
  <si>
    <t>20015-0000-000</t>
  </si>
  <si>
    <t>Accounts payable-Trade</t>
  </si>
  <si>
    <t>20020-0000-000</t>
  </si>
  <si>
    <t>Accounts payable-Other</t>
  </si>
  <si>
    <t>20025-0000-000</t>
  </si>
  <si>
    <t>Misc. AP - Outstanding Checks</t>
  </si>
  <si>
    <t>20120-0000-000</t>
  </si>
  <si>
    <t>Accrued expenses - Payroll</t>
  </si>
  <si>
    <t>20210-0000-000</t>
  </si>
  <si>
    <t>Accrued expenses - Management Fees</t>
  </si>
  <si>
    <t>20310-0000-000</t>
  </si>
  <si>
    <t>Accrued expenses - Taxes</t>
  </si>
  <si>
    <t>20320-0000-000</t>
  </si>
  <si>
    <t>Accrued expenses - Utilities</t>
  </si>
  <si>
    <t>20340-0000-000</t>
  </si>
  <si>
    <t>Accrued expenses - Other</t>
  </si>
  <si>
    <t>20405-0000-000</t>
  </si>
  <si>
    <t>Loan 1 Current Maturities</t>
  </si>
  <si>
    <t>20490-0000-000</t>
  </si>
  <si>
    <t>Current Maturities - Deferred Income</t>
  </si>
  <si>
    <t>20610-0000-000</t>
  </si>
  <si>
    <t>Accrued Expenses - Investor Service Fee - Surplus Cash</t>
  </si>
  <si>
    <t>20610-0000-010</t>
  </si>
  <si>
    <t>Accrued Expenses - Investor Service Fee - Payment</t>
  </si>
  <si>
    <t>20630-0000-000</t>
  </si>
  <si>
    <t>Accrued Expenses - Partnership Admin Fees - Surplus Cash</t>
  </si>
  <si>
    <t>20630-0000-010</t>
  </si>
  <si>
    <t>Accrued Expenses - Partnership Admin Fees - Payment</t>
  </si>
  <si>
    <t>21003-0000-000</t>
  </si>
  <si>
    <t>Prepaid Rent - Resident</t>
  </si>
  <si>
    <t>21006-0000-010</t>
  </si>
  <si>
    <t>Suspense Clearing - Subsidy</t>
  </si>
  <si>
    <t>22300-0200-001</t>
  </si>
  <si>
    <t>DTF All - Shelter Properties</t>
  </si>
  <si>
    <t>22300-0250-001</t>
  </si>
  <si>
    <t>DTF All - R Home Property Management</t>
  </si>
  <si>
    <t>22300-0300-002</t>
  </si>
  <si>
    <t>DTF All - Brightview Senior Living</t>
  </si>
  <si>
    <t>25105-0000-000</t>
  </si>
  <si>
    <t>Security Deposits Payable</t>
  </si>
  <si>
    <t>25115-0000-000</t>
  </si>
  <si>
    <t>Security Deposits Payable - Pet</t>
  </si>
  <si>
    <t>25120-0000-000</t>
  </si>
  <si>
    <t>Security Deposit Interest Payable</t>
  </si>
  <si>
    <t>25125-0000-000</t>
  </si>
  <si>
    <t>Security Deposit Clearing</t>
  </si>
  <si>
    <t>25220-0000-000</t>
  </si>
  <si>
    <t>Deferred Revenue</t>
  </si>
  <si>
    <t>25305-0000-000</t>
  </si>
  <si>
    <t>Interest Payable-Loan 1</t>
  </si>
  <si>
    <t>25405-0000-000</t>
  </si>
  <si>
    <t>Interest Payable-Loan 4</t>
  </si>
  <si>
    <t>25405-0000-010</t>
  </si>
  <si>
    <t>Interest Payable-Loan 4 - payment</t>
  </si>
  <si>
    <t>25410-0000-000</t>
  </si>
  <si>
    <t>Interest Payable-Loan 5</t>
  </si>
  <si>
    <t>25410-0000-010</t>
  </si>
  <si>
    <t>Interest Payable-Loan 5 - payment</t>
  </si>
  <si>
    <t>26005-0000-000</t>
  </si>
  <si>
    <t>Loans Payable-Loan 1</t>
  </si>
  <si>
    <t>26005-0000-010</t>
  </si>
  <si>
    <t>Loan 1 Principal Pmt</t>
  </si>
  <si>
    <t>26010-0000-000</t>
  </si>
  <si>
    <t>Loans Payable-Loan 2</t>
  </si>
  <si>
    <t>26105-0000-000</t>
  </si>
  <si>
    <t>Loans Payable-Loan 4</t>
  </si>
  <si>
    <t>26105-0000-010</t>
  </si>
  <si>
    <t>Loans Payable-Loan 4 payments</t>
  </si>
  <si>
    <t>26110-0000-000</t>
  </si>
  <si>
    <t>Loans Payable-Loan 5</t>
  </si>
  <si>
    <t>26110-0000-010</t>
  </si>
  <si>
    <t>Loans Payable-Loan 5 payments</t>
  </si>
  <si>
    <t>30010-0000-000</t>
  </si>
  <si>
    <t>General Partner 1 - Capital</t>
  </si>
  <si>
    <t>30010-0000-010</t>
  </si>
  <si>
    <t>General Partner 1 - Distributions</t>
  </si>
  <si>
    <t>30040-0000-000</t>
  </si>
  <si>
    <t>Limited Partner 1 - Capital</t>
  </si>
  <si>
    <t>30040-0000-010</t>
  </si>
  <si>
    <t>Limited Partner 1 - Distributions</t>
  </si>
  <si>
    <t>30040-0000-020</t>
  </si>
  <si>
    <t>Limited Partner 1 - Contributions</t>
  </si>
  <si>
    <t>39810-0000-000</t>
  </si>
  <si>
    <t>Retained earnings-current year</t>
  </si>
  <si>
    <t>40105-0000-000</t>
  </si>
  <si>
    <t>40110-0000-000</t>
  </si>
  <si>
    <t>40115-0000-000</t>
  </si>
  <si>
    <t>40165-0000-000</t>
  </si>
  <si>
    <t>40210-0000-000</t>
  </si>
  <si>
    <t>40415-0000-000</t>
  </si>
  <si>
    <t>40712-0000-000</t>
  </si>
  <si>
    <t>40715-0000-000</t>
  </si>
  <si>
    <t>40718-0000-000</t>
  </si>
  <si>
    <t>40721-0000-000</t>
  </si>
  <si>
    <t>44022-0000-000</t>
  </si>
  <si>
    <t>44028-0000-000</t>
  </si>
  <si>
    <t>44040-0000-000</t>
  </si>
  <si>
    <t>44061-0000-000</t>
  </si>
  <si>
    <t>44067-0000-000</t>
  </si>
  <si>
    <t>44094-0000-000</t>
  </si>
  <si>
    <t>44103-0000-000</t>
  </si>
  <si>
    <t>44148-0000-000</t>
  </si>
  <si>
    <t>44160-0000-000</t>
  </si>
  <si>
    <t>45109-0000-000</t>
  </si>
  <si>
    <t>45133-0000-000</t>
  </si>
  <si>
    <t>50100-9140-605</t>
  </si>
  <si>
    <t>50100-9140-615</t>
  </si>
  <si>
    <t>50100-9140-680</t>
  </si>
  <si>
    <t>50100-9150-700</t>
  </si>
  <si>
    <t>50100-9150-701</t>
  </si>
  <si>
    <t>50100-9150-708</t>
  </si>
  <si>
    <t>50120-9140-600</t>
  </si>
  <si>
    <t>50120-9150-700</t>
  </si>
  <si>
    <t>50130-9140-600</t>
  </si>
  <si>
    <t>50130-9150-700</t>
  </si>
  <si>
    <t>50150-9140-600</t>
  </si>
  <si>
    <t>50150-9150-700</t>
  </si>
  <si>
    <t>50210-9150-001</t>
  </si>
  <si>
    <t>50250-9150-001</t>
  </si>
  <si>
    <t>50301-9150-001</t>
  </si>
  <si>
    <t>60362-9120-000</t>
  </si>
  <si>
    <t>60364-9120-000</t>
  </si>
  <si>
    <t>60370-9120-000</t>
  </si>
  <si>
    <t>62103-9140-000</t>
  </si>
  <si>
    <t>62109-9140-000</t>
  </si>
  <si>
    <t>62112-9140-000</t>
  </si>
  <si>
    <t>62115-9140-000</t>
  </si>
  <si>
    <t>62118-9140-000</t>
  </si>
  <si>
    <t>62121-9140-000</t>
  </si>
  <si>
    <t>62124-9140-000</t>
  </si>
  <si>
    <t>62127-9140-000</t>
  </si>
  <si>
    <t>62130-9140-000</t>
  </si>
  <si>
    <t>62133-9140-000</t>
  </si>
  <si>
    <t>62142-9140-000</t>
  </si>
  <si>
    <t>62145-9140-000</t>
  </si>
  <si>
    <t>62163-9140-000</t>
  </si>
  <si>
    <t>62166-9140-000</t>
  </si>
  <si>
    <t>62169-9140-000</t>
  </si>
  <si>
    <t>62172-9140-000</t>
  </si>
  <si>
    <t>62175-9140-000</t>
  </si>
  <si>
    <t>62178-9140-000</t>
  </si>
  <si>
    <t>62183-9140-000</t>
  </si>
  <si>
    <t>62203-9140-000</t>
  </si>
  <si>
    <t>62206-9140-000</t>
  </si>
  <si>
    <t>62212-9140-000</t>
  </si>
  <si>
    <t>62215-9140-000</t>
  </si>
  <si>
    <t>62218-9140-000</t>
  </si>
  <si>
    <t>62227-9140-000</t>
  </si>
  <si>
    <t>62260-9140-000</t>
  </si>
  <si>
    <t>62303-9140-000</t>
  </si>
  <si>
    <t>62306-9140-000</t>
  </si>
  <si>
    <t>62309-9140-000</t>
  </si>
  <si>
    <t>62312-9140-000</t>
  </si>
  <si>
    <t>62503-0000-000</t>
  </si>
  <si>
    <t>62509-0000-000</t>
  </si>
  <si>
    <t>62515-0000-000</t>
  </si>
  <si>
    <t>62521-0000-000</t>
  </si>
  <si>
    <t>62527-0000-000</t>
  </si>
  <si>
    <t>62533-0000-000</t>
  </si>
  <si>
    <t>62536-0000-000</t>
  </si>
  <si>
    <t>63015-9150-000</t>
  </si>
  <si>
    <t>63024-9150-000</t>
  </si>
  <si>
    <t>63027-9150-000</t>
  </si>
  <si>
    <t>63042-9150-000</t>
  </si>
  <si>
    <t>64003-9150-000</t>
  </si>
  <si>
    <t>64009-9150-000</t>
  </si>
  <si>
    <t>64012-9150-000</t>
  </si>
  <si>
    <t>64012-9150-001</t>
  </si>
  <si>
    <t>64012-9150-010</t>
  </si>
  <si>
    <t>64015-9150-000</t>
  </si>
  <si>
    <t>64018-9150-000</t>
  </si>
  <si>
    <t>64039-9150-000</t>
  </si>
  <si>
    <t>64042-9150-000</t>
  </si>
  <si>
    <t>64045-9150-000</t>
  </si>
  <si>
    <t>64048-9150-000</t>
  </si>
  <si>
    <t>64051-9150-000</t>
  </si>
  <si>
    <t>64093-9150-000</t>
  </si>
  <si>
    <t>64100-9150-001</t>
  </si>
  <si>
    <t>64100-9150-011</t>
  </si>
  <si>
    <t>64100-9150-012</t>
  </si>
  <si>
    <t>64150-9150-001</t>
  </si>
  <si>
    <t>64250-9150-001</t>
  </si>
  <si>
    <t>64300-9150-000</t>
  </si>
  <si>
    <t>64350-9150-001</t>
  </si>
  <si>
    <t>64500-9150-003</t>
  </si>
  <si>
    <t>64550-9150-001</t>
  </si>
  <si>
    <t>64700-9006-000</t>
  </si>
  <si>
    <t>64750-9150-001</t>
  </si>
  <si>
    <t>65050-0000-000</t>
  </si>
  <si>
    <t>65100-0000-000</t>
  </si>
  <si>
    <t>65300-0000-000</t>
  </si>
  <si>
    <t>66050-0000-000</t>
  </si>
  <si>
    <t>66100-0000-000</t>
  </si>
  <si>
    <t>66200-0000-000</t>
  </si>
  <si>
    <t>70105-0000-000</t>
  </si>
  <si>
    <t>70110-0000-000</t>
  </si>
  <si>
    <t>70205-0000-000</t>
  </si>
  <si>
    <t>70210-0000-000</t>
  </si>
  <si>
    <t>70215-0000-000</t>
  </si>
  <si>
    <t>70225-0000-000</t>
  </si>
  <si>
    <t>71110-0000-000</t>
  </si>
  <si>
    <t>71112-0000-000</t>
  </si>
  <si>
    <t>71122-0000-000</t>
  </si>
  <si>
    <t>71222-0000-000</t>
  </si>
  <si>
    <t>73005-0000-000</t>
  </si>
  <si>
    <t>73010-0000-000</t>
  </si>
  <si>
    <t>73015-0000-000</t>
  </si>
  <si>
    <t>73020-0000-000</t>
  </si>
  <si>
    <t>73025-0000-000</t>
  </si>
  <si>
    <t>73030-0000-000</t>
  </si>
  <si>
    <t>73035-0000-000</t>
  </si>
  <si>
    <t>73050-0000-000</t>
  </si>
  <si>
    <t>73205-0000-000</t>
  </si>
  <si>
    <t>73235-0000-000</t>
  </si>
  <si>
    <t>73250-0000-000</t>
  </si>
  <si>
    <t>73255-0000-000</t>
  </si>
  <si>
    <t>73280-0000-000</t>
  </si>
  <si>
    <t>73305-0000-000</t>
  </si>
  <si>
    <t>73320-0000-000</t>
  </si>
  <si>
    <t>73345-0000-000</t>
  </si>
  <si>
    <t>73360-0000-000</t>
  </si>
  <si>
    <t>73375-0000-000</t>
  </si>
  <si>
    <t>73390-0000-000</t>
  </si>
  <si>
    <t>77100-0000-000</t>
  </si>
  <si>
    <t>77200-0000-000</t>
  </si>
  <si>
    <t>80150-0000-000</t>
  </si>
  <si>
    <t>80200-0000-000</t>
  </si>
  <si>
    <t>81000-0000-000</t>
  </si>
  <si>
    <t>12120-0000-000</t>
  </si>
  <si>
    <t>Accounts receivable-HAP</t>
  </si>
  <si>
    <t>12120-0000-010</t>
  </si>
  <si>
    <t>A/R Suspense - HAP</t>
  </si>
  <si>
    <t>12730-0000-000</t>
  </si>
  <si>
    <t>Prepaid expense-MIP</t>
  </si>
  <si>
    <t>13030-0000-000</t>
  </si>
  <si>
    <t>Reserves for Replacement-Supplemental</t>
  </si>
  <si>
    <t>13430-0000-000</t>
  </si>
  <si>
    <t>Escrows-MIP</t>
  </si>
  <si>
    <t>13430-0000-010</t>
  </si>
  <si>
    <t>Escrows MIP - Deposits</t>
  </si>
  <si>
    <t>13430-0000-020</t>
  </si>
  <si>
    <t>Escrows MIP - Disbursements</t>
  </si>
  <si>
    <t>13440-0000-000</t>
  </si>
  <si>
    <t>Escrows-Repairs</t>
  </si>
  <si>
    <t>13440-0000-010</t>
  </si>
  <si>
    <t>Escrow Repairs - Deposits</t>
  </si>
  <si>
    <t>13440-0000-020</t>
  </si>
  <si>
    <t>Escrow Repairs - Disbursements</t>
  </si>
  <si>
    <t>13450-0000-000</t>
  </si>
  <si>
    <t>Escrows-Other</t>
  </si>
  <si>
    <t>14003-0000-000</t>
  </si>
  <si>
    <t>Other Assets - Utility Deposits</t>
  </si>
  <si>
    <t>15124-0000-000</t>
  </si>
  <si>
    <t>Land Improvement-Signage</t>
  </si>
  <si>
    <t>15136-0000-000</t>
  </si>
  <si>
    <t>Land Improvement-Miscellaneous</t>
  </si>
  <si>
    <t>15226-0000-000</t>
  </si>
  <si>
    <t>Buildings Fire Sprinklers</t>
  </si>
  <si>
    <t>15244-0000-000</t>
  </si>
  <si>
    <t>Buildings-Stairs and Landings</t>
  </si>
  <si>
    <t>15252-0000-000</t>
  </si>
  <si>
    <t>Buildings-Doors</t>
  </si>
  <si>
    <t>15264-0000-000</t>
  </si>
  <si>
    <t>Buildings-Fire Systems</t>
  </si>
  <si>
    <t>15309-0000-000</t>
  </si>
  <si>
    <t>Equipment-Oven and Ranges</t>
  </si>
  <si>
    <t>18053-0000-000</t>
  </si>
  <si>
    <t>Pre-Opening Costs - Funded</t>
  </si>
  <si>
    <t>18115-0000-000</t>
  </si>
  <si>
    <t>Debt Costs-Legal Fees</t>
  </si>
  <si>
    <t>18118-0000-000</t>
  </si>
  <si>
    <t>Debt Costs-Title and Recording</t>
  </si>
  <si>
    <t>20620-0000-000</t>
  </si>
  <si>
    <t>Accrued Expenses - Partnership Management Fees - Surplus Cas</t>
  </si>
  <si>
    <t>20620-0000-010</t>
  </si>
  <si>
    <t>Accrued Expenses - Partnership Management Fees - Payment</t>
  </si>
  <si>
    <t>20625-0000-000</t>
  </si>
  <si>
    <t>Accrued Expenses - Supervisory Management Fees - Surplus Cas</t>
  </si>
  <si>
    <t>20625-0000-010</t>
  </si>
  <si>
    <t>Accrued Expenses - Supervisory Management Fees - Payment</t>
  </si>
  <si>
    <t>25110-0000-000</t>
  </si>
  <si>
    <t>Security Deposits Payable - Keys</t>
  </si>
  <si>
    <t>25250-0000-000</t>
  </si>
  <si>
    <t>EIV Clearing</t>
  </si>
  <si>
    <t>25310-0000-000</t>
  </si>
  <si>
    <t>Interest Payable-Loan 2</t>
  </si>
  <si>
    <t>26010-0000-010</t>
  </si>
  <si>
    <t>Loan 2 Principal Payments</t>
  </si>
  <si>
    <t>26015-0000-000</t>
  </si>
  <si>
    <t>Loans Payable-Loan 3</t>
  </si>
  <si>
    <t>32010-0000-000</t>
  </si>
  <si>
    <t>Syndication Legal</t>
  </si>
  <si>
    <t>40120-0000-000</t>
  </si>
  <si>
    <t>40400-0000-100</t>
  </si>
  <si>
    <t>50100-9150-704</t>
  </si>
  <si>
    <t>60360-9120-000</t>
  </si>
  <si>
    <t>62160-9140-000</t>
  </si>
  <si>
    <t>62180-9140-000</t>
  </si>
  <si>
    <t>62539-0000-000</t>
  </si>
  <si>
    <t>71114-0000-000</t>
  </si>
  <si>
    <t>73210-0000-000</t>
  </si>
  <si>
    <t>73245-0000-000</t>
  </si>
  <si>
    <t>73310-0000-000</t>
  </si>
  <si>
    <t>73340-0000-000</t>
  </si>
  <si>
    <t>73395-0000-000</t>
  </si>
  <si>
    <t>80800-0000-000</t>
  </si>
  <si>
    <t>80900-0000-000</t>
  </si>
  <si>
    <t>80950-0000-000</t>
  </si>
  <si>
    <t>13030-0000-020</t>
  </si>
  <si>
    <t>Reserves for Replacement-Supplemental-Disbursements</t>
  </si>
  <si>
    <t>13450-0000-010</t>
  </si>
  <si>
    <t>Escrows Other - Deposits</t>
  </si>
  <si>
    <t>13450-0000-020</t>
  </si>
  <si>
    <t>Escrows Other - Disbursements</t>
  </si>
  <si>
    <t>15218-0000-000</t>
  </si>
  <si>
    <t>Buildings-Decks and Balconies</t>
  </si>
  <si>
    <t>18109-0000-000</t>
  </si>
  <si>
    <t>Debt Costs-Financing Fees</t>
  </si>
  <si>
    <t>18503-0000-000</t>
  </si>
  <si>
    <t>Accumulated Amortization-Other Intangible Assets</t>
  </si>
  <si>
    <t>20605-0000-000</t>
  </si>
  <si>
    <t>Accrued Expenses - Max PILOT - Surplus Cash</t>
  </si>
  <si>
    <t>20605-0000-010</t>
  </si>
  <si>
    <t>Accrued Expenses - Max PILOT - Payments</t>
  </si>
  <si>
    <t>20640-0000-000</t>
  </si>
  <si>
    <t>Accrued Expenses - Deferred Development Fee</t>
  </si>
  <si>
    <t>20640-0000-010</t>
  </si>
  <si>
    <t>Accrued Expenses - Deferred Development Fee Payment</t>
  </si>
  <si>
    <t>21006-0000-000</t>
  </si>
  <si>
    <t>Prepaid Rent - Subsidy</t>
  </si>
  <si>
    <t>21009-0000-000</t>
  </si>
  <si>
    <t>Prepaid Rent - HAP</t>
  </si>
  <si>
    <t>40405-0000-100</t>
  </si>
  <si>
    <t>40709-0000-000</t>
  </si>
  <si>
    <t>40724-0000-000</t>
  </si>
  <si>
    <t>44043-0000-000</t>
  </si>
  <si>
    <t>44055-0000-000</t>
  </si>
  <si>
    <t>50100-9140-600</t>
  </si>
  <si>
    <t>50100-9140-620</t>
  </si>
  <si>
    <t>62136-9140-000</t>
  </si>
  <si>
    <t>62248-9140-000</t>
  </si>
  <si>
    <t>62254-9140-000</t>
  </si>
  <si>
    <t>62257-9140-000</t>
  </si>
  <si>
    <t>63021-9150-000</t>
  </si>
  <si>
    <t>63033-9150-000</t>
  </si>
  <si>
    <t>63036-9150-000</t>
  </si>
  <si>
    <t>64021-9150-000</t>
  </si>
  <si>
    <t>64033-9150-000</t>
  </si>
  <si>
    <t>64084-9150-000</t>
  </si>
  <si>
    <t>64650-9150-001</t>
  </si>
  <si>
    <t>65120-0000-000</t>
  </si>
  <si>
    <t>73040-0000-000</t>
  </si>
  <si>
    <t>73215-0000-000</t>
  </si>
  <si>
    <t>73380-0000-000</t>
  </si>
  <si>
    <t>80750-0000-000</t>
  </si>
  <si>
    <t>73315-0000-000</t>
  </si>
  <si>
    <t>71214-0000-000</t>
  </si>
  <si>
    <t>64150-9150-003</t>
  </si>
  <si>
    <t>64100-9150-003</t>
  </si>
  <si>
    <t>62506-0000-000</t>
  </si>
  <si>
    <t>62251-9140-000</t>
  </si>
  <si>
    <t>62221-9140-000</t>
  </si>
  <si>
    <t>60356-9120-000</t>
  </si>
  <si>
    <t>Loan 2 Principal Deposit</t>
  </si>
  <si>
    <t>26010-0000-020</t>
  </si>
  <si>
    <t>Payroll Advanced</t>
  </si>
  <si>
    <t>25005-0000-000</t>
  </si>
  <si>
    <t>Equipment-Exercise</t>
  </si>
  <si>
    <t>15324-0000-000</t>
  </si>
  <si>
    <t>Buildings-Roofing</t>
  </si>
  <si>
    <t>15262-0000-000</t>
  </si>
  <si>
    <t>Buildings-Windows</t>
  </si>
  <si>
    <t>15246-0000-000</t>
  </si>
  <si>
    <t>Buildings-Siding</t>
  </si>
  <si>
    <t>15242-0000-000</t>
  </si>
  <si>
    <t>Buildings-Painting Interior</t>
  </si>
  <si>
    <t>15238-0000-000</t>
  </si>
  <si>
    <t>Buildings-Interior Lighting</t>
  </si>
  <si>
    <t>15234-0000-000</t>
  </si>
  <si>
    <t>Buildings-Gutters and Downspouts</t>
  </si>
  <si>
    <t>15232-0000-000</t>
  </si>
  <si>
    <t>Buildings-Carpet Apartments</t>
  </si>
  <si>
    <t>15210-0000-000</t>
  </si>
  <si>
    <t>Buildings-Access Gates</t>
  </si>
  <si>
    <t>15206-0000-000</t>
  </si>
  <si>
    <t>Land Improvement-Irrigation</t>
  </si>
  <si>
    <t>15133-0000-000</t>
  </si>
  <si>
    <t>Debt Service Reserve Fund</t>
  </si>
  <si>
    <t>13228-0000-000</t>
  </si>
  <si>
    <t>Accounts receivable-Insurance claims</t>
  </si>
  <si>
    <t>12310-0000-000</t>
  </si>
  <si>
    <t>73275-0000-000</t>
  </si>
  <si>
    <t>64500-9150-001</t>
  </si>
  <si>
    <t>44058-0000-000</t>
  </si>
  <si>
    <t>Buildings-Lighting</t>
  </si>
  <si>
    <t>15258-0000-000</t>
  </si>
  <si>
    <t>Buildings-Garage/Carports</t>
  </si>
  <si>
    <t>15230-0000-000</t>
  </si>
  <si>
    <t>Buildings-Elevators</t>
  </si>
  <si>
    <t>15220-0000-000</t>
  </si>
  <si>
    <t>Buildings-Carpet Common Areas</t>
  </si>
  <si>
    <t>15212-0000-000</t>
  </si>
  <si>
    <t>Land Improvement-Sidewalks</t>
  </si>
  <si>
    <t>15121-0000-000</t>
  </si>
  <si>
    <t>80850-0000-000</t>
  </si>
  <si>
    <t>50100-9150-712</t>
  </si>
  <si>
    <t>DTF Misc - Due to Suspense</t>
  </si>
  <si>
    <t>22200-8000-000</t>
  </si>
  <si>
    <t>Accrued Expenses - Incentive Management Fee - Payment</t>
  </si>
  <si>
    <t>20615-0000-010</t>
  </si>
  <si>
    <t>Accrued Expenses - Incentive Management Fee - Surplus Cash</t>
  </si>
  <si>
    <t>20615-0000-000</t>
  </si>
  <si>
    <t>Equipment-Water Heaters</t>
  </si>
  <si>
    <t>15345-0000-000</t>
  </si>
  <si>
    <t>Cash-Resident Services Fund - Payments</t>
  </si>
  <si>
    <t>13204-0000-020</t>
  </si>
  <si>
    <t>Cash-Resident Services Fund</t>
  </si>
  <si>
    <t>13204-0000-000</t>
  </si>
  <si>
    <t>63012-9150-000</t>
  </si>
  <si>
    <t>Buildings-Emergency Call System</t>
  </si>
  <si>
    <t>15222-0000-000</t>
  </si>
  <si>
    <t>80250-0000-000</t>
  </si>
  <si>
    <t>64300-9150-021</t>
  </si>
  <si>
    <t>Loans Payable-Loan 6 payments</t>
  </si>
  <si>
    <t>26115-0000-010</t>
  </si>
  <si>
    <t>Loan Payable - Loan 6</t>
  </si>
  <si>
    <t>26115-0000-000</t>
  </si>
  <si>
    <t>Interest Payable-Loan 6 - payment</t>
  </si>
  <si>
    <t>25415-0000-010</t>
  </si>
  <si>
    <t>Interest Payable-Loan 6</t>
  </si>
  <si>
    <t>25415-0000-000</t>
  </si>
  <si>
    <t>Buildings-Plumbing</t>
  </si>
  <si>
    <t>15260-0000-000</t>
  </si>
  <si>
    <t>Buildings-Electrical</t>
  </si>
  <si>
    <t>15254-0000-000</t>
  </si>
  <si>
    <t>Buildings-Compactor</t>
  </si>
  <si>
    <t>15214-0000-000</t>
  </si>
  <si>
    <t>Project Income / (Losses) @ 100%</t>
  </si>
  <si>
    <t>Project Income / (Losses) @ Fund Level</t>
  </si>
  <si>
    <t>73498-0000-000</t>
  </si>
  <si>
    <t>64057-9150-000</t>
  </si>
  <si>
    <t>Equipment-Software</t>
  </si>
  <si>
    <t>15318-0000-000</t>
  </si>
  <si>
    <t>80450-0000-000</t>
  </si>
  <si>
    <t>71210-0000-000</t>
  </si>
  <si>
    <t>64100-9150-015</t>
  </si>
  <si>
    <t>62263-9140-000</t>
  </si>
  <si>
    <t>50100-9150-728</t>
  </si>
  <si>
    <t>Deferred Interest</t>
  </si>
  <si>
    <t>25700-0000-000</t>
  </si>
  <si>
    <t>Interest Payable-Other Loan</t>
  </si>
  <si>
    <t>25430-0000-000</t>
  </si>
  <si>
    <t>Accrued Expenses - Investor Service Fees</t>
  </si>
  <si>
    <t>20270-0000-000</t>
  </si>
  <si>
    <t>Accumulated Depreciation-Vehicles</t>
  </si>
  <si>
    <t>15718-0000-000</t>
  </si>
  <si>
    <t>Vehicles</t>
  </si>
  <si>
    <t>15551-0000-000</t>
  </si>
  <si>
    <t xml:space="preserve">         Total Net Income/(Loss)</t>
  </si>
  <si>
    <t>90000-9999-999</t>
  </si>
  <si>
    <t xml:space="preserve">     Asset Management Fees - Surplus Cash</t>
  </si>
  <si>
    <t>81050-0000-000</t>
  </si>
  <si>
    <t xml:space="preserve">     Partnership Administration Fees - Surplus Cash</t>
  </si>
  <si>
    <t xml:space="preserve">     Supervisory Management Fees - Surplus Cash</t>
  </si>
  <si>
    <t xml:space="preserve">     Partnership Management Fees - Surplus Cash</t>
  </si>
  <si>
    <t xml:space="preserve">     Incentive Management Fees - Surplus Cash</t>
  </si>
  <si>
    <t xml:space="preserve">     Investor Service Fee - Surplus Cash</t>
  </si>
  <si>
    <t xml:space="preserve">     Max PILOT Expense - Surplus Cash</t>
  </si>
  <si>
    <t xml:space="preserve">     Interest - Surplus Cash</t>
  </si>
  <si>
    <t>80650-0000-000</t>
  </si>
  <si>
    <t xml:space="preserve">     Interest - loans - HOLD 1</t>
  </si>
  <si>
    <t xml:space="preserve">     Interest Loans 7</t>
  </si>
  <si>
    <t>80300-0000-000</t>
  </si>
  <si>
    <t xml:space="preserve">     Interest Loans 6</t>
  </si>
  <si>
    <t xml:space="preserve">     Interest Loans 5</t>
  </si>
  <si>
    <t xml:space="preserve">     Interest Loans 4</t>
  </si>
  <si>
    <t xml:space="preserve">     Ground Rent - Surplus Cash</t>
  </si>
  <si>
    <t>80100-0000-000</t>
  </si>
  <si>
    <t xml:space="preserve">     Depreciation</t>
  </si>
  <si>
    <t xml:space="preserve">     Amortization</t>
  </si>
  <si>
    <t xml:space="preserve">     MI - Life Safety</t>
  </si>
  <si>
    <t xml:space="preserve">     MI - Other Improvements</t>
  </si>
  <si>
    <t xml:space="preserve">     MI - Counters</t>
  </si>
  <si>
    <t xml:space="preserve">     MI - Unit Upgrades/Kitchen</t>
  </si>
  <si>
    <t xml:space="preserve">     MI - Unit Upgrades/Bathroom</t>
  </si>
  <si>
    <t xml:space="preserve">     MI - Appliances</t>
  </si>
  <si>
    <t>73374-0000-000</t>
  </si>
  <si>
    <t xml:space="preserve">     MI - Vehicle and Equipment</t>
  </si>
  <si>
    <t xml:space="preserve">     MI - Resident Common Space</t>
  </si>
  <si>
    <t xml:space="preserve">     MI - Fitness/Exercise</t>
  </si>
  <si>
    <t xml:space="preserve">     MI - Plumbing</t>
  </si>
  <si>
    <t xml:space="preserve">     MI - HVAC/Boilers</t>
  </si>
  <si>
    <t xml:space="preserve">     MI - Lighting</t>
  </si>
  <si>
    <t xml:space="preserve">     MI - Electrical</t>
  </si>
  <si>
    <t xml:space="preserve">     MI - Carpentry/Drywall/Ceilings</t>
  </si>
  <si>
    <t>73285-0000-000</t>
  </si>
  <si>
    <t xml:space="preserve">     MI - Windows/Doors</t>
  </si>
  <si>
    <t xml:space="preserve">     MI - Stairs and Landings</t>
  </si>
  <si>
    <t xml:space="preserve">     MI - Fire System (Sprinkler/Fire Alarm)</t>
  </si>
  <si>
    <t xml:space="preserve">     MI - Security System</t>
  </si>
  <si>
    <t xml:space="preserve">     MI - Elevator</t>
  </si>
  <si>
    <t xml:space="preserve">     MI - Carpet/Flooring/Tile - Common Area</t>
  </si>
  <si>
    <t xml:space="preserve">     MI - Signage</t>
  </si>
  <si>
    <t xml:space="preserve">     MI - Concrete/Sidewalks</t>
  </si>
  <si>
    <t xml:space="preserve">     MI - Landscaping/Irrigation</t>
  </si>
  <si>
    <t xml:space="preserve">     RCR - Recurring Other</t>
  </si>
  <si>
    <t xml:space="preserve">     RCR - Washer/Dryer</t>
  </si>
  <si>
    <t xml:space="preserve">     RCR - Window Coverings</t>
  </si>
  <si>
    <t xml:space="preserve">     RCR - Refrigerators</t>
  </si>
  <si>
    <t xml:space="preserve">     RCR - HVAC/Condensers/Air Handlers</t>
  </si>
  <si>
    <t xml:space="preserve">     RCR - Water Heaters</t>
  </si>
  <si>
    <t xml:space="preserve">     RCR - Ovens/Ranges/Hoods</t>
  </si>
  <si>
    <t xml:space="preserve">     RCR - Flooring</t>
  </si>
  <si>
    <t xml:space="preserve">     RCR - Carpet</t>
  </si>
  <si>
    <t xml:space="preserve">     Other financing costs</t>
  </si>
  <si>
    <t xml:space="preserve">     Other service fees</t>
  </si>
  <si>
    <t xml:space="preserve">     Lender service fees</t>
  </si>
  <si>
    <t xml:space="preserve">     Investor services fees operations</t>
  </si>
  <si>
    <t>71202-0000-000</t>
  </si>
  <si>
    <t xml:space="preserve">     Interest - security deposit refunds</t>
  </si>
  <si>
    <t xml:space="preserve">     Interest Loans 3</t>
  </si>
  <si>
    <t xml:space="preserve">     Interest Loans 2</t>
  </si>
  <si>
    <t xml:space="preserve">     Interest Loans 1</t>
  </si>
  <si>
    <t xml:space="preserve">     Taxes - Other</t>
  </si>
  <si>
    <t xml:space="preserve">     Personal property tax</t>
  </si>
  <si>
    <t xml:space="preserve">     Real Estate tax -Minimum Pilot</t>
  </si>
  <si>
    <t xml:space="preserve">     Real estate tax</t>
  </si>
  <si>
    <t xml:space="preserve">     Insurance - Workers compensation</t>
  </si>
  <si>
    <t xml:space="preserve">     Insurance - Property and liability</t>
  </si>
  <si>
    <t xml:space="preserve">     Management fee - Base</t>
  </si>
  <si>
    <t xml:space="preserve">     Compliance</t>
  </si>
  <si>
    <t xml:space="preserve">     Accounting services</t>
  </si>
  <si>
    <t xml:space="preserve">     Other professional fees</t>
  </si>
  <si>
    <t xml:space="preserve">     Consulting - Other</t>
  </si>
  <si>
    <t xml:space="preserve">     Legal - Operations</t>
  </si>
  <si>
    <t>65100-9008-000</t>
  </si>
  <si>
    <t xml:space="preserve">     Legal</t>
  </si>
  <si>
    <t xml:space="preserve">     Audit and tax</t>
  </si>
  <si>
    <t xml:space="preserve">     Supplies - Office</t>
  </si>
  <si>
    <t xml:space="preserve">     Travel expense</t>
  </si>
  <si>
    <t xml:space="preserve">     Mileage reimbursement</t>
  </si>
  <si>
    <t xml:space="preserve">     Mileage Reimbursement</t>
  </si>
  <si>
    <t>64550-9001-000</t>
  </si>
  <si>
    <t xml:space="preserve">     Meals and entertainment</t>
  </si>
  <si>
    <t xml:space="preserve">     Beverages and Snacks</t>
  </si>
  <si>
    <t xml:space="preserve">     Education and Seminars</t>
  </si>
  <si>
    <t xml:space="preserve">     Dues-professional memberships</t>
  </si>
  <si>
    <t xml:space="preserve">     Dues and subscriptions</t>
  </si>
  <si>
    <t xml:space="preserve">     Other Miscellaneous Personnel Costs</t>
  </si>
  <si>
    <t xml:space="preserve">     Copier Maintenance</t>
  </si>
  <si>
    <t xml:space="preserve">     Copier Lease</t>
  </si>
  <si>
    <t xml:space="preserve">     Computer - Supplies</t>
  </si>
  <si>
    <t xml:space="preserve">     Computer Costs - Yardi PAYSCAN</t>
  </si>
  <si>
    <t xml:space="preserve">     Computer Costs - Yardi</t>
  </si>
  <si>
    <t xml:space="preserve">     Computer maintenance</t>
  </si>
  <si>
    <t xml:space="preserve">     Uniforms and Tags</t>
  </si>
  <si>
    <t xml:space="preserve">     Security System</t>
  </si>
  <si>
    <t xml:space="preserve">     Locator fees</t>
  </si>
  <si>
    <t xml:space="preserve">     Stationary and Printing</t>
  </si>
  <si>
    <t xml:space="preserve">     Overnight and Messenger</t>
  </si>
  <si>
    <t xml:space="preserve">     Postage and shipping</t>
  </si>
  <si>
    <t xml:space="preserve">     Miscellaneous expense</t>
  </si>
  <si>
    <t xml:space="preserve">     License and permits</t>
  </si>
  <si>
    <t xml:space="preserve">     Homeowners association fees</t>
  </si>
  <si>
    <t>64036-9150-000</t>
  </si>
  <si>
    <t xml:space="preserve">     Gasoline and fuel</t>
  </si>
  <si>
    <t xml:space="preserve">     Cakes/Flowers Gifts</t>
  </si>
  <si>
    <t xml:space="preserve">     Bank fees - operating</t>
  </si>
  <si>
    <t xml:space="preserve">     Bank fees - non-operating</t>
  </si>
  <si>
    <t xml:space="preserve">     Bad Debt - Ancillary Charges</t>
  </si>
  <si>
    <t xml:space="preserve">     Bad Debt - Adjustments</t>
  </si>
  <si>
    <t xml:space="preserve">     Bad Debt - direct write offs</t>
  </si>
  <si>
    <t xml:space="preserve">     Background checks</t>
  </si>
  <si>
    <t xml:space="preserve">     Answering service</t>
  </si>
  <si>
    <t xml:space="preserve">     Banners and flags</t>
  </si>
  <si>
    <t>63125-9004-000</t>
  </si>
  <si>
    <t xml:space="preserve">     Advertising - Print Ads</t>
  </si>
  <si>
    <t>63110-9004-000</t>
  </si>
  <si>
    <t xml:space="preserve">     Signs / Banners</t>
  </si>
  <si>
    <t>63039-9150-000</t>
  </si>
  <si>
    <t xml:space="preserve">     Marketing Outreach</t>
  </si>
  <si>
    <t xml:space="preserve">     Referral fees</t>
  </si>
  <si>
    <t xml:space="preserve">     Shopping reports</t>
  </si>
  <si>
    <t xml:space="preserve">     Internet Fees</t>
  </si>
  <si>
    <t xml:space="preserve">     Advertising - Yellow pages</t>
  </si>
  <si>
    <t xml:space="preserve">     Advertising - Miscellaneous</t>
  </si>
  <si>
    <t xml:space="preserve">     Utilities - Electric - reimbursements</t>
  </si>
  <si>
    <t xml:space="preserve">     Utilities - Electric/Gas/Oil - Apartments</t>
  </si>
  <si>
    <t xml:space="preserve">     Utilities - Cable Television</t>
  </si>
  <si>
    <t xml:space="preserve">     Utilities - Internet</t>
  </si>
  <si>
    <t xml:space="preserve">     Utilities - Telephone - cellular</t>
  </si>
  <si>
    <t xml:space="preserve">     Utilities - Telephone</t>
  </si>
  <si>
    <t xml:space="preserve">     Utilities - Water and Sewer</t>
  </si>
  <si>
    <t xml:space="preserve">     Utilities - Gas and oil - public service</t>
  </si>
  <si>
    <t xml:space="preserve">     Utilities - Electric - public service</t>
  </si>
  <si>
    <t xml:space="preserve">     Turnover Costs - Miscellaneous</t>
  </si>
  <si>
    <t>62315-9140-000</t>
  </si>
  <si>
    <t xml:space="preserve">     Turnover Costs - Drywall</t>
  </si>
  <si>
    <t xml:space="preserve">     Turnover Costs - Cleaning</t>
  </si>
  <si>
    <t xml:space="preserve">     Turnover Costs - Paint</t>
  </si>
  <si>
    <t xml:space="preserve">     Turnover Costs - Carpet and Flooring</t>
  </si>
  <si>
    <t xml:space="preserve">     Contract Services - Sprinklers</t>
  </si>
  <si>
    <t xml:space="preserve">     Contract Services - Security</t>
  </si>
  <si>
    <t xml:space="preserve">     Contract Services - Pool</t>
  </si>
  <si>
    <t xml:space="preserve">     Contract Services - Plumbing</t>
  </si>
  <si>
    <t xml:space="preserve">     Contract Services - Miscellaneous</t>
  </si>
  <si>
    <t xml:space="preserve">     Contract Services - Extermination</t>
  </si>
  <si>
    <t xml:space="preserve">     Contract Services - HVAC</t>
  </si>
  <si>
    <t xml:space="preserve">     Contract Services - Building cleaning</t>
  </si>
  <si>
    <t xml:space="preserve">     Contract Services - Fire system</t>
  </si>
  <si>
    <t xml:space="preserve">     Contract Services - Elevator</t>
  </si>
  <si>
    <t xml:space="preserve">     Contract Services - Trash removal</t>
  </si>
  <si>
    <t xml:space="preserve">     Contract Services - Landscape</t>
  </si>
  <si>
    <t xml:space="preserve">     Repairs and Maintenance - Hardware Supplies</t>
  </si>
  <si>
    <t xml:space="preserve">     Repairs and Maintenance - Elevator/Escalators</t>
  </si>
  <si>
    <t xml:space="preserve">     Repairs and Maintenance - Small tools</t>
  </si>
  <si>
    <t xml:space="preserve">     Repairs and Maintenance - Safety</t>
  </si>
  <si>
    <t xml:space="preserve">     Repairs and Maintenance - Keys and locks</t>
  </si>
  <si>
    <t xml:space="preserve">     Repairs and Maintenance - Janitorial</t>
  </si>
  <si>
    <t xml:space="preserve">     Repairs and Maintenance - Supplies</t>
  </si>
  <si>
    <t xml:space="preserve">     Repairs and Maintenance - Windows and doors</t>
  </si>
  <si>
    <t xml:space="preserve">     Repairs and Maintenance - Roof</t>
  </si>
  <si>
    <t xml:space="preserve">     Repairs and Maintenance - Other</t>
  </si>
  <si>
    <t xml:space="preserve">     Repairs and Maintenance - Lighting</t>
  </si>
  <si>
    <t xml:space="preserve">     Repairs and Maintenance - Building interiors other</t>
  </si>
  <si>
    <t xml:space="preserve">     Repairs and Maintenance - Building exterior other</t>
  </si>
  <si>
    <t xml:space="preserve">     Repairs and Maintenance - Appliances</t>
  </si>
  <si>
    <t xml:space="preserve">     Repairs and Maintenance - Equipment</t>
  </si>
  <si>
    <t xml:space="preserve">     Repairs and Maintenance - Carpet and Flooring</t>
  </si>
  <si>
    <t xml:space="preserve">     Repairs and Maintenance - Fire systems</t>
  </si>
  <si>
    <t xml:space="preserve">     Repairs and Maintenance - Landscaping</t>
  </si>
  <si>
    <t xml:space="preserve">     Repairs and Maintenance - Electrical</t>
  </si>
  <si>
    <t xml:space="preserve">     Repairs and Maintenance - Plumbing</t>
  </si>
  <si>
    <t xml:space="preserve">     Repairs and Maintenance - Painting</t>
  </si>
  <si>
    <t xml:space="preserve">     Repairs and Maintenance - HVAC</t>
  </si>
  <si>
    <t xml:space="preserve">     Transportation costs</t>
  </si>
  <si>
    <t xml:space="preserve">     Resident services - food</t>
  </si>
  <si>
    <t xml:space="preserve">     Resident services</t>
  </si>
  <si>
    <t xml:space="preserve">     Resident promotional expense</t>
  </si>
  <si>
    <t xml:space="preserve">     Newsletter</t>
  </si>
  <si>
    <t xml:space="preserve">     Computer lab</t>
  </si>
  <si>
    <t>60348-9120-000</t>
  </si>
  <si>
    <t xml:space="preserve">     Employee Relations/Recognition</t>
  </si>
  <si>
    <t xml:space="preserve">     Temporary Help</t>
  </si>
  <si>
    <t xml:space="preserve">     401K Contribution</t>
  </si>
  <si>
    <t xml:space="preserve">     Quarters Allowance - R/M Properties</t>
  </si>
  <si>
    <t>50160-9150-600</t>
  </si>
  <si>
    <t xml:space="preserve">     Insurance - G/A Properties</t>
  </si>
  <si>
    <t xml:space="preserve">     Insurance - R/M Properties</t>
  </si>
  <si>
    <t xml:space="preserve">     Tax - G/A Properties</t>
  </si>
  <si>
    <t xml:space="preserve">     Tax - R/M Properties</t>
  </si>
  <si>
    <t xml:space="preserve">     BONUS - G/A Properties</t>
  </si>
  <si>
    <t xml:space="preserve">     BONUS - R/M Properties</t>
  </si>
  <si>
    <t xml:space="preserve">     Salary - Bus / Van Driver</t>
  </si>
  <si>
    <t>50100-9150-736</t>
  </si>
  <si>
    <t xml:space="preserve">     Salary - Resident Svc Associate</t>
  </si>
  <si>
    <t>50100-9150-732</t>
  </si>
  <si>
    <t xml:space="preserve">     Salary - Resident Svc Coordinator</t>
  </si>
  <si>
    <t xml:space="preserve">     Salary - Leasing Consultant</t>
  </si>
  <si>
    <t xml:space="preserve">     Salary - Asst Property Mgr</t>
  </si>
  <si>
    <t xml:space="preserve">     Salary - Property Manager</t>
  </si>
  <si>
    <t xml:space="preserve">     Salary - District Manager</t>
  </si>
  <si>
    <t xml:space="preserve">     Salary - Senior Property Manager</t>
  </si>
  <si>
    <t xml:space="preserve">     Salary - Porter</t>
  </si>
  <si>
    <t xml:space="preserve">     Salary - Maintenance Apprentice</t>
  </si>
  <si>
    <t xml:space="preserve">     Salary - Maintenance Technician</t>
  </si>
  <si>
    <t xml:space="preserve">     Salary - Senior Maintenance Manager</t>
  </si>
  <si>
    <t xml:space="preserve">     Salary - Maintenance Supervisor</t>
  </si>
  <si>
    <t xml:space="preserve">     Interest income - Escrows and Reserves</t>
  </si>
  <si>
    <t xml:space="preserve">     Interest income - Operating Reserve Fund</t>
  </si>
  <si>
    <t>45130-0000-000</t>
  </si>
  <si>
    <t xml:space="preserve">     Interest income - Security Deposit</t>
  </si>
  <si>
    <t xml:space="preserve">     Cleaning and Administrative Fee</t>
  </si>
  <si>
    <t xml:space="preserve">     Miscellaneous revenue</t>
  </si>
  <si>
    <t xml:space="preserve">     Bad Debt Recovery</t>
  </si>
  <si>
    <t xml:space="preserve">     Cable revenue</t>
  </si>
  <si>
    <t xml:space="preserve">     Maintenance Charge</t>
  </si>
  <si>
    <t xml:space="preserve">     Damage Charge</t>
  </si>
  <si>
    <t xml:space="preserve">     Rent Responsibility</t>
  </si>
  <si>
    <t xml:space="preserve">     Utility Charge</t>
  </si>
  <si>
    <t xml:space="preserve">     Court Costs</t>
  </si>
  <si>
    <t xml:space="preserve">     New Carpet</t>
  </si>
  <si>
    <t xml:space="preserve">     Coin Operated Laundry</t>
  </si>
  <si>
    <t xml:space="preserve">     Application fee</t>
  </si>
  <si>
    <t xml:space="preserve">     Pet Fee</t>
  </si>
  <si>
    <t>40730-0000-000</t>
  </si>
  <si>
    <t xml:space="preserve">     NSF Fee</t>
  </si>
  <si>
    <t xml:space="preserve">     Key Charge</t>
  </si>
  <si>
    <t xml:space="preserve">     Lock Out Charge</t>
  </si>
  <si>
    <t xml:space="preserve">     Legal Fees</t>
  </si>
  <si>
    <t xml:space="preserve">     Late Charge</t>
  </si>
  <si>
    <t xml:space="preserve">     Storage fee</t>
  </si>
  <si>
    <t xml:space="preserve">     Resident Referral</t>
  </si>
  <si>
    <t xml:space="preserve">     Monthly Concessions IL</t>
  </si>
  <si>
    <t xml:space="preserve">     Lump Sum Discounts IL</t>
  </si>
  <si>
    <t xml:space="preserve">     Vacancy Loss</t>
  </si>
  <si>
    <t xml:space="preserve">     Loss / Gain to Lease</t>
  </si>
  <si>
    <t xml:space="preserve">     HAP Rent</t>
  </si>
  <si>
    <t xml:space="preserve">     Subsidy Rent</t>
  </si>
  <si>
    <t xml:space="preserve">     Tenant Rent - Actual</t>
  </si>
  <si>
    <t xml:space="preserve">     Gross Potential Rent</t>
  </si>
  <si>
    <t>1066</t>
  </si>
  <si>
    <t>1065</t>
  </si>
  <si>
    <t>1064</t>
  </si>
  <si>
    <t>1062</t>
  </si>
  <si>
    <t>1059</t>
  </si>
  <si>
    <t>1057</t>
  </si>
  <si>
    <t>1056</t>
  </si>
  <si>
    <t>1055</t>
  </si>
  <si>
    <t>1054</t>
  </si>
  <si>
    <t>1052</t>
  </si>
  <si>
    <t>1050</t>
  </si>
  <si>
    <t>1049</t>
  </si>
  <si>
    <t>1047</t>
  </si>
  <si>
    <t>1045</t>
  </si>
  <si>
    <t>1044</t>
  </si>
  <si>
    <t>1043</t>
  </si>
  <si>
    <t>1040</t>
  </si>
  <si>
    <t>1035</t>
  </si>
  <si>
    <t>1033</t>
  </si>
  <si>
    <t>1032</t>
  </si>
  <si>
    <t>1031</t>
  </si>
  <si>
    <t>1029</t>
  </si>
  <si>
    <t>1027</t>
  </si>
  <si>
    <t>1026</t>
  </si>
  <si>
    <t>1022</t>
  </si>
  <si>
    <t>1018</t>
  </si>
  <si>
    <t>1017</t>
  </si>
  <si>
    <t>1014</t>
  </si>
  <si>
    <t>1013</t>
  </si>
  <si>
    <t>1011</t>
  </si>
  <si>
    <t>1009</t>
  </si>
  <si>
    <t>1006</t>
  </si>
  <si>
    <t>1004</t>
  </si>
  <si>
    <t>1002</t>
  </si>
  <si>
    <t>1001</t>
  </si>
  <si>
    <t>Book = Accrual ; Tree = ysi_is</t>
  </si>
  <si>
    <t>Property Comparison</t>
  </si>
  <si>
    <t>30050-0000-010</t>
  </si>
  <si>
    <t>26120-0000-010</t>
  </si>
  <si>
    <t>25435-0000-010</t>
  </si>
  <si>
    <t>25435-0000-000</t>
  </si>
  <si>
    <t>20651-0000-000</t>
  </si>
  <si>
    <t>20650-0000-010</t>
  </si>
  <si>
    <t>20650-0000-000</t>
  </si>
  <si>
    <t>20635-0000-010</t>
  </si>
  <si>
    <t>20635-0000-000</t>
  </si>
  <si>
    <t>18509-0000-000</t>
  </si>
  <si>
    <t>18121-0000-000</t>
  </si>
  <si>
    <t>15424-0000-000</t>
  </si>
  <si>
    <t>13201-0000-000</t>
  </si>
  <si>
    <t>13030-0000-010</t>
  </si>
  <si>
    <t>12720-0000-000</t>
  </si>
  <si>
    <t>The Reserve at Somerset Commons</t>
  </si>
  <si>
    <t>Bladensburg Commons</t>
  </si>
  <si>
    <t>The Residences at Highland Commons</t>
  </si>
  <si>
    <t>Park View at Laurel II</t>
  </si>
  <si>
    <t>Cambridge Commons</t>
  </si>
  <si>
    <t>Park View at Ellicott City</t>
  </si>
  <si>
    <t>Park View at Colonial Landing</t>
  </si>
  <si>
    <t>Park View at Bladensburg</t>
  </si>
  <si>
    <t>EHI Only</t>
  </si>
  <si>
    <t>York Commons</t>
  </si>
  <si>
    <t>Westbrook Commons</t>
  </si>
  <si>
    <t>Park View at Towson</t>
  </si>
  <si>
    <t>Park View at South Pantops</t>
  </si>
  <si>
    <t>Park View at Severna Park</t>
  </si>
  <si>
    <t>Park View at Miramar Landing</t>
  </si>
  <si>
    <t>Park View at Laurel I</t>
  </si>
  <si>
    <t>Park View at Emerson</t>
  </si>
  <si>
    <t>Park View at Columbia</t>
  </si>
  <si>
    <t>Park View at Cheltenham</t>
  </si>
  <si>
    <t>Highland Commons</t>
  </si>
  <si>
    <t>Park View at Snowden River</t>
  </si>
  <si>
    <t>Park View at Rosedale</t>
  </si>
  <si>
    <t>Park View at Randallstown</t>
  </si>
  <si>
    <t>Park View at Fullerton</t>
  </si>
  <si>
    <t>Park View at Catonsville</t>
  </si>
  <si>
    <t>Park View at Ashland Terrace</t>
  </si>
  <si>
    <t>Ashland Commons</t>
  </si>
  <si>
    <t>Park View at Easton</t>
  </si>
  <si>
    <t>Park View at Bethlehem</t>
  </si>
  <si>
    <t>Somerset Commons</t>
  </si>
  <si>
    <t>Park View at Tyler Run</t>
  </si>
  <si>
    <t>Park View at Naaman's Creek</t>
  </si>
  <si>
    <t>Park View at Manchester Heights</t>
  </si>
  <si>
    <t>Park View at Bel Air</t>
  </si>
  <si>
    <t>Park View at Box Hill</t>
  </si>
  <si>
    <t>Park View at Oak Crest</t>
  </si>
  <si>
    <t>Park View at Ellicott City II</t>
  </si>
  <si>
    <t>College Parkway Place</t>
  </si>
  <si>
    <t>Woodbridge Commons</t>
  </si>
  <si>
    <t>Park View at Woodlawn</t>
  </si>
  <si>
    <t>Park View at Coldspring</t>
  </si>
  <si>
    <t>Hickory Ridge</t>
  </si>
  <si>
    <t>Park View at Taylor</t>
  </si>
  <si>
    <t>Park View at Furnace Branch</t>
  </si>
  <si>
    <t>TIAA</t>
  </si>
  <si>
    <t>Code</t>
  </si>
  <si>
    <t>Property</t>
  </si>
  <si>
    <t>Limited Partner 2 - Distributions</t>
  </si>
  <si>
    <t>Limited Partner 2 - Capital</t>
  </si>
  <si>
    <t>30050-0000-000</t>
  </si>
  <si>
    <t>General Partner 1 - Contributions</t>
  </si>
  <si>
    <t>30010-0000-020</t>
  </si>
  <si>
    <t>SWAP Liability</t>
  </si>
  <si>
    <t>26500-0000-000</t>
  </si>
  <si>
    <t>Loans Payable-Other</t>
  </si>
  <si>
    <t>26405-0000-000</t>
  </si>
  <si>
    <t>Loans Payable-Loan 7 payments</t>
  </si>
  <si>
    <t>Loans Payable-Loan 7</t>
  </si>
  <si>
    <t>26120-0000-000</t>
  </si>
  <si>
    <t>Interest Payments for Loan 7</t>
  </si>
  <si>
    <t>Interest Payable for Loan 7</t>
  </si>
  <si>
    <t>DTF Loans - Shelter Development LLC</t>
  </si>
  <si>
    <t>22100-0100-000</t>
  </si>
  <si>
    <t>Accrued Expense - Deferred Ground Lease SC</t>
  </si>
  <si>
    <t>Accrued Expense - Ground Lease SC Payments</t>
  </si>
  <si>
    <t>Accrued Expense - Ground Lease Surplus Cash</t>
  </si>
  <si>
    <t>Accrued Expenses - Asset Management Fees - Payment</t>
  </si>
  <si>
    <t>Accrued Expenses - Asset Management Fees - Surplus Cash</t>
  </si>
  <si>
    <t>Accumulated Amortization-Acquisition Costs</t>
  </si>
  <si>
    <t>Acquisition Costs</t>
  </si>
  <si>
    <t>18124-0000-000</t>
  </si>
  <si>
    <t>Syndication Costs</t>
  </si>
  <si>
    <t>Debt Costs-Appraisal</t>
  </si>
  <si>
    <t>18112-0000-000</t>
  </si>
  <si>
    <t>Furniture and Fixtures-Construction</t>
  </si>
  <si>
    <t>Furniture and Fixtures-Window Coverings</t>
  </si>
  <si>
    <t>15415-0000-000</t>
  </si>
  <si>
    <t>Furniture and Fixtures-Office</t>
  </si>
  <si>
    <t>15409-0000-000</t>
  </si>
  <si>
    <t>Equipment-Construction</t>
  </si>
  <si>
    <t>15339-0000-000</t>
  </si>
  <si>
    <t>Buildings-Kitchen Reno/Repl/Upgrades</t>
  </si>
  <si>
    <t>15236-0000-000</t>
  </si>
  <si>
    <t>Land Improvement-Fences</t>
  </si>
  <si>
    <t>15130-0000-000</t>
  </si>
  <si>
    <t>Cash-Restricted</t>
  </si>
  <si>
    <t>Reserves for Replacement-Supplemental-Deposits</t>
  </si>
  <si>
    <t>Prepaid expense-Utilities</t>
  </si>
  <si>
    <t>Total Expenses</t>
  </si>
  <si>
    <t>Total</t>
  </si>
  <si>
    <t>Asset Management Fee - Payments</t>
  </si>
  <si>
    <t>81050-0000-020</t>
  </si>
  <si>
    <t>Asset Management Fees - Surplus Cash</t>
  </si>
  <si>
    <t>Partnership Administration Fees - Surplus Cash</t>
  </si>
  <si>
    <t>Supervisory Management Fees - Surplus Cash</t>
  </si>
  <si>
    <t>Partnership Management Fees - Surplus Cash</t>
  </si>
  <si>
    <t>Incentive Management Fees - Surplus Cash</t>
  </si>
  <si>
    <t>Investor Service Fee - Surplus Cash</t>
  </si>
  <si>
    <t>Max PILOT Expense - Surplus Cash</t>
  </si>
  <si>
    <t>Interest - Surplus Cash</t>
  </si>
  <si>
    <t>Interest - loans - HOLD 1</t>
  </si>
  <si>
    <t>Interest Loans 7</t>
  </si>
  <si>
    <t>Interest Loans 6</t>
  </si>
  <si>
    <t>Interest Loans 5</t>
  </si>
  <si>
    <t>Interest Loans 4</t>
  </si>
  <si>
    <t>Ground Rent - Surplus Cash</t>
  </si>
  <si>
    <t>Depreciation</t>
  </si>
  <si>
    <t>Amortization</t>
  </si>
  <si>
    <t>MI - Life Safety</t>
  </si>
  <si>
    <t>MI - Other Improvements</t>
  </si>
  <si>
    <t>MI - Counters</t>
  </si>
  <si>
    <t>MI - ADA Compliance and Repairs</t>
  </si>
  <si>
    <t>73385-0000-000</t>
  </si>
  <si>
    <t>MI - Unit Upgrades/Kitchen</t>
  </si>
  <si>
    <t>MI - Unit Upgrades/Bathroom</t>
  </si>
  <si>
    <t>MI - Appliances</t>
  </si>
  <si>
    <t>MI - Computer Hardware</t>
  </si>
  <si>
    <t>73370-0000-000</t>
  </si>
  <si>
    <t>MI - Computer Software</t>
  </si>
  <si>
    <t>73365-0000-000</t>
  </si>
  <si>
    <t>MI - Vehicle and Equipment</t>
  </si>
  <si>
    <t>MI - Office</t>
  </si>
  <si>
    <t>73355-0000-000</t>
  </si>
  <si>
    <t>MI - Model</t>
  </si>
  <si>
    <t>73350-0000-000</t>
  </si>
  <si>
    <t>MI - Resident Common Space</t>
  </si>
  <si>
    <t>MI - Fitness/Exercise</t>
  </si>
  <si>
    <t>MI - Pool and Spa</t>
  </si>
  <si>
    <t>73335-0000-000</t>
  </si>
  <si>
    <t>MI - Compactors Dumpsters</t>
  </si>
  <si>
    <t>73330-0000-000</t>
  </si>
  <si>
    <t>MI - Roofing</t>
  </si>
  <si>
    <t>73325-0000-000</t>
  </si>
  <si>
    <t>MI - Plumbing</t>
  </si>
  <si>
    <t>MI - HVAC/Boilers</t>
  </si>
  <si>
    <t>MI - Lighting</t>
  </si>
  <si>
    <t>MI - Electrical</t>
  </si>
  <si>
    <t>MI - Painting - Exterior</t>
  </si>
  <si>
    <t>73300-0000-000</t>
  </si>
  <si>
    <t>MI - Painting - Interior</t>
  </si>
  <si>
    <t>73295-0000-000</t>
  </si>
  <si>
    <t>MI - Decks and Balconies</t>
  </si>
  <si>
    <t>73290-0000-000</t>
  </si>
  <si>
    <t>MI - Carpentry/Drywall/Ceilings</t>
  </si>
  <si>
    <t>MI - Windows/Doors</t>
  </si>
  <si>
    <t>MI - Stairs and Landings</t>
  </si>
  <si>
    <t>MI - Siding/Exterior Skin</t>
  </si>
  <si>
    <t>73270-0000-000</t>
  </si>
  <si>
    <t>MI - Gutters/Downspouts</t>
  </si>
  <si>
    <t>73265-0000-000</t>
  </si>
  <si>
    <t>MI - Fire System (Sprinkler/Fire Alarm)</t>
  </si>
  <si>
    <t>MI - Security System</t>
  </si>
  <si>
    <t>MI - Elevator</t>
  </si>
  <si>
    <t>MI - Carpet/Flooring/Tile - Common Area</t>
  </si>
  <si>
    <t>MI - Drainage/Waterproofing</t>
  </si>
  <si>
    <t>73230-0000-000</t>
  </si>
  <si>
    <t>MI - Fences/Gates</t>
  </si>
  <si>
    <t>73225-0000-000</t>
  </si>
  <si>
    <t>MI - Paving</t>
  </si>
  <si>
    <t>73220-0000-000</t>
  </si>
  <si>
    <t>MI - Signage</t>
  </si>
  <si>
    <t>MI - Concrete/Sidewalks</t>
  </si>
  <si>
    <t>MI - Landscaping/Irrigation</t>
  </si>
  <si>
    <t>RCR - Occupied Painting/Drywall</t>
  </si>
  <si>
    <t>73060-0000-000</t>
  </si>
  <si>
    <t>RCR - Contra Recurring Replacements</t>
  </si>
  <si>
    <t>73055-0000-000</t>
  </si>
  <si>
    <t>RCR - Recurring Other</t>
  </si>
  <si>
    <t>RCR - Dishwashers</t>
  </si>
  <si>
    <t>73045-0000-000</t>
  </si>
  <si>
    <t>RCR - Washer/Dryer</t>
  </si>
  <si>
    <t>RCR - Window Coverings</t>
  </si>
  <si>
    <t>RCR - Refrigerators</t>
  </si>
  <si>
    <t>RCR - HVAC/Condensers/Air Handlers</t>
  </si>
  <si>
    <t>RCR - Water Heaters</t>
  </si>
  <si>
    <t>RCR - Ovens/Ranges/Hoods</t>
  </si>
  <si>
    <t>RCR - Flooring</t>
  </si>
  <si>
    <t>RCR - Carpet</t>
  </si>
  <si>
    <t>Other financing costs</t>
  </si>
  <si>
    <t>Other service fees</t>
  </si>
  <si>
    <t>Lender service fees</t>
  </si>
  <si>
    <t>Partnership management fee</t>
  </si>
  <si>
    <t>71204-0000-000</t>
  </si>
  <si>
    <t>Investor services fees operations</t>
  </si>
  <si>
    <t>Interest - security deposit refunds</t>
  </si>
  <si>
    <t>Interest Loans 3</t>
  </si>
  <si>
    <t>Interest Loans 2</t>
  </si>
  <si>
    <t>Interest Loans 1</t>
  </si>
  <si>
    <t>Taxes - Other</t>
  </si>
  <si>
    <t>Personal property tax</t>
  </si>
  <si>
    <t>Real Estate tax -Minimum Pilot</t>
  </si>
  <si>
    <t>Real estate tax</t>
  </si>
  <si>
    <t>Insurance - Workers compensation</t>
  </si>
  <si>
    <t>Insurance - Property and liability</t>
  </si>
  <si>
    <t>Donations</t>
  </si>
  <si>
    <t>Management fee - Base</t>
  </si>
  <si>
    <t>Compliance</t>
  </si>
  <si>
    <t>Accounting services</t>
  </si>
  <si>
    <t>Other professional fees</t>
  </si>
  <si>
    <t>Consulting - Compliance</t>
  </si>
  <si>
    <t>65150-0000-000</t>
  </si>
  <si>
    <t>Consulting - Other</t>
  </si>
  <si>
    <t>Legal - Operations</t>
  </si>
  <si>
    <t>Legal</t>
  </si>
  <si>
    <t>Audit and tax</t>
  </si>
  <si>
    <t>Supplies - Office</t>
  </si>
  <si>
    <t>Travel expense</t>
  </si>
  <si>
    <t>Mileage reimbursement</t>
  </si>
  <si>
    <t>Mileage Reimbursement</t>
  </si>
  <si>
    <t>Meals and entertainment</t>
  </si>
  <si>
    <t>Beverages and Snacks</t>
  </si>
  <si>
    <t>Employment Fees</t>
  </si>
  <si>
    <t>64450-9150-003</t>
  </si>
  <si>
    <t>Help wanted advertisements</t>
  </si>
  <si>
    <t>64450-9150-001</t>
  </si>
  <si>
    <t>Education - Training Hours</t>
  </si>
  <si>
    <t>64400-9150-997</t>
  </si>
  <si>
    <t>Education and Seminars</t>
  </si>
  <si>
    <t>Dues-professional memberships</t>
  </si>
  <si>
    <t>Dues and subscriptions</t>
  </si>
  <si>
    <t>Employee Events</t>
  </si>
  <si>
    <t>64250-9150-023</t>
  </si>
  <si>
    <t>Other Miscellaneous Personnel Costs</t>
  </si>
  <si>
    <t>Leased equipment</t>
  </si>
  <si>
    <t>64150-9150-005</t>
  </si>
  <si>
    <t>Copier Maintenance</t>
  </si>
  <si>
    <t>Copier Lease</t>
  </si>
  <si>
    <t>Computer - Supplies</t>
  </si>
  <si>
    <t>Computer software</t>
  </si>
  <si>
    <t>64100-9150-013</t>
  </si>
  <si>
    <t>Computer Costs - Yardi PAYSCAN</t>
  </si>
  <si>
    <t>Computer Costs - Yardi</t>
  </si>
  <si>
    <t>Computer Consultants</t>
  </si>
  <si>
    <t>Computer maintenance</t>
  </si>
  <si>
    <t>Uniforms and Tags</t>
  </si>
  <si>
    <t>Security System</t>
  </si>
  <si>
    <t>Locator fees</t>
  </si>
  <si>
    <t>Banners and flags</t>
  </si>
  <si>
    <t>64054-9150-000</t>
  </si>
  <si>
    <t>Stationary and Printing</t>
  </si>
  <si>
    <t>Overnight and Messenger</t>
  </si>
  <si>
    <t>Postage and shipping</t>
  </si>
  <si>
    <t>Miscellaneous expense</t>
  </si>
  <si>
    <t>License and permits</t>
  </si>
  <si>
    <t>Homeowners association fees</t>
  </si>
  <si>
    <t>Gasoline and fuel</t>
  </si>
  <si>
    <t>Cakes/Flowers Gifts</t>
  </si>
  <si>
    <t>Bank fees - operating</t>
  </si>
  <si>
    <t>Bank fees - non-operating</t>
  </si>
  <si>
    <t>Bad Debt - Ancillary Charges</t>
  </si>
  <si>
    <t>Bad Debt - Adjustments</t>
  </si>
  <si>
    <t>Bad Debt - direct write offs</t>
  </si>
  <si>
    <t>Background checks</t>
  </si>
  <si>
    <t>Answering service</t>
  </si>
  <si>
    <t>Advertising - Print Ads</t>
  </si>
  <si>
    <t>Signs / Banners</t>
  </si>
  <si>
    <t>Seminars and networking</t>
  </si>
  <si>
    <t>Marketing Outreach</t>
  </si>
  <si>
    <t>Referral fees</t>
  </si>
  <si>
    <t>Brochures</t>
  </si>
  <si>
    <t>63030-9150-000</t>
  </si>
  <si>
    <t>Shopping reports</t>
  </si>
  <si>
    <t>Internet Fees</t>
  </si>
  <si>
    <t>Advertising - Yellow pages</t>
  </si>
  <si>
    <t>Advertising - Miscellaneous</t>
  </si>
  <si>
    <t>Advertising - Special Events and Promotions</t>
  </si>
  <si>
    <t>63009-9150-000</t>
  </si>
  <si>
    <t>Utilities - Electric - reimbursements</t>
  </si>
  <si>
    <t>Utilities - Electric/Gas/Oil - Apartments</t>
  </si>
  <si>
    <t>Utilities - Cable Television</t>
  </si>
  <si>
    <t>Utilities - Teleconference</t>
  </si>
  <si>
    <t>62530-0000-000</t>
  </si>
  <si>
    <t>Utilities - Internet</t>
  </si>
  <si>
    <t>Utilities - Telephone - cellular</t>
  </si>
  <si>
    <t>Utilities - Telephone - Remote</t>
  </si>
  <si>
    <t>62518-0000-000</t>
  </si>
  <si>
    <t>Utilities - Telephone</t>
  </si>
  <si>
    <t>Utilities - Water and Sewer</t>
  </si>
  <si>
    <t>Utilities - Gas and oil - public service</t>
  </si>
  <si>
    <t>Utilities - Electric - public service</t>
  </si>
  <si>
    <t>Turnover Costs - Miscellaneous</t>
  </si>
  <si>
    <t>Turnover Costs - Drywall</t>
  </si>
  <si>
    <t>Turnover Costs - Cleaning</t>
  </si>
  <si>
    <t>Turnover Costs - Paint</t>
  </si>
  <si>
    <t>Turnover Costs - Carpet and Flooring</t>
  </si>
  <si>
    <t>Contract Services - Uniforms</t>
  </si>
  <si>
    <t>Contract Services - Sprinklers</t>
  </si>
  <si>
    <t>Contract Services - Security</t>
  </si>
  <si>
    <t>Contract Services - Pool</t>
  </si>
  <si>
    <t>Contract Services - Plumbing</t>
  </si>
  <si>
    <t>Contract Services - Miscellaneous</t>
  </si>
  <si>
    <t>Contract Services - Electric</t>
  </si>
  <si>
    <t>62245-9140-000</t>
  </si>
  <si>
    <t>Contract Services - Appliances</t>
  </si>
  <si>
    <t>62242-9140-000</t>
  </si>
  <si>
    <t>Contract Services - Extermination</t>
  </si>
  <si>
    <t>Contract Services - HVAC</t>
  </si>
  <si>
    <t>Contract Services - Building cleaning</t>
  </si>
  <si>
    <t>Contract Services - Fire system</t>
  </si>
  <si>
    <t>Contract Services - Elevator</t>
  </si>
  <si>
    <t>Contract Services - Doors</t>
  </si>
  <si>
    <t>62211-9140-000</t>
  </si>
  <si>
    <t>Contract Services - Snow removal</t>
  </si>
  <si>
    <t>62209-9140-000</t>
  </si>
  <si>
    <t>Contract Services - Trash removal</t>
  </si>
  <si>
    <t>Contract Services - Landscape</t>
  </si>
  <si>
    <t>Repairs and Maintenance - Hardware Supplies</t>
  </si>
  <si>
    <t>Repairs and Maintenance - Elevator/Escalators</t>
  </si>
  <si>
    <t>Repairs and Maintenance - Small tools</t>
  </si>
  <si>
    <t>Repairs and Maintenance - Safety</t>
  </si>
  <si>
    <t>Repairs and Maintenance - Keys and locks</t>
  </si>
  <si>
    <t>Repairs and Maintenance - Janitorial</t>
  </si>
  <si>
    <t>Repairs and Maintenance - Supplies</t>
  </si>
  <si>
    <t>Repairs and Maintenance - Windows and doors</t>
  </si>
  <si>
    <t>Repairs and Maintenance - Roof</t>
  </si>
  <si>
    <t>Repairs and Maintenance - Pool and Spa</t>
  </si>
  <si>
    <t>62157-9140-000</t>
  </si>
  <si>
    <t>Repairs and Maintenance - Pool</t>
  </si>
  <si>
    <t>62154-9140-000</t>
  </si>
  <si>
    <t>Repairs and Maintenance - Paving and walkways</t>
  </si>
  <si>
    <t>62148-9140-000</t>
  </si>
  <si>
    <t>Repairs and Maintenance - Other</t>
  </si>
  <si>
    <t>Repairs and Maintenance - Lighting</t>
  </si>
  <si>
    <t>Repairs and Maintenance - Carpentry</t>
  </si>
  <si>
    <t>62139-9140-000</t>
  </si>
  <si>
    <t>Repairs and Maintenance - Building interiors other</t>
  </si>
  <si>
    <t>Repairs and Maintenance - Building exterior other</t>
  </si>
  <si>
    <t>Repairs and Maintenance - Appliances</t>
  </si>
  <si>
    <t>Repairs and Maintenance - Equipment</t>
  </si>
  <si>
    <t>Repairs and Maintenance - Carpet and Flooring</t>
  </si>
  <si>
    <t>Repairs and Maintenance - Fire systems</t>
  </si>
  <si>
    <t>Repairs and Maintenance - Landscaping</t>
  </si>
  <si>
    <t>Repairs and Maintenance - Electrical</t>
  </si>
  <si>
    <t>Repairs and Maintenance - Plumbing</t>
  </si>
  <si>
    <t>Repairs and Maintenance - Painting</t>
  </si>
  <si>
    <t>Repairs and Maintenance - HVAC</t>
  </si>
  <si>
    <t>Transportation costs</t>
  </si>
  <si>
    <t>Resident services - food</t>
  </si>
  <si>
    <t>Resident services</t>
  </si>
  <si>
    <t>Resident promotional expense</t>
  </si>
  <si>
    <t>Newsletter</t>
  </si>
  <si>
    <t>Computer lab</t>
  </si>
  <si>
    <t>60346-9120-000</t>
  </si>
  <si>
    <t>Employee Relations/Recognition</t>
  </si>
  <si>
    <t>Temporary Help</t>
  </si>
  <si>
    <t>Payroll Processing Fees</t>
  </si>
  <si>
    <t>50240-9150-001</t>
  </si>
  <si>
    <t>401K Contribution</t>
  </si>
  <si>
    <t>Quarters Allowance - R/M Properties</t>
  </si>
  <si>
    <t>Insurance - G/A Properties</t>
  </si>
  <si>
    <t>Insurance - R/M Properties</t>
  </si>
  <si>
    <t>Tax - G/A Properties</t>
  </si>
  <si>
    <t>Tax - R/M Properties</t>
  </si>
  <si>
    <t>BONUS - G/A Properties</t>
  </si>
  <si>
    <t>BONUS - R/M Properties</t>
  </si>
  <si>
    <t>Salary - Bus / Van Driver</t>
  </si>
  <si>
    <t>Salary - Resident Svc Associate</t>
  </si>
  <si>
    <t>Salary - Resident Svc Coordinator</t>
  </si>
  <si>
    <t>Salary - Leasing Consultant</t>
  </si>
  <si>
    <t>Salary - Asst Property Mgr</t>
  </si>
  <si>
    <t>Salary - Property Manager</t>
  </si>
  <si>
    <t>Salary - District Manager</t>
  </si>
  <si>
    <t>Salary - Senior Property Manager</t>
  </si>
  <si>
    <t>Salary - Porter</t>
  </si>
  <si>
    <t>Salary - Maintenance Apprentice</t>
  </si>
  <si>
    <t>Salary - Maintenance Technician</t>
  </si>
  <si>
    <t>Salary - Senior Maintenance Manager</t>
  </si>
  <si>
    <t>Salary - Maintenance Supervisor</t>
  </si>
  <si>
    <t>Interest income - Escrows and Reserves</t>
  </si>
  <si>
    <t>Interest income - Operating Reserve Fund</t>
  </si>
  <si>
    <t>Interest income - Trust and Reserve Funds</t>
  </si>
  <si>
    <t>45118-0000-000</t>
  </si>
  <si>
    <t>Interest income - Other</t>
  </si>
  <si>
    <t>45112-0000-000</t>
  </si>
  <si>
    <t>Interest income - Security Deposit</t>
  </si>
  <si>
    <t>Grant Income - Grant 1</t>
  </si>
  <si>
    <t>44200-0000-000</t>
  </si>
  <si>
    <t>Cleaning and Administrative Fee</t>
  </si>
  <si>
    <t>Miscellaneous revenue</t>
  </si>
  <si>
    <t>Expense Recovery</t>
  </si>
  <si>
    <t>44118-0000-000</t>
  </si>
  <si>
    <t>Bad Debt Recovery</t>
  </si>
  <si>
    <t>Cable revenue</t>
  </si>
  <si>
    <t>Vending revenue</t>
  </si>
  <si>
    <t>44088-0000-000</t>
  </si>
  <si>
    <t>Redecorate Fee</t>
  </si>
  <si>
    <t>44073-0000-000</t>
  </si>
  <si>
    <t>Maintenance Charge</t>
  </si>
  <si>
    <t>Damage Charge</t>
  </si>
  <si>
    <t>Rent Responsibility</t>
  </si>
  <si>
    <t>Utility Charge</t>
  </si>
  <si>
    <t>Court Costs</t>
  </si>
  <si>
    <t>New Carpet</t>
  </si>
  <si>
    <t>Coin Operated Laundry</t>
  </si>
  <si>
    <t>Application fee</t>
  </si>
  <si>
    <t>Resident Service Income</t>
  </si>
  <si>
    <t>44013-0000-000</t>
  </si>
  <si>
    <t>Special Claims Income - HuD</t>
  </si>
  <si>
    <t>44010-0000-000</t>
  </si>
  <si>
    <t>Transfer Fee</t>
  </si>
  <si>
    <t>40739-0000-000</t>
  </si>
  <si>
    <t>Pet Fee</t>
  </si>
  <si>
    <t>Vehicle Parking  Income</t>
  </si>
  <si>
    <t>40727-0000-000</t>
  </si>
  <si>
    <t>NSF Fee</t>
  </si>
  <si>
    <t>Key Charge</t>
  </si>
  <si>
    <t>Lock Out Charge</t>
  </si>
  <si>
    <t>Legal Fees</t>
  </si>
  <si>
    <t>Late Charge</t>
  </si>
  <si>
    <t>Storage fee</t>
  </si>
  <si>
    <t>Resident Referral</t>
  </si>
  <si>
    <t>Monthly Concessions IL</t>
  </si>
  <si>
    <t>Lump Sum Discounts IL</t>
  </si>
  <si>
    <t>Vacancy Loss</t>
  </si>
  <si>
    <t>Gross Potential Rent - Adjustments</t>
  </si>
  <si>
    <t>40170-0000-000</t>
  </si>
  <si>
    <t>Loss / Gain to Lease</t>
  </si>
  <si>
    <t>HAP Rent</t>
  </si>
  <si>
    <t>Subsidy Rent</t>
  </si>
  <si>
    <t>Tenant Rent - Actual</t>
  </si>
  <si>
    <t>Gross Potential Rent</t>
  </si>
  <si>
    <t>Book = Accrual ; Tree = ysi_tb</t>
  </si>
  <si>
    <t>Property Comparison(TB)</t>
  </si>
  <si>
    <t>TIAA (.tiaa)</t>
  </si>
  <si>
    <t>Period = Aug 2017-Dec 2017</t>
  </si>
  <si>
    <t xml:space="preserve">     Gross Potential Rent - Adjustments</t>
  </si>
  <si>
    <t xml:space="preserve">     Special Claims Income - HuD</t>
  </si>
  <si>
    <t xml:space="preserve">     Resident Service Income</t>
  </si>
  <si>
    <t xml:space="preserve">     Vending revenue</t>
  </si>
  <si>
    <t xml:space="preserve">     Grant Income - Grant 1</t>
  </si>
  <si>
    <t xml:space="preserve">     Interest income - Trust and Reserve Funds</t>
  </si>
  <si>
    <t>50130-9008-000</t>
  </si>
  <si>
    <t xml:space="preserve">     Tax - Operations</t>
  </si>
  <si>
    <t xml:space="preserve">     Payroll Processing Fees</t>
  </si>
  <si>
    <t>50250-9001-000</t>
  </si>
  <si>
    <t>50300-9150-001</t>
  </si>
  <si>
    <t xml:space="preserve">     Other Benefit Expense</t>
  </si>
  <si>
    <t xml:space="preserve">     Repairs and Maintenance - Carpentry</t>
  </si>
  <si>
    <t xml:space="preserve">     Repairs and Maintenance - Paving and walkways</t>
  </si>
  <si>
    <t xml:space="preserve">     Repairs and Maintenance - Pool</t>
  </si>
  <si>
    <t xml:space="preserve">     Contract Services - Snow removal</t>
  </si>
  <si>
    <t xml:space="preserve">     Contract Services - Doors</t>
  </si>
  <si>
    <t>62224-9140-000</t>
  </si>
  <si>
    <t xml:space="preserve">     Contract Services - Boilers</t>
  </si>
  <si>
    <t xml:space="preserve">     Contract Services - Appliances</t>
  </si>
  <si>
    <t xml:space="preserve">     Contract Services - Electric</t>
  </si>
  <si>
    <t xml:space="preserve">     Advertising - Special Events and Promotions</t>
  </si>
  <si>
    <t xml:space="preserve">     Brochures</t>
  </si>
  <si>
    <t>63160-9004-000</t>
  </si>
  <si>
    <t xml:space="preserve">     Marketing Supplies</t>
  </si>
  <si>
    <t>64100-9150-005</t>
  </si>
  <si>
    <t xml:space="preserve">     Computer Costs - IS</t>
  </si>
  <si>
    <t xml:space="preserve">     Employee Events</t>
  </si>
  <si>
    <t>64300-9001-000</t>
  </si>
  <si>
    <t xml:space="preserve">     Help wanted advertisements</t>
  </si>
  <si>
    <t>64500-9150-000</t>
  </si>
  <si>
    <t>64750-9001-000</t>
  </si>
  <si>
    <t xml:space="preserve">     Supplies</t>
  </si>
  <si>
    <t xml:space="preserve">     RCR - Dishwashers</t>
  </si>
  <si>
    <t xml:space="preserve">     RCR - Contra Recurring Replacements</t>
  </si>
  <si>
    <t xml:space="preserve">     RCR - Occupied Painting/Drywall</t>
  </si>
  <si>
    <t xml:space="preserve">     MI - Paving</t>
  </si>
  <si>
    <t xml:space="preserve">     MI - Fences/Gates</t>
  </si>
  <si>
    <t xml:space="preserve">     MI - Gutters/Downspouts</t>
  </si>
  <si>
    <t xml:space="preserve">     MI - Siding/Exterior Skin</t>
  </si>
  <si>
    <t xml:space="preserve">     MI - Painting - Interior</t>
  </si>
  <si>
    <t xml:space="preserve">     MI - Roofing</t>
  </si>
  <si>
    <t xml:space="preserve">     MI - Compactors Dumpsters</t>
  </si>
  <si>
    <t xml:space="preserve">     MI - Office</t>
  </si>
  <si>
    <t xml:space="preserve">     MI - Computer Hardware</t>
  </si>
  <si>
    <t xml:space="preserve">     MI - ADA Compliance and Repairs</t>
  </si>
  <si>
    <t>78100-0000-000</t>
  </si>
  <si>
    <t xml:space="preserve">     Gain or Loss on SWAP Valuation</t>
  </si>
  <si>
    <t>Period = Dec 2017</t>
  </si>
  <si>
    <t>11140-0000-000</t>
  </si>
  <si>
    <t>Cash-Other</t>
  </si>
  <si>
    <t>15671-0000-000</t>
  </si>
  <si>
    <t>CIP - Electrical/Lighting</t>
  </si>
  <si>
    <t>20410-0000-000</t>
  </si>
  <si>
    <t>Loan 2 Current Maturities</t>
  </si>
  <si>
    <t>21009-0000-010</t>
  </si>
  <si>
    <t>Suspense Clearing - HAP</t>
  </si>
  <si>
    <t>22300-0001-000</t>
  </si>
  <si>
    <t>DTF All - The Shelter Group</t>
  </si>
  <si>
    <t>25315-0000-000</t>
  </si>
  <si>
    <t>Interest Payable-Loan 3</t>
  </si>
  <si>
    <t>Tax - Operations</t>
  </si>
  <si>
    <t>Other Benefit Expense</t>
  </si>
  <si>
    <t>Contract Services - Boilers</t>
  </si>
  <si>
    <t>Marketing Supplies</t>
  </si>
  <si>
    <t>64040-0000-000</t>
  </si>
  <si>
    <t>Computer Costs - IS</t>
  </si>
  <si>
    <t>Supplies</t>
  </si>
  <si>
    <t>Gain or Loss on SWAP Valuation</t>
  </si>
  <si>
    <t>Verified PL/ 1/1 to 12/31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</si>
</sst>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0.000000%"/>
    <numFmt numFmtId="166" formatCode="m/d/yy;@"/>
    <numFmt numFmtId="167" formatCode="[$-409]mmmm\ d\,\ yyyy;@"/>
    <numFmt numFmtId="168" formatCode="[$-409]m/d/yy\ \ \ h:mm\ AM/PM;@"/>
  </numFmts>
  <fonts count="47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u/>
      <sz val="10"/>
      <name val="Arial"/>
      <family val="2"/>
    </font>
    <font>
      <u val="singleAccounting"/>
      <sz val="10"/>
      <name val="Arial"/>
      <family val="2"/>
    </font>
    <font>
      <u val="doubleAccounting"/>
      <sz val="10"/>
      <name val="Arial"/>
      <family val="2"/>
    </font>
    <font>
      <b/>
      <sz val="8"/>
      <name val="Arial"/>
      <family val="2"/>
    </font>
    <font>
      <sz val="10"/>
      <color indexed="8"/>
      <name val="MS Sans Serif"/>
      <family val="2"/>
    </font>
    <font>
      <sz val="10"/>
      <color indexed="8"/>
      <name val="Arial"/>
      <family val="2"/>
    </font>
    <font>
      <b/>
      <u/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8"/>
      <color indexed="8"/>
      <name val="ARIAL"/>
      <family val="2"/>
    </font>
    <font>
      <sz val="11"/>
      <color indexed="8"/>
      <name val="Arial"/>
      <family val="2"/>
    </font>
    <font>
      <sz val="11"/>
      <color indexed="26"/>
      <name val="Arial"/>
      <family val="2"/>
    </font>
    <font>
      <sz val="11"/>
      <color indexed="20"/>
      <name val="Arial"/>
      <family val="2"/>
    </font>
    <font>
      <b/>
      <sz val="11"/>
      <color indexed="52"/>
      <name val="Arial"/>
      <family val="2"/>
    </font>
    <font>
      <b/>
      <sz val="11"/>
      <color indexed="26"/>
      <name val="Arial"/>
      <family val="2"/>
    </font>
    <font>
      <i/>
      <sz val="11"/>
      <color indexed="23"/>
      <name val="Arial"/>
      <family val="2"/>
    </font>
    <font>
      <sz val="11"/>
      <color indexed="17"/>
      <name val="Arial"/>
      <family val="2"/>
    </font>
    <font>
      <b/>
      <sz val="15"/>
      <color indexed="62"/>
      <name val="Arial"/>
      <family val="2"/>
    </font>
    <font>
      <b/>
      <sz val="13"/>
      <color indexed="62"/>
      <name val="Arial"/>
      <family val="2"/>
    </font>
    <font>
      <b/>
      <sz val="11"/>
      <color indexed="62"/>
      <name val="Arial"/>
      <family val="2"/>
    </font>
    <font>
      <sz val="11"/>
      <color indexed="62"/>
      <name val="Arial"/>
      <family val="2"/>
    </font>
    <font>
      <sz val="11"/>
      <color indexed="52"/>
      <name val="Arial"/>
      <family val="2"/>
    </font>
    <font>
      <sz val="11"/>
      <color indexed="60"/>
      <name val="Arial"/>
      <family val="2"/>
    </font>
    <font>
      <b/>
      <sz val="11"/>
      <color indexed="63"/>
      <name val="Arial"/>
      <family val="2"/>
    </font>
    <font>
      <b/>
      <sz val="18"/>
      <color indexed="62"/>
      <name val="Cambria"/>
      <family val="2"/>
    </font>
    <font>
      <b/>
      <sz val="11"/>
      <color indexed="8"/>
      <name val="Arial"/>
      <family val="2"/>
    </font>
    <font>
      <sz val="11"/>
      <color indexed="10"/>
      <name val="Arial"/>
      <family val="2"/>
    </font>
    <font>
      <sz val="8"/>
      <name val="Arial"/>
      <family val="2"/>
    </font>
    <font>
      <b/>
      <sz val="9"/>
      <color indexed="8"/>
      <name val="Arial"/>
      <family val="2"/>
    </font>
    <font>
      <b/>
      <u/>
      <sz val="14"/>
      <color indexed="8"/>
      <name val="Arial"/>
      <family val="2"/>
    </font>
    <font>
      <u val="singleAccounting"/>
      <sz val="10"/>
      <color theme="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rgb="FF505050"/>
      <name val="Tahoma"/>
      <family val="2"/>
    </font>
    <font>
      <b/>
      <sz val="12"/>
      <name val="Tahoma"/>
      <family val="2"/>
    </font>
    <font>
      <b/>
      <sz val="8"/>
      <name val="Tahoma"/>
      <family val="2"/>
    </font>
    <font>
      <sz val="8"/>
      <name val="Tahoma"/>
      <family val="2"/>
    </font>
    <font>
      <sz val="11"/>
      <color rgb="FF000000"/>
      <name val="Calibri"/>
      <family val="2"/>
    </font>
    <font>
      <sz val="10"/>
      <color theme="1"/>
      <name val="Times New Roman"/>
      <family val="1"/>
    </font>
    <font>
      <b/>
      <sz val="11"/>
      <color rgb="FF000000"/>
      <name val="Calibri"/>
      <family val="2"/>
    </font>
    <font>
      <b/>
      <sz val="12"/>
      <color theme="1"/>
      <name val="Times New Roman"/>
      <family val="1"/>
    </font>
  </fonts>
  <fills count="22">
    <fill>
      <patternFill patternType="none"/>
    </fill>
    <fill>
      <patternFill patternType="gray125"/>
    </fill>
    <fill>
      <patternFill patternType="solid">
        <fgColor indexed="9"/>
      </patternFill>
    </fill>
    <fill>
      <patternFill patternType="solid">
        <fgColor indexed="47"/>
      </patternFill>
    </fill>
    <fill>
      <patternFill patternType="solid">
        <fgColor indexed="2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29"/>
      </patternFill>
    </fill>
    <fill>
      <patternFill patternType="solid">
        <fgColor indexed="43"/>
      </patternFill>
    </fill>
    <fill>
      <patternFill patternType="solid">
        <fgColor indexed="4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rgb="FFCCCCCC"/>
      </bottom>
      <diagonal/>
    </border>
    <border>
      <left/>
      <right/>
      <top style="thin">
        <color rgb="FFCCCCCC"/>
      </top>
      <bottom/>
      <diagonal/>
    </border>
    <border>
      <left/>
      <right/>
      <top/>
      <bottom style="thin">
        <color indexed="64"/>
      </bottom>
      <diagonal/>
    </border>
  </borders>
  <cellStyleXfs count="54">
    <xf numFmtId="0" fontId="0" fillId="0" borderId="0"/>
    <xf numFmtId="0" fontId="16" fillId="2" borderId="0" applyNumberFormat="0" applyBorder="0" applyAlignment="0" applyProtection="0"/>
    <xf numFmtId="0" fontId="16" fillId="3" borderId="0" applyNumberFormat="0" applyBorder="0" applyAlignment="0" applyProtection="0"/>
    <xf numFmtId="0" fontId="16" fillId="4" borderId="0" applyNumberFormat="0" applyBorder="0" applyAlignment="0" applyProtection="0"/>
    <xf numFmtId="0" fontId="16" fillId="2" borderId="0" applyNumberFormat="0" applyBorder="0" applyAlignment="0" applyProtection="0"/>
    <xf numFmtId="0" fontId="16" fillId="5" borderId="0" applyNumberFormat="0" applyBorder="0" applyAlignment="0" applyProtection="0"/>
    <xf numFmtId="0" fontId="16" fillId="3" borderId="0" applyNumberFormat="0" applyBorder="0" applyAlignment="0" applyProtection="0"/>
    <xf numFmtId="0" fontId="16" fillId="6" borderId="0" applyNumberFormat="0" applyBorder="0" applyAlignment="0" applyProtection="0"/>
    <xf numFmtId="0" fontId="16" fillId="7" borderId="0" applyNumberFormat="0" applyBorder="0" applyAlignment="0" applyProtection="0"/>
    <xf numFmtId="0" fontId="16" fillId="8" borderId="0" applyNumberFormat="0" applyBorder="0" applyAlignment="0" applyProtection="0"/>
    <xf numFmtId="0" fontId="16" fillId="6" borderId="0" applyNumberFormat="0" applyBorder="0" applyAlignment="0" applyProtection="0"/>
    <xf numFmtId="0" fontId="16" fillId="9" borderId="0" applyNumberFormat="0" applyBorder="0" applyAlignment="0" applyProtection="0"/>
    <xf numFmtId="0" fontId="16" fillId="3" borderId="0" applyNumberFormat="0" applyBorder="0" applyAlignment="0" applyProtection="0"/>
    <xf numFmtId="0" fontId="17" fillId="10" borderId="0" applyNumberFormat="0" applyBorder="0" applyAlignment="0" applyProtection="0"/>
    <xf numFmtId="0" fontId="17" fillId="7" borderId="0" applyNumberFormat="0" applyBorder="0" applyAlignment="0" applyProtection="0"/>
    <xf numFmtId="0" fontId="17" fillId="8" borderId="0" applyNumberFormat="0" applyBorder="0" applyAlignment="0" applyProtection="0"/>
    <xf numFmtId="0" fontId="17" fillId="6" borderId="0" applyNumberFormat="0" applyBorder="0" applyAlignment="0" applyProtection="0"/>
    <xf numFmtId="0" fontId="17" fillId="10" borderId="0" applyNumberFormat="0" applyBorder="0" applyAlignment="0" applyProtection="0"/>
    <xf numFmtId="0" fontId="17" fillId="3" borderId="0" applyNumberFormat="0" applyBorder="0" applyAlignment="0" applyProtection="0"/>
    <xf numFmtId="0" fontId="17" fillId="10" borderId="0" applyNumberFormat="0" applyBorder="0" applyAlignment="0" applyProtection="0"/>
    <xf numFmtId="0" fontId="17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7" fillId="10" borderId="0" applyNumberFormat="0" applyBorder="0" applyAlignment="0" applyProtection="0"/>
    <xf numFmtId="0" fontId="17" fillId="14" borderId="0" applyNumberFormat="0" applyBorder="0" applyAlignment="0" applyProtection="0"/>
    <xf numFmtId="0" fontId="18" fillId="15" borderId="0" applyNumberFormat="0" applyBorder="0" applyAlignment="0" applyProtection="0"/>
    <xf numFmtId="0" fontId="19" fillId="2" borderId="1" applyNumberFormat="0" applyAlignment="0" applyProtection="0"/>
    <xf numFmtId="0" fontId="20" fillId="16" borderId="2" applyNumberFormat="0" applyAlignment="0" applyProtection="0"/>
    <xf numFmtId="43" fontId="3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2" fillId="17" borderId="0" applyNumberFormat="0" applyBorder="0" applyAlignment="0" applyProtection="0"/>
    <xf numFmtId="0" fontId="23" fillId="0" borderId="3" applyNumberFormat="0" applyFill="0" applyAlignment="0" applyProtection="0"/>
    <xf numFmtId="0" fontId="24" fillId="0" borderId="4" applyNumberFormat="0" applyFill="0" applyAlignment="0" applyProtection="0"/>
    <xf numFmtId="0" fontId="25" fillId="0" borderId="5" applyNumberFormat="0" applyFill="0" applyAlignment="0" applyProtection="0"/>
    <xf numFmtId="0" fontId="25" fillId="0" borderId="0" applyNumberFormat="0" applyFill="0" applyBorder="0" applyAlignment="0" applyProtection="0"/>
    <xf numFmtId="0" fontId="26" fillId="3" borderId="1" applyNumberFormat="0" applyAlignment="0" applyProtection="0"/>
    <xf numFmtId="0" fontId="27" fillId="0" borderId="6" applyNumberFormat="0" applyFill="0" applyAlignment="0" applyProtection="0"/>
    <xf numFmtId="0" fontId="28" fillId="8" borderId="0" applyNumberFormat="0" applyBorder="0" applyAlignment="0" applyProtection="0"/>
    <xf numFmtId="0" fontId="11" fillId="0" borderId="0"/>
    <xf numFmtId="0" fontId="16" fillId="4" borderId="7" applyNumberFormat="0" applyFont="0" applyAlignment="0" applyProtection="0"/>
    <xf numFmtId="0" fontId="29" fillId="2" borderId="8" applyNumberFormat="0" applyAlignment="0" applyProtection="0"/>
    <xf numFmtId="9" fontId="3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9" applyNumberFormat="0" applyFill="0" applyAlignment="0" applyProtection="0"/>
    <xf numFmtId="0" fontId="32" fillId="0" borderId="0" applyNumberForma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2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" fillId="0" borderId="0"/>
  </cellStyleXfs>
  <cellXfs count="174">
    <xf numFmtId="0" fontId="0" fillId="0" borderId="0" xfId="0"/>
    <xf numFmtId="0" fontId="4" fillId="0" borderId="0" xfId="0" applyFont="1" applyAlignment="1" applyProtection="1">
      <protection locked="0"/>
    </xf>
    <xf numFmtId="0" fontId="4" fillId="0" borderId="0" xfId="0" applyFont="1" applyAlignment="1" applyProtection="1">
      <alignment horizontal="left"/>
      <protection locked="0"/>
    </xf>
    <xf numFmtId="0" fontId="0" fillId="0" borderId="0" xfId="0" applyProtection="1">
      <protection locked="0"/>
    </xf>
    <xf numFmtId="0" fontId="4" fillId="0" borderId="0" xfId="0" applyFont="1" applyAlignment="1" applyProtection="1">
      <alignment horizontal="center"/>
      <protection locked="0"/>
    </xf>
    <xf numFmtId="0" fontId="4" fillId="0" borderId="0" xfId="0" quotePrefix="1" applyFont="1" applyAlignment="1" applyProtection="1">
      <alignment horizontal="left"/>
      <protection locked="0"/>
    </xf>
    <xf numFmtId="0" fontId="5" fillId="0" borderId="0" xfId="0" applyFont="1" applyAlignment="1" applyProtection="1">
      <protection locked="0"/>
    </xf>
    <xf numFmtId="0" fontId="5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protection locked="0"/>
    </xf>
    <xf numFmtId="49" fontId="6" fillId="0" borderId="0" xfId="0" applyNumberFormat="1" applyFont="1" applyAlignment="1" applyProtection="1">
      <alignment horizontal="center"/>
      <protection locked="0"/>
    </xf>
    <xf numFmtId="49" fontId="5" fillId="0" borderId="0" xfId="0" quotePrefix="1" applyNumberFormat="1" applyFont="1" applyAlignment="1" applyProtection="1">
      <alignment horizontal="center" wrapText="1"/>
      <protection locked="0"/>
    </xf>
    <xf numFmtId="49" fontId="5" fillId="0" borderId="0" xfId="0" applyNumberFormat="1" applyFont="1" applyAlignment="1" applyProtection="1">
      <alignment horizontal="center" wrapText="1"/>
      <protection locked="0"/>
    </xf>
    <xf numFmtId="0" fontId="5" fillId="0" borderId="0" xfId="0" applyFont="1" applyProtection="1">
      <protection locked="0"/>
    </xf>
    <xf numFmtId="0" fontId="4" fillId="0" borderId="0" xfId="0" applyFont="1" applyProtection="1">
      <protection locked="0"/>
    </xf>
    <xf numFmtId="42" fontId="0" fillId="0" borderId="0" xfId="0" applyNumberFormat="1" applyProtection="1">
      <protection locked="0"/>
    </xf>
    <xf numFmtId="41" fontId="0" fillId="0" borderId="0" xfId="0" applyNumberFormat="1" applyProtection="1">
      <protection locked="0"/>
    </xf>
    <xf numFmtId="41" fontId="7" fillId="0" borderId="0" xfId="0" applyNumberFormat="1" applyFont="1" applyProtection="1">
      <protection locked="0"/>
    </xf>
    <xf numFmtId="0" fontId="4" fillId="0" borderId="0" xfId="0" applyFont="1" applyFill="1" applyProtection="1">
      <protection locked="0"/>
    </xf>
    <xf numFmtId="0" fontId="0" fillId="0" borderId="0" xfId="0" applyFill="1" applyProtection="1">
      <protection locked="0"/>
    </xf>
    <xf numFmtId="41" fontId="6" fillId="0" borderId="0" xfId="0" applyNumberFormat="1" applyFont="1" applyProtection="1">
      <protection locked="0"/>
    </xf>
    <xf numFmtId="0" fontId="6" fillId="0" borderId="0" xfId="0" applyFont="1" applyProtection="1">
      <protection locked="0"/>
    </xf>
    <xf numFmtId="0" fontId="0" fillId="0" borderId="0" xfId="0" applyAlignment="1" applyProtection="1">
      <alignment horizontal="centerContinuous"/>
      <protection locked="0"/>
    </xf>
    <xf numFmtId="0" fontId="0" fillId="0" borderId="0" xfId="0" applyBorder="1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Alignment="1" applyProtection="1">
      <alignment horizontal="center" wrapText="1"/>
      <protection locked="0"/>
    </xf>
    <xf numFmtId="0" fontId="4" fillId="0" borderId="0" xfId="0" applyFont="1" applyBorder="1" applyAlignment="1" applyProtection="1">
      <alignment horizontal="center" wrapText="1"/>
      <protection locked="0"/>
    </xf>
    <xf numFmtId="0" fontId="4" fillId="0" borderId="0" xfId="0" applyFont="1" applyAlignment="1" applyProtection="1">
      <alignment horizontal="center" wrapText="1"/>
      <protection locked="0"/>
    </xf>
    <xf numFmtId="0" fontId="5" fillId="0" borderId="0" xfId="0" quotePrefix="1" applyFont="1" applyAlignment="1" applyProtection="1">
      <alignment horizontal="center" wrapText="1"/>
      <protection locked="0"/>
    </xf>
    <xf numFmtId="41" fontId="3" fillId="0" borderId="0" xfId="0" applyNumberFormat="1" applyFont="1" applyProtection="1">
      <protection locked="0"/>
    </xf>
    <xf numFmtId="37" fontId="3" fillId="0" borderId="0" xfId="0" applyNumberFormat="1" applyFont="1" applyBorder="1" applyProtection="1">
      <protection locked="0"/>
    </xf>
    <xf numFmtId="37" fontId="3" fillId="0" borderId="0" xfId="0" applyNumberFormat="1" applyFont="1" applyProtection="1">
      <protection locked="0"/>
    </xf>
    <xf numFmtId="37" fontId="3" fillId="0" borderId="0" xfId="0" applyNumberFormat="1" applyFont="1" applyFill="1" applyProtection="1">
      <protection locked="0"/>
    </xf>
    <xf numFmtId="42" fontId="9" fillId="0" borderId="0" xfId="0" applyNumberFormat="1" applyFont="1" applyBorder="1" applyProtection="1">
      <protection locked="0"/>
    </xf>
    <xf numFmtId="49" fontId="5" fillId="0" borderId="0" xfId="0" applyNumberFormat="1" applyFont="1" applyAlignment="1" applyProtection="1">
      <protection locked="0"/>
    </xf>
    <xf numFmtId="0" fontId="5" fillId="0" borderId="0" xfId="0" applyFont="1"/>
    <xf numFmtId="164" fontId="3" fillId="0" borderId="0" xfId="28" applyNumberFormat="1" applyFont="1" applyProtection="1">
      <protection locked="0"/>
    </xf>
    <xf numFmtId="164" fontId="8" fillId="0" borderId="0" xfId="28" applyNumberFormat="1" applyFont="1" applyProtection="1">
      <protection locked="0"/>
    </xf>
    <xf numFmtId="0" fontId="10" fillId="18" borderId="0" xfId="0" applyFont="1" applyFill="1" applyAlignment="1" applyProtection="1">
      <alignment horizontal="center"/>
      <protection locked="0"/>
    </xf>
    <xf numFmtId="0" fontId="5" fillId="0" borderId="0" xfId="0" applyFont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4" fillId="0" borderId="0" xfId="0" quotePrefix="1" applyFont="1" applyAlignment="1" applyProtection="1">
      <alignment horizontal="center"/>
      <protection locked="0"/>
    </xf>
    <xf numFmtId="49" fontId="5" fillId="0" borderId="0" xfId="0" applyNumberFormat="1" applyFont="1" applyAlignment="1" applyProtection="1">
      <alignment horizontal="center"/>
      <protection locked="0"/>
    </xf>
    <xf numFmtId="41" fontId="8" fillId="0" borderId="0" xfId="0" applyNumberFormat="1" applyFont="1" applyProtection="1">
      <protection locked="0"/>
    </xf>
    <xf numFmtId="0" fontId="12" fillId="0" borderId="0" xfId="38" applyNumberFormat="1" applyFont="1" applyFill="1" applyBorder="1" applyAlignment="1" applyProtection="1"/>
    <xf numFmtId="0" fontId="14" fillId="0" borderId="0" xfId="38" applyNumberFormat="1" applyFont="1" applyBorder="1" applyAlignment="1">
      <alignment horizontal="center" vertical="center" wrapText="1"/>
    </xf>
    <xf numFmtId="41" fontId="0" fillId="0" borderId="0" xfId="0" applyNumberFormat="1" applyFill="1" applyProtection="1">
      <protection locked="0"/>
    </xf>
    <xf numFmtId="41" fontId="8" fillId="0" borderId="0" xfId="0" applyNumberFormat="1" applyFont="1" applyFill="1" applyProtection="1">
      <protection locked="0"/>
    </xf>
    <xf numFmtId="164" fontId="8" fillId="0" borderId="0" xfId="28" applyNumberFormat="1" applyFont="1" applyFill="1" applyProtection="1">
      <protection locked="0"/>
    </xf>
    <xf numFmtId="41" fontId="3" fillId="0" borderId="0" xfId="0" applyNumberFormat="1" applyFont="1" applyFill="1" applyProtection="1">
      <protection locked="0"/>
    </xf>
    <xf numFmtId="42" fontId="9" fillId="0" borderId="0" xfId="0" applyNumberFormat="1" applyFont="1" applyFill="1" applyBorder="1" applyProtection="1">
      <protection locked="0"/>
    </xf>
    <xf numFmtId="0" fontId="14" fillId="0" borderId="0" xfId="38" applyNumberFormat="1" applyFont="1" applyFill="1" applyBorder="1" applyAlignment="1">
      <alignment horizontal="center" vertical="center" wrapText="1"/>
    </xf>
    <xf numFmtId="42" fontId="0" fillId="0" borderId="0" xfId="0" applyNumberFormat="1" applyFill="1" applyProtection="1">
      <protection locked="0"/>
    </xf>
    <xf numFmtId="0" fontId="0" fillId="0" borderId="0" xfId="0" applyFill="1"/>
    <xf numFmtId="167" fontId="5" fillId="0" borderId="0" xfId="0" applyNumberFormat="1" applyFont="1" applyFill="1" applyAlignment="1" applyProtection="1">
      <alignment horizontal="center"/>
      <protection locked="0"/>
    </xf>
    <xf numFmtId="164" fontId="14" fillId="0" borderId="0" xfId="28" applyNumberFormat="1" applyFont="1" applyAlignment="1">
      <alignment horizontal="center" vertical="center"/>
    </xf>
    <xf numFmtId="164" fontId="12" fillId="0" borderId="0" xfId="28" applyNumberFormat="1" applyFont="1" applyFill="1" applyBorder="1" applyAlignment="1" applyProtection="1">
      <alignment horizontal="center" vertical="center"/>
    </xf>
    <xf numFmtId="164" fontId="14" fillId="0" borderId="0" xfId="28" applyNumberFormat="1" applyFont="1" applyFill="1" applyBorder="1" applyAlignment="1" applyProtection="1">
      <alignment horizontal="center" vertical="center"/>
    </xf>
    <xf numFmtId="166" fontId="15" fillId="0" borderId="0" xfId="38" applyNumberFormat="1" applyFont="1" applyAlignment="1">
      <alignment horizontal="center" vertical="center"/>
    </xf>
    <xf numFmtId="0" fontId="12" fillId="0" borderId="0" xfId="38" applyNumberFormat="1" applyFont="1" applyFill="1" applyBorder="1" applyAlignment="1" applyProtection="1">
      <alignment horizontal="center" vertical="center"/>
    </xf>
    <xf numFmtId="166" fontId="12" fillId="0" borderId="0" xfId="38" applyNumberFormat="1" applyFont="1" applyFill="1" applyBorder="1" applyAlignment="1" applyProtection="1">
      <alignment horizontal="center" vertical="center"/>
    </xf>
    <xf numFmtId="0" fontId="14" fillId="19" borderId="10" xfId="38" applyNumberFormat="1" applyFont="1" applyFill="1" applyBorder="1" applyAlignment="1" applyProtection="1">
      <alignment horizontal="center" vertical="center"/>
    </xf>
    <xf numFmtId="0" fontId="14" fillId="0" borderId="0" xfId="38" applyNumberFormat="1" applyFont="1" applyFill="1" applyBorder="1" applyAlignment="1" applyProtection="1">
      <alignment horizontal="center" vertical="center"/>
    </xf>
    <xf numFmtId="166" fontId="14" fillId="0" borderId="0" xfId="38" applyNumberFormat="1" applyFont="1" applyFill="1" applyBorder="1" applyAlignment="1" applyProtection="1">
      <alignment horizontal="center" vertical="center"/>
    </xf>
    <xf numFmtId="167" fontId="14" fillId="0" borderId="0" xfId="38" applyNumberFormat="1" applyFont="1" applyFill="1" applyBorder="1" applyAlignment="1" applyProtection="1">
      <alignment horizontal="center" vertical="center"/>
    </xf>
    <xf numFmtId="0" fontId="14" fillId="0" borderId="12" xfId="38" applyNumberFormat="1" applyFont="1" applyFill="1" applyBorder="1" applyAlignment="1" applyProtection="1">
      <alignment horizontal="center" vertical="center"/>
    </xf>
    <xf numFmtId="166" fontId="14" fillId="0" borderId="0" xfId="41" applyNumberFormat="1" applyFont="1" applyFill="1" applyBorder="1" applyAlignment="1" applyProtection="1">
      <alignment horizontal="center" vertical="center"/>
    </xf>
    <xf numFmtId="0" fontId="0" fillId="0" borderId="0" xfId="0" applyFill="1" applyAlignment="1">
      <alignment horizontal="center" vertical="center"/>
    </xf>
    <xf numFmtId="166" fontId="0" fillId="0" borderId="0" xfId="0" applyNumberFormat="1" applyFill="1" applyAlignment="1">
      <alignment horizontal="center" vertical="center"/>
    </xf>
    <xf numFmtId="166" fontId="15" fillId="0" borderId="0" xfId="28" applyNumberFormat="1" applyFont="1" applyBorder="1" applyAlignment="1">
      <alignment horizontal="center" vertical="center"/>
    </xf>
    <xf numFmtId="0" fontId="14" fillId="0" borderId="0" xfId="38" quotePrefix="1" applyNumberFormat="1" applyFont="1" applyFill="1" applyBorder="1" applyAlignment="1" applyProtection="1">
      <alignment horizontal="left" vertical="center"/>
    </xf>
    <xf numFmtId="166" fontId="0" fillId="0" borderId="0" xfId="0" applyNumberFormat="1" applyFill="1"/>
    <xf numFmtId="0" fontId="0" fillId="0" borderId="0" xfId="0" applyFill="1" applyAlignment="1">
      <alignment horizontal="left"/>
    </xf>
    <xf numFmtId="164" fontId="0" fillId="0" borderId="0" xfId="0" applyNumberFormat="1" applyFill="1" applyAlignment="1">
      <alignment horizontal="center" vertical="center"/>
    </xf>
    <xf numFmtId="0" fontId="14" fillId="0" borderId="13" xfId="38" applyNumberFormat="1" applyFont="1" applyFill="1" applyBorder="1" applyAlignment="1" applyProtection="1">
      <alignment horizontal="center" vertical="center"/>
    </xf>
    <xf numFmtId="166" fontId="4" fillId="0" borderId="10" xfId="0" applyNumberFormat="1" applyFont="1" applyFill="1" applyBorder="1" applyAlignment="1">
      <alignment horizontal="center" vertical="center" wrapText="1"/>
    </xf>
    <xf numFmtId="0" fontId="4" fillId="0" borderId="10" xfId="0" applyFont="1" applyFill="1" applyBorder="1" applyAlignment="1">
      <alignment horizontal="center" vertical="center" wrapText="1"/>
    </xf>
    <xf numFmtId="0" fontId="14" fillId="0" borderId="0" xfId="38" applyNumberFormat="1" applyFont="1" applyFill="1" applyBorder="1" applyAlignment="1" applyProtection="1">
      <alignment horizontal="left" vertical="center"/>
    </xf>
    <xf numFmtId="0" fontId="12" fillId="0" borderId="0" xfId="38" applyNumberFormat="1" applyFont="1" applyFill="1" applyBorder="1" applyAlignment="1" applyProtection="1">
      <alignment horizontal="left" vertical="center"/>
    </xf>
    <xf numFmtId="0" fontId="0" fillId="0" borderId="0" xfId="0" applyFill="1" applyAlignment="1">
      <alignment horizontal="left" vertical="center"/>
    </xf>
    <xf numFmtId="165" fontId="12" fillId="0" borderId="0" xfId="41" applyNumberFormat="1" applyFont="1" applyFill="1" applyBorder="1" applyAlignment="1" applyProtection="1">
      <alignment horizontal="center" vertical="center"/>
    </xf>
    <xf numFmtId="165" fontId="14" fillId="0" borderId="0" xfId="41" applyNumberFormat="1" applyFont="1" applyFill="1" applyBorder="1" applyAlignment="1" applyProtection="1">
      <alignment horizontal="center" vertical="center"/>
    </xf>
    <xf numFmtId="165" fontId="4" fillId="0" borderId="10" xfId="41" applyNumberFormat="1" applyFont="1" applyFill="1" applyBorder="1" applyAlignment="1">
      <alignment horizontal="center" vertical="center" wrapText="1"/>
    </xf>
    <xf numFmtId="165" fontId="0" fillId="0" borderId="0" xfId="0" applyNumberFormat="1" applyFill="1" applyAlignment="1">
      <alignment horizontal="center" vertical="center"/>
    </xf>
    <xf numFmtId="165" fontId="0" fillId="0" borderId="0" xfId="41" applyNumberFormat="1" applyFont="1" applyFill="1"/>
    <xf numFmtId="0" fontId="34" fillId="0" borderId="0" xfId="38" applyNumberFormat="1" applyFont="1" applyFill="1" applyBorder="1" applyAlignment="1" applyProtection="1">
      <alignment horizontal="center" vertical="center"/>
    </xf>
    <xf numFmtId="0" fontId="35" fillId="0" borderId="0" xfId="38" applyFont="1" applyAlignment="1">
      <alignment horizontal="center" vertical="center"/>
    </xf>
    <xf numFmtId="0" fontId="14" fillId="0" borderId="12" xfId="38" applyNumberFormat="1" applyFont="1" applyFill="1" applyBorder="1" applyAlignment="1" applyProtection="1"/>
    <xf numFmtId="0" fontId="0" fillId="0" borderId="0" xfId="0" applyAlignment="1" applyProtection="1">
      <alignment horizontal="center" vertical="center" wrapText="1"/>
      <protection locked="0"/>
    </xf>
    <xf numFmtId="0" fontId="5" fillId="0" borderId="11" xfId="0" applyFont="1" applyBorder="1" applyAlignment="1" applyProtection="1">
      <alignment horizontal="center" vertical="center" wrapText="1"/>
      <protection locked="0"/>
    </xf>
    <xf numFmtId="0" fontId="4" fillId="0" borderId="11" xfId="0" applyFont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3" fillId="0" borderId="0" xfId="45" applyAlignment="1" applyProtection="1">
      <alignment horizontal="center" wrapText="1"/>
      <protection locked="0"/>
    </xf>
    <xf numFmtId="0" fontId="3" fillId="0" borderId="0" xfId="45" applyProtection="1">
      <protection locked="0"/>
    </xf>
    <xf numFmtId="42" fontId="3" fillId="0" borderId="0" xfId="45" applyNumberFormat="1" applyProtection="1">
      <protection locked="0"/>
    </xf>
    <xf numFmtId="49" fontId="3" fillId="0" borderId="0" xfId="45" applyNumberFormat="1" applyFont="1" applyAlignment="1" applyProtection="1">
      <alignment horizontal="center"/>
      <protection locked="0"/>
    </xf>
    <xf numFmtId="0" fontId="3" fillId="0" borderId="0" xfId="45" applyNumberFormat="1" applyFont="1" applyAlignment="1" applyProtection="1">
      <alignment horizontal="center"/>
      <protection locked="0"/>
    </xf>
    <xf numFmtId="0" fontId="3" fillId="0" borderId="0" xfId="45" applyFont="1" applyProtection="1">
      <protection locked="0"/>
    </xf>
    <xf numFmtId="42" fontId="3" fillId="0" borderId="13" xfId="45" applyNumberFormat="1" applyBorder="1" applyProtection="1">
      <protection locked="0"/>
    </xf>
    <xf numFmtId="41" fontId="3" fillId="0" borderId="0" xfId="28" applyNumberFormat="1" applyFont="1" applyBorder="1" applyProtection="1">
      <protection locked="0"/>
    </xf>
    <xf numFmtId="41" fontId="36" fillId="0" borderId="0" xfId="28" applyNumberFormat="1" applyFont="1" applyProtection="1">
      <protection locked="0"/>
    </xf>
    <xf numFmtId="0" fontId="2" fillId="0" borderId="0" xfId="45" applyFont="1" applyProtection="1">
      <protection locked="0"/>
    </xf>
    <xf numFmtId="0" fontId="2" fillId="0" borderId="0" xfId="0" applyFont="1" applyProtection="1">
      <protection locked="0"/>
    </xf>
    <xf numFmtId="42" fontId="3" fillId="0" borderId="0" xfId="45" applyNumberFormat="1" applyFill="1" applyProtection="1">
      <protection locked="0"/>
    </xf>
    <xf numFmtId="0" fontId="3" fillId="0" borderId="0" xfId="0" applyFont="1" applyFill="1" applyAlignment="1">
      <alignment horizontal="center" vertical="center"/>
    </xf>
    <xf numFmtId="0" fontId="3" fillId="0" borderId="0" xfId="0" applyFont="1" applyFill="1"/>
    <xf numFmtId="0" fontId="3" fillId="0" borderId="0" xfId="0" applyFont="1"/>
    <xf numFmtId="0" fontId="3" fillId="0" borderId="0" xfId="0" applyFont="1" applyFill="1" applyAlignment="1">
      <alignment horizontal="left" vertical="center"/>
    </xf>
    <xf numFmtId="0" fontId="5" fillId="0" borderId="0" xfId="0" applyFont="1" applyFill="1" applyAlignment="1" applyProtection="1">
      <alignment horizontal="center"/>
      <protection locked="0"/>
    </xf>
    <xf numFmtId="0" fontId="6" fillId="0" borderId="0" xfId="0" applyFont="1" applyFill="1" applyAlignment="1" applyProtection="1">
      <alignment horizontal="left"/>
      <protection locked="0"/>
    </xf>
    <xf numFmtId="0" fontId="0" fillId="0" borderId="0" xfId="0" applyFill="1" applyAlignment="1" applyProtection="1">
      <alignment horizontal="center"/>
      <protection locked="0"/>
    </xf>
    <xf numFmtId="0" fontId="10" fillId="0" borderId="0" xfId="0" applyFont="1" applyFill="1" applyAlignment="1" applyProtection="1">
      <alignment horizontal="center"/>
      <protection locked="0"/>
    </xf>
    <xf numFmtId="0" fontId="5" fillId="0" borderId="0" xfId="0" applyFont="1" applyFill="1" applyAlignment="1" applyProtection="1">
      <alignment horizontal="right"/>
      <protection locked="0"/>
    </xf>
    <xf numFmtId="168" fontId="5" fillId="0" borderId="0" xfId="0" applyNumberFormat="1" applyFont="1" applyFill="1" applyAlignment="1" applyProtection="1">
      <alignment horizontal="right"/>
      <protection locked="0"/>
    </xf>
    <xf numFmtId="168" fontId="0" fillId="0" borderId="0" xfId="0" applyNumberFormat="1" applyFill="1" applyAlignment="1" applyProtection="1">
      <alignment horizontal="center"/>
      <protection locked="0"/>
    </xf>
    <xf numFmtId="168" fontId="0" fillId="0" borderId="0" xfId="0" applyNumberFormat="1" applyFill="1" applyProtection="1">
      <protection locked="0"/>
    </xf>
    <xf numFmtId="42" fontId="0" fillId="0" borderId="0" xfId="0" applyNumberFormat="1" applyFill="1" applyAlignment="1" applyProtection="1">
      <alignment horizontal="center"/>
      <protection locked="0"/>
    </xf>
    <xf numFmtId="0" fontId="3" fillId="0" borderId="0" xfId="45"/>
    <xf numFmtId="0" fontId="3" fillId="0" borderId="0" xfId="45" applyAlignment="1"/>
    <xf numFmtId="0" fontId="41" fillId="20" borderId="14" xfId="45" applyFont="1" applyFill="1" applyBorder="1" applyAlignment="1">
      <alignment horizontal="center" vertical="center"/>
    </xf>
    <xf numFmtId="0" fontId="41" fillId="20" borderId="14" xfId="45" applyFont="1" applyFill="1" applyBorder="1" applyAlignment="1">
      <alignment horizontal="left" vertical="center"/>
    </xf>
    <xf numFmtId="0" fontId="42" fillId="0" borderId="15" xfId="45" applyFont="1" applyBorder="1" applyAlignment="1">
      <alignment horizontal="center" vertical="center"/>
    </xf>
    <xf numFmtId="0" fontId="42" fillId="0" borderId="15" xfId="45" applyFont="1" applyBorder="1" applyAlignment="1">
      <alignment horizontal="left" vertical="center"/>
    </xf>
    <xf numFmtId="4" fontId="42" fillId="0" borderId="15" xfId="45" applyNumberFormat="1" applyFont="1" applyBorder="1" applyAlignment="1">
      <alignment horizontal="right" vertical="center"/>
    </xf>
    <xf numFmtId="0" fontId="42" fillId="0" borderId="0" xfId="45" applyFont="1" applyAlignment="1">
      <alignment horizontal="center" vertical="center"/>
    </xf>
    <xf numFmtId="0" fontId="42" fillId="0" borderId="0" xfId="45" applyFont="1" applyAlignment="1">
      <alignment horizontal="left" vertical="center"/>
    </xf>
    <xf numFmtId="4" fontId="42" fillId="0" borderId="0" xfId="45" applyNumberFormat="1" applyFont="1" applyAlignment="1">
      <alignment horizontal="right" vertical="center"/>
    </xf>
    <xf numFmtId="0" fontId="41" fillId="0" borderId="17" xfId="45" applyFont="1" applyBorder="1" applyAlignment="1">
      <alignment horizontal="left" vertical="center"/>
    </xf>
    <xf numFmtId="0" fontId="42" fillId="0" borderId="16" xfId="45" applyFont="1" applyBorder="1" applyAlignment="1">
      <alignment horizontal="left" vertical="center"/>
    </xf>
    <xf numFmtId="4" fontId="41" fillId="0" borderId="17" xfId="45" applyNumberFormat="1" applyFont="1" applyBorder="1" applyAlignment="1">
      <alignment horizontal="right" vertical="center"/>
    </xf>
    <xf numFmtId="4" fontId="42" fillId="0" borderId="16" xfId="45" applyNumberFormat="1" applyFont="1" applyBorder="1" applyAlignment="1">
      <alignment horizontal="right" vertical="center"/>
    </xf>
    <xf numFmtId="44" fontId="0" fillId="0" borderId="0" xfId="0" applyNumberFormat="1" applyProtection="1">
      <protection locked="0"/>
    </xf>
    <xf numFmtId="0" fontId="1" fillId="0" borderId="0" xfId="53" applyBorder="1"/>
    <xf numFmtId="0" fontId="1" fillId="0" borderId="0" xfId="53" applyFill="1" applyBorder="1"/>
    <xf numFmtId="0" fontId="1" fillId="0" borderId="0" xfId="53" applyBorder="1" applyAlignment="1">
      <alignment horizontal="left"/>
    </xf>
    <xf numFmtId="0" fontId="43" fillId="0" borderId="10" xfId="53" applyFont="1" applyFill="1" applyBorder="1" applyAlignment="1">
      <alignment vertical="center"/>
    </xf>
    <xf numFmtId="0" fontId="43" fillId="0" borderId="10" xfId="53" applyFont="1" applyBorder="1" applyAlignment="1">
      <alignment horizontal="left" vertical="center"/>
    </xf>
    <xf numFmtId="0" fontId="44" fillId="0" borderId="0" xfId="53" applyFont="1" applyBorder="1"/>
    <xf numFmtId="0" fontId="45" fillId="0" borderId="10" xfId="53" applyFont="1" applyBorder="1" applyAlignment="1">
      <alignment horizontal="left" vertical="center" wrapText="1"/>
    </xf>
    <xf numFmtId="0" fontId="44" fillId="0" borderId="0" xfId="53" applyFont="1" applyFill="1" applyBorder="1"/>
    <xf numFmtId="0" fontId="44" fillId="0" borderId="0" xfId="53" applyFont="1" applyBorder="1" applyAlignment="1">
      <alignment horizontal="left"/>
    </xf>
    <xf numFmtId="0" fontId="44" fillId="0" borderId="10" xfId="53" applyFont="1" applyBorder="1"/>
    <xf numFmtId="0" fontId="46" fillId="0" borderId="10" xfId="53" applyFont="1" applyBorder="1"/>
    <xf numFmtId="0" fontId="0" fillId="0" borderId="0" xfId="0" applyFill="1" applyAlignment="1">
      <alignment horizontal="center"/>
    </xf>
    <xf numFmtId="0" fontId="43" fillId="0" borderId="10" xfId="53" applyFont="1" applyFill="1" applyBorder="1" applyAlignment="1">
      <alignment horizontal="left" vertical="center"/>
    </xf>
    <xf numFmtId="41" fontId="8" fillId="0" borderId="18" xfId="0" applyNumberFormat="1" applyFont="1" applyBorder="1" applyProtection="1">
      <protection locked="0"/>
    </xf>
    <xf numFmtId="0" fontId="3" fillId="0" borderId="0" xfId="0" applyFont="1" applyProtection="1">
      <protection locked="0"/>
    </xf>
    <xf numFmtId="41" fontId="0" fillId="0" borderId="0" xfId="0" applyNumberFormat="1" applyBorder="1" applyProtection="1">
      <protection locked="0"/>
    </xf>
    <xf numFmtId="0" fontId="0" fillId="0" borderId="0" xfId="0" applyAlignment="1" applyProtection="1">
      <alignment horizontal="center"/>
      <protection locked="0"/>
    </xf>
    <xf numFmtId="164" fontId="0" fillId="0" borderId="18" xfId="0" applyNumberFormat="1" applyFill="1" applyBorder="1" applyAlignment="1">
      <alignment horizontal="center" vertical="center"/>
    </xf>
    <xf numFmtId="164" fontId="0" fillId="0" borderId="12" xfId="0" applyNumberFormat="1" applyFill="1" applyBorder="1" applyAlignment="1">
      <alignment horizontal="center" vertical="center"/>
    </xf>
    <xf numFmtId="0" fontId="4" fillId="0" borderId="0" xfId="0" applyFont="1" applyAlignment="1">
      <alignment horizontal="center"/>
    </xf>
    <xf numFmtId="4" fontId="42" fillId="0" borderId="0" xfId="45" applyNumberFormat="1" applyFont="1" applyBorder="1" applyAlignment="1">
      <alignment horizontal="right" vertical="center"/>
    </xf>
    <xf numFmtId="4" fontId="42" fillId="0" borderId="14" xfId="45" applyNumberFormat="1" applyFont="1" applyBorder="1" applyAlignment="1">
      <alignment horizontal="right" vertical="center"/>
    </xf>
    <xf numFmtId="4" fontId="3" fillId="0" borderId="0" xfId="45" applyNumberFormat="1"/>
    <xf numFmtId="0" fontId="41" fillId="20" borderId="0" xfId="45" applyFont="1" applyFill="1" applyBorder="1" applyAlignment="1">
      <alignment horizontal="center" vertical="center"/>
    </xf>
    <xf numFmtId="0" fontId="41" fillId="20" borderId="0" xfId="45" applyFont="1" applyFill="1" applyBorder="1" applyAlignment="1">
      <alignment horizontal="left" vertical="center"/>
    </xf>
    <xf numFmtId="4" fontId="42" fillId="21" borderId="15" xfId="45" applyNumberFormat="1" applyFont="1" applyFill="1" applyBorder="1" applyAlignment="1">
      <alignment horizontal="right" vertical="center"/>
    </xf>
    <xf numFmtId="4" fontId="42" fillId="21" borderId="0" xfId="45" applyNumberFormat="1" applyFont="1" applyFill="1" applyAlignment="1">
      <alignment horizontal="right" vertical="center"/>
    </xf>
    <xf numFmtId="4" fontId="42" fillId="21" borderId="0" xfId="45" applyNumberFormat="1" applyFont="1" applyFill="1" applyBorder="1" applyAlignment="1">
      <alignment horizontal="right" vertical="center"/>
    </xf>
    <xf numFmtId="0" fontId="0" fillId="21" borderId="0" xfId="0" applyFill="1"/>
    <xf numFmtId="0" fontId="41" fillId="21" borderId="14" xfId="45" applyFont="1" applyFill="1" applyBorder="1" applyAlignment="1">
      <alignment horizontal="center" vertical="center"/>
    </xf>
    <xf numFmtId="0" fontId="41" fillId="21" borderId="0" xfId="45" applyFont="1" applyFill="1" applyBorder="1" applyAlignment="1">
      <alignment horizontal="center" vertical="center"/>
    </xf>
    <xf numFmtId="4" fontId="42" fillId="21" borderId="14" xfId="45" applyNumberFormat="1" applyFont="1" applyFill="1" applyBorder="1" applyAlignment="1">
      <alignment horizontal="right" vertical="center"/>
    </xf>
    <xf numFmtId="4" fontId="3" fillId="21" borderId="0" xfId="45" applyNumberFormat="1" applyFill="1"/>
    <xf numFmtId="4" fontId="42" fillId="21" borderId="16" xfId="45" applyNumberFormat="1" applyFont="1" applyFill="1" applyBorder="1" applyAlignment="1">
      <alignment horizontal="right" vertical="center"/>
    </xf>
    <xf numFmtId="4" fontId="41" fillId="21" borderId="17" xfId="45" applyNumberFormat="1" applyFont="1" applyFill="1" applyBorder="1" applyAlignment="1">
      <alignment horizontal="right" vertical="center"/>
    </xf>
    <xf numFmtId="0" fontId="3" fillId="21" borderId="0" xfId="45" applyFill="1"/>
    <xf numFmtId="165" fontId="13" fillId="0" borderId="0" xfId="41" applyNumberFormat="1" applyFont="1" applyFill="1" applyAlignment="1">
      <alignment horizontal="center" vertical="center"/>
    </xf>
    <xf numFmtId="4" fontId="0" fillId="21" borderId="0" xfId="0" applyNumberFormat="1" applyFill="1"/>
    <xf numFmtId="4" fontId="0" fillId="0" borderId="0" xfId="0" applyNumberFormat="1"/>
    <xf numFmtId="4" fontId="42" fillId="0" borderId="0" xfId="45" applyNumberFormat="1" applyFont="1" applyFill="1" applyAlignment="1">
      <alignment horizontal="right" vertical="center"/>
    </xf>
    <xf numFmtId="0" fontId="41" fillId="0" borderId="14" xfId="45" applyFont="1" applyFill="1" applyBorder="1" applyAlignment="1">
      <alignment horizontal="center" vertical="center"/>
    </xf>
    <xf numFmtId="0" fontId="39" fillId="0" borderId="0" xfId="45" applyFont="1" applyAlignment="1">
      <alignment horizontal="center" vertical="center"/>
    </xf>
    <xf numFmtId="0" fontId="40" fillId="0" borderId="0" xfId="45" applyFont="1" applyAlignment="1">
      <alignment horizontal="center" vertical="center"/>
    </xf>
  </cellXfs>
  <cellStyles count="54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Comma" xfId="28" builtinId="3"/>
    <cellStyle name="Comma [0] 2" xfId="50"/>
    <cellStyle name="Comma 2" xfId="49"/>
    <cellStyle name="Comma 3" xfId="52"/>
    <cellStyle name="Currency [0] 2" xfId="48"/>
    <cellStyle name="Currency 2" xfId="47"/>
    <cellStyle name="Currency 3" xfId="51"/>
    <cellStyle name="Explanatory Text" xfId="29" builtinId="53" customBuiltin="1"/>
    <cellStyle name="Good" xfId="30" builtinId="26" customBuiltin="1"/>
    <cellStyle name="Heading 1" xfId="31" builtinId="16" customBuiltin="1"/>
    <cellStyle name="Heading 2" xfId="32" builtinId="17" customBuiltin="1"/>
    <cellStyle name="Heading 3" xfId="33" builtinId="18" customBuiltin="1"/>
    <cellStyle name="Heading 4" xfId="34" builtinId="19" customBuiltin="1"/>
    <cellStyle name="Input" xfId="35" builtinId="20" customBuiltin="1"/>
    <cellStyle name="Linked Cell" xfId="36" builtinId="24" customBuiltin="1"/>
    <cellStyle name="Neutral" xfId="37" builtinId="28" customBuiltin="1"/>
    <cellStyle name="Normal" xfId="0" builtinId="0"/>
    <cellStyle name="Normal 2" xfId="45"/>
    <cellStyle name="Normal 3" xfId="53"/>
    <cellStyle name="Normal_Project Ownership Percentages and Losses" xfId="38"/>
    <cellStyle name="Note" xfId="39" builtinId="10" customBuiltin="1"/>
    <cellStyle name="Output" xfId="40" builtinId="21" customBuiltin="1"/>
    <cellStyle name="Percent" xfId="41" builtinId="5"/>
    <cellStyle name="Percent 2" xfId="46"/>
    <cellStyle name="Title" xfId="42" builtinId="15" customBuiltin="1"/>
    <cellStyle name="Total" xfId="43" builtinId="25" customBuiltin="1"/>
    <cellStyle name="Warning Text" xfId="44" builtinId="11" customBuiltin="1"/>
  </cellStyles>
  <dxfs count="4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FFFF00"/>
      <color rgb="FFFFCC66"/>
      <color rgb="FF00FFCC"/>
      <color rgb="FFCC0099"/>
      <color rgb="FFB2B2B2"/>
      <color rgb="FF00FF00"/>
      <color rgb="FF3333FF"/>
      <color rgb="FF3366FF"/>
      <color rgb="FFCC6600"/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Finapp\Reports\Supplemental%20Info%20TEMPLAT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solidated"/>
      <sheetName val="IS Summary"/>
      <sheetName val="BS Summary"/>
      <sheetName val="Report Macro"/>
      <sheetName val="Fund Names Ref"/>
      <sheetName val="Reference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6006</v>
          </cell>
          <cell r="B1" t="str">
            <v>Denver Master Limited Partnership I</v>
          </cell>
        </row>
        <row r="2">
          <cell r="A2" t="str">
            <v>6011</v>
          </cell>
          <cell r="B2" t="str">
            <v>Cleveland Enterprise Housing Equity Fund Limited Partnership</v>
          </cell>
        </row>
        <row r="3">
          <cell r="A3" t="str">
            <v>6017</v>
          </cell>
          <cell r="B3" t="str">
            <v>The Banc of America Housing Fund I Limited Partnership</v>
          </cell>
        </row>
        <row r="4">
          <cell r="A4" t="str">
            <v>6023</v>
          </cell>
          <cell r="B4" t="str">
            <v>North Carolina Equity Fund Limited Partnership</v>
          </cell>
        </row>
        <row r="5">
          <cell r="A5" t="str">
            <v>6025</v>
          </cell>
          <cell r="B5" t="str">
            <v>San Antonio Master Limited Partnership</v>
          </cell>
        </row>
        <row r="6">
          <cell r="A6" t="str">
            <v>6027</v>
          </cell>
          <cell r="B6" t="str">
            <v>Corporate Housing Initiatives II Limited Partnership</v>
          </cell>
        </row>
        <row r="7">
          <cell r="A7" t="str">
            <v>6036</v>
          </cell>
          <cell r="B7" t="str">
            <v>Atlanta Housing Equity Fund II Limited Partnership</v>
          </cell>
        </row>
        <row r="8">
          <cell r="A8" t="str">
            <v>6047</v>
          </cell>
          <cell r="B8" t="str">
            <v>Deleware Equity Fund II Limited Partnership</v>
          </cell>
        </row>
        <row r="9">
          <cell r="A9" t="str">
            <v>6051</v>
          </cell>
          <cell r="B9" t="str">
            <v>Banc of America Housing Fund IIIA Limited Partnership</v>
          </cell>
        </row>
        <row r="10">
          <cell r="A10" t="str">
            <v>6052</v>
          </cell>
          <cell r="B10" t="str">
            <v>Banc of America Housing Fund IIIB Limited Partnership</v>
          </cell>
        </row>
        <row r="11">
          <cell r="A11" t="str">
            <v>6053</v>
          </cell>
          <cell r="B11" t="str">
            <v>Banc of America Housing Fund IIIC Limited Partnership</v>
          </cell>
        </row>
        <row r="12">
          <cell r="A12" t="str">
            <v>6055</v>
          </cell>
          <cell r="B12" t="str">
            <v>New York Equity Fund 1995 Limited Partnership - Series I</v>
          </cell>
        </row>
        <row r="13">
          <cell r="A13" t="str">
            <v>6056</v>
          </cell>
          <cell r="B13" t="str">
            <v>New York Equity Fund 1995 Limited Partnership - Series II</v>
          </cell>
        </row>
        <row r="14">
          <cell r="A14" t="str">
            <v>6057</v>
          </cell>
          <cell r="B14" t="str">
            <v>Banc of America Housing Fund IIID Limited Partnership</v>
          </cell>
        </row>
        <row r="15">
          <cell r="A15" t="str">
            <v>6058</v>
          </cell>
          <cell r="B15" t="str">
            <v>Banc of America Housing Fund IIIE Limited Partnership</v>
          </cell>
        </row>
        <row r="16">
          <cell r="A16" t="str">
            <v>6059</v>
          </cell>
          <cell r="B16" t="str">
            <v>Banc of America Housing Fund IIIF Limited Partnership</v>
          </cell>
        </row>
        <row r="17">
          <cell r="A17" t="str">
            <v>6060</v>
          </cell>
          <cell r="B17" t="str">
            <v>Banc of America Housing Fund IIIG Limited Partnership</v>
          </cell>
        </row>
        <row r="18">
          <cell r="A18" t="str">
            <v>6061</v>
          </cell>
          <cell r="B18" t="str">
            <v>Banc of America Housing Fund IIIG Limited Partnership</v>
          </cell>
        </row>
        <row r="19">
          <cell r="A19" t="str">
            <v>6062</v>
          </cell>
          <cell r="B19" t="str">
            <v>Texas Housing Opportunities Fund Dallas Fund Ltd.</v>
          </cell>
        </row>
        <row r="20">
          <cell r="A20" t="str">
            <v>6063</v>
          </cell>
          <cell r="B20" t="str">
            <v>Chicago Equity Fund 2000 Limited Partnership</v>
          </cell>
        </row>
        <row r="21">
          <cell r="A21" t="str">
            <v>6065</v>
          </cell>
          <cell r="B21" t="str">
            <v>Texas Housing Opportunities Fund V Ltd.</v>
          </cell>
        </row>
        <row r="22">
          <cell r="A22" t="str">
            <v>6066</v>
          </cell>
          <cell r="B22" t="str">
            <v>St Louis Equity Fund 2000 LLC</v>
          </cell>
        </row>
        <row r="23">
          <cell r="A23" t="str">
            <v>6068</v>
          </cell>
          <cell r="B23" t="str">
            <v xml:space="preserve">Housing Solution Fund I </v>
          </cell>
        </row>
        <row r="24">
          <cell r="A24" t="str">
            <v>6074</v>
          </cell>
          <cell r="B24" t="str">
            <v>Native American Housing Fund I Limited Partnership</v>
          </cell>
        </row>
        <row r="25">
          <cell r="A25" t="str">
            <v>6075</v>
          </cell>
          <cell r="B25" t="str">
            <v>Housing Outreach Fund IX LP Regional Funds</v>
          </cell>
        </row>
        <row r="26">
          <cell r="A26" t="str">
            <v>6077</v>
          </cell>
          <cell r="B26" t="str">
            <v>Kansas Equity Fund I, LP</v>
          </cell>
        </row>
        <row r="27">
          <cell r="A27" t="str">
            <v>6078</v>
          </cell>
          <cell r="B27" t="str">
            <v>St. Louis Equity Fund  2001, L.L.C.</v>
          </cell>
        </row>
        <row r="28">
          <cell r="A28" t="str">
            <v>6081</v>
          </cell>
          <cell r="B28" t="str">
            <v>Merritt Community Capital Fund VII LP</v>
          </cell>
        </row>
        <row r="29">
          <cell r="A29" t="str">
            <v>6084</v>
          </cell>
          <cell r="B29" t="str">
            <v>Southwest Housing Opportunity Fund VI LP</v>
          </cell>
        </row>
        <row r="30">
          <cell r="A30" t="str">
            <v>6088</v>
          </cell>
          <cell r="B30" t="str">
            <v>Housing Equity Fund of Virginia VII, L.L.C.</v>
          </cell>
        </row>
        <row r="31">
          <cell r="A31" t="str">
            <v>6096</v>
          </cell>
          <cell r="B31" t="str">
            <v>St. Louis Equity Fund 2002B, L.L.C.</v>
          </cell>
        </row>
        <row r="32">
          <cell r="A32" t="str">
            <v>6097</v>
          </cell>
          <cell r="B32" t="str">
            <v>Merritt Commmunity Capital Fund VIII, LP</v>
          </cell>
        </row>
        <row r="33">
          <cell r="A33" t="str">
            <v>6098</v>
          </cell>
          <cell r="B33" t="str">
            <v>New Jersey  Housing Opportunity Fund III, LLC</v>
          </cell>
        </row>
        <row r="34">
          <cell r="A34" t="str">
            <v>6100</v>
          </cell>
          <cell r="B34" t="str">
            <v>New Hampshire Housing Equity Fund 2002 LP</v>
          </cell>
        </row>
        <row r="35">
          <cell r="A35" t="str">
            <v xml:space="preserve">6104      </v>
          </cell>
          <cell r="B35" t="str">
            <v>Native American Housing Fund II</v>
          </cell>
        </row>
        <row r="36">
          <cell r="A36" t="str">
            <v xml:space="preserve">6108      </v>
          </cell>
          <cell r="B36" t="str">
            <v>St. Louis Equity Fund 2003 LLC</v>
          </cell>
        </row>
        <row r="37">
          <cell r="A37" t="str">
            <v>6112</v>
          </cell>
          <cell r="B37" t="str">
            <v>Housing Equity Fund of Virginia IX, L.L.C.</v>
          </cell>
        </row>
        <row r="38">
          <cell r="A38" t="str">
            <v>ESIC_FileNumber</v>
          </cell>
          <cell r="B38" t="str">
            <v>Owner</v>
          </cell>
        </row>
        <row r="39">
          <cell r="A39" t="str">
            <v>1002</v>
          </cell>
          <cell r="B39" t="str">
            <v>Lexington Village II Limited Partnership</v>
          </cell>
        </row>
        <row r="40">
          <cell r="A40" t="str">
            <v>1004</v>
          </cell>
          <cell r="B40" t="str">
            <v>Cleveland Multifamily Limited Partnership II</v>
          </cell>
        </row>
        <row r="41">
          <cell r="A41" t="str">
            <v>1005</v>
          </cell>
          <cell r="B41" t="str">
            <v>Lanvale Apartments Limited Partnership</v>
          </cell>
        </row>
        <row r="42">
          <cell r="A42" t="str">
            <v>1006</v>
          </cell>
          <cell r="B42" t="str">
            <v>BHP Bretton Terrace Limited Partnership</v>
          </cell>
        </row>
        <row r="43">
          <cell r="A43" t="str">
            <v>1007</v>
          </cell>
          <cell r="B43" t="str">
            <v>Calverton Limited Partnership</v>
          </cell>
        </row>
        <row r="44">
          <cell r="A44" t="str">
            <v>1008</v>
          </cell>
          <cell r="B44" t="str">
            <v>Cleveland Housing Network Limited Partnership VI</v>
          </cell>
        </row>
        <row r="45">
          <cell r="A45" t="str">
            <v>1010</v>
          </cell>
          <cell r="B45" t="str">
            <v>Alcott Place Limited Partnership</v>
          </cell>
        </row>
        <row r="46">
          <cell r="A46" t="str">
            <v>1011</v>
          </cell>
          <cell r="B46" t="str">
            <v>DeVilliers Gardens, Ltd.</v>
          </cell>
        </row>
        <row r="47">
          <cell r="A47" t="str">
            <v>1012</v>
          </cell>
          <cell r="B47" t="str">
            <v>Denver Revitalization Partnership VII, Ltd.</v>
          </cell>
        </row>
        <row r="48">
          <cell r="A48" t="str">
            <v>1013</v>
          </cell>
          <cell r="B48" t="str">
            <v>Z - Moser Manor Limited Partnership</v>
          </cell>
        </row>
        <row r="49">
          <cell r="A49" t="str">
            <v>1014</v>
          </cell>
          <cell r="B49" t="str">
            <v>Urban League Apartments, Ltd.</v>
          </cell>
        </row>
        <row r="50">
          <cell r="A50" t="str">
            <v>1016</v>
          </cell>
          <cell r="B50" t="str">
            <v>Miller's Manor Limited Partnership</v>
          </cell>
        </row>
        <row r="51">
          <cell r="A51" t="str">
            <v>1017</v>
          </cell>
          <cell r="B51" t="str">
            <v>Everitt/Spencer Limited Partnership</v>
          </cell>
        </row>
        <row r="52">
          <cell r="A52" t="str">
            <v>1018</v>
          </cell>
          <cell r="B52" t="str">
            <v>Gardner Apartments Limited Partnership</v>
          </cell>
        </row>
        <row r="53">
          <cell r="A53" t="str">
            <v>1019</v>
          </cell>
          <cell r="B53" t="str">
            <v>Lafayette Limited Partnership</v>
          </cell>
        </row>
        <row r="54">
          <cell r="A54" t="str">
            <v>1020</v>
          </cell>
          <cell r="B54" t="str">
            <v>Orchard Club Limited Partnership</v>
          </cell>
        </row>
        <row r="55">
          <cell r="A55" t="str">
            <v>1021</v>
          </cell>
          <cell r="B55" t="str">
            <v>Denver Revitalization Partnership IX, Ltd.</v>
          </cell>
        </row>
        <row r="56">
          <cell r="A56" t="str">
            <v>1022</v>
          </cell>
          <cell r="B56" t="str">
            <v>CNE Affordable Housing Limited Partnership</v>
          </cell>
        </row>
        <row r="57">
          <cell r="A57" t="str">
            <v>1023</v>
          </cell>
          <cell r="B57" t="str">
            <v>EHP Associates III Limited Partnership</v>
          </cell>
        </row>
        <row r="58">
          <cell r="A58" t="str">
            <v>1024</v>
          </cell>
          <cell r="B58" t="str">
            <v>Streamside Limited Partnership</v>
          </cell>
        </row>
        <row r="59">
          <cell r="A59" t="str">
            <v>1025</v>
          </cell>
          <cell r="B59" t="str">
            <v>Park Davis Apartment Associates, an Idaho Limited Partnership</v>
          </cell>
        </row>
        <row r="60">
          <cell r="A60" t="str">
            <v>1026</v>
          </cell>
          <cell r="B60" t="str">
            <v>Crawford-Roberts, Limited Partnership</v>
          </cell>
        </row>
        <row r="61">
          <cell r="A61" t="str">
            <v>1027</v>
          </cell>
          <cell r="B61" t="str">
            <v>Denver Revitalization Partnership X, Ltd.</v>
          </cell>
        </row>
        <row r="62">
          <cell r="A62" t="str">
            <v>1028</v>
          </cell>
          <cell r="B62" t="str">
            <v>The Sally McCracken Building Limited Partnership</v>
          </cell>
        </row>
        <row r="63">
          <cell r="A63" t="str">
            <v>1029</v>
          </cell>
          <cell r="B63" t="str">
            <v>Tryon Grove Limited Partnership</v>
          </cell>
        </row>
        <row r="64">
          <cell r="A64" t="str">
            <v>1030</v>
          </cell>
          <cell r="B64" t="str">
            <v>Squire's Court of Fruitland Limited Partnership</v>
          </cell>
        </row>
        <row r="65">
          <cell r="A65" t="str">
            <v>1031</v>
          </cell>
          <cell r="B65" t="str">
            <v>Englewood West Apartments Limited Partnership</v>
          </cell>
        </row>
        <row r="66">
          <cell r="A66" t="str">
            <v>1032</v>
          </cell>
          <cell r="B66" t="str">
            <v>March Street, Ltd.</v>
          </cell>
        </row>
        <row r="67">
          <cell r="A67" t="str">
            <v>1033</v>
          </cell>
          <cell r="B67" t="str">
            <v>Seagate Limited Partnership</v>
          </cell>
        </row>
        <row r="68">
          <cell r="A68" t="str">
            <v>1034</v>
          </cell>
          <cell r="B68" t="str">
            <v>Cleveland Housing Network Limited Partnership VII</v>
          </cell>
        </row>
        <row r="69">
          <cell r="A69" t="str">
            <v>1035</v>
          </cell>
          <cell r="B69" t="str">
            <v>Montgomery Homes Limited Partnership V</v>
          </cell>
        </row>
        <row r="70">
          <cell r="A70" t="str">
            <v>1036</v>
          </cell>
          <cell r="B70" t="str">
            <v>St. Mark's Limited Partnership</v>
          </cell>
        </row>
        <row r="71">
          <cell r="A71" t="str">
            <v>1037</v>
          </cell>
          <cell r="B71" t="str">
            <v>MEND LP</v>
          </cell>
        </row>
        <row r="72">
          <cell r="A72" t="str">
            <v>1038</v>
          </cell>
          <cell r="B72" t="str">
            <v>Lakeview Rental Housing Limited Partnership</v>
          </cell>
        </row>
        <row r="73">
          <cell r="A73" t="str">
            <v>1039</v>
          </cell>
          <cell r="B73" t="str">
            <v>Williamstown Housing Associates</v>
          </cell>
        </row>
        <row r="74">
          <cell r="A74" t="str">
            <v>1040</v>
          </cell>
          <cell r="B74" t="str">
            <v>Richardson Bridge Limited Partnership</v>
          </cell>
        </row>
        <row r="75">
          <cell r="A75" t="str">
            <v>1041</v>
          </cell>
          <cell r="B75" t="str">
            <v>Casa Mutua Limited Partnership</v>
          </cell>
        </row>
        <row r="76">
          <cell r="A76" t="str">
            <v>1042</v>
          </cell>
          <cell r="B76" t="str">
            <v>Parkmead Apartments Limited Partnership</v>
          </cell>
        </row>
        <row r="77">
          <cell r="A77" t="str">
            <v>1043</v>
          </cell>
          <cell r="B77" t="str">
            <v>305 West 97th Street Associates, L.P.</v>
          </cell>
        </row>
        <row r="78">
          <cell r="A78" t="str">
            <v>1044</v>
          </cell>
          <cell r="B78" t="str">
            <v>Prairie View Apartments Limited Partnership</v>
          </cell>
        </row>
        <row r="79">
          <cell r="A79" t="str">
            <v>1045</v>
          </cell>
          <cell r="B79" t="str">
            <v>Forest Edge, Ltd.</v>
          </cell>
        </row>
        <row r="80">
          <cell r="A80" t="str">
            <v>1046</v>
          </cell>
          <cell r="B80" t="str">
            <v>Skinner Butte Limited Partnership</v>
          </cell>
        </row>
        <row r="81">
          <cell r="A81" t="str">
            <v>1047</v>
          </cell>
          <cell r="B81" t="str">
            <v>107-109 Limited Partnership</v>
          </cell>
        </row>
        <row r="82">
          <cell r="A82" t="str">
            <v>1048</v>
          </cell>
          <cell r="B82" t="str">
            <v>Silverlake Plaza Limited Partnership</v>
          </cell>
        </row>
        <row r="83">
          <cell r="A83" t="str">
            <v>1049</v>
          </cell>
          <cell r="B83" t="str">
            <v>Welcome House SRO Limited Partnership</v>
          </cell>
        </row>
        <row r="84">
          <cell r="A84" t="str">
            <v>1050</v>
          </cell>
          <cell r="B84" t="str">
            <v>Brighton Place Associates, L.P.</v>
          </cell>
        </row>
        <row r="85">
          <cell r="A85" t="str">
            <v>1051</v>
          </cell>
          <cell r="B85" t="str">
            <v>San Felipe Homes, L.P.</v>
          </cell>
        </row>
        <row r="86">
          <cell r="A86" t="str">
            <v>1052</v>
          </cell>
          <cell r="B86" t="str">
            <v>Colerain-Freeman Limited Partnership</v>
          </cell>
        </row>
        <row r="87">
          <cell r="A87" t="str">
            <v>1053</v>
          </cell>
          <cell r="B87" t="str">
            <v>Z - Franciscan Homes II Limited Partnership</v>
          </cell>
        </row>
        <row r="88">
          <cell r="A88" t="str">
            <v>1054</v>
          </cell>
          <cell r="B88" t="str">
            <v>Cleveland Housing Network Limited Partnership VIII</v>
          </cell>
        </row>
        <row r="89">
          <cell r="A89" t="str">
            <v>1055</v>
          </cell>
          <cell r="B89" t="str">
            <v>South Buckner L.P.</v>
          </cell>
        </row>
        <row r="90">
          <cell r="A90" t="str">
            <v>1056</v>
          </cell>
          <cell r="B90" t="str">
            <v>Community Housing Associates Limited Partnership I</v>
          </cell>
        </row>
        <row r="91">
          <cell r="A91" t="str">
            <v>1057</v>
          </cell>
          <cell r="B91" t="str">
            <v>219 Henry Street Community Limited Partnership</v>
          </cell>
        </row>
        <row r="92">
          <cell r="A92" t="str">
            <v>1058</v>
          </cell>
          <cell r="B92" t="str">
            <v>381 Associates</v>
          </cell>
        </row>
        <row r="93">
          <cell r="A93" t="str">
            <v>1059</v>
          </cell>
          <cell r="B93" t="str">
            <v>Linwood Court Limited Partnership</v>
          </cell>
        </row>
        <row r="94">
          <cell r="A94" t="str">
            <v>1060</v>
          </cell>
          <cell r="B94" t="str">
            <v>New Life Associates Limited Partnership</v>
          </cell>
        </row>
        <row r="95">
          <cell r="A95" t="str">
            <v>1061</v>
          </cell>
          <cell r="B95" t="str">
            <v>Buckingham House Limited Partnership</v>
          </cell>
        </row>
        <row r="96">
          <cell r="A96" t="str">
            <v>1062</v>
          </cell>
          <cell r="B96" t="str">
            <v>O'Donnell Square Housing Limited Partnership</v>
          </cell>
        </row>
        <row r="97">
          <cell r="A97" t="str">
            <v>1063</v>
          </cell>
          <cell r="B97" t="str">
            <v>Avonlea Limited Partnership</v>
          </cell>
        </row>
        <row r="98">
          <cell r="A98" t="str">
            <v>1064</v>
          </cell>
          <cell r="B98" t="str">
            <v>Immokalee Non-Profit Housing, Ltd.</v>
          </cell>
        </row>
        <row r="99">
          <cell r="A99" t="str">
            <v>1065</v>
          </cell>
          <cell r="B99" t="str">
            <v>Monica Place Associates, Limited Partnership</v>
          </cell>
        </row>
        <row r="100">
          <cell r="A100" t="str">
            <v>1066</v>
          </cell>
          <cell r="B100" t="str">
            <v>NOAH Midtown II Limited Partnership</v>
          </cell>
        </row>
        <row r="101">
          <cell r="A101" t="str">
            <v>1067</v>
          </cell>
          <cell r="B101" t="str">
            <v>Shoreline Building Limited Partnership</v>
          </cell>
        </row>
        <row r="102">
          <cell r="A102" t="str">
            <v>1068</v>
          </cell>
          <cell r="B102" t="str">
            <v>Southview Terrace Apartments Limited Partnership</v>
          </cell>
        </row>
        <row r="103">
          <cell r="A103" t="str">
            <v>1069</v>
          </cell>
          <cell r="B103" t="str">
            <v>366 Hewes Street Associates, L.P.</v>
          </cell>
        </row>
        <row r="104">
          <cell r="A104" t="str">
            <v>1070</v>
          </cell>
          <cell r="B104" t="str">
            <v>Blake Street Homes Limited Partnership</v>
          </cell>
        </row>
        <row r="105">
          <cell r="A105" t="str">
            <v>1071</v>
          </cell>
          <cell r="B105" t="str">
            <v>Cornerstone-Meadows Limited Partnership</v>
          </cell>
        </row>
        <row r="106">
          <cell r="A106" t="str">
            <v>1072</v>
          </cell>
          <cell r="B106" t="str">
            <v>Emerson Street Partnership, Ltd.</v>
          </cell>
        </row>
        <row r="107">
          <cell r="A107" t="str">
            <v>1073</v>
          </cell>
          <cell r="B107" t="str">
            <v>Kellom Knolls Phase II Limited Partnership</v>
          </cell>
        </row>
        <row r="108">
          <cell r="A108" t="str">
            <v>1074</v>
          </cell>
          <cell r="B108" t="str">
            <v>Winthrop Habitat Limited Partnership</v>
          </cell>
        </row>
        <row r="109">
          <cell r="A109" t="str">
            <v>1075</v>
          </cell>
          <cell r="B109" t="str">
            <v>Court Street Senior Housing Associates Limited Partnership</v>
          </cell>
        </row>
        <row r="110">
          <cell r="A110" t="str">
            <v>1076</v>
          </cell>
          <cell r="B110" t="str">
            <v>BHP/Ocala Limited Partnership</v>
          </cell>
        </row>
        <row r="111">
          <cell r="A111" t="str">
            <v>1077</v>
          </cell>
          <cell r="B111" t="str">
            <v>BHP/SS. Philip and James Limited Partnership</v>
          </cell>
        </row>
        <row r="112">
          <cell r="A112" t="str">
            <v>1078</v>
          </cell>
          <cell r="B112" t="str">
            <v>Interfaith Tanyard Branch Limited Partnership</v>
          </cell>
        </row>
        <row r="113">
          <cell r="A113" t="str">
            <v>1079</v>
          </cell>
          <cell r="B113" t="str">
            <v>Point Breeze Redevelopment, L.P.</v>
          </cell>
        </row>
        <row r="114">
          <cell r="A114" t="str">
            <v>1080</v>
          </cell>
          <cell r="B114" t="str">
            <v>258 East 4th Street, L.P.</v>
          </cell>
        </row>
        <row r="115">
          <cell r="A115" t="str">
            <v>1081</v>
          </cell>
          <cell r="B115" t="str">
            <v>74 Warburton Limited Partnership</v>
          </cell>
        </row>
        <row r="116">
          <cell r="A116" t="str">
            <v>1082</v>
          </cell>
          <cell r="B116" t="str">
            <v>Marketview Housing, L.P.</v>
          </cell>
        </row>
        <row r="117">
          <cell r="A117" t="str">
            <v>1083</v>
          </cell>
          <cell r="B117" t="str">
            <v>Pomeroy School Apartments, L.P.</v>
          </cell>
        </row>
        <row r="118">
          <cell r="A118" t="str">
            <v>1084</v>
          </cell>
          <cell r="B118" t="str">
            <v>West 1 Limited Partnership</v>
          </cell>
        </row>
        <row r="119">
          <cell r="A119" t="str">
            <v>1085</v>
          </cell>
          <cell r="B119" t="str">
            <v>Brandon Housing Limited Partnership</v>
          </cell>
        </row>
        <row r="120">
          <cell r="A120" t="str">
            <v>1086</v>
          </cell>
          <cell r="B120" t="str">
            <v>Colebrook Housing Associates A Limited Partnership</v>
          </cell>
        </row>
        <row r="121">
          <cell r="A121" t="str">
            <v>1087</v>
          </cell>
          <cell r="B121" t="str">
            <v>Crocker Street Partners L.P.</v>
          </cell>
        </row>
        <row r="122">
          <cell r="A122" t="str">
            <v>1088</v>
          </cell>
          <cell r="B122" t="str">
            <v>Norbo Hotel Partners, L.P.</v>
          </cell>
        </row>
        <row r="123">
          <cell r="A123" t="str">
            <v>1089</v>
          </cell>
          <cell r="B123" t="str">
            <v>Boquet Development, L.P.</v>
          </cell>
        </row>
        <row r="124">
          <cell r="A124" t="str">
            <v>1090</v>
          </cell>
          <cell r="B124" t="str">
            <v>EJM Housing, L.P.</v>
          </cell>
        </row>
        <row r="125">
          <cell r="A125" t="str">
            <v>1091</v>
          </cell>
          <cell r="B125" t="str">
            <v>Owen Brown II Limited Partnership</v>
          </cell>
        </row>
        <row r="126">
          <cell r="A126" t="str">
            <v>1092</v>
          </cell>
          <cell r="B126" t="str">
            <v>Courtland Hotel Limited Partnership</v>
          </cell>
        </row>
        <row r="127">
          <cell r="A127" t="str">
            <v>1093</v>
          </cell>
          <cell r="B127" t="str">
            <v>Crescent Court Limited Partnership</v>
          </cell>
        </row>
        <row r="128">
          <cell r="A128" t="str">
            <v>1094</v>
          </cell>
          <cell r="B128" t="str">
            <v>Maple Grove III Limited Partnership</v>
          </cell>
        </row>
        <row r="129">
          <cell r="A129" t="str">
            <v>1095</v>
          </cell>
          <cell r="B129" t="str">
            <v>Walnut Woods Limited Partnership</v>
          </cell>
        </row>
        <row r="130">
          <cell r="A130" t="str">
            <v>1096</v>
          </cell>
          <cell r="B130" t="str">
            <v>East Harlem Associates Limited Partnership</v>
          </cell>
        </row>
        <row r="131">
          <cell r="A131" t="str">
            <v>1097</v>
          </cell>
          <cell r="B131" t="str">
            <v>New Square, L.P.</v>
          </cell>
        </row>
        <row r="132">
          <cell r="A132" t="str">
            <v>1098</v>
          </cell>
          <cell r="B132" t="str">
            <v>235 Berendo, L.P.</v>
          </cell>
        </row>
        <row r="133">
          <cell r="A133" t="str">
            <v>1099</v>
          </cell>
          <cell r="B133" t="str">
            <v>Sharon Towers Limited Partnership</v>
          </cell>
        </row>
        <row r="134">
          <cell r="A134" t="str">
            <v>1100</v>
          </cell>
          <cell r="B134" t="str">
            <v>Miami Sandstone Limited Partnership</v>
          </cell>
        </row>
        <row r="135">
          <cell r="A135" t="str">
            <v>1101</v>
          </cell>
          <cell r="B135" t="str">
            <v>Brookside Development, L.P.</v>
          </cell>
        </row>
        <row r="136">
          <cell r="A136" t="str">
            <v>1102</v>
          </cell>
          <cell r="B136" t="str">
            <v>Williamsburg Court, L.P.</v>
          </cell>
        </row>
        <row r="137">
          <cell r="A137" t="str">
            <v>1103</v>
          </cell>
          <cell r="B137" t="str">
            <v>Marcy Baer Associates, L.P.</v>
          </cell>
        </row>
        <row r="138">
          <cell r="A138" t="str">
            <v>1104</v>
          </cell>
          <cell r="B138" t="str">
            <v>Nuevo Amanecer Limited Partnership</v>
          </cell>
        </row>
        <row r="139">
          <cell r="A139" t="str">
            <v>1105</v>
          </cell>
          <cell r="B139" t="str">
            <v>Cleveland Housing Network Limited Partnership IX</v>
          </cell>
        </row>
        <row r="140">
          <cell r="A140" t="str">
            <v>1106</v>
          </cell>
          <cell r="B140" t="str">
            <v>Exodus Associates, L.P.</v>
          </cell>
        </row>
        <row r="141">
          <cell r="A141" t="str">
            <v>1107</v>
          </cell>
          <cell r="B141" t="str">
            <v>23 Park Avenue Limited Partnership</v>
          </cell>
        </row>
        <row r="142">
          <cell r="A142" t="str">
            <v>1108</v>
          </cell>
          <cell r="B142" t="str">
            <v>Stephanie Lane Real Estate Limited Partnership</v>
          </cell>
        </row>
        <row r="143">
          <cell r="A143" t="str">
            <v>1109</v>
          </cell>
          <cell r="B143" t="str">
            <v>The Cedars Limited Partnership</v>
          </cell>
        </row>
        <row r="144">
          <cell r="A144" t="str">
            <v>1110</v>
          </cell>
          <cell r="B144" t="str">
            <v>Broadway Court Limited Partnership</v>
          </cell>
        </row>
        <row r="145">
          <cell r="A145" t="str">
            <v>1111</v>
          </cell>
          <cell r="B145" t="str">
            <v>Roanoke AT HOME Limited Partnership</v>
          </cell>
        </row>
        <row r="146">
          <cell r="A146" t="str">
            <v>1112</v>
          </cell>
          <cell r="B146" t="str">
            <v>GEMA Hall Limited Partnership</v>
          </cell>
        </row>
        <row r="147">
          <cell r="A147" t="str">
            <v>1113</v>
          </cell>
          <cell r="B147" t="str">
            <v>Conroy, L.P.</v>
          </cell>
        </row>
        <row r="148">
          <cell r="A148" t="str">
            <v>1114</v>
          </cell>
          <cell r="B148" t="str">
            <v>Berryman Square Limited Partnership</v>
          </cell>
        </row>
        <row r="149">
          <cell r="A149" t="str">
            <v>1115</v>
          </cell>
          <cell r="B149" t="str">
            <v>Harford House Limited Partnership</v>
          </cell>
        </row>
        <row r="150">
          <cell r="A150" t="str">
            <v>1116</v>
          </cell>
          <cell r="B150" t="str">
            <v>Lanning Square West, L.P.</v>
          </cell>
        </row>
        <row r="151">
          <cell r="A151" t="str">
            <v>1117</v>
          </cell>
          <cell r="B151" t="str">
            <v>Renaissance I Limited Partnership</v>
          </cell>
        </row>
        <row r="152">
          <cell r="A152" t="str">
            <v>1118</v>
          </cell>
          <cell r="B152" t="str">
            <v>Bridgeview Apartments, L.P.</v>
          </cell>
        </row>
        <row r="153">
          <cell r="A153" t="str">
            <v>1119</v>
          </cell>
          <cell r="B153" t="str">
            <v>Project Peoples Place, L.P.</v>
          </cell>
        </row>
        <row r="154">
          <cell r="A154" t="str">
            <v>1120</v>
          </cell>
          <cell r="B154" t="str">
            <v>Montgomery Homes Limited Partnership VI-A</v>
          </cell>
        </row>
        <row r="155">
          <cell r="A155" t="str">
            <v>1121</v>
          </cell>
          <cell r="B155" t="str">
            <v>Academy Square, L.P.</v>
          </cell>
        </row>
        <row r="156">
          <cell r="A156" t="str">
            <v>1122</v>
          </cell>
          <cell r="B156" t="str">
            <v>Edgewood Center, L.P.</v>
          </cell>
        </row>
        <row r="157">
          <cell r="A157" t="str">
            <v>1123</v>
          </cell>
          <cell r="B157" t="str">
            <v>Boulder Woodlands, L.P.</v>
          </cell>
        </row>
        <row r="158">
          <cell r="A158" t="str">
            <v>1124</v>
          </cell>
          <cell r="B158" t="str">
            <v>Access Houses Limited Partnership</v>
          </cell>
        </row>
        <row r="159">
          <cell r="A159" t="str">
            <v>1125</v>
          </cell>
          <cell r="B159" t="str">
            <v>Garfield Commons Limited Partnership</v>
          </cell>
        </row>
        <row r="160">
          <cell r="A160" t="str">
            <v>1126</v>
          </cell>
          <cell r="B160" t="str">
            <v>BHP/Johnston Square Limited Partnership</v>
          </cell>
        </row>
        <row r="161">
          <cell r="A161" t="str">
            <v>1127</v>
          </cell>
          <cell r="B161" t="str">
            <v>Amberwood Village Apartments Limited Partnership</v>
          </cell>
        </row>
        <row r="162">
          <cell r="A162" t="str">
            <v>1128</v>
          </cell>
          <cell r="B162" t="str">
            <v>City Homes III Limited Partnership</v>
          </cell>
        </row>
        <row r="163">
          <cell r="A163" t="str">
            <v>1129</v>
          </cell>
          <cell r="B163" t="str">
            <v>Helen Ann Swindells Building Limited Partnership</v>
          </cell>
        </row>
        <row r="164">
          <cell r="A164" t="str">
            <v>1130</v>
          </cell>
          <cell r="B164" t="str">
            <v>Hillview Village, L.P.</v>
          </cell>
        </row>
        <row r="165">
          <cell r="A165" t="str">
            <v>1131</v>
          </cell>
          <cell r="B165" t="str">
            <v>Peter Faneuil Limited Partnership</v>
          </cell>
        </row>
        <row r="166">
          <cell r="A166" t="str">
            <v>1132</v>
          </cell>
          <cell r="B166" t="str">
            <v>WCH Limited Partnership</v>
          </cell>
        </row>
        <row r="167">
          <cell r="A167" t="str">
            <v>1133</v>
          </cell>
          <cell r="B167" t="str">
            <v>Vera Cruz Redevelopment Partnership, Ltd.</v>
          </cell>
        </row>
        <row r="168">
          <cell r="A168" t="str">
            <v>1134</v>
          </cell>
          <cell r="B168" t="str">
            <v>Milford Apartments, L.P.</v>
          </cell>
        </row>
        <row r="169">
          <cell r="A169" t="str">
            <v>1135</v>
          </cell>
          <cell r="B169" t="str">
            <v>Historic East Side Neighborhood Housing L.P.</v>
          </cell>
        </row>
        <row r="170">
          <cell r="A170" t="str">
            <v>1136</v>
          </cell>
          <cell r="B170" t="str">
            <v>Sedgebrook Limited Partnership</v>
          </cell>
        </row>
        <row r="171">
          <cell r="A171" t="str">
            <v>1137</v>
          </cell>
          <cell r="B171" t="str">
            <v>LESMHA, L.P.</v>
          </cell>
        </row>
        <row r="172">
          <cell r="A172" t="str">
            <v>1138</v>
          </cell>
          <cell r="B172" t="str">
            <v>Towpath Apartments Limited Partnership</v>
          </cell>
        </row>
        <row r="173">
          <cell r="A173" t="str">
            <v>1139</v>
          </cell>
          <cell r="B173" t="str">
            <v>CARE Housing/Greenbriar I Ltd.</v>
          </cell>
        </row>
        <row r="174">
          <cell r="A174" t="str">
            <v>1140</v>
          </cell>
          <cell r="B174" t="str">
            <v>Crotona Terrace Apartments, L.P.</v>
          </cell>
        </row>
        <row r="175">
          <cell r="A175" t="str">
            <v>1141</v>
          </cell>
          <cell r="B175" t="str">
            <v>Mariposa Housing Partners LP</v>
          </cell>
        </row>
        <row r="176">
          <cell r="A176" t="str">
            <v>1142</v>
          </cell>
          <cell r="B176" t="str">
            <v>Parkside Village, Ltd.</v>
          </cell>
        </row>
        <row r="177">
          <cell r="A177" t="str">
            <v>1143</v>
          </cell>
          <cell r="B177" t="str">
            <v>BHP/Royalton Limited Partnership</v>
          </cell>
        </row>
        <row r="178">
          <cell r="A178" t="str">
            <v>1144</v>
          </cell>
          <cell r="B178" t="str">
            <v>Greensboro Elderly Affordable Housing I Limited Partnership</v>
          </cell>
        </row>
        <row r="179">
          <cell r="A179" t="str">
            <v>1145</v>
          </cell>
          <cell r="B179" t="str">
            <v>Broadway Apartments Limited Partnership</v>
          </cell>
        </row>
        <row r="180">
          <cell r="A180" t="str">
            <v>1146</v>
          </cell>
          <cell r="B180" t="str">
            <v>Clinton Housing West 35th Partners, L.P.</v>
          </cell>
        </row>
        <row r="181">
          <cell r="A181" t="str">
            <v>1147</v>
          </cell>
          <cell r="B181" t="str">
            <v>ElderHope Limited Partnership</v>
          </cell>
        </row>
        <row r="182">
          <cell r="A182" t="str">
            <v>1148</v>
          </cell>
          <cell r="B182" t="str">
            <v>Florida City Apartments, Ltd.</v>
          </cell>
        </row>
        <row r="183">
          <cell r="A183" t="str">
            <v>1149</v>
          </cell>
          <cell r="B183" t="str">
            <v>Johnson Housing Associates, Limited Partnership</v>
          </cell>
        </row>
        <row r="184">
          <cell r="A184" t="str">
            <v>1150</v>
          </cell>
          <cell r="B184" t="str">
            <v>Park City, Ltd.</v>
          </cell>
        </row>
        <row r="185">
          <cell r="A185" t="str">
            <v>1151</v>
          </cell>
          <cell r="B185" t="str">
            <v>East New York Partnership, L.P.</v>
          </cell>
        </row>
        <row r="186">
          <cell r="A186" t="str">
            <v>1152</v>
          </cell>
          <cell r="B186" t="str">
            <v>Oxford Community Apartments, L.P.</v>
          </cell>
        </row>
        <row r="187">
          <cell r="A187" t="str">
            <v>1153</v>
          </cell>
          <cell r="B187" t="str">
            <v>Deschutes Family Housing Limited Partnership</v>
          </cell>
        </row>
        <row r="188">
          <cell r="A188" t="str">
            <v>1154</v>
          </cell>
          <cell r="B188" t="str">
            <v>ODC Crossing Limited Partnership</v>
          </cell>
        </row>
        <row r="189">
          <cell r="A189" t="str">
            <v>1155</v>
          </cell>
          <cell r="B189" t="str">
            <v>Cleveland Housing Network Limited Partnership X</v>
          </cell>
        </row>
        <row r="190">
          <cell r="A190" t="str">
            <v>1156</v>
          </cell>
          <cell r="B190" t="str">
            <v>The Arbors Limited Partnership</v>
          </cell>
        </row>
        <row r="191">
          <cell r="A191" t="str">
            <v>1157</v>
          </cell>
          <cell r="B191" t="str">
            <v>Columbia Avenue Partners LP</v>
          </cell>
        </row>
        <row r="192">
          <cell r="A192" t="str">
            <v>1158</v>
          </cell>
          <cell r="B192" t="str">
            <v>Hycienda Heights Limited Partnership</v>
          </cell>
        </row>
        <row r="193">
          <cell r="A193" t="str">
            <v>1159</v>
          </cell>
          <cell r="B193" t="str">
            <v>Bridgewood Square Limited Partnership</v>
          </cell>
        </row>
        <row r="194">
          <cell r="A194" t="str">
            <v>1160</v>
          </cell>
          <cell r="B194" t="str">
            <v>Center City Apartment Associates</v>
          </cell>
        </row>
        <row r="195">
          <cell r="A195" t="str">
            <v>1161</v>
          </cell>
          <cell r="B195" t="str">
            <v>Cranberry Equities Limited Partnership</v>
          </cell>
        </row>
        <row r="196">
          <cell r="A196" t="str">
            <v>1162</v>
          </cell>
          <cell r="B196" t="str">
            <v>Willow Pond Limited Partnership</v>
          </cell>
        </row>
        <row r="197">
          <cell r="A197" t="str">
            <v>1163</v>
          </cell>
          <cell r="B197" t="str">
            <v>East Park Limited Partnership</v>
          </cell>
        </row>
        <row r="198">
          <cell r="A198" t="str">
            <v>1164</v>
          </cell>
          <cell r="B198" t="str">
            <v>Mott Centre Street Apartments, L.P.</v>
          </cell>
        </row>
        <row r="199">
          <cell r="A199" t="str">
            <v>1165</v>
          </cell>
          <cell r="B199" t="str">
            <v>Kinnaman Limited Partnership</v>
          </cell>
        </row>
        <row r="200">
          <cell r="A200" t="str">
            <v>1166</v>
          </cell>
          <cell r="B200" t="str">
            <v>Villa San Miguel Partners, a California Limited Partnership</v>
          </cell>
        </row>
        <row r="201">
          <cell r="A201" t="str">
            <v>1167</v>
          </cell>
          <cell r="B201" t="str">
            <v>Valley Run Associates, L.P.</v>
          </cell>
        </row>
        <row r="202">
          <cell r="A202" t="str">
            <v>1168</v>
          </cell>
          <cell r="B202" t="str">
            <v>Rothchild Building Limited Partnership</v>
          </cell>
        </row>
        <row r="203">
          <cell r="A203" t="str">
            <v>1169</v>
          </cell>
          <cell r="B203" t="str">
            <v>Marketview Phase II, L.P.</v>
          </cell>
        </row>
        <row r="204">
          <cell r="A204" t="str">
            <v>1170</v>
          </cell>
          <cell r="B204" t="str">
            <v>Willis Road Associates, L.P.</v>
          </cell>
        </row>
        <row r="205">
          <cell r="A205" t="str">
            <v>1171</v>
          </cell>
          <cell r="B205" t="str">
            <v>Washington Ridge Limited Partnership</v>
          </cell>
        </row>
        <row r="206">
          <cell r="A206" t="str">
            <v>1172</v>
          </cell>
          <cell r="B206" t="str">
            <v>Westminster Place, L.P.</v>
          </cell>
        </row>
        <row r="207">
          <cell r="A207" t="str">
            <v>1173</v>
          </cell>
          <cell r="B207" t="str">
            <v>Marina Seniors Housing Partners, a California Limited Partnership</v>
          </cell>
        </row>
        <row r="208">
          <cell r="A208" t="str">
            <v>1174</v>
          </cell>
          <cell r="B208" t="str">
            <v>39 West Apartments, L.P.</v>
          </cell>
        </row>
        <row r="209">
          <cell r="A209" t="str">
            <v>1175</v>
          </cell>
          <cell r="B209" t="str">
            <v>Bellevieu Manchester Limited Partnership</v>
          </cell>
        </row>
        <row r="210">
          <cell r="A210" t="str">
            <v>1176</v>
          </cell>
          <cell r="B210" t="str">
            <v>S.C. Model I, L.P.</v>
          </cell>
        </row>
        <row r="211">
          <cell r="A211" t="str">
            <v>1177</v>
          </cell>
          <cell r="B211" t="str">
            <v>Dominion Pines Partners L.P.</v>
          </cell>
        </row>
        <row r="212">
          <cell r="A212" t="str">
            <v>1178</v>
          </cell>
          <cell r="B212" t="str">
            <v>Leisure Villas, Ltd.</v>
          </cell>
        </row>
        <row r="213">
          <cell r="A213" t="str">
            <v>1179</v>
          </cell>
          <cell r="B213" t="str">
            <v>Lee-Orville Apartments Limited Partnership</v>
          </cell>
        </row>
        <row r="214">
          <cell r="A214" t="str">
            <v>1180</v>
          </cell>
          <cell r="B214" t="str">
            <v>Gabilan Hills Apartments Partners, a California Limited Partnership</v>
          </cell>
        </row>
        <row r="215">
          <cell r="A215" t="str">
            <v>1181</v>
          </cell>
          <cell r="B215" t="str">
            <v>New Square, L.P. II</v>
          </cell>
        </row>
        <row r="216">
          <cell r="A216" t="str">
            <v>1182</v>
          </cell>
          <cell r="B216" t="str">
            <v>Highlandtown Cooperative Limited Partnership</v>
          </cell>
        </row>
        <row r="217">
          <cell r="A217" t="str">
            <v>1183</v>
          </cell>
          <cell r="B217" t="str">
            <v>Meadowglade II Limited Partnership</v>
          </cell>
        </row>
        <row r="218">
          <cell r="A218" t="str">
            <v>1184</v>
          </cell>
          <cell r="B218" t="str">
            <v>Cedar Meadows Limited Partnership</v>
          </cell>
        </row>
        <row r="219">
          <cell r="A219" t="str">
            <v>1185</v>
          </cell>
          <cell r="B219" t="str">
            <v>Thirteenth Avenue Building Limited Partnership</v>
          </cell>
        </row>
        <row r="220">
          <cell r="A220" t="str">
            <v>1186</v>
          </cell>
          <cell r="B220" t="str">
            <v>Community Housing Associates Limited Partnership II</v>
          </cell>
        </row>
        <row r="221">
          <cell r="A221" t="str">
            <v>1187</v>
          </cell>
          <cell r="B221" t="str">
            <v>Hillcrest House Partnership, Ltd.</v>
          </cell>
        </row>
        <row r="222">
          <cell r="A222" t="str">
            <v>1188</v>
          </cell>
          <cell r="B222" t="str">
            <v>North Oraton Urban Renewal, L.P.</v>
          </cell>
        </row>
        <row r="223">
          <cell r="A223" t="str">
            <v>1189</v>
          </cell>
          <cell r="B223" t="str">
            <v>Timber Ridge of Immokalee, Limited Partnership</v>
          </cell>
        </row>
        <row r="224">
          <cell r="A224" t="str">
            <v>1190</v>
          </cell>
          <cell r="B224" t="str">
            <v>Carmel Ridge Limited Partnership</v>
          </cell>
        </row>
        <row r="225">
          <cell r="A225" t="str">
            <v>1191</v>
          </cell>
          <cell r="B225" t="str">
            <v>Marsh Ridge LDHA Limited Partnership</v>
          </cell>
        </row>
        <row r="226">
          <cell r="A226" t="str">
            <v>1192</v>
          </cell>
          <cell r="B226" t="str">
            <v>Jericho Housing Associates Limited Partnership</v>
          </cell>
        </row>
        <row r="227">
          <cell r="A227" t="str">
            <v>1193</v>
          </cell>
          <cell r="B227" t="str">
            <v>Camellia Court Limited Partnership</v>
          </cell>
        </row>
        <row r="228">
          <cell r="A228" t="str">
            <v>1194</v>
          </cell>
          <cell r="B228" t="str">
            <v>Christiana Farms Associates, L.P.</v>
          </cell>
        </row>
        <row r="229">
          <cell r="A229" t="str">
            <v>1195</v>
          </cell>
          <cell r="B229" t="str">
            <v>N Street Village Limited Partnership</v>
          </cell>
        </row>
        <row r="230">
          <cell r="A230" t="str">
            <v>1196</v>
          </cell>
          <cell r="B230" t="str">
            <v>Barnett Townhomes Limited Partnership</v>
          </cell>
        </row>
        <row r="231">
          <cell r="A231" t="str">
            <v>1197</v>
          </cell>
          <cell r="B231" t="str">
            <v>Walnut Park Limited Partnership</v>
          </cell>
        </row>
        <row r="232">
          <cell r="A232" t="str">
            <v>1198</v>
          </cell>
          <cell r="B232" t="str">
            <v>DeLowe Place, L.P.</v>
          </cell>
        </row>
        <row r="233">
          <cell r="A233" t="str">
            <v>1199</v>
          </cell>
          <cell r="B233" t="str">
            <v>Surfgate Limited Partnership</v>
          </cell>
        </row>
        <row r="234">
          <cell r="A234" t="str">
            <v>1200</v>
          </cell>
          <cell r="B234" t="str">
            <v>Elkridge Apartments Limited Partnership</v>
          </cell>
        </row>
        <row r="235">
          <cell r="A235" t="str">
            <v>1201</v>
          </cell>
          <cell r="B235" t="str">
            <v>The Fernwell Limited Partnership</v>
          </cell>
        </row>
        <row r="236">
          <cell r="A236" t="str">
            <v>1202</v>
          </cell>
          <cell r="B236" t="str">
            <v>George's Creek Limited Partnership</v>
          </cell>
        </row>
        <row r="237">
          <cell r="A237" t="str">
            <v>1203</v>
          </cell>
          <cell r="B237" t="str">
            <v>Spring Manor LDHA Limited Partnership</v>
          </cell>
        </row>
        <row r="238">
          <cell r="A238" t="str">
            <v>1204</v>
          </cell>
          <cell r="B238" t="str">
            <v>Victoria Gardens Limited Partnership</v>
          </cell>
        </row>
        <row r="239">
          <cell r="A239" t="str">
            <v>1205</v>
          </cell>
          <cell r="B239" t="str">
            <v>VOA Eastern Avenue Limited Partnership</v>
          </cell>
        </row>
        <row r="240">
          <cell r="A240" t="str">
            <v>1206</v>
          </cell>
          <cell r="B240" t="str">
            <v>Spring &amp; Elliot Streets Housing Limited Partnership</v>
          </cell>
        </row>
        <row r="241">
          <cell r="A241" t="str">
            <v>1207</v>
          </cell>
          <cell r="B241" t="str">
            <v>Sibley One, Limited Partnership</v>
          </cell>
        </row>
        <row r="242">
          <cell r="A242" t="str">
            <v>1208</v>
          </cell>
          <cell r="B242" t="str">
            <v>Indianola Homes Limited Partnership</v>
          </cell>
        </row>
        <row r="243">
          <cell r="A243" t="str">
            <v>1209</v>
          </cell>
          <cell r="B243" t="str">
            <v>King Street Apartments II, L.P.</v>
          </cell>
        </row>
        <row r="244">
          <cell r="A244" t="str">
            <v>1210</v>
          </cell>
          <cell r="B244" t="str">
            <v>Colony Run Townhouses, L.P.</v>
          </cell>
        </row>
        <row r="245">
          <cell r="A245" t="str">
            <v>1211</v>
          </cell>
          <cell r="B245" t="str">
            <v>Bainbridge Apartments, Ltd.</v>
          </cell>
        </row>
        <row r="246">
          <cell r="A246" t="str">
            <v>1212</v>
          </cell>
          <cell r="B246" t="str">
            <v>Marsh Pointe LDHA Limited Partnership</v>
          </cell>
        </row>
        <row r="247">
          <cell r="A247" t="str">
            <v>1213</v>
          </cell>
          <cell r="B247" t="str">
            <v>Gabriel House Limited Partnership</v>
          </cell>
        </row>
        <row r="248">
          <cell r="A248" t="str">
            <v>1214</v>
          </cell>
          <cell r="B248" t="str">
            <v>Cleveland Housing Network Limited Partnership XI</v>
          </cell>
        </row>
        <row r="249">
          <cell r="A249" t="str">
            <v>1215</v>
          </cell>
          <cell r="B249" t="str">
            <v>Niagara Place, L.P.</v>
          </cell>
        </row>
        <row r="250">
          <cell r="A250" t="str">
            <v>1216</v>
          </cell>
          <cell r="B250" t="str">
            <v>Hope Circle Limited Partnership</v>
          </cell>
        </row>
        <row r="251">
          <cell r="A251" t="str">
            <v>1217</v>
          </cell>
          <cell r="B251" t="str">
            <v>Riverview Townes Limited Partnership</v>
          </cell>
        </row>
        <row r="252">
          <cell r="A252" t="str">
            <v>1218</v>
          </cell>
          <cell r="B252" t="str">
            <v>Cheshire Chase Limited Partnership</v>
          </cell>
        </row>
        <row r="253">
          <cell r="A253" t="str">
            <v>1219</v>
          </cell>
          <cell r="B253" t="str">
            <v>Oliver Plaza Limited Partnership</v>
          </cell>
        </row>
        <row r="254">
          <cell r="A254" t="str">
            <v>1220</v>
          </cell>
          <cell r="B254" t="str">
            <v>Ilene R. Smith Limited Partnership</v>
          </cell>
        </row>
        <row r="255">
          <cell r="A255" t="str">
            <v>1221</v>
          </cell>
          <cell r="B255" t="str">
            <v>Ripley Station Limited Partnership</v>
          </cell>
        </row>
        <row r="256">
          <cell r="A256" t="str">
            <v>1222</v>
          </cell>
          <cell r="B256" t="str">
            <v>Generals Greene Phase IV, L.P.</v>
          </cell>
        </row>
        <row r="257">
          <cell r="A257" t="str">
            <v>1223</v>
          </cell>
          <cell r="B257" t="str">
            <v>Forum Building Housing LP</v>
          </cell>
        </row>
        <row r="258">
          <cell r="A258" t="str">
            <v>1224</v>
          </cell>
          <cell r="B258" t="str">
            <v>Parkside Terraces Limited Partnership</v>
          </cell>
        </row>
        <row r="259">
          <cell r="A259" t="str">
            <v>1225</v>
          </cell>
          <cell r="B259" t="str">
            <v>Gallatin Plaza Apts, L.P.</v>
          </cell>
        </row>
        <row r="260">
          <cell r="A260" t="str">
            <v>1226</v>
          </cell>
          <cell r="B260" t="str">
            <v>Richmond Pine Limited Partnership</v>
          </cell>
        </row>
        <row r="261">
          <cell r="A261" t="str">
            <v>1227</v>
          </cell>
          <cell r="B261" t="str">
            <v>Southern Pines Limited Partnership</v>
          </cell>
        </row>
        <row r="262">
          <cell r="A262" t="str">
            <v>1228</v>
          </cell>
          <cell r="B262" t="str">
            <v>The Orchards Limited Partnership</v>
          </cell>
        </row>
        <row r="263">
          <cell r="A263" t="str">
            <v>1229</v>
          </cell>
          <cell r="B263" t="str">
            <v>62 Warburton Limited Partnership</v>
          </cell>
        </row>
        <row r="264">
          <cell r="A264" t="str">
            <v>1230</v>
          </cell>
          <cell r="B264" t="str">
            <v>East Atlantic Associates, L.P.</v>
          </cell>
        </row>
        <row r="265">
          <cell r="A265" t="str">
            <v>1231</v>
          </cell>
          <cell r="B265" t="str">
            <v>Famicos Properties, Ltd.</v>
          </cell>
        </row>
        <row r="266">
          <cell r="A266" t="str">
            <v>1232</v>
          </cell>
          <cell r="B266" t="str">
            <v>Silver Lake Apartments, Limited Partnership</v>
          </cell>
        </row>
        <row r="267">
          <cell r="A267" t="str">
            <v>1233</v>
          </cell>
          <cell r="B267" t="str">
            <v>Wabash Christian Apartments Limited Partnership</v>
          </cell>
        </row>
        <row r="268">
          <cell r="A268" t="str">
            <v>1234</v>
          </cell>
          <cell r="B268" t="str">
            <v>Westwood Manor Development, L.P.</v>
          </cell>
        </row>
        <row r="269">
          <cell r="A269" t="str">
            <v>1235</v>
          </cell>
          <cell r="B269" t="str">
            <v>Villa Metropolitano Limited Partnership</v>
          </cell>
        </row>
        <row r="270">
          <cell r="A270" t="str">
            <v>1236</v>
          </cell>
          <cell r="B270" t="str">
            <v>Paca Housing Limited Partnership II</v>
          </cell>
        </row>
        <row r="271">
          <cell r="A271" t="str">
            <v>1237</v>
          </cell>
          <cell r="B271" t="str">
            <v>Ryer Associates Limited Partnership</v>
          </cell>
        </row>
        <row r="272">
          <cell r="A272" t="str">
            <v>1238</v>
          </cell>
          <cell r="B272" t="str">
            <v>Austin Redevelopment, Ltd.</v>
          </cell>
        </row>
        <row r="273">
          <cell r="A273" t="str">
            <v>1239</v>
          </cell>
          <cell r="B273" t="str">
            <v>Luther Haus LDHA Limited Partnership</v>
          </cell>
        </row>
        <row r="274">
          <cell r="A274" t="str">
            <v>1240</v>
          </cell>
          <cell r="B274" t="str">
            <v>NNI Stillwater Limited Partnership</v>
          </cell>
        </row>
        <row r="275">
          <cell r="A275" t="str">
            <v>1241</v>
          </cell>
          <cell r="B275" t="str">
            <v>St. Andrew's Homes Limited Partnership</v>
          </cell>
        </row>
        <row r="276">
          <cell r="A276" t="str">
            <v>1242</v>
          </cell>
          <cell r="B276" t="str">
            <v>Corner House Associates, L.P.</v>
          </cell>
        </row>
        <row r="277">
          <cell r="A277" t="str">
            <v>1243</v>
          </cell>
          <cell r="B277" t="str">
            <v>Rossmore Hotel Limited Partnership</v>
          </cell>
        </row>
        <row r="278">
          <cell r="A278" t="str">
            <v>1244</v>
          </cell>
          <cell r="B278" t="str">
            <v>Beldame Apartments, Ltd.</v>
          </cell>
        </row>
        <row r="279">
          <cell r="A279" t="str">
            <v>1245</v>
          </cell>
          <cell r="B279" t="str">
            <v>Columbia Plaza I, L.P.</v>
          </cell>
        </row>
        <row r="280">
          <cell r="A280" t="str">
            <v>1246</v>
          </cell>
          <cell r="B280" t="str">
            <v>Stanton Avenue Associates</v>
          </cell>
        </row>
        <row r="281">
          <cell r="A281" t="str">
            <v>1247</v>
          </cell>
          <cell r="B281" t="str">
            <v>Sherwood Park Limited Partnership</v>
          </cell>
        </row>
        <row r="282">
          <cell r="A282" t="str">
            <v>1248</v>
          </cell>
          <cell r="B282" t="str">
            <v>Crystal Brook, L.L.L.P.</v>
          </cell>
        </row>
        <row r="283">
          <cell r="A283" t="str">
            <v>1249</v>
          </cell>
          <cell r="B283" t="str">
            <v>Etowah, L.P.</v>
          </cell>
        </row>
        <row r="284">
          <cell r="A284" t="str">
            <v>1250</v>
          </cell>
          <cell r="B284" t="str">
            <v>CK1 LP</v>
          </cell>
        </row>
        <row r="285">
          <cell r="A285" t="str">
            <v>1251</v>
          </cell>
          <cell r="B285" t="str">
            <v>Mt. Pleasant Ventures Limited Partnership</v>
          </cell>
        </row>
        <row r="286">
          <cell r="A286" t="str">
            <v>1252</v>
          </cell>
          <cell r="B286" t="str">
            <v>Famicos Foundation Scattered Site Homes, Ltd.</v>
          </cell>
        </row>
        <row r="287">
          <cell r="A287" t="str">
            <v>1253</v>
          </cell>
          <cell r="B287" t="str">
            <v>Glen Hotel Limited Partnership</v>
          </cell>
        </row>
        <row r="288">
          <cell r="A288" t="str">
            <v>1254</v>
          </cell>
          <cell r="B288" t="str">
            <v>Siouxland Housing Associates, Limited Partnership</v>
          </cell>
        </row>
        <row r="289">
          <cell r="A289" t="str">
            <v>1255</v>
          </cell>
          <cell r="B289" t="str">
            <v>Woodward, L.P.</v>
          </cell>
        </row>
        <row r="290">
          <cell r="A290" t="str">
            <v>1256</v>
          </cell>
          <cell r="B290" t="str">
            <v>Fernley Partners II, a Nevada Limited Partnership</v>
          </cell>
        </row>
        <row r="291">
          <cell r="A291" t="str">
            <v>1257</v>
          </cell>
          <cell r="B291" t="str">
            <v>Columbia Mill I, L.P.</v>
          </cell>
        </row>
        <row r="292">
          <cell r="A292" t="str">
            <v>1258</v>
          </cell>
          <cell r="B292" t="str">
            <v>Yorkshire Terrace Limited Partnership</v>
          </cell>
        </row>
        <row r="293">
          <cell r="A293" t="str">
            <v>1259</v>
          </cell>
          <cell r="B293" t="str">
            <v>Rosita Associates Limited Partnership</v>
          </cell>
        </row>
        <row r="294">
          <cell r="A294" t="str">
            <v>1260</v>
          </cell>
          <cell r="B294" t="str">
            <v>Central City Apartments, Ltd.</v>
          </cell>
        </row>
        <row r="295">
          <cell r="A295" t="str">
            <v>1261</v>
          </cell>
          <cell r="B295" t="str">
            <v>Columbia Hill Partners, L.P.</v>
          </cell>
        </row>
        <row r="296">
          <cell r="A296" t="str">
            <v>1262</v>
          </cell>
          <cell r="B296" t="str">
            <v>CARE Housing-Swallow Road, Ltd.</v>
          </cell>
        </row>
        <row r="297">
          <cell r="A297" t="str">
            <v>1263</v>
          </cell>
          <cell r="B297" t="str">
            <v>Graettinger Housing Associates Limited Partnership</v>
          </cell>
        </row>
        <row r="298">
          <cell r="A298" t="str">
            <v>1264</v>
          </cell>
          <cell r="B298" t="str">
            <v>Cedar Tremont Limited Partnership</v>
          </cell>
        </row>
        <row r="299">
          <cell r="A299" t="str">
            <v>1265</v>
          </cell>
          <cell r="B299" t="str">
            <v>Blue Heron Hollow Limited Partnership</v>
          </cell>
        </row>
        <row r="300">
          <cell r="A300" t="str">
            <v>1266</v>
          </cell>
          <cell r="B300" t="str">
            <v>Metro Senior Residences, L.P.</v>
          </cell>
        </row>
        <row r="301">
          <cell r="A301" t="str">
            <v>1267</v>
          </cell>
          <cell r="B301" t="str">
            <v>918 Kent Avenue Limited Partnership</v>
          </cell>
        </row>
        <row r="302">
          <cell r="A302" t="str">
            <v>1268</v>
          </cell>
          <cell r="B302" t="str">
            <v>Sierra Vista Limited Partnership</v>
          </cell>
        </row>
        <row r="303">
          <cell r="A303" t="str">
            <v>1269</v>
          </cell>
          <cell r="B303" t="str">
            <v>Umatilla Reservation Housing Limited Partnership</v>
          </cell>
        </row>
        <row r="304">
          <cell r="A304" t="str">
            <v>1270</v>
          </cell>
          <cell r="B304" t="str">
            <v>MPV Associates Limited Partnership</v>
          </cell>
        </row>
        <row r="305">
          <cell r="A305" t="str">
            <v>1271</v>
          </cell>
          <cell r="B305" t="str">
            <v>Riverside Apartments Limited Partnership</v>
          </cell>
        </row>
        <row r="306">
          <cell r="A306" t="str">
            <v>1272</v>
          </cell>
          <cell r="B306" t="str">
            <v>Loretto Heights LP</v>
          </cell>
        </row>
        <row r="307">
          <cell r="A307" t="str">
            <v>1273</v>
          </cell>
          <cell r="B307" t="str">
            <v>The Mac McDonald Limited Partnership</v>
          </cell>
        </row>
        <row r="308">
          <cell r="A308" t="str">
            <v>1274</v>
          </cell>
          <cell r="B308" t="str">
            <v>Mildred Smith Manor LDHA Limited Partnership</v>
          </cell>
        </row>
        <row r="309">
          <cell r="A309" t="str">
            <v>1275</v>
          </cell>
          <cell r="B309" t="str">
            <v>Raven Estates Limited Partnership</v>
          </cell>
        </row>
        <row r="310">
          <cell r="A310" t="str">
            <v>1276</v>
          </cell>
          <cell r="B310" t="str">
            <v>Garfield Jubilee Revitalization Partnership</v>
          </cell>
        </row>
        <row r="311">
          <cell r="A311" t="str">
            <v>1277</v>
          </cell>
          <cell r="B311" t="str">
            <v>Framingham Homes Limited Partnership</v>
          </cell>
        </row>
        <row r="312">
          <cell r="A312" t="str">
            <v>1278</v>
          </cell>
          <cell r="B312" t="str">
            <v>S.T.E. Limited Partnership</v>
          </cell>
        </row>
        <row r="313">
          <cell r="A313" t="str">
            <v>1279</v>
          </cell>
          <cell r="B313" t="str">
            <v>Pine Knoll Limited Partnership</v>
          </cell>
        </row>
        <row r="314">
          <cell r="A314" t="str">
            <v>1280</v>
          </cell>
          <cell r="B314" t="str">
            <v>Roosevelt Street Townhomes, L.P.</v>
          </cell>
        </row>
        <row r="315">
          <cell r="A315" t="str">
            <v>1281</v>
          </cell>
          <cell r="B315" t="str">
            <v>Clearacre Partners, A Nevada Limited Partnership</v>
          </cell>
        </row>
        <row r="316">
          <cell r="A316" t="str">
            <v>1282</v>
          </cell>
          <cell r="B316" t="str">
            <v>Fernwood Village Limited Partnership</v>
          </cell>
        </row>
        <row r="317">
          <cell r="A317" t="str">
            <v>1283</v>
          </cell>
          <cell r="B317" t="str">
            <v>Eban Village I, Ltd.</v>
          </cell>
        </row>
        <row r="318">
          <cell r="A318" t="str">
            <v>1284</v>
          </cell>
          <cell r="B318" t="str">
            <v>Tres Palmas Partners LP</v>
          </cell>
        </row>
        <row r="319">
          <cell r="A319" t="str">
            <v>1285</v>
          </cell>
          <cell r="B319" t="str">
            <v>M &amp; M Maison II, Ltd.</v>
          </cell>
        </row>
        <row r="320">
          <cell r="A320" t="str">
            <v>1286</v>
          </cell>
          <cell r="B320" t="str">
            <v>Halle Housing Associates, L.P.</v>
          </cell>
        </row>
        <row r="321">
          <cell r="A321" t="str">
            <v>1287</v>
          </cell>
          <cell r="B321" t="str">
            <v>Bowleys Lane Limited Partnership</v>
          </cell>
        </row>
        <row r="322">
          <cell r="A322" t="str">
            <v>1288</v>
          </cell>
          <cell r="B322" t="str">
            <v>Parkview Village Limited Partnership</v>
          </cell>
        </row>
        <row r="323">
          <cell r="A323" t="str">
            <v>1289</v>
          </cell>
          <cell r="B323" t="str">
            <v>Cleveland Housing Network Limited Partnership XII</v>
          </cell>
        </row>
        <row r="324">
          <cell r="A324" t="str">
            <v>1290</v>
          </cell>
          <cell r="B324" t="str">
            <v>Carnegie Place, Limited Partnership</v>
          </cell>
        </row>
        <row r="325">
          <cell r="A325" t="str">
            <v>1291</v>
          </cell>
          <cell r="B325" t="str">
            <v>Weston Trace Limited Partnership</v>
          </cell>
        </row>
        <row r="326">
          <cell r="A326" t="str">
            <v>1292</v>
          </cell>
          <cell r="B326" t="str">
            <v>East Lake Redevelopment, L.P.</v>
          </cell>
        </row>
        <row r="327">
          <cell r="A327" t="str">
            <v>1293</v>
          </cell>
          <cell r="B327" t="str">
            <v>Kelly Place Limited Partnership</v>
          </cell>
        </row>
        <row r="328">
          <cell r="A328" t="str">
            <v>1294</v>
          </cell>
          <cell r="B328" t="str">
            <v>Willow Lakes Apartments, L.P.</v>
          </cell>
        </row>
        <row r="329">
          <cell r="A329" t="str">
            <v>1295</v>
          </cell>
          <cell r="B329" t="str">
            <v>Lumberton Campus, L.P.</v>
          </cell>
        </row>
        <row r="330">
          <cell r="A330" t="str">
            <v>1296</v>
          </cell>
          <cell r="B330" t="str">
            <v>Fleetwood Limited Partnership</v>
          </cell>
        </row>
        <row r="331">
          <cell r="A331" t="str">
            <v>1297</v>
          </cell>
          <cell r="B331" t="str">
            <v>Bentonville II Limited Partnership</v>
          </cell>
        </row>
        <row r="332">
          <cell r="A332" t="str">
            <v>1298</v>
          </cell>
          <cell r="B332" t="str">
            <v>Pennsylvania Place Apartments Limited Partnership</v>
          </cell>
        </row>
        <row r="333">
          <cell r="A333" t="str">
            <v>1299</v>
          </cell>
          <cell r="B333" t="str">
            <v>Clinton Housing West 46th Partners, L.P.</v>
          </cell>
        </row>
        <row r="334">
          <cell r="A334" t="str">
            <v>1300</v>
          </cell>
          <cell r="B334" t="str">
            <v>Norwood Housing Partners, L.P.</v>
          </cell>
        </row>
        <row r="335">
          <cell r="A335" t="str">
            <v>1301</v>
          </cell>
          <cell r="B335" t="str">
            <v>836 Fedora Limited Partnership</v>
          </cell>
        </row>
        <row r="336">
          <cell r="A336" t="str">
            <v>1302</v>
          </cell>
          <cell r="B336" t="str">
            <v>Bon Secours Apartments Limited Partnership</v>
          </cell>
        </row>
        <row r="337">
          <cell r="A337" t="str">
            <v>1303</v>
          </cell>
          <cell r="B337" t="str">
            <v>Gramercy Court Limited Partnership</v>
          </cell>
        </row>
        <row r="338">
          <cell r="A338" t="str">
            <v>1304</v>
          </cell>
          <cell r="B338" t="str">
            <v>Lincoln Street Elderly Limited Partnership, a Colorado limited partnership</v>
          </cell>
        </row>
        <row r="339">
          <cell r="A339" t="str">
            <v>1305</v>
          </cell>
          <cell r="B339" t="str">
            <v>Nelson Place LDHA Limited Partnership</v>
          </cell>
        </row>
        <row r="340">
          <cell r="A340" t="str">
            <v>1306</v>
          </cell>
          <cell r="B340" t="str">
            <v>BurDol Limited Partnership</v>
          </cell>
        </row>
        <row r="341">
          <cell r="A341" t="str">
            <v>1307</v>
          </cell>
          <cell r="B341" t="str">
            <v>Town View MHA Ltd.</v>
          </cell>
        </row>
        <row r="342">
          <cell r="A342" t="str">
            <v>1308</v>
          </cell>
          <cell r="B342" t="str">
            <v>Tierra Contenta Partners, Limited Partnership</v>
          </cell>
        </row>
        <row r="343">
          <cell r="A343" t="str">
            <v>1309</v>
          </cell>
          <cell r="B343" t="str">
            <v>Broadway North Limited Partnership</v>
          </cell>
        </row>
        <row r="344">
          <cell r="A344" t="str">
            <v>1310</v>
          </cell>
          <cell r="B344" t="str">
            <v>Southern Iowa Housing, Limited Partnership I</v>
          </cell>
        </row>
        <row r="345">
          <cell r="A345" t="str">
            <v>1311</v>
          </cell>
          <cell r="B345" t="str">
            <v>Palos Verdes Street, L.P.</v>
          </cell>
        </row>
        <row r="346">
          <cell r="A346" t="str">
            <v>1312</v>
          </cell>
          <cell r="B346" t="str">
            <v>P.E.P. Development, Ltd., L.P.</v>
          </cell>
        </row>
        <row r="347">
          <cell r="A347" t="str">
            <v>1313</v>
          </cell>
          <cell r="B347" t="str">
            <v>Palm View Limited Partnership</v>
          </cell>
        </row>
        <row r="348">
          <cell r="A348" t="str">
            <v>1314</v>
          </cell>
          <cell r="B348" t="str">
            <v>James Island Harbor, L.P.</v>
          </cell>
        </row>
        <row r="349">
          <cell r="A349" t="str">
            <v>1315</v>
          </cell>
          <cell r="B349" t="str">
            <v>Sheltering Arms, A Limited Partnership</v>
          </cell>
        </row>
        <row r="350">
          <cell r="A350" t="str">
            <v>1316</v>
          </cell>
          <cell r="B350" t="str">
            <v>Figueroa Court Apartments LP</v>
          </cell>
        </row>
        <row r="351">
          <cell r="A351" t="str">
            <v>1317</v>
          </cell>
          <cell r="B351" t="str">
            <v>Union Station A LIH Limited Partnership</v>
          </cell>
        </row>
        <row r="352">
          <cell r="A352" t="str">
            <v>1318</v>
          </cell>
          <cell r="B352" t="str">
            <v>Denni Street Partners, L.P.</v>
          </cell>
        </row>
        <row r="353">
          <cell r="A353" t="str">
            <v>1319</v>
          </cell>
          <cell r="B353" t="str">
            <v>Casas Salvadas Limited Partnership</v>
          </cell>
        </row>
        <row r="354">
          <cell r="A354" t="str">
            <v>1320</v>
          </cell>
          <cell r="B354" t="str">
            <v>Ripley Schoolhouse Limited Partnership</v>
          </cell>
        </row>
        <row r="355">
          <cell r="A355" t="str">
            <v>1321</v>
          </cell>
          <cell r="B355" t="str">
            <v>Bellevue Development Associates, L.P.</v>
          </cell>
        </row>
        <row r="356">
          <cell r="A356" t="str">
            <v>1322</v>
          </cell>
          <cell r="B356" t="str">
            <v>Laurel Gardens Limited Partnership</v>
          </cell>
        </row>
        <row r="357">
          <cell r="A357" t="str">
            <v>1323</v>
          </cell>
          <cell r="B357" t="str">
            <v>The Ross Lane Limited Partnership</v>
          </cell>
        </row>
        <row r="358">
          <cell r="A358" t="str">
            <v>1324</v>
          </cell>
          <cell r="B358" t="str">
            <v>Tremont Anthony Apartments, L.P.</v>
          </cell>
        </row>
        <row r="359">
          <cell r="A359" t="str">
            <v>1325</v>
          </cell>
          <cell r="B359" t="str">
            <v>Dorman I Limited Partnership</v>
          </cell>
        </row>
        <row r="360">
          <cell r="A360" t="str">
            <v>1326</v>
          </cell>
          <cell r="B360" t="str">
            <v>Cascade Apartments Limited Partnership</v>
          </cell>
        </row>
        <row r="361">
          <cell r="A361" t="str">
            <v>1327</v>
          </cell>
          <cell r="B361" t="str">
            <v>Sound View Associates, An Idaho Limited Partnership</v>
          </cell>
        </row>
        <row r="362">
          <cell r="A362" t="str">
            <v>1328</v>
          </cell>
          <cell r="B362" t="str">
            <v>West Ottawa Townhomes LDHA Limited Partnership</v>
          </cell>
        </row>
        <row r="363">
          <cell r="A363" t="str">
            <v>1329</v>
          </cell>
          <cell r="B363" t="str">
            <v>Court View, L.P.</v>
          </cell>
        </row>
        <row r="364">
          <cell r="A364" t="str">
            <v>1330</v>
          </cell>
          <cell r="B364" t="str">
            <v>Irwin Street, L.P.</v>
          </cell>
        </row>
        <row r="365">
          <cell r="A365" t="str">
            <v>1331</v>
          </cell>
          <cell r="B365" t="str">
            <v>Broadway Meadows Limited Partnership</v>
          </cell>
        </row>
        <row r="366">
          <cell r="A366" t="str">
            <v>1332</v>
          </cell>
          <cell r="B366" t="str">
            <v>Mohican Limited Partnership</v>
          </cell>
        </row>
        <row r="367">
          <cell r="A367" t="str">
            <v>1333</v>
          </cell>
          <cell r="B367" t="str">
            <v>NHSS, L.P.</v>
          </cell>
        </row>
        <row r="368">
          <cell r="A368" t="str">
            <v>1334</v>
          </cell>
          <cell r="B368" t="str">
            <v>Jensen Block Limited Partnership</v>
          </cell>
        </row>
        <row r="369">
          <cell r="A369" t="str">
            <v>1335</v>
          </cell>
          <cell r="B369" t="str">
            <v>Calvert Manor Limited Partnership</v>
          </cell>
        </row>
        <row r="370">
          <cell r="A370" t="str">
            <v>1336</v>
          </cell>
          <cell r="B370" t="str">
            <v>Hill Associates Limited Partnership</v>
          </cell>
        </row>
        <row r="371">
          <cell r="A371" t="str">
            <v>1337</v>
          </cell>
          <cell r="B371" t="str">
            <v>Ladera II Limited Partnership</v>
          </cell>
        </row>
        <row r="372">
          <cell r="A372" t="str">
            <v>1338</v>
          </cell>
          <cell r="B372" t="str">
            <v>Morris Shelter Urban Renewal Associates, L.P.</v>
          </cell>
        </row>
        <row r="373">
          <cell r="A373" t="str">
            <v>1339</v>
          </cell>
          <cell r="B373" t="str">
            <v>New Salem Homes Limited Partnership</v>
          </cell>
        </row>
        <row r="374">
          <cell r="A374" t="str">
            <v>1340</v>
          </cell>
          <cell r="B374" t="str">
            <v>Stayton Family Housing Limited Partnership</v>
          </cell>
        </row>
        <row r="375">
          <cell r="A375" t="str">
            <v>1341</v>
          </cell>
          <cell r="B375" t="str">
            <v>Angelina Associates, L.P.</v>
          </cell>
        </row>
        <row r="376">
          <cell r="A376" t="str">
            <v>1342</v>
          </cell>
          <cell r="B376" t="str">
            <v>River Bend Apartments, L.P.</v>
          </cell>
        </row>
        <row r="377">
          <cell r="A377" t="str">
            <v>1343</v>
          </cell>
          <cell r="B377" t="str">
            <v>Norfolk Apartments Limited Partnership</v>
          </cell>
        </row>
        <row r="378">
          <cell r="A378" t="str">
            <v>1344</v>
          </cell>
          <cell r="B378" t="str">
            <v>Sommerville Place Associates Limited Partnership</v>
          </cell>
        </row>
        <row r="379">
          <cell r="A379" t="str">
            <v>1345</v>
          </cell>
          <cell r="B379" t="str">
            <v>Lander Street Partners, L.P.</v>
          </cell>
        </row>
        <row r="380">
          <cell r="A380" t="str">
            <v>1346</v>
          </cell>
          <cell r="B380" t="str">
            <v>Avon Limited Partnership</v>
          </cell>
        </row>
        <row r="381">
          <cell r="A381" t="str">
            <v>1347</v>
          </cell>
          <cell r="B381" t="str">
            <v>Stagecoach Gardens Apartments, Ltd.</v>
          </cell>
        </row>
        <row r="382">
          <cell r="A382" t="str">
            <v>1348</v>
          </cell>
          <cell r="B382" t="str">
            <v>Baltimore Avenue Apartments Limited Partnership</v>
          </cell>
        </row>
        <row r="383">
          <cell r="A383" t="str">
            <v>1349</v>
          </cell>
          <cell r="B383" t="str">
            <v>Parkview Manor Limited Partnership</v>
          </cell>
        </row>
        <row r="384">
          <cell r="A384" t="str">
            <v>1350</v>
          </cell>
          <cell r="B384" t="str">
            <v>Abbey Heights Limited Partnership</v>
          </cell>
        </row>
        <row r="385">
          <cell r="A385" t="str">
            <v>1351</v>
          </cell>
          <cell r="B385" t="str">
            <v>Rivermont House, Ltd.</v>
          </cell>
        </row>
        <row r="386">
          <cell r="A386" t="str">
            <v>1352</v>
          </cell>
          <cell r="B386" t="str">
            <v>Twin Oaks of Greenwood, L.P.</v>
          </cell>
        </row>
        <row r="387">
          <cell r="A387" t="str">
            <v>1353</v>
          </cell>
          <cell r="B387" t="str">
            <v>Wesley Glen, Ltd.</v>
          </cell>
        </row>
        <row r="388">
          <cell r="A388" t="str">
            <v>1354</v>
          </cell>
          <cell r="B388" t="str">
            <v>River Bend Apartments of Salida, Ltd.</v>
          </cell>
        </row>
        <row r="389">
          <cell r="A389" t="str">
            <v>1355</v>
          </cell>
          <cell r="B389" t="str">
            <v>Milburnie Apartments Limited Partnership</v>
          </cell>
        </row>
        <row r="390">
          <cell r="A390" t="str">
            <v>1356</v>
          </cell>
          <cell r="B390" t="str">
            <v>Kinsman Area Redevelopment Enterprise, Ltd.</v>
          </cell>
        </row>
        <row r="391">
          <cell r="A391" t="str">
            <v>1357</v>
          </cell>
          <cell r="B391" t="str">
            <v>Chalmers Apartments LDHA Limited Partnership</v>
          </cell>
        </row>
        <row r="392">
          <cell r="A392" t="str">
            <v>1358</v>
          </cell>
          <cell r="B392" t="str">
            <v>Omaha Lodges Limited Partnership</v>
          </cell>
        </row>
        <row r="393">
          <cell r="A393" t="str">
            <v>1359</v>
          </cell>
          <cell r="B393" t="str">
            <v>Tierra Contenta II, Limited Partnership</v>
          </cell>
        </row>
        <row r="394">
          <cell r="A394" t="str">
            <v>1360</v>
          </cell>
          <cell r="B394" t="str">
            <v>Okpara L.P.</v>
          </cell>
        </row>
        <row r="395">
          <cell r="A395" t="str">
            <v>1361</v>
          </cell>
          <cell r="B395" t="str">
            <v>Pasquotank Associates Limited Partnership</v>
          </cell>
        </row>
        <row r="396">
          <cell r="A396" t="str">
            <v>1362</v>
          </cell>
          <cell r="B396" t="str">
            <v>California Hotel 1140, L.P.</v>
          </cell>
        </row>
        <row r="397">
          <cell r="A397" t="str">
            <v>1363</v>
          </cell>
          <cell r="B397" t="str">
            <v>Concord Plaza LP</v>
          </cell>
        </row>
        <row r="398">
          <cell r="A398" t="str">
            <v>1364</v>
          </cell>
          <cell r="B398" t="str">
            <v>FJS Limited Partnership</v>
          </cell>
        </row>
        <row r="399">
          <cell r="A399" t="str">
            <v>1365</v>
          </cell>
          <cell r="B399" t="str">
            <v>Bentonville III Limited Partnership</v>
          </cell>
        </row>
        <row r="400">
          <cell r="A400" t="str">
            <v>1366</v>
          </cell>
          <cell r="B400" t="str">
            <v>Cleveland Housing Network Limited Partnership XIII</v>
          </cell>
        </row>
        <row r="401">
          <cell r="A401" t="str">
            <v>1367</v>
          </cell>
          <cell r="B401" t="str">
            <v>Rainbow's End Limited Partnership</v>
          </cell>
        </row>
        <row r="402">
          <cell r="A402" t="str">
            <v>1368</v>
          </cell>
          <cell r="B402" t="str">
            <v>Best Village Apartments Limited Partnership</v>
          </cell>
        </row>
        <row r="403">
          <cell r="A403" t="str">
            <v>1369</v>
          </cell>
          <cell r="B403" t="str">
            <v>Sundance Apartments of Douglas, Ltd.</v>
          </cell>
        </row>
        <row r="404">
          <cell r="A404" t="str">
            <v>1370</v>
          </cell>
          <cell r="B404" t="str">
            <v>Pablo Davis LDHA Limited Partnership</v>
          </cell>
        </row>
        <row r="405">
          <cell r="A405" t="str">
            <v>1371</v>
          </cell>
          <cell r="B405" t="str">
            <v>The Can Company L.L.C.</v>
          </cell>
        </row>
        <row r="406">
          <cell r="A406" t="str">
            <v>1372</v>
          </cell>
          <cell r="B406" t="str">
            <v>Stokes Senior Housing Ventures, L.P.</v>
          </cell>
        </row>
        <row r="407">
          <cell r="A407" t="str">
            <v>1373</v>
          </cell>
          <cell r="B407" t="str">
            <v>Oconee Springs, L.P.</v>
          </cell>
        </row>
        <row r="408">
          <cell r="A408" t="str">
            <v>1374</v>
          </cell>
          <cell r="B408" t="str">
            <v>La Casa Rosa, Ltd.</v>
          </cell>
        </row>
        <row r="409">
          <cell r="A409" t="str">
            <v>1375</v>
          </cell>
          <cell r="B409" t="str">
            <v>Madras Family Housing Limited Partnership</v>
          </cell>
        </row>
        <row r="410">
          <cell r="A410" t="str">
            <v>1376</v>
          </cell>
          <cell r="B410" t="str">
            <v>Wylie Apartments Limited Partnership</v>
          </cell>
        </row>
        <row r="411">
          <cell r="A411" t="str">
            <v>1377</v>
          </cell>
          <cell r="B411" t="str">
            <v>Cranberry Equities II Limited Partnership</v>
          </cell>
        </row>
        <row r="412">
          <cell r="A412" t="str">
            <v>1378</v>
          </cell>
          <cell r="B412" t="str">
            <v>Cranberry Equities III Limited Partnership</v>
          </cell>
        </row>
        <row r="413">
          <cell r="A413" t="str">
            <v>1379</v>
          </cell>
          <cell r="B413" t="str">
            <v>Briarwood Place, L.P.</v>
          </cell>
        </row>
        <row r="414">
          <cell r="A414" t="str">
            <v>1380</v>
          </cell>
          <cell r="B414" t="str">
            <v>Mark Twain Hotel Partners, L.P.</v>
          </cell>
        </row>
        <row r="415">
          <cell r="A415" t="str">
            <v>1381</v>
          </cell>
          <cell r="B415" t="str">
            <v>Blue Belle Limited Partnership</v>
          </cell>
        </row>
        <row r="416">
          <cell r="A416" t="str">
            <v>1382</v>
          </cell>
          <cell r="B416" t="str">
            <v>Middle City Revitalization, L.P.</v>
          </cell>
        </row>
        <row r="417">
          <cell r="A417" t="str">
            <v>1383</v>
          </cell>
          <cell r="B417" t="str">
            <v>Glen Grove Limited Partnership</v>
          </cell>
        </row>
        <row r="418">
          <cell r="A418" t="str">
            <v>1384</v>
          </cell>
          <cell r="B418" t="str">
            <v>Woodbury Ridge L.P.</v>
          </cell>
        </row>
        <row r="419">
          <cell r="A419" t="str">
            <v>1385</v>
          </cell>
          <cell r="B419" t="str">
            <v>Burnham Building, L.P.</v>
          </cell>
        </row>
        <row r="420">
          <cell r="A420" t="str">
            <v>1386</v>
          </cell>
          <cell r="B420" t="str">
            <v>GMN - Landfair, LTD.</v>
          </cell>
        </row>
        <row r="421">
          <cell r="A421" t="str">
            <v>1387</v>
          </cell>
          <cell r="B421" t="str">
            <v>Lodges of Fort Totten, Limited Partnership</v>
          </cell>
        </row>
        <row r="422">
          <cell r="A422" t="str">
            <v>1388</v>
          </cell>
          <cell r="B422" t="str">
            <v>Tanglewood Limited Partnership</v>
          </cell>
        </row>
        <row r="423">
          <cell r="A423" t="str">
            <v>1389</v>
          </cell>
          <cell r="B423" t="str">
            <v>Ridgeview Townhomes Limited Partnership</v>
          </cell>
        </row>
        <row r="424">
          <cell r="A424" t="str">
            <v>1390</v>
          </cell>
          <cell r="B424" t="str">
            <v>St. Vincent H.E.L.P. Associates Limited Partnership</v>
          </cell>
        </row>
        <row r="425">
          <cell r="A425" t="str">
            <v>1391</v>
          </cell>
          <cell r="B425" t="str">
            <v>Park Heights Senior Housing Limited Partnership</v>
          </cell>
        </row>
        <row r="426">
          <cell r="A426" t="str">
            <v>1392</v>
          </cell>
          <cell r="B426" t="str">
            <v>Gallatin School Limited Partnership</v>
          </cell>
        </row>
        <row r="427">
          <cell r="A427" t="str">
            <v>1393</v>
          </cell>
          <cell r="B427" t="str">
            <v>Macedonia-O.C.E.A.N. Senior Housing Urban Renewal Associates L.P.</v>
          </cell>
        </row>
        <row r="428">
          <cell r="A428" t="str">
            <v>1394</v>
          </cell>
          <cell r="B428" t="str">
            <v>River House Associates, L.P.</v>
          </cell>
        </row>
        <row r="429">
          <cell r="A429" t="str">
            <v>1395</v>
          </cell>
          <cell r="B429" t="str">
            <v>M'Calister Inn Associates</v>
          </cell>
        </row>
        <row r="430">
          <cell r="A430" t="str">
            <v>1396</v>
          </cell>
          <cell r="B430" t="str">
            <v>HELP Philadelphia II Associates, L.P.</v>
          </cell>
        </row>
        <row r="431">
          <cell r="A431" t="str">
            <v>1397</v>
          </cell>
          <cell r="B431" t="str">
            <v>Garden Properties Limited Partnership</v>
          </cell>
        </row>
        <row r="432">
          <cell r="A432" t="str">
            <v>1398</v>
          </cell>
          <cell r="B432" t="str">
            <v>Spanish Peaks Apartments of Walsenburg, Ltd.</v>
          </cell>
        </row>
        <row r="433">
          <cell r="A433" t="str">
            <v>1399</v>
          </cell>
          <cell r="B433" t="str">
            <v>Contemporary Housing Partnership I, Ltd.</v>
          </cell>
        </row>
        <row r="434">
          <cell r="A434" t="str">
            <v>1400</v>
          </cell>
          <cell r="B434" t="str">
            <v>Commons II Limited Partnership</v>
          </cell>
        </row>
        <row r="435">
          <cell r="A435" t="str">
            <v>1401</v>
          </cell>
          <cell r="B435" t="str">
            <v>Stone View Village I Limited Partnership</v>
          </cell>
        </row>
        <row r="436">
          <cell r="A436" t="str">
            <v>1402</v>
          </cell>
          <cell r="B436" t="str">
            <v>Prince Street Associates, L.P.</v>
          </cell>
        </row>
        <row r="437">
          <cell r="A437" t="str">
            <v>1403</v>
          </cell>
          <cell r="B437" t="str">
            <v>Jacob's Lane Limited Partnership</v>
          </cell>
        </row>
        <row r="438">
          <cell r="A438" t="str">
            <v>1404</v>
          </cell>
          <cell r="B438" t="str">
            <v>The Meadows II Limited Partnership</v>
          </cell>
        </row>
        <row r="439">
          <cell r="A439" t="str">
            <v>1405</v>
          </cell>
          <cell r="B439" t="str">
            <v>Casa de Cortez Apartments of Center, Ltd.</v>
          </cell>
        </row>
        <row r="440">
          <cell r="A440" t="str">
            <v>1406</v>
          </cell>
          <cell r="B440" t="str">
            <v>Lander Street Partners II, L.P.</v>
          </cell>
        </row>
        <row r="441">
          <cell r="A441" t="str">
            <v>1407</v>
          </cell>
          <cell r="B441" t="str">
            <v>Cleveland Housing Network Limited Partnership XIV</v>
          </cell>
        </row>
        <row r="442">
          <cell r="A442" t="str">
            <v>1408</v>
          </cell>
          <cell r="B442" t="str">
            <v>Nunan Apartments, L.P.</v>
          </cell>
        </row>
        <row r="443">
          <cell r="A443" t="str">
            <v>1409</v>
          </cell>
          <cell r="B443" t="str">
            <v>Ellicott City Limited Partnership</v>
          </cell>
        </row>
        <row r="444">
          <cell r="A444" t="str">
            <v>1410</v>
          </cell>
          <cell r="B444" t="str">
            <v>Ames Creek Limited Partnership</v>
          </cell>
        </row>
        <row r="445">
          <cell r="A445" t="str">
            <v>1411</v>
          </cell>
          <cell r="B445" t="str">
            <v>Britton Street Associates Limited Partnership</v>
          </cell>
        </row>
        <row r="446">
          <cell r="A446" t="str">
            <v>1412</v>
          </cell>
          <cell r="B446" t="str">
            <v>Casita del Sol Apartments of Alamosa, Limited Partnership</v>
          </cell>
        </row>
        <row r="447">
          <cell r="A447" t="str">
            <v>1413</v>
          </cell>
          <cell r="B447" t="str">
            <v>La Luz Limited Partnership</v>
          </cell>
        </row>
        <row r="448">
          <cell r="A448" t="str">
            <v>1414</v>
          </cell>
          <cell r="B448" t="str">
            <v>Maplecrest Apartments, L.P.</v>
          </cell>
        </row>
        <row r="449">
          <cell r="A449" t="str">
            <v>1415</v>
          </cell>
          <cell r="B449" t="str">
            <v>Santree Commons Limited Partnership</v>
          </cell>
        </row>
        <row r="450">
          <cell r="A450" t="str">
            <v>1416</v>
          </cell>
          <cell r="B450" t="str">
            <v>Tierra Montosa, Limited Partnership</v>
          </cell>
        </row>
        <row r="451">
          <cell r="A451" t="str">
            <v>1417</v>
          </cell>
          <cell r="B451" t="str">
            <v>Longwood Phase One Associates, L.P.</v>
          </cell>
        </row>
        <row r="452">
          <cell r="A452" t="str">
            <v>1418</v>
          </cell>
          <cell r="B452" t="str">
            <v>Northwood Court, L.P.</v>
          </cell>
        </row>
        <row r="453">
          <cell r="A453" t="str">
            <v>1419</v>
          </cell>
          <cell r="B453" t="str">
            <v>Skylar Development, LLC</v>
          </cell>
        </row>
        <row r="454">
          <cell r="A454" t="str">
            <v>1420</v>
          </cell>
          <cell r="B454" t="str">
            <v>Lexington Terrace Senior Housing Limited Partnership</v>
          </cell>
        </row>
        <row r="455">
          <cell r="A455" t="str">
            <v>1421</v>
          </cell>
          <cell r="B455" t="str">
            <v>Lexington Terrace Townhomes Limited Partnership</v>
          </cell>
        </row>
        <row r="456">
          <cell r="A456" t="str">
            <v>1422</v>
          </cell>
          <cell r="B456" t="str">
            <v>Northwood Park Townhomes Limited Partnership</v>
          </cell>
        </row>
        <row r="457">
          <cell r="A457" t="str">
            <v>1423</v>
          </cell>
          <cell r="B457" t="str">
            <v>Rensselaer - Madison LP</v>
          </cell>
        </row>
        <row r="458">
          <cell r="A458" t="str">
            <v>1424</v>
          </cell>
          <cell r="B458" t="str">
            <v>Lakewood Court, L.P.</v>
          </cell>
        </row>
        <row r="459">
          <cell r="A459" t="str">
            <v>1425</v>
          </cell>
          <cell r="B459" t="str">
            <v>Palacio Inca, Ltd.</v>
          </cell>
        </row>
        <row r="460">
          <cell r="A460" t="str">
            <v>1426</v>
          </cell>
          <cell r="B460" t="str">
            <v>MCSA - MWA, L.P.I.</v>
          </cell>
        </row>
        <row r="461">
          <cell r="A461" t="str">
            <v>1427</v>
          </cell>
          <cell r="B461" t="str">
            <v>Hartley Housing Associates, L.P.</v>
          </cell>
        </row>
        <row r="462">
          <cell r="A462" t="str">
            <v>1428</v>
          </cell>
          <cell r="B462" t="str">
            <v>Micah House Limited Partnership</v>
          </cell>
        </row>
        <row r="463">
          <cell r="A463" t="str">
            <v>1429</v>
          </cell>
          <cell r="B463" t="str">
            <v>Fireweed Court LP</v>
          </cell>
        </row>
        <row r="464">
          <cell r="A464" t="str">
            <v>1430</v>
          </cell>
          <cell r="B464" t="str">
            <v>Bon Secours Apartments II Limited Partnership</v>
          </cell>
        </row>
        <row r="465">
          <cell r="A465" t="str">
            <v>1431</v>
          </cell>
          <cell r="B465" t="str">
            <v>1431 Minor Limited Partnership</v>
          </cell>
        </row>
        <row r="466">
          <cell r="A466" t="str">
            <v>1432</v>
          </cell>
          <cell r="B466" t="str">
            <v>935 Eastern Parkway L.P.</v>
          </cell>
        </row>
        <row r="467">
          <cell r="A467" t="str">
            <v>1433</v>
          </cell>
          <cell r="B467" t="str">
            <v>Jose Arciga Apartments Limited Partnership</v>
          </cell>
        </row>
        <row r="468">
          <cell r="A468" t="str">
            <v>1434</v>
          </cell>
          <cell r="B468" t="str">
            <v>Woodbury Park, L.P.</v>
          </cell>
        </row>
        <row r="469">
          <cell r="A469" t="str">
            <v>1435</v>
          </cell>
          <cell r="B469" t="str">
            <v>IHC Limited Partnership I</v>
          </cell>
        </row>
        <row r="470">
          <cell r="A470" t="str">
            <v>1436</v>
          </cell>
          <cell r="B470" t="str">
            <v>Jefferson House Apartments, L.P.</v>
          </cell>
        </row>
        <row r="471">
          <cell r="A471" t="str">
            <v>1437</v>
          </cell>
          <cell r="B471" t="str">
            <v>National Temple Limited Partnership III</v>
          </cell>
        </row>
        <row r="472">
          <cell r="A472" t="str">
            <v>1438</v>
          </cell>
          <cell r="B472" t="str">
            <v>Brooks &amp; 25th Limited Partnership</v>
          </cell>
        </row>
        <row r="473">
          <cell r="A473" t="str">
            <v>1439</v>
          </cell>
          <cell r="B473" t="str">
            <v>Century Plaza, L.P.</v>
          </cell>
        </row>
        <row r="474">
          <cell r="A474" t="str">
            <v>1440</v>
          </cell>
          <cell r="B474" t="str">
            <v>Del Prado Garden, Ltd.</v>
          </cell>
        </row>
        <row r="475">
          <cell r="A475" t="str">
            <v>1441</v>
          </cell>
          <cell r="B475" t="str">
            <v>S and K Limited Partnership</v>
          </cell>
        </row>
        <row r="476">
          <cell r="A476" t="str">
            <v>1442</v>
          </cell>
          <cell r="B476" t="str">
            <v>Frye Building Limited Partnership</v>
          </cell>
        </row>
        <row r="477">
          <cell r="A477" t="str">
            <v>1443</v>
          </cell>
          <cell r="B477" t="str">
            <v>Gateway Village II, Limited Partnership</v>
          </cell>
        </row>
        <row r="478">
          <cell r="A478" t="str">
            <v>1444</v>
          </cell>
          <cell r="B478" t="str">
            <v>Goddard Realty Limited Partnership</v>
          </cell>
        </row>
        <row r="479">
          <cell r="A479" t="str">
            <v>1445</v>
          </cell>
          <cell r="B479" t="str">
            <v>Harlow Properties Limited Partnership</v>
          </cell>
        </row>
        <row r="480">
          <cell r="A480" t="str">
            <v>1446</v>
          </cell>
          <cell r="B480" t="str">
            <v>Oak Terrace Limited Partnership</v>
          </cell>
        </row>
        <row r="481">
          <cell r="A481" t="str">
            <v>1447</v>
          </cell>
          <cell r="B481" t="str">
            <v>Forest Park III LDHA Limited Partnership</v>
          </cell>
        </row>
        <row r="482">
          <cell r="A482" t="str">
            <v>1448</v>
          </cell>
          <cell r="B482" t="str">
            <v>Roosevelt Street Townhomes II, L.P.</v>
          </cell>
        </row>
        <row r="483">
          <cell r="A483" t="str">
            <v>1449</v>
          </cell>
          <cell r="B483" t="str">
            <v>V. Nueva, L.P. Limited Partnership</v>
          </cell>
        </row>
        <row r="484">
          <cell r="A484" t="str">
            <v>1450</v>
          </cell>
          <cell r="B484" t="str">
            <v>Annunciation Terrace Limited Partnership</v>
          </cell>
        </row>
        <row r="485">
          <cell r="A485" t="str">
            <v>1451</v>
          </cell>
          <cell r="B485" t="str">
            <v>Macdonald Residence Limited Partnership</v>
          </cell>
        </row>
        <row r="486">
          <cell r="A486" t="str">
            <v>1452</v>
          </cell>
          <cell r="B486" t="str">
            <v>Petoskey Place LDHA Limited Partnership</v>
          </cell>
        </row>
        <row r="487">
          <cell r="A487" t="str">
            <v>1453</v>
          </cell>
          <cell r="B487" t="str">
            <v>Hill House Limited Partnership</v>
          </cell>
        </row>
        <row r="488">
          <cell r="A488" t="str">
            <v>1454</v>
          </cell>
          <cell r="B488" t="str">
            <v>Herndon Harbor House Limited Partnership</v>
          </cell>
        </row>
        <row r="489">
          <cell r="A489" t="str">
            <v>1455</v>
          </cell>
          <cell r="B489" t="str">
            <v>Rosa Burney Manor, L.P.</v>
          </cell>
        </row>
        <row r="490">
          <cell r="A490" t="str">
            <v>1456</v>
          </cell>
          <cell r="B490" t="str">
            <v>Turtle Hill Townhomes L.P.</v>
          </cell>
        </row>
        <row r="491">
          <cell r="A491" t="str">
            <v>1457</v>
          </cell>
          <cell r="B491" t="str">
            <v>Cumberland House Associates, L.P.</v>
          </cell>
        </row>
        <row r="492">
          <cell r="A492" t="str">
            <v>1458</v>
          </cell>
          <cell r="B492" t="str">
            <v>Marsh Place L.P.</v>
          </cell>
        </row>
        <row r="493">
          <cell r="A493" t="str">
            <v>1459</v>
          </cell>
          <cell r="B493" t="str">
            <v>Canterbury Place L.P.</v>
          </cell>
        </row>
        <row r="494">
          <cell r="A494" t="str">
            <v>1460</v>
          </cell>
          <cell r="B494" t="str">
            <v>New Street Limited Partnership</v>
          </cell>
        </row>
        <row r="495">
          <cell r="A495" t="str">
            <v>1461</v>
          </cell>
          <cell r="B495" t="str">
            <v>Stone View Village II Limited Partnership</v>
          </cell>
        </row>
        <row r="496">
          <cell r="A496" t="str">
            <v>1462</v>
          </cell>
          <cell r="B496" t="str">
            <v>Esperanza Apartments Associates, LP</v>
          </cell>
        </row>
        <row r="497">
          <cell r="A497" t="str">
            <v>1463</v>
          </cell>
          <cell r="B497" t="str">
            <v>1790 Clinton Associates, L.P.</v>
          </cell>
        </row>
        <row r="498">
          <cell r="A498" t="str">
            <v>1464</v>
          </cell>
          <cell r="B498" t="str">
            <v>Stuyvesant Urban Renewal, L.P.</v>
          </cell>
        </row>
        <row r="499">
          <cell r="A499" t="str">
            <v>1465</v>
          </cell>
          <cell r="B499" t="str">
            <v>Senter West Village Apartments Associates, Ltd.</v>
          </cell>
        </row>
        <row r="500">
          <cell r="A500" t="str">
            <v>1466</v>
          </cell>
          <cell r="B500" t="str">
            <v>Sixteen Fifty Five Post I Limited Partnership</v>
          </cell>
        </row>
        <row r="501">
          <cell r="A501" t="str">
            <v>1467</v>
          </cell>
          <cell r="B501" t="str">
            <v>1621 Druid Hill Avenue Limited Partnership</v>
          </cell>
        </row>
        <row r="502">
          <cell r="A502" t="str">
            <v>1468</v>
          </cell>
          <cell r="B502" t="str">
            <v>Cascadia Associates Limited Partnership</v>
          </cell>
        </row>
        <row r="503">
          <cell r="A503" t="str">
            <v>1469</v>
          </cell>
          <cell r="B503" t="str">
            <v>Salony House II Limited Partnership</v>
          </cell>
        </row>
        <row r="504">
          <cell r="A504" t="str">
            <v>1470</v>
          </cell>
          <cell r="B504" t="str">
            <v>Druid House Limited Partnership</v>
          </cell>
        </row>
        <row r="505">
          <cell r="A505" t="str">
            <v>1471</v>
          </cell>
          <cell r="B505" t="str">
            <v>Greater Bethlehem Elderly Apartments LP</v>
          </cell>
        </row>
        <row r="506">
          <cell r="A506" t="str">
            <v>1472</v>
          </cell>
          <cell r="B506" t="str">
            <v>Jeddito Housing Development Partnership, L.P.</v>
          </cell>
        </row>
        <row r="507">
          <cell r="A507" t="str">
            <v>1473</v>
          </cell>
          <cell r="B507" t="str">
            <v>Williston Housing Partners Limited Partnership</v>
          </cell>
        </row>
        <row r="508">
          <cell r="A508" t="str">
            <v>1474</v>
          </cell>
          <cell r="B508" t="str">
            <v>Dacono Senior Apartments, LTD.</v>
          </cell>
        </row>
        <row r="509">
          <cell r="A509" t="str">
            <v>1475</v>
          </cell>
          <cell r="B509" t="str">
            <v>Alegria Partners LP</v>
          </cell>
        </row>
        <row r="510">
          <cell r="A510" t="str">
            <v>1476</v>
          </cell>
          <cell r="B510" t="str">
            <v>Covington Commons, L.P.</v>
          </cell>
        </row>
        <row r="511">
          <cell r="A511" t="str">
            <v>1477</v>
          </cell>
          <cell r="B511" t="str">
            <v>Nantahala, L.P.</v>
          </cell>
        </row>
        <row r="512">
          <cell r="A512" t="str">
            <v>1478</v>
          </cell>
          <cell r="B512" t="str">
            <v>Ravenna School LP</v>
          </cell>
        </row>
        <row r="513">
          <cell r="A513" t="str">
            <v>1479</v>
          </cell>
          <cell r="B513" t="str">
            <v>Dunham Hall Urban Renewal, Limited Partnership</v>
          </cell>
        </row>
        <row r="514">
          <cell r="A514" t="str">
            <v>1480</v>
          </cell>
          <cell r="B514" t="str">
            <v>Glenville Homes II Limited Partnership</v>
          </cell>
        </row>
        <row r="515">
          <cell r="A515" t="str">
            <v>1481</v>
          </cell>
          <cell r="B515" t="str">
            <v>The Naomi Project LP</v>
          </cell>
        </row>
        <row r="516">
          <cell r="A516" t="str">
            <v>1482</v>
          </cell>
          <cell r="B516" t="str">
            <v>Southwest Horizon Ranch LLLP</v>
          </cell>
        </row>
        <row r="517">
          <cell r="A517" t="str">
            <v>1483</v>
          </cell>
          <cell r="B517" t="str">
            <v>Village Apartments LP</v>
          </cell>
        </row>
        <row r="518">
          <cell r="A518" t="str">
            <v>1484</v>
          </cell>
          <cell r="B518" t="str">
            <v>Bay River Limited Partnership</v>
          </cell>
        </row>
        <row r="519">
          <cell r="A519" t="str">
            <v>1485</v>
          </cell>
          <cell r="B519" t="str">
            <v>Famicos Scattered Site Homes II, Ltd.</v>
          </cell>
        </row>
        <row r="520">
          <cell r="A520" t="str">
            <v>1486</v>
          </cell>
          <cell r="B520" t="str">
            <v>Hilyard Terrace Limited Partnership</v>
          </cell>
        </row>
        <row r="521">
          <cell r="A521" t="str">
            <v>1487</v>
          </cell>
          <cell r="B521" t="str">
            <v>Liberty Senior Housing LP</v>
          </cell>
        </row>
        <row r="522">
          <cell r="A522" t="str">
            <v>1488</v>
          </cell>
          <cell r="B522" t="str">
            <v>Tequesta Knoll Apartments, Ltd.</v>
          </cell>
        </row>
        <row r="523">
          <cell r="A523" t="str">
            <v>1489</v>
          </cell>
          <cell r="B523" t="str">
            <v>Cleveland Housing Network Limited Partnership XV</v>
          </cell>
        </row>
        <row r="524">
          <cell r="A524" t="str">
            <v>1490</v>
          </cell>
          <cell r="B524" t="str">
            <v>United Mutual Houses, L.P.</v>
          </cell>
        </row>
        <row r="525">
          <cell r="A525" t="str">
            <v>1491</v>
          </cell>
          <cell r="B525" t="str">
            <v>The Meadows III Limited Partnership</v>
          </cell>
        </row>
        <row r="526">
          <cell r="A526" t="str">
            <v>1492</v>
          </cell>
          <cell r="B526" t="str">
            <v>Shoreway Limited Partnership</v>
          </cell>
        </row>
        <row r="527">
          <cell r="A527" t="str">
            <v>1493</v>
          </cell>
          <cell r="B527" t="str">
            <v>Genesis Neighborhood Plaza, L.P.</v>
          </cell>
        </row>
        <row r="528">
          <cell r="A528" t="str">
            <v>1494</v>
          </cell>
          <cell r="B528" t="str">
            <v>East Lake Redevelopment II, L.P.</v>
          </cell>
        </row>
        <row r="529">
          <cell r="A529" t="str">
            <v>1495</v>
          </cell>
          <cell r="B529" t="str">
            <v>Prince Court II L.P.</v>
          </cell>
        </row>
        <row r="530">
          <cell r="A530" t="str">
            <v>1496</v>
          </cell>
          <cell r="B530" t="str">
            <v>Wheeler Creek Limited Partnership</v>
          </cell>
        </row>
        <row r="531">
          <cell r="A531" t="str">
            <v>1497</v>
          </cell>
          <cell r="B531" t="str">
            <v>Mirada Terrace Apartments, L.P.</v>
          </cell>
        </row>
        <row r="532">
          <cell r="A532" t="str">
            <v>1498</v>
          </cell>
          <cell r="B532" t="str">
            <v>Magnolia Villa Associates LLC</v>
          </cell>
        </row>
        <row r="533">
          <cell r="A533" t="str">
            <v>1499</v>
          </cell>
          <cell r="B533" t="str">
            <v>Sand Point Housing Associates I Limited Partnership</v>
          </cell>
        </row>
        <row r="534">
          <cell r="A534" t="str">
            <v>1500</v>
          </cell>
          <cell r="B534" t="str">
            <v>Spirit Lake Lodges, Limited Partnership</v>
          </cell>
        </row>
        <row r="535">
          <cell r="A535" t="str">
            <v>1501</v>
          </cell>
          <cell r="B535" t="str">
            <v>Fenton Rondel Court Limited Partnership</v>
          </cell>
        </row>
        <row r="536">
          <cell r="A536" t="str">
            <v>1502</v>
          </cell>
          <cell r="B536" t="str">
            <v>Polish National Alliance Senior Housing LP</v>
          </cell>
        </row>
        <row r="537">
          <cell r="A537" t="str">
            <v>1503</v>
          </cell>
          <cell r="B537" t="str">
            <v>Fox Normandie Apartments, L.P.</v>
          </cell>
        </row>
        <row r="538">
          <cell r="A538" t="str">
            <v>1504</v>
          </cell>
          <cell r="B538" t="str">
            <v>Albany Family Housing LP</v>
          </cell>
        </row>
        <row r="539">
          <cell r="A539" t="str">
            <v>1505</v>
          </cell>
          <cell r="B539" t="str">
            <v>Blue Mountain Dine' Associates LLC</v>
          </cell>
        </row>
        <row r="540">
          <cell r="A540" t="str">
            <v>1506</v>
          </cell>
          <cell r="B540" t="str">
            <v>Casa Verde Apartments LP</v>
          </cell>
        </row>
        <row r="541">
          <cell r="A541" t="str">
            <v>1507</v>
          </cell>
          <cell r="B541" t="str">
            <v>Dorsey-Selborne Limited Partnership</v>
          </cell>
        </row>
        <row r="542">
          <cell r="A542" t="str">
            <v>1508</v>
          </cell>
          <cell r="B542" t="str">
            <v>Roper Housing Limited Partnership</v>
          </cell>
        </row>
        <row r="543">
          <cell r="A543" t="str">
            <v>1509</v>
          </cell>
          <cell r="B543" t="str">
            <v>Bennett Limited Partnership</v>
          </cell>
        </row>
        <row r="544">
          <cell r="A544" t="str">
            <v>1510</v>
          </cell>
          <cell r="B544" t="str">
            <v>Sea Breeze Village Apartments, Ltd.</v>
          </cell>
        </row>
        <row r="545">
          <cell r="A545" t="str">
            <v>1511</v>
          </cell>
          <cell r="B545" t="str">
            <v>Youth Action Limited Partnership</v>
          </cell>
        </row>
        <row r="546">
          <cell r="A546" t="str">
            <v>1512</v>
          </cell>
          <cell r="B546" t="str">
            <v>Casa de Oro Apartments Associates, Limited Partnership</v>
          </cell>
        </row>
        <row r="547">
          <cell r="A547" t="str">
            <v>1513</v>
          </cell>
          <cell r="B547" t="str">
            <v>West Town Village, L.P.</v>
          </cell>
        </row>
        <row r="548">
          <cell r="A548" t="str">
            <v>1514</v>
          </cell>
          <cell r="B548" t="str">
            <v>Rico's Place LP</v>
          </cell>
        </row>
        <row r="549">
          <cell r="A549" t="str">
            <v>1515</v>
          </cell>
          <cell r="B549" t="str">
            <v>Kenmore Apartments LP</v>
          </cell>
        </row>
        <row r="550">
          <cell r="A550" t="str">
            <v>1516</v>
          </cell>
          <cell r="B550" t="str">
            <v>East Hills Investors, LP</v>
          </cell>
        </row>
        <row r="551">
          <cell r="A551" t="str">
            <v>1517</v>
          </cell>
          <cell r="B551" t="str">
            <v>Dewey Hotel Limited Partnership</v>
          </cell>
        </row>
        <row r="552">
          <cell r="A552" t="str">
            <v>1518</v>
          </cell>
          <cell r="B552" t="str">
            <v>Wexford Wesley Limited Partnership</v>
          </cell>
        </row>
        <row r="553">
          <cell r="A553" t="str">
            <v>1519</v>
          </cell>
          <cell r="B553" t="str">
            <v>Tussing Road Homes Limited Partnership</v>
          </cell>
        </row>
        <row r="554">
          <cell r="A554" t="str">
            <v>1520</v>
          </cell>
          <cell r="B554" t="str">
            <v>Saybrook Elderly Limited Partnership</v>
          </cell>
        </row>
        <row r="555">
          <cell r="A555" t="str">
            <v>1521</v>
          </cell>
          <cell r="B555" t="str">
            <v>Lakeview Apartments Limited Partnership</v>
          </cell>
        </row>
        <row r="556">
          <cell r="A556" t="str">
            <v>1522</v>
          </cell>
          <cell r="B556" t="str">
            <v>Philipsburgh Hall Associates LP</v>
          </cell>
        </row>
        <row r="557">
          <cell r="A557" t="str">
            <v>1523</v>
          </cell>
          <cell r="B557" t="str">
            <v>CODA Alpha Apartments Limited Partnership</v>
          </cell>
        </row>
        <row r="558">
          <cell r="A558" t="str">
            <v>1524</v>
          </cell>
          <cell r="B558" t="str">
            <v>Coldspring Limited Partnership</v>
          </cell>
        </row>
        <row r="559">
          <cell r="A559" t="str">
            <v>1525</v>
          </cell>
          <cell r="B559" t="str">
            <v>The Green LP</v>
          </cell>
        </row>
        <row r="560">
          <cell r="A560" t="str">
            <v>1526</v>
          </cell>
          <cell r="B560" t="str">
            <v>Hookston Senior Homes Associates, Limited Partnership</v>
          </cell>
        </row>
        <row r="561">
          <cell r="A561" t="str">
            <v>1527</v>
          </cell>
          <cell r="B561" t="str">
            <v>Montana Senior Village, L.L.C.</v>
          </cell>
        </row>
        <row r="562">
          <cell r="A562" t="str">
            <v>1528</v>
          </cell>
          <cell r="B562" t="str">
            <v>Ivy Apartments, L.P.</v>
          </cell>
        </row>
        <row r="563">
          <cell r="A563" t="str">
            <v>1529</v>
          </cell>
          <cell r="B563" t="str">
            <v>Osborne Landing, Ltd.</v>
          </cell>
        </row>
        <row r="564">
          <cell r="A564" t="str">
            <v>1530</v>
          </cell>
          <cell r="B564" t="str">
            <v>Heritage Court Apartments LP</v>
          </cell>
        </row>
        <row r="565">
          <cell r="A565" t="str">
            <v>1531</v>
          </cell>
          <cell r="B565" t="str">
            <v>Moro Lindo Townhomes LP</v>
          </cell>
        </row>
        <row r="566">
          <cell r="A566" t="str">
            <v>1532</v>
          </cell>
          <cell r="B566" t="str">
            <v>Braebourne Apartments LP</v>
          </cell>
        </row>
        <row r="567">
          <cell r="A567" t="str">
            <v>1533</v>
          </cell>
          <cell r="B567" t="str">
            <v>Tiffany Square Rental Apartments, Ltd.</v>
          </cell>
        </row>
        <row r="568">
          <cell r="A568" t="str">
            <v>1534</v>
          </cell>
          <cell r="B568" t="str">
            <v>Sheyenne Square Limited Partnership</v>
          </cell>
        </row>
        <row r="569">
          <cell r="A569" t="str">
            <v>1535</v>
          </cell>
          <cell r="B569" t="str">
            <v>Amistad Apartments of Somerton Limited Partnership</v>
          </cell>
        </row>
        <row r="570">
          <cell r="A570" t="str">
            <v>1536</v>
          </cell>
          <cell r="B570" t="str">
            <v>Montford-Broad Development 98 LP</v>
          </cell>
        </row>
        <row r="571">
          <cell r="A571" t="str">
            <v>1537</v>
          </cell>
          <cell r="B571" t="str">
            <v>April Meadows, LP</v>
          </cell>
        </row>
        <row r="572">
          <cell r="A572" t="str">
            <v>1538</v>
          </cell>
          <cell r="B572" t="str">
            <v>Heather Commons II, L.P.</v>
          </cell>
        </row>
        <row r="573">
          <cell r="A573" t="str">
            <v>1539</v>
          </cell>
          <cell r="B573" t="str">
            <v>Hull Point Venture, LLC</v>
          </cell>
        </row>
        <row r="574">
          <cell r="A574" t="str">
            <v>1540</v>
          </cell>
          <cell r="B574" t="str">
            <v>Chestnut Monmouth Apartments LP</v>
          </cell>
        </row>
        <row r="575">
          <cell r="A575" t="str">
            <v>1541</v>
          </cell>
          <cell r="B575" t="str">
            <v>71 Carroll Place, L.P.</v>
          </cell>
        </row>
        <row r="576">
          <cell r="A576" t="str">
            <v>1542</v>
          </cell>
          <cell r="B576" t="str">
            <v>152 Lakewest Community, L.P.</v>
          </cell>
        </row>
        <row r="577">
          <cell r="A577" t="str">
            <v>1543</v>
          </cell>
          <cell r="B577" t="str">
            <v>65 Monarch Place, L.P.</v>
          </cell>
        </row>
        <row r="578">
          <cell r="A578" t="str">
            <v>1544</v>
          </cell>
          <cell r="B578" t="str">
            <v>Roseland Family Community, L.P.</v>
          </cell>
        </row>
        <row r="579">
          <cell r="A579" t="str">
            <v>1545</v>
          </cell>
          <cell r="B579" t="str">
            <v>Best Village Apartments II, LLC</v>
          </cell>
        </row>
        <row r="580">
          <cell r="A580" t="str">
            <v>1546</v>
          </cell>
          <cell r="B580" t="str">
            <v>Baseline Road Associates, Limited Partnership</v>
          </cell>
        </row>
        <row r="581">
          <cell r="A581" t="str">
            <v>1547</v>
          </cell>
          <cell r="B581" t="str">
            <v>SD-Y2K Limited Partnership</v>
          </cell>
        </row>
        <row r="582">
          <cell r="A582" t="str">
            <v>1548</v>
          </cell>
          <cell r="B582" t="str">
            <v>Martha's Village, L.P.</v>
          </cell>
        </row>
        <row r="583">
          <cell r="A583" t="str">
            <v>1549</v>
          </cell>
          <cell r="B583" t="str">
            <v>Zion Way Apartments of Richfield, Limited Partnership</v>
          </cell>
        </row>
        <row r="584">
          <cell r="A584" t="str">
            <v>1550</v>
          </cell>
          <cell r="B584" t="str">
            <v>The Canaan Collaborative Limited Partnership</v>
          </cell>
        </row>
        <row r="585">
          <cell r="A585" t="str">
            <v>1551</v>
          </cell>
          <cell r="B585" t="str">
            <v>Richardson Hall, L.P.</v>
          </cell>
        </row>
        <row r="586">
          <cell r="A586" t="str">
            <v>1552</v>
          </cell>
          <cell r="B586" t="str">
            <v>LESC, L.P.</v>
          </cell>
        </row>
        <row r="587">
          <cell r="A587" t="str">
            <v>1553</v>
          </cell>
          <cell r="B587" t="str">
            <v>WWHA - Creekside Limited Partnership</v>
          </cell>
        </row>
        <row r="588">
          <cell r="A588" t="str">
            <v>1554</v>
          </cell>
          <cell r="B588" t="str">
            <v>Laflin Apartments, L.P.</v>
          </cell>
        </row>
        <row r="589">
          <cell r="A589" t="str">
            <v>1555</v>
          </cell>
          <cell r="B589" t="str">
            <v>Tierra Foothills, LP</v>
          </cell>
        </row>
        <row r="590">
          <cell r="A590" t="str">
            <v>1556</v>
          </cell>
          <cell r="B590" t="str">
            <v>The Arc Apartments, L.P.</v>
          </cell>
        </row>
        <row r="591">
          <cell r="A591" t="str">
            <v>1557</v>
          </cell>
          <cell r="B591" t="str">
            <v>Old Frenchtown, L.P.</v>
          </cell>
        </row>
        <row r="592">
          <cell r="A592" t="str">
            <v>1558</v>
          </cell>
          <cell r="B592" t="str">
            <v>Othello Street Limited Partnership</v>
          </cell>
        </row>
        <row r="593">
          <cell r="A593" t="str">
            <v>1559</v>
          </cell>
          <cell r="B593" t="str">
            <v>Jerome Court Limited Partnership</v>
          </cell>
        </row>
        <row r="594">
          <cell r="A594" t="str">
            <v>1560</v>
          </cell>
          <cell r="B594" t="str">
            <v>Parkview Apartments of Winslow, Limited Partnership</v>
          </cell>
        </row>
        <row r="595">
          <cell r="A595" t="str">
            <v>1561</v>
          </cell>
          <cell r="B595" t="str">
            <v>Bon Secours Apartments III Limited Partnership</v>
          </cell>
        </row>
        <row r="596">
          <cell r="A596" t="str">
            <v>1562</v>
          </cell>
          <cell r="B596" t="str">
            <v>Stephens Hall Development Associates, L.P.</v>
          </cell>
        </row>
        <row r="597">
          <cell r="A597" t="str">
            <v>1563</v>
          </cell>
          <cell r="B597" t="str">
            <v>Butchers Row Limited Partnership</v>
          </cell>
        </row>
        <row r="598">
          <cell r="A598" t="str">
            <v>1564</v>
          </cell>
          <cell r="B598" t="str">
            <v>Eban Village Apartments II, L.P.</v>
          </cell>
        </row>
        <row r="599">
          <cell r="A599" t="str">
            <v>1565</v>
          </cell>
          <cell r="B599" t="str">
            <v>Call Terminal LP</v>
          </cell>
        </row>
        <row r="600">
          <cell r="A600" t="str">
            <v>1566</v>
          </cell>
          <cell r="B600" t="str">
            <v>100 Victory, L.P.</v>
          </cell>
        </row>
        <row r="601">
          <cell r="A601" t="str">
            <v>1567</v>
          </cell>
          <cell r="B601" t="str">
            <v>1613 Farnam Street LLC</v>
          </cell>
        </row>
        <row r="602">
          <cell r="A602" t="str">
            <v>1568</v>
          </cell>
          <cell r="B602" t="str">
            <v>Meeker Commons MHA, Ltd.</v>
          </cell>
        </row>
        <row r="603">
          <cell r="A603" t="str">
            <v>1569</v>
          </cell>
          <cell r="B603" t="str">
            <v>Ash Meadows L.P.</v>
          </cell>
        </row>
        <row r="604">
          <cell r="A604" t="str">
            <v>1570</v>
          </cell>
          <cell r="B604" t="str">
            <v>Meadow Lake Associates, L.P.</v>
          </cell>
        </row>
        <row r="605">
          <cell r="A605" t="str">
            <v>1571</v>
          </cell>
          <cell r="B605" t="str">
            <v>Union City Renaissance Urban Renewal Associates, L.P.</v>
          </cell>
        </row>
        <row r="606">
          <cell r="A606" t="str">
            <v>1572</v>
          </cell>
          <cell r="B606" t="str">
            <v>Cleveland Housing Network Limited Partnership XVI</v>
          </cell>
        </row>
        <row r="607">
          <cell r="A607" t="str">
            <v>1573</v>
          </cell>
          <cell r="B607" t="str">
            <v>Mason Grove Associates Limited Partnership</v>
          </cell>
        </row>
        <row r="608">
          <cell r="A608" t="str">
            <v>1574</v>
          </cell>
          <cell r="B608" t="str">
            <v>Pleasant Hill Community Apartments, L.P.</v>
          </cell>
        </row>
        <row r="609">
          <cell r="A609" t="str">
            <v>1575</v>
          </cell>
          <cell r="B609" t="str">
            <v>LIHI Auburn Associates, L.L.C.</v>
          </cell>
        </row>
        <row r="610">
          <cell r="A610" t="str">
            <v>1576</v>
          </cell>
          <cell r="B610" t="str">
            <v>Williams Ranch Housing Partners I, L.P.</v>
          </cell>
        </row>
        <row r="611">
          <cell r="A611" t="str">
            <v>1577</v>
          </cell>
          <cell r="B611" t="str">
            <v>LeMoyne Gardens Senior, L.P.</v>
          </cell>
        </row>
        <row r="612">
          <cell r="A612" t="str">
            <v>1578</v>
          </cell>
          <cell r="B612" t="str">
            <v>Bridge Projects, LP</v>
          </cell>
        </row>
        <row r="613">
          <cell r="A613" t="str">
            <v>1579</v>
          </cell>
          <cell r="B613" t="str">
            <v>Roseland Limited Partnership</v>
          </cell>
        </row>
        <row r="614">
          <cell r="A614" t="str">
            <v>1580</v>
          </cell>
          <cell r="B614" t="str">
            <v>Rosemont Senior Housing Associates Limited Partnership</v>
          </cell>
        </row>
        <row r="615">
          <cell r="A615" t="str">
            <v>1581</v>
          </cell>
          <cell r="B615" t="str">
            <v>Anthony Square, LP</v>
          </cell>
        </row>
        <row r="616">
          <cell r="A616" t="str">
            <v>1582</v>
          </cell>
          <cell r="B616" t="str">
            <v>Holbrook Court Apartments Associates, Limited Partnership</v>
          </cell>
        </row>
        <row r="617">
          <cell r="A617" t="str">
            <v>1583</v>
          </cell>
          <cell r="B617" t="str">
            <v>Maryland Apartments, L.P.</v>
          </cell>
        </row>
        <row r="618">
          <cell r="A618" t="str">
            <v>1584</v>
          </cell>
          <cell r="B618" t="str">
            <v>LIHI Rainier Associates, L.L.C.</v>
          </cell>
        </row>
        <row r="619">
          <cell r="A619" t="str">
            <v>1585</v>
          </cell>
          <cell r="B619" t="str">
            <v>Salony House I Limited Partnership</v>
          </cell>
        </row>
        <row r="620">
          <cell r="A620" t="str">
            <v>1586</v>
          </cell>
          <cell r="B620" t="str">
            <v>Century Square Limited Partnership</v>
          </cell>
        </row>
        <row r="621">
          <cell r="A621" t="str">
            <v>1587</v>
          </cell>
          <cell r="B621" t="str">
            <v>IHC Forest City, L.P. I</v>
          </cell>
        </row>
        <row r="622">
          <cell r="A622" t="str">
            <v>1588</v>
          </cell>
          <cell r="B622" t="str">
            <v>Fortune L.P.</v>
          </cell>
        </row>
        <row r="623">
          <cell r="A623" t="str">
            <v>1589</v>
          </cell>
          <cell r="B623" t="str">
            <v>MacGregor Housing Limited Partnership</v>
          </cell>
        </row>
        <row r="624">
          <cell r="A624" t="str">
            <v>1590</v>
          </cell>
          <cell r="B624" t="str">
            <v>Fairview Apartments Associates Limited Partnership</v>
          </cell>
        </row>
        <row r="625">
          <cell r="A625" t="str">
            <v>1591</v>
          </cell>
          <cell r="B625" t="str">
            <v>Madison Heights II, L.P.</v>
          </cell>
        </row>
        <row r="626">
          <cell r="A626" t="str">
            <v>1592</v>
          </cell>
          <cell r="B626" t="str">
            <v>Park View Village, L.P.</v>
          </cell>
        </row>
        <row r="627">
          <cell r="A627" t="str">
            <v>1593</v>
          </cell>
          <cell r="B627" t="str">
            <v>Julie Apartments Limited Partnership</v>
          </cell>
        </row>
        <row r="628">
          <cell r="A628" t="str">
            <v>1594</v>
          </cell>
          <cell r="B628" t="str">
            <v>Summer Hill I Limited Partnership</v>
          </cell>
        </row>
        <row r="629">
          <cell r="A629" t="str">
            <v>1595</v>
          </cell>
          <cell r="B629" t="str">
            <v>Sanford Arms LDHA Limited Partnership</v>
          </cell>
        </row>
        <row r="630">
          <cell r="A630" t="str">
            <v>1596</v>
          </cell>
          <cell r="B630" t="str">
            <v>Housing is Vital, L.P.</v>
          </cell>
        </row>
        <row r="631">
          <cell r="A631" t="str">
            <v>1597</v>
          </cell>
          <cell r="B631" t="str">
            <v>Jefferson School Apartments, LLC</v>
          </cell>
        </row>
        <row r="632">
          <cell r="A632" t="str">
            <v>1598</v>
          </cell>
          <cell r="B632" t="str">
            <v>Brandon Apartments, L.P.</v>
          </cell>
        </row>
        <row r="633">
          <cell r="A633" t="str">
            <v>1599</v>
          </cell>
          <cell r="B633" t="str">
            <v>Park Montgomery Limited Partnership</v>
          </cell>
        </row>
        <row r="634">
          <cell r="A634" t="str">
            <v>1600</v>
          </cell>
          <cell r="B634" t="str">
            <v>Edgewood-Lakeview, L.P.</v>
          </cell>
        </row>
        <row r="635">
          <cell r="A635" t="str">
            <v>1601</v>
          </cell>
          <cell r="B635" t="str">
            <v>Herndon Harbor House II Limited Partnership</v>
          </cell>
        </row>
        <row r="636">
          <cell r="A636" t="str">
            <v>1602</v>
          </cell>
          <cell r="B636" t="str">
            <v>Mercy Housing Washington - VI, L.P.</v>
          </cell>
        </row>
        <row r="637">
          <cell r="A637" t="str">
            <v>1603</v>
          </cell>
          <cell r="B637" t="str">
            <v>Village House Associates, L.P.</v>
          </cell>
        </row>
        <row r="638">
          <cell r="A638" t="str">
            <v>1604</v>
          </cell>
          <cell r="B638" t="str">
            <v>Sonya Gardens Limited Partnership</v>
          </cell>
        </row>
        <row r="639">
          <cell r="A639" t="str">
            <v>1605</v>
          </cell>
          <cell r="B639" t="str">
            <v>Lincoln Hotel SRO Limited Partnership</v>
          </cell>
        </row>
        <row r="640">
          <cell r="A640" t="str">
            <v>1606</v>
          </cell>
          <cell r="B640" t="str">
            <v>Passport Homes, L.P.</v>
          </cell>
        </row>
        <row r="641">
          <cell r="A641" t="str">
            <v>1607</v>
          </cell>
          <cell r="B641" t="str">
            <v>Lewiston Hotel Limited Partnership</v>
          </cell>
        </row>
        <row r="642">
          <cell r="A642" t="str">
            <v>1608</v>
          </cell>
          <cell r="B642" t="str">
            <v>Valley Horizons, LLC, a Utah Limited Liability Company</v>
          </cell>
        </row>
        <row r="643">
          <cell r="A643" t="str">
            <v>1609</v>
          </cell>
          <cell r="B643" t="str">
            <v>Dunbar Place, LLC</v>
          </cell>
        </row>
        <row r="644">
          <cell r="A644" t="str">
            <v>1610</v>
          </cell>
          <cell r="B644" t="str">
            <v>Foothills Community LLLP</v>
          </cell>
        </row>
        <row r="645">
          <cell r="A645" t="str">
            <v>1611</v>
          </cell>
          <cell r="B645" t="str">
            <v>HELP Las Vegas Housing Associates, Limited Partnership</v>
          </cell>
        </row>
        <row r="646">
          <cell r="A646" t="str">
            <v>1612</v>
          </cell>
          <cell r="B646" t="str">
            <v>Lighthouse of the Sierra LLC, a Nevada limited liability company</v>
          </cell>
        </row>
        <row r="647">
          <cell r="A647" t="str">
            <v>1613</v>
          </cell>
          <cell r="B647" t="str">
            <v>Off-Broadway Lofts L.L.L.P.</v>
          </cell>
        </row>
        <row r="648">
          <cell r="A648" t="str">
            <v>1614</v>
          </cell>
          <cell r="B648" t="str">
            <v>CARE Housing/Windtrail Holdings, Ltd.</v>
          </cell>
        </row>
        <row r="649">
          <cell r="A649" t="str">
            <v>1615</v>
          </cell>
          <cell r="B649" t="str">
            <v>VOA Pratt Street Limited Partnership</v>
          </cell>
        </row>
        <row r="650">
          <cell r="A650" t="str">
            <v>1617</v>
          </cell>
          <cell r="B650" t="str">
            <v>Oakland Point Limited Partnership</v>
          </cell>
        </row>
        <row r="651">
          <cell r="A651" t="str">
            <v>1619</v>
          </cell>
          <cell r="B651" t="str">
            <v>Northern Ponca Tribal Housing - Nebraska, L.P.</v>
          </cell>
        </row>
        <row r="652">
          <cell r="A652" t="str">
            <v>1620</v>
          </cell>
          <cell r="B652" t="str">
            <v>Rosemont Townhomes Associates Limited Partnership</v>
          </cell>
        </row>
        <row r="653">
          <cell r="A653" t="str">
            <v>1621</v>
          </cell>
          <cell r="B653" t="str">
            <v>River Square Limited Partnership</v>
          </cell>
        </row>
        <row r="654">
          <cell r="A654" t="str">
            <v>1622</v>
          </cell>
          <cell r="B654" t="str">
            <v>Hearts United Phase II L.P.</v>
          </cell>
        </row>
        <row r="655">
          <cell r="A655" t="str">
            <v>1623</v>
          </cell>
          <cell r="B655" t="str">
            <v>Glenville Elderly Limited Partnership</v>
          </cell>
        </row>
        <row r="656">
          <cell r="A656" t="str">
            <v>1624</v>
          </cell>
          <cell r="B656" t="str">
            <v>MAG, L.P.</v>
          </cell>
        </row>
        <row r="657">
          <cell r="A657" t="str">
            <v>1625</v>
          </cell>
          <cell r="B657" t="str">
            <v>Greater Linden Homes Limited Partnership</v>
          </cell>
        </row>
        <row r="658">
          <cell r="A658" t="str">
            <v>1626</v>
          </cell>
          <cell r="B658" t="str">
            <v>Owen Continental L.P.</v>
          </cell>
        </row>
        <row r="659">
          <cell r="A659" t="str">
            <v>1627</v>
          </cell>
          <cell r="B659" t="str">
            <v>C.G.H. Limited Partnership</v>
          </cell>
        </row>
        <row r="660">
          <cell r="A660" t="str">
            <v>1628</v>
          </cell>
          <cell r="B660" t="str">
            <v>Gateway Village III, Limited Partnership</v>
          </cell>
        </row>
        <row r="661">
          <cell r="A661" t="str">
            <v>1629</v>
          </cell>
          <cell r="B661" t="str">
            <v>Summerfield Park, LP</v>
          </cell>
        </row>
        <row r="662">
          <cell r="A662" t="str">
            <v>1630</v>
          </cell>
          <cell r="B662" t="str">
            <v>Falcon Limited Partnership</v>
          </cell>
        </row>
        <row r="663">
          <cell r="A663" t="str">
            <v>1631</v>
          </cell>
          <cell r="B663" t="str">
            <v>Chez Ami Limited Partnership</v>
          </cell>
        </row>
        <row r="664">
          <cell r="A664" t="str">
            <v>1632</v>
          </cell>
          <cell r="B664" t="str">
            <v>Heritage Crossing Limited Partnership</v>
          </cell>
        </row>
        <row r="665">
          <cell r="A665" t="str">
            <v>1633</v>
          </cell>
          <cell r="B665" t="str">
            <v>Clifton Village MHA, Ltd.</v>
          </cell>
        </row>
        <row r="666">
          <cell r="A666" t="str">
            <v>1634</v>
          </cell>
          <cell r="B666" t="str">
            <v>Mercy Housing Iowa II LP</v>
          </cell>
        </row>
        <row r="667">
          <cell r="A667" t="str">
            <v>1635</v>
          </cell>
          <cell r="B667" t="str">
            <v>C.R. Uncles Plaza Limited Partnership</v>
          </cell>
        </row>
        <row r="668">
          <cell r="A668" t="str">
            <v>1636</v>
          </cell>
          <cell r="B668" t="str">
            <v>Allen Cathedral Senior Residences, L.P.</v>
          </cell>
        </row>
        <row r="669">
          <cell r="A669" t="str">
            <v>1637</v>
          </cell>
          <cell r="B669" t="str">
            <v>Southside Partners - II, LP</v>
          </cell>
        </row>
        <row r="670">
          <cell r="A670" t="str">
            <v>1638</v>
          </cell>
          <cell r="B670" t="str">
            <v>Fox Run Apartments, LLLP</v>
          </cell>
        </row>
        <row r="671">
          <cell r="A671" t="str">
            <v>1639</v>
          </cell>
          <cell r="B671" t="str">
            <v>Hunter's Glen Townhomes. L.P.</v>
          </cell>
        </row>
        <row r="672">
          <cell r="A672" t="str">
            <v>1640</v>
          </cell>
          <cell r="B672" t="str">
            <v>Cedar Park Townhomes, Ltd.</v>
          </cell>
        </row>
        <row r="673">
          <cell r="A673" t="str">
            <v>1641</v>
          </cell>
          <cell r="B673" t="str">
            <v>Sycamore Pointe Townhomes, L.P.</v>
          </cell>
        </row>
        <row r="674">
          <cell r="A674" t="str">
            <v>1642</v>
          </cell>
          <cell r="B674" t="str">
            <v>3236 South Limited Partnership</v>
          </cell>
        </row>
        <row r="675">
          <cell r="A675" t="str">
            <v>1643</v>
          </cell>
          <cell r="B675" t="str">
            <v>Canyon View Partners, LLC</v>
          </cell>
        </row>
        <row r="676">
          <cell r="A676" t="str">
            <v>1644</v>
          </cell>
          <cell r="B676" t="str">
            <v>Casita de La Luna Apartments Associates, LP</v>
          </cell>
        </row>
        <row r="677">
          <cell r="A677" t="str">
            <v>1645</v>
          </cell>
          <cell r="B677" t="str">
            <v>Ephraim Housing Partners L.P.</v>
          </cell>
        </row>
        <row r="678">
          <cell r="A678" t="str">
            <v>1646</v>
          </cell>
          <cell r="B678" t="str">
            <v>Bayside Housing Associates, L.P.</v>
          </cell>
        </row>
        <row r="679">
          <cell r="A679" t="str">
            <v>1647</v>
          </cell>
          <cell r="B679" t="str">
            <v>Ellicott City II Limited Partnership</v>
          </cell>
        </row>
        <row r="680">
          <cell r="A680" t="str">
            <v>1648</v>
          </cell>
          <cell r="B680" t="str">
            <v>Spruce Terrace Limited Partnership</v>
          </cell>
        </row>
        <row r="681">
          <cell r="A681" t="str">
            <v>1649</v>
          </cell>
          <cell r="B681" t="str">
            <v>Apache Ridge Townhomes, Limited Partnership</v>
          </cell>
        </row>
        <row r="682">
          <cell r="A682" t="str">
            <v>1650</v>
          </cell>
          <cell r="B682" t="str">
            <v>AHC Limited Partnership - 2</v>
          </cell>
        </row>
        <row r="683">
          <cell r="A683" t="str">
            <v>1651</v>
          </cell>
          <cell r="B683" t="str">
            <v>AHC Limited Partnership - 3</v>
          </cell>
        </row>
        <row r="684">
          <cell r="A684" t="str">
            <v>1652</v>
          </cell>
          <cell r="B684" t="str">
            <v>LIHI Cedar Heights Associates, LLC</v>
          </cell>
        </row>
        <row r="685">
          <cell r="A685" t="str">
            <v>1653</v>
          </cell>
          <cell r="B685" t="str">
            <v>Wheeler House Limited Partnership</v>
          </cell>
        </row>
        <row r="686">
          <cell r="A686" t="str">
            <v>1654</v>
          </cell>
          <cell r="B686" t="str">
            <v>405 West Broadway, L.L.C.</v>
          </cell>
        </row>
        <row r="687">
          <cell r="A687" t="str">
            <v>1655</v>
          </cell>
          <cell r="B687" t="str">
            <v>Mill Creek II MHA, LLLP</v>
          </cell>
        </row>
        <row r="688">
          <cell r="A688" t="str">
            <v>1656</v>
          </cell>
          <cell r="B688" t="str">
            <v>Inn Transition South Ltd.</v>
          </cell>
        </row>
        <row r="689">
          <cell r="A689" t="str">
            <v>1657</v>
          </cell>
          <cell r="B689" t="str">
            <v>Eagle View Plaza Limited Partnership</v>
          </cell>
        </row>
        <row r="690">
          <cell r="A690" t="str">
            <v>1658</v>
          </cell>
          <cell r="B690" t="str">
            <v>Filmore Parc Apartments II A Louisiana Partnership in Commendam</v>
          </cell>
        </row>
        <row r="691">
          <cell r="A691" t="str">
            <v>1659</v>
          </cell>
          <cell r="B691" t="str">
            <v>Sheldon Village Limited Partnership</v>
          </cell>
        </row>
        <row r="692">
          <cell r="A692" t="str">
            <v>1660</v>
          </cell>
          <cell r="B692" t="str">
            <v>Okpara II L.P.</v>
          </cell>
        </row>
        <row r="693">
          <cell r="A693" t="str">
            <v>1661</v>
          </cell>
          <cell r="B693" t="str">
            <v>Great Hope Homes 2001 L.P.</v>
          </cell>
        </row>
        <row r="694">
          <cell r="A694" t="str">
            <v>1662</v>
          </cell>
          <cell r="B694" t="str">
            <v>Menominee Tribal Housing Limited Partnership</v>
          </cell>
        </row>
        <row r="695">
          <cell r="A695" t="str">
            <v>1663</v>
          </cell>
          <cell r="B695" t="str">
            <v>Red Lake Homes Limited Partnership #3</v>
          </cell>
        </row>
        <row r="696">
          <cell r="A696" t="str">
            <v>1664</v>
          </cell>
          <cell r="B696" t="str">
            <v>Paige Pointe Property L.P.</v>
          </cell>
        </row>
        <row r="697">
          <cell r="A697" t="str">
            <v>1665</v>
          </cell>
          <cell r="B697" t="str">
            <v>Chapline Associates Limited Partnership</v>
          </cell>
        </row>
        <row r="698">
          <cell r="A698" t="str">
            <v>1666</v>
          </cell>
          <cell r="B698" t="str">
            <v>Tiadaughton Development Group, L.P.</v>
          </cell>
        </row>
        <row r="699">
          <cell r="A699" t="str">
            <v>1667</v>
          </cell>
          <cell r="B699" t="str">
            <v>Cleveland Housing Network Limited Partnership XVII</v>
          </cell>
        </row>
        <row r="700">
          <cell r="A700" t="str">
            <v>1668</v>
          </cell>
          <cell r="B700" t="str">
            <v>Emerson Housing, LP</v>
          </cell>
        </row>
        <row r="701">
          <cell r="A701" t="str">
            <v>1669</v>
          </cell>
          <cell r="B701" t="str">
            <v>715 Saint John's Place Limited Partnership</v>
          </cell>
        </row>
        <row r="702">
          <cell r="A702" t="str">
            <v>1670</v>
          </cell>
          <cell r="B702" t="str">
            <v>St. Francis Limited Partnership</v>
          </cell>
        </row>
        <row r="703">
          <cell r="A703" t="str">
            <v>1671</v>
          </cell>
          <cell r="B703" t="str">
            <v>Riverside Estates, L.P.</v>
          </cell>
        </row>
        <row r="704">
          <cell r="A704" t="str">
            <v>1672</v>
          </cell>
          <cell r="B704" t="str">
            <v>Red Lake Homes Limited Partnership #5</v>
          </cell>
        </row>
        <row r="705">
          <cell r="A705" t="str">
            <v>1673</v>
          </cell>
          <cell r="B705" t="str">
            <v>S &amp; K, Limited Partnership #2</v>
          </cell>
        </row>
        <row r="706">
          <cell r="A706" t="str">
            <v>1674</v>
          </cell>
          <cell r="B706" t="str">
            <v>Escalante Apartments Associates, Limited Partnership</v>
          </cell>
        </row>
        <row r="707">
          <cell r="A707" t="str">
            <v>1675</v>
          </cell>
          <cell r="B707" t="str">
            <v>Marina Annex Associates, A California Limited Partnership</v>
          </cell>
        </row>
        <row r="708">
          <cell r="A708" t="str">
            <v>1676</v>
          </cell>
          <cell r="B708" t="str">
            <v>WCSA Homes II, L.P.</v>
          </cell>
        </row>
        <row r="709">
          <cell r="A709" t="str">
            <v>1677</v>
          </cell>
          <cell r="B709" t="str">
            <v>Ambassador SRO Associates, L.P.</v>
          </cell>
        </row>
        <row r="710">
          <cell r="A710" t="str">
            <v>1678</v>
          </cell>
          <cell r="B710" t="str">
            <v>Trenton Park Apartments Limited Partnership</v>
          </cell>
        </row>
        <row r="711">
          <cell r="A711" t="str">
            <v>1679</v>
          </cell>
          <cell r="B711" t="str">
            <v>Bon Secours Smallwood Summit L.P.</v>
          </cell>
        </row>
        <row r="712">
          <cell r="A712" t="str">
            <v>1680</v>
          </cell>
          <cell r="B712" t="str">
            <v>Liberty Bay Associates Limited Partnership</v>
          </cell>
        </row>
        <row r="713">
          <cell r="A713" t="str">
            <v>1681</v>
          </cell>
          <cell r="B713" t="str">
            <v>Stonegate Meadows, L.P.</v>
          </cell>
        </row>
        <row r="714">
          <cell r="A714" t="str">
            <v>1682</v>
          </cell>
          <cell r="B714" t="str">
            <v>Fairspring Apartments Associates Limited Partnership</v>
          </cell>
        </row>
        <row r="715">
          <cell r="A715" t="str">
            <v>1683</v>
          </cell>
          <cell r="B715" t="str">
            <v>Lord Baltimore 364 L.P.</v>
          </cell>
        </row>
        <row r="716">
          <cell r="A716" t="str">
            <v>1684</v>
          </cell>
          <cell r="B716" t="str">
            <v>Aspen Meadows Limited Partnership</v>
          </cell>
        </row>
        <row r="717">
          <cell r="A717" t="str">
            <v>1685</v>
          </cell>
          <cell r="B717" t="str">
            <v>Standing Rock Limited Partnership #1</v>
          </cell>
        </row>
        <row r="718">
          <cell r="A718" t="str">
            <v>1686</v>
          </cell>
          <cell r="B718" t="str">
            <v>Norfolk Apartments II Limited Partnership</v>
          </cell>
        </row>
        <row r="719">
          <cell r="A719" t="str">
            <v>1687</v>
          </cell>
          <cell r="B719" t="str">
            <v>Raspberry Ridge Apartments Limited Partnership</v>
          </cell>
        </row>
        <row r="720">
          <cell r="A720" t="str">
            <v>1688</v>
          </cell>
          <cell r="B720" t="str">
            <v>Peninsula Housing Investment Associates, S.E.</v>
          </cell>
        </row>
        <row r="721">
          <cell r="A721" t="str">
            <v>1689</v>
          </cell>
          <cell r="B721" t="str">
            <v>MTFA, L.P.</v>
          </cell>
        </row>
        <row r="722">
          <cell r="A722" t="str">
            <v>1690</v>
          </cell>
          <cell r="B722" t="str">
            <v>Blue Spruce Townhomes LLLP</v>
          </cell>
        </row>
        <row r="723">
          <cell r="A723" t="str">
            <v>1691</v>
          </cell>
          <cell r="B723" t="str">
            <v>Sycamore Green LLC</v>
          </cell>
        </row>
        <row r="724">
          <cell r="A724" t="str">
            <v>1692</v>
          </cell>
          <cell r="B724" t="str">
            <v>Amistad Apartments, L.P.</v>
          </cell>
        </row>
        <row r="725">
          <cell r="A725" t="str">
            <v>1693</v>
          </cell>
          <cell r="B725" t="str">
            <v>Carlton Court Associates, L.P.</v>
          </cell>
        </row>
        <row r="726">
          <cell r="A726" t="str">
            <v>1694</v>
          </cell>
          <cell r="B726" t="str">
            <v>Preservation Hotel California, L.P.</v>
          </cell>
        </row>
        <row r="727">
          <cell r="A727" t="str">
            <v>1695</v>
          </cell>
          <cell r="B727" t="str">
            <v>Lazy Days Properties, L.L.C.</v>
          </cell>
        </row>
        <row r="728">
          <cell r="A728" t="str">
            <v>1696</v>
          </cell>
          <cell r="B728" t="str">
            <v>Lorcom Arms Limited Partnership</v>
          </cell>
        </row>
        <row r="729">
          <cell r="A729" t="str">
            <v>1697</v>
          </cell>
          <cell r="B729" t="str">
            <v>Las Quintas de Adobe of San Luis, Limited Partnership</v>
          </cell>
        </row>
        <row r="730">
          <cell r="A730" t="str">
            <v>1698</v>
          </cell>
          <cell r="B730" t="str">
            <v>Kingsford Homes Limited Partnership</v>
          </cell>
        </row>
        <row r="731">
          <cell r="A731" t="str">
            <v>1699</v>
          </cell>
          <cell r="B731" t="str">
            <v>West End Phase III Redevelopment Partnership, L.P.</v>
          </cell>
        </row>
        <row r="732">
          <cell r="A732" t="str">
            <v>1700</v>
          </cell>
          <cell r="B732" t="str">
            <v>Rivers Hotel, L.P.</v>
          </cell>
        </row>
        <row r="733">
          <cell r="A733" t="str">
            <v>1701</v>
          </cell>
          <cell r="B733" t="str">
            <v>Courtland Building, Ltd.</v>
          </cell>
        </row>
        <row r="734">
          <cell r="A734" t="str">
            <v>1702</v>
          </cell>
          <cell r="B734" t="str">
            <v>Homes on the Glen Limited Partnership</v>
          </cell>
        </row>
        <row r="735">
          <cell r="A735" t="str">
            <v>1703</v>
          </cell>
          <cell r="B735" t="str">
            <v>Integrated Community Services, L.P.</v>
          </cell>
        </row>
        <row r="736">
          <cell r="A736" t="str">
            <v>1704</v>
          </cell>
          <cell r="B736" t="str">
            <v>Harold Way Apartments, L.P.</v>
          </cell>
        </row>
        <row r="737">
          <cell r="A737" t="str">
            <v>1705</v>
          </cell>
          <cell r="B737" t="str">
            <v>Prairie Housing Limited Partnership</v>
          </cell>
        </row>
        <row r="738">
          <cell r="A738" t="str">
            <v>1706</v>
          </cell>
          <cell r="B738" t="str">
            <v>Harlem Gardens L.P.</v>
          </cell>
        </row>
        <row r="739">
          <cell r="A739" t="str">
            <v>1707</v>
          </cell>
          <cell r="B739" t="str">
            <v>Woodbridge Meadow Limited Partnership</v>
          </cell>
        </row>
        <row r="740">
          <cell r="A740" t="str">
            <v>1708</v>
          </cell>
          <cell r="B740" t="str">
            <v>Greenwood Apartments, LLC</v>
          </cell>
        </row>
        <row r="741">
          <cell r="A741" t="str">
            <v>1709</v>
          </cell>
          <cell r="B741" t="str">
            <v>Shoal Creek Limited Partnership</v>
          </cell>
        </row>
        <row r="742">
          <cell r="A742" t="str">
            <v>1710</v>
          </cell>
          <cell r="B742" t="str">
            <v>Standing Rock Limited Partnership #2</v>
          </cell>
        </row>
        <row r="743">
          <cell r="A743" t="str">
            <v>1711</v>
          </cell>
          <cell r="B743" t="str">
            <v>Nez Perce Limited Partnership #1</v>
          </cell>
        </row>
        <row r="744">
          <cell r="A744" t="str">
            <v>1712</v>
          </cell>
          <cell r="B744" t="str">
            <v>Ladera Apartments Homes, Limited Partnership</v>
          </cell>
        </row>
        <row r="745">
          <cell r="A745" t="str">
            <v>1713</v>
          </cell>
          <cell r="B745" t="str">
            <v>Walnut Street Limited Partnership</v>
          </cell>
        </row>
        <row r="746">
          <cell r="A746" t="str">
            <v>1714</v>
          </cell>
          <cell r="B746" t="str">
            <v>Ontario Place, LP</v>
          </cell>
        </row>
        <row r="747">
          <cell r="A747" t="str">
            <v>1715</v>
          </cell>
          <cell r="B747" t="str">
            <v>Canal Place, L.P.</v>
          </cell>
        </row>
        <row r="748">
          <cell r="A748" t="str">
            <v>1716</v>
          </cell>
          <cell r="B748" t="str">
            <v>Blackhawk Apartments Limited Partnership</v>
          </cell>
        </row>
        <row r="749">
          <cell r="A749" t="str">
            <v>1717</v>
          </cell>
          <cell r="B749" t="str">
            <v>Westview Villa Limited Partnership</v>
          </cell>
        </row>
        <row r="750">
          <cell r="A750" t="str">
            <v>1718</v>
          </cell>
          <cell r="B750" t="str">
            <v>Criscuolo Plaza Associates, L.P.</v>
          </cell>
        </row>
        <row r="751">
          <cell r="A751" t="str">
            <v>1719</v>
          </cell>
          <cell r="B751" t="str">
            <v>Westside Housing, L.P.</v>
          </cell>
        </row>
        <row r="752">
          <cell r="A752" t="str">
            <v>1720</v>
          </cell>
          <cell r="B752" t="str">
            <v>Upland Homes, LLC</v>
          </cell>
        </row>
        <row r="753">
          <cell r="A753" t="str">
            <v>1721</v>
          </cell>
          <cell r="B753" t="str">
            <v>Church Street Housing Partners I, LLC</v>
          </cell>
        </row>
        <row r="754">
          <cell r="A754" t="str">
            <v>1722</v>
          </cell>
          <cell r="B754" t="str">
            <v>AAMHA Babcock North, L.P.</v>
          </cell>
        </row>
        <row r="755">
          <cell r="A755" t="str">
            <v>1723</v>
          </cell>
          <cell r="B755" t="str">
            <v>Springhill of Marion, L.P.</v>
          </cell>
        </row>
        <row r="756">
          <cell r="A756" t="str">
            <v>1724</v>
          </cell>
          <cell r="B756" t="str">
            <v>LIHI Meadowbrook Associates LLC</v>
          </cell>
        </row>
        <row r="757">
          <cell r="A757" t="str">
            <v>1725</v>
          </cell>
          <cell r="B757" t="str">
            <v>Chelsea L.P.</v>
          </cell>
        </row>
        <row r="758">
          <cell r="A758" t="str">
            <v>1726</v>
          </cell>
          <cell r="B758" t="str">
            <v>Hacienda West Apartments Limited Partnership</v>
          </cell>
        </row>
        <row r="759">
          <cell r="A759" t="str">
            <v>1727</v>
          </cell>
          <cell r="B759" t="str">
            <v>Avondale Gardens, L.P.</v>
          </cell>
        </row>
        <row r="760">
          <cell r="A760" t="str">
            <v>1728</v>
          </cell>
          <cell r="B760" t="str">
            <v>Cassel Ridge East Limited Partnership</v>
          </cell>
        </row>
        <row r="761">
          <cell r="A761" t="str">
            <v>1729</v>
          </cell>
          <cell r="B761" t="str">
            <v>Washington Square, L.L.C.</v>
          </cell>
        </row>
        <row r="762">
          <cell r="A762" t="str">
            <v>1730</v>
          </cell>
          <cell r="B762" t="str">
            <v>Red Lake Homes Limited Partnership #6</v>
          </cell>
        </row>
        <row r="763">
          <cell r="A763" t="str">
            <v>1731</v>
          </cell>
          <cell r="B763" t="str">
            <v>Maple Court Limited Partnership</v>
          </cell>
        </row>
        <row r="764">
          <cell r="A764" t="str">
            <v>1732</v>
          </cell>
          <cell r="B764" t="str">
            <v>Vine Street Lofts, L.P.</v>
          </cell>
        </row>
        <row r="765">
          <cell r="A765" t="str">
            <v>1733</v>
          </cell>
          <cell r="B765" t="str">
            <v>City Front Partners, LLC</v>
          </cell>
        </row>
        <row r="766">
          <cell r="A766" t="str">
            <v>1734</v>
          </cell>
          <cell r="B766" t="str">
            <v>Bayanihan Partners, A California Limited Partnership</v>
          </cell>
        </row>
        <row r="767">
          <cell r="A767" t="str">
            <v>1735</v>
          </cell>
          <cell r="B767" t="str">
            <v>Vincent P. Cyrus Plaza Limited Partnership</v>
          </cell>
        </row>
        <row r="768">
          <cell r="A768" t="str">
            <v>1736</v>
          </cell>
          <cell r="B768" t="str">
            <v>Kimberly Park II, L.L.C.</v>
          </cell>
        </row>
        <row r="769">
          <cell r="A769" t="str">
            <v>1737</v>
          </cell>
          <cell r="B769" t="str">
            <v>Red Lake Homes Limited Partnership #7</v>
          </cell>
        </row>
        <row r="770">
          <cell r="A770" t="str">
            <v>1738</v>
          </cell>
          <cell r="B770" t="str">
            <v>Passport Residences, Limited Partnership</v>
          </cell>
        </row>
        <row r="771">
          <cell r="A771" t="str">
            <v>1739</v>
          </cell>
          <cell r="B771" t="str">
            <v>Ashbourne, LLC</v>
          </cell>
        </row>
        <row r="772">
          <cell r="A772" t="str">
            <v>1740</v>
          </cell>
          <cell r="B772" t="str">
            <v>Blackfeet Housing Limited Partnership #1</v>
          </cell>
        </row>
        <row r="773">
          <cell r="A773" t="str">
            <v>1741</v>
          </cell>
          <cell r="B773" t="str">
            <v>The Madison of Benton County, L.P.</v>
          </cell>
        </row>
        <row r="774">
          <cell r="A774" t="str">
            <v>1742</v>
          </cell>
          <cell r="B774" t="str">
            <v>Cleveland Housing Network Limited Partnership XVIII</v>
          </cell>
        </row>
        <row r="775">
          <cell r="A775" t="str">
            <v>1746</v>
          </cell>
          <cell r="B775" t="str">
            <v>Elkhorn Sedgemeadow I Limited Partnership</v>
          </cell>
        </row>
        <row r="776">
          <cell r="A776" t="str">
            <v>1747</v>
          </cell>
          <cell r="B776" t="str">
            <v>Druid Hills LLC</v>
          </cell>
        </row>
        <row r="777">
          <cell r="A777" t="str">
            <v>1748</v>
          </cell>
          <cell r="B777" t="str">
            <v>Aurora Housing Limited Partnership</v>
          </cell>
        </row>
        <row r="778">
          <cell r="A778" t="str">
            <v>1750</v>
          </cell>
          <cell r="B778" t="str">
            <v>1750 King Partners, A California Limited Partnership</v>
          </cell>
        </row>
        <row r="779">
          <cell r="A779" t="str">
            <v>1751</v>
          </cell>
          <cell r="B779" t="str">
            <v>DESC 1811 Associates LLC</v>
          </cell>
        </row>
        <row r="780">
          <cell r="A780" t="str">
            <v>1752</v>
          </cell>
          <cell r="B780" t="str">
            <v>FMF 38th Street Development LLLP</v>
          </cell>
        </row>
        <row r="781">
          <cell r="A781" t="str">
            <v>1753</v>
          </cell>
          <cell r="B781" t="str">
            <v>Andover Court Associates, LLC</v>
          </cell>
        </row>
        <row r="782">
          <cell r="A782" t="str">
            <v>1754</v>
          </cell>
          <cell r="B782" t="str">
            <v>Breaux Bridge Broussard, L.P.</v>
          </cell>
        </row>
        <row r="783">
          <cell r="A783" t="str">
            <v>1755</v>
          </cell>
          <cell r="B783" t="str">
            <v>Waterside Apartments, Ltd.</v>
          </cell>
        </row>
        <row r="784">
          <cell r="A784" t="str">
            <v>1756</v>
          </cell>
          <cell r="B784" t="str">
            <v>Chestnut Hills Apartments, LLC</v>
          </cell>
        </row>
        <row r="785">
          <cell r="A785" t="str">
            <v>1757</v>
          </cell>
          <cell r="B785" t="str">
            <v>Cleveland New Construction Limited Partnership III</v>
          </cell>
        </row>
        <row r="786">
          <cell r="A786" t="str">
            <v>1758</v>
          </cell>
          <cell r="B786" t="str">
            <v>LESPMHA II, L.P.</v>
          </cell>
        </row>
        <row r="787">
          <cell r="A787" t="str">
            <v>1759</v>
          </cell>
          <cell r="B787" t="str">
            <v>Etzel Place IV, L.P.</v>
          </cell>
        </row>
        <row r="788">
          <cell r="A788" t="str">
            <v>1760</v>
          </cell>
          <cell r="B788" t="str">
            <v>Foxtail Creek Limited Partnership</v>
          </cell>
        </row>
        <row r="789">
          <cell r="A789" t="str">
            <v>1761</v>
          </cell>
          <cell r="B789" t="str">
            <v>NHTE Piedmont Garrett Square Limited Partnership</v>
          </cell>
        </row>
        <row r="790">
          <cell r="A790" t="str">
            <v>1762</v>
          </cell>
          <cell r="B790" t="str">
            <v>Gold Dust Limited Partnership</v>
          </cell>
        </row>
        <row r="791">
          <cell r="A791" t="str">
            <v>1763</v>
          </cell>
          <cell r="B791" t="str">
            <v>Grande Apartments Limited Partnership</v>
          </cell>
        </row>
        <row r="792">
          <cell r="A792" t="str">
            <v>1764</v>
          </cell>
          <cell r="B792" t="str">
            <v>Greenbrier Court Limited Partnership</v>
          </cell>
        </row>
        <row r="793">
          <cell r="A793" t="str">
            <v>1765</v>
          </cell>
          <cell r="B793" t="str">
            <v>Gum Springs Glen Limited Partnership</v>
          </cell>
        </row>
        <row r="794">
          <cell r="A794" t="str">
            <v>1766</v>
          </cell>
          <cell r="B794" t="str">
            <v>Jordan River Housing Partners L.P.</v>
          </cell>
        </row>
        <row r="795">
          <cell r="A795" t="str">
            <v>1767</v>
          </cell>
          <cell r="B795" t="str">
            <v>Leech Lake Limited Partnership #1</v>
          </cell>
        </row>
        <row r="796">
          <cell r="A796" t="str">
            <v>1768</v>
          </cell>
          <cell r="B796" t="str">
            <v>Mariemont Homes Limited Partnership</v>
          </cell>
        </row>
        <row r="797">
          <cell r="A797" t="str">
            <v>1769</v>
          </cell>
          <cell r="B797" t="str">
            <v>Paris Park Limited Partnership</v>
          </cell>
        </row>
        <row r="798">
          <cell r="A798" t="str">
            <v>1770</v>
          </cell>
          <cell r="B798" t="str">
            <v>Lowry Boulevard Apartments, LLLP</v>
          </cell>
        </row>
        <row r="799">
          <cell r="A799" t="str">
            <v>1771</v>
          </cell>
          <cell r="B799" t="str">
            <v>YMCA Sierra Gardens Urban Renewal LP</v>
          </cell>
        </row>
        <row r="800">
          <cell r="A800" t="str">
            <v>1772</v>
          </cell>
          <cell r="B800" t="str">
            <v>South East Columbus Homes Limited Partnership</v>
          </cell>
        </row>
        <row r="801">
          <cell r="A801" t="str">
            <v>1773</v>
          </cell>
          <cell r="B801" t="str">
            <v>St. Joe Estates I, Limited Partnership</v>
          </cell>
        </row>
        <row r="802">
          <cell r="A802" t="str">
            <v>1774</v>
          </cell>
          <cell r="B802" t="str">
            <v>St. Joe Estates II, Limited Partnership</v>
          </cell>
        </row>
        <row r="803">
          <cell r="A803" t="str">
            <v>1775</v>
          </cell>
          <cell r="B803" t="str">
            <v>Standing Rock Limited Partnership #3</v>
          </cell>
        </row>
        <row r="804">
          <cell r="A804" t="str">
            <v>1776</v>
          </cell>
          <cell r="B804" t="str">
            <v>Standing Rock Limited Partnership #4</v>
          </cell>
        </row>
        <row r="805">
          <cell r="A805" t="str">
            <v>1777</v>
          </cell>
          <cell r="B805" t="str">
            <v>Takoma Tower, L.P.</v>
          </cell>
        </row>
        <row r="806">
          <cell r="A806" t="str">
            <v>1778</v>
          </cell>
          <cell r="B806" t="str">
            <v>Victory Terrace Limited Partnership</v>
          </cell>
        </row>
        <row r="807">
          <cell r="A807" t="str">
            <v>30000</v>
          </cell>
          <cell r="B807" t="str">
            <v>Sheldon Village II Limited Partnership</v>
          </cell>
        </row>
        <row r="808">
          <cell r="A808" t="str">
            <v>30001</v>
          </cell>
          <cell r="B808" t="str">
            <v>Red Hook Gardens Limited Partnership</v>
          </cell>
        </row>
        <row r="809">
          <cell r="A809" t="str">
            <v>30002</v>
          </cell>
          <cell r="B809" t="str">
            <v>1368 Boston Road Associates, L.P.</v>
          </cell>
        </row>
        <row r="810">
          <cell r="A810" t="str">
            <v>30004</v>
          </cell>
          <cell r="B810" t="str">
            <v>Ryan School Apartments, LP</v>
          </cell>
        </row>
        <row r="811">
          <cell r="A811" t="str">
            <v>30005</v>
          </cell>
          <cell r="B811" t="str">
            <v>FRED I Limited Partnership</v>
          </cell>
        </row>
        <row r="812">
          <cell r="A812" t="str">
            <v>30009</v>
          </cell>
          <cell r="B812" t="str">
            <v>FRED II Limited Partnership</v>
          </cell>
        </row>
        <row r="813">
          <cell r="A813" t="str">
            <v>30010</v>
          </cell>
          <cell r="B813" t="str">
            <v>Hodges Creek Apartments, LLC</v>
          </cell>
        </row>
        <row r="814">
          <cell r="A814" t="str">
            <v>30011</v>
          </cell>
          <cell r="B814" t="str">
            <v>Lennox Chase Development, LLC</v>
          </cell>
        </row>
        <row r="815">
          <cell r="A815" t="str">
            <v>30012</v>
          </cell>
          <cell r="B815" t="str">
            <v>Springtree Village Apartments of Durango, LLLP</v>
          </cell>
        </row>
        <row r="816">
          <cell r="A816" t="str">
            <v>30013</v>
          </cell>
          <cell r="B816" t="str">
            <v>Greenwood Terrace Apartments, L.P.</v>
          </cell>
        </row>
        <row r="817">
          <cell r="A817" t="str">
            <v>30014</v>
          </cell>
          <cell r="B817" t="str">
            <v>Snow Hill Limited Partnership</v>
          </cell>
        </row>
        <row r="818">
          <cell r="A818" t="str">
            <v>30015</v>
          </cell>
          <cell r="B818" t="str">
            <v>Park Village Community, L.P.</v>
          </cell>
        </row>
        <row r="819">
          <cell r="A819" t="str">
            <v>30017</v>
          </cell>
          <cell r="B819" t="str">
            <v>Atlas Savings L.P.</v>
          </cell>
        </row>
        <row r="820">
          <cell r="A820" t="str">
            <v>30018</v>
          </cell>
          <cell r="B820" t="str">
            <v>First Antique Center, LLC</v>
          </cell>
        </row>
        <row r="821">
          <cell r="A821" t="str">
            <v>30020</v>
          </cell>
          <cell r="B821" t="str">
            <v>Adelaide Avenue Limited Partnership</v>
          </cell>
        </row>
        <row r="822">
          <cell r="A822" t="str">
            <v>30021</v>
          </cell>
          <cell r="B822" t="str">
            <v>Barton Street Neighborhood Limited Partnership</v>
          </cell>
        </row>
        <row r="823">
          <cell r="A823" t="str">
            <v>30022</v>
          </cell>
          <cell r="B823" t="str">
            <v>Soromundi Commons Limited Partnership</v>
          </cell>
        </row>
        <row r="824">
          <cell r="A824" t="str">
            <v>30025</v>
          </cell>
          <cell r="B824" t="str">
            <v>OCDS Limited Partnership</v>
          </cell>
        </row>
        <row r="825">
          <cell r="A825" t="str">
            <v>30027</v>
          </cell>
          <cell r="B825" t="str">
            <v>Snowden River LLLP</v>
          </cell>
        </row>
        <row r="826">
          <cell r="A826" t="str">
            <v>30028</v>
          </cell>
          <cell r="B826" t="str">
            <v>Arbor Park Phase Two Associates, L.P.</v>
          </cell>
        </row>
        <row r="827">
          <cell r="A827" t="str">
            <v>30029</v>
          </cell>
          <cell r="B827" t="str">
            <v>Saybrook Elderly II, L.P.</v>
          </cell>
        </row>
        <row r="828">
          <cell r="A828" t="str">
            <v>30030</v>
          </cell>
          <cell r="B828" t="str">
            <v>Glenville Elderly II Limited Partnership</v>
          </cell>
        </row>
        <row r="829">
          <cell r="A829" t="str">
            <v>30031</v>
          </cell>
          <cell r="B829" t="str">
            <v>EADS Apartments, L.P.</v>
          </cell>
        </row>
        <row r="830">
          <cell r="A830" t="str">
            <v>30032</v>
          </cell>
          <cell r="B830" t="str">
            <v>Bon Secours Chesapeake Apartments, Limited Partnership</v>
          </cell>
        </row>
        <row r="831">
          <cell r="A831" t="str">
            <v>30033</v>
          </cell>
          <cell r="B831" t="str">
            <v>Clare Court Limited Partnership</v>
          </cell>
        </row>
        <row r="832">
          <cell r="A832" t="str">
            <v>30034</v>
          </cell>
          <cell r="B832" t="str">
            <v>Cleveland Housing Network Limited Partnership XIX</v>
          </cell>
        </row>
        <row r="833">
          <cell r="A833" t="str">
            <v>30035</v>
          </cell>
          <cell r="B833" t="str">
            <v>Erieview Homes I Limited Partnership</v>
          </cell>
        </row>
        <row r="834">
          <cell r="A834" t="str">
            <v>30037</v>
          </cell>
          <cell r="B834" t="str">
            <v>Cleveland New Homes II, L.P.</v>
          </cell>
        </row>
        <row r="835">
          <cell r="A835" t="str">
            <v>30039</v>
          </cell>
          <cell r="B835" t="str">
            <v>East Cleveland Homes L.P.</v>
          </cell>
        </row>
        <row r="836">
          <cell r="A836" t="str">
            <v>30040</v>
          </cell>
          <cell r="B836" t="str">
            <v>East Side Neighborhood Homes L.P.</v>
          </cell>
        </row>
        <row r="837">
          <cell r="A837" t="str">
            <v>30041</v>
          </cell>
          <cell r="B837" t="str">
            <v>Historic Newton Avenue Apartments, LP</v>
          </cell>
        </row>
        <row r="838">
          <cell r="A838" t="str">
            <v>30042</v>
          </cell>
          <cell r="B838" t="str">
            <v>East Capital Senior Rental Limited Partnership</v>
          </cell>
        </row>
        <row r="839">
          <cell r="A839" t="str">
            <v>30052</v>
          </cell>
          <cell r="B839" t="str">
            <v>GEEL East 162nd Street Limited Partnership</v>
          </cell>
        </row>
        <row r="840">
          <cell r="A840" t="str">
            <v>30056</v>
          </cell>
          <cell r="B840" t="str">
            <v>880 Willoughby, L.P.</v>
          </cell>
        </row>
        <row r="841">
          <cell r="A841" t="str">
            <v>30057</v>
          </cell>
          <cell r="B841" t="str">
            <v>CHICA, Limited Partnership</v>
          </cell>
        </row>
        <row r="842">
          <cell r="A842" t="str">
            <v>30065</v>
          </cell>
          <cell r="B842" t="str">
            <v>New Square, L.P. III</v>
          </cell>
        </row>
        <row r="843">
          <cell r="A843" t="str">
            <v>30066</v>
          </cell>
          <cell r="B843" t="str">
            <v>VIP RJP Associates, L.P.</v>
          </cell>
        </row>
        <row r="844">
          <cell r="A844" t="str">
            <v>30068</v>
          </cell>
          <cell r="B844" t="str">
            <v>Howard Hill Limited Partnership</v>
          </cell>
        </row>
        <row r="845">
          <cell r="A845" t="str">
            <v>30071</v>
          </cell>
          <cell r="B845" t="str">
            <v>Fairview Homes Limited Partnership</v>
          </cell>
        </row>
        <row r="846">
          <cell r="A846" t="str">
            <v>30072</v>
          </cell>
          <cell r="B846" t="str">
            <v>Southside Homes Limited Partnership</v>
          </cell>
        </row>
        <row r="847">
          <cell r="A847" t="str">
            <v>30074</v>
          </cell>
          <cell r="B847" t="str">
            <v>Somerset County Supportive Housing, L.P.</v>
          </cell>
        </row>
        <row r="848">
          <cell r="A848" t="str">
            <v>30081</v>
          </cell>
          <cell r="B848" t="str">
            <v>Aswan Village Associates, LLC</v>
          </cell>
        </row>
        <row r="849">
          <cell r="A849" t="str">
            <v>30082</v>
          </cell>
          <cell r="B849" t="str">
            <v>St. George Affordable Housing Limited Partnership</v>
          </cell>
        </row>
        <row r="850">
          <cell r="A850" t="str">
            <v>30083</v>
          </cell>
          <cell r="B850" t="str">
            <v>LIHI Northwest 85th LLC</v>
          </cell>
        </row>
        <row r="851">
          <cell r="A851" t="str">
            <v>30084</v>
          </cell>
          <cell r="B851" t="str">
            <v>Lents 2000 Limited Partnership</v>
          </cell>
        </row>
        <row r="852">
          <cell r="A852" t="str">
            <v>30085</v>
          </cell>
          <cell r="B852" t="str">
            <v>Sanctuary Place Limited Partnership</v>
          </cell>
        </row>
        <row r="853">
          <cell r="A853" t="str">
            <v>30086</v>
          </cell>
          <cell r="B853" t="str">
            <v>Pebble Creek Associates Phase II, L.P.</v>
          </cell>
        </row>
        <row r="854">
          <cell r="A854" t="str">
            <v>30087</v>
          </cell>
          <cell r="B854" t="str">
            <v>710 South 20th Street LLC</v>
          </cell>
        </row>
        <row r="855">
          <cell r="A855" t="str">
            <v>30088</v>
          </cell>
          <cell r="B855" t="str">
            <v>Millennium Place I, L.P.</v>
          </cell>
        </row>
        <row r="856">
          <cell r="A856" t="str">
            <v>30089</v>
          </cell>
          <cell r="B856" t="str">
            <v>Jerman Housing, L.P.</v>
          </cell>
        </row>
        <row r="857">
          <cell r="A857" t="str">
            <v>30090</v>
          </cell>
          <cell r="B857" t="str">
            <v>Tyson School Apartments, L.P.</v>
          </cell>
        </row>
        <row r="858">
          <cell r="A858" t="str">
            <v>30098</v>
          </cell>
          <cell r="B858" t="str">
            <v>Barnabas Housing Limited Partnership</v>
          </cell>
        </row>
        <row r="859">
          <cell r="A859" t="str">
            <v>30099</v>
          </cell>
          <cell r="B859" t="str">
            <v>MDI Limited Partnership #78</v>
          </cell>
        </row>
        <row r="860">
          <cell r="A860" t="str">
            <v>30103</v>
          </cell>
          <cell r="B860" t="str">
            <v>Meadow Ridge Estates Limited Partnership</v>
          </cell>
        </row>
        <row r="861">
          <cell r="A861" t="str">
            <v>30107</v>
          </cell>
          <cell r="B861" t="str">
            <v>AR Preservation, L.P.</v>
          </cell>
        </row>
        <row r="862">
          <cell r="A862" t="str">
            <v>30111</v>
          </cell>
          <cell r="B862" t="str">
            <v>Mariposa Village Limited Partnership</v>
          </cell>
        </row>
        <row r="863">
          <cell r="A863" t="str">
            <v>30121</v>
          </cell>
          <cell r="B863" t="str">
            <v>Portland Place Senior Housing, L.P.</v>
          </cell>
        </row>
        <row r="864">
          <cell r="A864" t="str">
            <v>30130</v>
          </cell>
          <cell r="B864" t="str">
            <v>Terrace Heights Apartments Associates Limited Partnership</v>
          </cell>
        </row>
        <row r="865">
          <cell r="A865" t="str">
            <v>30132</v>
          </cell>
          <cell r="B865" t="str">
            <v>Bay Hill Apartments Associates Limited Partnership</v>
          </cell>
        </row>
        <row r="866">
          <cell r="A866" t="str">
            <v>30136</v>
          </cell>
          <cell r="B866" t="str">
            <v>Mustang Ridge Townhomes, Limited Partnership</v>
          </cell>
        </row>
        <row r="867">
          <cell r="A867" t="str">
            <v>30137</v>
          </cell>
          <cell r="B867" t="str">
            <v>MSV II, Limited Partnership</v>
          </cell>
        </row>
        <row r="868">
          <cell r="A868" t="str">
            <v>30138</v>
          </cell>
          <cell r="B868" t="str">
            <v>Cascadia Village Apartments/Street, LLC</v>
          </cell>
        </row>
        <row r="869">
          <cell r="A869" t="str">
            <v>30139</v>
          </cell>
          <cell r="B869" t="str">
            <v>Brownstone Hotel, L.P.</v>
          </cell>
        </row>
        <row r="870">
          <cell r="A870" t="str">
            <v>30140</v>
          </cell>
          <cell r="B870" t="str">
            <v>MDI Limited Partnership #101</v>
          </cell>
        </row>
        <row r="871">
          <cell r="A871" t="str">
            <v>30152</v>
          </cell>
          <cell r="B871" t="str">
            <v>Central Square Apartments Limited Partnership</v>
          </cell>
        </row>
        <row r="872">
          <cell r="A872" t="str">
            <v>30157</v>
          </cell>
          <cell r="B872" t="str">
            <v>Crestview Community Limited Partnership</v>
          </cell>
        </row>
        <row r="873">
          <cell r="A873" t="str">
            <v>30166</v>
          </cell>
          <cell r="B873" t="str">
            <v>LIHI Penney Associates LLC</v>
          </cell>
        </row>
        <row r="874">
          <cell r="A874" t="str">
            <v>30167</v>
          </cell>
          <cell r="B874" t="str">
            <v>Alton Square Apartments, L.P.</v>
          </cell>
        </row>
        <row r="875">
          <cell r="A875" t="str">
            <v>30168</v>
          </cell>
          <cell r="B875" t="str">
            <v>Red Lake Homes Limited Partnership #9</v>
          </cell>
        </row>
        <row r="876">
          <cell r="A876" t="str">
            <v>30171</v>
          </cell>
          <cell r="B876" t="str">
            <v>Creekside Clearing, L.P.</v>
          </cell>
        </row>
        <row r="877">
          <cell r="A877" t="str">
            <v>30174</v>
          </cell>
          <cell r="B877" t="str">
            <v>Calvert Street Apartments, L.P.</v>
          </cell>
        </row>
        <row r="878">
          <cell r="A878" t="str">
            <v>30175</v>
          </cell>
          <cell r="B878" t="str">
            <v>Dalt Hotel, L.P.</v>
          </cell>
        </row>
        <row r="879">
          <cell r="A879" t="str">
            <v>30176</v>
          </cell>
          <cell r="B879" t="str">
            <v>Jackson Aisle Apartments, L.P.</v>
          </cell>
        </row>
        <row r="880">
          <cell r="A880" t="str">
            <v>30177</v>
          </cell>
          <cell r="B880" t="str">
            <v>Wings of Freedom, LLC</v>
          </cell>
        </row>
        <row r="881">
          <cell r="A881" t="str">
            <v>30178</v>
          </cell>
          <cell r="B881" t="str">
            <v>Railroad Avenue Associates Limited Partnership</v>
          </cell>
        </row>
        <row r="882">
          <cell r="A882" t="str">
            <v>30179</v>
          </cell>
          <cell r="B882" t="str">
            <v>Cedarwood II Associates, LLC</v>
          </cell>
        </row>
        <row r="883">
          <cell r="A883" t="str">
            <v>30180</v>
          </cell>
          <cell r="B883" t="str">
            <v>Chester Manor, LLC</v>
          </cell>
        </row>
        <row r="884">
          <cell r="A884" t="str">
            <v>30181</v>
          </cell>
          <cell r="B884" t="str">
            <v>LIHI Pine City Associates LLC</v>
          </cell>
        </row>
        <row r="885">
          <cell r="A885" t="str">
            <v>30182</v>
          </cell>
          <cell r="B885" t="str">
            <v>Green Valley Apartments of Payson, LLC</v>
          </cell>
        </row>
        <row r="886">
          <cell r="A886" t="str">
            <v>30183</v>
          </cell>
          <cell r="B886" t="str">
            <v>Red Barn Associates, L.P.</v>
          </cell>
        </row>
        <row r="887">
          <cell r="A887" t="str">
            <v>30184</v>
          </cell>
          <cell r="B887" t="str">
            <v>Grace Partners, a Nevada Limited Partnership</v>
          </cell>
        </row>
        <row r="888">
          <cell r="A888" t="str">
            <v>30185</v>
          </cell>
          <cell r="B888" t="str">
            <v>Corey Commons Limited Partnership</v>
          </cell>
        </row>
        <row r="889">
          <cell r="A889" t="str">
            <v>30186</v>
          </cell>
          <cell r="B889" t="str">
            <v>Grisham Community Housing Limited Partnership</v>
          </cell>
        </row>
        <row r="890">
          <cell r="A890" t="str">
            <v>30196</v>
          </cell>
          <cell r="B890" t="str">
            <v>Prairie Townhomes, L.P.</v>
          </cell>
        </row>
        <row r="891">
          <cell r="A891" t="str">
            <v>30199</v>
          </cell>
          <cell r="B891" t="str">
            <v>Cedar Woods Family Limited Partnership</v>
          </cell>
        </row>
        <row r="892">
          <cell r="A892" t="str">
            <v>30201</v>
          </cell>
          <cell r="B892" t="str">
            <v>Lilac Meadow Phase II, Limited Partnership</v>
          </cell>
        </row>
        <row r="893">
          <cell r="A893" t="str">
            <v>30204</v>
          </cell>
          <cell r="B893" t="str">
            <v>Columbia Park Limited Partnership</v>
          </cell>
        </row>
        <row r="894">
          <cell r="A894" t="str">
            <v>30206</v>
          </cell>
          <cell r="B894" t="str">
            <v>Shakopee Boulder Ridge II, Limited Partnership</v>
          </cell>
        </row>
        <row r="895">
          <cell r="A895" t="str">
            <v>30210</v>
          </cell>
          <cell r="B895" t="str">
            <v>Broadway Village I Apartments, L.P.</v>
          </cell>
        </row>
        <row r="896">
          <cell r="A896" t="str">
            <v>30211</v>
          </cell>
          <cell r="B896" t="str">
            <v>El Mirage, Limited Partnership</v>
          </cell>
        </row>
        <row r="897">
          <cell r="A897" t="str">
            <v>30212</v>
          </cell>
          <cell r="B897" t="str">
            <v>West Hotel, L.P.</v>
          </cell>
        </row>
        <row r="898">
          <cell r="A898" t="str">
            <v>30214</v>
          </cell>
          <cell r="B898" t="str">
            <v>Knox Apartments, Limited Partnership</v>
          </cell>
        </row>
        <row r="899">
          <cell r="A899" t="str">
            <v>30216</v>
          </cell>
          <cell r="B899" t="str">
            <v>Firetower Crossing Apartments, LLC</v>
          </cell>
        </row>
        <row r="900">
          <cell r="A900" t="str">
            <v>30217</v>
          </cell>
          <cell r="B900" t="str">
            <v>Ak-Chin Homes Limited Partnership #1</v>
          </cell>
        </row>
        <row r="901">
          <cell r="A901" t="str">
            <v>30220</v>
          </cell>
          <cell r="B901" t="str">
            <v>Yavapai-Apache Nation Limited Partnership #1</v>
          </cell>
        </row>
        <row r="902">
          <cell r="A902" t="str">
            <v>30221</v>
          </cell>
          <cell r="B902" t="str">
            <v>Leech Lake Limited Partnership #2</v>
          </cell>
        </row>
        <row r="903">
          <cell r="A903" t="str">
            <v>30222</v>
          </cell>
          <cell r="B903" t="str">
            <v>Leech Lake Limited Partnership #3</v>
          </cell>
        </row>
        <row r="904">
          <cell r="A904" t="str">
            <v>30223</v>
          </cell>
          <cell r="B904" t="str">
            <v>Sitting Bull College Limited Partnership #1</v>
          </cell>
        </row>
        <row r="905">
          <cell r="A905" t="str">
            <v>30224</v>
          </cell>
          <cell r="B905" t="str">
            <v>Standing Rock Limited Partnership #5</v>
          </cell>
        </row>
        <row r="906">
          <cell r="A906" t="str">
            <v>30225</v>
          </cell>
          <cell r="B906" t="str">
            <v>Standing Rock Limited Partnership #6</v>
          </cell>
        </row>
        <row r="907">
          <cell r="A907" t="str">
            <v>30226</v>
          </cell>
          <cell r="B907" t="str">
            <v>Standing Rock Limited Partnership #7</v>
          </cell>
        </row>
        <row r="908">
          <cell r="A908" t="str">
            <v>30227</v>
          </cell>
          <cell r="B908" t="str">
            <v>Filberts Creek Apartments, LLC</v>
          </cell>
        </row>
        <row r="909">
          <cell r="A909" t="str">
            <v>30228</v>
          </cell>
          <cell r="B909" t="str">
            <v>Elmgrove Place LP</v>
          </cell>
        </row>
        <row r="910">
          <cell r="A910" t="str">
            <v>30229</v>
          </cell>
          <cell r="B910" t="str">
            <v>Tyvola Crossing LLC</v>
          </cell>
        </row>
        <row r="911">
          <cell r="A911" t="str">
            <v>30230</v>
          </cell>
          <cell r="B911" t="str">
            <v>Myrtle Place Apartments, LLC</v>
          </cell>
        </row>
        <row r="912">
          <cell r="A912" t="str">
            <v>30232</v>
          </cell>
          <cell r="B912" t="str">
            <v>Cardiff Properties, L.P., a Utah Limited Partnership</v>
          </cell>
        </row>
        <row r="913">
          <cell r="A913" t="str">
            <v>30234</v>
          </cell>
          <cell r="B913" t="str">
            <v>Pine Valley Townhomes II, L.C.</v>
          </cell>
        </row>
        <row r="914">
          <cell r="A914" t="str">
            <v>30235</v>
          </cell>
          <cell r="B914" t="str">
            <v>Morrison Hotel LLC</v>
          </cell>
        </row>
        <row r="915">
          <cell r="A915" t="str">
            <v>30236</v>
          </cell>
          <cell r="B915" t="str">
            <v>Avondale Park, LLC</v>
          </cell>
        </row>
        <row r="916">
          <cell r="A916" t="str">
            <v>30241</v>
          </cell>
          <cell r="B916" t="str">
            <v>Historic Ellison, L.P.</v>
          </cell>
        </row>
        <row r="917">
          <cell r="A917" t="str">
            <v>30242</v>
          </cell>
          <cell r="B917" t="str">
            <v>CAP Development Company, LLC</v>
          </cell>
        </row>
        <row r="918">
          <cell r="A918" t="str">
            <v>30243</v>
          </cell>
          <cell r="B918" t="str">
            <v>Flora Vista LP</v>
          </cell>
        </row>
        <row r="919">
          <cell r="A919" t="str">
            <v>30244</v>
          </cell>
          <cell r="B919" t="str">
            <v>Hilldale Springs Limited Partnership</v>
          </cell>
        </row>
        <row r="920">
          <cell r="A920" t="str">
            <v>30245</v>
          </cell>
          <cell r="B920" t="str">
            <v>Pembridge Square Apartments, L.P.</v>
          </cell>
        </row>
        <row r="921">
          <cell r="A921" t="str">
            <v>30247</v>
          </cell>
          <cell r="B921" t="str">
            <v>Braddock Whiting Reynolds Limited Partnership</v>
          </cell>
        </row>
        <row r="922">
          <cell r="A922" t="str">
            <v>30248</v>
          </cell>
          <cell r="B922" t="str">
            <v>La Casa Quinta, L.P.</v>
          </cell>
        </row>
        <row r="923">
          <cell r="A923" t="str">
            <v>30250</v>
          </cell>
          <cell r="B923" t="str">
            <v>Havenhurst Limited Partnership</v>
          </cell>
        </row>
        <row r="924">
          <cell r="A924" t="str">
            <v>30262</v>
          </cell>
          <cell r="B924" t="str">
            <v>Cleveland Housing Network Limited Partnership XX</v>
          </cell>
        </row>
        <row r="925">
          <cell r="A925" t="str">
            <v>30267</v>
          </cell>
          <cell r="B925" t="str">
            <v>Fairgreen Apartments Associates LP</v>
          </cell>
        </row>
        <row r="926">
          <cell r="A926" t="str">
            <v>30269</v>
          </cell>
          <cell r="B926" t="str">
            <v>MDI Limited Partnership #85</v>
          </cell>
        </row>
        <row r="927">
          <cell r="A927" t="str">
            <v>30271</v>
          </cell>
          <cell r="B927" t="str">
            <v>SHS Utah Partners I, L.P.</v>
          </cell>
        </row>
        <row r="928">
          <cell r="A928" t="str">
            <v>30277</v>
          </cell>
          <cell r="B928" t="str">
            <v>Maffitt Garden Homes, LP</v>
          </cell>
        </row>
        <row r="929">
          <cell r="A929" t="str">
            <v>30283</v>
          </cell>
          <cell r="B929" t="str">
            <v>Whittier Affordable Housing Preservation, LLC</v>
          </cell>
        </row>
        <row r="930">
          <cell r="A930" t="str">
            <v>30284</v>
          </cell>
          <cell r="B930" t="str">
            <v>Isla Nena Housing, L.P.</v>
          </cell>
        </row>
        <row r="931">
          <cell r="A931" t="str">
            <v>30285</v>
          </cell>
          <cell r="B931" t="str">
            <v>Diversity Houses, L.P.</v>
          </cell>
        </row>
        <row r="932">
          <cell r="A932" t="str">
            <v>30288</v>
          </cell>
          <cell r="B932" t="str">
            <v>AAMHA BPA San Antonio, L.P.</v>
          </cell>
        </row>
        <row r="933">
          <cell r="A933" t="str">
            <v>30292</v>
          </cell>
          <cell r="B933" t="str">
            <v>Mountain Village West Limited Partnership</v>
          </cell>
        </row>
        <row r="934">
          <cell r="A934" t="str">
            <v>30293</v>
          </cell>
          <cell r="B934" t="str">
            <v>Cove Point Apartments Limited Partnership</v>
          </cell>
        </row>
        <row r="935">
          <cell r="A935" t="str">
            <v>30294</v>
          </cell>
          <cell r="B935" t="str">
            <v>Biltmore Associates Limited Partnership</v>
          </cell>
        </row>
        <row r="936">
          <cell r="A936" t="str">
            <v>30302</v>
          </cell>
          <cell r="B936" t="str">
            <v>Bradshaw Vista Apartments, LLC</v>
          </cell>
        </row>
        <row r="937">
          <cell r="A937" t="str">
            <v>30303</v>
          </cell>
          <cell r="B937" t="str">
            <v>Maricopa Revitalization Partnership, LLC</v>
          </cell>
        </row>
        <row r="938">
          <cell r="A938" t="str">
            <v>30306</v>
          </cell>
          <cell r="B938" t="str">
            <v>Chapline Associates II Limited Partnership</v>
          </cell>
        </row>
        <row r="939">
          <cell r="A939" t="str">
            <v>30312</v>
          </cell>
          <cell r="B939" t="str">
            <v>Wesley Whitefield Limited Partnership</v>
          </cell>
        </row>
        <row r="940">
          <cell r="A940" t="str">
            <v>30313</v>
          </cell>
          <cell r="B940" t="str">
            <v>Wesley Knightsbridge Limited Partnership</v>
          </cell>
        </row>
        <row r="941">
          <cell r="A941" t="str">
            <v>30315</v>
          </cell>
          <cell r="B941" t="str">
            <v>Wilson Avenue Limited Partnership</v>
          </cell>
        </row>
        <row r="942">
          <cell r="A942" t="str">
            <v>30318</v>
          </cell>
          <cell r="B942" t="str">
            <v>Rexford Place</v>
          </cell>
        </row>
        <row r="943">
          <cell r="A943" t="str">
            <v>30326</v>
          </cell>
          <cell r="B943" t="str">
            <v>Hough Homes II Limited Partnership</v>
          </cell>
        </row>
        <row r="944">
          <cell r="A944" t="str">
            <v>30327</v>
          </cell>
          <cell r="B944" t="str">
            <v>Kimberly Park III, LLC</v>
          </cell>
        </row>
        <row r="945">
          <cell r="A945" t="str">
            <v>30328</v>
          </cell>
          <cell r="B945" t="str">
            <v>Erie Square Apartments, L.P.</v>
          </cell>
        </row>
        <row r="946">
          <cell r="A946" t="str">
            <v>30330</v>
          </cell>
          <cell r="B946" t="str">
            <v>Bright Harp Family Estate LLC</v>
          </cell>
        </row>
        <row r="947">
          <cell r="A947" t="str">
            <v>30331</v>
          </cell>
          <cell r="B947" t="str">
            <v>870 Freeman Associates, LP</v>
          </cell>
        </row>
        <row r="948">
          <cell r="A948" t="str">
            <v>30334</v>
          </cell>
          <cell r="B948" t="str">
            <v>Yankee Hotel, L.P.</v>
          </cell>
        </row>
        <row r="949">
          <cell r="A949" t="str">
            <v>30335</v>
          </cell>
          <cell r="B949" t="str">
            <v>East Capitol Single Family Rental LP</v>
          </cell>
        </row>
        <row r="950">
          <cell r="A950" t="str">
            <v>30337</v>
          </cell>
          <cell r="B950" t="str">
            <v>Tyrol Plaza, L.P.</v>
          </cell>
        </row>
        <row r="951">
          <cell r="A951" t="str">
            <v>30338</v>
          </cell>
          <cell r="B951" t="str">
            <v>New Terminal Hotel, L.P.</v>
          </cell>
        </row>
        <row r="952">
          <cell r="A952" t="str">
            <v>30344</v>
          </cell>
          <cell r="B952" t="str">
            <v>Carlson Boulevard, L.P.</v>
          </cell>
        </row>
        <row r="953">
          <cell r="A953" t="str">
            <v>30347</v>
          </cell>
          <cell r="B953" t="str">
            <v>Howard Square, L.P.</v>
          </cell>
        </row>
        <row r="954">
          <cell r="A954" t="str">
            <v>30352</v>
          </cell>
          <cell r="B954" t="str">
            <v>Historic Jeff Centre, LP</v>
          </cell>
        </row>
        <row r="955">
          <cell r="A955" t="str">
            <v>30358</v>
          </cell>
          <cell r="B955" t="str">
            <v>Union Park Housing, L.P.</v>
          </cell>
        </row>
        <row r="956">
          <cell r="A956" t="str">
            <v>30359</v>
          </cell>
          <cell r="B956" t="str">
            <v>Schoolhouse Apartments, LLC</v>
          </cell>
        </row>
        <row r="957">
          <cell r="A957" t="str">
            <v>30366</v>
          </cell>
          <cell r="B957" t="str">
            <v>Civic Center Apartments, L.L.L.P.</v>
          </cell>
        </row>
        <row r="958">
          <cell r="A958" t="str">
            <v>30369</v>
          </cell>
          <cell r="B958" t="str">
            <v>Pepperwood Limited Partnership</v>
          </cell>
        </row>
        <row r="959">
          <cell r="A959" t="str">
            <v>30371</v>
          </cell>
          <cell r="B959" t="str">
            <v>LIHI Denney Park LLC</v>
          </cell>
        </row>
        <row r="960">
          <cell r="A960" t="str">
            <v>30382</v>
          </cell>
          <cell r="B960" t="str">
            <v>Eastern Iowa Regional Partnership, LLLP</v>
          </cell>
        </row>
        <row r="961">
          <cell r="A961" t="str">
            <v>30383</v>
          </cell>
          <cell r="B961" t="str">
            <v>Hour Apartment, L.P.</v>
          </cell>
        </row>
        <row r="962">
          <cell r="A962" t="str">
            <v>30384</v>
          </cell>
          <cell r="B962" t="str">
            <v>Casa Renacer, L.P.</v>
          </cell>
        </row>
        <row r="963">
          <cell r="A963" t="str">
            <v>30385</v>
          </cell>
          <cell r="B963" t="str">
            <v>Apache Ridge II, Limited Partnership</v>
          </cell>
        </row>
        <row r="964">
          <cell r="A964" t="str">
            <v>30386</v>
          </cell>
          <cell r="B964" t="str">
            <v>Cabrini Seattle Properties, L.P.</v>
          </cell>
        </row>
        <row r="965">
          <cell r="A965" t="str">
            <v>30389</v>
          </cell>
          <cell r="B965" t="str">
            <v>Integrated Community Services II, L.P.</v>
          </cell>
        </row>
        <row r="966">
          <cell r="A966" t="str">
            <v>30390</v>
          </cell>
          <cell r="B966" t="str">
            <v>Freedom Place Limited Partnership</v>
          </cell>
        </row>
        <row r="967">
          <cell r="A967" t="str">
            <v>30396</v>
          </cell>
          <cell r="B967" t="str">
            <v>Kings Row Apartments, LLC</v>
          </cell>
        </row>
        <row r="968">
          <cell r="A968" t="str">
            <v>30399</v>
          </cell>
          <cell r="B968" t="str">
            <v>Windwood Limited Partnership</v>
          </cell>
        </row>
        <row r="969">
          <cell r="A969" t="str">
            <v>30402</v>
          </cell>
          <cell r="B969" t="str">
            <v>772 East 168th Street LLC</v>
          </cell>
        </row>
        <row r="970">
          <cell r="A970" t="str">
            <v>30412</v>
          </cell>
          <cell r="B970" t="str">
            <v>Mesquite Village Limited Partnership</v>
          </cell>
        </row>
        <row r="971">
          <cell r="A971" t="str">
            <v>30414</v>
          </cell>
          <cell r="B971" t="str">
            <v>Munsel Park Limited Partnership</v>
          </cell>
        </row>
        <row r="972">
          <cell r="A972" t="str">
            <v>30417</v>
          </cell>
          <cell r="B972" t="str">
            <v>Buffalo Lodge Limited Partnership</v>
          </cell>
        </row>
        <row r="973">
          <cell r="A973" t="str">
            <v>30418</v>
          </cell>
          <cell r="B973" t="str">
            <v>Hillside Pointe LLLP</v>
          </cell>
        </row>
        <row r="974">
          <cell r="A974" t="str">
            <v>30420</v>
          </cell>
          <cell r="B974" t="str">
            <v>Manitowoc Place, LLC</v>
          </cell>
        </row>
        <row r="975">
          <cell r="A975" t="str">
            <v>30421</v>
          </cell>
          <cell r="B975" t="str">
            <v>King Drive Commons LLC</v>
          </cell>
        </row>
        <row r="976">
          <cell r="A976" t="str">
            <v>30422</v>
          </cell>
          <cell r="B976" t="str">
            <v>Columbia Square, LLC</v>
          </cell>
        </row>
        <row r="977">
          <cell r="A977" t="str">
            <v>30423</v>
          </cell>
          <cell r="B977" t="str">
            <v>Desert Sun Apartments II Limited Partnership</v>
          </cell>
        </row>
        <row r="978">
          <cell r="A978" t="str">
            <v>30429</v>
          </cell>
          <cell r="B978" t="str">
            <v>Blaine North Pointe Limited Partnership</v>
          </cell>
        </row>
        <row r="979">
          <cell r="A979" t="str">
            <v>30430</v>
          </cell>
          <cell r="B979" t="str">
            <v>Bloomington Southview Limited Partnership</v>
          </cell>
        </row>
        <row r="980">
          <cell r="A980" t="str">
            <v>30431</v>
          </cell>
          <cell r="B980" t="str">
            <v>Sartell Housing Limited Partnership</v>
          </cell>
        </row>
        <row r="981">
          <cell r="A981" t="str">
            <v>30433</v>
          </cell>
          <cell r="B981" t="str">
            <v>East Village, LLC</v>
          </cell>
        </row>
        <row r="982">
          <cell r="A982" t="str">
            <v>30435</v>
          </cell>
          <cell r="B982" t="str">
            <v>BP-UT 2, LLC</v>
          </cell>
        </row>
        <row r="983">
          <cell r="A983" t="str">
            <v>30437</v>
          </cell>
          <cell r="B983" t="str">
            <v>Arbor Park Phase Three Associates, L.P.</v>
          </cell>
        </row>
        <row r="984">
          <cell r="A984" t="str">
            <v>30438</v>
          </cell>
          <cell r="B984" t="str">
            <v>Mid-Co Apartments Limited Partnership</v>
          </cell>
        </row>
        <row r="985">
          <cell r="A985" t="str">
            <v>30439</v>
          </cell>
          <cell r="B985" t="str">
            <v>Chalet Apartments LLC</v>
          </cell>
        </row>
        <row r="986">
          <cell r="A986" t="str">
            <v>30440</v>
          </cell>
          <cell r="B986" t="str">
            <v>Jardin de Rosas Limited Partnership</v>
          </cell>
        </row>
        <row r="987">
          <cell r="A987" t="str">
            <v>30446</v>
          </cell>
          <cell r="B987" t="str">
            <v>River Square II Limited Partnership</v>
          </cell>
        </row>
        <row r="988">
          <cell r="A988" t="str">
            <v>30447</v>
          </cell>
          <cell r="B988" t="str">
            <v>UNA Associates, L.P.</v>
          </cell>
        </row>
        <row r="989">
          <cell r="A989" t="str">
            <v>30450</v>
          </cell>
          <cell r="B989" t="str">
            <v>Integrated Community Services III, L.P.</v>
          </cell>
        </row>
        <row r="990">
          <cell r="A990" t="str">
            <v>30453</v>
          </cell>
          <cell r="B990" t="str">
            <v>Blackfeet Housing Limited Partnership #2</v>
          </cell>
        </row>
        <row r="991">
          <cell r="A991" t="str">
            <v>30454</v>
          </cell>
          <cell r="B991" t="str">
            <v>Blair Park Apartments, L.P.</v>
          </cell>
        </row>
        <row r="992">
          <cell r="A992" t="str">
            <v>30465</v>
          </cell>
          <cell r="B992" t="str">
            <v>3790 Wisconsin Street Partners, L.P.</v>
          </cell>
        </row>
        <row r="993">
          <cell r="A993" t="str">
            <v>30469</v>
          </cell>
          <cell r="B993" t="str">
            <v>West Gresham Apartments Limited Partnership</v>
          </cell>
        </row>
        <row r="994">
          <cell r="A994" t="str">
            <v>30471</v>
          </cell>
          <cell r="B994" t="str">
            <v>Santa Clara Limited Partnership</v>
          </cell>
        </row>
        <row r="995">
          <cell r="A995" t="str">
            <v>30473</v>
          </cell>
          <cell r="B995" t="str">
            <v>Mt. Scott Associates LP</v>
          </cell>
        </row>
        <row r="996">
          <cell r="A996" t="str">
            <v>30474</v>
          </cell>
          <cell r="B996" t="str">
            <v>Willow Pointe Apartments of Riverbank, Limited Partnership</v>
          </cell>
        </row>
        <row r="997">
          <cell r="A997" t="str">
            <v>30479</v>
          </cell>
          <cell r="B997" t="str">
            <v>WWHA-Marcus Whitman Homes Limited Partnership</v>
          </cell>
        </row>
        <row r="998">
          <cell r="A998" t="str">
            <v>30480</v>
          </cell>
          <cell r="B998" t="str">
            <v>The Mews at CV, LLC</v>
          </cell>
        </row>
        <row r="999">
          <cell r="A999" t="str">
            <v>30487</v>
          </cell>
          <cell r="B999" t="str">
            <v>Colonia Libertad Limited Partnership</v>
          </cell>
        </row>
        <row r="1000">
          <cell r="A1000" t="str">
            <v>30488</v>
          </cell>
          <cell r="B1000" t="str">
            <v>Foster Townhomes Limited Partnership</v>
          </cell>
        </row>
        <row r="1001">
          <cell r="A1001" t="str">
            <v>30490</v>
          </cell>
          <cell r="B1001" t="str">
            <v>Willow Green LLLP</v>
          </cell>
        </row>
        <row r="1002">
          <cell r="A1002" t="str">
            <v>30493</v>
          </cell>
          <cell r="B1002" t="str">
            <v>Catholic Charities 9th and F Apartments, L.P.</v>
          </cell>
        </row>
        <row r="1003">
          <cell r="A1003" t="str">
            <v>30517</v>
          </cell>
          <cell r="B1003" t="str">
            <v>The Salvation Army San Francisco Silvercrest, L.P.</v>
          </cell>
        </row>
        <row r="1004">
          <cell r="A1004" t="str">
            <v>30518</v>
          </cell>
          <cell r="B1004" t="str">
            <v>Sacramento Senior Housing</v>
          </cell>
        </row>
        <row r="1005">
          <cell r="A1005" t="str">
            <v>30519</v>
          </cell>
          <cell r="B1005" t="str">
            <v>Sunset Villa Associates, L.P.</v>
          </cell>
        </row>
        <row r="1006">
          <cell r="A1006" t="str">
            <v>30522</v>
          </cell>
          <cell r="B1006" t="str">
            <v>Acme Limited Partnership</v>
          </cell>
        </row>
        <row r="1007">
          <cell r="A1007" t="str">
            <v>30523</v>
          </cell>
          <cell r="B1007" t="str">
            <v>First United Methodist Church Tower Properties, L.P.</v>
          </cell>
        </row>
        <row r="1008">
          <cell r="A1008" t="str">
            <v>30524</v>
          </cell>
          <cell r="B1008" t="str">
            <v>Aspen Affordable Housing, LP</v>
          </cell>
        </row>
        <row r="1009">
          <cell r="A1009" t="str">
            <v>30528</v>
          </cell>
          <cell r="B1009" t="str">
            <v>Highland Village Limited Partnership</v>
          </cell>
        </row>
        <row r="1010">
          <cell r="A1010" t="str">
            <v>30529</v>
          </cell>
          <cell r="B1010" t="str">
            <v>Cardinal Chase Development, LLC</v>
          </cell>
        </row>
        <row r="1011">
          <cell r="A1011" t="str">
            <v>30538</v>
          </cell>
          <cell r="B1011" t="str">
            <v>Desert Palms Apartments Limited Partnership</v>
          </cell>
        </row>
        <row r="1012">
          <cell r="A1012" t="str">
            <v>30540</v>
          </cell>
          <cell r="B1012" t="str">
            <v>Willcox Apartments, L.P.</v>
          </cell>
        </row>
        <row r="1013">
          <cell r="A1013" t="str">
            <v>30541</v>
          </cell>
          <cell r="B1013" t="str">
            <v>River Bend Apartments II, L.P.</v>
          </cell>
        </row>
        <row r="1014">
          <cell r="A1014" t="str">
            <v>30542</v>
          </cell>
          <cell r="B1014" t="str">
            <v>Canal Senior Apartments, L.P.</v>
          </cell>
        </row>
        <row r="1015">
          <cell r="A1015" t="str">
            <v>30543</v>
          </cell>
          <cell r="B1015" t="str">
            <v>Quartzsite Senior Apartments, L.P.</v>
          </cell>
        </row>
        <row r="1016">
          <cell r="A1016" t="str">
            <v>30546</v>
          </cell>
          <cell r="B1016" t="str">
            <v>Millennium Place II, L.P.</v>
          </cell>
        </row>
        <row r="1017">
          <cell r="A1017" t="str">
            <v>30547</v>
          </cell>
          <cell r="B1017" t="str">
            <v>Compass Center-Pioneer Square LLC</v>
          </cell>
        </row>
        <row r="1018">
          <cell r="A1018" t="str">
            <v>30551</v>
          </cell>
          <cell r="B1018" t="str">
            <v>DLB, LLLP</v>
          </cell>
        </row>
        <row r="1019">
          <cell r="A1019" t="str">
            <v>30552</v>
          </cell>
          <cell r="B1019" t="str">
            <v>Deming/Deming Manor Limited Partnership</v>
          </cell>
        </row>
        <row r="1020">
          <cell r="A1020" t="str">
            <v>30553</v>
          </cell>
          <cell r="B1020" t="str">
            <v>Lordsburg/King Arthur's Court Limited Partnership</v>
          </cell>
        </row>
        <row r="1021">
          <cell r="A1021" t="str">
            <v>30554</v>
          </cell>
          <cell r="B1021" t="str">
            <v>Truth or Consequences/Tradewinds Carriage Limited Partnership</v>
          </cell>
        </row>
        <row r="1022">
          <cell r="A1022" t="str">
            <v>30555</v>
          </cell>
          <cell r="B1022" t="str">
            <v>Albuquerque/Sandia Vista Limited Partnership</v>
          </cell>
        </row>
        <row r="1023">
          <cell r="A1023" t="str">
            <v>30556</v>
          </cell>
          <cell r="B1023" t="str">
            <v>Albuquerque/Sunny Acres Limited Partnership</v>
          </cell>
        </row>
        <row r="1024">
          <cell r="A1024" t="str">
            <v>30557</v>
          </cell>
          <cell r="B1024" t="str">
            <v>Celia Saxon I, L.P.</v>
          </cell>
        </row>
        <row r="1025">
          <cell r="A1025" t="str">
            <v>30560</v>
          </cell>
          <cell r="B1025" t="str">
            <v>Initiative Kirkwood, L.P.</v>
          </cell>
        </row>
        <row r="1026">
          <cell r="A1026" t="str">
            <v>30563</v>
          </cell>
          <cell r="B1026" t="str">
            <v>Pueblo del Rio Limited Partnership</v>
          </cell>
        </row>
        <row r="1027">
          <cell r="A1027" t="str">
            <v>30565</v>
          </cell>
          <cell r="B1027" t="str">
            <v>Quarton Place 2 Limited Partnership</v>
          </cell>
        </row>
        <row r="1028">
          <cell r="A1028" t="str">
            <v>30566</v>
          </cell>
          <cell r="B1028" t="str">
            <v>Roosevelt Housing Partners, L.P.</v>
          </cell>
        </row>
        <row r="1029">
          <cell r="A1029" t="str">
            <v>30567</v>
          </cell>
          <cell r="B1029" t="str">
            <v>Stone Ridge Townhomes, LLC</v>
          </cell>
        </row>
        <row r="1030">
          <cell r="A1030" t="str">
            <v>30568</v>
          </cell>
          <cell r="B1030" t="str">
            <v>Pine Valley Townhomes III, LLC</v>
          </cell>
        </row>
        <row r="1031">
          <cell r="A1031" t="str">
            <v>30569</v>
          </cell>
          <cell r="B1031" t="str">
            <v>Oleson Woods</v>
          </cell>
        </row>
        <row r="1032">
          <cell r="A1032" t="str">
            <v>30572</v>
          </cell>
          <cell r="B1032" t="str">
            <v>Hamilton Knolls, L.P.</v>
          </cell>
        </row>
        <row r="1033">
          <cell r="A1033" t="str">
            <v>30573</v>
          </cell>
          <cell r="B1033" t="str">
            <v>REMCares Townhomes, L.P.</v>
          </cell>
        </row>
        <row r="1034">
          <cell r="A1034" t="str">
            <v>30574</v>
          </cell>
          <cell r="B1034" t="str">
            <v>Gronen Adaptive Reuse, LLLP</v>
          </cell>
        </row>
        <row r="1035">
          <cell r="A1035" t="str">
            <v>30575</v>
          </cell>
          <cell r="B1035" t="str">
            <v>Howes Armstrong LP</v>
          </cell>
        </row>
        <row r="1036">
          <cell r="A1036" t="str">
            <v>30576</v>
          </cell>
          <cell r="B1036" t="str">
            <v>Gateways Housing, L.P.</v>
          </cell>
        </row>
        <row r="1037">
          <cell r="A1037" t="str">
            <v>30577</v>
          </cell>
          <cell r="B1037" t="str">
            <v>Santos Plaza, L.P.</v>
          </cell>
        </row>
        <row r="1038">
          <cell r="A1038" t="str">
            <v>30582</v>
          </cell>
          <cell r="B1038" t="str">
            <v>JSA II, LLC</v>
          </cell>
        </row>
        <row r="1039">
          <cell r="A1039" t="str">
            <v>30594</v>
          </cell>
          <cell r="B1039" t="str">
            <v>Northwood Villas, L.P.</v>
          </cell>
        </row>
        <row r="1040">
          <cell r="A1040" t="str">
            <v>30595</v>
          </cell>
          <cell r="B1040" t="str">
            <v>High Point North Limited Partnership</v>
          </cell>
        </row>
        <row r="1041">
          <cell r="A1041" t="str">
            <v>30603</v>
          </cell>
          <cell r="B1041" t="str">
            <v>City Hall Lofts, L.P.</v>
          </cell>
        </row>
        <row r="1042">
          <cell r="A1042" t="str">
            <v>30604</v>
          </cell>
          <cell r="B1042" t="str">
            <v>Mountain Village</v>
          </cell>
        </row>
        <row r="1043">
          <cell r="A1043" t="str">
            <v>30608</v>
          </cell>
          <cell r="B1043" t="str">
            <v>Old Mill at Stansbury, LLC</v>
          </cell>
        </row>
        <row r="1044">
          <cell r="A1044" t="str">
            <v>30622</v>
          </cell>
          <cell r="B1044" t="str">
            <v>Clara Vista Townhomes Limited Partnership</v>
          </cell>
        </row>
        <row r="1045">
          <cell r="A1045" t="str">
            <v>30623</v>
          </cell>
          <cell r="B1045" t="str">
            <v>WCSA Homes III, L.P.</v>
          </cell>
        </row>
        <row r="1046">
          <cell r="A1046" t="str">
            <v>30624</v>
          </cell>
          <cell r="B1046" t="str">
            <v>Village Family Housing, L.P.</v>
          </cell>
        </row>
        <row r="1047">
          <cell r="A1047" t="str">
            <v>30629</v>
          </cell>
          <cell r="B1047" t="str">
            <v>Prairie Links Limited Partnership</v>
          </cell>
        </row>
        <row r="1048">
          <cell r="A1048" t="str">
            <v>30632</v>
          </cell>
          <cell r="B1048" t="str">
            <v>Unimac Developer, L.P.</v>
          </cell>
        </row>
        <row r="1049">
          <cell r="A1049" t="str">
            <v>30652</v>
          </cell>
          <cell r="B1049" t="str">
            <v>Plaza Apartments Associates, L.P.</v>
          </cell>
        </row>
        <row r="1050">
          <cell r="A1050" t="str">
            <v>30662</v>
          </cell>
          <cell r="B1050" t="str">
            <v>Fredericksburg Affordable Housing Limited Partnership</v>
          </cell>
        </row>
        <row r="1051">
          <cell r="A1051" t="str">
            <v>30670</v>
          </cell>
          <cell r="B1051" t="str">
            <v>S &amp; K Limited Partnership #4</v>
          </cell>
        </row>
        <row r="1052">
          <cell r="A1052" t="str">
            <v>30678</v>
          </cell>
          <cell r="B1052" t="str">
            <v>New Holland, L.P.</v>
          </cell>
        </row>
        <row r="1053">
          <cell r="A1053" t="str">
            <v>30681</v>
          </cell>
          <cell r="B1053" t="str">
            <v>Maplegreen Homes LLC</v>
          </cell>
        </row>
        <row r="1054">
          <cell r="A1054" t="str">
            <v>30682</v>
          </cell>
          <cell r="B1054" t="str">
            <v>Mapleside Homes, LLC</v>
          </cell>
        </row>
        <row r="1055">
          <cell r="A1055" t="str">
            <v>30683</v>
          </cell>
          <cell r="B1055" t="str">
            <v>Welch Woods Limited Partnership</v>
          </cell>
        </row>
        <row r="1056">
          <cell r="A1056" t="str">
            <v>30694</v>
          </cell>
          <cell r="B1056" t="str">
            <v>Susan B LP</v>
          </cell>
        </row>
        <row r="1057">
          <cell r="A1057" t="str">
            <v>30705</v>
          </cell>
          <cell r="B1057" t="str">
            <v>Hi-Rise Affordable Housing - Phase I, LLC</v>
          </cell>
        </row>
        <row r="1058">
          <cell r="A1058" t="str">
            <v>30766</v>
          </cell>
          <cell r="B1058" t="str">
            <v>Ritz Apartments L.P.</v>
          </cell>
        </row>
        <row r="1059">
          <cell r="A1059" t="str">
            <v>30767</v>
          </cell>
          <cell r="B1059" t="str">
            <v>Henderson Village Limited Partnership</v>
          </cell>
        </row>
        <row r="1060">
          <cell r="A1060" t="str">
            <v>30776</v>
          </cell>
          <cell r="B1060" t="str">
            <v>Residencia Estrella Vargas</v>
          </cell>
        </row>
        <row r="1061">
          <cell r="A1061" t="str">
            <v>30779</v>
          </cell>
          <cell r="B1061" t="str">
            <v>The Harry and Jeanette Weinberg Village II Limited Partnership</v>
          </cell>
        </row>
        <row r="1062">
          <cell r="A1062" t="str">
            <v>30784</v>
          </cell>
          <cell r="B1062" t="str">
            <v>Hotel Alder Limited Partnership</v>
          </cell>
        </row>
        <row r="1063">
          <cell r="A1063" t="str">
            <v>30788</v>
          </cell>
          <cell r="B1063" t="str">
            <v>Vista Del Monte Housing, L.P.</v>
          </cell>
        </row>
        <row r="1064">
          <cell r="A1064" t="str">
            <v>30790</v>
          </cell>
          <cell r="B1064" t="str">
            <v>Rainbow Apartments, L.P.</v>
          </cell>
        </row>
        <row r="1065">
          <cell r="A1065" t="str">
            <v>30791</v>
          </cell>
          <cell r="B1065" t="str">
            <v>Communidad Housing Development, L.P.</v>
          </cell>
        </row>
        <row r="1066">
          <cell r="A1066" t="str">
            <v>30794</v>
          </cell>
          <cell r="B1066" t="str">
            <v>1424 Broadway Apartments Limited Partnership</v>
          </cell>
        </row>
        <row r="1067">
          <cell r="A1067" t="str">
            <v>30795</v>
          </cell>
          <cell r="B1067" t="str">
            <v>Pacific Court Limited Partnership</v>
          </cell>
        </row>
        <row r="1068">
          <cell r="A1068" t="str">
            <v>30796</v>
          </cell>
          <cell r="B1068" t="str">
            <v>26th &amp; Santa Monica Family Housing Limited Partnership</v>
          </cell>
        </row>
        <row r="1069">
          <cell r="A1069" t="str">
            <v>30806</v>
          </cell>
          <cell r="B1069" t="str">
            <v>Checed Warwick Limited Partnership</v>
          </cell>
        </row>
        <row r="1070">
          <cell r="A1070" t="str">
            <v>30807</v>
          </cell>
          <cell r="B1070" t="str">
            <v>357 Greene Avenue, L.P.</v>
          </cell>
        </row>
        <row r="1071">
          <cell r="A1071" t="str">
            <v>30810</v>
          </cell>
          <cell r="B1071" t="str">
            <v>Market Square Elderly Housing Phase III, LLC</v>
          </cell>
        </row>
        <row r="1072">
          <cell r="A1072" t="str">
            <v>30821</v>
          </cell>
          <cell r="B1072" t="str">
            <v>Laurel Garden Partners, a California Limited Partnership</v>
          </cell>
        </row>
        <row r="1073">
          <cell r="A1073" t="str">
            <v>30823</v>
          </cell>
          <cell r="B1073" t="str">
            <v>Palomar Apartments, L.P.</v>
          </cell>
        </row>
        <row r="1074">
          <cell r="A1074" t="str">
            <v>30828</v>
          </cell>
          <cell r="B1074" t="str">
            <v>Azotea Senior Housing Limited Partnership</v>
          </cell>
        </row>
        <row r="1075">
          <cell r="A1075" t="str">
            <v>30830</v>
          </cell>
          <cell r="B1075" t="str">
            <v>Vistoso Community LLLP</v>
          </cell>
        </row>
        <row r="1076">
          <cell r="A1076" t="str">
            <v>30835</v>
          </cell>
          <cell r="B1076" t="str">
            <v>Pysell Ridge LP</v>
          </cell>
        </row>
        <row r="1077">
          <cell r="A1077" t="str">
            <v>30846</v>
          </cell>
          <cell r="B1077" t="str">
            <v>Grantsville Apartments LP</v>
          </cell>
        </row>
        <row r="1078">
          <cell r="A1078" t="str">
            <v>30856</v>
          </cell>
          <cell r="B1078" t="str">
            <v>Heritage Square Limited Partnership</v>
          </cell>
        </row>
        <row r="1079">
          <cell r="A1079" t="str">
            <v>30863</v>
          </cell>
          <cell r="B1079" t="str">
            <v>TLC East and West</v>
          </cell>
        </row>
        <row r="1080">
          <cell r="A1080" t="str">
            <v>30866</v>
          </cell>
          <cell r="B1080" t="str">
            <v>Huntridge Apartments of Moab, LLC</v>
          </cell>
        </row>
        <row r="1081">
          <cell r="A1081" t="str">
            <v>30867</v>
          </cell>
          <cell r="B1081" t="str">
            <v>Smoketree Apartments of Buckeye, LLC</v>
          </cell>
        </row>
        <row r="1082">
          <cell r="A1082" t="str">
            <v>30872</v>
          </cell>
          <cell r="B1082" t="str">
            <v>Eight Star Investments, LLC</v>
          </cell>
        </row>
        <row r="1083">
          <cell r="A1083" t="str">
            <v>30882</v>
          </cell>
          <cell r="B1083" t="str">
            <v>Prototypes Pomona Apartments, L.P.</v>
          </cell>
        </row>
        <row r="1084">
          <cell r="A1084" t="str">
            <v>30884</v>
          </cell>
          <cell r="B1084" t="str">
            <v>Bayfield RD Phase 1</v>
          </cell>
        </row>
        <row r="1085">
          <cell r="A1085" t="str">
            <v>30885</v>
          </cell>
          <cell r="B1085" t="str">
            <v>Washburn HUD</v>
          </cell>
        </row>
        <row r="1086">
          <cell r="A1086" t="str">
            <v>30888</v>
          </cell>
          <cell r="B1086" t="str">
            <v>Los Abuelitos, L.P.</v>
          </cell>
        </row>
        <row r="1087">
          <cell r="A1087" t="str">
            <v>30890</v>
          </cell>
          <cell r="B1087" t="str">
            <v>Seton Home LP</v>
          </cell>
        </row>
        <row r="1088">
          <cell r="A1088" t="str">
            <v>30892</v>
          </cell>
          <cell r="B1088" t="str">
            <v>Westhab I - South 4th, Livingston &amp; Waverly</v>
          </cell>
        </row>
        <row r="1089">
          <cell r="A1089" t="str">
            <v>30895</v>
          </cell>
          <cell r="B1089" t="str">
            <v>Greater Allen Affordable Housing Limited Partnership</v>
          </cell>
        </row>
        <row r="1090">
          <cell r="A1090" t="str">
            <v>30903</v>
          </cell>
          <cell r="B1090" t="str">
            <v>Summersong Townhomes LLLP</v>
          </cell>
        </row>
        <row r="1091">
          <cell r="A1091" t="str">
            <v>30913</v>
          </cell>
          <cell r="B1091" t="str">
            <v>Allaire Crossing</v>
          </cell>
        </row>
        <row r="1092">
          <cell r="A1092" t="str">
            <v>30914</v>
          </cell>
          <cell r="B1092" t="str">
            <v>Butler</v>
          </cell>
        </row>
        <row r="1093">
          <cell r="A1093" t="str">
            <v>30917</v>
          </cell>
          <cell r="B1093" t="str">
            <v>Friendship Gardens/Howell</v>
          </cell>
        </row>
        <row r="1094">
          <cell r="A1094" t="str">
            <v>30918</v>
          </cell>
          <cell r="B1094" t="str">
            <v>Woodlands at Ramsey</v>
          </cell>
        </row>
        <row r="1095">
          <cell r="A1095" t="str">
            <v>30931</v>
          </cell>
          <cell r="B1095" t="str">
            <v>Bedell Village, L.P.</v>
          </cell>
        </row>
        <row r="1096">
          <cell r="A1096" t="str">
            <v>30937</v>
          </cell>
          <cell r="B1096" t="str">
            <v>James Woods Apartments</v>
          </cell>
        </row>
        <row r="1097">
          <cell r="A1097" t="str">
            <v>30940</v>
          </cell>
          <cell r="B1097" t="str">
            <v>Kern Villa LP</v>
          </cell>
        </row>
        <row r="1098">
          <cell r="A1098" t="str">
            <v>30941</v>
          </cell>
          <cell r="B1098" t="str">
            <v>Fircrest Limited Partnership</v>
          </cell>
        </row>
        <row r="1099">
          <cell r="A1099" t="str">
            <v>30956</v>
          </cell>
          <cell r="B1099" t="str">
            <v>Togiak View Associates, Limited Partnership</v>
          </cell>
        </row>
        <row r="1100">
          <cell r="A1100" t="str">
            <v>30958</v>
          </cell>
          <cell r="B1100" t="str">
            <v>Morrison Elderly LP</v>
          </cell>
        </row>
        <row r="1101">
          <cell r="A1101" t="str">
            <v>30975</v>
          </cell>
          <cell r="B1101" t="str">
            <v>Stone Ridge Townhomes II, LLC</v>
          </cell>
        </row>
        <row r="1102">
          <cell r="A1102" t="str">
            <v>30976</v>
          </cell>
          <cell r="B1102" t="str">
            <v>Old Mill at Stansbury Phase II</v>
          </cell>
        </row>
        <row r="1103">
          <cell r="A1103" t="str">
            <v>30983</v>
          </cell>
          <cell r="B1103" t="str">
            <v>Sara Conner Court, L.P.</v>
          </cell>
        </row>
        <row r="1104">
          <cell r="A1104" t="str">
            <v>3804</v>
          </cell>
          <cell r="B1104" t="str">
            <v>3804 Wisconsin Street Partners, L.P.</v>
          </cell>
        </row>
        <row r="1105">
          <cell r="A1105" t="str">
            <v>3839</v>
          </cell>
          <cell r="B1105" t="str">
            <v>3839 Wisconsin Street Partners, L.P.</v>
          </cell>
        </row>
        <row r="1106">
          <cell r="A1106">
            <v>21835</v>
          </cell>
          <cell r="B1106" t="str">
            <v>MFLC Partners, A Louisiana Partnership in Commendam</v>
          </cell>
        </row>
        <row r="1107">
          <cell r="A1107">
            <v>21843</v>
          </cell>
          <cell r="B1107" t="str">
            <v>Addison Apartments</v>
          </cell>
        </row>
        <row r="1108">
          <cell r="A1108">
            <v>21844</v>
          </cell>
          <cell r="B1108" t="str">
            <v>Redford Manor North LDHA Limited Partnership</v>
          </cell>
        </row>
        <row r="1109">
          <cell r="A1109">
            <v>21845</v>
          </cell>
          <cell r="B1109" t="str">
            <v>Guardian Place II Limited Partnership</v>
          </cell>
        </row>
        <row r="1110">
          <cell r="A1110">
            <v>21846</v>
          </cell>
          <cell r="B1110" t="str">
            <v>Ruby Affordable Homes, ALPIC</v>
          </cell>
        </row>
        <row r="1111">
          <cell r="A1111">
            <v>21847</v>
          </cell>
          <cell r="B1111" t="str">
            <v>Diamond Affordable Housing, ALPIC</v>
          </cell>
        </row>
        <row r="1112">
          <cell r="A1112">
            <v>21848</v>
          </cell>
          <cell r="B1112" t="str">
            <v>Aspen Square Hudson Limited Partnership</v>
          </cell>
        </row>
        <row r="1113">
          <cell r="A1113">
            <v>21853</v>
          </cell>
          <cell r="B1113" t="str">
            <v>West Street Manor Annex LP</v>
          </cell>
        </row>
        <row r="1114">
          <cell r="A1114">
            <v>21854</v>
          </cell>
          <cell r="B1114" t="str">
            <v>Luther Gardens LP</v>
          </cell>
        </row>
        <row r="1115">
          <cell r="A1115">
            <v>21855</v>
          </cell>
          <cell r="B1115" t="str">
            <v>Savannah East Associates LP</v>
          </cell>
        </row>
        <row r="1116">
          <cell r="A1116">
            <v>21856</v>
          </cell>
          <cell r="B1116" t="str">
            <v>Yorktowne Woods LP</v>
          </cell>
        </row>
        <row r="1117">
          <cell r="A1117">
            <v>21857</v>
          </cell>
          <cell r="B1117" t="str">
            <v>Owens Manor Senior Housing LP</v>
          </cell>
        </row>
        <row r="1118">
          <cell r="A1118">
            <v>21885</v>
          </cell>
          <cell r="B1118" t="str">
            <v>Walton Cluster, L.P.</v>
          </cell>
        </row>
        <row r="1119">
          <cell r="A1119">
            <v>21895</v>
          </cell>
          <cell r="B1119" t="str">
            <v>Kno-Ho-Co Affordable Housing I, Inc.</v>
          </cell>
        </row>
        <row r="1120">
          <cell r="A1120">
            <v>21916</v>
          </cell>
          <cell r="B1120" t="str">
            <v>Miguel Sosa Estates, L.P.</v>
          </cell>
        </row>
        <row r="1121">
          <cell r="A1121">
            <v>21917</v>
          </cell>
          <cell r="B1121" t="str">
            <v>N.E.B., L.P.</v>
          </cell>
        </row>
        <row r="1122">
          <cell r="A1122">
            <v>21918</v>
          </cell>
          <cell r="B1122" t="str">
            <v>Fulton-Jefferson Associates, L.P.</v>
          </cell>
        </row>
        <row r="1123">
          <cell r="A1123">
            <v>21921</v>
          </cell>
          <cell r="B1123" t="str">
            <v>Sherman Associates, L.P.</v>
          </cell>
        </row>
        <row r="1124">
          <cell r="A1124">
            <v>21922</v>
          </cell>
          <cell r="B1124" t="str">
            <v>University Avenue L.P.</v>
          </cell>
        </row>
        <row r="1125">
          <cell r="A1125">
            <v>21938</v>
          </cell>
          <cell r="B1125" t="str">
            <v>Clinton Housing West 52nd Partners, L.P.</v>
          </cell>
        </row>
        <row r="1126">
          <cell r="A1126">
            <v>21946</v>
          </cell>
          <cell r="B1126" t="str">
            <v>New Haven Beulah LP</v>
          </cell>
        </row>
        <row r="1127">
          <cell r="A1127">
            <v>21968</v>
          </cell>
          <cell r="B1127" t="str">
            <v>CDC East 105th Street Realty, L.P.</v>
          </cell>
        </row>
        <row r="1128">
          <cell r="A1128">
            <v>22002</v>
          </cell>
          <cell r="B1128" t="str">
            <v>Michigan Housing, Limited Partnership</v>
          </cell>
        </row>
        <row r="1129">
          <cell r="A1129">
            <v>22003</v>
          </cell>
          <cell r="B1129" t="str">
            <v>Le Parc Apartments of New Orleans, L.P.</v>
          </cell>
        </row>
        <row r="1130">
          <cell r="A1130">
            <v>22004</v>
          </cell>
          <cell r="B1130" t="str">
            <v>Arlington Investments WI-XV Limited Partner</v>
          </cell>
        </row>
        <row r="1131">
          <cell r="A1131">
            <v>22031</v>
          </cell>
          <cell r="B1131" t="str">
            <v>Redford Manor South LDHA Limited Partnership</v>
          </cell>
        </row>
        <row r="1132">
          <cell r="A1132">
            <v>22032</v>
          </cell>
          <cell r="B1132" t="str">
            <v>Cambridge Heights</v>
          </cell>
        </row>
        <row r="1133">
          <cell r="A1133">
            <v>22033</v>
          </cell>
          <cell r="B1133" t="str">
            <v>Tabor Ranch</v>
          </cell>
        </row>
        <row r="1134">
          <cell r="A1134">
            <v>22051</v>
          </cell>
          <cell r="B1134" t="str">
            <v>Mills Landing</v>
          </cell>
        </row>
        <row r="1135">
          <cell r="A1135">
            <v>22052</v>
          </cell>
          <cell r="B1135" t="str">
            <v>Luther Gardens Annex</v>
          </cell>
        </row>
        <row r="1136">
          <cell r="A1136">
            <v>22053</v>
          </cell>
          <cell r="B1136" t="str">
            <v>Cynwyd Club Apartments</v>
          </cell>
        </row>
        <row r="1137">
          <cell r="A1137">
            <v>22054</v>
          </cell>
          <cell r="B1137" t="str">
            <v>Windsor Apartments</v>
          </cell>
        </row>
        <row r="1138">
          <cell r="A1138">
            <v>22055</v>
          </cell>
          <cell r="B1138" t="str">
            <v>Rodney Court Aparttments</v>
          </cell>
        </row>
        <row r="1139">
          <cell r="A1139">
            <v>22056</v>
          </cell>
          <cell r="B1139" t="str">
            <v>Marshall Manor Apartments</v>
          </cell>
        </row>
        <row r="1140">
          <cell r="A1140">
            <v>22057</v>
          </cell>
          <cell r="B1140" t="str">
            <v>Harbour Towne Apartments</v>
          </cell>
        </row>
        <row r="1141">
          <cell r="A1141">
            <v>22058</v>
          </cell>
          <cell r="B1141" t="str">
            <v>Long Neck Apartments</v>
          </cell>
        </row>
        <row r="1142">
          <cell r="A1142">
            <v>22059</v>
          </cell>
          <cell r="B1142" t="str">
            <v>Quaker Village LP</v>
          </cell>
        </row>
        <row r="1143">
          <cell r="A1143">
            <v>22060</v>
          </cell>
          <cell r="B1143" t="str">
            <v>Concord Pointe Senior Assoc., LP</v>
          </cell>
        </row>
        <row r="1144">
          <cell r="A1144">
            <v>22100</v>
          </cell>
          <cell r="B1144" t="str">
            <v>Argyle Avenue</v>
          </cell>
        </row>
        <row r="1145">
          <cell r="A1145">
            <v>22101</v>
          </cell>
          <cell r="B1145" t="str">
            <v>Indiana Development LP</v>
          </cell>
        </row>
        <row r="1146">
          <cell r="A1146">
            <v>22102</v>
          </cell>
          <cell r="B1146" t="str">
            <v>Senior Cottages of Apache Junction</v>
          </cell>
        </row>
        <row r="1147">
          <cell r="A1147">
            <v>22103</v>
          </cell>
          <cell r="B1147" t="str">
            <v>Somers Point Village Apartments</v>
          </cell>
        </row>
        <row r="1148">
          <cell r="A1148">
            <v>22104</v>
          </cell>
          <cell r="B1148" t="str">
            <v>Stonewall Plaza of Purcell, L.P.</v>
          </cell>
        </row>
        <row r="1149">
          <cell r="A1149">
            <v>22105</v>
          </cell>
          <cell r="B1149" t="str">
            <v>Homes for Reisterstown LP</v>
          </cell>
        </row>
        <row r="1150">
          <cell r="A1150">
            <v>22106</v>
          </cell>
          <cell r="B1150" t="str">
            <v>Central-Senior Apartments LP</v>
          </cell>
        </row>
        <row r="1151">
          <cell r="A1151">
            <v>22107</v>
          </cell>
          <cell r="B1151" t="str">
            <v>Townepark in Kingsland</v>
          </cell>
        </row>
        <row r="1152">
          <cell r="A1152">
            <v>22144</v>
          </cell>
          <cell r="B1152" t="str">
            <v>Hnasko Homes</v>
          </cell>
        </row>
        <row r="1153">
          <cell r="A1153">
            <v>22145</v>
          </cell>
          <cell r="B1153" t="str">
            <v>Lackland Plaza</v>
          </cell>
        </row>
        <row r="1154">
          <cell r="A1154">
            <v>22177</v>
          </cell>
          <cell r="B1154" t="str">
            <v>Villas of Lake Brazos</v>
          </cell>
        </row>
        <row r="1155">
          <cell r="A1155">
            <v>22184</v>
          </cell>
          <cell r="B1155" t="str">
            <v>FR Real Estate Development LP</v>
          </cell>
        </row>
        <row r="1156">
          <cell r="A1156">
            <v>22188</v>
          </cell>
          <cell r="B1156" t="str">
            <v>Highbridge CATCH Limited Partnership</v>
          </cell>
        </row>
        <row r="1157">
          <cell r="A1157">
            <v>22190</v>
          </cell>
          <cell r="B1157" t="str">
            <v>El Dorado, L.P.</v>
          </cell>
        </row>
        <row r="1158">
          <cell r="A1158">
            <v>22191</v>
          </cell>
          <cell r="B1158" t="str">
            <v>Zora Neale Hurston Houses, Limited Partnership</v>
          </cell>
        </row>
        <row r="1159">
          <cell r="A1159">
            <v>22192</v>
          </cell>
          <cell r="B1159" t="str">
            <v>San Jose Houses Limited Partnership</v>
          </cell>
        </row>
        <row r="1160">
          <cell r="A1160">
            <v>22193</v>
          </cell>
          <cell r="B1160" t="str">
            <v>Youth Action Homes LP</v>
          </cell>
        </row>
        <row r="1161">
          <cell r="A1161">
            <v>22194</v>
          </cell>
          <cell r="B1161" t="str">
            <v>Central Harlem Mutual Housing Limited Partnership</v>
          </cell>
        </row>
        <row r="1162">
          <cell r="A1162">
            <v>22195</v>
          </cell>
          <cell r="B1162" t="str">
            <v>Beulah Commons Associates, L.P.</v>
          </cell>
        </row>
        <row r="1163">
          <cell r="A1163">
            <v>22196</v>
          </cell>
          <cell r="B1163" t="str">
            <v>Bankole Housing Associates, L.P.</v>
          </cell>
        </row>
        <row r="1164">
          <cell r="A1164">
            <v>22202</v>
          </cell>
          <cell r="B1164" t="str">
            <v>Homes for Olde Towne Gaithersburg LP</v>
          </cell>
        </row>
        <row r="1165">
          <cell r="A1165">
            <v>22203</v>
          </cell>
          <cell r="B1165" t="str">
            <v>Naples Terrace</v>
          </cell>
        </row>
        <row r="1166">
          <cell r="A1166">
            <v>22204</v>
          </cell>
          <cell r="B1166" t="str">
            <v>Paddock Manor</v>
          </cell>
        </row>
        <row r="1167">
          <cell r="A1167">
            <v>22205</v>
          </cell>
          <cell r="B1167" t="str">
            <v>Trails at West Branch</v>
          </cell>
        </row>
        <row r="1168">
          <cell r="A1168">
            <v>22206</v>
          </cell>
          <cell r="B1168" t="str">
            <v>ONIC - Palm Grove Gardens, Inc.</v>
          </cell>
        </row>
        <row r="1169">
          <cell r="A1169">
            <v>22207</v>
          </cell>
          <cell r="B1169" t="str">
            <v>Pelican Bay III LP</v>
          </cell>
        </row>
        <row r="1170">
          <cell r="A1170">
            <v>22232</v>
          </cell>
          <cell r="B1170" t="str">
            <v>Ship's Tavern Mews</v>
          </cell>
        </row>
        <row r="1171">
          <cell r="A1171">
            <v>22233</v>
          </cell>
          <cell r="B1171" t="str">
            <v>Farrand Village Apts.</v>
          </cell>
        </row>
        <row r="1172">
          <cell r="A1172">
            <v>22234</v>
          </cell>
          <cell r="B1172" t="str">
            <v>Villas at Whitehall</v>
          </cell>
        </row>
        <row r="1173">
          <cell r="A1173">
            <v>22272</v>
          </cell>
          <cell r="B1173" t="str">
            <v>Williamsport Village Associates, LLC</v>
          </cell>
        </row>
        <row r="1174">
          <cell r="A1174">
            <v>22273</v>
          </cell>
          <cell r="B1174" t="str">
            <v>Arbor Trails Apartments Limited Dividend Association Limited Partnership</v>
          </cell>
        </row>
        <row r="1175">
          <cell r="A1175">
            <v>22283</v>
          </cell>
          <cell r="B1175" t="str">
            <v>Premiere Apartments</v>
          </cell>
        </row>
        <row r="1176">
          <cell r="A1176">
            <v>22303</v>
          </cell>
          <cell r="B1176" t="str">
            <v>Ashton House Apartments</v>
          </cell>
        </row>
        <row r="1177">
          <cell r="A1177">
            <v>22304</v>
          </cell>
          <cell r="B1177" t="str">
            <v>Neighborhood Housing Limited Partnership</v>
          </cell>
        </row>
        <row r="1178">
          <cell r="A1178">
            <v>22309</v>
          </cell>
          <cell r="B1178" t="str">
            <v>Rosina Associates, L.P.</v>
          </cell>
        </row>
        <row r="1179">
          <cell r="A1179">
            <v>22310</v>
          </cell>
          <cell r="B1179" t="str">
            <v>Gateway Properties, L.P.</v>
          </cell>
        </row>
        <row r="1180">
          <cell r="A1180">
            <v>22325</v>
          </cell>
          <cell r="B1180" t="str">
            <v>Tarkiln Park Apartments</v>
          </cell>
        </row>
        <row r="1181">
          <cell r="A1181">
            <v>22330</v>
          </cell>
          <cell r="B1181" t="str">
            <v>Northlawn Gardens</v>
          </cell>
        </row>
        <row r="1182">
          <cell r="A1182">
            <v>22337</v>
          </cell>
          <cell r="B1182" t="str">
            <v>Maxwell Development, L.P.</v>
          </cell>
        </row>
        <row r="1183">
          <cell r="A1183">
            <v>22338</v>
          </cell>
          <cell r="B1183" t="str">
            <v>Boynton Wheeler, L.P.</v>
          </cell>
        </row>
        <row r="1184">
          <cell r="A1184">
            <v>22339</v>
          </cell>
          <cell r="B1184" t="str">
            <v>Crown Heights NRP Associates, L.P.</v>
          </cell>
        </row>
        <row r="1185">
          <cell r="A1185">
            <v>22340</v>
          </cell>
          <cell r="B1185" t="str">
            <v>Bronx Heights Beulah Associates, L.P.</v>
          </cell>
        </row>
        <row r="1186">
          <cell r="A1186">
            <v>22341</v>
          </cell>
          <cell r="B1186" t="str">
            <v>Chauncey Sumpter, L.P.</v>
          </cell>
        </row>
        <row r="1187">
          <cell r="A1187">
            <v>22342</v>
          </cell>
          <cell r="B1187" t="str">
            <v>Malcolm Shabazz Limited Partnership</v>
          </cell>
        </row>
        <row r="1188">
          <cell r="A1188">
            <v>22343</v>
          </cell>
          <cell r="B1188" t="str">
            <v>168th Street Development, L.P.</v>
          </cell>
        </row>
        <row r="1189">
          <cell r="A1189">
            <v>22344</v>
          </cell>
          <cell r="B1189" t="str">
            <v>River Commons Apartments</v>
          </cell>
        </row>
        <row r="1190">
          <cell r="A1190">
            <v>22345</v>
          </cell>
          <cell r="B1190" t="str">
            <v>Lingo Creek Apartments</v>
          </cell>
        </row>
        <row r="1191">
          <cell r="A1191">
            <v>22346</v>
          </cell>
          <cell r="B1191" t="str">
            <v>Central YMCA</v>
          </cell>
        </row>
        <row r="1192">
          <cell r="A1192">
            <v>22347</v>
          </cell>
          <cell r="B1192" t="str">
            <v>Elizabeth Comish Landing Annex</v>
          </cell>
        </row>
        <row r="1193">
          <cell r="A1193">
            <v>22348</v>
          </cell>
          <cell r="B1193" t="str">
            <v>West Court Apartments</v>
          </cell>
        </row>
        <row r="1194">
          <cell r="A1194">
            <v>22349</v>
          </cell>
          <cell r="B1194" t="str">
            <v>County Seat Apartments</v>
          </cell>
        </row>
        <row r="1195">
          <cell r="A1195">
            <v>22371</v>
          </cell>
          <cell r="B1195" t="str">
            <v>W. 128th St LP</v>
          </cell>
        </row>
        <row r="1196">
          <cell r="A1196">
            <v>22401</v>
          </cell>
          <cell r="B1196" t="str">
            <v>Orchard Mews</v>
          </cell>
        </row>
        <row r="1197">
          <cell r="A1197">
            <v>22423</v>
          </cell>
          <cell r="B1197" t="str">
            <v>Ames Garden Estates</v>
          </cell>
        </row>
        <row r="1198">
          <cell r="A1198">
            <v>22424</v>
          </cell>
          <cell r="B1198" t="str">
            <v>Pirates Bend</v>
          </cell>
        </row>
        <row r="1199">
          <cell r="A1199">
            <v>22484</v>
          </cell>
          <cell r="B1199" t="str">
            <v>Adonai Realty L.P.</v>
          </cell>
        </row>
        <row r="1200">
          <cell r="A1200">
            <v>22485</v>
          </cell>
          <cell r="B1200" t="str">
            <v>Lexington Avenue LP</v>
          </cell>
        </row>
        <row r="1201">
          <cell r="A1201">
            <v>22486</v>
          </cell>
          <cell r="B1201" t="str">
            <v>Sheffield Cluster Development L.P.</v>
          </cell>
        </row>
        <row r="1202">
          <cell r="A1202">
            <v>22487</v>
          </cell>
          <cell r="B1202" t="str">
            <v>Urban Renaissance, L.P.</v>
          </cell>
        </row>
        <row r="1203">
          <cell r="A1203">
            <v>22515</v>
          </cell>
          <cell r="B1203" t="str">
            <v>West 137th Street, LP</v>
          </cell>
        </row>
        <row r="1204">
          <cell r="A1204">
            <v>22516</v>
          </cell>
          <cell r="B1204" t="str">
            <v>West Bushwick NRP Associates, LP</v>
          </cell>
        </row>
        <row r="1205">
          <cell r="A1205">
            <v>22543</v>
          </cell>
          <cell r="B1205" t="str">
            <v>Clinton Housing West 53rd Partners, L.P.</v>
          </cell>
        </row>
        <row r="1206">
          <cell r="A1206">
            <v>22544</v>
          </cell>
          <cell r="B1206" t="str">
            <v>Garden View Acres LP</v>
          </cell>
        </row>
        <row r="1207">
          <cell r="A1207">
            <v>22545</v>
          </cell>
          <cell r="B1207" t="str">
            <v>Waldorf Elderly Phase II LP</v>
          </cell>
        </row>
        <row r="1208">
          <cell r="A1208">
            <v>22546</v>
          </cell>
          <cell r="B1208" t="str">
            <v>Hillcrest 2000</v>
          </cell>
        </row>
        <row r="1209">
          <cell r="A1209">
            <v>22547</v>
          </cell>
          <cell r="B1209" t="str">
            <v>River Bend Subdivision LP</v>
          </cell>
        </row>
        <row r="1210">
          <cell r="A1210">
            <v>22548</v>
          </cell>
          <cell r="B1210" t="str">
            <v>Pine Trace Apartments Phase I</v>
          </cell>
        </row>
        <row r="1211">
          <cell r="A1211">
            <v>22549</v>
          </cell>
          <cell r="B1211" t="str">
            <v>Pine Trace Apartments Phase II</v>
          </cell>
        </row>
        <row r="1212">
          <cell r="A1212">
            <v>22550</v>
          </cell>
          <cell r="B1212" t="str">
            <v>Boeuf River Partnership</v>
          </cell>
        </row>
        <row r="1213">
          <cell r="A1213">
            <v>22551</v>
          </cell>
          <cell r="B1213" t="str">
            <v>Daniel Housing Corporation Inc.</v>
          </cell>
        </row>
        <row r="1214">
          <cell r="A1214">
            <v>22552</v>
          </cell>
          <cell r="B1214" t="str">
            <v>Stratford Place LP</v>
          </cell>
        </row>
        <row r="1215">
          <cell r="A1215">
            <v>22553</v>
          </cell>
          <cell r="B1215" t="str">
            <v>Phoenix Manor LP</v>
          </cell>
        </row>
        <row r="1216">
          <cell r="A1216">
            <v>22554</v>
          </cell>
          <cell r="B1216" t="str">
            <v>Windsor Elderly Associates, LP</v>
          </cell>
        </row>
        <row r="1217">
          <cell r="A1217">
            <v>22555</v>
          </cell>
          <cell r="B1217" t="str">
            <v>Hampshire Village Associates Limited Partnership</v>
          </cell>
        </row>
        <row r="1218">
          <cell r="A1218">
            <v>22559</v>
          </cell>
          <cell r="B1218" t="str">
            <v>Palmettos Way Apartments</v>
          </cell>
        </row>
        <row r="1219">
          <cell r="A1219">
            <v>22560</v>
          </cell>
          <cell r="B1219" t="str">
            <v>Cambridge Pointe Apartments</v>
          </cell>
        </row>
        <row r="1220">
          <cell r="A1220">
            <v>22566</v>
          </cell>
          <cell r="B1220" t="str">
            <v>West Maypole LP</v>
          </cell>
        </row>
        <row r="1221">
          <cell r="A1221">
            <v>22567</v>
          </cell>
          <cell r="B1221" t="str">
            <v>Kensington Square I LP</v>
          </cell>
        </row>
        <row r="1222">
          <cell r="A1222">
            <v>22568</v>
          </cell>
          <cell r="B1222" t="str">
            <v>Olympic Village Apartments LP</v>
          </cell>
        </row>
        <row r="1223">
          <cell r="A1223">
            <v>22569</v>
          </cell>
          <cell r="B1223" t="str">
            <v>Guardian Place LP</v>
          </cell>
        </row>
        <row r="1224">
          <cell r="A1224">
            <v>22571</v>
          </cell>
          <cell r="B1224" t="str">
            <v>Hilltop II Senior Housing LP</v>
          </cell>
        </row>
        <row r="1225">
          <cell r="A1225">
            <v>22572</v>
          </cell>
          <cell r="B1225" t="str">
            <v>Village Crossing Housing Partners, LP</v>
          </cell>
        </row>
        <row r="1226">
          <cell r="A1226">
            <v>30000</v>
          </cell>
          <cell r="B1226" t="str">
            <v>Sheldon Village II Limited Partnership</v>
          </cell>
        </row>
        <row r="1227">
          <cell r="A1227">
            <v>30001</v>
          </cell>
          <cell r="B1227" t="str">
            <v>Red Hook Gardens Limited Partnership</v>
          </cell>
        </row>
        <row r="1228">
          <cell r="A1228">
            <v>30002</v>
          </cell>
          <cell r="B1228" t="str">
            <v>1368 Boston Road Associates, L.P.</v>
          </cell>
        </row>
        <row r="1229">
          <cell r="A1229">
            <v>30004</v>
          </cell>
          <cell r="B1229" t="str">
            <v>Ryan School Apartments L.P.</v>
          </cell>
        </row>
        <row r="1230">
          <cell r="A1230">
            <v>30005</v>
          </cell>
          <cell r="B1230" t="str">
            <v>FRED I Limited Partnership</v>
          </cell>
        </row>
        <row r="1231">
          <cell r="A1231">
            <v>30009</v>
          </cell>
          <cell r="B1231" t="str">
            <v>FRED II Limited Partnership</v>
          </cell>
        </row>
        <row r="1232">
          <cell r="A1232">
            <v>30010</v>
          </cell>
          <cell r="B1232" t="str">
            <v>Hodges Creek Apartments, LLC</v>
          </cell>
        </row>
        <row r="1233">
          <cell r="A1233">
            <v>30011</v>
          </cell>
          <cell r="B1233" t="str">
            <v>Lennox Chase Development, LLC</v>
          </cell>
        </row>
        <row r="1234">
          <cell r="A1234">
            <v>30012</v>
          </cell>
          <cell r="B1234" t="str">
            <v>Springtree Village Apartments of Durango, LLLP</v>
          </cell>
        </row>
        <row r="1235">
          <cell r="A1235">
            <v>30013</v>
          </cell>
          <cell r="B1235" t="str">
            <v>Greenwood Terrace Apartments, L.P.</v>
          </cell>
        </row>
        <row r="1236">
          <cell r="A1236">
            <v>30014</v>
          </cell>
          <cell r="B1236" t="str">
            <v>Snow Hill Limited Partnership</v>
          </cell>
        </row>
        <row r="1237">
          <cell r="A1237">
            <v>30015</v>
          </cell>
          <cell r="B1237" t="str">
            <v>Park Village Community L.P.</v>
          </cell>
        </row>
        <row r="1238">
          <cell r="A1238">
            <v>30017</v>
          </cell>
          <cell r="B1238" t="str">
            <v>Atlas Savings L.P.</v>
          </cell>
        </row>
        <row r="1239">
          <cell r="A1239">
            <v>30018</v>
          </cell>
          <cell r="B1239" t="str">
            <v>First Antique Center LLC</v>
          </cell>
        </row>
        <row r="1240">
          <cell r="A1240">
            <v>30020</v>
          </cell>
          <cell r="B1240" t="str">
            <v>Adelaide Avenue Limited Partnership</v>
          </cell>
        </row>
        <row r="1241">
          <cell r="A1241">
            <v>30021</v>
          </cell>
          <cell r="B1241" t="str">
            <v>Barton Street Neighborhood Limited Partnership</v>
          </cell>
        </row>
        <row r="1242">
          <cell r="A1242">
            <v>30022</v>
          </cell>
          <cell r="B1242" t="str">
            <v>Soromundi Commons Limited Partnership</v>
          </cell>
        </row>
        <row r="1243">
          <cell r="A1243">
            <v>30025</v>
          </cell>
          <cell r="B1243" t="str">
            <v>OCDS Limited Partnership</v>
          </cell>
        </row>
        <row r="1244">
          <cell r="A1244">
            <v>30027</v>
          </cell>
          <cell r="B1244" t="str">
            <v>Snowden River LLLP</v>
          </cell>
        </row>
        <row r="1245">
          <cell r="A1245">
            <v>30028</v>
          </cell>
          <cell r="B1245" t="str">
            <v>Arbor Park Phase Two Associates, L.P.</v>
          </cell>
        </row>
        <row r="1246">
          <cell r="A1246">
            <v>30029</v>
          </cell>
          <cell r="B1246" t="str">
            <v>Saybrook Elderly II, L.P.</v>
          </cell>
        </row>
        <row r="1247">
          <cell r="A1247">
            <v>30030</v>
          </cell>
          <cell r="B1247" t="str">
            <v>Glenville Elderly II Limited Partnership</v>
          </cell>
        </row>
        <row r="1248">
          <cell r="A1248">
            <v>30031</v>
          </cell>
          <cell r="B1248" t="str">
            <v>EADS Apartments, L.P.</v>
          </cell>
        </row>
        <row r="1249">
          <cell r="A1249">
            <v>30032</v>
          </cell>
          <cell r="B1249" t="str">
            <v>Bon Secours Chesapeake Apartments, Limited Partnership</v>
          </cell>
        </row>
        <row r="1250">
          <cell r="A1250">
            <v>30033</v>
          </cell>
          <cell r="B1250" t="str">
            <v>Clare Court Limited Partnership</v>
          </cell>
        </row>
        <row r="1251">
          <cell r="A1251">
            <v>30034</v>
          </cell>
          <cell r="B1251" t="str">
            <v>Cleveland Housing Network Limited Partnership XIX</v>
          </cell>
        </row>
        <row r="1252">
          <cell r="A1252">
            <v>30035</v>
          </cell>
          <cell r="B1252" t="str">
            <v>Erieview Homes I, LTD</v>
          </cell>
        </row>
      </sheetData>
    </sheetDataSet>
  </externalBook>
</externalLink>
</file>

<file path=xl/queryTables/queryTable1.xml><?xml version="1.0" encoding="utf-8"?>
<queryTable xmlns="http://schemas.openxmlformats.org/spreadsheetml/2006/main" name="Query from ODS_PROD" refreshOnLoad="1" growShrinkType="overwriteClear" preserveFormatting="0" adjustColumnWidth="0" connectionId="1" autoFormatId="16" applyNumberFormats="0" applyBorderFormats="0" applyFontFormats="0" applyPatternFormats="0" applyAlignmentFormats="0" applyWidthHeightFormats="0">
  <queryTableRefresh nextId="69" unboundColumnsRight="27">
    <queryTableFields count="32">
      <queryTableField id="1" name="Fund Abbreviation"/>
      <queryTableField id="2" name="Project ID"/>
      <queryTableField id="3" name="Project Legal Name"/>
      <queryTableField id="4" name="Ownership %"/>
      <queryTableField id="13" name="ProjectStatus"/>
      <queryTableField id="66" dataBound="0"/>
      <queryTableField id="65" dataBound="0"/>
      <queryTableField id="64" dataBound="0"/>
      <queryTableField id="63" dataBound="0"/>
      <queryTableField id="62" dataBound="0"/>
      <queryTableField id="61" dataBound="0"/>
      <queryTableField id="60" dataBound="0"/>
      <queryTableField id="59" dataBound="0"/>
      <queryTableField id="58" dataBound="0"/>
      <queryTableField id="57" dataBound="0"/>
      <queryTableField id="56" dataBound="0"/>
      <queryTableField id="55" dataBound="0"/>
      <queryTableField id="54" dataBound="0"/>
      <queryTableField id="53" dataBound="0"/>
      <queryTableField id="52" dataBound="0"/>
      <queryTableField id="51" dataBound="0"/>
      <queryTableField id="50" dataBound="0"/>
      <queryTableField id="49" dataBound="0"/>
      <queryTableField id="48" dataBound="0"/>
      <queryTableField id="47" dataBound="0"/>
      <queryTableField id="46" dataBound="0"/>
      <queryTableField id="45" dataBound="0"/>
      <queryTableField id="44" dataBound="0"/>
      <queryTableField id="43" dataBound="0"/>
      <queryTableField id="42" dataBound="0"/>
      <queryTableField id="41" dataBound="0"/>
      <queryTableField id="40" dataBound="0"/>
    </queryTableFields>
    <queryTableDeletedFields count="3">
      <deletedField name="Actual Close Date"/>
      <deletedField name="SoldDateActual"/>
      <deletedField name="WarehouseStatus"/>
    </queryTableDeletedFields>
  </queryTableRefresh>
</query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46"/>
  <sheetViews>
    <sheetView workbookViewId="0">
      <selection activeCell="D3" sqref="D3"/>
    </sheetView>
  </sheetViews>
  <sheetFormatPr defaultColWidth="9.140625" defaultRowHeight="15" x14ac:dyDescent="0.25"/>
  <cols>
    <col min="1" max="1" width="9.140625" style="133"/>
    <col min="2" max="2" width="35.28515625" style="132" customWidth="1"/>
    <col min="3" max="16384" width="9.140625" style="131"/>
  </cols>
  <sheetData>
    <row r="1" spans="1:3" ht="15" customHeight="1" x14ac:dyDescent="0.25">
      <c r="A1" s="141" t="s">
        <v>999</v>
      </c>
      <c r="B1" s="140"/>
      <c r="C1" s="136"/>
    </row>
    <row r="2" spans="1:3" x14ac:dyDescent="0.25">
      <c r="A2" s="143">
        <v>1045</v>
      </c>
      <c r="B2" s="134" t="s">
        <v>998</v>
      </c>
    </row>
    <row r="3" spans="1:3" x14ac:dyDescent="0.25">
      <c r="A3" s="143">
        <v>1027</v>
      </c>
      <c r="B3" s="134" t="s">
        <v>997</v>
      </c>
    </row>
    <row r="4" spans="1:3" x14ac:dyDescent="0.25">
      <c r="A4" s="143">
        <v>1047</v>
      </c>
      <c r="B4" s="134" t="s">
        <v>996</v>
      </c>
    </row>
    <row r="5" spans="1:3" x14ac:dyDescent="0.25">
      <c r="A5" s="143">
        <v>1011</v>
      </c>
      <c r="B5" s="134" t="s">
        <v>995</v>
      </c>
    </row>
    <row r="6" spans="1:3" x14ac:dyDescent="0.25">
      <c r="A6" s="143">
        <v>1032</v>
      </c>
      <c r="B6" s="134" t="s">
        <v>994</v>
      </c>
    </row>
    <row r="7" spans="1:3" x14ac:dyDescent="0.25">
      <c r="A7" s="143">
        <v>1031</v>
      </c>
      <c r="B7" s="134" t="s">
        <v>993</v>
      </c>
    </row>
    <row r="8" spans="1:3" x14ac:dyDescent="0.25">
      <c r="A8" s="143">
        <v>1009</v>
      </c>
      <c r="B8" s="134" t="s">
        <v>992</v>
      </c>
    </row>
    <row r="9" spans="1:3" x14ac:dyDescent="0.25">
      <c r="A9" s="143">
        <v>1043</v>
      </c>
      <c r="B9" s="134" t="s">
        <v>991</v>
      </c>
    </row>
    <row r="10" spans="1:3" x14ac:dyDescent="0.25">
      <c r="A10" s="143">
        <v>1017</v>
      </c>
      <c r="B10" s="134" t="s">
        <v>990</v>
      </c>
    </row>
    <row r="11" spans="1:3" x14ac:dyDescent="0.25">
      <c r="A11" s="143">
        <v>1004</v>
      </c>
      <c r="B11" s="134" t="s">
        <v>989</v>
      </c>
    </row>
    <row r="12" spans="1:3" x14ac:dyDescent="0.25">
      <c r="A12" s="143">
        <v>1001</v>
      </c>
      <c r="B12" s="134" t="s">
        <v>988</v>
      </c>
    </row>
    <row r="13" spans="1:3" x14ac:dyDescent="0.25">
      <c r="A13" s="143">
        <v>1033</v>
      </c>
      <c r="B13" s="134" t="s">
        <v>987</v>
      </c>
    </row>
    <row r="14" spans="1:3" x14ac:dyDescent="0.25">
      <c r="A14" s="143">
        <v>1022</v>
      </c>
      <c r="B14" s="134" t="s">
        <v>986</v>
      </c>
    </row>
    <row r="15" spans="1:3" x14ac:dyDescent="0.25">
      <c r="A15" s="143">
        <v>1029</v>
      </c>
      <c r="B15" s="134" t="s">
        <v>985</v>
      </c>
    </row>
    <row r="16" spans="1:3" x14ac:dyDescent="0.25">
      <c r="A16" s="143">
        <v>1062</v>
      </c>
      <c r="B16" s="134" t="s">
        <v>984</v>
      </c>
    </row>
    <row r="17" spans="1:2" x14ac:dyDescent="0.25">
      <c r="A17" s="143">
        <v>1002</v>
      </c>
      <c r="B17" s="134" t="s">
        <v>983</v>
      </c>
    </row>
    <row r="18" spans="1:2" x14ac:dyDescent="0.25">
      <c r="A18" s="143">
        <v>1013</v>
      </c>
      <c r="B18" s="134" t="s">
        <v>982</v>
      </c>
    </row>
    <row r="19" spans="1:2" x14ac:dyDescent="0.25">
      <c r="A19" s="143">
        <v>1057</v>
      </c>
      <c r="B19" s="134" t="s">
        <v>981</v>
      </c>
    </row>
    <row r="20" spans="1:2" x14ac:dyDescent="0.25">
      <c r="A20" s="143">
        <v>1056</v>
      </c>
      <c r="B20" s="134" t="s">
        <v>980</v>
      </c>
    </row>
    <row r="21" spans="1:2" x14ac:dyDescent="0.25">
      <c r="A21" s="143">
        <v>1006</v>
      </c>
      <c r="B21" s="134" t="s">
        <v>979</v>
      </c>
    </row>
    <row r="22" spans="1:2" x14ac:dyDescent="0.25">
      <c r="A22" s="143">
        <v>1066</v>
      </c>
      <c r="B22" s="134" t="s">
        <v>978</v>
      </c>
    </row>
    <row r="23" spans="1:2" x14ac:dyDescent="0.25">
      <c r="A23" s="143">
        <v>1064</v>
      </c>
      <c r="B23" s="134" t="s">
        <v>977</v>
      </c>
    </row>
    <row r="24" spans="1:2" x14ac:dyDescent="0.25">
      <c r="A24" s="143">
        <v>1065</v>
      </c>
      <c r="B24" s="134" t="s">
        <v>976</v>
      </c>
    </row>
    <row r="25" spans="1:2" x14ac:dyDescent="0.25">
      <c r="A25" s="143">
        <v>1026</v>
      </c>
      <c r="B25" s="134" t="s">
        <v>975</v>
      </c>
    </row>
    <row r="26" spans="1:2" x14ac:dyDescent="0.25">
      <c r="A26" s="143">
        <v>1055</v>
      </c>
      <c r="B26" s="134" t="s">
        <v>974</v>
      </c>
    </row>
    <row r="27" spans="1:2" x14ac:dyDescent="0.25">
      <c r="A27" s="143">
        <v>1049</v>
      </c>
      <c r="B27" s="134" t="s">
        <v>973</v>
      </c>
    </row>
    <row r="28" spans="1:2" x14ac:dyDescent="0.25">
      <c r="A28" s="143">
        <v>1026</v>
      </c>
      <c r="B28" s="134" t="s">
        <v>972</v>
      </c>
    </row>
    <row r="29" spans="1:2" x14ac:dyDescent="0.25">
      <c r="A29" s="143">
        <v>1014</v>
      </c>
      <c r="B29" s="134" t="s">
        <v>971</v>
      </c>
    </row>
    <row r="30" spans="1:2" x14ac:dyDescent="0.25">
      <c r="A30" s="143">
        <v>1040</v>
      </c>
      <c r="B30" s="134" t="s">
        <v>970</v>
      </c>
    </row>
    <row r="31" spans="1:2" x14ac:dyDescent="0.25">
      <c r="A31" s="143">
        <v>1050</v>
      </c>
      <c r="B31" s="134" t="s">
        <v>969</v>
      </c>
    </row>
    <row r="32" spans="1:2" x14ac:dyDescent="0.25">
      <c r="A32" s="143">
        <v>1044</v>
      </c>
      <c r="B32" s="134" t="s">
        <v>968</v>
      </c>
    </row>
    <row r="33" spans="1:3" x14ac:dyDescent="0.25">
      <c r="A33" s="143">
        <v>1052</v>
      </c>
      <c r="B33" s="134" t="s">
        <v>967</v>
      </c>
    </row>
    <row r="34" spans="1:3" x14ac:dyDescent="0.25">
      <c r="A34" s="143">
        <v>1059</v>
      </c>
      <c r="B34" s="134" t="s">
        <v>966</v>
      </c>
    </row>
    <row r="35" spans="1:3" x14ac:dyDescent="0.25">
      <c r="A35" s="143">
        <v>1031</v>
      </c>
      <c r="B35" s="134" t="s">
        <v>965</v>
      </c>
    </row>
    <row r="36" spans="1:3" x14ac:dyDescent="0.25">
      <c r="A36" s="143">
        <v>1035</v>
      </c>
      <c r="B36" s="134" t="s">
        <v>964</v>
      </c>
    </row>
    <row r="37" spans="1:3" x14ac:dyDescent="0.25">
      <c r="A37" s="139"/>
      <c r="B37" s="138"/>
      <c r="C37" s="136"/>
    </row>
    <row r="38" spans="1:3" x14ac:dyDescent="0.25">
      <c r="A38" s="137" t="s">
        <v>963</v>
      </c>
      <c r="B38" s="137"/>
      <c r="C38" s="136"/>
    </row>
    <row r="39" spans="1:3" x14ac:dyDescent="0.25">
      <c r="A39" s="135">
        <v>1063</v>
      </c>
      <c r="B39" s="134" t="s">
        <v>962</v>
      </c>
    </row>
    <row r="40" spans="1:3" x14ac:dyDescent="0.25">
      <c r="A40" s="135">
        <v>1067</v>
      </c>
      <c r="B40" s="134" t="s">
        <v>961</v>
      </c>
    </row>
    <row r="41" spans="1:3" x14ac:dyDescent="0.25">
      <c r="A41" s="135">
        <v>1043</v>
      </c>
      <c r="B41" s="134" t="s">
        <v>960</v>
      </c>
    </row>
    <row r="42" spans="1:3" x14ac:dyDescent="0.25">
      <c r="A42" s="135">
        <v>1060</v>
      </c>
      <c r="B42" s="134" t="s">
        <v>959</v>
      </c>
    </row>
    <row r="43" spans="1:3" x14ac:dyDescent="0.25">
      <c r="A43" s="135">
        <v>1041</v>
      </c>
      <c r="B43" s="134" t="s">
        <v>958</v>
      </c>
    </row>
    <row r="44" spans="1:3" x14ac:dyDescent="0.25">
      <c r="A44" s="135">
        <v>1068</v>
      </c>
      <c r="B44" s="134" t="s">
        <v>957</v>
      </c>
    </row>
    <row r="45" spans="1:3" x14ac:dyDescent="0.25">
      <c r="A45" s="135">
        <v>1077</v>
      </c>
      <c r="B45" s="134" t="s">
        <v>956</v>
      </c>
    </row>
    <row r="46" spans="1:3" x14ac:dyDescent="0.25">
      <c r="A46" s="135">
        <v>1072</v>
      </c>
      <c r="B46" s="134" t="s">
        <v>955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0:I1132"/>
  <sheetViews>
    <sheetView tabSelected="1" view="pageBreakPreview" topLeftCell="C10" zoomScale="107" zoomScaleNormal="90" zoomScaleSheetLayoutView="107" workbookViewId="0">
      <selection activeCell="C16" sqref="C16"/>
    </sheetView>
  </sheetViews>
  <sheetFormatPr defaultColWidth="9.140625" defaultRowHeight="12.75" x14ac:dyDescent="0.2"/>
  <cols>
    <col min="1" max="1" width="5.28515625" style="52" hidden="1" customWidth="1"/>
    <col min="2" max="2" width="28.28515625" style="52" hidden="1" customWidth="1"/>
    <col min="3" max="3" width="22.5703125" style="52" customWidth="1"/>
    <col min="4" max="4" width="15.140625" style="52" customWidth="1"/>
    <col min="5" max="5" width="58.85546875" style="71" bestFit="1" customWidth="1"/>
    <col min="6" max="6" width="17.85546875" style="83" customWidth="1"/>
    <col min="7" max="7" width="32.7109375" style="70" bestFit="1" customWidth="1"/>
    <col min="8" max="8" width="27.7109375" style="66" customWidth="1"/>
    <col min="9" max="9" width="32.7109375" style="66" customWidth="1"/>
    <col min="10" max="25" width="9.140625" style="52"/>
    <col min="26" max="26" width="18.42578125" style="52" customWidth="1"/>
    <col min="27" max="16384" width="9.140625" style="52"/>
  </cols>
  <sheetData>
    <row r="10" spans="3:9" s="43" customFormat="1" ht="18" x14ac:dyDescent="0.2">
      <c r="C10" s="58"/>
      <c r="D10" s="58"/>
      <c r="E10" s="85" t="s">
        <v>60</v>
      </c>
      <c r="F10" s="167"/>
      <c r="G10" s="59"/>
      <c r="H10" s="55"/>
      <c r="I10" s="55"/>
    </row>
    <row r="11" spans="3:9" s="43" customFormat="1" x14ac:dyDescent="0.2">
      <c r="C11" s="60" t="s">
        <v>69</v>
      </c>
      <c r="D11" s="84" t="s">
        <v>0</v>
      </c>
      <c r="E11" s="77"/>
      <c r="F11" s="79"/>
      <c r="G11" s="59"/>
      <c r="H11" s="55"/>
      <c r="I11" s="55"/>
    </row>
    <row r="12" spans="3:9" s="43" customFormat="1" x14ac:dyDescent="0.2">
      <c r="C12" s="60">
        <v>4</v>
      </c>
      <c r="D12" s="84" t="s">
        <v>61</v>
      </c>
      <c r="E12" s="77"/>
      <c r="F12" s="79"/>
      <c r="G12" s="57"/>
      <c r="H12" s="68"/>
      <c r="I12" s="54"/>
    </row>
    <row r="13" spans="3:9" s="43" customFormat="1" x14ac:dyDescent="0.2">
      <c r="C13" s="60">
        <v>2017</v>
      </c>
      <c r="D13" s="84" t="s">
        <v>62</v>
      </c>
      <c r="E13" s="77"/>
      <c r="F13" s="79"/>
      <c r="G13" s="59"/>
      <c r="H13" s="55"/>
      <c r="I13" s="55"/>
    </row>
    <row r="14" spans="3:9" s="43" customFormat="1" hidden="1" x14ac:dyDescent="0.2">
      <c r="C14" s="62">
        <f>DATEVALUE(CONCATENATE(IF(C12=1,"3/31",IF(C12=2,"6/30",IF(C12=3,"9/30","12/31"))),"/",C13))</f>
        <v>43100</v>
      </c>
      <c r="D14" s="76" t="s">
        <v>58</v>
      </c>
      <c r="E14" s="77"/>
      <c r="F14" s="79"/>
      <c r="G14" s="59"/>
      <c r="H14" s="55"/>
      <c r="I14" s="55"/>
    </row>
    <row r="15" spans="3:9" s="43" customFormat="1" hidden="1" x14ac:dyDescent="0.2">
      <c r="C15" s="63" t="str">
        <f>CONCATENATE(IF(C12=1,"March 31, ",IF(C12=2,"June 30, ",IF(C12=3,"September 30, ","December 31, "))),C13)</f>
        <v>December 31, 2017</v>
      </c>
      <c r="D15" s="76" t="s">
        <v>58</v>
      </c>
      <c r="E15" s="77"/>
      <c r="F15" s="79"/>
      <c r="G15" s="59"/>
      <c r="H15" s="55"/>
      <c r="I15" s="55"/>
    </row>
    <row r="16" spans="3:9" s="43" customFormat="1" x14ac:dyDescent="0.2">
      <c r="C16" s="63"/>
      <c r="D16" s="61"/>
      <c r="E16" s="77"/>
      <c r="F16" s="79"/>
      <c r="G16" s="59"/>
      <c r="H16" s="55"/>
      <c r="I16" s="55"/>
    </row>
    <row r="17" spans="1:9" s="43" customFormat="1" ht="13.5" thickBot="1" x14ac:dyDescent="0.25">
      <c r="C17" s="64" t="s">
        <v>1</v>
      </c>
      <c r="D17" s="86">
        <f>SUBTOTAL(2,D20:D1516)</f>
        <v>35</v>
      </c>
      <c r="E17" s="69" t="s">
        <v>2</v>
      </c>
      <c r="F17" s="80"/>
      <c r="G17" s="65"/>
      <c r="H17" s="56"/>
      <c r="I17" s="56"/>
    </row>
    <row r="18" spans="1:9" s="43" customFormat="1" ht="13.5" thickTop="1" x14ac:dyDescent="0.2">
      <c r="C18" s="73"/>
      <c r="D18" s="61"/>
      <c r="E18" s="77"/>
      <c r="F18" s="79"/>
      <c r="G18" s="59"/>
      <c r="H18" s="55"/>
      <c r="I18" s="55"/>
    </row>
    <row r="19" spans="1:9" ht="43.5" customHeight="1" x14ac:dyDescent="0.2">
      <c r="A19" s="52" t="s">
        <v>1000</v>
      </c>
      <c r="B19" s="52" t="s">
        <v>1001</v>
      </c>
      <c r="C19" s="75" t="s">
        <v>4</v>
      </c>
      <c r="D19" s="75" t="s">
        <v>63</v>
      </c>
      <c r="E19" s="75" t="s">
        <v>64</v>
      </c>
      <c r="F19" s="81" t="s">
        <v>3</v>
      </c>
      <c r="G19" s="74" t="s">
        <v>66</v>
      </c>
      <c r="H19" s="74" t="s">
        <v>639</v>
      </c>
      <c r="I19" s="74" t="s">
        <v>640</v>
      </c>
    </row>
    <row r="20" spans="1:9" x14ac:dyDescent="0.2">
      <c r="A20" s="142">
        <f>'Properties List'!A2</f>
        <v>1045</v>
      </c>
      <c r="B20" s="52" t="str">
        <f>'Properties List'!B2</f>
        <v>Park View at Furnace Branch</v>
      </c>
      <c r="C20" s="103" t="s">
        <v>69</v>
      </c>
      <c r="D20" s="66">
        <v>70368</v>
      </c>
      <c r="E20" s="104" t="s">
        <v>70</v>
      </c>
      <c r="F20" s="82">
        <v>0.99990000000000001</v>
      </c>
      <c r="G20" s="67" t="s">
        <v>105</v>
      </c>
      <c r="H20" s="72">
        <f>IncStmt!B$35</f>
        <v>-310174.44999999995</v>
      </c>
      <c r="I20" s="72">
        <f t="shared" ref="I20:I54" si="0">IF(ISTEXT(H20),H20,H20*F20)</f>
        <v>-310143.43255499995</v>
      </c>
    </row>
    <row r="21" spans="1:9" x14ac:dyDescent="0.2">
      <c r="A21" s="142">
        <v>1009</v>
      </c>
      <c r="B21" s="52" t="str">
        <f>'Properties List'!B8</f>
        <v>College Parkway Place</v>
      </c>
      <c r="C21" s="103" t="s">
        <v>69</v>
      </c>
      <c r="D21" s="66">
        <v>70367</v>
      </c>
      <c r="E21" s="105" t="s">
        <v>71</v>
      </c>
      <c r="F21" s="82">
        <v>0.995</v>
      </c>
      <c r="G21" s="67" t="s">
        <v>105</v>
      </c>
      <c r="H21" s="72">
        <f>IncStmt!C35</f>
        <v>-747800.88000000012</v>
      </c>
      <c r="I21" s="72">
        <f t="shared" si="0"/>
        <v>-744061.87560000014</v>
      </c>
    </row>
    <row r="22" spans="1:9" x14ac:dyDescent="0.2">
      <c r="A22" s="142">
        <f>'Properties List'!A7</f>
        <v>1031</v>
      </c>
      <c r="B22" s="52" t="str">
        <f>'Properties List'!B7</f>
        <v>Woodbridge Commons</v>
      </c>
      <c r="C22" s="103" t="s">
        <v>69</v>
      </c>
      <c r="D22" s="66">
        <v>70364</v>
      </c>
      <c r="E22" s="105" t="s">
        <v>72</v>
      </c>
      <c r="F22" s="82">
        <v>0.99990000000000001</v>
      </c>
      <c r="G22" s="67" t="s">
        <v>105</v>
      </c>
      <c r="H22" s="72">
        <f>IncStmt!D35</f>
        <v>-332486.29000000004</v>
      </c>
      <c r="I22" s="72">
        <f t="shared" si="0"/>
        <v>-332453.04137100006</v>
      </c>
    </row>
    <row r="23" spans="1:9" x14ac:dyDescent="0.2">
      <c r="A23" s="142">
        <f>'Properties List'!A4</f>
        <v>1047</v>
      </c>
      <c r="B23" s="52" t="str">
        <f>'Properties List'!B4</f>
        <v>Hickory Ridge</v>
      </c>
      <c r="C23" s="103" t="s">
        <v>69</v>
      </c>
      <c r="D23" s="66">
        <v>70361</v>
      </c>
      <c r="E23" s="105" t="s">
        <v>73</v>
      </c>
      <c r="F23" s="82">
        <v>0.99990000000000001</v>
      </c>
      <c r="G23" s="67" t="s">
        <v>105</v>
      </c>
      <c r="H23" s="72">
        <f>IncStmt!E35</f>
        <v>121775.89000000013</v>
      </c>
      <c r="I23" s="72">
        <f t="shared" si="0"/>
        <v>121763.71241100013</v>
      </c>
    </row>
    <row r="24" spans="1:9" x14ac:dyDescent="0.2">
      <c r="A24" s="142">
        <f>'Properties List'!A5</f>
        <v>1011</v>
      </c>
      <c r="B24" s="52" t="str">
        <f>'Properties List'!B5</f>
        <v>Park View at Coldspring</v>
      </c>
      <c r="C24" s="103" t="s">
        <v>69</v>
      </c>
      <c r="D24" s="66">
        <v>70373</v>
      </c>
      <c r="E24" s="105" t="s">
        <v>74</v>
      </c>
      <c r="F24" s="82">
        <v>0.99990000000000001</v>
      </c>
      <c r="G24" s="67" t="s">
        <v>105</v>
      </c>
      <c r="H24" s="72">
        <f>IncStmt!F35</f>
        <v>-191340.56999999995</v>
      </c>
      <c r="I24" s="72">
        <f t="shared" si="0"/>
        <v>-191321.43594299996</v>
      </c>
    </row>
    <row r="25" spans="1:9" x14ac:dyDescent="0.2">
      <c r="A25" s="142">
        <f>'Properties List'!A3</f>
        <v>1027</v>
      </c>
      <c r="B25" s="52" t="str">
        <f>'Properties List'!B3</f>
        <v>Park View at Taylor</v>
      </c>
      <c r="C25" s="103" t="s">
        <v>69</v>
      </c>
      <c r="D25" s="66">
        <v>70374</v>
      </c>
      <c r="E25" s="105" t="s">
        <v>75</v>
      </c>
      <c r="F25" s="82">
        <v>0.99990000000000001</v>
      </c>
      <c r="G25" s="67" t="s">
        <v>105</v>
      </c>
      <c r="H25" s="72">
        <f>IncStmt!G35</f>
        <v>-223790.2200000002</v>
      </c>
      <c r="I25" s="72">
        <f t="shared" si="0"/>
        <v>-223767.8409780002</v>
      </c>
    </row>
    <row r="26" spans="1:9" x14ac:dyDescent="0.2">
      <c r="A26" s="142">
        <f>'Properties List'!A6</f>
        <v>1032</v>
      </c>
      <c r="B26" s="52" t="str">
        <f>'Properties List'!B6</f>
        <v>Park View at Woodlawn</v>
      </c>
      <c r="C26" s="103" t="s">
        <v>69</v>
      </c>
      <c r="D26" s="66">
        <v>70375</v>
      </c>
      <c r="E26" s="105" t="s">
        <v>76</v>
      </c>
      <c r="F26" s="82">
        <v>0.99990000000000001</v>
      </c>
      <c r="G26" s="67" t="s">
        <v>105</v>
      </c>
      <c r="H26" s="72">
        <f>IncStmt!H35</f>
        <v>26243.960000000021</v>
      </c>
      <c r="I26" s="72">
        <f t="shared" si="0"/>
        <v>26241.335604000022</v>
      </c>
    </row>
    <row r="27" spans="1:9" x14ac:dyDescent="0.2">
      <c r="A27" s="142">
        <f>'Properties List'!A12</f>
        <v>1001</v>
      </c>
      <c r="B27" s="52" t="str">
        <f>'Properties List'!B12</f>
        <v>Park View at Bel Air</v>
      </c>
      <c r="C27" s="103" t="s">
        <v>69</v>
      </c>
      <c r="D27" s="66">
        <v>70365</v>
      </c>
      <c r="E27" s="105" t="s">
        <v>77</v>
      </c>
      <c r="F27" s="82">
        <v>0.99990000000000001</v>
      </c>
      <c r="G27" s="67" t="s">
        <v>105</v>
      </c>
      <c r="H27" s="72">
        <f>IncStmt!I35</f>
        <v>-318323.92</v>
      </c>
      <c r="I27" s="72">
        <f t="shared" si="0"/>
        <v>-318292.08760799997</v>
      </c>
    </row>
    <row r="28" spans="1:9" x14ac:dyDescent="0.2">
      <c r="A28" s="142">
        <f>'Properties List'!A11</f>
        <v>1004</v>
      </c>
      <c r="B28" s="52" t="str">
        <f>'Properties List'!B11</f>
        <v>Park View at Box Hill</v>
      </c>
      <c r="C28" s="103" t="s">
        <v>69</v>
      </c>
      <c r="D28" s="66">
        <v>70366</v>
      </c>
      <c r="E28" s="105" t="s">
        <v>78</v>
      </c>
      <c r="F28" s="82">
        <v>0.99990000000000001</v>
      </c>
      <c r="G28" s="67" t="s">
        <v>105</v>
      </c>
      <c r="H28" s="72">
        <f>IncStmt!J35</f>
        <v>-72951.530000000028</v>
      </c>
      <c r="I28" s="72">
        <f t="shared" si="0"/>
        <v>-72944.234847000029</v>
      </c>
    </row>
    <row r="29" spans="1:9" x14ac:dyDescent="0.2">
      <c r="A29" s="142">
        <f>'Properties List'!A9</f>
        <v>1043</v>
      </c>
      <c r="B29" s="52" t="str">
        <f>'Properties List'!B9</f>
        <v>Park View at Ellicott City II</v>
      </c>
      <c r="C29" s="103" t="s">
        <v>69</v>
      </c>
      <c r="D29" s="66">
        <v>70358</v>
      </c>
      <c r="E29" s="105" t="s">
        <v>79</v>
      </c>
      <c r="F29" s="82">
        <v>0.99990000000000001</v>
      </c>
      <c r="G29" s="67" t="s">
        <v>105</v>
      </c>
      <c r="H29" s="72">
        <f>IncStmt!K35</f>
        <v>-56449.169999999925</v>
      </c>
      <c r="I29" s="72">
        <f t="shared" si="0"/>
        <v>-56443.525082999928</v>
      </c>
    </row>
    <row r="30" spans="1:9" x14ac:dyDescent="0.2">
      <c r="A30" s="142">
        <f>'Properties List'!A17</f>
        <v>1002</v>
      </c>
      <c r="B30" s="52" t="str">
        <f>'Properties List'!B17</f>
        <v>Park View at Bethlehem</v>
      </c>
      <c r="C30" s="103" t="s">
        <v>69</v>
      </c>
      <c r="D30" s="66">
        <v>70348</v>
      </c>
      <c r="E30" s="105" t="s">
        <v>80</v>
      </c>
      <c r="F30" s="82">
        <v>0.99990000000000001</v>
      </c>
      <c r="G30" s="67" t="s">
        <v>105</v>
      </c>
      <c r="H30" s="72">
        <f>IncStmt!L35</f>
        <v>-184743.40000000002</v>
      </c>
      <c r="I30" s="72">
        <f t="shared" si="0"/>
        <v>-184724.92566000004</v>
      </c>
    </row>
    <row r="31" spans="1:9" x14ac:dyDescent="0.2">
      <c r="A31" s="142">
        <f>'Properties List'!A10</f>
        <v>1017</v>
      </c>
      <c r="B31" s="52" t="str">
        <f>'Properties List'!B10</f>
        <v>Park View at Oak Crest</v>
      </c>
      <c r="C31" s="103" t="s">
        <v>69</v>
      </c>
      <c r="D31" s="66">
        <v>70346</v>
      </c>
      <c r="E31" s="105" t="s">
        <v>81</v>
      </c>
      <c r="F31" s="82">
        <v>0.99990000000000001</v>
      </c>
      <c r="G31" s="67" t="s">
        <v>105</v>
      </c>
      <c r="H31" s="72">
        <f>IncStmt!M35</f>
        <v>-46167.250000000058</v>
      </c>
      <c r="I31" s="72">
        <f t="shared" si="0"/>
        <v>-46162.633275000058</v>
      </c>
    </row>
    <row r="32" spans="1:9" x14ac:dyDescent="0.2">
      <c r="A32" s="142">
        <f>'Properties List'!A14</f>
        <v>1022</v>
      </c>
      <c r="B32" s="52" t="str">
        <f>'Properties List'!B14</f>
        <v>Park View at Naaman's Creek</v>
      </c>
      <c r="C32" s="103" t="s">
        <v>69</v>
      </c>
      <c r="D32" s="66">
        <v>70344</v>
      </c>
      <c r="E32" s="105" t="s">
        <v>82</v>
      </c>
      <c r="F32" s="82">
        <v>0.99990000000000001</v>
      </c>
      <c r="G32" s="67" t="s">
        <v>105</v>
      </c>
      <c r="H32" s="72">
        <f>IncStmt!N35</f>
        <v>-53645.080000000016</v>
      </c>
      <c r="I32" s="72">
        <f t="shared" si="0"/>
        <v>-53639.715492000018</v>
      </c>
    </row>
    <row r="33" spans="1:9" x14ac:dyDescent="0.2">
      <c r="A33" s="142">
        <f>'Properties List'!A13</f>
        <v>1033</v>
      </c>
      <c r="B33" s="52" t="str">
        <f>'Properties List'!B13</f>
        <v>Park View at Manchester Heights</v>
      </c>
      <c r="C33" s="103" t="s">
        <v>69</v>
      </c>
      <c r="D33" s="66">
        <v>70343</v>
      </c>
      <c r="E33" s="105" t="s">
        <v>83</v>
      </c>
      <c r="F33" s="82">
        <v>0.99990000000000001</v>
      </c>
      <c r="G33" s="67" t="s">
        <v>105</v>
      </c>
      <c r="H33" s="72">
        <f>IncStmt!O35</f>
        <v>-36438.550000000017</v>
      </c>
      <c r="I33" s="72">
        <f t="shared" si="0"/>
        <v>-36434.906145000015</v>
      </c>
    </row>
    <row r="34" spans="1:9" x14ac:dyDescent="0.2">
      <c r="A34" s="142">
        <f>'Properties List'!A16</f>
        <v>1062</v>
      </c>
      <c r="B34" s="52" t="str">
        <f>'Properties List'!B16</f>
        <v>Somerset Commons</v>
      </c>
      <c r="C34" s="103" t="s">
        <v>69</v>
      </c>
      <c r="D34" s="66">
        <v>70352</v>
      </c>
      <c r="E34" s="105" t="s">
        <v>84</v>
      </c>
      <c r="F34" s="82">
        <v>0.99990000000000001</v>
      </c>
      <c r="G34" s="67" t="s">
        <v>105</v>
      </c>
      <c r="H34" s="72">
        <f>IncStmt!P35</f>
        <v>121143.26999999996</v>
      </c>
      <c r="I34" s="72">
        <f t="shared" si="0"/>
        <v>121131.15567299996</v>
      </c>
    </row>
    <row r="35" spans="1:9" x14ac:dyDescent="0.2">
      <c r="A35" s="142">
        <f>'Properties List'!A18</f>
        <v>1013</v>
      </c>
      <c r="B35" s="52" t="str">
        <f>'Properties List'!B18</f>
        <v>Park View at Easton</v>
      </c>
      <c r="C35" s="103" t="s">
        <v>69</v>
      </c>
      <c r="D35" s="66">
        <v>70350</v>
      </c>
      <c r="E35" s="105" t="s">
        <v>85</v>
      </c>
      <c r="F35" s="82">
        <v>0.99990000000000001</v>
      </c>
      <c r="G35" s="67" t="s">
        <v>105</v>
      </c>
      <c r="H35" s="72">
        <f>IncStmt!Q35</f>
        <v>-35021.349999999977</v>
      </c>
      <c r="I35" s="72">
        <f t="shared" si="0"/>
        <v>-35017.847864999974</v>
      </c>
    </row>
    <row r="36" spans="1:9" x14ac:dyDescent="0.2">
      <c r="A36" s="142">
        <f>'Properties List'!A15</f>
        <v>1029</v>
      </c>
      <c r="B36" s="52" t="str">
        <f>'Properties List'!B15</f>
        <v>Park View at Tyler Run</v>
      </c>
      <c r="C36" s="103" t="s">
        <v>69</v>
      </c>
      <c r="D36" s="66">
        <v>70342</v>
      </c>
      <c r="E36" s="105" t="s">
        <v>86</v>
      </c>
      <c r="F36" s="82">
        <v>0.99990000000000001</v>
      </c>
      <c r="G36" s="67" t="s">
        <v>105</v>
      </c>
      <c r="H36" s="72">
        <f>IncStmt!R$35</f>
        <v>-28400.400000000023</v>
      </c>
      <c r="I36" s="72">
        <f t="shared" si="0"/>
        <v>-28397.559960000024</v>
      </c>
    </row>
    <row r="37" spans="1:9" x14ac:dyDescent="0.2">
      <c r="A37" s="142">
        <f>'Properties List'!A19</f>
        <v>1057</v>
      </c>
      <c r="B37" s="52" t="str">
        <f>'Properties List'!B19</f>
        <v>Ashland Commons</v>
      </c>
      <c r="C37" s="103" t="s">
        <v>69</v>
      </c>
      <c r="D37" s="66">
        <v>70370</v>
      </c>
      <c r="E37" s="104" t="s">
        <v>87</v>
      </c>
      <c r="F37" s="82">
        <v>1E-4</v>
      </c>
      <c r="G37" s="67" t="s">
        <v>105</v>
      </c>
      <c r="H37" s="72">
        <f>IncStmt!S35</f>
        <v>-95890.739999999991</v>
      </c>
      <c r="I37" s="72">
        <f t="shared" si="0"/>
        <v>-9.5890740000000001</v>
      </c>
    </row>
    <row r="38" spans="1:9" x14ac:dyDescent="0.2">
      <c r="A38" s="142">
        <f>'Properties List'!A20</f>
        <v>1056</v>
      </c>
      <c r="B38" s="52" t="str">
        <f>'Properties List'!B20</f>
        <v>Park View at Ashland Terrace</v>
      </c>
      <c r="C38" s="103" t="s">
        <v>69</v>
      </c>
      <c r="D38" s="66">
        <v>70372</v>
      </c>
      <c r="E38" s="104" t="s">
        <v>88</v>
      </c>
      <c r="F38" s="82">
        <v>1E-4</v>
      </c>
      <c r="G38" s="67" t="s">
        <v>105</v>
      </c>
      <c r="H38" s="72">
        <f>IncStmt!T35</f>
        <v>-93345.02999999997</v>
      </c>
      <c r="I38" s="72">
        <f t="shared" si="0"/>
        <v>-9.334502999999998</v>
      </c>
    </row>
    <row r="39" spans="1:9" x14ac:dyDescent="0.2">
      <c r="A39" s="142">
        <f>'Properties List'!A21</f>
        <v>1006</v>
      </c>
      <c r="B39" s="52" t="str">
        <f>'Properties List'!B21</f>
        <v>Park View at Catonsville</v>
      </c>
      <c r="C39" s="103" t="s">
        <v>69</v>
      </c>
      <c r="D39" s="66">
        <v>70340</v>
      </c>
      <c r="E39" s="104" t="s">
        <v>89</v>
      </c>
      <c r="F39" s="82">
        <v>1E-4</v>
      </c>
      <c r="G39" s="67" t="s">
        <v>105</v>
      </c>
      <c r="H39" s="72">
        <f>IncStmt!U35</f>
        <v>66092.200000000012</v>
      </c>
      <c r="I39" s="72">
        <f t="shared" si="0"/>
        <v>6.6092200000000014</v>
      </c>
    </row>
    <row r="40" spans="1:9" x14ac:dyDescent="0.2">
      <c r="A40" s="142">
        <f>'Properties List'!A22</f>
        <v>1066</v>
      </c>
      <c r="B40" s="52" t="str">
        <f>'Properties List'!B22</f>
        <v>Park View at Fullerton</v>
      </c>
      <c r="C40" s="103" t="s">
        <v>69</v>
      </c>
      <c r="D40" s="66">
        <v>70371</v>
      </c>
      <c r="E40" s="106" t="s">
        <v>90</v>
      </c>
      <c r="F40" s="82">
        <v>1E-4</v>
      </c>
      <c r="G40" s="67" t="s">
        <v>105</v>
      </c>
      <c r="H40" s="72">
        <f>IncStmt!V35</f>
        <v>-31567.909999999974</v>
      </c>
      <c r="I40" s="72">
        <f t="shared" si="0"/>
        <v>-3.1567909999999975</v>
      </c>
    </row>
    <row r="41" spans="1:9" x14ac:dyDescent="0.2">
      <c r="A41" s="142">
        <f>'Properties List'!A23</f>
        <v>1064</v>
      </c>
      <c r="B41" s="52" t="str">
        <f>'Properties List'!B23</f>
        <v>Park View at Randallstown</v>
      </c>
      <c r="C41" s="103" t="s">
        <v>69</v>
      </c>
      <c r="D41" s="66">
        <v>70377</v>
      </c>
      <c r="E41" s="104" t="s">
        <v>91</v>
      </c>
      <c r="F41" s="82">
        <v>1E-4</v>
      </c>
      <c r="G41" s="67" t="s">
        <v>105</v>
      </c>
      <c r="H41" s="72">
        <f>IncStmt!W35</f>
        <v>5744.8899999999558</v>
      </c>
      <c r="I41" s="72">
        <f t="shared" si="0"/>
        <v>0.57448899999999559</v>
      </c>
    </row>
    <row r="42" spans="1:9" x14ac:dyDescent="0.2">
      <c r="A42" s="142">
        <f>'Properties List'!A24</f>
        <v>1065</v>
      </c>
      <c r="B42" s="52" t="str">
        <f>'Properties List'!B24</f>
        <v>Park View at Rosedale</v>
      </c>
      <c r="C42" s="103" t="s">
        <v>69</v>
      </c>
      <c r="D42" s="66">
        <v>70378</v>
      </c>
      <c r="E42" s="104" t="s">
        <v>92</v>
      </c>
      <c r="F42" s="82">
        <v>1E-4</v>
      </c>
      <c r="G42" s="67" t="s">
        <v>105</v>
      </c>
      <c r="H42" s="72">
        <f>IncStmt!X35</f>
        <v>13708.650000000023</v>
      </c>
      <c r="I42" s="72">
        <f t="shared" si="0"/>
        <v>1.3708650000000024</v>
      </c>
    </row>
    <row r="43" spans="1:9" x14ac:dyDescent="0.2">
      <c r="A43" s="142">
        <v>1054</v>
      </c>
      <c r="B43" s="52" t="str">
        <f>'Properties List'!B35</f>
        <v>Westbrook Commons</v>
      </c>
      <c r="C43" s="103" t="s">
        <v>69</v>
      </c>
      <c r="D43" s="66">
        <v>70349</v>
      </c>
      <c r="E43" s="104" t="s">
        <v>93</v>
      </c>
      <c r="F43" s="82">
        <v>1E-4</v>
      </c>
      <c r="G43" s="67" t="s">
        <v>105</v>
      </c>
      <c r="H43" s="72">
        <f>IncStmt!Y35</f>
        <v>-125922.44000000018</v>
      </c>
      <c r="I43" s="72">
        <f t="shared" si="0"/>
        <v>-12.592244000000019</v>
      </c>
    </row>
    <row r="44" spans="1:9" x14ac:dyDescent="0.2">
      <c r="A44" s="142">
        <f>'Properties List'!A25</f>
        <v>1026</v>
      </c>
      <c r="B44" s="52" t="str">
        <f>'Properties List'!B25</f>
        <v>Park View at Snowden River</v>
      </c>
      <c r="C44" s="103" t="s">
        <v>69</v>
      </c>
      <c r="D44" s="66">
        <v>70362</v>
      </c>
      <c r="E44" s="104" t="s">
        <v>94</v>
      </c>
      <c r="F44" s="82">
        <v>1E-4</v>
      </c>
      <c r="G44" s="67" t="s">
        <v>105</v>
      </c>
      <c r="H44" s="72">
        <f>IncStmt!Z35</f>
        <v>-23184.830000000016</v>
      </c>
      <c r="I44" s="72">
        <f t="shared" si="0"/>
        <v>-2.3184830000000018</v>
      </c>
    </row>
    <row r="45" spans="1:9" x14ac:dyDescent="0.2">
      <c r="A45" s="142">
        <f>'Properties List'!A31</f>
        <v>1050</v>
      </c>
      <c r="B45" s="52" t="str">
        <f>'Properties List'!B31</f>
        <v>Park View at Miramar Landing</v>
      </c>
      <c r="C45" s="103" t="s">
        <v>69</v>
      </c>
      <c r="D45" s="66">
        <v>70376</v>
      </c>
      <c r="E45" s="104" t="s">
        <v>95</v>
      </c>
      <c r="F45" s="82">
        <v>9.5000000000000005E-5</v>
      </c>
      <c r="G45" s="67" t="s">
        <v>105</v>
      </c>
      <c r="H45" s="72">
        <f>IncStmt!AA35</f>
        <v>5582.0100000000093</v>
      </c>
      <c r="I45" s="72">
        <f t="shared" si="0"/>
        <v>0.53029095000000093</v>
      </c>
    </row>
    <row r="46" spans="1:9" x14ac:dyDescent="0.2">
      <c r="A46" s="142">
        <f>'Properties List'!A32</f>
        <v>1044</v>
      </c>
      <c r="B46" s="52" t="str">
        <f>'Properties List'!B32</f>
        <v>Park View at Severna Park</v>
      </c>
      <c r="C46" s="103" t="s">
        <v>69</v>
      </c>
      <c r="D46" s="66">
        <v>70369</v>
      </c>
      <c r="E46" s="105" t="s">
        <v>96</v>
      </c>
      <c r="F46" s="82">
        <v>9.001E-5</v>
      </c>
      <c r="G46" s="67" t="s">
        <v>105</v>
      </c>
      <c r="H46" s="72">
        <f>IncStmt!AB35</f>
        <v>-104717.13999999996</v>
      </c>
      <c r="I46" s="72">
        <f t="shared" si="0"/>
        <v>-9.4255897713999968</v>
      </c>
    </row>
    <row r="47" spans="1:9" x14ac:dyDescent="0.2">
      <c r="A47" s="142">
        <f>'Properties List'!A26</f>
        <v>1055</v>
      </c>
      <c r="B47" s="52" t="str">
        <f>'Properties List'!B26</f>
        <v>Highland Commons</v>
      </c>
      <c r="C47" s="103" t="s">
        <v>69</v>
      </c>
      <c r="D47" s="66">
        <v>70382</v>
      </c>
      <c r="E47" s="105" t="s">
        <v>97</v>
      </c>
      <c r="F47" s="82">
        <v>9.2499999999999999E-5</v>
      </c>
      <c r="G47" s="67" t="s">
        <v>105</v>
      </c>
      <c r="H47" s="72">
        <f>IncStmt!AC35</f>
        <v>-70473.800000000047</v>
      </c>
      <c r="I47" s="72">
        <f t="shared" si="0"/>
        <v>-6.5188265000000039</v>
      </c>
    </row>
    <row r="48" spans="1:9" x14ac:dyDescent="0.2">
      <c r="A48" s="142">
        <f>'Properties List'!A29</f>
        <v>1014</v>
      </c>
      <c r="B48" s="52" t="str">
        <f>'Properties List'!B29</f>
        <v>Park View at Emerson</v>
      </c>
      <c r="C48" s="103" t="s">
        <v>69</v>
      </c>
      <c r="D48" s="66">
        <v>70357</v>
      </c>
      <c r="E48" s="105" t="s">
        <v>98</v>
      </c>
      <c r="F48" s="82">
        <v>9.001E-5</v>
      </c>
      <c r="G48" s="67" t="s">
        <v>105</v>
      </c>
      <c r="H48" s="72">
        <f>IncStmt!AD35</f>
        <v>-79184.079999999958</v>
      </c>
      <c r="I48" s="72">
        <f t="shared" si="0"/>
        <v>-7.1273590407999965</v>
      </c>
    </row>
    <row r="49" spans="1:9" x14ac:dyDescent="0.2">
      <c r="A49" s="142">
        <f>'Properties List'!A33</f>
        <v>1052</v>
      </c>
      <c r="B49" s="52" t="str">
        <f>'Properties List'!B33</f>
        <v>Park View at South Pantops</v>
      </c>
      <c r="C49" s="103" t="s">
        <v>69</v>
      </c>
      <c r="D49" s="66">
        <v>70341</v>
      </c>
      <c r="E49" s="105" t="s">
        <v>99</v>
      </c>
      <c r="F49" s="82">
        <v>8.5000000000000006E-5</v>
      </c>
      <c r="G49" s="67" t="s">
        <v>105</v>
      </c>
      <c r="H49" s="72">
        <f>IncStmt!AE35</f>
        <v>33490.429999999993</v>
      </c>
      <c r="I49" s="72">
        <f t="shared" si="0"/>
        <v>2.8466865499999998</v>
      </c>
    </row>
    <row r="50" spans="1:9" x14ac:dyDescent="0.2">
      <c r="A50" s="142">
        <f>'Properties List'!A36</f>
        <v>1035</v>
      </c>
      <c r="B50" s="52" t="str">
        <f>'Properties List'!B36</f>
        <v>York Commons</v>
      </c>
      <c r="C50" s="103" t="s">
        <v>69</v>
      </c>
      <c r="D50" s="66">
        <v>70345</v>
      </c>
      <c r="E50" s="105" t="s">
        <v>100</v>
      </c>
      <c r="F50" s="82">
        <v>6.9999999999999994E-5</v>
      </c>
      <c r="G50" s="67" t="s">
        <v>105</v>
      </c>
      <c r="H50" s="72">
        <f>IncStmt!AF35</f>
        <v>-78610.830000000016</v>
      </c>
      <c r="I50" s="72">
        <f t="shared" si="0"/>
        <v>-5.5027581000000003</v>
      </c>
    </row>
    <row r="51" spans="1:9" x14ac:dyDescent="0.2">
      <c r="A51" s="142">
        <f>'Properties List'!A34</f>
        <v>1059</v>
      </c>
      <c r="B51" s="52" t="str">
        <f>'Properties List'!B34</f>
        <v>Park View at Towson</v>
      </c>
      <c r="C51" s="103" t="s">
        <v>69</v>
      </c>
      <c r="D51" s="66">
        <v>70379</v>
      </c>
      <c r="E51" s="105" t="s">
        <v>101</v>
      </c>
      <c r="F51" s="82">
        <v>9.4000000000000008E-5</v>
      </c>
      <c r="G51" s="67" t="s">
        <v>105</v>
      </c>
      <c r="H51" s="72">
        <f>IncStmt!AG35</f>
        <v>87434.62</v>
      </c>
      <c r="I51" s="72">
        <f t="shared" si="0"/>
        <v>8.2188542800000004</v>
      </c>
    </row>
    <row r="52" spans="1:9" x14ac:dyDescent="0.2">
      <c r="A52" s="142">
        <v>1018</v>
      </c>
      <c r="B52" s="52" t="str">
        <f>'Properties List'!B28</f>
        <v>Park View at Columbia</v>
      </c>
      <c r="C52" s="103" t="s">
        <v>69</v>
      </c>
      <c r="D52" s="66">
        <v>70363</v>
      </c>
      <c r="E52" s="105" t="s">
        <v>102</v>
      </c>
      <c r="F52" s="82">
        <v>9.1000000000000003E-5</v>
      </c>
      <c r="G52" s="67" t="s">
        <v>105</v>
      </c>
      <c r="H52" s="72">
        <f>IncStmt!AH35</f>
        <v>42877.549999999988</v>
      </c>
      <c r="I52" s="72">
        <f t="shared" si="0"/>
        <v>3.9018570499999989</v>
      </c>
    </row>
    <row r="53" spans="1:9" x14ac:dyDescent="0.2">
      <c r="A53" s="142">
        <f>'Properties List'!A27</f>
        <v>1049</v>
      </c>
      <c r="B53" s="52" t="str">
        <f>'Properties List'!B27</f>
        <v>Park View at Cheltenham</v>
      </c>
      <c r="C53" s="103" t="s">
        <v>69</v>
      </c>
      <c r="D53" s="66">
        <v>70347</v>
      </c>
      <c r="E53" s="105" t="s">
        <v>103</v>
      </c>
      <c r="F53" s="82">
        <v>6.9999999999999994E-5</v>
      </c>
      <c r="G53" s="67" t="s">
        <v>105</v>
      </c>
      <c r="H53" s="72">
        <f>IncStmt!AI35</f>
        <v>-53569.890000000014</v>
      </c>
      <c r="I53" s="72">
        <f t="shared" si="0"/>
        <v>-3.7498923000000008</v>
      </c>
    </row>
    <row r="54" spans="1:9" x14ac:dyDescent="0.2">
      <c r="A54" s="142">
        <f>'Properties List'!A30</f>
        <v>1040</v>
      </c>
      <c r="B54" s="52" t="str">
        <f>'Properties List'!B30</f>
        <v>Park View at Laurel I</v>
      </c>
      <c r="C54" s="103" t="s">
        <v>69</v>
      </c>
      <c r="D54" s="66">
        <v>70354</v>
      </c>
      <c r="E54" s="105" t="s">
        <v>104</v>
      </c>
      <c r="F54" s="82">
        <v>9.001E-5</v>
      </c>
      <c r="G54" s="67" t="s">
        <v>105</v>
      </c>
      <c r="H54" s="148">
        <f>IncStmt!AJ35</f>
        <v>19749.960000000079</v>
      </c>
      <c r="I54" s="72">
        <f t="shared" si="0"/>
        <v>1.7776938996000071</v>
      </c>
    </row>
    <row r="55" spans="1:9" ht="13.5" thickBot="1" x14ac:dyDescent="0.25">
      <c r="C55" s="66"/>
      <c r="D55" s="66"/>
      <c r="E55" s="78"/>
      <c r="F55" s="82"/>
      <c r="G55" s="67"/>
      <c r="H55" s="149">
        <f>SUM(H20:H54)</f>
        <v>-2850356.3200000003</v>
      </c>
      <c r="I55" s="149">
        <f>SUM(I20:I54)</f>
        <v>-2364712.3442579834</v>
      </c>
    </row>
    <row r="56" spans="1:9" ht="13.5" thickTop="1" x14ac:dyDescent="0.2">
      <c r="C56" s="66"/>
      <c r="D56" s="66"/>
      <c r="E56" s="78"/>
      <c r="F56" s="82"/>
      <c r="G56" s="67"/>
      <c r="H56" s="72"/>
      <c r="I56" s="72"/>
    </row>
    <row r="57" spans="1:9" x14ac:dyDescent="0.2">
      <c r="C57" s="66"/>
      <c r="D57" s="66"/>
      <c r="E57" s="78"/>
      <c r="F57" s="82"/>
      <c r="G57" s="67"/>
      <c r="H57" s="72"/>
      <c r="I57" s="72"/>
    </row>
    <row r="58" spans="1:9" x14ac:dyDescent="0.2">
      <c r="C58" s="66"/>
      <c r="D58" s="66"/>
      <c r="E58" s="78"/>
      <c r="F58" s="82"/>
      <c r="G58" s="67"/>
      <c r="H58" s="72"/>
      <c r="I58" s="72"/>
    </row>
    <row r="59" spans="1:9" x14ac:dyDescent="0.2">
      <c r="C59" s="66"/>
      <c r="D59" s="66"/>
      <c r="E59" s="78"/>
      <c r="F59" s="82"/>
      <c r="G59" s="67"/>
      <c r="H59" s="72"/>
      <c r="I59" s="72"/>
    </row>
    <row r="60" spans="1:9" x14ac:dyDescent="0.2">
      <c r="C60" s="66"/>
      <c r="D60" s="66"/>
      <c r="E60" s="78"/>
      <c r="F60" s="82"/>
      <c r="G60" s="67"/>
      <c r="H60" s="72"/>
      <c r="I60" s="72"/>
    </row>
    <row r="61" spans="1:9" x14ac:dyDescent="0.2">
      <c r="C61" s="66"/>
      <c r="D61" s="66"/>
      <c r="E61" s="78"/>
      <c r="F61" s="82"/>
      <c r="G61" s="67"/>
      <c r="H61" s="72"/>
      <c r="I61" s="72"/>
    </row>
    <row r="62" spans="1:9" x14ac:dyDescent="0.2">
      <c r="C62" s="66"/>
      <c r="D62" s="66"/>
      <c r="E62" s="78"/>
      <c r="F62" s="82"/>
      <c r="G62" s="67"/>
      <c r="H62" s="72"/>
      <c r="I62" s="72"/>
    </row>
    <row r="63" spans="1:9" x14ac:dyDescent="0.2">
      <c r="C63" s="66"/>
      <c r="D63" s="66"/>
      <c r="E63" s="78"/>
      <c r="F63" s="82"/>
      <c r="G63" s="67"/>
      <c r="H63" s="72"/>
      <c r="I63" s="72"/>
    </row>
    <row r="64" spans="1:9" x14ac:dyDescent="0.2">
      <c r="C64" s="66"/>
      <c r="D64" s="66"/>
      <c r="E64" s="78"/>
      <c r="F64" s="82"/>
      <c r="G64" s="67"/>
      <c r="H64" s="72"/>
      <c r="I64" s="72"/>
    </row>
    <row r="65" spans="3:9" x14ac:dyDescent="0.2">
      <c r="C65" s="66"/>
      <c r="D65" s="66"/>
      <c r="E65" s="78"/>
      <c r="F65" s="82"/>
      <c r="G65" s="67"/>
      <c r="H65" s="72"/>
      <c r="I65" s="72"/>
    </row>
    <row r="66" spans="3:9" x14ac:dyDescent="0.2">
      <c r="C66" s="66"/>
      <c r="D66" s="66"/>
      <c r="E66" s="78"/>
      <c r="F66" s="82"/>
      <c r="G66" s="67"/>
      <c r="H66" s="72"/>
      <c r="I66" s="72"/>
    </row>
    <row r="67" spans="3:9" x14ac:dyDescent="0.2">
      <c r="C67" s="66"/>
      <c r="D67" s="66"/>
      <c r="E67" s="78"/>
      <c r="F67" s="82"/>
      <c r="G67" s="67"/>
      <c r="H67" s="72"/>
      <c r="I67" s="72"/>
    </row>
    <row r="68" spans="3:9" x14ac:dyDescent="0.2">
      <c r="C68" s="66"/>
      <c r="D68" s="66"/>
      <c r="E68" s="78"/>
      <c r="F68" s="82"/>
      <c r="G68" s="67"/>
      <c r="H68" s="72"/>
      <c r="I68" s="72"/>
    </row>
    <row r="69" spans="3:9" x14ac:dyDescent="0.2">
      <c r="C69" s="66"/>
      <c r="D69" s="66"/>
      <c r="E69" s="78"/>
      <c r="F69" s="82"/>
      <c r="G69" s="67"/>
      <c r="H69" s="72"/>
      <c r="I69" s="72"/>
    </row>
    <row r="70" spans="3:9" x14ac:dyDescent="0.2">
      <c r="C70" s="66"/>
      <c r="D70" s="66"/>
      <c r="E70" s="78"/>
      <c r="F70" s="82"/>
      <c r="G70" s="67"/>
      <c r="H70" s="72"/>
      <c r="I70" s="72"/>
    </row>
    <row r="71" spans="3:9" x14ac:dyDescent="0.2">
      <c r="C71" s="66"/>
      <c r="D71" s="66"/>
      <c r="E71" s="78"/>
      <c r="F71" s="82"/>
      <c r="G71" s="67"/>
      <c r="H71" s="72"/>
      <c r="I71" s="72"/>
    </row>
    <row r="72" spans="3:9" x14ac:dyDescent="0.2">
      <c r="C72" s="66"/>
      <c r="D72" s="66"/>
      <c r="E72" s="78"/>
      <c r="F72" s="82"/>
      <c r="G72" s="67"/>
      <c r="H72" s="72"/>
      <c r="I72" s="72"/>
    </row>
    <row r="73" spans="3:9" x14ac:dyDescent="0.2">
      <c r="C73" s="66"/>
      <c r="D73" s="66"/>
      <c r="E73" s="78"/>
      <c r="F73" s="82"/>
      <c r="G73" s="67"/>
      <c r="H73" s="72"/>
      <c r="I73" s="72"/>
    </row>
    <row r="74" spans="3:9" x14ac:dyDescent="0.2">
      <c r="C74" s="66"/>
      <c r="D74" s="66"/>
      <c r="E74" s="78"/>
      <c r="F74" s="82"/>
      <c r="G74" s="67"/>
      <c r="H74" s="72"/>
      <c r="I74" s="72"/>
    </row>
    <row r="75" spans="3:9" x14ac:dyDescent="0.2">
      <c r="C75" s="66"/>
      <c r="D75" s="66"/>
      <c r="E75" s="78"/>
      <c r="F75" s="82"/>
      <c r="G75" s="67"/>
      <c r="H75" s="72"/>
      <c r="I75" s="72"/>
    </row>
    <row r="76" spans="3:9" x14ac:dyDescent="0.2">
      <c r="C76" s="66"/>
      <c r="D76" s="66"/>
      <c r="E76" s="78"/>
      <c r="F76" s="82"/>
      <c r="G76" s="67"/>
      <c r="H76" s="72"/>
      <c r="I76" s="72"/>
    </row>
    <row r="77" spans="3:9" x14ac:dyDescent="0.2">
      <c r="C77" s="66"/>
      <c r="D77" s="66"/>
      <c r="E77" s="78"/>
      <c r="F77" s="82"/>
      <c r="G77" s="67"/>
      <c r="H77" s="72"/>
      <c r="I77" s="72"/>
    </row>
    <row r="78" spans="3:9" x14ac:dyDescent="0.2">
      <c r="C78" s="66"/>
      <c r="D78" s="66"/>
      <c r="E78" s="78"/>
      <c r="F78" s="82"/>
      <c r="G78" s="67"/>
      <c r="H78" s="72"/>
      <c r="I78" s="72"/>
    </row>
    <row r="79" spans="3:9" x14ac:dyDescent="0.2">
      <c r="C79" s="66"/>
      <c r="D79" s="66"/>
      <c r="E79" s="78"/>
      <c r="F79" s="82"/>
      <c r="G79" s="67"/>
      <c r="H79" s="72"/>
      <c r="I79" s="72"/>
    </row>
    <row r="80" spans="3:9" x14ac:dyDescent="0.2">
      <c r="C80" s="66"/>
      <c r="D80" s="66"/>
      <c r="E80" s="78"/>
      <c r="F80" s="82"/>
      <c r="G80" s="67"/>
      <c r="H80" s="72"/>
      <c r="I80" s="72"/>
    </row>
    <row r="81" spans="3:9" x14ac:dyDescent="0.2">
      <c r="C81" s="66"/>
      <c r="D81" s="66"/>
      <c r="E81" s="78"/>
      <c r="F81" s="82"/>
      <c r="G81" s="67"/>
      <c r="H81" s="72"/>
      <c r="I81" s="72"/>
    </row>
    <row r="82" spans="3:9" x14ac:dyDescent="0.2">
      <c r="C82" s="66"/>
      <c r="D82" s="66"/>
      <c r="E82" s="78"/>
      <c r="F82" s="82"/>
      <c r="G82" s="67"/>
      <c r="H82" s="72"/>
      <c r="I82" s="72"/>
    </row>
    <row r="83" spans="3:9" x14ac:dyDescent="0.2">
      <c r="C83" s="66"/>
      <c r="D83" s="66"/>
      <c r="E83" s="78"/>
      <c r="F83" s="82"/>
      <c r="G83" s="67"/>
      <c r="H83" s="72"/>
      <c r="I83" s="72"/>
    </row>
    <row r="84" spans="3:9" x14ac:dyDescent="0.2">
      <c r="C84" s="66"/>
      <c r="D84" s="66"/>
      <c r="E84" s="78"/>
      <c r="F84" s="82"/>
      <c r="G84" s="67"/>
      <c r="H84" s="72"/>
      <c r="I84" s="72"/>
    </row>
    <row r="85" spans="3:9" x14ac:dyDescent="0.2">
      <c r="C85" s="66"/>
      <c r="D85" s="66"/>
      <c r="E85" s="78"/>
      <c r="F85" s="82"/>
      <c r="G85" s="67"/>
      <c r="H85" s="72"/>
      <c r="I85" s="72"/>
    </row>
    <row r="86" spans="3:9" x14ac:dyDescent="0.2">
      <c r="C86" s="66"/>
      <c r="D86" s="66"/>
      <c r="E86" s="78"/>
      <c r="F86" s="82"/>
      <c r="G86" s="67"/>
      <c r="H86" s="72"/>
      <c r="I86" s="72"/>
    </row>
    <row r="87" spans="3:9" x14ac:dyDescent="0.2">
      <c r="C87" s="66"/>
      <c r="D87" s="66"/>
      <c r="E87" s="78"/>
      <c r="F87" s="82"/>
      <c r="G87" s="67"/>
      <c r="H87" s="72"/>
      <c r="I87" s="72"/>
    </row>
    <row r="88" spans="3:9" x14ac:dyDescent="0.2">
      <c r="C88" s="66"/>
      <c r="D88" s="66"/>
      <c r="E88" s="78"/>
      <c r="F88" s="82"/>
      <c r="G88" s="67"/>
      <c r="H88" s="72"/>
      <c r="I88" s="72"/>
    </row>
    <row r="89" spans="3:9" x14ac:dyDescent="0.2">
      <c r="C89" s="66"/>
      <c r="D89" s="66"/>
      <c r="E89" s="78"/>
      <c r="F89" s="82"/>
      <c r="G89" s="67"/>
      <c r="H89" s="72"/>
      <c r="I89" s="72"/>
    </row>
    <row r="90" spans="3:9" x14ac:dyDescent="0.2">
      <c r="C90" s="66"/>
      <c r="D90" s="66"/>
      <c r="E90" s="78"/>
      <c r="F90" s="82"/>
      <c r="G90" s="67"/>
      <c r="H90" s="72"/>
      <c r="I90" s="72"/>
    </row>
    <row r="91" spans="3:9" x14ac:dyDescent="0.2">
      <c r="C91" s="66"/>
      <c r="D91" s="66"/>
      <c r="E91" s="78"/>
      <c r="F91" s="82"/>
      <c r="G91" s="67"/>
      <c r="H91" s="72"/>
      <c r="I91" s="72"/>
    </row>
    <row r="92" spans="3:9" x14ac:dyDescent="0.2">
      <c r="C92" s="66"/>
      <c r="D92" s="66"/>
      <c r="E92" s="78"/>
      <c r="F92" s="82"/>
      <c r="G92" s="67"/>
      <c r="H92" s="72"/>
      <c r="I92" s="72"/>
    </row>
    <row r="93" spans="3:9" x14ac:dyDescent="0.2">
      <c r="C93" s="66"/>
      <c r="D93" s="66"/>
      <c r="E93" s="78"/>
      <c r="F93" s="82"/>
      <c r="G93" s="67"/>
      <c r="H93" s="72"/>
      <c r="I93" s="72"/>
    </row>
    <row r="94" spans="3:9" x14ac:dyDescent="0.2">
      <c r="C94" s="66"/>
      <c r="D94" s="66"/>
      <c r="E94" s="78"/>
      <c r="F94" s="82"/>
      <c r="G94" s="67"/>
      <c r="H94" s="72"/>
      <c r="I94" s="72"/>
    </row>
    <row r="95" spans="3:9" x14ac:dyDescent="0.2">
      <c r="C95" s="66"/>
      <c r="D95" s="66"/>
      <c r="E95" s="78"/>
      <c r="F95" s="82"/>
      <c r="G95" s="67"/>
      <c r="H95" s="72"/>
      <c r="I95" s="72"/>
    </row>
    <row r="96" spans="3:9" x14ac:dyDescent="0.2">
      <c r="C96" s="66"/>
      <c r="D96" s="66"/>
      <c r="E96" s="78"/>
      <c r="F96" s="82"/>
      <c r="G96" s="67"/>
      <c r="H96" s="72"/>
      <c r="I96" s="72"/>
    </row>
    <row r="97" spans="3:9" x14ac:dyDescent="0.2">
      <c r="C97" s="66"/>
      <c r="D97" s="66"/>
      <c r="E97" s="78"/>
      <c r="F97" s="82"/>
      <c r="G97" s="67"/>
      <c r="H97" s="72"/>
      <c r="I97" s="72"/>
    </row>
    <row r="98" spans="3:9" x14ac:dyDescent="0.2">
      <c r="C98" s="66"/>
      <c r="D98" s="66"/>
      <c r="E98" s="78"/>
      <c r="F98" s="82"/>
      <c r="G98" s="67"/>
      <c r="H98" s="72"/>
      <c r="I98" s="72"/>
    </row>
    <row r="99" spans="3:9" x14ac:dyDescent="0.2">
      <c r="C99" s="66"/>
      <c r="D99" s="66"/>
      <c r="E99" s="78"/>
      <c r="F99" s="82"/>
      <c r="G99" s="67"/>
      <c r="H99" s="72"/>
      <c r="I99" s="72"/>
    </row>
    <row r="100" spans="3:9" x14ac:dyDescent="0.2">
      <c r="C100" s="66"/>
      <c r="D100" s="66"/>
      <c r="E100" s="78"/>
      <c r="F100" s="82"/>
      <c r="G100" s="67"/>
      <c r="H100" s="72"/>
      <c r="I100" s="72"/>
    </row>
    <row r="101" spans="3:9" x14ac:dyDescent="0.2">
      <c r="C101" s="66"/>
      <c r="D101" s="66"/>
      <c r="E101" s="78"/>
      <c r="F101" s="82"/>
      <c r="G101" s="67"/>
      <c r="H101" s="72"/>
      <c r="I101" s="72"/>
    </row>
    <row r="102" spans="3:9" x14ac:dyDescent="0.2">
      <c r="C102" s="66"/>
      <c r="D102" s="66"/>
      <c r="E102" s="78"/>
      <c r="F102" s="82"/>
      <c r="G102" s="67"/>
      <c r="H102" s="72"/>
      <c r="I102" s="72"/>
    </row>
    <row r="103" spans="3:9" x14ac:dyDescent="0.2">
      <c r="C103" s="66"/>
      <c r="D103" s="66"/>
      <c r="E103" s="78"/>
      <c r="F103" s="82"/>
      <c r="G103" s="67"/>
      <c r="H103" s="72"/>
      <c r="I103" s="72"/>
    </row>
    <row r="104" spans="3:9" x14ac:dyDescent="0.2">
      <c r="C104" s="66"/>
      <c r="D104" s="66"/>
      <c r="E104" s="78"/>
      <c r="F104" s="82"/>
      <c r="G104" s="67"/>
      <c r="H104" s="72"/>
      <c r="I104" s="72"/>
    </row>
    <row r="105" spans="3:9" x14ac:dyDescent="0.2">
      <c r="C105" s="66"/>
      <c r="D105" s="66"/>
      <c r="E105" s="78"/>
      <c r="F105" s="82"/>
      <c r="G105" s="67"/>
      <c r="H105" s="72"/>
      <c r="I105" s="72"/>
    </row>
    <row r="106" spans="3:9" x14ac:dyDescent="0.2">
      <c r="C106" s="66"/>
      <c r="D106" s="66"/>
      <c r="E106" s="78"/>
      <c r="F106" s="82"/>
      <c r="G106" s="67"/>
      <c r="H106" s="72"/>
      <c r="I106" s="72"/>
    </row>
    <row r="107" spans="3:9" x14ac:dyDescent="0.2">
      <c r="C107" s="66"/>
      <c r="D107" s="66"/>
      <c r="E107" s="78"/>
      <c r="F107" s="82"/>
      <c r="G107" s="67"/>
      <c r="H107" s="72"/>
      <c r="I107" s="72"/>
    </row>
    <row r="108" spans="3:9" x14ac:dyDescent="0.2">
      <c r="C108" s="66"/>
      <c r="D108" s="66"/>
      <c r="E108" s="78"/>
      <c r="F108" s="82"/>
      <c r="G108" s="67"/>
      <c r="H108" s="72"/>
      <c r="I108" s="72"/>
    </row>
    <row r="109" spans="3:9" x14ac:dyDescent="0.2">
      <c r="C109" s="66"/>
      <c r="D109" s="66"/>
      <c r="E109" s="78"/>
      <c r="F109" s="82"/>
      <c r="G109" s="67"/>
      <c r="H109" s="72"/>
      <c r="I109" s="72"/>
    </row>
    <row r="110" spans="3:9" x14ac:dyDescent="0.2">
      <c r="C110" s="66"/>
      <c r="D110" s="66"/>
      <c r="E110" s="78"/>
      <c r="F110" s="82"/>
      <c r="G110" s="67"/>
      <c r="H110" s="72"/>
      <c r="I110" s="72"/>
    </row>
    <row r="111" spans="3:9" x14ac:dyDescent="0.2">
      <c r="C111" s="66"/>
      <c r="D111" s="66"/>
      <c r="E111" s="78"/>
      <c r="F111" s="82"/>
      <c r="G111" s="67"/>
      <c r="H111" s="72"/>
      <c r="I111" s="72"/>
    </row>
    <row r="112" spans="3:9" x14ac:dyDescent="0.2">
      <c r="C112" s="66"/>
      <c r="D112" s="66"/>
      <c r="E112" s="78"/>
      <c r="F112" s="82"/>
      <c r="G112" s="67"/>
      <c r="H112" s="72"/>
      <c r="I112" s="72"/>
    </row>
    <row r="113" spans="3:9" x14ac:dyDescent="0.2">
      <c r="C113" s="66"/>
      <c r="D113" s="66"/>
      <c r="E113" s="78"/>
      <c r="F113" s="82"/>
      <c r="G113" s="67"/>
      <c r="H113" s="72"/>
      <c r="I113" s="72"/>
    </row>
    <row r="114" spans="3:9" x14ac:dyDescent="0.2">
      <c r="C114" s="66"/>
      <c r="D114" s="66"/>
      <c r="E114" s="78"/>
      <c r="F114" s="82"/>
      <c r="G114" s="67"/>
      <c r="H114" s="72"/>
      <c r="I114" s="72"/>
    </row>
    <row r="115" spans="3:9" x14ac:dyDescent="0.2">
      <c r="C115" s="66"/>
      <c r="D115" s="66"/>
      <c r="E115" s="78"/>
      <c r="F115" s="82"/>
      <c r="G115" s="67"/>
      <c r="H115" s="72"/>
      <c r="I115" s="72"/>
    </row>
    <row r="116" spans="3:9" x14ac:dyDescent="0.2">
      <c r="C116" s="66"/>
      <c r="D116" s="66"/>
      <c r="E116" s="78"/>
      <c r="F116" s="82"/>
      <c r="G116" s="67"/>
      <c r="H116" s="72"/>
      <c r="I116" s="72"/>
    </row>
    <row r="117" spans="3:9" x14ac:dyDescent="0.2">
      <c r="C117" s="66"/>
      <c r="D117" s="66"/>
      <c r="E117" s="78"/>
      <c r="F117" s="82"/>
      <c r="G117" s="67"/>
      <c r="H117" s="72"/>
      <c r="I117" s="72"/>
    </row>
    <row r="118" spans="3:9" x14ac:dyDescent="0.2">
      <c r="C118" s="66"/>
      <c r="D118" s="66"/>
      <c r="E118" s="78"/>
      <c r="F118" s="82"/>
      <c r="G118" s="67"/>
      <c r="H118" s="72"/>
      <c r="I118" s="72"/>
    </row>
    <row r="119" spans="3:9" x14ac:dyDescent="0.2">
      <c r="C119" s="66"/>
      <c r="D119" s="66"/>
      <c r="E119" s="78"/>
      <c r="F119" s="82"/>
      <c r="G119" s="67"/>
      <c r="H119" s="72"/>
      <c r="I119" s="72"/>
    </row>
    <row r="120" spans="3:9" x14ac:dyDescent="0.2">
      <c r="C120" s="66"/>
      <c r="D120" s="66"/>
      <c r="E120" s="78"/>
      <c r="F120" s="82"/>
      <c r="G120" s="67"/>
      <c r="H120" s="72"/>
      <c r="I120" s="72"/>
    </row>
    <row r="121" spans="3:9" x14ac:dyDescent="0.2">
      <c r="C121" s="66"/>
      <c r="D121" s="66"/>
      <c r="E121" s="78"/>
      <c r="F121" s="82"/>
      <c r="G121" s="67"/>
      <c r="H121" s="72"/>
      <c r="I121" s="72"/>
    </row>
    <row r="122" spans="3:9" x14ac:dyDescent="0.2">
      <c r="C122" s="66"/>
      <c r="D122" s="66"/>
      <c r="E122" s="78"/>
      <c r="F122" s="82"/>
      <c r="G122" s="67"/>
      <c r="H122" s="72"/>
      <c r="I122" s="72"/>
    </row>
    <row r="123" spans="3:9" x14ac:dyDescent="0.2">
      <c r="C123" s="66"/>
      <c r="D123" s="66"/>
      <c r="E123" s="78"/>
      <c r="F123" s="82"/>
      <c r="G123" s="67"/>
      <c r="H123" s="72"/>
      <c r="I123" s="72"/>
    </row>
    <row r="124" spans="3:9" x14ac:dyDescent="0.2">
      <c r="C124" s="66"/>
      <c r="D124" s="66"/>
      <c r="E124" s="78"/>
      <c r="F124" s="82"/>
      <c r="G124" s="67"/>
      <c r="H124" s="72"/>
      <c r="I124" s="72"/>
    </row>
    <row r="125" spans="3:9" x14ac:dyDescent="0.2">
      <c r="C125" s="66"/>
      <c r="D125" s="66"/>
      <c r="E125" s="78"/>
      <c r="F125" s="82"/>
      <c r="G125" s="67"/>
      <c r="H125" s="72"/>
      <c r="I125" s="72"/>
    </row>
    <row r="126" spans="3:9" x14ac:dyDescent="0.2">
      <c r="C126" s="66"/>
      <c r="D126" s="66"/>
      <c r="E126" s="78"/>
      <c r="F126" s="82"/>
      <c r="G126" s="67"/>
      <c r="H126" s="72"/>
      <c r="I126" s="72"/>
    </row>
    <row r="127" spans="3:9" x14ac:dyDescent="0.2">
      <c r="C127" s="66"/>
      <c r="D127" s="66"/>
      <c r="E127" s="78"/>
      <c r="F127" s="82"/>
      <c r="G127" s="67"/>
      <c r="H127" s="72"/>
      <c r="I127" s="72"/>
    </row>
    <row r="128" spans="3:9" x14ac:dyDescent="0.2">
      <c r="C128" s="66"/>
      <c r="D128" s="66"/>
      <c r="E128" s="78"/>
      <c r="F128" s="82"/>
      <c r="G128" s="67"/>
      <c r="H128" s="72"/>
      <c r="I128" s="72"/>
    </row>
    <row r="129" spans="3:9" x14ac:dyDescent="0.2">
      <c r="C129" s="66"/>
      <c r="D129" s="66"/>
      <c r="E129" s="78"/>
      <c r="F129" s="82"/>
      <c r="G129" s="67"/>
      <c r="H129" s="72"/>
      <c r="I129" s="72"/>
    </row>
    <row r="130" spans="3:9" x14ac:dyDescent="0.2">
      <c r="C130" s="66"/>
      <c r="D130" s="66"/>
      <c r="E130" s="78"/>
      <c r="F130" s="82"/>
      <c r="G130" s="67"/>
      <c r="H130" s="72"/>
      <c r="I130" s="72"/>
    </row>
    <row r="131" spans="3:9" x14ac:dyDescent="0.2">
      <c r="C131" s="66"/>
      <c r="D131" s="66"/>
      <c r="E131" s="78"/>
      <c r="F131" s="82"/>
      <c r="G131" s="67"/>
      <c r="H131" s="72"/>
      <c r="I131" s="72"/>
    </row>
    <row r="132" spans="3:9" x14ac:dyDescent="0.2">
      <c r="C132" s="66"/>
      <c r="D132" s="66"/>
      <c r="E132" s="78"/>
      <c r="F132" s="82"/>
      <c r="G132" s="67"/>
      <c r="H132" s="72"/>
      <c r="I132" s="72"/>
    </row>
    <row r="133" spans="3:9" x14ac:dyDescent="0.2">
      <c r="C133" s="66"/>
      <c r="D133" s="66"/>
      <c r="E133" s="78"/>
      <c r="F133" s="82"/>
      <c r="G133" s="67"/>
      <c r="H133" s="72"/>
      <c r="I133" s="72"/>
    </row>
    <row r="134" spans="3:9" x14ac:dyDescent="0.2">
      <c r="C134" s="66"/>
      <c r="D134" s="66"/>
      <c r="E134" s="78"/>
      <c r="F134" s="82"/>
      <c r="G134" s="67"/>
      <c r="H134" s="72"/>
      <c r="I134" s="72"/>
    </row>
    <row r="135" spans="3:9" x14ac:dyDescent="0.2">
      <c r="C135" s="66"/>
      <c r="D135" s="66"/>
      <c r="E135" s="78"/>
      <c r="F135" s="82"/>
      <c r="G135" s="67"/>
      <c r="H135" s="72"/>
      <c r="I135" s="72"/>
    </row>
    <row r="136" spans="3:9" x14ac:dyDescent="0.2">
      <c r="C136" s="66"/>
      <c r="D136" s="66"/>
      <c r="E136" s="78"/>
      <c r="F136" s="82"/>
      <c r="G136" s="67"/>
      <c r="H136" s="72"/>
      <c r="I136" s="72"/>
    </row>
    <row r="137" spans="3:9" x14ac:dyDescent="0.2">
      <c r="C137" s="66"/>
      <c r="D137" s="66"/>
      <c r="E137" s="78"/>
      <c r="F137" s="82"/>
      <c r="G137" s="67"/>
      <c r="H137" s="72"/>
      <c r="I137" s="72"/>
    </row>
    <row r="138" spans="3:9" x14ac:dyDescent="0.2">
      <c r="C138" s="66"/>
      <c r="D138" s="66"/>
      <c r="E138" s="78"/>
      <c r="F138" s="82"/>
      <c r="G138" s="67"/>
      <c r="H138" s="72"/>
      <c r="I138" s="72"/>
    </row>
    <row r="139" spans="3:9" x14ac:dyDescent="0.2">
      <c r="C139" s="66"/>
      <c r="D139" s="66"/>
      <c r="E139" s="78"/>
      <c r="F139" s="82"/>
      <c r="G139" s="67"/>
      <c r="H139" s="72"/>
      <c r="I139" s="72"/>
    </row>
    <row r="140" spans="3:9" x14ac:dyDescent="0.2">
      <c r="C140" s="66"/>
      <c r="D140" s="66"/>
      <c r="E140" s="78"/>
      <c r="F140" s="82"/>
      <c r="G140" s="67"/>
      <c r="H140" s="72"/>
      <c r="I140" s="72"/>
    </row>
    <row r="141" spans="3:9" x14ac:dyDescent="0.2">
      <c r="C141" s="66"/>
      <c r="D141" s="66"/>
      <c r="E141" s="78"/>
      <c r="F141" s="82"/>
      <c r="G141" s="67"/>
      <c r="H141" s="72"/>
      <c r="I141" s="72"/>
    </row>
    <row r="142" spans="3:9" x14ac:dyDescent="0.2">
      <c r="C142" s="66"/>
      <c r="D142" s="66"/>
      <c r="E142" s="78"/>
      <c r="F142" s="82"/>
      <c r="G142" s="67"/>
      <c r="H142" s="72"/>
      <c r="I142" s="72"/>
    </row>
    <row r="143" spans="3:9" x14ac:dyDescent="0.2">
      <c r="C143" s="66"/>
      <c r="D143" s="66"/>
      <c r="E143" s="78"/>
      <c r="F143" s="82"/>
      <c r="G143" s="67"/>
      <c r="H143" s="72"/>
      <c r="I143" s="72"/>
    </row>
    <row r="144" spans="3:9" x14ac:dyDescent="0.2">
      <c r="C144" s="66"/>
      <c r="D144" s="66"/>
      <c r="E144" s="78"/>
      <c r="F144" s="82"/>
      <c r="G144" s="67"/>
      <c r="H144" s="72"/>
      <c r="I144" s="72"/>
    </row>
    <row r="145" spans="3:9" x14ac:dyDescent="0.2">
      <c r="C145" s="66"/>
      <c r="D145" s="66"/>
      <c r="E145" s="78"/>
      <c r="F145" s="82"/>
      <c r="G145" s="67"/>
      <c r="H145" s="72"/>
      <c r="I145" s="72"/>
    </row>
    <row r="146" spans="3:9" x14ac:dyDescent="0.2">
      <c r="C146" s="66"/>
      <c r="D146" s="66"/>
      <c r="E146" s="78"/>
      <c r="F146" s="82"/>
      <c r="G146" s="67"/>
      <c r="H146" s="72"/>
      <c r="I146" s="72"/>
    </row>
    <row r="147" spans="3:9" x14ac:dyDescent="0.2">
      <c r="C147" s="66"/>
      <c r="D147" s="66"/>
      <c r="E147" s="78"/>
      <c r="F147" s="82"/>
      <c r="G147" s="67"/>
      <c r="H147" s="72"/>
      <c r="I147" s="72"/>
    </row>
    <row r="148" spans="3:9" x14ac:dyDescent="0.2">
      <c r="C148" s="66"/>
      <c r="D148" s="66"/>
      <c r="E148" s="78"/>
      <c r="F148" s="82"/>
      <c r="G148" s="67"/>
      <c r="H148" s="72"/>
      <c r="I148" s="72"/>
    </row>
    <row r="149" spans="3:9" x14ac:dyDescent="0.2">
      <c r="C149" s="66"/>
      <c r="D149" s="66"/>
      <c r="E149" s="78"/>
      <c r="F149" s="82"/>
      <c r="G149" s="67"/>
      <c r="H149" s="72"/>
      <c r="I149" s="72"/>
    </row>
    <row r="150" spans="3:9" x14ac:dyDescent="0.2">
      <c r="C150" s="66"/>
      <c r="D150" s="66"/>
      <c r="E150" s="78"/>
      <c r="F150" s="82"/>
      <c r="G150" s="67"/>
      <c r="H150" s="72"/>
      <c r="I150" s="72"/>
    </row>
    <row r="151" spans="3:9" x14ac:dyDescent="0.2">
      <c r="C151" s="66"/>
      <c r="D151" s="66"/>
      <c r="E151" s="78"/>
      <c r="F151" s="82"/>
      <c r="G151" s="67"/>
      <c r="H151" s="72"/>
      <c r="I151" s="72"/>
    </row>
    <row r="152" spans="3:9" x14ac:dyDescent="0.2">
      <c r="C152" s="66"/>
      <c r="D152" s="66"/>
      <c r="E152" s="78"/>
      <c r="F152" s="82"/>
      <c r="G152" s="67"/>
      <c r="H152" s="72"/>
      <c r="I152" s="72"/>
    </row>
    <row r="153" spans="3:9" x14ac:dyDescent="0.2">
      <c r="C153" s="66"/>
      <c r="D153" s="66"/>
      <c r="E153" s="78"/>
      <c r="F153" s="82"/>
      <c r="G153" s="67"/>
      <c r="H153" s="72"/>
      <c r="I153" s="72"/>
    </row>
    <row r="154" spans="3:9" x14ac:dyDescent="0.2">
      <c r="C154" s="66"/>
      <c r="D154" s="66"/>
      <c r="E154" s="78"/>
      <c r="F154" s="82"/>
      <c r="G154" s="67"/>
      <c r="H154" s="72"/>
      <c r="I154" s="72"/>
    </row>
    <row r="155" spans="3:9" x14ac:dyDescent="0.2">
      <c r="C155" s="66"/>
      <c r="D155" s="66"/>
      <c r="E155" s="78"/>
      <c r="F155" s="82"/>
      <c r="G155" s="67"/>
      <c r="H155" s="72"/>
      <c r="I155" s="72"/>
    </row>
    <row r="156" spans="3:9" x14ac:dyDescent="0.2">
      <c r="C156" s="66"/>
      <c r="D156" s="66"/>
      <c r="E156" s="78"/>
      <c r="F156" s="82"/>
      <c r="G156" s="67"/>
      <c r="H156" s="72"/>
      <c r="I156" s="72"/>
    </row>
    <row r="157" spans="3:9" x14ac:dyDescent="0.2">
      <c r="C157" s="66"/>
      <c r="D157" s="66"/>
      <c r="E157" s="78"/>
      <c r="F157" s="82"/>
      <c r="G157" s="67"/>
      <c r="H157" s="72"/>
      <c r="I157" s="72"/>
    </row>
    <row r="158" spans="3:9" x14ac:dyDescent="0.2">
      <c r="C158" s="66"/>
      <c r="D158" s="66"/>
      <c r="E158" s="78"/>
      <c r="F158" s="82"/>
      <c r="G158" s="67"/>
      <c r="H158" s="72"/>
      <c r="I158" s="72"/>
    </row>
    <row r="159" spans="3:9" x14ac:dyDescent="0.2">
      <c r="C159" s="66"/>
      <c r="D159" s="66"/>
      <c r="E159" s="78"/>
      <c r="F159" s="82"/>
      <c r="G159" s="67"/>
      <c r="H159" s="72"/>
      <c r="I159" s="72"/>
    </row>
    <row r="160" spans="3:9" x14ac:dyDescent="0.2">
      <c r="C160" s="66"/>
      <c r="D160" s="66"/>
      <c r="E160" s="78"/>
      <c r="F160" s="82"/>
      <c r="G160" s="67"/>
      <c r="H160" s="72"/>
      <c r="I160" s="72"/>
    </row>
    <row r="161" spans="3:9" x14ac:dyDescent="0.2">
      <c r="C161" s="66"/>
      <c r="D161" s="66"/>
      <c r="E161" s="78"/>
      <c r="F161" s="82"/>
      <c r="G161" s="67"/>
      <c r="H161" s="72"/>
      <c r="I161" s="72"/>
    </row>
    <row r="162" spans="3:9" x14ac:dyDescent="0.2">
      <c r="C162" s="66"/>
      <c r="D162" s="66"/>
      <c r="E162" s="78"/>
      <c r="F162" s="82"/>
      <c r="G162" s="67"/>
      <c r="H162" s="72"/>
      <c r="I162" s="72"/>
    </row>
    <row r="163" spans="3:9" x14ac:dyDescent="0.2">
      <c r="C163" s="66"/>
      <c r="D163" s="66"/>
      <c r="E163" s="78"/>
      <c r="F163" s="82"/>
      <c r="G163" s="67"/>
      <c r="H163" s="72"/>
      <c r="I163" s="72"/>
    </row>
    <row r="164" spans="3:9" x14ac:dyDescent="0.2">
      <c r="C164" s="66"/>
      <c r="D164" s="66"/>
      <c r="E164" s="78"/>
      <c r="F164" s="82"/>
      <c r="G164" s="67"/>
      <c r="H164" s="72"/>
      <c r="I164" s="72"/>
    </row>
    <row r="165" spans="3:9" x14ac:dyDescent="0.2">
      <c r="C165" s="66"/>
      <c r="D165" s="66"/>
      <c r="E165" s="78"/>
      <c r="F165" s="82"/>
      <c r="G165" s="67"/>
      <c r="H165" s="72"/>
      <c r="I165" s="72"/>
    </row>
    <row r="166" spans="3:9" x14ac:dyDescent="0.2">
      <c r="C166" s="66"/>
      <c r="D166" s="66"/>
      <c r="E166" s="78"/>
      <c r="F166" s="82"/>
      <c r="G166" s="67"/>
      <c r="H166" s="72"/>
      <c r="I166" s="72"/>
    </row>
    <row r="167" spans="3:9" x14ac:dyDescent="0.2">
      <c r="C167" s="66"/>
      <c r="D167" s="66"/>
      <c r="E167" s="78"/>
      <c r="F167" s="82"/>
      <c r="G167" s="67"/>
      <c r="H167" s="72"/>
      <c r="I167" s="72"/>
    </row>
    <row r="168" spans="3:9" x14ac:dyDescent="0.2">
      <c r="C168" s="66"/>
      <c r="D168" s="66"/>
      <c r="E168" s="78"/>
      <c r="F168" s="82"/>
      <c r="G168" s="67"/>
      <c r="H168" s="72"/>
      <c r="I168" s="72"/>
    </row>
    <row r="169" spans="3:9" x14ac:dyDescent="0.2">
      <c r="C169" s="66"/>
      <c r="D169" s="66"/>
      <c r="E169" s="78"/>
      <c r="F169" s="82"/>
      <c r="G169" s="67"/>
      <c r="H169" s="72"/>
      <c r="I169" s="72"/>
    </row>
    <row r="170" spans="3:9" x14ac:dyDescent="0.2">
      <c r="C170" s="66"/>
      <c r="D170" s="66"/>
      <c r="E170" s="78"/>
      <c r="F170" s="82"/>
      <c r="G170" s="67"/>
      <c r="H170" s="72"/>
      <c r="I170" s="72"/>
    </row>
    <row r="171" spans="3:9" x14ac:dyDescent="0.2">
      <c r="C171" s="66"/>
      <c r="D171" s="66"/>
      <c r="E171" s="78"/>
      <c r="F171" s="82"/>
      <c r="G171" s="67"/>
      <c r="H171" s="72"/>
      <c r="I171" s="72"/>
    </row>
    <row r="172" spans="3:9" x14ac:dyDescent="0.2">
      <c r="C172" s="66"/>
      <c r="D172" s="66"/>
      <c r="E172" s="78"/>
      <c r="F172" s="82"/>
      <c r="G172" s="67"/>
      <c r="H172" s="72"/>
      <c r="I172" s="72"/>
    </row>
    <row r="173" spans="3:9" x14ac:dyDescent="0.2">
      <c r="C173" s="66"/>
      <c r="D173" s="66"/>
      <c r="E173" s="78"/>
      <c r="F173" s="82"/>
      <c r="G173" s="67"/>
      <c r="H173" s="72"/>
      <c r="I173" s="72"/>
    </row>
    <row r="174" spans="3:9" x14ac:dyDescent="0.2">
      <c r="C174" s="66"/>
      <c r="D174" s="66"/>
      <c r="E174" s="78"/>
      <c r="F174" s="82"/>
      <c r="G174" s="67"/>
      <c r="H174" s="72"/>
      <c r="I174" s="72"/>
    </row>
    <row r="175" spans="3:9" x14ac:dyDescent="0.2">
      <c r="C175" s="66"/>
      <c r="D175" s="66"/>
      <c r="E175" s="78"/>
      <c r="F175" s="82"/>
      <c r="G175" s="67"/>
      <c r="H175" s="72"/>
      <c r="I175" s="72"/>
    </row>
    <row r="176" spans="3:9" x14ac:dyDescent="0.2">
      <c r="C176" s="66"/>
      <c r="D176" s="66"/>
      <c r="E176" s="78"/>
      <c r="F176" s="82"/>
      <c r="G176" s="67"/>
      <c r="H176" s="72"/>
      <c r="I176" s="72"/>
    </row>
    <row r="177" spans="3:9" x14ac:dyDescent="0.2">
      <c r="C177" s="66"/>
      <c r="D177" s="66"/>
      <c r="E177" s="78"/>
      <c r="F177" s="82"/>
      <c r="G177" s="67"/>
      <c r="H177" s="72"/>
      <c r="I177" s="72"/>
    </row>
    <row r="178" spans="3:9" x14ac:dyDescent="0.2">
      <c r="C178" s="66"/>
      <c r="D178" s="66"/>
      <c r="E178" s="78"/>
      <c r="F178" s="82"/>
      <c r="G178" s="67"/>
      <c r="H178" s="72"/>
      <c r="I178" s="72"/>
    </row>
    <row r="179" spans="3:9" x14ac:dyDescent="0.2">
      <c r="C179" s="66"/>
      <c r="D179" s="66"/>
      <c r="E179" s="78"/>
      <c r="F179" s="82"/>
      <c r="G179" s="67"/>
      <c r="H179" s="72"/>
      <c r="I179" s="72"/>
    </row>
    <row r="180" spans="3:9" x14ac:dyDescent="0.2">
      <c r="C180" s="66"/>
      <c r="D180" s="66"/>
      <c r="E180" s="78"/>
      <c r="F180" s="82"/>
      <c r="G180" s="67"/>
      <c r="H180" s="72"/>
      <c r="I180" s="72"/>
    </row>
    <row r="181" spans="3:9" x14ac:dyDescent="0.2">
      <c r="C181" s="66"/>
      <c r="D181" s="66"/>
      <c r="E181" s="78"/>
      <c r="F181" s="82"/>
      <c r="G181" s="67"/>
      <c r="H181" s="72"/>
      <c r="I181" s="72"/>
    </row>
    <row r="182" spans="3:9" x14ac:dyDescent="0.2">
      <c r="C182" s="66"/>
      <c r="D182" s="66"/>
      <c r="E182" s="78"/>
      <c r="F182" s="82"/>
      <c r="G182" s="67"/>
      <c r="H182" s="72"/>
      <c r="I182" s="72"/>
    </row>
    <row r="183" spans="3:9" x14ac:dyDescent="0.2">
      <c r="C183" s="66"/>
      <c r="D183" s="66"/>
      <c r="E183" s="78"/>
      <c r="F183" s="82"/>
      <c r="G183" s="67"/>
      <c r="H183" s="72"/>
      <c r="I183" s="72"/>
    </row>
    <row r="184" spans="3:9" x14ac:dyDescent="0.2">
      <c r="C184" s="66"/>
      <c r="D184" s="66"/>
      <c r="E184" s="78"/>
      <c r="F184" s="82"/>
      <c r="G184" s="67"/>
      <c r="H184" s="72"/>
      <c r="I184" s="72"/>
    </row>
    <row r="185" spans="3:9" x14ac:dyDescent="0.2">
      <c r="C185" s="66"/>
      <c r="D185" s="66"/>
      <c r="E185" s="78"/>
      <c r="F185" s="82"/>
      <c r="G185" s="67"/>
      <c r="H185" s="72"/>
      <c r="I185" s="72"/>
    </row>
    <row r="186" spans="3:9" x14ac:dyDescent="0.2">
      <c r="C186" s="66"/>
      <c r="D186" s="66"/>
      <c r="E186" s="78"/>
      <c r="F186" s="82"/>
      <c r="G186" s="67"/>
      <c r="H186" s="72"/>
      <c r="I186" s="72"/>
    </row>
    <row r="187" spans="3:9" x14ac:dyDescent="0.2">
      <c r="C187" s="66"/>
      <c r="D187" s="66"/>
      <c r="E187" s="78"/>
      <c r="F187" s="82"/>
      <c r="G187" s="67"/>
      <c r="H187" s="72"/>
      <c r="I187" s="72"/>
    </row>
    <row r="188" spans="3:9" x14ac:dyDescent="0.2">
      <c r="C188" s="66"/>
      <c r="D188" s="66"/>
      <c r="E188" s="78"/>
      <c r="F188" s="82"/>
      <c r="G188" s="67"/>
      <c r="H188" s="72"/>
      <c r="I188" s="72"/>
    </row>
    <row r="189" spans="3:9" x14ac:dyDescent="0.2">
      <c r="C189" s="66"/>
      <c r="D189" s="66"/>
      <c r="E189" s="78"/>
      <c r="F189" s="82"/>
      <c r="G189" s="67"/>
      <c r="H189" s="72"/>
      <c r="I189" s="72"/>
    </row>
    <row r="190" spans="3:9" x14ac:dyDescent="0.2">
      <c r="C190" s="66"/>
      <c r="D190" s="66"/>
      <c r="E190" s="78"/>
      <c r="F190" s="82"/>
      <c r="G190" s="67"/>
      <c r="H190" s="72"/>
      <c r="I190" s="72"/>
    </row>
    <row r="191" spans="3:9" x14ac:dyDescent="0.2">
      <c r="C191" s="66"/>
      <c r="D191" s="66"/>
      <c r="E191" s="78"/>
      <c r="F191" s="82"/>
      <c r="G191" s="67"/>
      <c r="H191" s="72"/>
      <c r="I191" s="72"/>
    </row>
    <row r="192" spans="3:9" x14ac:dyDescent="0.2">
      <c r="C192" s="66"/>
      <c r="D192" s="66"/>
      <c r="E192" s="78"/>
      <c r="F192" s="82"/>
      <c r="G192" s="67"/>
      <c r="H192" s="72"/>
      <c r="I192" s="72"/>
    </row>
    <row r="193" spans="3:9" x14ac:dyDescent="0.2">
      <c r="C193" s="66"/>
      <c r="D193" s="66"/>
      <c r="E193" s="78"/>
      <c r="F193" s="82"/>
      <c r="G193" s="67"/>
      <c r="H193" s="72"/>
      <c r="I193" s="72"/>
    </row>
    <row r="194" spans="3:9" x14ac:dyDescent="0.2">
      <c r="C194" s="66"/>
      <c r="D194" s="66"/>
      <c r="E194" s="78"/>
      <c r="F194" s="82"/>
      <c r="G194" s="67"/>
      <c r="H194" s="72"/>
      <c r="I194" s="72"/>
    </row>
    <row r="195" spans="3:9" x14ac:dyDescent="0.2">
      <c r="C195" s="66"/>
      <c r="D195" s="66"/>
      <c r="E195" s="78"/>
      <c r="F195" s="82"/>
      <c r="G195" s="67"/>
      <c r="H195" s="72"/>
      <c r="I195" s="72"/>
    </row>
    <row r="196" spans="3:9" x14ac:dyDescent="0.2">
      <c r="C196" s="66"/>
      <c r="D196" s="66"/>
      <c r="E196" s="78"/>
      <c r="F196" s="82"/>
      <c r="G196" s="67"/>
      <c r="H196" s="72"/>
      <c r="I196" s="72"/>
    </row>
    <row r="197" spans="3:9" x14ac:dyDescent="0.2">
      <c r="C197" s="66"/>
      <c r="D197" s="66"/>
      <c r="E197" s="78"/>
      <c r="F197" s="82"/>
      <c r="G197" s="67"/>
      <c r="H197" s="72"/>
      <c r="I197" s="72"/>
    </row>
    <row r="198" spans="3:9" x14ac:dyDescent="0.2">
      <c r="C198" s="66"/>
      <c r="D198" s="66"/>
      <c r="E198" s="78"/>
      <c r="F198" s="82"/>
      <c r="G198" s="67"/>
      <c r="H198" s="72"/>
      <c r="I198" s="72"/>
    </row>
    <row r="199" spans="3:9" x14ac:dyDescent="0.2">
      <c r="C199" s="66"/>
      <c r="D199" s="66"/>
      <c r="E199" s="78"/>
      <c r="F199" s="82"/>
      <c r="G199" s="67"/>
      <c r="H199" s="72"/>
      <c r="I199" s="72"/>
    </row>
    <row r="200" spans="3:9" x14ac:dyDescent="0.2">
      <c r="C200" s="66"/>
      <c r="D200" s="66"/>
      <c r="E200" s="78"/>
      <c r="F200" s="82"/>
      <c r="G200" s="67"/>
      <c r="H200" s="72"/>
      <c r="I200" s="72"/>
    </row>
    <row r="201" spans="3:9" x14ac:dyDescent="0.2">
      <c r="C201" s="66"/>
      <c r="D201" s="66"/>
      <c r="E201" s="78"/>
      <c r="F201" s="82"/>
      <c r="G201" s="67"/>
      <c r="H201" s="72"/>
      <c r="I201" s="72"/>
    </row>
    <row r="202" spans="3:9" x14ac:dyDescent="0.2">
      <c r="C202" s="66"/>
      <c r="D202" s="66"/>
      <c r="E202" s="78"/>
      <c r="F202" s="82"/>
      <c r="G202" s="67"/>
      <c r="H202" s="72"/>
      <c r="I202" s="72"/>
    </row>
    <row r="203" spans="3:9" x14ac:dyDescent="0.2">
      <c r="C203" s="66"/>
      <c r="D203" s="66"/>
      <c r="E203" s="78"/>
      <c r="F203" s="82"/>
      <c r="G203" s="67"/>
      <c r="H203" s="72"/>
      <c r="I203" s="72"/>
    </row>
    <row r="204" spans="3:9" x14ac:dyDescent="0.2">
      <c r="C204" s="66"/>
      <c r="D204" s="66"/>
      <c r="E204" s="78"/>
      <c r="F204" s="82"/>
      <c r="G204" s="67"/>
      <c r="H204" s="72"/>
      <c r="I204" s="72"/>
    </row>
    <row r="205" spans="3:9" x14ac:dyDescent="0.2">
      <c r="C205" s="66"/>
      <c r="D205" s="66"/>
      <c r="E205" s="78"/>
      <c r="F205" s="82"/>
      <c r="G205" s="67"/>
      <c r="H205" s="72"/>
      <c r="I205" s="72"/>
    </row>
    <row r="206" spans="3:9" x14ac:dyDescent="0.2">
      <c r="C206" s="66"/>
      <c r="D206" s="66"/>
      <c r="E206" s="78"/>
      <c r="F206" s="82"/>
      <c r="G206" s="67"/>
      <c r="H206" s="72"/>
      <c r="I206" s="72"/>
    </row>
    <row r="207" spans="3:9" x14ac:dyDescent="0.2">
      <c r="C207" s="66"/>
      <c r="D207" s="66"/>
      <c r="E207" s="78"/>
      <c r="F207" s="82"/>
      <c r="G207" s="67"/>
      <c r="H207" s="72"/>
      <c r="I207" s="72"/>
    </row>
    <row r="208" spans="3:9" x14ac:dyDescent="0.2">
      <c r="C208" s="66"/>
      <c r="D208" s="66"/>
      <c r="E208" s="78"/>
      <c r="F208" s="82"/>
      <c r="G208" s="67"/>
      <c r="H208" s="72"/>
      <c r="I208" s="72"/>
    </row>
    <row r="209" spans="3:9" x14ac:dyDescent="0.2">
      <c r="C209" s="66"/>
      <c r="D209" s="66"/>
      <c r="E209" s="78"/>
      <c r="F209" s="82"/>
      <c r="G209" s="67"/>
      <c r="H209" s="72"/>
      <c r="I209" s="72"/>
    </row>
    <row r="210" spans="3:9" x14ac:dyDescent="0.2">
      <c r="C210" s="66"/>
      <c r="D210" s="66"/>
      <c r="E210" s="78"/>
      <c r="F210" s="82"/>
      <c r="G210" s="67"/>
      <c r="H210" s="72"/>
      <c r="I210" s="72"/>
    </row>
    <row r="211" spans="3:9" x14ac:dyDescent="0.2">
      <c r="C211" s="66"/>
      <c r="D211" s="66"/>
      <c r="E211" s="78"/>
      <c r="F211" s="82"/>
      <c r="G211" s="67"/>
      <c r="H211" s="72"/>
      <c r="I211" s="72"/>
    </row>
    <row r="212" spans="3:9" x14ac:dyDescent="0.2">
      <c r="C212" s="66"/>
      <c r="D212" s="66"/>
      <c r="E212" s="78"/>
      <c r="F212" s="82"/>
      <c r="G212" s="67"/>
      <c r="H212" s="72"/>
      <c r="I212" s="72"/>
    </row>
    <row r="213" spans="3:9" x14ac:dyDescent="0.2">
      <c r="C213" s="66"/>
      <c r="D213" s="66"/>
      <c r="E213" s="78"/>
      <c r="F213" s="82"/>
      <c r="G213" s="67"/>
      <c r="H213" s="72"/>
      <c r="I213" s="72"/>
    </row>
    <row r="214" spans="3:9" x14ac:dyDescent="0.2">
      <c r="C214" s="66"/>
      <c r="D214" s="66"/>
      <c r="E214" s="78"/>
      <c r="F214" s="82"/>
      <c r="G214" s="67"/>
      <c r="H214" s="72"/>
      <c r="I214" s="72"/>
    </row>
    <row r="215" spans="3:9" x14ac:dyDescent="0.2">
      <c r="C215" s="66"/>
      <c r="D215" s="66"/>
      <c r="E215" s="78"/>
      <c r="F215" s="82"/>
      <c r="G215" s="67"/>
      <c r="H215" s="72"/>
      <c r="I215" s="72"/>
    </row>
    <row r="216" spans="3:9" x14ac:dyDescent="0.2">
      <c r="C216" s="66"/>
      <c r="D216" s="66"/>
      <c r="E216" s="78"/>
      <c r="F216" s="82"/>
      <c r="G216" s="67"/>
      <c r="H216" s="72"/>
      <c r="I216" s="72"/>
    </row>
    <row r="217" spans="3:9" x14ac:dyDescent="0.2">
      <c r="C217" s="66"/>
      <c r="D217" s="66"/>
      <c r="E217" s="78"/>
      <c r="F217" s="82"/>
      <c r="G217" s="67"/>
      <c r="H217" s="72"/>
      <c r="I217" s="72"/>
    </row>
    <row r="218" spans="3:9" x14ac:dyDescent="0.2">
      <c r="C218" s="66"/>
      <c r="D218" s="66"/>
      <c r="E218" s="78"/>
      <c r="F218" s="82"/>
      <c r="G218" s="67"/>
      <c r="H218" s="72"/>
      <c r="I218" s="72"/>
    </row>
    <row r="219" spans="3:9" x14ac:dyDescent="0.2">
      <c r="C219" s="66"/>
      <c r="D219" s="66"/>
      <c r="E219" s="78"/>
      <c r="F219" s="82"/>
      <c r="G219" s="67"/>
      <c r="H219" s="72"/>
      <c r="I219" s="72"/>
    </row>
    <row r="220" spans="3:9" x14ac:dyDescent="0.2">
      <c r="C220" s="66"/>
      <c r="D220" s="66"/>
      <c r="E220" s="78"/>
      <c r="F220" s="82"/>
      <c r="G220" s="67"/>
      <c r="H220" s="72"/>
      <c r="I220" s="72"/>
    </row>
    <row r="221" spans="3:9" x14ac:dyDescent="0.2">
      <c r="C221" s="66"/>
      <c r="D221" s="66"/>
      <c r="E221" s="78"/>
      <c r="F221" s="82"/>
      <c r="G221" s="67"/>
      <c r="H221" s="72"/>
      <c r="I221" s="72"/>
    </row>
    <row r="222" spans="3:9" x14ac:dyDescent="0.2">
      <c r="C222" s="66"/>
      <c r="D222" s="66"/>
      <c r="E222" s="78"/>
      <c r="F222" s="82"/>
      <c r="G222" s="67"/>
      <c r="H222" s="72"/>
      <c r="I222" s="72"/>
    </row>
    <row r="223" spans="3:9" x14ac:dyDescent="0.2">
      <c r="C223" s="66"/>
      <c r="D223" s="66"/>
      <c r="E223" s="78"/>
      <c r="F223" s="82"/>
      <c r="G223" s="67"/>
      <c r="H223" s="72"/>
      <c r="I223" s="72"/>
    </row>
    <row r="224" spans="3:9" x14ac:dyDescent="0.2">
      <c r="C224" s="66"/>
      <c r="D224" s="66"/>
      <c r="E224" s="78"/>
      <c r="F224" s="82"/>
      <c r="G224" s="67"/>
      <c r="H224" s="72"/>
      <c r="I224" s="72"/>
    </row>
    <row r="225" spans="3:9" x14ac:dyDescent="0.2">
      <c r="C225" s="66"/>
      <c r="D225" s="66"/>
      <c r="E225" s="78"/>
      <c r="F225" s="82"/>
      <c r="G225" s="67"/>
      <c r="H225" s="72"/>
      <c r="I225" s="72"/>
    </row>
    <row r="226" spans="3:9" x14ac:dyDescent="0.2">
      <c r="C226" s="66"/>
      <c r="D226" s="66"/>
      <c r="E226" s="78"/>
      <c r="F226" s="82"/>
      <c r="G226" s="67"/>
      <c r="H226" s="72"/>
      <c r="I226" s="72"/>
    </row>
    <row r="227" spans="3:9" x14ac:dyDescent="0.2">
      <c r="C227" s="66"/>
      <c r="D227" s="66"/>
      <c r="E227" s="78"/>
      <c r="F227" s="82"/>
      <c r="G227" s="67"/>
      <c r="H227" s="72"/>
      <c r="I227" s="72"/>
    </row>
    <row r="228" spans="3:9" x14ac:dyDescent="0.2">
      <c r="C228" s="66"/>
      <c r="D228" s="66"/>
      <c r="E228" s="78"/>
      <c r="F228" s="82"/>
      <c r="G228" s="67"/>
      <c r="H228" s="72"/>
      <c r="I228" s="72"/>
    </row>
    <row r="229" spans="3:9" x14ac:dyDescent="0.2">
      <c r="C229" s="66"/>
      <c r="D229" s="66"/>
      <c r="E229" s="78"/>
      <c r="F229" s="82"/>
      <c r="G229" s="67"/>
      <c r="H229" s="72"/>
      <c r="I229" s="72"/>
    </row>
    <row r="230" spans="3:9" x14ac:dyDescent="0.2">
      <c r="C230" s="66"/>
      <c r="D230" s="66"/>
      <c r="E230" s="78"/>
      <c r="F230" s="82"/>
      <c r="G230" s="67"/>
      <c r="H230" s="72"/>
      <c r="I230" s="72"/>
    </row>
    <row r="231" spans="3:9" x14ac:dyDescent="0.2">
      <c r="C231" s="66"/>
      <c r="D231" s="66"/>
      <c r="E231" s="78"/>
      <c r="F231" s="82"/>
      <c r="G231" s="67"/>
      <c r="H231" s="72"/>
      <c r="I231" s="72"/>
    </row>
    <row r="232" spans="3:9" x14ac:dyDescent="0.2">
      <c r="C232" s="66"/>
      <c r="D232" s="66"/>
      <c r="E232" s="78"/>
      <c r="F232" s="82"/>
      <c r="G232" s="67"/>
      <c r="H232" s="72"/>
      <c r="I232" s="72"/>
    </row>
    <row r="233" spans="3:9" x14ac:dyDescent="0.2">
      <c r="C233" s="66"/>
      <c r="D233" s="66"/>
      <c r="E233" s="78"/>
      <c r="F233" s="82"/>
      <c r="G233" s="67"/>
      <c r="H233" s="72"/>
      <c r="I233" s="72"/>
    </row>
    <row r="234" spans="3:9" x14ac:dyDescent="0.2">
      <c r="C234" s="66"/>
      <c r="D234" s="66"/>
      <c r="E234" s="78"/>
      <c r="F234" s="82"/>
      <c r="G234" s="67"/>
      <c r="H234" s="72"/>
      <c r="I234" s="72"/>
    </row>
    <row r="235" spans="3:9" x14ac:dyDescent="0.2">
      <c r="C235" s="66"/>
      <c r="D235" s="66"/>
      <c r="E235" s="78"/>
      <c r="F235" s="82"/>
      <c r="G235" s="67"/>
      <c r="H235" s="72"/>
      <c r="I235" s="72"/>
    </row>
    <row r="236" spans="3:9" x14ac:dyDescent="0.2">
      <c r="C236" s="66"/>
      <c r="D236" s="66"/>
      <c r="E236" s="78"/>
      <c r="F236" s="82"/>
      <c r="G236" s="67"/>
      <c r="H236" s="72"/>
      <c r="I236" s="72"/>
    </row>
    <row r="237" spans="3:9" x14ac:dyDescent="0.2">
      <c r="C237" s="66"/>
      <c r="D237" s="66"/>
      <c r="E237" s="78"/>
      <c r="F237" s="82"/>
      <c r="G237" s="67"/>
      <c r="H237" s="72"/>
      <c r="I237" s="72"/>
    </row>
    <row r="238" spans="3:9" x14ac:dyDescent="0.2">
      <c r="C238" s="66"/>
      <c r="D238" s="66"/>
      <c r="E238" s="78"/>
      <c r="F238" s="82"/>
      <c r="G238" s="67"/>
      <c r="H238" s="72"/>
      <c r="I238" s="72"/>
    </row>
    <row r="239" spans="3:9" x14ac:dyDescent="0.2">
      <c r="C239" s="66"/>
      <c r="D239" s="66"/>
      <c r="E239" s="78"/>
      <c r="F239" s="82"/>
      <c r="G239" s="67"/>
      <c r="H239" s="72"/>
      <c r="I239" s="72"/>
    </row>
    <row r="240" spans="3:9" x14ac:dyDescent="0.2">
      <c r="C240" s="66"/>
      <c r="D240" s="66"/>
      <c r="E240" s="78"/>
      <c r="F240" s="82"/>
      <c r="G240" s="67"/>
      <c r="H240" s="72"/>
      <c r="I240" s="72"/>
    </row>
    <row r="241" spans="3:9" x14ac:dyDescent="0.2">
      <c r="C241" s="66"/>
      <c r="D241" s="66"/>
      <c r="E241" s="78"/>
      <c r="F241" s="82"/>
      <c r="G241" s="67"/>
      <c r="H241" s="72"/>
      <c r="I241" s="72"/>
    </row>
    <row r="242" spans="3:9" x14ac:dyDescent="0.2">
      <c r="C242" s="66"/>
      <c r="D242" s="66"/>
      <c r="E242" s="78"/>
      <c r="F242" s="82"/>
      <c r="G242" s="67"/>
      <c r="H242" s="72"/>
      <c r="I242" s="72"/>
    </row>
    <row r="243" spans="3:9" x14ac:dyDescent="0.2">
      <c r="C243" s="66"/>
      <c r="D243" s="66"/>
      <c r="E243" s="78"/>
      <c r="F243" s="82"/>
      <c r="G243" s="67"/>
      <c r="H243" s="72"/>
      <c r="I243" s="72"/>
    </row>
    <row r="244" spans="3:9" x14ac:dyDescent="0.2">
      <c r="C244" s="66"/>
      <c r="D244" s="66"/>
      <c r="E244" s="78"/>
      <c r="F244" s="82"/>
      <c r="G244" s="67"/>
      <c r="H244" s="72"/>
      <c r="I244" s="72"/>
    </row>
    <row r="245" spans="3:9" x14ac:dyDescent="0.2">
      <c r="C245" s="66"/>
      <c r="D245" s="66"/>
      <c r="E245" s="78"/>
      <c r="F245" s="82"/>
      <c r="G245" s="67"/>
      <c r="H245" s="72"/>
      <c r="I245" s="72"/>
    </row>
    <row r="246" spans="3:9" x14ac:dyDescent="0.2">
      <c r="C246" s="66"/>
      <c r="D246" s="66"/>
      <c r="E246" s="78"/>
      <c r="F246" s="82"/>
      <c r="G246" s="67"/>
      <c r="H246" s="72"/>
      <c r="I246" s="72"/>
    </row>
    <row r="247" spans="3:9" x14ac:dyDescent="0.2">
      <c r="C247" s="66"/>
      <c r="D247" s="66"/>
      <c r="E247" s="78"/>
      <c r="F247" s="82"/>
      <c r="G247" s="67"/>
      <c r="H247" s="72"/>
      <c r="I247" s="72"/>
    </row>
    <row r="248" spans="3:9" x14ac:dyDescent="0.2">
      <c r="C248" s="66"/>
      <c r="D248" s="66"/>
      <c r="E248" s="78"/>
      <c r="F248" s="82"/>
      <c r="G248" s="67"/>
      <c r="H248" s="72"/>
      <c r="I248" s="72"/>
    </row>
    <row r="249" spans="3:9" x14ac:dyDescent="0.2">
      <c r="C249" s="66"/>
      <c r="D249" s="66"/>
      <c r="E249" s="78"/>
      <c r="F249" s="82"/>
      <c r="G249" s="67"/>
      <c r="H249" s="72"/>
      <c r="I249" s="72"/>
    </row>
    <row r="250" spans="3:9" x14ac:dyDescent="0.2">
      <c r="C250" s="66"/>
      <c r="D250" s="66"/>
      <c r="E250" s="78"/>
      <c r="F250" s="82"/>
      <c r="G250" s="67"/>
      <c r="H250" s="72"/>
      <c r="I250" s="72"/>
    </row>
    <row r="251" spans="3:9" x14ac:dyDescent="0.2">
      <c r="C251" s="66"/>
      <c r="D251" s="66"/>
      <c r="E251" s="78"/>
      <c r="F251" s="82"/>
      <c r="G251" s="67"/>
      <c r="H251" s="72"/>
      <c r="I251" s="72"/>
    </row>
    <row r="252" spans="3:9" x14ac:dyDescent="0.2">
      <c r="C252" s="66"/>
      <c r="D252" s="66"/>
      <c r="E252" s="78"/>
      <c r="F252" s="82"/>
      <c r="G252" s="67"/>
      <c r="H252" s="72"/>
      <c r="I252" s="72"/>
    </row>
    <row r="253" spans="3:9" x14ac:dyDescent="0.2">
      <c r="C253" s="66"/>
      <c r="D253" s="66"/>
      <c r="E253" s="78"/>
      <c r="F253" s="82"/>
      <c r="G253" s="67"/>
      <c r="H253" s="72"/>
      <c r="I253" s="72"/>
    </row>
    <row r="254" spans="3:9" x14ac:dyDescent="0.2">
      <c r="C254" s="66"/>
      <c r="D254" s="66"/>
      <c r="E254" s="78"/>
      <c r="F254" s="82"/>
      <c r="G254" s="67"/>
      <c r="H254" s="72"/>
      <c r="I254" s="72"/>
    </row>
    <row r="255" spans="3:9" x14ac:dyDescent="0.2">
      <c r="C255" s="66"/>
      <c r="D255" s="66"/>
      <c r="E255" s="78"/>
      <c r="F255" s="82"/>
      <c r="G255" s="67"/>
      <c r="H255" s="72"/>
      <c r="I255" s="72"/>
    </row>
    <row r="256" spans="3:9" x14ac:dyDescent="0.2">
      <c r="C256" s="66"/>
      <c r="D256" s="66"/>
      <c r="E256" s="78"/>
      <c r="F256" s="82"/>
      <c r="G256" s="67"/>
      <c r="H256" s="72"/>
      <c r="I256" s="72"/>
    </row>
    <row r="257" spans="3:9" x14ac:dyDescent="0.2">
      <c r="C257" s="66"/>
      <c r="D257" s="66"/>
      <c r="E257" s="78"/>
      <c r="F257" s="82"/>
      <c r="G257" s="67"/>
      <c r="H257" s="72"/>
      <c r="I257" s="72"/>
    </row>
    <row r="258" spans="3:9" x14ac:dyDescent="0.2">
      <c r="C258" s="66"/>
      <c r="D258" s="66"/>
      <c r="E258" s="78"/>
      <c r="F258" s="82"/>
      <c r="G258" s="67"/>
      <c r="H258" s="72"/>
      <c r="I258" s="72"/>
    </row>
    <row r="259" spans="3:9" x14ac:dyDescent="0.2">
      <c r="C259" s="66"/>
      <c r="D259" s="66"/>
      <c r="E259" s="78"/>
      <c r="F259" s="82"/>
      <c r="G259" s="67"/>
      <c r="H259" s="72"/>
      <c r="I259" s="72"/>
    </row>
    <row r="260" spans="3:9" x14ac:dyDescent="0.2">
      <c r="C260" s="66"/>
      <c r="D260" s="66"/>
      <c r="E260" s="78"/>
      <c r="F260" s="82"/>
      <c r="G260" s="67"/>
      <c r="H260" s="72"/>
      <c r="I260" s="72"/>
    </row>
    <row r="261" spans="3:9" x14ac:dyDescent="0.2">
      <c r="C261" s="66"/>
      <c r="D261" s="66"/>
      <c r="E261" s="78"/>
      <c r="F261" s="82"/>
      <c r="G261" s="67"/>
      <c r="H261" s="72"/>
      <c r="I261" s="72"/>
    </row>
    <row r="262" spans="3:9" x14ac:dyDescent="0.2">
      <c r="C262" s="66"/>
      <c r="D262" s="66"/>
      <c r="E262" s="78"/>
      <c r="F262" s="82"/>
      <c r="G262" s="67"/>
      <c r="H262" s="72"/>
      <c r="I262" s="72"/>
    </row>
    <row r="263" spans="3:9" x14ac:dyDescent="0.2">
      <c r="C263" s="66"/>
      <c r="D263" s="66"/>
      <c r="E263" s="78"/>
      <c r="F263" s="82"/>
      <c r="G263" s="67"/>
      <c r="H263" s="72"/>
      <c r="I263" s="72"/>
    </row>
    <row r="264" spans="3:9" x14ac:dyDescent="0.2">
      <c r="C264" s="66"/>
      <c r="D264" s="66"/>
      <c r="E264" s="78"/>
      <c r="F264" s="82"/>
      <c r="G264" s="67"/>
      <c r="H264" s="72"/>
      <c r="I264" s="72"/>
    </row>
    <row r="265" spans="3:9" x14ac:dyDescent="0.2">
      <c r="C265" s="66"/>
      <c r="D265" s="66"/>
      <c r="E265" s="78"/>
      <c r="F265" s="82"/>
      <c r="G265" s="67"/>
      <c r="H265" s="72"/>
      <c r="I265" s="72"/>
    </row>
    <row r="266" spans="3:9" x14ac:dyDescent="0.2">
      <c r="C266" s="66"/>
      <c r="D266" s="66"/>
      <c r="E266" s="78"/>
      <c r="F266" s="82"/>
      <c r="G266" s="67"/>
      <c r="H266" s="72"/>
      <c r="I266" s="72"/>
    </row>
    <row r="267" spans="3:9" x14ac:dyDescent="0.2">
      <c r="C267" s="66"/>
      <c r="D267" s="66"/>
      <c r="E267" s="78"/>
      <c r="F267" s="82"/>
      <c r="G267" s="67"/>
      <c r="H267" s="72"/>
      <c r="I267" s="72"/>
    </row>
    <row r="268" spans="3:9" x14ac:dyDescent="0.2">
      <c r="C268" s="66"/>
      <c r="D268" s="66"/>
      <c r="E268" s="78"/>
      <c r="F268" s="82"/>
      <c r="G268" s="67"/>
      <c r="H268" s="72"/>
      <c r="I268" s="72"/>
    </row>
    <row r="269" spans="3:9" x14ac:dyDescent="0.2">
      <c r="C269" s="66"/>
      <c r="D269" s="66"/>
      <c r="E269" s="78"/>
      <c r="F269" s="82"/>
      <c r="G269" s="67"/>
      <c r="H269" s="72"/>
      <c r="I269" s="72"/>
    </row>
    <row r="270" spans="3:9" x14ac:dyDescent="0.2">
      <c r="C270" s="66"/>
      <c r="D270" s="66"/>
      <c r="E270" s="78"/>
      <c r="F270" s="82"/>
      <c r="G270" s="67"/>
      <c r="H270" s="72"/>
      <c r="I270" s="72"/>
    </row>
    <row r="271" spans="3:9" x14ac:dyDescent="0.2">
      <c r="C271" s="66"/>
      <c r="D271" s="66"/>
      <c r="E271" s="78"/>
      <c r="F271" s="82"/>
      <c r="G271" s="67"/>
      <c r="H271" s="72"/>
      <c r="I271" s="72"/>
    </row>
    <row r="272" spans="3:9" x14ac:dyDescent="0.2">
      <c r="C272" s="66"/>
      <c r="D272" s="66"/>
      <c r="E272" s="78"/>
      <c r="F272" s="82"/>
      <c r="G272" s="67"/>
      <c r="H272" s="72"/>
      <c r="I272" s="72"/>
    </row>
    <row r="273" spans="3:9" x14ac:dyDescent="0.2">
      <c r="C273" s="66"/>
      <c r="D273" s="66"/>
      <c r="E273" s="78"/>
      <c r="F273" s="82"/>
      <c r="G273" s="67"/>
      <c r="H273" s="72"/>
      <c r="I273" s="72"/>
    </row>
    <row r="274" spans="3:9" x14ac:dyDescent="0.2">
      <c r="C274" s="66"/>
      <c r="D274" s="66"/>
      <c r="E274" s="78"/>
      <c r="F274" s="82"/>
      <c r="G274" s="67"/>
      <c r="H274" s="72"/>
      <c r="I274" s="72"/>
    </row>
    <row r="275" spans="3:9" x14ac:dyDescent="0.2">
      <c r="C275" s="66"/>
      <c r="D275" s="66"/>
      <c r="E275" s="78"/>
      <c r="F275" s="82"/>
      <c r="G275" s="67"/>
      <c r="H275" s="72"/>
      <c r="I275" s="72"/>
    </row>
    <row r="276" spans="3:9" x14ac:dyDescent="0.2">
      <c r="C276" s="66"/>
      <c r="D276" s="66"/>
      <c r="E276" s="78"/>
      <c r="F276" s="82"/>
      <c r="G276" s="67"/>
      <c r="H276" s="72"/>
      <c r="I276" s="72"/>
    </row>
    <row r="277" spans="3:9" x14ac:dyDescent="0.2">
      <c r="C277" s="66"/>
      <c r="D277" s="66"/>
      <c r="E277" s="78"/>
      <c r="F277" s="82"/>
      <c r="G277" s="67"/>
      <c r="H277" s="72"/>
      <c r="I277" s="72"/>
    </row>
    <row r="278" spans="3:9" x14ac:dyDescent="0.2">
      <c r="C278" s="66"/>
      <c r="D278" s="66"/>
      <c r="E278" s="78"/>
      <c r="F278" s="82"/>
      <c r="G278" s="67"/>
      <c r="H278" s="72"/>
      <c r="I278" s="72"/>
    </row>
    <row r="279" spans="3:9" x14ac:dyDescent="0.2">
      <c r="C279" s="66"/>
      <c r="D279" s="66"/>
      <c r="E279" s="78"/>
      <c r="F279" s="82"/>
      <c r="G279" s="67"/>
      <c r="H279" s="72"/>
      <c r="I279" s="72"/>
    </row>
    <row r="280" spans="3:9" x14ac:dyDescent="0.2">
      <c r="C280" s="66"/>
      <c r="D280" s="66"/>
      <c r="E280" s="78"/>
      <c r="F280" s="82"/>
      <c r="G280" s="67"/>
      <c r="H280" s="72"/>
      <c r="I280" s="72"/>
    </row>
    <row r="281" spans="3:9" x14ac:dyDescent="0.2">
      <c r="C281" s="66"/>
      <c r="D281" s="66"/>
      <c r="E281" s="78"/>
      <c r="F281" s="82"/>
      <c r="G281" s="67"/>
      <c r="H281" s="72"/>
      <c r="I281" s="72"/>
    </row>
    <row r="282" spans="3:9" x14ac:dyDescent="0.2">
      <c r="C282" s="66"/>
      <c r="D282" s="66"/>
      <c r="E282" s="78"/>
      <c r="F282" s="82"/>
      <c r="G282" s="67"/>
      <c r="H282" s="72"/>
      <c r="I282" s="72"/>
    </row>
    <row r="283" spans="3:9" x14ac:dyDescent="0.2">
      <c r="C283" s="66"/>
      <c r="D283" s="66"/>
      <c r="E283" s="78"/>
      <c r="F283" s="82"/>
      <c r="G283" s="67"/>
      <c r="H283" s="72"/>
      <c r="I283" s="72"/>
    </row>
    <row r="284" spans="3:9" x14ac:dyDescent="0.2">
      <c r="C284" s="66"/>
      <c r="D284" s="66"/>
      <c r="E284" s="78"/>
      <c r="F284" s="82"/>
      <c r="G284" s="67"/>
      <c r="H284" s="72"/>
      <c r="I284" s="72"/>
    </row>
    <row r="285" spans="3:9" x14ac:dyDescent="0.2">
      <c r="C285" s="66"/>
      <c r="D285" s="66"/>
      <c r="E285" s="78"/>
      <c r="F285" s="82"/>
      <c r="G285" s="67"/>
      <c r="H285" s="72"/>
      <c r="I285" s="72"/>
    </row>
    <row r="286" spans="3:9" x14ac:dyDescent="0.2">
      <c r="C286" s="66"/>
      <c r="D286" s="66"/>
      <c r="E286" s="78"/>
      <c r="F286" s="82"/>
      <c r="G286" s="67"/>
      <c r="H286" s="72"/>
      <c r="I286" s="72"/>
    </row>
    <row r="287" spans="3:9" x14ac:dyDescent="0.2">
      <c r="C287" s="66"/>
      <c r="D287" s="66"/>
      <c r="E287" s="78"/>
      <c r="F287" s="82"/>
      <c r="G287" s="67"/>
      <c r="H287" s="72"/>
      <c r="I287" s="72"/>
    </row>
    <row r="288" spans="3:9" x14ac:dyDescent="0.2">
      <c r="C288" s="66"/>
      <c r="D288" s="66"/>
      <c r="E288" s="78"/>
      <c r="F288" s="82"/>
      <c r="G288" s="67"/>
      <c r="H288" s="72"/>
      <c r="I288" s="72"/>
    </row>
    <row r="289" spans="3:9" x14ac:dyDescent="0.2">
      <c r="C289" s="66"/>
      <c r="D289" s="66"/>
      <c r="E289" s="78"/>
      <c r="F289" s="82"/>
      <c r="G289" s="67"/>
      <c r="H289" s="72"/>
      <c r="I289" s="72"/>
    </row>
    <row r="290" spans="3:9" x14ac:dyDescent="0.2">
      <c r="C290" s="66"/>
      <c r="D290" s="66"/>
      <c r="E290" s="78"/>
      <c r="F290" s="82"/>
      <c r="G290" s="67"/>
      <c r="H290" s="72"/>
      <c r="I290" s="72"/>
    </row>
    <row r="291" spans="3:9" x14ac:dyDescent="0.2">
      <c r="C291" s="66"/>
      <c r="D291" s="66"/>
      <c r="E291" s="78"/>
      <c r="F291" s="82"/>
      <c r="G291" s="67"/>
      <c r="H291" s="72"/>
      <c r="I291" s="72"/>
    </row>
    <row r="292" spans="3:9" x14ac:dyDescent="0.2">
      <c r="C292" s="66"/>
      <c r="D292" s="66"/>
      <c r="E292" s="78"/>
      <c r="F292" s="82"/>
      <c r="G292" s="67"/>
      <c r="H292" s="72"/>
      <c r="I292" s="72"/>
    </row>
    <row r="293" spans="3:9" x14ac:dyDescent="0.2">
      <c r="C293" s="66"/>
      <c r="D293" s="66"/>
      <c r="E293" s="78"/>
      <c r="F293" s="82"/>
      <c r="G293" s="67"/>
      <c r="H293" s="72"/>
      <c r="I293" s="72"/>
    </row>
    <row r="294" spans="3:9" x14ac:dyDescent="0.2">
      <c r="C294" s="66"/>
      <c r="D294" s="66"/>
      <c r="E294" s="78"/>
      <c r="F294" s="82"/>
      <c r="G294" s="67"/>
      <c r="H294" s="72"/>
      <c r="I294" s="72"/>
    </row>
    <row r="295" spans="3:9" x14ac:dyDescent="0.2">
      <c r="C295" s="66"/>
      <c r="D295" s="66"/>
      <c r="E295" s="78"/>
      <c r="F295" s="82"/>
      <c r="G295" s="67"/>
      <c r="H295" s="72"/>
      <c r="I295" s="72"/>
    </row>
    <row r="296" spans="3:9" x14ac:dyDescent="0.2">
      <c r="C296" s="66"/>
      <c r="D296" s="66"/>
      <c r="E296" s="78"/>
      <c r="F296" s="82"/>
      <c r="G296" s="67"/>
      <c r="H296" s="72"/>
      <c r="I296" s="72"/>
    </row>
    <row r="297" spans="3:9" x14ac:dyDescent="0.2">
      <c r="C297" s="66"/>
      <c r="D297" s="66"/>
      <c r="E297" s="78"/>
      <c r="F297" s="82"/>
      <c r="G297" s="67"/>
      <c r="H297" s="72"/>
      <c r="I297" s="72"/>
    </row>
    <row r="298" spans="3:9" x14ac:dyDescent="0.2">
      <c r="C298" s="66"/>
      <c r="D298" s="66"/>
      <c r="E298" s="78"/>
      <c r="F298" s="82"/>
      <c r="G298" s="67"/>
      <c r="H298" s="72"/>
      <c r="I298" s="72"/>
    </row>
    <row r="299" spans="3:9" x14ac:dyDescent="0.2">
      <c r="C299" s="66"/>
      <c r="D299" s="66"/>
      <c r="E299" s="78"/>
      <c r="F299" s="82"/>
      <c r="G299" s="67"/>
      <c r="H299" s="72"/>
      <c r="I299" s="72"/>
    </row>
    <row r="300" spans="3:9" x14ac:dyDescent="0.2">
      <c r="C300" s="66"/>
      <c r="D300" s="66"/>
      <c r="E300" s="78"/>
      <c r="F300" s="82"/>
      <c r="G300" s="67"/>
      <c r="H300" s="72"/>
      <c r="I300" s="72"/>
    </row>
    <row r="301" spans="3:9" x14ac:dyDescent="0.2">
      <c r="C301" s="66"/>
      <c r="D301" s="66"/>
      <c r="E301" s="78"/>
      <c r="F301" s="82"/>
      <c r="G301" s="67"/>
      <c r="H301" s="72"/>
      <c r="I301" s="72"/>
    </row>
    <row r="302" spans="3:9" x14ac:dyDescent="0.2">
      <c r="C302" s="66"/>
      <c r="D302" s="66"/>
      <c r="E302" s="78"/>
      <c r="F302" s="82"/>
      <c r="G302" s="67"/>
      <c r="H302" s="72"/>
      <c r="I302" s="72"/>
    </row>
    <row r="303" spans="3:9" x14ac:dyDescent="0.2">
      <c r="C303" s="66"/>
      <c r="D303" s="66"/>
      <c r="E303" s="78"/>
      <c r="F303" s="82"/>
      <c r="G303" s="67"/>
      <c r="H303" s="72"/>
      <c r="I303" s="72"/>
    </row>
    <row r="304" spans="3:9" x14ac:dyDescent="0.2">
      <c r="C304" s="66"/>
      <c r="D304" s="66"/>
      <c r="E304" s="78"/>
      <c r="F304" s="82"/>
      <c r="G304" s="67"/>
      <c r="H304" s="72"/>
      <c r="I304" s="72"/>
    </row>
    <row r="305" spans="3:9" x14ac:dyDescent="0.2">
      <c r="C305" s="66"/>
      <c r="D305" s="66"/>
      <c r="E305" s="78"/>
      <c r="F305" s="82"/>
      <c r="G305" s="67"/>
      <c r="H305" s="72"/>
      <c r="I305" s="72"/>
    </row>
    <row r="306" spans="3:9" x14ac:dyDescent="0.2">
      <c r="C306" s="66"/>
      <c r="D306" s="66"/>
      <c r="E306" s="78"/>
      <c r="F306" s="82"/>
      <c r="G306" s="67"/>
      <c r="H306" s="72"/>
      <c r="I306" s="72"/>
    </row>
    <row r="307" spans="3:9" x14ac:dyDescent="0.2">
      <c r="C307" s="66"/>
      <c r="D307" s="66"/>
      <c r="E307" s="78"/>
      <c r="F307" s="82"/>
      <c r="G307" s="67"/>
      <c r="H307" s="72"/>
      <c r="I307" s="72"/>
    </row>
    <row r="308" spans="3:9" x14ac:dyDescent="0.2">
      <c r="C308" s="66"/>
      <c r="D308" s="66"/>
      <c r="E308" s="78"/>
      <c r="F308" s="82"/>
      <c r="G308" s="67"/>
      <c r="H308" s="72"/>
      <c r="I308" s="72"/>
    </row>
    <row r="309" spans="3:9" x14ac:dyDescent="0.2">
      <c r="C309" s="66"/>
      <c r="D309" s="66"/>
      <c r="E309" s="78"/>
      <c r="F309" s="82"/>
      <c r="G309" s="67"/>
      <c r="H309" s="72"/>
      <c r="I309" s="72"/>
    </row>
    <row r="310" spans="3:9" x14ac:dyDescent="0.2">
      <c r="C310" s="66"/>
      <c r="D310" s="66"/>
      <c r="E310" s="78"/>
      <c r="F310" s="82"/>
      <c r="G310" s="67"/>
      <c r="H310" s="72"/>
      <c r="I310" s="72"/>
    </row>
    <row r="311" spans="3:9" x14ac:dyDescent="0.2">
      <c r="C311" s="66"/>
      <c r="D311" s="66"/>
      <c r="E311" s="78"/>
      <c r="F311" s="82"/>
      <c r="G311" s="67"/>
      <c r="H311" s="72"/>
      <c r="I311" s="72"/>
    </row>
    <row r="312" spans="3:9" x14ac:dyDescent="0.2">
      <c r="C312" s="66"/>
      <c r="D312" s="66"/>
      <c r="E312" s="78"/>
      <c r="F312" s="82"/>
      <c r="G312" s="67"/>
      <c r="H312" s="72"/>
      <c r="I312" s="72"/>
    </row>
    <row r="313" spans="3:9" x14ac:dyDescent="0.2">
      <c r="C313" s="66"/>
      <c r="D313" s="66"/>
      <c r="E313" s="78"/>
      <c r="F313" s="82"/>
      <c r="G313" s="67"/>
      <c r="H313" s="72"/>
      <c r="I313" s="72"/>
    </row>
    <row r="314" spans="3:9" x14ac:dyDescent="0.2">
      <c r="C314" s="66"/>
      <c r="D314" s="66"/>
      <c r="E314" s="78"/>
      <c r="F314" s="82"/>
      <c r="G314" s="67"/>
      <c r="H314" s="72"/>
      <c r="I314" s="72"/>
    </row>
    <row r="315" spans="3:9" x14ac:dyDescent="0.2">
      <c r="C315" s="66"/>
      <c r="D315" s="66"/>
      <c r="E315" s="78"/>
      <c r="F315" s="82"/>
      <c r="G315" s="67"/>
      <c r="H315" s="72"/>
      <c r="I315" s="72"/>
    </row>
    <row r="316" spans="3:9" x14ac:dyDescent="0.2">
      <c r="C316" s="66"/>
      <c r="D316" s="66"/>
      <c r="E316" s="78"/>
      <c r="F316" s="82"/>
      <c r="G316" s="67"/>
      <c r="H316" s="72"/>
      <c r="I316" s="72"/>
    </row>
    <row r="317" spans="3:9" x14ac:dyDescent="0.2">
      <c r="C317" s="66"/>
      <c r="D317" s="66"/>
      <c r="E317" s="78"/>
      <c r="F317" s="82"/>
      <c r="G317" s="67"/>
      <c r="H317" s="72"/>
      <c r="I317" s="72"/>
    </row>
    <row r="318" spans="3:9" x14ac:dyDescent="0.2">
      <c r="C318" s="66"/>
      <c r="D318" s="66"/>
      <c r="E318" s="78"/>
      <c r="F318" s="82"/>
      <c r="G318" s="67"/>
      <c r="H318" s="72"/>
      <c r="I318" s="72"/>
    </row>
    <row r="319" spans="3:9" x14ac:dyDescent="0.2">
      <c r="C319" s="66"/>
      <c r="D319" s="66"/>
      <c r="E319" s="78"/>
      <c r="F319" s="82"/>
      <c r="G319" s="67"/>
      <c r="H319" s="72"/>
      <c r="I319" s="72"/>
    </row>
    <row r="320" spans="3:9" x14ac:dyDescent="0.2">
      <c r="C320" s="66"/>
      <c r="D320" s="66"/>
      <c r="E320" s="78"/>
      <c r="F320" s="82"/>
      <c r="G320" s="67"/>
      <c r="H320" s="72"/>
      <c r="I320" s="72"/>
    </row>
    <row r="321" spans="3:9" x14ac:dyDescent="0.2">
      <c r="C321" s="66"/>
      <c r="D321" s="66"/>
      <c r="E321" s="78"/>
      <c r="F321" s="82"/>
      <c r="G321" s="67"/>
      <c r="H321" s="72"/>
      <c r="I321" s="72"/>
    </row>
    <row r="322" spans="3:9" x14ac:dyDescent="0.2">
      <c r="C322" s="66"/>
      <c r="D322" s="66"/>
      <c r="E322" s="78"/>
      <c r="F322" s="82"/>
      <c r="G322" s="67"/>
      <c r="H322" s="72"/>
      <c r="I322" s="72"/>
    </row>
    <row r="323" spans="3:9" x14ac:dyDescent="0.2">
      <c r="C323" s="66"/>
      <c r="D323" s="66"/>
      <c r="E323" s="78"/>
      <c r="F323" s="82"/>
      <c r="G323" s="67"/>
      <c r="H323" s="72"/>
      <c r="I323" s="72"/>
    </row>
    <row r="324" spans="3:9" x14ac:dyDescent="0.2">
      <c r="C324" s="66"/>
      <c r="D324" s="66"/>
      <c r="E324" s="78"/>
      <c r="F324" s="82"/>
      <c r="G324" s="67"/>
      <c r="H324" s="72"/>
      <c r="I324" s="72"/>
    </row>
    <row r="325" spans="3:9" x14ac:dyDescent="0.2">
      <c r="C325" s="66"/>
      <c r="D325" s="66"/>
      <c r="E325" s="78"/>
      <c r="F325" s="82"/>
      <c r="G325" s="67"/>
      <c r="H325" s="72"/>
      <c r="I325" s="72"/>
    </row>
    <row r="326" spans="3:9" x14ac:dyDescent="0.2">
      <c r="C326" s="66"/>
      <c r="D326" s="66"/>
      <c r="E326" s="78"/>
      <c r="F326" s="82"/>
      <c r="G326" s="67"/>
      <c r="H326" s="72"/>
      <c r="I326" s="72"/>
    </row>
    <row r="327" spans="3:9" x14ac:dyDescent="0.2">
      <c r="C327" s="66"/>
      <c r="D327" s="66"/>
      <c r="E327" s="78"/>
      <c r="F327" s="82"/>
      <c r="G327" s="67"/>
      <c r="H327" s="72"/>
      <c r="I327" s="72"/>
    </row>
    <row r="328" spans="3:9" x14ac:dyDescent="0.2">
      <c r="C328" s="66"/>
      <c r="D328" s="66"/>
      <c r="E328" s="78"/>
      <c r="F328" s="82"/>
      <c r="G328" s="67"/>
      <c r="H328" s="72"/>
      <c r="I328" s="72"/>
    </row>
    <row r="329" spans="3:9" x14ac:dyDescent="0.2">
      <c r="C329" s="66"/>
      <c r="D329" s="66"/>
      <c r="E329" s="78"/>
      <c r="F329" s="82"/>
      <c r="G329" s="67"/>
      <c r="H329" s="72"/>
      <c r="I329" s="72"/>
    </row>
    <row r="330" spans="3:9" x14ac:dyDescent="0.2">
      <c r="C330" s="66"/>
      <c r="D330" s="66"/>
      <c r="E330" s="78"/>
      <c r="F330" s="82"/>
      <c r="G330" s="67"/>
      <c r="H330" s="72"/>
      <c r="I330" s="72"/>
    </row>
    <row r="331" spans="3:9" x14ac:dyDescent="0.2">
      <c r="C331" s="66"/>
      <c r="D331" s="66"/>
      <c r="E331" s="78"/>
      <c r="F331" s="82"/>
      <c r="G331" s="67"/>
      <c r="H331" s="72"/>
      <c r="I331" s="72"/>
    </row>
    <row r="332" spans="3:9" x14ac:dyDescent="0.2">
      <c r="C332" s="66"/>
      <c r="D332" s="66"/>
      <c r="E332" s="78"/>
      <c r="F332" s="82"/>
      <c r="G332" s="67"/>
      <c r="H332" s="72"/>
      <c r="I332" s="72"/>
    </row>
    <row r="333" spans="3:9" x14ac:dyDescent="0.2">
      <c r="C333" s="66"/>
      <c r="D333" s="66"/>
      <c r="E333" s="78"/>
      <c r="F333" s="82"/>
      <c r="G333" s="67"/>
      <c r="H333" s="72"/>
      <c r="I333" s="72"/>
    </row>
    <row r="334" spans="3:9" x14ac:dyDescent="0.2">
      <c r="C334" s="66"/>
      <c r="D334" s="66"/>
      <c r="E334" s="78"/>
      <c r="F334" s="82"/>
      <c r="G334" s="67"/>
      <c r="H334" s="72"/>
      <c r="I334" s="72"/>
    </row>
    <row r="335" spans="3:9" x14ac:dyDescent="0.2">
      <c r="C335" s="66"/>
      <c r="D335" s="66"/>
      <c r="E335" s="78"/>
      <c r="F335" s="82"/>
      <c r="G335" s="67"/>
      <c r="H335" s="72"/>
      <c r="I335" s="72"/>
    </row>
    <row r="336" spans="3:9" x14ac:dyDescent="0.2">
      <c r="C336" s="66"/>
      <c r="D336" s="66"/>
      <c r="E336" s="78"/>
      <c r="F336" s="82"/>
      <c r="G336" s="67"/>
      <c r="H336" s="72"/>
      <c r="I336" s="72"/>
    </row>
    <row r="337" spans="3:9" x14ac:dyDescent="0.2">
      <c r="C337" s="66"/>
      <c r="D337" s="66"/>
      <c r="E337" s="78"/>
      <c r="F337" s="82"/>
      <c r="G337" s="67"/>
      <c r="H337" s="72"/>
      <c r="I337" s="72"/>
    </row>
    <row r="338" spans="3:9" x14ac:dyDescent="0.2">
      <c r="C338" s="66"/>
      <c r="D338" s="66"/>
      <c r="E338" s="78"/>
      <c r="F338" s="82"/>
      <c r="G338" s="67"/>
      <c r="H338" s="72"/>
      <c r="I338" s="72"/>
    </row>
    <row r="339" spans="3:9" x14ac:dyDescent="0.2">
      <c r="C339" s="66"/>
      <c r="D339" s="66"/>
      <c r="E339" s="78"/>
      <c r="F339" s="82"/>
      <c r="G339" s="67"/>
      <c r="H339" s="72"/>
      <c r="I339" s="72"/>
    </row>
    <row r="340" spans="3:9" x14ac:dyDescent="0.2">
      <c r="C340" s="66"/>
      <c r="D340" s="66"/>
      <c r="E340" s="78"/>
      <c r="F340" s="82"/>
      <c r="G340" s="67"/>
      <c r="H340" s="72"/>
      <c r="I340" s="72"/>
    </row>
    <row r="341" spans="3:9" x14ac:dyDescent="0.2">
      <c r="C341" s="66"/>
      <c r="D341" s="66"/>
      <c r="E341" s="78"/>
      <c r="F341" s="82"/>
      <c r="G341" s="67"/>
      <c r="H341" s="72"/>
      <c r="I341" s="72"/>
    </row>
    <row r="342" spans="3:9" x14ac:dyDescent="0.2">
      <c r="C342" s="66"/>
      <c r="D342" s="66"/>
      <c r="E342" s="78"/>
      <c r="F342" s="82"/>
      <c r="G342" s="67"/>
      <c r="H342" s="72"/>
      <c r="I342" s="72"/>
    </row>
    <row r="343" spans="3:9" x14ac:dyDescent="0.2">
      <c r="C343" s="66"/>
      <c r="D343" s="66"/>
      <c r="E343" s="78"/>
      <c r="F343" s="82"/>
      <c r="G343" s="67"/>
      <c r="H343" s="72"/>
      <c r="I343" s="72"/>
    </row>
    <row r="344" spans="3:9" x14ac:dyDescent="0.2">
      <c r="C344" s="66"/>
      <c r="D344" s="66"/>
      <c r="E344" s="78"/>
      <c r="F344" s="82"/>
      <c r="G344" s="67"/>
      <c r="H344" s="72"/>
      <c r="I344" s="72"/>
    </row>
    <row r="345" spans="3:9" x14ac:dyDescent="0.2">
      <c r="C345" s="66"/>
      <c r="D345" s="66"/>
      <c r="E345" s="78"/>
      <c r="F345" s="82"/>
      <c r="G345" s="67"/>
      <c r="H345" s="72"/>
      <c r="I345" s="72"/>
    </row>
    <row r="346" spans="3:9" x14ac:dyDescent="0.2">
      <c r="C346" s="66"/>
      <c r="D346" s="66"/>
      <c r="E346" s="78"/>
      <c r="F346" s="82"/>
      <c r="G346" s="67"/>
      <c r="H346" s="72"/>
      <c r="I346" s="72"/>
    </row>
    <row r="347" spans="3:9" x14ac:dyDescent="0.2">
      <c r="C347" s="66"/>
      <c r="D347" s="66"/>
      <c r="E347" s="78"/>
      <c r="F347" s="82"/>
      <c r="G347" s="67"/>
      <c r="H347" s="72"/>
      <c r="I347" s="72"/>
    </row>
    <row r="348" spans="3:9" x14ac:dyDescent="0.2">
      <c r="C348" s="66"/>
      <c r="D348" s="66"/>
      <c r="E348" s="78"/>
      <c r="F348" s="82"/>
      <c r="G348" s="67"/>
      <c r="H348" s="72"/>
      <c r="I348" s="72"/>
    </row>
    <row r="349" spans="3:9" x14ac:dyDescent="0.2">
      <c r="C349" s="66"/>
      <c r="D349" s="66"/>
      <c r="E349" s="78"/>
      <c r="F349" s="82"/>
      <c r="G349" s="67"/>
      <c r="H349" s="72"/>
      <c r="I349" s="72"/>
    </row>
    <row r="350" spans="3:9" x14ac:dyDescent="0.2">
      <c r="C350" s="66"/>
      <c r="D350" s="66"/>
      <c r="E350" s="78"/>
      <c r="F350" s="82"/>
      <c r="G350" s="67"/>
      <c r="H350" s="72"/>
      <c r="I350" s="72"/>
    </row>
    <row r="351" spans="3:9" x14ac:dyDescent="0.2">
      <c r="C351" s="66"/>
      <c r="D351" s="66"/>
      <c r="E351" s="78"/>
      <c r="F351" s="82"/>
      <c r="G351" s="67"/>
      <c r="H351" s="72"/>
      <c r="I351" s="72"/>
    </row>
    <row r="352" spans="3:9" x14ac:dyDescent="0.2">
      <c r="C352" s="66"/>
      <c r="D352" s="66"/>
      <c r="E352" s="78"/>
      <c r="F352" s="82"/>
      <c r="G352" s="67"/>
      <c r="H352" s="72"/>
      <c r="I352" s="72"/>
    </row>
    <row r="353" spans="3:9" x14ac:dyDescent="0.2">
      <c r="C353" s="66"/>
      <c r="D353" s="66"/>
      <c r="E353" s="78"/>
      <c r="F353" s="82"/>
      <c r="G353" s="67"/>
      <c r="H353" s="72"/>
      <c r="I353" s="72"/>
    </row>
    <row r="354" spans="3:9" x14ac:dyDescent="0.2">
      <c r="C354" s="66"/>
      <c r="D354" s="66"/>
      <c r="E354" s="78"/>
      <c r="F354" s="82"/>
      <c r="G354" s="67"/>
      <c r="H354" s="72"/>
      <c r="I354" s="72"/>
    </row>
    <row r="355" spans="3:9" x14ac:dyDescent="0.2">
      <c r="C355" s="66"/>
      <c r="D355" s="66"/>
      <c r="E355" s="78"/>
      <c r="F355" s="82"/>
      <c r="G355" s="67"/>
      <c r="H355" s="72"/>
      <c r="I355" s="72"/>
    </row>
    <row r="356" spans="3:9" x14ac:dyDescent="0.2">
      <c r="C356" s="66"/>
      <c r="D356" s="66"/>
      <c r="E356" s="78"/>
      <c r="F356" s="82"/>
      <c r="G356" s="67"/>
      <c r="H356" s="72"/>
      <c r="I356" s="72"/>
    </row>
    <row r="357" spans="3:9" x14ac:dyDescent="0.2">
      <c r="C357" s="66"/>
      <c r="D357" s="66"/>
      <c r="E357" s="78"/>
      <c r="F357" s="82"/>
      <c r="G357" s="67"/>
      <c r="H357" s="72"/>
      <c r="I357" s="72"/>
    </row>
    <row r="358" spans="3:9" x14ac:dyDescent="0.2">
      <c r="C358" s="66"/>
      <c r="D358" s="66"/>
      <c r="E358" s="78"/>
      <c r="F358" s="82"/>
      <c r="G358" s="67"/>
      <c r="H358" s="72"/>
      <c r="I358" s="72"/>
    </row>
    <row r="359" spans="3:9" x14ac:dyDescent="0.2">
      <c r="C359" s="66"/>
      <c r="D359" s="66"/>
      <c r="E359" s="78"/>
      <c r="F359" s="82"/>
      <c r="G359" s="67"/>
      <c r="H359" s="72"/>
      <c r="I359" s="72"/>
    </row>
    <row r="360" spans="3:9" x14ac:dyDescent="0.2">
      <c r="C360" s="66"/>
      <c r="D360" s="66"/>
      <c r="E360" s="78"/>
      <c r="F360" s="82"/>
      <c r="G360" s="67"/>
      <c r="H360" s="72"/>
      <c r="I360" s="72"/>
    </row>
    <row r="361" spans="3:9" x14ac:dyDescent="0.2">
      <c r="C361" s="66"/>
      <c r="D361" s="66"/>
      <c r="E361" s="78"/>
      <c r="F361" s="82"/>
      <c r="G361" s="67"/>
      <c r="H361" s="72"/>
      <c r="I361" s="72"/>
    </row>
    <row r="362" spans="3:9" x14ac:dyDescent="0.2">
      <c r="C362" s="66"/>
      <c r="D362" s="66"/>
      <c r="E362" s="78"/>
      <c r="F362" s="82"/>
      <c r="G362" s="67"/>
      <c r="H362" s="72"/>
      <c r="I362" s="72"/>
    </row>
    <row r="363" spans="3:9" x14ac:dyDescent="0.2">
      <c r="C363" s="66"/>
      <c r="D363" s="66"/>
      <c r="E363" s="78"/>
      <c r="F363" s="82"/>
      <c r="G363" s="67"/>
      <c r="H363" s="72"/>
      <c r="I363" s="72"/>
    </row>
    <row r="364" spans="3:9" x14ac:dyDescent="0.2">
      <c r="C364" s="66"/>
      <c r="D364" s="66"/>
      <c r="E364" s="78"/>
      <c r="F364" s="82"/>
      <c r="G364" s="67"/>
      <c r="H364" s="72"/>
      <c r="I364" s="72"/>
    </row>
    <row r="365" spans="3:9" x14ac:dyDescent="0.2">
      <c r="C365" s="66"/>
      <c r="D365" s="66"/>
      <c r="E365" s="78"/>
      <c r="F365" s="82"/>
      <c r="G365" s="67"/>
      <c r="H365" s="72"/>
      <c r="I365" s="72"/>
    </row>
    <row r="366" spans="3:9" x14ac:dyDescent="0.2">
      <c r="C366" s="66"/>
      <c r="D366" s="66"/>
      <c r="E366" s="78"/>
      <c r="F366" s="82"/>
      <c r="G366" s="67"/>
      <c r="H366" s="72"/>
      <c r="I366" s="72"/>
    </row>
    <row r="367" spans="3:9" x14ac:dyDescent="0.2">
      <c r="C367" s="66"/>
      <c r="D367" s="66"/>
      <c r="E367" s="78"/>
      <c r="F367" s="82"/>
      <c r="G367" s="67"/>
      <c r="H367" s="72"/>
      <c r="I367" s="72"/>
    </row>
    <row r="368" spans="3:9" x14ac:dyDescent="0.2">
      <c r="C368" s="66"/>
      <c r="D368" s="66"/>
      <c r="E368" s="78"/>
      <c r="F368" s="82"/>
      <c r="G368" s="67"/>
      <c r="H368" s="72"/>
      <c r="I368" s="72"/>
    </row>
    <row r="369" spans="3:9" x14ac:dyDescent="0.2">
      <c r="C369" s="66"/>
      <c r="D369" s="66"/>
      <c r="E369" s="78"/>
      <c r="F369" s="82"/>
      <c r="G369" s="67"/>
      <c r="H369" s="72"/>
      <c r="I369" s="72"/>
    </row>
    <row r="370" spans="3:9" x14ac:dyDescent="0.2">
      <c r="C370" s="66"/>
      <c r="D370" s="66"/>
      <c r="E370" s="78"/>
      <c r="F370" s="82"/>
      <c r="G370" s="67"/>
      <c r="H370" s="72"/>
      <c r="I370" s="72"/>
    </row>
    <row r="371" spans="3:9" x14ac:dyDescent="0.2">
      <c r="C371" s="66"/>
      <c r="D371" s="66"/>
      <c r="E371" s="78"/>
      <c r="F371" s="82"/>
      <c r="G371" s="67"/>
      <c r="H371" s="72"/>
      <c r="I371" s="72"/>
    </row>
    <row r="372" spans="3:9" x14ac:dyDescent="0.2">
      <c r="C372" s="66"/>
      <c r="D372" s="66"/>
      <c r="E372" s="78"/>
      <c r="F372" s="82"/>
      <c r="G372" s="67"/>
      <c r="H372" s="72"/>
      <c r="I372" s="72"/>
    </row>
    <row r="373" spans="3:9" x14ac:dyDescent="0.2">
      <c r="C373" s="66"/>
      <c r="D373" s="66"/>
      <c r="E373" s="78"/>
      <c r="F373" s="82"/>
      <c r="G373" s="67"/>
      <c r="H373" s="72"/>
      <c r="I373" s="72"/>
    </row>
    <row r="374" spans="3:9" x14ac:dyDescent="0.2">
      <c r="C374" s="66"/>
      <c r="D374" s="66"/>
      <c r="E374" s="78"/>
      <c r="F374" s="82"/>
      <c r="G374" s="67"/>
      <c r="H374" s="72"/>
      <c r="I374" s="72"/>
    </row>
    <row r="375" spans="3:9" x14ac:dyDescent="0.2">
      <c r="C375" s="66"/>
      <c r="D375" s="66"/>
      <c r="E375" s="78"/>
      <c r="F375" s="82"/>
      <c r="G375" s="67"/>
      <c r="H375" s="72"/>
      <c r="I375" s="72"/>
    </row>
    <row r="376" spans="3:9" x14ac:dyDescent="0.2">
      <c r="C376" s="66"/>
      <c r="D376" s="66"/>
      <c r="E376" s="78"/>
      <c r="F376" s="82"/>
      <c r="G376" s="67"/>
      <c r="H376" s="72"/>
      <c r="I376" s="72"/>
    </row>
    <row r="377" spans="3:9" x14ac:dyDescent="0.2">
      <c r="C377" s="66"/>
      <c r="D377" s="66"/>
      <c r="E377" s="78"/>
      <c r="F377" s="82"/>
      <c r="G377" s="67"/>
      <c r="H377" s="72"/>
      <c r="I377" s="72"/>
    </row>
    <row r="378" spans="3:9" x14ac:dyDescent="0.2">
      <c r="C378" s="66"/>
      <c r="D378" s="66"/>
      <c r="E378" s="78"/>
      <c r="F378" s="82"/>
      <c r="G378" s="67"/>
      <c r="H378" s="72"/>
      <c r="I378" s="72"/>
    </row>
    <row r="379" spans="3:9" x14ac:dyDescent="0.2">
      <c r="C379" s="66"/>
      <c r="D379" s="66"/>
      <c r="E379" s="78"/>
      <c r="F379" s="82"/>
      <c r="G379" s="67"/>
      <c r="H379" s="72"/>
      <c r="I379" s="72"/>
    </row>
    <row r="380" spans="3:9" x14ac:dyDescent="0.2">
      <c r="C380" s="66"/>
      <c r="D380" s="66"/>
      <c r="E380" s="78"/>
      <c r="F380" s="82"/>
      <c r="G380" s="67"/>
      <c r="H380" s="72"/>
      <c r="I380" s="72"/>
    </row>
    <row r="381" spans="3:9" x14ac:dyDescent="0.2">
      <c r="C381" s="66"/>
      <c r="D381" s="66"/>
      <c r="E381" s="78"/>
      <c r="F381" s="82"/>
      <c r="G381" s="67"/>
      <c r="H381" s="72"/>
      <c r="I381" s="72"/>
    </row>
    <row r="382" spans="3:9" x14ac:dyDescent="0.2">
      <c r="C382" s="66"/>
      <c r="D382" s="66"/>
      <c r="E382" s="78"/>
      <c r="F382" s="82"/>
      <c r="G382" s="67"/>
      <c r="H382" s="72"/>
      <c r="I382" s="72"/>
    </row>
    <row r="383" spans="3:9" x14ac:dyDescent="0.2">
      <c r="C383" s="66"/>
      <c r="D383" s="66"/>
      <c r="E383" s="78"/>
      <c r="F383" s="82"/>
      <c r="G383" s="67"/>
      <c r="H383" s="72"/>
      <c r="I383" s="72"/>
    </row>
    <row r="384" spans="3:9" x14ac:dyDescent="0.2">
      <c r="C384" s="66"/>
      <c r="D384" s="66"/>
      <c r="E384" s="78"/>
      <c r="F384" s="82"/>
      <c r="G384" s="67"/>
      <c r="H384" s="72"/>
      <c r="I384" s="72"/>
    </row>
    <row r="385" spans="3:9" x14ac:dyDescent="0.2">
      <c r="C385" s="66"/>
      <c r="D385" s="66"/>
      <c r="E385" s="78"/>
      <c r="F385" s="82"/>
      <c r="G385" s="67"/>
      <c r="H385" s="72"/>
      <c r="I385" s="72"/>
    </row>
    <row r="386" spans="3:9" x14ac:dyDescent="0.2">
      <c r="C386" s="66"/>
      <c r="D386" s="66"/>
      <c r="E386" s="78"/>
      <c r="F386" s="82"/>
      <c r="G386" s="67"/>
      <c r="H386" s="72"/>
      <c r="I386" s="72"/>
    </row>
    <row r="387" spans="3:9" x14ac:dyDescent="0.2">
      <c r="C387" s="66"/>
      <c r="D387" s="66"/>
      <c r="E387" s="78"/>
      <c r="F387" s="82"/>
      <c r="G387" s="67"/>
      <c r="H387" s="72"/>
      <c r="I387" s="72"/>
    </row>
    <row r="388" spans="3:9" x14ac:dyDescent="0.2">
      <c r="C388" s="66"/>
      <c r="D388" s="66"/>
      <c r="E388" s="78"/>
      <c r="F388" s="82"/>
      <c r="G388" s="67"/>
      <c r="H388" s="72"/>
      <c r="I388" s="72"/>
    </row>
    <row r="389" spans="3:9" x14ac:dyDescent="0.2">
      <c r="C389" s="66"/>
      <c r="D389" s="66"/>
      <c r="E389" s="78"/>
      <c r="F389" s="82"/>
      <c r="G389" s="67"/>
      <c r="H389" s="72"/>
      <c r="I389" s="72"/>
    </row>
    <row r="390" spans="3:9" x14ac:dyDescent="0.2">
      <c r="C390" s="66"/>
      <c r="D390" s="66"/>
      <c r="E390" s="78"/>
      <c r="F390" s="82"/>
      <c r="G390" s="67"/>
      <c r="H390" s="72"/>
      <c r="I390" s="72"/>
    </row>
    <row r="391" spans="3:9" x14ac:dyDescent="0.2">
      <c r="C391" s="66"/>
      <c r="D391" s="66"/>
      <c r="E391" s="78"/>
      <c r="F391" s="82"/>
      <c r="G391" s="67"/>
      <c r="H391" s="72"/>
      <c r="I391" s="72"/>
    </row>
    <row r="392" spans="3:9" x14ac:dyDescent="0.2">
      <c r="C392" s="66"/>
      <c r="D392" s="66"/>
      <c r="E392" s="78"/>
      <c r="F392" s="82"/>
      <c r="G392" s="67"/>
      <c r="H392" s="72"/>
      <c r="I392" s="72"/>
    </row>
    <row r="393" spans="3:9" x14ac:dyDescent="0.2">
      <c r="C393" s="66"/>
      <c r="D393" s="66"/>
      <c r="E393" s="78"/>
      <c r="F393" s="82"/>
      <c r="G393" s="67"/>
      <c r="H393" s="72"/>
      <c r="I393" s="72"/>
    </row>
    <row r="394" spans="3:9" x14ac:dyDescent="0.2">
      <c r="C394" s="66"/>
      <c r="D394" s="66"/>
      <c r="E394" s="78"/>
      <c r="F394" s="82"/>
      <c r="G394" s="67"/>
      <c r="H394" s="72"/>
      <c r="I394" s="72"/>
    </row>
    <row r="395" spans="3:9" x14ac:dyDescent="0.2">
      <c r="C395" s="66"/>
      <c r="D395" s="66"/>
      <c r="E395" s="78"/>
      <c r="F395" s="82"/>
      <c r="G395" s="67"/>
      <c r="H395" s="72"/>
      <c r="I395" s="72"/>
    </row>
    <row r="396" spans="3:9" x14ac:dyDescent="0.2">
      <c r="C396" s="66"/>
      <c r="D396" s="66"/>
      <c r="E396" s="78"/>
      <c r="F396" s="82"/>
      <c r="G396" s="67"/>
      <c r="H396" s="72"/>
      <c r="I396" s="72"/>
    </row>
    <row r="397" spans="3:9" x14ac:dyDescent="0.2">
      <c r="C397" s="66"/>
      <c r="D397" s="66"/>
      <c r="E397" s="78"/>
      <c r="F397" s="82"/>
      <c r="G397" s="67"/>
      <c r="H397" s="72"/>
      <c r="I397" s="72"/>
    </row>
    <row r="398" spans="3:9" x14ac:dyDescent="0.2">
      <c r="C398" s="66"/>
      <c r="D398" s="66"/>
      <c r="E398" s="78"/>
      <c r="F398" s="82"/>
      <c r="G398" s="67"/>
      <c r="H398" s="72"/>
      <c r="I398" s="72"/>
    </row>
    <row r="399" spans="3:9" x14ac:dyDescent="0.2">
      <c r="C399" s="66"/>
      <c r="D399" s="66"/>
      <c r="E399" s="78"/>
      <c r="F399" s="82"/>
      <c r="G399" s="67"/>
      <c r="H399" s="72"/>
      <c r="I399" s="72"/>
    </row>
    <row r="400" spans="3:9" x14ac:dyDescent="0.2">
      <c r="C400" s="66"/>
      <c r="D400" s="66"/>
      <c r="E400" s="78"/>
      <c r="F400" s="82"/>
      <c r="G400" s="67"/>
      <c r="H400" s="72"/>
      <c r="I400" s="72"/>
    </row>
    <row r="401" spans="3:9" x14ac:dyDescent="0.2">
      <c r="C401" s="66"/>
      <c r="D401" s="66"/>
      <c r="E401" s="78"/>
      <c r="F401" s="82"/>
      <c r="G401" s="67"/>
      <c r="H401" s="72"/>
      <c r="I401" s="72"/>
    </row>
    <row r="402" spans="3:9" x14ac:dyDescent="0.2">
      <c r="C402" s="66"/>
      <c r="D402" s="66"/>
      <c r="E402" s="78"/>
      <c r="F402" s="82"/>
      <c r="G402" s="67"/>
      <c r="H402" s="72"/>
      <c r="I402" s="72"/>
    </row>
    <row r="403" spans="3:9" x14ac:dyDescent="0.2">
      <c r="C403" s="66"/>
      <c r="D403" s="66"/>
      <c r="E403" s="78"/>
      <c r="F403" s="82"/>
      <c r="G403" s="67"/>
      <c r="H403" s="72"/>
      <c r="I403" s="72"/>
    </row>
    <row r="404" spans="3:9" x14ac:dyDescent="0.2">
      <c r="C404" s="66"/>
      <c r="D404" s="66"/>
      <c r="E404" s="78"/>
      <c r="F404" s="82"/>
      <c r="G404" s="67"/>
      <c r="H404" s="72"/>
      <c r="I404" s="72"/>
    </row>
    <row r="405" spans="3:9" x14ac:dyDescent="0.2">
      <c r="C405" s="66"/>
      <c r="D405" s="66"/>
      <c r="E405" s="78"/>
      <c r="F405" s="82"/>
      <c r="G405" s="67"/>
      <c r="H405" s="72"/>
      <c r="I405" s="72"/>
    </row>
    <row r="406" spans="3:9" x14ac:dyDescent="0.2">
      <c r="C406" s="66"/>
      <c r="D406" s="66"/>
      <c r="E406" s="78"/>
      <c r="F406" s="82"/>
      <c r="G406" s="67"/>
      <c r="H406" s="72"/>
      <c r="I406" s="72"/>
    </row>
    <row r="407" spans="3:9" x14ac:dyDescent="0.2">
      <c r="C407" s="66"/>
      <c r="D407" s="66"/>
      <c r="E407" s="78"/>
      <c r="F407" s="82"/>
      <c r="G407" s="67"/>
      <c r="H407" s="72"/>
      <c r="I407" s="72"/>
    </row>
    <row r="408" spans="3:9" x14ac:dyDescent="0.2">
      <c r="C408" s="66"/>
      <c r="D408" s="66"/>
      <c r="E408" s="78"/>
      <c r="F408" s="82"/>
      <c r="G408" s="67"/>
      <c r="H408" s="72"/>
      <c r="I408" s="72"/>
    </row>
    <row r="409" spans="3:9" x14ac:dyDescent="0.2">
      <c r="C409" s="66"/>
      <c r="D409" s="66"/>
      <c r="E409" s="78"/>
      <c r="F409" s="82"/>
      <c r="G409" s="67"/>
      <c r="H409" s="72"/>
      <c r="I409" s="72"/>
    </row>
    <row r="410" spans="3:9" x14ac:dyDescent="0.2">
      <c r="C410" s="66"/>
      <c r="D410" s="66"/>
      <c r="E410" s="78"/>
      <c r="F410" s="82"/>
      <c r="G410" s="67"/>
      <c r="H410" s="72"/>
      <c r="I410" s="72"/>
    </row>
    <row r="411" spans="3:9" x14ac:dyDescent="0.2">
      <c r="C411" s="66"/>
      <c r="D411" s="66"/>
      <c r="E411" s="78"/>
      <c r="F411" s="82"/>
      <c r="G411" s="67"/>
      <c r="H411" s="72"/>
      <c r="I411" s="72"/>
    </row>
    <row r="412" spans="3:9" x14ac:dyDescent="0.2">
      <c r="C412" s="66"/>
      <c r="D412" s="66"/>
      <c r="E412" s="78"/>
      <c r="F412" s="82"/>
      <c r="G412" s="67"/>
      <c r="H412" s="72"/>
      <c r="I412" s="72"/>
    </row>
    <row r="413" spans="3:9" x14ac:dyDescent="0.2">
      <c r="C413" s="66"/>
      <c r="D413" s="66"/>
      <c r="E413" s="78"/>
      <c r="F413" s="82"/>
      <c r="G413" s="67"/>
      <c r="H413" s="72"/>
      <c r="I413" s="72"/>
    </row>
    <row r="414" spans="3:9" x14ac:dyDescent="0.2">
      <c r="C414" s="66"/>
      <c r="D414" s="66"/>
      <c r="E414" s="78"/>
      <c r="F414" s="82"/>
      <c r="G414" s="67"/>
      <c r="H414" s="72"/>
      <c r="I414" s="72"/>
    </row>
    <row r="415" spans="3:9" x14ac:dyDescent="0.2">
      <c r="C415" s="66"/>
      <c r="D415" s="66"/>
      <c r="E415" s="78"/>
      <c r="F415" s="82"/>
      <c r="G415" s="67"/>
      <c r="H415" s="72"/>
      <c r="I415" s="72"/>
    </row>
    <row r="416" spans="3:9" x14ac:dyDescent="0.2">
      <c r="C416" s="66"/>
      <c r="D416" s="66"/>
      <c r="E416" s="78"/>
      <c r="F416" s="82"/>
      <c r="G416" s="67"/>
      <c r="H416" s="72"/>
      <c r="I416" s="72"/>
    </row>
    <row r="417" spans="3:9" x14ac:dyDescent="0.2">
      <c r="C417" s="66"/>
      <c r="D417" s="66"/>
      <c r="E417" s="78"/>
      <c r="F417" s="82"/>
      <c r="G417" s="67"/>
      <c r="H417" s="72"/>
      <c r="I417" s="72"/>
    </row>
    <row r="418" spans="3:9" x14ac:dyDescent="0.2">
      <c r="C418" s="66"/>
      <c r="D418" s="66"/>
      <c r="E418" s="78"/>
      <c r="F418" s="82"/>
      <c r="G418" s="67"/>
      <c r="H418" s="72"/>
      <c r="I418" s="72"/>
    </row>
    <row r="419" spans="3:9" x14ac:dyDescent="0.2">
      <c r="C419" s="66"/>
      <c r="D419" s="66"/>
      <c r="E419" s="78"/>
      <c r="F419" s="82"/>
      <c r="G419" s="67"/>
      <c r="H419" s="72"/>
      <c r="I419" s="72"/>
    </row>
    <row r="420" spans="3:9" x14ac:dyDescent="0.2">
      <c r="C420" s="66"/>
      <c r="D420" s="66"/>
      <c r="E420" s="78"/>
      <c r="F420" s="82"/>
      <c r="G420" s="67"/>
      <c r="H420" s="72"/>
      <c r="I420" s="72"/>
    </row>
    <row r="421" spans="3:9" x14ac:dyDescent="0.2">
      <c r="C421" s="66"/>
      <c r="D421" s="66"/>
      <c r="E421" s="78"/>
      <c r="F421" s="82"/>
      <c r="G421" s="67"/>
      <c r="H421" s="72"/>
      <c r="I421" s="72"/>
    </row>
    <row r="422" spans="3:9" x14ac:dyDescent="0.2">
      <c r="C422" s="66"/>
      <c r="D422" s="66"/>
      <c r="E422" s="78"/>
      <c r="F422" s="82"/>
      <c r="G422" s="67"/>
      <c r="H422" s="72"/>
      <c r="I422" s="72"/>
    </row>
    <row r="423" spans="3:9" x14ac:dyDescent="0.2">
      <c r="C423" s="66"/>
      <c r="D423" s="66"/>
      <c r="E423" s="78"/>
      <c r="F423" s="82"/>
      <c r="G423" s="67"/>
      <c r="H423" s="72"/>
      <c r="I423" s="72"/>
    </row>
    <row r="424" spans="3:9" x14ac:dyDescent="0.2">
      <c r="C424" s="66"/>
      <c r="D424" s="66"/>
      <c r="E424" s="78"/>
      <c r="F424" s="82"/>
      <c r="G424" s="67"/>
      <c r="H424" s="72"/>
      <c r="I424" s="72"/>
    </row>
    <row r="425" spans="3:9" x14ac:dyDescent="0.2">
      <c r="C425" s="66"/>
      <c r="D425" s="66"/>
      <c r="E425" s="78"/>
      <c r="F425" s="82"/>
      <c r="G425" s="67"/>
      <c r="H425" s="72"/>
      <c r="I425" s="72"/>
    </row>
    <row r="426" spans="3:9" x14ac:dyDescent="0.2">
      <c r="C426" s="66"/>
      <c r="D426" s="66"/>
      <c r="E426" s="78"/>
      <c r="F426" s="82"/>
      <c r="G426" s="67"/>
      <c r="H426" s="72"/>
      <c r="I426" s="72"/>
    </row>
    <row r="427" spans="3:9" x14ac:dyDescent="0.2">
      <c r="C427" s="66"/>
      <c r="D427" s="66"/>
      <c r="E427" s="78"/>
      <c r="F427" s="82"/>
      <c r="G427" s="67"/>
      <c r="H427" s="72"/>
      <c r="I427" s="72"/>
    </row>
    <row r="428" spans="3:9" x14ac:dyDescent="0.2">
      <c r="C428" s="66"/>
      <c r="D428" s="66"/>
      <c r="E428" s="78"/>
      <c r="F428" s="82"/>
      <c r="G428" s="67"/>
      <c r="H428" s="72"/>
      <c r="I428" s="72"/>
    </row>
    <row r="429" spans="3:9" x14ac:dyDescent="0.2">
      <c r="C429" s="66"/>
      <c r="D429" s="66"/>
      <c r="E429" s="78"/>
      <c r="F429" s="82"/>
      <c r="G429" s="67"/>
      <c r="H429" s="72"/>
      <c r="I429" s="72"/>
    </row>
    <row r="430" spans="3:9" x14ac:dyDescent="0.2">
      <c r="C430" s="66"/>
      <c r="D430" s="66"/>
      <c r="E430" s="78"/>
      <c r="F430" s="82"/>
      <c r="G430" s="67"/>
      <c r="H430" s="72"/>
      <c r="I430" s="72"/>
    </row>
    <row r="431" spans="3:9" x14ac:dyDescent="0.2">
      <c r="C431" s="66"/>
      <c r="D431" s="66"/>
      <c r="E431" s="78"/>
      <c r="F431" s="82"/>
      <c r="G431" s="67"/>
      <c r="H431" s="72"/>
      <c r="I431" s="72"/>
    </row>
    <row r="432" spans="3:9" x14ac:dyDescent="0.2">
      <c r="C432" s="66"/>
      <c r="D432" s="66"/>
      <c r="E432" s="78"/>
      <c r="F432" s="82"/>
      <c r="G432" s="67"/>
      <c r="H432" s="72"/>
      <c r="I432" s="72"/>
    </row>
    <row r="433" spans="3:9" x14ac:dyDescent="0.2">
      <c r="C433" s="66"/>
      <c r="D433" s="66"/>
      <c r="E433" s="78"/>
      <c r="F433" s="82"/>
      <c r="G433" s="67"/>
      <c r="H433" s="72"/>
      <c r="I433" s="72"/>
    </row>
    <row r="434" spans="3:9" x14ac:dyDescent="0.2">
      <c r="C434" s="66"/>
      <c r="D434" s="66"/>
      <c r="E434" s="78"/>
      <c r="F434" s="82"/>
      <c r="G434" s="67"/>
      <c r="H434" s="72"/>
      <c r="I434" s="72"/>
    </row>
    <row r="435" spans="3:9" x14ac:dyDescent="0.2">
      <c r="C435" s="66"/>
      <c r="D435" s="66"/>
      <c r="E435" s="78"/>
      <c r="F435" s="82"/>
      <c r="G435" s="67"/>
      <c r="H435" s="72"/>
      <c r="I435" s="72"/>
    </row>
    <row r="436" spans="3:9" x14ac:dyDescent="0.2">
      <c r="C436" s="66"/>
      <c r="D436" s="66"/>
      <c r="E436" s="78"/>
      <c r="F436" s="82"/>
      <c r="G436" s="67"/>
      <c r="H436" s="72"/>
      <c r="I436" s="72"/>
    </row>
    <row r="437" spans="3:9" x14ac:dyDescent="0.2">
      <c r="C437" s="66"/>
      <c r="D437" s="66"/>
      <c r="E437" s="78"/>
      <c r="F437" s="82"/>
      <c r="G437" s="67"/>
      <c r="H437" s="72"/>
      <c r="I437" s="72"/>
    </row>
    <row r="438" spans="3:9" x14ac:dyDescent="0.2">
      <c r="C438" s="66"/>
      <c r="D438" s="66"/>
      <c r="E438" s="78"/>
      <c r="F438" s="82"/>
      <c r="G438" s="67"/>
      <c r="H438" s="72"/>
      <c r="I438" s="72"/>
    </row>
    <row r="439" spans="3:9" x14ac:dyDescent="0.2">
      <c r="C439" s="66"/>
      <c r="D439" s="66"/>
      <c r="E439" s="78"/>
      <c r="F439" s="82"/>
      <c r="G439" s="67"/>
      <c r="H439" s="72"/>
      <c r="I439" s="72"/>
    </row>
    <row r="440" spans="3:9" x14ac:dyDescent="0.2">
      <c r="C440" s="66"/>
      <c r="D440" s="66"/>
      <c r="E440" s="78"/>
      <c r="F440" s="82"/>
      <c r="G440" s="67"/>
      <c r="H440" s="72"/>
      <c r="I440" s="72"/>
    </row>
    <row r="441" spans="3:9" x14ac:dyDescent="0.2">
      <c r="C441" s="66"/>
      <c r="D441" s="66"/>
      <c r="E441" s="78"/>
      <c r="F441" s="82"/>
      <c r="G441" s="67"/>
      <c r="H441" s="72"/>
      <c r="I441" s="72"/>
    </row>
    <row r="442" spans="3:9" x14ac:dyDescent="0.2">
      <c r="C442" s="66"/>
      <c r="D442" s="66"/>
      <c r="E442" s="78"/>
      <c r="F442" s="82"/>
      <c r="G442" s="67"/>
      <c r="H442" s="72"/>
      <c r="I442" s="72"/>
    </row>
    <row r="443" spans="3:9" x14ac:dyDescent="0.2">
      <c r="C443" s="66"/>
      <c r="D443" s="66"/>
      <c r="E443" s="78"/>
      <c r="F443" s="82"/>
      <c r="G443" s="67"/>
      <c r="H443" s="72"/>
      <c r="I443" s="72"/>
    </row>
    <row r="444" spans="3:9" x14ac:dyDescent="0.2">
      <c r="C444" s="66"/>
      <c r="D444" s="66"/>
      <c r="E444" s="78"/>
      <c r="F444" s="82"/>
      <c r="G444" s="67"/>
      <c r="H444" s="72"/>
      <c r="I444" s="72"/>
    </row>
    <row r="445" spans="3:9" x14ac:dyDescent="0.2">
      <c r="C445" s="66"/>
      <c r="D445" s="66"/>
      <c r="E445" s="78"/>
      <c r="F445" s="82"/>
      <c r="G445" s="67"/>
      <c r="H445" s="72"/>
      <c r="I445" s="72"/>
    </row>
    <row r="446" spans="3:9" x14ac:dyDescent="0.2">
      <c r="C446" s="66"/>
      <c r="D446" s="66"/>
      <c r="E446" s="78"/>
      <c r="F446" s="82"/>
      <c r="G446" s="67"/>
      <c r="H446" s="72"/>
      <c r="I446" s="72"/>
    </row>
    <row r="447" spans="3:9" x14ac:dyDescent="0.2">
      <c r="C447" s="66"/>
      <c r="D447" s="66"/>
      <c r="E447" s="78"/>
      <c r="F447" s="82"/>
      <c r="G447" s="67"/>
      <c r="H447" s="72"/>
      <c r="I447" s="72"/>
    </row>
    <row r="448" spans="3:9" x14ac:dyDescent="0.2">
      <c r="C448" s="66"/>
      <c r="D448" s="66"/>
      <c r="E448" s="78"/>
      <c r="F448" s="82"/>
      <c r="G448" s="67"/>
      <c r="H448" s="72"/>
      <c r="I448" s="72"/>
    </row>
    <row r="449" spans="3:9" x14ac:dyDescent="0.2">
      <c r="C449" s="66"/>
      <c r="D449" s="66"/>
      <c r="E449" s="78"/>
      <c r="F449" s="82"/>
      <c r="G449" s="67"/>
      <c r="H449" s="72"/>
      <c r="I449" s="72"/>
    </row>
    <row r="450" spans="3:9" x14ac:dyDescent="0.2">
      <c r="C450" s="66"/>
      <c r="D450" s="66"/>
      <c r="E450" s="78"/>
      <c r="F450" s="82"/>
      <c r="G450" s="67"/>
      <c r="H450" s="72"/>
      <c r="I450" s="72"/>
    </row>
    <row r="451" spans="3:9" x14ac:dyDescent="0.2">
      <c r="C451" s="66"/>
      <c r="D451" s="66"/>
      <c r="E451" s="78"/>
      <c r="F451" s="82"/>
      <c r="G451" s="67"/>
      <c r="H451" s="72"/>
      <c r="I451" s="72"/>
    </row>
    <row r="452" spans="3:9" x14ac:dyDescent="0.2">
      <c r="C452" s="66"/>
      <c r="D452" s="66"/>
      <c r="E452" s="78"/>
      <c r="F452" s="82"/>
      <c r="G452" s="67"/>
      <c r="H452" s="72"/>
      <c r="I452" s="72"/>
    </row>
    <row r="453" spans="3:9" x14ac:dyDescent="0.2">
      <c r="C453" s="66"/>
      <c r="D453" s="66"/>
      <c r="E453" s="78"/>
      <c r="F453" s="82"/>
      <c r="G453" s="67"/>
      <c r="H453" s="72"/>
      <c r="I453" s="72"/>
    </row>
    <row r="454" spans="3:9" x14ac:dyDescent="0.2">
      <c r="C454" s="66"/>
      <c r="D454" s="66"/>
      <c r="E454" s="78"/>
      <c r="F454" s="82"/>
      <c r="G454" s="67"/>
      <c r="H454" s="72"/>
      <c r="I454" s="72"/>
    </row>
    <row r="455" spans="3:9" x14ac:dyDescent="0.2">
      <c r="C455" s="66"/>
      <c r="D455" s="66"/>
      <c r="E455" s="78"/>
      <c r="F455" s="82"/>
      <c r="G455" s="67"/>
      <c r="H455" s="72"/>
      <c r="I455" s="72"/>
    </row>
    <row r="456" spans="3:9" x14ac:dyDescent="0.2">
      <c r="C456" s="66"/>
      <c r="D456" s="66"/>
      <c r="E456" s="78"/>
      <c r="F456" s="82"/>
      <c r="G456" s="67"/>
      <c r="H456" s="72"/>
      <c r="I456" s="72"/>
    </row>
    <row r="457" spans="3:9" x14ac:dyDescent="0.2">
      <c r="C457" s="66"/>
      <c r="D457" s="66"/>
      <c r="E457" s="78"/>
      <c r="F457" s="82"/>
      <c r="G457" s="67"/>
      <c r="H457" s="72"/>
      <c r="I457" s="72"/>
    </row>
    <row r="458" spans="3:9" x14ac:dyDescent="0.2">
      <c r="C458" s="66"/>
      <c r="D458" s="66"/>
      <c r="E458" s="78"/>
      <c r="F458" s="82"/>
      <c r="G458" s="67"/>
      <c r="H458" s="72"/>
      <c r="I458" s="72"/>
    </row>
    <row r="459" spans="3:9" x14ac:dyDescent="0.2">
      <c r="C459" s="66"/>
      <c r="D459" s="66"/>
      <c r="E459" s="78"/>
      <c r="F459" s="82"/>
      <c r="G459" s="67"/>
      <c r="H459" s="72"/>
      <c r="I459" s="72"/>
    </row>
    <row r="460" spans="3:9" x14ac:dyDescent="0.2">
      <c r="C460" s="66"/>
      <c r="D460" s="66"/>
      <c r="E460" s="78"/>
      <c r="F460" s="82"/>
      <c r="G460" s="67"/>
      <c r="H460" s="72"/>
      <c r="I460" s="72"/>
    </row>
    <row r="461" spans="3:9" x14ac:dyDescent="0.2">
      <c r="C461" s="66"/>
      <c r="D461" s="66"/>
      <c r="E461" s="78"/>
      <c r="F461" s="82"/>
      <c r="G461" s="67"/>
      <c r="H461" s="72"/>
      <c r="I461" s="72"/>
    </row>
    <row r="462" spans="3:9" x14ac:dyDescent="0.2">
      <c r="C462" s="66"/>
      <c r="D462" s="66"/>
      <c r="E462" s="78"/>
      <c r="F462" s="82"/>
      <c r="G462" s="67"/>
      <c r="H462" s="72"/>
      <c r="I462" s="72"/>
    </row>
    <row r="463" spans="3:9" x14ac:dyDescent="0.2">
      <c r="C463" s="66"/>
      <c r="D463" s="66"/>
      <c r="E463" s="78"/>
      <c r="F463" s="82"/>
      <c r="G463" s="67"/>
      <c r="H463" s="72"/>
      <c r="I463" s="72"/>
    </row>
    <row r="464" spans="3:9" x14ac:dyDescent="0.2">
      <c r="C464" s="66"/>
      <c r="D464" s="66"/>
      <c r="E464" s="78"/>
      <c r="F464" s="82"/>
      <c r="G464" s="67"/>
      <c r="H464" s="72"/>
      <c r="I464" s="72"/>
    </row>
    <row r="465" spans="3:9" x14ac:dyDescent="0.2">
      <c r="C465" s="66"/>
      <c r="D465" s="66"/>
      <c r="E465" s="78"/>
      <c r="F465" s="82"/>
      <c r="G465" s="67"/>
      <c r="H465" s="72"/>
      <c r="I465" s="72"/>
    </row>
    <row r="466" spans="3:9" x14ac:dyDescent="0.2">
      <c r="C466" s="66"/>
      <c r="D466" s="66"/>
      <c r="E466" s="78"/>
      <c r="F466" s="82"/>
      <c r="G466" s="67"/>
      <c r="H466" s="72"/>
      <c r="I466" s="72"/>
    </row>
    <row r="467" spans="3:9" x14ac:dyDescent="0.2">
      <c r="C467" s="66"/>
      <c r="D467" s="66"/>
      <c r="E467" s="78"/>
      <c r="F467" s="82"/>
      <c r="G467" s="67"/>
      <c r="H467" s="72"/>
      <c r="I467" s="72"/>
    </row>
    <row r="468" spans="3:9" x14ac:dyDescent="0.2">
      <c r="C468" s="66"/>
      <c r="D468" s="66"/>
      <c r="E468" s="78"/>
      <c r="F468" s="82"/>
      <c r="G468" s="67"/>
      <c r="H468" s="72"/>
      <c r="I468" s="72"/>
    </row>
    <row r="469" spans="3:9" x14ac:dyDescent="0.2">
      <c r="C469" s="66"/>
      <c r="D469" s="66"/>
      <c r="E469" s="78"/>
      <c r="F469" s="82"/>
      <c r="G469" s="67"/>
      <c r="H469" s="72"/>
      <c r="I469" s="72"/>
    </row>
    <row r="470" spans="3:9" x14ac:dyDescent="0.2">
      <c r="C470" s="66"/>
      <c r="D470" s="66"/>
      <c r="E470" s="78"/>
      <c r="F470" s="82"/>
      <c r="G470" s="67"/>
      <c r="H470" s="72"/>
      <c r="I470" s="72"/>
    </row>
    <row r="471" spans="3:9" x14ac:dyDescent="0.2">
      <c r="C471" s="66"/>
      <c r="D471" s="66"/>
      <c r="E471" s="78"/>
      <c r="F471" s="82"/>
      <c r="G471" s="67"/>
      <c r="H471" s="72"/>
      <c r="I471" s="72"/>
    </row>
    <row r="472" spans="3:9" x14ac:dyDescent="0.2">
      <c r="C472" s="66"/>
      <c r="D472" s="66"/>
      <c r="E472" s="78"/>
      <c r="F472" s="82"/>
      <c r="G472" s="67"/>
      <c r="H472" s="72"/>
      <c r="I472" s="72"/>
    </row>
    <row r="473" spans="3:9" x14ac:dyDescent="0.2">
      <c r="C473" s="66"/>
      <c r="D473" s="66"/>
      <c r="E473" s="78"/>
      <c r="F473" s="82"/>
      <c r="G473" s="67"/>
      <c r="H473" s="72"/>
      <c r="I473" s="72"/>
    </row>
    <row r="474" spans="3:9" x14ac:dyDescent="0.2">
      <c r="C474" s="66"/>
      <c r="D474" s="66"/>
      <c r="E474" s="78"/>
      <c r="F474" s="82"/>
      <c r="G474" s="67"/>
      <c r="H474" s="72"/>
      <c r="I474" s="72"/>
    </row>
    <row r="475" spans="3:9" x14ac:dyDescent="0.2">
      <c r="C475" s="66"/>
      <c r="D475" s="66"/>
      <c r="E475" s="78"/>
      <c r="F475" s="82"/>
      <c r="G475" s="67"/>
      <c r="H475" s="72"/>
      <c r="I475" s="72"/>
    </row>
    <row r="476" spans="3:9" x14ac:dyDescent="0.2">
      <c r="C476" s="66"/>
      <c r="D476" s="66"/>
      <c r="E476" s="78"/>
      <c r="F476" s="82"/>
      <c r="G476" s="67"/>
      <c r="H476" s="72"/>
      <c r="I476" s="72"/>
    </row>
    <row r="477" spans="3:9" x14ac:dyDescent="0.2">
      <c r="C477" s="66"/>
      <c r="D477" s="66"/>
      <c r="E477" s="78"/>
      <c r="F477" s="82"/>
      <c r="G477" s="67"/>
      <c r="H477" s="72"/>
      <c r="I477" s="72"/>
    </row>
    <row r="478" spans="3:9" x14ac:dyDescent="0.2">
      <c r="C478" s="66"/>
      <c r="D478" s="66"/>
      <c r="E478" s="78"/>
      <c r="F478" s="82"/>
      <c r="G478" s="67"/>
      <c r="H478" s="72"/>
      <c r="I478" s="72"/>
    </row>
    <row r="479" spans="3:9" x14ac:dyDescent="0.2">
      <c r="C479" s="66"/>
      <c r="D479" s="66"/>
      <c r="E479" s="78"/>
      <c r="F479" s="82"/>
      <c r="G479" s="67"/>
      <c r="H479" s="72"/>
      <c r="I479" s="72"/>
    </row>
    <row r="480" spans="3:9" x14ac:dyDescent="0.2">
      <c r="C480" s="66"/>
      <c r="D480" s="66"/>
      <c r="E480" s="78"/>
      <c r="F480" s="82"/>
      <c r="G480" s="67"/>
      <c r="H480" s="72"/>
      <c r="I480" s="72"/>
    </row>
    <row r="481" spans="3:9" x14ac:dyDescent="0.2">
      <c r="C481" s="66"/>
      <c r="D481" s="66"/>
      <c r="E481" s="78"/>
      <c r="F481" s="82"/>
      <c r="G481" s="67"/>
      <c r="H481" s="72"/>
      <c r="I481" s="72"/>
    </row>
    <row r="482" spans="3:9" x14ac:dyDescent="0.2">
      <c r="C482" s="66"/>
      <c r="D482" s="66"/>
      <c r="E482" s="78"/>
      <c r="F482" s="82"/>
      <c r="G482" s="67"/>
      <c r="H482" s="72"/>
      <c r="I482" s="72"/>
    </row>
    <row r="483" spans="3:9" x14ac:dyDescent="0.2">
      <c r="C483" s="66"/>
      <c r="D483" s="66"/>
      <c r="E483" s="78"/>
      <c r="F483" s="82"/>
      <c r="G483" s="67"/>
      <c r="H483" s="72"/>
      <c r="I483" s="72"/>
    </row>
    <row r="484" spans="3:9" x14ac:dyDescent="0.2">
      <c r="C484" s="66"/>
      <c r="D484" s="66"/>
      <c r="E484" s="78"/>
      <c r="F484" s="82"/>
      <c r="G484" s="67"/>
      <c r="H484" s="72"/>
      <c r="I484" s="72"/>
    </row>
    <row r="485" spans="3:9" x14ac:dyDescent="0.2">
      <c r="C485" s="66"/>
      <c r="D485" s="66"/>
      <c r="E485" s="78"/>
      <c r="F485" s="82"/>
      <c r="G485" s="67"/>
      <c r="H485" s="72"/>
      <c r="I485" s="72"/>
    </row>
    <row r="486" spans="3:9" x14ac:dyDescent="0.2">
      <c r="C486" s="66"/>
      <c r="D486" s="66"/>
      <c r="E486" s="78"/>
      <c r="F486" s="82"/>
      <c r="G486" s="67"/>
      <c r="H486" s="72"/>
      <c r="I486" s="72"/>
    </row>
    <row r="487" spans="3:9" x14ac:dyDescent="0.2">
      <c r="C487" s="66"/>
      <c r="D487" s="66"/>
      <c r="E487" s="78"/>
      <c r="F487" s="82"/>
      <c r="G487" s="67"/>
      <c r="H487" s="72"/>
      <c r="I487" s="72"/>
    </row>
    <row r="488" spans="3:9" x14ac:dyDescent="0.2">
      <c r="C488" s="66"/>
      <c r="D488" s="66"/>
      <c r="E488" s="78"/>
      <c r="F488" s="82"/>
      <c r="G488" s="67"/>
      <c r="H488" s="72"/>
      <c r="I488" s="72"/>
    </row>
    <row r="489" spans="3:9" x14ac:dyDescent="0.2">
      <c r="C489" s="66"/>
      <c r="D489" s="66"/>
      <c r="E489" s="78"/>
      <c r="F489" s="82"/>
      <c r="G489" s="67"/>
      <c r="H489" s="72"/>
      <c r="I489" s="72"/>
    </row>
    <row r="490" spans="3:9" x14ac:dyDescent="0.2">
      <c r="C490" s="66"/>
      <c r="D490" s="66"/>
      <c r="E490" s="78"/>
      <c r="F490" s="82"/>
      <c r="G490" s="67"/>
      <c r="H490" s="72"/>
      <c r="I490" s="72"/>
    </row>
    <row r="491" spans="3:9" x14ac:dyDescent="0.2">
      <c r="C491" s="66"/>
      <c r="D491" s="66"/>
      <c r="E491" s="78"/>
      <c r="F491" s="82"/>
      <c r="G491" s="67"/>
      <c r="H491" s="72"/>
      <c r="I491" s="72"/>
    </row>
    <row r="492" spans="3:9" x14ac:dyDescent="0.2">
      <c r="C492" s="66"/>
      <c r="D492" s="66"/>
      <c r="E492" s="78"/>
      <c r="F492" s="82"/>
      <c r="G492" s="67"/>
      <c r="H492" s="72"/>
      <c r="I492" s="72"/>
    </row>
    <row r="493" spans="3:9" x14ac:dyDescent="0.2">
      <c r="C493" s="66"/>
      <c r="D493" s="66"/>
      <c r="E493" s="78"/>
      <c r="F493" s="82"/>
      <c r="G493" s="67"/>
      <c r="H493" s="72"/>
      <c r="I493" s="72"/>
    </row>
    <row r="494" spans="3:9" x14ac:dyDescent="0.2">
      <c r="C494" s="66"/>
      <c r="D494" s="66"/>
      <c r="E494" s="78"/>
      <c r="F494" s="82"/>
      <c r="G494" s="67"/>
      <c r="H494" s="72"/>
      <c r="I494" s="72"/>
    </row>
    <row r="495" spans="3:9" x14ac:dyDescent="0.2">
      <c r="C495" s="66"/>
      <c r="D495" s="66"/>
      <c r="E495" s="78"/>
      <c r="F495" s="82"/>
      <c r="G495" s="67"/>
      <c r="H495" s="72"/>
      <c r="I495" s="72"/>
    </row>
    <row r="496" spans="3:9" x14ac:dyDescent="0.2">
      <c r="C496" s="66"/>
      <c r="D496" s="66"/>
      <c r="E496" s="78"/>
      <c r="F496" s="82"/>
      <c r="G496" s="67"/>
      <c r="H496" s="72"/>
      <c r="I496" s="72"/>
    </row>
    <row r="497" spans="3:9" x14ac:dyDescent="0.2">
      <c r="C497" s="66"/>
      <c r="D497" s="66"/>
      <c r="E497" s="78"/>
      <c r="F497" s="82"/>
      <c r="G497" s="67"/>
      <c r="H497" s="72"/>
      <c r="I497" s="72"/>
    </row>
    <row r="498" spans="3:9" x14ac:dyDescent="0.2">
      <c r="C498" s="66"/>
      <c r="D498" s="66"/>
      <c r="E498" s="78"/>
      <c r="F498" s="82"/>
      <c r="G498" s="67"/>
      <c r="H498" s="72"/>
      <c r="I498" s="72"/>
    </row>
    <row r="499" spans="3:9" x14ac:dyDescent="0.2">
      <c r="C499" s="66"/>
      <c r="D499" s="66"/>
      <c r="E499" s="78"/>
      <c r="F499" s="82"/>
      <c r="G499" s="67"/>
      <c r="H499" s="72"/>
      <c r="I499" s="72"/>
    </row>
    <row r="500" spans="3:9" x14ac:dyDescent="0.2">
      <c r="C500" s="66"/>
      <c r="D500" s="66"/>
      <c r="E500" s="78"/>
      <c r="F500" s="82"/>
      <c r="G500" s="67"/>
      <c r="H500" s="72"/>
      <c r="I500" s="72"/>
    </row>
    <row r="501" spans="3:9" x14ac:dyDescent="0.2">
      <c r="C501" s="66"/>
      <c r="D501" s="66"/>
      <c r="E501" s="78"/>
      <c r="F501" s="82"/>
      <c r="G501" s="67"/>
      <c r="H501" s="72"/>
      <c r="I501" s="72"/>
    </row>
    <row r="502" spans="3:9" x14ac:dyDescent="0.2">
      <c r="C502" s="66"/>
      <c r="D502" s="66"/>
      <c r="E502" s="78"/>
      <c r="F502" s="82"/>
      <c r="G502" s="67"/>
      <c r="H502" s="72"/>
      <c r="I502" s="72"/>
    </row>
    <row r="503" spans="3:9" x14ac:dyDescent="0.2">
      <c r="C503" s="66"/>
      <c r="D503" s="66"/>
      <c r="E503" s="78"/>
      <c r="F503" s="82"/>
      <c r="G503" s="67"/>
      <c r="H503" s="72"/>
      <c r="I503" s="72"/>
    </row>
    <row r="504" spans="3:9" x14ac:dyDescent="0.2">
      <c r="C504" s="66"/>
      <c r="D504" s="66"/>
      <c r="E504" s="78"/>
      <c r="F504" s="82"/>
      <c r="G504" s="67"/>
      <c r="H504" s="72"/>
      <c r="I504" s="72"/>
    </row>
    <row r="505" spans="3:9" x14ac:dyDescent="0.2">
      <c r="C505" s="66"/>
      <c r="D505" s="66"/>
      <c r="E505" s="78"/>
      <c r="F505" s="82"/>
      <c r="G505" s="67"/>
      <c r="H505" s="72"/>
      <c r="I505" s="72"/>
    </row>
    <row r="506" spans="3:9" x14ac:dyDescent="0.2">
      <c r="C506" s="66"/>
      <c r="D506" s="66"/>
      <c r="E506" s="78"/>
      <c r="F506" s="82"/>
      <c r="G506" s="67"/>
      <c r="H506" s="72"/>
      <c r="I506" s="72"/>
    </row>
    <row r="507" spans="3:9" x14ac:dyDescent="0.2">
      <c r="C507" s="66"/>
      <c r="D507" s="66"/>
      <c r="E507" s="78"/>
      <c r="F507" s="82"/>
      <c r="G507" s="67"/>
      <c r="H507" s="72"/>
      <c r="I507" s="72"/>
    </row>
    <row r="508" spans="3:9" x14ac:dyDescent="0.2">
      <c r="C508" s="66"/>
      <c r="D508" s="66"/>
      <c r="E508" s="78"/>
      <c r="F508" s="82"/>
      <c r="G508" s="67"/>
      <c r="H508" s="72"/>
      <c r="I508" s="72"/>
    </row>
    <row r="509" spans="3:9" x14ac:dyDescent="0.2">
      <c r="C509" s="66"/>
      <c r="D509" s="66"/>
      <c r="E509" s="78"/>
      <c r="F509" s="82"/>
      <c r="G509" s="67"/>
      <c r="H509" s="72"/>
      <c r="I509" s="72"/>
    </row>
    <row r="510" spans="3:9" x14ac:dyDescent="0.2">
      <c r="C510" s="66"/>
      <c r="D510" s="66"/>
      <c r="E510" s="78"/>
      <c r="F510" s="82"/>
      <c r="G510" s="67"/>
      <c r="H510" s="72"/>
      <c r="I510" s="72"/>
    </row>
    <row r="511" spans="3:9" x14ac:dyDescent="0.2">
      <c r="C511" s="66"/>
      <c r="D511" s="66"/>
      <c r="E511" s="78"/>
      <c r="F511" s="82"/>
      <c r="G511" s="67"/>
      <c r="H511" s="72"/>
      <c r="I511" s="72"/>
    </row>
    <row r="512" spans="3:9" x14ac:dyDescent="0.2">
      <c r="C512" s="66"/>
      <c r="D512" s="66"/>
      <c r="E512" s="78"/>
      <c r="F512" s="82"/>
      <c r="G512" s="67"/>
      <c r="H512" s="72"/>
      <c r="I512" s="72"/>
    </row>
    <row r="513" spans="3:9" x14ac:dyDescent="0.2">
      <c r="C513" s="66"/>
      <c r="D513" s="66"/>
      <c r="E513" s="78"/>
      <c r="F513" s="82"/>
      <c r="G513" s="67"/>
      <c r="H513" s="72"/>
      <c r="I513" s="72"/>
    </row>
    <row r="514" spans="3:9" x14ac:dyDescent="0.2">
      <c r="C514" s="66"/>
      <c r="D514" s="66"/>
      <c r="E514" s="78"/>
      <c r="F514" s="82"/>
      <c r="G514" s="67"/>
      <c r="H514" s="72"/>
      <c r="I514" s="72"/>
    </row>
    <row r="515" spans="3:9" x14ac:dyDescent="0.2">
      <c r="C515" s="66"/>
      <c r="D515" s="66"/>
      <c r="E515" s="78"/>
      <c r="F515" s="82"/>
      <c r="G515" s="67"/>
      <c r="H515" s="72"/>
      <c r="I515" s="72"/>
    </row>
    <row r="516" spans="3:9" x14ac:dyDescent="0.2">
      <c r="C516" s="66"/>
      <c r="D516" s="66"/>
      <c r="E516" s="78"/>
      <c r="F516" s="82"/>
      <c r="G516" s="67"/>
      <c r="H516" s="72"/>
      <c r="I516" s="72"/>
    </row>
    <row r="517" spans="3:9" x14ac:dyDescent="0.2">
      <c r="C517" s="66"/>
      <c r="D517" s="66"/>
      <c r="E517" s="78"/>
      <c r="F517" s="82"/>
      <c r="G517" s="67"/>
      <c r="H517" s="72"/>
      <c r="I517" s="72"/>
    </row>
    <row r="518" spans="3:9" x14ac:dyDescent="0.2">
      <c r="C518" s="66"/>
      <c r="D518" s="66"/>
      <c r="E518" s="78"/>
      <c r="F518" s="82"/>
      <c r="G518" s="67"/>
      <c r="H518" s="72"/>
      <c r="I518" s="72"/>
    </row>
    <row r="519" spans="3:9" x14ac:dyDescent="0.2">
      <c r="C519" s="66"/>
      <c r="D519" s="66"/>
      <c r="E519" s="78"/>
      <c r="F519" s="82"/>
      <c r="G519" s="67"/>
      <c r="H519" s="72"/>
      <c r="I519" s="72"/>
    </row>
    <row r="520" spans="3:9" x14ac:dyDescent="0.2">
      <c r="C520" s="66"/>
      <c r="D520" s="66"/>
      <c r="E520" s="78"/>
      <c r="F520" s="82"/>
      <c r="G520" s="67"/>
      <c r="H520" s="72"/>
      <c r="I520" s="72"/>
    </row>
    <row r="521" spans="3:9" x14ac:dyDescent="0.2">
      <c r="C521" s="66"/>
      <c r="D521" s="66"/>
      <c r="E521" s="78"/>
      <c r="F521" s="82"/>
      <c r="G521" s="67"/>
      <c r="H521" s="72"/>
      <c r="I521" s="72"/>
    </row>
    <row r="522" spans="3:9" x14ac:dyDescent="0.2">
      <c r="C522" s="66"/>
      <c r="D522" s="66"/>
      <c r="E522" s="78"/>
      <c r="F522" s="82"/>
      <c r="G522" s="67"/>
      <c r="H522" s="72"/>
      <c r="I522" s="72"/>
    </row>
    <row r="523" spans="3:9" x14ac:dyDescent="0.2">
      <c r="C523" s="66"/>
      <c r="D523" s="66"/>
      <c r="E523" s="78"/>
      <c r="F523" s="82"/>
      <c r="G523" s="67"/>
      <c r="H523" s="72"/>
      <c r="I523" s="72"/>
    </row>
    <row r="524" spans="3:9" x14ac:dyDescent="0.2">
      <c r="C524" s="66"/>
      <c r="D524" s="66"/>
      <c r="E524" s="78"/>
      <c r="F524" s="82"/>
      <c r="G524" s="67"/>
      <c r="H524" s="72"/>
      <c r="I524" s="72"/>
    </row>
    <row r="525" spans="3:9" x14ac:dyDescent="0.2">
      <c r="C525" s="66"/>
      <c r="D525" s="66"/>
      <c r="E525" s="78"/>
      <c r="F525" s="82"/>
      <c r="G525" s="67"/>
      <c r="H525" s="72"/>
      <c r="I525" s="72"/>
    </row>
    <row r="526" spans="3:9" x14ac:dyDescent="0.2">
      <c r="C526" s="66"/>
      <c r="D526" s="66"/>
      <c r="E526" s="78"/>
      <c r="F526" s="82"/>
      <c r="G526" s="67"/>
      <c r="H526" s="72"/>
      <c r="I526" s="72"/>
    </row>
    <row r="527" spans="3:9" x14ac:dyDescent="0.2">
      <c r="C527" s="66"/>
      <c r="D527" s="66"/>
      <c r="E527" s="78"/>
      <c r="F527" s="82"/>
      <c r="G527" s="67"/>
      <c r="H527" s="72"/>
      <c r="I527" s="72"/>
    </row>
    <row r="528" spans="3:9" x14ac:dyDescent="0.2">
      <c r="C528" s="66"/>
      <c r="D528" s="66"/>
      <c r="E528" s="78"/>
      <c r="F528" s="82"/>
      <c r="G528" s="67"/>
      <c r="H528" s="72"/>
      <c r="I528" s="72"/>
    </row>
    <row r="529" spans="3:9" x14ac:dyDescent="0.2">
      <c r="C529" s="66"/>
      <c r="D529" s="66"/>
      <c r="E529" s="78"/>
      <c r="F529" s="82"/>
      <c r="G529" s="67"/>
      <c r="H529" s="72"/>
      <c r="I529" s="72"/>
    </row>
    <row r="530" spans="3:9" x14ac:dyDescent="0.2">
      <c r="C530" s="66"/>
      <c r="D530" s="66"/>
      <c r="E530" s="78"/>
      <c r="F530" s="82"/>
      <c r="G530" s="67"/>
      <c r="H530" s="72"/>
      <c r="I530" s="72"/>
    </row>
    <row r="531" spans="3:9" x14ac:dyDescent="0.2">
      <c r="C531" s="66"/>
      <c r="D531" s="66"/>
      <c r="E531" s="78"/>
      <c r="F531" s="82"/>
      <c r="G531" s="67"/>
      <c r="H531" s="72"/>
      <c r="I531" s="72"/>
    </row>
    <row r="532" spans="3:9" x14ac:dyDescent="0.2">
      <c r="C532" s="66"/>
      <c r="D532" s="66"/>
      <c r="E532" s="78"/>
      <c r="F532" s="82"/>
      <c r="G532" s="67"/>
      <c r="H532" s="72"/>
      <c r="I532" s="72"/>
    </row>
    <row r="533" spans="3:9" x14ac:dyDescent="0.2">
      <c r="C533" s="66"/>
      <c r="D533" s="66"/>
      <c r="E533" s="78"/>
      <c r="F533" s="82"/>
      <c r="G533" s="67"/>
      <c r="H533" s="72"/>
      <c r="I533" s="72"/>
    </row>
    <row r="534" spans="3:9" x14ac:dyDescent="0.2">
      <c r="C534" s="66"/>
      <c r="D534" s="66"/>
      <c r="E534" s="78"/>
      <c r="F534" s="82"/>
      <c r="G534" s="67"/>
      <c r="H534" s="72"/>
      <c r="I534" s="72"/>
    </row>
    <row r="535" spans="3:9" x14ac:dyDescent="0.2">
      <c r="C535" s="66"/>
      <c r="D535" s="66"/>
      <c r="E535" s="78"/>
      <c r="F535" s="82"/>
      <c r="G535" s="67"/>
      <c r="H535" s="72"/>
      <c r="I535" s="72"/>
    </row>
    <row r="536" spans="3:9" x14ac:dyDescent="0.2">
      <c r="C536" s="66"/>
      <c r="D536" s="66"/>
      <c r="E536" s="78"/>
      <c r="F536" s="82"/>
      <c r="G536" s="67"/>
      <c r="H536" s="72"/>
      <c r="I536" s="72"/>
    </row>
    <row r="537" spans="3:9" x14ac:dyDescent="0.2">
      <c r="C537" s="66"/>
      <c r="D537" s="66"/>
      <c r="E537" s="78"/>
      <c r="F537" s="82"/>
      <c r="G537" s="67"/>
      <c r="H537" s="72"/>
      <c r="I537" s="72"/>
    </row>
    <row r="538" spans="3:9" x14ac:dyDescent="0.2">
      <c r="C538" s="66"/>
      <c r="D538" s="66"/>
      <c r="E538" s="78"/>
      <c r="F538" s="82"/>
      <c r="G538" s="67"/>
      <c r="H538" s="72"/>
      <c r="I538" s="72"/>
    </row>
    <row r="539" spans="3:9" x14ac:dyDescent="0.2">
      <c r="C539" s="66"/>
      <c r="D539" s="66"/>
      <c r="E539" s="78"/>
      <c r="F539" s="82"/>
      <c r="G539" s="67"/>
      <c r="H539" s="72"/>
      <c r="I539" s="72"/>
    </row>
    <row r="540" spans="3:9" x14ac:dyDescent="0.2">
      <c r="C540" s="66"/>
      <c r="D540" s="66"/>
      <c r="E540" s="78"/>
      <c r="F540" s="82"/>
      <c r="G540" s="67"/>
      <c r="H540" s="72"/>
      <c r="I540" s="72"/>
    </row>
    <row r="541" spans="3:9" x14ac:dyDescent="0.2">
      <c r="C541" s="66"/>
      <c r="D541" s="66"/>
      <c r="E541" s="78"/>
      <c r="F541" s="82"/>
      <c r="G541" s="67"/>
      <c r="H541" s="72"/>
      <c r="I541" s="72"/>
    </row>
    <row r="542" spans="3:9" x14ac:dyDescent="0.2">
      <c r="C542" s="66"/>
      <c r="D542" s="66"/>
      <c r="E542" s="78"/>
      <c r="F542" s="82"/>
      <c r="G542" s="67"/>
      <c r="H542" s="72"/>
      <c r="I542" s="72"/>
    </row>
    <row r="543" spans="3:9" x14ac:dyDescent="0.2">
      <c r="C543" s="66"/>
      <c r="D543" s="66"/>
      <c r="E543" s="78"/>
      <c r="F543" s="82"/>
      <c r="G543" s="67"/>
      <c r="H543" s="72"/>
      <c r="I543" s="72"/>
    </row>
    <row r="544" spans="3:9" x14ac:dyDescent="0.2">
      <c r="C544" s="66"/>
      <c r="D544" s="66"/>
      <c r="E544" s="78"/>
      <c r="F544" s="82"/>
      <c r="G544" s="67"/>
      <c r="H544" s="72"/>
      <c r="I544" s="72"/>
    </row>
    <row r="545" spans="3:9" x14ac:dyDescent="0.2">
      <c r="C545" s="66"/>
      <c r="D545" s="66"/>
      <c r="E545" s="78"/>
      <c r="F545" s="82"/>
      <c r="G545" s="67"/>
      <c r="H545" s="72"/>
      <c r="I545" s="72"/>
    </row>
    <row r="546" spans="3:9" x14ac:dyDescent="0.2">
      <c r="C546" s="66"/>
      <c r="D546" s="66"/>
      <c r="E546" s="78"/>
      <c r="F546" s="82"/>
      <c r="G546" s="67"/>
      <c r="H546" s="72"/>
      <c r="I546" s="72"/>
    </row>
    <row r="547" spans="3:9" x14ac:dyDescent="0.2">
      <c r="C547" s="66"/>
      <c r="D547" s="66"/>
      <c r="E547" s="78"/>
      <c r="F547" s="82"/>
      <c r="G547" s="67"/>
      <c r="H547" s="72"/>
      <c r="I547" s="72"/>
    </row>
    <row r="548" spans="3:9" x14ac:dyDescent="0.2">
      <c r="C548" s="66"/>
      <c r="D548" s="66"/>
      <c r="E548" s="78"/>
      <c r="F548" s="82"/>
      <c r="G548" s="67"/>
      <c r="H548" s="72"/>
      <c r="I548" s="72"/>
    </row>
    <row r="549" spans="3:9" x14ac:dyDescent="0.2">
      <c r="C549" s="66"/>
      <c r="D549" s="66"/>
      <c r="E549" s="78"/>
      <c r="F549" s="82"/>
      <c r="G549" s="67"/>
      <c r="H549" s="72"/>
      <c r="I549" s="72"/>
    </row>
    <row r="550" spans="3:9" x14ac:dyDescent="0.2">
      <c r="C550" s="66"/>
      <c r="D550" s="66"/>
      <c r="E550" s="78"/>
      <c r="F550" s="82"/>
      <c r="G550" s="67"/>
      <c r="H550" s="72"/>
      <c r="I550" s="72"/>
    </row>
    <row r="551" spans="3:9" x14ac:dyDescent="0.2">
      <c r="C551" s="66"/>
      <c r="D551" s="66"/>
      <c r="E551" s="78"/>
      <c r="F551" s="82"/>
      <c r="G551" s="67"/>
      <c r="H551" s="72"/>
      <c r="I551" s="72"/>
    </row>
    <row r="552" spans="3:9" x14ac:dyDescent="0.2">
      <c r="C552" s="66"/>
      <c r="D552" s="66"/>
      <c r="E552" s="78"/>
      <c r="F552" s="82"/>
      <c r="G552" s="67"/>
      <c r="H552" s="72"/>
      <c r="I552" s="72"/>
    </row>
    <row r="553" spans="3:9" x14ac:dyDescent="0.2">
      <c r="C553" s="66"/>
      <c r="D553" s="66"/>
      <c r="E553" s="78"/>
      <c r="F553" s="82"/>
      <c r="G553" s="67"/>
      <c r="H553" s="72"/>
      <c r="I553" s="72"/>
    </row>
    <row r="554" spans="3:9" x14ac:dyDescent="0.2">
      <c r="C554" s="66"/>
      <c r="D554" s="66"/>
      <c r="E554" s="78"/>
      <c r="F554" s="82"/>
      <c r="G554" s="67"/>
      <c r="H554" s="72"/>
      <c r="I554" s="72"/>
    </row>
    <row r="555" spans="3:9" x14ac:dyDescent="0.2">
      <c r="C555" s="66"/>
      <c r="D555" s="66"/>
      <c r="E555" s="78"/>
      <c r="F555" s="82"/>
      <c r="G555" s="67"/>
      <c r="H555" s="72"/>
      <c r="I555" s="72"/>
    </row>
    <row r="556" spans="3:9" x14ac:dyDescent="0.2">
      <c r="C556" s="66"/>
      <c r="D556" s="66"/>
      <c r="E556" s="78"/>
      <c r="F556" s="82"/>
      <c r="G556" s="67"/>
      <c r="H556" s="72"/>
      <c r="I556" s="72"/>
    </row>
    <row r="557" spans="3:9" x14ac:dyDescent="0.2">
      <c r="C557" s="66"/>
      <c r="D557" s="66"/>
      <c r="E557" s="78"/>
      <c r="F557" s="82"/>
      <c r="G557" s="67"/>
      <c r="H557" s="72"/>
      <c r="I557" s="72"/>
    </row>
    <row r="558" spans="3:9" x14ac:dyDescent="0.2">
      <c r="C558" s="66"/>
      <c r="D558" s="66"/>
      <c r="E558" s="78"/>
      <c r="F558" s="82"/>
      <c r="G558" s="67"/>
      <c r="H558" s="72"/>
      <c r="I558" s="72"/>
    </row>
    <row r="559" spans="3:9" x14ac:dyDescent="0.2">
      <c r="C559" s="66"/>
      <c r="D559" s="66"/>
      <c r="E559" s="78"/>
      <c r="F559" s="82"/>
      <c r="G559" s="67"/>
      <c r="H559" s="72"/>
      <c r="I559" s="72"/>
    </row>
    <row r="560" spans="3:9" x14ac:dyDescent="0.2">
      <c r="C560" s="66"/>
      <c r="D560" s="66"/>
      <c r="E560" s="78"/>
      <c r="F560" s="82"/>
      <c r="G560" s="67"/>
      <c r="H560" s="72"/>
      <c r="I560" s="72"/>
    </row>
    <row r="561" spans="3:9" x14ac:dyDescent="0.2">
      <c r="C561" s="66"/>
      <c r="D561" s="66"/>
      <c r="E561" s="78"/>
      <c r="F561" s="82"/>
      <c r="G561" s="67"/>
      <c r="H561" s="72"/>
      <c r="I561" s="72"/>
    </row>
    <row r="562" spans="3:9" x14ac:dyDescent="0.2">
      <c r="C562" s="66"/>
      <c r="D562" s="66"/>
      <c r="E562" s="78"/>
      <c r="F562" s="82"/>
      <c r="G562" s="67"/>
      <c r="H562" s="72"/>
      <c r="I562" s="72"/>
    </row>
    <row r="563" spans="3:9" x14ac:dyDescent="0.2">
      <c r="C563" s="66"/>
      <c r="D563" s="66"/>
      <c r="E563" s="78"/>
      <c r="F563" s="82"/>
      <c r="G563" s="67"/>
      <c r="H563" s="72"/>
      <c r="I563" s="72"/>
    </row>
    <row r="564" spans="3:9" x14ac:dyDescent="0.2">
      <c r="C564" s="66"/>
      <c r="D564" s="66"/>
      <c r="E564" s="78"/>
      <c r="F564" s="82"/>
      <c r="G564" s="67"/>
      <c r="H564" s="72"/>
      <c r="I564" s="72"/>
    </row>
    <row r="565" spans="3:9" x14ac:dyDescent="0.2">
      <c r="C565" s="66"/>
      <c r="D565" s="66"/>
      <c r="E565" s="78"/>
      <c r="F565" s="82"/>
      <c r="G565" s="67"/>
      <c r="H565" s="72"/>
      <c r="I565" s="72"/>
    </row>
    <row r="566" spans="3:9" x14ac:dyDescent="0.2">
      <c r="C566" s="66"/>
      <c r="D566" s="66"/>
      <c r="E566" s="78"/>
      <c r="F566" s="82"/>
      <c r="G566" s="67"/>
      <c r="H566" s="72"/>
      <c r="I566" s="72"/>
    </row>
    <row r="567" spans="3:9" x14ac:dyDescent="0.2">
      <c r="C567" s="66"/>
      <c r="D567" s="66"/>
      <c r="E567" s="78"/>
      <c r="F567" s="82"/>
      <c r="G567" s="67"/>
      <c r="H567" s="72"/>
      <c r="I567" s="72"/>
    </row>
    <row r="568" spans="3:9" x14ac:dyDescent="0.2">
      <c r="C568" s="66"/>
      <c r="D568" s="66"/>
      <c r="E568" s="78"/>
      <c r="F568" s="82"/>
      <c r="G568" s="67"/>
      <c r="H568" s="72"/>
      <c r="I568" s="72"/>
    </row>
    <row r="569" spans="3:9" x14ac:dyDescent="0.2">
      <c r="C569" s="66"/>
      <c r="D569" s="66"/>
      <c r="E569" s="78"/>
      <c r="F569" s="82"/>
      <c r="G569" s="67"/>
      <c r="H569" s="72"/>
      <c r="I569" s="72"/>
    </row>
    <row r="570" spans="3:9" x14ac:dyDescent="0.2">
      <c r="C570" s="66"/>
      <c r="D570" s="66"/>
      <c r="E570" s="78"/>
      <c r="F570" s="82"/>
      <c r="G570" s="67"/>
      <c r="H570" s="72"/>
      <c r="I570" s="72"/>
    </row>
    <row r="571" spans="3:9" x14ac:dyDescent="0.2">
      <c r="C571" s="66"/>
      <c r="D571" s="66"/>
      <c r="E571" s="78"/>
      <c r="F571" s="82"/>
      <c r="G571" s="67"/>
      <c r="H571" s="72"/>
      <c r="I571" s="72"/>
    </row>
    <row r="572" spans="3:9" x14ac:dyDescent="0.2">
      <c r="C572" s="66"/>
      <c r="D572" s="66"/>
      <c r="E572" s="78"/>
      <c r="F572" s="82"/>
      <c r="G572" s="67"/>
      <c r="H572" s="72"/>
      <c r="I572" s="72"/>
    </row>
    <row r="573" spans="3:9" x14ac:dyDescent="0.2">
      <c r="C573" s="66"/>
      <c r="D573" s="66"/>
      <c r="E573" s="78"/>
      <c r="F573" s="82"/>
      <c r="G573" s="67"/>
      <c r="H573" s="72"/>
      <c r="I573" s="72"/>
    </row>
    <row r="574" spans="3:9" x14ac:dyDescent="0.2">
      <c r="C574" s="66"/>
      <c r="D574" s="66"/>
      <c r="E574" s="78"/>
      <c r="F574" s="82"/>
      <c r="G574" s="67"/>
      <c r="H574" s="72"/>
      <c r="I574" s="72"/>
    </row>
    <row r="575" spans="3:9" x14ac:dyDescent="0.2">
      <c r="C575" s="66"/>
      <c r="D575" s="66"/>
      <c r="E575" s="78"/>
      <c r="F575" s="82"/>
      <c r="G575" s="67"/>
      <c r="H575" s="72"/>
      <c r="I575" s="72"/>
    </row>
    <row r="576" spans="3:9" x14ac:dyDescent="0.2">
      <c r="C576" s="66"/>
      <c r="D576" s="66"/>
      <c r="E576" s="78"/>
      <c r="F576" s="82"/>
      <c r="G576" s="67"/>
      <c r="H576" s="72"/>
      <c r="I576" s="72"/>
    </row>
    <row r="577" spans="3:9" x14ac:dyDescent="0.2">
      <c r="C577" s="66"/>
      <c r="D577" s="66"/>
      <c r="E577" s="78"/>
      <c r="F577" s="82"/>
      <c r="G577" s="67"/>
      <c r="H577" s="72"/>
      <c r="I577" s="72"/>
    </row>
    <row r="578" spans="3:9" x14ac:dyDescent="0.2">
      <c r="C578" s="66"/>
      <c r="D578" s="66"/>
      <c r="E578" s="78"/>
      <c r="F578" s="82"/>
      <c r="G578" s="67"/>
      <c r="H578" s="72"/>
      <c r="I578" s="72"/>
    </row>
    <row r="579" spans="3:9" x14ac:dyDescent="0.2">
      <c r="C579" s="66"/>
      <c r="D579" s="66"/>
      <c r="E579" s="78"/>
      <c r="F579" s="82"/>
      <c r="G579" s="67"/>
      <c r="H579" s="72"/>
      <c r="I579" s="72"/>
    </row>
    <row r="580" spans="3:9" x14ac:dyDescent="0.2">
      <c r="C580" s="66"/>
      <c r="D580" s="66"/>
      <c r="E580" s="78"/>
      <c r="F580" s="82"/>
      <c r="G580" s="67"/>
      <c r="H580" s="72"/>
      <c r="I580" s="72"/>
    </row>
    <row r="581" spans="3:9" x14ac:dyDescent="0.2">
      <c r="C581" s="66"/>
      <c r="D581" s="66"/>
      <c r="E581" s="78"/>
      <c r="F581" s="82"/>
      <c r="G581" s="67"/>
      <c r="H581" s="72"/>
      <c r="I581" s="72"/>
    </row>
    <row r="582" spans="3:9" x14ac:dyDescent="0.2">
      <c r="C582" s="66"/>
      <c r="D582" s="66"/>
      <c r="E582" s="78"/>
      <c r="F582" s="82"/>
      <c r="G582" s="67"/>
      <c r="H582" s="72"/>
      <c r="I582" s="72"/>
    </row>
    <row r="583" spans="3:9" x14ac:dyDescent="0.2">
      <c r="C583" s="66"/>
      <c r="D583" s="66"/>
      <c r="E583" s="78"/>
      <c r="F583" s="82"/>
      <c r="G583" s="67"/>
      <c r="H583" s="72"/>
      <c r="I583" s="72"/>
    </row>
    <row r="584" spans="3:9" x14ac:dyDescent="0.2">
      <c r="C584" s="66"/>
      <c r="D584" s="66"/>
      <c r="E584" s="78"/>
      <c r="F584" s="82"/>
      <c r="G584" s="67"/>
      <c r="H584" s="72"/>
      <c r="I584" s="72"/>
    </row>
    <row r="585" spans="3:9" x14ac:dyDescent="0.2">
      <c r="C585" s="66"/>
      <c r="D585" s="66"/>
      <c r="E585" s="78"/>
      <c r="F585" s="82"/>
      <c r="G585" s="67"/>
      <c r="H585" s="72"/>
      <c r="I585" s="72"/>
    </row>
    <row r="586" spans="3:9" x14ac:dyDescent="0.2">
      <c r="C586" s="66"/>
      <c r="D586" s="66"/>
      <c r="E586" s="78"/>
      <c r="F586" s="82"/>
      <c r="G586" s="67"/>
      <c r="H586" s="72"/>
      <c r="I586" s="72"/>
    </row>
    <row r="587" spans="3:9" x14ac:dyDescent="0.2">
      <c r="C587" s="66"/>
      <c r="D587" s="66"/>
      <c r="E587" s="78"/>
      <c r="F587" s="82"/>
      <c r="G587" s="67"/>
      <c r="H587" s="72"/>
      <c r="I587" s="72"/>
    </row>
    <row r="588" spans="3:9" x14ac:dyDescent="0.2">
      <c r="C588" s="66"/>
      <c r="D588" s="66"/>
      <c r="E588" s="78"/>
      <c r="F588" s="82"/>
      <c r="G588" s="67"/>
      <c r="H588" s="72"/>
      <c r="I588" s="72"/>
    </row>
    <row r="589" spans="3:9" x14ac:dyDescent="0.2">
      <c r="C589" s="66"/>
      <c r="D589" s="66"/>
      <c r="E589" s="78"/>
      <c r="F589" s="82"/>
      <c r="G589" s="67"/>
      <c r="H589" s="72"/>
      <c r="I589" s="72"/>
    </row>
    <row r="590" spans="3:9" x14ac:dyDescent="0.2">
      <c r="C590" s="66"/>
      <c r="D590" s="66"/>
      <c r="E590" s="78"/>
      <c r="F590" s="82"/>
      <c r="G590" s="67"/>
      <c r="H590" s="72"/>
      <c r="I590" s="72"/>
    </row>
    <row r="591" spans="3:9" x14ac:dyDescent="0.2">
      <c r="C591" s="66"/>
      <c r="D591" s="66"/>
      <c r="E591" s="78"/>
      <c r="F591" s="82"/>
      <c r="G591" s="67"/>
      <c r="H591" s="72"/>
      <c r="I591" s="72"/>
    </row>
    <row r="592" spans="3:9" x14ac:dyDescent="0.2">
      <c r="C592" s="66"/>
      <c r="D592" s="66"/>
      <c r="E592" s="78"/>
      <c r="F592" s="82"/>
      <c r="G592" s="67"/>
      <c r="H592" s="72"/>
      <c r="I592" s="72"/>
    </row>
    <row r="593" spans="3:9" x14ac:dyDescent="0.2">
      <c r="C593" s="66"/>
      <c r="D593" s="66"/>
      <c r="E593" s="78"/>
      <c r="F593" s="82"/>
      <c r="G593" s="67"/>
      <c r="H593" s="72"/>
      <c r="I593" s="72"/>
    </row>
    <row r="594" spans="3:9" x14ac:dyDescent="0.2">
      <c r="C594" s="66"/>
      <c r="D594" s="66"/>
      <c r="E594" s="78"/>
      <c r="F594" s="82"/>
      <c r="G594" s="67"/>
      <c r="H594" s="72"/>
      <c r="I594" s="72"/>
    </row>
    <row r="595" spans="3:9" x14ac:dyDescent="0.2">
      <c r="C595" s="66"/>
      <c r="D595" s="66"/>
      <c r="E595" s="78"/>
      <c r="F595" s="82"/>
      <c r="G595" s="67"/>
      <c r="H595" s="72"/>
      <c r="I595" s="72"/>
    </row>
    <row r="596" spans="3:9" x14ac:dyDescent="0.2">
      <c r="C596" s="66"/>
      <c r="D596" s="66"/>
      <c r="E596" s="78"/>
      <c r="F596" s="82"/>
      <c r="G596" s="67"/>
      <c r="H596" s="72"/>
      <c r="I596" s="72"/>
    </row>
    <row r="597" spans="3:9" x14ac:dyDescent="0.2">
      <c r="C597" s="66"/>
      <c r="D597" s="66"/>
      <c r="E597" s="78"/>
      <c r="F597" s="82"/>
      <c r="G597" s="67"/>
      <c r="H597" s="72"/>
      <c r="I597" s="72"/>
    </row>
    <row r="598" spans="3:9" x14ac:dyDescent="0.2">
      <c r="C598" s="66"/>
      <c r="D598" s="66"/>
      <c r="E598" s="78"/>
      <c r="F598" s="82"/>
      <c r="G598" s="67"/>
      <c r="H598" s="72"/>
      <c r="I598" s="72"/>
    </row>
    <row r="599" spans="3:9" x14ac:dyDescent="0.2">
      <c r="C599" s="66"/>
      <c r="D599" s="66"/>
      <c r="E599" s="78"/>
      <c r="F599" s="82"/>
      <c r="G599" s="67"/>
      <c r="H599" s="72"/>
      <c r="I599" s="72"/>
    </row>
    <row r="600" spans="3:9" x14ac:dyDescent="0.2">
      <c r="C600" s="66"/>
      <c r="D600" s="66"/>
      <c r="E600" s="78"/>
      <c r="F600" s="82"/>
      <c r="G600" s="67"/>
      <c r="H600" s="72"/>
      <c r="I600" s="72"/>
    </row>
    <row r="601" spans="3:9" x14ac:dyDescent="0.2">
      <c r="C601" s="66"/>
      <c r="D601" s="66"/>
      <c r="E601" s="78"/>
      <c r="F601" s="82"/>
      <c r="G601" s="67"/>
      <c r="H601" s="72"/>
      <c r="I601" s="72"/>
    </row>
    <row r="602" spans="3:9" x14ac:dyDescent="0.2">
      <c r="C602" s="66"/>
      <c r="D602" s="66"/>
      <c r="E602" s="78"/>
      <c r="F602" s="82"/>
      <c r="G602" s="67"/>
      <c r="H602" s="72"/>
      <c r="I602" s="72"/>
    </row>
    <row r="603" spans="3:9" x14ac:dyDescent="0.2">
      <c r="C603" s="66"/>
      <c r="D603" s="66"/>
      <c r="E603" s="78"/>
      <c r="F603" s="82"/>
      <c r="G603" s="67"/>
      <c r="H603" s="72"/>
      <c r="I603" s="72"/>
    </row>
    <row r="604" spans="3:9" x14ac:dyDescent="0.2">
      <c r="C604" s="66"/>
      <c r="D604" s="66"/>
      <c r="E604" s="78"/>
      <c r="F604" s="82"/>
      <c r="G604" s="67"/>
      <c r="H604" s="72"/>
      <c r="I604" s="72"/>
    </row>
    <row r="605" spans="3:9" x14ac:dyDescent="0.2">
      <c r="C605" s="66"/>
      <c r="D605" s="66"/>
      <c r="E605" s="78"/>
      <c r="F605" s="82"/>
      <c r="G605" s="67"/>
      <c r="H605" s="72"/>
      <c r="I605" s="72"/>
    </row>
    <row r="606" spans="3:9" x14ac:dyDescent="0.2">
      <c r="C606" s="66"/>
      <c r="D606" s="66"/>
      <c r="E606" s="78"/>
      <c r="F606" s="82"/>
      <c r="G606" s="67"/>
      <c r="H606" s="72"/>
      <c r="I606" s="72"/>
    </row>
    <row r="607" spans="3:9" x14ac:dyDescent="0.2">
      <c r="C607" s="66"/>
      <c r="D607" s="66"/>
      <c r="E607" s="78"/>
      <c r="F607" s="82"/>
      <c r="G607" s="67"/>
      <c r="H607" s="72"/>
      <c r="I607" s="72"/>
    </row>
    <row r="608" spans="3:9" x14ac:dyDescent="0.2">
      <c r="C608" s="66"/>
      <c r="D608" s="66"/>
      <c r="E608" s="78"/>
      <c r="F608" s="82"/>
      <c r="G608" s="67"/>
      <c r="H608" s="72"/>
      <c r="I608" s="72"/>
    </row>
    <row r="609" spans="3:9" x14ac:dyDescent="0.2">
      <c r="C609" s="66"/>
      <c r="D609" s="66"/>
      <c r="E609" s="78"/>
      <c r="F609" s="82"/>
      <c r="G609" s="67"/>
      <c r="H609" s="72"/>
      <c r="I609" s="72"/>
    </row>
    <row r="610" spans="3:9" x14ac:dyDescent="0.2">
      <c r="C610" s="66"/>
      <c r="D610" s="66"/>
      <c r="E610" s="78"/>
      <c r="F610" s="82"/>
      <c r="G610" s="67"/>
      <c r="H610" s="72"/>
      <c r="I610" s="72"/>
    </row>
    <row r="611" spans="3:9" x14ac:dyDescent="0.2">
      <c r="C611" s="66"/>
      <c r="D611" s="66"/>
      <c r="E611" s="78"/>
      <c r="F611" s="82"/>
      <c r="G611" s="67"/>
      <c r="H611" s="72"/>
      <c r="I611" s="72"/>
    </row>
    <row r="612" spans="3:9" x14ac:dyDescent="0.2">
      <c r="C612" s="66"/>
      <c r="D612" s="66"/>
      <c r="E612" s="78"/>
      <c r="F612" s="82"/>
      <c r="G612" s="67"/>
      <c r="H612" s="72"/>
      <c r="I612" s="72"/>
    </row>
    <row r="613" spans="3:9" x14ac:dyDescent="0.2">
      <c r="C613" s="66"/>
      <c r="D613" s="66"/>
      <c r="E613" s="78"/>
      <c r="F613" s="82"/>
      <c r="G613" s="67"/>
      <c r="H613" s="72"/>
      <c r="I613" s="72"/>
    </row>
    <row r="614" spans="3:9" x14ac:dyDescent="0.2">
      <c r="C614" s="66"/>
      <c r="D614" s="66"/>
      <c r="E614" s="78"/>
      <c r="F614" s="82"/>
      <c r="G614" s="67"/>
      <c r="H614" s="72"/>
      <c r="I614" s="72"/>
    </row>
    <row r="615" spans="3:9" x14ac:dyDescent="0.2">
      <c r="C615" s="66"/>
      <c r="D615" s="66"/>
      <c r="E615" s="78"/>
      <c r="F615" s="82"/>
      <c r="G615" s="67"/>
      <c r="H615" s="72"/>
      <c r="I615" s="72"/>
    </row>
    <row r="616" spans="3:9" x14ac:dyDescent="0.2">
      <c r="C616" s="66"/>
      <c r="D616" s="66"/>
      <c r="E616" s="78"/>
      <c r="F616" s="82"/>
      <c r="G616" s="67"/>
      <c r="H616" s="72"/>
      <c r="I616" s="72"/>
    </row>
    <row r="617" spans="3:9" x14ac:dyDescent="0.2">
      <c r="C617" s="66"/>
      <c r="D617" s="66"/>
      <c r="E617" s="78"/>
      <c r="F617" s="82"/>
      <c r="G617" s="67"/>
      <c r="H617" s="72"/>
      <c r="I617" s="72"/>
    </row>
    <row r="618" spans="3:9" x14ac:dyDescent="0.2">
      <c r="C618" s="66"/>
      <c r="D618" s="66"/>
      <c r="E618" s="78"/>
      <c r="F618" s="82"/>
      <c r="G618" s="67"/>
      <c r="H618" s="72"/>
      <c r="I618" s="72"/>
    </row>
    <row r="619" spans="3:9" x14ac:dyDescent="0.2">
      <c r="C619" s="66"/>
      <c r="D619" s="66"/>
      <c r="E619" s="78"/>
      <c r="F619" s="82"/>
      <c r="G619" s="67"/>
      <c r="H619" s="72"/>
      <c r="I619" s="72"/>
    </row>
    <row r="620" spans="3:9" x14ac:dyDescent="0.2">
      <c r="C620" s="66"/>
      <c r="D620" s="66"/>
      <c r="E620" s="78"/>
      <c r="F620" s="82"/>
      <c r="G620" s="67"/>
      <c r="H620" s="72"/>
      <c r="I620" s="72"/>
    </row>
    <row r="621" spans="3:9" x14ac:dyDescent="0.2">
      <c r="C621" s="66"/>
      <c r="D621" s="66"/>
      <c r="E621" s="78"/>
      <c r="F621" s="82"/>
      <c r="G621" s="67"/>
      <c r="H621" s="72"/>
      <c r="I621" s="72"/>
    </row>
    <row r="622" spans="3:9" x14ac:dyDescent="0.2">
      <c r="C622" s="66"/>
      <c r="D622" s="66"/>
      <c r="E622" s="78"/>
      <c r="F622" s="82"/>
      <c r="G622" s="67"/>
      <c r="H622" s="72"/>
      <c r="I622" s="72"/>
    </row>
    <row r="623" spans="3:9" x14ac:dyDescent="0.2">
      <c r="C623" s="66"/>
      <c r="D623" s="66"/>
      <c r="E623" s="78"/>
      <c r="F623" s="82"/>
      <c r="G623" s="67"/>
      <c r="H623" s="72"/>
      <c r="I623" s="72"/>
    </row>
    <row r="624" spans="3:9" x14ac:dyDescent="0.2">
      <c r="C624" s="66"/>
      <c r="D624" s="66"/>
      <c r="E624" s="78"/>
      <c r="F624" s="82"/>
      <c r="G624" s="67"/>
      <c r="H624" s="72"/>
      <c r="I624" s="72"/>
    </row>
    <row r="625" spans="3:9" x14ac:dyDescent="0.2">
      <c r="C625" s="66"/>
      <c r="D625" s="66"/>
      <c r="E625" s="78"/>
      <c r="F625" s="82"/>
      <c r="G625" s="67"/>
      <c r="H625" s="72"/>
      <c r="I625" s="72"/>
    </row>
    <row r="626" spans="3:9" x14ac:dyDescent="0.2">
      <c r="C626" s="66"/>
      <c r="D626" s="66"/>
      <c r="E626" s="78"/>
      <c r="F626" s="82"/>
      <c r="G626" s="67"/>
      <c r="H626" s="72"/>
      <c r="I626" s="72"/>
    </row>
    <row r="627" spans="3:9" x14ac:dyDescent="0.2">
      <c r="C627" s="66"/>
      <c r="D627" s="66"/>
      <c r="E627" s="78"/>
      <c r="F627" s="82"/>
      <c r="G627" s="67"/>
      <c r="H627" s="72"/>
      <c r="I627" s="72"/>
    </row>
    <row r="628" spans="3:9" x14ac:dyDescent="0.2">
      <c r="C628" s="66"/>
      <c r="D628" s="66"/>
      <c r="E628" s="78"/>
      <c r="F628" s="82"/>
      <c r="G628" s="67"/>
      <c r="H628" s="72"/>
      <c r="I628" s="72"/>
    </row>
    <row r="629" spans="3:9" x14ac:dyDescent="0.2">
      <c r="C629" s="66"/>
      <c r="D629" s="66"/>
      <c r="E629" s="78"/>
      <c r="F629" s="82"/>
      <c r="G629" s="67"/>
      <c r="H629" s="72"/>
      <c r="I629" s="72"/>
    </row>
    <row r="630" spans="3:9" x14ac:dyDescent="0.2">
      <c r="C630" s="66"/>
      <c r="D630" s="66"/>
      <c r="E630" s="78"/>
      <c r="F630" s="82"/>
      <c r="G630" s="67"/>
      <c r="H630" s="72"/>
      <c r="I630" s="72"/>
    </row>
    <row r="631" spans="3:9" x14ac:dyDescent="0.2">
      <c r="C631" s="66"/>
      <c r="D631" s="66"/>
      <c r="E631" s="78"/>
      <c r="F631" s="82"/>
      <c r="G631" s="67"/>
      <c r="H631" s="72"/>
      <c r="I631" s="72"/>
    </row>
    <row r="632" spans="3:9" x14ac:dyDescent="0.2">
      <c r="C632" s="66"/>
      <c r="D632" s="66"/>
      <c r="E632" s="78"/>
      <c r="F632" s="82"/>
      <c r="G632" s="67"/>
      <c r="H632" s="72"/>
      <c r="I632" s="72"/>
    </row>
    <row r="633" spans="3:9" x14ac:dyDescent="0.2">
      <c r="C633" s="66"/>
      <c r="D633" s="66"/>
      <c r="E633" s="78"/>
      <c r="F633" s="82"/>
      <c r="G633" s="67"/>
      <c r="H633" s="72"/>
      <c r="I633" s="72"/>
    </row>
    <row r="634" spans="3:9" x14ac:dyDescent="0.2">
      <c r="C634" s="66"/>
      <c r="D634" s="66"/>
      <c r="E634" s="78"/>
      <c r="F634" s="82"/>
      <c r="G634" s="67"/>
      <c r="H634" s="72"/>
      <c r="I634" s="72"/>
    </row>
    <row r="635" spans="3:9" x14ac:dyDescent="0.2">
      <c r="C635" s="66"/>
      <c r="D635" s="66"/>
      <c r="E635" s="78"/>
      <c r="F635" s="82"/>
      <c r="G635" s="67"/>
      <c r="H635" s="72"/>
      <c r="I635" s="72"/>
    </row>
    <row r="636" spans="3:9" x14ac:dyDescent="0.2">
      <c r="C636" s="66"/>
      <c r="D636" s="66"/>
      <c r="E636" s="78"/>
      <c r="F636" s="82"/>
      <c r="G636" s="67"/>
      <c r="H636" s="72"/>
      <c r="I636" s="72"/>
    </row>
    <row r="637" spans="3:9" x14ac:dyDescent="0.2">
      <c r="C637" s="66"/>
      <c r="D637" s="66"/>
      <c r="E637" s="78"/>
      <c r="F637" s="82"/>
      <c r="G637" s="67"/>
      <c r="H637" s="72"/>
      <c r="I637" s="72"/>
    </row>
    <row r="638" spans="3:9" x14ac:dyDescent="0.2">
      <c r="C638" s="66"/>
      <c r="D638" s="66"/>
      <c r="E638" s="78"/>
      <c r="F638" s="82"/>
      <c r="G638" s="67"/>
      <c r="H638" s="72"/>
      <c r="I638" s="72"/>
    </row>
    <row r="639" spans="3:9" x14ac:dyDescent="0.2">
      <c r="C639" s="66"/>
      <c r="D639" s="66"/>
      <c r="E639" s="78"/>
      <c r="F639" s="82"/>
      <c r="G639" s="67"/>
      <c r="H639" s="72"/>
      <c r="I639" s="72"/>
    </row>
    <row r="640" spans="3:9" x14ac:dyDescent="0.2">
      <c r="C640" s="66"/>
      <c r="D640" s="66"/>
      <c r="E640" s="78"/>
      <c r="F640" s="82"/>
      <c r="G640" s="67"/>
      <c r="H640" s="72"/>
      <c r="I640" s="72"/>
    </row>
    <row r="641" spans="3:9" x14ac:dyDescent="0.2">
      <c r="C641" s="66"/>
      <c r="D641" s="66"/>
      <c r="E641" s="78"/>
      <c r="F641" s="82"/>
      <c r="G641" s="67"/>
      <c r="H641" s="72"/>
      <c r="I641" s="72"/>
    </row>
    <row r="642" spans="3:9" x14ac:dyDescent="0.2">
      <c r="C642" s="66"/>
      <c r="D642" s="66"/>
      <c r="E642" s="78"/>
      <c r="F642" s="82"/>
      <c r="G642" s="67"/>
      <c r="H642" s="72"/>
      <c r="I642" s="72"/>
    </row>
    <row r="643" spans="3:9" x14ac:dyDescent="0.2">
      <c r="C643" s="66"/>
      <c r="D643" s="66"/>
      <c r="E643" s="78"/>
      <c r="F643" s="82"/>
      <c r="G643" s="67"/>
      <c r="H643" s="72"/>
      <c r="I643" s="72"/>
    </row>
    <row r="644" spans="3:9" x14ac:dyDescent="0.2">
      <c r="C644" s="66"/>
      <c r="D644" s="66"/>
      <c r="E644" s="78"/>
      <c r="F644" s="82"/>
      <c r="G644" s="67"/>
      <c r="H644" s="72"/>
      <c r="I644" s="72"/>
    </row>
    <row r="645" spans="3:9" x14ac:dyDescent="0.2">
      <c r="C645" s="66"/>
      <c r="D645" s="66"/>
      <c r="E645" s="78"/>
      <c r="F645" s="82"/>
      <c r="G645" s="67"/>
      <c r="H645" s="72"/>
      <c r="I645" s="72"/>
    </row>
    <row r="646" spans="3:9" x14ac:dyDescent="0.2">
      <c r="C646" s="66"/>
      <c r="D646" s="66"/>
      <c r="E646" s="78"/>
      <c r="F646" s="82"/>
      <c r="G646" s="67"/>
      <c r="H646" s="72"/>
      <c r="I646" s="72"/>
    </row>
    <row r="647" spans="3:9" x14ac:dyDescent="0.2">
      <c r="C647" s="66"/>
      <c r="D647" s="66"/>
      <c r="E647" s="78"/>
      <c r="F647" s="82"/>
      <c r="G647" s="67"/>
      <c r="H647" s="72"/>
      <c r="I647" s="72"/>
    </row>
    <row r="648" spans="3:9" x14ac:dyDescent="0.2">
      <c r="C648" s="66"/>
      <c r="D648" s="66"/>
      <c r="E648" s="78"/>
      <c r="F648" s="82"/>
      <c r="G648" s="67"/>
      <c r="H648" s="72"/>
      <c r="I648" s="72"/>
    </row>
    <row r="649" spans="3:9" x14ac:dyDescent="0.2">
      <c r="C649" s="66"/>
      <c r="D649" s="66"/>
      <c r="E649" s="78"/>
      <c r="F649" s="82"/>
      <c r="G649" s="67"/>
      <c r="H649" s="72"/>
      <c r="I649" s="72"/>
    </row>
    <row r="650" spans="3:9" x14ac:dyDescent="0.2">
      <c r="C650" s="66"/>
      <c r="D650" s="66"/>
      <c r="E650" s="78"/>
      <c r="F650" s="82"/>
      <c r="G650" s="67"/>
      <c r="H650" s="72"/>
      <c r="I650" s="72"/>
    </row>
    <row r="651" spans="3:9" x14ac:dyDescent="0.2">
      <c r="C651" s="66"/>
      <c r="D651" s="66"/>
      <c r="E651" s="78"/>
      <c r="F651" s="82"/>
      <c r="G651" s="67"/>
      <c r="H651" s="72"/>
      <c r="I651" s="72"/>
    </row>
    <row r="652" spans="3:9" x14ac:dyDescent="0.2">
      <c r="C652" s="66"/>
      <c r="D652" s="66"/>
      <c r="E652" s="78"/>
      <c r="F652" s="82"/>
      <c r="G652" s="67"/>
      <c r="H652" s="72"/>
      <c r="I652" s="72"/>
    </row>
    <row r="653" spans="3:9" x14ac:dyDescent="0.2">
      <c r="C653" s="66"/>
      <c r="D653" s="66"/>
      <c r="E653" s="78"/>
      <c r="F653" s="82"/>
      <c r="G653" s="67"/>
      <c r="H653" s="72"/>
      <c r="I653" s="72"/>
    </row>
    <row r="654" spans="3:9" x14ac:dyDescent="0.2">
      <c r="C654" s="66"/>
      <c r="D654" s="66"/>
      <c r="E654" s="78"/>
      <c r="F654" s="82"/>
      <c r="G654" s="67"/>
      <c r="H654" s="72"/>
      <c r="I654" s="72"/>
    </row>
    <row r="655" spans="3:9" x14ac:dyDescent="0.2">
      <c r="C655" s="66"/>
      <c r="D655" s="66"/>
      <c r="E655" s="78"/>
      <c r="F655" s="82"/>
      <c r="G655" s="67"/>
      <c r="H655" s="72"/>
      <c r="I655" s="72"/>
    </row>
    <row r="656" spans="3:9" x14ac:dyDescent="0.2">
      <c r="C656" s="66"/>
      <c r="D656" s="66"/>
      <c r="E656" s="78"/>
      <c r="F656" s="82"/>
      <c r="G656" s="67"/>
      <c r="H656" s="72"/>
      <c r="I656" s="72"/>
    </row>
    <row r="657" spans="3:9" x14ac:dyDescent="0.2">
      <c r="C657" s="66"/>
      <c r="D657" s="66"/>
      <c r="E657" s="78"/>
      <c r="F657" s="82"/>
      <c r="G657" s="67"/>
      <c r="H657" s="72"/>
      <c r="I657" s="72"/>
    </row>
    <row r="658" spans="3:9" x14ac:dyDescent="0.2">
      <c r="C658" s="66"/>
      <c r="D658" s="66"/>
      <c r="E658" s="78"/>
      <c r="F658" s="82"/>
      <c r="G658" s="67"/>
      <c r="H658" s="72"/>
      <c r="I658" s="72"/>
    </row>
    <row r="659" spans="3:9" x14ac:dyDescent="0.2">
      <c r="C659" s="66"/>
      <c r="D659" s="66"/>
      <c r="E659" s="78"/>
      <c r="F659" s="82"/>
      <c r="G659" s="67"/>
      <c r="H659" s="72"/>
      <c r="I659" s="72"/>
    </row>
    <row r="660" spans="3:9" x14ac:dyDescent="0.2">
      <c r="C660" s="66"/>
      <c r="D660" s="66"/>
      <c r="E660" s="78"/>
      <c r="F660" s="82"/>
      <c r="G660" s="67"/>
      <c r="H660" s="72"/>
      <c r="I660" s="72"/>
    </row>
    <row r="661" spans="3:9" x14ac:dyDescent="0.2">
      <c r="C661" s="66"/>
      <c r="D661" s="66"/>
      <c r="E661" s="78"/>
      <c r="F661" s="82"/>
      <c r="G661" s="67"/>
      <c r="H661" s="72"/>
      <c r="I661" s="72"/>
    </row>
    <row r="662" spans="3:9" x14ac:dyDescent="0.2">
      <c r="C662" s="66"/>
      <c r="D662" s="66"/>
      <c r="E662" s="78"/>
      <c r="F662" s="82"/>
      <c r="G662" s="67"/>
      <c r="H662" s="72"/>
      <c r="I662" s="72"/>
    </row>
    <row r="663" spans="3:9" x14ac:dyDescent="0.2">
      <c r="C663" s="66"/>
      <c r="D663" s="66"/>
      <c r="E663" s="78"/>
      <c r="F663" s="82"/>
      <c r="G663" s="67"/>
      <c r="H663" s="72"/>
      <c r="I663" s="72"/>
    </row>
    <row r="664" spans="3:9" x14ac:dyDescent="0.2">
      <c r="C664" s="66"/>
      <c r="D664" s="66"/>
      <c r="E664" s="78"/>
      <c r="F664" s="82"/>
      <c r="G664" s="67"/>
      <c r="H664" s="72"/>
      <c r="I664" s="72"/>
    </row>
    <row r="665" spans="3:9" x14ac:dyDescent="0.2">
      <c r="C665" s="66"/>
      <c r="D665" s="66"/>
      <c r="E665" s="78"/>
      <c r="F665" s="82"/>
      <c r="G665" s="67"/>
      <c r="H665" s="72"/>
      <c r="I665" s="72"/>
    </row>
    <row r="666" spans="3:9" x14ac:dyDescent="0.2">
      <c r="C666" s="66"/>
      <c r="D666" s="66"/>
      <c r="E666" s="78"/>
      <c r="F666" s="82"/>
      <c r="G666" s="67"/>
      <c r="H666" s="72"/>
      <c r="I666" s="72"/>
    </row>
    <row r="667" spans="3:9" x14ac:dyDescent="0.2">
      <c r="C667" s="66"/>
      <c r="D667" s="66"/>
      <c r="E667" s="78"/>
      <c r="F667" s="82"/>
      <c r="G667" s="67"/>
      <c r="H667" s="72"/>
      <c r="I667" s="72"/>
    </row>
    <row r="668" spans="3:9" x14ac:dyDescent="0.2">
      <c r="C668" s="66"/>
      <c r="D668" s="66"/>
      <c r="E668" s="78"/>
      <c r="F668" s="82"/>
      <c r="G668" s="67"/>
      <c r="H668" s="72"/>
      <c r="I668" s="72"/>
    </row>
    <row r="669" spans="3:9" x14ac:dyDescent="0.2">
      <c r="C669" s="66"/>
      <c r="D669" s="66"/>
      <c r="E669" s="78"/>
      <c r="F669" s="82"/>
      <c r="G669" s="67"/>
      <c r="H669" s="72"/>
      <c r="I669" s="72"/>
    </row>
    <row r="670" spans="3:9" x14ac:dyDescent="0.2">
      <c r="C670" s="66"/>
      <c r="D670" s="66"/>
      <c r="E670" s="78"/>
      <c r="F670" s="82"/>
      <c r="G670" s="67"/>
      <c r="H670" s="72"/>
      <c r="I670" s="72"/>
    </row>
    <row r="671" spans="3:9" x14ac:dyDescent="0.2">
      <c r="C671" s="66"/>
      <c r="D671" s="66"/>
      <c r="E671" s="78"/>
      <c r="F671" s="82"/>
      <c r="G671" s="67"/>
      <c r="H671" s="72"/>
      <c r="I671" s="72"/>
    </row>
    <row r="672" spans="3:9" x14ac:dyDescent="0.2">
      <c r="C672" s="66"/>
      <c r="D672" s="66"/>
      <c r="E672" s="78"/>
      <c r="F672" s="82"/>
      <c r="G672" s="67"/>
      <c r="H672" s="72"/>
      <c r="I672" s="72"/>
    </row>
    <row r="673" spans="3:9" x14ac:dyDescent="0.2">
      <c r="C673" s="66"/>
      <c r="D673" s="66"/>
      <c r="E673" s="78"/>
      <c r="F673" s="82"/>
      <c r="G673" s="67"/>
      <c r="H673" s="72"/>
      <c r="I673" s="72"/>
    </row>
    <row r="674" spans="3:9" x14ac:dyDescent="0.2">
      <c r="C674" s="66"/>
      <c r="D674" s="66"/>
      <c r="E674" s="78"/>
      <c r="F674" s="82"/>
      <c r="G674" s="67"/>
      <c r="H674" s="72"/>
      <c r="I674" s="72"/>
    </row>
    <row r="675" spans="3:9" x14ac:dyDescent="0.2">
      <c r="C675" s="66"/>
      <c r="D675" s="66"/>
      <c r="E675" s="78"/>
      <c r="F675" s="82"/>
      <c r="G675" s="67"/>
      <c r="H675" s="72"/>
      <c r="I675" s="72"/>
    </row>
    <row r="676" spans="3:9" x14ac:dyDescent="0.2">
      <c r="C676" s="66"/>
      <c r="D676" s="66"/>
      <c r="E676" s="78"/>
      <c r="F676" s="82"/>
      <c r="G676" s="67"/>
      <c r="H676" s="72"/>
      <c r="I676" s="72"/>
    </row>
    <row r="677" spans="3:9" x14ac:dyDescent="0.2">
      <c r="C677" s="66"/>
      <c r="D677" s="66"/>
      <c r="E677" s="78"/>
      <c r="F677" s="82"/>
      <c r="G677" s="67"/>
      <c r="H677" s="72"/>
      <c r="I677" s="72"/>
    </row>
    <row r="678" spans="3:9" x14ac:dyDescent="0.2">
      <c r="C678" s="66"/>
      <c r="D678" s="66"/>
      <c r="E678" s="78"/>
      <c r="F678" s="82"/>
      <c r="G678" s="67"/>
      <c r="H678" s="72"/>
      <c r="I678" s="72"/>
    </row>
    <row r="679" spans="3:9" x14ac:dyDescent="0.2">
      <c r="C679" s="66"/>
      <c r="D679" s="66"/>
      <c r="E679" s="78"/>
      <c r="F679" s="82"/>
      <c r="G679" s="67"/>
      <c r="H679" s="72"/>
      <c r="I679" s="72"/>
    </row>
    <row r="680" spans="3:9" x14ac:dyDescent="0.2">
      <c r="C680" s="66"/>
      <c r="D680" s="66"/>
      <c r="E680" s="78"/>
      <c r="F680" s="82"/>
      <c r="G680" s="67"/>
      <c r="H680" s="72"/>
      <c r="I680" s="72"/>
    </row>
    <row r="681" spans="3:9" x14ac:dyDescent="0.2">
      <c r="C681" s="66"/>
      <c r="D681" s="66"/>
      <c r="E681" s="78"/>
      <c r="F681" s="82"/>
      <c r="G681" s="67"/>
      <c r="H681" s="72"/>
      <c r="I681" s="72"/>
    </row>
    <row r="682" spans="3:9" x14ac:dyDescent="0.2">
      <c r="C682" s="66"/>
      <c r="D682" s="66"/>
      <c r="E682" s="78"/>
      <c r="F682" s="82"/>
      <c r="G682" s="67"/>
      <c r="H682" s="72"/>
      <c r="I682" s="72"/>
    </row>
    <row r="683" spans="3:9" x14ac:dyDescent="0.2">
      <c r="C683" s="66"/>
      <c r="D683" s="66"/>
      <c r="E683" s="78"/>
      <c r="F683" s="82"/>
      <c r="G683" s="67"/>
      <c r="H683" s="72"/>
      <c r="I683" s="72"/>
    </row>
    <row r="684" spans="3:9" x14ac:dyDescent="0.2">
      <c r="C684" s="66"/>
      <c r="D684" s="66"/>
      <c r="E684" s="78"/>
      <c r="F684" s="82"/>
      <c r="G684" s="67"/>
      <c r="H684" s="72"/>
      <c r="I684" s="72"/>
    </row>
    <row r="685" spans="3:9" x14ac:dyDescent="0.2">
      <c r="C685" s="66"/>
      <c r="D685" s="66"/>
      <c r="E685" s="78"/>
      <c r="F685" s="82"/>
      <c r="G685" s="67"/>
      <c r="H685" s="72"/>
      <c r="I685" s="72"/>
    </row>
    <row r="686" spans="3:9" x14ac:dyDescent="0.2">
      <c r="C686" s="66"/>
      <c r="D686" s="66"/>
      <c r="E686" s="78"/>
      <c r="F686" s="82"/>
      <c r="G686" s="67"/>
      <c r="H686" s="72"/>
      <c r="I686" s="72"/>
    </row>
    <row r="687" spans="3:9" x14ac:dyDescent="0.2">
      <c r="C687" s="66"/>
      <c r="D687" s="66"/>
      <c r="E687" s="78"/>
      <c r="F687" s="82"/>
      <c r="G687" s="67"/>
      <c r="H687" s="72"/>
      <c r="I687" s="72"/>
    </row>
    <row r="688" spans="3:9" x14ac:dyDescent="0.2">
      <c r="C688" s="66"/>
      <c r="D688" s="66"/>
      <c r="E688" s="78"/>
      <c r="F688" s="82"/>
      <c r="G688" s="67"/>
      <c r="H688" s="72"/>
      <c r="I688" s="72"/>
    </row>
    <row r="689" spans="3:9" x14ac:dyDescent="0.2">
      <c r="C689" s="66"/>
      <c r="D689" s="66"/>
      <c r="E689" s="78"/>
      <c r="F689" s="82"/>
      <c r="G689" s="67"/>
      <c r="H689" s="72"/>
      <c r="I689" s="72"/>
    </row>
    <row r="690" spans="3:9" x14ac:dyDescent="0.2">
      <c r="C690" s="66"/>
      <c r="D690" s="66"/>
      <c r="E690" s="78"/>
      <c r="F690" s="82"/>
      <c r="G690" s="67"/>
      <c r="H690" s="72"/>
      <c r="I690" s="72"/>
    </row>
    <row r="691" spans="3:9" x14ac:dyDescent="0.2">
      <c r="C691" s="66"/>
      <c r="D691" s="66"/>
      <c r="E691" s="78"/>
      <c r="F691" s="82"/>
      <c r="G691" s="67"/>
      <c r="H691" s="72"/>
      <c r="I691" s="72"/>
    </row>
    <row r="692" spans="3:9" x14ac:dyDescent="0.2">
      <c r="C692" s="66"/>
      <c r="D692" s="66"/>
      <c r="E692" s="78"/>
      <c r="F692" s="82"/>
      <c r="G692" s="67"/>
      <c r="H692" s="72"/>
      <c r="I692" s="72"/>
    </row>
    <row r="693" spans="3:9" x14ac:dyDescent="0.2">
      <c r="C693" s="66"/>
      <c r="D693" s="66"/>
      <c r="E693" s="78"/>
      <c r="F693" s="82"/>
      <c r="G693" s="67"/>
      <c r="H693" s="72"/>
      <c r="I693" s="72"/>
    </row>
    <row r="694" spans="3:9" x14ac:dyDescent="0.2">
      <c r="C694" s="66"/>
      <c r="D694" s="66"/>
      <c r="E694" s="78"/>
      <c r="F694" s="82"/>
      <c r="G694" s="67"/>
      <c r="H694" s="72"/>
      <c r="I694" s="72"/>
    </row>
    <row r="695" spans="3:9" x14ac:dyDescent="0.2">
      <c r="C695" s="66"/>
      <c r="D695" s="66"/>
      <c r="E695" s="78"/>
      <c r="F695" s="82"/>
      <c r="G695" s="67"/>
      <c r="H695" s="72"/>
      <c r="I695" s="72"/>
    </row>
    <row r="696" spans="3:9" x14ac:dyDescent="0.2">
      <c r="C696" s="66"/>
      <c r="D696" s="66"/>
      <c r="E696" s="78"/>
      <c r="F696" s="82"/>
      <c r="G696" s="67"/>
      <c r="H696" s="72"/>
      <c r="I696" s="72"/>
    </row>
    <row r="697" spans="3:9" x14ac:dyDescent="0.2">
      <c r="C697" s="66"/>
      <c r="D697" s="66"/>
      <c r="E697" s="78"/>
      <c r="F697" s="82"/>
      <c r="G697" s="67"/>
      <c r="H697" s="72"/>
      <c r="I697" s="72"/>
    </row>
    <row r="698" spans="3:9" x14ac:dyDescent="0.2">
      <c r="C698" s="66"/>
      <c r="D698" s="66"/>
      <c r="E698" s="78"/>
      <c r="F698" s="82"/>
      <c r="G698" s="67"/>
      <c r="H698" s="72"/>
      <c r="I698" s="72"/>
    </row>
    <row r="699" spans="3:9" x14ac:dyDescent="0.2">
      <c r="C699" s="66"/>
      <c r="D699" s="66"/>
      <c r="E699" s="78"/>
      <c r="F699" s="82"/>
      <c r="G699" s="67"/>
      <c r="H699" s="72">
        <f>IF($C$11=C699,INDEX(IncStmt!$B$10:$AK$35,MATCH("Net INCOME / LOSS",IncStmt!$A$10:$A$35,0),MATCH(Main!D699,IncStmt!$B$9:$AK$9,0)),0)</f>
        <v>0</v>
      </c>
      <c r="I699" s="72">
        <f t="shared" ref="I699:I730" si="1">IF(ISTEXT(H699),H699,H699*F699)</f>
        <v>0</v>
      </c>
    </row>
    <row r="700" spans="3:9" x14ac:dyDescent="0.2">
      <c r="C700" s="66"/>
      <c r="D700" s="66"/>
      <c r="E700" s="78"/>
      <c r="F700" s="82"/>
      <c r="G700" s="67"/>
      <c r="H700" s="72">
        <f>IF($C$11=C700,INDEX(IncStmt!$B$10:$AK$35,MATCH("Net INCOME / LOSS",IncStmt!$A$10:$A$35,0),MATCH(Main!D700,IncStmt!$B$9:$AK$9,0)),0)</f>
        <v>0</v>
      </c>
      <c r="I700" s="72">
        <f t="shared" si="1"/>
        <v>0</v>
      </c>
    </row>
    <row r="701" spans="3:9" x14ac:dyDescent="0.2">
      <c r="C701" s="66"/>
      <c r="D701" s="66"/>
      <c r="E701" s="78"/>
      <c r="F701" s="82"/>
      <c r="G701" s="67"/>
      <c r="H701" s="72">
        <f>IF($C$11=C701,INDEX(IncStmt!$B$10:$AK$35,MATCH("Net INCOME / LOSS",IncStmt!$A$10:$A$35,0),MATCH(Main!D701,IncStmt!$B$9:$AK$9,0)),0)</f>
        <v>0</v>
      </c>
      <c r="I701" s="72">
        <f t="shared" si="1"/>
        <v>0</v>
      </c>
    </row>
    <row r="702" spans="3:9" x14ac:dyDescent="0.2">
      <c r="C702" s="66"/>
      <c r="D702" s="66"/>
      <c r="E702" s="78"/>
      <c r="F702" s="82"/>
      <c r="G702" s="67"/>
      <c r="H702" s="72">
        <f>IF($C$11=C702,INDEX(IncStmt!$B$10:$AK$35,MATCH("Net INCOME / LOSS",IncStmt!$A$10:$A$35,0),MATCH(Main!D702,IncStmt!$B$9:$AK$9,0)),0)</f>
        <v>0</v>
      </c>
      <c r="I702" s="72">
        <f t="shared" si="1"/>
        <v>0</v>
      </c>
    </row>
    <row r="703" spans="3:9" x14ac:dyDescent="0.2">
      <c r="C703" s="66"/>
      <c r="D703" s="66"/>
      <c r="E703" s="78"/>
      <c r="F703" s="82"/>
      <c r="G703" s="67"/>
      <c r="H703" s="72">
        <f>IF($C$11=C703,INDEX(IncStmt!$B$10:$AK$35,MATCH("Net INCOME / LOSS",IncStmt!$A$10:$A$35,0),MATCH(Main!D703,IncStmt!$B$9:$AK$9,0)),0)</f>
        <v>0</v>
      </c>
      <c r="I703" s="72">
        <f t="shared" si="1"/>
        <v>0</v>
      </c>
    </row>
    <row r="704" spans="3:9" x14ac:dyDescent="0.2">
      <c r="C704" s="66"/>
      <c r="D704" s="66"/>
      <c r="E704" s="78"/>
      <c r="F704" s="82"/>
      <c r="G704" s="67"/>
      <c r="H704" s="72">
        <f>IF($C$11=C704,INDEX(IncStmt!$B$10:$AK$35,MATCH("Net INCOME / LOSS",IncStmt!$A$10:$A$35,0),MATCH(Main!D704,IncStmt!$B$9:$AK$9,0)),0)</f>
        <v>0</v>
      </c>
      <c r="I704" s="72">
        <f t="shared" si="1"/>
        <v>0</v>
      </c>
    </row>
    <row r="705" spans="3:9" x14ac:dyDescent="0.2">
      <c r="C705" s="66"/>
      <c r="D705" s="66"/>
      <c r="E705" s="78"/>
      <c r="F705" s="82"/>
      <c r="G705" s="67"/>
      <c r="H705" s="72">
        <f>IF($C$11=C705,INDEX(IncStmt!$B$10:$AK$35,MATCH("Net INCOME / LOSS",IncStmt!$A$10:$A$35,0),MATCH(Main!D705,IncStmt!$B$9:$AK$9,0)),0)</f>
        <v>0</v>
      </c>
      <c r="I705" s="72">
        <f t="shared" si="1"/>
        <v>0</v>
      </c>
    </row>
    <row r="706" spans="3:9" x14ac:dyDescent="0.2">
      <c r="C706" s="66"/>
      <c r="D706" s="66"/>
      <c r="E706" s="78"/>
      <c r="F706" s="82"/>
      <c r="G706" s="67"/>
      <c r="H706" s="72">
        <f>IF($C$11=C706,INDEX(IncStmt!$B$10:$AK$35,MATCH("Net INCOME / LOSS",IncStmt!$A$10:$A$35,0),MATCH(Main!D706,IncStmt!$B$9:$AK$9,0)),0)</f>
        <v>0</v>
      </c>
      <c r="I706" s="72">
        <f t="shared" si="1"/>
        <v>0</v>
      </c>
    </row>
    <row r="707" spans="3:9" x14ac:dyDescent="0.2">
      <c r="C707" s="66"/>
      <c r="D707" s="66"/>
      <c r="E707" s="78"/>
      <c r="F707" s="82"/>
      <c r="G707" s="67"/>
      <c r="H707" s="72">
        <f>IF($C$11=C707,INDEX(IncStmt!$B$10:$AK$35,MATCH("Net INCOME / LOSS",IncStmt!$A$10:$A$35,0),MATCH(Main!D707,IncStmt!$B$9:$AK$9,0)),0)</f>
        <v>0</v>
      </c>
      <c r="I707" s="72">
        <f t="shared" si="1"/>
        <v>0</v>
      </c>
    </row>
    <row r="708" spans="3:9" x14ac:dyDescent="0.2">
      <c r="C708" s="66"/>
      <c r="D708" s="66"/>
      <c r="E708" s="78"/>
      <c r="F708" s="82"/>
      <c r="G708" s="67"/>
      <c r="H708" s="72">
        <f>IF($C$11=C708,INDEX(IncStmt!$B$10:$AK$35,MATCH("Net INCOME / LOSS",IncStmt!$A$10:$A$35,0),MATCH(Main!D708,IncStmt!$B$9:$AK$9,0)),0)</f>
        <v>0</v>
      </c>
      <c r="I708" s="72">
        <f t="shared" si="1"/>
        <v>0</v>
      </c>
    </row>
    <row r="709" spans="3:9" x14ac:dyDescent="0.2">
      <c r="C709" s="66"/>
      <c r="D709" s="66"/>
      <c r="E709" s="78"/>
      <c r="F709" s="82"/>
      <c r="G709" s="67"/>
      <c r="H709" s="72">
        <f>IF($C$11=C709,INDEX(IncStmt!$B$10:$AK$35,MATCH("Net INCOME / LOSS",IncStmt!$A$10:$A$35,0),MATCH(Main!D709,IncStmt!$B$9:$AK$9,0)),0)</f>
        <v>0</v>
      </c>
      <c r="I709" s="72">
        <f t="shared" si="1"/>
        <v>0</v>
      </c>
    </row>
    <row r="710" spans="3:9" x14ac:dyDescent="0.2">
      <c r="C710" s="66"/>
      <c r="D710" s="66"/>
      <c r="E710" s="78"/>
      <c r="F710" s="82"/>
      <c r="G710" s="67"/>
      <c r="H710" s="72">
        <f>IF($C$11=C710,INDEX(IncStmt!$B$10:$AK$35,MATCH("Net INCOME / LOSS",IncStmt!$A$10:$A$35,0),MATCH(Main!D710,IncStmt!$B$9:$AK$9,0)),0)</f>
        <v>0</v>
      </c>
      <c r="I710" s="72">
        <f t="shared" si="1"/>
        <v>0</v>
      </c>
    </row>
    <row r="711" spans="3:9" x14ac:dyDescent="0.2">
      <c r="C711" s="66"/>
      <c r="D711" s="66"/>
      <c r="E711" s="78"/>
      <c r="F711" s="82"/>
      <c r="G711" s="67"/>
      <c r="H711" s="72">
        <f>IF($C$11=C711,INDEX(IncStmt!$B$10:$AK$35,MATCH("Net INCOME / LOSS",IncStmt!$A$10:$A$35,0),MATCH(Main!D711,IncStmt!$B$9:$AK$9,0)),0)</f>
        <v>0</v>
      </c>
      <c r="I711" s="72">
        <f t="shared" si="1"/>
        <v>0</v>
      </c>
    </row>
    <row r="712" spans="3:9" x14ac:dyDescent="0.2">
      <c r="C712" s="66"/>
      <c r="D712" s="66"/>
      <c r="E712" s="78"/>
      <c r="F712" s="82"/>
      <c r="G712" s="67"/>
      <c r="H712" s="72">
        <f>IF($C$11=C712,INDEX(IncStmt!$B$10:$AK$35,MATCH("Net INCOME / LOSS",IncStmt!$A$10:$A$35,0),MATCH(Main!D712,IncStmt!$B$9:$AK$9,0)),0)</f>
        <v>0</v>
      </c>
      <c r="I712" s="72">
        <f t="shared" si="1"/>
        <v>0</v>
      </c>
    </row>
    <row r="713" spans="3:9" x14ac:dyDescent="0.2">
      <c r="C713" s="66"/>
      <c r="D713" s="66"/>
      <c r="E713" s="78"/>
      <c r="F713" s="82"/>
      <c r="G713" s="67"/>
      <c r="H713" s="72">
        <f>IF($C$11=C713,INDEX(IncStmt!$B$10:$AK$35,MATCH("Net INCOME / LOSS",IncStmt!$A$10:$A$35,0),MATCH(Main!D713,IncStmt!$B$9:$AK$9,0)),0)</f>
        <v>0</v>
      </c>
      <c r="I713" s="72">
        <f t="shared" si="1"/>
        <v>0</v>
      </c>
    </row>
    <row r="714" spans="3:9" x14ac:dyDescent="0.2">
      <c r="C714" s="66"/>
      <c r="D714" s="66"/>
      <c r="E714" s="78"/>
      <c r="F714" s="82"/>
      <c r="G714" s="67"/>
      <c r="H714" s="72">
        <f>IF($C$11=C714,INDEX(IncStmt!$B$10:$AK$35,MATCH("Net INCOME / LOSS",IncStmt!$A$10:$A$35,0),MATCH(Main!D714,IncStmt!$B$9:$AK$9,0)),0)</f>
        <v>0</v>
      </c>
      <c r="I714" s="72">
        <f t="shared" si="1"/>
        <v>0</v>
      </c>
    </row>
    <row r="715" spans="3:9" x14ac:dyDescent="0.2">
      <c r="C715" s="66"/>
      <c r="D715" s="66"/>
      <c r="E715" s="78"/>
      <c r="F715" s="82"/>
      <c r="G715" s="67"/>
      <c r="H715" s="72">
        <f>IF($C$11=C715,INDEX(IncStmt!$B$10:$AK$35,MATCH("Net INCOME / LOSS",IncStmt!$A$10:$A$35,0),MATCH(Main!D715,IncStmt!$B$9:$AK$9,0)),0)</f>
        <v>0</v>
      </c>
      <c r="I715" s="72">
        <f t="shared" si="1"/>
        <v>0</v>
      </c>
    </row>
    <row r="716" spans="3:9" x14ac:dyDescent="0.2">
      <c r="C716" s="66"/>
      <c r="D716" s="66"/>
      <c r="E716" s="78"/>
      <c r="F716" s="82"/>
      <c r="G716" s="67"/>
      <c r="H716" s="72">
        <f>IF($C$11=C716,INDEX(IncStmt!$B$10:$AK$35,MATCH("Net INCOME / LOSS",IncStmt!$A$10:$A$35,0),MATCH(Main!D716,IncStmt!$B$9:$AK$9,0)),0)</f>
        <v>0</v>
      </c>
      <c r="I716" s="72">
        <f t="shared" si="1"/>
        <v>0</v>
      </c>
    </row>
    <row r="717" spans="3:9" x14ac:dyDescent="0.2">
      <c r="C717" s="66"/>
      <c r="D717" s="66"/>
      <c r="E717" s="78"/>
      <c r="F717" s="82"/>
      <c r="G717" s="67"/>
      <c r="H717" s="72">
        <f>IF($C$11=C717,INDEX(IncStmt!$B$10:$AK$35,MATCH("Net INCOME / LOSS",IncStmt!$A$10:$A$35,0),MATCH(Main!D717,IncStmt!$B$9:$AK$9,0)),0)</f>
        <v>0</v>
      </c>
      <c r="I717" s="72">
        <f t="shared" si="1"/>
        <v>0</v>
      </c>
    </row>
    <row r="718" spans="3:9" x14ac:dyDescent="0.2">
      <c r="C718" s="66"/>
      <c r="D718" s="66"/>
      <c r="E718" s="78"/>
      <c r="F718" s="82"/>
      <c r="G718" s="67"/>
      <c r="H718" s="72">
        <f>IF($C$11=C718,INDEX(IncStmt!$B$10:$AK$35,MATCH("Net INCOME / LOSS",IncStmt!$A$10:$A$35,0),MATCH(Main!D718,IncStmt!$B$9:$AK$9,0)),0)</f>
        <v>0</v>
      </c>
      <c r="I718" s="72">
        <f t="shared" si="1"/>
        <v>0</v>
      </c>
    </row>
    <row r="719" spans="3:9" x14ac:dyDescent="0.2">
      <c r="C719" s="66"/>
      <c r="D719" s="66"/>
      <c r="E719" s="78"/>
      <c r="F719" s="82"/>
      <c r="G719" s="67"/>
      <c r="H719" s="72">
        <f>IF($C$11=C719,INDEX(IncStmt!$B$10:$AK$35,MATCH("Net INCOME / LOSS",IncStmt!$A$10:$A$35,0),MATCH(Main!D719,IncStmt!$B$9:$AK$9,0)),0)</f>
        <v>0</v>
      </c>
      <c r="I719" s="72">
        <f t="shared" si="1"/>
        <v>0</v>
      </c>
    </row>
    <row r="720" spans="3:9" x14ac:dyDescent="0.2">
      <c r="C720" s="66"/>
      <c r="D720" s="66"/>
      <c r="E720" s="78"/>
      <c r="F720" s="82"/>
      <c r="G720" s="67"/>
      <c r="H720" s="72">
        <f>IF($C$11=C720,INDEX(IncStmt!$B$10:$AK$35,MATCH("Net INCOME / LOSS",IncStmt!$A$10:$A$35,0),MATCH(Main!D720,IncStmt!$B$9:$AK$9,0)),0)</f>
        <v>0</v>
      </c>
      <c r="I720" s="72">
        <f t="shared" si="1"/>
        <v>0</v>
      </c>
    </row>
    <row r="721" spans="3:9" x14ac:dyDescent="0.2">
      <c r="C721" s="66"/>
      <c r="D721" s="66"/>
      <c r="E721" s="78"/>
      <c r="F721" s="82"/>
      <c r="G721" s="67"/>
      <c r="H721" s="72">
        <f>IF($C$11=C721,INDEX(IncStmt!$B$10:$AK$35,MATCH("Net INCOME / LOSS",IncStmt!$A$10:$A$35,0),MATCH(Main!D721,IncStmt!$B$9:$AK$9,0)),0)</f>
        <v>0</v>
      </c>
      <c r="I721" s="72">
        <f t="shared" si="1"/>
        <v>0</v>
      </c>
    </row>
    <row r="722" spans="3:9" x14ac:dyDescent="0.2">
      <c r="C722" s="66"/>
      <c r="D722" s="66"/>
      <c r="E722" s="78"/>
      <c r="F722" s="82"/>
      <c r="G722" s="67"/>
      <c r="H722" s="72">
        <f>IF($C$11=C722,INDEX(IncStmt!$B$10:$AK$35,MATCH("Net INCOME / LOSS",IncStmt!$A$10:$A$35,0),MATCH(Main!D722,IncStmt!$B$9:$AK$9,0)),0)</f>
        <v>0</v>
      </c>
      <c r="I722" s="72">
        <f t="shared" si="1"/>
        <v>0</v>
      </c>
    </row>
    <row r="723" spans="3:9" x14ac:dyDescent="0.2">
      <c r="C723" s="66"/>
      <c r="D723" s="66"/>
      <c r="E723" s="78"/>
      <c r="F723" s="82"/>
      <c r="G723" s="67"/>
      <c r="H723" s="72">
        <f>IF($C$11=C723,INDEX(IncStmt!$B$10:$AK$35,MATCH("Net INCOME / LOSS",IncStmt!$A$10:$A$35,0),MATCH(Main!D723,IncStmt!$B$9:$AK$9,0)),0)</f>
        <v>0</v>
      </c>
      <c r="I723" s="72">
        <f t="shared" si="1"/>
        <v>0</v>
      </c>
    </row>
    <row r="724" spans="3:9" x14ac:dyDescent="0.2">
      <c r="C724" s="66"/>
      <c r="D724" s="66"/>
      <c r="E724" s="78"/>
      <c r="F724" s="82"/>
      <c r="G724" s="67"/>
      <c r="H724" s="72">
        <f>IF($C$11=C724,INDEX(IncStmt!$B$10:$AK$35,MATCH("Net INCOME / LOSS",IncStmt!$A$10:$A$35,0),MATCH(Main!D724,IncStmt!$B$9:$AK$9,0)),0)</f>
        <v>0</v>
      </c>
      <c r="I724" s="72">
        <f t="shared" si="1"/>
        <v>0</v>
      </c>
    </row>
    <row r="725" spans="3:9" x14ac:dyDescent="0.2">
      <c r="C725" s="66"/>
      <c r="D725" s="66"/>
      <c r="E725" s="78"/>
      <c r="F725" s="82"/>
      <c r="G725" s="67"/>
      <c r="H725" s="72">
        <f>IF($C$11=C725,INDEX(IncStmt!$B$10:$AK$35,MATCH("Net INCOME / LOSS",IncStmt!$A$10:$A$35,0),MATCH(Main!D725,IncStmt!$B$9:$AK$9,0)),0)</f>
        <v>0</v>
      </c>
      <c r="I725" s="72">
        <f t="shared" si="1"/>
        <v>0</v>
      </c>
    </row>
    <row r="726" spans="3:9" x14ac:dyDescent="0.2">
      <c r="C726" s="66"/>
      <c r="D726" s="66"/>
      <c r="E726" s="78"/>
      <c r="F726" s="82"/>
      <c r="G726" s="67"/>
      <c r="H726" s="72">
        <f>IF($C$11=C726,INDEX(IncStmt!$B$10:$AK$35,MATCH("Net INCOME / LOSS",IncStmt!$A$10:$A$35,0),MATCH(Main!D726,IncStmt!$B$9:$AK$9,0)),0)</f>
        <v>0</v>
      </c>
      <c r="I726" s="72">
        <f t="shared" si="1"/>
        <v>0</v>
      </c>
    </row>
    <row r="727" spans="3:9" x14ac:dyDescent="0.2">
      <c r="C727" s="66"/>
      <c r="D727" s="66"/>
      <c r="E727" s="78"/>
      <c r="F727" s="82"/>
      <c r="G727" s="67"/>
      <c r="H727" s="72">
        <f>IF($C$11=C727,INDEX(IncStmt!$B$10:$AK$35,MATCH("Net INCOME / LOSS",IncStmt!$A$10:$A$35,0),MATCH(Main!D727,IncStmt!$B$9:$AK$9,0)),0)</f>
        <v>0</v>
      </c>
      <c r="I727" s="72">
        <f t="shared" si="1"/>
        <v>0</v>
      </c>
    </row>
    <row r="728" spans="3:9" x14ac:dyDescent="0.2">
      <c r="C728" s="66"/>
      <c r="D728" s="66"/>
      <c r="E728" s="78"/>
      <c r="F728" s="82"/>
      <c r="G728" s="67"/>
      <c r="H728" s="72">
        <f>IF($C$11=C728,INDEX(IncStmt!$B$10:$AK$35,MATCH("Net INCOME / LOSS",IncStmt!$A$10:$A$35,0),MATCH(Main!D728,IncStmt!$B$9:$AK$9,0)),0)</f>
        <v>0</v>
      </c>
      <c r="I728" s="72">
        <f t="shared" si="1"/>
        <v>0</v>
      </c>
    </row>
    <row r="729" spans="3:9" x14ac:dyDescent="0.2">
      <c r="C729" s="66"/>
      <c r="D729" s="66"/>
      <c r="E729" s="78"/>
      <c r="F729" s="82"/>
      <c r="G729" s="67"/>
      <c r="H729" s="72">
        <f>IF($C$11=C729,INDEX(IncStmt!$B$10:$AK$35,MATCH("Net INCOME / LOSS",IncStmt!$A$10:$A$35,0),MATCH(Main!D729,IncStmt!$B$9:$AK$9,0)),0)</f>
        <v>0</v>
      </c>
      <c r="I729" s="72">
        <f t="shared" si="1"/>
        <v>0</v>
      </c>
    </row>
    <row r="730" spans="3:9" x14ac:dyDescent="0.2">
      <c r="C730" s="66"/>
      <c r="D730" s="66"/>
      <c r="E730" s="78"/>
      <c r="F730" s="82"/>
      <c r="G730" s="67"/>
      <c r="H730" s="72">
        <f>IF($C$11=C730,INDEX(IncStmt!$B$10:$AK$35,MATCH("Net INCOME / LOSS",IncStmt!$A$10:$A$35,0),MATCH(Main!D730,IncStmt!$B$9:$AK$9,0)),0)</f>
        <v>0</v>
      </c>
      <c r="I730" s="72">
        <f t="shared" si="1"/>
        <v>0</v>
      </c>
    </row>
    <row r="731" spans="3:9" x14ac:dyDescent="0.2">
      <c r="C731" s="66"/>
      <c r="D731" s="66"/>
      <c r="E731" s="78"/>
      <c r="F731" s="82"/>
      <c r="G731" s="67"/>
      <c r="H731" s="72">
        <f>IF($C$11=C731,INDEX(IncStmt!$B$10:$AK$35,MATCH("Net INCOME / LOSS",IncStmt!$A$10:$A$35,0),MATCH(Main!D731,IncStmt!$B$9:$AK$9,0)),0)</f>
        <v>0</v>
      </c>
      <c r="I731" s="72">
        <f t="shared" ref="I731:I762" si="2">IF(ISTEXT(H731),H731,H731*F731)</f>
        <v>0</v>
      </c>
    </row>
    <row r="732" spans="3:9" x14ac:dyDescent="0.2">
      <c r="C732" s="66"/>
      <c r="D732" s="66"/>
      <c r="E732" s="78"/>
      <c r="F732" s="82"/>
      <c r="G732" s="67"/>
      <c r="H732" s="72">
        <f>IF($C$11=C732,INDEX(IncStmt!$B$10:$AK$35,MATCH("Net INCOME / LOSS",IncStmt!$A$10:$A$35,0),MATCH(Main!D732,IncStmt!$B$9:$AK$9,0)),0)</f>
        <v>0</v>
      </c>
      <c r="I732" s="72">
        <f t="shared" si="2"/>
        <v>0</v>
      </c>
    </row>
    <row r="733" spans="3:9" x14ac:dyDescent="0.2">
      <c r="C733" s="66"/>
      <c r="D733" s="66"/>
      <c r="E733" s="78"/>
      <c r="F733" s="82"/>
      <c r="G733" s="67"/>
      <c r="H733" s="72">
        <f>IF($C$11=C733,INDEX(IncStmt!$B$10:$AK$35,MATCH("Net INCOME / LOSS",IncStmt!$A$10:$A$35,0),MATCH(Main!D733,IncStmt!$B$9:$AK$9,0)),0)</f>
        <v>0</v>
      </c>
      <c r="I733" s="72">
        <f t="shared" si="2"/>
        <v>0</v>
      </c>
    </row>
    <row r="734" spans="3:9" x14ac:dyDescent="0.2">
      <c r="C734" s="66"/>
      <c r="D734" s="66"/>
      <c r="E734" s="78"/>
      <c r="F734" s="82"/>
      <c r="G734" s="67"/>
      <c r="H734" s="72">
        <f>IF($C$11=C734,INDEX(IncStmt!$B$10:$AK$35,MATCH("Net INCOME / LOSS",IncStmt!$A$10:$A$35,0),MATCH(Main!D734,IncStmt!$B$9:$AK$9,0)),0)</f>
        <v>0</v>
      </c>
      <c r="I734" s="72">
        <f t="shared" si="2"/>
        <v>0</v>
      </c>
    </row>
    <row r="735" spans="3:9" x14ac:dyDescent="0.2">
      <c r="C735" s="66"/>
      <c r="D735" s="66"/>
      <c r="E735" s="78"/>
      <c r="F735" s="82"/>
      <c r="G735" s="67"/>
      <c r="H735" s="72">
        <f>IF($C$11=C735,INDEX(IncStmt!$B$10:$AK$35,MATCH("Net INCOME / LOSS",IncStmt!$A$10:$A$35,0),MATCH(Main!D735,IncStmt!$B$9:$AK$9,0)),0)</f>
        <v>0</v>
      </c>
      <c r="I735" s="72">
        <f t="shared" si="2"/>
        <v>0</v>
      </c>
    </row>
    <row r="736" spans="3:9" x14ac:dyDescent="0.2">
      <c r="C736" s="66"/>
      <c r="D736" s="66"/>
      <c r="E736" s="78"/>
      <c r="F736" s="82"/>
      <c r="G736" s="67"/>
      <c r="H736" s="72">
        <f>IF($C$11=C736,INDEX(IncStmt!$B$10:$AK$35,MATCH("Net INCOME / LOSS",IncStmt!$A$10:$A$35,0),MATCH(Main!D736,IncStmt!$B$9:$AK$9,0)),0)</f>
        <v>0</v>
      </c>
      <c r="I736" s="72">
        <f t="shared" si="2"/>
        <v>0</v>
      </c>
    </row>
    <row r="737" spans="3:9" x14ac:dyDescent="0.2">
      <c r="C737" s="66"/>
      <c r="D737" s="66"/>
      <c r="E737" s="78"/>
      <c r="F737" s="82"/>
      <c r="G737" s="67"/>
      <c r="H737" s="72">
        <f>IF($C$11=C737,INDEX(IncStmt!$B$10:$AK$35,MATCH("Net INCOME / LOSS",IncStmt!$A$10:$A$35,0),MATCH(Main!D737,IncStmt!$B$9:$AK$9,0)),0)</f>
        <v>0</v>
      </c>
      <c r="I737" s="72">
        <f t="shared" si="2"/>
        <v>0</v>
      </c>
    </row>
    <row r="738" spans="3:9" x14ac:dyDescent="0.2">
      <c r="C738" s="66"/>
      <c r="D738" s="66"/>
      <c r="E738" s="78"/>
      <c r="F738" s="82"/>
      <c r="G738" s="67"/>
      <c r="H738" s="72">
        <f>IF($C$11=C738,INDEX(IncStmt!$B$10:$AK$35,MATCH("Net INCOME / LOSS",IncStmt!$A$10:$A$35,0),MATCH(Main!D738,IncStmt!$B$9:$AK$9,0)),0)</f>
        <v>0</v>
      </c>
      <c r="I738" s="72">
        <f t="shared" si="2"/>
        <v>0</v>
      </c>
    </row>
    <row r="739" spans="3:9" x14ac:dyDescent="0.2">
      <c r="C739" s="66"/>
      <c r="D739" s="66"/>
      <c r="E739" s="78"/>
      <c r="F739" s="82"/>
      <c r="G739" s="67"/>
      <c r="H739" s="72">
        <f>IF($C$11=C739,INDEX(IncStmt!$B$10:$AK$35,MATCH("Net INCOME / LOSS",IncStmt!$A$10:$A$35,0),MATCH(Main!D739,IncStmt!$B$9:$AK$9,0)),0)</f>
        <v>0</v>
      </c>
      <c r="I739" s="72">
        <f t="shared" si="2"/>
        <v>0</v>
      </c>
    </row>
    <row r="740" spans="3:9" x14ac:dyDescent="0.2">
      <c r="C740" s="66"/>
      <c r="D740" s="66"/>
      <c r="E740" s="78"/>
      <c r="F740" s="82"/>
      <c r="G740" s="67"/>
      <c r="H740" s="72">
        <f>IF($C$11=C740,INDEX(IncStmt!$B$10:$AK$35,MATCH("Net INCOME / LOSS",IncStmt!$A$10:$A$35,0),MATCH(Main!D740,IncStmt!$B$9:$AK$9,0)),0)</f>
        <v>0</v>
      </c>
      <c r="I740" s="72">
        <f t="shared" si="2"/>
        <v>0</v>
      </c>
    </row>
    <row r="741" spans="3:9" x14ac:dyDescent="0.2">
      <c r="C741" s="66"/>
      <c r="D741" s="66"/>
      <c r="E741" s="78"/>
      <c r="F741" s="82"/>
      <c r="G741" s="67"/>
      <c r="H741" s="72">
        <f>IF($C$11=C741,INDEX(IncStmt!$B$10:$AK$35,MATCH("Net INCOME / LOSS",IncStmt!$A$10:$A$35,0),MATCH(Main!D741,IncStmt!$B$9:$AK$9,0)),0)</f>
        <v>0</v>
      </c>
      <c r="I741" s="72">
        <f t="shared" si="2"/>
        <v>0</v>
      </c>
    </row>
    <row r="742" spans="3:9" x14ac:dyDescent="0.2">
      <c r="C742" s="66"/>
      <c r="D742" s="66"/>
      <c r="E742" s="78"/>
      <c r="F742" s="82"/>
      <c r="G742" s="67"/>
      <c r="H742" s="72">
        <f>IF($C$11=C742,INDEX(IncStmt!$B$10:$AK$35,MATCH("Net INCOME / LOSS",IncStmt!$A$10:$A$35,0),MATCH(Main!D742,IncStmt!$B$9:$AK$9,0)),0)</f>
        <v>0</v>
      </c>
      <c r="I742" s="72">
        <f t="shared" si="2"/>
        <v>0</v>
      </c>
    </row>
    <row r="743" spans="3:9" x14ac:dyDescent="0.2">
      <c r="C743" s="66"/>
      <c r="D743" s="66"/>
      <c r="E743" s="78"/>
      <c r="F743" s="82"/>
      <c r="G743" s="67"/>
      <c r="H743" s="72">
        <f>IF($C$11=C743,INDEX(IncStmt!$B$10:$AK$35,MATCH("Net INCOME / LOSS",IncStmt!$A$10:$A$35,0),MATCH(Main!D743,IncStmt!$B$9:$AK$9,0)),0)</f>
        <v>0</v>
      </c>
      <c r="I743" s="72">
        <f t="shared" si="2"/>
        <v>0</v>
      </c>
    </row>
    <row r="744" spans="3:9" x14ac:dyDescent="0.2">
      <c r="C744" s="66"/>
      <c r="D744" s="66"/>
      <c r="E744" s="78"/>
      <c r="F744" s="82"/>
      <c r="G744" s="67"/>
      <c r="H744" s="72">
        <f>IF($C$11=C744,INDEX(IncStmt!$B$10:$AK$35,MATCH("Net INCOME / LOSS",IncStmt!$A$10:$A$35,0),MATCH(Main!D744,IncStmt!$B$9:$AK$9,0)),0)</f>
        <v>0</v>
      </c>
      <c r="I744" s="72">
        <f t="shared" si="2"/>
        <v>0</v>
      </c>
    </row>
    <row r="745" spans="3:9" x14ac:dyDescent="0.2">
      <c r="C745" s="66"/>
      <c r="D745" s="66"/>
      <c r="E745" s="78"/>
      <c r="F745" s="82"/>
      <c r="G745" s="67"/>
      <c r="H745" s="72">
        <f>IF($C$11=C745,INDEX(IncStmt!$B$10:$AK$35,MATCH("Net INCOME / LOSS",IncStmt!$A$10:$A$35,0),MATCH(Main!D745,IncStmt!$B$9:$AK$9,0)),0)</f>
        <v>0</v>
      </c>
      <c r="I745" s="72">
        <f t="shared" si="2"/>
        <v>0</v>
      </c>
    </row>
    <row r="746" spans="3:9" x14ac:dyDescent="0.2">
      <c r="C746" s="66"/>
      <c r="D746" s="66"/>
      <c r="E746" s="78"/>
      <c r="F746" s="82"/>
      <c r="G746" s="67"/>
      <c r="H746" s="72">
        <f>IF($C$11=C746,INDEX(IncStmt!$B$10:$AK$35,MATCH("Net INCOME / LOSS",IncStmt!$A$10:$A$35,0),MATCH(Main!D746,IncStmt!$B$9:$AK$9,0)),0)</f>
        <v>0</v>
      </c>
      <c r="I746" s="72">
        <f t="shared" si="2"/>
        <v>0</v>
      </c>
    </row>
    <row r="747" spans="3:9" x14ac:dyDescent="0.2">
      <c r="C747" s="66"/>
      <c r="D747" s="66"/>
      <c r="E747" s="78"/>
      <c r="F747" s="82"/>
      <c r="G747" s="67"/>
      <c r="H747" s="72">
        <f>IF($C$11=C747,INDEX(IncStmt!$B$10:$AK$35,MATCH("Net INCOME / LOSS",IncStmt!$A$10:$A$35,0),MATCH(Main!D747,IncStmt!$B$9:$AK$9,0)),0)</f>
        <v>0</v>
      </c>
      <c r="I747" s="72">
        <f t="shared" si="2"/>
        <v>0</v>
      </c>
    </row>
    <row r="748" spans="3:9" x14ac:dyDescent="0.2">
      <c r="C748" s="66"/>
      <c r="D748" s="66"/>
      <c r="E748" s="78"/>
      <c r="F748" s="82"/>
      <c r="G748" s="67"/>
      <c r="H748" s="72">
        <f>IF($C$11=C748,INDEX(IncStmt!$B$10:$AK$35,MATCH("Net INCOME / LOSS",IncStmt!$A$10:$A$35,0),MATCH(Main!D748,IncStmt!$B$9:$AK$9,0)),0)</f>
        <v>0</v>
      </c>
      <c r="I748" s="72">
        <f t="shared" si="2"/>
        <v>0</v>
      </c>
    </row>
    <row r="749" spans="3:9" x14ac:dyDescent="0.2">
      <c r="C749" s="66"/>
      <c r="D749" s="66"/>
      <c r="E749" s="78"/>
      <c r="F749" s="82"/>
      <c r="G749" s="67"/>
      <c r="H749" s="72">
        <f>IF($C$11=C749,INDEX(IncStmt!$B$10:$AK$35,MATCH("Net INCOME / LOSS",IncStmt!$A$10:$A$35,0),MATCH(Main!D749,IncStmt!$B$9:$AK$9,0)),0)</f>
        <v>0</v>
      </c>
      <c r="I749" s="72">
        <f t="shared" si="2"/>
        <v>0</v>
      </c>
    </row>
    <row r="750" spans="3:9" x14ac:dyDescent="0.2">
      <c r="C750" s="66"/>
      <c r="D750" s="66"/>
      <c r="E750" s="78"/>
      <c r="F750" s="82"/>
      <c r="G750" s="67"/>
      <c r="H750" s="72">
        <f>IF($C$11=C750,INDEX(IncStmt!$B$10:$AK$35,MATCH("Net INCOME / LOSS",IncStmt!$A$10:$A$35,0),MATCH(Main!D750,IncStmt!$B$9:$AK$9,0)),0)</f>
        <v>0</v>
      </c>
      <c r="I750" s="72">
        <f t="shared" si="2"/>
        <v>0</v>
      </c>
    </row>
    <row r="751" spans="3:9" x14ac:dyDescent="0.2">
      <c r="C751" s="66"/>
      <c r="D751" s="66"/>
      <c r="E751" s="78"/>
      <c r="F751" s="82"/>
      <c r="G751" s="67"/>
      <c r="H751" s="72">
        <f>IF($C$11=C751,INDEX(IncStmt!$B$10:$AK$35,MATCH("Net INCOME / LOSS",IncStmt!$A$10:$A$35,0),MATCH(Main!D751,IncStmt!$B$9:$AK$9,0)),0)</f>
        <v>0</v>
      </c>
      <c r="I751" s="72">
        <f t="shared" si="2"/>
        <v>0</v>
      </c>
    </row>
    <row r="752" spans="3:9" x14ac:dyDescent="0.2">
      <c r="C752" s="66"/>
      <c r="D752" s="66"/>
      <c r="E752" s="78"/>
      <c r="F752" s="82"/>
      <c r="G752" s="67"/>
      <c r="H752" s="72">
        <f>IF($C$11=C752,INDEX(IncStmt!$B$10:$AK$35,MATCH("Net INCOME / LOSS",IncStmt!$A$10:$A$35,0),MATCH(Main!D752,IncStmt!$B$9:$AK$9,0)),0)</f>
        <v>0</v>
      </c>
      <c r="I752" s="72">
        <f t="shared" si="2"/>
        <v>0</v>
      </c>
    </row>
    <row r="753" spans="3:9" x14ac:dyDescent="0.2">
      <c r="C753" s="66"/>
      <c r="D753" s="66"/>
      <c r="E753" s="78"/>
      <c r="F753" s="82"/>
      <c r="G753" s="67"/>
      <c r="H753" s="72">
        <f>IF($C$11=C753,INDEX(IncStmt!$B$10:$AK$35,MATCH("Net INCOME / LOSS",IncStmt!$A$10:$A$35,0),MATCH(Main!D753,IncStmt!$B$9:$AK$9,0)),0)</f>
        <v>0</v>
      </c>
      <c r="I753" s="72">
        <f t="shared" si="2"/>
        <v>0</v>
      </c>
    </row>
    <row r="754" spans="3:9" x14ac:dyDescent="0.2">
      <c r="C754" s="66"/>
      <c r="D754" s="66"/>
      <c r="E754" s="78"/>
      <c r="F754" s="82"/>
      <c r="G754" s="67"/>
      <c r="H754" s="72">
        <f>IF($C$11=C754,INDEX(IncStmt!$B$10:$AK$35,MATCH("Net INCOME / LOSS",IncStmt!$A$10:$A$35,0),MATCH(Main!D754,IncStmt!$B$9:$AK$9,0)),0)</f>
        <v>0</v>
      </c>
      <c r="I754" s="72">
        <f t="shared" si="2"/>
        <v>0</v>
      </c>
    </row>
    <row r="755" spans="3:9" x14ac:dyDescent="0.2">
      <c r="C755" s="66"/>
      <c r="D755" s="66"/>
      <c r="E755" s="78"/>
      <c r="F755" s="82"/>
      <c r="G755" s="67"/>
      <c r="H755" s="72">
        <f>IF($C$11=C755,INDEX(IncStmt!$B$10:$AK$35,MATCH("Net INCOME / LOSS",IncStmt!$A$10:$A$35,0),MATCH(Main!D755,IncStmt!$B$9:$AK$9,0)),0)</f>
        <v>0</v>
      </c>
      <c r="I755" s="72">
        <f t="shared" si="2"/>
        <v>0</v>
      </c>
    </row>
    <row r="756" spans="3:9" x14ac:dyDescent="0.2">
      <c r="C756" s="66"/>
      <c r="D756" s="66"/>
      <c r="E756" s="78"/>
      <c r="F756" s="82"/>
      <c r="G756" s="67"/>
      <c r="H756" s="72">
        <f>IF($C$11=C756,INDEX(IncStmt!$B$10:$AK$35,MATCH("Net INCOME / LOSS",IncStmt!$A$10:$A$35,0),MATCH(Main!D756,IncStmt!$B$9:$AK$9,0)),0)</f>
        <v>0</v>
      </c>
      <c r="I756" s="72">
        <f t="shared" si="2"/>
        <v>0</v>
      </c>
    </row>
    <row r="757" spans="3:9" x14ac:dyDescent="0.2">
      <c r="C757" s="66"/>
      <c r="D757" s="66"/>
      <c r="E757" s="78"/>
      <c r="F757" s="82"/>
      <c r="G757" s="67"/>
      <c r="H757" s="72">
        <f>IF($C$11=C757,INDEX(IncStmt!$B$10:$AK$35,MATCH("Net INCOME / LOSS",IncStmt!$A$10:$A$35,0),MATCH(Main!D757,IncStmt!$B$9:$AK$9,0)),0)</f>
        <v>0</v>
      </c>
      <c r="I757" s="72">
        <f t="shared" si="2"/>
        <v>0</v>
      </c>
    </row>
    <row r="758" spans="3:9" x14ac:dyDescent="0.2">
      <c r="C758" s="66"/>
      <c r="D758" s="66"/>
      <c r="E758" s="78"/>
      <c r="F758" s="82"/>
      <c r="G758" s="67"/>
      <c r="H758" s="72">
        <f>IF($C$11=C758,INDEX(IncStmt!$B$10:$AK$35,MATCH("Net INCOME / LOSS",IncStmt!$A$10:$A$35,0),MATCH(Main!D758,IncStmt!$B$9:$AK$9,0)),0)</f>
        <v>0</v>
      </c>
      <c r="I758" s="72">
        <f t="shared" si="2"/>
        <v>0</v>
      </c>
    </row>
    <row r="759" spans="3:9" x14ac:dyDescent="0.2">
      <c r="C759" s="66"/>
      <c r="D759" s="66"/>
      <c r="E759" s="78"/>
      <c r="F759" s="82"/>
      <c r="G759" s="67"/>
      <c r="H759" s="72">
        <f>IF($C$11=C759,INDEX(IncStmt!$B$10:$AK$35,MATCH("Net INCOME / LOSS",IncStmt!$A$10:$A$35,0),MATCH(Main!D759,IncStmt!$B$9:$AK$9,0)),0)</f>
        <v>0</v>
      </c>
      <c r="I759" s="72">
        <f t="shared" si="2"/>
        <v>0</v>
      </c>
    </row>
    <row r="760" spans="3:9" x14ac:dyDescent="0.2">
      <c r="C760" s="66"/>
      <c r="D760" s="66"/>
      <c r="E760" s="78"/>
      <c r="F760" s="82"/>
      <c r="G760" s="67"/>
      <c r="H760" s="72">
        <f>IF($C$11=C760,INDEX(IncStmt!$B$10:$AK$35,MATCH("Net INCOME / LOSS",IncStmt!$A$10:$A$35,0),MATCH(Main!D760,IncStmt!$B$9:$AK$9,0)),0)</f>
        <v>0</v>
      </c>
      <c r="I760" s="72">
        <f t="shared" si="2"/>
        <v>0</v>
      </c>
    </row>
    <row r="761" spans="3:9" x14ac:dyDescent="0.2">
      <c r="C761" s="66"/>
      <c r="D761" s="66"/>
      <c r="E761" s="78"/>
      <c r="F761" s="82"/>
      <c r="G761" s="67"/>
      <c r="H761" s="72">
        <f>IF($C$11=C761,INDEX(IncStmt!$B$10:$AK$35,MATCH("Net INCOME / LOSS",IncStmt!$A$10:$A$35,0),MATCH(Main!D761,IncStmt!$B$9:$AK$9,0)),0)</f>
        <v>0</v>
      </c>
      <c r="I761" s="72">
        <f t="shared" si="2"/>
        <v>0</v>
      </c>
    </row>
    <row r="762" spans="3:9" x14ac:dyDescent="0.2">
      <c r="C762" s="66"/>
      <c r="D762" s="66"/>
      <c r="E762" s="78"/>
      <c r="F762" s="82"/>
      <c r="G762" s="67"/>
      <c r="H762" s="72">
        <f>IF($C$11=C762,INDEX(IncStmt!$B$10:$AK$35,MATCH("Net INCOME / LOSS",IncStmt!$A$10:$A$35,0),MATCH(Main!D762,IncStmt!$B$9:$AK$9,0)),0)</f>
        <v>0</v>
      </c>
      <c r="I762" s="72">
        <f t="shared" si="2"/>
        <v>0</v>
      </c>
    </row>
    <row r="763" spans="3:9" x14ac:dyDescent="0.2">
      <c r="C763" s="66"/>
      <c r="D763" s="66"/>
      <c r="E763" s="78"/>
      <c r="F763" s="82"/>
      <c r="G763" s="67"/>
      <c r="H763" s="72">
        <f>IF($C$11=C763,INDEX(IncStmt!$B$10:$AK$35,MATCH("Net INCOME / LOSS",IncStmt!$A$10:$A$35,0),MATCH(Main!D763,IncStmt!$B$9:$AK$9,0)),0)</f>
        <v>0</v>
      </c>
      <c r="I763" s="72">
        <f t="shared" ref="I763:I794" si="3">IF(ISTEXT(H763),H763,H763*F763)</f>
        <v>0</v>
      </c>
    </row>
    <row r="764" spans="3:9" x14ac:dyDescent="0.2">
      <c r="C764" s="66"/>
      <c r="D764" s="66"/>
      <c r="E764" s="78"/>
      <c r="F764" s="82"/>
      <c r="G764" s="67"/>
      <c r="H764" s="72">
        <f>IF($C$11=C764,INDEX(IncStmt!$B$10:$AK$35,MATCH("Net INCOME / LOSS",IncStmt!$A$10:$A$35,0),MATCH(Main!D764,IncStmt!$B$9:$AK$9,0)),0)</f>
        <v>0</v>
      </c>
      <c r="I764" s="72">
        <f t="shared" si="3"/>
        <v>0</v>
      </c>
    </row>
    <row r="765" spans="3:9" x14ac:dyDescent="0.2">
      <c r="C765" s="66"/>
      <c r="D765" s="66"/>
      <c r="E765" s="78"/>
      <c r="F765" s="82"/>
      <c r="G765" s="67"/>
      <c r="H765" s="72">
        <f>IF($C$11=C765,INDEX(IncStmt!$B$10:$AK$35,MATCH("Net INCOME / LOSS",IncStmt!$A$10:$A$35,0),MATCH(Main!D765,IncStmt!$B$9:$AK$9,0)),0)</f>
        <v>0</v>
      </c>
      <c r="I765" s="72">
        <f t="shared" si="3"/>
        <v>0</v>
      </c>
    </row>
    <row r="766" spans="3:9" x14ac:dyDescent="0.2">
      <c r="C766" s="66"/>
      <c r="D766" s="66"/>
      <c r="E766" s="78"/>
      <c r="F766" s="82"/>
      <c r="G766" s="67"/>
      <c r="H766" s="72">
        <f>IF($C$11=C766,INDEX(IncStmt!$B$10:$AK$35,MATCH("Net INCOME / LOSS",IncStmt!$A$10:$A$35,0),MATCH(Main!D766,IncStmt!$B$9:$AK$9,0)),0)</f>
        <v>0</v>
      </c>
      <c r="I766" s="72">
        <f t="shared" si="3"/>
        <v>0</v>
      </c>
    </row>
    <row r="767" spans="3:9" x14ac:dyDescent="0.2">
      <c r="C767" s="66"/>
      <c r="D767" s="66"/>
      <c r="E767" s="78"/>
      <c r="F767" s="82"/>
      <c r="G767" s="67"/>
      <c r="H767" s="72">
        <f>IF($C$11=C767,INDEX(IncStmt!$B$10:$AK$35,MATCH("Net INCOME / LOSS",IncStmt!$A$10:$A$35,0),MATCH(Main!D767,IncStmt!$B$9:$AK$9,0)),0)</f>
        <v>0</v>
      </c>
      <c r="I767" s="72">
        <f t="shared" si="3"/>
        <v>0</v>
      </c>
    </row>
    <row r="768" spans="3:9" x14ac:dyDescent="0.2">
      <c r="C768" s="66"/>
      <c r="D768" s="66"/>
      <c r="E768" s="78"/>
      <c r="F768" s="82"/>
      <c r="G768" s="67"/>
      <c r="H768" s="72">
        <f>IF($C$11=C768,INDEX(IncStmt!$B$10:$AK$35,MATCH("Net INCOME / LOSS",IncStmt!$A$10:$A$35,0),MATCH(Main!D768,IncStmt!$B$9:$AK$9,0)),0)</f>
        <v>0</v>
      </c>
      <c r="I768" s="72">
        <f t="shared" si="3"/>
        <v>0</v>
      </c>
    </row>
    <row r="769" spans="3:9" x14ac:dyDescent="0.2">
      <c r="C769" s="66"/>
      <c r="D769" s="66"/>
      <c r="E769" s="78"/>
      <c r="F769" s="82"/>
      <c r="G769" s="67"/>
      <c r="H769" s="72">
        <f>IF($C$11=C769,INDEX(IncStmt!$B$10:$AK$35,MATCH("Net INCOME / LOSS",IncStmt!$A$10:$A$35,0),MATCH(Main!D769,IncStmt!$B$9:$AK$9,0)),0)</f>
        <v>0</v>
      </c>
      <c r="I769" s="72">
        <f t="shared" si="3"/>
        <v>0</v>
      </c>
    </row>
    <row r="770" spans="3:9" x14ac:dyDescent="0.2">
      <c r="C770" s="66"/>
      <c r="D770" s="66"/>
      <c r="E770" s="78"/>
      <c r="F770" s="82"/>
      <c r="G770" s="67"/>
      <c r="H770" s="72">
        <f>IF($C$11=C770,INDEX(IncStmt!$B$10:$AK$35,MATCH("Net INCOME / LOSS",IncStmt!$A$10:$A$35,0),MATCH(Main!D770,IncStmt!$B$9:$AK$9,0)),0)</f>
        <v>0</v>
      </c>
      <c r="I770" s="72">
        <f t="shared" si="3"/>
        <v>0</v>
      </c>
    </row>
    <row r="771" spans="3:9" x14ac:dyDescent="0.2">
      <c r="C771" s="66"/>
      <c r="D771" s="66"/>
      <c r="E771" s="78"/>
      <c r="F771" s="82"/>
      <c r="G771" s="67"/>
      <c r="H771" s="72">
        <f>IF($C$11=C771,INDEX(IncStmt!$B$10:$AK$35,MATCH("Net INCOME / LOSS",IncStmt!$A$10:$A$35,0),MATCH(Main!D771,IncStmt!$B$9:$AK$9,0)),0)</f>
        <v>0</v>
      </c>
      <c r="I771" s="72">
        <f t="shared" si="3"/>
        <v>0</v>
      </c>
    </row>
    <row r="772" spans="3:9" x14ac:dyDescent="0.2">
      <c r="C772" s="66"/>
      <c r="D772" s="66"/>
      <c r="E772" s="78"/>
      <c r="F772" s="82"/>
      <c r="G772" s="67"/>
      <c r="H772" s="72">
        <f>IF($C$11=C772,INDEX(IncStmt!$B$10:$AK$35,MATCH("Net INCOME / LOSS",IncStmt!$A$10:$A$35,0),MATCH(Main!D772,IncStmt!$B$9:$AK$9,0)),0)</f>
        <v>0</v>
      </c>
      <c r="I772" s="72">
        <f t="shared" si="3"/>
        <v>0</v>
      </c>
    </row>
    <row r="773" spans="3:9" x14ac:dyDescent="0.2">
      <c r="C773" s="66"/>
      <c r="D773" s="66"/>
      <c r="E773" s="78"/>
      <c r="F773" s="82"/>
      <c r="G773" s="67"/>
      <c r="H773" s="72">
        <f>IF($C$11=C773,INDEX(IncStmt!$B$10:$AK$35,MATCH("Net INCOME / LOSS",IncStmt!$A$10:$A$35,0),MATCH(Main!D773,IncStmt!$B$9:$AK$9,0)),0)</f>
        <v>0</v>
      </c>
      <c r="I773" s="72">
        <f t="shared" si="3"/>
        <v>0</v>
      </c>
    </row>
    <row r="774" spans="3:9" x14ac:dyDescent="0.2">
      <c r="C774" s="66"/>
      <c r="D774" s="66"/>
      <c r="E774" s="78"/>
      <c r="F774" s="82"/>
      <c r="G774" s="67"/>
      <c r="H774" s="72">
        <f>IF($C$11=C774,INDEX(IncStmt!$B$10:$AK$35,MATCH("Net INCOME / LOSS",IncStmt!$A$10:$A$35,0),MATCH(Main!D774,IncStmt!$B$9:$AK$9,0)),0)</f>
        <v>0</v>
      </c>
      <c r="I774" s="72">
        <f t="shared" si="3"/>
        <v>0</v>
      </c>
    </row>
    <row r="775" spans="3:9" x14ac:dyDescent="0.2">
      <c r="C775" s="66"/>
      <c r="D775" s="66"/>
      <c r="E775" s="78"/>
      <c r="F775" s="82"/>
      <c r="G775" s="67"/>
      <c r="H775" s="72">
        <f>IF($C$11=C775,INDEX(IncStmt!$B$10:$AK$35,MATCH("Net INCOME / LOSS",IncStmt!$A$10:$A$35,0),MATCH(Main!D775,IncStmt!$B$9:$AK$9,0)),0)</f>
        <v>0</v>
      </c>
      <c r="I775" s="72">
        <f t="shared" si="3"/>
        <v>0</v>
      </c>
    </row>
    <row r="776" spans="3:9" x14ac:dyDescent="0.2">
      <c r="C776" s="66"/>
      <c r="D776" s="66"/>
      <c r="E776" s="78"/>
      <c r="F776" s="82"/>
      <c r="G776" s="67"/>
      <c r="H776" s="72">
        <f>IF($C$11=C776,INDEX(IncStmt!$B$10:$AK$35,MATCH("Net INCOME / LOSS",IncStmt!$A$10:$A$35,0),MATCH(Main!D776,IncStmt!$B$9:$AK$9,0)),0)</f>
        <v>0</v>
      </c>
      <c r="I776" s="72">
        <f t="shared" si="3"/>
        <v>0</v>
      </c>
    </row>
    <row r="777" spans="3:9" x14ac:dyDescent="0.2">
      <c r="C777" s="66"/>
      <c r="D777" s="66"/>
      <c r="E777" s="78"/>
      <c r="F777" s="82"/>
      <c r="G777" s="67"/>
      <c r="H777" s="72">
        <f>IF($C$11=C777,INDEX(IncStmt!$B$10:$AK$35,MATCH("Net INCOME / LOSS",IncStmt!$A$10:$A$35,0),MATCH(Main!D777,IncStmt!$B$9:$AK$9,0)),0)</f>
        <v>0</v>
      </c>
      <c r="I777" s="72">
        <f t="shared" si="3"/>
        <v>0</v>
      </c>
    </row>
    <row r="778" spans="3:9" x14ac:dyDescent="0.2">
      <c r="C778" s="66"/>
      <c r="D778" s="66"/>
      <c r="E778" s="78"/>
      <c r="F778" s="82"/>
      <c r="G778" s="67"/>
      <c r="H778" s="72">
        <f>IF($C$11=C778,INDEX(IncStmt!$B$10:$AK$35,MATCH("Net INCOME / LOSS",IncStmt!$A$10:$A$35,0),MATCH(Main!D778,IncStmt!$B$9:$AK$9,0)),0)</f>
        <v>0</v>
      </c>
      <c r="I778" s="72">
        <f t="shared" si="3"/>
        <v>0</v>
      </c>
    </row>
    <row r="779" spans="3:9" x14ac:dyDescent="0.2">
      <c r="C779" s="66"/>
      <c r="D779" s="66"/>
      <c r="E779" s="78"/>
      <c r="F779" s="82"/>
      <c r="G779" s="67"/>
      <c r="H779" s="72">
        <f>IF($C$11=C779,INDEX(IncStmt!$B$10:$AK$35,MATCH("Net INCOME / LOSS",IncStmt!$A$10:$A$35,0),MATCH(Main!D779,IncStmt!$B$9:$AK$9,0)),0)</f>
        <v>0</v>
      </c>
      <c r="I779" s="72">
        <f t="shared" si="3"/>
        <v>0</v>
      </c>
    </row>
    <row r="780" spans="3:9" x14ac:dyDescent="0.2">
      <c r="C780" s="66"/>
      <c r="D780" s="66"/>
      <c r="E780" s="78"/>
      <c r="F780" s="82"/>
      <c r="G780" s="67"/>
      <c r="H780" s="72">
        <f>IF($C$11=C780,INDEX(IncStmt!$B$10:$AK$35,MATCH("Net INCOME / LOSS",IncStmt!$A$10:$A$35,0),MATCH(Main!D780,IncStmt!$B$9:$AK$9,0)),0)</f>
        <v>0</v>
      </c>
      <c r="I780" s="72">
        <f t="shared" si="3"/>
        <v>0</v>
      </c>
    </row>
    <row r="781" spans="3:9" x14ac:dyDescent="0.2">
      <c r="C781" s="66"/>
      <c r="D781" s="66"/>
      <c r="E781" s="78"/>
      <c r="F781" s="82"/>
      <c r="G781" s="67"/>
      <c r="H781" s="72">
        <f>IF($C$11=C781,INDEX(IncStmt!$B$10:$AK$35,MATCH("Net INCOME / LOSS",IncStmt!$A$10:$A$35,0),MATCH(Main!D781,IncStmt!$B$9:$AK$9,0)),0)</f>
        <v>0</v>
      </c>
      <c r="I781" s="72">
        <f t="shared" si="3"/>
        <v>0</v>
      </c>
    </row>
    <row r="782" spans="3:9" x14ac:dyDescent="0.2">
      <c r="C782" s="66"/>
      <c r="D782" s="66"/>
      <c r="E782" s="78"/>
      <c r="F782" s="82"/>
      <c r="G782" s="67"/>
      <c r="H782" s="72">
        <f>IF($C$11=C782,INDEX(IncStmt!$B$10:$AK$35,MATCH("Net INCOME / LOSS",IncStmt!$A$10:$A$35,0),MATCH(Main!D782,IncStmt!$B$9:$AK$9,0)),0)</f>
        <v>0</v>
      </c>
      <c r="I782" s="72">
        <f t="shared" si="3"/>
        <v>0</v>
      </c>
    </row>
    <row r="783" spans="3:9" x14ac:dyDescent="0.2">
      <c r="C783" s="66"/>
      <c r="D783" s="66"/>
      <c r="E783" s="78"/>
      <c r="F783" s="82"/>
      <c r="G783" s="67"/>
      <c r="H783" s="72">
        <f>IF($C$11=C783,INDEX(IncStmt!$B$10:$AK$35,MATCH("Net INCOME / LOSS",IncStmt!$A$10:$A$35,0),MATCH(Main!D783,IncStmt!$B$9:$AK$9,0)),0)</f>
        <v>0</v>
      </c>
      <c r="I783" s="72">
        <f t="shared" si="3"/>
        <v>0</v>
      </c>
    </row>
    <row r="784" spans="3:9" x14ac:dyDescent="0.2">
      <c r="C784" s="66"/>
      <c r="D784" s="66"/>
      <c r="E784" s="78"/>
      <c r="F784" s="82"/>
      <c r="G784" s="67"/>
      <c r="H784" s="72">
        <f>IF($C$11=C784,INDEX(IncStmt!$B$10:$AK$35,MATCH("Net INCOME / LOSS",IncStmt!$A$10:$A$35,0),MATCH(Main!D784,IncStmt!$B$9:$AK$9,0)),0)</f>
        <v>0</v>
      </c>
      <c r="I784" s="72">
        <f t="shared" si="3"/>
        <v>0</v>
      </c>
    </row>
    <row r="785" spans="3:9" x14ac:dyDescent="0.2">
      <c r="C785" s="66"/>
      <c r="D785" s="66"/>
      <c r="E785" s="78"/>
      <c r="F785" s="82"/>
      <c r="G785" s="67"/>
      <c r="H785" s="72">
        <f>IF($C$11=C785,INDEX(IncStmt!$B$10:$AK$35,MATCH("Net INCOME / LOSS",IncStmt!$A$10:$A$35,0),MATCH(Main!D785,IncStmt!$B$9:$AK$9,0)),0)</f>
        <v>0</v>
      </c>
      <c r="I785" s="72">
        <f t="shared" si="3"/>
        <v>0</v>
      </c>
    </row>
    <row r="786" spans="3:9" x14ac:dyDescent="0.2">
      <c r="C786" s="66"/>
      <c r="D786" s="66"/>
      <c r="E786" s="78"/>
      <c r="F786" s="82"/>
      <c r="G786" s="67"/>
      <c r="H786" s="72">
        <f>IF($C$11=C786,INDEX(IncStmt!$B$10:$AK$35,MATCH("Net INCOME / LOSS",IncStmt!$A$10:$A$35,0),MATCH(Main!D786,IncStmt!$B$9:$AK$9,0)),0)</f>
        <v>0</v>
      </c>
      <c r="I786" s="72">
        <f t="shared" si="3"/>
        <v>0</v>
      </c>
    </row>
    <row r="787" spans="3:9" x14ac:dyDescent="0.2">
      <c r="C787" s="66"/>
      <c r="D787" s="66"/>
      <c r="E787" s="78"/>
      <c r="F787" s="82"/>
      <c r="G787" s="67"/>
      <c r="H787" s="72">
        <f>IF($C$11=C787,INDEX(IncStmt!$B$10:$AK$35,MATCH("Net INCOME / LOSS",IncStmt!$A$10:$A$35,0),MATCH(Main!D787,IncStmt!$B$9:$AK$9,0)),0)</f>
        <v>0</v>
      </c>
      <c r="I787" s="72">
        <f t="shared" si="3"/>
        <v>0</v>
      </c>
    </row>
    <row r="788" spans="3:9" x14ac:dyDescent="0.2">
      <c r="C788" s="66"/>
      <c r="D788" s="66"/>
      <c r="E788" s="78"/>
      <c r="F788" s="82"/>
      <c r="G788" s="67"/>
      <c r="H788" s="72">
        <f>IF($C$11=C788,INDEX(IncStmt!$B$10:$AK$35,MATCH("Net INCOME / LOSS",IncStmt!$A$10:$A$35,0),MATCH(Main!D788,IncStmt!$B$9:$AK$9,0)),0)</f>
        <v>0</v>
      </c>
      <c r="I788" s="72">
        <f t="shared" si="3"/>
        <v>0</v>
      </c>
    </row>
    <row r="789" spans="3:9" x14ac:dyDescent="0.2">
      <c r="C789" s="66"/>
      <c r="D789" s="66"/>
      <c r="E789" s="78"/>
      <c r="F789" s="82"/>
      <c r="G789" s="67"/>
      <c r="H789" s="72">
        <f>IF($C$11=C789,INDEX(IncStmt!$B$10:$AK$35,MATCH("Net INCOME / LOSS",IncStmt!$A$10:$A$35,0),MATCH(Main!D789,IncStmt!$B$9:$AK$9,0)),0)</f>
        <v>0</v>
      </c>
      <c r="I789" s="72">
        <f t="shared" si="3"/>
        <v>0</v>
      </c>
    </row>
    <row r="790" spans="3:9" x14ac:dyDescent="0.2">
      <c r="C790" s="66"/>
      <c r="D790" s="66"/>
      <c r="E790" s="78"/>
      <c r="F790" s="82"/>
      <c r="G790" s="67"/>
      <c r="H790" s="72">
        <f>IF($C$11=C790,INDEX(IncStmt!$B$10:$AK$35,MATCH("Net INCOME / LOSS",IncStmt!$A$10:$A$35,0),MATCH(Main!D790,IncStmt!$B$9:$AK$9,0)),0)</f>
        <v>0</v>
      </c>
      <c r="I790" s="72">
        <f t="shared" si="3"/>
        <v>0</v>
      </c>
    </row>
    <row r="791" spans="3:9" x14ac:dyDescent="0.2">
      <c r="C791" s="66"/>
      <c r="D791" s="66"/>
      <c r="E791" s="78"/>
      <c r="F791" s="82"/>
      <c r="G791" s="67"/>
      <c r="H791" s="72">
        <f>IF($C$11=C791,INDEX(IncStmt!$B$10:$AK$35,MATCH("Net INCOME / LOSS",IncStmt!$A$10:$A$35,0),MATCH(Main!D791,IncStmt!$B$9:$AK$9,0)),0)</f>
        <v>0</v>
      </c>
      <c r="I791" s="72">
        <f t="shared" si="3"/>
        <v>0</v>
      </c>
    </row>
    <row r="792" spans="3:9" x14ac:dyDescent="0.2">
      <c r="C792" s="66"/>
      <c r="D792" s="66"/>
      <c r="E792" s="78"/>
      <c r="F792" s="82"/>
      <c r="G792" s="67"/>
      <c r="H792" s="72">
        <f>IF($C$11=C792,INDEX(IncStmt!$B$10:$AK$35,MATCH("Net INCOME / LOSS",IncStmt!$A$10:$A$35,0),MATCH(Main!D792,IncStmt!$B$9:$AK$9,0)),0)</f>
        <v>0</v>
      </c>
      <c r="I792" s="72">
        <f t="shared" si="3"/>
        <v>0</v>
      </c>
    </row>
    <row r="793" spans="3:9" x14ac:dyDescent="0.2">
      <c r="C793" s="66"/>
      <c r="D793" s="66"/>
      <c r="E793" s="78"/>
      <c r="F793" s="82"/>
      <c r="G793" s="67"/>
      <c r="H793" s="72">
        <f>IF($C$11=C793,INDEX(IncStmt!$B$10:$AK$35,MATCH("Net INCOME / LOSS",IncStmt!$A$10:$A$35,0),MATCH(Main!D793,IncStmt!$B$9:$AK$9,0)),0)</f>
        <v>0</v>
      </c>
      <c r="I793" s="72">
        <f t="shared" si="3"/>
        <v>0</v>
      </c>
    </row>
    <row r="794" spans="3:9" x14ac:dyDescent="0.2">
      <c r="C794" s="66"/>
      <c r="D794" s="66"/>
      <c r="E794" s="78"/>
      <c r="F794" s="82"/>
      <c r="G794" s="67"/>
      <c r="H794" s="72">
        <f>IF($C$11=C794,INDEX(IncStmt!$B$10:$AK$35,MATCH("Net INCOME / LOSS",IncStmt!$A$10:$A$35,0),MATCH(Main!D794,IncStmt!$B$9:$AK$9,0)),0)</f>
        <v>0</v>
      </c>
      <c r="I794" s="72">
        <f t="shared" si="3"/>
        <v>0</v>
      </c>
    </row>
    <row r="795" spans="3:9" x14ac:dyDescent="0.2">
      <c r="C795" s="66"/>
      <c r="D795" s="66"/>
      <c r="E795" s="78"/>
      <c r="F795" s="82"/>
      <c r="G795" s="67"/>
      <c r="H795" s="72">
        <f>IF($C$11=C795,INDEX(IncStmt!$B$10:$AK$35,MATCH("Net INCOME / LOSS",IncStmt!$A$10:$A$35,0),MATCH(Main!D795,IncStmt!$B$9:$AK$9,0)),0)</f>
        <v>0</v>
      </c>
      <c r="I795" s="72">
        <f t="shared" ref="I795:I826" si="4">IF(ISTEXT(H795),H795,H795*F795)</f>
        <v>0</v>
      </c>
    </row>
    <row r="796" spans="3:9" x14ac:dyDescent="0.2">
      <c r="C796" s="66"/>
      <c r="D796" s="66"/>
      <c r="E796" s="78"/>
      <c r="F796" s="82"/>
      <c r="G796" s="67"/>
      <c r="H796" s="72">
        <f>IF($C$11=C796,INDEX(IncStmt!$B$10:$AK$35,MATCH("Net INCOME / LOSS",IncStmt!$A$10:$A$35,0),MATCH(Main!D796,IncStmt!$B$9:$AK$9,0)),0)</f>
        <v>0</v>
      </c>
      <c r="I796" s="72">
        <f t="shared" si="4"/>
        <v>0</v>
      </c>
    </row>
    <row r="797" spans="3:9" x14ac:dyDescent="0.2">
      <c r="C797" s="66"/>
      <c r="D797" s="66"/>
      <c r="E797" s="78"/>
      <c r="F797" s="82"/>
      <c r="G797" s="67"/>
      <c r="H797" s="72">
        <f>IF($C$11=C797,INDEX(IncStmt!$B$10:$AK$35,MATCH("Net INCOME / LOSS",IncStmt!$A$10:$A$35,0),MATCH(Main!D797,IncStmt!$B$9:$AK$9,0)),0)</f>
        <v>0</v>
      </c>
      <c r="I797" s="72">
        <f t="shared" si="4"/>
        <v>0</v>
      </c>
    </row>
    <row r="798" spans="3:9" x14ac:dyDescent="0.2">
      <c r="C798" s="66"/>
      <c r="D798" s="66"/>
      <c r="E798" s="78"/>
      <c r="F798" s="82"/>
      <c r="G798" s="67"/>
      <c r="H798" s="72">
        <f>IF($C$11=C798,INDEX(IncStmt!$B$10:$AK$35,MATCH("Net INCOME / LOSS",IncStmt!$A$10:$A$35,0),MATCH(Main!D798,IncStmt!$B$9:$AK$9,0)),0)</f>
        <v>0</v>
      </c>
      <c r="I798" s="72">
        <f t="shared" si="4"/>
        <v>0</v>
      </c>
    </row>
    <row r="799" spans="3:9" x14ac:dyDescent="0.2">
      <c r="C799" s="66"/>
      <c r="D799" s="66"/>
      <c r="E799" s="78"/>
      <c r="F799" s="82"/>
      <c r="G799" s="67"/>
      <c r="H799" s="72">
        <f>IF($C$11=C799,INDEX(IncStmt!$B$10:$AK$35,MATCH("Net INCOME / LOSS",IncStmt!$A$10:$A$35,0),MATCH(Main!D799,IncStmt!$B$9:$AK$9,0)),0)</f>
        <v>0</v>
      </c>
      <c r="I799" s="72">
        <f t="shared" si="4"/>
        <v>0</v>
      </c>
    </row>
    <row r="800" spans="3:9" x14ac:dyDescent="0.2">
      <c r="C800" s="66"/>
      <c r="D800" s="66"/>
      <c r="E800" s="78"/>
      <c r="F800" s="82"/>
      <c r="G800" s="67"/>
      <c r="H800" s="72">
        <f>IF($C$11=C800,INDEX(IncStmt!$B$10:$AK$35,MATCH("Net INCOME / LOSS",IncStmt!$A$10:$A$35,0),MATCH(Main!D800,IncStmt!$B$9:$AK$9,0)),0)</f>
        <v>0</v>
      </c>
      <c r="I800" s="72">
        <f t="shared" si="4"/>
        <v>0</v>
      </c>
    </row>
    <row r="801" spans="3:9" x14ac:dyDescent="0.2">
      <c r="C801" s="66"/>
      <c r="D801" s="66"/>
      <c r="E801" s="78"/>
      <c r="F801" s="82"/>
      <c r="G801" s="67"/>
      <c r="H801" s="72">
        <f>IF($C$11=C801,INDEX(IncStmt!$B$10:$AK$35,MATCH("Net INCOME / LOSS",IncStmt!$A$10:$A$35,0),MATCH(Main!D801,IncStmt!$B$9:$AK$9,0)),0)</f>
        <v>0</v>
      </c>
      <c r="I801" s="72">
        <f t="shared" si="4"/>
        <v>0</v>
      </c>
    </row>
    <row r="802" spans="3:9" x14ac:dyDescent="0.2">
      <c r="C802" s="66"/>
      <c r="D802" s="66"/>
      <c r="E802" s="78"/>
      <c r="F802" s="82"/>
      <c r="G802" s="67"/>
      <c r="H802" s="72">
        <f>IF($C$11=C802,INDEX(IncStmt!$B$10:$AK$35,MATCH("Net INCOME / LOSS",IncStmt!$A$10:$A$35,0),MATCH(Main!D802,IncStmt!$B$9:$AK$9,0)),0)</f>
        <v>0</v>
      </c>
      <c r="I802" s="72">
        <f t="shared" si="4"/>
        <v>0</v>
      </c>
    </row>
    <row r="803" spans="3:9" x14ac:dyDescent="0.2">
      <c r="C803" s="66"/>
      <c r="D803" s="66"/>
      <c r="E803" s="78"/>
      <c r="F803" s="82"/>
      <c r="G803" s="67"/>
      <c r="H803" s="72">
        <f>IF($C$11=C803,INDEX(IncStmt!$B$10:$AK$35,MATCH("Net INCOME / LOSS",IncStmt!$A$10:$A$35,0),MATCH(Main!D803,IncStmt!$B$9:$AK$9,0)),0)</f>
        <v>0</v>
      </c>
      <c r="I803" s="72">
        <f t="shared" si="4"/>
        <v>0</v>
      </c>
    </row>
    <row r="804" spans="3:9" x14ac:dyDescent="0.2">
      <c r="C804" s="66"/>
      <c r="D804" s="66"/>
      <c r="E804" s="78"/>
      <c r="F804" s="82"/>
      <c r="G804" s="67"/>
      <c r="H804" s="72">
        <f>IF($C$11=C804,INDEX(IncStmt!$B$10:$AK$35,MATCH("Net INCOME / LOSS",IncStmt!$A$10:$A$35,0),MATCH(Main!D804,IncStmt!$B$9:$AK$9,0)),0)</f>
        <v>0</v>
      </c>
      <c r="I804" s="72">
        <f t="shared" si="4"/>
        <v>0</v>
      </c>
    </row>
    <row r="805" spans="3:9" x14ac:dyDescent="0.2">
      <c r="C805" s="66"/>
      <c r="D805" s="66"/>
      <c r="E805" s="78"/>
      <c r="F805" s="82"/>
      <c r="G805" s="67"/>
      <c r="H805" s="72">
        <f>IF($C$11=C805,INDEX(IncStmt!$B$10:$AK$35,MATCH("Net INCOME / LOSS",IncStmt!$A$10:$A$35,0),MATCH(Main!D805,IncStmt!$B$9:$AK$9,0)),0)</f>
        <v>0</v>
      </c>
      <c r="I805" s="72">
        <f t="shared" si="4"/>
        <v>0</v>
      </c>
    </row>
    <row r="806" spans="3:9" x14ac:dyDescent="0.2">
      <c r="C806" s="66"/>
      <c r="D806" s="66"/>
      <c r="E806" s="78"/>
      <c r="F806" s="82"/>
      <c r="G806" s="67"/>
      <c r="H806" s="72">
        <f>IF($C$11=C806,INDEX(IncStmt!$B$10:$AK$35,MATCH("Net INCOME / LOSS",IncStmt!$A$10:$A$35,0),MATCH(Main!D806,IncStmt!$B$9:$AK$9,0)),0)</f>
        <v>0</v>
      </c>
      <c r="I806" s="72">
        <f t="shared" si="4"/>
        <v>0</v>
      </c>
    </row>
    <row r="807" spans="3:9" x14ac:dyDescent="0.2">
      <c r="C807" s="66"/>
      <c r="D807" s="66"/>
      <c r="E807" s="78"/>
      <c r="F807" s="82"/>
      <c r="G807" s="67"/>
      <c r="H807" s="72">
        <f>IF($C$11=C807,INDEX(IncStmt!$B$10:$AK$35,MATCH("Net INCOME / LOSS",IncStmt!$A$10:$A$35,0),MATCH(Main!D807,IncStmt!$B$9:$AK$9,0)),0)</f>
        <v>0</v>
      </c>
      <c r="I807" s="72">
        <f t="shared" si="4"/>
        <v>0</v>
      </c>
    </row>
    <row r="808" spans="3:9" x14ac:dyDescent="0.2">
      <c r="C808" s="66"/>
      <c r="D808" s="66"/>
      <c r="E808" s="78"/>
      <c r="F808" s="82"/>
      <c r="G808" s="67"/>
      <c r="H808" s="72">
        <f>IF($C$11=C808,INDEX(IncStmt!$B$10:$AK$35,MATCH("Net INCOME / LOSS",IncStmt!$A$10:$A$35,0),MATCH(Main!D808,IncStmt!$B$9:$AK$9,0)),0)</f>
        <v>0</v>
      </c>
      <c r="I808" s="72">
        <f t="shared" si="4"/>
        <v>0</v>
      </c>
    </row>
    <row r="809" spans="3:9" x14ac:dyDescent="0.2">
      <c r="C809" s="66"/>
      <c r="D809" s="66"/>
      <c r="E809" s="78"/>
      <c r="F809" s="82"/>
      <c r="G809" s="67"/>
      <c r="H809" s="72">
        <f>IF($C$11=C809,INDEX(IncStmt!$B$10:$AK$35,MATCH("Net INCOME / LOSS",IncStmt!$A$10:$A$35,0),MATCH(Main!D809,IncStmt!$B$9:$AK$9,0)),0)</f>
        <v>0</v>
      </c>
      <c r="I809" s="72">
        <f t="shared" si="4"/>
        <v>0</v>
      </c>
    </row>
    <row r="810" spans="3:9" x14ac:dyDescent="0.2">
      <c r="C810" s="66"/>
      <c r="D810" s="66"/>
      <c r="E810" s="78"/>
      <c r="F810" s="82"/>
      <c r="G810" s="67"/>
      <c r="H810" s="72">
        <f>IF($C$11=C810,INDEX(IncStmt!$B$10:$AK$35,MATCH("Net INCOME / LOSS",IncStmt!$A$10:$A$35,0),MATCH(Main!D810,IncStmt!$B$9:$AK$9,0)),0)</f>
        <v>0</v>
      </c>
      <c r="I810" s="72">
        <f t="shared" si="4"/>
        <v>0</v>
      </c>
    </row>
    <row r="811" spans="3:9" x14ac:dyDescent="0.2">
      <c r="C811" s="66"/>
      <c r="D811" s="66"/>
      <c r="E811" s="78"/>
      <c r="F811" s="82"/>
      <c r="G811" s="67"/>
      <c r="H811" s="72">
        <f>IF($C$11=C811,INDEX(IncStmt!$B$10:$AK$35,MATCH("Net INCOME / LOSS",IncStmt!$A$10:$A$35,0),MATCH(Main!D811,IncStmt!$B$9:$AK$9,0)),0)</f>
        <v>0</v>
      </c>
      <c r="I811" s="72">
        <f t="shared" si="4"/>
        <v>0</v>
      </c>
    </row>
    <row r="812" spans="3:9" x14ac:dyDescent="0.2">
      <c r="C812" s="66"/>
      <c r="D812" s="66"/>
      <c r="E812" s="78"/>
      <c r="F812" s="82"/>
      <c r="G812" s="67"/>
      <c r="H812" s="72">
        <f>IF($C$11=C812,INDEX(IncStmt!$B$10:$AK$35,MATCH("Net INCOME / LOSS",IncStmt!$A$10:$A$35,0),MATCH(Main!D812,IncStmt!$B$9:$AK$9,0)),0)</f>
        <v>0</v>
      </c>
      <c r="I812" s="72">
        <f t="shared" si="4"/>
        <v>0</v>
      </c>
    </row>
    <row r="813" spans="3:9" x14ac:dyDescent="0.2">
      <c r="C813" s="66"/>
      <c r="D813" s="66"/>
      <c r="E813" s="78"/>
      <c r="F813" s="82"/>
      <c r="G813" s="67"/>
      <c r="H813" s="72">
        <f>IF($C$11=C813,INDEX(IncStmt!$B$10:$AK$35,MATCH("Net INCOME / LOSS",IncStmt!$A$10:$A$35,0),MATCH(Main!D813,IncStmt!$B$9:$AK$9,0)),0)</f>
        <v>0</v>
      </c>
      <c r="I813" s="72">
        <f t="shared" si="4"/>
        <v>0</v>
      </c>
    </row>
    <row r="814" spans="3:9" x14ac:dyDescent="0.2">
      <c r="C814" s="66"/>
      <c r="D814" s="66"/>
      <c r="E814" s="78"/>
      <c r="F814" s="82"/>
      <c r="G814" s="67"/>
      <c r="H814" s="72">
        <f>IF($C$11=C814,INDEX(IncStmt!$B$10:$AK$35,MATCH("Net INCOME / LOSS",IncStmt!$A$10:$A$35,0),MATCH(Main!D814,IncStmt!$B$9:$AK$9,0)),0)</f>
        <v>0</v>
      </c>
      <c r="I814" s="72">
        <f t="shared" si="4"/>
        <v>0</v>
      </c>
    </row>
    <row r="815" spans="3:9" x14ac:dyDescent="0.2">
      <c r="C815" s="66"/>
      <c r="D815" s="66"/>
      <c r="E815" s="78"/>
      <c r="F815" s="82"/>
      <c r="G815" s="67"/>
      <c r="H815" s="72">
        <f>IF($C$11=C815,INDEX(IncStmt!$B$10:$AK$35,MATCH("Net INCOME / LOSS",IncStmt!$A$10:$A$35,0),MATCH(Main!D815,IncStmt!$B$9:$AK$9,0)),0)</f>
        <v>0</v>
      </c>
      <c r="I815" s="72">
        <f t="shared" si="4"/>
        <v>0</v>
      </c>
    </row>
    <row r="816" spans="3:9" x14ac:dyDescent="0.2">
      <c r="C816" s="66"/>
      <c r="D816" s="66"/>
      <c r="E816" s="78"/>
      <c r="F816" s="82"/>
      <c r="G816" s="67"/>
      <c r="H816" s="72">
        <f>IF($C$11=C816,INDEX(IncStmt!$B$10:$AK$35,MATCH("Net INCOME / LOSS",IncStmt!$A$10:$A$35,0),MATCH(Main!D816,IncStmt!$B$9:$AK$9,0)),0)</f>
        <v>0</v>
      </c>
      <c r="I816" s="72">
        <f t="shared" si="4"/>
        <v>0</v>
      </c>
    </row>
    <row r="817" spans="3:9" x14ac:dyDescent="0.2">
      <c r="C817" s="66"/>
      <c r="D817" s="66"/>
      <c r="E817" s="78"/>
      <c r="F817" s="82"/>
      <c r="G817" s="67"/>
      <c r="H817" s="72">
        <f>IF($C$11=C817,INDEX(IncStmt!$B$10:$AK$35,MATCH("Net INCOME / LOSS",IncStmt!$A$10:$A$35,0),MATCH(Main!D817,IncStmt!$B$9:$AK$9,0)),0)</f>
        <v>0</v>
      </c>
      <c r="I817" s="72">
        <f t="shared" si="4"/>
        <v>0</v>
      </c>
    </row>
    <row r="818" spans="3:9" x14ac:dyDescent="0.2">
      <c r="C818" s="66"/>
      <c r="D818" s="66"/>
      <c r="E818" s="78"/>
      <c r="F818" s="82"/>
      <c r="G818" s="67"/>
      <c r="H818" s="72">
        <f>IF($C$11=C818,INDEX(IncStmt!$B$10:$AK$35,MATCH("Net INCOME / LOSS",IncStmt!$A$10:$A$35,0),MATCH(Main!D818,IncStmt!$B$9:$AK$9,0)),0)</f>
        <v>0</v>
      </c>
      <c r="I818" s="72">
        <f t="shared" si="4"/>
        <v>0</v>
      </c>
    </row>
    <row r="819" spans="3:9" x14ac:dyDescent="0.2">
      <c r="C819" s="66"/>
      <c r="D819" s="66"/>
      <c r="E819" s="78"/>
      <c r="F819" s="82"/>
      <c r="G819" s="67"/>
      <c r="H819" s="72">
        <f>IF($C$11=C819,INDEX(IncStmt!$B$10:$AK$35,MATCH("Net INCOME / LOSS",IncStmt!$A$10:$A$35,0),MATCH(Main!D819,IncStmt!$B$9:$AK$9,0)),0)</f>
        <v>0</v>
      </c>
      <c r="I819" s="72">
        <f t="shared" si="4"/>
        <v>0</v>
      </c>
    </row>
    <row r="820" spans="3:9" x14ac:dyDescent="0.2">
      <c r="C820" s="66"/>
      <c r="D820" s="66"/>
      <c r="E820" s="78"/>
      <c r="F820" s="82"/>
      <c r="G820" s="67"/>
      <c r="H820" s="72">
        <f>IF($C$11=C820,INDEX(IncStmt!$B$10:$AK$35,MATCH("Net INCOME / LOSS",IncStmt!$A$10:$A$35,0),MATCH(Main!D820,IncStmt!$B$9:$AK$9,0)),0)</f>
        <v>0</v>
      </c>
      <c r="I820" s="72">
        <f t="shared" si="4"/>
        <v>0</v>
      </c>
    </row>
    <row r="821" spans="3:9" x14ac:dyDescent="0.2">
      <c r="C821" s="66"/>
      <c r="D821" s="66"/>
      <c r="E821" s="78"/>
      <c r="F821" s="82"/>
      <c r="G821" s="67"/>
      <c r="H821" s="72">
        <f>IF($C$11=C821,INDEX(IncStmt!$B$10:$AK$35,MATCH("Net INCOME / LOSS",IncStmt!$A$10:$A$35,0),MATCH(Main!D821,IncStmt!$B$9:$AK$9,0)),0)</f>
        <v>0</v>
      </c>
      <c r="I821" s="72">
        <f t="shared" si="4"/>
        <v>0</v>
      </c>
    </row>
    <row r="822" spans="3:9" x14ac:dyDescent="0.2">
      <c r="C822" s="66"/>
      <c r="D822" s="66"/>
      <c r="E822" s="78"/>
      <c r="F822" s="82"/>
      <c r="G822" s="67"/>
      <c r="H822" s="72">
        <f>IF($C$11=C822,INDEX(IncStmt!$B$10:$AK$35,MATCH("Net INCOME / LOSS",IncStmt!$A$10:$A$35,0),MATCH(Main!D822,IncStmt!$B$9:$AK$9,0)),0)</f>
        <v>0</v>
      </c>
      <c r="I822" s="72">
        <f t="shared" si="4"/>
        <v>0</v>
      </c>
    </row>
    <row r="823" spans="3:9" x14ac:dyDescent="0.2">
      <c r="C823" s="66"/>
      <c r="D823" s="66"/>
      <c r="E823" s="78"/>
      <c r="F823" s="82"/>
      <c r="G823" s="67"/>
      <c r="H823" s="72">
        <f>IF($C$11=C823,INDEX(IncStmt!$B$10:$AK$35,MATCH("Net INCOME / LOSS",IncStmt!$A$10:$A$35,0),MATCH(Main!D823,IncStmt!$B$9:$AK$9,0)),0)</f>
        <v>0</v>
      </c>
      <c r="I823" s="72">
        <f t="shared" si="4"/>
        <v>0</v>
      </c>
    </row>
    <row r="824" spans="3:9" x14ac:dyDescent="0.2">
      <c r="C824" s="66"/>
      <c r="D824" s="66"/>
      <c r="E824" s="78"/>
      <c r="F824" s="82"/>
      <c r="G824" s="67"/>
      <c r="H824" s="72">
        <f>IF($C$11=C824,INDEX(IncStmt!$B$10:$AK$35,MATCH("Net INCOME / LOSS",IncStmt!$A$10:$A$35,0),MATCH(Main!D824,IncStmt!$B$9:$AK$9,0)),0)</f>
        <v>0</v>
      </c>
      <c r="I824" s="72">
        <f t="shared" si="4"/>
        <v>0</v>
      </c>
    </row>
    <row r="825" spans="3:9" x14ac:dyDescent="0.2">
      <c r="C825" s="66"/>
      <c r="D825" s="66"/>
      <c r="E825" s="78"/>
      <c r="F825" s="82"/>
      <c r="G825" s="67"/>
      <c r="H825" s="72">
        <f>IF($C$11=C825,INDEX(IncStmt!$B$10:$AK$35,MATCH("Net INCOME / LOSS",IncStmt!$A$10:$A$35,0),MATCH(Main!D825,IncStmt!$B$9:$AK$9,0)),0)</f>
        <v>0</v>
      </c>
      <c r="I825" s="72">
        <f t="shared" si="4"/>
        <v>0</v>
      </c>
    </row>
    <row r="826" spans="3:9" x14ac:dyDescent="0.2">
      <c r="C826" s="66"/>
      <c r="D826" s="66"/>
      <c r="E826" s="78"/>
      <c r="F826" s="82"/>
      <c r="G826" s="67"/>
      <c r="H826" s="72">
        <f>IF($C$11=C826,INDEX(IncStmt!$B$10:$AK$35,MATCH("Net INCOME / LOSS",IncStmt!$A$10:$A$35,0),MATCH(Main!D826,IncStmt!$B$9:$AK$9,0)),0)</f>
        <v>0</v>
      </c>
      <c r="I826" s="72">
        <f t="shared" si="4"/>
        <v>0</v>
      </c>
    </row>
    <row r="827" spans="3:9" x14ac:dyDescent="0.2">
      <c r="C827" s="66"/>
      <c r="D827" s="66"/>
      <c r="E827" s="78"/>
      <c r="F827" s="82"/>
      <c r="G827" s="67"/>
      <c r="H827" s="72">
        <f>IF($C$11=C827,INDEX(IncStmt!$B$10:$AK$35,MATCH("Net INCOME / LOSS",IncStmt!$A$10:$A$35,0),MATCH(Main!D827,IncStmt!$B$9:$AK$9,0)),0)</f>
        <v>0</v>
      </c>
      <c r="I827" s="72">
        <f t="shared" ref="I827:I854" si="5">IF(ISTEXT(H827),H827,H827*F827)</f>
        <v>0</v>
      </c>
    </row>
    <row r="828" spans="3:9" x14ac:dyDescent="0.2">
      <c r="C828" s="66"/>
      <c r="D828" s="66"/>
      <c r="E828" s="78"/>
      <c r="F828" s="82"/>
      <c r="G828" s="67"/>
      <c r="H828" s="72">
        <f>IF($C$11=C828,INDEX(IncStmt!$B$10:$AK$35,MATCH("Net INCOME / LOSS",IncStmt!$A$10:$A$35,0),MATCH(Main!D828,IncStmt!$B$9:$AK$9,0)),0)</f>
        <v>0</v>
      </c>
      <c r="I828" s="72">
        <f t="shared" si="5"/>
        <v>0</v>
      </c>
    </row>
    <row r="829" spans="3:9" x14ac:dyDescent="0.2">
      <c r="C829" s="66"/>
      <c r="D829" s="66"/>
      <c r="E829" s="78"/>
      <c r="F829" s="82"/>
      <c r="G829" s="67"/>
      <c r="H829" s="72">
        <f>IF($C$11=C829,INDEX(IncStmt!$B$10:$AK$35,MATCH("Net INCOME / LOSS",IncStmt!$A$10:$A$35,0),MATCH(Main!D829,IncStmt!$B$9:$AK$9,0)),0)</f>
        <v>0</v>
      </c>
      <c r="I829" s="72">
        <f t="shared" si="5"/>
        <v>0</v>
      </c>
    </row>
    <row r="830" spans="3:9" x14ac:dyDescent="0.2">
      <c r="C830" s="66"/>
      <c r="D830" s="66"/>
      <c r="E830" s="78"/>
      <c r="F830" s="82"/>
      <c r="G830" s="67"/>
      <c r="H830" s="72">
        <f>IF($C$11=C830,INDEX(IncStmt!$B$10:$AK$35,MATCH("Net INCOME / LOSS",IncStmt!$A$10:$A$35,0),MATCH(Main!D830,IncStmt!$B$9:$AK$9,0)),0)</f>
        <v>0</v>
      </c>
      <c r="I830" s="72">
        <f t="shared" si="5"/>
        <v>0</v>
      </c>
    </row>
    <row r="831" spans="3:9" x14ac:dyDescent="0.2">
      <c r="C831" s="66"/>
      <c r="D831" s="66"/>
      <c r="E831" s="78"/>
      <c r="F831" s="82"/>
      <c r="G831" s="67"/>
      <c r="H831" s="72">
        <f>IF($C$11=C831,INDEX(IncStmt!$B$10:$AK$35,MATCH("Net INCOME / LOSS",IncStmt!$A$10:$A$35,0),MATCH(Main!D831,IncStmt!$B$9:$AK$9,0)),0)</f>
        <v>0</v>
      </c>
      <c r="I831" s="72">
        <f t="shared" si="5"/>
        <v>0</v>
      </c>
    </row>
    <row r="832" spans="3:9" x14ac:dyDescent="0.2">
      <c r="C832" s="66"/>
      <c r="D832" s="66"/>
      <c r="E832" s="78"/>
      <c r="F832" s="82"/>
      <c r="G832" s="67"/>
      <c r="H832" s="72">
        <f>IF($C$11=C832,INDEX(IncStmt!$B$10:$AK$35,MATCH("Net INCOME / LOSS",IncStmt!$A$10:$A$35,0),MATCH(Main!D832,IncStmt!$B$9:$AK$9,0)),0)</f>
        <v>0</v>
      </c>
      <c r="I832" s="72">
        <f t="shared" si="5"/>
        <v>0</v>
      </c>
    </row>
    <row r="833" spans="3:9" x14ac:dyDescent="0.2">
      <c r="C833" s="66"/>
      <c r="D833" s="66"/>
      <c r="E833" s="78"/>
      <c r="F833" s="82"/>
      <c r="G833" s="67"/>
      <c r="H833" s="72">
        <f>IF($C$11=C833,INDEX(IncStmt!$B$10:$AK$35,MATCH("Net INCOME / LOSS",IncStmt!$A$10:$A$35,0),MATCH(Main!D833,IncStmt!$B$9:$AK$9,0)),0)</f>
        <v>0</v>
      </c>
      <c r="I833" s="72">
        <f t="shared" si="5"/>
        <v>0</v>
      </c>
    </row>
    <row r="834" spans="3:9" x14ac:dyDescent="0.2">
      <c r="C834" s="66"/>
      <c r="D834" s="66"/>
      <c r="E834" s="78"/>
      <c r="F834" s="82"/>
      <c r="G834" s="67"/>
      <c r="H834" s="72">
        <f>IF($C$11=C834,INDEX(IncStmt!$B$10:$AK$35,MATCH("Net INCOME / LOSS",IncStmt!$A$10:$A$35,0),MATCH(Main!D834,IncStmt!$B$9:$AK$9,0)),0)</f>
        <v>0</v>
      </c>
      <c r="I834" s="72">
        <f t="shared" si="5"/>
        <v>0</v>
      </c>
    </row>
    <row r="835" spans="3:9" x14ac:dyDescent="0.2">
      <c r="C835" s="66"/>
      <c r="D835" s="66"/>
      <c r="E835" s="78"/>
      <c r="F835" s="82"/>
      <c r="G835" s="67"/>
      <c r="H835" s="72">
        <f>IF($C$11=C835,INDEX(IncStmt!$B$10:$AK$35,MATCH("Net INCOME / LOSS",IncStmt!$A$10:$A$35,0),MATCH(Main!D835,IncStmt!$B$9:$AK$9,0)),0)</f>
        <v>0</v>
      </c>
      <c r="I835" s="72">
        <f t="shared" si="5"/>
        <v>0</v>
      </c>
    </row>
    <row r="836" spans="3:9" x14ac:dyDescent="0.2">
      <c r="C836" s="66"/>
      <c r="D836" s="66"/>
      <c r="E836" s="78"/>
      <c r="F836" s="82"/>
      <c r="G836" s="67"/>
      <c r="H836" s="72">
        <f>IF($C$11=C836,INDEX(IncStmt!$B$10:$AK$35,MATCH("Net INCOME / LOSS",IncStmt!$A$10:$A$35,0),MATCH(Main!D836,IncStmt!$B$9:$AK$9,0)),0)</f>
        <v>0</v>
      </c>
      <c r="I836" s="72">
        <f t="shared" si="5"/>
        <v>0</v>
      </c>
    </row>
    <row r="837" spans="3:9" x14ac:dyDescent="0.2">
      <c r="C837" s="66"/>
      <c r="D837" s="66"/>
      <c r="E837" s="78"/>
      <c r="F837" s="82"/>
      <c r="G837" s="67"/>
      <c r="H837" s="72">
        <f>IF($C$11=C837,INDEX(IncStmt!$B$10:$AK$35,MATCH("Net INCOME / LOSS",IncStmt!$A$10:$A$35,0),MATCH(Main!D837,IncStmt!$B$9:$AK$9,0)),0)</f>
        <v>0</v>
      </c>
      <c r="I837" s="72">
        <f t="shared" si="5"/>
        <v>0</v>
      </c>
    </row>
    <row r="838" spans="3:9" x14ac:dyDescent="0.2">
      <c r="C838" s="66"/>
      <c r="D838" s="66"/>
      <c r="E838" s="78"/>
      <c r="F838" s="82"/>
      <c r="G838" s="67"/>
      <c r="H838" s="72">
        <f>IF($C$11=C838,INDEX(IncStmt!$B$10:$AK$35,MATCH("Net INCOME / LOSS",IncStmt!$A$10:$A$35,0),MATCH(Main!D838,IncStmt!$B$9:$AK$9,0)),0)</f>
        <v>0</v>
      </c>
      <c r="I838" s="72">
        <f t="shared" si="5"/>
        <v>0</v>
      </c>
    </row>
    <row r="839" spans="3:9" x14ac:dyDescent="0.2">
      <c r="C839" s="66"/>
      <c r="D839" s="66"/>
      <c r="E839" s="78"/>
      <c r="F839" s="82"/>
      <c r="G839" s="67"/>
      <c r="H839" s="72">
        <f>IF($C$11=C839,INDEX(IncStmt!$B$10:$AK$35,MATCH("Net INCOME / LOSS",IncStmt!$A$10:$A$35,0),MATCH(Main!D839,IncStmt!$B$9:$AK$9,0)),0)</f>
        <v>0</v>
      </c>
      <c r="I839" s="72">
        <f t="shared" si="5"/>
        <v>0</v>
      </c>
    </row>
    <row r="840" spans="3:9" x14ac:dyDescent="0.2">
      <c r="C840" s="66"/>
      <c r="D840" s="66"/>
      <c r="E840" s="78"/>
      <c r="F840" s="82"/>
      <c r="G840" s="67"/>
      <c r="H840" s="72">
        <f>IF($C$11=C840,INDEX(IncStmt!$B$10:$AK$35,MATCH("Net INCOME / LOSS",IncStmt!$A$10:$A$35,0),MATCH(Main!D840,IncStmt!$B$9:$AK$9,0)),0)</f>
        <v>0</v>
      </c>
      <c r="I840" s="72">
        <f t="shared" si="5"/>
        <v>0</v>
      </c>
    </row>
    <row r="841" spans="3:9" x14ac:dyDescent="0.2">
      <c r="C841" s="66"/>
      <c r="D841" s="66"/>
      <c r="E841" s="78"/>
      <c r="F841" s="82"/>
      <c r="G841" s="67"/>
      <c r="H841" s="72">
        <f>IF($C$11=C841,INDEX(IncStmt!$B$10:$AK$35,MATCH("Net INCOME / LOSS",IncStmt!$A$10:$A$35,0),MATCH(Main!D841,IncStmt!$B$9:$AK$9,0)),0)</f>
        <v>0</v>
      </c>
      <c r="I841" s="72">
        <f t="shared" si="5"/>
        <v>0</v>
      </c>
    </row>
    <row r="842" spans="3:9" x14ac:dyDescent="0.2">
      <c r="C842" s="66"/>
      <c r="D842" s="66"/>
      <c r="E842" s="78"/>
      <c r="F842" s="82"/>
      <c r="G842" s="67"/>
      <c r="H842" s="72">
        <f>IF($C$11=C842,INDEX(IncStmt!$B$10:$AK$35,MATCH("Net INCOME / LOSS",IncStmt!$A$10:$A$35,0),MATCH(Main!D842,IncStmt!$B$9:$AK$9,0)),0)</f>
        <v>0</v>
      </c>
      <c r="I842" s="72">
        <f t="shared" si="5"/>
        <v>0</v>
      </c>
    </row>
    <row r="843" spans="3:9" x14ac:dyDescent="0.2">
      <c r="C843" s="66"/>
      <c r="D843" s="66"/>
      <c r="E843" s="78"/>
      <c r="F843" s="82"/>
      <c r="G843" s="67"/>
      <c r="H843" s="72">
        <f>IF($C$11=C843,INDEX(IncStmt!$B$10:$AK$35,MATCH("Net INCOME / LOSS",IncStmt!$A$10:$A$35,0),MATCH(Main!D843,IncStmt!$B$9:$AK$9,0)),0)</f>
        <v>0</v>
      </c>
      <c r="I843" s="72">
        <f t="shared" si="5"/>
        <v>0</v>
      </c>
    </row>
    <row r="844" spans="3:9" x14ac:dyDescent="0.2">
      <c r="C844" s="66"/>
      <c r="D844" s="66"/>
      <c r="E844" s="78"/>
      <c r="F844" s="82"/>
      <c r="G844" s="67"/>
      <c r="H844" s="72">
        <f>IF($C$11=C844,INDEX(IncStmt!$B$10:$AK$35,MATCH("Net INCOME / LOSS",IncStmt!$A$10:$A$35,0),MATCH(Main!D844,IncStmt!$B$9:$AK$9,0)),0)</f>
        <v>0</v>
      </c>
      <c r="I844" s="72">
        <f t="shared" si="5"/>
        <v>0</v>
      </c>
    </row>
    <row r="845" spans="3:9" x14ac:dyDescent="0.2">
      <c r="C845" s="66"/>
      <c r="D845" s="66"/>
      <c r="E845" s="78"/>
      <c r="F845" s="82"/>
      <c r="G845" s="67"/>
      <c r="H845" s="72">
        <f>IF($C$11=C845,INDEX(IncStmt!$B$10:$AK$35,MATCH("Net INCOME / LOSS",IncStmt!$A$10:$A$35,0),MATCH(Main!D845,IncStmt!$B$9:$AK$9,0)),0)</f>
        <v>0</v>
      </c>
      <c r="I845" s="72">
        <f t="shared" si="5"/>
        <v>0</v>
      </c>
    </row>
    <row r="846" spans="3:9" x14ac:dyDescent="0.2">
      <c r="C846" s="66"/>
      <c r="D846" s="66"/>
      <c r="E846" s="78"/>
      <c r="F846" s="82"/>
      <c r="G846" s="67"/>
      <c r="H846" s="72">
        <f>IF($C$11=C846,INDEX(IncStmt!$B$10:$AK$35,MATCH("Net INCOME / LOSS",IncStmt!$A$10:$A$35,0),MATCH(Main!D846,IncStmt!$B$9:$AK$9,0)),0)</f>
        <v>0</v>
      </c>
      <c r="I846" s="72">
        <f t="shared" si="5"/>
        <v>0</v>
      </c>
    </row>
    <row r="847" spans="3:9" x14ac:dyDescent="0.2">
      <c r="C847" s="66"/>
      <c r="D847" s="66"/>
      <c r="E847" s="78"/>
      <c r="F847" s="82"/>
      <c r="G847" s="67"/>
      <c r="H847" s="72">
        <f>IF($C$11=C847,INDEX(IncStmt!$B$10:$AK$35,MATCH("Net INCOME / LOSS",IncStmt!$A$10:$A$35,0),MATCH(Main!D847,IncStmt!$B$9:$AK$9,0)),0)</f>
        <v>0</v>
      </c>
      <c r="I847" s="72">
        <f t="shared" si="5"/>
        <v>0</v>
      </c>
    </row>
    <row r="848" spans="3:9" x14ac:dyDescent="0.2">
      <c r="C848" s="66"/>
      <c r="D848" s="66"/>
      <c r="E848" s="78"/>
      <c r="F848" s="82"/>
      <c r="G848" s="67"/>
      <c r="H848" s="72">
        <f>IF($C$11=C848,INDEX(IncStmt!$B$10:$AK$35,MATCH("Net INCOME / LOSS",IncStmt!$A$10:$A$35,0),MATCH(Main!D848,IncStmt!$B$9:$AK$9,0)),0)</f>
        <v>0</v>
      </c>
      <c r="I848" s="72">
        <f t="shared" si="5"/>
        <v>0</v>
      </c>
    </row>
    <row r="849" spans="3:9" x14ac:dyDescent="0.2">
      <c r="C849" s="66"/>
      <c r="D849" s="66"/>
      <c r="E849" s="78"/>
      <c r="F849" s="82"/>
      <c r="G849" s="67"/>
      <c r="H849" s="72">
        <f>IF($C$11=C849,INDEX(IncStmt!$B$10:$AK$35,MATCH("Net INCOME / LOSS",IncStmt!$A$10:$A$35,0),MATCH(Main!D849,IncStmt!$B$9:$AK$9,0)),0)</f>
        <v>0</v>
      </c>
      <c r="I849" s="72">
        <f t="shared" si="5"/>
        <v>0</v>
      </c>
    </row>
    <row r="850" spans="3:9" x14ac:dyDescent="0.2">
      <c r="C850" s="66"/>
      <c r="D850" s="66"/>
      <c r="E850" s="78"/>
      <c r="F850" s="82"/>
      <c r="G850" s="67"/>
      <c r="H850" s="72">
        <f>IF($C$11=C850,INDEX(IncStmt!$B$10:$AK$35,MATCH("Net INCOME / LOSS",IncStmt!$A$10:$A$35,0),MATCH(Main!D850,IncStmt!$B$9:$AK$9,0)),0)</f>
        <v>0</v>
      </c>
      <c r="I850" s="72">
        <f t="shared" si="5"/>
        <v>0</v>
      </c>
    </row>
    <row r="851" spans="3:9" x14ac:dyDescent="0.2">
      <c r="C851" s="66"/>
      <c r="D851" s="66"/>
      <c r="E851" s="78"/>
      <c r="F851" s="82"/>
      <c r="G851" s="67"/>
      <c r="H851" s="72">
        <f>IF($C$11=C851,INDEX(IncStmt!$B$10:$AK$35,MATCH("Net INCOME / LOSS",IncStmt!$A$10:$A$35,0),MATCH(Main!D851,IncStmt!$B$9:$AK$9,0)),0)</f>
        <v>0</v>
      </c>
      <c r="I851" s="72">
        <f t="shared" si="5"/>
        <v>0</v>
      </c>
    </row>
    <row r="852" spans="3:9" x14ac:dyDescent="0.2">
      <c r="C852" s="66"/>
      <c r="D852" s="66"/>
      <c r="E852" s="78"/>
      <c r="F852" s="82"/>
      <c r="G852" s="67"/>
      <c r="H852" s="72">
        <f>IF($C$11=C852,INDEX(IncStmt!$B$10:$AK$35,MATCH("Net INCOME / LOSS",IncStmt!$A$10:$A$35,0),MATCH(Main!D852,IncStmt!$B$9:$AK$9,0)),0)</f>
        <v>0</v>
      </c>
      <c r="I852" s="72">
        <f t="shared" si="5"/>
        <v>0</v>
      </c>
    </row>
    <row r="853" spans="3:9" x14ac:dyDescent="0.2">
      <c r="C853" s="66"/>
      <c r="D853" s="66"/>
      <c r="E853" s="78"/>
      <c r="F853" s="82"/>
      <c r="G853" s="67"/>
      <c r="H853" s="72">
        <f>IF($C$11=C853,INDEX(IncStmt!$B$10:$AK$35,MATCH("Net INCOME / LOSS",IncStmt!$A$10:$A$35,0),MATCH(Main!D853,IncStmt!$B$9:$AK$9,0)),0)</f>
        <v>0</v>
      </c>
      <c r="I853" s="72">
        <f t="shared" si="5"/>
        <v>0</v>
      </c>
    </row>
    <row r="854" spans="3:9" x14ac:dyDescent="0.2">
      <c r="C854" s="66"/>
      <c r="D854" s="66"/>
      <c r="E854" s="78"/>
      <c r="F854" s="82"/>
      <c r="G854" s="67"/>
      <c r="H854" s="72">
        <f>IF($C$11=C854,INDEX(IncStmt!$B$10:$AK$35,MATCH("Net INCOME / LOSS",IncStmt!$A$10:$A$35,0),MATCH(Main!D854,IncStmt!$B$9:$AK$9,0)),0)</f>
        <v>0</v>
      </c>
      <c r="I854" s="72">
        <f t="shared" si="5"/>
        <v>0</v>
      </c>
    </row>
    <row r="855" spans="3:9" x14ac:dyDescent="0.2">
      <c r="C855" s="66"/>
      <c r="D855" s="66"/>
      <c r="E855" s="78"/>
      <c r="F855" s="82"/>
      <c r="G855" s="67"/>
      <c r="H855" s="72"/>
      <c r="I855" s="72"/>
    </row>
    <row r="856" spans="3:9" x14ac:dyDescent="0.2">
      <c r="C856" s="66"/>
      <c r="D856" s="66"/>
      <c r="E856" s="78"/>
      <c r="F856" s="82"/>
      <c r="G856" s="67"/>
      <c r="H856" s="72"/>
      <c r="I856" s="72"/>
    </row>
    <row r="857" spans="3:9" x14ac:dyDescent="0.2">
      <c r="C857" s="66"/>
      <c r="D857" s="66"/>
      <c r="E857" s="78"/>
      <c r="F857" s="82"/>
      <c r="G857" s="67"/>
      <c r="H857" s="72"/>
      <c r="I857" s="72"/>
    </row>
    <row r="858" spans="3:9" x14ac:dyDescent="0.2">
      <c r="C858" s="66"/>
      <c r="D858" s="66"/>
      <c r="E858" s="78"/>
      <c r="F858" s="82"/>
      <c r="G858" s="67"/>
      <c r="H858" s="72"/>
      <c r="I858" s="72"/>
    </row>
    <row r="859" spans="3:9" x14ac:dyDescent="0.2">
      <c r="C859" s="66"/>
      <c r="D859" s="66"/>
      <c r="E859" s="78"/>
      <c r="F859" s="82"/>
      <c r="G859" s="67"/>
      <c r="H859" s="72"/>
      <c r="I859" s="72"/>
    </row>
    <row r="860" spans="3:9" x14ac:dyDescent="0.2">
      <c r="C860" s="66"/>
      <c r="D860" s="66"/>
      <c r="E860" s="78"/>
      <c r="F860" s="82"/>
      <c r="G860" s="67"/>
      <c r="H860" s="72"/>
      <c r="I860" s="72"/>
    </row>
    <row r="861" spans="3:9" x14ac:dyDescent="0.2">
      <c r="C861" s="66"/>
      <c r="D861" s="66"/>
      <c r="E861" s="78"/>
      <c r="F861" s="82"/>
      <c r="G861" s="67"/>
      <c r="H861" s="72"/>
      <c r="I861" s="72"/>
    </row>
    <row r="862" spans="3:9" x14ac:dyDescent="0.2">
      <c r="C862" s="66"/>
      <c r="D862" s="66"/>
      <c r="E862" s="78"/>
      <c r="F862" s="82"/>
      <c r="G862" s="67"/>
      <c r="H862" s="72"/>
      <c r="I862" s="72"/>
    </row>
    <row r="863" spans="3:9" x14ac:dyDescent="0.2">
      <c r="C863" s="66"/>
      <c r="D863" s="66"/>
      <c r="E863" s="78"/>
      <c r="F863" s="82"/>
      <c r="G863" s="67"/>
      <c r="H863" s="72"/>
      <c r="I863" s="72"/>
    </row>
    <row r="864" spans="3:9" x14ac:dyDescent="0.2">
      <c r="C864" s="66"/>
      <c r="D864" s="66"/>
      <c r="E864" s="78"/>
      <c r="F864" s="82"/>
      <c r="G864" s="67"/>
      <c r="H864" s="72"/>
      <c r="I864" s="72"/>
    </row>
    <row r="865" spans="3:9" x14ac:dyDescent="0.2">
      <c r="C865" s="66"/>
      <c r="D865" s="66"/>
      <c r="E865" s="78"/>
      <c r="F865" s="82"/>
      <c r="G865" s="67"/>
      <c r="H865" s="72"/>
      <c r="I865" s="72"/>
    </row>
    <row r="866" spans="3:9" x14ac:dyDescent="0.2">
      <c r="C866" s="66"/>
      <c r="D866" s="66"/>
      <c r="E866" s="78"/>
      <c r="F866" s="82"/>
      <c r="G866" s="67"/>
      <c r="H866" s="72"/>
      <c r="I866" s="72"/>
    </row>
    <row r="867" spans="3:9" x14ac:dyDescent="0.2">
      <c r="C867" s="66"/>
      <c r="D867" s="66"/>
      <c r="E867" s="78"/>
      <c r="F867" s="82"/>
      <c r="G867" s="67"/>
      <c r="H867" s="72"/>
      <c r="I867" s="72"/>
    </row>
    <row r="868" spans="3:9" x14ac:dyDescent="0.2">
      <c r="C868" s="66"/>
      <c r="D868" s="66"/>
      <c r="E868" s="78"/>
      <c r="F868" s="82"/>
      <c r="G868" s="67"/>
      <c r="H868" s="72"/>
      <c r="I868" s="72"/>
    </row>
    <row r="869" spans="3:9" x14ac:dyDescent="0.2">
      <c r="C869" s="66"/>
      <c r="D869" s="66"/>
      <c r="E869" s="78"/>
      <c r="F869" s="82"/>
      <c r="G869" s="67"/>
      <c r="H869" s="72"/>
      <c r="I869" s="72"/>
    </row>
    <row r="870" spans="3:9" x14ac:dyDescent="0.2">
      <c r="C870" s="66"/>
      <c r="D870" s="66"/>
      <c r="E870" s="78"/>
      <c r="F870" s="82"/>
      <c r="G870" s="67"/>
      <c r="H870" s="72"/>
      <c r="I870" s="72"/>
    </row>
    <row r="871" spans="3:9" x14ac:dyDescent="0.2">
      <c r="C871" s="66"/>
      <c r="D871" s="66"/>
      <c r="E871" s="78"/>
      <c r="F871" s="82"/>
      <c r="G871" s="67"/>
      <c r="H871" s="72"/>
      <c r="I871" s="72"/>
    </row>
    <row r="872" spans="3:9" x14ac:dyDescent="0.2">
      <c r="C872" s="66"/>
      <c r="D872" s="66"/>
      <c r="E872" s="78"/>
      <c r="F872" s="82"/>
      <c r="G872" s="67"/>
      <c r="H872" s="72"/>
      <c r="I872" s="72"/>
    </row>
    <row r="873" spans="3:9" x14ac:dyDescent="0.2">
      <c r="C873" s="66"/>
      <c r="D873" s="66"/>
      <c r="E873" s="78"/>
      <c r="F873" s="82"/>
      <c r="G873" s="67"/>
      <c r="H873" s="72"/>
      <c r="I873" s="72"/>
    </row>
    <row r="874" spans="3:9" x14ac:dyDescent="0.2">
      <c r="C874" s="66"/>
      <c r="D874" s="66"/>
      <c r="E874" s="78"/>
      <c r="F874" s="82"/>
      <c r="G874" s="67"/>
      <c r="H874" s="72"/>
      <c r="I874" s="72"/>
    </row>
    <row r="875" spans="3:9" x14ac:dyDescent="0.2">
      <c r="C875" s="66"/>
      <c r="D875" s="66"/>
      <c r="E875" s="78"/>
      <c r="F875" s="82"/>
      <c r="G875" s="67"/>
      <c r="H875" s="72"/>
      <c r="I875" s="72"/>
    </row>
    <row r="876" spans="3:9" x14ac:dyDescent="0.2">
      <c r="C876" s="66"/>
      <c r="D876" s="66"/>
      <c r="E876" s="78"/>
      <c r="F876" s="82"/>
      <c r="G876" s="67"/>
      <c r="H876" s="72"/>
      <c r="I876" s="72"/>
    </row>
    <row r="877" spans="3:9" x14ac:dyDescent="0.2">
      <c r="C877" s="66"/>
      <c r="D877" s="66"/>
      <c r="E877" s="78"/>
      <c r="F877" s="82"/>
      <c r="G877" s="67"/>
      <c r="H877" s="72"/>
      <c r="I877" s="72"/>
    </row>
    <row r="878" spans="3:9" x14ac:dyDescent="0.2">
      <c r="C878" s="66"/>
      <c r="D878" s="66"/>
      <c r="E878" s="78"/>
      <c r="F878" s="82"/>
      <c r="G878" s="67"/>
      <c r="H878" s="72"/>
      <c r="I878" s="72"/>
    </row>
    <row r="879" spans="3:9" x14ac:dyDescent="0.2">
      <c r="C879" s="66"/>
      <c r="D879" s="66"/>
      <c r="E879" s="78"/>
      <c r="F879" s="82"/>
      <c r="G879" s="67"/>
      <c r="H879" s="72"/>
      <c r="I879" s="72"/>
    </row>
    <row r="880" spans="3:9" x14ac:dyDescent="0.2">
      <c r="C880" s="66"/>
      <c r="D880" s="66"/>
      <c r="E880" s="78"/>
      <c r="F880" s="82"/>
      <c r="G880" s="67"/>
      <c r="H880" s="72"/>
      <c r="I880" s="72"/>
    </row>
    <row r="881" spans="3:9" x14ac:dyDescent="0.2">
      <c r="C881" s="66"/>
      <c r="D881" s="66"/>
      <c r="E881" s="78"/>
      <c r="F881" s="82"/>
      <c r="G881" s="67"/>
      <c r="H881" s="72"/>
      <c r="I881" s="72"/>
    </row>
    <row r="882" spans="3:9" x14ac:dyDescent="0.2">
      <c r="C882" s="66"/>
      <c r="D882" s="66"/>
      <c r="E882" s="78"/>
      <c r="F882" s="82"/>
      <c r="G882" s="67"/>
      <c r="H882" s="72"/>
      <c r="I882" s="72"/>
    </row>
    <row r="883" spans="3:9" x14ac:dyDescent="0.2">
      <c r="C883" s="66"/>
      <c r="D883" s="66"/>
      <c r="E883" s="78"/>
      <c r="F883" s="82"/>
      <c r="G883" s="67"/>
      <c r="H883" s="72"/>
      <c r="I883" s="72"/>
    </row>
    <row r="884" spans="3:9" x14ac:dyDescent="0.2">
      <c r="C884" s="66"/>
      <c r="D884" s="66"/>
      <c r="E884" s="78"/>
      <c r="F884" s="82"/>
      <c r="G884" s="67"/>
      <c r="H884" s="72"/>
      <c r="I884" s="72"/>
    </row>
    <row r="885" spans="3:9" x14ac:dyDescent="0.2">
      <c r="C885" s="66"/>
      <c r="D885" s="66"/>
      <c r="E885" s="78"/>
      <c r="F885" s="82"/>
      <c r="G885" s="67"/>
      <c r="H885" s="72"/>
      <c r="I885" s="72"/>
    </row>
    <row r="886" spans="3:9" x14ac:dyDescent="0.2">
      <c r="C886" s="66"/>
      <c r="D886" s="66"/>
      <c r="E886" s="78"/>
      <c r="F886" s="82"/>
      <c r="G886" s="67"/>
      <c r="H886" s="72"/>
      <c r="I886" s="72"/>
    </row>
    <row r="887" spans="3:9" x14ac:dyDescent="0.2">
      <c r="C887" s="66"/>
      <c r="D887" s="66"/>
      <c r="E887" s="78"/>
      <c r="F887" s="82"/>
      <c r="G887" s="67"/>
      <c r="H887" s="72"/>
      <c r="I887" s="72"/>
    </row>
    <row r="888" spans="3:9" x14ac:dyDescent="0.2">
      <c r="C888" s="66"/>
      <c r="D888" s="66"/>
      <c r="E888" s="78"/>
      <c r="F888" s="82"/>
      <c r="G888" s="67"/>
      <c r="H888" s="72"/>
      <c r="I888" s="72"/>
    </row>
    <row r="889" spans="3:9" x14ac:dyDescent="0.2">
      <c r="C889" s="66"/>
      <c r="D889" s="66"/>
      <c r="E889" s="78"/>
      <c r="F889" s="82"/>
      <c r="G889" s="67"/>
      <c r="H889" s="72"/>
      <c r="I889" s="72"/>
    </row>
    <row r="890" spans="3:9" x14ac:dyDescent="0.2">
      <c r="C890" s="66"/>
      <c r="D890" s="66"/>
      <c r="E890" s="78"/>
      <c r="F890" s="82"/>
      <c r="G890" s="67"/>
      <c r="H890" s="72"/>
      <c r="I890" s="72"/>
    </row>
    <row r="891" spans="3:9" x14ac:dyDescent="0.2">
      <c r="C891" s="66"/>
      <c r="D891" s="66"/>
      <c r="E891" s="78"/>
      <c r="F891" s="82"/>
      <c r="G891" s="67"/>
      <c r="H891" s="72"/>
      <c r="I891" s="72"/>
    </row>
    <row r="892" spans="3:9" x14ac:dyDescent="0.2">
      <c r="C892" s="66"/>
      <c r="D892" s="66"/>
      <c r="E892" s="78"/>
      <c r="F892" s="82"/>
      <c r="G892" s="67"/>
      <c r="H892" s="72"/>
      <c r="I892" s="72"/>
    </row>
    <row r="893" spans="3:9" x14ac:dyDescent="0.2">
      <c r="C893" s="66"/>
      <c r="D893" s="66"/>
      <c r="E893" s="78"/>
      <c r="F893" s="82"/>
      <c r="G893" s="67"/>
      <c r="H893" s="72"/>
      <c r="I893" s="72"/>
    </row>
    <row r="894" spans="3:9" x14ac:dyDescent="0.2">
      <c r="C894" s="66"/>
      <c r="D894" s="66"/>
      <c r="E894" s="78"/>
      <c r="F894" s="82"/>
      <c r="G894" s="67"/>
      <c r="H894" s="72"/>
      <c r="I894" s="72"/>
    </row>
    <row r="895" spans="3:9" x14ac:dyDescent="0.2">
      <c r="C895" s="66"/>
      <c r="D895" s="66"/>
      <c r="E895" s="78"/>
      <c r="F895" s="82"/>
      <c r="G895" s="67"/>
      <c r="H895" s="72"/>
      <c r="I895" s="72"/>
    </row>
    <row r="896" spans="3:9" x14ac:dyDescent="0.2">
      <c r="C896" s="66"/>
      <c r="D896" s="66"/>
      <c r="E896" s="78"/>
      <c r="F896" s="82"/>
      <c r="G896" s="67"/>
      <c r="H896" s="72"/>
      <c r="I896" s="72"/>
    </row>
    <row r="897" spans="3:9" x14ac:dyDescent="0.2">
      <c r="C897" s="66"/>
      <c r="D897" s="66"/>
      <c r="E897" s="78"/>
      <c r="F897" s="82"/>
      <c r="G897" s="67"/>
      <c r="H897" s="72"/>
      <c r="I897" s="72"/>
    </row>
    <row r="898" spans="3:9" x14ac:dyDescent="0.2">
      <c r="C898" s="66"/>
      <c r="D898" s="66"/>
      <c r="E898" s="78"/>
      <c r="F898" s="82"/>
      <c r="G898" s="67"/>
      <c r="H898" s="72"/>
      <c r="I898" s="72"/>
    </row>
    <row r="899" spans="3:9" x14ac:dyDescent="0.2">
      <c r="C899" s="66"/>
      <c r="D899" s="66"/>
      <c r="E899" s="78"/>
      <c r="F899" s="82"/>
      <c r="G899" s="67"/>
      <c r="H899" s="72"/>
      <c r="I899" s="72"/>
    </row>
    <row r="900" spans="3:9" x14ac:dyDescent="0.2">
      <c r="C900" s="66"/>
      <c r="D900" s="66"/>
      <c r="E900" s="78"/>
      <c r="F900" s="82"/>
      <c r="G900" s="67"/>
      <c r="H900" s="72"/>
      <c r="I900" s="72"/>
    </row>
    <row r="901" spans="3:9" x14ac:dyDescent="0.2">
      <c r="C901" s="66"/>
      <c r="D901" s="66"/>
      <c r="E901" s="78"/>
      <c r="F901" s="82"/>
      <c r="G901" s="67"/>
      <c r="H901" s="72"/>
      <c r="I901" s="72"/>
    </row>
    <row r="902" spans="3:9" x14ac:dyDescent="0.2">
      <c r="C902" s="66"/>
      <c r="D902" s="66"/>
      <c r="E902" s="78"/>
      <c r="F902" s="82"/>
      <c r="G902" s="67"/>
      <c r="H902" s="72"/>
      <c r="I902" s="72"/>
    </row>
    <row r="903" spans="3:9" x14ac:dyDescent="0.2">
      <c r="C903" s="66"/>
      <c r="D903" s="66"/>
      <c r="E903" s="78"/>
      <c r="F903" s="82"/>
      <c r="G903" s="67"/>
      <c r="H903" s="72"/>
      <c r="I903" s="72"/>
    </row>
    <row r="904" spans="3:9" x14ac:dyDescent="0.2">
      <c r="C904" s="66"/>
      <c r="D904" s="66"/>
      <c r="E904" s="78"/>
      <c r="F904" s="82"/>
      <c r="G904" s="67"/>
      <c r="H904" s="72"/>
      <c r="I904" s="72"/>
    </row>
    <row r="905" spans="3:9" x14ac:dyDescent="0.2">
      <c r="C905" s="66"/>
      <c r="D905" s="66"/>
      <c r="E905" s="78"/>
      <c r="F905" s="82"/>
      <c r="G905" s="67"/>
      <c r="H905" s="72"/>
      <c r="I905" s="72"/>
    </row>
    <row r="906" spans="3:9" x14ac:dyDescent="0.2">
      <c r="C906" s="66"/>
      <c r="D906" s="66"/>
      <c r="E906" s="78"/>
      <c r="F906" s="82"/>
      <c r="G906" s="67"/>
      <c r="H906" s="72"/>
      <c r="I906" s="72"/>
    </row>
    <row r="907" spans="3:9" x14ac:dyDescent="0.2">
      <c r="C907" s="66"/>
      <c r="D907" s="66"/>
      <c r="E907" s="78"/>
      <c r="F907" s="82"/>
      <c r="G907" s="67"/>
      <c r="H907" s="72"/>
      <c r="I907" s="72"/>
    </row>
    <row r="908" spans="3:9" x14ac:dyDescent="0.2">
      <c r="C908" s="66"/>
      <c r="D908" s="66"/>
      <c r="E908" s="78"/>
      <c r="F908" s="82"/>
      <c r="G908" s="67"/>
      <c r="H908" s="72"/>
      <c r="I908" s="72"/>
    </row>
    <row r="909" spans="3:9" x14ac:dyDescent="0.2">
      <c r="C909" s="66"/>
      <c r="D909" s="66"/>
      <c r="E909" s="78"/>
      <c r="F909" s="82"/>
      <c r="G909" s="67"/>
      <c r="H909" s="72"/>
      <c r="I909" s="72"/>
    </row>
    <row r="910" spans="3:9" x14ac:dyDescent="0.2">
      <c r="C910" s="66"/>
      <c r="D910" s="66"/>
      <c r="E910" s="78"/>
      <c r="F910" s="82"/>
      <c r="G910" s="67"/>
      <c r="H910" s="72"/>
      <c r="I910" s="72"/>
    </row>
    <row r="911" spans="3:9" x14ac:dyDescent="0.2">
      <c r="C911" s="66"/>
      <c r="D911" s="66"/>
      <c r="E911" s="78"/>
      <c r="F911" s="82"/>
      <c r="G911" s="67"/>
      <c r="H911" s="72"/>
      <c r="I911" s="72"/>
    </row>
    <row r="912" spans="3:9" x14ac:dyDescent="0.2">
      <c r="C912" s="66"/>
      <c r="D912" s="66"/>
      <c r="E912" s="78"/>
      <c r="F912" s="82"/>
      <c r="G912" s="67"/>
      <c r="H912" s="72"/>
      <c r="I912" s="72"/>
    </row>
    <row r="913" spans="3:9" x14ac:dyDescent="0.2">
      <c r="C913" s="66"/>
      <c r="D913" s="66"/>
      <c r="E913" s="78"/>
      <c r="F913" s="82"/>
      <c r="G913" s="67"/>
      <c r="H913" s="72"/>
      <c r="I913" s="72"/>
    </row>
    <row r="914" spans="3:9" x14ac:dyDescent="0.2">
      <c r="C914" s="66"/>
      <c r="D914" s="66"/>
      <c r="E914" s="78"/>
      <c r="F914" s="82"/>
      <c r="G914" s="67"/>
      <c r="H914" s="72"/>
      <c r="I914" s="72"/>
    </row>
    <row r="915" spans="3:9" x14ac:dyDescent="0.2">
      <c r="C915" s="66"/>
      <c r="D915" s="66"/>
      <c r="E915" s="78"/>
      <c r="F915" s="82"/>
      <c r="G915" s="67"/>
      <c r="H915" s="72"/>
      <c r="I915" s="72"/>
    </row>
    <row r="916" spans="3:9" x14ac:dyDescent="0.2">
      <c r="C916" s="66"/>
      <c r="D916" s="66"/>
      <c r="E916" s="78"/>
      <c r="F916" s="82"/>
      <c r="G916" s="67"/>
      <c r="H916" s="72"/>
      <c r="I916" s="72"/>
    </row>
    <row r="917" spans="3:9" x14ac:dyDescent="0.2">
      <c r="C917" s="66"/>
      <c r="D917" s="66"/>
      <c r="E917" s="78"/>
      <c r="F917" s="82"/>
      <c r="G917" s="67"/>
      <c r="H917" s="72"/>
      <c r="I917" s="72"/>
    </row>
    <row r="918" spans="3:9" x14ac:dyDescent="0.2">
      <c r="C918" s="66"/>
      <c r="D918" s="66"/>
      <c r="E918" s="78"/>
      <c r="F918" s="82"/>
      <c r="G918" s="67"/>
      <c r="H918" s="72"/>
      <c r="I918" s="72"/>
    </row>
    <row r="919" spans="3:9" x14ac:dyDescent="0.2">
      <c r="C919" s="66"/>
      <c r="D919" s="66"/>
      <c r="E919" s="78"/>
      <c r="F919" s="82"/>
      <c r="G919" s="67"/>
      <c r="H919" s="72"/>
      <c r="I919" s="72"/>
    </row>
    <row r="920" spans="3:9" x14ac:dyDescent="0.2">
      <c r="C920" s="66"/>
      <c r="D920" s="66"/>
      <c r="E920" s="78"/>
      <c r="F920" s="82"/>
      <c r="G920" s="67"/>
      <c r="H920" s="72"/>
      <c r="I920" s="72"/>
    </row>
    <row r="921" spans="3:9" x14ac:dyDescent="0.2">
      <c r="C921" s="66"/>
      <c r="D921" s="66"/>
      <c r="E921" s="78"/>
      <c r="F921" s="82"/>
      <c r="G921" s="67"/>
      <c r="H921" s="72"/>
      <c r="I921" s="72"/>
    </row>
    <row r="922" spans="3:9" x14ac:dyDescent="0.2">
      <c r="C922" s="66"/>
      <c r="D922" s="66"/>
      <c r="E922" s="78"/>
      <c r="F922" s="82"/>
      <c r="G922" s="67"/>
      <c r="H922" s="72"/>
      <c r="I922" s="72"/>
    </row>
    <row r="923" spans="3:9" x14ac:dyDescent="0.2">
      <c r="C923" s="66"/>
      <c r="D923" s="66"/>
      <c r="E923" s="78"/>
      <c r="F923" s="82"/>
      <c r="G923" s="67"/>
      <c r="H923" s="72"/>
      <c r="I923" s="72"/>
    </row>
    <row r="924" spans="3:9" x14ac:dyDescent="0.2">
      <c r="C924" s="66"/>
      <c r="D924" s="66"/>
      <c r="E924" s="78"/>
      <c r="F924" s="82"/>
      <c r="G924" s="67"/>
      <c r="H924" s="72"/>
      <c r="I924" s="72"/>
    </row>
    <row r="925" spans="3:9" x14ac:dyDescent="0.2">
      <c r="C925" s="66"/>
      <c r="D925" s="66"/>
      <c r="E925" s="78"/>
      <c r="F925" s="82"/>
      <c r="G925" s="67"/>
      <c r="H925" s="72"/>
      <c r="I925" s="72"/>
    </row>
    <row r="926" spans="3:9" x14ac:dyDescent="0.2">
      <c r="C926" s="66"/>
      <c r="D926" s="66"/>
      <c r="E926" s="78"/>
      <c r="F926" s="82"/>
      <c r="G926" s="67"/>
      <c r="H926" s="72"/>
      <c r="I926" s="72"/>
    </row>
    <row r="927" spans="3:9" x14ac:dyDescent="0.2">
      <c r="C927" s="66"/>
      <c r="D927" s="66"/>
      <c r="E927" s="78"/>
      <c r="F927" s="82"/>
      <c r="G927" s="67"/>
      <c r="H927" s="72"/>
      <c r="I927" s="72"/>
    </row>
    <row r="928" spans="3:9" x14ac:dyDescent="0.2">
      <c r="C928" s="66"/>
      <c r="D928" s="66"/>
      <c r="E928" s="78"/>
      <c r="F928" s="82"/>
      <c r="G928" s="67"/>
      <c r="H928" s="72"/>
      <c r="I928" s="72"/>
    </row>
    <row r="929" spans="3:9" x14ac:dyDescent="0.2">
      <c r="C929" s="66"/>
      <c r="D929" s="66"/>
      <c r="E929" s="78"/>
      <c r="F929" s="82"/>
      <c r="G929" s="67"/>
      <c r="H929" s="72"/>
      <c r="I929" s="72"/>
    </row>
    <row r="930" spans="3:9" x14ac:dyDescent="0.2">
      <c r="C930" s="66"/>
      <c r="D930" s="66"/>
      <c r="E930" s="78"/>
      <c r="F930" s="82"/>
      <c r="G930" s="67"/>
      <c r="H930" s="72"/>
      <c r="I930" s="72"/>
    </row>
    <row r="931" spans="3:9" x14ac:dyDescent="0.2">
      <c r="C931" s="66"/>
      <c r="D931" s="66"/>
      <c r="E931" s="78"/>
      <c r="F931" s="82"/>
      <c r="G931" s="67"/>
      <c r="H931" s="72"/>
      <c r="I931" s="72"/>
    </row>
    <row r="932" spans="3:9" x14ac:dyDescent="0.2">
      <c r="C932" s="66"/>
      <c r="D932" s="66"/>
      <c r="E932" s="78"/>
      <c r="F932" s="82"/>
      <c r="G932" s="67"/>
      <c r="H932" s="72"/>
      <c r="I932" s="72"/>
    </row>
    <row r="933" spans="3:9" x14ac:dyDescent="0.2">
      <c r="C933" s="66"/>
      <c r="D933" s="66"/>
      <c r="E933" s="78"/>
      <c r="F933" s="82"/>
      <c r="G933" s="67"/>
      <c r="H933" s="72"/>
      <c r="I933" s="72"/>
    </row>
    <row r="934" spans="3:9" x14ac:dyDescent="0.2">
      <c r="C934" s="66"/>
      <c r="D934" s="66"/>
      <c r="E934" s="78"/>
      <c r="F934" s="82"/>
      <c r="G934" s="67"/>
      <c r="H934" s="72"/>
      <c r="I934" s="72"/>
    </row>
    <row r="935" spans="3:9" x14ac:dyDescent="0.2">
      <c r="C935" s="66"/>
      <c r="D935" s="66"/>
      <c r="E935" s="78"/>
      <c r="F935" s="82"/>
      <c r="G935" s="67"/>
      <c r="H935" s="72"/>
      <c r="I935" s="72"/>
    </row>
    <row r="936" spans="3:9" x14ac:dyDescent="0.2">
      <c r="C936" s="66"/>
      <c r="D936" s="66"/>
      <c r="E936" s="78"/>
      <c r="F936" s="82"/>
      <c r="G936" s="67"/>
      <c r="H936" s="72"/>
      <c r="I936" s="72"/>
    </row>
    <row r="937" spans="3:9" x14ac:dyDescent="0.2">
      <c r="C937" s="66"/>
      <c r="D937" s="66"/>
      <c r="E937" s="78"/>
      <c r="F937" s="82"/>
      <c r="G937" s="67"/>
      <c r="H937" s="72"/>
      <c r="I937" s="72"/>
    </row>
    <row r="938" spans="3:9" x14ac:dyDescent="0.2">
      <c r="C938" s="66"/>
      <c r="D938" s="66"/>
      <c r="E938" s="78"/>
      <c r="F938" s="82"/>
      <c r="G938" s="67"/>
      <c r="H938" s="72"/>
      <c r="I938" s="72"/>
    </row>
    <row r="939" spans="3:9" x14ac:dyDescent="0.2">
      <c r="C939" s="66"/>
      <c r="D939" s="66"/>
      <c r="E939" s="78"/>
      <c r="F939" s="82"/>
      <c r="G939" s="67"/>
      <c r="H939" s="72"/>
      <c r="I939" s="72"/>
    </row>
    <row r="940" spans="3:9" x14ac:dyDescent="0.2">
      <c r="C940" s="66"/>
      <c r="D940" s="66"/>
      <c r="E940" s="78"/>
      <c r="F940" s="82"/>
      <c r="G940" s="67"/>
      <c r="H940" s="72"/>
      <c r="I940" s="72"/>
    </row>
    <row r="941" spans="3:9" x14ac:dyDescent="0.2">
      <c r="C941" s="66"/>
      <c r="D941" s="66"/>
      <c r="E941" s="78"/>
      <c r="F941" s="82"/>
      <c r="G941" s="67"/>
      <c r="H941" s="72"/>
      <c r="I941" s="72"/>
    </row>
    <row r="942" spans="3:9" x14ac:dyDescent="0.2">
      <c r="C942" s="66"/>
      <c r="D942" s="66"/>
      <c r="E942" s="78"/>
      <c r="F942" s="82"/>
      <c r="G942" s="67"/>
      <c r="H942" s="72"/>
      <c r="I942" s="72"/>
    </row>
    <row r="943" spans="3:9" x14ac:dyDescent="0.2">
      <c r="C943" s="66"/>
      <c r="D943" s="66"/>
      <c r="E943" s="78"/>
      <c r="F943" s="82"/>
      <c r="G943" s="67"/>
      <c r="H943" s="72"/>
      <c r="I943" s="72"/>
    </row>
    <row r="944" spans="3:9" x14ac:dyDescent="0.2">
      <c r="C944" s="66"/>
      <c r="D944" s="66"/>
      <c r="E944" s="78"/>
      <c r="F944" s="82"/>
      <c r="G944" s="67"/>
      <c r="H944" s="72"/>
      <c r="I944" s="72"/>
    </row>
    <row r="945" spans="3:9" x14ac:dyDescent="0.2">
      <c r="C945" s="66"/>
      <c r="D945" s="66"/>
      <c r="E945" s="78"/>
      <c r="F945" s="82"/>
      <c r="G945" s="67"/>
      <c r="H945" s="72"/>
      <c r="I945" s="72"/>
    </row>
    <row r="946" spans="3:9" x14ac:dyDescent="0.2">
      <c r="C946" s="66"/>
      <c r="D946" s="66"/>
      <c r="E946" s="78"/>
      <c r="F946" s="82"/>
      <c r="G946" s="67"/>
      <c r="H946" s="72"/>
      <c r="I946" s="72"/>
    </row>
    <row r="947" spans="3:9" x14ac:dyDescent="0.2">
      <c r="C947" s="66"/>
      <c r="D947" s="66"/>
      <c r="E947" s="78"/>
      <c r="F947" s="82"/>
      <c r="G947" s="67"/>
      <c r="H947" s="72"/>
      <c r="I947" s="72"/>
    </row>
    <row r="948" spans="3:9" x14ac:dyDescent="0.2">
      <c r="C948" s="66"/>
      <c r="D948" s="66"/>
      <c r="E948" s="78"/>
      <c r="F948" s="82"/>
      <c r="G948" s="67"/>
      <c r="H948" s="72"/>
      <c r="I948" s="72"/>
    </row>
    <row r="949" spans="3:9" x14ac:dyDescent="0.2">
      <c r="C949" s="66"/>
      <c r="D949" s="66"/>
      <c r="E949" s="78"/>
      <c r="F949" s="82"/>
      <c r="G949" s="67"/>
      <c r="H949" s="72"/>
      <c r="I949" s="72"/>
    </row>
    <row r="950" spans="3:9" x14ac:dyDescent="0.2">
      <c r="C950" s="66"/>
      <c r="D950" s="66"/>
      <c r="E950" s="78"/>
      <c r="F950" s="82"/>
      <c r="G950" s="67"/>
      <c r="H950" s="72"/>
      <c r="I950" s="72"/>
    </row>
    <row r="951" spans="3:9" x14ac:dyDescent="0.2">
      <c r="C951" s="66"/>
      <c r="D951" s="66"/>
      <c r="E951" s="78"/>
      <c r="F951" s="82"/>
      <c r="G951" s="67"/>
      <c r="H951" s="72"/>
      <c r="I951" s="72"/>
    </row>
    <row r="952" spans="3:9" x14ac:dyDescent="0.2">
      <c r="C952" s="66"/>
      <c r="D952" s="66"/>
      <c r="E952" s="78"/>
      <c r="F952" s="82"/>
      <c r="G952" s="67"/>
      <c r="H952" s="72"/>
      <c r="I952" s="72"/>
    </row>
    <row r="953" spans="3:9" x14ac:dyDescent="0.2">
      <c r="C953" s="66"/>
      <c r="D953" s="66"/>
      <c r="E953" s="78"/>
      <c r="F953" s="82"/>
      <c r="G953" s="67"/>
      <c r="H953" s="72"/>
      <c r="I953" s="72"/>
    </row>
    <row r="954" spans="3:9" x14ac:dyDescent="0.2">
      <c r="C954" s="66"/>
      <c r="D954" s="66"/>
      <c r="E954" s="78"/>
      <c r="F954" s="82"/>
      <c r="G954" s="67"/>
      <c r="H954" s="72"/>
      <c r="I954" s="72"/>
    </row>
    <row r="955" spans="3:9" x14ac:dyDescent="0.2">
      <c r="C955" s="66"/>
      <c r="D955" s="66"/>
      <c r="E955" s="78"/>
      <c r="F955" s="82"/>
      <c r="G955" s="67"/>
      <c r="H955" s="72"/>
      <c r="I955" s="72"/>
    </row>
    <row r="956" spans="3:9" x14ac:dyDescent="0.2">
      <c r="C956" s="66"/>
      <c r="D956" s="66"/>
      <c r="E956" s="78"/>
      <c r="F956" s="82"/>
      <c r="G956" s="67"/>
      <c r="H956" s="72"/>
      <c r="I956" s="72"/>
    </row>
    <row r="957" spans="3:9" x14ac:dyDescent="0.2">
      <c r="C957" s="66"/>
      <c r="D957" s="66"/>
      <c r="E957" s="78"/>
      <c r="F957" s="82"/>
      <c r="G957" s="67"/>
      <c r="H957" s="72"/>
      <c r="I957" s="72"/>
    </row>
    <row r="958" spans="3:9" x14ac:dyDescent="0.2">
      <c r="C958" s="66"/>
      <c r="D958" s="66"/>
      <c r="E958" s="78"/>
      <c r="F958" s="82"/>
      <c r="G958" s="67"/>
      <c r="H958" s="72"/>
      <c r="I958" s="72"/>
    </row>
    <row r="959" spans="3:9" x14ac:dyDescent="0.2">
      <c r="C959" s="66"/>
      <c r="D959" s="66"/>
      <c r="E959" s="78"/>
      <c r="F959" s="82"/>
      <c r="G959" s="67"/>
      <c r="H959" s="72"/>
      <c r="I959" s="72"/>
    </row>
    <row r="960" spans="3:9" x14ac:dyDescent="0.2">
      <c r="C960" s="66"/>
      <c r="D960" s="66"/>
      <c r="E960" s="78"/>
      <c r="F960" s="82"/>
      <c r="G960" s="67"/>
      <c r="H960" s="72"/>
      <c r="I960" s="72"/>
    </row>
    <row r="961" spans="3:9" x14ac:dyDescent="0.2">
      <c r="C961" s="66"/>
      <c r="D961" s="66"/>
      <c r="E961" s="78"/>
      <c r="F961" s="82"/>
      <c r="G961" s="67"/>
      <c r="H961" s="72"/>
      <c r="I961" s="72"/>
    </row>
    <row r="962" spans="3:9" x14ac:dyDescent="0.2">
      <c r="C962" s="66"/>
      <c r="D962" s="66"/>
      <c r="E962" s="78"/>
      <c r="F962" s="82"/>
      <c r="G962" s="67"/>
      <c r="H962" s="72"/>
      <c r="I962" s="72"/>
    </row>
    <row r="963" spans="3:9" x14ac:dyDescent="0.2">
      <c r="C963" s="66"/>
      <c r="D963" s="66"/>
      <c r="E963" s="78"/>
      <c r="F963" s="82"/>
      <c r="G963" s="67"/>
      <c r="H963" s="72"/>
      <c r="I963" s="72"/>
    </row>
    <row r="964" spans="3:9" x14ac:dyDescent="0.2">
      <c r="C964" s="66"/>
      <c r="D964" s="66"/>
      <c r="E964" s="78"/>
      <c r="F964" s="82"/>
      <c r="G964" s="67"/>
      <c r="H964" s="72"/>
      <c r="I964" s="72"/>
    </row>
    <row r="965" spans="3:9" x14ac:dyDescent="0.2">
      <c r="C965" s="66"/>
      <c r="D965" s="66"/>
      <c r="E965" s="78"/>
      <c r="F965" s="82"/>
      <c r="G965" s="67"/>
      <c r="H965" s="72"/>
      <c r="I965" s="72"/>
    </row>
    <row r="966" spans="3:9" x14ac:dyDescent="0.2">
      <c r="C966" s="66"/>
      <c r="D966" s="66"/>
      <c r="E966" s="78"/>
      <c r="F966" s="82"/>
      <c r="G966" s="67"/>
      <c r="H966" s="72"/>
      <c r="I966" s="72"/>
    </row>
    <row r="967" spans="3:9" x14ac:dyDescent="0.2">
      <c r="C967" s="66"/>
      <c r="D967" s="66"/>
      <c r="E967" s="78"/>
      <c r="F967" s="82"/>
      <c r="G967" s="67"/>
      <c r="H967" s="72"/>
      <c r="I967" s="72"/>
    </row>
    <row r="968" spans="3:9" x14ac:dyDescent="0.2">
      <c r="C968" s="66"/>
      <c r="D968" s="66"/>
      <c r="E968" s="78"/>
      <c r="F968" s="82"/>
      <c r="G968" s="67"/>
      <c r="H968" s="72"/>
      <c r="I968" s="72"/>
    </row>
    <row r="969" spans="3:9" x14ac:dyDescent="0.2">
      <c r="C969" s="66"/>
      <c r="D969" s="66"/>
      <c r="E969" s="78"/>
      <c r="F969" s="82"/>
      <c r="G969" s="67"/>
      <c r="H969" s="72"/>
      <c r="I969" s="72"/>
    </row>
    <row r="970" spans="3:9" x14ac:dyDescent="0.2">
      <c r="C970" s="66"/>
      <c r="D970" s="66"/>
      <c r="E970" s="78"/>
      <c r="F970" s="82"/>
      <c r="G970" s="67"/>
      <c r="H970" s="72"/>
      <c r="I970" s="72"/>
    </row>
    <row r="971" spans="3:9" x14ac:dyDescent="0.2">
      <c r="C971" s="66"/>
      <c r="D971" s="66"/>
      <c r="E971" s="78"/>
      <c r="F971" s="82"/>
      <c r="G971" s="67"/>
      <c r="H971" s="72"/>
      <c r="I971" s="72"/>
    </row>
    <row r="972" spans="3:9" x14ac:dyDescent="0.2">
      <c r="C972" s="66"/>
      <c r="D972" s="66"/>
      <c r="E972" s="78"/>
      <c r="F972" s="82"/>
      <c r="G972" s="67"/>
      <c r="H972" s="72"/>
      <c r="I972" s="72"/>
    </row>
    <row r="973" spans="3:9" x14ac:dyDescent="0.2">
      <c r="C973" s="66"/>
      <c r="D973" s="66"/>
      <c r="E973" s="78"/>
      <c r="F973" s="82"/>
      <c r="G973" s="67"/>
      <c r="H973" s="72"/>
      <c r="I973" s="72"/>
    </row>
    <row r="974" spans="3:9" x14ac:dyDescent="0.2">
      <c r="C974" s="66"/>
      <c r="D974" s="66"/>
      <c r="E974" s="78"/>
      <c r="F974" s="82"/>
      <c r="G974" s="67"/>
      <c r="H974" s="72"/>
      <c r="I974" s="72"/>
    </row>
    <row r="975" spans="3:9" x14ac:dyDescent="0.2">
      <c r="C975" s="66"/>
      <c r="D975" s="66"/>
      <c r="E975" s="78"/>
      <c r="F975" s="82"/>
      <c r="G975" s="67"/>
      <c r="H975" s="72"/>
      <c r="I975" s="72"/>
    </row>
    <row r="976" spans="3:9" x14ac:dyDescent="0.2">
      <c r="C976" s="66"/>
      <c r="D976" s="66"/>
      <c r="E976" s="78"/>
      <c r="F976" s="82"/>
      <c r="G976" s="67"/>
      <c r="H976" s="72"/>
      <c r="I976" s="72"/>
    </row>
    <row r="977" spans="3:9" x14ac:dyDescent="0.2">
      <c r="C977" s="66"/>
      <c r="D977" s="66"/>
      <c r="E977" s="78"/>
      <c r="F977" s="82"/>
      <c r="G977" s="67"/>
      <c r="H977" s="72"/>
      <c r="I977" s="72"/>
    </row>
    <row r="978" spans="3:9" x14ac:dyDescent="0.2">
      <c r="C978" s="66"/>
      <c r="D978" s="66"/>
      <c r="E978" s="78"/>
      <c r="F978" s="82"/>
      <c r="G978" s="67"/>
      <c r="H978" s="72"/>
      <c r="I978" s="72"/>
    </row>
    <row r="979" spans="3:9" x14ac:dyDescent="0.2">
      <c r="C979" s="66"/>
      <c r="D979" s="66"/>
      <c r="E979" s="78"/>
      <c r="F979" s="82"/>
      <c r="G979" s="67"/>
      <c r="H979" s="72"/>
      <c r="I979" s="72"/>
    </row>
    <row r="980" spans="3:9" x14ac:dyDescent="0.2">
      <c r="C980" s="66"/>
      <c r="D980" s="66"/>
      <c r="E980" s="78"/>
      <c r="F980" s="82"/>
      <c r="G980" s="67"/>
      <c r="H980" s="72"/>
      <c r="I980" s="72"/>
    </row>
    <row r="981" spans="3:9" x14ac:dyDescent="0.2">
      <c r="C981" s="66"/>
      <c r="D981" s="66"/>
      <c r="E981" s="78"/>
      <c r="F981" s="82"/>
      <c r="G981" s="67"/>
      <c r="H981" s="72"/>
      <c r="I981" s="72"/>
    </row>
    <row r="982" spans="3:9" x14ac:dyDescent="0.2">
      <c r="C982" s="66"/>
      <c r="D982" s="66"/>
      <c r="E982" s="78"/>
      <c r="F982" s="82"/>
      <c r="G982" s="67"/>
      <c r="H982" s="72"/>
      <c r="I982" s="72"/>
    </row>
    <row r="983" spans="3:9" x14ac:dyDescent="0.2">
      <c r="C983" s="66"/>
      <c r="D983" s="66"/>
      <c r="E983" s="78"/>
      <c r="F983" s="82"/>
      <c r="G983" s="67"/>
      <c r="H983" s="72"/>
      <c r="I983" s="72"/>
    </row>
    <row r="984" spans="3:9" x14ac:dyDescent="0.2">
      <c r="C984" s="66"/>
      <c r="D984" s="66"/>
      <c r="E984" s="78"/>
      <c r="F984" s="82"/>
      <c r="G984" s="67"/>
      <c r="H984" s="72"/>
      <c r="I984" s="72"/>
    </row>
    <row r="985" spans="3:9" x14ac:dyDescent="0.2">
      <c r="C985" s="66"/>
      <c r="D985" s="66"/>
      <c r="E985" s="78"/>
      <c r="F985" s="82"/>
      <c r="G985" s="67"/>
      <c r="H985" s="72"/>
      <c r="I985" s="72"/>
    </row>
    <row r="986" spans="3:9" x14ac:dyDescent="0.2">
      <c r="C986" s="66"/>
      <c r="D986" s="66"/>
      <c r="E986" s="78"/>
      <c r="F986" s="82"/>
      <c r="G986" s="67"/>
      <c r="H986" s="72"/>
      <c r="I986" s="72"/>
    </row>
    <row r="987" spans="3:9" x14ac:dyDescent="0.2">
      <c r="C987" s="66"/>
      <c r="D987" s="66"/>
      <c r="E987" s="78"/>
      <c r="F987" s="82"/>
      <c r="G987" s="67"/>
      <c r="H987" s="72"/>
      <c r="I987" s="72"/>
    </row>
    <row r="988" spans="3:9" x14ac:dyDescent="0.2">
      <c r="C988" s="66"/>
      <c r="D988" s="66"/>
      <c r="E988" s="78"/>
      <c r="F988" s="82"/>
      <c r="G988" s="67"/>
      <c r="H988" s="72"/>
      <c r="I988" s="72"/>
    </row>
    <row r="989" spans="3:9" x14ac:dyDescent="0.2">
      <c r="C989" s="66"/>
      <c r="D989" s="66"/>
      <c r="E989" s="78"/>
      <c r="F989" s="82"/>
      <c r="G989" s="67"/>
      <c r="H989" s="72"/>
      <c r="I989" s="72"/>
    </row>
    <row r="990" spans="3:9" x14ac:dyDescent="0.2">
      <c r="C990" s="66"/>
      <c r="D990" s="66"/>
      <c r="E990" s="78"/>
      <c r="F990" s="82"/>
      <c r="G990" s="67"/>
      <c r="H990" s="72"/>
      <c r="I990" s="72"/>
    </row>
    <row r="991" spans="3:9" x14ac:dyDescent="0.2">
      <c r="C991" s="66"/>
      <c r="D991" s="66"/>
      <c r="E991" s="78"/>
      <c r="F991" s="82"/>
      <c r="G991" s="67"/>
      <c r="H991" s="72"/>
      <c r="I991" s="72"/>
    </row>
    <row r="992" spans="3:9" x14ac:dyDescent="0.2">
      <c r="C992" s="66"/>
      <c r="D992" s="66"/>
      <c r="E992" s="78"/>
      <c r="F992" s="82"/>
      <c r="G992" s="67"/>
      <c r="H992" s="72"/>
      <c r="I992" s="72"/>
    </row>
    <row r="993" spans="3:9" x14ac:dyDescent="0.2">
      <c r="C993" s="66"/>
      <c r="D993" s="66"/>
      <c r="E993" s="78"/>
      <c r="F993" s="82"/>
      <c r="G993" s="67"/>
      <c r="H993" s="72"/>
      <c r="I993" s="72"/>
    </row>
    <row r="994" spans="3:9" x14ac:dyDescent="0.2">
      <c r="C994" s="66"/>
      <c r="D994" s="66"/>
      <c r="E994" s="78"/>
      <c r="F994" s="82"/>
      <c r="G994" s="67"/>
      <c r="H994" s="72"/>
      <c r="I994" s="72"/>
    </row>
    <row r="995" spans="3:9" x14ac:dyDescent="0.2">
      <c r="C995" s="66"/>
      <c r="D995" s="66"/>
      <c r="E995" s="78"/>
      <c r="F995" s="82"/>
      <c r="G995" s="67"/>
      <c r="H995" s="72"/>
      <c r="I995" s="72"/>
    </row>
    <row r="996" spans="3:9" x14ac:dyDescent="0.2">
      <c r="C996" s="66"/>
      <c r="D996" s="66"/>
      <c r="E996" s="78"/>
      <c r="F996" s="82"/>
      <c r="G996" s="67"/>
      <c r="H996" s="72"/>
      <c r="I996" s="72"/>
    </row>
    <row r="997" spans="3:9" x14ac:dyDescent="0.2">
      <c r="C997" s="66"/>
      <c r="D997" s="66"/>
      <c r="E997" s="78"/>
      <c r="F997" s="82"/>
      <c r="G997" s="67"/>
      <c r="H997" s="72"/>
      <c r="I997" s="72"/>
    </row>
    <row r="998" spans="3:9" x14ac:dyDescent="0.2">
      <c r="C998" s="66"/>
      <c r="D998" s="66"/>
      <c r="E998" s="78"/>
      <c r="F998" s="82"/>
      <c r="G998" s="67"/>
      <c r="H998" s="72"/>
      <c r="I998" s="72"/>
    </row>
    <row r="999" spans="3:9" x14ac:dyDescent="0.2">
      <c r="C999" s="66"/>
      <c r="D999" s="66"/>
      <c r="E999" s="78"/>
      <c r="F999" s="82"/>
      <c r="G999" s="67"/>
      <c r="H999" s="72"/>
      <c r="I999" s="72"/>
    </row>
    <row r="1000" spans="3:9" x14ac:dyDescent="0.2">
      <c r="C1000" s="66"/>
      <c r="D1000" s="66"/>
      <c r="E1000" s="78"/>
      <c r="F1000" s="82"/>
      <c r="G1000" s="67"/>
      <c r="H1000" s="72"/>
      <c r="I1000" s="72"/>
    </row>
    <row r="1001" spans="3:9" x14ac:dyDescent="0.2">
      <c r="C1001" s="66"/>
      <c r="D1001" s="66"/>
      <c r="E1001" s="78"/>
      <c r="F1001" s="82"/>
      <c r="G1001" s="67"/>
      <c r="H1001" s="72"/>
      <c r="I1001" s="72"/>
    </row>
    <row r="1002" spans="3:9" x14ac:dyDescent="0.2">
      <c r="C1002" s="66"/>
      <c r="D1002" s="66"/>
      <c r="E1002" s="78"/>
      <c r="F1002" s="82"/>
      <c r="G1002" s="67"/>
      <c r="H1002" s="72"/>
      <c r="I1002" s="72"/>
    </row>
    <row r="1003" spans="3:9" x14ac:dyDescent="0.2">
      <c r="C1003" s="66"/>
      <c r="D1003" s="66"/>
      <c r="E1003" s="78"/>
      <c r="F1003" s="82"/>
      <c r="G1003" s="67"/>
      <c r="H1003" s="72"/>
      <c r="I1003" s="72"/>
    </row>
    <row r="1004" spans="3:9" x14ac:dyDescent="0.2">
      <c r="C1004" s="66"/>
      <c r="D1004" s="66"/>
      <c r="E1004" s="78"/>
      <c r="F1004" s="82"/>
      <c r="G1004" s="67"/>
      <c r="H1004" s="72"/>
      <c r="I1004" s="72"/>
    </row>
    <row r="1005" spans="3:9" x14ac:dyDescent="0.2">
      <c r="C1005" s="66"/>
      <c r="D1005" s="66"/>
      <c r="E1005" s="78"/>
      <c r="F1005" s="82"/>
      <c r="G1005" s="67"/>
      <c r="H1005" s="72"/>
      <c r="I1005" s="72"/>
    </row>
    <row r="1006" spans="3:9" x14ac:dyDescent="0.2">
      <c r="C1006" s="66"/>
      <c r="D1006" s="66"/>
      <c r="E1006" s="78"/>
      <c r="F1006" s="82"/>
      <c r="G1006" s="67"/>
      <c r="H1006" s="72"/>
      <c r="I1006" s="72"/>
    </row>
    <row r="1007" spans="3:9" x14ac:dyDescent="0.2">
      <c r="C1007" s="66"/>
      <c r="D1007" s="66"/>
      <c r="E1007" s="78"/>
      <c r="F1007" s="82"/>
      <c r="G1007" s="67"/>
      <c r="H1007" s="72"/>
      <c r="I1007" s="72"/>
    </row>
    <row r="1008" spans="3:9" x14ac:dyDescent="0.2">
      <c r="C1008" s="66"/>
      <c r="D1008" s="66"/>
      <c r="E1008" s="78"/>
      <c r="F1008" s="82"/>
      <c r="G1008" s="67"/>
      <c r="H1008" s="72"/>
      <c r="I1008" s="72"/>
    </row>
    <row r="1009" spans="3:9" x14ac:dyDescent="0.2">
      <c r="C1009" s="66"/>
      <c r="D1009" s="66"/>
      <c r="E1009" s="78"/>
      <c r="F1009" s="82"/>
      <c r="G1009" s="67"/>
      <c r="H1009" s="72"/>
      <c r="I1009" s="72"/>
    </row>
    <row r="1010" spans="3:9" x14ac:dyDescent="0.2">
      <c r="C1010" s="66"/>
      <c r="D1010" s="66"/>
      <c r="E1010" s="78"/>
      <c r="F1010" s="82"/>
      <c r="G1010" s="67"/>
      <c r="H1010" s="72"/>
      <c r="I1010" s="72"/>
    </row>
    <row r="1011" spans="3:9" x14ac:dyDescent="0.2">
      <c r="C1011" s="66"/>
      <c r="D1011" s="66"/>
      <c r="E1011" s="78"/>
      <c r="F1011" s="82"/>
      <c r="G1011" s="67"/>
      <c r="H1011" s="72"/>
      <c r="I1011" s="72"/>
    </row>
    <row r="1012" spans="3:9" x14ac:dyDescent="0.2">
      <c r="C1012" s="66"/>
      <c r="D1012" s="66"/>
      <c r="E1012" s="78"/>
      <c r="F1012" s="82"/>
      <c r="G1012" s="67"/>
      <c r="H1012" s="72"/>
      <c r="I1012" s="72"/>
    </row>
    <row r="1013" spans="3:9" x14ac:dyDescent="0.2">
      <c r="C1013" s="66"/>
      <c r="D1013" s="66"/>
      <c r="E1013" s="78"/>
      <c r="F1013" s="82"/>
      <c r="G1013" s="67"/>
      <c r="H1013" s="72"/>
      <c r="I1013" s="72"/>
    </row>
    <row r="1014" spans="3:9" x14ac:dyDescent="0.2">
      <c r="C1014" s="66"/>
      <c r="D1014" s="66"/>
      <c r="E1014" s="78"/>
      <c r="F1014" s="82"/>
      <c r="G1014" s="67"/>
      <c r="H1014" s="72"/>
      <c r="I1014" s="72"/>
    </row>
    <row r="1015" spans="3:9" x14ac:dyDescent="0.2">
      <c r="C1015" s="66"/>
      <c r="D1015" s="66"/>
      <c r="E1015" s="78"/>
      <c r="F1015" s="82"/>
      <c r="G1015" s="67"/>
      <c r="H1015" s="72"/>
      <c r="I1015" s="72"/>
    </row>
    <row r="1016" spans="3:9" x14ac:dyDescent="0.2">
      <c r="C1016" s="66"/>
      <c r="D1016" s="66"/>
      <c r="E1016" s="78"/>
      <c r="F1016" s="82"/>
      <c r="G1016" s="67"/>
      <c r="H1016" s="72"/>
      <c r="I1016" s="72"/>
    </row>
    <row r="1017" spans="3:9" x14ac:dyDescent="0.2">
      <c r="C1017" s="66"/>
      <c r="D1017" s="66"/>
      <c r="E1017" s="78"/>
      <c r="F1017" s="82"/>
      <c r="G1017" s="67"/>
      <c r="H1017" s="72"/>
      <c r="I1017" s="72"/>
    </row>
    <row r="1018" spans="3:9" x14ac:dyDescent="0.2">
      <c r="C1018" s="66"/>
      <c r="D1018" s="66"/>
      <c r="E1018" s="78"/>
      <c r="F1018" s="82"/>
      <c r="G1018" s="67"/>
      <c r="H1018" s="72"/>
      <c r="I1018" s="72"/>
    </row>
    <row r="1019" spans="3:9" x14ac:dyDescent="0.2">
      <c r="C1019" s="66"/>
      <c r="D1019" s="66"/>
      <c r="E1019" s="78"/>
      <c r="F1019" s="82"/>
      <c r="G1019" s="67"/>
      <c r="H1019" s="72"/>
      <c r="I1019" s="72"/>
    </row>
    <row r="1020" spans="3:9" x14ac:dyDescent="0.2">
      <c r="C1020" s="66"/>
      <c r="D1020" s="66"/>
      <c r="E1020" s="78"/>
      <c r="F1020" s="82"/>
      <c r="G1020" s="67"/>
      <c r="H1020" s="72"/>
      <c r="I1020" s="72"/>
    </row>
    <row r="1021" spans="3:9" x14ac:dyDescent="0.2">
      <c r="C1021" s="66"/>
      <c r="D1021" s="66"/>
      <c r="E1021" s="78"/>
      <c r="F1021" s="82"/>
      <c r="G1021" s="67"/>
      <c r="H1021" s="72"/>
      <c r="I1021" s="72"/>
    </row>
    <row r="1022" spans="3:9" x14ac:dyDescent="0.2">
      <c r="C1022" s="66"/>
      <c r="D1022" s="66"/>
      <c r="E1022" s="78"/>
      <c r="F1022" s="82"/>
      <c r="G1022" s="67"/>
      <c r="H1022" s="72"/>
      <c r="I1022" s="72"/>
    </row>
    <row r="1023" spans="3:9" x14ac:dyDescent="0.2">
      <c r="C1023" s="66"/>
      <c r="D1023" s="66"/>
      <c r="E1023" s="78"/>
      <c r="F1023" s="82"/>
      <c r="G1023" s="67"/>
      <c r="H1023" s="72"/>
      <c r="I1023" s="72"/>
    </row>
    <row r="1024" spans="3:9" x14ac:dyDescent="0.2">
      <c r="C1024" s="66"/>
      <c r="D1024" s="66"/>
      <c r="E1024" s="78"/>
      <c r="F1024" s="82"/>
      <c r="G1024" s="67"/>
      <c r="H1024" s="72"/>
      <c r="I1024" s="72"/>
    </row>
    <row r="1025" spans="3:9" x14ac:dyDescent="0.2">
      <c r="C1025" s="66"/>
      <c r="D1025" s="66"/>
      <c r="E1025" s="78"/>
      <c r="F1025" s="82"/>
      <c r="G1025" s="67"/>
      <c r="H1025" s="72"/>
      <c r="I1025" s="72"/>
    </row>
    <row r="1026" spans="3:9" x14ac:dyDescent="0.2">
      <c r="C1026" s="66"/>
      <c r="D1026" s="66"/>
      <c r="E1026" s="78"/>
      <c r="F1026" s="82"/>
      <c r="G1026" s="67"/>
      <c r="H1026" s="72"/>
      <c r="I1026" s="72"/>
    </row>
    <row r="1027" spans="3:9" x14ac:dyDescent="0.2">
      <c r="C1027" s="66"/>
      <c r="D1027" s="66"/>
      <c r="E1027" s="78"/>
      <c r="F1027" s="82"/>
      <c r="G1027" s="67"/>
      <c r="H1027" s="72"/>
      <c r="I1027" s="72"/>
    </row>
    <row r="1028" spans="3:9" x14ac:dyDescent="0.2">
      <c r="C1028" s="66"/>
      <c r="D1028" s="66"/>
      <c r="E1028" s="78"/>
      <c r="F1028" s="82"/>
      <c r="G1028" s="67"/>
      <c r="H1028" s="72"/>
      <c r="I1028" s="72"/>
    </row>
    <row r="1029" spans="3:9" x14ac:dyDescent="0.2">
      <c r="C1029" s="66"/>
      <c r="D1029" s="66"/>
      <c r="E1029" s="78"/>
      <c r="F1029" s="82"/>
      <c r="G1029" s="67"/>
      <c r="H1029" s="72"/>
      <c r="I1029" s="72"/>
    </row>
    <row r="1030" spans="3:9" x14ac:dyDescent="0.2">
      <c r="C1030" s="66"/>
      <c r="D1030" s="66"/>
      <c r="E1030" s="78"/>
      <c r="F1030" s="82"/>
      <c r="G1030" s="67"/>
      <c r="H1030" s="72"/>
      <c r="I1030" s="72"/>
    </row>
    <row r="1031" spans="3:9" x14ac:dyDescent="0.2">
      <c r="C1031" s="66"/>
      <c r="D1031" s="66"/>
      <c r="E1031" s="78"/>
      <c r="F1031" s="82"/>
      <c r="G1031" s="67"/>
      <c r="H1031" s="72"/>
      <c r="I1031" s="72"/>
    </row>
    <row r="1032" spans="3:9" x14ac:dyDescent="0.2">
      <c r="C1032" s="66"/>
      <c r="D1032" s="66"/>
      <c r="E1032" s="78"/>
      <c r="F1032" s="82"/>
      <c r="G1032" s="67"/>
      <c r="H1032" s="72"/>
      <c r="I1032" s="72"/>
    </row>
    <row r="1033" spans="3:9" x14ac:dyDescent="0.2">
      <c r="C1033" s="66"/>
      <c r="D1033" s="66"/>
      <c r="E1033" s="78"/>
      <c r="F1033" s="82"/>
      <c r="G1033" s="67"/>
      <c r="H1033" s="72"/>
      <c r="I1033" s="72"/>
    </row>
    <row r="1034" spans="3:9" x14ac:dyDescent="0.2">
      <c r="C1034" s="66"/>
      <c r="D1034" s="66"/>
      <c r="E1034" s="78"/>
      <c r="F1034" s="82"/>
      <c r="G1034" s="67"/>
      <c r="H1034" s="72"/>
      <c r="I1034" s="72"/>
    </row>
    <row r="1035" spans="3:9" x14ac:dyDescent="0.2">
      <c r="C1035" s="66"/>
      <c r="D1035" s="66"/>
      <c r="E1035" s="78"/>
      <c r="F1035" s="82"/>
      <c r="G1035" s="67"/>
      <c r="H1035" s="72"/>
      <c r="I1035" s="72"/>
    </row>
    <row r="1036" spans="3:9" x14ac:dyDescent="0.2">
      <c r="C1036" s="66"/>
      <c r="D1036" s="66"/>
      <c r="E1036" s="78"/>
      <c r="F1036" s="82"/>
      <c r="G1036" s="67"/>
      <c r="H1036" s="72"/>
      <c r="I1036" s="72"/>
    </row>
    <row r="1037" spans="3:9" x14ac:dyDescent="0.2">
      <c r="C1037" s="66"/>
      <c r="D1037" s="66"/>
      <c r="E1037" s="78"/>
      <c r="F1037" s="82"/>
      <c r="G1037" s="67"/>
      <c r="H1037" s="72"/>
      <c r="I1037" s="72"/>
    </row>
    <row r="1038" spans="3:9" x14ac:dyDescent="0.2">
      <c r="C1038" s="66"/>
      <c r="D1038" s="66"/>
      <c r="E1038" s="78"/>
      <c r="F1038" s="82"/>
      <c r="G1038" s="67"/>
      <c r="H1038" s="72"/>
      <c r="I1038" s="72"/>
    </row>
    <row r="1039" spans="3:9" x14ac:dyDescent="0.2">
      <c r="C1039" s="66"/>
      <c r="D1039" s="66"/>
      <c r="E1039" s="78"/>
      <c r="F1039" s="82"/>
      <c r="G1039" s="67"/>
      <c r="H1039" s="72"/>
      <c r="I1039" s="72"/>
    </row>
    <row r="1040" spans="3:9" x14ac:dyDescent="0.2">
      <c r="C1040" s="66"/>
      <c r="D1040" s="66"/>
      <c r="E1040" s="78"/>
      <c r="F1040" s="82"/>
      <c r="G1040" s="67"/>
      <c r="H1040" s="72"/>
      <c r="I1040" s="72"/>
    </row>
    <row r="1041" spans="3:9" x14ac:dyDescent="0.2">
      <c r="C1041" s="66"/>
      <c r="D1041" s="66"/>
      <c r="E1041" s="78"/>
      <c r="F1041" s="82"/>
      <c r="G1041" s="67"/>
      <c r="H1041" s="72"/>
      <c r="I1041" s="72"/>
    </row>
    <row r="1042" spans="3:9" x14ac:dyDescent="0.2">
      <c r="C1042" s="66"/>
      <c r="D1042" s="66"/>
      <c r="E1042" s="78"/>
      <c r="F1042" s="82"/>
      <c r="G1042" s="67"/>
      <c r="H1042" s="72"/>
      <c r="I1042" s="72"/>
    </row>
    <row r="1043" spans="3:9" x14ac:dyDescent="0.2">
      <c r="C1043" s="66"/>
      <c r="D1043" s="66"/>
      <c r="E1043" s="78"/>
      <c r="F1043" s="82"/>
      <c r="G1043" s="67"/>
      <c r="H1043" s="72"/>
      <c r="I1043" s="72"/>
    </row>
    <row r="1044" spans="3:9" x14ac:dyDescent="0.2">
      <c r="C1044" s="66"/>
      <c r="D1044" s="66"/>
      <c r="E1044" s="78"/>
      <c r="F1044" s="82"/>
      <c r="G1044" s="67"/>
      <c r="H1044" s="72"/>
      <c r="I1044" s="72"/>
    </row>
    <row r="1045" spans="3:9" x14ac:dyDescent="0.2">
      <c r="C1045" s="66"/>
      <c r="D1045" s="66"/>
      <c r="E1045" s="78"/>
      <c r="F1045" s="82"/>
      <c r="G1045" s="67"/>
      <c r="H1045" s="72"/>
      <c r="I1045" s="72"/>
    </row>
    <row r="1046" spans="3:9" x14ac:dyDescent="0.2">
      <c r="C1046" s="66"/>
      <c r="D1046" s="66"/>
      <c r="E1046" s="78"/>
      <c r="F1046" s="82"/>
      <c r="G1046" s="67"/>
      <c r="H1046" s="72"/>
      <c r="I1046" s="72"/>
    </row>
    <row r="1047" spans="3:9" x14ac:dyDescent="0.2">
      <c r="C1047" s="66"/>
      <c r="D1047" s="66"/>
      <c r="E1047" s="78"/>
      <c r="F1047" s="82"/>
      <c r="G1047" s="67"/>
      <c r="H1047" s="72"/>
      <c r="I1047" s="72"/>
    </row>
    <row r="1048" spans="3:9" x14ac:dyDescent="0.2">
      <c r="C1048" s="66"/>
      <c r="D1048" s="66"/>
      <c r="E1048" s="78"/>
      <c r="F1048" s="82"/>
      <c r="G1048" s="67"/>
      <c r="H1048" s="72"/>
      <c r="I1048" s="72"/>
    </row>
    <row r="1049" spans="3:9" x14ac:dyDescent="0.2">
      <c r="C1049" s="66"/>
      <c r="D1049" s="66"/>
      <c r="E1049" s="78"/>
      <c r="F1049" s="82"/>
      <c r="G1049" s="67"/>
      <c r="H1049" s="72"/>
      <c r="I1049" s="72"/>
    </row>
    <row r="1050" spans="3:9" x14ac:dyDescent="0.2">
      <c r="C1050" s="66"/>
      <c r="D1050" s="66"/>
      <c r="E1050" s="78"/>
      <c r="F1050" s="82"/>
      <c r="G1050" s="67"/>
      <c r="H1050" s="72"/>
      <c r="I1050" s="72"/>
    </row>
    <row r="1051" spans="3:9" x14ac:dyDescent="0.2">
      <c r="C1051" s="66"/>
      <c r="D1051" s="66"/>
      <c r="E1051" s="78"/>
      <c r="F1051" s="82"/>
      <c r="G1051" s="67"/>
      <c r="H1051" s="72"/>
      <c r="I1051" s="72"/>
    </row>
    <row r="1052" spans="3:9" x14ac:dyDescent="0.2">
      <c r="C1052" s="66"/>
      <c r="D1052" s="66"/>
      <c r="E1052" s="78"/>
      <c r="F1052" s="82"/>
      <c r="G1052" s="67"/>
      <c r="H1052" s="72"/>
      <c r="I1052" s="72"/>
    </row>
    <row r="1053" spans="3:9" x14ac:dyDescent="0.2">
      <c r="C1053" s="66"/>
      <c r="D1053" s="66"/>
      <c r="E1053" s="78"/>
      <c r="F1053" s="82"/>
      <c r="G1053" s="67"/>
      <c r="H1053" s="72"/>
      <c r="I1053" s="72"/>
    </row>
    <row r="1054" spans="3:9" x14ac:dyDescent="0.2">
      <c r="C1054" s="66"/>
      <c r="D1054" s="66"/>
      <c r="E1054" s="78"/>
      <c r="F1054" s="82"/>
      <c r="G1054" s="67"/>
      <c r="H1054" s="72"/>
      <c r="I1054" s="72"/>
    </row>
    <row r="1055" spans="3:9" x14ac:dyDescent="0.2">
      <c r="C1055" s="66"/>
      <c r="D1055" s="66"/>
      <c r="E1055" s="78"/>
      <c r="F1055" s="82"/>
      <c r="G1055" s="67"/>
      <c r="H1055" s="72"/>
      <c r="I1055" s="72"/>
    </row>
    <row r="1056" spans="3:9" x14ac:dyDescent="0.2">
      <c r="C1056" s="66"/>
      <c r="D1056" s="66"/>
      <c r="E1056" s="78"/>
      <c r="F1056" s="82"/>
      <c r="G1056" s="67"/>
      <c r="H1056" s="72"/>
      <c r="I1056" s="72"/>
    </row>
    <row r="1057" spans="3:9" x14ac:dyDescent="0.2">
      <c r="C1057" s="66"/>
      <c r="D1057" s="66"/>
      <c r="E1057" s="78"/>
      <c r="F1057" s="82"/>
      <c r="G1057" s="67"/>
      <c r="H1057" s="72"/>
      <c r="I1057" s="72"/>
    </row>
    <row r="1058" spans="3:9" x14ac:dyDescent="0.2">
      <c r="C1058" s="66"/>
      <c r="D1058" s="66"/>
      <c r="E1058" s="78"/>
      <c r="F1058" s="82"/>
      <c r="G1058" s="67"/>
      <c r="H1058" s="72"/>
      <c r="I1058" s="72"/>
    </row>
    <row r="1059" spans="3:9" x14ac:dyDescent="0.2">
      <c r="C1059" s="66"/>
      <c r="D1059" s="66"/>
      <c r="E1059" s="78"/>
      <c r="F1059" s="82"/>
      <c r="G1059" s="67"/>
      <c r="H1059" s="72"/>
      <c r="I1059" s="72"/>
    </row>
    <row r="1060" spans="3:9" x14ac:dyDescent="0.2">
      <c r="C1060" s="66"/>
      <c r="D1060" s="66"/>
      <c r="E1060" s="78"/>
      <c r="F1060" s="82"/>
      <c r="G1060" s="67"/>
      <c r="H1060" s="72"/>
      <c r="I1060" s="72"/>
    </row>
    <row r="1061" spans="3:9" x14ac:dyDescent="0.2">
      <c r="C1061" s="66"/>
      <c r="D1061" s="66"/>
      <c r="E1061" s="78"/>
      <c r="F1061" s="82"/>
      <c r="G1061" s="67"/>
      <c r="H1061" s="72"/>
      <c r="I1061" s="72"/>
    </row>
    <row r="1062" spans="3:9" x14ac:dyDescent="0.2">
      <c r="C1062" s="66"/>
      <c r="D1062" s="66"/>
      <c r="E1062" s="78"/>
      <c r="F1062" s="82"/>
      <c r="G1062" s="67"/>
      <c r="H1062" s="72"/>
      <c r="I1062" s="72"/>
    </row>
    <row r="1063" spans="3:9" x14ac:dyDescent="0.2">
      <c r="C1063" s="66"/>
      <c r="D1063" s="66"/>
      <c r="E1063" s="78"/>
      <c r="F1063" s="82"/>
      <c r="G1063" s="67"/>
      <c r="H1063" s="72"/>
      <c r="I1063" s="72"/>
    </row>
    <row r="1064" spans="3:9" x14ac:dyDescent="0.2">
      <c r="C1064" s="66"/>
      <c r="D1064" s="66"/>
      <c r="E1064" s="78"/>
      <c r="F1064" s="82"/>
      <c r="G1064" s="67"/>
      <c r="H1064" s="72"/>
      <c r="I1064" s="72"/>
    </row>
    <row r="1065" spans="3:9" x14ac:dyDescent="0.2">
      <c r="C1065" s="66"/>
      <c r="D1065" s="66"/>
      <c r="E1065" s="78"/>
      <c r="F1065" s="82"/>
      <c r="G1065" s="67"/>
      <c r="H1065" s="72"/>
      <c r="I1065" s="72"/>
    </row>
    <row r="1066" spans="3:9" x14ac:dyDescent="0.2">
      <c r="C1066" s="66"/>
      <c r="D1066" s="66"/>
      <c r="E1066" s="78"/>
      <c r="F1066" s="82"/>
      <c r="G1066" s="67"/>
      <c r="H1066" s="72"/>
      <c r="I1066" s="72"/>
    </row>
    <row r="1067" spans="3:9" x14ac:dyDescent="0.2">
      <c r="C1067" s="66"/>
      <c r="D1067" s="66"/>
      <c r="E1067" s="78"/>
      <c r="F1067" s="82"/>
      <c r="G1067" s="67"/>
      <c r="H1067" s="72"/>
      <c r="I1067" s="72"/>
    </row>
    <row r="1068" spans="3:9" x14ac:dyDescent="0.2">
      <c r="C1068" s="66"/>
      <c r="D1068" s="66"/>
      <c r="E1068" s="78"/>
      <c r="F1068" s="82"/>
      <c r="G1068" s="67"/>
      <c r="H1068" s="72"/>
      <c r="I1068" s="72"/>
    </row>
    <row r="1069" spans="3:9" x14ac:dyDescent="0.2">
      <c r="C1069" s="66"/>
      <c r="D1069" s="66"/>
      <c r="E1069" s="78"/>
      <c r="F1069" s="82"/>
      <c r="G1069" s="67"/>
      <c r="H1069" s="72"/>
      <c r="I1069" s="72"/>
    </row>
    <row r="1070" spans="3:9" x14ac:dyDescent="0.2">
      <c r="C1070" s="66"/>
      <c r="D1070" s="66"/>
      <c r="E1070" s="78"/>
      <c r="F1070" s="82"/>
      <c r="G1070" s="67"/>
      <c r="H1070" s="72"/>
      <c r="I1070" s="72"/>
    </row>
    <row r="1071" spans="3:9" x14ac:dyDescent="0.2">
      <c r="C1071" s="66"/>
      <c r="D1071" s="66"/>
      <c r="E1071" s="78"/>
      <c r="F1071" s="82"/>
      <c r="G1071" s="67"/>
      <c r="H1071" s="72"/>
      <c r="I1071" s="72"/>
    </row>
    <row r="1072" spans="3:9" x14ac:dyDescent="0.2">
      <c r="C1072" s="66"/>
      <c r="D1072" s="66"/>
      <c r="E1072" s="78"/>
      <c r="F1072" s="82"/>
      <c r="G1072" s="67"/>
      <c r="H1072" s="72"/>
      <c r="I1072" s="72"/>
    </row>
    <row r="1073" spans="3:9" x14ac:dyDescent="0.2">
      <c r="C1073" s="66"/>
      <c r="D1073" s="66"/>
      <c r="E1073" s="78"/>
      <c r="F1073" s="82"/>
      <c r="G1073" s="67"/>
      <c r="H1073" s="72"/>
      <c r="I1073" s="72"/>
    </row>
    <row r="1074" spans="3:9" x14ac:dyDescent="0.2">
      <c r="C1074" s="66"/>
      <c r="D1074" s="66"/>
      <c r="E1074" s="78"/>
      <c r="F1074" s="82"/>
      <c r="G1074" s="67"/>
      <c r="H1074" s="72"/>
      <c r="I1074" s="72"/>
    </row>
    <row r="1075" spans="3:9" x14ac:dyDescent="0.2">
      <c r="C1075" s="66"/>
      <c r="D1075" s="66"/>
      <c r="E1075" s="78"/>
      <c r="F1075" s="82"/>
      <c r="G1075" s="67"/>
      <c r="H1075" s="72"/>
      <c r="I1075" s="72"/>
    </row>
    <row r="1076" spans="3:9" x14ac:dyDescent="0.2">
      <c r="C1076" s="66"/>
      <c r="D1076" s="66"/>
      <c r="E1076" s="78"/>
      <c r="F1076" s="82"/>
      <c r="G1076" s="67"/>
      <c r="H1076" s="72"/>
      <c r="I1076" s="72"/>
    </row>
    <row r="1077" spans="3:9" x14ac:dyDescent="0.2">
      <c r="C1077" s="66"/>
      <c r="D1077" s="66"/>
      <c r="E1077" s="78"/>
      <c r="F1077" s="82"/>
      <c r="G1077" s="67"/>
      <c r="H1077" s="72"/>
      <c r="I1077" s="72"/>
    </row>
    <row r="1078" spans="3:9" x14ac:dyDescent="0.2">
      <c r="C1078" s="66"/>
      <c r="D1078" s="66"/>
      <c r="E1078" s="78"/>
      <c r="F1078" s="82"/>
      <c r="G1078" s="67"/>
      <c r="H1078" s="72"/>
      <c r="I1078" s="72"/>
    </row>
    <row r="1079" spans="3:9" x14ac:dyDescent="0.2">
      <c r="C1079" s="66"/>
      <c r="D1079" s="66"/>
      <c r="E1079" s="78"/>
      <c r="F1079" s="82"/>
      <c r="G1079" s="67"/>
      <c r="H1079" s="72"/>
      <c r="I1079" s="72"/>
    </row>
    <row r="1080" spans="3:9" x14ac:dyDescent="0.2">
      <c r="C1080" s="66"/>
      <c r="D1080" s="66"/>
      <c r="E1080" s="78"/>
      <c r="F1080" s="82"/>
      <c r="G1080" s="67"/>
      <c r="H1080" s="72"/>
      <c r="I1080" s="72"/>
    </row>
    <row r="1081" spans="3:9" x14ac:dyDescent="0.2">
      <c r="C1081" s="66"/>
      <c r="D1081" s="66"/>
      <c r="E1081" s="78"/>
      <c r="F1081" s="82"/>
      <c r="G1081" s="67"/>
      <c r="H1081" s="72"/>
      <c r="I1081" s="72"/>
    </row>
    <row r="1082" spans="3:9" x14ac:dyDescent="0.2">
      <c r="C1082" s="66"/>
      <c r="D1082" s="66"/>
      <c r="E1082" s="78"/>
      <c r="F1082" s="82"/>
      <c r="G1082" s="67"/>
      <c r="H1082" s="72"/>
      <c r="I1082" s="72"/>
    </row>
    <row r="1083" spans="3:9" x14ac:dyDescent="0.2">
      <c r="C1083" s="66"/>
      <c r="D1083" s="66"/>
      <c r="E1083" s="78"/>
      <c r="F1083" s="82"/>
      <c r="G1083" s="67"/>
      <c r="H1083" s="72"/>
      <c r="I1083" s="72"/>
    </row>
    <row r="1084" spans="3:9" x14ac:dyDescent="0.2">
      <c r="C1084" s="66"/>
      <c r="D1084" s="66"/>
      <c r="E1084" s="78"/>
      <c r="F1084" s="82"/>
      <c r="G1084" s="67"/>
      <c r="H1084" s="72"/>
      <c r="I1084" s="72"/>
    </row>
    <row r="1085" spans="3:9" x14ac:dyDescent="0.2">
      <c r="C1085" s="66"/>
      <c r="D1085" s="66"/>
      <c r="E1085" s="78"/>
      <c r="F1085" s="82"/>
      <c r="G1085" s="67"/>
      <c r="H1085" s="72"/>
      <c r="I1085" s="72"/>
    </row>
    <row r="1086" spans="3:9" x14ac:dyDescent="0.2">
      <c r="C1086" s="66"/>
      <c r="D1086" s="66"/>
      <c r="E1086" s="78"/>
      <c r="F1086" s="82"/>
      <c r="G1086" s="67"/>
      <c r="H1086" s="72"/>
      <c r="I1086" s="72"/>
    </row>
    <row r="1087" spans="3:9" x14ac:dyDescent="0.2">
      <c r="C1087" s="66"/>
      <c r="D1087" s="66"/>
      <c r="E1087" s="78"/>
      <c r="F1087" s="82"/>
      <c r="G1087" s="67"/>
      <c r="H1087" s="72"/>
      <c r="I1087" s="72"/>
    </row>
    <row r="1088" spans="3:9" x14ac:dyDescent="0.2">
      <c r="C1088" s="66"/>
      <c r="D1088" s="66"/>
      <c r="E1088" s="78"/>
      <c r="F1088" s="82"/>
      <c r="G1088" s="67"/>
      <c r="H1088" s="72"/>
      <c r="I1088" s="72"/>
    </row>
    <row r="1089" spans="3:9" x14ac:dyDescent="0.2">
      <c r="C1089" s="66"/>
      <c r="D1089" s="66"/>
      <c r="E1089" s="78"/>
      <c r="F1089" s="82"/>
      <c r="G1089" s="67"/>
      <c r="H1089" s="72"/>
      <c r="I1089" s="72"/>
    </row>
    <row r="1090" spans="3:9" x14ac:dyDescent="0.2">
      <c r="H1090" s="72"/>
      <c r="I1090" s="72"/>
    </row>
    <row r="1091" spans="3:9" x14ac:dyDescent="0.2">
      <c r="H1091" s="72"/>
      <c r="I1091" s="72"/>
    </row>
    <row r="1092" spans="3:9" x14ac:dyDescent="0.2">
      <c r="H1092" s="72"/>
      <c r="I1092" s="72"/>
    </row>
    <row r="1093" spans="3:9" x14ac:dyDescent="0.2">
      <c r="H1093" s="72"/>
      <c r="I1093" s="72"/>
    </row>
    <row r="1094" spans="3:9" x14ac:dyDescent="0.2">
      <c r="H1094" s="72"/>
      <c r="I1094" s="72"/>
    </row>
    <row r="1095" spans="3:9" x14ac:dyDescent="0.2">
      <c r="H1095" s="72"/>
      <c r="I1095" s="72"/>
    </row>
    <row r="1096" spans="3:9" x14ac:dyDescent="0.2">
      <c r="H1096" s="72"/>
      <c r="I1096" s="72"/>
    </row>
    <row r="1097" spans="3:9" x14ac:dyDescent="0.2">
      <c r="H1097" s="72"/>
      <c r="I1097" s="72"/>
    </row>
    <row r="1098" spans="3:9" x14ac:dyDescent="0.2">
      <c r="H1098" s="72"/>
      <c r="I1098" s="72"/>
    </row>
    <row r="1099" spans="3:9" x14ac:dyDescent="0.2">
      <c r="H1099" s="72"/>
      <c r="I1099" s="72"/>
    </row>
    <row r="1100" spans="3:9" x14ac:dyDescent="0.2">
      <c r="H1100" s="72"/>
      <c r="I1100" s="72"/>
    </row>
    <row r="1101" spans="3:9" x14ac:dyDescent="0.2">
      <c r="H1101" s="72"/>
      <c r="I1101" s="72"/>
    </row>
    <row r="1102" spans="3:9" x14ac:dyDescent="0.2">
      <c r="H1102" s="72"/>
      <c r="I1102" s="72"/>
    </row>
    <row r="1103" spans="3:9" x14ac:dyDescent="0.2">
      <c r="H1103" s="72"/>
      <c r="I1103" s="72"/>
    </row>
    <row r="1104" spans="3:9" x14ac:dyDescent="0.2">
      <c r="H1104" s="72"/>
      <c r="I1104" s="72"/>
    </row>
    <row r="1105" spans="8:9" x14ac:dyDescent="0.2">
      <c r="H1105" s="72"/>
      <c r="I1105" s="72"/>
    </row>
    <row r="1106" spans="8:9" x14ac:dyDescent="0.2">
      <c r="H1106" s="72"/>
      <c r="I1106" s="72"/>
    </row>
    <row r="1107" spans="8:9" x14ac:dyDescent="0.2">
      <c r="H1107" s="72"/>
      <c r="I1107" s="72"/>
    </row>
    <row r="1108" spans="8:9" x14ac:dyDescent="0.2">
      <c r="H1108" s="72"/>
      <c r="I1108" s="72"/>
    </row>
    <row r="1109" spans="8:9" x14ac:dyDescent="0.2">
      <c r="H1109" s="72"/>
      <c r="I1109" s="72"/>
    </row>
    <row r="1110" spans="8:9" x14ac:dyDescent="0.2">
      <c r="H1110" s="72"/>
      <c r="I1110" s="72"/>
    </row>
    <row r="1111" spans="8:9" x14ac:dyDescent="0.2">
      <c r="H1111" s="72"/>
      <c r="I1111" s="72"/>
    </row>
    <row r="1112" spans="8:9" x14ac:dyDescent="0.2">
      <c r="H1112" s="72"/>
      <c r="I1112" s="72"/>
    </row>
    <row r="1113" spans="8:9" x14ac:dyDescent="0.2">
      <c r="H1113" s="72"/>
      <c r="I1113" s="72"/>
    </row>
    <row r="1114" spans="8:9" x14ac:dyDescent="0.2">
      <c r="H1114" s="72"/>
      <c r="I1114" s="72"/>
    </row>
    <row r="1115" spans="8:9" x14ac:dyDescent="0.2">
      <c r="H1115" s="72"/>
      <c r="I1115" s="72"/>
    </row>
    <row r="1116" spans="8:9" x14ac:dyDescent="0.2">
      <c r="H1116" s="72"/>
      <c r="I1116" s="72"/>
    </row>
    <row r="1117" spans="8:9" x14ac:dyDescent="0.2">
      <c r="H1117" s="72"/>
      <c r="I1117" s="72"/>
    </row>
    <row r="1118" spans="8:9" x14ac:dyDescent="0.2">
      <c r="H1118" s="72"/>
      <c r="I1118" s="72"/>
    </row>
    <row r="1119" spans="8:9" x14ac:dyDescent="0.2">
      <c r="H1119" s="72"/>
      <c r="I1119" s="72"/>
    </row>
    <row r="1120" spans="8:9" x14ac:dyDescent="0.2">
      <c r="H1120" s="72"/>
      <c r="I1120" s="72"/>
    </row>
    <row r="1121" spans="8:9" x14ac:dyDescent="0.2">
      <c r="H1121" s="72"/>
      <c r="I1121" s="72"/>
    </row>
    <row r="1122" spans="8:9" x14ac:dyDescent="0.2">
      <c r="H1122" s="72"/>
      <c r="I1122" s="72"/>
    </row>
    <row r="1123" spans="8:9" x14ac:dyDescent="0.2">
      <c r="H1123" s="72"/>
      <c r="I1123" s="72"/>
    </row>
    <row r="1124" spans="8:9" x14ac:dyDescent="0.2">
      <c r="H1124" s="72"/>
      <c r="I1124" s="72"/>
    </row>
    <row r="1125" spans="8:9" x14ac:dyDescent="0.2">
      <c r="H1125" s="72"/>
      <c r="I1125" s="72"/>
    </row>
    <row r="1126" spans="8:9" x14ac:dyDescent="0.2">
      <c r="H1126" s="72"/>
      <c r="I1126" s="72"/>
    </row>
    <row r="1127" spans="8:9" x14ac:dyDescent="0.2">
      <c r="H1127" s="72"/>
      <c r="I1127" s="72"/>
    </row>
    <row r="1128" spans="8:9" x14ac:dyDescent="0.2">
      <c r="H1128" s="72"/>
      <c r="I1128" s="72"/>
    </row>
    <row r="1129" spans="8:9" x14ac:dyDescent="0.2">
      <c r="H1129" s="72"/>
      <c r="I1129" s="72"/>
    </row>
    <row r="1130" spans="8:9" x14ac:dyDescent="0.2">
      <c r="H1130" s="72"/>
      <c r="I1130" s="72"/>
    </row>
    <row r="1131" spans="8:9" x14ac:dyDescent="0.2">
      <c r="H1131" s="72"/>
      <c r="I1131" s="72"/>
    </row>
    <row r="1132" spans="8:9" x14ac:dyDescent="0.2">
      <c r="H1132" s="72"/>
      <c r="I1132" s="72"/>
    </row>
  </sheetData>
  <phoneticPr fontId="33" type="noConversion"/>
  <dataValidations count="1">
    <dataValidation type="list" allowBlank="1" showInputMessage="1" showErrorMessage="1" sqref="C11">
      <formula1>FundList</formula1>
    </dataValidation>
  </dataValidations>
  <printOptions horizontalCentered="1"/>
  <pageMargins left="0.25" right="0.25" top="0.75" bottom="0.75" header="0.3" footer="0.3"/>
  <pageSetup scale="50" fitToHeight="0" orientation="landscape" draft="1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M64"/>
  <sheetViews>
    <sheetView view="pageBreakPreview" zoomScale="98" zoomScaleNormal="98" zoomScaleSheetLayoutView="98" workbookViewId="0">
      <pane xSplit="1" topLeftCell="K1" activePane="topRight" state="frozen"/>
      <selection pane="topRight" activeCell="P27" sqref="P27"/>
    </sheetView>
  </sheetViews>
  <sheetFormatPr defaultColWidth="9.140625" defaultRowHeight="12.75" x14ac:dyDescent="0.2"/>
  <cols>
    <col min="1" max="1" width="44" style="3" customWidth="1"/>
    <col min="2" max="29" width="16.5703125" style="3" customWidth="1"/>
    <col min="30" max="36" width="16.5703125" style="22" customWidth="1"/>
    <col min="37" max="37" width="16.5703125" style="3" customWidth="1"/>
    <col min="38" max="38" width="17.140625" style="3" hidden="1" customWidth="1"/>
    <col min="39" max="39" width="0" style="3" hidden="1" customWidth="1"/>
    <col min="40" max="16384" width="9.140625" style="3"/>
  </cols>
  <sheetData>
    <row r="1" spans="1:39" x14ac:dyDescent="0.2">
      <c r="A1" s="38"/>
      <c r="B1" s="4"/>
      <c r="C1" s="4"/>
      <c r="D1" s="4"/>
      <c r="E1" s="4"/>
      <c r="F1" s="150"/>
      <c r="G1" s="4"/>
      <c r="H1" s="38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1"/>
    </row>
    <row r="2" spans="1:39" x14ac:dyDescent="0.2">
      <c r="A2" s="39"/>
      <c r="B2" s="4"/>
      <c r="C2" s="4"/>
      <c r="D2" s="4"/>
      <c r="E2" s="4"/>
      <c r="F2" s="39"/>
      <c r="G2" s="4"/>
      <c r="H2" s="39"/>
      <c r="J2" s="4"/>
      <c r="K2" s="4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</row>
    <row r="3" spans="1:39" x14ac:dyDescent="0.2">
      <c r="A3" s="4"/>
      <c r="B3" s="4"/>
      <c r="C3" s="4"/>
      <c r="D3" s="4"/>
      <c r="E3" s="4"/>
      <c r="F3" s="4"/>
      <c r="G3" s="4"/>
      <c r="H3" s="4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</row>
    <row r="4" spans="1:39" x14ac:dyDescent="0.2">
      <c r="A4" s="5"/>
      <c r="B4" s="4"/>
      <c r="C4" s="4"/>
      <c r="D4" s="4"/>
      <c r="E4" s="4"/>
      <c r="F4" s="4"/>
      <c r="G4" s="4"/>
      <c r="H4" s="40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</row>
    <row r="5" spans="1:39" x14ac:dyDescent="0.2">
      <c r="A5" s="4"/>
      <c r="B5" s="4"/>
      <c r="C5" s="4"/>
      <c r="D5" s="4"/>
      <c r="E5" s="4"/>
      <c r="F5" s="4"/>
      <c r="G5" s="4"/>
      <c r="H5" s="4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</row>
    <row r="6" spans="1:39" x14ac:dyDescent="0.2">
      <c r="A6" s="7"/>
      <c r="B6" s="4"/>
      <c r="C6" s="4"/>
      <c r="D6" s="4"/>
      <c r="E6" s="4"/>
      <c r="F6" s="7"/>
      <c r="G6" s="4"/>
      <c r="H6" s="7"/>
      <c r="J6" s="4"/>
      <c r="K6" s="4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</row>
    <row r="7" spans="1:39" x14ac:dyDescent="0.2">
      <c r="A7" s="41"/>
      <c r="B7" s="7"/>
      <c r="C7" s="7"/>
      <c r="D7" s="7"/>
      <c r="E7" s="7"/>
      <c r="F7" s="53"/>
      <c r="G7" s="7"/>
      <c r="H7" s="41"/>
      <c r="L7" s="7"/>
      <c r="M7" s="7"/>
      <c r="N7" s="7"/>
      <c r="O7" s="7"/>
      <c r="P7" s="21"/>
      <c r="Q7" s="21"/>
      <c r="R7" s="21"/>
      <c r="S7" s="21"/>
      <c r="T7" s="21"/>
      <c r="U7" s="21"/>
      <c r="V7" s="21"/>
      <c r="W7" s="21"/>
    </row>
    <row r="8" spans="1:39" x14ac:dyDescent="0.2">
      <c r="A8" s="23"/>
      <c r="B8" s="21"/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</row>
    <row r="9" spans="1:39" x14ac:dyDescent="0.2">
      <c r="A9" s="44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/>
      <c r="AI9" s="43"/>
      <c r="AJ9" s="43"/>
    </row>
    <row r="10" spans="1:39" s="87" customFormat="1" ht="99.75" customHeight="1" x14ac:dyDescent="0.2">
      <c r="B10" s="88" t="str">
        <f>Main!$E20</f>
        <v>GLEN BURNIE LLLP</v>
      </c>
      <c r="C10" s="88" t="str">
        <f>Main!$E21</f>
        <v>COLLEGE PARKWAY LLLP</v>
      </c>
      <c r="D10" s="88" t="str">
        <f>Main!$E22</f>
        <v>WOODBRIDGE COMMONS LLLP</v>
      </c>
      <c r="E10" s="88" t="str">
        <f>Main!$E23</f>
        <v>HICKORY RIDGE VILLAGE LLLP</v>
      </c>
      <c r="F10" s="88" t="str">
        <f>Main!$E24</f>
        <v>COLDSPRING LIMITED PARTNERSHIP</v>
      </c>
      <c r="G10" s="88" t="str">
        <f>Main!$E25</f>
        <v>PARKVILLE LLLP</v>
      </c>
      <c r="H10" s="88" t="str">
        <f>Main!$E26</f>
        <v>WOODLAWN APARTMENTS LIMITED PARTNERSHIP</v>
      </c>
      <c r="I10" s="88" t="str">
        <f>Main!$E27</f>
        <v>PARK VIEW AT BEL AIR II LLLP</v>
      </c>
      <c r="J10" s="88" t="str">
        <f>Main!$E28</f>
        <v>ABINGDON II LLLP</v>
      </c>
      <c r="K10" s="88" t="str">
        <f>Main!$E29</f>
        <v>ELLICOTT CITY II LIMITED PARTNERSHIP</v>
      </c>
      <c r="L10" s="88" t="str">
        <f>Main!$E30</f>
        <v>BETHLEHEM VILLAGE LIMITED PARTNERSHIP</v>
      </c>
      <c r="M10" s="88" t="str">
        <f>Main!$E31</f>
        <v>LOWER SALFORD LIMITED PARTNERSHIP</v>
      </c>
      <c r="N10" s="88" t="str">
        <f>Main!$E32</f>
        <v>NAAMAN’S CREEK LIMITED PARTNERSHIP</v>
      </c>
      <c r="O10" s="88" t="str">
        <f>Main!$E33</f>
        <v>WEST MANCHESTER LIMITED PARTNERSHIP</v>
      </c>
      <c r="P10" s="88" t="str">
        <f>Main!$E34</f>
        <v>SOMERSET COMMONS LLLP</v>
      </c>
      <c r="Q10" s="88" t="str">
        <f>Main!$E35</f>
        <v>EASTON LIMITED PARTNERSHIP</v>
      </c>
      <c r="R10" s="88" t="str">
        <f>Main!$E36</f>
        <v>TYLER ROAD LIMITED PARTNERSHIP</v>
      </c>
      <c r="S10" s="88" t="str">
        <f>Main!$E37</f>
        <v>ASHLAND LLLP</v>
      </c>
      <c r="T10" s="88" t="str">
        <f>Main!$E38</f>
        <v>ASHLAND PARK VIEW LLLP</v>
      </c>
      <c r="U10" s="88" t="str">
        <f>Main!$E39</f>
        <v>CATONSVILLE LLLP</v>
      </c>
      <c r="V10" s="88" t="str">
        <f>Main!$E40</f>
        <v>FULLERTON LLLP</v>
      </c>
      <c r="W10" s="88" t="str">
        <f>Main!$E41</f>
        <v>RANDALLSTOWN LLLP</v>
      </c>
      <c r="X10" s="88" t="str">
        <f>Main!$E42</f>
        <v>ROSEDALE LLLP</v>
      </c>
      <c r="Y10" s="88" t="str">
        <f>Main!$E43</f>
        <v>SALISBURY LLLP</v>
      </c>
      <c r="Z10" s="88" t="str">
        <f>Main!$E44</f>
        <v>SNOWDEN RIVER LLLP</v>
      </c>
      <c r="AA10" s="88" t="str">
        <f>Main!$E45</f>
        <v>MIRAMAR LLLP</v>
      </c>
      <c r="AB10" s="88" t="str">
        <f>Main!$E46</f>
        <v>SEVERNA PARK LLLP</v>
      </c>
      <c r="AC10" s="88" t="str">
        <f>Main!$E47</f>
        <v>ABERDEEN COMMONS LLLP</v>
      </c>
      <c r="AD10" s="88" t="str">
        <f>Main!$E48</f>
        <v>EMERSON LLLP</v>
      </c>
      <c r="AE10" s="88" t="str">
        <f>Main!$E49</f>
        <v>SOUTH PANTOPS LIMITED PARTNERSHIP</v>
      </c>
      <c r="AF10" s="88" t="str">
        <f>Main!$E50</f>
        <v>YORK COMMONS LIMITED PARTNERSHIP LLLP</v>
      </c>
      <c r="AG10" s="88" t="str">
        <f>Main!$E51</f>
        <v>TIMOTHY HOUSE LLLP</v>
      </c>
      <c r="AH10" s="88" t="str">
        <f>Main!$E52</f>
        <v>COLUMBIA LLLP</v>
      </c>
      <c r="AI10" s="88" t="str">
        <f>Main!$E53</f>
        <v xml:space="preserve">CHELTENHAM PARK VIEW LIMITED PARTNERSHIP </v>
      </c>
      <c r="AJ10" s="88" t="str">
        <f>Main!$E54</f>
        <v>LAUREL LLLP</v>
      </c>
      <c r="AK10" s="89" t="s">
        <v>38</v>
      </c>
    </row>
    <row r="11" spans="1:39" s="24" customFormat="1" x14ac:dyDescent="0.2">
      <c r="B11" s="27"/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6"/>
      <c r="AD11" s="25"/>
      <c r="AE11" s="25"/>
      <c r="AF11" s="25"/>
      <c r="AG11" s="25"/>
      <c r="AH11" s="25"/>
      <c r="AI11" s="25"/>
      <c r="AJ11" s="25"/>
      <c r="AK11" s="26"/>
      <c r="AL11" s="91"/>
    </row>
    <row r="12" spans="1:39" x14ac:dyDescent="0.2">
      <c r="A12" s="13" t="s">
        <v>5</v>
      </c>
      <c r="B12" s="13"/>
      <c r="C12" s="13">
        <v>4</v>
      </c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L12" s="92"/>
      <c r="AM12" s="92" t="s">
        <v>67</v>
      </c>
    </row>
    <row r="13" spans="1:39" x14ac:dyDescent="0.2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L13" s="92"/>
      <c r="AM13" s="92">
        <f>COUNTA(B9:AK9)</f>
        <v>0</v>
      </c>
    </row>
    <row r="14" spans="1:39" x14ac:dyDescent="0.2">
      <c r="A14" s="13" t="s">
        <v>6</v>
      </c>
      <c r="B14" s="14">
        <f>' Working TB 12.31'!AT48</f>
        <v>652531</v>
      </c>
      <c r="C14" s="14">
        <f>' Working TB 12.31'!L48</f>
        <v>1879000</v>
      </c>
      <c r="D14" s="14">
        <f>' Working TB 12.31'!AF48</f>
        <v>2044951</v>
      </c>
      <c r="E14" s="14">
        <f>' Working TB 12.31'!AV48</f>
        <v>0</v>
      </c>
      <c r="F14" s="14">
        <f>' Working TB 12.31'!N48</f>
        <v>6063</v>
      </c>
      <c r="G14" s="14">
        <f>' Working TB 12.31'!AB48</f>
        <v>400612</v>
      </c>
      <c r="H14" s="14">
        <f>' Working TB 12.31'!AH48</f>
        <v>210935.75</v>
      </c>
      <c r="I14" s="14">
        <f>' Working TB 12.31'!D48</f>
        <v>749491.36</v>
      </c>
      <c r="J14" s="14">
        <f>' Working TB 12.31'!H48</f>
        <v>667744</v>
      </c>
      <c r="K14" s="14">
        <f>' Working TB 12.31'!AP48</f>
        <v>0</v>
      </c>
      <c r="L14" s="14">
        <f>' Working TB 12.31'!F48</f>
        <v>1324724.1399999999</v>
      </c>
      <c r="M14" s="14">
        <f>' Working TB 12.31'!T48</f>
        <v>714855</v>
      </c>
      <c r="N14" s="14">
        <f>' Working TB 12.31'!X48</f>
        <v>769214</v>
      </c>
      <c r="O14" s="14">
        <f>' Working TB 12.31'!AJ48</f>
        <v>413494</v>
      </c>
      <c r="P14" s="14">
        <f>' Working TB 12.31'!BN48</f>
        <v>1212590.76</v>
      </c>
      <c r="Q14" s="14">
        <f>' Working TB 12.31'!P48</f>
        <v>208760</v>
      </c>
      <c r="R14" s="14">
        <f>' Working TB 12.31'!AD48</f>
        <v>214886</v>
      </c>
      <c r="S14" s="14">
        <f>' Working TB 12.31'!BJ48</f>
        <v>784640</v>
      </c>
      <c r="T14" s="14">
        <f>' Working TB 12.31'!BH48</f>
        <v>764647</v>
      </c>
      <c r="U14" s="14">
        <f>' Working TB 12.31'!J48</f>
        <v>578132</v>
      </c>
      <c r="V14" s="14">
        <f>' Working TB 12.31'!BT48</f>
        <v>776885.92</v>
      </c>
      <c r="W14" s="14">
        <f>' Working TB 12.31'!BP48</f>
        <v>685537</v>
      </c>
      <c r="X14" s="14">
        <f>' Working TB 12.31'!BR48</f>
        <v>901718.85</v>
      </c>
      <c r="Y14" s="14">
        <f>' Working TB 12.31'!BD48</f>
        <v>827264</v>
      </c>
      <c r="Z14" s="14">
        <f>' Working TB 12.31'!Z48</f>
        <v>0</v>
      </c>
      <c r="AA14" s="14">
        <f>' Working TB 12.31'!AZ48</f>
        <v>654265</v>
      </c>
      <c r="AB14" s="14">
        <f>' Working TB 12.31'!AR48</f>
        <v>1947185</v>
      </c>
      <c r="AC14" s="14">
        <f>' Working TB 12.31'!BF48</f>
        <v>2137417</v>
      </c>
      <c r="AD14" s="14">
        <f>' Working TB 12.31'!R48</f>
        <v>392991</v>
      </c>
      <c r="AE14" s="14">
        <f>' Working TB 12.31'!BB48</f>
        <v>954767</v>
      </c>
      <c r="AF14" s="14">
        <f>' Working TB 12.31'!AL48</f>
        <v>965229</v>
      </c>
      <c r="AG14" s="14">
        <f>' Working TB 12.31'!BL48</f>
        <v>921411</v>
      </c>
      <c r="AH14" s="14">
        <f>' Working TB 12.31'!V48</f>
        <v>1228734.01</v>
      </c>
      <c r="AI14" s="14">
        <f>' Working TB 12.31'!AX48</f>
        <v>1220137</v>
      </c>
      <c r="AJ14" s="14">
        <f>' Working TB 12.31'!AN48</f>
        <v>0</v>
      </c>
      <c r="AK14" s="14">
        <f>SUMIF(B14:AJ14,"&lt;&gt;#N/A")</f>
        <v>27210812.790000003</v>
      </c>
      <c r="AL14" s="93">
        <f>AK14</f>
        <v>27210812.790000003</v>
      </c>
    </row>
    <row r="15" spans="1:39" x14ac:dyDescent="0.2">
      <c r="A15" s="13" t="s">
        <v>7</v>
      </c>
      <c r="B15" s="35">
        <f>' Working TB 12.31'!AT49</f>
        <v>7358498.8200000003</v>
      </c>
      <c r="C15" s="35">
        <f>' Working TB 12.31'!L49</f>
        <v>13720367.939999999</v>
      </c>
      <c r="D15" s="35">
        <f>' Working TB 12.31'!AF52</f>
        <v>11465916</v>
      </c>
      <c r="E15" s="35">
        <f>' Working TB 12.31'!AV49</f>
        <v>7380855.3099999996</v>
      </c>
      <c r="F15" s="35">
        <f>' Working TB 12.31'!N49</f>
        <v>7468256.8600000013</v>
      </c>
      <c r="G15" s="35">
        <f>' Working TB 12.31'!AB49</f>
        <v>6694612.3300000001</v>
      </c>
      <c r="H15" s="35">
        <f>' Working TB 12.31'!AH49</f>
        <v>6454814.5899999999</v>
      </c>
      <c r="I15" s="35">
        <f>' Working TB 12.31'!D49</f>
        <v>6710114.25</v>
      </c>
      <c r="J15" s="35">
        <f>' Working TB 12.31'!H49</f>
        <v>6586025.6799999997</v>
      </c>
      <c r="K15" s="35">
        <f>' Working TB 12.31'!AP49</f>
        <v>6329048.4900000012</v>
      </c>
      <c r="L15" s="35">
        <f>' Working TB 12.31'!F49</f>
        <v>9314309.3599999994</v>
      </c>
      <c r="M15" s="35">
        <f>' Working TB 12.31'!T49</f>
        <v>9705285</v>
      </c>
      <c r="N15" s="35">
        <f>' Working TB 12.31'!X49</f>
        <v>5148496.34</v>
      </c>
      <c r="O15" s="35">
        <f>' Working TB 12.31'!AJ49</f>
        <v>4189975</v>
      </c>
      <c r="P15" s="35">
        <f>' Working TB 12.31'!BN49</f>
        <v>7792375.1299999999</v>
      </c>
      <c r="Q15" s="35">
        <f>' Working TB 12.31'!P49</f>
        <v>4723006.93</v>
      </c>
      <c r="R15" s="35">
        <f>' Working TB 12.31'!AD49</f>
        <v>4335982</v>
      </c>
      <c r="S15" s="35">
        <f>' Working TB 12.31'!BJ49</f>
        <v>10153070.4</v>
      </c>
      <c r="T15" s="35">
        <f>' Working TB 12.31'!BH49</f>
        <v>7809237.9400000004</v>
      </c>
      <c r="U15" s="35">
        <f>' Working TB 12.31'!J49</f>
        <v>9123282.5399999991</v>
      </c>
      <c r="V15" s="35">
        <f>' Working TB 12.31'!BT49</f>
        <v>7320156.0099999998</v>
      </c>
      <c r="W15" s="35">
        <f>' Working TB 12.31'!BP49</f>
        <v>7737100.2300000004</v>
      </c>
      <c r="X15" s="35">
        <f>' Working TB 12.31'!BR49</f>
        <v>8059726.5499999998</v>
      </c>
      <c r="Y15" s="35">
        <f>' Working TB 12.31'!BD49</f>
        <v>10281478.73</v>
      </c>
      <c r="Z15" s="35">
        <f>' Working TB 12.31'!Z49</f>
        <v>7786537.0899999999</v>
      </c>
      <c r="AA15" s="35">
        <f>' Working TB 12.31'!AZ49</f>
        <v>7748341.3300000001</v>
      </c>
      <c r="AB15" s="35">
        <f>' Working TB 12.31'!AR49</f>
        <v>11789767</v>
      </c>
      <c r="AC15" s="35">
        <f>' Working TB 12.31'!BF49</f>
        <v>13265089.26</v>
      </c>
      <c r="AD15" s="35">
        <f>' Working TB 12.31'!R49</f>
        <v>9165615.9399999995</v>
      </c>
      <c r="AE15" s="35">
        <f>' Working TB 12.31'!BB49</f>
        <v>8356155</v>
      </c>
      <c r="AF15" s="35">
        <f>' Working TB 12.31'!AL49</f>
        <v>8865617.9700000007</v>
      </c>
      <c r="AG15" s="35">
        <f>' Working TB 12.31'!BL49</f>
        <v>5548668.6299999999</v>
      </c>
      <c r="AH15" s="35">
        <f>' Working TB 12.31'!V49</f>
        <v>6059844.0099999998</v>
      </c>
      <c r="AI15" s="35">
        <f>' Working TB 12.31'!AX49</f>
        <v>8421993.9199999999</v>
      </c>
      <c r="AJ15" s="35">
        <f>' Working TB 12.31'!AN49</f>
        <v>10067697.810000001</v>
      </c>
      <c r="AK15" s="35">
        <f>SUMIF(B15:AJ15,"&lt;&gt;#N/A")</f>
        <v>282937320.38999999</v>
      </c>
      <c r="AL15" s="93">
        <f t="shared" ref="AL15:AL23" si="0">AK15</f>
        <v>282937320.38999999</v>
      </c>
    </row>
    <row r="16" spans="1:39" x14ac:dyDescent="0.2">
      <c r="A16" s="13" t="s">
        <v>8</v>
      </c>
      <c r="B16" s="35">
        <f>' Working TB 12.31'!AT85</f>
        <v>444306.66</v>
      </c>
      <c r="C16" s="35">
        <f>' Working TB 12.31'!L85</f>
        <v>511687.78</v>
      </c>
      <c r="D16" s="35">
        <f>' Working TB 12.31'!AF85</f>
        <v>756186.59</v>
      </c>
      <c r="E16" s="35">
        <f>' Working TB 12.31'!AV85</f>
        <v>292266.87</v>
      </c>
      <c r="F16" s="35">
        <f>' Working TB 12.31'!N85</f>
        <v>246179.08000000002</v>
      </c>
      <c r="G16" s="35">
        <f>' Working TB 12.31'!AB85</f>
        <v>361943.58</v>
      </c>
      <c r="H16" s="35">
        <f>' Working TB 12.31'!AH85</f>
        <v>332418.03999999998</v>
      </c>
      <c r="I16" s="35">
        <f>' Working TB 12.31'!D85</f>
        <v>246920.28</v>
      </c>
      <c r="J16" s="35">
        <f>' Working TB 12.31'!H85</f>
        <v>253780.12</v>
      </c>
      <c r="K16" s="35">
        <f>' Working TB 12.31'!AP84</f>
        <v>442565.92000000004</v>
      </c>
      <c r="L16" s="35">
        <f>' Working TB 12.31'!F85</f>
        <v>367154.49</v>
      </c>
      <c r="M16" s="35">
        <f>' Working TB 12.31'!T85</f>
        <v>467506</v>
      </c>
      <c r="N16" s="35">
        <f>' Working TB 12.31'!X85</f>
        <v>311231.15000000002</v>
      </c>
      <c r="O16" s="35">
        <f>' Working TB 12.31'!AJ85</f>
        <v>253721.9</v>
      </c>
      <c r="P16" s="35">
        <f>' Working TB 12.31'!BN85</f>
        <v>351894.84</v>
      </c>
      <c r="Q16" s="35">
        <f>' Working TB 12.31'!P85</f>
        <v>381151.71</v>
      </c>
      <c r="R16" s="35">
        <f>' Working TB 12.31'!AD85</f>
        <v>294273.61</v>
      </c>
      <c r="S16" s="35">
        <f>' Working TB 12.31'!BJ85</f>
        <v>335901.91000000003</v>
      </c>
      <c r="T16" s="35">
        <f>' Working TB 12.31'!BH85</f>
        <v>483014.38999999996</v>
      </c>
      <c r="U16" s="35">
        <f>' Working TB 12.31'!J85</f>
        <v>268495.05</v>
      </c>
      <c r="V16" s="35">
        <f>' Working TB 12.31'!BT85</f>
        <v>256596.74</v>
      </c>
      <c r="W16" s="35">
        <f>' Working TB 12.31'!BP85</f>
        <v>300229.34000000003</v>
      </c>
      <c r="X16" s="35">
        <f>' Working TB 12.31'!BR85</f>
        <v>142620.13</v>
      </c>
      <c r="Y16" s="35">
        <f>' Working TB 12.31'!BD85</f>
        <v>641458.76</v>
      </c>
      <c r="Z16" s="35">
        <f>' Working TB 12.31'!Z85</f>
        <v>245504.75</v>
      </c>
      <c r="AA16" s="35">
        <f>' Working TB 12.31'!AZ85</f>
        <v>288911.74</v>
      </c>
      <c r="AB16" s="35">
        <f>' Working TB 12.31'!AR85</f>
        <v>548923.9</v>
      </c>
      <c r="AC16" s="35">
        <f>' Working TB 12.31'!BF85</f>
        <v>301540.37</v>
      </c>
      <c r="AD16" s="35">
        <f>' Working TB 12.31'!R85</f>
        <v>373542.13</v>
      </c>
      <c r="AE16" s="35">
        <f>' Working TB 12.31'!BB85</f>
        <v>285480.59999999998</v>
      </c>
      <c r="AF16" s="35">
        <f>' Working TB 12.31'!AL85</f>
        <v>474785.79</v>
      </c>
      <c r="AG16" s="35">
        <f>' Working TB 12.31'!BL85</f>
        <v>279783.57</v>
      </c>
      <c r="AH16" s="35">
        <f>' Working TB 12.31'!V85</f>
        <v>293117.75</v>
      </c>
      <c r="AI16" s="35">
        <f>' Working TB 12.31'!AX85</f>
        <v>207875</v>
      </c>
      <c r="AJ16" s="35">
        <f>' Working TB 12.31'!AN85</f>
        <v>385384.83999999997</v>
      </c>
      <c r="AK16" s="35">
        <f>SUMIF(B16:AJ16,"&lt;&gt;#N/A")</f>
        <v>12428355.380000001</v>
      </c>
      <c r="AL16" s="93">
        <f t="shared" si="0"/>
        <v>12428355.380000001</v>
      </c>
    </row>
    <row r="17" spans="1:38" ht="15" x14ac:dyDescent="0.35">
      <c r="A17" s="13" t="s">
        <v>9</v>
      </c>
      <c r="B17" s="36">
        <v>0</v>
      </c>
      <c r="C17" s="36">
        <v>0</v>
      </c>
      <c r="D17" s="36">
        <v>0</v>
      </c>
      <c r="E17" s="36">
        <v>0</v>
      </c>
      <c r="F17" s="36">
        <v>0</v>
      </c>
      <c r="G17" s="36">
        <v>0</v>
      </c>
      <c r="H17" s="36">
        <v>0</v>
      </c>
      <c r="I17" s="36">
        <v>0</v>
      </c>
      <c r="J17" s="36">
        <v>0</v>
      </c>
      <c r="K17" s="36">
        <v>0</v>
      </c>
      <c r="L17" s="36">
        <v>0</v>
      </c>
      <c r="M17" s="36">
        <v>0</v>
      </c>
      <c r="N17" s="36">
        <v>0</v>
      </c>
      <c r="O17" s="36">
        <v>0</v>
      </c>
      <c r="P17" s="36">
        <v>0</v>
      </c>
      <c r="Q17" s="36">
        <v>0</v>
      </c>
      <c r="R17" s="36">
        <v>0</v>
      </c>
      <c r="S17" s="36">
        <v>0</v>
      </c>
      <c r="T17" s="36">
        <v>0</v>
      </c>
      <c r="U17" s="36">
        <v>0</v>
      </c>
      <c r="V17" s="36">
        <v>0</v>
      </c>
      <c r="W17" s="36">
        <v>0</v>
      </c>
      <c r="X17" s="36">
        <v>0</v>
      </c>
      <c r="Y17" s="36">
        <v>0</v>
      </c>
      <c r="Z17" s="36">
        <v>0</v>
      </c>
      <c r="AA17" s="36">
        <v>0</v>
      </c>
      <c r="AB17" s="36">
        <v>0</v>
      </c>
      <c r="AC17" s="36">
        <v>0</v>
      </c>
      <c r="AD17" s="36">
        <v>0</v>
      </c>
      <c r="AE17" s="36">
        <v>0</v>
      </c>
      <c r="AF17" s="36">
        <v>0</v>
      </c>
      <c r="AG17" s="36">
        <v>0</v>
      </c>
      <c r="AH17" s="36">
        <v>0</v>
      </c>
      <c r="AI17" s="36">
        <v>0</v>
      </c>
      <c r="AJ17" s="36">
        <v>0</v>
      </c>
      <c r="AK17" s="36">
        <f>SUMIF(B17:AJ17,"&lt;&gt;#N/A")</f>
        <v>0</v>
      </c>
      <c r="AL17" s="93">
        <f t="shared" si="0"/>
        <v>0</v>
      </c>
    </row>
    <row r="18" spans="1:38" s="101" customFormat="1" ht="15" x14ac:dyDescent="0.35">
      <c r="A18" s="13"/>
      <c r="B18" s="99"/>
      <c r="C18" s="99"/>
      <c r="D18" s="99"/>
      <c r="E18" s="99"/>
      <c r="F18" s="99"/>
      <c r="G18" s="99"/>
      <c r="H18" s="99"/>
      <c r="I18" s="99"/>
      <c r="J18" s="99"/>
      <c r="K18" s="99"/>
      <c r="L18" s="99"/>
      <c r="M18" s="99"/>
      <c r="N18" s="99"/>
      <c r="O18" s="99"/>
      <c r="P18" s="99"/>
      <c r="Q18" s="99"/>
      <c r="R18" s="99"/>
      <c r="S18" s="99"/>
      <c r="T18" s="99"/>
      <c r="U18" s="99"/>
      <c r="V18" s="99"/>
      <c r="W18" s="99"/>
      <c r="X18" s="99"/>
      <c r="Y18" s="99"/>
      <c r="Z18" s="99"/>
      <c r="AA18" s="99"/>
      <c r="AB18" s="99"/>
      <c r="AC18" s="99"/>
      <c r="AD18" s="99"/>
      <c r="AE18" s="99"/>
      <c r="AF18" s="99"/>
      <c r="AG18" s="99"/>
      <c r="AH18" s="99"/>
      <c r="AI18" s="99"/>
      <c r="AJ18" s="99"/>
      <c r="AK18" s="99"/>
      <c r="AL18" s="100">
        <v>9999</v>
      </c>
    </row>
    <row r="19" spans="1:38" x14ac:dyDescent="0.2">
      <c r="A19" s="13"/>
      <c r="B19" s="98">
        <f>SUM(B14:B17)</f>
        <v>8455336.4800000004</v>
      </c>
      <c r="C19" s="98">
        <f t="shared" ref="C19:AK19" si="1">SUM(C14:C17)</f>
        <v>16111055.719999999</v>
      </c>
      <c r="D19" s="98">
        <f t="shared" si="1"/>
        <v>14267053.59</v>
      </c>
      <c r="E19" s="98">
        <f t="shared" si="1"/>
        <v>7673122.1799999997</v>
      </c>
      <c r="F19" s="98">
        <f t="shared" si="1"/>
        <v>7720498.9400000013</v>
      </c>
      <c r="G19" s="98">
        <f t="shared" si="1"/>
        <v>7457167.9100000001</v>
      </c>
      <c r="H19" s="98">
        <f t="shared" si="1"/>
        <v>6998168.3799999999</v>
      </c>
      <c r="I19" s="98">
        <f t="shared" si="1"/>
        <v>7706525.8900000006</v>
      </c>
      <c r="J19" s="98">
        <f t="shared" si="1"/>
        <v>7507549.7999999998</v>
      </c>
      <c r="K19" s="98">
        <f t="shared" si="1"/>
        <v>6771614.4100000011</v>
      </c>
      <c r="L19" s="98">
        <f t="shared" si="1"/>
        <v>11006187.99</v>
      </c>
      <c r="M19" s="98">
        <f t="shared" si="1"/>
        <v>10887646</v>
      </c>
      <c r="N19" s="98">
        <f t="shared" si="1"/>
        <v>6228941.4900000002</v>
      </c>
      <c r="O19" s="98">
        <f t="shared" si="1"/>
        <v>4857190.9000000004</v>
      </c>
      <c r="P19" s="98">
        <f t="shared" si="1"/>
        <v>9356860.7300000004</v>
      </c>
      <c r="Q19" s="98">
        <f t="shared" si="1"/>
        <v>5312918.6399999997</v>
      </c>
      <c r="R19" s="98">
        <f t="shared" si="1"/>
        <v>4845141.6100000003</v>
      </c>
      <c r="S19" s="98">
        <f t="shared" si="1"/>
        <v>11273612.310000001</v>
      </c>
      <c r="T19" s="98">
        <f t="shared" si="1"/>
        <v>9056899.3300000019</v>
      </c>
      <c r="U19" s="98">
        <f t="shared" si="1"/>
        <v>9969909.5899999999</v>
      </c>
      <c r="V19" s="98">
        <f t="shared" si="1"/>
        <v>8353638.6699999999</v>
      </c>
      <c r="W19" s="98">
        <f t="shared" si="1"/>
        <v>8722866.5700000003</v>
      </c>
      <c r="X19" s="98">
        <f t="shared" si="1"/>
        <v>9104065.5300000012</v>
      </c>
      <c r="Y19" s="98">
        <f t="shared" si="1"/>
        <v>11750201.49</v>
      </c>
      <c r="Z19" s="98">
        <f t="shared" si="1"/>
        <v>8032041.8399999999</v>
      </c>
      <c r="AA19" s="98">
        <f t="shared" si="1"/>
        <v>8691518.0700000003</v>
      </c>
      <c r="AB19" s="98">
        <f t="shared" si="1"/>
        <v>14285875.9</v>
      </c>
      <c r="AC19" s="98">
        <f t="shared" si="1"/>
        <v>15704046.629999999</v>
      </c>
      <c r="AD19" s="98">
        <f t="shared" si="1"/>
        <v>9932149.0700000003</v>
      </c>
      <c r="AE19" s="98">
        <f t="shared" si="1"/>
        <v>9596402.5999999996</v>
      </c>
      <c r="AF19" s="98">
        <f t="shared" si="1"/>
        <v>10305632.76</v>
      </c>
      <c r="AG19" s="98">
        <f t="shared" si="1"/>
        <v>6749863.2000000002</v>
      </c>
      <c r="AH19" s="98">
        <f t="shared" si="1"/>
        <v>7581695.7699999996</v>
      </c>
      <c r="AI19" s="98">
        <f t="shared" si="1"/>
        <v>9850005.9199999999</v>
      </c>
      <c r="AJ19" s="98">
        <f t="shared" si="1"/>
        <v>10453082.65</v>
      </c>
      <c r="AK19" s="98">
        <f t="shared" si="1"/>
        <v>322576488.56</v>
      </c>
      <c r="AL19" s="97">
        <f t="shared" si="0"/>
        <v>322576488.56</v>
      </c>
    </row>
    <row r="20" spans="1:38" x14ac:dyDescent="0.2">
      <c r="A20" s="13"/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92">
        <v>9999</v>
      </c>
    </row>
    <row r="21" spans="1:38" s="18" customFormat="1" ht="15" x14ac:dyDescent="0.35">
      <c r="A21" s="17" t="s">
        <v>10</v>
      </c>
      <c r="B21" s="47">
        <f>' Working TB 12.31'!AT103</f>
        <v>-2999727</v>
      </c>
      <c r="C21" s="47">
        <f>' Working TB 12.31'!L103</f>
        <v>-4721912.04</v>
      </c>
      <c r="D21" s="47">
        <f>' Working TB 12.31'!AF103</f>
        <v>-4437733.4399999995</v>
      </c>
      <c r="E21" s="47">
        <f>' Working TB 12.31'!AV103</f>
        <v>-2819007.3400000003</v>
      </c>
      <c r="F21" s="47">
        <f>' Working TB 12.31'!N103</f>
        <v>-4676987.33</v>
      </c>
      <c r="G21" s="47">
        <f>' Working TB 12.31'!AB103</f>
        <v>-3024112.13</v>
      </c>
      <c r="H21" s="47">
        <f>' Working TB 12.31'!AH103</f>
        <v>-3238740.33</v>
      </c>
      <c r="I21" s="47">
        <f>' Working TB 12.31'!D103</f>
        <v>-3007311.27</v>
      </c>
      <c r="J21" s="47">
        <f>' Working TB 12.31'!H103</f>
        <v>-3188723.5900000003</v>
      </c>
      <c r="K21" s="47">
        <f>' Working TB 12.31'!AP103</f>
        <v>-3936659.3400000003</v>
      </c>
      <c r="L21" s="47">
        <f>' Working TB 12.31'!F103</f>
        <v>-4143913.99</v>
      </c>
      <c r="M21" s="47">
        <f>' Working TB 12.31'!T103</f>
        <v>-4444703.7200000007</v>
      </c>
      <c r="N21" s="47">
        <f>' Working TB 12.31'!X103</f>
        <v>-2875833.6300000004</v>
      </c>
      <c r="O21" s="47">
        <f>' Working TB 12.31'!AJ103</f>
        <v>-2213724.36</v>
      </c>
      <c r="P21" s="47">
        <f>' Working TB 12.31'!BN103</f>
        <v>-1724610.44</v>
      </c>
      <c r="Q21" s="47">
        <f>' Working TB 12.31'!P103</f>
        <v>-2560127.7000000002</v>
      </c>
      <c r="R21" s="47">
        <f>' Working TB 12.31'!AD103</f>
        <v>-2625444.7999999998</v>
      </c>
      <c r="S21" s="47">
        <f>' Working TB 12.31'!BJ103</f>
        <v>-2921746</v>
      </c>
      <c r="T21" s="47">
        <f>' Working TB 12.31'!BH103</f>
        <v>-2431343</v>
      </c>
      <c r="U21" s="47">
        <f>' Working TB 12.31'!J103</f>
        <v>-2442903.4700000002</v>
      </c>
      <c r="V21" s="47">
        <f>' Working TB 12.31'!BT103</f>
        <v>-1603191.8600000003</v>
      </c>
      <c r="W21" s="47">
        <f>' Working TB 12.31'!BP103</f>
        <v>-1568580.5599999998</v>
      </c>
      <c r="X21" s="47">
        <f>' Working TB 12.31'!BR103</f>
        <v>-1468796.9500000002</v>
      </c>
      <c r="Y21" s="47">
        <f>' Working TB 12.31'!BD103</f>
        <v>-3520279</v>
      </c>
      <c r="Z21" s="42">
        <f>' Working TB 12.31'!Z103</f>
        <v>-4069030.31</v>
      </c>
      <c r="AA21" s="47">
        <f>' Working TB 12.31'!AZ103</f>
        <v>-3668131.09</v>
      </c>
      <c r="AB21" s="47">
        <f>' Working TB 12.31'!AR103</f>
        <v>-3520119</v>
      </c>
      <c r="AC21" s="47">
        <f>' Working TB 12.31'!BF103</f>
        <v>-3998642.1699999995</v>
      </c>
      <c r="AD21" s="47">
        <f>' Working TB 12.31'!R103</f>
        <v>-2503615.41</v>
      </c>
      <c r="AE21" s="47">
        <f>' Working TB 12.31'!BB103</f>
        <v>-2826151.45</v>
      </c>
      <c r="AF21" s="47">
        <f>' Working TB 12.31'!AL103</f>
        <v>-3723150.17</v>
      </c>
      <c r="AG21" s="47">
        <f>' Working TB 12.31'!BL103</f>
        <v>-1632274.49</v>
      </c>
      <c r="AH21" s="47">
        <f>' Working TB 12.31'!V103</f>
        <v>-1341668.93</v>
      </c>
      <c r="AI21" s="47">
        <f>' Working TB 12.31'!AX103</f>
        <v>-2652814.8699999996</v>
      </c>
      <c r="AJ21" s="47">
        <f>' Working TB 12.31'!AN103</f>
        <v>-2065179.97</v>
      </c>
      <c r="AK21" s="47">
        <f>SUMIF(B21:AJ21,"&lt;&gt;#N/A")</f>
        <v>-104596891.15000002</v>
      </c>
      <c r="AL21" s="102">
        <f t="shared" si="0"/>
        <v>-104596891.15000002</v>
      </c>
    </row>
    <row r="22" spans="1:38" x14ac:dyDescent="0.2">
      <c r="A22" s="13"/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92">
        <v>9999</v>
      </c>
    </row>
    <row r="23" spans="1:38" x14ac:dyDescent="0.2">
      <c r="A23" s="13" t="s">
        <v>11</v>
      </c>
      <c r="B23" s="28">
        <f>+SUM(B19:B21)</f>
        <v>5455609.4800000004</v>
      </c>
      <c r="C23" s="28">
        <f t="shared" ref="C23:AK23" si="2">+SUM(C19:C21)</f>
        <v>11389143.68</v>
      </c>
      <c r="D23" s="28">
        <f t="shared" si="2"/>
        <v>9829320.1500000004</v>
      </c>
      <c r="E23" s="28">
        <f t="shared" si="2"/>
        <v>4854114.84</v>
      </c>
      <c r="F23" s="28">
        <f t="shared" si="2"/>
        <v>3043511.6100000013</v>
      </c>
      <c r="G23" s="28">
        <f t="shared" si="2"/>
        <v>4433055.78</v>
      </c>
      <c r="H23" s="28">
        <f t="shared" si="2"/>
        <v>3759428.05</v>
      </c>
      <c r="I23" s="28">
        <f t="shared" si="2"/>
        <v>4699214.620000001</v>
      </c>
      <c r="J23" s="28">
        <f t="shared" si="2"/>
        <v>4318826.209999999</v>
      </c>
      <c r="K23" s="28">
        <f t="shared" si="2"/>
        <v>2834955.0700000008</v>
      </c>
      <c r="L23" s="28">
        <f t="shared" si="2"/>
        <v>6862274</v>
      </c>
      <c r="M23" s="28">
        <f t="shared" si="2"/>
        <v>6442942.2799999993</v>
      </c>
      <c r="N23" s="28">
        <f t="shared" si="2"/>
        <v>3353107.86</v>
      </c>
      <c r="O23" s="28">
        <f t="shared" si="2"/>
        <v>2643466.5400000005</v>
      </c>
      <c r="P23" s="28">
        <f t="shared" si="2"/>
        <v>7632250.290000001</v>
      </c>
      <c r="Q23" s="28">
        <f t="shared" si="2"/>
        <v>2752790.9399999995</v>
      </c>
      <c r="R23" s="28">
        <f t="shared" si="2"/>
        <v>2219696.8100000005</v>
      </c>
      <c r="S23" s="28">
        <f t="shared" si="2"/>
        <v>8351866.3100000005</v>
      </c>
      <c r="T23" s="28">
        <f t="shared" si="2"/>
        <v>6625556.3300000019</v>
      </c>
      <c r="U23" s="28">
        <f t="shared" si="2"/>
        <v>7527006.1199999992</v>
      </c>
      <c r="V23" s="28">
        <f t="shared" si="2"/>
        <v>6750446.8099999996</v>
      </c>
      <c r="W23" s="28">
        <f t="shared" si="2"/>
        <v>7154286.0100000007</v>
      </c>
      <c r="X23" s="28">
        <f t="shared" si="2"/>
        <v>7635268.580000001</v>
      </c>
      <c r="Y23" s="28">
        <f t="shared" si="2"/>
        <v>8229922.4900000002</v>
      </c>
      <c r="Z23" s="28">
        <f t="shared" si="2"/>
        <v>3963011.53</v>
      </c>
      <c r="AA23" s="28">
        <f t="shared" si="2"/>
        <v>5023386.9800000004</v>
      </c>
      <c r="AB23" s="28">
        <f t="shared" si="2"/>
        <v>10765756.9</v>
      </c>
      <c r="AC23" s="28">
        <f t="shared" si="2"/>
        <v>11705404.459999999</v>
      </c>
      <c r="AD23" s="28">
        <f t="shared" si="2"/>
        <v>7428533.6600000001</v>
      </c>
      <c r="AE23" s="28">
        <f t="shared" si="2"/>
        <v>6770251.1499999994</v>
      </c>
      <c r="AF23" s="28">
        <f t="shared" si="2"/>
        <v>6582482.5899999999</v>
      </c>
      <c r="AG23" s="28">
        <f t="shared" si="2"/>
        <v>5117588.71</v>
      </c>
      <c r="AH23" s="28">
        <f t="shared" si="2"/>
        <v>6240026.8399999999</v>
      </c>
      <c r="AI23" s="28">
        <f t="shared" si="2"/>
        <v>7197191.0500000007</v>
      </c>
      <c r="AJ23" s="28">
        <f t="shared" si="2"/>
        <v>8387902.6800000006</v>
      </c>
      <c r="AK23" s="28">
        <f t="shared" si="2"/>
        <v>217979597.40999997</v>
      </c>
      <c r="AL23" s="93">
        <f t="shared" si="0"/>
        <v>217979597.40999997</v>
      </c>
    </row>
    <row r="24" spans="1:38" x14ac:dyDescent="0.2">
      <c r="A24" s="13"/>
      <c r="B24" s="28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9"/>
      <c r="AE24" s="29"/>
      <c r="AF24" s="29"/>
      <c r="AG24" s="29"/>
      <c r="AH24" s="29"/>
      <c r="AI24" s="29"/>
      <c r="AJ24" s="29"/>
      <c r="AK24" s="28"/>
      <c r="AL24" s="92">
        <v>9999</v>
      </c>
    </row>
    <row r="25" spans="1:38" x14ac:dyDescent="0.2">
      <c r="A25" s="13" t="s">
        <v>12</v>
      </c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9"/>
      <c r="AE25" s="29"/>
      <c r="AF25" s="29"/>
      <c r="AG25" s="29"/>
      <c r="AH25" s="29"/>
      <c r="AI25" s="29"/>
      <c r="AJ25" s="29"/>
      <c r="AK25" s="28"/>
      <c r="AL25" s="92">
        <v>9999</v>
      </c>
    </row>
    <row r="26" spans="1:38" x14ac:dyDescent="0.2">
      <c r="A26" s="13" t="s">
        <v>13</v>
      </c>
      <c r="B26" s="15">
        <f>' Working TB 12.31'!AT2</f>
        <v>312438.68</v>
      </c>
      <c r="C26" s="15">
        <f>' Working TB 12.31'!L2</f>
        <v>732280.48</v>
      </c>
      <c r="D26" s="15">
        <f>' Working TB 12.31'!AF2</f>
        <v>547921.30000000005</v>
      </c>
      <c r="E26" s="15">
        <f>' Working TB 12.31'!AV2</f>
        <v>668795.06999999995</v>
      </c>
      <c r="F26" s="15">
        <f>' Working TB 12.31'!N2</f>
        <v>344359.44</v>
      </c>
      <c r="G26" s="15">
        <f>' Working TB 12.31'!AB2</f>
        <v>356458.19</v>
      </c>
      <c r="H26" s="15">
        <f>' Working TB 12.31'!AH2</f>
        <v>372938.4</v>
      </c>
      <c r="I26" s="15">
        <f>' Working TB 12.31'!D2</f>
        <v>339865.14</v>
      </c>
      <c r="J26" s="15">
        <f>' Working TB 12.31'!H2</f>
        <v>378528.31</v>
      </c>
      <c r="K26" s="15">
        <f>' Working TB 12.31'!AP2</f>
        <v>308231.25</v>
      </c>
      <c r="L26" s="15">
        <f>' Working TB 12.31'!F2</f>
        <v>253613.36</v>
      </c>
      <c r="M26" s="15">
        <f>' Working TB 12.31'!T2</f>
        <v>277664.96000000002</v>
      </c>
      <c r="N26" s="15">
        <f>' Working TB 12.31'!X2</f>
        <v>254762.9</v>
      </c>
      <c r="O26" s="15">
        <f>' Working TB 12.31'!AJ2</f>
        <v>122943.76</v>
      </c>
      <c r="P26" s="15">
        <f>' Working TB 12.31'!BN2-353098.95</f>
        <v>156538.46999999997</v>
      </c>
      <c r="Q26" s="15">
        <f>' Working TB 12.31'!P2</f>
        <v>198874.5</v>
      </c>
      <c r="R26" s="15">
        <f>' Working TB 12.31'!AD2</f>
        <v>132934.62</v>
      </c>
      <c r="S26" s="15">
        <f>' Working TB 12.31'!BJ2</f>
        <v>153413.01</v>
      </c>
      <c r="T26" s="15">
        <f>' Working TB 12.31'!BH2</f>
        <v>148805.32</v>
      </c>
      <c r="U26" s="15">
        <f>' Working TB 12.31'!J2</f>
        <v>303910.19</v>
      </c>
      <c r="V26" s="15">
        <f>' Working TB 12.31'!BT2</f>
        <v>242052.95</v>
      </c>
      <c r="W26" s="15">
        <f>' Working TB 12.31'!BP2</f>
        <v>421395.98</v>
      </c>
      <c r="X26" s="15">
        <f>' Working TB 12.31'!BR2</f>
        <v>279941.84999999998</v>
      </c>
      <c r="Y26" s="15">
        <f>' Working TB 12.31'!BD2</f>
        <v>99882.18</v>
      </c>
      <c r="Z26" s="15">
        <f>' Working TB 12.31'!Z2</f>
        <v>265978.53999999998</v>
      </c>
      <c r="AA26" s="15">
        <f>' Working TB 12.31'!AZ2</f>
        <v>366042.75</v>
      </c>
      <c r="AB26" s="15">
        <f>' Working TB 12.31'!AR2</f>
        <v>375226.51</v>
      </c>
      <c r="AC26" s="15">
        <f>' Working TB 12.31'!BF2</f>
        <v>480572.08</v>
      </c>
      <c r="AD26" s="15">
        <f>' Working TB 12.31'!R2</f>
        <v>198152.06</v>
      </c>
      <c r="AE26" s="15">
        <f>' Working TB 12.31'!BB2</f>
        <v>311671.08</v>
      </c>
      <c r="AF26" s="15">
        <f>' Working TB 12.31'!AL2</f>
        <v>125184.76</v>
      </c>
      <c r="AG26" s="15">
        <f>' Working TB 12.31'!BL2</f>
        <v>328182.63</v>
      </c>
      <c r="AH26" s="15">
        <f>' Working TB 12.31'!V2</f>
        <v>415138.52</v>
      </c>
      <c r="AI26" s="15">
        <f>' Working TB 12.31'!AX2</f>
        <v>102149.6</v>
      </c>
      <c r="AJ26" s="15">
        <f>' Working TB 12.31'!AN2</f>
        <v>454241.04</v>
      </c>
      <c r="AK26" s="15">
        <f t="shared" ref="AK26:AK34" si="3">SUMIF(B26:AJ26,"&lt;&gt;#N/A")</f>
        <v>10831089.880000001</v>
      </c>
      <c r="AL26" s="93">
        <f t="shared" ref="AL26:AL34" si="4">AK26</f>
        <v>10831089.880000001</v>
      </c>
    </row>
    <row r="27" spans="1:38" x14ac:dyDescent="0.2">
      <c r="A27" s="13" t="s">
        <v>14</v>
      </c>
      <c r="B27" s="15">
        <f>' Working TB 12.31'!AT4</f>
        <v>354980.23</v>
      </c>
      <c r="C27" s="15">
        <f>' Working TB 12.31'!L4</f>
        <v>447163.49</v>
      </c>
      <c r="D27" s="15">
        <f>' Working TB 12.31'!AF4</f>
        <v>328051.46000000002</v>
      </c>
      <c r="E27" s="15">
        <f>' Working TB 12.31'!AV4</f>
        <v>279188.09000000003</v>
      </c>
      <c r="F27" s="15">
        <f>' Working TB 12.31'!N4</f>
        <v>194168.71</v>
      </c>
      <c r="G27" s="15">
        <f>' Working TB 12.31'!AB4</f>
        <v>186741.26000000004</v>
      </c>
      <c r="H27" s="15">
        <f>' Working TB 12.31'!AH4</f>
        <v>170357.77</v>
      </c>
      <c r="I27" s="15">
        <f>' Working TB 12.31'!D4</f>
        <v>197505.03</v>
      </c>
      <c r="J27" s="15">
        <f>' Working TB 12.31'!H4</f>
        <v>200782.74000000005</v>
      </c>
      <c r="K27" s="15">
        <f>' Working TB 12.31'!AP4</f>
        <v>192105.68</v>
      </c>
      <c r="L27" s="15">
        <f>' Working TB 12.31'!F4</f>
        <v>525913.16</v>
      </c>
      <c r="M27" s="15">
        <f>' Working TB 12.31'!T4</f>
        <v>509798.27999999997</v>
      </c>
      <c r="N27" s="15">
        <f>' Working TB 12.31'!X4</f>
        <v>419752.03</v>
      </c>
      <c r="O27" s="15">
        <f>' Working TB 12.31'!AJ4</f>
        <v>289088.19000000006</v>
      </c>
      <c r="P27" s="15">
        <f>' Working TB 12.31'!BN4+353098.95</f>
        <v>520104.20999999996</v>
      </c>
      <c r="Q27" s="15">
        <f>' Working TB 12.31'!P4</f>
        <v>138580.66</v>
      </c>
      <c r="R27" s="15">
        <f>' Working TB 12.31'!AD4</f>
        <v>413747.20999999996</v>
      </c>
      <c r="S27" s="15">
        <f>' Working TB 12.31'!BJ4</f>
        <v>536170.93999999971</v>
      </c>
      <c r="T27" s="15">
        <f>' Working TB 12.31'!BH4</f>
        <v>511542.4600000002</v>
      </c>
      <c r="U27" s="15">
        <f>' Working TB 12.31'!J4</f>
        <v>869277.69</v>
      </c>
      <c r="V27" s="15">
        <f>' Working TB 12.31'!BT4</f>
        <v>498725.44000000018</v>
      </c>
      <c r="W27" s="15">
        <f>' Working TB 12.31'!BP4</f>
        <v>579387.17999999993</v>
      </c>
      <c r="X27" s="15">
        <f>' Working TB 12.31'!BR4</f>
        <v>563605.84</v>
      </c>
      <c r="Y27" s="15">
        <f>' Working TB 12.31'!BD4</f>
        <v>511985.80000000005</v>
      </c>
      <c r="Z27" s="15">
        <f>' Working TB 12.31'!Z4</f>
        <v>431029.2300000001</v>
      </c>
      <c r="AA27" s="15">
        <f>' Working TB 12.31'!AZ4</f>
        <v>383783.03</v>
      </c>
      <c r="AB27" s="15">
        <f>' Working TB 12.31'!AR4</f>
        <v>672997.73</v>
      </c>
      <c r="AC27" s="15">
        <f>' Working TB 12.31'!BF4</f>
        <v>706009.60999999987</v>
      </c>
      <c r="AD27" s="15">
        <f>' Working TB 12.31'!R4</f>
        <v>379784.8000000001</v>
      </c>
      <c r="AE27" s="15">
        <f>' Working TB 12.31'!BB4</f>
        <v>266235.62999999995</v>
      </c>
      <c r="AF27" s="15">
        <f>' Working TB 12.31'!AL4</f>
        <v>577398.02</v>
      </c>
      <c r="AG27" s="15">
        <f>' Working TB 12.31'!BL4</f>
        <v>300916.69</v>
      </c>
      <c r="AH27" s="15">
        <f>' Working TB 12.31'!V4</f>
        <v>956074.99999999977</v>
      </c>
      <c r="AI27" s="15">
        <f>' Working TB 12.31'!AX4</f>
        <v>349784.11999999988</v>
      </c>
      <c r="AJ27" s="15">
        <f>' Working TB 12.31'!AN4</f>
        <v>949149.11999999988</v>
      </c>
      <c r="AK27" s="15">
        <f t="shared" si="3"/>
        <v>15411886.530000001</v>
      </c>
      <c r="AL27" s="93">
        <f t="shared" si="4"/>
        <v>15411886.530000001</v>
      </c>
    </row>
    <row r="28" spans="1:38" x14ac:dyDescent="0.2">
      <c r="A28" s="13" t="s">
        <v>15</v>
      </c>
      <c r="B28" s="15">
        <f>' Working TB 12.31'!AT6</f>
        <v>7405.0599999999995</v>
      </c>
      <c r="C28" s="15">
        <f>' Working TB 12.31'!L6</f>
        <v>268381.26</v>
      </c>
      <c r="D28" s="15">
        <f>' Working TB 12.31'!AF6</f>
        <v>37263.33</v>
      </c>
      <c r="E28" s="15">
        <f>' Working TB 12.31'!AV6</f>
        <v>20042.93</v>
      </c>
      <c r="F28" s="15">
        <f>' Working TB 12.31'!N6</f>
        <v>2149.1999999999998</v>
      </c>
      <c r="G28" s="15">
        <f>' Working TB 12.31'!AB6</f>
        <v>185</v>
      </c>
      <c r="H28" s="15">
        <f>' Working TB 12.31'!AH6</f>
        <v>818.88</v>
      </c>
      <c r="I28" s="15">
        <f>' Working TB 12.31'!D6</f>
        <v>32</v>
      </c>
      <c r="J28" s="15">
        <f>' Working TB 12.31'!H6</f>
        <v>22.4</v>
      </c>
      <c r="K28" s="15">
        <f>' Working TB 12.31'!AP6</f>
        <v>14789.25</v>
      </c>
      <c r="L28" s="15">
        <f>' Working TB 12.31'!F6</f>
        <v>2605.56</v>
      </c>
      <c r="M28" s="15">
        <f>' Working TB 12.31'!T6</f>
        <v>0</v>
      </c>
      <c r="N28" s="15">
        <f>' Working TB 12.31'!X6</f>
        <v>5861.48</v>
      </c>
      <c r="O28" s="15">
        <f>' Working TB 12.31'!AJ6</f>
        <v>0</v>
      </c>
      <c r="P28" s="15">
        <f>' Working TB 12.31'!BN6</f>
        <v>5956.3399999999992</v>
      </c>
      <c r="Q28" s="15">
        <f>' Working TB 12.31'!P6</f>
        <v>35.75</v>
      </c>
      <c r="R28" s="15">
        <f>' Working TB 12.31'!AD6</f>
        <v>15403.59</v>
      </c>
      <c r="S28" s="15">
        <f>' Working TB 12.31'!BJ6</f>
        <v>6634.79</v>
      </c>
      <c r="T28" s="15">
        <f>' Working TB 12.31'!BH6</f>
        <v>4251.54</v>
      </c>
      <c r="U28" s="15">
        <f>' Working TB 12.31'!J5</f>
        <v>3635.72</v>
      </c>
      <c r="V28" s="15">
        <f>' Working TB 12.31'!BT6</f>
        <v>2940</v>
      </c>
      <c r="W28" s="15">
        <f>' Working TB 12.31'!BP6</f>
        <v>6486.84</v>
      </c>
      <c r="X28" s="15">
        <f>' Working TB 12.31'!BR6</f>
        <v>4126.6500000000005</v>
      </c>
      <c r="Y28" s="15">
        <f>' Working TB 12.31'!BD6</f>
        <v>15579.47</v>
      </c>
      <c r="Z28" s="15">
        <f>' Working TB 12.31'!Z6</f>
        <v>6754.37</v>
      </c>
      <c r="AA28" s="15">
        <f>' Working TB 12.31'!AZ6</f>
        <v>4241.1000000000004</v>
      </c>
      <c r="AB28" s="15">
        <f>' Working TB 12.31'!AR6</f>
        <v>11865.75</v>
      </c>
      <c r="AC28" s="15">
        <f>' Working TB 12.31'!BF6</f>
        <v>21366.05</v>
      </c>
      <c r="AD28" s="15">
        <f>' Working TB 12.31'!R5</f>
        <v>3291.58</v>
      </c>
      <c r="AE28" s="15">
        <f>' Working TB 12.31'!BB6</f>
        <v>9345.73</v>
      </c>
      <c r="AF28" s="15">
        <f>' Working TB 12.31'!AL6</f>
        <v>13688.41</v>
      </c>
      <c r="AG28" s="15">
        <f>' Working TB 12.31'!BL6</f>
        <v>21723.42</v>
      </c>
      <c r="AH28" s="15">
        <f>' Working TB 12.31'!V6</f>
        <v>4986.9800000000005</v>
      </c>
      <c r="AI28" s="15">
        <f>' Working TB 12.31'!AX5</f>
        <v>16451.060000000001</v>
      </c>
      <c r="AJ28" s="15">
        <f>' Working TB 12.31'!AN6</f>
        <v>11588.230000000001</v>
      </c>
      <c r="AK28" s="15">
        <f t="shared" si="3"/>
        <v>549909.72</v>
      </c>
      <c r="AL28" s="93">
        <f t="shared" si="4"/>
        <v>549909.72</v>
      </c>
    </row>
    <row r="29" spans="1:38" x14ac:dyDescent="0.2">
      <c r="A29" s="13" t="s">
        <v>16</v>
      </c>
      <c r="B29" s="15">
        <v>0</v>
      </c>
      <c r="C29" s="15">
        <v>0</v>
      </c>
      <c r="D29" s="15">
        <v>0</v>
      </c>
      <c r="E29" s="15">
        <v>0</v>
      </c>
      <c r="F29" s="15">
        <v>0</v>
      </c>
      <c r="G29" s="15">
        <v>0</v>
      </c>
      <c r="H29" s="15">
        <v>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  <c r="P29" s="15">
        <v>0</v>
      </c>
      <c r="Q29" s="15">
        <v>0</v>
      </c>
      <c r="R29" s="15">
        <v>0</v>
      </c>
      <c r="S29" s="15">
        <v>0</v>
      </c>
      <c r="T29" s="15">
        <v>0</v>
      </c>
      <c r="U29" s="15">
        <v>0</v>
      </c>
      <c r="V29" s="15">
        <v>0</v>
      </c>
      <c r="W29" s="15">
        <v>0</v>
      </c>
      <c r="X29" s="15">
        <v>0</v>
      </c>
      <c r="Y29" s="15">
        <v>0</v>
      </c>
      <c r="Z29" s="15">
        <v>0</v>
      </c>
      <c r="AA29" s="15">
        <v>0</v>
      </c>
      <c r="AB29" s="15">
        <v>0</v>
      </c>
      <c r="AC29" s="15">
        <v>0</v>
      </c>
      <c r="AD29" s="15">
        <v>0</v>
      </c>
      <c r="AE29" s="15">
        <v>0</v>
      </c>
      <c r="AF29" s="15">
        <v>0</v>
      </c>
      <c r="AG29" s="15">
        <v>0</v>
      </c>
      <c r="AH29" s="15">
        <v>0</v>
      </c>
      <c r="AI29" s="15">
        <v>0</v>
      </c>
      <c r="AJ29" s="15">
        <v>0</v>
      </c>
      <c r="AK29" s="15">
        <f t="shared" si="3"/>
        <v>0</v>
      </c>
      <c r="AL29" s="93">
        <f t="shared" si="4"/>
        <v>0</v>
      </c>
    </row>
    <row r="30" spans="1:38" x14ac:dyDescent="0.2">
      <c r="A30" s="13" t="s">
        <v>17</v>
      </c>
      <c r="B30" s="15">
        <v>0</v>
      </c>
      <c r="C30" s="15">
        <v>0</v>
      </c>
      <c r="D30" s="15">
        <v>0</v>
      </c>
      <c r="E30" s="15">
        <v>0</v>
      </c>
      <c r="F30" s="15">
        <v>0</v>
      </c>
      <c r="G30" s="15">
        <v>0</v>
      </c>
      <c r="H30" s="15">
        <v>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  <c r="O30" s="15">
        <v>0</v>
      </c>
      <c r="P30" s="15">
        <v>0</v>
      </c>
      <c r="Q30" s="15">
        <v>0</v>
      </c>
      <c r="R30" s="15">
        <v>0</v>
      </c>
      <c r="S30" s="15">
        <v>0</v>
      </c>
      <c r="T30" s="15">
        <v>0</v>
      </c>
      <c r="U30" s="15">
        <v>0</v>
      </c>
      <c r="V30" s="15">
        <v>0</v>
      </c>
      <c r="W30" s="15">
        <v>0</v>
      </c>
      <c r="X30" s="15">
        <v>0</v>
      </c>
      <c r="Y30" s="15">
        <v>0</v>
      </c>
      <c r="Z30" s="15">
        <v>0</v>
      </c>
      <c r="AA30" s="15">
        <v>0</v>
      </c>
      <c r="AB30" s="15">
        <v>0</v>
      </c>
      <c r="AC30" s="15">
        <v>0</v>
      </c>
      <c r="AD30" s="15">
        <v>0</v>
      </c>
      <c r="AE30" s="15">
        <v>0</v>
      </c>
      <c r="AF30" s="15">
        <v>0</v>
      </c>
      <c r="AG30" s="15">
        <v>0</v>
      </c>
      <c r="AH30" s="15">
        <v>0</v>
      </c>
      <c r="AI30" s="15">
        <v>0</v>
      </c>
      <c r="AJ30" s="15">
        <v>0</v>
      </c>
      <c r="AK30" s="15">
        <f t="shared" si="3"/>
        <v>0</v>
      </c>
      <c r="AL30" s="93">
        <f t="shared" si="4"/>
        <v>0</v>
      </c>
    </row>
    <row r="31" spans="1:38" s="18" customFormat="1" x14ac:dyDescent="0.2">
      <c r="A31" s="17" t="s">
        <v>18</v>
      </c>
      <c r="B31" s="15">
        <f>' Working TB 12.31'!AT14</f>
        <v>37578.22</v>
      </c>
      <c r="C31" s="15">
        <f>' Working TB 12.31'!L14</f>
        <v>118116.79</v>
      </c>
      <c r="D31" s="15">
        <f>' Working TB 12.31'!AF14</f>
        <v>57921.599999999991</v>
      </c>
      <c r="E31" s="15">
        <f>' Working TB 12.31'!AV14</f>
        <v>464419.82</v>
      </c>
      <c r="F31" s="15">
        <f>' Working TB 12.31'!N14</f>
        <v>20622.309999999998</v>
      </c>
      <c r="G31" s="15">
        <f>' Working TB 12.31'!AB14</f>
        <v>25066.51</v>
      </c>
      <c r="H31" s="15">
        <f>' Working TB 12.31'!AH14</f>
        <v>27727.95</v>
      </c>
      <c r="I31" s="15">
        <f>' Working TB 12.31'!D14</f>
        <v>30336.75</v>
      </c>
      <c r="J31" s="15">
        <f>' Working TB 12.31'!H14</f>
        <v>24234.53</v>
      </c>
      <c r="K31" s="15">
        <f>' Working TB 12.31'!AP14</f>
        <v>128667.32</v>
      </c>
      <c r="L31" s="15">
        <f>' Working TB 12.31'!F14</f>
        <v>56659.92</v>
      </c>
      <c r="M31" s="15">
        <f>' Working TB 12.31'!T14</f>
        <v>51076.639999999992</v>
      </c>
      <c r="N31" s="15">
        <f>' Working TB 12.31'!X14</f>
        <v>41268.130000000005</v>
      </c>
      <c r="O31" s="15">
        <f>' Working TB 12.31'!AJ14</f>
        <v>29520.39</v>
      </c>
      <c r="P31" s="15">
        <f>' Working TB 12.31'!BN14</f>
        <v>35535.170000000006</v>
      </c>
      <c r="Q31" s="15">
        <f>' Working TB 12.31'!P14</f>
        <v>23889.919999999998</v>
      </c>
      <c r="R31" s="15">
        <f>' Working TB 12.31'!AD14</f>
        <v>39108.829999999994</v>
      </c>
      <c r="S31" s="15">
        <f>' Working TB 12.31'!BJ14</f>
        <v>53607.56</v>
      </c>
      <c r="T31" s="15">
        <f>' Working TB 12.31'!BH14</f>
        <v>29615.819999999996</v>
      </c>
      <c r="U31" s="15">
        <f>' Working TB 12.31'!J14</f>
        <v>28203.059999999998</v>
      </c>
      <c r="V31" s="15">
        <f>' Working TB 12.31'!BT14</f>
        <v>39806.599999999991</v>
      </c>
      <c r="W31" s="15">
        <f>' Working TB 12.31'!BP14</f>
        <v>29225.79</v>
      </c>
      <c r="X31" s="15">
        <f>' Working TB 12.31'!BR14</f>
        <v>24613.57</v>
      </c>
      <c r="Y31" s="15">
        <f>' Working TB 12.31'!BD14</f>
        <v>42903.770000000004</v>
      </c>
      <c r="Z31" s="15">
        <f>' Working TB 12.31'!Z14</f>
        <v>34082.78</v>
      </c>
      <c r="AA31" s="15">
        <f>' Working TB 12.31'!AZ14</f>
        <v>29743.980000000003</v>
      </c>
      <c r="AB31" s="15">
        <f>' Working TB 12.31'!AR14</f>
        <v>37525.490000000005</v>
      </c>
      <c r="AC31" s="15">
        <f>' Working TB 12.31'!BF14</f>
        <v>39119.299999999996</v>
      </c>
      <c r="AD31" s="15">
        <f>' Working TB 12.31'!R14</f>
        <v>33685.589999999997</v>
      </c>
      <c r="AE31" s="15">
        <f>' Working TB 12.31'!BB14</f>
        <v>19641.259999999998</v>
      </c>
      <c r="AF31" s="15">
        <f>' Working TB 12.31'!AL14</f>
        <v>59957.74</v>
      </c>
      <c r="AG31" s="15">
        <f>' Working TB 12.31'!BL14</f>
        <v>29080.309999999998</v>
      </c>
      <c r="AH31" s="15">
        <f>' Working TB 12.31'!V14</f>
        <v>52780.310000000005</v>
      </c>
      <c r="AI31" s="15">
        <f>' Working TB 12.31'!AX14</f>
        <v>52617.310000000005</v>
      </c>
      <c r="AJ31" s="15">
        <f>' Working TB 12.31'!AN14</f>
        <v>55565.19</v>
      </c>
      <c r="AK31" s="15">
        <f t="shared" si="3"/>
        <v>1903526.2300000007</v>
      </c>
      <c r="AL31" s="93">
        <f t="shared" si="4"/>
        <v>1903526.2300000007</v>
      </c>
    </row>
    <row r="32" spans="1:38" x14ac:dyDescent="0.2">
      <c r="A32" s="13" t="s">
        <v>59</v>
      </c>
      <c r="B32" s="15">
        <f>' Working TB 12.31'!AT109</f>
        <v>123919.61</v>
      </c>
      <c r="C32" s="15">
        <f>' Working TB 12.31'!L109</f>
        <v>440949.26</v>
      </c>
      <c r="D32" s="15">
        <f>' Working TB 12.31'!AF109</f>
        <v>168896.8</v>
      </c>
      <c r="E32" s="15">
        <f>' Working TB 12.31'!AV109</f>
        <v>223674.44</v>
      </c>
      <c r="F32" s="15">
        <f>' Working TB 12.31'!N109</f>
        <v>124180.27999999998</v>
      </c>
      <c r="G32" s="15">
        <f>' Working TB 12.31'!AB109</f>
        <v>160879.43</v>
      </c>
      <c r="H32" s="15">
        <f>' Working TB 12.31'!AH109</f>
        <v>130588.47</v>
      </c>
      <c r="I32" s="15">
        <f>' Working TB 12.31'!D109</f>
        <v>130128.85</v>
      </c>
      <c r="J32" s="15">
        <f>' Working TB 12.31'!H109</f>
        <v>148111.74000000002</v>
      </c>
      <c r="K32" s="15">
        <f>' Working TB 12.31'!AP109</f>
        <v>102514.94</v>
      </c>
      <c r="L32" s="15">
        <f>' Working TB 12.31'!F109</f>
        <v>90847.51</v>
      </c>
      <c r="M32" s="15">
        <f>' Working TB 12.31'!T109</f>
        <v>81804.23</v>
      </c>
      <c r="N32" s="15">
        <f>' Working TB 12.31'!X109</f>
        <v>56541.01</v>
      </c>
      <c r="O32" s="15">
        <f>' Working TB 12.31'!AJ109</f>
        <v>42599.68</v>
      </c>
      <c r="P32" s="15">
        <f>' Working TB 12.31'!BN109</f>
        <v>42398.99</v>
      </c>
      <c r="Q32" s="15">
        <f>' Working TB 12.31'!P109</f>
        <v>110363.83</v>
      </c>
      <c r="R32" s="15">
        <f>' Working TB 12.31'!AD109</f>
        <v>47582.13</v>
      </c>
      <c r="S32" s="15">
        <f>' Working TB 12.31'!BJ109</f>
        <v>12954.95</v>
      </c>
      <c r="T32" s="15">
        <f>' Working TB 12.31'!BH109</f>
        <v>10611.91</v>
      </c>
      <c r="U32" s="15">
        <f>' Working TB 12.31'!J109</f>
        <v>6050</v>
      </c>
      <c r="V32" s="15">
        <f>' Working TB 12.31'!BT109</f>
        <v>7309.16</v>
      </c>
      <c r="W32" s="15">
        <f>' Working TB 12.31'!BP109</f>
        <v>5806.88</v>
      </c>
      <c r="X32" s="15">
        <f>' Working TB 12.31'!BR109</f>
        <v>5818.92</v>
      </c>
      <c r="Y32" s="15">
        <f>' Working TB 12.31'!BD109</f>
        <v>12250</v>
      </c>
      <c r="Z32" s="15">
        <f>' Working TB 12.31'!Z109</f>
        <v>690603.27</v>
      </c>
      <c r="AA32" s="15">
        <v>0</v>
      </c>
      <c r="AB32" s="15">
        <f>' Working TB 12.31'!AR109</f>
        <v>42873.61</v>
      </c>
      <c r="AC32" s="15">
        <f>' Working TB 12.31'!BF109</f>
        <v>11996</v>
      </c>
      <c r="AD32" s="15">
        <f>' Working TB 12.31'!R109</f>
        <v>1614.7200000000012</v>
      </c>
      <c r="AE32" s="15">
        <f>' Working TB 12.31'!BB109</f>
        <v>10817</v>
      </c>
      <c r="AF32" s="15">
        <f>' Working TB 12.31'!AL109</f>
        <v>0</v>
      </c>
      <c r="AG32" s="15">
        <f>' Working TB 12.31'!BL109</f>
        <v>0</v>
      </c>
      <c r="AH32" s="15">
        <f>' Working TB 12.31'!V109</f>
        <v>4852.04</v>
      </c>
      <c r="AI32" s="15">
        <f>' Working TB 12.31'!AX109</f>
        <v>16778.43</v>
      </c>
      <c r="AJ32" s="15">
        <f>' Working TB 12.31'!AN109</f>
        <v>7642</v>
      </c>
      <c r="AK32" s="15">
        <f t="shared" si="3"/>
        <v>3073960.0900000003</v>
      </c>
      <c r="AL32" s="93">
        <f t="shared" si="4"/>
        <v>3073960.0900000003</v>
      </c>
    </row>
    <row r="33" spans="1:38" x14ac:dyDescent="0.2">
      <c r="A33" s="13" t="s">
        <v>57</v>
      </c>
      <c r="B33" s="15">
        <v>0</v>
      </c>
      <c r="C33" s="15">
        <v>0</v>
      </c>
      <c r="D33" s="15">
        <v>0</v>
      </c>
      <c r="E33" s="15">
        <v>0</v>
      </c>
      <c r="F33" s="15">
        <v>0</v>
      </c>
      <c r="G33" s="15">
        <v>0</v>
      </c>
      <c r="H33" s="15">
        <v>0</v>
      </c>
      <c r="I33" s="15">
        <v>0</v>
      </c>
      <c r="J33" s="15">
        <v>0</v>
      </c>
      <c r="K33" s="15">
        <v>0</v>
      </c>
      <c r="L33" s="15">
        <v>0</v>
      </c>
      <c r="M33" s="15">
        <v>0</v>
      </c>
      <c r="N33" s="15">
        <v>0</v>
      </c>
      <c r="O33" s="15">
        <v>0</v>
      </c>
      <c r="P33" s="15">
        <v>0</v>
      </c>
      <c r="Q33" s="15">
        <v>0</v>
      </c>
      <c r="R33" s="15">
        <v>0</v>
      </c>
      <c r="S33" s="15">
        <v>0</v>
      </c>
      <c r="T33" s="15">
        <v>0</v>
      </c>
      <c r="U33" s="15">
        <v>0</v>
      </c>
      <c r="V33" s="15">
        <v>0</v>
      </c>
      <c r="W33" s="15">
        <v>0</v>
      </c>
      <c r="X33" s="15">
        <v>0</v>
      </c>
      <c r="Y33" s="15">
        <v>0</v>
      </c>
      <c r="Z33" s="15">
        <v>0</v>
      </c>
      <c r="AA33" s="15">
        <v>0</v>
      </c>
      <c r="AB33" s="15">
        <v>0</v>
      </c>
      <c r="AC33" s="15">
        <v>0</v>
      </c>
      <c r="AD33" s="15">
        <v>0</v>
      </c>
      <c r="AE33" s="15">
        <v>0</v>
      </c>
      <c r="AF33" s="15">
        <v>0</v>
      </c>
      <c r="AG33" s="15">
        <v>0</v>
      </c>
      <c r="AH33" s="15">
        <v>0</v>
      </c>
      <c r="AI33" s="15">
        <v>0</v>
      </c>
      <c r="AJ33" s="15">
        <v>0</v>
      </c>
      <c r="AK33" s="15">
        <v>0</v>
      </c>
      <c r="AL33" s="93">
        <f t="shared" si="4"/>
        <v>0</v>
      </c>
    </row>
    <row r="34" spans="1:38" ht="15" x14ac:dyDescent="0.35">
      <c r="A34" s="13" t="s">
        <v>19</v>
      </c>
      <c r="B34" s="42">
        <v>0</v>
      </c>
      <c r="C34" s="36">
        <v>0</v>
      </c>
      <c r="D34" s="36">
        <v>0</v>
      </c>
      <c r="E34" s="36">
        <v>0</v>
      </c>
      <c r="F34" s="36">
        <v>0</v>
      </c>
      <c r="G34" s="36">
        <v>0</v>
      </c>
      <c r="H34" s="36">
        <v>0</v>
      </c>
      <c r="I34" s="36">
        <v>0</v>
      </c>
      <c r="J34" s="36">
        <v>0</v>
      </c>
      <c r="K34" s="36">
        <v>0</v>
      </c>
      <c r="L34" s="36">
        <v>0</v>
      </c>
      <c r="M34" s="36">
        <v>0</v>
      </c>
      <c r="N34" s="36">
        <v>0</v>
      </c>
      <c r="O34" s="36">
        <v>0</v>
      </c>
      <c r="P34" s="36">
        <v>0</v>
      </c>
      <c r="Q34" s="36">
        <v>0</v>
      </c>
      <c r="R34" s="36">
        <v>0</v>
      </c>
      <c r="S34" s="36">
        <v>0</v>
      </c>
      <c r="T34" s="36">
        <v>0</v>
      </c>
      <c r="U34" s="36">
        <v>0</v>
      </c>
      <c r="V34" s="36">
        <v>0</v>
      </c>
      <c r="W34" s="36">
        <v>0</v>
      </c>
      <c r="X34" s="36">
        <v>0</v>
      </c>
      <c r="Y34" s="36">
        <v>0</v>
      </c>
      <c r="Z34" s="36">
        <v>0</v>
      </c>
      <c r="AA34" s="36">
        <v>0</v>
      </c>
      <c r="AB34" s="36">
        <v>0</v>
      </c>
      <c r="AC34" s="36">
        <v>0</v>
      </c>
      <c r="AD34" s="36">
        <v>0</v>
      </c>
      <c r="AE34" s="36">
        <v>0</v>
      </c>
      <c r="AF34" s="36">
        <v>0</v>
      </c>
      <c r="AG34" s="36">
        <v>0</v>
      </c>
      <c r="AH34" s="36">
        <v>0</v>
      </c>
      <c r="AI34" s="36">
        <v>0</v>
      </c>
      <c r="AJ34" s="36">
        <v>0</v>
      </c>
      <c r="AK34" s="36">
        <f t="shared" si="3"/>
        <v>0</v>
      </c>
      <c r="AL34" s="93">
        <f t="shared" si="4"/>
        <v>0</v>
      </c>
    </row>
    <row r="35" spans="1:38" x14ac:dyDescent="0.2">
      <c r="A35" s="13"/>
      <c r="B35" s="28"/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9"/>
      <c r="AE35" s="29"/>
      <c r="AF35" s="29"/>
      <c r="AG35" s="29"/>
      <c r="AH35" s="29"/>
      <c r="AI35" s="29"/>
      <c r="AJ35" s="29"/>
      <c r="AK35" s="28"/>
      <c r="AL35" s="92">
        <v>99999</v>
      </c>
    </row>
    <row r="36" spans="1:38" ht="15" x14ac:dyDescent="0.35">
      <c r="A36" s="13" t="s">
        <v>20</v>
      </c>
      <c r="B36" s="32">
        <f t="shared" ref="B36:AG36" si="5">+B23+SUM(B26:B34)</f>
        <v>6291931.2800000003</v>
      </c>
      <c r="C36" s="32">
        <f t="shared" si="5"/>
        <v>13396034.959999999</v>
      </c>
      <c r="D36" s="32">
        <f t="shared" si="5"/>
        <v>10969374.640000001</v>
      </c>
      <c r="E36" s="32">
        <f t="shared" si="5"/>
        <v>6510235.1899999995</v>
      </c>
      <c r="F36" s="32">
        <f t="shared" si="5"/>
        <v>3728991.5500000012</v>
      </c>
      <c r="G36" s="32">
        <f t="shared" si="5"/>
        <v>5162386.17</v>
      </c>
      <c r="H36" s="32">
        <f t="shared" si="5"/>
        <v>4461859.5199999996</v>
      </c>
      <c r="I36" s="32">
        <f>+I23+SUM(I26:I34)-1</f>
        <v>5397081.3900000006</v>
      </c>
      <c r="J36" s="32">
        <f>+J23+SUM(J26:J34)+1</f>
        <v>5070506.9299999988</v>
      </c>
      <c r="K36" s="32">
        <f>+K23+SUM(K26:K34)-1</f>
        <v>3581262.5100000007</v>
      </c>
      <c r="L36" s="32">
        <f>+L23+SUM(L26:L34)-1</f>
        <v>7791912.5099999998</v>
      </c>
      <c r="M36" s="32">
        <f t="shared" si="5"/>
        <v>7363286.3899999997</v>
      </c>
      <c r="N36" s="32">
        <f t="shared" si="5"/>
        <v>4131293.41</v>
      </c>
      <c r="O36" s="32">
        <f t="shared" si="5"/>
        <v>3127618.5600000005</v>
      </c>
      <c r="P36" s="32">
        <f t="shared" si="5"/>
        <v>8392783.4700000007</v>
      </c>
      <c r="Q36" s="32">
        <f t="shared" si="5"/>
        <v>3224535.5999999996</v>
      </c>
      <c r="R36" s="32">
        <f t="shared" si="5"/>
        <v>2868473.1900000004</v>
      </c>
      <c r="S36" s="32">
        <f t="shared" si="5"/>
        <v>9114647.5600000005</v>
      </c>
      <c r="T36" s="32">
        <f t="shared" si="5"/>
        <v>7330383.3800000027</v>
      </c>
      <c r="U36" s="32">
        <f t="shared" si="5"/>
        <v>8738082.7799999993</v>
      </c>
      <c r="V36" s="32">
        <f t="shared" si="5"/>
        <v>7541280.96</v>
      </c>
      <c r="W36" s="32">
        <f t="shared" si="5"/>
        <v>8196588.6800000006</v>
      </c>
      <c r="X36" s="32">
        <f t="shared" si="5"/>
        <v>8513375.4100000001</v>
      </c>
      <c r="Y36" s="32">
        <f t="shared" si="5"/>
        <v>8912523.7100000009</v>
      </c>
      <c r="Z36" s="32">
        <f t="shared" si="5"/>
        <v>5391459.7199999997</v>
      </c>
      <c r="AA36" s="32">
        <f>+AA23+SUM(AA26:AA34)+1</f>
        <v>5807198.8400000008</v>
      </c>
      <c r="AB36" s="32">
        <f>+AB23+SUM(AB26:AB34)+1</f>
        <v>11906246.99</v>
      </c>
      <c r="AC36" s="32">
        <f t="shared" si="5"/>
        <v>12964467.5</v>
      </c>
      <c r="AD36" s="32">
        <f t="shared" si="5"/>
        <v>8045062.4100000001</v>
      </c>
      <c r="AE36" s="32">
        <f t="shared" si="5"/>
        <v>7387961.8499999996</v>
      </c>
      <c r="AF36" s="32">
        <f t="shared" si="5"/>
        <v>7358711.5199999996</v>
      </c>
      <c r="AG36" s="32">
        <f t="shared" si="5"/>
        <v>5797491.7599999998</v>
      </c>
      <c r="AH36" s="32">
        <f t="shared" ref="AH36:AJ36" si="6">+AH23+SUM(AH26:AH34)</f>
        <v>7673859.6899999995</v>
      </c>
      <c r="AI36" s="32">
        <f t="shared" si="6"/>
        <v>7734971.5700000003</v>
      </c>
      <c r="AJ36" s="32">
        <f t="shared" si="6"/>
        <v>9866088.2599999998</v>
      </c>
      <c r="AK36" s="32">
        <f>SUM(AK23:AK35)</f>
        <v>249749969.85999995</v>
      </c>
      <c r="AL36" s="93">
        <f t="shared" ref="AL36" si="7">AK36</f>
        <v>249749969.85999995</v>
      </c>
    </row>
    <row r="37" spans="1:38" x14ac:dyDescent="0.2">
      <c r="A37" s="13"/>
      <c r="B37" s="30"/>
      <c r="C37" s="30"/>
      <c r="D37" s="30"/>
      <c r="E37" s="30"/>
      <c r="F37" s="30"/>
      <c r="G37" s="30"/>
      <c r="H37" s="30"/>
      <c r="I37" s="30"/>
      <c r="J37" s="30"/>
      <c r="K37" s="30"/>
      <c r="L37" s="30"/>
      <c r="M37" s="30"/>
      <c r="N37" s="30"/>
      <c r="O37" s="30"/>
      <c r="P37" s="30"/>
      <c r="Q37" s="30"/>
      <c r="R37" s="30"/>
      <c r="S37" s="30"/>
      <c r="T37" s="30"/>
      <c r="U37" s="30"/>
      <c r="V37" s="30"/>
      <c r="W37" s="30"/>
      <c r="X37" s="30"/>
      <c r="Y37" s="30"/>
      <c r="Z37" s="30"/>
      <c r="AA37" s="30"/>
      <c r="AB37" s="30"/>
      <c r="AC37" s="30"/>
      <c r="AD37" s="29"/>
      <c r="AE37" s="29"/>
      <c r="AF37" s="29"/>
      <c r="AG37" s="29"/>
      <c r="AH37" s="29"/>
      <c r="AI37" s="29"/>
      <c r="AJ37" s="29"/>
      <c r="AK37" s="30"/>
      <c r="AL37" s="92">
        <v>99999</v>
      </c>
    </row>
    <row r="38" spans="1:38" x14ac:dyDescent="0.2">
      <c r="A38" s="13" t="s">
        <v>21</v>
      </c>
      <c r="B38" s="30"/>
      <c r="C38" s="30"/>
      <c r="D38" s="30"/>
      <c r="E38" s="30"/>
      <c r="F38" s="30"/>
      <c r="G38" s="30"/>
      <c r="H38" s="30"/>
      <c r="I38" s="30"/>
      <c r="J38" s="30"/>
      <c r="K38" s="30"/>
      <c r="L38" s="30"/>
      <c r="M38" s="30"/>
      <c r="N38" s="30"/>
      <c r="O38" s="30"/>
      <c r="P38" s="30"/>
      <c r="Q38" s="30"/>
      <c r="R38" s="30"/>
      <c r="S38" s="30"/>
      <c r="T38" s="30"/>
      <c r="U38" s="30"/>
      <c r="V38" s="30"/>
      <c r="W38" s="30"/>
      <c r="X38" s="30"/>
      <c r="Y38" s="30"/>
      <c r="Z38" s="30"/>
      <c r="AA38" s="30"/>
      <c r="AB38" s="30"/>
      <c r="AC38" s="30"/>
      <c r="AD38" s="29"/>
      <c r="AE38" s="29"/>
      <c r="AF38" s="29"/>
      <c r="AG38" s="29"/>
      <c r="AH38" s="29"/>
      <c r="AI38" s="29"/>
      <c r="AJ38" s="29"/>
      <c r="AK38" s="30"/>
      <c r="AL38" s="92">
        <v>9999</v>
      </c>
    </row>
    <row r="39" spans="1:38" x14ac:dyDescent="0.2">
      <c r="A39" s="13" t="s">
        <v>22</v>
      </c>
      <c r="B39" s="51">
        <f>-' Working TB 12.31'!AT185</f>
        <v>7842791.6299999999</v>
      </c>
      <c r="C39" s="51">
        <f>-' Working TB 12.31'!L188</f>
        <v>26681622.359999999</v>
      </c>
      <c r="D39" s="51">
        <f>-' Working TB 12.31'!AF183</f>
        <v>12357178.6</v>
      </c>
      <c r="E39" s="51">
        <f>-' Working TB 12.31'!AV185</f>
        <v>11915871.459999999</v>
      </c>
      <c r="F39" s="51">
        <f>-' Working TB 12.31'!N185</f>
        <v>5436005.8099999996</v>
      </c>
      <c r="G39" s="51">
        <f>-' Working TB 12.31'!AB185</f>
        <v>8496412.5099999998</v>
      </c>
      <c r="H39" s="51">
        <f>-' Working TB 12.31'!AH185</f>
        <v>6415652.7700000005</v>
      </c>
      <c r="I39" s="51">
        <f>-' Working TB 12.31'!D185</f>
        <v>8409578.2599999998</v>
      </c>
      <c r="J39" s="51">
        <f>-' Working TB 12.31'!H185</f>
        <v>8821753.1799999997</v>
      </c>
      <c r="K39" s="51">
        <f>-' Working TB 12.31'!AP185</f>
        <v>7498997.8099999996</v>
      </c>
      <c r="L39" s="51">
        <f>-' Working TB 12.31'!F185</f>
        <v>5525866.7599999998</v>
      </c>
      <c r="M39" s="51">
        <f>-' Working TB 12.31'!T185</f>
        <v>3109696.05</v>
      </c>
      <c r="N39" s="51">
        <f>-' Working TB 12.31'!X185</f>
        <v>4578270.88</v>
      </c>
      <c r="O39" s="51">
        <f>-' Working TB 12.31'!AJ185</f>
        <v>2584963.09</v>
      </c>
      <c r="P39" s="51">
        <f>-' Working TB 12.31'!BN183</f>
        <v>6742118.4799999995</v>
      </c>
      <c r="Q39" s="51">
        <f>-' Working TB 12.31'!P185</f>
        <v>5772707.5799999991</v>
      </c>
      <c r="R39" s="51">
        <f>-' Working TB 12.31'!AD185</f>
        <v>3282912.2100000004</v>
      </c>
      <c r="S39" s="51">
        <f>-' Working TB 12.31'!BJ183</f>
        <v>2103485.2999999998</v>
      </c>
      <c r="T39" s="51">
        <f>-' Working TB 12.31'!BH183</f>
        <v>1317819.1499999999</v>
      </c>
      <c r="U39" s="51">
        <f>-' Working TB 12.31'!J183</f>
        <v>6709891.1600000001</v>
      </c>
      <c r="V39" s="51">
        <f>-' Working TB 12.31'!BT183</f>
        <v>6385417.1000000006</v>
      </c>
      <c r="W39" s="51">
        <f>-' Working TB 12.31'!BP183</f>
        <v>6765798.7499999991</v>
      </c>
      <c r="X39" s="51">
        <f>-' Working TB 12.31'!BR183</f>
        <v>7212457.0000000009</v>
      </c>
      <c r="Y39" s="51">
        <f>-' Working TB 12.31'!BD183</f>
        <v>2057184.46</v>
      </c>
      <c r="Z39" s="51">
        <f>-' Working TB 12.31'!Z183</f>
        <v>3533146.12</v>
      </c>
      <c r="AA39" s="51">
        <f>-' Working TB 12.31'!AZ183</f>
        <v>3207259.4600000004</v>
      </c>
      <c r="AB39" s="51">
        <f>-' Working TB 12.31'!AR185</f>
        <v>6832212.8800000008</v>
      </c>
      <c r="AC39" s="51">
        <f>-' Working TB 12.31'!BF183</f>
        <v>5430634.1399999997</v>
      </c>
      <c r="AD39" s="51">
        <f>-' Working TB 12.31'!R183</f>
        <v>3052809.6199999996</v>
      </c>
      <c r="AE39" s="51">
        <f>-' Working TB 12.31'!BB183</f>
        <v>4574564.34</v>
      </c>
      <c r="AF39" s="51">
        <f>-' Working TB 12.31'!AL183</f>
        <v>3186091.9699999997</v>
      </c>
      <c r="AG39" s="51">
        <f>-' Working TB 12.31'!BL183</f>
        <v>4181574.9400000004</v>
      </c>
      <c r="AH39" s="51">
        <f>-' Working TB 12.31'!V183</f>
        <v>6636715.4199999999</v>
      </c>
      <c r="AI39" s="51">
        <f>-' Working TB 12.31'!AX183</f>
        <v>3706690.27</v>
      </c>
      <c r="AJ39" s="51">
        <f>-' Working TB 12.31'!AN183</f>
        <v>7902995.7999999989</v>
      </c>
      <c r="AK39" s="51">
        <f t="shared" ref="AK39:AK51" si="8">SUMIF(B39:AJ39,"&lt;&gt;#N/A")</f>
        <v>220269147.32000005</v>
      </c>
      <c r="AL39" s="93">
        <f t="shared" ref="AL39:AL51" si="9">AK39</f>
        <v>220269147.32000005</v>
      </c>
    </row>
    <row r="40" spans="1:38" x14ac:dyDescent="0.2">
      <c r="A40" s="13" t="s">
        <v>23</v>
      </c>
      <c r="B40" s="45">
        <f>-' Working TB 12.31'!AT192</f>
        <v>604755.01</v>
      </c>
      <c r="C40" s="45">
        <v>0</v>
      </c>
      <c r="D40" s="45">
        <v>0</v>
      </c>
      <c r="E40" s="45">
        <v>0</v>
      </c>
      <c r="F40" s="45">
        <v>0</v>
      </c>
      <c r="G40" s="45">
        <v>0</v>
      </c>
      <c r="H40" s="45">
        <v>0</v>
      </c>
      <c r="I40" s="45">
        <f>-' Working TB 12.31'!D193</f>
        <v>159144</v>
      </c>
      <c r="J40" s="45">
        <v>0</v>
      </c>
      <c r="K40" s="45">
        <v>0</v>
      </c>
      <c r="L40" s="45">
        <v>0</v>
      </c>
      <c r="M40" s="45">
        <v>0</v>
      </c>
      <c r="N40" s="45">
        <v>0</v>
      </c>
      <c r="O40" s="45">
        <v>0</v>
      </c>
      <c r="P40" s="45">
        <v>0</v>
      </c>
      <c r="Q40" s="45">
        <v>0</v>
      </c>
      <c r="R40" s="45">
        <v>0</v>
      </c>
      <c r="S40" s="45">
        <v>0</v>
      </c>
      <c r="T40" s="45">
        <v>0</v>
      </c>
      <c r="U40" s="45">
        <f>-' Working TB 12.31'!J193</f>
        <v>944316</v>
      </c>
      <c r="V40" s="45">
        <v>0</v>
      </c>
      <c r="W40" s="45">
        <v>0</v>
      </c>
      <c r="X40" s="45">
        <v>0</v>
      </c>
      <c r="Y40" s="45">
        <v>0</v>
      </c>
      <c r="Z40" s="45">
        <v>0</v>
      </c>
      <c r="AA40" s="45">
        <v>0</v>
      </c>
      <c r="AB40" s="45">
        <v>0</v>
      </c>
      <c r="AC40" s="45">
        <v>0</v>
      </c>
      <c r="AD40" s="45">
        <v>0</v>
      </c>
      <c r="AE40" s="45">
        <v>0</v>
      </c>
      <c r="AF40" s="45">
        <v>0</v>
      </c>
      <c r="AG40" s="45">
        <v>0</v>
      </c>
      <c r="AH40" s="45">
        <v>0</v>
      </c>
      <c r="AI40" s="45">
        <v>0</v>
      </c>
      <c r="AJ40" s="45">
        <v>0</v>
      </c>
      <c r="AK40" s="45">
        <f t="shared" si="8"/>
        <v>1708215.01</v>
      </c>
      <c r="AL40" s="93">
        <f t="shared" si="9"/>
        <v>1708215.01</v>
      </c>
    </row>
    <row r="41" spans="1:38" x14ac:dyDescent="0.2">
      <c r="A41" s="13" t="s">
        <v>24</v>
      </c>
      <c r="B41" s="45">
        <v>0</v>
      </c>
      <c r="C41" s="45">
        <v>0</v>
      </c>
      <c r="D41" s="45">
        <v>0</v>
      </c>
      <c r="E41" s="45">
        <v>0</v>
      </c>
      <c r="F41" s="45">
        <v>0</v>
      </c>
      <c r="G41" s="45">
        <v>0</v>
      </c>
      <c r="H41" s="45">
        <v>0</v>
      </c>
      <c r="I41" s="45">
        <v>0</v>
      </c>
      <c r="J41" s="45">
        <v>0</v>
      </c>
      <c r="K41" s="45">
        <v>0</v>
      </c>
      <c r="L41" s="45">
        <v>0</v>
      </c>
      <c r="M41" s="45">
        <v>0</v>
      </c>
      <c r="N41" s="45">
        <v>0</v>
      </c>
      <c r="O41" s="45">
        <v>0</v>
      </c>
      <c r="P41" s="45">
        <v>0</v>
      </c>
      <c r="Q41" s="45">
        <v>0</v>
      </c>
      <c r="R41" s="45">
        <v>0</v>
      </c>
      <c r="S41" s="45">
        <v>0</v>
      </c>
      <c r="T41" s="45">
        <v>0</v>
      </c>
      <c r="U41" s="45">
        <v>0</v>
      </c>
      <c r="V41" s="45">
        <v>0</v>
      </c>
      <c r="W41" s="45">
        <v>0</v>
      </c>
      <c r="X41" s="45">
        <v>0</v>
      </c>
      <c r="Y41" s="45">
        <v>0</v>
      </c>
      <c r="Z41" s="45">
        <v>0</v>
      </c>
      <c r="AA41" s="45">
        <v>0</v>
      </c>
      <c r="AB41" s="45">
        <v>0</v>
      </c>
      <c r="AC41" s="45">
        <v>0</v>
      </c>
      <c r="AD41" s="45">
        <v>0</v>
      </c>
      <c r="AE41" s="45">
        <v>0</v>
      </c>
      <c r="AF41" s="45">
        <v>0</v>
      </c>
      <c r="AG41" s="45">
        <v>0</v>
      </c>
      <c r="AH41" s="45">
        <v>0</v>
      </c>
      <c r="AI41" s="45">
        <v>0</v>
      </c>
      <c r="AJ41" s="45">
        <v>0</v>
      </c>
      <c r="AK41" s="45">
        <f t="shared" si="8"/>
        <v>0</v>
      </c>
      <c r="AL41" s="93">
        <f t="shared" si="9"/>
        <v>0</v>
      </c>
    </row>
    <row r="42" spans="1:38" x14ac:dyDescent="0.2">
      <c r="A42" s="13" t="s">
        <v>25</v>
      </c>
      <c r="B42" s="45">
        <v>0</v>
      </c>
      <c r="C42" s="45">
        <v>0</v>
      </c>
      <c r="D42" s="45">
        <v>0</v>
      </c>
      <c r="E42" s="45">
        <v>0</v>
      </c>
      <c r="F42" s="45">
        <v>0</v>
      </c>
      <c r="G42" s="45">
        <v>0</v>
      </c>
      <c r="H42" s="45">
        <v>0</v>
      </c>
      <c r="I42" s="45">
        <v>0</v>
      </c>
      <c r="J42" s="45">
        <v>0</v>
      </c>
      <c r="K42" s="45">
        <v>0</v>
      </c>
      <c r="L42" s="45">
        <v>0</v>
      </c>
      <c r="M42" s="45">
        <v>0</v>
      </c>
      <c r="N42" s="45">
        <v>0</v>
      </c>
      <c r="O42" s="45">
        <v>0</v>
      </c>
      <c r="P42" s="45">
        <v>0</v>
      </c>
      <c r="Q42" s="45">
        <v>0</v>
      </c>
      <c r="R42" s="45">
        <v>0</v>
      </c>
      <c r="S42" s="45">
        <v>0</v>
      </c>
      <c r="T42" s="45">
        <v>0</v>
      </c>
      <c r="U42" s="45">
        <v>0</v>
      </c>
      <c r="V42" s="45">
        <v>0</v>
      </c>
      <c r="W42" s="45">
        <v>0</v>
      </c>
      <c r="X42" s="45">
        <v>0</v>
      </c>
      <c r="Y42" s="45">
        <v>0</v>
      </c>
      <c r="Z42" s="45">
        <v>0</v>
      </c>
      <c r="AA42" s="45">
        <v>0</v>
      </c>
      <c r="AB42" s="45">
        <v>0</v>
      </c>
      <c r="AC42" s="45">
        <v>0</v>
      </c>
      <c r="AD42" s="45">
        <v>0</v>
      </c>
      <c r="AE42" s="45">
        <v>0</v>
      </c>
      <c r="AF42" s="45">
        <v>0</v>
      </c>
      <c r="AG42" s="45">
        <v>0</v>
      </c>
      <c r="AH42" s="45">
        <v>0</v>
      </c>
      <c r="AI42" s="45">
        <v>0</v>
      </c>
      <c r="AJ42" s="45">
        <v>0</v>
      </c>
      <c r="AK42" s="45">
        <f t="shared" si="8"/>
        <v>0</v>
      </c>
      <c r="AL42" s="93">
        <f t="shared" si="9"/>
        <v>0</v>
      </c>
    </row>
    <row r="43" spans="1:38" x14ac:dyDescent="0.2">
      <c r="A43" s="13" t="s">
        <v>26</v>
      </c>
      <c r="B43" s="45">
        <f>-' Working TB 12.31'!AT122</f>
        <v>144.31</v>
      </c>
      <c r="C43" s="45">
        <f>-' Working TB 12.31'!L120</f>
        <v>2128.8199999999997</v>
      </c>
      <c r="D43" s="45">
        <f>-' Working TB 12.31'!AF120</f>
        <v>0</v>
      </c>
      <c r="E43" s="45">
        <f>-' Working TB 12.31'!AV120</f>
        <v>8523.08</v>
      </c>
      <c r="F43" s="45">
        <f>-' Working TB 12.31'!N120</f>
        <v>455.1</v>
      </c>
      <c r="G43" s="45">
        <f>-' Working TB 12.31'!AB120</f>
        <v>0</v>
      </c>
      <c r="H43" s="45">
        <f>-' Working TB 12.31'!AH120</f>
        <v>188.56</v>
      </c>
      <c r="I43" s="45">
        <f>-' Working TB 12.31'!D120</f>
        <v>1945.8200000000002</v>
      </c>
      <c r="J43" s="45">
        <f>-' Working TB 12.31'!H120</f>
        <v>10168.93</v>
      </c>
      <c r="K43" s="45">
        <f>-' Working TB 12.31'!AP120</f>
        <v>595.73</v>
      </c>
      <c r="L43" s="45">
        <f>-' Working TB 12.31'!F120</f>
        <v>701.77</v>
      </c>
      <c r="M43" s="45">
        <f>-' Working TB 12.31'!T120</f>
        <v>0</v>
      </c>
      <c r="N43" s="45">
        <f>-' Working TB 12.31'!X120</f>
        <v>885.88</v>
      </c>
      <c r="O43" s="45">
        <f>-' Working TB 12.31'!AJ120</f>
        <v>195.67</v>
      </c>
      <c r="P43" s="45">
        <f>-' Working TB 12.31'!BN120</f>
        <v>0</v>
      </c>
      <c r="Q43" s="45">
        <f>-' Working TB 12.31'!P120</f>
        <v>854.76</v>
      </c>
      <c r="R43" s="45">
        <f>-' Working TB 12.31'!AD120</f>
        <v>11153.25</v>
      </c>
      <c r="S43" s="45">
        <f>-' Working TB 12.31'!BJ120</f>
        <v>0</v>
      </c>
      <c r="T43" s="45">
        <f>-' Working TB 12.31'!BH120</f>
        <v>0</v>
      </c>
      <c r="U43" s="45">
        <f>-' Working TB 12.31'!J120</f>
        <v>4294.2</v>
      </c>
      <c r="V43" s="45">
        <f>-' Working TB 12.31'!BT120</f>
        <v>232</v>
      </c>
      <c r="W43" s="45">
        <f>-' Working TB 12.31'!BP120</f>
        <v>1180.25</v>
      </c>
      <c r="X43" s="45">
        <f>-' Working TB 12.31'!BR120</f>
        <v>889.38</v>
      </c>
      <c r="Y43" s="45">
        <f>-' Working TB 12.31'!BD120</f>
        <v>0</v>
      </c>
      <c r="Z43" s="45">
        <f>-' Working TB 12.31'!Z120</f>
        <v>310.75</v>
      </c>
      <c r="AA43" s="45">
        <f>-' Working TB 12.31'!AZ120</f>
        <v>2230.9</v>
      </c>
      <c r="AB43" s="45">
        <f>-' Working TB 12.31'!AR120</f>
        <v>503.79</v>
      </c>
      <c r="AC43" s="45">
        <f>-' Working TB 12.31'!BF120</f>
        <v>5486.68</v>
      </c>
      <c r="AD43" s="45">
        <f>-' Working TB 12.31'!R120</f>
        <v>777.97</v>
      </c>
      <c r="AE43" s="45">
        <f>-' Working TB 12.31'!BB120</f>
        <v>450.13</v>
      </c>
      <c r="AF43" s="45">
        <f>-' Working TB 12.31'!AL120</f>
        <v>1494.6299999999999</v>
      </c>
      <c r="AG43" s="45">
        <f>-' Working TB 12.31'!BL120</f>
        <v>7387.0300000000007</v>
      </c>
      <c r="AH43" s="45">
        <f>-' Working TB 12.31'!V120</f>
        <v>2639.1400000000003</v>
      </c>
      <c r="AI43" s="45">
        <f>-' Working TB 12.31'!AX120</f>
        <v>2799.6</v>
      </c>
      <c r="AJ43" s="45">
        <f>-' Working TB 12.31'!AN120</f>
        <v>308.64999999999998</v>
      </c>
      <c r="AK43" s="45">
        <f t="shared" si="8"/>
        <v>68926.779999999984</v>
      </c>
      <c r="AL43" s="93">
        <f t="shared" si="9"/>
        <v>68926.779999999984</v>
      </c>
    </row>
    <row r="44" spans="1:38" x14ac:dyDescent="0.2">
      <c r="A44" s="13" t="s">
        <v>27</v>
      </c>
      <c r="B44" s="45">
        <v>0</v>
      </c>
      <c r="C44" s="45">
        <f>-' Working TB 12.31'!L191</f>
        <v>944999.65999999992</v>
      </c>
      <c r="D44" s="45">
        <v>0</v>
      </c>
      <c r="E44" s="45">
        <f>-' Working TB 12.31'!AV191</f>
        <v>526559</v>
      </c>
      <c r="F44" s="45">
        <v>0</v>
      </c>
      <c r="G44" s="45">
        <v>0</v>
      </c>
      <c r="H44" s="45">
        <v>0</v>
      </c>
      <c r="I44" s="45">
        <v>0</v>
      </c>
      <c r="J44" s="45">
        <v>0</v>
      </c>
      <c r="K44" s="45">
        <v>0</v>
      </c>
      <c r="L44" s="45">
        <v>0</v>
      </c>
      <c r="M44" s="45">
        <v>0</v>
      </c>
      <c r="N44" s="45">
        <v>0</v>
      </c>
      <c r="O44" s="45">
        <v>0</v>
      </c>
      <c r="P44" s="45">
        <v>0</v>
      </c>
      <c r="Q44" s="45">
        <v>0</v>
      </c>
      <c r="R44" s="45">
        <v>0</v>
      </c>
      <c r="S44" s="45">
        <v>0</v>
      </c>
      <c r="T44" s="45">
        <v>0</v>
      </c>
      <c r="U44" s="45">
        <v>0</v>
      </c>
      <c r="V44" s="45">
        <v>0</v>
      </c>
      <c r="W44" s="45">
        <v>0</v>
      </c>
      <c r="X44" s="45">
        <v>0</v>
      </c>
      <c r="Y44" s="45">
        <v>0</v>
      </c>
      <c r="Z44" s="45">
        <v>0</v>
      </c>
      <c r="AA44" s="45">
        <v>0</v>
      </c>
      <c r="AB44" s="45">
        <v>0</v>
      </c>
      <c r="AC44" s="45">
        <v>0</v>
      </c>
      <c r="AD44" s="45">
        <v>0</v>
      </c>
      <c r="AE44" s="45">
        <v>0</v>
      </c>
      <c r="AF44" s="45">
        <v>0</v>
      </c>
      <c r="AG44" s="45">
        <v>0</v>
      </c>
      <c r="AH44" s="45">
        <v>0</v>
      </c>
      <c r="AI44" s="45">
        <v>0</v>
      </c>
      <c r="AJ44" s="45">
        <v>0</v>
      </c>
      <c r="AK44" s="45">
        <f t="shared" si="8"/>
        <v>1471558.66</v>
      </c>
      <c r="AL44" s="93">
        <f t="shared" si="9"/>
        <v>1471558.66</v>
      </c>
    </row>
    <row r="45" spans="1:38" x14ac:dyDescent="0.2">
      <c r="A45" s="13" t="s">
        <v>28</v>
      </c>
      <c r="B45" s="45">
        <v>0</v>
      </c>
      <c r="C45" s="45">
        <v>0</v>
      </c>
      <c r="D45" s="45">
        <v>0</v>
      </c>
      <c r="E45" s="45">
        <v>0</v>
      </c>
      <c r="F45" s="45">
        <v>0</v>
      </c>
      <c r="G45" s="45">
        <v>0</v>
      </c>
      <c r="H45" s="45">
        <v>0</v>
      </c>
      <c r="I45" s="45">
        <v>0</v>
      </c>
      <c r="J45" s="45">
        <f>-' Working TB 12.31'!H191</f>
        <v>161034</v>
      </c>
      <c r="K45" s="45">
        <v>0</v>
      </c>
      <c r="L45" s="45">
        <v>0</v>
      </c>
      <c r="M45" s="45">
        <v>0</v>
      </c>
      <c r="N45" s="45">
        <v>0</v>
      </c>
      <c r="O45" s="45">
        <v>0</v>
      </c>
      <c r="P45" s="45">
        <v>0</v>
      </c>
      <c r="Q45" s="45">
        <v>0</v>
      </c>
      <c r="R45" s="45">
        <v>0</v>
      </c>
      <c r="S45" s="45">
        <v>0</v>
      </c>
      <c r="T45" s="45">
        <v>0</v>
      </c>
      <c r="U45" s="45">
        <v>0</v>
      </c>
      <c r="V45" s="45">
        <v>0</v>
      </c>
      <c r="W45" s="45">
        <f>-' Working TB 12.31'!BP197</f>
        <v>179808</v>
      </c>
      <c r="X45" s="45">
        <v>0</v>
      </c>
      <c r="Y45" s="45">
        <v>0</v>
      </c>
      <c r="Z45" s="45">
        <v>0</v>
      </c>
      <c r="AA45" s="45">
        <v>0</v>
      </c>
      <c r="AB45" s="45">
        <v>0</v>
      </c>
      <c r="AC45" s="45">
        <v>0</v>
      </c>
      <c r="AD45" s="45">
        <v>0</v>
      </c>
      <c r="AE45" s="45">
        <v>0</v>
      </c>
      <c r="AF45" s="45">
        <v>0</v>
      </c>
      <c r="AG45" s="45">
        <v>0</v>
      </c>
      <c r="AH45" s="45">
        <v>0</v>
      </c>
      <c r="AI45" s="45">
        <v>0</v>
      </c>
      <c r="AJ45" s="45">
        <f>-' Working TB 12.31'!AN193</f>
        <v>283875.38</v>
      </c>
      <c r="AK45" s="45">
        <f t="shared" si="8"/>
        <v>624717.38</v>
      </c>
      <c r="AL45" s="93">
        <f t="shared" si="9"/>
        <v>624717.38</v>
      </c>
    </row>
    <row r="46" spans="1:38" x14ac:dyDescent="0.2">
      <c r="A46" s="13" t="s">
        <v>29</v>
      </c>
      <c r="B46" s="45">
        <f>-' Working TB 12.31'!AT159</f>
        <v>7158.82</v>
      </c>
      <c r="C46" s="45">
        <f>-' Working TB 12.31'!L160</f>
        <v>27213.98</v>
      </c>
      <c r="D46" s="45">
        <f>-' Working TB 12.31'!AF160</f>
        <v>7273.7900000000009</v>
      </c>
      <c r="E46" s="45">
        <f>-' Working TB 12.31'!AV160</f>
        <v>11324.11</v>
      </c>
      <c r="F46" s="45">
        <f>-' Working TB 12.31'!N160</f>
        <v>5533.6900000000005</v>
      </c>
      <c r="G46" s="45">
        <f>-' Working TB 12.31'!AB160</f>
        <v>5695.4599999999991</v>
      </c>
      <c r="H46" s="45">
        <f>-' Working TB 12.31'!AH160</f>
        <v>5297.01</v>
      </c>
      <c r="I46" s="45">
        <f>-' Working TB 12.31'!D160</f>
        <v>5694.33</v>
      </c>
      <c r="J46" s="45">
        <f>-' Working TB 12.31'!H160</f>
        <v>7457.77</v>
      </c>
      <c r="K46" s="45">
        <f>-' Working TB 12.31'!AP160</f>
        <v>5228.6499999999996</v>
      </c>
      <c r="L46" s="45">
        <f>-' Working TB 12.31'!F160</f>
        <v>8449.57</v>
      </c>
      <c r="M46" s="45">
        <f>-' Working TB 12.31'!T160</f>
        <v>11818.369999999999</v>
      </c>
      <c r="N46" s="45">
        <f>-' Working TB 12.31'!X160</f>
        <v>16326.620000000003</v>
      </c>
      <c r="O46" s="45">
        <f>-' Working TB 12.31'!AJ160</f>
        <v>3747.8599999999997</v>
      </c>
      <c r="P46" s="45">
        <f>-' Working TB 12.31'!BN160</f>
        <v>5369.03</v>
      </c>
      <c r="Q46" s="45">
        <f>-' Working TB 12.31'!P160</f>
        <v>6145.8</v>
      </c>
      <c r="R46" s="45">
        <f>-' Working TB 12.31'!AD160</f>
        <v>5008.3899999999994</v>
      </c>
      <c r="S46" s="45">
        <f>-' Working TB 12.31'!BJ160</f>
        <v>72683.859999999986</v>
      </c>
      <c r="T46" s="45">
        <f>-' Working TB 12.31'!BH162</f>
        <v>49899.97</v>
      </c>
      <c r="U46" s="45">
        <f>-' Working TB 12.31'!J161</f>
        <v>34949.749999999985</v>
      </c>
      <c r="V46" s="45">
        <f>-' Working TB 12.31'!BT156</f>
        <v>60939.419999999991</v>
      </c>
      <c r="W46" s="45">
        <f>-' Working TB 12.31'!BP156</f>
        <v>107802.06999999998</v>
      </c>
      <c r="X46" s="45">
        <f>-' Working TB 12.31'!BR156</f>
        <v>45484.040000000008</v>
      </c>
      <c r="Y46" s="45">
        <f>-' Working TB 12.31'!BD156</f>
        <v>8036.8900000000012</v>
      </c>
      <c r="Z46" s="45">
        <f>-' Working TB 12.31'!Z156</f>
        <v>83060.039999999964</v>
      </c>
      <c r="AA46" s="45">
        <f>-' Working TB 12.31'!AZ156</f>
        <v>76587.790000000023</v>
      </c>
      <c r="AB46" s="45">
        <f>-' Working TB 12.31'!AR156</f>
        <v>71625.759999999995</v>
      </c>
      <c r="AC46" s="45">
        <f>-' Working TB 12.31'!BF156</f>
        <v>96792.56</v>
      </c>
      <c r="AD46" s="45">
        <f>-' Working TB 12.31'!R156</f>
        <v>17668.479999999996</v>
      </c>
      <c r="AE46" s="45">
        <f>-' Working TB 12.31'!BB156</f>
        <v>79114.569999999992</v>
      </c>
      <c r="AF46" s="45">
        <f>-' Working TB 12.31'!AL156</f>
        <v>277300.07999999996</v>
      </c>
      <c r="AG46" s="45">
        <f>-' Working TB 12.31'!BL156</f>
        <v>15257.95</v>
      </c>
      <c r="AH46" s="45">
        <f>-' Working TB 12.31'!V156</f>
        <v>102038.58000000007</v>
      </c>
      <c r="AI46" s="45">
        <f>-' Working TB 12.31'!AX156</f>
        <v>25892.16</v>
      </c>
      <c r="AJ46" s="45">
        <f>-' Working TB 12.31'!AN156</f>
        <v>342832.76</v>
      </c>
      <c r="AK46" s="45">
        <f t="shared" si="8"/>
        <v>1712709.9799999997</v>
      </c>
      <c r="AL46" s="93">
        <f t="shared" si="9"/>
        <v>1712709.9799999997</v>
      </c>
    </row>
    <row r="47" spans="1:38" x14ac:dyDescent="0.2">
      <c r="A47" s="13" t="s">
        <v>30</v>
      </c>
      <c r="B47" s="45">
        <f>-' Working TB 12.31'!AT171</f>
        <v>63556.849999999991</v>
      </c>
      <c r="C47" s="45">
        <f>-' Working TB 12.31'!L170</f>
        <v>107568.32000000001</v>
      </c>
      <c r="D47" s="45">
        <f>-' Working TB 12.31'!AF172</f>
        <v>114711.10999999999</v>
      </c>
      <c r="E47" s="45">
        <f>-' Working TB 12.31'!AV172</f>
        <v>44878.12999999999</v>
      </c>
      <c r="F47" s="45">
        <f>-' Working TB 12.31'!N171</f>
        <v>38592.679999999993</v>
      </c>
      <c r="G47" s="45">
        <f>-' Working TB 12.31'!AB170</f>
        <v>52421.109999999964</v>
      </c>
      <c r="H47" s="45">
        <f>-' Working TB 12.31'!AH170</f>
        <v>57049.399999999965</v>
      </c>
      <c r="I47" s="45">
        <f>-' Working TB 12.31'!D170</f>
        <v>70791.499999999971</v>
      </c>
      <c r="J47" s="45">
        <f>-' Working TB 12.31'!H170</f>
        <v>93353.209999999963</v>
      </c>
      <c r="K47" s="45">
        <f>-' Working TB 12.31'!AP170</f>
        <v>44071.429999999993</v>
      </c>
      <c r="L47" s="45">
        <f>-' Working TB 12.31'!F170</f>
        <v>17935.52</v>
      </c>
      <c r="M47" s="45">
        <f>-' Working TB 12.31'!T170</f>
        <v>9664.25</v>
      </c>
      <c r="N47" s="45">
        <f>-' Working TB 12.31'!X170</f>
        <v>134478.39000000001</v>
      </c>
      <c r="O47" s="45">
        <f>-' Working TB 12.31'!AJ170</f>
        <v>147897.92000000001</v>
      </c>
      <c r="P47" s="45">
        <f>-' Working TB 12.31'!BN170</f>
        <v>19163.539999999994</v>
      </c>
      <c r="Q47" s="45">
        <f>-' Working TB 12.31'!P170</f>
        <v>227853.37000000005</v>
      </c>
      <c r="R47" s="45">
        <f>-' Working TB 12.31'!AD170</f>
        <v>321876.26</v>
      </c>
      <c r="S47" s="45">
        <f>-' Working TB 12.31'!BJ170</f>
        <v>13746.33</v>
      </c>
      <c r="T47" s="45">
        <f>-' Working TB 12.31'!BH170</f>
        <v>74173.539999999979</v>
      </c>
      <c r="U47" s="45">
        <f>-' Working TB 12.31'!J170</f>
        <v>390727.86</v>
      </c>
      <c r="V47" s="45">
        <f>-' Working TB 12.31'!BT170</f>
        <v>89740.589999999982</v>
      </c>
      <c r="W47" s="45">
        <f>-' Working TB 12.31'!BP170</f>
        <v>114555.50000000001</v>
      </c>
      <c r="X47" s="45">
        <f>-' Working TB 12.31'!BR170</f>
        <v>145301.59000000003</v>
      </c>
      <c r="Y47" s="45">
        <f>-' Working TB 12.31'!BD170</f>
        <v>61550.789999999979</v>
      </c>
      <c r="Z47" s="45">
        <f>-' Working TB 12.31'!Z170</f>
        <v>31051.200000000041</v>
      </c>
      <c r="AA47" s="45">
        <f>-' Working TB 12.31'!AZ170</f>
        <v>56316.930000000051</v>
      </c>
      <c r="AB47" s="45">
        <f>-' Working TB 12.31'!AR170</f>
        <v>148846.06</v>
      </c>
      <c r="AC47" s="45">
        <f>-' Working TB 12.31'!BF170</f>
        <v>65622.829999999958</v>
      </c>
      <c r="AD47" s="45">
        <f>-' Working TB 12.31'!R170</f>
        <v>62398.429999999993</v>
      </c>
      <c r="AE47" s="45">
        <f>-' Working TB 12.31'!BB170</f>
        <v>11216.91</v>
      </c>
      <c r="AF47" s="45">
        <f>-' Working TB 12.31'!AL170</f>
        <v>435194</v>
      </c>
      <c r="AG47" s="45">
        <f>-' Working TB 12.31'!BL170</f>
        <v>30181.199999999997</v>
      </c>
      <c r="AH47" s="45">
        <f>-' Working TB 12.31'!V170</f>
        <v>503654.31999999995</v>
      </c>
      <c r="AI47" s="45">
        <f>-' Working TB 12.31'!AX170</f>
        <v>596490.59000000008</v>
      </c>
      <c r="AJ47" s="45">
        <f>-' Working TB 12.31'!AN170</f>
        <v>265242.67999999993</v>
      </c>
      <c r="AK47" s="45">
        <f t="shared" si="8"/>
        <v>4661874.3400000008</v>
      </c>
      <c r="AL47" s="93">
        <f t="shared" si="9"/>
        <v>4661874.3400000008</v>
      </c>
    </row>
    <row r="48" spans="1:38" x14ac:dyDescent="0.2">
      <c r="A48" s="13" t="s">
        <v>31</v>
      </c>
      <c r="B48" s="45">
        <v>0</v>
      </c>
      <c r="C48" s="45">
        <v>0</v>
      </c>
      <c r="D48" s="45">
        <v>0</v>
      </c>
      <c r="E48" s="45">
        <v>0</v>
      </c>
      <c r="F48" s="45">
        <v>0</v>
      </c>
      <c r="G48" s="45">
        <v>0</v>
      </c>
      <c r="H48" s="45">
        <v>0</v>
      </c>
      <c r="I48" s="45">
        <v>0</v>
      </c>
      <c r="J48" s="45">
        <v>0</v>
      </c>
      <c r="K48" s="45">
        <v>0</v>
      </c>
      <c r="L48" s="45">
        <v>0</v>
      </c>
      <c r="M48" s="45">
        <v>0</v>
      </c>
      <c r="N48" s="45">
        <v>0</v>
      </c>
      <c r="O48" s="45">
        <f>-' Working TB 12.31'!AJ182</f>
        <v>0</v>
      </c>
      <c r="P48" s="45">
        <f>-' Working TB 12.31'!BN182</f>
        <v>0</v>
      </c>
      <c r="Q48" s="45">
        <v>0</v>
      </c>
      <c r="R48" s="45">
        <f>-' Working TB 12.31'!AD182</f>
        <v>0</v>
      </c>
      <c r="S48" s="45">
        <v>0</v>
      </c>
      <c r="T48" s="45">
        <v>0</v>
      </c>
      <c r="U48" s="45">
        <f>-' Working TB 12.31'!J182</f>
        <v>0</v>
      </c>
      <c r="V48" s="45">
        <f>-' Working TB 12.31'!BT182</f>
        <v>37587.300000000003</v>
      </c>
      <c r="W48" s="45">
        <f>-' Working TB 12.31'!BP182</f>
        <v>31622.400000000001</v>
      </c>
      <c r="X48" s="45">
        <v>0</v>
      </c>
      <c r="Y48" s="45">
        <v>0</v>
      </c>
      <c r="Z48" s="45">
        <f>-' Working TB 12.31'!Z182</f>
        <v>0</v>
      </c>
      <c r="AA48" s="45">
        <v>0</v>
      </c>
      <c r="AB48" s="45">
        <v>0</v>
      </c>
      <c r="AC48" s="45">
        <v>0</v>
      </c>
      <c r="AD48" s="45">
        <v>0</v>
      </c>
      <c r="AE48" s="45">
        <v>0</v>
      </c>
      <c r="AF48" s="45">
        <f>-' Working TB 12.31'!AL182</f>
        <v>0</v>
      </c>
      <c r="AG48" s="45">
        <v>0</v>
      </c>
      <c r="AH48" s="45">
        <v>0</v>
      </c>
      <c r="AI48" s="45">
        <f>-' Working TB 12.31'!AX182</f>
        <v>0</v>
      </c>
      <c r="AJ48" s="45">
        <f>-' Working TB 12.31'!AN182</f>
        <v>0</v>
      </c>
      <c r="AK48" s="45">
        <f t="shared" si="8"/>
        <v>69209.700000000012</v>
      </c>
      <c r="AL48" s="93">
        <f t="shared" si="9"/>
        <v>69209.700000000012</v>
      </c>
    </row>
    <row r="49" spans="1:38" x14ac:dyDescent="0.2">
      <c r="A49" s="13" t="s">
        <v>32</v>
      </c>
      <c r="B49" s="45">
        <f>-' Working TB 12.31'!AT123</f>
        <v>68651.960000000006</v>
      </c>
      <c r="C49" s="45">
        <f>-' Working TB 12.31'!L123</f>
        <v>205519.43999999997</v>
      </c>
      <c r="D49" s="45">
        <f>-' Working TB 12.31'!AF123</f>
        <v>225554.79000000004</v>
      </c>
      <c r="E49" s="45">
        <f>-' Working TB 12.31'!AV123</f>
        <v>189128.32000000007</v>
      </c>
      <c r="F49" s="45">
        <f>-' Working TB 12.31'!N123</f>
        <v>113261.46</v>
      </c>
      <c r="G49" s="45">
        <f>-' Working TB 12.31'!AB123</f>
        <v>69055.62999999999</v>
      </c>
      <c r="H49" s="45">
        <f>-' Working TB 12.31'!AH123</f>
        <v>86017</v>
      </c>
      <c r="I49" s="45">
        <f>-' Working TB 12.31'!D123</f>
        <v>100286.98999999999</v>
      </c>
      <c r="J49" s="45">
        <f>-' Working TB 12.31'!H123</f>
        <v>76440.189999999973</v>
      </c>
      <c r="K49" s="45">
        <f>-' Working TB 12.31'!AP123</f>
        <v>103846.24999999994</v>
      </c>
      <c r="L49" s="45">
        <f>-' Working TB 12.31'!F123</f>
        <v>70992.67</v>
      </c>
      <c r="M49" s="45">
        <f>-' Working TB 12.31'!T123</f>
        <v>72060.970000000016</v>
      </c>
      <c r="N49" s="45">
        <f>-' Working TB 12.31'!X123</f>
        <v>61639.959999999992</v>
      </c>
      <c r="O49" s="45">
        <f>-' Working TB 12.31'!AJ123</f>
        <v>42794.54</v>
      </c>
      <c r="P49" s="45">
        <f>-' Working TB 12.31'!BN123</f>
        <v>49095.539999999994</v>
      </c>
      <c r="Q49" s="45">
        <f>-' Working TB 12.31'!P123</f>
        <v>72991.42</v>
      </c>
      <c r="R49" s="45">
        <f>-' Working TB 12.31'!AD123</f>
        <v>58743.93</v>
      </c>
      <c r="S49" s="45">
        <f>-' Working TB 12.31'!BJ123</f>
        <v>63299.179999999993</v>
      </c>
      <c r="T49" s="45">
        <f>-' Working TB 12.31'!BH123</f>
        <v>38141.569999999978</v>
      </c>
      <c r="U49" s="45">
        <f>-' Working TB 12.31'!J123</f>
        <v>64600.919999999984</v>
      </c>
      <c r="V49" s="45">
        <f>-' Working TB 12.31'!BT123</f>
        <v>40665.659999999982</v>
      </c>
      <c r="W49" s="45">
        <f>-' Working TB 12.31'!BP123</f>
        <v>79203.539999999964</v>
      </c>
      <c r="X49" s="45">
        <f>-' Working TB 12.31'!BR123</f>
        <v>54377.649999999994</v>
      </c>
      <c r="Y49" s="45">
        <f>-' Working TB 12.31'!BD123</f>
        <v>93860.430000000008</v>
      </c>
      <c r="Z49" s="45">
        <f>-' Working TB 12.31'!Z123</f>
        <v>105565.11000000002</v>
      </c>
      <c r="AA49" s="45">
        <f>-' Working TB 12.31'!AZ123</f>
        <v>56659.630000000005</v>
      </c>
      <c r="AB49" s="45">
        <f>-' Working TB 12.31'!AR123</f>
        <v>67374.330000000016</v>
      </c>
      <c r="AC49" s="45">
        <f>-' Working TB 12.31'!BF123</f>
        <v>112706.29999999999</v>
      </c>
      <c r="AD49" s="45">
        <f>-' Working TB 12.31'!R123</f>
        <v>79627.59</v>
      </c>
      <c r="AE49" s="45">
        <f>-' Working TB 12.31'!BB123</f>
        <v>62592.239999999932</v>
      </c>
      <c r="AF49" s="45">
        <f>-' Working TB 12.31'!AL123</f>
        <v>83851.75</v>
      </c>
      <c r="AG49" s="45">
        <f>-' Working TB 12.31'!BL123</f>
        <v>78152.640000000014</v>
      </c>
      <c r="AH49" s="45">
        <f>-' Working TB 12.31'!V123</f>
        <v>129337.44</v>
      </c>
      <c r="AI49" s="45">
        <f>-' Working TB 12.31'!AX123</f>
        <v>54043.94</v>
      </c>
      <c r="AJ49" s="45">
        <f>-' Working TB 12.31'!AN123</f>
        <v>89958.179999999964</v>
      </c>
      <c r="AK49" s="45">
        <f t="shared" si="8"/>
        <v>3020099.1599999988</v>
      </c>
      <c r="AL49" s="93">
        <f t="shared" si="9"/>
        <v>3020099.1599999988</v>
      </c>
    </row>
    <row r="50" spans="1:38" x14ac:dyDescent="0.2">
      <c r="A50" s="13" t="s">
        <v>33</v>
      </c>
      <c r="B50" s="45">
        <f>-' Working TB 12.31'!AT131</f>
        <v>8942.6</v>
      </c>
      <c r="C50" s="45">
        <f>-' Working TB 12.31'!L131</f>
        <v>170230.5</v>
      </c>
      <c r="D50" s="45">
        <f>-' Working TB 12.31'!AF151</f>
        <v>76833.61</v>
      </c>
      <c r="E50" s="45">
        <f>-' Working TB 12.31'!AV131</f>
        <v>10386.08</v>
      </c>
      <c r="F50" s="45">
        <f>-' Working TB 12.31'!N131</f>
        <v>8785.58</v>
      </c>
      <c r="G50" s="45">
        <f>-' Working TB 12.31'!AB131</f>
        <v>8572</v>
      </c>
      <c r="H50" s="45">
        <f>-' Working TB 12.31'!AH131</f>
        <v>7956.03</v>
      </c>
      <c r="I50" s="45">
        <f>-' Working TB 12.31'!D131</f>
        <v>23004.78</v>
      </c>
      <c r="J50" s="45">
        <f>-' Working TB 12.31'!H131</f>
        <v>28687</v>
      </c>
      <c r="K50" s="45">
        <f>-' Working TB 12.31'!AP131</f>
        <v>7197.25</v>
      </c>
      <c r="L50" s="45">
        <f>-' Working TB 12.31'!F151</f>
        <v>2424.08</v>
      </c>
      <c r="M50" s="45">
        <f>-' Working TB 12.31'!T131</f>
        <v>7893</v>
      </c>
      <c r="N50" s="45">
        <f>-' Working TB 12.31'!X131</f>
        <v>6300</v>
      </c>
      <c r="O50" s="45">
        <f>-' Working TB 12.31'!AJ131</f>
        <v>5492</v>
      </c>
      <c r="P50" s="45">
        <f>-' Working TB 12.31'!BN131</f>
        <v>2930650.93</v>
      </c>
      <c r="Q50" s="45">
        <f>-' Working TB 12.31'!P131</f>
        <v>98</v>
      </c>
      <c r="R50" s="45">
        <f>-' Working TB 12.31'!AD131</f>
        <v>6360</v>
      </c>
      <c r="S50" s="45">
        <f>-' Working TB 12.31'!BJ131</f>
        <v>10709.02</v>
      </c>
      <c r="T50" s="45">
        <f>-' Working TB 12.31'!BH131</f>
        <v>6994.39</v>
      </c>
      <c r="U50" s="45">
        <f>-' Working TB 12.31'!J131</f>
        <v>11789.85</v>
      </c>
      <c r="V50" s="45">
        <f>-' Working TB 12.31'!BT131</f>
        <v>15385.95</v>
      </c>
      <c r="W50" s="45">
        <f>-' Working TB 12.31'!BP131</f>
        <v>17637.22</v>
      </c>
      <c r="X50" s="45">
        <f>-' Working TB 12.31'!BR131</f>
        <v>13844.779999999999</v>
      </c>
      <c r="Y50" s="45">
        <f>-' Working TB 12.31'!BD131</f>
        <v>9082.93</v>
      </c>
      <c r="Z50" s="45">
        <f>-' Working TB 12.31'!Z131</f>
        <v>8891.0499999999993</v>
      </c>
      <c r="AA50" s="45">
        <f>-' Working TB 12.31'!AZ131</f>
        <v>8552</v>
      </c>
      <c r="AB50" s="45">
        <f>-' Working TB 12.31'!AR131</f>
        <v>12765.72</v>
      </c>
      <c r="AC50" s="45">
        <f>-' Working TB 12.31'!BF131</f>
        <v>29742.239999999998</v>
      </c>
      <c r="AD50" s="45">
        <f>-' Working TB 12.31'!R131</f>
        <v>6385.6</v>
      </c>
      <c r="AE50" s="45">
        <f>-' Working TB 12.31'!BB131</f>
        <v>8370.43</v>
      </c>
      <c r="AF50" s="45">
        <f>-' Working TB 12.31'!AL131</f>
        <v>9718.39</v>
      </c>
      <c r="AG50" s="45">
        <f>-' Working TB 12.31'!BL131</f>
        <v>10324.27</v>
      </c>
      <c r="AH50" s="45">
        <f>-' Working TB 12.31'!V131</f>
        <v>8768.4599999999991</v>
      </c>
      <c r="AI50" s="45">
        <f>-' Working TB 12.31'!AX131</f>
        <v>9196.25</v>
      </c>
      <c r="AJ50" s="45">
        <f>-' Working TB 12.31'!AN131</f>
        <v>15193.779999999999</v>
      </c>
      <c r="AK50" s="45">
        <f t="shared" si="8"/>
        <v>3523165.7700000014</v>
      </c>
      <c r="AL50" s="93">
        <f t="shared" si="9"/>
        <v>3523165.7700000014</v>
      </c>
    </row>
    <row r="51" spans="1:38" ht="15" x14ac:dyDescent="0.35">
      <c r="A51" s="13" t="s">
        <v>34</v>
      </c>
      <c r="B51" s="47">
        <f>-' Working TB 12.31'!AT163</f>
        <v>64657.509999999995</v>
      </c>
      <c r="C51" s="47">
        <f>-' Working TB 12.31'!L163</f>
        <v>64144.51</v>
      </c>
      <c r="D51" s="47">
        <f>-' Working TB 12.31'!AF163</f>
        <v>81141.679999999993</v>
      </c>
      <c r="E51" s="47">
        <f>-' Working TB 12.31'!AV163</f>
        <v>35777.89</v>
      </c>
      <c r="F51" s="47">
        <f>-' Working TB 12.31'!N163</f>
        <v>47558.44</v>
      </c>
      <c r="G51" s="47">
        <f>-' Working TB 12.31'!AB163</f>
        <v>61474.44</v>
      </c>
      <c r="H51" s="47">
        <f>-' Working TB 12.31'!AH163</f>
        <v>56721.270000000004</v>
      </c>
      <c r="I51" s="47">
        <f>-' Working TB 12.31'!D163</f>
        <v>55363.99</v>
      </c>
      <c r="J51" s="47">
        <f>-' Working TB 12.31'!H163</f>
        <v>56435.839999999997</v>
      </c>
      <c r="K51" s="47">
        <f>-' Working TB 12.31'!AP163</f>
        <v>48777.17</v>
      </c>
      <c r="L51" s="47">
        <f>-' Working TB 12.31'!F163</f>
        <v>52426.19</v>
      </c>
      <c r="M51" s="47">
        <f>-' Working TB 12.31'!T163</f>
        <v>46158.15</v>
      </c>
      <c r="N51" s="47">
        <f>-' Working TB 12.31'!X163</f>
        <v>33997.79</v>
      </c>
      <c r="O51" s="47">
        <f>-' Working TB 12.31'!AJ163</f>
        <v>29585.98</v>
      </c>
      <c r="P51" s="47">
        <f>-' Working TB 12.31'!BN163</f>
        <v>36375.22</v>
      </c>
      <c r="Q51" s="47">
        <f>-' Working TB 12.31'!P163</f>
        <v>44779.6</v>
      </c>
      <c r="R51" s="47">
        <f>-' Working TB 12.31'!AD163</f>
        <v>38573.79</v>
      </c>
      <c r="S51" s="47">
        <f>-' Working TB 12.31'!BJ163</f>
        <v>43747.19</v>
      </c>
      <c r="T51" s="47">
        <f>-' Working TB 12.31'!BH163</f>
        <v>39639.51</v>
      </c>
      <c r="U51" s="47">
        <f>-' Working TB 12.31'!J163</f>
        <v>49852.24</v>
      </c>
      <c r="V51" s="47">
        <f>-' Working TB 12.31'!BT163</f>
        <v>48551.99</v>
      </c>
      <c r="W51" s="47">
        <f>-' Working TB 12.31'!BP163</f>
        <v>59428.149999999994</v>
      </c>
      <c r="X51" s="47">
        <f>-' Working TB 12.31'!BR163</f>
        <v>57935.520000000004</v>
      </c>
      <c r="Y51" s="47">
        <f>-' Working TB 12.31'!BD163</f>
        <v>67911.969999999987</v>
      </c>
      <c r="Z51" s="47">
        <f>-' Working TB 12.31'!Z163</f>
        <v>54746.18</v>
      </c>
      <c r="AA51" s="47">
        <f>-' Working TB 12.31'!AZ163</f>
        <v>64151.79</v>
      </c>
      <c r="AB51" s="47">
        <f>-' Working TB 12.31'!AR163</f>
        <v>55247.46</v>
      </c>
      <c r="AC51" s="47">
        <f>-' Working TB 12.31'!BF163</f>
        <v>39771.89</v>
      </c>
      <c r="AD51" s="47">
        <f>-' Working TB 12.31'!R163</f>
        <v>35412.46</v>
      </c>
      <c r="AE51" s="47">
        <f>-' Working TB 12.31'!BB163</f>
        <v>43349.08</v>
      </c>
      <c r="AF51" s="47">
        <f>-' Working TB 12.31'!AL163</f>
        <v>50283.85</v>
      </c>
      <c r="AG51" s="47">
        <f>-' Working TB 12.31'!BL163</f>
        <v>62994.909999999996</v>
      </c>
      <c r="AH51" s="47">
        <f>-' Working TB 12.31'!V163</f>
        <v>64348.32</v>
      </c>
      <c r="AI51" s="47">
        <f>-' Working TB 12.31'!AX163</f>
        <v>32738.240000000002</v>
      </c>
      <c r="AJ51" s="47">
        <f>-' Working TB 12.31'!AN163</f>
        <v>80306.789999999994</v>
      </c>
      <c r="AK51" s="47">
        <f t="shared" si="8"/>
        <v>1804366.9999999998</v>
      </c>
      <c r="AL51" s="93">
        <f t="shared" si="9"/>
        <v>1804366.9999999998</v>
      </c>
    </row>
    <row r="52" spans="1:38" x14ac:dyDescent="0.2">
      <c r="A52" s="13"/>
      <c r="B52" s="48"/>
      <c r="C52" s="48"/>
      <c r="D52" s="48"/>
      <c r="E52" s="48"/>
      <c r="F52" s="48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8"/>
      <c r="Z52" s="48"/>
      <c r="AA52" s="48"/>
      <c r="AB52" s="48"/>
      <c r="AC52" s="48"/>
      <c r="AD52" s="48"/>
      <c r="AE52" s="48"/>
      <c r="AF52" s="48"/>
      <c r="AG52" s="48"/>
      <c r="AH52" s="48"/>
      <c r="AI52" s="48"/>
      <c r="AJ52" s="48"/>
      <c r="AK52" s="48"/>
      <c r="AL52" s="92">
        <v>9999</v>
      </c>
    </row>
    <row r="53" spans="1:38" x14ac:dyDescent="0.2">
      <c r="A53" s="13" t="s">
        <v>35</v>
      </c>
      <c r="B53" s="48">
        <f t="shared" ref="B53:AG53" si="10">SUM(B39:B52)</f>
        <v>8660658.6900000013</v>
      </c>
      <c r="C53" s="48">
        <f t="shared" si="10"/>
        <v>28203427.590000004</v>
      </c>
      <c r="D53" s="48">
        <f t="shared" si="10"/>
        <v>12862693.579999998</v>
      </c>
      <c r="E53" s="48">
        <f t="shared" si="10"/>
        <v>12742448.07</v>
      </c>
      <c r="F53" s="48">
        <f t="shared" si="10"/>
        <v>5650192.7599999998</v>
      </c>
      <c r="G53" s="48">
        <f t="shared" si="10"/>
        <v>8693631.1500000004</v>
      </c>
      <c r="H53" s="48">
        <f t="shared" si="10"/>
        <v>6628882.04</v>
      </c>
      <c r="I53" s="48">
        <f t="shared" si="10"/>
        <v>8825809.6699999999</v>
      </c>
      <c r="J53" s="48">
        <f t="shared" si="10"/>
        <v>9255330.1199999992</v>
      </c>
      <c r="K53" s="48">
        <f t="shared" si="10"/>
        <v>7708714.29</v>
      </c>
      <c r="L53" s="48">
        <f t="shared" si="10"/>
        <v>5678796.5599999996</v>
      </c>
      <c r="M53" s="48">
        <f t="shared" si="10"/>
        <v>3257290.79</v>
      </c>
      <c r="N53" s="48">
        <f t="shared" si="10"/>
        <v>4831899.5199999996</v>
      </c>
      <c r="O53" s="48">
        <f t="shared" si="10"/>
        <v>2814677.0599999996</v>
      </c>
      <c r="P53" s="48">
        <f t="shared" si="10"/>
        <v>9782772.7400000002</v>
      </c>
      <c r="Q53" s="48">
        <f t="shared" si="10"/>
        <v>6125430.5299999984</v>
      </c>
      <c r="R53" s="48">
        <f t="shared" si="10"/>
        <v>3724627.8300000005</v>
      </c>
      <c r="S53" s="48">
        <f t="shared" si="10"/>
        <v>2307670.88</v>
      </c>
      <c r="T53" s="48">
        <f t="shared" si="10"/>
        <v>1526668.13</v>
      </c>
      <c r="U53" s="48">
        <f t="shared" si="10"/>
        <v>8210421.9800000004</v>
      </c>
      <c r="V53" s="48">
        <f t="shared" si="10"/>
        <v>6678520.0100000007</v>
      </c>
      <c r="W53" s="48">
        <f t="shared" si="10"/>
        <v>7357035.8799999999</v>
      </c>
      <c r="X53" s="48">
        <f t="shared" si="10"/>
        <v>7530289.9600000009</v>
      </c>
      <c r="Y53" s="48">
        <f t="shared" si="10"/>
        <v>2297627.4700000002</v>
      </c>
      <c r="Z53" s="48">
        <f t="shared" si="10"/>
        <v>3816770.45</v>
      </c>
      <c r="AA53" s="48">
        <f t="shared" si="10"/>
        <v>3471758.5000000005</v>
      </c>
      <c r="AB53" s="48">
        <f t="shared" si="10"/>
        <v>7188576</v>
      </c>
      <c r="AC53" s="48">
        <f t="shared" si="10"/>
        <v>5780756.6399999987</v>
      </c>
      <c r="AD53" s="48">
        <f t="shared" si="10"/>
        <v>3255080.15</v>
      </c>
      <c r="AE53" s="48">
        <f t="shared" si="10"/>
        <v>4779657.7</v>
      </c>
      <c r="AF53" s="48">
        <f t="shared" si="10"/>
        <v>4043934.67</v>
      </c>
      <c r="AG53" s="48">
        <f t="shared" si="10"/>
        <v>4385872.9399999995</v>
      </c>
      <c r="AH53" s="48">
        <f t="shared" ref="AH53:AJ53" si="11">SUM(AH39:AH52)</f>
        <v>7447501.6800000006</v>
      </c>
      <c r="AI53" s="48">
        <f t="shared" si="11"/>
        <v>4427851.0500000007</v>
      </c>
      <c r="AJ53" s="48">
        <f t="shared" si="11"/>
        <v>8980714.0199999977</v>
      </c>
      <c r="AK53" s="48">
        <f>SUM(AK39:AK52)</f>
        <v>238933991.10000002</v>
      </c>
      <c r="AL53" s="93">
        <f t="shared" ref="AL53" si="12">AK53</f>
        <v>238933991.10000002</v>
      </c>
    </row>
    <row r="54" spans="1:38" x14ac:dyDescent="0.2">
      <c r="A54" s="13"/>
      <c r="B54" s="48"/>
      <c r="C54" s="48"/>
      <c r="D54" s="48"/>
      <c r="E54" s="48"/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8"/>
      <c r="Z54" s="48"/>
      <c r="AA54" s="48"/>
      <c r="AB54" s="48"/>
      <c r="AC54" s="48"/>
      <c r="AD54" s="48"/>
      <c r="AE54" s="48"/>
      <c r="AF54" s="48"/>
      <c r="AG54" s="48"/>
      <c r="AH54" s="48"/>
      <c r="AI54" s="48"/>
      <c r="AJ54" s="48"/>
      <c r="AK54" s="48"/>
      <c r="AL54" s="92">
        <v>9999</v>
      </c>
    </row>
    <row r="55" spans="1:38" ht="15" x14ac:dyDescent="0.35">
      <c r="A55" s="13" t="s">
        <v>36</v>
      </c>
      <c r="B55" s="47">
        <f>-' Working TB 12.31'!AT199-B63</f>
        <v>-2368727.4100000006</v>
      </c>
      <c r="C55" s="47">
        <f>-' Working TB 12.31'!L199-C63</f>
        <v>-14807392.629999997</v>
      </c>
      <c r="D55" s="47">
        <f>-' Working TB 12.31'!AF199-D63</f>
        <v>-1893318.9400000002</v>
      </c>
      <c r="E55" s="47">
        <f>-' Working TB 12.31'!AV199-E63</f>
        <v>-6232212.870000002</v>
      </c>
      <c r="F55" s="47">
        <f>-' Working TB 12.31'!N199-F63</f>
        <v>-1921201.2100000004</v>
      </c>
      <c r="G55" s="47">
        <f>-' Working TB 12.31'!AB199-G63</f>
        <v>-3531244.9800000004</v>
      </c>
      <c r="H55" s="47">
        <f>-' Working TB 12.31'!AH199-H63</f>
        <v>-2167022.52</v>
      </c>
      <c r="I55" s="47">
        <f>-' Working TB 12.31'!D199-I63-1</f>
        <v>-3428728.2800000003</v>
      </c>
      <c r="J55" s="47">
        <f>-' Working TB 12.31'!H199-J63+1</f>
        <v>-4184823.1899999995</v>
      </c>
      <c r="K55" s="47">
        <f>-' Working TB 12.31'!AP199-K63-1</f>
        <v>-4127451.78</v>
      </c>
      <c r="L55" s="47">
        <f>-' Working TB 12.31'!F199-L63-1</f>
        <v>2113115.9500000002</v>
      </c>
      <c r="M55" s="47">
        <f>-' Working TB 12.31'!T199-M63</f>
        <v>4105995.5999999992</v>
      </c>
      <c r="N55" s="47">
        <f>-' Working TB 12.31'!X199-N63</f>
        <v>-700606.10999999964</v>
      </c>
      <c r="O55" s="47">
        <f>-' Working TB 12.31'!AJ199-O63</f>
        <v>312941.50000000006</v>
      </c>
      <c r="P55" s="47">
        <f>-' Working TB 12.31'!BN199-P63</f>
        <v>-1389989.2700000003</v>
      </c>
      <c r="Q55" s="47">
        <f>-' Working TB 12.31'!P199-Q63</f>
        <v>-2900894.93</v>
      </c>
      <c r="R55" s="47">
        <f>-' Working TB 12.31'!AD199-R63</f>
        <v>-856154.64</v>
      </c>
      <c r="S55" s="47">
        <f>-' Working TB 12.31'!BJ199-S63</f>
        <v>6806976.6899999995</v>
      </c>
      <c r="T55" s="47">
        <f>-' Working TB 12.31'!BH199-T63</f>
        <v>5803715.25</v>
      </c>
      <c r="U55" s="47">
        <f>-' Working TB 12.31'!J199-U63</f>
        <v>527660.80000000051</v>
      </c>
      <c r="V55" s="47">
        <f>-' Working TB 12.31'!BT199-V63</f>
        <v>862760.95000000019</v>
      </c>
      <c r="W55" s="47">
        <f>-' Working TB 12.31'!BP199-W63</f>
        <v>839552.79999999993</v>
      </c>
      <c r="X55" s="47">
        <f>-' Working TB 12.31'!BR199-X63</f>
        <v>983085.45000000088</v>
      </c>
      <c r="Y55" s="47">
        <f>-' Working TB 12.31'!BD199-Y63</f>
        <v>6614896.2400000002</v>
      </c>
      <c r="Z55" s="47">
        <f>-' Working TB 12.31'!Z199-Z63</f>
        <v>1574689.2700000003</v>
      </c>
      <c r="AA55" s="47">
        <f>-' Working TB 12.31'!AZ199-AA63+1</f>
        <v>2335440.3400000008</v>
      </c>
      <c r="AB55" s="47">
        <f>-' Working TB 12.31'!AR199-AB63+1</f>
        <v>4717670.99</v>
      </c>
      <c r="AC55" s="47">
        <f>-' Working TB 12.31'!BF199-AC63</f>
        <v>7183710.8599999994</v>
      </c>
      <c r="AD55" s="47">
        <f>-' Working TB 12.31'!R199-AD63</f>
        <v>4789982.26</v>
      </c>
      <c r="AE55" s="47">
        <f>-' Working TB 12.31'!BB199-AE63</f>
        <v>2608304.2700000005</v>
      </c>
      <c r="AF55" s="47">
        <f>-' Working TB 12.31'!AL199-AF63</f>
        <v>3314776.85</v>
      </c>
      <c r="AG55" s="47">
        <f>-' Working TB 12.31'!BL199-AG63</f>
        <v>1411618.82</v>
      </c>
      <c r="AH55" s="47">
        <f>-' Working TB 12.31'!V199-AH63</f>
        <v>226358.00999999989</v>
      </c>
      <c r="AI55" s="47">
        <f>-' Working TB 12.31'!AX199-AI63</f>
        <v>3307120.5200000005</v>
      </c>
      <c r="AJ55" s="47">
        <f>-' Working TB 12.31'!AN199-AJ63</f>
        <v>885374.23999999941</v>
      </c>
      <c r="AK55" s="47">
        <f>SUMIF(B55:AJ55,"&lt;&gt;#N/A")</f>
        <v>10815978.9</v>
      </c>
      <c r="AL55" s="93">
        <f t="shared" ref="AL55" si="13">AK55</f>
        <v>10815978.9</v>
      </c>
    </row>
    <row r="56" spans="1:38" x14ac:dyDescent="0.2">
      <c r="A56" s="13"/>
      <c r="B56" s="31"/>
      <c r="C56" s="31"/>
      <c r="D56" s="31"/>
      <c r="E56" s="31"/>
      <c r="F56" s="31"/>
      <c r="G56" s="31"/>
      <c r="H56" s="31"/>
      <c r="I56" s="31"/>
      <c r="J56" s="31"/>
      <c r="K56" s="31"/>
      <c r="L56" s="31"/>
      <c r="M56" s="31"/>
      <c r="N56" s="31"/>
      <c r="O56" s="31"/>
      <c r="P56" s="31"/>
      <c r="Q56" s="31"/>
      <c r="R56" s="31"/>
      <c r="S56" s="31"/>
      <c r="T56" s="31"/>
      <c r="U56" s="31"/>
      <c r="V56" s="31"/>
      <c r="W56" s="31"/>
      <c r="X56" s="31"/>
      <c r="Y56" s="31"/>
      <c r="Z56" s="31"/>
      <c r="AA56" s="31"/>
      <c r="AB56" s="31"/>
      <c r="AC56" s="31"/>
      <c r="AD56" s="31"/>
      <c r="AE56" s="31"/>
      <c r="AF56" s="31"/>
      <c r="AG56" s="31"/>
      <c r="AH56" s="31"/>
      <c r="AI56" s="31"/>
      <c r="AJ56" s="31"/>
      <c r="AK56" s="31"/>
      <c r="AL56" s="92">
        <v>9999</v>
      </c>
    </row>
    <row r="57" spans="1:38" ht="15" x14ac:dyDescent="0.35">
      <c r="A57" s="13" t="s">
        <v>37</v>
      </c>
      <c r="B57" s="49">
        <f>+B53+B55</f>
        <v>6291931.2800000012</v>
      </c>
      <c r="C57" s="49">
        <f t="shared" ref="C57:AJ57" si="14">+C53+C55</f>
        <v>13396034.960000006</v>
      </c>
      <c r="D57" s="49">
        <f t="shared" si="14"/>
        <v>10969374.639999999</v>
      </c>
      <c r="E57" s="49">
        <f t="shared" si="14"/>
        <v>6510235.1999999983</v>
      </c>
      <c r="F57" s="49">
        <f t="shared" si="14"/>
        <v>3728991.5499999993</v>
      </c>
      <c r="G57" s="49">
        <f t="shared" si="14"/>
        <v>5162386.17</v>
      </c>
      <c r="H57" s="49">
        <f t="shared" si="14"/>
        <v>4461859.5199999996</v>
      </c>
      <c r="I57" s="49">
        <f t="shared" si="14"/>
        <v>5397081.3899999997</v>
      </c>
      <c r="J57" s="49">
        <f t="shared" si="14"/>
        <v>5070506.93</v>
      </c>
      <c r="K57" s="49">
        <f t="shared" si="14"/>
        <v>3581262.5100000002</v>
      </c>
      <c r="L57" s="49">
        <f t="shared" si="14"/>
        <v>7791912.5099999998</v>
      </c>
      <c r="M57" s="49">
        <f t="shared" si="14"/>
        <v>7363286.3899999987</v>
      </c>
      <c r="N57" s="49">
        <f t="shared" si="14"/>
        <v>4131293.41</v>
      </c>
      <c r="O57" s="49">
        <f t="shared" si="14"/>
        <v>3127618.5599999996</v>
      </c>
      <c r="P57" s="49">
        <f t="shared" si="14"/>
        <v>8392783.4700000007</v>
      </c>
      <c r="Q57" s="49">
        <f t="shared" si="14"/>
        <v>3224535.5999999982</v>
      </c>
      <c r="R57" s="49">
        <f t="shared" si="14"/>
        <v>2868473.1900000004</v>
      </c>
      <c r="S57" s="49">
        <f t="shared" si="14"/>
        <v>9114647.5700000003</v>
      </c>
      <c r="T57" s="49">
        <f t="shared" si="14"/>
        <v>7330383.3799999999</v>
      </c>
      <c r="U57" s="49">
        <f t="shared" si="14"/>
        <v>8738082.7800000012</v>
      </c>
      <c r="V57" s="49">
        <f t="shared" si="14"/>
        <v>7541280.9600000009</v>
      </c>
      <c r="W57" s="49">
        <f t="shared" si="14"/>
        <v>8196588.6799999997</v>
      </c>
      <c r="X57" s="49">
        <f t="shared" si="14"/>
        <v>8513375.410000002</v>
      </c>
      <c r="Y57" s="49">
        <f t="shared" si="14"/>
        <v>8912523.7100000009</v>
      </c>
      <c r="Z57" s="49">
        <f t="shared" si="14"/>
        <v>5391459.7200000007</v>
      </c>
      <c r="AA57" s="49">
        <f t="shared" si="14"/>
        <v>5807198.8400000017</v>
      </c>
      <c r="AB57" s="49">
        <f t="shared" si="14"/>
        <v>11906246.99</v>
      </c>
      <c r="AC57" s="49">
        <f t="shared" si="14"/>
        <v>12964467.499999998</v>
      </c>
      <c r="AD57" s="49">
        <f t="shared" si="14"/>
        <v>8045062.4100000001</v>
      </c>
      <c r="AE57" s="49">
        <f t="shared" si="14"/>
        <v>7387961.9700000007</v>
      </c>
      <c r="AF57" s="49">
        <f t="shared" si="14"/>
        <v>7358711.5199999996</v>
      </c>
      <c r="AG57" s="49">
        <f t="shared" si="14"/>
        <v>5797491.7599999998</v>
      </c>
      <c r="AH57" s="49">
        <f t="shared" si="14"/>
        <v>7673859.6900000004</v>
      </c>
      <c r="AI57" s="49">
        <f t="shared" si="14"/>
        <v>7734971.5700000012</v>
      </c>
      <c r="AJ57" s="49">
        <f t="shared" si="14"/>
        <v>9866088.2599999979</v>
      </c>
      <c r="AK57" s="49">
        <f>+AK53+AK55</f>
        <v>249749970.00000003</v>
      </c>
      <c r="AL57" s="93">
        <f t="shared" ref="AL57" si="15">AK57</f>
        <v>249749970.00000003</v>
      </c>
    </row>
    <row r="58" spans="1:38" hidden="1" x14ac:dyDescent="0.2">
      <c r="A58" s="13"/>
      <c r="B58" s="30"/>
      <c r="C58" s="30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  <c r="V58" s="30"/>
      <c r="W58" s="30"/>
      <c r="X58" s="30"/>
      <c r="Y58" s="30"/>
      <c r="Z58" s="30"/>
      <c r="AA58" s="30"/>
      <c r="AB58" s="30"/>
      <c r="AC58" s="30"/>
      <c r="AD58" s="29"/>
      <c r="AE58" s="29"/>
      <c r="AF58" s="29"/>
      <c r="AG58" s="29"/>
      <c r="AH58" s="29"/>
      <c r="AI58" s="29"/>
      <c r="AJ58" s="29"/>
      <c r="AK58" s="30"/>
    </row>
    <row r="59" spans="1:38" hidden="1" x14ac:dyDescent="0.2">
      <c r="A59" s="13"/>
      <c r="B59" s="30"/>
      <c r="C59" s="30"/>
      <c r="D59" s="30"/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30"/>
      <c r="T59" s="30"/>
      <c r="U59" s="30"/>
      <c r="V59" s="30"/>
      <c r="W59" s="30"/>
      <c r="X59" s="30"/>
      <c r="Y59" s="30"/>
      <c r="Z59" s="30"/>
      <c r="AA59" s="30"/>
      <c r="AB59" s="30"/>
      <c r="AC59" s="30"/>
      <c r="AD59" s="29"/>
      <c r="AE59" s="29"/>
      <c r="AF59" s="29"/>
      <c r="AG59" s="29"/>
      <c r="AH59" s="29"/>
      <c r="AI59" s="29"/>
      <c r="AJ59" s="29"/>
      <c r="AK59" s="30"/>
    </row>
    <row r="60" spans="1:38" x14ac:dyDescent="0.2">
      <c r="A60" s="13"/>
      <c r="B60" s="30"/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  <c r="V60" s="30"/>
      <c r="W60" s="30"/>
      <c r="X60" s="30"/>
      <c r="Y60" s="30"/>
      <c r="Z60" s="30"/>
      <c r="AA60" s="30"/>
      <c r="AB60" s="30"/>
      <c r="AC60" s="30"/>
      <c r="AD60" s="30"/>
      <c r="AE60" s="30"/>
      <c r="AF60" s="30"/>
      <c r="AG60" s="30"/>
      <c r="AH60" s="30"/>
      <c r="AI60" s="30"/>
      <c r="AJ60" s="30"/>
      <c r="AK60" s="30"/>
    </row>
    <row r="61" spans="1:38" x14ac:dyDescent="0.2">
      <c r="A61" s="37" t="s">
        <v>56</v>
      </c>
      <c r="B61" s="30">
        <f t="shared" ref="B61:AJ61" si="16">+B36-B57</f>
        <v>0</v>
      </c>
      <c r="C61" s="30">
        <f t="shared" si="16"/>
        <v>0</v>
      </c>
      <c r="D61" s="30">
        <f t="shared" si="16"/>
        <v>0</v>
      </c>
      <c r="E61" s="30">
        <f t="shared" si="16"/>
        <v>-9.9999988451600075E-3</v>
      </c>
      <c r="F61" s="30">
        <f t="shared" si="16"/>
        <v>0</v>
      </c>
      <c r="G61" s="30">
        <f t="shared" si="16"/>
        <v>0</v>
      </c>
      <c r="H61" s="30">
        <f t="shared" si="16"/>
        <v>0</v>
      </c>
      <c r="I61" s="30">
        <f t="shared" si="16"/>
        <v>0</v>
      </c>
      <c r="J61" s="30">
        <f t="shared" si="16"/>
        <v>0</v>
      </c>
      <c r="K61" s="30">
        <f t="shared" si="16"/>
        <v>0</v>
      </c>
      <c r="L61" s="30">
        <f t="shared" si="16"/>
        <v>0</v>
      </c>
      <c r="M61" s="30">
        <f t="shared" si="16"/>
        <v>0</v>
      </c>
      <c r="N61" s="30">
        <f t="shared" si="16"/>
        <v>0</v>
      </c>
      <c r="O61" s="30">
        <f t="shared" si="16"/>
        <v>0</v>
      </c>
      <c r="P61" s="30">
        <f t="shared" si="16"/>
        <v>0</v>
      </c>
      <c r="Q61" s="30">
        <f t="shared" si="16"/>
        <v>0</v>
      </c>
      <c r="R61" s="30">
        <f t="shared" si="16"/>
        <v>0</v>
      </c>
      <c r="S61" s="30">
        <f t="shared" si="16"/>
        <v>-9.9999997764825821E-3</v>
      </c>
      <c r="T61" s="30">
        <f t="shared" si="16"/>
        <v>0</v>
      </c>
      <c r="U61" s="30">
        <f t="shared" si="16"/>
        <v>0</v>
      </c>
      <c r="V61" s="30">
        <f t="shared" si="16"/>
        <v>0</v>
      </c>
      <c r="W61" s="30">
        <f t="shared" si="16"/>
        <v>0</v>
      </c>
      <c r="X61" s="30">
        <f t="shared" si="16"/>
        <v>0</v>
      </c>
      <c r="Y61" s="30">
        <f t="shared" si="16"/>
        <v>0</v>
      </c>
      <c r="Z61" s="30">
        <f t="shared" si="16"/>
        <v>0</v>
      </c>
      <c r="AA61" s="30">
        <f t="shared" si="16"/>
        <v>0</v>
      </c>
      <c r="AB61" s="30">
        <f t="shared" si="16"/>
        <v>0</v>
      </c>
      <c r="AC61" s="30">
        <f t="shared" si="16"/>
        <v>0</v>
      </c>
      <c r="AD61" s="30">
        <f t="shared" si="16"/>
        <v>0</v>
      </c>
      <c r="AE61" s="30">
        <f t="shared" si="16"/>
        <v>-0.12000000104308128</v>
      </c>
      <c r="AF61" s="30">
        <f t="shared" si="16"/>
        <v>0</v>
      </c>
      <c r="AG61" s="30">
        <f t="shared" si="16"/>
        <v>0</v>
      </c>
      <c r="AH61" s="30">
        <f t="shared" si="16"/>
        <v>0</v>
      </c>
      <c r="AI61" s="30">
        <f t="shared" si="16"/>
        <v>0</v>
      </c>
      <c r="AJ61" s="30">
        <f t="shared" si="16"/>
        <v>0</v>
      </c>
      <c r="AK61" s="30">
        <f>+AK36-AK57+1</f>
        <v>0.85999992489814758</v>
      </c>
    </row>
    <row r="62" spans="1:38" x14ac:dyDescent="0.2">
      <c r="B62" s="30"/>
      <c r="C62" s="30"/>
      <c r="D62" s="30"/>
      <c r="E62" s="30"/>
      <c r="F62" s="30"/>
      <c r="G62" s="30"/>
      <c r="H62" s="30"/>
      <c r="I62" s="30"/>
      <c r="J62" s="30"/>
      <c r="K62" s="30"/>
      <c r="L62" s="30"/>
      <c r="M62" s="30"/>
      <c r="N62" s="30"/>
      <c r="O62" s="30"/>
      <c r="P62" s="30"/>
      <c r="Q62" s="30"/>
      <c r="R62" s="30"/>
      <c r="S62" s="30"/>
      <c r="T62" s="30"/>
      <c r="U62" s="30"/>
      <c r="V62" s="30"/>
      <c r="W62" s="30"/>
      <c r="X62" s="30"/>
      <c r="Y62" s="30"/>
      <c r="Z62" s="30"/>
      <c r="AA62" s="30"/>
      <c r="AB62" s="30"/>
      <c r="AC62" s="30"/>
      <c r="AD62" s="29"/>
      <c r="AE62" s="29"/>
      <c r="AF62" s="29"/>
      <c r="AG62" s="29"/>
      <c r="AH62" s="29"/>
      <c r="AI62" s="29"/>
      <c r="AJ62" s="29"/>
      <c r="AK62" s="30"/>
    </row>
    <row r="63" spans="1:38" x14ac:dyDescent="0.2">
      <c r="A63" s="145" t="s">
        <v>1449</v>
      </c>
      <c r="B63" s="15">
        <v>155841.48000000007</v>
      </c>
      <c r="C63" s="15">
        <v>-16751.990000001362</v>
      </c>
      <c r="D63" s="15">
        <v>87268.329999999813</v>
      </c>
      <c r="E63" s="15">
        <v>-570501.43999999878</v>
      </c>
      <c r="F63" s="15">
        <v>120134.63999999984</v>
      </c>
      <c r="G63" s="15">
        <v>31020.079999999576</v>
      </c>
      <c r="H63" s="15">
        <v>-196580.55999999991</v>
      </c>
      <c r="I63" s="15">
        <f>'Actual TB as of 12.31'!C505</f>
        <v>170973.86999999982</v>
      </c>
      <c r="J63" s="15">
        <f>'Actual TB as of 12.31'!E505</f>
        <v>-153817.75999999992</v>
      </c>
      <c r="K63" s="15">
        <f>'Actual TB as of 12.31'!V505</f>
        <v>-94514.800000000294</v>
      </c>
      <c r="L63" s="15">
        <f>'Actual TB as of 12.31'!D505</f>
        <v>188460.15999999963</v>
      </c>
      <c r="M63" s="15">
        <f>'Actual TB as of 12.31'!K505</f>
        <v>205140.81000000008</v>
      </c>
      <c r="N63" s="15">
        <f>'Actual TB as of 12.31'!M505</f>
        <v>-60197.060000000231</v>
      </c>
      <c r="O63" s="15">
        <f>'Actual TB as of 12.31'!S505</f>
        <v>-5985.2500000000728</v>
      </c>
      <c r="P63" s="15">
        <f>'Actual TB as of 12.31'!AH505</f>
        <v>-405479.40999999986</v>
      </c>
      <c r="Q63" s="15">
        <f>'Actual TB as of 12.31'!I505</f>
        <v>-26144.45000000015</v>
      </c>
      <c r="R63" s="15">
        <f>'Actual TB as of 12.31'!P505</f>
        <v>-23964.930000000073</v>
      </c>
      <c r="S63" s="15">
        <f>'Actual TB as of 12.31'!AF505</f>
        <v>211218.31000000008</v>
      </c>
      <c r="T63" s="15">
        <f>'Actual TB as of 12.31'!AE505</f>
        <v>210854.53</v>
      </c>
      <c r="U63" s="15">
        <f>'Actual TB as of 12.31'!F505</f>
        <v>5045.8499999995092</v>
      </c>
      <c r="V63" s="15">
        <f>'Actual TB as of 12.31'!AK505</f>
        <v>176774.05999999985</v>
      </c>
      <c r="W63" s="15">
        <f>'Actual TB as of 12.31'!AI505</f>
        <v>4773.1900000001151</v>
      </c>
      <c r="X63" s="15">
        <f>'Actual TB as of 12.31'!AJ505</f>
        <v>37534.669999999147</v>
      </c>
      <c r="Y63" s="15">
        <f>'Actual TB as of 12.31'!AC505</f>
        <v>352623.34999999992</v>
      </c>
      <c r="Z63" s="15">
        <f>'Actual TB as of 12.31'!N505</f>
        <v>166162.86999999997</v>
      </c>
      <c r="AA63" s="15">
        <f>'Actual TB as of 12.31'!AA505</f>
        <v>55469.279999999308</v>
      </c>
      <c r="AB63" s="15">
        <f>'Actual TB as of 12.31'!W505</f>
        <v>329938.30999999971</v>
      </c>
      <c r="AC63" s="15">
        <f>'Actual TB as of 12.31'!AD505</f>
        <v>63668.140000000531</v>
      </c>
      <c r="AD63" s="146">
        <f>'Actual TB as of 12.31'!J505</f>
        <v>213707.25000000003</v>
      </c>
      <c r="AE63" s="146">
        <f>'Actual TB as of 12.31'!AB505</f>
        <v>2797.7299999992829</v>
      </c>
      <c r="AF63" s="146">
        <f>'Actual TB as of 12.31'!T505</f>
        <v>208008.1499999997</v>
      </c>
      <c r="AG63" s="146">
        <f>'Actual TB as of 12.31'!AG505</f>
        <v>-121934.4499999999</v>
      </c>
      <c r="AH63" s="146">
        <f>'Actual TB as of 12.31'!L505</f>
        <v>2409.3800000002229</v>
      </c>
      <c r="AI63" s="146">
        <f>'Actual TB as of 12.31'!Z505</f>
        <v>216729.29999999978</v>
      </c>
      <c r="AJ63" s="146">
        <f>'Actual TB as of 12.31'!U505</f>
        <v>29718.770000000619</v>
      </c>
      <c r="AK63" s="15"/>
      <c r="AL63" s="15"/>
    </row>
    <row r="64" spans="1:38" x14ac:dyDescent="0.2">
      <c r="I64" s="130"/>
    </row>
  </sheetData>
  <phoneticPr fontId="0" type="noConversion"/>
  <conditionalFormatting sqref="B61:GI61">
    <cfRule type="cellIs" dxfId="3" priority="3" stopIfTrue="1" operator="notEqual">
      <formula>0</formula>
    </cfRule>
  </conditionalFormatting>
  <conditionalFormatting sqref="A19:XFD19 A26:XFD32 A39:XFD51 A14:XFD17">
    <cfRule type="cellIs" dxfId="2" priority="2" operator="lessThan">
      <formula>0</formula>
    </cfRule>
  </conditionalFormatting>
  <conditionalFormatting sqref="A18">
    <cfRule type="cellIs" dxfId="1" priority="1" operator="lessThan">
      <formula>0</formula>
    </cfRule>
  </conditionalFormatting>
  <printOptions horizontalCentered="1"/>
  <pageMargins left="0.25" right="0.25" top="0.75" bottom="0.75" header="0.3" footer="0.3"/>
  <pageSetup scale="50" fitToWidth="0" orientation="landscape" draft="1" r:id="rId1"/>
  <headerFooter alignWithMargins="0">
    <oddHeader xml:space="preserve">&amp;CEnterprise Homes Preservation Fund, LLC
SUMMARIZED BALANCE SHEET
OPERATING PARTNERSHIPS - DETAILS
Unaudited
For period ending December 31, 2017
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M159"/>
  <sheetViews>
    <sheetView view="pageBreakPreview" topLeftCell="A2" zoomScaleNormal="100" zoomScaleSheetLayoutView="100" workbookViewId="0">
      <pane xSplit="1" topLeftCell="B1" activePane="topRight" state="frozen"/>
      <selection pane="topRight" activeCell="AJ35" sqref="AJ35"/>
    </sheetView>
  </sheetViews>
  <sheetFormatPr defaultColWidth="9.140625" defaultRowHeight="12.75" x14ac:dyDescent="0.2"/>
  <cols>
    <col min="1" max="1" width="45.140625" style="3" customWidth="1"/>
    <col min="2" max="37" width="16.5703125" style="3" customWidth="1"/>
    <col min="38" max="38" width="13" style="3" hidden="1" customWidth="1"/>
    <col min="39" max="39" width="0" style="3" hidden="1" customWidth="1"/>
    <col min="40" max="16384" width="9.140625" style="3"/>
  </cols>
  <sheetData>
    <row r="1" spans="1:39" x14ac:dyDescent="0.2">
      <c r="A1" s="34"/>
      <c r="B1" s="2"/>
      <c r="C1" s="2"/>
      <c r="D1" s="2"/>
      <c r="E1" s="2"/>
      <c r="F1" s="38"/>
      <c r="G1" s="2"/>
      <c r="H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9" x14ac:dyDescent="0.2">
      <c r="A2" s="1"/>
      <c r="B2" s="4"/>
      <c r="C2" s="4"/>
      <c r="D2" s="4"/>
      <c r="E2" s="4"/>
      <c r="F2" s="4"/>
      <c r="G2" s="4"/>
      <c r="H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</row>
    <row r="3" spans="1:39" x14ac:dyDescent="0.2">
      <c r="A3" s="1"/>
      <c r="B3" s="4"/>
      <c r="C3" s="4"/>
      <c r="D3" s="4"/>
      <c r="E3" s="4"/>
      <c r="F3" s="4"/>
      <c r="G3" s="4"/>
      <c r="H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</row>
    <row r="4" spans="1:39" x14ac:dyDescent="0.2">
      <c r="A4" s="5"/>
      <c r="B4" s="4"/>
      <c r="C4" s="4"/>
      <c r="D4" s="4"/>
      <c r="E4" s="4"/>
      <c r="F4" s="4"/>
      <c r="G4" s="4"/>
      <c r="H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</row>
    <row r="5" spans="1:39" x14ac:dyDescent="0.2">
      <c r="A5" s="5"/>
      <c r="B5" s="7"/>
      <c r="C5" s="7"/>
      <c r="D5" s="7"/>
      <c r="E5" s="7"/>
      <c r="F5" s="7"/>
      <c r="G5" s="7"/>
      <c r="H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</row>
    <row r="6" spans="1:39" x14ac:dyDescent="0.2">
      <c r="A6" s="6"/>
      <c r="B6" s="7"/>
      <c r="C6" s="7"/>
      <c r="D6" s="7"/>
      <c r="E6" s="7"/>
      <c r="F6" s="7"/>
      <c r="G6" s="7"/>
      <c r="H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</row>
    <row r="7" spans="1:39" x14ac:dyDescent="0.2">
      <c r="A7" s="33"/>
      <c r="F7" s="53"/>
    </row>
    <row r="8" spans="1:39" x14ac:dyDescent="0.2">
      <c r="A8" s="8"/>
      <c r="B8" s="39"/>
      <c r="C8" s="39"/>
      <c r="D8" s="39"/>
      <c r="E8" s="147"/>
      <c r="F8" s="147"/>
      <c r="G8" s="147"/>
      <c r="H8" s="147"/>
      <c r="I8" s="147"/>
      <c r="J8" s="147"/>
      <c r="K8" s="147"/>
      <c r="L8" s="147"/>
      <c r="M8" s="147"/>
      <c r="N8" s="147"/>
      <c r="O8" s="147"/>
      <c r="P8" s="147"/>
      <c r="Q8" s="147"/>
      <c r="R8" s="147"/>
      <c r="S8" s="147"/>
      <c r="T8" s="147"/>
      <c r="U8" s="147"/>
      <c r="V8" s="147"/>
      <c r="W8" s="147"/>
      <c r="X8" s="147"/>
      <c r="Y8" s="147"/>
      <c r="Z8" s="147"/>
      <c r="AA8" s="147"/>
      <c r="AB8" s="147"/>
      <c r="AC8" s="147"/>
      <c r="AD8" s="147"/>
      <c r="AE8" s="147"/>
      <c r="AF8" s="147"/>
      <c r="AG8" s="147"/>
      <c r="AH8" s="147"/>
      <c r="AI8" s="147"/>
      <c r="AJ8" s="147"/>
    </row>
    <row r="9" spans="1:39" x14ac:dyDescent="0.2">
      <c r="A9" s="50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/>
      <c r="AI9" s="43"/>
      <c r="AJ9" s="43"/>
      <c r="AK9" s="43"/>
    </row>
    <row r="10" spans="1:39" s="90" customFormat="1" ht="99.75" customHeight="1" x14ac:dyDescent="0.2">
      <c r="B10" s="88" t="str">
        <f>Main!$E20</f>
        <v>GLEN BURNIE LLLP</v>
      </c>
      <c r="C10" s="88" t="str">
        <f>Main!$E21</f>
        <v>COLLEGE PARKWAY LLLP</v>
      </c>
      <c r="D10" s="88" t="str">
        <f>Main!$E22</f>
        <v>WOODBRIDGE COMMONS LLLP</v>
      </c>
      <c r="E10" s="88" t="str">
        <f>Main!$E23</f>
        <v>HICKORY RIDGE VILLAGE LLLP</v>
      </c>
      <c r="F10" s="88" t="str">
        <f>Main!$E24</f>
        <v>COLDSPRING LIMITED PARTNERSHIP</v>
      </c>
      <c r="G10" s="88" t="str">
        <f>Main!$E25</f>
        <v>PARKVILLE LLLP</v>
      </c>
      <c r="H10" s="88" t="str">
        <f>Main!$E26</f>
        <v>WOODLAWN APARTMENTS LIMITED PARTNERSHIP</v>
      </c>
      <c r="I10" s="88" t="str">
        <f>Main!$E27</f>
        <v>PARK VIEW AT BEL AIR II LLLP</v>
      </c>
      <c r="J10" s="88" t="str">
        <f>Main!$E28</f>
        <v>ABINGDON II LLLP</v>
      </c>
      <c r="K10" s="88" t="str">
        <f>Main!$E29</f>
        <v>ELLICOTT CITY II LIMITED PARTNERSHIP</v>
      </c>
      <c r="L10" s="88" t="str">
        <f>Main!$E30</f>
        <v>BETHLEHEM VILLAGE LIMITED PARTNERSHIP</v>
      </c>
      <c r="M10" s="88" t="str">
        <f>Main!$E31</f>
        <v>LOWER SALFORD LIMITED PARTNERSHIP</v>
      </c>
      <c r="N10" s="88" t="str">
        <f>Main!$E32</f>
        <v>NAAMAN’S CREEK LIMITED PARTNERSHIP</v>
      </c>
      <c r="O10" s="88" t="str">
        <f>Main!$E33</f>
        <v>WEST MANCHESTER LIMITED PARTNERSHIP</v>
      </c>
      <c r="P10" s="88" t="str">
        <f>Main!$E34</f>
        <v>SOMERSET COMMONS LLLP</v>
      </c>
      <c r="Q10" s="88" t="str">
        <f>Main!$E35</f>
        <v>EASTON LIMITED PARTNERSHIP</v>
      </c>
      <c r="R10" s="88" t="str">
        <f>Main!$E36</f>
        <v>TYLER ROAD LIMITED PARTNERSHIP</v>
      </c>
      <c r="S10" s="88" t="str">
        <f>Main!$E37</f>
        <v>ASHLAND LLLP</v>
      </c>
      <c r="T10" s="88" t="str">
        <f>Main!$E38</f>
        <v>ASHLAND PARK VIEW LLLP</v>
      </c>
      <c r="U10" s="88" t="str">
        <f>Main!$E39</f>
        <v>CATONSVILLE LLLP</v>
      </c>
      <c r="V10" s="88" t="str">
        <f>Main!$E40</f>
        <v>FULLERTON LLLP</v>
      </c>
      <c r="W10" s="88" t="str">
        <f>Main!$E41</f>
        <v>RANDALLSTOWN LLLP</v>
      </c>
      <c r="X10" s="88" t="str">
        <f>Main!$E42</f>
        <v>ROSEDALE LLLP</v>
      </c>
      <c r="Y10" s="88" t="str">
        <f>Main!$E43</f>
        <v>SALISBURY LLLP</v>
      </c>
      <c r="Z10" s="88" t="str">
        <f>Main!$E44</f>
        <v>SNOWDEN RIVER LLLP</v>
      </c>
      <c r="AA10" s="88" t="str">
        <f>Main!$E45</f>
        <v>MIRAMAR LLLP</v>
      </c>
      <c r="AB10" s="88" t="str">
        <f>Main!$E46</f>
        <v>SEVERNA PARK LLLP</v>
      </c>
      <c r="AC10" s="88" t="str">
        <f>Main!$E47</f>
        <v>ABERDEEN COMMONS LLLP</v>
      </c>
      <c r="AD10" s="88" t="str">
        <f>Main!$E48</f>
        <v>EMERSON LLLP</v>
      </c>
      <c r="AE10" s="88" t="str">
        <f>Main!$E49</f>
        <v>SOUTH PANTOPS LIMITED PARTNERSHIP</v>
      </c>
      <c r="AF10" s="88" t="str">
        <f>Main!$E50</f>
        <v>YORK COMMONS LIMITED PARTNERSHIP LLLP</v>
      </c>
      <c r="AG10" s="88" t="str">
        <f>Main!$E51</f>
        <v>TIMOTHY HOUSE LLLP</v>
      </c>
      <c r="AH10" s="88" t="str">
        <f>Main!$E52</f>
        <v>COLUMBIA LLLP</v>
      </c>
      <c r="AI10" s="88" t="str">
        <f>Main!$E53</f>
        <v xml:space="preserve">CHELTENHAM PARK VIEW LIMITED PARTNERSHIP </v>
      </c>
      <c r="AJ10" s="88" t="str">
        <f>Main!$E54</f>
        <v>LAUREL LLLP</v>
      </c>
      <c r="AK10" s="89" t="s">
        <v>38</v>
      </c>
    </row>
    <row r="11" spans="1:39" s="9" customFormat="1" x14ac:dyDescent="0.2"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1"/>
      <c r="AL11" s="94" t="s">
        <v>68</v>
      </c>
      <c r="AM11" s="95"/>
    </row>
    <row r="12" spans="1:39" ht="15" customHeight="1" x14ac:dyDescent="0.2">
      <c r="A12" s="12" t="s">
        <v>39</v>
      </c>
      <c r="AL12" s="92">
        <v>9999</v>
      </c>
      <c r="AM12" s="92" t="s">
        <v>67</v>
      </c>
    </row>
    <row r="13" spans="1:39" ht="15" customHeight="1" x14ac:dyDescent="0.2">
      <c r="A13" s="13" t="s">
        <v>40</v>
      </c>
      <c r="B13" s="14">
        <f>' Working TB 12.31'!AT212</f>
        <v>395395.44999999995</v>
      </c>
      <c r="C13" s="14">
        <f>' Working TB 12.31'!L212</f>
        <v>1113300.45</v>
      </c>
      <c r="D13" s="14">
        <f>' Working TB 12.31'!AF212</f>
        <v>670291.51</v>
      </c>
      <c r="E13" s="14">
        <f>' Working TB 12.31'!AV212</f>
        <v>715644.00000000012</v>
      </c>
      <c r="F13" s="14">
        <f>' Working TB 12.31'!N212</f>
        <v>373341.00999999995</v>
      </c>
      <c r="G13" s="14">
        <f>' Working TB 12.31'!AB212</f>
        <v>435682.87999999995</v>
      </c>
      <c r="H13" s="14">
        <f>' Working TB 12.31'!AH212</f>
        <v>416479.32</v>
      </c>
      <c r="I13" s="14">
        <f>' Working TB 12.31'!D212</f>
        <v>427606.64</v>
      </c>
      <c r="J13" s="14">
        <f>' Working TB 12.31'!H212</f>
        <v>430642.36</v>
      </c>
      <c r="K13" s="14">
        <f>' Working TB 12.31'!AP212</f>
        <v>379012.9</v>
      </c>
      <c r="L13" s="14">
        <f>' Working TB 12.31'!F212</f>
        <v>414572.11</v>
      </c>
      <c r="M13" s="14">
        <f>' Working TB 12.31'!T212</f>
        <v>402853.64</v>
      </c>
      <c r="N13" s="14">
        <f>' Working TB 12.31'!X212</f>
        <v>294106.05</v>
      </c>
      <c r="O13" s="14">
        <f>' Working TB 12.31'!AJ212</f>
        <v>210725.02</v>
      </c>
      <c r="P13" s="14">
        <f>' Working TB 12.31'!BN212</f>
        <v>233270.46</v>
      </c>
      <c r="Q13" s="14">
        <f>' Working TB 12.31'!P212</f>
        <v>306496.15000000002</v>
      </c>
      <c r="R13" s="14">
        <f>' Working TB 12.31'!AD212</f>
        <v>254847.3</v>
      </c>
      <c r="S13" s="14">
        <f>' Working TB 12.31'!BJ212</f>
        <v>366379.79</v>
      </c>
      <c r="T13" s="14">
        <f>' Working TB 12.31'!BH212</f>
        <v>247240.82</v>
      </c>
      <c r="U13" s="14">
        <f>' Working TB 12.31'!J212</f>
        <v>446828.92</v>
      </c>
      <c r="V13" s="14">
        <f>' Working TB 12.31'!BT212</f>
        <v>388197.2</v>
      </c>
      <c r="W13" s="14">
        <f>' Working TB 12.31'!BP212</f>
        <v>467145.6</v>
      </c>
      <c r="X13" s="14">
        <f>' Working TB 12.31'!BR212</f>
        <v>433139.73</v>
      </c>
      <c r="Y13" s="14">
        <f>' Working TB 12.31'!BD212</f>
        <v>317894.48</v>
      </c>
      <c r="Z13" s="14">
        <f>' Working TB 12.31'!Z212</f>
        <v>398460</v>
      </c>
      <c r="AA13" s="14">
        <f>' Working TB 12.31'!AZ212</f>
        <v>419688.82</v>
      </c>
      <c r="AB13" s="14">
        <f>' Working TB 12.31'!AR212</f>
        <v>432579.84000000003</v>
      </c>
      <c r="AC13" s="14">
        <f>' Working TB 12.31'!BF212</f>
        <v>535130</v>
      </c>
      <c r="AD13" s="14">
        <f>' Working TB 12.31'!R212</f>
        <v>306508.09999999998</v>
      </c>
      <c r="AE13" s="14">
        <f>' Working TB 12.31'!BB212</f>
        <v>407445.99</v>
      </c>
      <c r="AF13" s="14">
        <f>' Working TB 12.31'!AL212</f>
        <v>368539.63</v>
      </c>
      <c r="AG13" s="14">
        <f>' Working TB 12.31'!BL212</f>
        <v>501357.83999999997</v>
      </c>
      <c r="AH13" s="14">
        <f>' Working TB 12.31'!V212</f>
        <v>480690.89999999997</v>
      </c>
      <c r="AI13" s="14">
        <f>' Working TB 12.31'!AX212</f>
        <v>284406</v>
      </c>
      <c r="AJ13" s="14">
        <f>' Working TB 12.31'!AN212</f>
        <v>651811.74</v>
      </c>
      <c r="AK13" s="14">
        <f>SUMIF(B13:AJ13,"&lt;&gt;#N/A")</f>
        <v>14927712.650000002</v>
      </c>
      <c r="AL13" s="93">
        <f>AK13</f>
        <v>14927712.650000002</v>
      </c>
      <c r="AM13" s="92">
        <f>COUNTA(B9:AK9)</f>
        <v>0</v>
      </c>
    </row>
    <row r="14" spans="1:39" ht="15" customHeight="1" x14ac:dyDescent="0.2">
      <c r="A14" s="13" t="s">
        <v>41</v>
      </c>
      <c r="B14" s="15">
        <f>' Working TB 12.31'!AT245</f>
        <v>264.17</v>
      </c>
      <c r="C14" s="15">
        <f>' Working TB 12.31'!L245</f>
        <v>0</v>
      </c>
      <c r="D14" s="15">
        <f>' Working TB 12.31'!AF245</f>
        <v>0</v>
      </c>
      <c r="E14" s="15">
        <f>' Working TB 12.31'!AV245</f>
        <v>179.10000000000002</v>
      </c>
      <c r="F14" s="15">
        <f>' Working TB 12.31'!N245</f>
        <v>81.080000000000013</v>
      </c>
      <c r="G14" s="15">
        <f>' Working TB 12.31'!AB245</f>
        <v>86.36</v>
      </c>
      <c r="H14" s="15">
        <f>' Working TB 12.31'!AH245</f>
        <v>86.82</v>
      </c>
      <c r="I14" s="15">
        <f>' Working TB 12.31'!D244</f>
        <v>0</v>
      </c>
      <c r="J14" s="15">
        <f>' Working TB 12.31'!H245</f>
        <v>0</v>
      </c>
      <c r="K14" s="15">
        <f>' Working TB 12.31'!AP245</f>
        <v>65.63</v>
      </c>
      <c r="L14" s="15">
        <f>' Working TB 12.31'!F245</f>
        <v>2061</v>
      </c>
      <c r="M14" s="15">
        <f>' Working TB 12.31'!T245</f>
        <v>2025</v>
      </c>
      <c r="N14" s="15">
        <f>' Working TB 12.31'!X245</f>
        <v>1860</v>
      </c>
      <c r="O14" s="15">
        <f>' Working TB 12.31'!AJ245</f>
        <v>1174</v>
      </c>
      <c r="P14" s="15">
        <f>' Working TB 12.31'!BN245</f>
        <v>0</v>
      </c>
      <c r="Q14" s="15">
        <f>' Working TB 12.31'!P245</f>
        <v>0</v>
      </c>
      <c r="R14" s="15">
        <f>' Working TB 12.31'!AD245</f>
        <v>1699</v>
      </c>
      <c r="S14" s="15">
        <f>' Working TB 12.31'!BJ245</f>
        <v>62.32</v>
      </c>
      <c r="T14" s="15">
        <f>' Working TB 12.31'!BH245</f>
        <v>5.6</v>
      </c>
      <c r="U14" s="15">
        <f>' Working TB 12.31'!J245</f>
        <v>64.48</v>
      </c>
      <c r="V14" s="15">
        <f>' Working TB 12.31'!BT245</f>
        <v>1166.3499999999999</v>
      </c>
      <c r="W14" s="15">
        <f>' Working TB 12.31'!BP245</f>
        <v>1580.85</v>
      </c>
      <c r="X14" s="15">
        <f>' Working TB 12.31'!BR245</f>
        <v>1486.5900000000001</v>
      </c>
      <c r="Y14" s="15">
        <f>' Working TB 12.31'!BD245</f>
        <v>125.72</v>
      </c>
      <c r="Z14" s="15">
        <f>' Working TB 12.31'!Z245</f>
        <v>48.24</v>
      </c>
      <c r="AA14" s="15">
        <f>' Working TB 12.31'!AZ245</f>
        <v>5.49</v>
      </c>
      <c r="AB14" s="15">
        <f>' Working TB 12.31'!AR245</f>
        <v>313.97999999999996</v>
      </c>
      <c r="AC14" s="15">
        <f>' Working TB 12.31'!BF245</f>
        <v>93.48</v>
      </c>
      <c r="AD14" s="15">
        <f>' Working TB 12.31'!R245</f>
        <v>0</v>
      </c>
      <c r="AE14" s="15">
        <f>' Working TB 12.31'!BB245</f>
        <v>56.22</v>
      </c>
      <c r="AF14" s="15">
        <f>' Working TB 12.31'!AL245</f>
        <v>2426.0300000000002</v>
      </c>
      <c r="AG14" s="15">
        <f>' Working TB 12.31'!BL245</f>
        <v>101.1</v>
      </c>
      <c r="AH14" s="15">
        <f>' Working TB 12.31'!V245</f>
        <v>2002.95</v>
      </c>
      <c r="AI14" s="15">
        <f>' Working TB 12.31'!AX245</f>
        <v>1151.76</v>
      </c>
      <c r="AJ14" s="15">
        <f>' Working TB 12.31'!AN245</f>
        <v>2047.68</v>
      </c>
      <c r="AK14" s="15">
        <f>SUMIF(B14:AJ14,"&lt;&gt;#N/A")</f>
        <v>22320.999999999996</v>
      </c>
      <c r="AL14" s="93">
        <f t="shared" ref="AL14:AL16" si="0">AK14</f>
        <v>22320.999999999996</v>
      </c>
      <c r="AM14" s="92"/>
    </row>
    <row r="15" spans="1:39" ht="15" customHeight="1" x14ac:dyDescent="0.35">
      <c r="A15" s="13" t="s">
        <v>42</v>
      </c>
      <c r="B15" s="144">
        <f>' Working TB 12.31'!AT223</f>
        <v>10712.310000000001</v>
      </c>
      <c r="C15" s="42">
        <f>' Working TB 12.31'!L219</f>
        <v>13596.380000000001</v>
      </c>
      <c r="D15" s="42">
        <f>' Working TB 12.31'!AF222</f>
        <v>11460.91</v>
      </c>
      <c r="E15" s="42">
        <f>' Working TB 12.31'!AV219</f>
        <v>24903.5</v>
      </c>
      <c r="F15" s="42">
        <f>' Working TB 12.31'!N222</f>
        <v>9422.24</v>
      </c>
      <c r="G15" s="42">
        <f>' Working TB 12.31'!AB223</f>
        <v>8144.92</v>
      </c>
      <c r="H15" s="42">
        <f>' Working TB 12.31'!AH222</f>
        <v>5701.13</v>
      </c>
      <c r="I15" s="42">
        <f>' Working TB 12.31'!D222</f>
        <v>10763.93</v>
      </c>
      <c r="J15" s="42">
        <f>' Working TB 12.31'!H222</f>
        <v>8776.25</v>
      </c>
      <c r="K15" s="42">
        <f>' Working TB 12.31'!AP222</f>
        <v>6477.77</v>
      </c>
      <c r="L15" s="42">
        <f>' Working TB 12.31'!F222</f>
        <v>3991.36</v>
      </c>
      <c r="M15" s="42">
        <f>' Working TB 12.31'!T222</f>
        <v>10336.16</v>
      </c>
      <c r="N15" s="42">
        <f>' Working TB 12.31'!X222</f>
        <v>9772.93</v>
      </c>
      <c r="O15" s="42">
        <f>' Working TB 12.31'!AJ222</f>
        <v>6004.2900000000009</v>
      </c>
      <c r="P15" s="42">
        <f>' Working TB 12.31'!BN221</f>
        <v>218856.36</v>
      </c>
      <c r="Q15" s="42">
        <f>' Working TB 12.31'!P222</f>
        <v>9470.7000000000007</v>
      </c>
      <c r="R15" s="42">
        <f>' Working TB 12.31'!AD222</f>
        <v>6771.17</v>
      </c>
      <c r="S15" s="42">
        <f>' Working TB 12.31'!BJ223</f>
        <v>9880.98</v>
      </c>
      <c r="T15" s="42">
        <f>' Working TB 12.31'!BH222</f>
        <v>6134.58</v>
      </c>
      <c r="U15" s="42">
        <f>' Working TB 12.31'!J223</f>
        <v>13063.51</v>
      </c>
      <c r="V15" s="42">
        <f>' Working TB 12.31'!BT222</f>
        <v>8317.69</v>
      </c>
      <c r="W15" s="42">
        <f>' Working TB 12.31'!BP222</f>
        <v>10113.81</v>
      </c>
      <c r="X15" s="42">
        <f>' Working TB 12.31'!BR222</f>
        <v>9166.41</v>
      </c>
      <c r="Y15" s="42">
        <f>' Working TB 12.31'!BD222</f>
        <v>12162.37</v>
      </c>
      <c r="Z15" s="42">
        <f>' Working TB 12.31'!Z222</f>
        <v>7052.3099999999995</v>
      </c>
      <c r="AA15" s="42">
        <f>' Working TB 12.31'!AZ222</f>
        <v>9597.9</v>
      </c>
      <c r="AB15" s="42">
        <f>' Working TB 12.31'!AR222</f>
        <v>2859.02</v>
      </c>
      <c r="AC15" s="42">
        <f>' Working TB 12.31'!BF222</f>
        <v>11943.48</v>
      </c>
      <c r="AD15" s="42">
        <f>' Working TB 12.31'!R222</f>
        <v>4465.2100000000009</v>
      </c>
      <c r="AE15" s="42">
        <f>' Working TB 12.31'!BB222</f>
        <v>8864.58</v>
      </c>
      <c r="AF15" s="42">
        <f>' Working TB 12.31'!AL222</f>
        <v>11685.95</v>
      </c>
      <c r="AG15" s="42">
        <f>' Working TB 12.31'!BL222</f>
        <v>18616.629999999997</v>
      </c>
      <c r="AH15" s="42">
        <f>' Working TB 12.31'!V222</f>
        <v>12299.81</v>
      </c>
      <c r="AI15" s="42">
        <f>' Working TB 12.31'!AX222</f>
        <v>6492.3</v>
      </c>
      <c r="AJ15" s="42">
        <f>' Working TB 12.31'!AN223</f>
        <v>11773.84</v>
      </c>
      <c r="AK15" s="42">
        <f>SUMIF(B15:AJ15,"&lt;&gt;#N/A")</f>
        <v>549652.69000000006</v>
      </c>
      <c r="AL15" s="93">
        <f t="shared" si="0"/>
        <v>549652.69000000006</v>
      </c>
      <c r="AM15" s="92"/>
    </row>
    <row r="16" spans="1:39" ht="15" customHeight="1" x14ac:dyDescent="0.2">
      <c r="A16" s="13"/>
      <c r="B16" s="19">
        <f t="shared" ref="B16:AF16" si="1">SUM(B13:B15)</f>
        <v>406371.92999999993</v>
      </c>
      <c r="C16" s="19">
        <f t="shared" si="1"/>
        <v>1126896.8299999998</v>
      </c>
      <c r="D16" s="19">
        <f t="shared" si="1"/>
        <v>681752.42</v>
      </c>
      <c r="E16" s="19">
        <f t="shared" si="1"/>
        <v>740726.60000000009</v>
      </c>
      <c r="F16" s="19">
        <f t="shared" si="1"/>
        <v>382844.32999999996</v>
      </c>
      <c r="G16" s="19">
        <f t="shared" si="1"/>
        <v>443914.15999999992</v>
      </c>
      <c r="H16" s="19">
        <f t="shared" si="1"/>
        <v>422267.27</v>
      </c>
      <c r="I16" s="19">
        <f t="shared" si="1"/>
        <v>438370.57</v>
      </c>
      <c r="J16" s="19">
        <f t="shared" si="1"/>
        <v>439418.61</v>
      </c>
      <c r="K16" s="19">
        <f t="shared" si="1"/>
        <v>385556.30000000005</v>
      </c>
      <c r="L16" s="19">
        <f t="shared" si="1"/>
        <v>420624.47</v>
      </c>
      <c r="M16" s="19">
        <f t="shared" si="1"/>
        <v>415214.8</v>
      </c>
      <c r="N16" s="19">
        <f t="shared" si="1"/>
        <v>305738.98</v>
      </c>
      <c r="O16" s="19">
        <f t="shared" si="1"/>
        <v>217903.31</v>
      </c>
      <c r="P16" s="19">
        <f t="shared" si="1"/>
        <v>452126.81999999995</v>
      </c>
      <c r="Q16" s="19">
        <f t="shared" si="1"/>
        <v>315966.85000000003</v>
      </c>
      <c r="R16" s="19">
        <f t="shared" si="1"/>
        <v>263317.46999999997</v>
      </c>
      <c r="S16" s="19">
        <f t="shared" si="1"/>
        <v>376323.08999999997</v>
      </c>
      <c r="T16" s="19">
        <f t="shared" si="1"/>
        <v>253381</v>
      </c>
      <c r="U16" s="19">
        <f t="shared" si="1"/>
        <v>459956.91</v>
      </c>
      <c r="V16" s="19">
        <f t="shared" si="1"/>
        <v>397681.24</v>
      </c>
      <c r="W16" s="19">
        <f t="shared" si="1"/>
        <v>478840.25999999995</v>
      </c>
      <c r="X16" s="19">
        <f t="shared" si="1"/>
        <v>443792.73</v>
      </c>
      <c r="Y16" s="19">
        <f t="shared" si="1"/>
        <v>330182.56999999995</v>
      </c>
      <c r="Z16" s="19">
        <f t="shared" si="1"/>
        <v>405560.55</v>
      </c>
      <c r="AA16" s="19">
        <f t="shared" si="1"/>
        <v>429292.21</v>
      </c>
      <c r="AB16" s="19">
        <f t="shared" si="1"/>
        <v>435752.84</v>
      </c>
      <c r="AC16" s="19">
        <f t="shared" si="1"/>
        <v>547166.96</v>
      </c>
      <c r="AD16" s="19">
        <f t="shared" si="1"/>
        <v>310973.31</v>
      </c>
      <c r="AE16" s="19">
        <f t="shared" si="1"/>
        <v>416366.79</v>
      </c>
      <c r="AF16" s="19">
        <f t="shared" si="1"/>
        <v>382651.61000000004</v>
      </c>
      <c r="AG16" s="19">
        <f t="shared" ref="AG16:AJ16" si="2">SUM(AG13:AG15)</f>
        <v>520075.56999999995</v>
      </c>
      <c r="AH16" s="19">
        <f t="shared" si="2"/>
        <v>494993.66</v>
      </c>
      <c r="AI16" s="19">
        <f t="shared" si="2"/>
        <v>292050.06</v>
      </c>
      <c r="AJ16" s="19">
        <f t="shared" si="2"/>
        <v>665633.26</v>
      </c>
      <c r="AK16" s="19">
        <f t="shared" ref="AK16" si="3">SUM(AK13:AK15)</f>
        <v>15499686.340000002</v>
      </c>
      <c r="AL16" s="93">
        <f t="shared" si="0"/>
        <v>15499686.340000002</v>
      </c>
      <c r="AM16" s="92"/>
    </row>
    <row r="17" spans="1:39" ht="15" customHeight="1" x14ac:dyDescent="0.2"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92">
        <v>9999</v>
      </c>
      <c r="AM17" s="92"/>
    </row>
    <row r="18" spans="1:39" ht="15" customHeight="1" x14ac:dyDescent="0.2">
      <c r="A18" s="12" t="s">
        <v>43</v>
      </c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92">
        <v>9999</v>
      </c>
      <c r="AM18" s="92"/>
    </row>
    <row r="19" spans="1:39" ht="15" customHeight="1" x14ac:dyDescent="0.2">
      <c r="A19" s="13" t="s">
        <v>44</v>
      </c>
      <c r="B19" s="15">
        <f>' Working TB 12.31'!AT395</f>
        <v>24119.32</v>
      </c>
      <c r="C19" s="15">
        <f>' Working TB 12.31'!L395</f>
        <v>46510.979999999996</v>
      </c>
      <c r="D19" s="15">
        <f>' Working TB 12.31'!AF395</f>
        <v>33651.990000000005</v>
      </c>
      <c r="E19" s="15">
        <f>' Working TB 12.31'!AV395</f>
        <v>44156.17</v>
      </c>
      <c r="F19" s="15">
        <f>' Working TB 12.31'!N395</f>
        <v>22559.190000000002</v>
      </c>
      <c r="G19" s="15">
        <f>' Working TB 12.31'!AB395</f>
        <v>24428.32</v>
      </c>
      <c r="H19" s="15">
        <f>' Working TB 12.31'!AH395</f>
        <v>23479.43</v>
      </c>
      <c r="I19" s="15">
        <f>' Working TB 12.31'!D395</f>
        <v>23903.58</v>
      </c>
      <c r="J19" s="15">
        <f>' Working TB 12.31'!H395</f>
        <v>24239.47</v>
      </c>
      <c r="K19" s="15">
        <f>' Working TB 12.31'!AP395</f>
        <v>22203.020000000004</v>
      </c>
      <c r="L19" s="15">
        <f>' Working TB 12.31'!F395</f>
        <v>16915.390000000003</v>
      </c>
      <c r="M19" s="15">
        <f>' Working TB 12.31'!T395</f>
        <v>16227.699999999999</v>
      </c>
      <c r="N19" s="15">
        <f>' Working TB 12.31'!X395</f>
        <v>15193.07</v>
      </c>
      <c r="O19" s="15">
        <f>' Working TB 12.31'!AJ395</f>
        <v>13713.32</v>
      </c>
      <c r="P19" s="15">
        <f>' Working TB 12.31'!BN395</f>
        <v>19920.310000000001</v>
      </c>
      <c r="Q19" s="15">
        <f>' Working TB 12.31'!P395</f>
        <v>19475.37</v>
      </c>
      <c r="R19" s="15">
        <f>' Working TB 12.31'!AD395</f>
        <v>14390.409999999998</v>
      </c>
      <c r="S19" s="15">
        <f>' Working TB 12.31'!BJ395</f>
        <v>7856.53</v>
      </c>
      <c r="T19" s="15">
        <f>' Working TB 12.31'!BH395</f>
        <v>6533.75</v>
      </c>
      <c r="U19" s="15">
        <f>' Working TB 12.31'!J395</f>
        <v>7369.88</v>
      </c>
      <c r="V19" s="15">
        <f>' Working TB 12.31'!BT395</f>
        <v>8457.7799999999988</v>
      </c>
      <c r="W19" s="15">
        <f>' Working TB 12.31'!BP395</f>
        <v>8104.3499999999995</v>
      </c>
      <c r="X19" s="15">
        <f>' Working TB 12.31'!BR395</f>
        <v>8662.119999999999</v>
      </c>
      <c r="Y19" s="15">
        <f>' Working TB 12.31'!BD395</f>
        <v>10949.39</v>
      </c>
      <c r="Z19" s="15">
        <f>' Working TB 12.31'!Z395</f>
        <v>7593.0499999999993</v>
      </c>
      <c r="AA19" s="15">
        <f>' Working TB 12.31'!AZ395</f>
        <v>7348.07</v>
      </c>
      <c r="AB19" s="15">
        <f>' Working TB 12.31'!AR395</f>
        <v>3847.7999999999997</v>
      </c>
      <c r="AC19" s="15">
        <f>' Working TB 12.31'!BF395</f>
        <v>8526.4699999999993</v>
      </c>
      <c r="AD19" s="15">
        <f>' Working TB 12.31'!R395</f>
        <v>4244.5</v>
      </c>
      <c r="AE19" s="15">
        <f>' Working TB 12.31'!BB395</f>
        <v>3720.12</v>
      </c>
      <c r="AF19" s="15">
        <f>' Working TB 12.31'!AL395</f>
        <v>5380.7400000000007</v>
      </c>
      <c r="AG19" s="15">
        <f>' Working TB 12.31'!BL395</f>
        <v>8403.08</v>
      </c>
      <c r="AH19" s="15">
        <f>' Working TB 12.31'!V395</f>
        <v>7564.75</v>
      </c>
      <c r="AI19" s="15">
        <f>' Working TB 12.31'!AX395</f>
        <v>3707.9900000000002</v>
      </c>
      <c r="AJ19" s="15">
        <f>' Working TB 12.31'!AN395</f>
        <v>12888.400000000001</v>
      </c>
      <c r="AK19" s="15">
        <f t="shared" ref="AK19:AK30" si="4">SUMIF(B19:AJ19,"&lt;&gt;#N/A")</f>
        <v>536245.80999999994</v>
      </c>
      <c r="AL19" s="93">
        <f t="shared" ref="AL19:AL33" si="5">AK19</f>
        <v>536245.80999999994</v>
      </c>
      <c r="AM19" s="92"/>
    </row>
    <row r="20" spans="1:39" ht="15" customHeight="1" x14ac:dyDescent="0.2">
      <c r="A20" s="13" t="s">
        <v>45</v>
      </c>
      <c r="B20" s="15">
        <f>' Working TB 12.31'!AT257</f>
        <v>61358.950000000004</v>
      </c>
      <c r="C20" s="15">
        <f>' Working TB 12.31'!L256</f>
        <v>114523.90000000001</v>
      </c>
      <c r="D20" s="15">
        <f>' Working TB 12.31'!AF256</f>
        <v>104764.43000000002</v>
      </c>
      <c r="E20" s="15">
        <f>' Working TB 12.31'!AV256</f>
        <v>60443.26999999999</v>
      </c>
      <c r="F20" s="15">
        <f>' Working TB 12.31'!N256</f>
        <v>61263.749999999985</v>
      </c>
      <c r="G20" s="15">
        <f>' Working TB 12.31'!AB256</f>
        <v>52232.020000000011</v>
      </c>
      <c r="H20" s="15">
        <f>' Working TB 12.31'!AH256</f>
        <v>54839.38</v>
      </c>
      <c r="I20" s="15">
        <f>' Working TB 12.31'!D256</f>
        <v>54956.779999999984</v>
      </c>
      <c r="J20" s="15">
        <f>' Working TB 12.31'!H256</f>
        <v>51740.589999999989</v>
      </c>
      <c r="K20" s="15">
        <f>' Working TB 12.31'!AP256</f>
        <v>53872.719999999994</v>
      </c>
      <c r="L20" s="15">
        <f>' Working TB 12.31'!F256</f>
        <v>56318.560000000012</v>
      </c>
      <c r="M20" s="15">
        <f>' Working TB 12.31'!T256</f>
        <v>73716.86000000003</v>
      </c>
      <c r="N20" s="15">
        <f>' Working TB 12.31'!X256</f>
        <v>46549.489999999991</v>
      </c>
      <c r="O20" s="15">
        <f>' Working TB 12.31'!AJ256</f>
        <v>34736.119999999995</v>
      </c>
      <c r="P20" s="15">
        <f>' Working TB 12.31'!BN256</f>
        <v>46420.819999999985</v>
      </c>
      <c r="Q20" s="15">
        <f>' Working TB 12.31'!P256</f>
        <v>56447.109999999986</v>
      </c>
      <c r="R20" s="15">
        <f>' Working TB 12.31'!AD256</f>
        <v>43346.569999999985</v>
      </c>
      <c r="S20" s="15">
        <f>' Working TB 12.31'!BJ256</f>
        <v>68520.33</v>
      </c>
      <c r="T20" s="15">
        <f>' Working TB 12.31'!BH256</f>
        <v>44473.210000000006</v>
      </c>
      <c r="U20" s="15">
        <f>' Working TB 12.31'!J256</f>
        <v>66635.69</v>
      </c>
      <c r="V20" s="15">
        <f>' Working TB 12.31'!BT256</f>
        <v>49031.779999999992</v>
      </c>
      <c r="W20" s="15">
        <f>' Working TB 12.31'!BP256</f>
        <v>59354.569999999985</v>
      </c>
      <c r="X20" s="15">
        <f>' Working TB 12.31'!BR256</f>
        <v>55183.760000000009</v>
      </c>
      <c r="Y20" s="15">
        <f>' Working TB 12.31'!BD256</f>
        <v>84044.590000000011</v>
      </c>
      <c r="Z20" s="15">
        <f>' Working TB 12.31'!Z256</f>
        <v>54000.5</v>
      </c>
      <c r="AA20" s="15">
        <f>' Working TB 12.31'!AZ256</f>
        <v>57997.32</v>
      </c>
      <c r="AB20" s="15">
        <f>' Working TB 12.31'!AR256</f>
        <v>51598.19000000001</v>
      </c>
      <c r="AC20" s="15">
        <f>' Working TB 12.31'!BF256</f>
        <v>66375.190000000017</v>
      </c>
      <c r="AD20" s="15">
        <f>' Working TB 12.31'!R256</f>
        <v>52647.01999999999</v>
      </c>
      <c r="AE20" s="15">
        <f>' Working TB 12.31'!BB256</f>
        <v>52185.400000000009</v>
      </c>
      <c r="AF20" s="15">
        <f>' Working TB 12.31'!AL256</f>
        <v>76072.300000000032</v>
      </c>
      <c r="AG20" s="15">
        <f>' Working TB 12.31'!BL256</f>
        <v>69816.680000000008</v>
      </c>
      <c r="AH20" s="15">
        <f>' Working TB 12.31'!V256</f>
        <v>63652.080000000009</v>
      </c>
      <c r="AI20" s="15">
        <f>' Working TB 12.31'!AX256</f>
        <v>41640.379999999997</v>
      </c>
      <c r="AJ20" s="15">
        <f>' Working TB 12.31'!AN255</f>
        <v>92221.53</v>
      </c>
      <c r="AK20" s="15">
        <f t="shared" si="4"/>
        <v>2132981.84</v>
      </c>
      <c r="AL20" s="93">
        <f t="shared" si="5"/>
        <v>2132981.84</v>
      </c>
      <c r="AM20" s="92"/>
    </row>
    <row r="21" spans="1:39" ht="15" customHeight="1" x14ac:dyDescent="0.2">
      <c r="A21" s="13" t="s">
        <v>46</v>
      </c>
      <c r="B21" s="15">
        <f>' Working TB 12.31'!AT331</f>
        <v>21194.45</v>
      </c>
      <c r="C21" s="15">
        <f>' Working TB 12.31'!L331</f>
        <v>44100.42</v>
      </c>
      <c r="D21" s="15">
        <f>' Working TB 12.31'!AF331</f>
        <v>42531.469999999994</v>
      </c>
      <c r="E21" s="15">
        <f>' Working TB 12.31'!AV331</f>
        <v>46513.45</v>
      </c>
      <c r="F21" s="15">
        <f>' Working TB 12.31'!N331</f>
        <v>8949.36</v>
      </c>
      <c r="G21" s="15">
        <f>' Working TB 12.31'!AB331</f>
        <v>12869.04</v>
      </c>
      <c r="H21" s="15">
        <f>' Working TB 12.31'!AH331</f>
        <v>19294.629999999997</v>
      </c>
      <c r="I21" s="15">
        <f>' Working TB 12.31'!D331</f>
        <v>27457.570000000003</v>
      </c>
      <c r="J21" s="15">
        <f>' Working TB 12.31'!H331</f>
        <v>22280.559999999998</v>
      </c>
      <c r="K21" s="15">
        <f>' Working TB 12.31'!AP331</f>
        <v>17820.849999999999</v>
      </c>
      <c r="L21" s="15">
        <f>' Working TB 12.31'!F331</f>
        <v>27598.309999999998</v>
      </c>
      <c r="M21" s="15">
        <f>' Working TB 12.31'!T331</f>
        <v>41473.429999999993</v>
      </c>
      <c r="N21" s="15">
        <f>' Working TB 12.31'!X331</f>
        <v>28935.200000000001</v>
      </c>
      <c r="O21" s="15">
        <f>' Working TB 12.31'!AJ331</f>
        <v>30265.71</v>
      </c>
      <c r="P21" s="15">
        <f>' Working TB 12.31'!BN331</f>
        <v>19585.899999999994</v>
      </c>
      <c r="Q21" s="15">
        <f>' Working TB 12.31'!P331</f>
        <v>32737.150000000005</v>
      </c>
      <c r="R21" s="15">
        <f>' Working TB 12.31'!AD331</f>
        <v>34546.07</v>
      </c>
      <c r="S21" s="15">
        <f>' Working TB 12.31'!BJ331</f>
        <v>28275.850000000002</v>
      </c>
      <c r="T21" s="15">
        <f>' Working TB 12.31'!BH331</f>
        <v>31346.440000000002</v>
      </c>
      <c r="U21" s="15">
        <f>' Working TB 12.31'!J331</f>
        <v>19279.229999999996</v>
      </c>
      <c r="V21" s="15">
        <f>' Working TB 12.31'!BT331</f>
        <v>15092.12</v>
      </c>
      <c r="W21" s="15">
        <f>' Working TB 12.31'!BP331</f>
        <v>14091.869999999999</v>
      </c>
      <c r="X21" s="15">
        <f>' Working TB 12.31'!BR331</f>
        <v>16353.26</v>
      </c>
      <c r="Y21" s="15">
        <f>' Working TB 12.31'!BD331</f>
        <v>28424.510000000002</v>
      </c>
      <c r="Z21" s="15">
        <f>' Working TB 12.31'!Z331</f>
        <v>22626.05</v>
      </c>
      <c r="AA21" s="15">
        <f>' Working TB 12.31'!AZ331</f>
        <v>19821.55</v>
      </c>
      <c r="AB21" s="15">
        <f>' Working TB 12.31'!AR331</f>
        <v>16786.920000000002</v>
      </c>
      <c r="AC21" s="15">
        <f>' Working TB 12.31'!BF331</f>
        <v>19696.819999999996</v>
      </c>
      <c r="AD21" s="15">
        <f>' Working TB 12.31'!R331</f>
        <v>20523.27</v>
      </c>
      <c r="AE21" s="15">
        <f>' Working TB 12.31'!BB331</f>
        <v>20933.339999999997</v>
      </c>
      <c r="AF21" s="15">
        <f>' Working TB 12.31'!AL331</f>
        <v>45523.49</v>
      </c>
      <c r="AG21" s="15">
        <f>' Working TB 12.31'!BL331</f>
        <v>28148.609999999997</v>
      </c>
      <c r="AH21" s="15">
        <f>' Working TB 12.31'!V331</f>
        <v>13288.370000000003</v>
      </c>
      <c r="AI21" s="15">
        <f>' Working TB 12.31'!AX331</f>
        <v>30870.799999999996</v>
      </c>
      <c r="AJ21" s="15">
        <f>' Working TB 12.31'!AN331</f>
        <v>26431.450000000004</v>
      </c>
      <c r="AK21" s="15">
        <f t="shared" si="4"/>
        <v>895667.52</v>
      </c>
      <c r="AL21" s="93">
        <f t="shared" si="5"/>
        <v>895667.52</v>
      </c>
      <c r="AM21" s="92"/>
    </row>
    <row r="22" spans="1:39" ht="15" customHeight="1" x14ac:dyDescent="0.2">
      <c r="A22" s="13" t="s">
        <v>47</v>
      </c>
      <c r="B22" s="15">
        <f>' Working TB 12.31'!AT251</f>
        <v>46856.13</v>
      </c>
      <c r="C22" s="15">
        <f>' Working TB 12.31'!L251</f>
        <v>105592.80000000003</v>
      </c>
      <c r="D22" s="15">
        <f>' Working TB 12.31'!AF251</f>
        <v>99808.3</v>
      </c>
      <c r="E22" s="15">
        <f>' Working TB 12.31'!AV251</f>
        <v>82667.8</v>
      </c>
      <c r="F22" s="15">
        <f>' Working TB 12.31'!N251</f>
        <v>80744.049999999988</v>
      </c>
      <c r="G22" s="15">
        <f>' Working TB 12.31'!AB251</f>
        <v>57894.95</v>
      </c>
      <c r="H22" s="15">
        <f>' Working TB 12.31'!AH251</f>
        <v>67794.509999999995</v>
      </c>
      <c r="I22" s="15">
        <f>' Working TB 12.31'!D251</f>
        <v>68383.170000000013</v>
      </c>
      <c r="J22" s="15">
        <f>' Working TB 12.31'!H251</f>
        <v>43187.130000000005</v>
      </c>
      <c r="K22" s="15">
        <f>' Working TB 12.31'!AP251</f>
        <v>58061.489999999991</v>
      </c>
      <c r="L22" s="15">
        <f>' Working TB 12.31'!F251</f>
        <v>102765.81000000001</v>
      </c>
      <c r="M22" s="15">
        <f>' Working TB 12.31'!T251</f>
        <v>77584.479999999996</v>
      </c>
      <c r="N22" s="15">
        <f>' Working TB 12.31'!X251</f>
        <v>68332.76999999999</v>
      </c>
      <c r="O22" s="15">
        <f>' Working TB 12.31'!AJ251</f>
        <v>54846.32</v>
      </c>
      <c r="P22" s="15">
        <f>' Working TB 12.31'!BN251</f>
        <v>47379.26</v>
      </c>
      <c r="Q22" s="15">
        <f>' Working TB 12.31'!P251</f>
        <v>59012.369999999988</v>
      </c>
      <c r="R22" s="15">
        <f>' Working TB 12.31'!AD251</f>
        <v>53162.51</v>
      </c>
      <c r="S22" s="15">
        <f>' Working TB 12.31'!BJ251</f>
        <v>65732.340000000011</v>
      </c>
      <c r="T22" s="15">
        <f>' Working TB 12.31'!BH251</f>
        <v>52313.439999999988</v>
      </c>
      <c r="U22" s="15">
        <f>' Working TB 12.31'!J251</f>
        <v>53822.299999999996</v>
      </c>
      <c r="V22" s="15">
        <f>' Working TB 12.31'!BT251</f>
        <v>33508.639999999999</v>
      </c>
      <c r="W22" s="15">
        <f>' Working TB 12.31'!BP251</f>
        <v>65667.66</v>
      </c>
      <c r="X22" s="15">
        <f>' Working TB 12.31'!BR251</f>
        <v>52997.96</v>
      </c>
      <c r="Y22" s="15">
        <f>' Working TB 12.31'!BD251</f>
        <v>98139.360000000044</v>
      </c>
      <c r="Z22" s="15">
        <f>' Working TB 12.31'!Z251</f>
        <v>35386.370000000003</v>
      </c>
      <c r="AA22" s="15">
        <f>' Working TB 12.31'!AZ251</f>
        <v>44597.95</v>
      </c>
      <c r="AB22" s="15">
        <f>' Working TB 12.31'!AR251</f>
        <v>56032.44000000001</v>
      </c>
      <c r="AC22" s="15">
        <f>' Working TB 12.31'!BF251</f>
        <v>107609.31</v>
      </c>
      <c r="AD22" s="15">
        <f>' Working TB 12.31'!R251</f>
        <v>55791.81</v>
      </c>
      <c r="AE22" s="15">
        <f>' Working TB 12.31'!BB251</f>
        <v>45532.709999999992</v>
      </c>
      <c r="AF22" s="15">
        <f>' Working TB 12.31'!AL251</f>
        <v>89709.93</v>
      </c>
      <c r="AG22" s="15">
        <f>' Working TB 12.31'!BL251</f>
        <v>65460.989999999954</v>
      </c>
      <c r="AH22" s="15">
        <f>' Working TB 12.31'!V251</f>
        <v>44063.930000000008</v>
      </c>
      <c r="AI22" s="15">
        <f>' Working TB 12.31'!AX251</f>
        <v>24090.210000000006</v>
      </c>
      <c r="AJ22" s="15">
        <f>' Working TB 12.31'!AN251</f>
        <v>86046.239999999991</v>
      </c>
      <c r="AK22" s="15">
        <f t="shared" si="4"/>
        <v>2250577.4399999995</v>
      </c>
      <c r="AL22" s="93">
        <f t="shared" si="5"/>
        <v>2250577.4399999995</v>
      </c>
      <c r="AM22" s="92"/>
    </row>
    <row r="23" spans="1:39" ht="15" customHeight="1" x14ac:dyDescent="0.2">
      <c r="A23" s="13" t="s">
        <v>48</v>
      </c>
      <c r="B23" s="15">
        <f>' Working TB 12.31'!AT403</f>
        <v>27895.97</v>
      </c>
      <c r="C23" s="15">
        <f>' Working TB 12.31'!L403</f>
        <v>55208.630000000005</v>
      </c>
      <c r="D23" s="15">
        <f>' Working TB 12.31'!AF403</f>
        <v>66122.31</v>
      </c>
      <c r="E23" s="15">
        <f>' Working TB 12.31'!AV403</f>
        <v>59294.14</v>
      </c>
      <c r="F23" s="15">
        <f>' Working TB 12.31'!N403</f>
        <v>38389.149999999994</v>
      </c>
      <c r="G23" s="15">
        <f>' Working TB 12.31'!AB403</f>
        <v>31805.549999999996</v>
      </c>
      <c r="H23" s="15">
        <f>' Working TB 12.31'!AH403</f>
        <v>35976.21</v>
      </c>
      <c r="I23" s="15">
        <f>' Working TB 12.31'!D403</f>
        <v>38018.22</v>
      </c>
      <c r="J23" s="15">
        <f>' Working TB 12.31'!H403</f>
        <v>31715.11</v>
      </c>
      <c r="K23" s="15">
        <f>' Working TB 12.31'!AP403</f>
        <v>35578.75</v>
      </c>
      <c r="L23" s="15">
        <f>' Working TB 12.31'!F403</f>
        <v>61442.770000000004</v>
      </c>
      <c r="M23" s="15">
        <f>' Working TB 12.31'!T403</f>
        <v>46599.46</v>
      </c>
      <c r="N23" s="15">
        <f>' Working TB 12.31'!X403</f>
        <v>37842.97</v>
      </c>
      <c r="O23" s="15">
        <f>' Working TB 12.31'!AJ403</f>
        <v>27906.010000000002</v>
      </c>
      <c r="P23" s="15">
        <f>' Working TB 12.31'!BN403</f>
        <v>33611.040000000001</v>
      </c>
      <c r="Q23" s="15">
        <f>' Working TB 12.31'!P403</f>
        <v>18163.510000000002</v>
      </c>
      <c r="R23" s="15">
        <f>' Working TB 12.31'!AD403</f>
        <v>30785.93</v>
      </c>
      <c r="S23" s="15">
        <f>' Working TB 12.31'!BJ403</f>
        <v>41978.59</v>
      </c>
      <c r="T23" s="15">
        <f>' Working TB 12.31'!BH403</f>
        <v>22339.75</v>
      </c>
      <c r="U23" s="15">
        <f>' Working TB 12.31'!J403</f>
        <v>30988.879999999997</v>
      </c>
      <c r="V23" s="15">
        <f>' Working TB 12.31'!BT403</f>
        <v>27991.360000000001</v>
      </c>
      <c r="W23" s="15">
        <f>' Working TB 12.31'!BP403</f>
        <v>30097.9</v>
      </c>
      <c r="X23" s="15">
        <f>' Working TB 12.31'!BR403</f>
        <v>34504.639999999999</v>
      </c>
      <c r="Y23" s="15">
        <f>' Working TB 12.31'!BD403</f>
        <v>32581.280000000002</v>
      </c>
      <c r="Z23" s="15">
        <f>' Working TB 12.31'!Z403</f>
        <v>41915.33</v>
      </c>
      <c r="AA23" s="15">
        <f>' Working TB 12.31'!AZ403</f>
        <v>31066.480000000003</v>
      </c>
      <c r="AB23" s="15">
        <f>' Working TB 12.31'!AR403</f>
        <v>25274.219999999998</v>
      </c>
      <c r="AC23" s="15">
        <f>' Working TB 12.31'!BF403</f>
        <v>46108.04</v>
      </c>
      <c r="AD23" s="15">
        <f>' Working TB 12.31'!R403</f>
        <v>25404.66</v>
      </c>
      <c r="AE23" s="15">
        <f>' Working TB 12.31'!BB403</f>
        <v>34491.440000000002</v>
      </c>
      <c r="AF23" s="15">
        <f>' Working TB 12.31'!AL403</f>
        <v>58523.82</v>
      </c>
      <c r="AG23" s="15">
        <f>' Working TB 12.31'!BL403</f>
        <v>34104.81</v>
      </c>
      <c r="AH23" s="15">
        <f>' Working TB 12.31'!V403</f>
        <v>57955.68</v>
      </c>
      <c r="AI23" s="15">
        <f>' Working TB 12.31'!AX403</f>
        <v>51649.36</v>
      </c>
      <c r="AJ23" s="15">
        <f>' Working TB 12.31'!AN403</f>
        <v>44104.21</v>
      </c>
      <c r="AK23" s="15">
        <f t="shared" si="4"/>
        <v>1347436.1800000002</v>
      </c>
      <c r="AL23" s="93">
        <f t="shared" si="5"/>
        <v>1347436.1800000002</v>
      </c>
      <c r="AM23" s="92"/>
    </row>
    <row r="24" spans="1:39" ht="15" customHeight="1" x14ac:dyDescent="0.2">
      <c r="A24" s="13" t="s">
        <v>49</v>
      </c>
      <c r="B24" s="45">
        <f>' Working TB 12.31'!AT402</f>
        <v>20375.38</v>
      </c>
      <c r="C24" s="45">
        <f>' Working TB 12.31'!L402</f>
        <v>40482.300000000003</v>
      </c>
      <c r="D24" s="45">
        <f>' Working TB 12.31'!AF402</f>
        <v>21288.66</v>
      </c>
      <c r="E24" s="45">
        <f>' Working TB 12.31'!AV402</f>
        <v>29060.77</v>
      </c>
      <c r="F24" s="45">
        <f>' Working TB 12.31'!N402</f>
        <v>19034.900000000001</v>
      </c>
      <c r="G24" s="45">
        <f>' Working TB 12.31'!AB402</f>
        <v>20079.88</v>
      </c>
      <c r="H24" s="45">
        <f>' Working TB 12.31'!AH402</f>
        <v>19135.71</v>
      </c>
      <c r="I24" s="45">
        <f>' Working TB 12.31'!D402</f>
        <v>19818.29</v>
      </c>
      <c r="J24" s="45">
        <f>' Working TB 12.31'!H402</f>
        <v>19741.91</v>
      </c>
      <c r="K24" s="45">
        <f>' Working TB 12.31'!AP402</f>
        <v>17303.86</v>
      </c>
      <c r="L24" s="45">
        <f>' Working TB 12.31'!F402</f>
        <v>25204.82</v>
      </c>
      <c r="M24" s="45">
        <f>' Working TB 12.31'!T402</f>
        <v>28913.35</v>
      </c>
      <c r="N24" s="45">
        <f>' Working TB 12.31'!X402</f>
        <v>21625.78</v>
      </c>
      <c r="O24" s="45">
        <f>' Working TB 12.31'!AJ402</f>
        <v>13029.02</v>
      </c>
      <c r="P24" s="45">
        <f>' Working TB 12.31'!BN402</f>
        <v>13894.77</v>
      </c>
      <c r="Q24" s="45">
        <f>' Working TB 12.31'!P402</f>
        <v>15632.57</v>
      </c>
      <c r="R24" s="45">
        <f>' Working TB 12.31'!AD402</f>
        <v>16990.689999999999</v>
      </c>
      <c r="S24" s="45">
        <f>' Working TB 12.31'!BJ402</f>
        <v>16866.689999999999</v>
      </c>
      <c r="T24" s="45">
        <f>' Working TB 12.31'!BH402</f>
        <v>10127.77</v>
      </c>
      <c r="U24" s="45">
        <f>' Working TB 12.31'!J402</f>
        <v>22325.47</v>
      </c>
      <c r="V24" s="45">
        <f>' Working TB 12.31'!BT402</f>
        <v>19907.63</v>
      </c>
      <c r="W24" s="45">
        <f>' Working TB 12.31'!BP402</f>
        <v>21043.9</v>
      </c>
      <c r="X24" s="45">
        <f>' Working TB 12.31'!BR402</f>
        <v>19869.189999999999</v>
      </c>
      <c r="Y24" s="45">
        <f>' Working TB 12.31'!BD402</f>
        <v>9954.0499999999993</v>
      </c>
      <c r="Z24" s="45">
        <f>' Working TB 12.31'!Z402</f>
        <v>18124.45</v>
      </c>
      <c r="AA24" s="45">
        <f>' Working TB 12.31'!AZ402</f>
        <v>19247.060000000001</v>
      </c>
      <c r="AB24" s="45">
        <f>' Working TB 12.31'!AR402</f>
        <v>23910.86</v>
      </c>
      <c r="AC24" s="45">
        <f>' Working TB 12.31'!BF402</f>
        <v>29395.62</v>
      </c>
      <c r="AD24" s="45">
        <f>' Working TB 12.31'!R402</f>
        <v>15494.73</v>
      </c>
      <c r="AE24" s="45">
        <f>' Working TB 12.31'!BB402</f>
        <v>20936.39</v>
      </c>
      <c r="AF24" s="45">
        <f>' Working TB 12.31'!AL402</f>
        <v>20461.310000000001</v>
      </c>
      <c r="AG24" s="45">
        <f>' Working TB 12.31'!BL402</f>
        <v>20706.73</v>
      </c>
      <c r="AH24" s="45">
        <f>' Working TB 12.31'!V402</f>
        <v>19540.63</v>
      </c>
      <c r="AI24" s="45">
        <f>' Working TB 12.31'!AX402</f>
        <v>17442.97</v>
      </c>
      <c r="AJ24" s="45">
        <f>' Working TB 12.31'!AN402</f>
        <v>26769.39</v>
      </c>
      <c r="AK24" s="45">
        <f t="shared" si="4"/>
        <v>713737.50000000012</v>
      </c>
      <c r="AL24" s="93">
        <f t="shared" si="5"/>
        <v>713737.50000000012</v>
      </c>
      <c r="AM24" s="92"/>
    </row>
    <row r="25" spans="1:39" ht="15" customHeight="1" x14ac:dyDescent="0.2">
      <c r="A25" s="17" t="s">
        <v>50</v>
      </c>
      <c r="B25" s="45">
        <f>' Working TB 12.31'!AT410</f>
        <v>106956.45999999999</v>
      </c>
      <c r="C25" s="45">
        <f>' Working TB 12.31'!L409</f>
        <v>450401.49999999994</v>
      </c>
      <c r="D25" s="45">
        <f>' Working TB 12.31'!AF409</f>
        <v>249427.91</v>
      </c>
      <c r="E25" s="45">
        <f>' Working TB 12.31'!AV411</f>
        <v>157220.97999999998</v>
      </c>
      <c r="F25" s="45">
        <f>' Working TB 12.31'!N409</f>
        <v>68108.540000000008</v>
      </c>
      <c r="G25" s="45">
        <f>' Working TB 12.31'!AB409</f>
        <v>106522.33</v>
      </c>
      <c r="H25" s="45">
        <f>' Working TB 12.31'!AH409</f>
        <v>84193.26</v>
      </c>
      <c r="I25" s="45">
        <f>' Working TB 12.31'!D408</f>
        <v>145214.22999999998</v>
      </c>
      <c r="J25" s="45">
        <f>' Working TB 12.31'!H409</f>
        <v>151544.90000000002</v>
      </c>
      <c r="K25" s="45">
        <f>' Working TB 12.31'!AP409</f>
        <v>120627.06</v>
      </c>
      <c r="L25" s="45">
        <f>' Working TB 12.31'!F409</f>
        <v>89451.680000000008</v>
      </c>
      <c r="M25" s="45">
        <f>' Working TB 12.31'!T409</f>
        <v>48133.57</v>
      </c>
      <c r="N25" s="45">
        <f>' Working TB 12.31'!X409</f>
        <v>51638.33</v>
      </c>
      <c r="O25" s="45">
        <f>' Working TB 12.31'!AJ409</f>
        <v>24776.82</v>
      </c>
      <c r="P25" s="45">
        <f>' Working TB 12.31'!BN409</f>
        <v>51872.740000000005</v>
      </c>
      <c r="Q25" s="45">
        <f>' Working TB 12.31'!P409</f>
        <v>91550.200000000012</v>
      </c>
      <c r="R25" s="45">
        <f>' Working TB 12.31'!AD409</f>
        <v>34446.68</v>
      </c>
      <c r="S25" s="45">
        <f>' Working TB 12.31'!BJ409</f>
        <v>68506.540000000008</v>
      </c>
      <c r="T25" s="45">
        <f>' Working TB 12.31'!BH409</f>
        <v>29964.09</v>
      </c>
      <c r="U25" s="45">
        <f>' Working TB 12.31'!J409</f>
        <v>32167.11</v>
      </c>
      <c r="V25" s="45">
        <f>' Working TB 12.31'!BT409</f>
        <v>112069.87</v>
      </c>
      <c r="W25" s="45">
        <f>' Working TB 12.31'!BP409</f>
        <v>127968.07</v>
      </c>
      <c r="X25" s="45">
        <f>' Working TB 12.31'!BR409</f>
        <v>133152.4</v>
      </c>
      <c r="Y25" s="45">
        <f>' Working TB 12.31'!BD409</f>
        <v>47078.66</v>
      </c>
      <c r="Z25" s="45">
        <f>' Working TB 12.31'!Z409</f>
        <v>83631.16</v>
      </c>
      <c r="AA25" s="45">
        <f>' Working TB 12.31'!AZ409</f>
        <v>85674.5</v>
      </c>
      <c r="AB25" s="45">
        <f>' Working TB 12.31'!AR409</f>
        <v>117180.37</v>
      </c>
      <c r="AC25" s="45">
        <f>' Working TB 12.31'!BF409</f>
        <v>79739.010000000009</v>
      </c>
      <c r="AD25" s="45">
        <f>' Working TB 12.31'!R409</f>
        <v>79159.5</v>
      </c>
      <c r="AE25" s="45">
        <f>' Working TB 12.31'!BB409</f>
        <v>56178.8</v>
      </c>
      <c r="AF25" s="45">
        <f>' Working TB 12.31'!AL409</f>
        <v>52446.6</v>
      </c>
      <c r="AG25" s="45">
        <f>' Working TB 12.31'!BL409</f>
        <v>123119.52</v>
      </c>
      <c r="AH25" s="45">
        <f>' Working TB 12.31'!V409</f>
        <v>126874.82</v>
      </c>
      <c r="AI25" s="45">
        <f>' Working TB 12.31'!AX409</f>
        <v>50582.35</v>
      </c>
      <c r="AJ25" s="45">
        <f>' Working TB 12.31'!AN409</f>
        <v>180883.34999999998</v>
      </c>
      <c r="AK25" s="45">
        <f t="shared" si="4"/>
        <v>3618463.9099999997</v>
      </c>
      <c r="AL25" s="93">
        <f t="shared" si="5"/>
        <v>3618463.9099999997</v>
      </c>
      <c r="AM25" s="92"/>
    </row>
    <row r="26" spans="1:39" ht="15" customHeight="1" x14ac:dyDescent="0.2">
      <c r="A26" s="17" t="s">
        <v>51</v>
      </c>
      <c r="B26" s="15">
        <v>0</v>
      </c>
      <c r="C26" s="15">
        <v>0</v>
      </c>
      <c r="D26" s="15">
        <v>0</v>
      </c>
      <c r="E26" s="15">
        <v>0</v>
      </c>
      <c r="F26" s="15">
        <v>0</v>
      </c>
      <c r="G26" s="15">
        <v>0</v>
      </c>
      <c r="H26" s="15">
        <v>0</v>
      </c>
      <c r="I26" s="15">
        <v>0</v>
      </c>
      <c r="J26" s="15">
        <v>0</v>
      </c>
      <c r="K26" s="15">
        <v>0</v>
      </c>
      <c r="L26" s="15">
        <v>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v>0</v>
      </c>
      <c r="W26" s="15">
        <v>0</v>
      </c>
      <c r="X26" s="15">
        <v>0</v>
      </c>
      <c r="Y26" s="15">
        <v>0</v>
      </c>
      <c r="Z26" s="15">
        <v>0</v>
      </c>
      <c r="AA26" s="15">
        <v>0</v>
      </c>
      <c r="AB26" s="15">
        <v>0</v>
      </c>
      <c r="AC26" s="15">
        <v>0</v>
      </c>
      <c r="AD26" s="15">
        <v>0</v>
      </c>
      <c r="AE26" s="15">
        <v>0</v>
      </c>
      <c r="AF26" s="15">
        <v>0</v>
      </c>
      <c r="AG26" s="15">
        <v>0</v>
      </c>
      <c r="AH26" s="15">
        <v>0</v>
      </c>
      <c r="AI26" s="15">
        <v>0</v>
      </c>
      <c r="AJ26" s="15">
        <v>0</v>
      </c>
      <c r="AK26" s="15">
        <f t="shared" si="4"/>
        <v>0</v>
      </c>
      <c r="AL26" s="93">
        <f t="shared" si="5"/>
        <v>0</v>
      </c>
      <c r="AM26" s="92"/>
    </row>
    <row r="27" spans="1:39" ht="15" customHeight="1" x14ac:dyDescent="0.2">
      <c r="A27" s="17" t="s">
        <v>52</v>
      </c>
      <c r="B27" s="45">
        <f>' Working TB 12.31'!AT416</f>
        <v>300895.03999999998</v>
      </c>
      <c r="C27" s="45">
        <f>' Working TB 12.31'!L416</f>
        <v>836001.46</v>
      </c>
      <c r="D27" s="45">
        <f>' Working TB 12.31'!AF416</f>
        <v>250663.67</v>
      </c>
      <c r="E27" s="45">
        <f>' Working TB 12.31'!AV415</f>
        <v>21715.759999999998</v>
      </c>
      <c r="F27" s="45">
        <f>' Working TB 12.31'!N416</f>
        <v>141738.16</v>
      </c>
      <c r="G27" s="45">
        <f>' Working TB 12.31'!AB416</f>
        <v>259559.98</v>
      </c>
      <c r="H27" s="45">
        <f>' Working TB 12.31'!AH416</f>
        <v>2545</v>
      </c>
      <c r="I27" s="45">
        <f>' Working TB 12.31'!D416</f>
        <v>288968.59000000003</v>
      </c>
      <c r="J27" s="45">
        <f>' Working TB 12.31'!H416</f>
        <v>82347.539999999994</v>
      </c>
      <c r="K27" s="45">
        <f>' Working TB 12.31'!AP416</f>
        <v>3993.55</v>
      </c>
      <c r="L27" s="45">
        <f>' Working TB 12.31'!F416</f>
        <v>108257.32</v>
      </c>
      <c r="M27" s="45">
        <f>' Working TB 12.31'!T416</f>
        <v>16023.65</v>
      </c>
      <c r="N27" s="45">
        <f>' Working TB 12.31'!X416</f>
        <v>25392.13</v>
      </c>
      <c r="O27" s="45">
        <f>' Working TB 12.31'!AJ416</f>
        <v>6114.75</v>
      </c>
      <c r="P27" s="45">
        <f>' Working TB 12.31'!BN416</f>
        <v>4295</v>
      </c>
      <c r="Q27" s="45">
        <f>' Working TB 12.31'!P416</f>
        <v>3396</v>
      </c>
      <c r="R27" s="45">
        <f>' Working TB 12.31'!AD416</f>
        <v>19154.45</v>
      </c>
      <c r="S27" s="45">
        <f>' Working TB 12.31'!BJ416</f>
        <v>44661.56</v>
      </c>
      <c r="T27" s="45">
        <f>' Working TB 12.31'!BH416</f>
        <v>44543.63</v>
      </c>
      <c r="U27" s="45">
        <f>' Working TB 12.31'!J416</f>
        <v>45766.68</v>
      </c>
      <c r="V27" s="45">
        <f>' Working TB 12.31'!BT416</f>
        <v>46581.740000000005</v>
      </c>
      <c r="W27" s="45">
        <f>' Working TB 12.31'!BP416</f>
        <v>60900.770000000004</v>
      </c>
      <c r="X27" s="45">
        <f>' Working TB 12.31'!BR416</f>
        <v>20837.97</v>
      </c>
      <c r="Y27" s="45">
        <f>' Working TB 12.31'!BD416</f>
        <v>2443.3199999999997</v>
      </c>
      <c r="Z27" s="45">
        <f>' Working TB 12.31'!Z416</f>
        <v>36667</v>
      </c>
      <c r="AA27" s="45">
        <f>' Working TB 12.31'!AZ416</f>
        <v>30928.5</v>
      </c>
      <c r="AB27" s="45">
        <f>' Working TB 12.31'!AR416</f>
        <v>25904.18</v>
      </c>
      <c r="AC27" s="45">
        <f>' Working TB 12.31'!BF416</f>
        <v>98061.81</v>
      </c>
      <c r="AD27" s="45">
        <f>' Working TB 12.31'!R416</f>
        <v>15725.17</v>
      </c>
      <c r="AE27" s="45">
        <f>' Working TB 12.31'!BB416</f>
        <v>41429.910000000003</v>
      </c>
      <c r="AF27" s="45">
        <f>' Working TB 12.31'!AL416</f>
        <v>5925.65</v>
      </c>
      <c r="AG27" s="45">
        <f>' Working TB 12.31'!BL416</f>
        <v>4159.55</v>
      </c>
      <c r="AH27" s="45">
        <f>' Working TB 12.31'!V416</f>
        <v>51479.17</v>
      </c>
      <c r="AI27" s="45">
        <f>' Working TB 12.31'!AX416</f>
        <v>22564.68</v>
      </c>
      <c r="AJ27" s="45">
        <f>' Working TB 12.31'!AN416</f>
        <v>66261.86</v>
      </c>
      <c r="AK27" s="15">
        <f t="shared" si="4"/>
        <v>3035905.1999999997</v>
      </c>
      <c r="AL27" s="93">
        <f t="shared" si="5"/>
        <v>3035905.1999999997</v>
      </c>
      <c r="AM27" s="92"/>
    </row>
    <row r="28" spans="1:39" ht="15" customHeight="1" x14ac:dyDescent="0.2">
      <c r="A28" s="17" t="s">
        <v>53</v>
      </c>
      <c r="B28" s="15">
        <v>0</v>
      </c>
      <c r="C28" s="15">
        <v>0</v>
      </c>
      <c r="D28" s="15">
        <v>0</v>
      </c>
      <c r="E28" s="15">
        <v>0</v>
      </c>
      <c r="F28" s="15">
        <v>0</v>
      </c>
      <c r="G28" s="15">
        <v>0</v>
      </c>
      <c r="H28" s="15">
        <v>0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  <c r="N28" s="15">
        <v>0</v>
      </c>
      <c r="O28" s="15">
        <v>0</v>
      </c>
      <c r="P28" s="15">
        <v>0</v>
      </c>
      <c r="Q28" s="15">
        <v>0</v>
      </c>
      <c r="R28" s="15">
        <v>0</v>
      </c>
      <c r="S28" s="15">
        <v>0</v>
      </c>
      <c r="T28" s="15">
        <v>0</v>
      </c>
      <c r="U28" s="15">
        <v>0</v>
      </c>
      <c r="V28" s="15">
        <v>0</v>
      </c>
      <c r="W28" s="15">
        <v>0</v>
      </c>
      <c r="X28" s="15">
        <v>0</v>
      </c>
      <c r="Y28" s="15">
        <v>0</v>
      </c>
      <c r="Z28" s="15">
        <v>0</v>
      </c>
      <c r="AA28" s="15">
        <v>0</v>
      </c>
      <c r="AB28" s="15">
        <v>0</v>
      </c>
      <c r="AC28" s="15">
        <v>0</v>
      </c>
      <c r="AD28" s="15">
        <v>0</v>
      </c>
      <c r="AE28" s="15">
        <v>0</v>
      </c>
      <c r="AF28" s="15">
        <v>0</v>
      </c>
      <c r="AG28" s="15">
        <v>0</v>
      </c>
      <c r="AH28" s="15">
        <v>0</v>
      </c>
      <c r="AI28" s="15">
        <v>0</v>
      </c>
      <c r="AJ28" s="15">
        <v>0</v>
      </c>
      <c r="AK28" s="15">
        <f t="shared" si="4"/>
        <v>0</v>
      </c>
      <c r="AL28" s="93">
        <f t="shared" si="5"/>
        <v>0</v>
      </c>
      <c r="AM28" s="92"/>
    </row>
    <row r="29" spans="1:39" ht="15" customHeight="1" x14ac:dyDescent="0.2">
      <c r="A29" s="17" t="s">
        <v>65</v>
      </c>
      <c r="B29" s="45">
        <v>0</v>
      </c>
      <c r="C29" s="45">
        <v>0</v>
      </c>
      <c r="D29" s="45">
        <v>0</v>
      </c>
      <c r="E29" s="45">
        <v>0</v>
      </c>
      <c r="F29" s="45">
        <v>0</v>
      </c>
      <c r="G29" s="45">
        <v>0</v>
      </c>
      <c r="H29" s="45">
        <v>0</v>
      </c>
      <c r="I29" s="45">
        <v>0</v>
      </c>
      <c r="J29" s="45">
        <v>0</v>
      </c>
      <c r="K29" s="45">
        <v>0</v>
      </c>
      <c r="L29" s="45">
        <v>0</v>
      </c>
      <c r="M29" s="45">
        <v>0</v>
      </c>
      <c r="N29" s="45">
        <v>0</v>
      </c>
      <c r="O29" s="45">
        <v>0</v>
      </c>
      <c r="P29" s="45">
        <v>0</v>
      </c>
      <c r="Q29" s="45">
        <v>0</v>
      </c>
      <c r="R29" s="45">
        <v>0</v>
      </c>
      <c r="S29" s="45">
        <v>0</v>
      </c>
      <c r="T29" s="45">
        <v>0</v>
      </c>
      <c r="U29" s="45">
        <v>0</v>
      </c>
      <c r="V29" s="45">
        <v>0</v>
      </c>
      <c r="W29" s="45">
        <v>0</v>
      </c>
      <c r="X29" s="45">
        <v>0</v>
      </c>
      <c r="Y29" s="45">
        <v>0</v>
      </c>
      <c r="Z29" s="45">
        <v>0</v>
      </c>
      <c r="AA29" s="45">
        <v>0</v>
      </c>
      <c r="AB29" s="45">
        <v>0</v>
      </c>
      <c r="AC29" s="45">
        <v>0</v>
      </c>
      <c r="AD29" s="45">
        <v>0</v>
      </c>
      <c r="AE29" s="45">
        <v>0</v>
      </c>
      <c r="AF29" s="45">
        <v>0</v>
      </c>
      <c r="AG29" s="45">
        <v>0</v>
      </c>
      <c r="AH29" s="45">
        <v>0</v>
      </c>
      <c r="AI29" s="45">
        <v>0</v>
      </c>
      <c r="AJ29" s="45">
        <v>0</v>
      </c>
      <c r="AK29" s="15">
        <f t="shared" si="4"/>
        <v>0</v>
      </c>
      <c r="AL29" s="93">
        <f t="shared" si="5"/>
        <v>0</v>
      </c>
      <c r="AM29" s="92"/>
    </row>
    <row r="30" spans="1:39" ht="15" customHeight="1" x14ac:dyDescent="0.35">
      <c r="A30" s="17" t="s">
        <v>54</v>
      </c>
      <c r="B30" s="42">
        <f>' Working TB 12.31'!AT462</f>
        <v>106894.68</v>
      </c>
      <c r="C30" s="42">
        <f>' Working TB 12.31'!L462</f>
        <v>181875.72</v>
      </c>
      <c r="D30" s="42">
        <f>' Working TB 12.31'!AF462</f>
        <v>145979.97</v>
      </c>
      <c r="E30" s="42">
        <f>' Working TB 12.31'!AV463</f>
        <v>117878.37</v>
      </c>
      <c r="F30" s="42">
        <f>' Working TB 12.31'!N462</f>
        <v>133397.79999999999</v>
      </c>
      <c r="G30" s="42">
        <f>' Working TB 12.31'!AB462</f>
        <v>102312.31</v>
      </c>
      <c r="H30" s="42">
        <f>' Working TB 12.31'!AH462</f>
        <v>88765.18</v>
      </c>
      <c r="I30" s="42">
        <f>' Working TB 12.31'!D462</f>
        <v>89974.06</v>
      </c>
      <c r="J30" s="42">
        <f>' Working TB 12.31'!H462</f>
        <v>85572.930000000008</v>
      </c>
      <c r="K30" s="42">
        <f>' Working TB 12.31'!AP462</f>
        <v>112544.17</v>
      </c>
      <c r="L30" s="42">
        <f>' Working TB 12.31'!F462</f>
        <v>117413.20999999999</v>
      </c>
      <c r="M30" s="42">
        <f>' Working TB 12.31'!T462</f>
        <v>112709.55</v>
      </c>
      <c r="N30" s="42">
        <f>' Working TB 12.31'!X462</f>
        <v>63874.32</v>
      </c>
      <c r="O30" s="42">
        <f>' Working TB 12.31'!AJ462</f>
        <v>48953.79</v>
      </c>
      <c r="P30" s="42">
        <f>' Working TB 12.31'!BN462</f>
        <v>94003.71</v>
      </c>
      <c r="Q30" s="42">
        <f>' Working TB 12.31'!P462</f>
        <v>54573.919999999998</v>
      </c>
      <c r="R30" s="42">
        <f>' Working TB 12.31'!AD462</f>
        <v>44894.559999999998</v>
      </c>
      <c r="S30" s="42">
        <f>' Working TB 12.31'!BJ462</f>
        <v>129815.4</v>
      </c>
      <c r="T30" s="42">
        <f>' Working TB 12.31'!BH462</f>
        <v>105083.95</v>
      </c>
      <c r="U30" s="42">
        <f>' Working TB 12.31'!J462</f>
        <v>115509.47</v>
      </c>
      <c r="V30" s="42">
        <f>' Working TB 12.31'!BT462</f>
        <v>116608.23</v>
      </c>
      <c r="W30" s="42">
        <f>' Working TB 12.31'!BP462</f>
        <v>85866.280000000013</v>
      </c>
      <c r="X30" s="42">
        <f>' Working TB 12.31'!BR462</f>
        <v>88522.78</v>
      </c>
      <c r="Y30" s="42">
        <f>' Working TB 12.31'!BD462</f>
        <v>142489.85</v>
      </c>
      <c r="Z30" s="42">
        <f>' Working TB 12.31'!Z462</f>
        <v>128801.47</v>
      </c>
      <c r="AA30" s="42">
        <f>' Working TB 12.31'!AZ462</f>
        <v>127028.77</v>
      </c>
      <c r="AB30" s="42">
        <f>' Working TB 12.31'!AR462</f>
        <v>219935</v>
      </c>
      <c r="AC30" s="42">
        <f>' Working TB 12.31'!BF462</f>
        <v>162128.49</v>
      </c>
      <c r="AD30" s="42">
        <f>' Working TB 12.31'!R462</f>
        <v>121166.73</v>
      </c>
      <c r="AE30" s="42">
        <f>' Working TB 12.31'!BB462</f>
        <v>107468.25</v>
      </c>
      <c r="AF30" s="42">
        <f>' Working TB 12.31'!AL462</f>
        <v>107218.6</v>
      </c>
      <c r="AG30" s="42">
        <f>' Working TB 12.31'!BL462</f>
        <v>78720.98</v>
      </c>
      <c r="AH30" s="42">
        <f>' Working TB 12.31'!V462</f>
        <v>67696.679999999993</v>
      </c>
      <c r="AI30" s="42">
        <f>' Working TB 12.31'!AX462</f>
        <v>103071.21</v>
      </c>
      <c r="AJ30" s="42">
        <f>' Working TB 12.31'!AN462</f>
        <v>110276.87</v>
      </c>
      <c r="AK30" s="42">
        <f t="shared" si="4"/>
        <v>3819027.26</v>
      </c>
      <c r="AL30" s="93">
        <f t="shared" si="5"/>
        <v>3819027.26</v>
      </c>
      <c r="AM30" s="92"/>
    </row>
    <row r="31" spans="1:39" ht="15" customHeight="1" x14ac:dyDescent="0.2">
      <c r="A31" s="17"/>
      <c r="B31" s="19">
        <f t="shared" ref="B31:AG31" si="6">SUM(B19:B30)</f>
        <v>716546.37999999989</v>
      </c>
      <c r="C31" s="19">
        <f t="shared" si="6"/>
        <v>1874697.71</v>
      </c>
      <c r="D31" s="19">
        <f t="shared" si="6"/>
        <v>1014238.7100000001</v>
      </c>
      <c r="E31" s="19">
        <f t="shared" si="6"/>
        <v>618950.71</v>
      </c>
      <c r="F31" s="19">
        <f t="shared" si="6"/>
        <v>574184.89999999991</v>
      </c>
      <c r="G31" s="19">
        <f t="shared" si="6"/>
        <v>667704.38000000012</v>
      </c>
      <c r="H31" s="19">
        <f t="shared" si="6"/>
        <v>396023.31</v>
      </c>
      <c r="I31" s="19">
        <f t="shared" si="6"/>
        <v>756694.49</v>
      </c>
      <c r="J31" s="19">
        <f t="shared" si="6"/>
        <v>512370.14</v>
      </c>
      <c r="K31" s="19">
        <f t="shared" si="6"/>
        <v>442005.47</v>
      </c>
      <c r="L31" s="19">
        <f t="shared" si="6"/>
        <v>605367.87</v>
      </c>
      <c r="M31" s="19">
        <f t="shared" si="6"/>
        <v>461382.05000000005</v>
      </c>
      <c r="N31" s="19">
        <f t="shared" si="6"/>
        <v>359384.06</v>
      </c>
      <c r="O31" s="19">
        <f t="shared" si="6"/>
        <v>254341.86000000002</v>
      </c>
      <c r="P31" s="19">
        <f t="shared" si="6"/>
        <v>330983.55</v>
      </c>
      <c r="Q31" s="19">
        <f t="shared" si="6"/>
        <v>350988.2</v>
      </c>
      <c r="R31" s="19">
        <f t="shared" si="6"/>
        <v>291717.87</v>
      </c>
      <c r="S31" s="19">
        <f t="shared" si="6"/>
        <v>472213.82999999996</v>
      </c>
      <c r="T31" s="19">
        <f t="shared" si="6"/>
        <v>346726.02999999997</v>
      </c>
      <c r="U31" s="19">
        <f t="shared" si="6"/>
        <v>393864.70999999996</v>
      </c>
      <c r="V31" s="19">
        <f t="shared" si="6"/>
        <v>429249.14999999997</v>
      </c>
      <c r="W31" s="19">
        <f t="shared" si="6"/>
        <v>473095.37</v>
      </c>
      <c r="X31" s="19">
        <f t="shared" si="6"/>
        <v>430084.07999999996</v>
      </c>
      <c r="Y31" s="19">
        <f t="shared" si="6"/>
        <v>456105.01000000013</v>
      </c>
      <c r="Z31" s="19">
        <f t="shared" si="6"/>
        <v>428745.38</v>
      </c>
      <c r="AA31" s="19">
        <f t="shared" si="6"/>
        <v>423710.2</v>
      </c>
      <c r="AB31" s="19">
        <f t="shared" si="6"/>
        <v>540469.98</v>
      </c>
      <c r="AC31" s="19">
        <f t="shared" si="6"/>
        <v>617640.76</v>
      </c>
      <c r="AD31" s="19">
        <f t="shared" si="6"/>
        <v>390157.38999999996</v>
      </c>
      <c r="AE31" s="19">
        <f t="shared" si="6"/>
        <v>382876.36</v>
      </c>
      <c r="AF31" s="19">
        <f t="shared" si="6"/>
        <v>461262.44000000006</v>
      </c>
      <c r="AG31" s="19">
        <f t="shared" si="6"/>
        <v>432640.94999999995</v>
      </c>
      <c r="AH31" s="19">
        <f t="shared" ref="AH31:AJ31" si="7">SUM(AH19:AH30)</f>
        <v>452116.11</v>
      </c>
      <c r="AI31" s="19">
        <f t="shared" si="7"/>
        <v>345619.95</v>
      </c>
      <c r="AJ31" s="19">
        <f t="shared" si="7"/>
        <v>645883.29999999993</v>
      </c>
      <c r="AK31" s="19">
        <f t="shared" ref="AK31" si="8">SUM(AK19:AK30)</f>
        <v>18350042.659999996</v>
      </c>
      <c r="AL31" s="93">
        <f t="shared" si="5"/>
        <v>18350042.659999996</v>
      </c>
      <c r="AM31" s="92"/>
    </row>
    <row r="32" spans="1:39" ht="15" customHeight="1" x14ac:dyDescent="0.2">
      <c r="A32" s="17"/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92">
        <v>9999</v>
      </c>
      <c r="AM32" s="92"/>
    </row>
    <row r="33" spans="1:39" ht="15" customHeight="1" x14ac:dyDescent="0.35">
      <c r="A33" s="17"/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  <c r="AG33" s="46"/>
      <c r="AH33" s="46"/>
      <c r="AI33" s="46"/>
      <c r="AJ33" s="46"/>
      <c r="AK33" s="46"/>
      <c r="AL33" s="93">
        <f t="shared" si="5"/>
        <v>0</v>
      </c>
      <c r="AM33" s="96"/>
    </row>
    <row r="34" spans="1:39" ht="15" customHeight="1" x14ac:dyDescent="0.2">
      <c r="A34" s="17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s="16"/>
      <c r="AF34" s="16"/>
      <c r="AG34" s="16"/>
      <c r="AH34" s="16"/>
      <c r="AI34" s="16"/>
      <c r="AJ34" s="16"/>
      <c r="AK34" s="16"/>
    </row>
    <row r="35" spans="1:39" s="20" customFormat="1" ht="15" customHeight="1" x14ac:dyDescent="0.35">
      <c r="A35" s="12" t="s">
        <v>55</v>
      </c>
      <c r="B35" s="32">
        <f t="shared" ref="B35:AG35" si="9">B16-B31</f>
        <v>-310174.44999999995</v>
      </c>
      <c r="C35" s="49">
        <f t="shared" si="9"/>
        <v>-747800.88000000012</v>
      </c>
      <c r="D35" s="49">
        <f t="shared" si="9"/>
        <v>-332486.29000000004</v>
      </c>
      <c r="E35" s="32">
        <f t="shared" si="9"/>
        <v>121775.89000000013</v>
      </c>
      <c r="F35" s="32">
        <f t="shared" si="9"/>
        <v>-191340.56999999995</v>
      </c>
      <c r="G35" s="32">
        <f t="shared" si="9"/>
        <v>-223790.2200000002</v>
      </c>
      <c r="H35" s="32">
        <f t="shared" si="9"/>
        <v>26243.960000000021</v>
      </c>
      <c r="I35" s="32">
        <f t="shared" si="9"/>
        <v>-318323.92</v>
      </c>
      <c r="J35" s="32">
        <f t="shared" si="9"/>
        <v>-72951.530000000028</v>
      </c>
      <c r="K35" s="32">
        <f t="shared" si="9"/>
        <v>-56449.169999999925</v>
      </c>
      <c r="L35" s="32">
        <f t="shared" si="9"/>
        <v>-184743.40000000002</v>
      </c>
      <c r="M35" s="32">
        <f t="shared" si="9"/>
        <v>-46167.250000000058</v>
      </c>
      <c r="N35" s="32">
        <f t="shared" si="9"/>
        <v>-53645.080000000016</v>
      </c>
      <c r="O35" s="32">
        <f t="shared" si="9"/>
        <v>-36438.550000000017</v>
      </c>
      <c r="P35" s="32">
        <f t="shared" si="9"/>
        <v>121143.26999999996</v>
      </c>
      <c r="Q35" s="32">
        <f t="shared" si="9"/>
        <v>-35021.349999999977</v>
      </c>
      <c r="R35" s="32">
        <f t="shared" si="9"/>
        <v>-28400.400000000023</v>
      </c>
      <c r="S35" s="32">
        <f t="shared" si="9"/>
        <v>-95890.739999999991</v>
      </c>
      <c r="T35" s="32">
        <f t="shared" si="9"/>
        <v>-93345.02999999997</v>
      </c>
      <c r="U35" s="32">
        <f t="shared" si="9"/>
        <v>66092.200000000012</v>
      </c>
      <c r="V35" s="32">
        <f t="shared" si="9"/>
        <v>-31567.909999999974</v>
      </c>
      <c r="W35" s="32">
        <f t="shared" si="9"/>
        <v>5744.8899999999558</v>
      </c>
      <c r="X35" s="32">
        <f t="shared" si="9"/>
        <v>13708.650000000023</v>
      </c>
      <c r="Y35" s="32">
        <f t="shared" si="9"/>
        <v>-125922.44000000018</v>
      </c>
      <c r="Z35" s="32">
        <f t="shared" si="9"/>
        <v>-23184.830000000016</v>
      </c>
      <c r="AA35" s="32">
        <f t="shared" si="9"/>
        <v>5582.0100000000093</v>
      </c>
      <c r="AB35" s="32">
        <f t="shared" si="9"/>
        <v>-104717.13999999996</v>
      </c>
      <c r="AC35" s="32">
        <f t="shared" si="9"/>
        <v>-70473.800000000047</v>
      </c>
      <c r="AD35" s="32">
        <f t="shared" si="9"/>
        <v>-79184.079999999958</v>
      </c>
      <c r="AE35" s="32">
        <f t="shared" si="9"/>
        <v>33490.429999999993</v>
      </c>
      <c r="AF35" s="32">
        <f t="shared" si="9"/>
        <v>-78610.830000000016</v>
      </c>
      <c r="AG35" s="32">
        <f t="shared" si="9"/>
        <v>87434.62</v>
      </c>
      <c r="AH35" s="32">
        <f t="shared" ref="AH35:AJ35" si="10">AH16-AH31</f>
        <v>42877.549999999988</v>
      </c>
      <c r="AI35" s="32">
        <f t="shared" si="10"/>
        <v>-53569.890000000014</v>
      </c>
      <c r="AJ35" s="32">
        <f t="shared" si="10"/>
        <v>19749.960000000079</v>
      </c>
      <c r="AK35" s="32">
        <f t="shared" ref="AK35" si="11">AK16-AK31</f>
        <v>-2850356.3199999947</v>
      </c>
    </row>
    <row r="36" spans="1:39" ht="15" customHeight="1" x14ac:dyDescent="0.2"/>
    <row r="37" spans="1:39" s="18" customFormat="1" ht="15" customHeight="1" x14ac:dyDescent="0.2">
      <c r="D37" s="115"/>
    </row>
    <row r="38" spans="1:39" s="18" customFormat="1" ht="15" customHeight="1" x14ac:dyDescent="0.2">
      <c r="A38" s="107"/>
      <c r="B38" s="45"/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  <c r="AA38" s="45"/>
      <c r="AB38" s="45"/>
      <c r="AC38" s="45"/>
      <c r="AD38" s="45"/>
      <c r="AE38" s="45"/>
      <c r="AF38" s="45"/>
      <c r="AG38" s="45"/>
      <c r="AH38" s="45"/>
      <c r="AI38" s="45"/>
      <c r="AJ38" s="45"/>
      <c r="AK38" s="45"/>
    </row>
    <row r="39" spans="1:39" s="18" customFormat="1" ht="15" customHeight="1" x14ac:dyDescent="0.2">
      <c r="A39" s="108"/>
      <c r="B39" s="109"/>
      <c r="C39" s="115"/>
      <c r="D39" s="115"/>
      <c r="E39" s="109"/>
      <c r="F39" s="109"/>
      <c r="G39" s="109"/>
      <c r="H39" s="109"/>
      <c r="I39" s="109"/>
      <c r="J39" s="109"/>
      <c r="K39" s="109"/>
      <c r="L39" s="109"/>
      <c r="M39" s="109"/>
      <c r="N39" s="109"/>
      <c r="O39" s="109"/>
      <c r="P39" s="109"/>
      <c r="Q39" s="109"/>
      <c r="R39" s="109"/>
      <c r="S39" s="109"/>
      <c r="T39" s="109"/>
      <c r="U39" s="109"/>
      <c r="V39" s="109"/>
      <c r="W39" s="109"/>
      <c r="X39" s="109"/>
      <c r="Y39" s="109"/>
      <c r="Z39" s="109"/>
      <c r="AA39" s="109"/>
      <c r="AB39" s="109"/>
      <c r="AC39" s="109"/>
      <c r="AD39" s="109"/>
      <c r="AE39" s="109"/>
      <c r="AF39" s="109"/>
      <c r="AG39" s="109"/>
      <c r="AH39" s="109"/>
      <c r="AI39" s="109"/>
      <c r="AJ39" s="109"/>
      <c r="AK39" s="109"/>
    </row>
    <row r="40" spans="1:39" s="18" customFormat="1" ht="15" customHeight="1" x14ac:dyDescent="0.2">
      <c r="A40" s="110"/>
      <c r="B40" s="45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  <c r="AA40" s="45"/>
      <c r="AB40" s="45"/>
      <c r="AC40" s="45"/>
      <c r="AD40" s="45"/>
      <c r="AE40" s="45"/>
      <c r="AF40" s="45"/>
      <c r="AG40" s="45"/>
      <c r="AH40" s="45"/>
      <c r="AI40" s="45"/>
      <c r="AJ40" s="45"/>
      <c r="AK40" s="45"/>
    </row>
    <row r="41" spans="1:39" s="18" customFormat="1" ht="15" customHeight="1" x14ac:dyDescent="0.2">
      <c r="A41" s="111"/>
      <c r="B41" s="109"/>
      <c r="C41" s="109"/>
      <c r="D41" s="109"/>
      <c r="E41" s="109"/>
      <c r="F41" s="109"/>
      <c r="G41" s="109"/>
      <c r="H41" s="109"/>
      <c r="I41" s="109"/>
      <c r="J41" s="109"/>
      <c r="K41" s="109"/>
      <c r="L41" s="109"/>
      <c r="M41" s="109"/>
      <c r="N41" s="109"/>
      <c r="O41" s="109"/>
      <c r="P41" s="109"/>
      <c r="Q41" s="109"/>
      <c r="R41" s="109"/>
      <c r="S41" s="109"/>
      <c r="T41" s="109"/>
      <c r="U41" s="109"/>
      <c r="V41" s="109"/>
      <c r="W41" s="109"/>
      <c r="X41" s="109"/>
      <c r="Y41" s="109"/>
      <c r="Z41" s="109"/>
      <c r="AA41" s="109"/>
      <c r="AB41" s="109"/>
      <c r="AC41" s="109"/>
      <c r="AD41" s="109"/>
      <c r="AE41" s="109"/>
      <c r="AF41" s="109"/>
      <c r="AG41" s="109"/>
      <c r="AH41" s="109"/>
      <c r="AI41" s="109"/>
      <c r="AJ41" s="109"/>
      <c r="AK41" s="109"/>
    </row>
    <row r="42" spans="1:39" s="114" customFormat="1" ht="15" customHeight="1" x14ac:dyDescent="0.2">
      <c r="A42" s="112"/>
      <c r="B42" s="113"/>
      <c r="C42" s="113"/>
      <c r="D42" s="113"/>
      <c r="E42" s="113"/>
      <c r="F42" s="113"/>
      <c r="G42" s="113"/>
      <c r="H42" s="113"/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  <c r="T42" s="113"/>
      <c r="U42" s="113"/>
      <c r="V42" s="113"/>
      <c r="W42" s="113"/>
      <c r="X42" s="113"/>
      <c r="Y42" s="113"/>
      <c r="Z42" s="113"/>
      <c r="AA42" s="113"/>
      <c r="AB42" s="113"/>
      <c r="AC42" s="113"/>
      <c r="AD42" s="113"/>
      <c r="AE42" s="113"/>
      <c r="AF42" s="113"/>
      <c r="AG42" s="113"/>
      <c r="AH42" s="113"/>
      <c r="AI42" s="113"/>
      <c r="AJ42" s="113"/>
      <c r="AK42" s="113"/>
    </row>
    <row r="43" spans="1:39" s="18" customFormat="1" ht="15" customHeight="1" x14ac:dyDescent="0.2"/>
    <row r="44" spans="1:39" ht="15" customHeight="1" x14ac:dyDescent="0.2"/>
    <row r="45" spans="1:39" ht="15" customHeight="1" x14ac:dyDescent="0.2"/>
    <row r="46" spans="1:39" ht="15" customHeight="1" x14ac:dyDescent="0.2"/>
    <row r="47" spans="1:39" ht="15" customHeight="1" x14ac:dyDescent="0.2"/>
    <row r="48" spans="1:39" ht="15" customHeight="1" x14ac:dyDescent="0.2"/>
    <row r="49" ht="15" customHeight="1" x14ac:dyDescent="0.2"/>
    <row r="50" ht="15" customHeight="1" x14ac:dyDescent="0.2"/>
    <row r="51" ht="15" customHeight="1" x14ac:dyDescent="0.2"/>
    <row r="52" ht="15" customHeight="1" x14ac:dyDescent="0.2"/>
    <row r="53" ht="15" customHeight="1" x14ac:dyDescent="0.2"/>
    <row r="54" ht="15" customHeight="1" x14ac:dyDescent="0.2"/>
    <row r="55" ht="15" customHeight="1" x14ac:dyDescent="0.2"/>
    <row r="56" ht="15" customHeight="1" x14ac:dyDescent="0.2"/>
    <row r="57" ht="15" customHeight="1" x14ac:dyDescent="0.2"/>
    <row r="58" ht="15" customHeight="1" x14ac:dyDescent="0.2"/>
    <row r="59" ht="15" customHeight="1" x14ac:dyDescent="0.2"/>
    <row r="60" ht="15" customHeight="1" x14ac:dyDescent="0.2"/>
    <row r="61" ht="15" customHeight="1" x14ac:dyDescent="0.2"/>
    <row r="62" ht="15" customHeight="1" x14ac:dyDescent="0.2"/>
    <row r="63" ht="15" customHeight="1" x14ac:dyDescent="0.2"/>
    <row r="64" ht="15" customHeight="1" x14ac:dyDescent="0.2"/>
    <row r="65" ht="15" customHeight="1" x14ac:dyDescent="0.2"/>
    <row r="66" ht="15" customHeight="1" x14ac:dyDescent="0.2"/>
    <row r="67" ht="15" customHeight="1" x14ac:dyDescent="0.2"/>
    <row r="68" ht="15" customHeight="1" x14ac:dyDescent="0.2"/>
    <row r="69" ht="15" customHeight="1" x14ac:dyDescent="0.2"/>
    <row r="70" ht="15" customHeight="1" x14ac:dyDescent="0.2"/>
    <row r="71" ht="15" customHeight="1" x14ac:dyDescent="0.2"/>
    <row r="72" ht="15" customHeight="1" x14ac:dyDescent="0.2"/>
    <row r="73" ht="15" customHeight="1" x14ac:dyDescent="0.2"/>
    <row r="74" ht="15" customHeight="1" x14ac:dyDescent="0.2"/>
    <row r="75" ht="15" customHeight="1" x14ac:dyDescent="0.2"/>
    <row r="76" ht="15" customHeight="1" x14ac:dyDescent="0.2"/>
    <row r="77" ht="15" customHeight="1" x14ac:dyDescent="0.2"/>
    <row r="78" ht="15" customHeight="1" x14ac:dyDescent="0.2"/>
    <row r="79" ht="15" customHeight="1" x14ac:dyDescent="0.2"/>
    <row r="80" ht="15" customHeight="1" x14ac:dyDescent="0.2"/>
    <row r="81" ht="15" customHeight="1" x14ac:dyDescent="0.2"/>
    <row r="82" ht="15" customHeight="1" x14ac:dyDescent="0.2"/>
    <row r="83" ht="15" customHeight="1" x14ac:dyDescent="0.2"/>
    <row r="84" ht="15" customHeight="1" x14ac:dyDescent="0.2"/>
    <row r="85" ht="15" customHeight="1" x14ac:dyDescent="0.2"/>
    <row r="86" ht="15" customHeight="1" x14ac:dyDescent="0.2"/>
    <row r="87" ht="15" customHeight="1" x14ac:dyDescent="0.2"/>
    <row r="88" ht="15" customHeight="1" x14ac:dyDescent="0.2"/>
    <row r="89" ht="15" customHeight="1" x14ac:dyDescent="0.2"/>
    <row r="90" ht="15" customHeight="1" x14ac:dyDescent="0.2"/>
    <row r="91" ht="15" customHeight="1" x14ac:dyDescent="0.2"/>
    <row r="92" ht="15" customHeight="1" x14ac:dyDescent="0.2"/>
    <row r="93" ht="15" customHeight="1" x14ac:dyDescent="0.2"/>
    <row r="94" ht="15" customHeight="1" x14ac:dyDescent="0.2"/>
    <row r="95" ht="15" customHeight="1" x14ac:dyDescent="0.2"/>
    <row r="96" ht="15" customHeight="1" x14ac:dyDescent="0.2"/>
    <row r="97" ht="15" customHeight="1" x14ac:dyDescent="0.2"/>
    <row r="98" ht="15" customHeight="1" x14ac:dyDescent="0.2"/>
    <row r="99" ht="15" customHeight="1" x14ac:dyDescent="0.2"/>
    <row r="100" ht="15" customHeight="1" x14ac:dyDescent="0.2"/>
    <row r="101" ht="15" customHeight="1" x14ac:dyDescent="0.2"/>
    <row r="102" ht="15" customHeight="1" x14ac:dyDescent="0.2"/>
    <row r="103" ht="15" customHeight="1" x14ac:dyDescent="0.2"/>
    <row r="104" ht="15" customHeight="1" x14ac:dyDescent="0.2"/>
    <row r="105" ht="15" customHeight="1" x14ac:dyDescent="0.2"/>
    <row r="106" ht="15" customHeight="1" x14ac:dyDescent="0.2"/>
    <row r="107" ht="15" customHeight="1" x14ac:dyDescent="0.2"/>
    <row r="108" ht="15" customHeight="1" x14ac:dyDescent="0.2"/>
    <row r="109" ht="15" customHeight="1" x14ac:dyDescent="0.2"/>
    <row r="110" ht="15" customHeight="1" x14ac:dyDescent="0.2"/>
    <row r="111" ht="15" customHeight="1" x14ac:dyDescent="0.2"/>
    <row r="112" ht="15" customHeight="1" x14ac:dyDescent="0.2"/>
    <row r="113" ht="15" customHeight="1" x14ac:dyDescent="0.2"/>
    <row r="114" ht="15" customHeight="1" x14ac:dyDescent="0.2"/>
    <row r="115" ht="15" customHeight="1" x14ac:dyDescent="0.2"/>
    <row r="116" ht="15" customHeight="1" x14ac:dyDescent="0.2"/>
    <row r="117" ht="15" customHeight="1" x14ac:dyDescent="0.2"/>
    <row r="118" ht="15" customHeight="1" x14ac:dyDescent="0.2"/>
    <row r="119" ht="15" customHeight="1" x14ac:dyDescent="0.2"/>
    <row r="120" ht="15" customHeight="1" x14ac:dyDescent="0.2"/>
    <row r="121" ht="15" customHeight="1" x14ac:dyDescent="0.2"/>
    <row r="122" ht="15" customHeight="1" x14ac:dyDescent="0.2"/>
    <row r="123" ht="15" customHeight="1" x14ac:dyDescent="0.2"/>
    <row r="124" ht="15" customHeight="1" x14ac:dyDescent="0.2"/>
    <row r="125" ht="15" customHeight="1" x14ac:dyDescent="0.2"/>
    <row r="126" ht="15" customHeight="1" x14ac:dyDescent="0.2"/>
    <row r="127" ht="15" customHeight="1" x14ac:dyDescent="0.2"/>
    <row r="128" ht="15" customHeight="1" x14ac:dyDescent="0.2"/>
    <row r="129" ht="15" customHeight="1" x14ac:dyDescent="0.2"/>
    <row r="130" ht="15" customHeight="1" x14ac:dyDescent="0.2"/>
    <row r="131" ht="15" customHeight="1" x14ac:dyDescent="0.2"/>
    <row r="132" ht="15" customHeight="1" x14ac:dyDescent="0.2"/>
    <row r="133" ht="15" customHeight="1" x14ac:dyDescent="0.2"/>
    <row r="134" ht="15" customHeight="1" x14ac:dyDescent="0.2"/>
    <row r="135" ht="15" customHeight="1" x14ac:dyDescent="0.2"/>
    <row r="136" ht="15" customHeight="1" x14ac:dyDescent="0.2"/>
    <row r="137" ht="15" customHeight="1" x14ac:dyDescent="0.2"/>
    <row r="138" ht="15" customHeight="1" x14ac:dyDescent="0.2"/>
    <row r="139" ht="15" customHeight="1" x14ac:dyDescent="0.2"/>
    <row r="140" ht="15" customHeight="1" x14ac:dyDescent="0.2"/>
    <row r="141" ht="15" customHeight="1" x14ac:dyDescent="0.2"/>
    <row r="142" ht="15" customHeight="1" x14ac:dyDescent="0.2"/>
    <row r="143" ht="15" customHeight="1" x14ac:dyDescent="0.2"/>
    <row r="144" ht="15" customHeight="1" x14ac:dyDescent="0.2"/>
    <row r="145" ht="15" customHeight="1" x14ac:dyDescent="0.2"/>
    <row r="146" ht="15" customHeight="1" x14ac:dyDescent="0.2"/>
    <row r="147" ht="15" customHeight="1" x14ac:dyDescent="0.2"/>
    <row r="148" ht="15" customHeight="1" x14ac:dyDescent="0.2"/>
    <row r="149" ht="15" customHeight="1" x14ac:dyDescent="0.2"/>
    <row r="150" ht="15" customHeight="1" x14ac:dyDescent="0.2"/>
    <row r="151" ht="15" customHeight="1" x14ac:dyDescent="0.2"/>
    <row r="152" ht="15" customHeight="1" x14ac:dyDescent="0.2"/>
    <row r="153" ht="15" customHeight="1" x14ac:dyDescent="0.2"/>
    <row r="154" ht="15" customHeight="1" x14ac:dyDescent="0.2"/>
    <row r="155" ht="15" customHeight="1" x14ac:dyDescent="0.2"/>
    <row r="156" ht="15" customHeight="1" x14ac:dyDescent="0.2"/>
    <row r="157" ht="15" customHeight="1" x14ac:dyDescent="0.2"/>
    <row r="158" ht="15" customHeight="1" x14ac:dyDescent="0.2"/>
    <row r="159" ht="15" customHeight="1" x14ac:dyDescent="0.2"/>
  </sheetData>
  <phoneticPr fontId="0" type="noConversion"/>
  <conditionalFormatting sqref="B13:AK31">
    <cfRule type="cellIs" dxfId="0" priority="1" operator="lessThan">
      <formula>0</formula>
    </cfRule>
  </conditionalFormatting>
  <printOptions horizontalCentered="1"/>
  <pageMargins left="0.25" right="0.25" top="0.75" bottom="0.75" header="0.3" footer="0.3"/>
  <pageSetup scale="50" fitToWidth="0" orientation="landscape" draft="1" r:id="rId1"/>
  <headerFooter alignWithMargins="0">
    <oddHeader xml:space="preserve">&amp;CEnterprise Homes Preservation Fund, LLC
SUMMARIZED STATEMENT OF OPERATIONS
OPERATING PARTNERSHIPS - DETAILS
Unaudited
For period ending September 30, 2017
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BU484"/>
  <sheetViews>
    <sheetView zoomScale="110" zoomScaleNormal="110" workbookViewId="0">
      <pane xSplit="2" ySplit="1" topLeftCell="C135" activePane="bottomRight" state="frozen"/>
      <selection pane="topRight" activeCell="C1" sqref="C1"/>
      <selection pane="bottomLeft" activeCell="A2" sqref="A2"/>
      <selection pane="bottomRight" activeCell="A157" sqref="A157"/>
    </sheetView>
  </sheetViews>
  <sheetFormatPr defaultRowHeight="12.75" x14ac:dyDescent="0.2"/>
  <cols>
    <col min="1" max="1" width="12.42578125" bestFit="1" customWidth="1"/>
    <col min="2" max="2" width="46.85546875" bestFit="1" customWidth="1"/>
    <col min="3" max="3" width="11" style="159" bestFit="1" customWidth="1"/>
    <col min="4" max="4" width="11" style="159" customWidth="1"/>
    <col min="5" max="5" width="11" bestFit="1" customWidth="1"/>
    <col min="6" max="6" width="11" customWidth="1"/>
    <col min="7" max="7" width="11" style="159" bestFit="1" customWidth="1"/>
    <col min="8" max="8" width="11" style="159" customWidth="1"/>
    <col min="9" max="9" width="11" style="159" bestFit="1" customWidth="1"/>
    <col min="10" max="10" width="11" style="159" customWidth="1"/>
    <col min="11" max="11" width="11.85546875" style="159" bestFit="1" customWidth="1"/>
    <col min="12" max="12" width="14.7109375" style="159" customWidth="1"/>
    <col min="13" max="13" width="11" style="159" bestFit="1" customWidth="1"/>
    <col min="14" max="14" width="11" style="159" customWidth="1"/>
    <col min="15" max="15" width="11" style="159" bestFit="1" customWidth="1"/>
    <col min="16" max="16" width="11" style="159" customWidth="1"/>
    <col min="17" max="17" width="11" style="159" bestFit="1" customWidth="1"/>
    <col min="18" max="18" width="11" style="159" customWidth="1"/>
    <col min="19" max="19" width="11" style="159" bestFit="1" customWidth="1"/>
    <col min="20" max="20" width="11" style="159" customWidth="1"/>
    <col min="21" max="21" width="11" style="159" bestFit="1" customWidth="1"/>
    <col min="22" max="22" width="11" style="159" customWidth="1"/>
    <col min="23" max="23" width="11" style="159" bestFit="1" customWidth="1"/>
    <col min="24" max="24" width="11" style="159" customWidth="1"/>
    <col min="25" max="25" width="11" style="159" bestFit="1" customWidth="1"/>
    <col min="26" max="26" width="11" style="159" customWidth="1"/>
    <col min="27" max="27" width="11" style="159" bestFit="1" customWidth="1"/>
    <col min="28" max="28" width="11" style="159" customWidth="1"/>
    <col min="29" max="29" width="11" style="159" bestFit="1" customWidth="1"/>
    <col min="30" max="30" width="11" style="159" customWidth="1"/>
    <col min="31" max="31" width="11.85546875" style="159" bestFit="1" customWidth="1"/>
    <col min="32" max="32" width="11.85546875" style="159" customWidth="1"/>
    <col min="33" max="33" width="11" style="159" bestFit="1" customWidth="1"/>
    <col min="34" max="34" width="11" style="159" customWidth="1"/>
    <col min="35" max="35" width="11" style="159" bestFit="1" customWidth="1"/>
    <col min="36" max="36" width="11" style="159" customWidth="1"/>
    <col min="37" max="37" width="11" style="159" bestFit="1" customWidth="1"/>
    <col min="38" max="38" width="11" style="159" customWidth="1"/>
    <col min="39" max="39" width="11.28515625" style="159" bestFit="1" customWidth="1"/>
    <col min="40" max="40" width="11.28515625" style="159" customWidth="1"/>
    <col min="41" max="41" width="11" style="159" bestFit="1" customWidth="1"/>
    <col min="42" max="42" width="11" style="159" customWidth="1"/>
    <col min="43" max="43" width="11.28515625" style="159" bestFit="1" customWidth="1"/>
    <col min="44" max="44" width="11.28515625" style="159" customWidth="1"/>
    <col min="45" max="45" width="11" style="159" bestFit="1" customWidth="1"/>
    <col min="46" max="46" width="14.5703125" style="159" customWidth="1"/>
    <col min="47" max="47" width="11.85546875" style="159" bestFit="1" customWidth="1"/>
    <col min="48" max="48" width="11.85546875" style="159" customWidth="1"/>
    <col min="49" max="49" width="11" style="159" bestFit="1" customWidth="1"/>
    <col min="50" max="50" width="11" style="159" customWidth="1"/>
    <col min="51" max="51" width="11" style="159" bestFit="1" customWidth="1"/>
    <col min="52" max="52" width="11" style="159" customWidth="1"/>
    <col min="53" max="53" width="11" style="159" bestFit="1" customWidth="1"/>
    <col min="54" max="54" width="11" style="159" customWidth="1"/>
    <col min="55" max="55" width="11" style="159" bestFit="1" customWidth="1"/>
    <col min="56" max="56" width="11.5703125" style="159" bestFit="1" customWidth="1"/>
    <col min="57" max="57" width="11.28515625" style="159" bestFit="1" customWidth="1"/>
    <col min="58" max="58" width="11.28515625" style="159" customWidth="1"/>
    <col min="59" max="59" width="11" style="159" bestFit="1" customWidth="1"/>
    <col min="60" max="60" width="11" style="159" customWidth="1"/>
    <col min="61" max="61" width="11" style="159" bestFit="1" customWidth="1"/>
    <col min="62" max="62" width="12.140625" style="159" customWidth="1"/>
    <col min="63" max="63" width="11" style="159" bestFit="1" customWidth="1"/>
    <col min="64" max="64" width="11" style="159" customWidth="1"/>
    <col min="65" max="65" width="11" style="159" bestFit="1" customWidth="1"/>
    <col min="66" max="66" width="11" style="159" customWidth="1"/>
    <col min="67" max="67" width="11" style="159" bestFit="1" customWidth="1"/>
    <col min="68" max="68" width="11" style="159" customWidth="1"/>
    <col min="69" max="69" width="11" style="159" bestFit="1" customWidth="1"/>
    <col min="70" max="70" width="11" style="159" customWidth="1"/>
    <col min="71" max="71" width="11" style="159" bestFit="1" customWidth="1"/>
    <col min="72" max="72" width="12.42578125" style="159" bestFit="1" customWidth="1"/>
  </cols>
  <sheetData>
    <row r="1" spans="1:72" x14ac:dyDescent="0.2">
      <c r="A1" s="118"/>
      <c r="B1" s="119"/>
      <c r="C1" s="171" t="s">
        <v>937</v>
      </c>
      <c r="D1" s="160"/>
      <c r="E1" s="171" t="s">
        <v>936</v>
      </c>
      <c r="F1" s="160"/>
      <c r="G1" s="171" t="s">
        <v>935</v>
      </c>
      <c r="H1" s="160"/>
      <c r="I1" s="171" t="s">
        <v>934</v>
      </c>
      <c r="J1" s="160"/>
      <c r="K1" s="171" t="s">
        <v>933</v>
      </c>
      <c r="L1" s="160"/>
      <c r="M1" s="171" t="s">
        <v>932</v>
      </c>
      <c r="N1" s="160"/>
      <c r="O1" s="171" t="s">
        <v>931</v>
      </c>
      <c r="P1" s="160"/>
      <c r="Q1" s="171" t="s">
        <v>930</v>
      </c>
      <c r="R1" s="160"/>
      <c r="S1" s="171" t="s">
        <v>929</v>
      </c>
      <c r="T1" s="160"/>
      <c r="U1" s="171" t="s">
        <v>928</v>
      </c>
      <c r="V1" s="160"/>
      <c r="W1" s="171" t="s">
        <v>927</v>
      </c>
      <c r="X1" s="160"/>
      <c r="Y1" s="171" t="s">
        <v>926</v>
      </c>
      <c r="Z1" s="160"/>
      <c r="AA1" s="171" t="s">
        <v>925</v>
      </c>
      <c r="AB1" s="160"/>
      <c r="AC1" s="171" t="s">
        <v>924</v>
      </c>
      <c r="AD1" s="160"/>
      <c r="AE1" s="171" t="s">
        <v>923</v>
      </c>
      <c r="AF1" s="160"/>
      <c r="AG1" s="171" t="s">
        <v>922</v>
      </c>
      <c r="AH1" s="160"/>
      <c r="AI1" s="171" t="s">
        <v>921</v>
      </c>
      <c r="AJ1" s="160"/>
      <c r="AK1" s="160" t="s">
        <v>920</v>
      </c>
      <c r="AL1" s="160"/>
      <c r="AM1" s="171" t="s">
        <v>919</v>
      </c>
      <c r="AN1" s="160"/>
      <c r="AO1" s="171" t="s">
        <v>918</v>
      </c>
      <c r="AP1" s="160"/>
      <c r="AQ1" s="171" t="s">
        <v>917</v>
      </c>
      <c r="AR1" s="160"/>
      <c r="AS1" s="171" t="s">
        <v>916</v>
      </c>
      <c r="AT1" s="160"/>
      <c r="AU1" s="171" t="s">
        <v>915</v>
      </c>
      <c r="AV1" s="160"/>
      <c r="AW1" s="171" t="s">
        <v>914</v>
      </c>
      <c r="AX1" s="160"/>
      <c r="AY1" s="171" t="s">
        <v>913</v>
      </c>
      <c r="AZ1" s="160"/>
      <c r="BA1" s="171" t="s">
        <v>912</v>
      </c>
      <c r="BB1" s="160"/>
      <c r="BC1" s="171" t="s">
        <v>911</v>
      </c>
      <c r="BD1" s="160"/>
      <c r="BE1" s="171" t="s">
        <v>910</v>
      </c>
      <c r="BF1" s="160"/>
      <c r="BG1" s="171" t="s">
        <v>909</v>
      </c>
      <c r="BH1" s="160"/>
      <c r="BI1" s="171" t="s">
        <v>908</v>
      </c>
      <c r="BJ1" s="160"/>
      <c r="BK1" s="171" t="s">
        <v>907</v>
      </c>
      <c r="BL1" s="160"/>
      <c r="BM1" s="171" t="s">
        <v>906</v>
      </c>
      <c r="BN1" s="160"/>
      <c r="BO1" s="171" t="s">
        <v>905</v>
      </c>
      <c r="BP1" s="160"/>
      <c r="BQ1" s="171" t="s">
        <v>904</v>
      </c>
      <c r="BR1" s="160"/>
      <c r="BS1" s="171" t="s">
        <v>903</v>
      </c>
    </row>
    <row r="2" spans="1:72" x14ac:dyDescent="0.2">
      <c r="A2" s="120" t="s">
        <v>106</v>
      </c>
      <c r="B2" s="121" t="s">
        <v>107</v>
      </c>
      <c r="C2" s="156">
        <v>339565.14</v>
      </c>
      <c r="D2" s="156">
        <f>SUM(C2:C3)</f>
        <v>339865.14</v>
      </c>
      <c r="E2" s="156">
        <v>253313.36</v>
      </c>
      <c r="F2" s="156">
        <f>SUM(E2:E3)</f>
        <v>253613.36</v>
      </c>
      <c r="G2" s="156">
        <v>378228.31</v>
      </c>
      <c r="H2" s="156">
        <f>SUM(G2:G3)</f>
        <v>378528.31</v>
      </c>
      <c r="I2" s="156">
        <v>303610.19</v>
      </c>
      <c r="J2" s="156">
        <f>SUM(I2:I3)</f>
        <v>303910.19</v>
      </c>
      <c r="K2" s="156">
        <v>731780.48</v>
      </c>
      <c r="L2" s="156">
        <f>SUM(K2:K3)</f>
        <v>732280.48</v>
      </c>
      <c r="M2" s="156">
        <v>344059.44</v>
      </c>
      <c r="N2" s="156">
        <f>SUM(M2:M3)</f>
        <v>344359.44</v>
      </c>
      <c r="O2" s="156">
        <v>198574.5</v>
      </c>
      <c r="P2" s="156">
        <f>SUM(O2:O3)</f>
        <v>198874.5</v>
      </c>
      <c r="Q2" s="156">
        <v>197852.06</v>
      </c>
      <c r="R2" s="156">
        <f>SUM(Q2:Q3)</f>
        <v>198152.06</v>
      </c>
      <c r="S2" s="156">
        <v>277364.96000000002</v>
      </c>
      <c r="T2" s="156">
        <f>SUM(S2:S3)</f>
        <v>277664.96000000002</v>
      </c>
      <c r="U2" s="156">
        <v>414838.52</v>
      </c>
      <c r="V2" s="156">
        <f>SUM(U2:U3)</f>
        <v>415138.52</v>
      </c>
      <c r="W2" s="156">
        <v>254462.9</v>
      </c>
      <c r="X2" s="156">
        <f>SUM(W2:W3)</f>
        <v>254762.9</v>
      </c>
      <c r="Y2" s="156">
        <v>265678.53999999998</v>
      </c>
      <c r="Z2" s="156">
        <f>SUM(Y2:Y3)</f>
        <v>265978.53999999998</v>
      </c>
      <c r="AA2" s="156">
        <v>356158.19</v>
      </c>
      <c r="AB2" s="156">
        <f>SUM(AA2:AA3)</f>
        <v>356458.19</v>
      </c>
      <c r="AC2" s="156">
        <v>132634.62</v>
      </c>
      <c r="AD2" s="156">
        <f>SUM(AC2:AC3)</f>
        <v>132934.62</v>
      </c>
      <c r="AE2" s="156">
        <v>547621.30000000005</v>
      </c>
      <c r="AF2" s="156">
        <f>SUM(AE2:AE3)</f>
        <v>547921.30000000005</v>
      </c>
      <c r="AG2" s="156">
        <v>372638.4</v>
      </c>
      <c r="AH2" s="156">
        <f>SUM(AG2:AG3)</f>
        <v>372938.4</v>
      </c>
      <c r="AI2" s="156">
        <v>122643.76</v>
      </c>
      <c r="AJ2" s="156">
        <f>SUM(AI2:AI3)</f>
        <v>122943.76</v>
      </c>
      <c r="AK2" s="156">
        <v>124684.76</v>
      </c>
      <c r="AL2" s="156">
        <f>SUM(AK2:AK3)</f>
        <v>125184.76</v>
      </c>
      <c r="AM2" s="156">
        <v>453941.04</v>
      </c>
      <c r="AN2" s="156">
        <f>SUM(AM2:AM3)</f>
        <v>454241.04</v>
      </c>
      <c r="AO2" s="156">
        <v>307931.25</v>
      </c>
      <c r="AP2" s="156">
        <f>SUM(AO2:AO3)</f>
        <v>308231.25</v>
      </c>
      <c r="AQ2" s="156">
        <v>374926.51</v>
      </c>
      <c r="AR2" s="156">
        <f>SUM(AQ2:AQ3)</f>
        <v>375226.51</v>
      </c>
      <c r="AS2" s="156">
        <v>312138.68</v>
      </c>
      <c r="AT2" s="156">
        <f>AS2+AS3</f>
        <v>312438.68</v>
      </c>
      <c r="AU2" s="156">
        <v>668495.11</v>
      </c>
      <c r="AV2" s="156">
        <f>SUM(AU2:AU3)</f>
        <v>668795.06999999995</v>
      </c>
      <c r="AW2" s="156">
        <v>101849.60000000001</v>
      </c>
      <c r="AX2" s="156">
        <f>SUM(AW2:AW3)</f>
        <v>102149.6</v>
      </c>
      <c r="AY2" s="156">
        <v>365742.75</v>
      </c>
      <c r="AZ2" s="156">
        <f>SUM(AY2:AY3)</f>
        <v>366042.75</v>
      </c>
      <c r="BA2" s="156">
        <v>311171.08</v>
      </c>
      <c r="BB2" s="156">
        <f>SUM(BA2:BA3)</f>
        <v>311671.08</v>
      </c>
      <c r="BC2" s="156">
        <v>99582.18</v>
      </c>
      <c r="BD2" s="156">
        <f>SUM(BC2:BC3)</f>
        <v>99882.18</v>
      </c>
      <c r="BE2" s="156">
        <v>480272.08</v>
      </c>
      <c r="BF2" s="156">
        <f>SUM(BE2:BE3)</f>
        <v>480572.08</v>
      </c>
      <c r="BG2" s="156">
        <v>148505.32</v>
      </c>
      <c r="BH2" s="156">
        <f>SUM(BG2:BG3)</f>
        <v>148805.32</v>
      </c>
      <c r="BI2" s="156">
        <v>153113.01</v>
      </c>
      <c r="BJ2" s="156">
        <f>SUM(BI2:BI3)</f>
        <v>153413.01</v>
      </c>
      <c r="BK2" s="156">
        <v>327882.63</v>
      </c>
      <c r="BL2" s="156">
        <f>SUM(BK2:BK3)</f>
        <v>328182.63</v>
      </c>
      <c r="BM2" s="156">
        <v>509137.42</v>
      </c>
      <c r="BN2" s="156">
        <f>SUM(BM2:BM3)</f>
        <v>509637.42</v>
      </c>
      <c r="BO2" s="156">
        <v>421095.98</v>
      </c>
      <c r="BP2" s="156">
        <f>SUM(BO2:BO3)</f>
        <v>421395.98</v>
      </c>
      <c r="BQ2" s="156">
        <v>279641.84999999998</v>
      </c>
      <c r="BR2" s="156">
        <f>SUM(BQ2:BQ3)</f>
        <v>279941.84999999998</v>
      </c>
      <c r="BS2" s="156">
        <v>241752.95</v>
      </c>
      <c r="BT2" s="168">
        <f>SUM(BS2:BS3)</f>
        <v>242052.95</v>
      </c>
    </row>
    <row r="3" spans="1:72" x14ac:dyDescent="0.2">
      <c r="A3" s="123" t="s">
        <v>108</v>
      </c>
      <c r="B3" s="124" t="s">
        <v>109</v>
      </c>
      <c r="C3" s="157">
        <v>300</v>
      </c>
      <c r="D3" s="157"/>
      <c r="E3" s="157">
        <v>300</v>
      </c>
      <c r="F3" s="157"/>
      <c r="G3" s="157">
        <v>300</v>
      </c>
      <c r="H3" s="157"/>
      <c r="I3" s="157">
        <v>300</v>
      </c>
      <c r="J3" s="157"/>
      <c r="K3" s="157">
        <v>500</v>
      </c>
      <c r="L3" s="157"/>
      <c r="M3" s="157">
        <v>300</v>
      </c>
      <c r="N3" s="157"/>
      <c r="O3" s="157">
        <v>300</v>
      </c>
      <c r="P3" s="157"/>
      <c r="Q3" s="157">
        <v>300</v>
      </c>
      <c r="R3" s="157"/>
      <c r="S3" s="157">
        <v>300</v>
      </c>
      <c r="T3" s="157"/>
      <c r="U3" s="157">
        <v>300</v>
      </c>
      <c r="V3" s="157"/>
      <c r="W3" s="157">
        <v>300</v>
      </c>
      <c r="X3" s="157"/>
      <c r="Y3" s="157">
        <v>300</v>
      </c>
      <c r="Z3" s="157"/>
      <c r="AA3" s="157">
        <v>300</v>
      </c>
      <c r="AB3" s="157"/>
      <c r="AC3" s="157">
        <v>300</v>
      </c>
      <c r="AD3" s="157"/>
      <c r="AE3" s="157">
        <v>300</v>
      </c>
      <c r="AF3" s="157"/>
      <c r="AG3" s="157">
        <v>300</v>
      </c>
      <c r="AH3" s="157"/>
      <c r="AI3" s="157">
        <v>300</v>
      </c>
      <c r="AJ3" s="157"/>
      <c r="AK3" s="157">
        <v>500</v>
      </c>
      <c r="AL3" s="157"/>
      <c r="AM3" s="157">
        <v>300</v>
      </c>
      <c r="AN3" s="157"/>
      <c r="AO3" s="157">
        <v>300</v>
      </c>
      <c r="AP3" s="157"/>
      <c r="AQ3" s="157">
        <v>300</v>
      </c>
      <c r="AR3" s="157"/>
      <c r="AS3" s="157">
        <v>300</v>
      </c>
      <c r="AT3" s="157"/>
      <c r="AU3" s="157">
        <v>299.95999999999998</v>
      </c>
      <c r="AV3" s="157"/>
      <c r="AW3" s="157">
        <v>300</v>
      </c>
      <c r="AX3" s="157"/>
      <c r="AY3" s="157">
        <v>300</v>
      </c>
      <c r="AZ3" s="157"/>
      <c r="BA3" s="157">
        <v>500</v>
      </c>
      <c r="BB3" s="157"/>
      <c r="BC3" s="157">
        <v>300</v>
      </c>
      <c r="BD3" s="157"/>
      <c r="BE3" s="157">
        <v>300</v>
      </c>
      <c r="BF3" s="157"/>
      <c r="BG3" s="157">
        <v>300</v>
      </c>
      <c r="BH3" s="157"/>
      <c r="BI3" s="157">
        <v>300</v>
      </c>
      <c r="BJ3" s="157"/>
      <c r="BK3" s="157">
        <v>300</v>
      </c>
      <c r="BL3" s="157"/>
      <c r="BM3" s="157">
        <v>500</v>
      </c>
      <c r="BN3" s="157"/>
      <c r="BO3" s="157">
        <v>300</v>
      </c>
      <c r="BP3" s="157"/>
      <c r="BQ3" s="157">
        <v>300</v>
      </c>
      <c r="BR3" s="157"/>
      <c r="BS3" s="157">
        <v>300</v>
      </c>
    </row>
    <row r="4" spans="1:72" x14ac:dyDescent="0.2">
      <c r="A4" s="123" t="s">
        <v>110</v>
      </c>
      <c r="B4" s="124" t="s">
        <v>111</v>
      </c>
      <c r="C4" s="157">
        <v>57531.38</v>
      </c>
      <c r="D4" s="157">
        <f>SUM(C4,C20:C47)</f>
        <v>197505.03</v>
      </c>
      <c r="E4" s="157">
        <v>55425.87</v>
      </c>
      <c r="F4" s="157">
        <f>SUM(E4,E20:E47,E5)</f>
        <v>525913.16</v>
      </c>
      <c r="G4" s="157">
        <v>59262.66</v>
      </c>
      <c r="H4" s="157">
        <f>SUM(G4,G20:G47)</f>
        <v>200782.74000000005</v>
      </c>
      <c r="I4" s="157">
        <v>51095.74</v>
      </c>
      <c r="J4" s="157">
        <f>SUM(I4,I20:I47)</f>
        <v>869277.69</v>
      </c>
      <c r="K4" s="157">
        <v>67498.740000000005</v>
      </c>
      <c r="L4" s="157">
        <f>SUM(K4,K20:K47)</f>
        <v>447163.49</v>
      </c>
      <c r="M4" s="157">
        <v>50647.56</v>
      </c>
      <c r="N4" s="157">
        <f>SUM(M4,M20:M47)</f>
        <v>194168.71</v>
      </c>
      <c r="O4" s="157">
        <v>47705.26</v>
      </c>
      <c r="P4" s="157">
        <f>SUM(O4,O20:O47)</f>
        <v>138580.66</v>
      </c>
      <c r="Q4" s="157">
        <v>36484.22</v>
      </c>
      <c r="R4" s="157">
        <f>SUM(Q4,Q20:Q47)</f>
        <v>379784.8000000001</v>
      </c>
      <c r="S4" s="157">
        <v>48033.15</v>
      </c>
      <c r="T4" s="157">
        <f>SUM(S4:S5,S20:S47)</f>
        <v>509798.27999999997</v>
      </c>
      <c r="U4" s="157">
        <v>66079.92</v>
      </c>
      <c r="V4" s="157">
        <f>SUM(U4,U20:U47)</f>
        <v>956074.99999999977</v>
      </c>
      <c r="W4" s="157">
        <v>38084.67</v>
      </c>
      <c r="X4" s="157">
        <f>SUM(W4:W5,W20:W47)</f>
        <v>419752.03</v>
      </c>
      <c r="Y4" s="157">
        <v>57559.41</v>
      </c>
      <c r="Z4" s="157">
        <f>SUM(Y4:Y5,Y20:Y47)</f>
        <v>431029.2300000001</v>
      </c>
      <c r="AA4" s="157">
        <v>64091.28</v>
      </c>
      <c r="AB4" s="157">
        <f>SUM(AA4,AA20:AA47)</f>
        <v>186741.26000000004</v>
      </c>
      <c r="AC4" s="157">
        <v>41526.86</v>
      </c>
      <c r="AD4" s="157">
        <f>SUM(AC4:AC5,AC20:AC47)</f>
        <v>413747.20999999996</v>
      </c>
      <c r="AE4" s="157">
        <v>83600</v>
      </c>
      <c r="AF4" s="157">
        <f>SUM(AE4,AE20:AE47)</f>
        <v>328051.46000000002</v>
      </c>
      <c r="AG4" s="157">
        <v>60873.16</v>
      </c>
      <c r="AH4" s="157">
        <f>SUM(AG4,AG20:AG47)</f>
        <v>170357.77</v>
      </c>
      <c r="AI4" s="157">
        <v>33102.239999999998</v>
      </c>
      <c r="AJ4" s="157">
        <f>SUM(AI4:AI5,AI20:AI47)</f>
        <v>289088.19000000006</v>
      </c>
      <c r="AK4" s="157">
        <v>51102.45</v>
      </c>
      <c r="AL4" s="157">
        <f>SUM(AK4:AK5,AK20:AK47)</f>
        <v>577398.02</v>
      </c>
      <c r="AM4" s="157">
        <v>82709.62</v>
      </c>
      <c r="AN4" s="157">
        <f>SUM(AM4,AM20:AM47)</f>
        <v>949149.11999999988</v>
      </c>
      <c r="AO4" s="157">
        <v>51563.31</v>
      </c>
      <c r="AP4" s="157">
        <f>SUM(AO4,AO20:AO48)</f>
        <v>192105.68</v>
      </c>
      <c r="AQ4" s="157">
        <v>59576.32</v>
      </c>
      <c r="AR4" s="157">
        <f>SUM(AQ4,AQ20:AQ47)</f>
        <v>672997.73</v>
      </c>
      <c r="AS4" s="157">
        <v>65635.73</v>
      </c>
      <c r="AT4" s="157">
        <f>AS4+AS22+AS23+AS24+AS32+AS33+AS36</f>
        <v>354980.23</v>
      </c>
      <c r="AU4" s="157">
        <v>37088.269999999997</v>
      </c>
      <c r="AV4" s="157">
        <f>SUM(AU4,AU20:AU47)</f>
        <v>279188.09000000003</v>
      </c>
      <c r="AW4" s="157">
        <v>35717.949999999997</v>
      </c>
      <c r="AX4" s="157">
        <f>SUM(AW4:AW5,AW20:AW47)</f>
        <v>349784.11999999988</v>
      </c>
      <c r="AY4" s="157">
        <v>65756.820000000007</v>
      </c>
      <c r="AZ4" s="157">
        <f>SUM(AY4,AY20:AY47)</f>
        <v>383783.03</v>
      </c>
      <c r="BA4" s="157">
        <v>46907.96</v>
      </c>
      <c r="BB4" s="157">
        <f>SUM(BA4:BA5,BA20:BA47)</f>
        <v>266235.62999999995</v>
      </c>
      <c r="BC4" s="157">
        <v>71215.23</v>
      </c>
      <c r="BD4" s="157">
        <f>SUM(BC4,BC20:BC47)</f>
        <v>511985.80000000005</v>
      </c>
      <c r="BE4" s="157">
        <v>42568.639999999999</v>
      </c>
      <c r="BF4" s="157">
        <f>SUM(BE4,BE20:BE47)</f>
        <v>706009.60999999987</v>
      </c>
      <c r="BG4" s="157">
        <v>41784.39</v>
      </c>
      <c r="BH4" s="157">
        <f>SUM(BG4,BG20:BG47)</f>
        <v>511542.4600000002</v>
      </c>
      <c r="BI4" s="157">
        <v>45791.89</v>
      </c>
      <c r="BJ4" s="157">
        <f>SUM(BI4,BI20:BI47)</f>
        <v>536170.93999999971</v>
      </c>
      <c r="BK4" s="157">
        <v>65089.66</v>
      </c>
      <c r="BL4" s="157">
        <f>SUM(BK4,BK20:BK47)</f>
        <v>300916.69</v>
      </c>
      <c r="BM4" s="157">
        <v>40840.68</v>
      </c>
      <c r="BN4" s="157">
        <f>SUM(BM4,BM20:BM47)</f>
        <v>167005.25999999998</v>
      </c>
      <c r="BO4" s="157">
        <v>61883.51</v>
      </c>
      <c r="BP4" s="157">
        <f>SUM(BO4,BO20:BO47)</f>
        <v>579387.17999999993</v>
      </c>
      <c r="BQ4" s="157">
        <v>58912.84</v>
      </c>
      <c r="BR4" s="157">
        <f>SUM(BQ4,BQ20:BQ47)</f>
        <v>563605.84</v>
      </c>
      <c r="BS4" s="157">
        <v>50758.94</v>
      </c>
      <c r="BT4" s="168">
        <f>SUM(BS4,BS20:BS47)</f>
        <v>498725.44000000018</v>
      </c>
    </row>
    <row r="5" spans="1:72" x14ac:dyDescent="0.2">
      <c r="A5" s="123" t="s">
        <v>1429</v>
      </c>
      <c r="B5" s="124" t="s">
        <v>1430</v>
      </c>
      <c r="C5" s="157">
        <v>0</v>
      </c>
      <c r="D5" s="157"/>
      <c r="E5" s="157">
        <v>60.04</v>
      </c>
      <c r="F5" s="157"/>
      <c r="G5" s="157">
        <v>0</v>
      </c>
      <c r="H5" s="157"/>
      <c r="I5" s="157">
        <v>0</v>
      </c>
      <c r="J5" s="157">
        <f>SUM(I5:I13)</f>
        <v>3635.72</v>
      </c>
      <c r="K5" s="157">
        <v>0</v>
      </c>
      <c r="L5" s="157"/>
      <c r="M5" s="157">
        <v>0</v>
      </c>
      <c r="N5" s="157"/>
      <c r="O5" s="157">
        <v>0</v>
      </c>
      <c r="P5" s="157"/>
      <c r="Q5" s="157">
        <v>0</v>
      </c>
      <c r="R5" s="157">
        <f>SUM(Q5:Q13)</f>
        <v>3291.58</v>
      </c>
      <c r="S5" s="157">
        <v>60.04</v>
      </c>
      <c r="T5" s="157"/>
      <c r="U5" s="157">
        <v>0</v>
      </c>
      <c r="V5" s="157"/>
      <c r="W5" s="157">
        <v>60.04</v>
      </c>
      <c r="X5" s="157"/>
      <c r="Y5" s="157">
        <v>0</v>
      </c>
      <c r="Z5" s="157"/>
      <c r="AA5" s="157">
        <v>0</v>
      </c>
      <c r="AB5" s="157"/>
      <c r="AC5" s="157">
        <v>60.04</v>
      </c>
      <c r="AD5" s="157"/>
      <c r="AE5" s="157">
        <v>0</v>
      </c>
      <c r="AF5" s="157"/>
      <c r="AG5" s="157">
        <v>0</v>
      </c>
      <c r="AH5" s="157"/>
      <c r="AI5" s="157">
        <v>60.04</v>
      </c>
      <c r="AJ5" s="157"/>
      <c r="AK5" s="157">
        <v>60.04</v>
      </c>
      <c r="AL5" s="157"/>
      <c r="AM5" s="157">
        <v>0</v>
      </c>
      <c r="AN5" s="157"/>
      <c r="AO5" s="157">
        <v>0</v>
      </c>
      <c r="AP5" s="157"/>
      <c r="AQ5" s="157">
        <v>0</v>
      </c>
      <c r="AR5" s="157"/>
      <c r="AS5" s="157">
        <v>0</v>
      </c>
      <c r="AT5" s="157"/>
      <c r="AU5" s="157">
        <v>0</v>
      </c>
      <c r="AV5" s="157"/>
      <c r="AW5" s="157">
        <v>60.04</v>
      </c>
      <c r="AX5" s="157">
        <f>SUM(AW6:AW13)</f>
        <v>16451.060000000001</v>
      </c>
      <c r="AY5" s="157">
        <v>0</v>
      </c>
      <c r="AZ5" s="157"/>
      <c r="BA5" s="157">
        <v>0</v>
      </c>
      <c r="BB5" s="157"/>
      <c r="BC5" s="157">
        <v>0</v>
      </c>
      <c r="BD5" s="157"/>
      <c r="BE5" s="157">
        <v>0</v>
      </c>
      <c r="BF5" s="157"/>
      <c r="BG5" s="157">
        <v>0</v>
      </c>
      <c r="BH5" s="157"/>
      <c r="BI5" s="157">
        <v>0</v>
      </c>
      <c r="BJ5" s="157"/>
      <c r="BK5" s="157">
        <v>0</v>
      </c>
      <c r="BL5" s="157"/>
      <c r="BM5" s="157">
        <v>0</v>
      </c>
      <c r="BN5" s="157"/>
      <c r="BO5" s="157">
        <v>0</v>
      </c>
      <c r="BP5" s="157"/>
      <c r="BQ5" s="157">
        <v>0</v>
      </c>
      <c r="BR5" s="157"/>
      <c r="BS5" s="157">
        <v>0</v>
      </c>
    </row>
    <row r="6" spans="1:72" x14ac:dyDescent="0.2">
      <c r="A6" s="123" t="s">
        <v>112</v>
      </c>
      <c r="B6" s="124" t="s">
        <v>113</v>
      </c>
      <c r="C6" s="157">
        <v>32</v>
      </c>
      <c r="D6" s="157">
        <f>SUM(C6:C13)</f>
        <v>32</v>
      </c>
      <c r="E6" s="157">
        <v>2879.1</v>
      </c>
      <c r="F6" s="157">
        <f>SUM(E6:E13)</f>
        <v>2605.56</v>
      </c>
      <c r="G6" s="157">
        <v>22.4</v>
      </c>
      <c r="H6" s="157">
        <f>SUM(G6:G13)</f>
        <v>22.4</v>
      </c>
      <c r="I6" s="157">
        <v>226.22</v>
      </c>
      <c r="J6" s="157"/>
      <c r="K6" s="157">
        <v>0</v>
      </c>
      <c r="L6" s="157">
        <f>SUM(K6:K13)</f>
        <v>268381.26</v>
      </c>
      <c r="M6" s="157">
        <v>1768.2</v>
      </c>
      <c r="N6" s="157">
        <f>SUM(M6:M13)</f>
        <v>2149.1999999999998</v>
      </c>
      <c r="O6" s="157">
        <v>35.75</v>
      </c>
      <c r="P6" s="157">
        <f>SUM(O6:O13)</f>
        <v>35.75</v>
      </c>
      <c r="Q6" s="157">
        <v>0</v>
      </c>
      <c r="R6" s="157"/>
      <c r="S6" s="157">
        <v>0</v>
      </c>
      <c r="T6" s="157">
        <f>SUM(S6:S13)</f>
        <v>0</v>
      </c>
      <c r="U6" s="157">
        <v>1182.2</v>
      </c>
      <c r="V6" s="157">
        <f>SUM(U6:U13)</f>
        <v>4986.9800000000005</v>
      </c>
      <c r="W6" s="157">
        <v>892.48</v>
      </c>
      <c r="X6" s="157">
        <f>SUM(W6:W13)</f>
        <v>5861.48</v>
      </c>
      <c r="Y6" s="157">
        <v>275.5</v>
      </c>
      <c r="Z6" s="157">
        <f>SUM(Y6:Y13)</f>
        <v>6754.37</v>
      </c>
      <c r="AA6" s="157">
        <v>1169.71</v>
      </c>
      <c r="AB6" s="157">
        <f>SUM(AA6:AA13)</f>
        <v>185</v>
      </c>
      <c r="AC6" s="157">
        <v>1290.4000000000001</v>
      </c>
      <c r="AD6" s="157">
        <f>SUM(AC6:AC13)</f>
        <v>15403.59</v>
      </c>
      <c r="AE6" s="157">
        <v>39839.22</v>
      </c>
      <c r="AF6" s="157">
        <f>SUM(AE6:AE13)</f>
        <v>37263.33</v>
      </c>
      <c r="AG6" s="157">
        <v>818.88</v>
      </c>
      <c r="AH6" s="157">
        <f>SUM(AG6:AG13)</f>
        <v>818.88</v>
      </c>
      <c r="AI6" s="157">
        <v>0</v>
      </c>
      <c r="AJ6" s="157">
        <f>SUM(AI6:AI13)</f>
        <v>0</v>
      </c>
      <c r="AK6" s="157">
        <v>5351.55</v>
      </c>
      <c r="AL6" s="157">
        <f>SUM(AK6:AK13)</f>
        <v>13688.41</v>
      </c>
      <c r="AM6" s="157">
        <v>7244.16</v>
      </c>
      <c r="AN6" s="157">
        <f>SUM(AM6:AM13)</f>
        <v>11588.230000000001</v>
      </c>
      <c r="AO6" s="157">
        <v>69.87</v>
      </c>
      <c r="AP6" s="157">
        <f>SUM(AO6:AO13)</f>
        <v>14789.25</v>
      </c>
      <c r="AQ6" s="157">
        <v>8098.32</v>
      </c>
      <c r="AR6" s="157">
        <f>SUM(AQ6:AQ13)</f>
        <v>11865.75</v>
      </c>
      <c r="AS6" s="157">
        <v>6044.87</v>
      </c>
      <c r="AT6" s="157">
        <f>AS6+AS7</f>
        <v>7405.0599999999995</v>
      </c>
      <c r="AU6" s="157">
        <v>14464.87</v>
      </c>
      <c r="AV6" s="157">
        <f>SUM(AU6:AU13)</f>
        <v>20042.93</v>
      </c>
      <c r="AW6" s="157">
        <v>6249</v>
      </c>
      <c r="AX6" s="157"/>
      <c r="AY6" s="157">
        <v>1371.15</v>
      </c>
      <c r="AZ6" s="157">
        <f>SUM(AY6:AY13)</f>
        <v>4241.1000000000004</v>
      </c>
      <c r="BA6" s="157">
        <v>5982.12</v>
      </c>
      <c r="BB6" s="157">
        <f>SUM(BA6:BA13)</f>
        <v>9345.73</v>
      </c>
      <c r="BC6" s="157">
        <v>11610.97</v>
      </c>
      <c r="BD6" s="157">
        <f>SUM(BC6:BC13)</f>
        <v>15579.47</v>
      </c>
      <c r="BE6" s="157">
        <v>10774.21</v>
      </c>
      <c r="BF6" s="157">
        <f>SUM(BE6:BE13)</f>
        <v>21366.05</v>
      </c>
      <c r="BG6" s="157">
        <v>401.81</v>
      </c>
      <c r="BH6" s="157">
        <f>SUM(BG6:BG13)</f>
        <v>4251.54</v>
      </c>
      <c r="BI6" s="157">
        <v>1402.91</v>
      </c>
      <c r="BJ6" s="157">
        <f>SUM(BI6:BI13)</f>
        <v>6634.79</v>
      </c>
      <c r="BK6" s="157">
        <v>3036.99</v>
      </c>
      <c r="BL6" s="157">
        <f>SUM(BK6:BK13)</f>
        <v>21723.42</v>
      </c>
      <c r="BM6" s="157">
        <v>6002.99</v>
      </c>
      <c r="BN6" s="157">
        <f>SUM(BM6:BM13)</f>
        <v>5956.3399999999992</v>
      </c>
      <c r="BO6" s="157">
        <v>65.84</v>
      </c>
      <c r="BP6" s="157">
        <f>SUM(BO6:BO13)</f>
        <v>6486.84</v>
      </c>
      <c r="BQ6" s="157">
        <v>1670.03</v>
      </c>
      <c r="BR6" s="157">
        <f>SUM(BQ6:BQ13)</f>
        <v>4126.6500000000005</v>
      </c>
      <c r="BS6" s="157">
        <v>0</v>
      </c>
      <c r="BT6" s="168">
        <f>SUM(BS6:BS13)</f>
        <v>2940</v>
      </c>
    </row>
    <row r="7" spans="1:72" x14ac:dyDescent="0.2">
      <c r="A7" s="123" t="s">
        <v>114</v>
      </c>
      <c r="B7" s="124" t="s">
        <v>115</v>
      </c>
      <c r="C7" s="157">
        <v>0</v>
      </c>
      <c r="D7" s="157"/>
      <c r="E7" s="157">
        <v>0.33</v>
      </c>
      <c r="F7" s="157"/>
      <c r="G7" s="157">
        <v>0</v>
      </c>
      <c r="H7" s="157"/>
      <c r="I7" s="157">
        <v>0</v>
      </c>
      <c r="J7" s="157"/>
      <c r="K7" s="157">
        <v>179438</v>
      </c>
      <c r="L7" s="157"/>
      <c r="M7" s="157">
        <v>0</v>
      </c>
      <c r="N7" s="157"/>
      <c r="O7" s="157">
        <v>0</v>
      </c>
      <c r="P7" s="157"/>
      <c r="Q7" s="157">
        <v>0</v>
      </c>
      <c r="R7" s="157"/>
      <c r="S7" s="157">
        <v>0</v>
      </c>
      <c r="T7" s="157"/>
      <c r="U7" s="157">
        <v>364.42</v>
      </c>
      <c r="V7" s="157"/>
      <c r="W7" s="157">
        <v>0</v>
      </c>
      <c r="X7" s="157"/>
      <c r="Y7" s="157">
        <v>184</v>
      </c>
      <c r="Z7" s="157"/>
      <c r="AA7" s="157">
        <v>0</v>
      </c>
      <c r="AB7" s="157"/>
      <c r="AC7" s="157">
        <v>0</v>
      </c>
      <c r="AD7" s="157"/>
      <c r="AE7" s="157">
        <v>20966</v>
      </c>
      <c r="AF7" s="157"/>
      <c r="AG7" s="157">
        <v>0</v>
      </c>
      <c r="AH7" s="157"/>
      <c r="AI7" s="157">
        <v>0</v>
      </c>
      <c r="AJ7" s="157"/>
      <c r="AK7" s="157">
        <v>3646.63</v>
      </c>
      <c r="AL7" s="157"/>
      <c r="AM7" s="157">
        <v>23.1</v>
      </c>
      <c r="AN7" s="157"/>
      <c r="AO7" s="157">
        <v>0</v>
      </c>
      <c r="AP7" s="157"/>
      <c r="AQ7" s="157">
        <v>0</v>
      </c>
      <c r="AR7" s="157"/>
      <c r="AS7" s="157">
        <v>1360.19</v>
      </c>
      <c r="AT7" s="157"/>
      <c r="AU7" s="157">
        <v>0</v>
      </c>
      <c r="AV7" s="157"/>
      <c r="AW7" s="157">
        <v>7968</v>
      </c>
      <c r="AX7" s="157"/>
      <c r="AY7" s="157">
        <v>1</v>
      </c>
      <c r="AZ7" s="157"/>
      <c r="BA7" s="157">
        <v>0</v>
      </c>
      <c r="BB7" s="157"/>
      <c r="BC7" s="157">
        <v>0</v>
      </c>
      <c r="BD7" s="157"/>
      <c r="BE7" s="157">
        <v>1512</v>
      </c>
      <c r="BF7" s="157"/>
      <c r="BG7" s="157">
        <v>1199.23</v>
      </c>
      <c r="BH7" s="157"/>
      <c r="BI7" s="157">
        <v>2266.88</v>
      </c>
      <c r="BJ7" s="157"/>
      <c r="BK7" s="157">
        <v>2956.74</v>
      </c>
      <c r="BL7" s="157"/>
      <c r="BM7" s="157">
        <v>0</v>
      </c>
      <c r="BN7" s="157"/>
      <c r="BO7" s="157">
        <v>1630</v>
      </c>
      <c r="BP7" s="157"/>
      <c r="BQ7" s="157">
        <v>0</v>
      </c>
      <c r="BR7" s="157"/>
      <c r="BS7" s="157">
        <v>0</v>
      </c>
    </row>
    <row r="8" spans="1:72" x14ac:dyDescent="0.2">
      <c r="A8" s="123" t="s">
        <v>116</v>
      </c>
      <c r="B8" s="124" t="s">
        <v>117</v>
      </c>
      <c r="C8" s="157">
        <v>0</v>
      </c>
      <c r="D8" s="157"/>
      <c r="E8" s="157">
        <v>0</v>
      </c>
      <c r="F8" s="157"/>
      <c r="G8" s="157">
        <v>0</v>
      </c>
      <c r="H8" s="157"/>
      <c r="I8" s="157">
        <v>0</v>
      </c>
      <c r="J8" s="157"/>
      <c r="K8" s="157">
        <v>0</v>
      </c>
      <c r="L8" s="157"/>
      <c r="M8" s="157">
        <v>0</v>
      </c>
      <c r="N8" s="157"/>
      <c r="O8" s="157">
        <v>0</v>
      </c>
      <c r="P8" s="157"/>
      <c r="Q8" s="157">
        <v>0</v>
      </c>
      <c r="R8" s="157"/>
      <c r="S8" s="157">
        <v>0</v>
      </c>
      <c r="T8" s="157"/>
      <c r="U8" s="157">
        <v>0</v>
      </c>
      <c r="V8" s="157"/>
      <c r="W8" s="157">
        <v>0</v>
      </c>
      <c r="X8" s="157"/>
      <c r="Y8" s="157">
        <v>0</v>
      </c>
      <c r="Z8" s="157"/>
      <c r="AA8" s="157">
        <v>0</v>
      </c>
      <c r="AB8" s="157"/>
      <c r="AC8" s="157">
        <v>0</v>
      </c>
      <c r="AD8" s="157"/>
      <c r="AE8" s="157">
        <v>-8922.0400000000009</v>
      </c>
      <c r="AF8" s="157"/>
      <c r="AG8" s="157">
        <v>0</v>
      </c>
      <c r="AH8" s="157"/>
      <c r="AI8" s="157">
        <v>0</v>
      </c>
      <c r="AJ8" s="157"/>
      <c r="AK8" s="157">
        <v>0</v>
      </c>
      <c r="AL8" s="157"/>
      <c r="AM8" s="157">
        <v>0</v>
      </c>
      <c r="AN8" s="157"/>
      <c r="AO8" s="157">
        <v>0</v>
      </c>
      <c r="AP8" s="157"/>
      <c r="AQ8" s="157">
        <v>0</v>
      </c>
      <c r="AR8" s="157"/>
      <c r="AS8" s="157">
        <v>0</v>
      </c>
      <c r="AT8" s="157"/>
      <c r="AU8" s="157">
        <v>0</v>
      </c>
      <c r="AV8" s="157"/>
      <c r="AW8" s="157">
        <v>-1235.6400000000001</v>
      </c>
      <c r="AX8" s="157"/>
      <c r="AY8" s="157">
        <v>0</v>
      </c>
      <c r="AZ8" s="157"/>
      <c r="BA8" s="157">
        <v>0</v>
      </c>
      <c r="BB8" s="157"/>
      <c r="BC8" s="157">
        <v>0</v>
      </c>
      <c r="BD8" s="157"/>
      <c r="BE8" s="157">
        <v>0</v>
      </c>
      <c r="BF8" s="157"/>
      <c r="BG8" s="157">
        <v>0</v>
      </c>
      <c r="BH8" s="157"/>
      <c r="BI8" s="157">
        <v>0</v>
      </c>
      <c r="BJ8" s="157"/>
      <c r="BK8" s="157">
        <v>0</v>
      </c>
      <c r="BL8" s="157"/>
      <c r="BM8" s="157">
        <v>0</v>
      </c>
      <c r="BN8" s="157"/>
      <c r="BO8" s="157">
        <v>0</v>
      </c>
      <c r="BP8" s="157"/>
      <c r="BQ8" s="157">
        <v>0</v>
      </c>
      <c r="BR8" s="157"/>
      <c r="BS8" s="157">
        <v>0</v>
      </c>
    </row>
    <row r="9" spans="1:72" x14ac:dyDescent="0.2">
      <c r="A9" s="123" t="s">
        <v>430</v>
      </c>
      <c r="B9" s="124" t="s">
        <v>431</v>
      </c>
      <c r="C9" s="157">
        <v>0</v>
      </c>
      <c r="D9" s="157"/>
      <c r="E9" s="157">
        <v>0</v>
      </c>
      <c r="F9" s="157"/>
      <c r="G9" s="157">
        <v>0</v>
      </c>
      <c r="H9" s="157"/>
      <c r="I9" s="157">
        <v>0</v>
      </c>
      <c r="J9" s="157"/>
      <c r="K9" s="157">
        <v>91858</v>
      </c>
      <c r="L9" s="157"/>
      <c r="M9" s="157">
        <v>0</v>
      </c>
      <c r="N9" s="157"/>
      <c r="O9" s="157">
        <v>0</v>
      </c>
      <c r="P9" s="157"/>
      <c r="Q9" s="157">
        <v>0</v>
      </c>
      <c r="R9" s="157"/>
      <c r="S9" s="157">
        <v>0</v>
      </c>
      <c r="T9" s="157"/>
      <c r="U9" s="157">
        <v>0</v>
      </c>
      <c r="V9" s="157"/>
      <c r="W9" s="157">
        <v>4969</v>
      </c>
      <c r="X9" s="157"/>
      <c r="Y9" s="157">
        <v>0</v>
      </c>
      <c r="Z9" s="157"/>
      <c r="AA9" s="157">
        <v>0</v>
      </c>
      <c r="AB9" s="157"/>
      <c r="AC9" s="157">
        <v>0</v>
      </c>
      <c r="AD9" s="157"/>
      <c r="AE9" s="157">
        <v>0</v>
      </c>
      <c r="AF9" s="157"/>
      <c r="AG9" s="157">
        <v>0</v>
      </c>
      <c r="AH9" s="157"/>
      <c r="AI9" s="157">
        <v>0</v>
      </c>
      <c r="AJ9" s="157"/>
      <c r="AK9" s="157">
        <v>0</v>
      </c>
      <c r="AL9" s="157"/>
      <c r="AM9" s="157">
        <v>0</v>
      </c>
      <c r="AN9" s="157"/>
      <c r="AO9" s="157">
        <v>0</v>
      </c>
      <c r="AP9" s="157"/>
      <c r="AQ9" s="157">
        <v>0</v>
      </c>
      <c r="AR9" s="157"/>
      <c r="AS9" s="157">
        <v>0</v>
      </c>
      <c r="AT9" s="157"/>
      <c r="AU9" s="157">
        <v>807</v>
      </c>
      <c r="AV9" s="157"/>
      <c r="AW9" s="157">
        <v>0</v>
      </c>
      <c r="AX9" s="157"/>
      <c r="AY9" s="157">
        <v>0</v>
      </c>
      <c r="AZ9" s="157"/>
      <c r="BA9" s="157">
        <v>0</v>
      </c>
      <c r="BB9" s="157"/>
      <c r="BC9" s="157">
        <v>0</v>
      </c>
      <c r="BD9" s="157"/>
      <c r="BE9" s="157">
        <v>0</v>
      </c>
      <c r="BF9" s="157"/>
      <c r="BG9" s="157">
        <v>0</v>
      </c>
      <c r="BH9" s="157"/>
      <c r="BI9" s="157">
        <v>0</v>
      </c>
      <c r="BJ9" s="157"/>
      <c r="BK9" s="157">
        <v>0</v>
      </c>
      <c r="BL9" s="157"/>
      <c r="BM9" s="157">
        <v>0</v>
      </c>
      <c r="BN9" s="157"/>
      <c r="BO9" s="157">
        <v>0</v>
      </c>
      <c r="BP9" s="157"/>
      <c r="BQ9" s="157">
        <v>0</v>
      </c>
      <c r="BR9" s="157"/>
      <c r="BS9" s="157">
        <v>0</v>
      </c>
    </row>
    <row r="10" spans="1:72" x14ac:dyDescent="0.2">
      <c r="A10" s="123" t="s">
        <v>432</v>
      </c>
      <c r="B10" s="124" t="s">
        <v>433</v>
      </c>
      <c r="C10" s="157">
        <v>0</v>
      </c>
      <c r="D10" s="157"/>
      <c r="E10" s="157">
        <v>0</v>
      </c>
      <c r="F10" s="157"/>
      <c r="G10" s="157">
        <v>0</v>
      </c>
      <c r="H10" s="157"/>
      <c r="I10" s="157">
        <v>0</v>
      </c>
      <c r="J10" s="157"/>
      <c r="K10" s="157">
        <v>0</v>
      </c>
      <c r="L10" s="157"/>
      <c r="M10" s="157">
        <v>0</v>
      </c>
      <c r="N10" s="157"/>
      <c r="O10" s="157">
        <v>0</v>
      </c>
      <c r="P10" s="157"/>
      <c r="Q10" s="157">
        <v>0</v>
      </c>
      <c r="R10" s="157"/>
      <c r="S10" s="157">
        <v>0</v>
      </c>
      <c r="T10" s="157"/>
      <c r="U10" s="157">
        <v>0</v>
      </c>
      <c r="V10" s="157"/>
      <c r="W10" s="157">
        <v>0</v>
      </c>
      <c r="X10" s="157"/>
      <c r="Y10" s="157">
        <v>0</v>
      </c>
      <c r="Z10" s="157"/>
      <c r="AA10" s="157">
        <v>0</v>
      </c>
      <c r="AB10" s="157"/>
      <c r="AC10" s="157">
        <v>0</v>
      </c>
      <c r="AD10" s="157"/>
      <c r="AE10" s="157">
        <v>0</v>
      </c>
      <c r="AF10" s="157"/>
      <c r="AG10" s="157">
        <v>0</v>
      </c>
      <c r="AH10" s="157"/>
      <c r="AI10" s="157">
        <v>0</v>
      </c>
      <c r="AJ10" s="157"/>
      <c r="AK10" s="157">
        <v>0</v>
      </c>
      <c r="AL10" s="157"/>
      <c r="AM10" s="157">
        <v>0</v>
      </c>
      <c r="AN10" s="157"/>
      <c r="AO10" s="157">
        <v>0</v>
      </c>
      <c r="AP10" s="157"/>
      <c r="AQ10" s="157">
        <v>0</v>
      </c>
      <c r="AR10" s="157"/>
      <c r="AS10" s="157">
        <v>0</v>
      </c>
      <c r="AT10" s="157"/>
      <c r="AU10" s="157">
        <v>1956</v>
      </c>
      <c r="AV10" s="157"/>
      <c r="AW10" s="157">
        <v>0</v>
      </c>
      <c r="AX10" s="157"/>
      <c r="AY10" s="157">
        <v>0</v>
      </c>
      <c r="AZ10" s="157"/>
      <c r="BA10" s="157">
        <v>0</v>
      </c>
      <c r="BB10" s="157"/>
      <c r="BC10" s="157">
        <v>0</v>
      </c>
      <c r="BD10" s="157"/>
      <c r="BE10" s="157">
        <v>6765</v>
      </c>
      <c r="BF10" s="157"/>
      <c r="BG10" s="157">
        <v>0</v>
      </c>
      <c r="BH10" s="157"/>
      <c r="BI10" s="157">
        <v>0</v>
      </c>
      <c r="BJ10" s="157"/>
      <c r="BK10" s="157">
        <v>0</v>
      </c>
      <c r="BL10" s="157"/>
      <c r="BM10" s="157">
        <v>0</v>
      </c>
      <c r="BN10" s="157"/>
      <c r="BO10" s="157">
        <v>0</v>
      </c>
      <c r="BP10" s="157"/>
      <c r="BQ10" s="157">
        <v>0</v>
      </c>
      <c r="BR10" s="157"/>
      <c r="BS10" s="157">
        <v>0</v>
      </c>
    </row>
    <row r="11" spans="1:72" x14ac:dyDescent="0.2">
      <c r="A11" s="123" t="s">
        <v>118</v>
      </c>
      <c r="B11" s="124" t="s">
        <v>119</v>
      </c>
      <c r="C11" s="157">
        <v>0</v>
      </c>
      <c r="D11" s="157"/>
      <c r="E11" s="157">
        <v>0</v>
      </c>
      <c r="F11" s="157"/>
      <c r="G11" s="157">
        <v>0</v>
      </c>
      <c r="H11" s="157"/>
      <c r="I11" s="157">
        <v>3409.5</v>
      </c>
      <c r="J11" s="157"/>
      <c r="K11" s="157">
        <v>0</v>
      </c>
      <c r="L11" s="157"/>
      <c r="M11" s="157">
        <v>958</v>
      </c>
      <c r="N11" s="157"/>
      <c r="O11" s="157">
        <v>0</v>
      </c>
      <c r="P11" s="157"/>
      <c r="Q11" s="157">
        <v>3291.58</v>
      </c>
      <c r="R11" s="157"/>
      <c r="S11" s="157">
        <v>0</v>
      </c>
      <c r="T11" s="157"/>
      <c r="U11" s="157">
        <v>3444.36</v>
      </c>
      <c r="V11" s="157"/>
      <c r="W11" s="157">
        <v>0</v>
      </c>
      <c r="X11" s="157"/>
      <c r="Y11" s="157">
        <v>6306.37</v>
      </c>
      <c r="Z11" s="157"/>
      <c r="AA11" s="157">
        <v>0</v>
      </c>
      <c r="AB11" s="157"/>
      <c r="AC11" s="157">
        <v>0</v>
      </c>
      <c r="AD11" s="157"/>
      <c r="AE11" s="157">
        <v>297.58</v>
      </c>
      <c r="AF11" s="157"/>
      <c r="AG11" s="157">
        <v>0</v>
      </c>
      <c r="AH11" s="157"/>
      <c r="AI11" s="157">
        <v>0</v>
      </c>
      <c r="AJ11" s="157"/>
      <c r="AK11" s="157">
        <v>4971.18</v>
      </c>
      <c r="AL11" s="157"/>
      <c r="AM11" s="157">
        <v>4788.78</v>
      </c>
      <c r="AN11" s="157"/>
      <c r="AO11" s="157">
        <v>0</v>
      </c>
      <c r="AP11" s="157"/>
      <c r="AQ11" s="157">
        <v>3767.43</v>
      </c>
      <c r="AR11" s="157"/>
      <c r="AS11" s="157">
        <v>0</v>
      </c>
      <c r="AT11" s="157"/>
      <c r="AU11" s="157">
        <v>0</v>
      </c>
      <c r="AV11" s="157"/>
      <c r="AW11" s="157">
        <v>3469.7</v>
      </c>
      <c r="AX11" s="157"/>
      <c r="AY11" s="157">
        <v>3565.95</v>
      </c>
      <c r="AZ11" s="157"/>
      <c r="BA11" s="157">
        <v>4217.91</v>
      </c>
      <c r="BB11" s="157"/>
      <c r="BC11" s="157">
        <v>3968.5</v>
      </c>
      <c r="BD11" s="157"/>
      <c r="BE11" s="157">
        <v>4067</v>
      </c>
      <c r="BF11" s="157"/>
      <c r="BG11" s="157">
        <v>2650.5</v>
      </c>
      <c r="BH11" s="157"/>
      <c r="BI11" s="157">
        <v>2965</v>
      </c>
      <c r="BJ11" s="157"/>
      <c r="BK11" s="157">
        <v>15729.69</v>
      </c>
      <c r="BL11" s="157"/>
      <c r="BM11" s="157">
        <v>2701.23</v>
      </c>
      <c r="BN11" s="157"/>
      <c r="BO11" s="157">
        <v>4791</v>
      </c>
      <c r="BP11" s="157"/>
      <c r="BQ11" s="157">
        <v>3415.02</v>
      </c>
      <c r="BR11" s="157"/>
      <c r="BS11" s="157">
        <v>2971</v>
      </c>
    </row>
    <row r="12" spans="1:72" x14ac:dyDescent="0.2">
      <c r="A12" s="123" t="s">
        <v>592</v>
      </c>
      <c r="B12" s="124" t="s">
        <v>591</v>
      </c>
      <c r="C12" s="157">
        <v>0</v>
      </c>
      <c r="D12" s="157"/>
      <c r="E12" s="157">
        <v>0</v>
      </c>
      <c r="F12" s="157"/>
      <c r="G12" s="157">
        <v>0</v>
      </c>
      <c r="H12" s="157"/>
      <c r="I12" s="157">
        <v>0</v>
      </c>
      <c r="J12" s="157"/>
      <c r="K12" s="157">
        <v>0</v>
      </c>
      <c r="L12" s="157"/>
      <c r="M12" s="157">
        <v>0</v>
      </c>
      <c r="N12" s="157"/>
      <c r="O12" s="157">
        <v>0</v>
      </c>
      <c r="P12" s="157"/>
      <c r="Q12" s="157">
        <v>0</v>
      </c>
      <c r="R12" s="157"/>
      <c r="S12" s="157">
        <v>0</v>
      </c>
      <c r="T12" s="157"/>
      <c r="U12" s="157">
        <v>0</v>
      </c>
      <c r="V12" s="157"/>
      <c r="W12" s="157">
        <v>0</v>
      </c>
      <c r="X12" s="157"/>
      <c r="Y12" s="157">
        <v>0</v>
      </c>
      <c r="Z12" s="157"/>
      <c r="AA12" s="157">
        <v>0</v>
      </c>
      <c r="AB12" s="157"/>
      <c r="AC12" s="157">
        <v>14113.19</v>
      </c>
      <c r="AD12" s="157"/>
      <c r="AE12" s="157">
        <v>0</v>
      </c>
      <c r="AF12" s="157"/>
      <c r="AG12" s="157">
        <v>0</v>
      </c>
      <c r="AH12" s="157"/>
      <c r="AI12" s="157">
        <v>0</v>
      </c>
      <c r="AJ12" s="157"/>
      <c r="AK12" s="157">
        <v>0</v>
      </c>
      <c r="AL12" s="157"/>
      <c r="AM12" s="157">
        <v>0</v>
      </c>
      <c r="AN12" s="157"/>
      <c r="AO12" s="157">
        <v>14749.13</v>
      </c>
      <c r="AP12" s="157"/>
      <c r="AQ12" s="157">
        <v>0</v>
      </c>
      <c r="AR12" s="157"/>
      <c r="AS12" s="157">
        <v>0</v>
      </c>
      <c r="AT12" s="157"/>
      <c r="AU12" s="157">
        <v>11573.41</v>
      </c>
      <c r="AV12" s="157"/>
      <c r="AW12" s="157">
        <v>0</v>
      </c>
      <c r="AX12" s="157"/>
      <c r="AY12" s="157">
        <v>0</v>
      </c>
      <c r="AZ12" s="157"/>
      <c r="BA12" s="157">
        <v>0</v>
      </c>
      <c r="BB12" s="157"/>
      <c r="BC12" s="157">
        <v>0</v>
      </c>
      <c r="BD12" s="157"/>
      <c r="BE12" s="157">
        <v>0</v>
      </c>
      <c r="BF12" s="157"/>
      <c r="BG12" s="157">
        <v>0</v>
      </c>
      <c r="BH12" s="157"/>
      <c r="BI12" s="157">
        <v>0</v>
      </c>
      <c r="BJ12" s="157"/>
      <c r="BK12" s="157">
        <v>0</v>
      </c>
      <c r="BL12" s="157"/>
      <c r="BM12" s="157">
        <v>0</v>
      </c>
      <c r="BN12" s="157"/>
      <c r="BO12" s="157">
        <v>0</v>
      </c>
      <c r="BP12" s="157"/>
      <c r="BQ12" s="157">
        <v>0</v>
      </c>
      <c r="BR12" s="157"/>
      <c r="BS12" s="157">
        <v>0</v>
      </c>
    </row>
    <row r="13" spans="1:72" x14ac:dyDescent="0.2">
      <c r="A13" s="123" t="s">
        <v>120</v>
      </c>
      <c r="B13" s="124" t="s">
        <v>121</v>
      </c>
      <c r="C13" s="157">
        <v>0</v>
      </c>
      <c r="D13" s="157"/>
      <c r="E13" s="157">
        <v>-273.87</v>
      </c>
      <c r="F13" s="157"/>
      <c r="G13" s="157">
        <v>0</v>
      </c>
      <c r="H13" s="157"/>
      <c r="I13" s="157">
        <v>0</v>
      </c>
      <c r="J13" s="157"/>
      <c r="K13" s="157">
        <v>-2914.74</v>
      </c>
      <c r="L13" s="157"/>
      <c r="M13" s="157">
        <v>-577</v>
      </c>
      <c r="N13" s="157"/>
      <c r="O13" s="157">
        <v>0</v>
      </c>
      <c r="P13" s="157"/>
      <c r="Q13" s="157">
        <v>0</v>
      </c>
      <c r="R13" s="157"/>
      <c r="S13" s="157">
        <v>0</v>
      </c>
      <c r="T13" s="157"/>
      <c r="U13" s="157">
        <v>-4</v>
      </c>
      <c r="V13" s="157"/>
      <c r="W13" s="157">
        <v>0</v>
      </c>
      <c r="X13" s="157"/>
      <c r="Y13" s="157">
        <v>-11.5</v>
      </c>
      <c r="Z13" s="157"/>
      <c r="AA13" s="157">
        <v>-984.71</v>
      </c>
      <c r="AB13" s="157"/>
      <c r="AC13" s="157">
        <v>0</v>
      </c>
      <c r="AD13" s="157"/>
      <c r="AE13" s="157">
        <v>-14917.43</v>
      </c>
      <c r="AF13" s="157"/>
      <c r="AG13" s="157">
        <v>0</v>
      </c>
      <c r="AH13" s="157"/>
      <c r="AI13" s="157">
        <v>0</v>
      </c>
      <c r="AJ13" s="157"/>
      <c r="AK13" s="157">
        <v>-280.95</v>
      </c>
      <c r="AL13" s="157"/>
      <c r="AM13" s="157">
        <v>-467.81</v>
      </c>
      <c r="AN13" s="157"/>
      <c r="AO13" s="157">
        <v>-29.75</v>
      </c>
      <c r="AP13" s="157"/>
      <c r="AQ13" s="157">
        <v>0</v>
      </c>
      <c r="AR13" s="157"/>
      <c r="AS13" s="157">
        <v>0</v>
      </c>
      <c r="AT13" s="157"/>
      <c r="AU13" s="157">
        <v>-8758.35</v>
      </c>
      <c r="AV13" s="157"/>
      <c r="AW13" s="157">
        <v>0</v>
      </c>
      <c r="AX13" s="157"/>
      <c r="AY13" s="157">
        <v>-697</v>
      </c>
      <c r="AZ13" s="157"/>
      <c r="BA13" s="157">
        <v>-854.3</v>
      </c>
      <c r="BB13" s="157"/>
      <c r="BC13" s="157">
        <v>0</v>
      </c>
      <c r="BD13" s="157"/>
      <c r="BE13" s="157">
        <v>-1752.16</v>
      </c>
      <c r="BF13" s="157"/>
      <c r="BG13" s="157">
        <v>0</v>
      </c>
      <c r="BH13" s="157"/>
      <c r="BI13" s="157">
        <v>0</v>
      </c>
      <c r="BJ13" s="157"/>
      <c r="BK13" s="157">
        <v>0</v>
      </c>
      <c r="BL13" s="157"/>
      <c r="BM13" s="157">
        <v>-2747.88</v>
      </c>
      <c r="BN13" s="157"/>
      <c r="BO13" s="157">
        <v>0</v>
      </c>
      <c r="BP13" s="157"/>
      <c r="BQ13" s="157">
        <v>-958.4</v>
      </c>
      <c r="BR13" s="157"/>
      <c r="BS13" s="157">
        <v>-31</v>
      </c>
    </row>
    <row r="14" spans="1:72" x14ac:dyDescent="0.2">
      <c r="A14" s="123" t="s">
        <v>122</v>
      </c>
      <c r="B14" s="124" t="s">
        <v>123</v>
      </c>
      <c r="C14" s="157">
        <v>11812.82</v>
      </c>
      <c r="D14" s="157">
        <f>SUM(C14:C19,C108)</f>
        <v>30336.75</v>
      </c>
      <c r="E14" s="157">
        <v>14225.82</v>
      </c>
      <c r="F14" s="157">
        <f>SUM(E14:E19,E108)</f>
        <v>56659.92</v>
      </c>
      <c r="G14" s="157">
        <v>11466.73</v>
      </c>
      <c r="H14" s="157">
        <f>SUM(G14:G19,G108)</f>
        <v>24234.53</v>
      </c>
      <c r="I14" s="157">
        <v>10783.72</v>
      </c>
      <c r="J14" s="157">
        <f>SUM(I14:I19,I108)</f>
        <v>28203.059999999998</v>
      </c>
      <c r="K14" s="157">
        <v>22294.07</v>
      </c>
      <c r="L14" s="157">
        <f>SUM(K14:K19,K108)</f>
        <v>118116.79</v>
      </c>
      <c r="M14" s="157">
        <v>13654.07</v>
      </c>
      <c r="N14" s="157">
        <f>SUM(M14:M19,M108)</f>
        <v>20622.309999999998</v>
      </c>
      <c r="O14" s="157">
        <v>9622.42</v>
      </c>
      <c r="P14" s="157">
        <f>SUM(O14:O19,O108)</f>
        <v>23889.919999999998</v>
      </c>
      <c r="Q14" s="157">
        <v>11851.55</v>
      </c>
      <c r="R14" s="157">
        <f>SUM(Q14:Q19)</f>
        <v>33685.589999999997</v>
      </c>
      <c r="S14" s="157">
        <v>13724.21</v>
      </c>
      <c r="T14" s="157">
        <f>SUM(S14:S19,S108)</f>
        <v>51076.639999999992</v>
      </c>
      <c r="U14" s="157">
        <v>11466.76</v>
      </c>
      <c r="V14" s="157">
        <f>SUM(U14:U19)</f>
        <v>52780.310000000005</v>
      </c>
      <c r="W14" s="157">
        <v>9476.08</v>
      </c>
      <c r="X14" s="157">
        <f>SUM(W14:W19,W108)</f>
        <v>41268.130000000005</v>
      </c>
      <c r="Y14" s="157">
        <v>12449.67</v>
      </c>
      <c r="Z14" s="157">
        <f>SUM(Y14:Y19)</f>
        <v>34082.78</v>
      </c>
      <c r="AA14" s="157">
        <v>11431.69</v>
      </c>
      <c r="AB14" s="157">
        <f>SUM(AA14:AA19,AA108)</f>
        <v>25066.51</v>
      </c>
      <c r="AC14" s="157">
        <v>9129.35</v>
      </c>
      <c r="AD14" s="157">
        <f>SUM(AC14:AC19,AC108)</f>
        <v>39108.829999999994</v>
      </c>
      <c r="AE14" s="157">
        <v>20254.259999999998</v>
      </c>
      <c r="AF14" s="157">
        <f>SUM(AE14:AE19,AE108)</f>
        <v>57921.599999999991</v>
      </c>
      <c r="AG14" s="157">
        <v>11453.23</v>
      </c>
      <c r="AH14" s="157">
        <f>SUM(AG14:AG19)</f>
        <v>27727.95</v>
      </c>
      <c r="AI14" s="157">
        <v>7711.71</v>
      </c>
      <c r="AJ14" s="157">
        <f>SUM(AI14:AI19,AI108)</f>
        <v>29520.39</v>
      </c>
      <c r="AK14" s="157">
        <v>14446.5</v>
      </c>
      <c r="AL14" s="157">
        <f>SUM(AK14:AK19)</f>
        <v>59957.74</v>
      </c>
      <c r="AM14" s="157">
        <v>18076.75</v>
      </c>
      <c r="AN14" s="157">
        <f>SUM(AM14:AM19)</f>
        <v>55565.19</v>
      </c>
      <c r="AO14" s="157">
        <v>10746.11</v>
      </c>
      <c r="AP14" s="157">
        <f>SUM(AO14:AO19,AO108)</f>
        <v>128667.32</v>
      </c>
      <c r="AQ14" s="157">
        <v>13353.44</v>
      </c>
      <c r="AR14" s="157">
        <f>SUM(AQ14:AQ19)</f>
        <v>37525.490000000005</v>
      </c>
      <c r="AS14" s="157">
        <v>12815.53</v>
      </c>
      <c r="AT14" s="157">
        <f>AS14+AS15+AS17+AS19</f>
        <v>37578.22</v>
      </c>
      <c r="AU14" s="157">
        <v>15147.19</v>
      </c>
      <c r="AV14" s="157">
        <f>SUM(AU14:AU19)</f>
        <v>464419.82</v>
      </c>
      <c r="AW14" s="157">
        <v>9649.43</v>
      </c>
      <c r="AX14" s="157">
        <f>SUM(AW14:AW19)</f>
        <v>52617.310000000005</v>
      </c>
      <c r="AY14" s="157">
        <v>13059.58</v>
      </c>
      <c r="AZ14" s="157">
        <f>SUM(AY14:AY19)</f>
        <v>29743.980000000003</v>
      </c>
      <c r="BA14" s="157">
        <v>12929.36</v>
      </c>
      <c r="BB14" s="157">
        <f>SUM(BA14:BA19)</f>
        <v>19641.259999999998</v>
      </c>
      <c r="BC14" s="157">
        <v>21650.560000000001</v>
      </c>
      <c r="BD14" s="157">
        <f>SUM(BC14:BC19)</f>
        <v>42903.770000000004</v>
      </c>
      <c r="BE14" s="157">
        <v>14030.95</v>
      </c>
      <c r="BF14" s="157">
        <f>SUM(BE14:BE19)</f>
        <v>39119.299999999996</v>
      </c>
      <c r="BG14" s="157">
        <v>9516.67</v>
      </c>
      <c r="BH14" s="157">
        <f>SUM(BG14:BG19,BG108)</f>
        <v>29615.819999999996</v>
      </c>
      <c r="BI14" s="157">
        <v>11734.16</v>
      </c>
      <c r="BJ14" s="157">
        <f>SUM(BI14:BI19,BI108)</f>
        <v>53607.56</v>
      </c>
      <c r="BK14" s="157">
        <v>12600.34</v>
      </c>
      <c r="BL14" s="157">
        <f>SUM(BK14:BK19)</f>
        <v>29080.309999999998</v>
      </c>
      <c r="BM14" s="157">
        <v>9730.6</v>
      </c>
      <c r="BN14" s="157">
        <f>SUM(BM14:BM19,BM108)</f>
        <v>35535.170000000006</v>
      </c>
      <c r="BO14" s="157">
        <v>11460.6</v>
      </c>
      <c r="BP14" s="157">
        <f>SUM(BO14:BO19,BO108)</f>
        <v>29225.79</v>
      </c>
      <c r="BQ14" s="157">
        <v>12187.85</v>
      </c>
      <c r="BR14" s="157">
        <f>SUM(BQ14:BQ19)</f>
        <v>24613.57</v>
      </c>
      <c r="BS14" s="157">
        <v>10233.459999999999</v>
      </c>
      <c r="BT14" s="168">
        <f>SUM(BS14:BS19,BS108)</f>
        <v>39806.599999999991</v>
      </c>
    </row>
    <row r="15" spans="1:72" x14ac:dyDescent="0.2">
      <c r="A15" s="123" t="s">
        <v>124</v>
      </c>
      <c r="B15" s="124" t="s">
        <v>125</v>
      </c>
      <c r="C15" s="157">
        <v>16083.23</v>
      </c>
      <c r="D15" s="157"/>
      <c r="E15" s="157">
        <v>38894.25</v>
      </c>
      <c r="F15" s="157"/>
      <c r="G15" s="157">
        <v>8263.16</v>
      </c>
      <c r="H15" s="157"/>
      <c r="I15" s="157">
        <v>12961.59</v>
      </c>
      <c r="J15" s="157"/>
      <c r="K15" s="157">
        <v>43034.25</v>
      </c>
      <c r="L15" s="157"/>
      <c r="M15" s="157">
        <v>1983.66</v>
      </c>
      <c r="N15" s="157"/>
      <c r="O15" s="157">
        <v>11423.82</v>
      </c>
      <c r="P15" s="157"/>
      <c r="Q15" s="157">
        <v>4818.8599999999997</v>
      </c>
      <c r="R15" s="157"/>
      <c r="S15" s="157">
        <v>32613.69</v>
      </c>
      <c r="T15" s="157"/>
      <c r="U15" s="157">
        <v>23030.33</v>
      </c>
      <c r="V15" s="157"/>
      <c r="W15" s="157">
        <v>26850.57</v>
      </c>
      <c r="X15" s="157"/>
      <c r="Y15" s="157">
        <v>13656.06</v>
      </c>
      <c r="Z15" s="157"/>
      <c r="AA15" s="157">
        <v>9709.91</v>
      </c>
      <c r="AB15" s="157"/>
      <c r="AC15" s="157">
        <v>20420.5</v>
      </c>
      <c r="AD15" s="157"/>
      <c r="AE15" s="157">
        <v>15663.12</v>
      </c>
      <c r="AF15" s="157"/>
      <c r="AG15" s="157">
        <v>12676.07</v>
      </c>
      <c r="AH15" s="157"/>
      <c r="AI15" s="157">
        <v>19451.87</v>
      </c>
      <c r="AJ15" s="157"/>
      <c r="AK15" s="157">
        <v>41390.959999999999</v>
      </c>
      <c r="AL15" s="157"/>
      <c r="AM15" s="157">
        <v>32665.34</v>
      </c>
      <c r="AN15" s="157"/>
      <c r="AO15" s="157">
        <v>9374.7199999999993</v>
      </c>
      <c r="AP15" s="157"/>
      <c r="AQ15" s="157">
        <v>14347.49</v>
      </c>
      <c r="AR15" s="157"/>
      <c r="AS15" s="157">
        <v>20684</v>
      </c>
      <c r="AT15" s="157"/>
      <c r="AU15" s="157">
        <v>22975.59</v>
      </c>
      <c r="AV15" s="157"/>
      <c r="AW15" s="157">
        <v>39890.550000000003</v>
      </c>
      <c r="AX15" s="157"/>
      <c r="AY15" s="157">
        <v>14282.25</v>
      </c>
      <c r="AZ15" s="157"/>
      <c r="BA15" s="157">
        <v>0</v>
      </c>
      <c r="BB15" s="157"/>
      <c r="BC15" s="157">
        <v>17761.77</v>
      </c>
      <c r="BD15" s="157"/>
      <c r="BE15" s="157">
        <v>16235.48</v>
      </c>
      <c r="BF15" s="157"/>
      <c r="BG15" s="157">
        <v>16483.61</v>
      </c>
      <c r="BH15" s="157"/>
      <c r="BI15" s="157">
        <v>37806.51</v>
      </c>
      <c r="BJ15" s="157"/>
      <c r="BK15" s="157">
        <v>13426.22</v>
      </c>
      <c r="BL15" s="157"/>
      <c r="BM15" s="157">
        <v>22362.240000000002</v>
      </c>
      <c r="BN15" s="157"/>
      <c r="BO15" s="157">
        <v>7912.92</v>
      </c>
      <c r="BP15" s="157"/>
      <c r="BQ15" s="157">
        <v>10050.39</v>
      </c>
      <c r="BR15" s="157"/>
      <c r="BS15" s="157">
        <v>7513.78</v>
      </c>
    </row>
    <row r="16" spans="1:72" x14ac:dyDescent="0.2">
      <c r="A16" s="123" t="s">
        <v>954</v>
      </c>
      <c r="B16" s="124" t="s">
        <v>1042</v>
      </c>
      <c r="C16" s="157">
        <v>0</v>
      </c>
      <c r="D16" s="157"/>
      <c r="E16" s="157">
        <v>0</v>
      </c>
      <c r="F16" s="157"/>
      <c r="G16" s="157">
        <v>0</v>
      </c>
      <c r="H16" s="157"/>
      <c r="I16" s="157">
        <v>0</v>
      </c>
      <c r="J16" s="157"/>
      <c r="K16" s="157">
        <v>0</v>
      </c>
      <c r="L16" s="157"/>
      <c r="M16" s="157">
        <v>0</v>
      </c>
      <c r="N16" s="157"/>
      <c r="O16" s="157">
        <v>0</v>
      </c>
      <c r="P16" s="157"/>
      <c r="Q16" s="157">
        <v>0</v>
      </c>
      <c r="R16" s="157"/>
      <c r="S16" s="157">
        <v>0</v>
      </c>
      <c r="T16" s="157"/>
      <c r="U16" s="157">
        <v>0</v>
      </c>
      <c r="V16" s="157"/>
      <c r="W16" s="157">
        <v>-0.04</v>
      </c>
      <c r="X16" s="157"/>
      <c r="Y16" s="157">
        <v>0</v>
      </c>
      <c r="Z16" s="157"/>
      <c r="AA16" s="157">
        <v>0</v>
      </c>
      <c r="AB16" s="157"/>
      <c r="AC16" s="157">
        <v>6583.31</v>
      </c>
      <c r="AD16" s="157"/>
      <c r="AE16" s="157">
        <v>0</v>
      </c>
      <c r="AF16" s="157"/>
      <c r="AG16" s="157">
        <v>0</v>
      </c>
      <c r="AH16" s="157"/>
      <c r="AI16" s="157">
        <v>0</v>
      </c>
      <c r="AJ16" s="157"/>
      <c r="AK16" s="157">
        <v>0</v>
      </c>
      <c r="AL16" s="157"/>
      <c r="AM16" s="157">
        <v>0</v>
      </c>
      <c r="AN16" s="157"/>
      <c r="AO16" s="157">
        <v>0</v>
      </c>
      <c r="AP16" s="157"/>
      <c r="AQ16" s="157">
        <v>0</v>
      </c>
      <c r="AR16" s="157"/>
      <c r="AS16" s="157">
        <v>0</v>
      </c>
      <c r="AT16" s="157"/>
      <c r="AU16" s="157">
        <v>0</v>
      </c>
      <c r="AV16" s="157"/>
      <c r="AW16" s="157">
        <v>0</v>
      </c>
      <c r="AX16" s="157"/>
      <c r="AY16" s="157">
        <v>0</v>
      </c>
      <c r="AZ16" s="157"/>
      <c r="BA16" s="157">
        <v>0</v>
      </c>
      <c r="BB16" s="157"/>
      <c r="BC16" s="157">
        <v>0</v>
      </c>
      <c r="BD16" s="157"/>
      <c r="BE16" s="157">
        <v>0</v>
      </c>
      <c r="BF16" s="157"/>
      <c r="BG16" s="157">
        <v>0</v>
      </c>
      <c r="BH16" s="157"/>
      <c r="BI16" s="157">
        <v>0</v>
      </c>
      <c r="BJ16" s="157"/>
      <c r="BK16" s="157">
        <v>0</v>
      </c>
      <c r="BL16" s="157"/>
      <c r="BM16" s="157">
        <v>0</v>
      </c>
      <c r="BN16" s="157"/>
      <c r="BO16" s="157">
        <v>0</v>
      </c>
      <c r="BP16" s="157"/>
      <c r="BQ16" s="157">
        <v>0</v>
      </c>
      <c r="BR16" s="157"/>
      <c r="BS16" s="157">
        <v>0</v>
      </c>
    </row>
    <row r="17" spans="1:71" x14ac:dyDescent="0.2">
      <c r="A17" s="123" t="s">
        <v>126</v>
      </c>
      <c r="B17" s="124" t="s">
        <v>127</v>
      </c>
      <c r="C17" s="157">
        <v>0</v>
      </c>
      <c r="D17" s="157"/>
      <c r="E17" s="157">
        <v>0</v>
      </c>
      <c r="F17" s="157"/>
      <c r="G17" s="157">
        <v>0</v>
      </c>
      <c r="H17" s="157"/>
      <c r="I17" s="157">
        <v>0</v>
      </c>
      <c r="J17" s="157"/>
      <c r="K17" s="157">
        <v>3244.66</v>
      </c>
      <c r="L17" s="157"/>
      <c r="M17" s="157">
        <v>2310</v>
      </c>
      <c r="N17" s="157"/>
      <c r="O17" s="157">
        <v>499.92</v>
      </c>
      <c r="P17" s="157"/>
      <c r="Q17" s="157">
        <v>4051.81</v>
      </c>
      <c r="R17" s="157"/>
      <c r="S17" s="157">
        <v>0</v>
      </c>
      <c r="T17" s="157"/>
      <c r="U17" s="157">
        <v>1620.56</v>
      </c>
      <c r="V17" s="157"/>
      <c r="W17" s="157">
        <v>0</v>
      </c>
      <c r="X17" s="157"/>
      <c r="Y17" s="157">
        <v>3116.74</v>
      </c>
      <c r="Z17" s="157"/>
      <c r="AA17" s="157">
        <v>0</v>
      </c>
      <c r="AB17" s="157"/>
      <c r="AC17" s="157">
        <v>0</v>
      </c>
      <c r="AD17" s="157"/>
      <c r="AE17" s="157">
        <v>0</v>
      </c>
      <c r="AF17" s="157"/>
      <c r="AG17" s="157">
        <v>0</v>
      </c>
      <c r="AH17" s="157"/>
      <c r="AI17" s="157">
        <v>0</v>
      </c>
      <c r="AJ17" s="157"/>
      <c r="AK17" s="157">
        <v>0</v>
      </c>
      <c r="AL17" s="157"/>
      <c r="AM17" s="157">
        <v>478.01</v>
      </c>
      <c r="AN17" s="157"/>
      <c r="AO17" s="157">
        <v>1063.58</v>
      </c>
      <c r="AP17" s="157"/>
      <c r="AQ17" s="157">
        <v>1746.41</v>
      </c>
      <c r="AR17" s="157"/>
      <c r="AS17" s="157">
        <v>1950.11</v>
      </c>
      <c r="AT17" s="157"/>
      <c r="AU17" s="157">
        <v>585.59</v>
      </c>
      <c r="AV17" s="157"/>
      <c r="AW17" s="157">
        <v>0</v>
      </c>
      <c r="AX17" s="157"/>
      <c r="AY17" s="157">
        <v>0</v>
      </c>
      <c r="AZ17" s="157"/>
      <c r="BA17" s="157">
        <v>0</v>
      </c>
      <c r="BB17" s="157"/>
      <c r="BC17" s="157">
        <v>0.04</v>
      </c>
      <c r="BD17" s="157"/>
      <c r="BE17" s="157">
        <v>0</v>
      </c>
      <c r="BF17" s="157"/>
      <c r="BG17" s="157">
        <v>1726.69</v>
      </c>
      <c r="BH17" s="157"/>
      <c r="BI17" s="157">
        <v>1819.93</v>
      </c>
      <c r="BJ17" s="157"/>
      <c r="BK17" s="157">
        <v>0</v>
      </c>
      <c r="BL17" s="157"/>
      <c r="BM17" s="157">
        <v>1900</v>
      </c>
      <c r="BN17" s="157"/>
      <c r="BO17" s="157">
        <v>0</v>
      </c>
      <c r="BP17" s="157"/>
      <c r="BQ17" s="157">
        <v>0</v>
      </c>
      <c r="BR17" s="157"/>
      <c r="BS17" s="157">
        <v>0</v>
      </c>
    </row>
    <row r="18" spans="1:71" x14ac:dyDescent="0.2">
      <c r="A18" s="123" t="s">
        <v>434</v>
      </c>
      <c r="B18" s="124" t="s">
        <v>435</v>
      </c>
      <c r="C18" s="157">
        <v>0</v>
      </c>
      <c r="D18" s="157"/>
      <c r="E18" s="157">
        <v>0</v>
      </c>
      <c r="F18" s="157"/>
      <c r="G18" s="157">
        <v>0</v>
      </c>
      <c r="H18" s="157"/>
      <c r="I18" s="157">
        <v>0</v>
      </c>
      <c r="J18" s="157"/>
      <c r="K18" s="157">
        <v>34509.39</v>
      </c>
      <c r="L18" s="157"/>
      <c r="M18" s="157">
        <v>0</v>
      </c>
      <c r="N18" s="157"/>
      <c r="O18" s="157">
        <v>0</v>
      </c>
      <c r="P18" s="157"/>
      <c r="Q18" s="157">
        <v>8335.89</v>
      </c>
      <c r="R18" s="157"/>
      <c r="S18" s="157">
        <v>0</v>
      </c>
      <c r="T18" s="157"/>
      <c r="U18" s="157">
        <v>13890.34</v>
      </c>
      <c r="V18" s="157"/>
      <c r="W18" s="157">
        <v>0</v>
      </c>
      <c r="X18" s="157"/>
      <c r="Y18" s="157">
        <v>0</v>
      </c>
      <c r="Z18" s="157"/>
      <c r="AA18" s="157">
        <v>0</v>
      </c>
      <c r="AB18" s="157"/>
      <c r="AC18" s="157">
        <v>0</v>
      </c>
      <c r="AD18" s="157"/>
      <c r="AE18" s="157">
        <v>0</v>
      </c>
      <c r="AF18" s="157"/>
      <c r="AG18" s="157">
        <v>0</v>
      </c>
      <c r="AH18" s="157"/>
      <c r="AI18" s="157">
        <v>0</v>
      </c>
      <c r="AJ18" s="157"/>
      <c r="AK18" s="157">
        <v>0</v>
      </c>
      <c r="AL18" s="157"/>
      <c r="AM18" s="157">
        <v>0</v>
      </c>
      <c r="AN18" s="157"/>
      <c r="AO18" s="157">
        <v>0</v>
      </c>
      <c r="AP18" s="157"/>
      <c r="AQ18" s="157">
        <v>5730.89</v>
      </c>
      <c r="AR18" s="157"/>
      <c r="AS18" s="157">
        <v>0</v>
      </c>
      <c r="AT18" s="157"/>
      <c r="AU18" s="157">
        <v>0</v>
      </c>
      <c r="AV18" s="157"/>
      <c r="AW18" s="157">
        <v>0</v>
      </c>
      <c r="AX18" s="157"/>
      <c r="AY18" s="157">
        <v>0</v>
      </c>
      <c r="AZ18" s="157"/>
      <c r="BA18" s="157">
        <v>5841.53</v>
      </c>
      <c r="BB18" s="157"/>
      <c r="BC18" s="157">
        <v>0</v>
      </c>
      <c r="BD18" s="157"/>
      <c r="BE18" s="157">
        <v>5348.31</v>
      </c>
      <c r="BF18" s="157"/>
      <c r="BG18" s="157">
        <v>0</v>
      </c>
      <c r="BH18" s="157"/>
      <c r="BI18" s="157">
        <v>0</v>
      </c>
      <c r="BJ18" s="157"/>
      <c r="BK18" s="157">
        <v>0</v>
      </c>
      <c r="BL18" s="157"/>
      <c r="BM18" s="157">
        <v>0</v>
      </c>
      <c r="BN18" s="157"/>
      <c r="BO18" s="157">
        <v>6015.91</v>
      </c>
      <c r="BP18" s="157"/>
      <c r="BQ18" s="157">
        <v>0</v>
      </c>
      <c r="BR18" s="157"/>
      <c r="BS18" s="157">
        <v>19917.939999999999</v>
      </c>
    </row>
    <row r="19" spans="1:71" x14ac:dyDescent="0.2">
      <c r="A19" s="123" t="s">
        <v>128</v>
      </c>
      <c r="B19" s="124" t="s">
        <v>129</v>
      </c>
      <c r="C19" s="157">
        <v>2440.6999999999998</v>
      </c>
      <c r="D19" s="157"/>
      <c r="E19" s="157">
        <v>3539.85</v>
      </c>
      <c r="F19" s="157"/>
      <c r="G19" s="157">
        <v>4504.6400000000003</v>
      </c>
      <c r="H19" s="157"/>
      <c r="I19" s="157">
        <v>4457.75</v>
      </c>
      <c r="J19" s="157"/>
      <c r="K19" s="157">
        <v>4667.42</v>
      </c>
      <c r="L19" s="157"/>
      <c r="M19" s="157">
        <v>2674.58</v>
      </c>
      <c r="N19" s="157"/>
      <c r="O19" s="157">
        <v>2343.7600000000002</v>
      </c>
      <c r="P19" s="157"/>
      <c r="Q19" s="157">
        <v>4627.4799999999996</v>
      </c>
      <c r="R19" s="157"/>
      <c r="S19" s="157">
        <v>4738.74</v>
      </c>
      <c r="T19" s="157"/>
      <c r="U19" s="157">
        <v>2772.32</v>
      </c>
      <c r="V19" s="157"/>
      <c r="W19" s="157">
        <v>4941.5200000000004</v>
      </c>
      <c r="X19" s="157"/>
      <c r="Y19" s="157">
        <v>4860.3100000000004</v>
      </c>
      <c r="Z19" s="157"/>
      <c r="AA19" s="157">
        <v>3924.91</v>
      </c>
      <c r="AB19" s="157"/>
      <c r="AC19" s="157">
        <v>2975.67</v>
      </c>
      <c r="AD19" s="157"/>
      <c r="AE19" s="157">
        <v>4181.92</v>
      </c>
      <c r="AF19" s="157"/>
      <c r="AG19" s="157">
        <v>3598.65</v>
      </c>
      <c r="AH19" s="157"/>
      <c r="AI19" s="157">
        <v>2356.81</v>
      </c>
      <c r="AJ19" s="157"/>
      <c r="AK19" s="157">
        <v>4120.28</v>
      </c>
      <c r="AL19" s="157"/>
      <c r="AM19" s="157">
        <v>4345.09</v>
      </c>
      <c r="AN19" s="157"/>
      <c r="AO19" s="157">
        <v>107482.91</v>
      </c>
      <c r="AP19" s="157"/>
      <c r="AQ19" s="157">
        <v>2347.2600000000002</v>
      </c>
      <c r="AR19" s="157"/>
      <c r="AS19" s="157">
        <v>2128.58</v>
      </c>
      <c r="AT19" s="157"/>
      <c r="AU19" s="157">
        <v>425711.45</v>
      </c>
      <c r="AV19" s="157"/>
      <c r="AW19" s="157">
        <v>3077.33</v>
      </c>
      <c r="AX19" s="157"/>
      <c r="AY19" s="157">
        <v>2402.15</v>
      </c>
      <c r="AZ19" s="157"/>
      <c r="BA19" s="157">
        <v>870.37</v>
      </c>
      <c r="BB19" s="157"/>
      <c r="BC19" s="157">
        <v>3491.4</v>
      </c>
      <c r="BD19" s="157"/>
      <c r="BE19" s="157">
        <v>3504.56</v>
      </c>
      <c r="BF19" s="157"/>
      <c r="BG19" s="157">
        <v>1888.85</v>
      </c>
      <c r="BH19" s="157"/>
      <c r="BI19" s="157">
        <v>2246.96</v>
      </c>
      <c r="BJ19" s="157"/>
      <c r="BK19" s="157">
        <v>3053.75</v>
      </c>
      <c r="BL19" s="157"/>
      <c r="BM19" s="157">
        <v>1542.33</v>
      </c>
      <c r="BN19" s="157"/>
      <c r="BO19" s="157">
        <v>3836.36</v>
      </c>
      <c r="BP19" s="157"/>
      <c r="BQ19" s="157">
        <v>2375.33</v>
      </c>
      <c r="BR19" s="157"/>
      <c r="BS19" s="157">
        <v>2141.42</v>
      </c>
    </row>
    <row r="20" spans="1:71" x14ac:dyDescent="0.2">
      <c r="A20" s="123" t="s">
        <v>130</v>
      </c>
      <c r="B20" s="124" t="s">
        <v>131</v>
      </c>
      <c r="C20" s="157">
        <v>0</v>
      </c>
      <c r="D20" s="157"/>
      <c r="E20" s="157">
        <v>31308.81</v>
      </c>
      <c r="F20" s="157"/>
      <c r="G20" s="157">
        <v>0</v>
      </c>
      <c r="H20" s="157"/>
      <c r="I20" s="157">
        <v>0</v>
      </c>
      <c r="J20" s="157"/>
      <c r="K20" s="157">
        <v>0</v>
      </c>
      <c r="L20" s="157"/>
      <c r="M20" s="157">
        <v>0</v>
      </c>
      <c r="N20" s="157"/>
      <c r="O20" s="157">
        <v>0</v>
      </c>
      <c r="P20" s="157"/>
      <c r="Q20" s="157">
        <v>267776.39</v>
      </c>
      <c r="R20" s="157"/>
      <c r="S20" s="157">
        <v>50232.04</v>
      </c>
      <c r="T20" s="157"/>
      <c r="U20" s="157">
        <v>256406.84</v>
      </c>
      <c r="V20" s="157"/>
      <c r="W20" s="157">
        <v>0</v>
      </c>
      <c r="X20" s="157"/>
      <c r="Y20" s="157">
        <v>148856.35</v>
      </c>
      <c r="Z20" s="157"/>
      <c r="AA20" s="157">
        <v>0</v>
      </c>
      <c r="AB20" s="157"/>
      <c r="AC20" s="157">
        <v>0</v>
      </c>
      <c r="AD20" s="157"/>
      <c r="AE20" s="157">
        <v>0</v>
      </c>
      <c r="AF20" s="157"/>
      <c r="AG20" s="157">
        <v>0</v>
      </c>
      <c r="AH20" s="157"/>
      <c r="AI20" s="157">
        <v>0</v>
      </c>
      <c r="AJ20" s="157"/>
      <c r="AK20" s="157">
        <v>0</v>
      </c>
      <c r="AL20" s="157"/>
      <c r="AM20" s="157">
        <v>287436.78999999998</v>
      </c>
      <c r="AN20" s="157"/>
      <c r="AO20" s="157">
        <v>0</v>
      </c>
      <c r="AP20" s="157"/>
      <c r="AQ20" s="157">
        <v>301695.59999999998</v>
      </c>
      <c r="AR20" s="157"/>
      <c r="AS20" s="157">
        <v>0</v>
      </c>
      <c r="AT20" s="157"/>
      <c r="AU20" s="157">
        <v>0</v>
      </c>
      <c r="AV20" s="157"/>
      <c r="AW20" s="157">
        <v>116031.84</v>
      </c>
      <c r="AX20" s="157"/>
      <c r="AY20" s="157">
        <v>110685.69</v>
      </c>
      <c r="AZ20" s="157"/>
      <c r="BA20" s="157">
        <v>79005.440000000002</v>
      </c>
      <c r="BB20" s="157"/>
      <c r="BC20" s="157">
        <v>163104.46</v>
      </c>
      <c r="BD20" s="157"/>
      <c r="BE20" s="157">
        <v>0</v>
      </c>
      <c r="BF20" s="157"/>
      <c r="BG20" s="157">
        <v>240703.59</v>
      </c>
      <c r="BH20" s="157"/>
      <c r="BI20" s="157">
        <v>230360.63</v>
      </c>
      <c r="BJ20" s="157"/>
      <c r="BK20" s="157">
        <v>0</v>
      </c>
      <c r="BL20" s="157"/>
      <c r="BM20" s="157">
        <v>0</v>
      </c>
      <c r="BN20" s="157"/>
      <c r="BO20" s="157">
        <v>206903.89</v>
      </c>
      <c r="BP20" s="157"/>
      <c r="BQ20" s="157">
        <v>201851.03</v>
      </c>
      <c r="BR20" s="157"/>
      <c r="BS20" s="157">
        <v>186543.11</v>
      </c>
    </row>
    <row r="21" spans="1:71" x14ac:dyDescent="0.2">
      <c r="A21" s="123" t="s">
        <v>132</v>
      </c>
      <c r="B21" s="124" t="s">
        <v>133</v>
      </c>
      <c r="C21" s="157">
        <v>0</v>
      </c>
      <c r="D21" s="157"/>
      <c r="E21" s="157">
        <v>0</v>
      </c>
      <c r="F21" s="157"/>
      <c r="G21" s="157">
        <v>0</v>
      </c>
      <c r="H21" s="157"/>
      <c r="I21" s="157">
        <v>0</v>
      </c>
      <c r="J21" s="157"/>
      <c r="K21" s="157">
        <v>0</v>
      </c>
      <c r="L21" s="157"/>
      <c r="M21" s="157">
        <v>0</v>
      </c>
      <c r="N21" s="157"/>
      <c r="O21" s="157">
        <v>0</v>
      </c>
      <c r="P21" s="157"/>
      <c r="Q21" s="157">
        <v>-167772.99</v>
      </c>
      <c r="R21" s="157"/>
      <c r="S21" s="157">
        <v>0</v>
      </c>
      <c r="T21" s="157"/>
      <c r="U21" s="157">
        <v>0</v>
      </c>
      <c r="V21" s="157"/>
      <c r="W21" s="157">
        <v>0</v>
      </c>
      <c r="X21" s="157"/>
      <c r="Y21" s="157">
        <v>0</v>
      </c>
      <c r="Z21" s="157"/>
      <c r="AA21" s="157">
        <v>0</v>
      </c>
      <c r="AB21" s="157"/>
      <c r="AC21" s="157">
        <v>0</v>
      </c>
      <c r="AD21" s="157"/>
      <c r="AE21" s="157">
        <v>0</v>
      </c>
      <c r="AF21" s="157"/>
      <c r="AG21" s="157">
        <v>0</v>
      </c>
      <c r="AH21" s="157"/>
      <c r="AI21" s="157">
        <v>0</v>
      </c>
      <c r="AJ21" s="157"/>
      <c r="AK21" s="157">
        <v>0</v>
      </c>
      <c r="AL21" s="157"/>
      <c r="AM21" s="157">
        <v>0</v>
      </c>
      <c r="AN21" s="157"/>
      <c r="AO21" s="157">
        <v>0</v>
      </c>
      <c r="AP21" s="157"/>
      <c r="AQ21" s="157">
        <v>0</v>
      </c>
      <c r="AR21" s="157"/>
      <c r="AS21" s="157">
        <v>0</v>
      </c>
      <c r="AT21" s="157"/>
      <c r="AU21" s="157">
        <v>0</v>
      </c>
      <c r="AV21" s="157"/>
      <c r="AW21" s="157">
        <v>-28518</v>
      </c>
      <c r="AX21" s="157"/>
      <c r="AY21" s="157">
        <v>0</v>
      </c>
      <c r="AZ21" s="157"/>
      <c r="BA21" s="157">
        <v>-79005.440000000002</v>
      </c>
      <c r="BB21" s="157"/>
      <c r="BC21" s="157">
        <v>-163104.46</v>
      </c>
      <c r="BD21" s="157"/>
      <c r="BE21" s="157">
        <v>0</v>
      </c>
      <c r="BF21" s="157"/>
      <c r="BG21" s="157">
        <v>0</v>
      </c>
      <c r="BH21" s="157"/>
      <c r="BI21" s="157">
        <v>-132548</v>
      </c>
      <c r="BJ21" s="157"/>
      <c r="BK21" s="157">
        <v>0</v>
      </c>
      <c r="BL21" s="157"/>
      <c r="BM21" s="157">
        <v>0</v>
      </c>
      <c r="BN21" s="157"/>
      <c r="BO21" s="157">
        <v>0</v>
      </c>
      <c r="BP21" s="157"/>
      <c r="BQ21" s="157">
        <v>0</v>
      </c>
      <c r="BR21" s="157"/>
      <c r="BS21" s="157">
        <v>0</v>
      </c>
    </row>
    <row r="22" spans="1:71" x14ac:dyDescent="0.2">
      <c r="A22" s="123" t="s">
        <v>134</v>
      </c>
      <c r="B22" s="124" t="s">
        <v>135</v>
      </c>
      <c r="C22" s="157">
        <v>75756</v>
      </c>
      <c r="D22" s="157"/>
      <c r="E22" s="157">
        <v>65281.95</v>
      </c>
      <c r="F22" s="157"/>
      <c r="G22" s="157">
        <v>75003</v>
      </c>
      <c r="H22" s="157"/>
      <c r="I22" s="157">
        <v>149.32</v>
      </c>
      <c r="J22" s="157"/>
      <c r="K22" s="157">
        <v>-7095.28</v>
      </c>
      <c r="L22" s="157"/>
      <c r="M22" s="157">
        <v>74338.179999999993</v>
      </c>
      <c r="N22" s="157"/>
      <c r="O22" s="157">
        <v>60012</v>
      </c>
      <c r="P22" s="157"/>
      <c r="Q22" s="157">
        <v>80000</v>
      </c>
      <c r="R22" s="157"/>
      <c r="S22" s="157">
        <v>136352.51999999999</v>
      </c>
      <c r="T22" s="157"/>
      <c r="U22" s="157">
        <v>248223.7</v>
      </c>
      <c r="V22" s="157"/>
      <c r="W22" s="157">
        <v>100072.36</v>
      </c>
      <c r="X22" s="157"/>
      <c r="Y22" s="157">
        <v>-1146.6199999999999</v>
      </c>
      <c r="Z22" s="157"/>
      <c r="AA22" s="157">
        <v>75110.36</v>
      </c>
      <c r="AB22" s="157"/>
      <c r="AC22" s="157">
        <v>211832.83</v>
      </c>
      <c r="AD22" s="157"/>
      <c r="AE22" s="157">
        <v>138600</v>
      </c>
      <c r="AF22" s="157"/>
      <c r="AG22" s="157">
        <v>75836.820000000007</v>
      </c>
      <c r="AH22" s="157"/>
      <c r="AI22" s="157">
        <v>152914.01</v>
      </c>
      <c r="AJ22" s="157"/>
      <c r="AK22" s="157">
        <v>117560</v>
      </c>
      <c r="AL22" s="157"/>
      <c r="AM22" s="157">
        <v>309888.2</v>
      </c>
      <c r="AN22" s="157"/>
      <c r="AO22" s="157">
        <v>68250</v>
      </c>
      <c r="AP22" s="157"/>
      <c r="AQ22" s="157">
        <v>0</v>
      </c>
      <c r="AR22" s="157"/>
      <c r="AS22" s="157">
        <v>245111.55</v>
      </c>
      <c r="AT22" s="157"/>
      <c r="AU22" s="157">
        <v>162179.1</v>
      </c>
      <c r="AV22" s="157"/>
      <c r="AW22" s="157">
        <v>22689</v>
      </c>
      <c r="AX22" s="157"/>
      <c r="AY22" s="157">
        <v>100352.41</v>
      </c>
      <c r="AZ22" s="157"/>
      <c r="BA22" s="157">
        <v>1327.95</v>
      </c>
      <c r="BB22" s="157"/>
      <c r="BC22" s="157">
        <v>98667.64</v>
      </c>
      <c r="BD22" s="157"/>
      <c r="BE22" s="157">
        <v>409.51</v>
      </c>
      <c r="BF22" s="157"/>
      <c r="BG22" s="157">
        <v>2546.4</v>
      </c>
      <c r="BH22" s="157"/>
      <c r="BI22" s="157">
        <v>282241.36</v>
      </c>
      <c r="BJ22" s="157"/>
      <c r="BK22" s="157">
        <v>1345.93</v>
      </c>
      <c r="BL22" s="157"/>
      <c r="BM22" s="157">
        <v>63000</v>
      </c>
      <c r="BN22" s="157"/>
      <c r="BO22" s="157">
        <v>180542.71</v>
      </c>
      <c r="BP22" s="157"/>
      <c r="BQ22" s="157">
        <v>111053.4</v>
      </c>
      <c r="BR22" s="157"/>
      <c r="BS22" s="157">
        <v>136443.44</v>
      </c>
    </row>
    <row r="23" spans="1:71" x14ac:dyDescent="0.2">
      <c r="A23" s="123" t="s">
        <v>136</v>
      </c>
      <c r="B23" s="124" t="s">
        <v>137</v>
      </c>
      <c r="C23" s="157">
        <v>9460</v>
      </c>
      <c r="D23" s="157"/>
      <c r="E23" s="157">
        <v>623240</v>
      </c>
      <c r="F23" s="157"/>
      <c r="G23" s="157">
        <v>8332</v>
      </c>
      <c r="H23" s="157"/>
      <c r="I23" s="157">
        <v>303000</v>
      </c>
      <c r="J23" s="157"/>
      <c r="K23" s="157">
        <v>756093.03</v>
      </c>
      <c r="L23" s="157"/>
      <c r="M23" s="157">
        <v>12952.5</v>
      </c>
      <c r="N23" s="157"/>
      <c r="O23" s="157">
        <v>8132</v>
      </c>
      <c r="P23" s="157"/>
      <c r="Q23" s="157">
        <v>161666.99</v>
      </c>
      <c r="R23" s="157"/>
      <c r="S23" s="157">
        <v>647262.56999999995</v>
      </c>
      <c r="T23" s="157"/>
      <c r="U23" s="157">
        <v>197600</v>
      </c>
      <c r="V23" s="157"/>
      <c r="W23" s="157">
        <v>482808.48</v>
      </c>
      <c r="X23" s="157"/>
      <c r="Y23" s="157">
        <v>324955.15000000002</v>
      </c>
      <c r="Z23" s="157"/>
      <c r="AA23" s="157">
        <v>13625</v>
      </c>
      <c r="AB23" s="157"/>
      <c r="AC23" s="157">
        <v>355118</v>
      </c>
      <c r="AD23" s="157"/>
      <c r="AE23" s="157">
        <v>12084</v>
      </c>
      <c r="AF23" s="157"/>
      <c r="AG23" s="157">
        <v>13087.9</v>
      </c>
      <c r="AH23" s="157"/>
      <c r="AI23" s="157">
        <v>267834</v>
      </c>
      <c r="AJ23" s="157"/>
      <c r="AK23" s="157">
        <v>573828</v>
      </c>
      <c r="AL23" s="157"/>
      <c r="AM23" s="157">
        <v>275400</v>
      </c>
      <c r="AN23" s="157"/>
      <c r="AO23" s="157">
        <v>7584</v>
      </c>
      <c r="AP23" s="157"/>
      <c r="AQ23" s="157">
        <v>309000</v>
      </c>
      <c r="AR23" s="157"/>
      <c r="AS23" s="157">
        <v>12246.25</v>
      </c>
      <c r="AT23" s="157"/>
      <c r="AU23" s="157">
        <v>15840</v>
      </c>
      <c r="AV23" s="157"/>
      <c r="AW23" s="157">
        <v>284328</v>
      </c>
      <c r="AX23" s="157"/>
      <c r="AY23" s="157">
        <v>315000.94</v>
      </c>
      <c r="AZ23" s="157"/>
      <c r="BA23" s="157">
        <v>299735.33</v>
      </c>
      <c r="BB23" s="157"/>
      <c r="BC23" s="157">
        <v>347185</v>
      </c>
      <c r="BD23" s="157"/>
      <c r="BE23" s="157">
        <v>499694</v>
      </c>
      <c r="BF23" s="157"/>
      <c r="BG23" s="157">
        <v>291291.96000000002</v>
      </c>
      <c r="BH23" s="157"/>
      <c r="BI23" s="157">
        <v>295658.82</v>
      </c>
      <c r="BJ23" s="157"/>
      <c r="BK23" s="157">
        <v>344400</v>
      </c>
      <c r="BL23" s="157"/>
      <c r="BM23" s="157">
        <v>5000</v>
      </c>
      <c r="BN23" s="157"/>
      <c r="BO23" s="157">
        <v>177675</v>
      </c>
      <c r="BP23" s="157"/>
      <c r="BQ23" s="157">
        <v>193475</v>
      </c>
      <c r="BR23" s="157"/>
      <c r="BS23" s="157">
        <v>139500</v>
      </c>
    </row>
    <row r="24" spans="1:71" x14ac:dyDescent="0.2">
      <c r="A24" s="123" t="s">
        <v>138</v>
      </c>
      <c r="B24" s="124" t="s">
        <v>139</v>
      </c>
      <c r="C24" s="157">
        <v>0</v>
      </c>
      <c r="D24" s="157"/>
      <c r="E24" s="157">
        <v>-310909.31</v>
      </c>
      <c r="F24" s="157"/>
      <c r="G24" s="157">
        <v>0</v>
      </c>
      <c r="H24" s="157"/>
      <c r="I24" s="157">
        <v>-80274.58</v>
      </c>
      <c r="J24" s="157"/>
      <c r="K24" s="157">
        <v>-423526.08</v>
      </c>
      <c r="L24" s="157"/>
      <c r="M24" s="157">
        <v>0</v>
      </c>
      <c r="N24" s="157"/>
      <c r="O24" s="157">
        <v>0</v>
      </c>
      <c r="P24" s="157"/>
      <c r="Q24" s="157">
        <v>-25977.19</v>
      </c>
      <c r="R24" s="157"/>
      <c r="S24" s="157">
        <v>-415768.91</v>
      </c>
      <c r="T24" s="157"/>
      <c r="U24" s="157">
        <v>-112993.9</v>
      </c>
      <c r="V24" s="157"/>
      <c r="W24" s="157">
        <v>-237766.98</v>
      </c>
      <c r="X24" s="157"/>
      <c r="Y24" s="157">
        <v>-125134.59</v>
      </c>
      <c r="Z24" s="157"/>
      <c r="AA24" s="157">
        <v>0</v>
      </c>
      <c r="AB24" s="157"/>
      <c r="AC24" s="157">
        <v>-224656.79</v>
      </c>
      <c r="AD24" s="157"/>
      <c r="AE24" s="157">
        <v>0</v>
      </c>
      <c r="AF24" s="157"/>
      <c r="AG24" s="157">
        <v>0</v>
      </c>
      <c r="AH24" s="157"/>
      <c r="AI24" s="157">
        <v>-193224.22</v>
      </c>
      <c r="AJ24" s="157"/>
      <c r="AK24" s="157">
        <v>-224212.46</v>
      </c>
      <c r="AL24" s="157"/>
      <c r="AM24" s="157">
        <v>-109711.15</v>
      </c>
      <c r="AN24" s="157"/>
      <c r="AO24" s="157">
        <v>0</v>
      </c>
      <c r="AP24" s="157"/>
      <c r="AQ24" s="157">
        <v>-55283.67</v>
      </c>
      <c r="AR24" s="157"/>
      <c r="AS24" s="157">
        <v>-5263.14</v>
      </c>
      <c r="AT24" s="157"/>
      <c r="AU24" s="157">
        <v>0</v>
      </c>
      <c r="AV24" s="157"/>
      <c r="AW24" s="157">
        <v>-135011.65</v>
      </c>
      <c r="AX24" s="157"/>
      <c r="AY24" s="157">
        <v>-219163.26</v>
      </c>
      <c r="AZ24" s="157"/>
      <c r="BA24" s="157">
        <v>-127410.46</v>
      </c>
      <c r="BB24" s="157"/>
      <c r="BC24" s="157">
        <v>-122268.3</v>
      </c>
      <c r="BD24" s="157"/>
      <c r="BE24" s="157">
        <v>-165651.60999999999</v>
      </c>
      <c r="BF24" s="157"/>
      <c r="BG24" s="157">
        <v>-93898.25</v>
      </c>
      <c r="BH24" s="157"/>
      <c r="BI24" s="157">
        <v>-233641.04</v>
      </c>
      <c r="BJ24" s="157"/>
      <c r="BK24" s="157">
        <v>-134433.09</v>
      </c>
      <c r="BL24" s="157"/>
      <c r="BM24" s="157">
        <v>0</v>
      </c>
      <c r="BN24" s="157"/>
      <c r="BO24" s="157">
        <v>-101691.14</v>
      </c>
      <c r="BP24" s="157"/>
      <c r="BQ24" s="157">
        <v>-69792.27</v>
      </c>
      <c r="BR24" s="157"/>
      <c r="BS24" s="157">
        <v>-43014.05</v>
      </c>
    </row>
    <row r="25" spans="1:71" x14ac:dyDescent="0.2">
      <c r="A25" s="123" t="s">
        <v>436</v>
      </c>
      <c r="B25" s="124" t="s">
        <v>437</v>
      </c>
      <c r="C25" s="157">
        <v>0</v>
      </c>
      <c r="D25" s="157"/>
      <c r="E25" s="157">
        <v>0</v>
      </c>
      <c r="F25" s="157"/>
      <c r="G25" s="157">
        <v>0</v>
      </c>
      <c r="H25" s="157"/>
      <c r="I25" s="157">
        <v>-100</v>
      </c>
      <c r="J25" s="157"/>
      <c r="K25" s="157">
        <v>0</v>
      </c>
      <c r="L25" s="157"/>
      <c r="M25" s="157">
        <v>0</v>
      </c>
      <c r="N25" s="157"/>
      <c r="O25" s="157">
        <v>0</v>
      </c>
      <c r="P25" s="157"/>
      <c r="Q25" s="157">
        <v>26859.74</v>
      </c>
      <c r="R25" s="157"/>
      <c r="S25" s="157">
        <v>0</v>
      </c>
      <c r="T25" s="157"/>
      <c r="U25" s="157">
        <v>237509.18</v>
      </c>
      <c r="V25" s="157"/>
      <c r="W25" s="157">
        <v>0</v>
      </c>
      <c r="X25" s="157"/>
      <c r="Y25" s="157">
        <v>0</v>
      </c>
      <c r="Z25" s="157"/>
      <c r="AA25" s="157">
        <v>0</v>
      </c>
      <c r="AB25" s="157"/>
      <c r="AC25" s="157">
        <v>0</v>
      </c>
      <c r="AD25" s="157"/>
      <c r="AE25" s="157">
        <v>0</v>
      </c>
      <c r="AF25" s="157"/>
      <c r="AG25" s="157">
        <v>0</v>
      </c>
      <c r="AH25" s="157"/>
      <c r="AI25" s="157">
        <v>0</v>
      </c>
      <c r="AJ25" s="157"/>
      <c r="AK25" s="157">
        <v>0</v>
      </c>
      <c r="AL25" s="157"/>
      <c r="AM25" s="157">
        <v>0</v>
      </c>
      <c r="AN25" s="157"/>
      <c r="AO25" s="157">
        <v>0</v>
      </c>
      <c r="AP25" s="157"/>
      <c r="AQ25" s="157">
        <v>106584.29</v>
      </c>
      <c r="AR25" s="157"/>
      <c r="AS25" s="157">
        <v>0</v>
      </c>
      <c r="AT25" s="157"/>
      <c r="AU25" s="157">
        <v>0</v>
      </c>
      <c r="AV25" s="157"/>
      <c r="AW25" s="157">
        <v>0</v>
      </c>
      <c r="AX25" s="157"/>
      <c r="AY25" s="157">
        <v>0</v>
      </c>
      <c r="AZ25" s="157"/>
      <c r="BA25" s="157">
        <v>0</v>
      </c>
      <c r="BB25" s="157"/>
      <c r="BC25" s="157">
        <v>69421.62</v>
      </c>
      <c r="BD25" s="157"/>
      <c r="BE25" s="157">
        <v>9777.44</v>
      </c>
      <c r="BF25" s="157"/>
      <c r="BG25" s="157">
        <v>0</v>
      </c>
      <c r="BH25" s="157"/>
      <c r="BI25" s="157">
        <v>0</v>
      </c>
      <c r="BJ25" s="157"/>
      <c r="BK25" s="157">
        <v>56175.62</v>
      </c>
      <c r="BL25" s="157"/>
      <c r="BM25" s="157">
        <v>0</v>
      </c>
      <c r="BN25" s="157"/>
      <c r="BO25" s="157">
        <v>0</v>
      </c>
      <c r="BP25" s="157"/>
      <c r="BQ25" s="157">
        <v>4867.38</v>
      </c>
      <c r="BR25" s="157"/>
      <c r="BS25" s="157">
        <v>90515.13</v>
      </c>
    </row>
    <row r="26" spans="1:71" x14ac:dyDescent="0.2">
      <c r="A26" s="123" t="s">
        <v>953</v>
      </c>
      <c r="B26" s="124" t="s">
        <v>1041</v>
      </c>
      <c r="C26" s="157">
        <v>0</v>
      </c>
      <c r="D26" s="157"/>
      <c r="E26" s="157">
        <v>0</v>
      </c>
      <c r="F26" s="157"/>
      <c r="G26" s="157">
        <v>0</v>
      </c>
      <c r="H26" s="157"/>
      <c r="I26" s="157">
        <v>100</v>
      </c>
      <c r="J26" s="157"/>
      <c r="K26" s="157">
        <v>0</v>
      </c>
      <c r="L26" s="157"/>
      <c r="M26" s="157">
        <v>0</v>
      </c>
      <c r="N26" s="157"/>
      <c r="O26" s="157">
        <v>0</v>
      </c>
      <c r="P26" s="157"/>
      <c r="Q26" s="157">
        <v>0</v>
      </c>
      <c r="R26" s="157"/>
      <c r="S26" s="157">
        <v>0</v>
      </c>
      <c r="T26" s="157"/>
      <c r="U26" s="157">
        <v>0</v>
      </c>
      <c r="V26" s="157"/>
      <c r="W26" s="157">
        <v>0</v>
      </c>
      <c r="X26" s="157"/>
      <c r="Y26" s="157">
        <v>0</v>
      </c>
      <c r="Z26" s="157"/>
      <c r="AA26" s="157">
        <v>0</v>
      </c>
      <c r="AB26" s="157"/>
      <c r="AC26" s="157">
        <v>0</v>
      </c>
      <c r="AD26" s="157"/>
      <c r="AE26" s="157">
        <v>0</v>
      </c>
      <c r="AF26" s="157"/>
      <c r="AG26" s="157">
        <v>0</v>
      </c>
      <c r="AH26" s="157"/>
      <c r="AI26" s="157">
        <v>0</v>
      </c>
      <c r="AJ26" s="157"/>
      <c r="AK26" s="157">
        <v>0</v>
      </c>
      <c r="AL26" s="157"/>
      <c r="AM26" s="157">
        <v>0</v>
      </c>
      <c r="AN26" s="157"/>
      <c r="AO26" s="157">
        <v>0</v>
      </c>
      <c r="AP26" s="157"/>
      <c r="AQ26" s="157">
        <v>0</v>
      </c>
      <c r="AR26" s="157"/>
      <c r="AS26" s="157">
        <v>0</v>
      </c>
      <c r="AT26" s="157"/>
      <c r="AU26" s="157">
        <v>0</v>
      </c>
      <c r="AV26" s="157"/>
      <c r="AW26" s="157">
        <v>0</v>
      </c>
      <c r="AX26" s="157"/>
      <c r="AY26" s="157">
        <v>0</v>
      </c>
      <c r="AZ26" s="157"/>
      <c r="BA26" s="157">
        <v>0</v>
      </c>
      <c r="BB26" s="157"/>
      <c r="BC26" s="157">
        <v>0</v>
      </c>
      <c r="BD26" s="157"/>
      <c r="BE26" s="157">
        <v>0</v>
      </c>
      <c r="BF26" s="157"/>
      <c r="BG26" s="157">
        <v>0</v>
      </c>
      <c r="BH26" s="157"/>
      <c r="BI26" s="157">
        <v>0</v>
      </c>
      <c r="BJ26" s="157"/>
      <c r="BK26" s="157">
        <v>373.93</v>
      </c>
      <c r="BL26" s="157"/>
      <c r="BM26" s="157">
        <v>0</v>
      </c>
      <c r="BN26" s="157"/>
      <c r="BO26" s="157">
        <v>0</v>
      </c>
      <c r="BP26" s="157"/>
      <c r="BQ26" s="157">
        <v>0</v>
      </c>
      <c r="BR26" s="157"/>
      <c r="BS26" s="157">
        <v>0</v>
      </c>
    </row>
    <row r="27" spans="1:71" x14ac:dyDescent="0.2">
      <c r="A27" s="123" t="s">
        <v>510</v>
      </c>
      <c r="B27" s="124" t="s">
        <v>511</v>
      </c>
      <c r="C27" s="157">
        <v>0</v>
      </c>
      <c r="D27" s="157"/>
      <c r="E27" s="157">
        <v>0</v>
      </c>
      <c r="F27" s="157"/>
      <c r="G27" s="157">
        <v>0</v>
      </c>
      <c r="H27" s="157"/>
      <c r="I27" s="157">
        <v>0</v>
      </c>
      <c r="J27" s="157"/>
      <c r="K27" s="157">
        <v>0</v>
      </c>
      <c r="L27" s="157"/>
      <c r="M27" s="157">
        <v>0</v>
      </c>
      <c r="N27" s="157"/>
      <c r="O27" s="157">
        <v>0</v>
      </c>
      <c r="P27" s="157"/>
      <c r="Q27" s="157">
        <v>-26859.74</v>
      </c>
      <c r="R27" s="157"/>
      <c r="S27" s="157">
        <v>0</v>
      </c>
      <c r="T27" s="157"/>
      <c r="U27" s="157">
        <v>0</v>
      </c>
      <c r="V27" s="157"/>
      <c r="W27" s="157">
        <v>0</v>
      </c>
      <c r="X27" s="157"/>
      <c r="Y27" s="157">
        <v>0</v>
      </c>
      <c r="Z27" s="157"/>
      <c r="AA27" s="157">
        <v>0</v>
      </c>
      <c r="AB27" s="157"/>
      <c r="AC27" s="157">
        <v>0</v>
      </c>
      <c r="AD27" s="157"/>
      <c r="AE27" s="157">
        <v>0</v>
      </c>
      <c r="AF27" s="157"/>
      <c r="AG27" s="157">
        <v>0</v>
      </c>
      <c r="AH27" s="157"/>
      <c r="AI27" s="157">
        <v>0</v>
      </c>
      <c r="AJ27" s="157"/>
      <c r="AK27" s="157">
        <v>0</v>
      </c>
      <c r="AL27" s="157"/>
      <c r="AM27" s="157">
        <v>0</v>
      </c>
      <c r="AN27" s="157"/>
      <c r="AO27" s="157">
        <v>0</v>
      </c>
      <c r="AP27" s="157"/>
      <c r="AQ27" s="157">
        <v>-91460.95</v>
      </c>
      <c r="AR27" s="157"/>
      <c r="AS27" s="157">
        <v>0</v>
      </c>
      <c r="AT27" s="157"/>
      <c r="AU27" s="157">
        <v>0</v>
      </c>
      <c r="AV27" s="157"/>
      <c r="AW27" s="157">
        <v>0</v>
      </c>
      <c r="AX27" s="157"/>
      <c r="AY27" s="157">
        <v>0</v>
      </c>
      <c r="AZ27" s="157"/>
      <c r="BA27" s="157">
        <v>0</v>
      </c>
      <c r="BB27" s="157"/>
      <c r="BC27" s="157">
        <v>0</v>
      </c>
      <c r="BD27" s="157"/>
      <c r="BE27" s="157">
        <v>0</v>
      </c>
      <c r="BF27" s="157"/>
      <c r="BG27" s="157">
        <v>0</v>
      </c>
      <c r="BH27" s="157"/>
      <c r="BI27" s="157">
        <v>0</v>
      </c>
      <c r="BJ27" s="157"/>
      <c r="BK27" s="157">
        <v>-55453.7</v>
      </c>
      <c r="BL27" s="157"/>
      <c r="BM27" s="157">
        <v>0</v>
      </c>
      <c r="BN27" s="157"/>
      <c r="BO27" s="157">
        <v>0</v>
      </c>
      <c r="BP27" s="157"/>
      <c r="BQ27" s="157">
        <v>-4867.38</v>
      </c>
      <c r="BR27" s="157"/>
      <c r="BS27" s="157">
        <v>-90515.13</v>
      </c>
    </row>
    <row r="28" spans="1:71" x14ac:dyDescent="0.2">
      <c r="A28" s="123" t="s">
        <v>952</v>
      </c>
      <c r="B28" s="124" t="s">
        <v>1040</v>
      </c>
      <c r="C28" s="157">
        <v>0</v>
      </c>
      <c r="D28" s="157"/>
      <c r="E28" s="157">
        <v>0</v>
      </c>
      <c r="F28" s="157"/>
      <c r="G28" s="157">
        <v>0</v>
      </c>
      <c r="H28" s="157"/>
      <c r="I28" s="157">
        <v>0</v>
      </c>
      <c r="J28" s="157"/>
      <c r="K28" s="157">
        <v>0</v>
      </c>
      <c r="L28" s="157"/>
      <c r="M28" s="157">
        <v>0</v>
      </c>
      <c r="N28" s="157"/>
      <c r="O28" s="157">
        <v>0</v>
      </c>
      <c r="P28" s="157"/>
      <c r="Q28" s="157">
        <v>0</v>
      </c>
      <c r="R28" s="157"/>
      <c r="S28" s="157">
        <v>0</v>
      </c>
      <c r="T28" s="157"/>
      <c r="U28" s="157">
        <v>0</v>
      </c>
      <c r="V28" s="157"/>
      <c r="W28" s="157">
        <v>0</v>
      </c>
      <c r="X28" s="157"/>
      <c r="Y28" s="157">
        <v>0</v>
      </c>
      <c r="Z28" s="157"/>
      <c r="AA28" s="157">
        <v>0</v>
      </c>
      <c r="AB28" s="157"/>
      <c r="AC28" s="157">
        <v>0</v>
      </c>
      <c r="AD28" s="157"/>
      <c r="AE28" s="157">
        <v>0</v>
      </c>
      <c r="AF28" s="157"/>
      <c r="AG28" s="157">
        <v>0</v>
      </c>
      <c r="AH28" s="157"/>
      <c r="AI28" s="157">
        <v>0</v>
      </c>
      <c r="AJ28" s="157"/>
      <c r="AK28" s="157">
        <v>0</v>
      </c>
      <c r="AL28" s="157"/>
      <c r="AM28" s="157">
        <v>0</v>
      </c>
      <c r="AN28" s="157"/>
      <c r="AO28" s="157">
        <v>0</v>
      </c>
      <c r="AP28" s="157"/>
      <c r="AQ28" s="157">
        <v>0</v>
      </c>
      <c r="AR28" s="157"/>
      <c r="AS28" s="157">
        <v>0</v>
      </c>
      <c r="AT28" s="157"/>
      <c r="AU28" s="157">
        <v>0</v>
      </c>
      <c r="AV28" s="157"/>
      <c r="AW28" s="157">
        <v>0</v>
      </c>
      <c r="AX28" s="157"/>
      <c r="AY28" s="157">
        <v>0</v>
      </c>
      <c r="AZ28" s="157"/>
      <c r="BA28" s="157">
        <v>0</v>
      </c>
      <c r="BB28" s="157"/>
      <c r="BC28" s="157">
        <v>6244.98</v>
      </c>
      <c r="BD28" s="157"/>
      <c r="BE28" s="157">
        <v>0</v>
      </c>
      <c r="BF28" s="157"/>
      <c r="BG28" s="157">
        <v>0</v>
      </c>
      <c r="BH28" s="157"/>
      <c r="BI28" s="157">
        <v>0</v>
      </c>
      <c r="BJ28" s="157"/>
      <c r="BK28" s="157">
        <v>0</v>
      </c>
      <c r="BL28" s="157"/>
      <c r="BM28" s="157">
        <v>33538.9</v>
      </c>
      <c r="BN28" s="157"/>
      <c r="BO28" s="157">
        <v>0</v>
      </c>
      <c r="BP28" s="157"/>
      <c r="BQ28" s="157">
        <v>0</v>
      </c>
      <c r="BR28" s="157"/>
      <c r="BS28" s="157">
        <v>0</v>
      </c>
    </row>
    <row r="29" spans="1:71" x14ac:dyDescent="0.2">
      <c r="A29" s="123" t="s">
        <v>619</v>
      </c>
      <c r="B29" s="124" t="s">
        <v>618</v>
      </c>
      <c r="C29" s="157">
        <v>201248.8</v>
      </c>
      <c r="D29" s="157"/>
      <c r="E29" s="157">
        <v>0</v>
      </c>
      <c r="F29" s="157"/>
      <c r="G29" s="157">
        <v>235725</v>
      </c>
      <c r="H29" s="157"/>
      <c r="I29" s="157">
        <v>0</v>
      </c>
      <c r="J29" s="157"/>
      <c r="K29" s="157">
        <v>0</v>
      </c>
      <c r="L29" s="157"/>
      <c r="M29" s="157">
        <v>0</v>
      </c>
      <c r="N29" s="157"/>
      <c r="O29" s="157">
        <v>0</v>
      </c>
      <c r="P29" s="157"/>
      <c r="Q29" s="157">
        <v>0</v>
      </c>
      <c r="R29" s="157"/>
      <c r="S29" s="157">
        <v>0</v>
      </c>
      <c r="T29" s="157"/>
      <c r="U29" s="157">
        <v>0</v>
      </c>
      <c r="V29" s="157"/>
      <c r="W29" s="157">
        <v>0</v>
      </c>
      <c r="X29" s="157"/>
      <c r="Y29" s="157">
        <v>0</v>
      </c>
      <c r="Z29" s="157"/>
      <c r="AA29" s="157">
        <v>246822.39999999999</v>
      </c>
      <c r="AB29" s="157"/>
      <c r="AC29" s="157">
        <v>0</v>
      </c>
      <c r="AD29" s="157"/>
      <c r="AE29" s="157">
        <v>0</v>
      </c>
      <c r="AF29" s="157"/>
      <c r="AG29" s="157">
        <v>132361.45000000001</v>
      </c>
      <c r="AH29" s="157"/>
      <c r="AI29" s="157">
        <v>0</v>
      </c>
      <c r="AJ29" s="157"/>
      <c r="AK29" s="157">
        <v>0</v>
      </c>
      <c r="AL29" s="157"/>
      <c r="AM29" s="157">
        <v>0</v>
      </c>
      <c r="AN29" s="157"/>
      <c r="AO29" s="157">
        <v>214029</v>
      </c>
      <c r="AP29" s="157"/>
      <c r="AQ29" s="157">
        <v>0</v>
      </c>
      <c r="AR29" s="157"/>
      <c r="AS29" s="157">
        <v>0</v>
      </c>
      <c r="AT29" s="157"/>
      <c r="AU29" s="157">
        <v>0</v>
      </c>
      <c r="AV29" s="157"/>
      <c r="AW29" s="157">
        <v>0</v>
      </c>
      <c r="AX29" s="157"/>
      <c r="AY29" s="157">
        <v>0</v>
      </c>
      <c r="AZ29" s="157"/>
      <c r="BA29" s="157">
        <v>0</v>
      </c>
      <c r="BB29" s="157"/>
      <c r="BC29" s="157">
        <v>0</v>
      </c>
      <c r="BD29" s="157"/>
      <c r="BE29" s="157">
        <v>0</v>
      </c>
      <c r="BF29" s="157"/>
      <c r="BG29" s="157">
        <v>0</v>
      </c>
      <c r="BH29" s="157"/>
      <c r="BI29" s="157">
        <v>0</v>
      </c>
      <c r="BJ29" s="157"/>
      <c r="BK29" s="157">
        <v>0</v>
      </c>
      <c r="BL29" s="157"/>
      <c r="BM29" s="157">
        <v>0</v>
      </c>
      <c r="BN29" s="157"/>
      <c r="BO29" s="157">
        <v>0</v>
      </c>
      <c r="BP29" s="157"/>
      <c r="BQ29" s="157">
        <v>0</v>
      </c>
      <c r="BR29" s="157"/>
      <c r="BS29" s="157">
        <v>0</v>
      </c>
    </row>
    <row r="30" spans="1:71" x14ac:dyDescent="0.2">
      <c r="A30" s="123" t="s">
        <v>617</v>
      </c>
      <c r="B30" s="124" t="s">
        <v>616</v>
      </c>
      <c r="C30" s="157">
        <v>-195674.99</v>
      </c>
      <c r="D30" s="157"/>
      <c r="E30" s="157">
        <v>0</v>
      </c>
      <c r="F30" s="157"/>
      <c r="G30" s="157">
        <v>-220179.3</v>
      </c>
      <c r="H30" s="157"/>
      <c r="I30" s="157">
        <v>0</v>
      </c>
      <c r="J30" s="157"/>
      <c r="K30" s="157">
        <v>0</v>
      </c>
      <c r="L30" s="157"/>
      <c r="M30" s="157">
        <v>0</v>
      </c>
      <c r="N30" s="157"/>
      <c r="O30" s="157">
        <v>0</v>
      </c>
      <c r="P30" s="157"/>
      <c r="Q30" s="157">
        <v>0</v>
      </c>
      <c r="R30" s="157"/>
      <c r="S30" s="157">
        <v>0</v>
      </c>
      <c r="T30" s="157"/>
      <c r="U30" s="157">
        <v>0</v>
      </c>
      <c r="V30" s="157"/>
      <c r="W30" s="157">
        <v>0</v>
      </c>
      <c r="X30" s="157"/>
      <c r="Y30" s="157">
        <v>0</v>
      </c>
      <c r="Z30" s="157"/>
      <c r="AA30" s="157">
        <v>-231316.88</v>
      </c>
      <c r="AB30" s="157"/>
      <c r="AC30" s="157">
        <v>0</v>
      </c>
      <c r="AD30" s="157"/>
      <c r="AE30" s="157">
        <v>0</v>
      </c>
      <c r="AF30" s="157"/>
      <c r="AG30" s="157">
        <v>-121828.45</v>
      </c>
      <c r="AH30" s="157"/>
      <c r="AI30" s="157">
        <v>0</v>
      </c>
      <c r="AJ30" s="157"/>
      <c r="AK30" s="157">
        <v>0</v>
      </c>
      <c r="AL30" s="157"/>
      <c r="AM30" s="157">
        <v>0</v>
      </c>
      <c r="AN30" s="157"/>
      <c r="AO30" s="157">
        <v>-193940.33</v>
      </c>
      <c r="AP30" s="157"/>
      <c r="AQ30" s="157">
        <v>0</v>
      </c>
      <c r="AR30" s="157"/>
      <c r="AS30" s="157">
        <v>0</v>
      </c>
      <c r="AT30" s="157"/>
      <c r="AU30" s="157">
        <v>0</v>
      </c>
      <c r="AV30" s="157"/>
      <c r="AW30" s="157">
        <v>0</v>
      </c>
      <c r="AX30" s="157"/>
      <c r="AY30" s="157">
        <v>0</v>
      </c>
      <c r="AZ30" s="157"/>
      <c r="BA30" s="157">
        <v>0</v>
      </c>
      <c r="BB30" s="157"/>
      <c r="BC30" s="157">
        <v>0</v>
      </c>
      <c r="BD30" s="157"/>
      <c r="BE30" s="157">
        <v>0</v>
      </c>
      <c r="BF30" s="157"/>
      <c r="BG30" s="157">
        <v>0</v>
      </c>
      <c r="BH30" s="157"/>
      <c r="BI30" s="157">
        <v>0</v>
      </c>
      <c r="BJ30" s="157"/>
      <c r="BK30" s="157">
        <v>0</v>
      </c>
      <c r="BL30" s="157"/>
      <c r="BM30" s="157">
        <v>0</v>
      </c>
      <c r="BN30" s="157"/>
      <c r="BO30" s="157">
        <v>0</v>
      </c>
      <c r="BP30" s="157"/>
      <c r="BQ30" s="157">
        <v>0</v>
      </c>
      <c r="BR30" s="157"/>
      <c r="BS30" s="157">
        <v>0</v>
      </c>
    </row>
    <row r="31" spans="1:71" x14ac:dyDescent="0.2">
      <c r="A31" s="123" t="s">
        <v>590</v>
      </c>
      <c r="B31" s="124" t="s">
        <v>589</v>
      </c>
      <c r="C31" s="157">
        <v>0</v>
      </c>
      <c r="D31" s="157"/>
      <c r="E31" s="157">
        <v>0</v>
      </c>
      <c r="F31" s="157"/>
      <c r="G31" s="157">
        <v>0</v>
      </c>
      <c r="H31" s="157"/>
      <c r="I31" s="157">
        <v>0</v>
      </c>
      <c r="J31" s="157"/>
      <c r="K31" s="157">
        <v>0</v>
      </c>
      <c r="L31" s="157"/>
      <c r="M31" s="157">
        <v>0</v>
      </c>
      <c r="N31" s="157"/>
      <c r="O31" s="157">
        <v>0</v>
      </c>
      <c r="P31" s="157"/>
      <c r="Q31" s="157">
        <v>0</v>
      </c>
      <c r="R31" s="157"/>
      <c r="S31" s="157">
        <v>0</v>
      </c>
      <c r="T31" s="157"/>
      <c r="U31" s="157">
        <v>0</v>
      </c>
      <c r="V31" s="157"/>
      <c r="W31" s="157">
        <v>0</v>
      </c>
      <c r="X31" s="157"/>
      <c r="Y31" s="157">
        <v>0</v>
      </c>
      <c r="Z31" s="157"/>
      <c r="AA31" s="157">
        <v>0</v>
      </c>
      <c r="AB31" s="157"/>
      <c r="AC31" s="157">
        <v>0</v>
      </c>
      <c r="AD31" s="157"/>
      <c r="AE31" s="157">
        <v>0</v>
      </c>
      <c r="AF31" s="157"/>
      <c r="AG31" s="157">
        <v>0</v>
      </c>
      <c r="AH31" s="157"/>
      <c r="AI31" s="157">
        <v>0</v>
      </c>
      <c r="AJ31" s="157"/>
      <c r="AK31" s="157">
        <v>0</v>
      </c>
      <c r="AL31" s="157"/>
      <c r="AM31" s="157">
        <v>0</v>
      </c>
      <c r="AN31" s="157"/>
      <c r="AO31" s="157">
        <v>0</v>
      </c>
      <c r="AP31" s="157"/>
      <c r="AQ31" s="157">
        <v>0</v>
      </c>
      <c r="AR31" s="157"/>
      <c r="AS31" s="157">
        <v>0</v>
      </c>
      <c r="AT31" s="157"/>
      <c r="AU31" s="157">
        <v>0</v>
      </c>
      <c r="AV31" s="157"/>
      <c r="AW31" s="157">
        <v>0</v>
      </c>
      <c r="AX31" s="157"/>
      <c r="AY31" s="157">
        <v>0</v>
      </c>
      <c r="AZ31" s="157"/>
      <c r="BA31" s="157">
        <v>0</v>
      </c>
      <c r="BB31" s="157"/>
      <c r="BC31" s="157">
        <v>0</v>
      </c>
      <c r="BD31" s="157"/>
      <c r="BE31" s="157">
        <v>225965</v>
      </c>
      <c r="BF31" s="157"/>
      <c r="BG31" s="157">
        <v>0</v>
      </c>
      <c r="BH31" s="157"/>
      <c r="BI31" s="157">
        <v>0</v>
      </c>
      <c r="BJ31" s="157"/>
      <c r="BK31" s="157">
        <v>0</v>
      </c>
      <c r="BL31" s="157"/>
      <c r="BM31" s="157">
        <v>0</v>
      </c>
      <c r="BN31" s="157"/>
      <c r="BO31" s="157">
        <v>0</v>
      </c>
      <c r="BP31" s="157"/>
      <c r="BQ31" s="157">
        <v>0</v>
      </c>
      <c r="BR31" s="157"/>
      <c r="BS31" s="157">
        <v>0</v>
      </c>
    </row>
    <row r="32" spans="1:71" x14ac:dyDescent="0.2">
      <c r="A32" s="123" t="s">
        <v>140</v>
      </c>
      <c r="B32" s="124" t="s">
        <v>141</v>
      </c>
      <c r="C32" s="157">
        <v>17057.88</v>
      </c>
      <c r="D32" s="157"/>
      <c r="E32" s="157">
        <v>29862.68</v>
      </c>
      <c r="F32" s="157"/>
      <c r="G32" s="157">
        <v>15175.1</v>
      </c>
      <c r="H32" s="157"/>
      <c r="I32" s="157">
        <v>47660.17</v>
      </c>
      <c r="J32" s="157"/>
      <c r="K32" s="157">
        <v>0</v>
      </c>
      <c r="L32" s="157"/>
      <c r="M32" s="157">
        <v>13256.33</v>
      </c>
      <c r="N32" s="157"/>
      <c r="O32" s="157">
        <v>5711.97</v>
      </c>
      <c r="P32" s="157"/>
      <c r="Q32" s="157">
        <v>9207.25</v>
      </c>
      <c r="R32" s="157"/>
      <c r="S32" s="157">
        <v>19993.95</v>
      </c>
      <c r="T32" s="157"/>
      <c r="U32" s="157">
        <v>36816.33</v>
      </c>
      <c r="V32" s="157"/>
      <c r="W32" s="157">
        <v>17029.560000000001</v>
      </c>
      <c r="X32" s="157"/>
      <c r="Y32" s="157">
        <v>39164.25</v>
      </c>
      <c r="Z32" s="157"/>
      <c r="AA32" s="157">
        <v>15095.57</v>
      </c>
      <c r="AB32" s="157"/>
      <c r="AC32" s="157">
        <v>13231.05</v>
      </c>
      <c r="AD32" s="157"/>
      <c r="AE32" s="157">
        <v>43609.7</v>
      </c>
      <c r="AF32" s="157"/>
      <c r="AG32" s="157">
        <v>10196.719999999999</v>
      </c>
      <c r="AH32" s="157"/>
      <c r="AI32" s="157">
        <v>13550.48</v>
      </c>
      <c r="AJ32" s="157"/>
      <c r="AK32" s="157">
        <v>37428.559999999998</v>
      </c>
      <c r="AL32" s="157"/>
      <c r="AM32" s="157">
        <v>60676</v>
      </c>
      <c r="AN32" s="157"/>
      <c r="AO32" s="157">
        <v>15724.32</v>
      </c>
      <c r="AP32" s="157"/>
      <c r="AQ32" s="157">
        <v>64177.51</v>
      </c>
      <c r="AR32" s="157"/>
      <c r="AS32" s="157">
        <v>8999.84</v>
      </c>
      <c r="AT32" s="157"/>
      <c r="AU32" s="157">
        <v>-21.08</v>
      </c>
      <c r="AV32" s="157"/>
      <c r="AW32" s="157">
        <v>96874</v>
      </c>
      <c r="AX32" s="157"/>
      <c r="AY32" s="157">
        <v>-391.02</v>
      </c>
      <c r="AZ32" s="157"/>
      <c r="BA32" s="157">
        <v>25392.16</v>
      </c>
      <c r="BB32" s="157"/>
      <c r="BC32" s="157">
        <v>-339.64</v>
      </c>
      <c r="BD32" s="157"/>
      <c r="BE32" s="157">
        <v>-13775.98</v>
      </c>
      <c r="BF32" s="157"/>
      <c r="BG32" s="157">
        <v>73468.039999999994</v>
      </c>
      <c r="BH32" s="157"/>
      <c r="BI32" s="157">
        <v>83506.45</v>
      </c>
      <c r="BJ32" s="157"/>
      <c r="BK32" s="157">
        <v>4362.76</v>
      </c>
      <c r="BL32" s="157"/>
      <c r="BM32" s="157">
        <v>0</v>
      </c>
      <c r="BN32" s="157"/>
      <c r="BO32" s="157">
        <v>43000</v>
      </c>
      <c r="BP32" s="157"/>
      <c r="BQ32" s="157">
        <v>0</v>
      </c>
      <c r="BR32" s="157"/>
      <c r="BS32" s="157">
        <v>36606</v>
      </c>
    </row>
    <row r="33" spans="1:72" x14ac:dyDescent="0.2">
      <c r="A33" s="123" t="s">
        <v>142</v>
      </c>
      <c r="B33" s="124" t="s">
        <v>143</v>
      </c>
      <c r="C33" s="157">
        <v>22014.400000000001</v>
      </c>
      <c r="D33" s="157"/>
      <c r="E33" s="157">
        <v>19466.12</v>
      </c>
      <c r="F33" s="157"/>
      <c r="G33" s="157">
        <v>17649</v>
      </c>
      <c r="H33" s="157"/>
      <c r="I33" s="157">
        <v>374473.55</v>
      </c>
      <c r="J33" s="157"/>
      <c r="K33" s="157">
        <v>28721.08</v>
      </c>
      <c r="L33" s="157"/>
      <c r="M33" s="157">
        <v>26500</v>
      </c>
      <c r="N33" s="157"/>
      <c r="O33" s="157">
        <v>7615.96</v>
      </c>
      <c r="P33" s="157"/>
      <c r="Q33" s="157">
        <v>134417.95000000001</v>
      </c>
      <c r="R33" s="157"/>
      <c r="S33" s="157">
        <v>13329.3</v>
      </c>
      <c r="T33" s="157"/>
      <c r="U33" s="157">
        <v>226930</v>
      </c>
      <c r="V33" s="157"/>
      <c r="W33" s="157">
        <v>11353.04</v>
      </c>
      <c r="X33" s="157"/>
      <c r="Y33" s="157">
        <v>242150.65</v>
      </c>
      <c r="Z33" s="157"/>
      <c r="AA33" s="157">
        <v>12500</v>
      </c>
      <c r="AB33" s="157"/>
      <c r="AC33" s="157">
        <v>8820.7000000000007</v>
      </c>
      <c r="AD33" s="157"/>
      <c r="AE33" s="157">
        <v>32820.519999999997</v>
      </c>
      <c r="AF33" s="157"/>
      <c r="AG33" s="157">
        <v>14976.65</v>
      </c>
      <c r="AH33" s="157"/>
      <c r="AI33" s="157">
        <v>8250.6200000000008</v>
      </c>
      <c r="AJ33" s="157"/>
      <c r="AK33" s="157">
        <v>1059248</v>
      </c>
      <c r="AL33" s="157"/>
      <c r="AM33" s="157">
        <v>283993.61</v>
      </c>
      <c r="AN33" s="157"/>
      <c r="AO33" s="157">
        <v>19696.84</v>
      </c>
      <c r="AP33" s="157"/>
      <c r="AQ33" s="157">
        <v>156000.47</v>
      </c>
      <c r="AR33" s="157"/>
      <c r="AS33" s="157">
        <v>17000</v>
      </c>
      <c r="AT33" s="157"/>
      <c r="AU33" s="157">
        <v>40398.550000000003</v>
      </c>
      <c r="AV33" s="157"/>
      <c r="AW33" s="157">
        <v>1082541</v>
      </c>
      <c r="AX33" s="157"/>
      <c r="AY33" s="157">
        <v>403843.02</v>
      </c>
      <c r="AZ33" s="157"/>
      <c r="BA33" s="157">
        <v>498582.41</v>
      </c>
      <c r="BB33" s="157"/>
      <c r="BC33" s="157">
        <v>357971.53</v>
      </c>
      <c r="BD33" s="157"/>
      <c r="BE33" s="157">
        <v>687357.23</v>
      </c>
      <c r="BF33" s="157"/>
      <c r="BG33" s="157">
        <v>292954.89</v>
      </c>
      <c r="BH33" s="157"/>
      <c r="BI33" s="157">
        <v>740459.38</v>
      </c>
      <c r="BJ33" s="157"/>
      <c r="BK33" s="157">
        <v>436727.43</v>
      </c>
      <c r="BL33" s="157"/>
      <c r="BM33" s="157">
        <v>14908.28</v>
      </c>
      <c r="BN33" s="157"/>
      <c r="BO33" s="157">
        <v>256046</v>
      </c>
      <c r="BP33" s="157"/>
      <c r="BQ33" s="157">
        <v>348192</v>
      </c>
      <c r="BR33" s="157"/>
      <c r="BS33" s="157">
        <v>223753</v>
      </c>
    </row>
    <row r="34" spans="1:72" x14ac:dyDescent="0.2">
      <c r="A34" s="123" t="s">
        <v>144</v>
      </c>
      <c r="B34" s="124" t="s">
        <v>145</v>
      </c>
      <c r="C34" s="157">
        <v>0</v>
      </c>
      <c r="D34" s="157"/>
      <c r="E34" s="157">
        <v>0</v>
      </c>
      <c r="F34" s="157"/>
      <c r="G34" s="157">
        <v>0</v>
      </c>
      <c r="H34" s="157"/>
      <c r="I34" s="157">
        <v>-407466.44</v>
      </c>
      <c r="J34" s="157"/>
      <c r="K34" s="157">
        <v>0</v>
      </c>
      <c r="L34" s="157"/>
      <c r="M34" s="157">
        <v>0</v>
      </c>
      <c r="N34" s="157"/>
      <c r="O34" s="157">
        <v>0</v>
      </c>
      <c r="P34" s="157"/>
      <c r="Q34" s="157">
        <v>-132440.84</v>
      </c>
      <c r="R34" s="157"/>
      <c r="S34" s="157">
        <v>0</v>
      </c>
      <c r="T34" s="157"/>
      <c r="U34" s="157">
        <v>-239415.08</v>
      </c>
      <c r="V34" s="157"/>
      <c r="W34" s="157">
        <v>0</v>
      </c>
      <c r="X34" s="157"/>
      <c r="Y34" s="157">
        <v>-268816.49</v>
      </c>
      <c r="Z34" s="157"/>
      <c r="AA34" s="157">
        <v>-15609.05</v>
      </c>
      <c r="AB34" s="157"/>
      <c r="AC34" s="157">
        <v>0</v>
      </c>
      <c r="AD34" s="157"/>
      <c r="AE34" s="157">
        <v>0</v>
      </c>
      <c r="AF34" s="157"/>
      <c r="AG34" s="157">
        <v>-23400.01</v>
      </c>
      <c r="AH34" s="157"/>
      <c r="AI34" s="157">
        <v>0</v>
      </c>
      <c r="AJ34" s="157"/>
      <c r="AK34" s="157">
        <v>-1053003.57</v>
      </c>
      <c r="AL34" s="157"/>
      <c r="AM34" s="157">
        <v>-313605.69</v>
      </c>
      <c r="AN34" s="157"/>
      <c r="AO34" s="157">
        <v>0</v>
      </c>
      <c r="AP34" s="157"/>
      <c r="AQ34" s="157">
        <v>-210582.06</v>
      </c>
      <c r="AR34" s="157"/>
      <c r="AS34" s="157">
        <v>0</v>
      </c>
      <c r="AT34" s="157"/>
      <c r="AU34" s="157">
        <v>0</v>
      </c>
      <c r="AV34" s="157"/>
      <c r="AW34" s="157">
        <v>-1137147.06</v>
      </c>
      <c r="AX34" s="157"/>
      <c r="AY34" s="157">
        <v>-397635.78</v>
      </c>
      <c r="AZ34" s="157"/>
      <c r="BA34" s="157">
        <v>-509993.76</v>
      </c>
      <c r="BB34" s="157"/>
      <c r="BC34" s="157">
        <v>-340406.58</v>
      </c>
      <c r="BD34" s="157"/>
      <c r="BE34" s="157">
        <v>-616050.39</v>
      </c>
      <c r="BF34" s="157"/>
      <c r="BG34" s="157">
        <v>-352147.19</v>
      </c>
      <c r="BH34" s="157"/>
      <c r="BI34" s="157">
        <v>-789957.68</v>
      </c>
      <c r="BJ34" s="157"/>
      <c r="BK34" s="157">
        <v>-436325.92</v>
      </c>
      <c r="BL34" s="157"/>
      <c r="BM34" s="157">
        <v>0</v>
      </c>
      <c r="BN34" s="157"/>
      <c r="BO34" s="157">
        <v>-294923.83</v>
      </c>
      <c r="BP34" s="157"/>
      <c r="BQ34" s="157">
        <v>-333433.26</v>
      </c>
      <c r="BR34" s="157"/>
      <c r="BS34" s="157">
        <v>-255370.37</v>
      </c>
    </row>
    <row r="35" spans="1:72" x14ac:dyDescent="0.2">
      <c r="A35" s="123" t="s">
        <v>146</v>
      </c>
      <c r="B35" s="124" t="s">
        <v>147</v>
      </c>
      <c r="C35" s="157">
        <v>3370.52</v>
      </c>
      <c r="D35" s="157"/>
      <c r="E35" s="157">
        <v>8118</v>
      </c>
      <c r="F35" s="157"/>
      <c r="G35" s="157">
        <v>3271.76</v>
      </c>
      <c r="H35" s="157"/>
      <c r="I35" s="157">
        <v>23923.87</v>
      </c>
      <c r="J35" s="157"/>
      <c r="K35" s="157">
        <v>6361</v>
      </c>
      <c r="L35" s="157"/>
      <c r="M35" s="157">
        <v>5474.14</v>
      </c>
      <c r="N35" s="157"/>
      <c r="O35" s="157">
        <v>3912.75</v>
      </c>
      <c r="P35" s="157"/>
      <c r="Q35" s="157">
        <v>4798.74</v>
      </c>
      <c r="R35" s="157"/>
      <c r="S35" s="157">
        <v>6869.08</v>
      </c>
      <c r="T35" s="157"/>
      <c r="U35" s="157">
        <v>20359.939999999999</v>
      </c>
      <c r="V35" s="157"/>
      <c r="W35" s="157">
        <v>5407.24</v>
      </c>
      <c r="X35" s="157"/>
      <c r="Y35" s="157">
        <v>37298.870000000003</v>
      </c>
      <c r="Z35" s="157"/>
      <c r="AA35" s="157">
        <v>1922.58</v>
      </c>
      <c r="AB35" s="157"/>
      <c r="AC35" s="157">
        <v>5209.68</v>
      </c>
      <c r="AD35" s="157"/>
      <c r="AE35" s="157">
        <v>5779.08</v>
      </c>
      <c r="AF35" s="157"/>
      <c r="AG35" s="157">
        <v>7526.93</v>
      </c>
      <c r="AH35" s="157"/>
      <c r="AI35" s="157">
        <v>4400.68</v>
      </c>
      <c r="AJ35" s="157"/>
      <c r="AK35" s="157">
        <v>13600</v>
      </c>
      <c r="AL35" s="157"/>
      <c r="AM35" s="157">
        <v>28824</v>
      </c>
      <c r="AN35" s="157"/>
      <c r="AO35" s="157">
        <v>3066.18</v>
      </c>
      <c r="AP35" s="157"/>
      <c r="AQ35" s="157">
        <v>16068.66</v>
      </c>
      <c r="AR35" s="157"/>
      <c r="AS35" s="157">
        <v>0</v>
      </c>
      <c r="AT35" s="157"/>
      <c r="AU35" s="157">
        <v>0</v>
      </c>
      <c r="AV35" s="157"/>
      <c r="AW35" s="157">
        <v>3536</v>
      </c>
      <c r="AX35" s="157"/>
      <c r="AY35" s="157">
        <v>0</v>
      </c>
      <c r="AZ35" s="157"/>
      <c r="BA35" s="157">
        <v>29474.63</v>
      </c>
      <c r="BB35" s="157"/>
      <c r="BC35" s="157">
        <v>19</v>
      </c>
      <c r="BD35" s="157"/>
      <c r="BE35" s="157">
        <v>-12922.37</v>
      </c>
      <c r="BF35" s="157"/>
      <c r="BG35" s="157">
        <v>1000</v>
      </c>
      <c r="BH35" s="157"/>
      <c r="BI35" s="157">
        <v>1000</v>
      </c>
      <c r="BJ35" s="157"/>
      <c r="BK35" s="157">
        <v>27565.1</v>
      </c>
      <c r="BL35" s="157"/>
      <c r="BM35" s="157">
        <v>4164.6000000000004</v>
      </c>
      <c r="BN35" s="157"/>
      <c r="BO35" s="157">
        <v>7355</v>
      </c>
      <c r="BP35" s="157"/>
      <c r="BQ35" s="157">
        <v>0</v>
      </c>
      <c r="BR35" s="157"/>
      <c r="BS35" s="157">
        <v>23000</v>
      </c>
    </row>
    <row r="36" spans="1:72" x14ac:dyDescent="0.2">
      <c r="A36" s="123" t="s">
        <v>148</v>
      </c>
      <c r="B36" s="124" t="s">
        <v>149</v>
      </c>
      <c r="C36" s="157">
        <v>6741.04</v>
      </c>
      <c r="D36" s="157"/>
      <c r="E36" s="157">
        <v>4059</v>
      </c>
      <c r="F36" s="157"/>
      <c r="G36" s="157">
        <v>6543.52</v>
      </c>
      <c r="H36" s="157"/>
      <c r="I36" s="157">
        <v>203579.66</v>
      </c>
      <c r="J36" s="157"/>
      <c r="K36" s="157">
        <v>12722</v>
      </c>
      <c r="L36" s="157"/>
      <c r="M36" s="157">
        <v>11000</v>
      </c>
      <c r="N36" s="157"/>
      <c r="O36" s="157">
        <v>5490.72</v>
      </c>
      <c r="P36" s="157"/>
      <c r="Q36" s="157">
        <v>187727.38</v>
      </c>
      <c r="R36" s="157"/>
      <c r="S36" s="157">
        <v>3434.54</v>
      </c>
      <c r="T36" s="157"/>
      <c r="U36" s="157">
        <v>166995</v>
      </c>
      <c r="V36" s="157"/>
      <c r="W36" s="157">
        <v>2703.62</v>
      </c>
      <c r="X36" s="157"/>
      <c r="Y36" s="157">
        <v>231344.71</v>
      </c>
      <c r="Z36" s="157"/>
      <c r="AA36" s="157">
        <v>12000</v>
      </c>
      <c r="AB36" s="157"/>
      <c r="AC36" s="157">
        <v>2604.84</v>
      </c>
      <c r="AD36" s="157"/>
      <c r="AE36" s="157">
        <v>11558.16</v>
      </c>
      <c r="AF36" s="157"/>
      <c r="AG36" s="157">
        <v>10726.6</v>
      </c>
      <c r="AH36" s="157"/>
      <c r="AI36" s="157">
        <v>2200.34</v>
      </c>
      <c r="AJ36" s="157"/>
      <c r="AK36" s="157">
        <v>275210</v>
      </c>
      <c r="AL36" s="157"/>
      <c r="AM36" s="157">
        <v>252532.82</v>
      </c>
      <c r="AN36" s="157"/>
      <c r="AO36" s="157">
        <v>6132.36</v>
      </c>
      <c r="AP36" s="157"/>
      <c r="AQ36" s="157">
        <v>192332.38</v>
      </c>
      <c r="AR36" s="157"/>
      <c r="AS36" s="157">
        <v>11250</v>
      </c>
      <c r="AT36" s="157"/>
      <c r="AU36" s="157">
        <v>23703.25</v>
      </c>
      <c r="AV36" s="157"/>
      <c r="AW36" s="157">
        <v>217496</v>
      </c>
      <c r="AX36" s="157"/>
      <c r="AY36" s="157">
        <v>285203.21000000002</v>
      </c>
      <c r="AZ36" s="157"/>
      <c r="BA36" s="157">
        <v>255141.09</v>
      </c>
      <c r="BB36" s="157"/>
      <c r="BC36" s="157">
        <v>297168.32</v>
      </c>
      <c r="BD36" s="157"/>
      <c r="BE36" s="157">
        <v>376914.63</v>
      </c>
      <c r="BF36" s="157"/>
      <c r="BG36" s="157">
        <v>194778.63</v>
      </c>
      <c r="BH36" s="157"/>
      <c r="BI36" s="157">
        <v>234568.13</v>
      </c>
      <c r="BJ36" s="157"/>
      <c r="BK36" s="157">
        <v>295102.90999999997</v>
      </c>
      <c r="BL36" s="157"/>
      <c r="BM36" s="157">
        <v>5552.8</v>
      </c>
      <c r="BN36" s="157"/>
      <c r="BO36" s="157">
        <v>165813.75</v>
      </c>
      <c r="BP36" s="157"/>
      <c r="BQ36" s="157">
        <v>182222</v>
      </c>
      <c r="BR36" s="157"/>
      <c r="BS36" s="157">
        <v>119626</v>
      </c>
    </row>
    <row r="37" spans="1:72" x14ac:dyDescent="0.2">
      <c r="A37" s="123" t="s">
        <v>150</v>
      </c>
      <c r="B37" s="124" t="s">
        <v>151</v>
      </c>
      <c r="C37" s="157">
        <v>0</v>
      </c>
      <c r="D37" s="157"/>
      <c r="E37" s="157">
        <v>0</v>
      </c>
      <c r="F37" s="157"/>
      <c r="G37" s="157">
        <v>0</v>
      </c>
      <c r="H37" s="157"/>
      <c r="I37" s="157">
        <v>-213255</v>
      </c>
      <c r="J37" s="157"/>
      <c r="K37" s="157">
        <v>0</v>
      </c>
      <c r="L37" s="157"/>
      <c r="M37" s="157">
        <v>0</v>
      </c>
      <c r="N37" s="157"/>
      <c r="O37" s="157">
        <v>0</v>
      </c>
      <c r="P37" s="157"/>
      <c r="Q37" s="157">
        <v>-177029</v>
      </c>
      <c r="R37" s="157"/>
      <c r="S37" s="157">
        <v>0</v>
      </c>
      <c r="T37" s="157"/>
      <c r="U37" s="157">
        <v>-167357</v>
      </c>
      <c r="V37" s="157"/>
      <c r="W37" s="157">
        <v>0</v>
      </c>
      <c r="X37" s="157"/>
      <c r="Y37" s="157">
        <v>-255202.46</v>
      </c>
      <c r="Z37" s="157"/>
      <c r="AA37" s="157">
        <v>-7500</v>
      </c>
      <c r="AB37" s="157"/>
      <c r="AC37" s="157">
        <v>0</v>
      </c>
      <c r="AD37" s="157"/>
      <c r="AE37" s="157">
        <v>0</v>
      </c>
      <c r="AF37" s="157"/>
      <c r="AG37" s="157">
        <v>-10000</v>
      </c>
      <c r="AH37" s="157"/>
      <c r="AI37" s="157">
        <v>0</v>
      </c>
      <c r="AJ37" s="157"/>
      <c r="AK37" s="157">
        <v>-273423</v>
      </c>
      <c r="AL37" s="157"/>
      <c r="AM37" s="157">
        <v>-253775</v>
      </c>
      <c r="AN37" s="157"/>
      <c r="AO37" s="157">
        <v>0</v>
      </c>
      <c r="AP37" s="157"/>
      <c r="AQ37" s="157">
        <v>-185783</v>
      </c>
      <c r="AR37" s="157"/>
      <c r="AS37" s="157">
        <v>0</v>
      </c>
      <c r="AT37" s="157"/>
      <c r="AU37" s="157">
        <v>0</v>
      </c>
      <c r="AV37" s="157"/>
      <c r="AW37" s="157">
        <v>-208813</v>
      </c>
      <c r="AX37" s="157"/>
      <c r="AY37" s="157">
        <v>-279869</v>
      </c>
      <c r="AZ37" s="157"/>
      <c r="BA37" s="157">
        <v>-271099.21999999997</v>
      </c>
      <c r="BB37" s="157"/>
      <c r="BC37" s="157">
        <v>-272893</v>
      </c>
      <c r="BD37" s="157"/>
      <c r="BE37" s="157">
        <v>-344701</v>
      </c>
      <c r="BF37" s="157"/>
      <c r="BG37" s="157">
        <v>-180940</v>
      </c>
      <c r="BH37" s="157"/>
      <c r="BI37" s="157">
        <v>-221269</v>
      </c>
      <c r="BJ37" s="157"/>
      <c r="BK37" s="157">
        <v>-304013.94</v>
      </c>
      <c r="BL37" s="157"/>
      <c r="BM37" s="157">
        <v>0</v>
      </c>
      <c r="BN37" s="157"/>
      <c r="BO37" s="157">
        <v>-149030</v>
      </c>
      <c r="BP37" s="157"/>
      <c r="BQ37" s="157">
        <v>-153349</v>
      </c>
      <c r="BR37" s="157"/>
      <c r="BS37" s="157">
        <v>-129280</v>
      </c>
    </row>
    <row r="38" spans="1:72" x14ac:dyDescent="0.2">
      <c r="A38" s="123" t="s">
        <v>438</v>
      </c>
      <c r="B38" s="124" t="s">
        <v>439</v>
      </c>
      <c r="C38" s="157">
        <v>0</v>
      </c>
      <c r="D38" s="157"/>
      <c r="E38" s="157">
        <v>0</v>
      </c>
      <c r="F38" s="157"/>
      <c r="G38" s="157">
        <v>0</v>
      </c>
      <c r="H38" s="157"/>
      <c r="I38" s="157">
        <v>0</v>
      </c>
      <c r="J38" s="157"/>
      <c r="K38" s="157">
        <v>0</v>
      </c>
      <c r="L38" s="157"/>
      <c r="M38" s="157">
        <v>0</v>
      </c>
      <c r="N38" s="157"/>
      <c r="O38" s="157">
        <v>0</v>
      </c>
      <c r="P38" s="157"/>
      <c r="Q38" s="157">
        <v>843.84</v>
      </c>
      <c r="R38" s="157"/>
      <c r="S38" s="157">
        <v>0</v>
      </c>
      <c r="T38" s="157"/>
      <c r="U38" s="157">
        <v>20211.400000000001</v>
      </c>
      <c r="V38" s="157"/>
      <c r="W38" s="157">
        <v>0</v>
      </c>
      <c r="X38" s="157"/>
      <c r="Y38" s="157">
        <v>0</v>
      </c>
      <c r="Z38" s="157"/>
      <c r="AA38" s="157">
        <v>0</v>
      </c>
      <c r="AB38" s="157"/>
      <c r="AC38" s="157">
        <v>0</v>
      </c>
      <c r="AD38" s="157"/>
      <c r="AE38" s="157">
        <v>0</v>
      </c>
      <c r="AF38" s="157"/>
      <c r="AG38" s="157">
        <v>0</v>
      </c>
      <c r="AH38" s="157"/>
      <c r="AI38" s="157">
        <v>0</v>
      </c>
      <c r="AJ38" s="157"/>
      <c r="AK38" s="157">
        <v>0</v>
      </c>
      <c r="AL38" s="157"/>
      <c r="AM38" s="157">
        <v>38275</v>
      </c>
      <c r="AN38" s="157"/>
      <c r="AO38" s="157">
        <v>0</v>
      </c>
      <c r="AP38" s="157"/>
      <c r="AQ38" s="157">
        <v>7005.35</v>
      </c>
      <c r="AR38" s="157"/>
      <c r="AS38" s="157">
        <v>0</v>
      </c>
      <c r="AT38" s="157"/>
      <c r="AU38" s="157">
        <v>0</v>
      </c>
      <c r="AV38" s="157"/>
      <c r="AW38" s="157">
        <v>0</v>
      </c>
      <c r="AX38" s="157"/>
      <c r="AY38" s="157">
        <v>0</v>
      </c>
      <c r="AZ38" s="157"/>
      <c r="BA38" s="157">
        <v>27339.51</v>
      </c>
      <c r="BB38" s="157"/>
      <c r="BC38" s="157">
        <v>0</v>
      </c>
      <c r="BD38" s="157"/>
      <c r="BE38" s="157">
        <v>19576.62</v>
      </c>
      <c r="BF38" s="157"/>
      <c r="BG38" s="157">
        <v>0</v>
      </c>
      <c r="BH38" s="157"/>
      <c r="BI38" s="157">
        <v>0</v>
      </c>
      <c r="BJ38" s="157"/>
      <c r="BK38" s="157">
        <v>0</v>
      </c>
      <c r="BL38" s="157"/>
      <c r="BM38" s="157">
        <v>0</v>
      </c>
      <c r="BN38" s="157"/>
      <c r="BO38" s="157">
        <v>-1255.07</v>
      </c>
      <c r="BP38" s="157"/>
      <c r="BQ38" s="157">
        <v>23692.57</v>
      </c>
      <c r="BR38" s="157"/>
      <c r="BS38" s="157">
        <v>25756.33</v>
      </c>
    </row>
    <row r="39" spans="1:72" x14ac:dyDescent="0.2">
      <c r="A39" s="123" t="s">
        <v>440</v>
      </c>
      <c r="B39" s="124" t="s">
        <v>441</v>
      </c>
      <c r="C39" s="157">
        <v>0</v>
      </c>
      <c r="D39" s="157"/>
      <c r="E39" s="157">
        <v>0</v>
      </c>
      <c r="F39" s="157"/>
      <c r="G39" s="157">
        <v>0</v>
      </c>
      <c r="H39" s="157"/>
      <c r="I39" s="157">
        <v>0</v>
      </c>
      <c r="J39" s="157"/>
      <c r="K39" s="157">
        <v>0</v>
      </c>
      <c r="L39" s="157"/>
      <c r="M39" s="157">
        <v>0</v>
      </c>
      <c r="N39" s="157"/>
      <c r="O39" s="157">
        <v>0</v>
      </c>
      <c r="P39" s="157"/>
      <c r="Q39" s="157">
        <v>75599.600000000006</v>
      </c>
      <c r="R39" s="157"/>
      <c r="S39" s="157">
        <v>0</v>
      </c>
      <c r="T39" s="157"/>
      <c r="U39" s="157">
        <v>155800</v>
      </c>
      <c r="V39" s="157"/>
      <c r="W39" s="157">
        <v>0</v>
      </c>
      <c r="X39" s="157"/>
      <c r="Y39" s="157">
        <v>0</v>
      </c>
      <c r="Z39" s="157"/>
      <c r="AA39" s="157">
        <v>0</v>
      </c>
      <c r="AB39" s="157"/>
      <c r="AC39" s="157">
        <v>0</v>
      </c>
      <c r="AD39" s="157"/>
      <c r="AE39" s="157">
        <v>0</v>
      </c>
      <c r="AF39" s="157"/>
      <c r="AG39" s="157">
        <v>0</v>
      </c>
      <c r="AH39" s="157"/>
      <c r="AI39" s="157">
        <v>0</v>
      </c>
      <c r="AJ39" s="157"/>
      <c r="AK39" s="157">
        <v>0</v>
      </c>
      <c r="AL39" s="157"/>
      <c r="AM39" s="157">
        <v>231836.98</v>
      </c>
      <c r="AN39" s="157"/>
      <c r="AO39" s="157">
        <v>0</v>
      </c>
      <c r="AP39" s="157"/>
      <c r="AQ39" s="157">
        <v>120161.47</v>
      </c>
      <c r="AR39" s="157"/>
      <c r="AS39" s="157">
        <v>0</v>
      </c>
      <c r="AT39" s="157"/>
      <c r="AU39" s="157">
        <v>0</v>
      </c>
      <c r="AV39" s="157"/>
      <c r="AW39" s="157">
        <v>0</v>
      </c>
      <c r="AX39" s="157"/>
      <c r="AY39" s="157">
        <v>0</v>
      </c>
      <c r="AZ39" s="157"/>
      <c r="BA39" s="157">
        <v>238486.1</v>
      </c>
      <c r="BB39" s="157"/>
      <c r="BC39" s="157">
        <v>0</v>
      </c>
      <c r="BD39" s="157"/>
      <c r="BE39" s="157">
        <v>213990.68</v>
      </c>
      <c r="BF39" s="157"/>
      <c r="BG39" s="157">
        <v>0</v>
      </c>
      <c r="BH39" s="157"/>
      <c r="BI39" s="157">
        <v>0</v>
      </c>
      <c r="BJ39" s="157"/>
      <c r="BK39" s="157">
        <v>0</v>
      </c>
      <c r="BL39" s="157"/>
      <c r="BM39" s="157">
        <v>0</v>
      </c>
      <c r="BN39" s="157"/>
      <c r="BO39" s="157">
        <v>150204</v>
      </c>
      <c r="BP39" s="157"/>
      <c r="BQ39" s="157">
        <v>129000</v>
      </c>
      <c r="BR39" s="157"/>
      <c r="BS39" s="157">
        <v>131750</v>
      </c>
    </row>
    <row r="40" spans="1:72" x14ac:dyDescent="0.2">
      <c r="A40" s="123" t="s">
        <v>442</v>
      </c>
      <c r="B40" s="124" t="s">
        <v>443</v>
      </c>
      <c r="C40" s="157">
        <v>0</v>
      </c>
      <c r="D40" s="157"/>
      <c r="E40" s="157">
        <v>0</v>
      </c>
      <c r="F40" s="157"/>
      <c r="G40" s="157">
        <v>0</v>
      </c>
      <c r="H40" s="157"/>
      <c r="I40" s="157">
        <v>0</v>
      </c>
      <c r="J40" s="157"/>
      <c r="K40" s="157">
        <v>0</v>
      </c>
      <c r="L40" s="157"/>
      <c r="M40" s="157">
        <v>0</v>
      </c>
      <c r="N40" s="157"/>
      <c r="O40" s="157">
        <v>0</v>
      </c>
      <c r="P40" s="157"/>
      <c r="Q40" s="157">
        <v>-75517.539999999994</v>
      </c>
      <c r="R40" s="157"/>
      <c r="S40" s="157">
        <v>0</v>
      </c>
      <c r="T40" s="157"/>
      <c r="U40" s="157">
        <v>-157091.32999999999</v>
      </c>
      <c r="V40" s="157"/>
      <c r="W40" s="157">
        <v>0</v>
      </c>
      <c r="X40" s="157"/>
      <c r="Y40" s="157">
        <v>0</v>
      </c>
      <c r="Z40" s="157"/>
      <c r="AA40" s="157">
        <v>0</v>
      </c>
      <c r="AB40" s="157"/>
      <c r="AC40" s="157">
        <v>0</v>
      </c>
      <c r="AD40" s="157"/>
      <c r="AE40" s="157">
        <v>0</v>
      </c>
      <c r="AF40" s="157"/>
      <c r="AG40" s="157">
        <v>0</v>
      </c>
      <c r="AH40" s="157"/>
      <c r="AI40" s="157">
        <v>0</v>
      </c>
      <c r="AJ40" s="157"/>
      <c r="AK40" s="157">
        <v>0</v>
      </c>
      <c r="AL40" s="157"/>
      <c r="AM40" s="157">
        <v>-225332.06</v>
      </c>
      <c r="AN40" s="157"/>
      <c r="AO40" s="157">
        <v>0</v>
      </c>
      <c r="AP40" s="157"/>
      <c r="AQ40" s="157">
        <v>-116494.64</v>
      </c>
      <c r="AR40" s="157"/>
      <c r="AS40" s="157">
        <v>0</v>
      </c>
      <c r="AT40" s="157"/>
      <c r="AU40" s="157">
        <v>0</v>
      </c>
      <c r="AV40" s="157"/>
      <c r="AW40" s="157">
        <v>0</v>
      </c>
      <c r="AX40" s="157"/>
      <c r="AY40" s="157">
        <v>0</v>
      </c>
      <c r="AZ40" s="157"/>
      <c r="BA40" s="157">
        <v>-247648.07</v>
      </c>
      <c r="BB40" s="157"/>
      <c r="BC40" s="157">
        <v>0</v>
      </c>
      <c r="BD40" s="157"/>
      <c r="BE40" s="157">
        <v>-217142.79</v>
      </c>
      <c r="BF40" s="157"/>
      <c r="BG40" s="157">
        <v>0</v>
      </c>
      <c r="BH40" s="157"/>
      <c r="BI40" s="157">
        <v>0</v>
      </c>
      <c r="BJ40" s="157"/>
      <c r="BK40" s="157">
        <v>0</v>
      </c>
      <c r="BL40" s="157"/>
      <c r="BM40" s="157">
        <v>0</v>
      </c>
      <c r="BN40" s="157"/>
      <c r="BO40" s="157">
        <v>-123136.64</v>
      </c>
      <c r="BP40" s="157"/>
      <c r="BQ40" s="157">
        <v>-128218.47</v>
      </c>
      <c r="BR40" s="157"/>
      <c r="BS40" s="157">
        <v>-147346.96</v>
      </c>
    </row>
    <row r="41" spans="1:72" x14ac:dyDescent="0.2">
      <c r="A41" s="123" t="s">
        <v>444</v>
      </c>
      <c r="B41" s="124" t="s">
        <v>445</v>
      </c>
      <c r="C41" s="157">
        <v>0</v>
      </c>
      <c r="D41" s="157"/>
      <c r="E41" s="157">
        <v>0</v>
      </c>
      <c r="F41" s="157"/>
      <c r="G41" s="157">
        <v>0</v>
      </c>
      <c r="H41" s="157"/>
      <c r="I41" s="157">
        <v>0</v>
      </c>
      <c r="J41" s="157"/>
      <c r="K41" s="157">
        <v>1.25</v>
      </c>
      <c r="L41" s="157"/>
      <c r="M41" s="157">
        <v>0</v>
      </c>
      <c r="N41" s="157"/>
      <c r="O41" s="157">
        <v>0</v>
      </c>
      <c r="P41" s="157"/>
      <c r="Q41" s="157">
        <v>0</v>
      </c>
      <c r="R41" s="157"/>
      <c r="S41" s="157">
        <v>0</v>
      </c>
      <c r="T41" s="157"/>
      <c r="U41" s="157">
        <v>0</v>
      </c>
      <c r="V41" s="157"/>
      <c r="W41" s="157">
        <v>0</v>
      </c>
      <c r="X41" s="157"/>
      <c r="Y41" s="157">
        <v>0</v>
      </c>
      <c r="Z41" s="157"/>
      <c r="AA41" s="157">
        <v>0</v>
      </c>
      <c r="AB41" s="157"/>
      <c r="AC41" s="157">
        <v>0</v>
      </c>
      <c r="AD41" s="157"/>
      <c r="AE41" s="157">
        <v>0</v>
      </c>
      <c r="AF41" s="157"/>
      <c r="AG41" s="157">
        <v>0</v>
      </c>
      <c r="AH41" s="157"/>
      <c r="AI41" s="157">
        <v>0</v>
      </c>
      <c r="AJ41" s="157"/>
      <c r="AK41" s="157">
        <v>0</v>
      </c>
      <c r="AL41" s="157"/>
      <c r="AM41" s="157">
        <v>0</v>
      </c>
      <c r="AN41" s="157"/>
      <c r="AO41" s="157">
        <v>0</v>
      </c>
      <c r="AP41" s="157"/>
      <c r="AQ41" s="157">
        <v>0</v>
      </c>
      <c r="AR41" s="157"/>
      <c r="AS41" s="157">
        <v>0</v>
      </c>
      <c r="AT41" s="157"/>
      <c r="AU41" s="157">
        <v>0</v>
      </c>
      <c r="AV41" s="157"/>
      <c r="AW41" s="157">
        <v>0</v>
      </c>
      <c r="AX41" s="157"/>
      <c r="AY41" s="157">
        <v>0</v>
      </c>
      <c r="AZ41" s="157"/>
      <c r="BA41" s="157">
        <v>0</v>
      </c>
      <c r="BB41" s="157"/>
      <c r="BC41" s="157">
        <v>0</v>
      </c>
      <c r="BD41" s="157"/>
      <c r="BE41" s="157">
        <v>0</v>
      </c>
      <c r="BF41" s="157"/>
      <c r="BG41" s="157">
        <v>0</v>
      </c>
      <c r="BH41" s="157"/>
      <c r="BI41" s="157">
        <v>0</v>
      </c>
      <c r="BJ41" s="157"/>
      <c r="BK41" s="157">
        <v>0</v>
      </c>
      <c r="BL41" s="157"/>
      <c r="BM41" s="157">
        <v>0</v>
      </c>
      <c r="BN41" s="157"/>
      <c r="BO41" s="157">
        <v>0</v>
      </c>
      <c r="BP41" s="157"/>
      <c r="BQ41" s="157">
        <v>0</v>
      </c>
      <c r="BR41" s="157"/>
      <c r="BS41" s="157">
        <v>0</v>
      </c>
    </row>
    <row r="42" spans="1:72" x14ac:dyDescent="0.2">
      <c r="A42" s="123" t="s">
        <v>446</v>
      </c>
      <c r="B42" s="124" t="s">
        <v>447</v>
      </c>
      <c r="C42" s="157">
        <v>0</v>
      </c>
      <c r="D42" s="157"/>
      <c r="E42" s="157">
        <v>0</v>
      </c>
      <c r="F42" s="157"/>
      <c r="G42" s="157">
        <v>0</v>
      </c>
      <c r="H42" s="157"/>
      <c r="I42" s="157">
        <v>0</v>
      </c>
      <c r="J42" s="157"/>
      <c r="K42" s="157">
        <v>1800</v>
      </c>
      <c r="L42" s="157"/>
      <c r="M42" s="157">
        <v>0</v>
      </c>
      <c r="N42" s="157"/>
      <c r="O42" s="157">
        <v>0</v>
      </c>
      <c r="P42" s="157"/>
      <c r="Q42" s="157">
        <v>0</v>
      </c>
      <c r="R42" s="157"/>
      <c r="S42" s="157">
        <v>0</v>
      </c>
      <c r="T42" s="157"/>
      <c r="U42" s="157">
        <v>0</v>
      </c>
      <c r="V42" s="157"/>
      <c r="W42" s="157">
        <v>0</v>
      </c>
      <c r="X42" s="157"/>
      <c r="Y42" s="157">
        <v>0</v>
      </c>
      <c r="Z42" s="157"/>
      <c r="AA42" s="157">
        <v>0</v>
      </c>
      <c r="AB42" s="157"/>
      <c r="AC42" s="157">
        <v>0</v>
      </c>
      <c r="AD42" s="157"/>
      <c r="AE42" s="157">
        <v>0</v>
      </c>
      <c r="AF42" s="157"/>
      <c r="AG42" s="157">
        <v>0</v>
      </c>
      <c r="AH42" s="157"/>
      <c r="AI42" s="157">
        <v>0</v>
      </c>
      <c r="AJ42" s="157"/>
      <c r="AK42" s="157">
        <v>0</v>
      </c>
      <c r="AL42" s="157"/>
      <c r="AM42" s="157">
        <v>0</v>
      </c>
      <c r="AN42" s="157"/>
      <c r="AO42" s="157">
        <v>0</v>
      </c>
      <c r="AP42" s="157"/>
      <c r="AQ42" s="157">
        <v>0</v>
      </c>
      <c r="AR42" s="157"/>
      <c r="AS42" s="157">
        <v>0</v>
      </c>
      <c r="AT42" s="157"/>
      <c r="AU42" s="157">
        <v>0</v>
      </c>
      <c r="AV42" s="157"/>
      <c r="AW42" s="157">
        <v>0</v>
      </c>
      <c r="AX42" s="157"/>
      <c r="AY42" s="157">
        <v>0</v>
      </c>
      <c r="AZ42" s="157"/>
      <c r="BA42" s="157">
        <v>0</v>
      </c>
      <c r="BB42" s="157"/>
      <c r="BC42" s="157">
        <v>0</v>
      </c>
      <c r="BD42" s="157"/>
      <c r="BE42" s="157">
        <v>0</v>
      </c>
      <c r="BF42" s="157"/>
      <c r="BG42" s="157">
        <v>0</v>
      </c>
      <c r="BH42" s="157"/>
      <c r="BI42" s="157">
        <v>0</v>
      </c>
      <c r="BJ42" s="157"/>
      <c r="BK42" s="157">
        <v>0</v>
      </c>
      <c r="BL42" s="157"/>
      <c r="BM42" s="157">
        <v>0</v>
      </c>
      <c r="BN42" s="157"/>
      <c r="BO42" s="157">
        <v>0</v>
      </c>
      <c r="BP42" s="157"/>
      <c r="BQ42" s="157">
        <v>0</v>
      </c>
      <c r="BR42" s="157"/>
      <c r="BS42" s="157">
        <v>0</v>
      </c>
    </row>
    <row r="43" spans="1:72" x14ac:dyDescent="0.2">
      <c r="A43" s="123" t="s">
        <v>448</v>
      </c>
      <c r="B43" s="124" t="s">
        <v>449</v>
      </c>
      <c r="C43" s="157">
        <v>0</v>
      </c>
      <c r="D43" s="157"/>
      <c r="E43" s="157">
        <v>0</v>
      </c>
      <c r="F43" s="157"/>
      <c r="G43" s="157">
        <v>0</v>
      </c>
      <c r="H43" s="157"/>
      <c r="I43" s="157">
        <v>0</v>
      </c>
      <c r="J43" s="157"/>
      <c r="K43" s="157">
        <v>-1801.25</v>
      </c>
      <c r="L43" s="157"/>
      <c r="M43" s="157">
        <v>0</v>
      </c>
      <c r="N43" s="157"/>
      <c r="O43" s="157">
        <v>0</v>
      </c>
      <c r="P43" s="157"/>
      <c r="Q43" s="157">
        <v>0</v>
      </c>
      <c r="R43" s="157"/>
      <c r="S43" s="157">
        <v>0</v>
      </c>
      <c r="T43" s="157"/>
      <c r="U43" s="157">
        <v>0</v>
      </c>
      <c r="V43" s="157"/>
      <c r="W43" s="157">
        <v>0</v>
      </c>
      <c r="X43" s="157"/>
      <c r="Y43" s="157">
        <v>0</v>
      </c>
      <c r="Z43" s="157"/>
      <c r="AA43" s="157">
        <v>0</v>
      </c>
      <c r="AB43" s="157"/>
      <c r="AC43" s="157">
        <v>0</v>
      </c>
      <c r="AD43" s="157"/>
      <c r="AE43" s="157">
        <v>0</v>
      </c>
      <c r="AF43" s="157"/>
      <c r="AG43" s="157">
        <v>0</v>
      </c>
      <c r="AH43" s="157"/>
      <c r="AI43" s="157">
        <v>0</v>
      </c>
      <c r="AJ43" s="157"/>
      <c r="AK43" s="157">
        <v>0</v>
      </c>
      <c r="AL43" s="157"/>
      <c r="AM43" s="157">
        <v>0</v>
      </c>
      <c r="AN43" s="157"/>
      <c r="AO43" s="157">
        <v>0</v>
      </c>
      <c r="AP43" s="157"/>
      <c r="AQ43" s="157">
        <v>0</v>
      </c>
      <c r="AR43" s="157"/>
      <c r="AS43" s="157">
        <v>0</v>
      </c>
      <c r="AT43" s="157"/>
      <c r="AU43" s="157">
        <v>0</v>
      </c>
      <c r="AV43" s="157"/>
      <c r="AW43" s="157">
        <v>0</v>
      </c>
      <c r="AX43" s="157"/>
      <c r="AY43" s="157">
        <v>0</v>
      </c>
      <c r="AZ43" s="157"/>
      <c r="BA43" s="157">
        <v>0</v>
      </c>
      <c r="BB43" s="157"/>
      <c r="BC43" s="157">
        <v>0</v>
      </c>
      <c r="BD43" s="157"/>
      <c r="BE43" s="157">
        <v>0</v>
      </c>
      <c r="BF43" s="157"/>
      <c r="BG43" s="157">
        <v>0</v>
      </c>
      <c r="BH43" s="157"/>
      <c r="BI43" s="157">
        <v>0</v>
      </c>
      <c r="BJ43" s="157"/>
      <c r="BK43" s="157">
        <v>0</v>
      </c>
      <c r="BL43" s="157"/>
      <c r="BM43" s="157">
        <v>0</v>
      </c>
      <c r="BN43" s="157"/>
      <c r="BO43" s="157">
        <v>0</v>
      </c>
      <c r="BP43" s="157"/>
      <c r="BQ43" s="157">
        <v>0</v>
      </c>
      <c r="BR43" s="157"/>
      <c r="BS43" s="157">
        <v>0</v>
      </c>
    </row>
    <row r="44" spans="1:72" x14ac:dyDescent="0.2">
      <c r="A44" s="123" t="s">
        <v>450</v>
      </c>
      <c r="B44" s="124" t="s">
        <v>451</v>
      </c>
      <c r="C44" s="157">
        <v>0</v>
      </c>
      <c r="D44" s="157"/>
      <c r="E44" s="157">
        <v>0</v>
      </c>
      <c r="F44" s="157"/>
      <c r="G44" s="157">
        <v>0</v>
      </c>
      <c r="H44" s="157"/>
      <c r="I44" s="157">
        <v>0</v>
      </c>
      <c r="J44" s="157"/>
      <c r="K44" s="157">
        <v>0</v>
      </c>
      <c r="L44" s="157"/>
      <c r="M44" s="157">
        <v>0</v>
      </c>
      <c r="N44" s="157"/>
      <c r="O44" s="157">
        <v>0</v>
      </c>
      <c r="P44" s="157"/>
      <c r="Q44" s="157">
        <v>0</v>
      </c>
      <c r="R44" s="157"/>
      <c r="S44" s="157">
        <v>0</v>
      </c>
      <c r="T44" s="157"/>
      <c r="U44" s="157">
        <v>-336427.09</v>
      </c>
      <c r="V44" s="157"/>
      <c r="W44" s="157">
        <v>0</v>
      </c>
      <c r="X44" s="157"/>
      <c r="Y44" s="157">
        <v>0</v>
      </c>
      <c r="Z44" s="157"/>
      <c r="AA44" s="157">
        <v>0</v>
      </c>
      <c r="AB44" s="157"/>
      <c r="AC44" s="157">
        <v>0</v>
      </c>
      <c r="AD44" s="157"/>
      <c r="AE44" s="157">
        <v>0</v>
      </c>
      <c r="AF44" s="157"/>
      <c r="AG44" s="157">
        <v>0</v>
      </c>
      <c r="AH44" s="157"/>
      <c r="AI44" s="157">
        <v>0</v>
      </c>
      <c r="AJ44" s="157"/>
      <c r="AK44" s="157">
        <v>0</v>
      </c>
      <c r="AL44" s="157"/>
      <c r="AM44" s="157">
        <v>-626028</v>
      </c>
      <c r="AN44" s="157"/>
      <c r="AO44" s="157">
        <v>0</v>
      </c>
      <c r="AP44" s="157"/>
      <c r="AQ44" s="157">
        <v>0</v>
      </c>
      <c r="AR44" s="157"/>
      <c r="AS44" s="157">
        <v>0</v>
      </c>
      <c r="AT44" s="157"/>
      <c r="AU44" s="157">
        <v>0</v>
      </c>
      <c r="AV44" s="157"/>
      <c r="AW44" s="157">
        <v>0</v>
      </c>
      <c r="AX44" s="157"/>
      <c r="AY44" s="157">
        <v>0</v>
      </c>
      <c r="AZ44" s="157"/>
      <c r="BA44" s="157">
        <v>0</v>
      </c>
      <c r="BB44" s="157"/>
      <c r="BC44" s="157">
        <v>0</v>
      </c>
      <c r="BD44" s="157"/>
      <c r="BE44" s="157">
        <v>0</v>
      </c>
      <c r="BF44" s="157"/>
      <c r="BG44" s="157">
        <v>0</v>
      </c>
      <c r="BH44" s="157"/>
      <c r="BI44" s="157">
        <v>0</v>
      </c>
      <c r="BJ44" s="157"/>
      <c r="BK44" s="157">
        <v>0</v>
      </c>
      <c r="BL44" s="157"/>
      <c r="BM44" s="157">
        <v>0</v>
      </c>
      <c r="BN44" s="157"/>
      <c r="BO44" s="157">
        <v>0</v>
      </c>
      <c r="BP44" s="157"/>
      <c r="BQ44" s="157">
        <v>-288145.99</v>
      </c>
      <c r="BR44" s="157"/>
      <c r="BS44" s="157">
        <v>0</v>
      </c>
    </row>
    <row r="45" spans="1:72" x14ac:dyDescent="0.2">
      <c r="A45" s="123" t="s">
        <v>512</v>
      </c>
      <c r="B45" s="124" t="s">
        <v>513</v>
      </c>
      <c r="C45" s="157">
        <v>0</v>
      </c>
      <c r="D45" s="157"/>
      <c r="E45" s="157">
        <v>0</v>
      </c>
      <c r="F45" s="157"/>
      <c r="G45" s="157">
        <v>0</v>
      </c>
      <c r="H45" s="157"/>
      <c r="I45" s="157">
        <v>566391.4</v>
      </c>
      <c r="J45" s="157"/>
      <c r="K45" s="157">
        <v>0</v>
      </c>
      <c r="L45" s="157"/>
      <c r="M45" s="157">
        <v>0</v>
      </c>
      <c r="N45" s="157"/>
      <c r="O45" s="157">
        <v>0</v>
      </c>
      <c r="P45" s="157"/>
      <c r="Q45" s="157">
        <v>0</v>
      </c>
      <c r="R45" s="157"/>
      <c r="S45" s="157">
        <v>0</v>
      </c>
      <c r="T45" s="157"/>
      <c r="U45" s="157">
        <v>507866.02</v>
      </c>
      <c r="V45" s="157"/>
      <c r="W45" s="157">
        <v>0</v>
      </c>
      <c r="X45" s="157"/>
      <c r="Y45" s="157">
        <v>0</v>
      </c>
      <c r="Z45" s="157"/>
      <c r="AA45" s="157">
        <v>0</v>
      </c>
      <c r="AB45" s="157"/>
      <c r="AC45" s="157">
        <v>0</v>
      </c>
      <c r="AD45" s="157"/>
      <c r="AE45" s="157">
        <v>0</v>
      </c>
      <c r="AF45" s="157"/>
      <c r="AG45" s="157">
        <v>0</v>
      </c>
      <c r="AH45" s="157"/>
      <c r="AI45" s="157">
        <v>0</v>
      </c>
      <c r="AJ45" s="157"/>
      <c r="AK45" s="157">
        <v>0</v>
      </c>
      <c r="AL45" s="157"/>
      <c r="AM45" s="157">
        <v>626028</v>
      </c>
      <c r="AN45" s="157"/>
      <c r="AO45" s="157">
        <v>0</v>
      </c>
      <c r="AP45" s="157"/>
      <c r="AQ45" s="157">
        <v>0</v>
      </c>
      <c r="AR45" s="157"/>
      <c r="AS45" s="157">
        <v>0</v>
      </c>
      <c r="AT45" s="157"/>
      <c r="AU45" s="157">
        <v>0</v>
      </c>
      <c r="AV45" s="157"/>
      <c r="AW45" s="157">
        <v>0</v>
      </c>
      <c r="AX45" s="157"/>
      <c r="AY45" s="157">
        <v>0</v>
      </c>
      <c r="AZ45" s="157"/>
      <c r="BA45" s="157">
        <v>0</v>
      </c>
      <c r="BB45" s="157"/>
      <c r="BC45" s="157">
        <v>0</v>
      </c>
      <c r="BD45" s="157"/>
      <c r="BE45" s="157">
        <v>37385.699999999997</v>
      </c>
      <c r="BF45" s="157"/>
      <c r="BG45" s="157">
        <v>0</v>
      </c>
      <c r="BH45" s="157"/>
      <c r="BI45" s="157">
        <v>0</v>
      </c>
      <c r="BJ45" s="157"/>
      <c r="BK45" s="157">
        <v>0</v>
      </c>
      <c r="BL45" s="157"/>
      <c r="BM45" s="157">
        <v>0</v>
      </c>
      <c r="BN45" s="157"/>
      <c r="BO45" s="157">
        <v>0</v>
      </c>
      <c r="BP45" s="157"/>
      <c r="BQ45" s="157">
        <v>402452</v>
      </c>
      <c r="BR45" s="157"/>
      <c r="BS45" s="157">
        <v>134254</v>
      </c>
    </row>
    <row r="46" spans="1:72" x14ac:dyDescent="0.2">
      <c r="A46" s="123" t="s">
        <v>514</v>
      </c>
      <c r="B46" s="124" t="s">
        <v>515</v>
      </c>
      <c r="C46" s="157">
        <v>0</v>
      </c>
      <c r="D46" s="157"/>
      <c r="E46" s="157">
        <v>0</v>
      </c>
      <c r="F46" s="157"/>
      <c r="G46" s="157">
        <v>0</v>
      </c>
      <c r="H46" s="157"/>
      <c r="I46" s="157">
        <v>0</v>
      </c>
      <c r="J46" s="157"/>
      <c r="K46" s="157">
        <v>0</v>
      </c>
      <c r="L46" s="157"/>
      <c r="M46" s="157">
        <v>0</v>
      </c>
      <c r="N46" s="157"/>
      <c r="O46" s="157">
        <v>0</v>
      </c>
      <c r="P46" s="157"/>
      <c r="Q46" s="157">
        <v>0</v>
      </c>
      <c r="R46" s="157"/>
      <c r="S46" s="157">
        <v>0</v>
      </c>
      <c r="T46" s="157"/>
      <c r="U46" s="157">
        <v>-171438.93</v>
      </c>
      <c r="V46" s="157"/>
      <c r="W46" s="157">
        <v>0</v>
      </c>
      <c r="X46" s="157"/>
      <c r="Y46" s="157">
        <v>0</v>
      </c>
      <c r="Z46" s="157"/>
      <c r="AA46" s="157">
        <v>0</v>
      </c>
      <c r="AB46" s="157"/>
      <c r="AC46" s="157">
        <v>0</v>
      </c>
      <c r="AD46" s="157"/>
      <c r="AE46" s="157">
        <v>0</v>
      </c>
      <c r="AF46" s="157"/>
      <c r="AG46" s="157">
        <v>0</v>
      </c>
      <c r="AH46" s="157"/>
      <c r="AI46" s="157">
        <v>0</v>
      </c>
      <c r="AJ46" s="157"/>
      <c r="AK46" s="157">
        <v>0</v>
      </c>
      <c r="AL46" s="157"/>
      <c r="AM46" s="157">
        <v>0</v>
      </c>
      <c r="AN46" s="157"/>
      <c r="AO46" s="157">
        <v>0</v>
      </c>
      <c r="AP46" s="157"/>
      <c r="AQ46" s="157">
        <v>0</v>
      </c>
      <c r="AR46" s="157"/>
      <c r="AS46" s="157">
        <v>0</v>
      </c>
      <c r="AT46" s="157"/>
      <c r="AU46" s="157">
        <v>0</v>
      </c>
      <c r="AV46" s="157"/>
      <c r="AW46" s="157">
        <v>0</v>
      </c>
      <c r="AX46" s="157"/>
      <c r="AY46" s="157">
        <v>0</v>
      </c>
      <c r="AZ46" s="157"/>
      <c r="BA46" s="157">
        <v>0</v>
      </c>
      <c r="BB46" s="157"/>
      <c r="BC46" s="157">
        <v>0</v>
      </c>
      <c r="BD46" s="157"/>
      <c r="BE46" s="157">
        <v>-37385.699999999997</v>
      </c>
      <c r="BF46" s="157"/>
      <c r="BG46" s="157">
        <v>0</v>
      </c>
      <c r="BH46" s="157"/>
      <c r="BI46" s="157">
        <v>0</v>
      </c>
      <c r="BJ46" s="157"/>
      <c r="BK46" s="157">
        <v>0</v>
      </c>
      <c r="BL46" s="157"/>
      <c r="BM46" s="157">
        <v>0</v>
      </c>
      <c r="BN46" s="157"/>
      <c r="BO46" s="157">
        <v>0</v>
      </c>
      <c r="BP46" s="157"/>
      <c r="BQ46" s="157">
        <v>-114306.01</v>
      </c>
      <c r="BR46" s="157"/>
      <c r="BS46" s="157">
        <v>-134254</v>
      </c>
    </row>
    <row r="47" spans="1:72" x14ac:dyDescent="0.2">
      <c r="A47" s="123" t="s">
        <v>452</v>
      </c>
      <c r="B47" s="124" t="s">
        <v>453</v>
      </c>
      <c r="C47" s="157">
        <v>0</v>
      </c>
      <c r="D47" s="157"/>
      <c r="E47" s="157">
        <v>0</v>
      </c>
      <c r="F47" s="157"/>
      <c r="G47" s="157">
        <v>0</v>
      </c>
      <c r="H47" s="157"/>
      <c r="I47" s="157">
        <v>0</v>
      </c>
      <c r="J47" s="157"/>
      <c r="K47" s="157">
        <v>6389</v>
      </c>
      <c r="L47" s="157"/>
      <c r="M47" s="157">
        <v>0</v>
      </c>
      <c r="N47" s="157"/>
      <c r="O47" s="157">
        <v>0</v>
      </c>
      <c r="P47" s="157"/>
      <c r="Q47" s="157">
        <v>0</v>
      </c>
      <c r="R47" s="157"/>
      <c r="S47" s="157">
        <v>0</v>
      </c>
      <c r="T47" s="157"/>
      <c r="U47" s="157">
        <v>0</v>
      </c>
      <c r="V47" s="157"/>
      <c r="W47" s="157">
        <v>0</v>
      </c>
      <c r="X47" s="157"/>
      <c r="Y47" s="157">
        <v>0</v>
      </c>
      <c r="Z47" s="157"/>
      <c r="AA47" s="157">
        <v>0</v>
      </c>
      <c r="AB47" s="157"/>
      <c r="AC47" s="157">
        <v>0</v>
      </c>
      <c r="AD47" s="157"/>
      <c r="AE47" s="157">
        <v>0</v>
      </c>
      <c r="AF47" s="157"/>
      <c r="AG47" s="157">
        <v>0</v>
      </c>
      <c r="AH47" s="157"/>
      <c r="AI47" s="157">
        <v>0</v>
      </c>
      <c r="AJ47" s="157"/>
      <c r="AK47" s="157">
        <v>0</v>
      </c>
      <c r="AL47" s="157"/>
      <c r="AM47" s="157">
        <v>0</v>
      </c>
      <c r="AN47" s="157"/>
      <c r="AO47" s="157">
        <v>0</v>
      </c>
      <c r="AP47" s="157"/>
      <c r="AQ47" s="157">
        <v>0</v>
      </c>
      <c r="AR47" s="157"/>
      <c r="AS47" s="157">
        <v>0</v>
      </c>
      <c r="AT47" s="157"/>
      <c r="AU47" s="157">
        <v>0</v>
      </c>
      <c r="AV47" s="157"/>
      <c r="AW47" s="157">
        <v>0</v>
      </c>
      <c r="AX47" s="157"/>
      <c r="AY47" s="157">
        <v>0</v>
      </c>
      <c r="AZ47" s="157"/>
      <c r="BA47" s="157">
        <v>0</v>
      </c>
      <c r="BB47" s="157"/>
      <c r="BC47" s="157">
        <v>0</v>
      </c>
      <c r="BD47" s="157"/>
      <c r="BE47" s="157">
        <v>0</v>
      </c>
      <c r="BF47" s="157"/>
      <c r="BG47" s="157">
        <v>0</v>
      </c>
      <c r="BH47" s="157"/>
      <c r="BI47" s="157">
        <v>0</v>
      </c>
      <c r="BJ47" s="157"/>
      <c r="BK47" s="157">
        <v>0</v>
      </c>
      <c r="BL47" s="157"/>
      <c r="BM47" s="157">
        <v>0</v>
      </c>
      <c r="BN47" s="157"/>
      <c r="BO47" s="157">
        <v>0</v>
      </c>
      <c r="BP47" s="157"/>
      <c r="BQ47" s="157">
        <v>0</v>
      </c>
      <c r="BR47" s="157"/>
      <c r="BS47" s="157">
        <v>0</v>
      </c>
    </row>
    <row r="48" spans="1:72" x14ac:dyDescent="0.2">
      <c r="A48" s="123" t="s">
        <v>152</v>
      </c>
      <c r="B48" s="124" t="s">
        <v>153</v>
      </c>
      <c r="C48" s="157">
        <v>749491.36</v>
      </c>
      <c r="D48" s="157">
        <f>C48</f>
        <v>749491.36</v>
      </c>
      <c r="E48" s="157">
        <v>1324724.1399999999</v>
      </c>
      <c r="F48" s="157">
        <f>E48</f>
        <v>1324724.1399999999</v>
      </c>
      <c r="G48" s="157">
        <v>667744</v>
      </c>
      <c r="H48" s="157">
        <f>G48</f>
        <v>667744</v>
      </c>
      <c r="I48" s="157">
        <v>578132</v>
      </c>
      <c r="J48" s="157">
        <f>I48</f>
        <v>578132</v>
      </c>
      <c r="K48" s="157">
        <v>1879000</v>
      </c>
      <c r="L48" s="157">
        <f>K48</f>
        <v>1879000</v>
      </c>
      <c r="M48" s="157">
        <v>6063</v>
      </c>
      <c r="N48" s="157">
        <f>M48</f>
        <v>6063</v>
      </c>
      <c r="O48" s="157">
        <v>208760</v>
      </c>
      <c r="P48" s="157">
        <f>O48</f>
        <v>208760</v>
      </c>
      <c r="Q48" s="157">
        <v>392991</v>
      </c>
      <c r="R48" s="157">
        <f>Q48</f>
        <v>392991</v>
      </c>
      <c r="S48" s="157">
        <v>714855</v>
      </c>
      <c r="T48" s="157">
        <f>S48</f>
        <v>714855</v>
      </c>
      <c r="U48" s="157">
        <v>1228734.01</v>
      </c>
      <c r="V48" s="157">
        <f>U48</f>
        <v>1228734.01</v>
      </c>
      <c r="W48" s="157">
        <v>769214</v>
      </c>
      <c r="X48" s="157">
        <f>W48</f>
        <v>769214</v>
      </c>
      <c r="Y48" s="157">
        <v>0</v>
      </c>
      <c r="Z48" s="157">
        <f>Y48</f>
        <v>0</v>
      </c>
      <c r="AA48" s="157">
        <v>400612</v>
      </c>
      <c r="AB48" s="157">
        <f>AA48</f>
        <v>400612</v>
      </c>
      <c r="AC48" s="157">
        <v>214886</v>
      </c>
      <c r="AD48" s="157">
        <f>AC48</f>
        <v>214886</v>
      </c>
      <c r="AE48" s="157">
        <v>2044951</v>
      </c>
      <c r="AF48" s="157">
        <f>AE48</f>
        <v>2044951</v>
      </c>
      <c r="AG48" s="157">
        <v>210935.75</v>
      </c>
      <c r="AH48" s="157">
        <f>AG48</f>
        <v>210935.75</v>
      </c>
      <c r="AI48" s="157">
        <v>413494</v>
      </c>
      <c r="AJ48" s="157">
        <f>AI48</f>
        <v>413494</v>
      </c>
      <c r="AK48" s="157">
        <v>965229</v>
      </c>
      <c r="AL48" s="157">
        <f>AK48</f>
        <v>965229</v>
      </c>
      <c r="AM48" s="157">
        <v>0</v>
      </c>
      <c r="AN48" s="157">
        <f>AM48</f>
        <v>0</v>
      </c>
      <c r="AO48" s="157">
        <v>0</v>
      </c>
      <c r="AP48" s="157">
        <f>AO48</f>
        <v>0</v>
      </c>
      <c r="AQ48" s="157">
        <v>1947185</v>
      </c>
      <c r="AR48" s="157">
        <f>AQ48</f>
        <v>1947185</v>
      </c>
      <c r="AS48" s="157">
        <v>652531</v>
      </c>
      <c r="AT48" s="157">
        <f>AS48</f>
        <v>652531</v>
      </c>
      <c r="AU48" s="157">
        <v>0</v>
      </c>
      <c r="AV48" s="157">
        <f>SUM(AU48)</f>
        <v>0</v>
      </c>
      <c r="AW48" s="157">
        <v>1220137</v>
      </c>
      <c r="AX48" s="157">
        <f>AW48</f>
        <v>1220137</v>
      </c>
      <c r="AY48" s="157">
        <v>654265</v>
      </c>
      <c r="AZ48" s="157">
        <f>AY48</f>
        <v>654265</v>
      </c>
      <c r="BA48" s="157">
        <v>954767</v>
      </c>
      <c r="BB48" s="157">
        <f>BA48</f>
        <v>954767</v>
      </c>
      <c r="BC48" s="157">
        <v>827264</v>
      </c>
      <c r="BD48" s="157">
        <f>BC48</f>
        <v>827264</v>
      </c>
      <c r="BE48" s="157">
        <v>2137417</v>
      </c>
      <c r="BF48" s="157">
        <f>BE48</f>
        <v>2137417</v>
      </c>
      <c r="BG48" s="157">
        <v>764647</v>
      </c>
      <c r="BH48" s="157">
        <f>BG48</f>
        <v>764647</v>
      </c>
      <c r="BI48" s="157">
        <v>784640</v>
      </c>
      <c r="BJ48" s="157">
        <f>BI48</f>
        <v>784640</v>
      </c>
      <c r="BK48" s="157">
        <v>921411</v>
      </c>
      <c r="BL48" s="157">
        <f>BK48</f>
        <v>921411</v>
      </c>
      <c r="BM48" s="157">
        <v>1212590.76</v>
      </c>
      <c r="BN48" s="157">
        <f>BM48</f>
        <v>1212590.76</v>
      </c>
      <c r="BO48" s="157">
        <v>685537</v>
      </c>
      <c r="BP48" s="157">
        <f>BO48</f>
        <v>685537</v>
      </c>
      <c r="BQ48" s="157">
        <v>901718.85</v>
      </c>
      <c r="BR48" s="157">
        <f>BQ48</f>
        <v>901718.85</v>
      </c>
      <c r="BS48" s="157">
        <v>776885.92</v>
      </c>
      <c r="BT48" s="168">
        <f>BS48</f>
        <v>776885.92</v>
      </c>
    </row>
    <row r="49" spans="1:72" x14ac:dyDescent="0.2">
      <c r="A49" s="123" t="s">
        <v>154</v>
      </c>
      <c r="B49" s="124" t="s">
        <v>155</v>
      </c>
      <c r="C49" s="157">
        <v>0</v>
      </c>
      <c r="D49" s="157">
        <f>SUM(C49:C84)</f>
        <v>6710114.25</v>
      </c>
      <c r="E49" s="157">
        <v>0</v>
      </c>
      <c r="F49" s="157">
        <f>SUM(E49:E84)</f>
        <v>9314309.3599999994</v>
      </c>
      <c r="G49" s="157">
        <v>0</v>
      </c>
      <c r="H49" s="157">
        <f>SUM(G49:G84)</f>
        <v>6586025.6799999997</v>
      </c>
      <c r="I49" s="157">
        <v>0</v>
      </c>
      <c r="J49" s="157">
        <f>SUM(I49:I84)</f>
        <v>9123282.5399999991</v>
      </c>
      <c r="K49" s="157">
        <v>0</v>
      </c>
      <c r="L49" s="157">
        <f>SUM(K49:K84)</f>
        <v>13720367.939999999</v>
      </c>
      <c r="M49" s="157">
        <v>3300</v>
      </c>
      <c r="N49" s="157">
        <f>SUM(M49:M84)</f>
        <v>7468256.8600000013</v>
      </c>
      <c r="O49" s="157">
        <v>0</v>
      </c>
      <c r="P49" s="157">
        <f>SUM(O49:O84)</f>
        <v>4723006.93</v>
      </c>
      <c r="Q49" s="157">
        <v>0</v>
      </c>
      <c r="R49" s="157">
        <f>SUM(Q49:Q84)</f>
        <v>9165615.9399999995</v>
      </c>
      <c r="S49" s="157">
        <v>0</v>
      </c>
      <c r="T49" s="157">
        <f>SUM(S49:S84)</f>
        <v>9705285</v>
      </c>
      <c r="U49" s="157">
        <v>0</v>
      </c>
      <c r="V49" s="157">
        <f>SUM(U49:U84)</f>
        <v>6059844.0099999998</v>
      </c>
      <c r="W49" s="157">
        <v>10000</v>
      </c>
      <c r="X49" s="157">
        <f>SUM(W49:W84)</f>
        <v>5148496.34</v>
      </c>
      <c r="Y49" s="157">
        <v>2855</v>
      </c>
      <c r="Z49" s="157">
        <f>SUM(Y49:Y84)</f>
        <v>7786537.0899999999</v>
      </c>
      <c r="AA49" s="157">
        <v>0</v>
      </c>
      <c r="AB49" s="157">
        <f>SUM(AA49:AA84)</f>
        <v>6694612.3300000001</v>
      </c>
      <c r="AC49" s="157">
        <v>8500</v>
      </c>
      <c r="AD49" s="157">
        <f>SUM(AC49:AC84)</f>
        <v>4335982</v>
      </c>
      <c r="AE49" s="157">
        <v>0</v>
      </c>
      <c r="AF49" s="157"/>
      <c r="AG49" s="157">
        <v>5000</v>
      </c>
      <c r="AH49" s="157">
        <f>SUM(AG49:AG84)</f>
        <v>6454814.5899999999</v>
      </c>
      <c r="AI49" s="157">
        <v>4500</v>
      </c>
      <c r="AJ49" s="157">
        <f>SUM(AI49:AI84)</f>
        <v>4189975</v>
      </c>
      <c r="AK49" s="157">
        <v>0</v>
      </c>
      <c r="AL49" s="157">
        <f>SUM(AK49:AK84)</f>
        <v>8865617.9700000007</v>
      </c>
      <c r="AM49" s="157">
        <v>0</v>
      </c>
      <c r="AN49" s="157">
        <f>SUM(AM49:AM84)</f>
        <v>10067697.810000001</v>
      </c>
      <c r="AO49" s="157">
        <v>0</v>
      </c>
      <c r="AP49" s="157">
        <f>SUM(AO49:AO84)</f>
        <v>6329048.4900000012</v>
      </c>
      <c r="AQ49" s="157">
        <v>87565</v>
      </c>
      <c r="AR49" s="157">
        <f>SUM(AQ49:AQ84)</f>
        <v>11789767</v>
      </c>
      <c r="AS49" s="157">
        <v>1710</v>
      </c>
      <c r="AT49" s="157">
        <f>AS49+AS52+AS56+AS64+AS66+AS72+AS76+AS79+AS84</f>
        <v>7358498.8200000003</v>
      </c>
      <c r="AU49" s="157">
        <v>0</v>
      </c>
      <c r="AV49" s="157">
        <f>SUM(AU49:AU84)</f>
        <v>7380855.3099999996</v>
      </c>
      <c r="AW49" s="157">
        <v>0</v>
      </c>
      <c r="AX49" s="157">
        <f>SUM(AW49:AW84)</f>
        <v>8421993.9199999999</v>
      </c>
      <c r="AY49" s="157">
        <v>0</v>
      </c>
      <c r="AZ49" s="157">
        <f>SUM(AY49:AY84)</f>
        <v>7748341.3300000001</v>
      </c>
      <c r="BA49" s="157">
        <v>0</v>
      </c>
      <c r="BB49" s="157">
        <f>SUM(BA49:BA84)</f>
        <v>8356155</v>
      </c>
      <c r="BC49" s="157">
        <v>0</v>
      </c>
      <c r="BD49" s="157">
        <f>SUM(BC49:BC84)</f>
        <v>10281478.73</v>
      </c>
      <c r="BE49" s="157">
        <v>0</v>
      </c>
      <c r="BF49" s="157">
        <f>SUM(BE49:BE84)</f>
        <v>13265089.26</v>
      </c>
      <c r="BG49" s="157">
        <v>0</v>
      </c>
      <c r="BH49" s="157">
        <f>SUM(BG49:BG84)</f>
        <v>7809237.9400000004</v>
      </c>
      <c r="BI49" s="157">
        <v>0</v>
      </c>
      <c r="BJ49" s="157">
        <f>SUM(BI49:BI84)</f>
        <v>10153070.4</v>
      </c>
      <c r="BK49" s="157">
        <v>4925</v>
      </c>
      <c r="BL49" s="157">
        <f>SUM(BK49:BK84)</f>
        <v>5548668.6299999999</v>
      </c>
      <c r="BM49" s="157">
        <v>0</v>
      </c>
      <c r="BN49" s="157">
        <f>SUM(BM49:BM84)</f>
        <v>7792375.1299999999</v>
      </c>
      <c r="BO49" s="157">
        <v>0</v>
      </c>
      <c r="BP49" s="157">
        <f>SUM(BO49:BO84)</f>
        <v>7737100.2300000004</v>
      </c>
      <c r="BQ49" s="157">
        <v>0</v>
      </c>
      <c r="BR49" s="157">
        <f>SUM(BQ49:BQ84)</f>
        <v>8059726.5499999998</v>
      </c>
      <c r="BS49" s="157">
        <v>0</v>
      </c>
      <c r="BT49" s="168">
        <f>SUM(BS49:BS84)</f>
        <v>7320156.0099999998</v>
      </c>
    </row>
    <row r="50" spans="1:72" x14ac:dyDescent="0.2">
      <c r="A50" s="123" t="s">
        <v>605</v>
      </c>
      <c r="B50" s="124" t="s">
        <v>604</v>
      </c>
      <c r="C50" s="157">
        <v>0</v>
      </c>
      <c r="D50" s="157"/>
      <c r="E50" s="157">
        <v>61500</v>
      </c>
      <c r="F50" s="157"/>
      <c r="G50" s="157">
        <v>8330</v>
      </c>
      <c r="H50" s="157"/>
      <c r="I50" s="157">
        <v>6100</v>
      </c>
      <c r="J50" s="157"/>
      <c r="K50" s="157">
        <v>0</v>
      </c>
      <c r="L50" s="157"/>
      <c r="M50" s="157">
        <v>34000</v>
      </c>
      <c r="N50" s="157"/>
      <c r="O50" s="157">
        <v>0</v>
      </c>
      <c r="P50" s="157"/>
      <c r="Q50" s="157">
        <v>0</v>
      </c>
      <c r="R50" s="157"/>
      <c r="S50" s="157">
        <v>4537</v>
      </c>
      <c r="T50" s="157"/>
      <c r="U50" s="157">
        <v>0</v>
      </c>
      <c r="V50" s="157"/>
      <c r="W50" s="157">
        <v>6950</v>
      </c>
      <c r="X50" s="157"/>
      <c r="Y50" s="157">
        <v>0</v>
      </c>
      <c r="Z50" s="157"/>
      <c r="AA50" s="157">
        <v>0</v>
      </c>
      <c r="AB50" s="157"/>
      <c r="AC50" s="157">
        <v>7193</v>
      </c>
      <c r="AD50" s="157"/>
      <c r="AE50" s="157">
        <v>0</v>
      </c>
      <c r="AF50" s="157"/>
      <c r="AG50" s="157">
        <v>5400</v>
      </c>
      <c r="AH50" s="157"/>
      <c r="AI50" s="157">
        <v>0</v>
      </c>
      <c r="AJ50" s="157"/>
      <c r="AK50" s="157">
        <v>19643</v>
      </c>
      <c r="AL50" s="157"/>
      <c r="AM50" s="157">
        <v>0</v>
      </c>
      <c r="AN50" s="157"/>
      <c r="AO50" s="157">
        <v>1850</v>
      </c>
      <c r="AP50" s="157"/>
      <c r="AQ50" s="157">
        <v>0</v>
      </c>
      <c r="AR50" s="157"/>
      <c r="AS50" s="157">
        <v>0</v>
      </c>
      <c r="AT50" s="157"/>
      <c r="AU50" s="157">
        <v>0</v>
      </c>
      <c r="AV50" s="157"/>
      <c r="AW50" s="157">
        <v>0</v>
      </c>
      <c r="AX50" s="157"/>
      <c r="AY50" s="157">
        <v>0</v>
      </c>
      <c r="AZ50" s="157"/>
      <c r="BA50" s="157">
        <v>0</v>
      </c>
      <c r="BB50" s="157"/>
      <c r="BC50" s="157">
        <v>0</v>
      </c>
      <c r="BD50" s="157"/>
      <c r="BE50" s="157">
        <v>10533</v>
      </c>
      <c r="BF50" s="157"/>
      <c r="BG50" s="157">
        <v>0</v>
      </c>
      <c r="BH50" s="157"/>
      <c r="BI50" s="157">
        <v>0</v>
      </c>
      <c r="BJ50" s="157"/>
      <c r="BK50" s="157">
        <v>36042</v>
      </c>
      <c r="BL50" s="157"/>
      <c r="BM50" s="157">
        <v>49400</v>
      </c>
      <c r="BN50" s="157"/>
      <c r="BO50" s="157">
        <v>43000</v>
      </c>
      <c r="BP50" s="157"/>
      <c r="BQ50" s="157">
        <v>0</v>
      </c>
      <c r="BR50" s="157"/>
      <c r="BS50" s="157">
        <v>0</v>
      </c>
    </row>
    <row r="51" spans="1:72" x14ac:dyDescent="0.2">
      <c r="A51" s="123" t="s">
        <v>454</v>
      </c>
      <c r="B51" s="124" t="s">
        <v>455</v>
      </c>
      <c r="C51" s="157">
        <v>2761</v>
      </c>
      <c r="D51" s="157"/>
      <c r="E51" s="157">
        <v>0</v>
      </c>
      <c r="F51" s="157"/>
      <c r="G51" s="157">
        <v>6444</v>
      </c>
      <c r="H51" s="157"/>
      <c r="I51" s="157">
        <v>0</v>
      </c>
      <c r="J51" s="157"/>
      <c r="K51" s="157">
        <v>2500</v>
      </c>
      <c r="L51" s="157"/>
      <c r="M51" s="157">
        <v>0</v>
      </c>
      <c r="N51" s="157"/>
      <c r="O51" s="157">
        <v>0</v>
      </c>
      <c r="P51" s="157"/>
      <c r="Q51" s="157">
        <v>0</v>
      </c>
      <c r="R51" s="157"/>
      <c r="S51" s="157">
        <v>0</v>
      </c>
      <c r="T51" s="157"/>
      <c r="U51" s="157">
        <v>0</v>
      </c>
      <c r="V51" s="157"/>
      <c r="W51" s="157">
        <v>5250</v>
      </c>
      <c r="X51" s="157"/>
      <c r="Y51" s="157">
        <v>0</v>
      </c>
      <c r="Z51" s="157"/>
      <c r="AA51" s="157">
        <v>0</v>
      </c>
      <c r="AB51" s="157"/>
      <c r="AC51" s="157">
        <v>0</v>
      </c>
      <c r="AD51" s="157"/>
      <c r="AE51" s="157">
        <v>0</v>
      </c>
      <c r="AF51" s="157"/>
      <c r="AG51" s="157">
        <v>7706.7</v>
      </c>
      <c r="AH51" s="157"/>
      <c r="AI51" s="157">
        <v>1147</v>
      </c>
      <c r="AJ51" s="157"/>
      <c r="AK51" s="157">
        <v>0</v>
      </c>
      <c r="AL51" s="157"/>
      <c r="AM51" s="157">
        <v>0</v>
      </c>
      <c r="AN51" s="157"/>
      <c r="AO51" s="157">
        <v>0</v>
      </c>
      <c r="AP51" s="157"/>
      <c r="AQ51" s="157">
        <v>0</v>
      </c>
      <c r="AR51" s="157"/>
      <c r="AS51" s="157">
        <v>0</v>
      </c>
      <c r="AT51" s="157"/>
      <c r="AU51" s="157">
        <v>0</v>
      </c>
      <c r="AV51" s="157"/>
      <c r="AW51" s="157">
        <v>0</v>
      </c>
      <c r="AX51" s="157"/>
      <c r="AY51" s="157">
        <v>0</v>
      </c>
      <c r="AZ51" s="157"/>
      <c r="BA51" s="157">
        <v>0</v>
      </c>
      <c r="BB51" s="157"/>
      <c r="BC51" s="157">
        <v>0</v>
      </c>
      <c r="BD51" s="157"/>
      <c r="BE51" s="157">
        <v>6466.36</v>
      </c>
      <c r="BF51" s="157"/>
      <c r="BG51" s="157">
        <v>0</v>
      </c>
      <c r="BH51" s="157"/>
      <c r="BI51" s="157">
        <v>0</v>
      </c>
      <c r="BJ51" s="157"/>
      <c r="BK51" s="157">
        <v>0</v>
      </c>
      <c r="BL51" s="157"/>
      <c r="BM51" s="157">
        <v>0</v>
      </c>
      <c r="BN51" s="157"/>
      <c r="BO51" s="157">
        <v>0</v>
      </c>
      <c r="BP51" s="157"/>
      <c r="BQ51" s="157">
        <v>0</v>
      </c>
      <c r="BR51" s="157"/>
      <c r="BS51" s="157">
        <v>0</v>
      </c>
    </row>
    <row r="52" spans="1:72" x14ac:dyDescent="0.2">
      <c r="A52" s="123" t="s">
        <v>156</v>
      </c>
      <c r="B52" s="124" t="s">
        <v>157</v>
      </c>
      <c r="C52" s="157">
        <v>0</v>
      </c>
      <c r="D52" s="157"/>
      <c r="E52" s="157">
        <v>8847</v>
      </c>
      <c r="F52" s="157"/>
      <c r="G52" s="157">
        <v>4450</v>
      </c>
      <c r="H52" s="157"/>
      <c r="I52" s="157">
        <v>0</v>
      </c>
      <c r="J52" s="157"/>
      <c r="K52" s="157">
        <v>39869</v>
      </c>
      <c r="L52" s="157"/>
      <c r="M52" s="157">
        <v>374697.5</v>
      </c>
      <c r="N52" s="157"/>
      <c r="O52" s="157">
        <v>0</v>
      </c>
      <c r="P52" s="157"/>
      <c r="Q52" s="157">
        <v>8000</v>
      </c>
      <c r="R52" s="157"/>
      <c r="S52" s="157">
        <v>583997</v>
      </c>
      <c r="T52" s="157"/>
      <c r="U52" s="157">
        <v>18735.57</v>
      </c>
      <c r="V52" s="157"/>
      <c r="W52" s="157">
        <v>454039</v>
      </c>
      <c r="X52" s="157"/>
      <c r="Y52" s="157">
        <v>14500</v>
      </c>
      <c r="Z52" s="157"/>
      <c r="AA52" s="157">
        <v>9817</v>
      </c>
      <c r="AB52" s="157"/>
      <c r="AC52" s="157">
        <v>23393</v>
      </c>
      <c r="AD52" s="157"/>
      <c r="AE52" s="157">
        <v>2900</v>
      </c>
      <c r="AF52" s="157">
        <f>SUM(AE52:AE84)</f>
        <v>11465916</v>
      </c>
      <c r="AG52" s="157">
        <v>0</v>
      </c>
      <c r="AH52" s="157"/>
      <c r="AI52" s="157">
        <v>261471</v>
      </c>
      <c r="AJ52" s="157"/>
      <c r="AK52" s="157">
        <v>0</v>
      </c>
      <c r="AL52" s="157"/>
      <c r="AM52" s="157">
        <v>0</v>
      </c>
      <c r="AN52" s="157"/>
      <c r="AO52" s="157">
        <v>2450</v>
      </c>
      <c r="AP52" s="157"/>
      <c r="AQ52" s="157">
        <v>56500</v>
      </c>
      <c r="AR52" s="157"/>
      <c r="AS52" s="157">
        <v>422777</v>
      </c>
      <c r="AT52" s="157"/>
      <c r="AU52" s="157">
        <v>22396</v>
      </c>
      <c r="AV52" s="157"/>
      <c r="AW52" s="157">
        <v>0</v>
      </c>
      <c r="AX52" s="157"/>
      <c r="AY52" s="157">
        <v>0</v>
      </c>
      <c r="AZ52" s="157"/>
      <c r="BA52" s="157">
        <v>671432</v>
      </c>
      <c r="BB52" s="157"/>
      <c r="BC52" s="157">
        <v>0</v>
      </c>
      <c r="BD52" s="157"/>
      <c r="BE52" s="157">
        <v>0</v>
      </c>
      <c r="BF52" s="157"/>
      <c r="BG52" s="157">
        <v>0</v>
      </c>
      <c r="BH52" s="157"/>
      <c r="BI52" s="157">
        <v>0</v>
      </c>
      <c r="BJ52" s="157"/>
      <c r="BK52" s="157">
        <v>0</v>
      </c>
      <c r="BL52" s="157"/>
      <c r="BM52" s="157">
        <v>200000</v>
      </c>
      <c r="BN52" s="157"/>
      <c r="BO52" s="157">
        <v>0</v>
      </c>
      <c r="BP52" s="157"/>
      <c r="BQ52" s="157">
        <v>0</v>
      </c>
      <c r="BR52" s="157"/>
      <c r="BS52" s="157">
        <v>0</v>
      </c>
    </row>
    <row r="53" spans="1:72" x14ac:dyDescent="0.2">
      <c r="A53" s="123" t="s">
        <v>1039</v>
      </c>
      <c r="B53" s="124" t="s">
        <v>1038</v>
      </c>
      <c r="C53" s="157">
        <v>0</v>
      </c>
      <c r="D53" s="157"/>
      <c r="E53" s="157">
        <v>0</v>
      </c>
      <c r="F53" s="157"/>
      <c r="G53" s="157">
        <v>0</v>
      </c>
      <c r="H53" s="157"/>
      <c r="I53" s="157">
        <v>0</v>
      </c>
      <c r="J53" s="157"/>
      <c r="K53" s="157">
        <v>0</v>
      </c>
      <c r="L53" s="157"/>
      <c r="M53" s="157">
        <v>0</v>
      </c>
      <c r="N53" s="157"/>
      <c r="O53" s="157">
        <v>0</v>
      </c>
      <c r="P53" s="157"/>
      <c r="Q53" s="157">
        <v>0</v>
      </c>
      <c r="R53" s="157"/>
      <c r="S53" s="157">
        <v>0</v>
      </c>
      <c r="T53" s="157"/>
      <c r="U53" s="157">
        <v>0</v>
      </c>
      <c r="V53" s="157"/>
      <c r="W53" s="157">
        <v>16700</v>
      </c>
      <c r="X53" s="157"/>
      <c r="Y53" s="157">
        <v>0</v>
      </c>
      <c r="Z53" s="157"/>
      <c r="AA53" s="157">
        <v>0</v>
      </c>
      <c r="AB53" s="157"/>
      <c r="AC53" s="157">
        <v>0</v>
      </c>
      <c r="AD53" s="157"/>
      <c r="AE53" s="157">
        <v>0</v>
      </c>
      <c r="AF53" s="157"/>
      <c r="AG53" s="157">
        <v>0</v>
      </c>
      <c r="AH53" s="157"/>
      <c r="AI53" s="157">
        <v>0</v>
      </c>
      <c r="AJ53" s="157"/>
      <c r="AK53" s="157">
        <v>0</v>
      </c>
      <c r="AL53" s="157"/>
      <c r="AM53" s="157">
        <v>0</v>
      </c>
      <c r="AN53" s="157"/>
      <c r="AO53" s="157">
        <v>0</v>
      </c>
      <c r="AP53" s="157"/>
      <c r="AQ53" s="157">
        <v>0</v>
      </c>
      <c r="AR53" s="157"/>
      <c r="AS53" s="157">
        <v>0</v>
      </c>
      <c r="AT53" s="157"/>
      <c r="AU53" s="157">
        <v>0</v>
      </c>
      <c r="AV53" s="157"/>
      <c r="AW53" s="157">
        <v>0</v>
      </c>
      <c r="AX53" s="157"/>
      <c r="AY53" s="157">
        <v>0</v>
      </c>
      <c r="AZ53" s="157"/>
      <c r="BA53" s="157">
        <v>0</v>
      </c>
      <c r="BB53" s="157"/>
      <c r="BC53" s="157">
        <v>0</v>
      </c>
      <c r="BD53" s="157"/>
      <c r="BE53" s="157">
        <v>0</v>
      </c>
      <c r="BF53" s="157"/>
      <c r="BG53" s="157">
        <v>0</v>
      </c>
      <c r="BH53" s="157"/>
      <c r="BI53" s="157">
        <v>0</v>
      </c>
      <c r="BJ53" s="157"/>
      <c r="BK53" s="157">
        <v>5275</v>
      </c>
      <c r="BL53" s="157"/>
      <c r="BM53" s="157">
        <v>0</v>
      </c>
      <c r="BN53" s="157"/>
      <c r="BO53" s="157">
        <v>8500</v>
      </c>
      <c r="BP53" s="157"/>
      <c r="BQ53" s="157">
        <v>0</v>
      </c>
      <c r="BR53" s="157"/>
      <c r="BS53" s="157">
        <v>0</v>
      </c>
    </row>
    <row r="54" spans="1:72" x14ac:dyDescent="0.2">
      <c r="A54" s="123" t="s">
        <v>588</v>
      </c>
      <c r="B54" s="124" t="s">
        <v>587</v>
      </c>
      <c r="C54" s="157">
        <v>0</v>
      </c>
      <c r="D54" s="157"/>
      <c r="E54" s="157">
        <v>692046</v>
      </c>
      <c r="F54" s="157"/>
      <c r="G54" s="157">
        <v>1320</v>
      </c>
      <c r="H54" s="157"/>
      <c r="I54" s="157">
        <v>0</v>
      </c>
      <c r="J54" s="157"/>
      <c r="K54" s="157">
        <v>0</v>
      </c>
      <c r="L54" s="157"/>
      <c r="M54" s="157">
        <v>0</v>
      </c>
      <c r="N54" s="157"/>
      <c r="O54" s="157">
        <v>0</v>
      </c>
      <c r="P54" s="157"/>
      <c r="Q54" s="157">
        <v>0</v>
      </c>
      <c r="R54" s="157"/>
      <c r="S54" s="157">
        <v>0</v>
      </c>
      <c r="T54" s="157"/>
      <c r="U54" s="157">
        <v>0</v>
      </c>
      <c r="V54" s="157"/>
      <c r="W54" s="157">
        <v>0</v>
      </c>
      <c r="X54" s="157"/>
      <c r="Y54" s="157">
        <v>379209</v>
      </c>
      <c r="Z54" s="157"/>
      <c r="AA54" s="157">
        <v>2096</v>
      </c>
      <c r="AB54" s="157"/>
      <c r="AC54" s="157">
        <v>0</v>
      </c>
      <c r="AD54" s="157"/>
      <c r="AE54" s="157">
        <v>0</v>
      </c>
      <c r="AF54" s="157"/>
      <c r="AG54" s="157">
        <v>0</v>
      </c>
      <c r="AH54" s="157"/>
      <c r="AI54" s="157">
        <v>0</v>
      </c>
      <c r="AJ54" s="157"/>
      <c r="AK54" s="157">
        <v>1053484</v>
      </c>
      <c r="AL54" s="157"/>
      <c r="AM54" s="157">
        <v>0</v>
      </c>
      <c r="AN54" s="157"/>
      <c r="AO54" s="157">
        <v>0</v>
      </c>
      <c r="AP54" s="157"/>
      <c r="AQ54" s="157">
        <v>0</v>
      </c>
      <c r="AR54" s="157"/>
      <c r="AS54" s="157">
        <v>0</v>
      </c>
      <c r="AT54" s="157"/>
      <c r="AU54" s="157">
        <v>30203</v>
      </c>
      <c r="AV54" s="157"/>
      <c r="AW54" s="157">
        <v>0</v>
      </c>
      <c r="AX54" s="157"/>
      <c r="AY54" s="157">
        <v>0</v>
      </c>
      <c r="AZ54" s="157"/>
      <c r="BA54" s="157">
        <v>0</v>
      </c>
      <c r="BB54" s="157"/>
      <c r="BC54" s="157">
        <v>0</v>
      </c>
      <c r="BD54" s="157"/>
      <c r="BE54" s="157">
        <v>0</v>
      </c>
      <c r="BF54" s="157"/>
      <c r="BG54" s="157">
        <v>0</v>
      </c>
      <c r="BH54" s="157"/>
      <c r="BI54" s="157">
        <v>0</v>
      </c>
      <c r="BJ54" s="157"/>
      <c r="BK54" s="157">
        <v>0</v>
      </c>
      <c r="BL54" s="157"/>
      <c r="BM54" s="157">
        <v>0</v>
      </c>
      <c r="BN54" s="157"/>
      <c r="BO54" s="157">
        <v>0</v>
      </c>
      <c r="BP54" s="157"/>
      <c r="BQ54" s="157">
        <v>0</v>
      </c>
      <c r="BR54" s="157"/>
      <c r="BS54" s="157">
        <v>0</v>
      </c>
    </row>
    <row r="55" spans="1:72" x14ac:dyDescent="0.2">
      <c r="A55" s="123" t="s">
        <v>456</v>
      </c>
      <c r="B55" s="124" t="s">
        <v>457</v>
      </c>
      <c r="C55" s="157">
        <v>513552.2</v>
      </c>
      <c r="D55" s="157"/>
      <c r="E55" s="157">
        <v>2679.68</v>
      </c>
      <c r="F55" s="157"/>
      <c r="G55" s="157">
        <v>300510.2</v>
      </c>
      <c r="H55" s="157"/>
      <c r="I55" s="157">
        <v>0</v>
      </c>
      <c r="J55" s="157"/>
      <c r="K55" s="157">
        <v>28024.94</v>
      </c>
      <c r="L55" s="157"/>
      <c r="M55" s="157">
        <v>0</v>
      </c>
      <c r="N55" s="157"/>
      <c r="O55" s="157">
        <v>265970.18</v>
      </c>
      <c r="P55" s="157"/>
      <c r="Q55" s="157">
        <v>339121</v>
      </c>
      <c r="R55" s="157"/>
      <c r="S55" s="157">
        <v>3950</v>
      </c>
      <c r="T55" s="157"/>
      <c r="U55" s="157">
        <v>20650</v>
      </c>
      <c r="V55" s="157"/>
      <c r="W55" s="157">
        <v>2600</v>
      </c>
      <c r="X55" s="157"/>
      <c r="Y55" s="157">
        <v>0</v>
      </c>
      <c r="Z55" s="157"/>
      <c r="AA55" s="157">
        <v>566393</v>
      </c>
      <c r="AB55" s="157"/>
      <c r="AC55" s="157">
        <v>418996</v>
      </c>
      <c r="AD55" s="157"/>
      <c r="AE55" s="157">
        <v>1226511</v>
      </c>
      <c r="AF55" s="157"/>
      <c r="AG55" s="157">
        <v>552733</v>
      </c>
      <c r="AH55" s="157"/>
      <c r="AI55" s="157">
        <v>0</v>
      </c>
      <c r="AJ55" s="157"/>
      <c r="AK55" s="157">
        <v>0</v>
      </c>
      <c r="AL55" s="157"/>
      <c r="AM55" s="157">
        <v>15929.84</v>
      </c>
      <c r="AN55" s="157"/>
      <c r="AO55" s="157">
        <v>546036</v>
      </c>
      <c r="AP55" s="157"/>
      <c r="AQ55" s="157">
        <v>0</v>
      </c>
      <c r="AR55" s="157"/>
      <c r="AS55" s="157">
        <v>0</v>
      </c>
      <c r="AT55" s="157"/>
      <c r="AU55" s="157">
        <v>0</v>
      </c>
      <c r="AV55" s="157"/>
      <c r="AW55" s="157">
        <v>325406</v>
      </c>
      <c r="AX55" s="157"/>
      <c r="AY55" s="157">
        <v>318144</v>
      </c>
      <c r="AZ55" s="157"/>
      <c r="BA55" s="157">
        <v>0</v>
      </c>
      <c r="BB55" s="157"/>
      <c r="BC55" s="157">
        <v>690632</v>
      </c>
      <c r="BD55" s="157"/>
      <c r="BE55" s="157">
        <v>597254</v>
      </c>
      <c r="BF55" s="157"/>
      <c r="BG55" s="157">
        <v>147933</v>
      </c>
      <c r="BH55" s="157"/>
      <c r="BI55" s="157">
        <v>386515</v>
      </c>
      <c r="BJ55" s="157"/>
      <c r="BK55" s="157">
        <v>0</v>
      </c>
      <c r="BL55" s="157"/>
      <c r="BM55" s="157">
        <v>733300</v>
      </c>
      <c r="BN55" s="157"/>
      <c r="BO55" s="157">
        <v>8400</v>
      </c>
      <c r="BP55" s="157"/>
      <c r="BQ55" s="157">
        <v>30391</v>
      </c>
      <c r="BR55" s="157"/>
      <c r="BS55" s="157">
        <v>71552</v>
      </c>
    </row>
    <row r="56" spans="1:72" x14ac:dyDescent="0.2">
      <c r="A56" s="123" t="s">
        <v>158</v>
      </c>
      <c r="B56" s="124" t="s">
        <v>159</v>
      </c>
      <c r="C56" s="157">
        <v>28002.9</v>
      </c>
      <c r="D56" s="157"/>
      <c r="E56" s="157">
        <v>3148.68</v>
      </c>
      <c r="F56" s="157"/>
      <c r="G56" s="157">
        <v>26232</v>
      </c>
      <c r="H56" s="157"/>
      <c r="I56" s="157">
        <v>0</v>
      </c>
      <c r="J56" s="157"/>
      <c r="K56" s="157">
        <v>42446</v>
      </c>
      <c r="L56" s="157"/>
      <c r="M56" s="157">
        <v>6946165.7000000002</v>
      </c>
      <c r="N56" s="157"/>
      <c r="O56" s="157">
        <v>0</v>
      </c>
      <c r="P56" s="157"/>
      <c r="Q56" s="157">
        <v>14252.45</v>
      </c>
      <c r="R56" s="157"/>
      <c r="S56" s="157">
        <v>0</v>
      </c>
      <c r="T56" s="157"/>
      <c r="U56" s="157">
        <v>0</v>
      </c>
      <c r="V56" s="157"/>
      <c r="W56" s="157">
        <v>0</v>
      </c>
      <c r="X56" s="157"/>
      <c r="Y56" s="157">
        <v>0</v>
      </c>
      <c r="Z56" s="157"/>
      <c r="AA56" s="157">
        <v>0</v>
      </c>
      <c r="AB56" s="157"/>
      <c r="AC56" s="157">
        <v>0</v>
      </c>
      <c r="AD56" s="157"/>
      <c r="AE56" s="157">
        <v>0</v>
      </c>
      <c r="AF56" s="157"/>
      <c r="AG56" s="157">
        <v>0</v>
      </c>
      <c r="AH56" s="157"/>
      <c r="AI56" s="157">
        <v>0</v>
      </c>
      <c r="AJ56" s="157"/>
      <c r="AK56" s="157">
        <v>0</v>
      </c>
      <c r="AL56" s="157"/>
      <c r="AM56" s="157">
        <v>0</v>
      </c>
      <c r="AN56" s="157"/>
      <c r="AO56" s="157">
        <v>5622207.21</v>
      </c>
      <c r="AP56" s="157"/>
      <c r="AQ56" s="157">
        <v>0</v>
      </c>
      <c r="AR56" s="157"/>
      <c r="AS56" s="157">
        <v>25475</v>
      </c>
      <c r="AT56" s="157"/>
      <c r="AU56" s="157">
        <v>92145.38</v>
      </c>
      <c r="AV56" s="157"/>
      <c r="AW56" s="157">
        <v>0</v>
      </c>
      <c r="AX56" s="157"/>
      <c r="AY56" s="157">
        <v>62580</v>
      </c>
      <c r="AZ56" s="157"/>
      <c r="BA56" s="157">
        <v>0</v>
      </c>
      <c r="BB56" s="157"/>
      <c r="BC56" s="157">
        <v>0</v>
      </c>
      <c r="BD56" s="157"/>
      <c r="BE56" s="157">
        <v>7457.39</v>
      </c>
      <c r="BF56" s="157"/>
      <c r="BG56" s="157">
        <v>20250</v>
      </c>
      <c r="BH56" s="157"/>
      <c r="BI56" s="157">
        <v>26850</v>
      </c>
      <c r="BJ56" s="157"/>
      <c r="BK56" s="157">
        <v>0</v>
      </c>
      <c r="BL56" s="157"/>
      <c r="BM56" s="157">
        <v>72850</v>
      </c>
      <c r="BN56" s="157"/>
      <c r="BO56" s="157">
        <v>5586.5</v>
      </c>
      <c r="BP56" s="157"/>
      <c r="BQ56" s="157">
        <v>0</v>
      </c>
      <c r="BR56" s="157"/>
      <c r="BS56" s="157">
        <v>0</v>
      </c>
    </row>
    <row r="57" spans="1:72" x14ac:dyDescent="0.2">
      <c r="A57" s="123" t="s">
        <v>586</v>
      </c>
      <c r="B57" s="124" t="s">
        <v>585</v>
      </c>
      <c r="C57" s="157">
        <v>0</v>
      </c>
      <c r="D57" s="157"/>
      <c r="E57" s="157">
        <v>0</v>
      </c>
      <c r="F57" s="157"/>
      <c r="G57" s="157">
        <v>0</v>
      </c>
      <c r="H57" s="157"/>
      <c r="I57" s="157">
        <v>0</v>
      </c>
      <c r="J57" s="157"/>
      <c r="K57" s="157">
        <v>0</v>
      </c>
      <c r="L57" s="157"/>
      <c r="M57" s="157">
        <v>0</v>
      </c>
      <c r="N57" s="157"/>
      <c r="O57" s="157">
        <v>0</v>
      </c>
      <c r="P57" s="157"/>
      <c r="Q57" s="157">
        <v>0</v>
      </c>
      <c r="R57" s="157"/>
      <c r="S57" s="157">
        <v>0</v>
      </c>
      <c r="T57" s="157"/>
      <c r="U57" s="157">
        <v>0</v>
      </c>
      <c r="V57" s="157"/>
      <c r="W57" s="157">
        <v>0</v>
      </c>
      <c r="X57" s="157"/>
      <c r="Y57" s="157">
        <v>0</v>
      </c>
      <c r="Z57" s="157"/>
      <c r="AA57" s="157">
        <v>0</v>
      </c>
      <c r="AB57" s="157"/>
      <c r="AC57" s="157">
        <v>0</v>
      </c>
      <c r="AD57" s="157"/>
      <c r="AE57" s="157">
        <v>0</v>
      </c>
      <c r="AF57" s="157"/>
      <c r="AG57" s="157">
        <v>0</v>
      </c>
      <c r="AH57" s="157"/>
      <c r="AI57" s="157">
        <v>0</v>
      </c>
      <c r="AJ57" s="157"/>
      <c r="AK57" s="157">
        <v>0</v>
      </c>
      <c r="AL57" s="157"/>
      <c r="AM57" s="157">
        <v>0</v>
      </c>
      <c r="AN57" s="157"/>
      <c r="AO57" s="157">
        <v>6905</v>
      </c>
      <c r="AP57" s="157"/>
      <c r="AQ57" s="157">
        <v>0</v>
      </c>
      <c r="AR57" s="157"/>
      <c r="AS57" s="157">
        <v>0</v>
      </c>
      <c r="AT57" s="157"/>
      <c r="AU57" s="157">
        <v>8150</v>
      </c>
      <c r="AV57" s="157"/>
      <c r="AW57" s="157">
        <v>0</v>
      </c>
      <c r="AX57" s="157"/>
      <c r="AY57" s="157">
        <v>0</v>
      </c>
      <c r="AZ57" s="157"/>
      <c r="BA57" s="157">
        <v>0</v>
      </c>
      <c r="BB57" s="157"/>
      <c r="BC57" s="157">
        <v>0</v>
      </c>
      <c r="BD57" s="157"/>
      <c r="BE57" s="157">
        <v>0</v>
      </c>
      <c r="BF57" s="157"/>
      <c r="BG57" s="157">
        <v>0</v>
      </c>
      <c r="BH57" s="157"/>
      <c r="BI57" s="157">
        <v>2748</v>
      </c>
      <c r="BJ57" s="157"/>
      <c r="BK57" s="157">
        <v>0</v>
      </c>
      <c r="BL57" s="157"/>
      <c r="BM57" s="157">
        <v>0</v>
      </c>
      <c r="BN57" s="157"/>
      <c r="BO57" s="157">
        <v>0</v>
      </c>
      <c r="BP57" s="157"/>
      <c r="BQ57" s="157">
        <v>0</v>
      </c>
      <c r="BR57" s="157"/>
      <c r="BS57" s="157">
        <v>0</v>
      </c>
    </row>
    <row r="58" spans="1:72" x14ac:dyDescent="0.2">
      <c r="A58" s="123" t="s">
        <v>584</v>
      </c>
      <c r="B58" s="124" t="s">
        <v>583</v>
      </c>
      <c r="C58" s="157">
        <v>0</v>
      </c>
      <c r="D58" s="157"/>
      <c r="E58" s="157">
        <v>0</v>
      </c>
      <c r="F58" s="157"/>
      <c r="G58" s="157">
        <v>0</v>
      </c>
      <c r="H58" s="157"/>
      <c r="I58" s="157">
        <v>0</v>
      </c>
      <c r="J58" s="157"/>
      <c r="K58" s="157">
        <v>0</v>
      </c>
      <c r="L58" s="157"/>
      <c r="M58" s="157">
        <v>0</v>
      </c>
      <c r="N58" s="157"/>
      <c r="O58" s="157">
        <v>0</v>
      </c>
      <c r="P58" s="157"/>
      <c r="Q58" s="157">
        <v>0</v>
      </c>
      <c r="R58" s="157"/>
      <c r="S58" s="157">
        <v>0</v>
      </c>
      <c r="T58" s="157"/>
      <c r="U58" s="157">
        <v>0</v>
      </c>
      <c r="V58" s="157"/>
      <c r="W58" s="157">
        <v>0</v>
      </c>
      <c r="X58" s="157"/>
      <c r="Y58" s="157">
        <v>0</v>
      </c>
      <c r="Z58" s="157"/>
      <c r="AA58" s="157">
        <v>0</v>
      </c>
      <c r="AB58" s="157"/>
      <c r="AC58" s="157">
        <v>0</v>
      </c>
      <c r="AD58" s="157"/>
      <c r="AE58" s="157">
        <v>0</v>
      </c>
      <c r="AF58" s="157"/>
      <c r="AG58" s="157">
        <v>0</v>
      </c>
      <c r="AH58" s="157"/>
      <c r="AI58" s="157">
        <v>0</v>
      </c>
      <c r="AJ58" s="157"/>
      <c r="AK58" s="157">
        <v>0</v>
      </c>
      <c r="AL58" s="157"/>
      <c r="AM58" s="157">
        <v>0</v>
      </c>
      <c r="AN58" s="157"/>
      <c r="AO58" s="157">
        <v>600</v>
      </c>
      <c r="AP58" s="157"/>
      <c r="AQ58" s="157">
        <v>0</v>
      </c>
      <c r="AR58" s="157"/>
      <c r="AS58" s="157">
        <v>0</v>
      </c>
      <c r="AT58" s="157"/>
      <c r="AU58" s="157">
        <v>8125</v>
      </c>
      <c r="AV58" s="157"/>
      <c r="AW58" s="157">
        <v>0</v>
      </c>
      <c r="AX58" s="157"/>
      <c r="AY58" s="157">
        <v>0</v>
      </c>
      <c r="AZ58" s="157"/>
      <c r="BA58" s="157">
        <v>0</v>
      </c>
      <c r="BB58" s="157"/>
      <c r="BC58" s="157">
        <v>0</v>
      </c>
      <c r="BD58" s="157"/>
      <c r="BE58" s="157">
        <v>0</v>
      </c>
      <c r="BF58" s="157"/>
      <c r="BG58" s="157">
        <v>0</v>
      </c>
      <c r="BH58" s="157"/>
      <c r="BI58" s="157">
        <v>0</v>
      </c>
      <c r="BJ58" s="157"/>
      <c r="BK58" s="157">
        <v>0</v>
      </c>
      <c r="BL58" s="157"/>
      <c r="BM58" s="157">
        <v>0</v>
      </c>
      <c r="BN58" s="157"/>
      <c r="BO58" s="157">
        <v>0</v>
      </c>
      <c r="BP58" s="157"/>
      <c r="BQ58" s="157">
        <v>0</v>
      </c>
      <c r="BR58" s="157"/>
      <c r="BS58" s="157">
        <v>0</v>
      </c>
    </row>
    <row r="59" spans="1:72" x14ac:dyDescent="0.2">
      <c r="A59" s="123" t="s">
        <v>603</v>
      </c>
      <c r="B59" s="124" t="s">
        <v>602</v>
      </c>
      <c r="C59" s="157">
        <v>0</v>
      </c>
      <c r="D59" s="157"/>
      <c r="E59" s="157">
        <v>15625</v>
      </c>
      <c r="F59" s="157"/>
      <c r="G59" s="157">
        <v>40552</v>
      </c>
      <c r="H59" s="157"/>
      <c r="I59" s="157">
        <v>0</v>
      </c>
      <c r="J59" s="157"/>
      <c r="K59" s="157">
        <v>0</v>
      </c>
      <c r="L59" s="157"/>
      <c r="M59" s="157">
        <v>27850</v>
      </c>
      <c r="N59" s="157"/>
      <c r="O59" s="157">
        <v>1259.5</v>
      </c>
      <c r="P59" s="157"/>
      <c r="Q59" s="157">
        <v>0</v>
      </c>
      <c r="R59" s="157"/>
      <c r="S59" s="157">
        <v>37913</v>
      </c>
      <c r="T59" s="157"/>
      <c r="U59" s="157">
        <v>11023.8</v>
      </c>
      <c r="V59" s="157"/>
      <c r="W59" s="157">
        <v>3779.79</v>
      </c>
      <c r="X59" s="157"/>
      <c r="Y59" s="157">
        <v>0</v>
      </c>
      <c r="Z59" s="157"/>
      <c r="AA59" s="157">
        <v>18047.86</v>
      </c>
      <c r="AB59" s="157"/>
      <c r="AC59" s="157">
        <v>0</v>
      </c>
      <c r="AD59" s="157"/>
      <c r="AE59" s="157">
        <v>0</v>
      </c>
      <c r="AF59" s="157"/>
      <c r="AG59" s="157">
        <v>29736.89</v>
      </c>
      <c r="AH59" s="157"/>
      <c r="AI59" s="157">
        <v>0</v>
      </c>
      <c r="AJ59" s="157"/>
      <c r="AK59" s="157">
        <v>0</v>
      </c>
      <c r="AL59" s="157"/>
      <c r="AM59" s="157">
        <v>0</v>
      </c>
      <c r="AN59" s="157"/>
      <c r="AO59" s="157">
        <v>0</v>
      </c>
      <c r="AP59" s="157"/>
      <c r="AQ59" s="157">
        <v>0</v>
      </c>
      <c r="AR59" s="157"/>
      <c r="AS59" s="157">
        <v>0</v>
      </c>
      <c r="AT59" s="157"/>
      <c r="AU59" s="157">
        <v>0</v>
      </c>
      <c r="AV59" s="157"/>
      <c r="AW59" s="157">
        <v>0</v>
      </c>
      <c r="AX59" s="157"/>
      <c r="AY59" s="157">
        <v>0</v>
      </c>
      <c r="AZ59" s="157"/>
      <c r="BA59" s="157">
        <v>0</v>
      </c>
      <c r="BB59" s="157"/>
      <c r="BC59" s="157">
        <v>0</v>
      </c>
      <c r="BD59" s="157"/>
      <c r="BE59" s="157">
        <v>0</v>
      </c>
      <c r="BF59" s="157"/>
      <c r="BG59" s="157">
        <v>0</v>
      </c>
      <c r="BH59" s="157"/>
      <c r="BI59" s="157">
        <v>0</v>
      </c>
      <c r="BJ59" s="157"/>
      <c r="BK59" s="157">
        <v>0</v>
      </c>
      <c r="BL59" s="157"/>
      <c r="BM59" s="157">
        <v>0</v>
      </c>
      <c r="BN59" s="157"/>
      <c r="BO59" s="157">
        <v>0</v>
      </c>
      <c r="BP59" s="157"/>
      <c r="BQ59" s="157">
        <v>0.28999999999999998</v>
      </c>
      <c r="BR59" s="157"/>
      <c r="BS59" s="157">
        <v>0</v>
      </c>
    </row>
    <row r="60" spans="1:72" x14ac:dyDescent="0.2">
      <c r="A60" s="123" t="s">
        <v>638</v>
      </c>
      <c r="B60" s="124" t="s">
        <v>637</v>
      </c>
      <c r="C60" s="157">
        <v>0</v>
      </c>
      <c r="D60" s="157"/>
      <c r="E60" s="157">
        <v>0</v>
      </c>
      <c r="F60" s="157"/>
      <c r="G60" s="157">
        <v>444</v>
      </c>
      <c r="H60" s="157"/>
      <c r="I60" s="157">
        <v>0</v>
      </c>
      <c r="J60" s="157"/>
      <c r="K60" s="157">
        <v>0</v>
      </c>
      <c r="L60" s="157"/>
      <c r="M60" s="157">
        <v>0</v>
      </c>
      <c r="N60" s="157"/>
      <c r="O60" s="157">
        <v>0</v>
      </c>
      <c r="P60" s="157"/>
      <c r="Q60" s="157">
        <v>0</v>
      </c>
      <c r="R60" s="157"/>
      <c r="S60" s="157">
        <v>0</v>
      </c>
      <c r="T60" s="157"/>
      <c r="U60" s="157">
        <v>0</v>
      </c>
      <c r="V60" s="157"/>
      <c r="W60" s="157">
        <v>0</v>
      </c>
      <c r="X60" s="157"/>
      <c r="Y60" s="157">
        <v>304.45</v>
      </c>
      <c r="Z60" s="157"/>
      <c r="AA60" s="157">
        <v>0</v>
      </c>
      <c r="AB60" s="157"/>
      <c r="AC60" s="157">
        <v>0</v>
      </c>
      <c r="AD60" s="157"/>
      <c r="AE60" s="157">
        <v>0</v>
      </c>
      <c r="AF60" s="157"/>
      <c r="AG60" s="157">
        <v>0</v>
      </c>
      <c r="AH60" s="157"/>
      <c r="AI60" s="157">
        <v>0</v>
      </c>
      <c r="AJ60" s="157"/>
      <c r="AK60" s="157">
        <v>0</v>
      </c>
      <c r="AL60" s="157"/>
      <c r="AM60" s="157">
        <v>0</v>
      </c>
      <c r="AN60" s="157"/>
      <c r="AO60" s="157">
        <v>0</v>
      </c>
      <c r="AP60" s="157"/>
      <c r="AQ60" s="157">
        <v>0</v>
      </c>
      <c r="AR60" s="157"/>
      <c r="AS60" s="157">
        <v>0</v>
      </c>
      <c r="AT60" s="157"/>
      <c r="AU60" s="157">
        <v>0</v>
      </c>
      <c r="AV60" s="157"/>
      <c r="AW60" s="157">
        <v>0</v>
      </c>
      <c r="AX60" s="157"/>
      <c r="AY60" s="157">
        <v>0</v>
      </c>
      <c r="AZ60" s="157"/>
      <c r="BA60" s="157">
        <v>0</v>
      </c>
      <c r="BB60" s="157"/>
      <c r="BC60" s="157">
        <v>0</v>
      </c>
      <c r="BD60" s="157"/>
      <c r="BE60" s="157">
        <v>0</v>
      </c>
      <c r="BF60" s="157"/>
      <c r="BG60" s="157">
        <v>0</v>
      </c>
      <c r="BH60" s="157"/>
      <c r="BI60" s="157">
        <v>0</v>
      </c>
      <c r="BJ60" s="157"/>
      <c r="BK60" s="157">
        <v>0</v>
      </c>
      <c r="BL60" s="157"/>
      <c r="BM60" s="157">
        <v>0</v>
      </c>
      <c r="BN60" s="157"/>
      <c r="BO60" s="157">
        <v>0</v>
      </c>
      <c r="BP60" s="157"/>
      <c r="BQ60" s="157">
        <v>0</v>
      </c>
      <c r="BR60" s="157"/>
      <c r="BS60" s="157">
        <v>0</v>
      </c>
    </row>
    <row r="61" spans="1:72" x14ac:dyDescent="0.2">
      <c r="A61" s="123" t="s">
        <v>516</v>
      </c>
      <c r="B61" s="124" t="s">
        <v>517</v>
      </c>
      <c r="C61" s="157">
        <v>0</v>
      </c>
      <c r="D61" s="157"/>
      <c r="E61" s="157">
        <v>3438</v>
      </c>
      <c r="F61" s="157"/>
      <c r="G61" s="157">
        <v>0</v>
      </c>
      <c r="H61" s="157"/>
      <c r="I61" s="157">
        <v>0</v>
      </c>
      <c r="J61" s="157"/>
      <c r="K61" s="157">
        <v>0</v>
      </c>
      <c r="L61" s="157"/>
      <c r="M61" s="157">
        <v>10855</v>
      </c>
      <c r="N61" s="157"/>
      <c r="O61" s="157">
        <v>0</v>
      </c>
      <c r="P61" s="157"/>
      <c r="Q61" s="157">
        <v>0</v>
      </c>
      <c r="R61" s="157"/>
      <c r="S61" s="157">
        <v>0</v>
      </c>
      <c r="T61" s="157"/>
      <c r="U61" s="157">
        <v>0</v>
      </c>
      <c r="V61" s="157"/>
      <c r="W61" s="157">
        <v>0</v>
      </c>
      <c r="X61" s="157"/>
      <c r="Y61" s="157">
        <v>0</v>
      </c>
      <c r="Z61" s="157"/>
      <c r="AA61" s="157">
        <v>0</v>
      </c>
      <c r="AB61" s="157"/>
      <c r="AC61" s="157">
        <v>0</v>
      </c>
      <c r="AD61" s="157"/>
      <c r="AE61" s="157">
        <v>23400</v>
      </c>
      <c r="AF61" s="157"/>
      <c r="AG61" s="157">
        <v>0</v>
      </c>
      <c r="AH61" s="157"/>
      <c r="AI61" s="157">
        <v>0</v>
      </c>
      <c r="AJ61" s="157"/>
      <c r="AK61" s="157">
        <v>0</v>
      </c>
      <c r="AL61" s="157"/>
      <c r="AM61" s="157">
        <v>0</v>
      </c>
      <c r="AN61" s="157"/>
      <c r="AO61" s="157">
        <v>8740.7000000000007</v>
      </c>
      <c r="AP61" s="157"/>
      <c r="AQ61" s="157">
        <v>0</v>
      </c>
      <c r="AR61" s="157"/>
      <c r="AS61" s="157">
        <v>0</v>
      </c>
      <c r="AT61" s="157"/>
      <c r="AU61" s="157">
        <v>0</v>
      </c>
      <c r="AV61" s="157"/>
      <c r="AW61" s="157">
        <v>0</v>
      </c>
      <c r="AX61" s="157"/>
      <c r="AY61" s="157">
        <v>0</v>
      </c>
      <c r="AZ61" s="157"/>
      <c r="BA61" s="157">
        <v>0</v>
      </c>
      <c r="BB61" s="157"/>
      <c r="BC61" s="157">
        <v>0</v>
      </c>
      <c r="BD61" s="157"/>
      <c r="BE61" s="157">
        <v>0</v>
      </c>
      <c r="BF61" s="157"/>
      <c r="BG61" s="157">
        <v>0</v>
      </c>
      <c r="BH61" s="157"/>
      <c r="BI61" s="157">
        <v>0</v>
      </c>
      <c r="BJ61" s="157"/>
      <c r="BK61" s="157">
        <v>0</v>
      </c>
      <c r="BL61" s="157"/>
      <c r="BM61" s="157">
        <v>0</v>
      </c>
      <c r="BN61" s="157"/>
      <c r="BO61" s="157">
        <v>0</v>
      </c>
      <c r="BP61" s="157"/>
      <c r="BQ61" s="157">
        <v>0</v>
      </c>
      <c r="BR61" s="157"/>
      <c r="BS61" s="157">
        <v>0</v>
      </c>
    </row>
    <row r="62" spans="1:72" x14ac:dyDescent="0.2">
      <c r="A62" s="123" t="s">
        <v>601</v>
      </c>
      <c r="B62" s="124" t="s">
        <v>600</v>
      </c>
      <c r="C62" s="157">
        <v>8996.16</v>
      </c>
      <c r="D62" s="157"/>
      <c r="E62" s="157">
        <v>0</v>
      </c>
      <c r="F62" s="157"/>
      <c r="G62" s="157">
        <v>13528.74</v>
      </c>
      <c r="H62" s="157"/>
      <c r="I62" s="157">
        <v>4736.9399999999996</v>
      </c>
      <c r="J62" s="157"/>
      <c r="K62" s="157">
        <v>0</v>
      </c>
      <c r="L62" s="157"/>
      <c r="M62" s="157">
        <v>4849.4399999999996</v>
      </c>
      <c r="N62" s="157"/>
      <c r="O62" s="157">
        <v>0</v>
      </c>
      <c r="P62" s="157"/>
      <c r="Q62" s="157">
        <v>4160</v>
      </c>
      <c r="R62" s="157"/>
      <c r="S62" s="157">
        <v>1800</v>
      </c>
      <c r="T62" s="157"/>
      <c r="U62" s="157">
        <v>6957</v>
      </c>
      <c r="V62" s="157"/>
      <c r="W62" s="157">
        <v>27368</v>
      </c>
      <c r="X62" s="157"/>
      <c r="Y62" s="157">
        <v>10000</v>
      </c>
      <c r="Z62" s="157"/>
      <c r="AA62" s="157">
        <v>0</v>
      </c>
      <c r="AB62" s="157"/>
      <c r="AC62" s="157">
        <v>0</v>
      </c>
      <c r="AD62" s="157"/>
      <c r="AE62" s="157">
        <v>0</v>
      </c>
      <c r="AF62" s="157"/>
      <c r="AG62" s="157">
        <v>0</v>
      </c>
      <c r="AH62" s="157"/>
      <c r="AI62" s="157">
        <v>0</v>
      </c>
      <c r="AJ62" s="157"/>
      <c r="AK62" s="157">
        <v>0</v>
      </c>
      <c r="AL62" s="157"/>
      <c r="AM62" s="157">
        <v>0</v>
      </c>
      <c r="AN62" s="157"/>
      <c r="AO62" s="157">
        <v>7310</v>
      </c>
      <c r="AP62" s="157"/>
      <c r="AQ62" s="157">
        <v>0</v>
      </c>
      <c r="AR62" s="157"/>
      <c r="AS62" s="157">
        <v>0</v>
      </c>
      <c r="AT62" s="157"/>
      <c r="AU62" s="157">
        <v>0</v>
      </c>
      <c r="AV62" s="157"/>
      <c r="AW62" s="157">
        <v>2930</v>
      </c>
      <c r="AX62" s="157"/>
      <c r="AY62" s="157">
        <v>0</v>
      </c>
      <c r="AZ62" s="157"/>
      <c r="BA62" s="157">
        <v>0</v>
      </c>
      <c r="BB62" s="157"/>
      <c r="BC62" s="157">
        <v>0</v>
      </c>
      <c r="BD62" s="157"/>
      <c r="BE62" s="157">
        <v>0</v>
      </c>
      <c r="BF62" s="157"/>
      <c r="BG62" s="157">
        <v>6539.67</v>
      </c>
      <c r="BH62" s="157"/>
      <c r="BI62" s="157">
        <v>0</v>
      </c>
      <c r="BJ62" s="157"/>
      <c r="BK62" s="157">
        <v>8200</v>
      </c>
      <c r="BL62" s="157"/>
      <c r="BM62" s="157">
        <v>0</v>
      </c>
      <c r="BN62" s="157"/>
      <c r="BO62" s="157">
        <v>4100</v>
      </c>
      <c r="BP62" s="157"/>
      <c r="BQ62" s="157">
        <v>0</v>
      </c>
      <c r="BR62" s="157"/>
      <c r="BS62" s="157">
        <v>2579</v>
      </c>
    </row>
    <row r="63" spans="1:72" x14ac:dyDescent="0.2">
      <c r="A63" s="123" t="s">
        <v>622</v>
      </c>
      <c r="B63" s="124" t="s">
        <v>621</v>
      </c>
      <c r="C63" s="157">
        <v>0</v>
      </c>
      <c r="D63" s="157"/>
      <c r="E63" s="157">
        <v>0</v>
      </c>
      <c r="F63" s="157"/>
      <c r="G63" s="157">
        <v>0</v>
      </c>
      <c r="H63" s="157"/>
      <c r="I63" s="157">
        <v>0</v>
      </c>
      <c r="J63" s="157"/>
      <c r="K63" s="157">
        <v>0</v>
      </c>
      <c r="L63" s="157"/>
      <c r="M63" s="157">
        <v>0</v>
      </c>
      <c r="N63" s="157"/>
      <c r="O63" s="157">
        <v>0</v>
      </c>
      <c r="P63" s="157"/>
      <c r="Q63" s="157">
        <v>0</v>
      </c>
      <c r="R63" s="157"/>
      <c r="S63" s="157">
        <v>0</v>
      </c>
      <c r="T63" s="157"/>
      <c r="U63" s="157">
        <v>0</v>
      </c>
      <c r="V63" s="157"/>
      <c r="W63" s="157">
        <v>0</v>
      </c>
      <c r="X63" s="157"/>
      <c r="Y63" s="157">
        <v>0</v>
      </c>
      <c r="Z63" s="157"/>
      <c r="AA63" s="157">
        <v>0</v>
      </c>
      <c r="AB63" s="157"/>
      <c r="AC63" s="157">
        <v>0</v>
      </c>
      <c r="AD63" s="157"/>
      <c r="AE63" s="157">
        <v>0</v>
      </c>
      <c r="AF63" s="157"/>
      <c r="AG63" s="157">
        <v>10627</v>
      </c>
      <c r="AH63" s="157"/>
      <c r="AI63" s="157">
        <v>8749</v>
      </c>
      <c r="AJ63" s="157"/>
      <c r="AK63" s="157">
        <v>0</v>
      </c>
      <c r="AL63" s="157"/>
      <c r="AM63" s="157">
        <v>0</v>
      </c>
      <c r="AN63" s="157"/>
      <c r="AO63" s="157">
        <v>0</v>
      </c>
      <c r="AP63" s="157"/>
      <c r="AQ63" s="157">
        <v>0</v>
      </c>
      <c r="AR63" s="157"/>
      <c r="AS63" s="157">
        <v>0</v>
      </c>
      <c r="AT63" s="157"/>
      <c r="AU63" s="157">
        <v>0</v>
      </c>
      <c r="AV63" s="157"/>
      <c r="AW63" s="157">
        <v>0</v>
      </c>
      <c r="AX63" s="157"/>
      <c r="AY63" s="157">
        <v>0</v>
      </c>
      <c r="AZ63" s="157"/>
      <c r="BA63" s="157">
        <v>0</v>
      </c>
      <c r="BB63" s="157"/>
      <c r="BC63" s="157">
        <v>0</v>
      </c>
      <c r="BD63" s="157"/>
      <c r="BE63" s="157">
        <v>0</v>
      </c>
      <c r="BF63" s="157"/>
      <c r="BG63" s="157">
        <v>0</v>
      </c>
      <c r="BH63" s="157"/>
      <c r="BI63" s="157">
        <v>0</v>
      </c>
      <c r="BJ63" s="157"/>
      <c r="BK63" s="157">
        <v>0</v>
      </c>
      <c r="BL63" s="157"/>
      <c r="BM63" s="157">
        <v>0</v>
      </c>
      <c r="BN63" s="157"/>
      <c r="BO63" s="157">
        <v>0</v>
      </c>
      <c r="BP63" s="157"/>
      <c r="BQ63" s="157">
        <v>0</v>
      </c>
      <c r="BR63" s="157"/>
      <c r="BS63" s="157">
        <v>0</v>
      </c>
    </row>
    <row r="64" spans="1:72" x14ac:dyDescent="0.2">
      <c r="A64" s="123" t="s">
        <v>160</v>
      </c>
      <c r="B64" s="124" t="s">
        <v>161</v>
      </c>
      <c r="C64" s="157">
        <v>0</v>
      </c>
      <c r="D64" s="157"/>
      <c r="E64" s="157">
        <v>0</v>
      </c>
      <c r="F64" s="157"/>
      <c r="G64" s="157">
        <v>0</v>
      </c>
      <c r="H64" s="157"/>
      <c r="I64" s="157">
        <v>0</v>
      </c>
      <c r="J64" s="157"/>
      <c r="K64" s="157">
        <v>0</v>
      </c>
      <c r="L64" s="157"/>
      <c r="M64" s="157">
        <v>2923</v>
      </c>
      <c r="N64" s="157"/>
      <c r="O64" s="157">
        <v>0</v>
      </c>
      <c r="P64" s="157"/>
      <c r="Q64" s="157">
        <v>0</v>
      </c>
      <c r="R64" s="157"/>
      <c r="S64" s="157">
        <v>0</v>
      </c>
      <c r="T64" s="157"/>
      <c r="U64" s="157">
        <v>0</v>
      </c>
      <c r="V64" s="157"/>
      <c r="W64" s="157">
        <v>0</v>
      </c>
      <c r="X64" s="157"/>
      <c r="Y64" s="157">
        <v>0</v>
      </c>
      <c r="Z64" s="157"/>
      <c r="AA64" s="157">
        <v>12286</v>
      </c>
      <c r="AB64" s="157"/>
      <c r="AC64" s="157">
        <v>0</v>
      </c>
      <c r="AD64" s="157"/>
      <c r="AE64" s="157">
        <v>0</v>
      </c>
      <c r="AF64" s="157"/>
      <c r="AG64" s="157">
        <v>0</v>
      </c>
      <c r="AH64" s="157"/>
      <c r="AI64" s="157">
        <v>0</v>
      </c>
      <c r="AJ64" s="157"/>
      <c r="AK64" s="157">
        <v>0</v>
      </c>
      <c r="AL64" s="157"/>
      <c r="AM64" s="157">
        <v>0</v>
      </c>
      <c r="AN64" s="157"/>
      <c r="AO64" s="157">
        <v>0</v>
      </c>
      <c r="AP64" s="157"/>
      <c r="AQ64" s="157">
        <v>0</v>
      </c>
      <c r="AR64" s="157"/>
      <c r="AS64" s="157">
        <v>4634</v>
      </c>
      <c r="AT64" s="157"/>
      <c r="AU64" s="157">
        <v>0</v>
      </c>
      <c r="AV64" s="157"/>
      <c r="AW64" s="157">
        <v>0</v>
      </c>
      <c r="AX64" s="157"/>
      <c r="AY64" s="157">
        <v>0</v>
      </c>
      <c r="AZ64" s="157"/>
      <c r="BA64" s="157">
        <v>0</v>
      </c>
      <c r="BB64" s="157"/>
      <c r="BC64" s="157">
        <v>0</v>
      </c>
      <c r="BD64" s="157"/>
      <c r="BE64" s="157">
        <v>0</v>
      </c>
      <c r="BF64" s="157"/>
      <c r="BG64" s="157">
        <v>0</v>
      </c>
      <c r="BH64" s="157"/>
      <c r="BI64" s="157">
        <v>0</v>
      </c>
      <c r="BJ64" s="157"/>
      <c r="BK64" s="157">
        <v>0</v>
      </c>
      <c r="BL64" s="157"/>
      <c r="BM64" s="157">
        <v>0</v>
      </c>
      <c r="BN64" s="157"/>
      <c r="BO64" s="157">
        <v>0</v>
      </c>
      <c r="BP64" s="157"/>
      <c r="BQ64" s="157">
        <v>0</v>
      </c>
      <c r="BR64" s="157"/>
      <c r="BS64" s="157">
        <v>0</v>
      </c>
    </row>
    <row r="65" spans="1:71" x14ac:dyDescent="0.2">
      <c r="A65" s="123" t="s">
        <v>458</v>
      </c>
      <c r="B65" s="124" t="s">
        <v>459</v>
      </c>
      <c r="C65" s="157">
        <v>0</v>
      </c>
      <c r="D65" s="157"/>
      <c r="E65" s="157">
        <v>0</v>
      </c>
      <c r="F65" s="157"/>
      <c r="G65" s="157">
        <v>0</v>
      </c>
      <c r="H65" s="157"/>
      <c r="I65" s="157">
        <v>0</v>
      </c>
      <c r="J65" s="157"/>
      <c r="K65" s="157">
        <v>6690</v>
      </c>
      <c r="L65" s="157"/>
      <c r="M65" s="157">
        <v>0</v>
      </c>
      <c r="N65" s="157"/>
      <c r="O65" s="157">
        <v>0</v>
      </c>
      <c r="P65" s="157"/>
      <c r="Q65" s="157">
        <v>0</v>
      </c>
      <c r="R65" s="157"/>
      <c r="S65" s="157">
        <v>0</v>
      </c>
      <c r="T65" s="157"/>
      <c r="U65" s="157">
        <v>0</v>
      </c>
      <c r="V65" s="157"/>
      <c r="W65" s="157">
        <v>5337</v>
      </c>
      <c r="X65" s="157"/>
      <c r="Y65" s="157">
        <v>0</v>
      </c>
      <c r="Z65" s="157"/>
      <c r="AA65" s="157">
        <v>0</v>
      </c>
      <c r="AB65" s="157"/>
      <c r="AC65" s="157">
        <v>1378</v>
      </c>
      <c r="AD65" s="157"/>
      <c r="AE65" s="157">
        <v>0</v>
      </c>
      <c r="AF65" s="157"/>
      <c r="AG65" s="157">
        <v>0</v>
      </c>
      <c r="AH65" s="157"/>
      <c r="AI65" s="157">
        <v>0</v>
      </c>
      <c r="AJ65" s="157"/>
      <c r="AK65" s="157">
        <v>0</v>
      </c>
      <c r="AL65" s="157"/>
      <c r="AM65" s="157">
        <v>0</v>
      </c>
      <c r="AN65" s="157"/>
      <c r="AO65" s="157">
        <v>11173</v>
      </c>
      <c r="AP65" s="157"/>
      <c r="AQ65" s="157">
        <v>0</v>
      </c>
      <c r="AR65" s="157"/>
      <c r="AS65" s="157">
        <v>0</v>
      </c>
      <c r="AT65" s="157"/>
      <c r="AU65" s="157">
        <v>0</v>
      </c>
      <c r="AV65" s="157"/>
      <c r="AW65" s="157">
        <v>0</v>
      </c>
      <c r="AX65" s="157"/>
      <c r="AY65" s="157">
        <v>0</v>
      </c>
      <c r="AZ65" s="157"/>
      <c r="BA65" s="157">
        <v>0</v>
      </c>
      <c r="BB65" s="157"/>
      <c r="BC65" s="157">
        <v>0</v>
      </c>
      <c r="BD65" s="157"/>
      <c r="BE65" s="157">
        <v>0</v>
      </c>
      <c r="BF65" s="157"/>
      <c r="BG65" s="157">
        <v>0</v>
      </c>
      <c r="BH65" s="157"/>
      <c r="BI65" s="157">
        <v>0</v>
      </c>
      <c r="BJ65" s="157"/>
      <c r="BK65" s="157">
        <v>0</v>
      </c>
      <c r="BL65" s="157"/>
      <c r="BM65" s="157">
        <v>0</v>
      </c>
      <c r="BN65" s="157"/>
      <c r="BO65" s="157">
        <v>0</v>
      </c>
      <c r="BP65" s="157"/>
      <c r="BQ65" s="157">
        <v>0</v>
      </c>
      <c r="BR65" s="157"/>
      <c r="BS65" s="157">
        <v>0</v>
      </c>
    </row>
    <row r="66" spans="1:71" x14ac:dyDescent="0.2">
      <c r="A66" s="123" t="s">
        <v>162</v>
      </c>
      <c r="B66" s="124" t="s">
        <v>163</v>
      </c>
      <c r="C66" s="157">
        <v>0</v>
      </c>
      <c r="D66" s="157"/>
      <c r="E66" s="157">
        <v>0</v>
      </c>
      <c r="F66" s="157"/>
      <c r="G66" s="157">
        <v>0</v>
      </c>
      <c r="H66" s="157"/>
      <c r="I66" s="157">
        <v>16635.34</v>
      </c>
      <c r="J66" s="157"/>
      <c r="K66" s="157">
        <v>0</v>
      </c>
      <c r="L66" s="157"/>
      <c r="M66" s="157">
        <v>12600</v>
      </c>
      <c r="N66" s="157"/>
      <c r="O66" s="157">
        <v>14675</v>
      </c>
      <c r="P66" s="157"/>
      <c r="Q66" s="157">
        <v>0</v>
      </c>
      <c r="R66" s="157"/>
      <c r="S66" s="157">
        <v>0</v>
      </c>
      <c r="T66" s="157"/>
      <c r="U66" s="157">
        <v>0</v>
      </c>
      <c r="V66" s="157"/>
      <c r="W66" s="157">
        <v>0</v>
      </c>
      <c r="X66" s="157"/>
      <c r="Y66" s="157">
        <v>38435</v>
      </c>
      <c r="Z66" s="157"/>
      <c r="AA66" s="157">
        <v>13024</v>
      </c>
      <c r="AB66" s="157"/>
      <c r="AC66" s="157">
        <v>0</v>
      </c>
      <c r="AD66" s="157"/>
      <c r="AE66" s="157">
        <v>8401</v>
      </c>
      <c r="AF66" s="157"/>
      <c r="AG66" s="157">
        <v>24932</v>
      </c>
      <c r="AH66" s="157"/>
      <c r="AI66" s="157">
        <v>0</v>
      </c>
      <c r="AJ66" s="157"/>
      <c r="AK66" s="157">
        <v>0</v>
      </c>
      <c r="AL66" s="157"/>
      <c r="AM66" s="157">
        <v>0</v>
      </c>
      <c r="AN66" s="157"/>
      <c r="AO66" s="157">
        <v>0</v>
      </c>
      <c r="AP66" s="157"/>
      <c r="AQ66" s="157">
        <v>0</v>
      </c>
      <c r="AR66" s="157"/>
      <c r="AS66" s="157">
        <v>2987</v>
      </c>
      <c r="AT66" s="157"/>
      <c r="AU66" s="157">
        <v>0</v>
      </c>
      <c r="AV66" s="157"/>
      <c r="AW66" s="157">
        <v>0</v>
      </c>
      <c r="AX66" s="157"/>
      <c r="AY66" s="157">
        <v>0</v>
      </c>
      <c r="AZ66" s="157"/>
      <c r="BA66" s="157">
        <v>20360</v>
      </c>
      <c r="BB66" s="157"/>
      <c r="BC66" s="157">
        <v>0</v>
      </c>
      <c r="BD66" s="157"/>
      <c r="BE66" s="157">
        <v>0</v>
      </c>
      <c r="BF66" s="157"/>
      <c r="BG66" s="157">
        <v>0</v>
      </c>
      <c r="BH66" s="157"/>
      <c r="BI66" s="157">
        <v>5643</v>
      </c>
      <c r="BJ66" s="157"/>
      <c r="BK66" s="157">
        <v>11950</v>
      </c>
      <c r="BL66" s="157"/>
      <c r="BM66" s="157">
        <v>0</v>
      </c>
      <c r="BN66" s="157"/>
      <c r="BO66" s="157">
        <v>0</v>
      </c>
      <c r="BP66" s="157"/>
      <c r="BQ66" s="157">
        <v>0</v>
      </c>
      <c r="BR66" s="157"/>
      <c r="BS66" s="157">
        <v>0</v>
      </c>
    </row>
    <row r="67" spans="1:71" x14ac:dyDescent="0.2">
      <c r="A67" s="123" t="s">
        <v>599</v>
      </c>
      <c r="B67" s="124" t="s">
        <v>598</v>
      </c>
      <c r="C67" s="157">
        <v>0</v>
      </c>
      <c r="D67" s="157"/>
      <c r="E67" s="157">
        <v>0</v>
      </c>
      <c r="F67" s="157"/>
      <c r="G67" s="157">
        <v>0</v>
      </c>
      <c r="H67" s="157"/>
      <c r="I67" s="157">
        <v>0</v>
      </c>
      <c r="J67" s="157"/>
      <c r="K67" s="157">
        <v>0</v>
      </c>
      <c r="L67" s="157"/>
      <c r="M67" s="157">
        <v>3000</v>
      </c>
      <c r="N67" s="157"/>
      <c r="O67" s="157">
        <v>3694.1</v>
      </c>
      <c r="P67" s="157"/>
      <c r="Q67" s="157">
        <v>0</v>
      </c>
      <c r="R67" s="157"/>
      <c r="S67" s="157">
        <v>0</v>
      </c>
      <c r="T67" s="157"/>
      <c r="U67" s="157">
        <v>0</v>
      </c>
      <c r="V67" s="157"/>
      <c r="W67" s="157">
        <v>0</v>
      </c>
      <c r="X67" s="157"/>
      <c r="Y67" s="157">
        <v>1918</v>
      </c>
      <c r="Z67" s="157"/>
      <c r="AA67" s="157">
        <v>2554</v>
      </c>
      <c r="AB67" s="157"/>
      <c r="AC67" s="157">
        <v>0</v>
      </c>
      <c r="AD67" s="157"/>
      <c r="AE67" s="157">
        <v>0</v>
      </c>
      <c r="AF67" s="157"/>
      <c r="AG67" s="157">
        <v>0</v>
      </c>
      <c r="AH67" s="157"/>
      <c r="AI67" s="157">
        <v>0</v>
      </c>
      <c r="AJ67" s="157"/>
      <c r="AK67" s="157">
        <v>0</v>
      </c>
      <c r="AL67" s="157"/>
      <c r="AM67" s="157">
        <v>0</v>
      </c>
      <c r="AN67" s="157"/>
      <c r="AO67" s="157">
        <v>0</v>
      </c>
      <c r="AP67" s="157"/>
      <c r="AQ67" s="157">
        <v>0</v>
      </c>
      <c r="AR67" s="157"/>
      <c r="AS67" s="157">
        <v>0</v>
      </c>
      <c r="AT67" s="157"/>
      <c r="AU67" s="157">
        <v>0</v>
      </c>
      <c r="AV67" s="157"/>
      <c r="AW67" s="157">
        <v>0</v>
      </c>
      <c r="AX67" s="157"/>
      <c r="AY67" s="157">
        <v>0</v>
      </c>
      <c r="AZ67" s="157"/>
      <c r="BA67" s="157">
        <v>0</v>
      </c>
      <c r="BB67" s="157"/>
      <c r="BC67" s="157">
        <v>3694</v>
      </c>
      <c r="BD67" s="157"/>
      <c r="BE67" s="157">
        <v>0</v>
      </c>
      <c r="BF67" s="157"/>
      <c r="BG67" s="157">
        <v>0</v>
      </c>
      <c r="BH67" s="157"/>
      <c r="BI67" s="157">
        <v>0</v>
      </c>
      <c r="BJ67" s="157"/>
      <c r="BK67" s="157">
        <v>0</v>
      </c>
      <c r="BL67" s="157"/>
      <c r="BM67" s="157">
        <v>0</v>
      </c>
      <c r="BN67" s="157"/>
      <c r="BO67" s="157">
        <v>0</v>
      </c>
      <c r="BP67" s="157"/>
      <c r="BQ67" s="157">
        <v>0</v>
      </c>
      <c r="BR67" s="157"/>
      <c r="BS67" s="157">
        <v>0</v>
      </c>
    </row>
    <row r="68" spans="1:71" x14ac:dyDescent="0.2">
      <c r="A68" s="123" t="s">
        <v>582</v>
      </c>
      <c r="B68" s="124" t="s">
        <v>581</v>
      </c>
      <c r="C68" s="157">
        <v>0</v>
      </c>
      <c r="D68" s="157"/>
      <c r="E68" s="157">
        <v>0</v>
      </c>
      <c r="F68" s="157"/>
      <c r="G68" s="157">
        <v>0</v>
      </c>
      <c r="H68" s="157"/>
      <c r="I68" s="157">
        <v>0</v>
      </c>
      <c r="J68" s="157"/>
      <c r="K68" s="157">
        <v>0</v>
      </c>
      <c r="L68" s="157"/>
      <c r="M68" s="157">
        <v>0</v>
      </c>
      <c r="N68" s="157"/>
      <c r="O68" s="157">
        <v>0</v>
      </c>
      <c r="P68" s="157"/>
      <c r="Q68" s="157">
        <v>0</v>
      </c>
      <c r="R68" s="157"/>
      <c r="S68" s="157">
        <v>0</v>
      </c>
      <c r="T68" s="157"/>
      <c r="U68" s="157">
        <v>0</v>
      </c>
      <c r="V68" s="157"/>
      <c r="W68" s="157">
        <v>0</v>
      </c>
      <c r="X68" s="157"/>
      <c r="Y68" s="157">
        <v>0</v>
      </c>
      <c r="Z68" s="157"/>
      <c r="AA68" s="157">
        <v>0</v>
      </c>
      <c r="AB68" s="157"/>
      <c r="AC68" s="157">
        <v>2987</v>
      </c>
      <c r="AD68" s="157"/>
      <c r="AE68" s="157">
        <v>0</v>
      </c>
      <c r="AF68" s="157"/>
      <c r="AG68" s="157">
        <v>0</v>
      </c>
      <c r="AH68" s="157"/>
      <c r="AI68" s="157">
        <v>0</v>
      </c>
      <c r="AJ68" s="157"/>
      <c r="AK68" s="157">
        <v>0</v>
      </c>
      <c r="AL68" s="157"/>
      <c r="AM68" s="157">
        <v>0</v>
      </c>
      <c r="AN68" s="157"/>
      <c r="AO68" s="157">
        <v>0</v>
      </c>
      <c r="AP68" s="157"/>
      <c r="AQ68" s="157">
        <v>0</v>
      </c>
      <c r="AR68" s="157"/>
      <c r="AS68" s="157">
        <v>0</v>
      </c>
      <c r="AT68" s="157"/>
      <c r="AU68" s="157">
        <v>1850</v>
      </c>
      <c r="AV68" s="157"/>
      <c r="AW68" s="157">
        <v>7609</v>
      </c>
      <c r="AX68" s="157"/>
      <c r="AY68" s="157">
        <v>0</v>
      </c>
      <c r="AZ68" s="157"/>
      <c r="BA68" s="157">
        <v>0</v>
      </c>
      <c r="BB68" s="157"/>
      <c r="BC68" s="157">
        <v>0</v>
      </c>
      <c r="BD68" s="157"/>
      <c r="BE68" s="157">
        <v>0</v>
      </c>
      <c r="BF68" s="157"/>
      <c r="BG68" s="157">
        <v>0</v>
      </c>
      <c r="BH68" s="157"/>
      <c r="BI68" s="157">
        <v>0</v>
      </c>
      <c r="BJ68" s="157"/>
      <c r="BK68" s="157">
        <v>0</v>
      </c>
      <c r="BL68" s="157"/>
      <c r="BM68" s="157">
        <v>0</v>
      </c>
      <c r="BN68" s="157"/>
      <c r="BO68" s="157">
        <v>0</v>
      </c>
      <c r="BP68" s="157"/>
      <c r="BQ68" s="157">
        <v>0</v>
      </c>
      <c r="BR68" s="157"/>
      <c r="BS68" s="157">
        <v>6456</v>
      </c>
    </row>
    <row r="69" spans="1:71" x14ac:dyDescent="0.2">
      <c r="A69" s="123" t="s">
        <v>580</v>
      </c>
      <c r="B69" s="124" t="s">
        <v>579</v>
      </c>
      <c r="C69" s="157">
        <v>13573.91</v>
      </c>
      <c r="D69" s="157"/>
      <c r="E69" s="157">
        <v>3179</v>
      </c>
      <c r="F69" s="157"/>
      <c r="G69" s="157">
        <v>11285.7</v>
      </c>
      <c r="H69" s="157"/>
      <c r="I69" s="157">
        <v>0</v>
      </c>
      <c r="J69" s="157"/>
      <c r="K69" s="157">
        <v>0</v>
      </c>
      <c r="L69" s="157"/>
      <c r="M69" s="157">
        <v>0</v>
      </c>
      <c r="N69" s="157"/>
      <c r="O69" s="157">
        <v>1400</v>
      </c>
      <c r="P69" s="157"/>
      <c r="Q69" s="157">
        <v>0</v>
      </c>
      <c r="R69" s="157"/>
      <c r="S69" s="157">
        <v>0</v>
      </c>
      <c r="T69" s="157"/>
      <c r="U69" s="157">
        <v>6265.87</v>
      </c>
      <c r="V69" s="157"/>
      <c r="W69" s="157">
        <v>0</v>
      </c>
      <c r="X69" s="157"/>
      <c r="Y69" s="157">
        <v>0</v>
      </c>
      <c r="Z69" s="157"/>
      <c r="AA69" s="157">
        <v>0</v>
      </c>
      <c r="AB69" s="157"/>
      <c r="AC69" s="157">
        <v>0</v>
      </c>
      <c r="AD69" s="157"/>
      <c r="AE69" s="157">
        <v>0</v>
      </c>
      <c r="AF69" s="157"/>
      <c r="AG69" s="157">
        <v>0</v>
      </c>
      <c r="AH69" s="157"/>
      <c r="AI69" s="157">
        <v>0</v>
      </c>
      <c r="AJ69" s="157"/>
      <c r="AK69" s="157">
        <v>0</v>
      </c>
      <c r="AL69" s="157"/>
      <c r="AM69" s="157">
        <v>12221.23</v>
      </c>
      <c r="AN69" s="157"/>
      <c r="AO69" s="157">
        <v>12904.65</v>
      </c>
      <c r="AP69" s="157"/>
      <c r="AQ69" s="157">
        <v>0</v>
      </c>
      <c r="AR69" s="157"/>
      <c r="AS69" s="157">
        <v>0</v>
      </c>
      <c r="AT69" s="157"/>
      <c r="AU69" s="157">
        <v>5365.64</v>
      </c>
      <c r="AV69" s="157"/>
      <c r="AW69" s="157">
        <v>0</v>
      </c>
      <c r="AX69" s="157"/>
      <c r="AY69" s="157">
        <v>0</v>
      </c>
      <c r="AZ69" s="157"/>
      <c r="BA69" s="157">
        <v>0</v>
      </c>
      <c r="BB69" s="157"/>
      <c r="BC69" s="157">
        <v>0</v>
      </c>
      <c r="BD69" s="157"/>
      <c r="BE69" s="157">
        <v>0</v>
      </c>
      <c r="BF69" s="157"/>
      <c r="BG69" s="157">
        <v>0</v>
      </c>
      <c r="BH69" s="157"/>
      <c r="BI69" s="157">
        <v>0</v>
      </c>
      <c r="BJ69" s="157"/>
      <c r="BK69" s="157">
        <v>12434.15</v>
      </c>
      <c r="BL69" s="157"/>
      <c r="BM69" s="157">
        <v>0</v>
      </c>
      <c r="BN69" s="157"/>
      <c r="BO69" s="157">
        <v>3452.25</v>
      </c>
      <c r="BP69" s="157"/>
      <c r="BQ69" s="157">
        <v>0</v>
      </c>
      <c r="BR69" s="157"/>
      <c r="BS69" s="157">
        <v>0</v>
      </c>
    </row>
    <row r="70" spans="1:71" x14ac:dyDescent="0.2">
      <c r="A70" s="123" t="s">
        <v>1037</v>
      </c>
      <c r="B70" s="124" t="s">
        <v>1036</v>
      </c>
      <c r="C70" s="157">
        <v>0</v>
      </c>
      <c r="D70" s="157"/>
      <c r="E70" s="157">
        <v>0</v>
      </c>
      <c r="F70" s="157"/>
      <c r="G70" s="157">
        <v>0</v>
      </c>
      <c r="H70" s="157"/>
      <c r="I70" s="157">
        <v>0</v>
      </c>
      <c r="J70" s="157"/>
      <c r="K70" s="157">
        <v>0</v>
      </c>
      <c r="L70" s="157"/>
      <c r="M70" s="157">
        <v>0</v>
      </c>
      <c r="N70" s="157"/>
      <c r="O70" s="157">
        <v>0</v>
      </c>
      <c r="P70" s="157"/>
      <c r="Q70" s="157">
        <v>0</v>
      </c>
      <c r="R70" s="157"/>
      <c r="S70" s="157">
        <v>0</v>
      </c>
      <c r="T70" s="157"/>
      <c r="U70" s="157">
        <v>0</v>
      </c>
      <c r="V70" s="157"/>
      <c r="W70" s="157">
        <v>7126</v>
      </c>
      <c r="X70" s="157"/>
      <c r="Y70" s="157">
        <v>0</v>
      </c>
      <c r="Z70" s="157"/>
      <c r="AA70" s="157">
        <v>0</v>
      </c>
      <c r="AB70" s="157"/>
      <c r="AC70" s="157">
        <v>0</v>
      </c>
      <c r="AD70" s="157"/>
      <c r="AE70" s="157">
        <v>0</v>
      </c>
      <c r="AF70" s="157"/>
      <c r="AG70" s="157">
        <v>0</v>
      </c>
      <c r="AH70" s="157"/>
      <c r="AI70" s="157">
        <v>0</v>
      </c>
      <c r="AJ70" s="157"/>
      <c r="AK70" s="157">
        <v>0</v>
      </c>
      <c r="AL70" s="157"/>
      <c r="AM70" s="157">
        <v>0</v>
      </c>
      <c r="AN70" s="157"/>
      <c r="AO70" s="157">
        <v>0</v>
      </c>
      <c r="AP70" s="157"/>
      <c r="AQ70" s="157">
        <v>0</v>
      </c>
      <c r="AR70" s="157"/>
      <c r="AS70" s="157">
        <v>0</v>
      </c>
      <c r="AT70" s="157"/>
      <c r="AU70" s="157">
        <v>0</v>
      </c>
      <c r="AV70" s="157"/>
      <c r="AW70" s="157">
        <v>0</v>
      </c>
      <c r="AX70" s="157"/>
      <c r="AY70" s="157">
        <v>0</v>
      </c>
      <c r="AZ70" s="157"/>
      <c r="BA70" s="157">
        <v>0</v>
      </c>
      <c r="BB70" s="157"/>
      <c r="BC70" s="157">
        <v>0</v>
      </c>
      <c r="BD70" s="157"/>
      <c r="BE70" s="157">
        <v>0</v>
      </c>
      <c r="BF70" s="157"/>
      <c r="BG70" s="157">
        <v>0</v>
      </c>
      <c r="BH70" s="157"/>
      <c r="BI70" s="157">
        <v>0</v>
      </c>
      <c r="BJ70" s="157"/>
      <c r="BK70" s="157">
        <v>0</v>
      </c>
      <c r="BL70" s="157"/>
      <c r="BM70" s="157">
        <v>0</v>
      </c>
      <c r="BN70" s="157"/>
      <c r="BO70" s="157">
        <v>0</v>
      </c>
      <c r="BP70" s="157"/>
      <c r="BQ70" s="157">
        <v>0</v>
      </c>
      <c r="BR70" s="157"/>
      <c r="BS70" s="157">
        <v>0</v>
      </c>
    </row>
    <row r="71" spans="1:71" x14ac:dyDescent="0.2">
      <c r="A71" s="123" t="s">
        <v>578</v>
      </c>
      <c r="B71" s="124" t="s">
        <v>577</v>
      </c>
      <c r="C71" s="157">
        <v>18500</v>
      </c>
      <c r="D71" s="157"/>
      <c r="E71" s="157">
        <v>0</v>
      </c>
      <c r="F71" s="157"/>
      <c r="G71" s="157">
        <v>0</v>
      </c>
      <c r="H71" s="157"/>
      <c r="I71" s="157">
        <v>0</v>
      </c>
      <c r="J71" s="157"/>
      <c r="K71" s="157">
        <v>0</v>
      </c>
      <c r="L71" s="157"/>
      <c r="M71" s="157">
        <v>25214.99</v>
      </c>
      <c r="N71" s="157"/>
      <c r="O71" s="157">
        <v>0</v>
      </c>
      <c r="P71" s="157"/>
      <c r="Q71" s="157">
        <v>0</v>
      </c>
      <c r="R71" s="157"/>
      <c r="S71" s="157">
        <v>0</v>
      </c>
      <c r="T71" s="157"/>
      <c r="U71" s="157">
        <v>0</v>
      </c>
      <c r="V71" s="157"/>
      <c r="W71" s="157">
        <v>20000</v>
      </c>
      <c r="X71" s="157"/>
      <c r="Y71" s="157">
        <v>2350</v>
      </c>
      <c r="Z71" s="157"/>
      <c r="AA71" s="157">
        <v>0</v>
      </c>
      <c r="AB71" s="157"/>
      <c r="AC71" s="157">
        <v>12000</v>
      </c>
      <c r="AD71" s="157"/>
      <c r="AE71" s="157">
        <v>0</v>
      </c>
      <c r="AF71" s="157"/>
      <c r="AG71" s="157">
        <v>27875</v>
      </c>
      <c r="AH71" s="157"/>
      <c r="AI71" s="157">
        <v>0</v>
      </c>
      <c r="AJ71" s="157"/>
      <c r="AK71" s="157">
        <v>0</v>
      </c>
      <c r="AL71" s="157"/>
      <c r="AM71" s="157">
        <v>0</v>
      </c>
      <c r="AN71" s="157"/>
      <c r="AO71" s="157">
        <v>0</v>
      </c>
      <c r="AP71" s="157"/>
      <c r="AQ71" s="157">
        <v>0</v>
      </c>
      <c r="AR71" s="157"/>
      <c r="AS71" s="157">
        <v>0</v>
      </c>
      <c r="AT71" s="157"/>
      <c r="AU71" s="157">
        <v>1100</v>
      </c>
      <c r="AV71" s="157"/>
      <c r="AW71" s="157">
        <v>0</v>
      </c>
      <c r="AX71" s="157"/>
      <c r="AY71" s="157">
        <v>0</v>
      </c>
      <c r="AZ71" s="157"/>
      <c r="BA71" s="157">
        <v>0</v>
      </c>
      <c r="BB71" s="157"/>
      <c r="BC71" s="157">
        <v>0</v>
      </c>
      <c r="BD71" s="157"/>
      <c r="BE71" s="157">
        <v>0</v>
      </c>
      <c r="BF71" s="157"/>
      <c r="BG71" s="157">
        <v>0</v>
      </c>
      <c r="BH71" s="157"/>
      <c r="BI71" s="157">
        <v>0</v>
      </c>
      <c r="BJ71" s="157"/>
      <c r="BK71" s="157">
        <v>0</v>
      </c>
      <c r="BL71" s="157"/>
      <c r="BM71" s="157">
        <v>0</v>
      </c>
      <c r="BN71" s="157"/>
      <c r="BO71" s="157">
        <v>0</v>
      </c>
      <c r="BP71" s="157"/>
      <c r="BQ71" s="157">
        <v>0</v>
      </c>
      <c r="BR71" s="157"/>
      <c r="BS71" s="157">
        <v>0</v>
      </c>
    </row>
    <row r="72" spans="1:71" x14ac:dyDescent="0.2">
      <c r="A72" s="123" t="s">
        <v>164</v>
      </c>
      <c r="B72" s="124" t="s">
        <v>165</v>
      </c>
      <c r="C72" s="157">
        <v>0</v>
      </c>
      <c r="D72" s="157"/>
      <c r="E72" s="157">
        <v>10196</v>
      </c>
      <c r="F72" s="157"/>
      <c r="G72" s="157">
        <v>3800</v>
      </c>
      <c r="H72" s="157"/>
      <c r="I72" s="157">
        <v>8050</v>
      </c>
      <c r="J72" s="157"/>
      <c r="K72" s="157">
        <v>95215</v>
      </c>
      <c r="L72" s="157"/>
      <c r="M72" s="157">
        <v>7587.45</v>
      </c>
      <c r="N72" s="157"/>
      <c r="O72" s="157">
        <v>15177.88</v>
      </c>
      <c r="P72" s="157"/>
      <c r="Q72" s="157">
        <v>0</v>
      </c>
      <c r="R72" s="157"/>
      <c r="S72" s="157">
        <v>3500</v>
      </c>
      <c r="T72" s="157"/>
      <c r="U72" s="157">
        <v>0</v>
      </c>
      <c r="V72" s="157"/>
      <c r="W72" s="157">
        <v>12835</v>
      </c>
      <c r="X72" s="157"/>
      <c r="Y72" s="157">
        <v>16324</v>
      </c>
      <c r="Z72" s="157"/>
      <c r="AA72" s="157">
        <v>19329</v>
      </c>
      <c r="AB72" s="157"/>
      <c r="AC72" s="157">
        <v>7775</v>
      </c>
      <c r="AD72" s="157"/>
      <c r="AE72" s="157">
        <v>5000</v>
      </c>
      <c r="AF72" s="157"/>
      <c r="AG72" s="157">
        <v>5920</v>
      </c>
      <c r="AH72" s="157"/>
      <c r="AI72" s="157">
        <v>11080</v>
      </c>
      <c r="AJ72" s="157"/>
      <c r="AK72" s="157">
        <v>0</v>
      </c>
      <c r="AL72" s="157"/>
      <c r="AM72" s="157">
        <v>6600</v>
      </c>
      <c r="AN72" s="157"/>
      <c r="AO72" s="157">
        <v>7154.28</v>
      </c>
      <c r="AP72" s="157"/>
      <c r="AQ72" s="157">
        <v>14800</v>
      </c>
      <c r="AR72" s="157"/>
      <c r="AS72" s="157">
        <v>14971.39</v>
      </c>
      <c r="AT72" s="157"/>
      <c r="AU72" s="157">
        <v>35476</v>
      </c>
      <c r="AV72" s="157"/>
      <c r="AW72" s="157">
        <v>15838.92</v>
      </c>
      <c r="AX72" s="157"/>
      <c r="AY72" s="157">
        <v>5000</v>
      </c>
      <c r="AZ72" s="157"/>
      <c r="BA72" s="157">
        <v>0</v>
      </c>
      <c r="BB72" s="157"/>
      <c r="BC72" s="157">
        <v>10929.13</v>
      </c>
      <c r="BD72" s="157"/>
      <c r="BE72" s="157">
        <v>25031</v>
      </c>
      <c r="BF72" s="157"/>
      <c r="BG72" s="157">
        <v>5118.6000000000004</v>
      </c>
      <c r="BH72" s="157"/>
      <c r="BI72" s="157">
        <v>14714.4</v>
      </c>
      <c r="BJ72" s="157"/>
      <c r="BK72" s="157">
        <v>13247</v>
      </c>
      <c r="BL72" s="157"/>
      <c r="BM72" s="157">
        <v>11673</v>
      </c>
      <c r="BN72" s="157"/>
      <c r="BO72" s="157">
        <v>6165</v>
      </c>
      <c r="BP72" s="157"/>
      <c r="BQ72" s="157">
        <v>3150</v>
      </c>
      <c r="BR72" s="157"/>
      <c r="BS72" s="157">
        <v>3800</v>
      </c>
    </row>
    <row r="73" spans="1:71" x14ac:dyDescent="0.2">
      <c r="A73" s="123" t="s">
        <v>576</v>
      </c>
      <c r="B73" s="124" t="s">
        <v>575</v>
      </c>
      <c r="C73" s="157">
        <v>0</v>
      </c>
      <c r="D73" s="157"/>
      <c r="E73" s="157">
        <v>2455</v>
      </c>
      <c r="F73" s="157"/>
      <c r="G73" s="157">
        <v>0</v>
      </c>
      <c r="H73" s="157"/>
      <c r="I73" s="157">
        <v>0</v>
      </c>
      <c r="J73" s="157"/>
      <c r="K73" s="157">
        <v>0</v>
      </c>
      <c r="L73" s="157"/>
      <c r="M73" s="157">
        <v>0</v>
      </c>
      <c r="N73" s="157"/>
      <c r="O73" s="157">
        <v>0</v>
      </c>
      <c r="P73" s="157"/>
      <c r="Q73" s="157">
        <v>0</v>
      </c>
      <c r="R73" s="157"/>
      <c r="S73" s="157">
        <v>0</v>
      </c>
      <c r="T73" s="157"/>
      <c r="U73" s="157">
        <v>0</v>
      </c>
      <c r="V73" s="157"/>
      <c r="W73" s="157">
        <v>0</v>
      </c>
      <c r="X73" s="157"/>
      <c r="Y73" s="157">
        <v>1425</v>
      </c>
      <c r="Z73" s="157"/>
      <c r="AA73" s="157">
        <v>0</v>
      </c>
      <c r="AB73" s="157"/>
      <c r="AC73" s="157">
        <v>0</v>
      </c>
      <c r="AD73" s="157"/>
      <c r="AE73" s="157">
        <v>0</v>
      </c>
      <c r="AF73" s="157"/>
      <c r="AG73" s="157">
        <v>0</v>
      </c>
      <c r="AH73" s="157"/>
      <c r="AI73" s="157">
        <v>4009</v>
      </c>
      <c r="AJ73" s="157"/>
      <c r="AK73" s="157">
        <v>0</v>
      </c>
      <c r="AL73" s="157"/>
      <c r="AM73" s="157">
        <v>0</v>
      </c>
      <c r="AN73" s="157"/>
      <c r="AO73" s="157">
        <v>13728</v>
      </c>
      <c r="AP73" s="157"/>
      <c r="AQ73" s="157">
        <v>0</v>
      </c>
      <c r="AR73" s="157"/>
      <c r="AS73" s="157">
        <v>0</v>
      </c>
      <c r="AT73" s="157"/>
      <c r="AU73" s="157">
        <v>11750</v>
      </c>
      <c r="AV73" s="157"/>
      <c r="AW73" s="157">
        <v>0</v>
      </c>
      <c r="AX73" s="157"/>
      <c r="AY73" s="157">
        <v>0</v>
      </c>
      <c r="AZ73" s="157"/>
      <c r="BA73" s="157">
        <v>0</v>
      </c>
      <c r="BB73" s="157"/>
      <c r="BC73" s="157">
        <v>38140.839999999997</v>
      </c>
      <c r="BD73" s="157"/>
      <c r="BE73" s="157">
        <v>0</v>
      </c>
      <c r="BF73" s="157"/>
      <c r="BG73" s="157">
        <v>0</v>
      </c>
      <c r="BH73" s="157"/>
      <c r="BI73" s="157">
        <v>0</v>
      </c>
      <c r="BJ73" s="157"/>
      <c r="BK73" s="157">
        <v>0</v>
      </c>
      <c r="BL73" s="157"/>
      <c r="BM73" s="157">
        <v>0</v>
      </c>
      <c r="BN73" s="157"/>
      <c r="BO73" s="157">
        <v>0</v>
      </c>
      <c r="BP73" s="157"/>
      <c r="BQ73" s="157">
        <v>0</v>
      </c>
      <c r="BR73" s="157"/>
      <c r="BS73" s="157">
        <v>0</v>
      </c>
    </row>
    <row r="74" spans="1:71" x14ac:dyDescent="0.2">
      <c r="A74" s="123" t="s">
        <v>460</v>
      </c>
      <c r="B74" s="124" t="s">
        <v>461</v>
      </c>
      <c r="C74" s="157">
        <v>0</v>
      </c>
      <c r="D74" s="157"/>
      <c r="E74" s="157">
        <v>0</v>
      </c>
      <c r="F74" s="157"/>
      <c r="G74" s="157">
        <v>0</v>
      </c>
      <c r="H74" s="157"/>
      <c r="I74" s="157">
        <v>0</v>
      </c>
      <c r="J74" s="157"/>
      <c r="K74" s="157">
        <v>20500</v>
      </c>
      <c r="L74" s="157"/>
      <c r="M74" s="157">
        <v>0</v>
      </c>
      <c r="N74" s="157"/>
      <c r="O74" s="157">
        <v>0</v>
      </c>
      <c r="P74" s="157"/>
      <c r="Q74" s="157">
        <v>0</v>
      </c>
      <c r="R74" s="157"/>
      <c r="S74" s="157">
        <v>0</v>
      </c>
      <c r="T74" s="157"/>
      <c r="U74" s="157">
        <v>0</v>
      </c>
      <c r="V74" s="157"/>
      <c r="W74" s="157">
        <v>0</v>
      </c>
      <c r="X74" s="157"/>
      <c r="Y74" s="157">
        <v>0</v>
      </c>
      <c r="Z74" s="157"/>
      <c r="AA74" s="157">
        <v>0</v>
      </c>
      <c r="AB74" s="157"/>
      <c r="AC74" s="157">
        <v>0</v>
      </c>
      <c r="AD74" s="157"/>
      <c r="AE74" s="157">
        <v>0</v>
      </c>
      <c r="AF74" s="157"/>
      <c r="AG74" s="157">
        <v>3250</v>
      </c>
      <c r="AH74" s="157"/>
      <c r="AI74" s="157">
        <v>0</v>
      </c>
      <c r="AJ74" s="157"/>
      <c r="AK74" s="157">
        <v>0</v>
      </c>
      <c r="AL74" s="157"/>
      <c r="AM74" s="157">
        <v>0</v>
      </c>
      <c r="AN74" s="157"/>
      <c r="AO74" s="157">
        <v>0</v>
      </c>
      <c r="AP74" s="157"/>
      <c r="AQ74" s="157">
        <v>0</v>
      </c>
      <c r="AR74" s="157"/>
      <c r="AS74" s="157">
        <v>0</v>
      </c>
      <c r="AT74" s="157"/>
      <c r="AU74" s="157">
        <v>0</v>
      </c>
      <c r="AV74" s="157"/>
      <c r="AW74" s="157">
        <v>0</v>
      </c>
      <c r="AX74" s="157"/>
      <c r="AY74" s="157">
        <v>0</v>
      </c>
      <c r="AZ74" s="157"/>
      <c r="BA74" s="157">
        <v>0</v>
      </c>
      <c r="BB74" s="157"/>
      <c r="BC74" s="157">
        <v>36347.83</v>
      </c>
      <c r="BD74" s="157"/>
      <c r="BE74" s="157">
        <v>0</v>
      </c>
      <c r="BF74" s="157"/>
      <c r="BG74" s="157">
        <v>0</v>
      </c>
      <c r="BH74" s="157"/>
      <c r="BI74" s="157">
        <v>0</v>
      </c>
      <c r="BJ74" s="157"/>
      <c r="BK74" s="157">
        <v>0</v>
      </c>
      <c r="BL74" s="157"/>
      <c r="BM74" s="157">
        <v>0</v>
      </c>
      <c r="BN74" s="157"/>
      <c r="BO74" s="157">
        <v>0</v>
      </c>
      <c r="BP74" s="157"/>
      <c r="BQ74" s="157">
        <v>0</v>
      </c>
      <c r="BR74" s="157"/>
      <c r="BS74" s="157">
        <v>0</v>
      </c>
    </row>
    <row r="75" spans="1:71" x14ac:dyDescent="0.2">
      <c r="A75" s="123" t="s">
        <v>574</v>
      </c>
      <c r="B75" s="124" t="s">
        <v>573</v>
      </c>
      <c r="C75" s="157">
        <v>0</v>
      </c>
      <c r="D75" s="157"/>
      <c r="E75" s="157">
        <v>0</v>
      </c>
      <c r="F75" s="157"/>
      <c r="G75" s="157">
        <v>6244.04</v>
      </c>
      <c r="H75" s="157"/>
      <c r="I75" s="157">
        <v>0</v>
      </c>
      <c r="J75" s="157"/>
      <c r="K75" s="157">
        <v>0</v>
      </c>
      <c r="L75" s="157"/>
      <c r="M75" s="157">
        <v>0</v>
      </c>
      <c r="N75" s="157"/>
      <c r="O75" s="157">
        <v>85136.33</v>
      </c>
      <c r="P75" s="157"/>
      <c r="Q75" s="157">
        <v>0</v>
      </c>
      <c r="R75" s="157"/>
      <c r="S75" s="157">
        <v>0</v>
      </c>
      <c r="T75" s="157"/>
      <c r="U75" s="157">
        <v>0</v>
      </c>
      <c r="V75" s="157"/>
      <c r="W75" s="157">
        <v>74212</v>
      </c>
      <c r="X75" s="157"/>
      <c r="Y75" s="157">
        <v>0</v>
      </c>
      <c r="Z75" s="157"/>
      <c r="AA75" s="157">
        <v>0</v>
      </c>
      <c r="AB75" s="157"/>
      <c r="AC75" s="157">
        <v>0</v>
      </c>
      <c r="AD75" s="157"/>
      <c r="AE75" s="157">
        <v>0</v>
      </c>
      <c r="AF75" s="157"/>
      <c r="AG75" s="157">
        <v>0</v>
      </c>
      <c r="AH75" s="157"/>
      <c r="AI75" s="157">
        <v>0</v>
      </c>
      <c r="AJ75" s="157"/>
      <c r="AK75" s="157">
        <v>0</v>
      </c>
      <c r="AL75" s="157"/>
      <c r="AM75" s="157">
        <v>0</v>
      </c>
      <c r="AN75" s="157"/>
      <c r="AO75" s="157">
        <v>16250</v>
      </c>
      <c r="AP75" s="157"/>
      <c r="AQ75" s="157">
        <v>0</v>
      </c>
      <c r="AR75" s="157"/>
      <c r="AS75" s="157">
        <v>0</v>
      </c>
      <c r="AT75" s="157"/>
      <c r="AU75" s="157">
        <v>1295</v>
      </c>
      <c r="AV75" s="157"/>
      <c r="AW75" s="157">
        <v>0</v>
      </c>
      <c r="AX75" s="157"/>
      <c r="AY75" s="157">
        <v>0</v>
      </c>
      <c r="AZ75" s="157"/>
      <c r="BA75" s="157">
        <v>0</v>
      </c>
      <c r="BB75" s="157"/>
      <c r="BC75" s="157">
        <v>0</v>
      </c>
      <c r="BD75" s="157"/>
      <c r="BE75" s="157">
        <v>0</v>
      </c>
      <c r="BF75" s="157"/>
      <c r="BG75" s="157">
        <v>0</v>
      </c>
      <c r="BH75" s="157"/>
      <c r="BI75" s="157">
        <v>0</v>
      </c>
      <c r="BJ75" s="157"/>
      <c r="BK75" s="157">
        <v>0</v>
      </c>
      <c r="BL75" s="157"/>
      <c r="BM75" s="157">
        <v>0</v>
      </c>
      <c r="BN75" s="157"/>
      <c r="BO75" s="157">
        <v>66100.02</v>
      </c>
      <c r="BP75" s="157"/>
      <c r="BQ75" s="157">
        <v>0</v>
      </c>
      <c r="BR75" s="157"/>
      <c r="BS75" s="157">
        <v>58524.26</v>
      </c>
    </row>
    <row r="76" spans="1:71" x14ac:dyDescent="0.2">
      <c r="A76" s="123" t="s">
        <v>166</v>
      </c>
      <c r="B76" s="124" t="s">
        <v>167</v>
      </c>
      <c r="C76" s="157">
        <v>0</v>
      </c>
      <c r="D76" s="157"/>
      <c r="E76" s="157">
        <v>0</v>
      </c>
      <c r="F76" s="157"/>
      <c r="G76" s="157">
        <v>0</v>
      </c>
      <c r="H76" s="157"/>
      <c r="I76" s="157">
        <v>0</v>
      </c>
      <c r="J76" s="157"/>
      <c r="K76" s="157">
        <v>0</v>
      </c>
      <c r="L76" s="157"/>
      <c r="M76" s="157">
        <v>0</v>
      </c>
      <c r="N76" s="157"/>
      <c r="O76" s="157">
        <v>0</v>
      </c>
      <c r="P76" s="157"/>
      <c r="Q76" s="157">
        <v>12048.15</v>
      </c>
      <c r="R76" s="157"/>
      <c r="S76" s="157">
        <v>0</v>
      </c>
      <c r="T76" s="157"/>
      <c r="U76" s="157">
        <v>0</v>
      </c>
      <c r="V76" s="157"/>
      <c r="W76" s="157">
        <v>0</v>
      </c>
      <c r="X76" s="157"/>
      <c r="Y76" s="157">
        <v>0</v>
      </c>
      <c r="Z76" s="157"/>
      <c r="AA76" s="157">
        <v>0</v>
      </c>
      <c r="AB76" s="157"/>
      <c r="AC76" s="157">
        <v>0</v>
      </c>
      <c r="AD76" s="157"/>
      <c r="AE76" s="157">
        <v>0</v>
      </c>
      <c r="AF76" s="157"/>
      <c r="AG76" s="157">
        <v>0</v>
      </c>
      <c r="AH76" s="157"/>
      <c r="AI76" s="157">
        <v>0</v>
      </c>
      <c r="AJ76" s="157"/>
      <c r="AK76" s="157">
        <v>0</v>
      </c>
      <c r="AL76" s="157"/>
      <c r="AM76" s="157">
        <v>0</v>
      </c>
      <c r="AN76" s="157"/>
      <c r="AO76" s="157">
        <v>0</v>
      </c>
      <c r="AP76" s="157"/>
      <c r="AQ76" s="157">
        <v>0</v>
      </c>
      <c r="AR76" s="157"/>
      <c r="AS76" s="157">
        <v>26346.43</v>
      </c>
      <c r="AT76" s="157"/>
      <c r="AU76" s="157">
        <v>0</v>
      </c>
      <c r="AV76" s="157"/>
      <c r="AW76" s="157">
        <v>0</v>
      </c>
      <c r="AX76" s="157"/>
      <c r="AY76" s="157">
        <v>0</v>
      </c>
      <c r="AZ76" s="157"/>
      <c r="BA76" s="157">
        <v>0</v>
      </c>
      <c r="BB76" s="157"/>
      <c r="BC76" s="157">
        <v>0</v>
      </c>
      <c r="BD76" s="157"/>
      <c r="BE76" s="157">
        <v>0</v>
      </c>
      <c r="BF76" s="157"/>
      <c r="BG76" s="157">
        <v>0</v>
      </c>
      <c r="BH76" s="157"/>
      <c r="BI76" s="157">
        <v>0</v>
      </c>
      <c r="BJ76" s="157"/>
      <c r="BK76" s="157">
        <v>0</v>
      </c>
      <c r="BL76" s="157"/>
      <c r="BM76" s="157">
        <v>0</v>
      </c>
      <c r="BN76" s="157"/>
      <c r="BO76" s="157">
        <v>0</v>
      </c>
      <c r="BP76" s="157"/>
      <c r="BQ76" s="157">
        <v>0</v>
      </c>
      <c r="BR76" s="157"/>
      <c r="BS76" s="157">
        <v>0</v>
      </c>
    </row>
    <row r="77" spans="1:71" x14ac:dyDescent="0.2">
      <c r="A77" s="123" t="s">
        <v>462</v>
      </c>
      <c r="B77" s="124" t="s">
        <v>463</v>
      </c>
      <c r="C77" s="157">
        <v>0</v>
      </c>
      <c r="D77" s="157"/>
      <c r="E77" s="157">
        <v>3732</v>
      </c>
      <c r="F77" s="157"/>
      <c r="G77" s="157">
        <v>11848</v>
      </c>
      <c r="H77" s="157"/>
      <c r="I77" s="157">
        <v>0</v>
      </c>
      <c r="J77" s="157"/>
      <c r="K77" s="157">
        <v>43438</v>
      </c>
      <c r="L77" s="157"/>
      <c r="M77" s="157">
        <v>0</v>
      </c>
      <c r="N77" s="157"/>
      <c r="O77" s="157">
        <v>7210.06</v>
      </c>
      <c r="P77" s="157"/>
      <c r="Q77" s="157">
        <v>0</v>
      </c>
      <c r="R77" s="157"/>
      <c r="S77" s="157">
        <v>13204</v>
      </c>
      <c r="T77" s="157"/>
      <c r="U77" s="157">
        <v>0</v>
      </c>
      <c r="V77" s="157"/>
      <c r="W77" s="157">
        <v>2600.5500000000002</v>
      </c>
      <c r="X77" s="157"/>
      <c r="Y77" s="157">
        <v>0</v>
      </c>
      <c r="Z77" s="157"/>
      <c r="AA77" s="157">
        <v>0</v>
      </c>
      <c r="AB77" s="157"/>
      <c r="AC77" s="157">
        <v>10887</v>
      </c>
      <c r="AD77" s="157"/>
      <c r="AE77" s="157">
        <v>0</v>
      </c>
      <c r="AF77" s="157"/>
      <c r="AG77" s="157">
        <v>0</v>
      </c>
      <c r="AH77" s="157"/>
      <c r="AI77" s="157">
        <v>0</v>
      </c>
      <c r="AJ77" s="157"/>
      <c r="AK77" s="157">
        <v>0</v>
      </c>
      <c r="AL77" s="157"/>
      <c r="AM77" s="157">
        <v>3395</v>
      </c>
      <c r="AN77" s="157"/>
      <c r="AO77" s="157">
        <v>2606.7800000000002</v>
      </c>
      <c r="AP77" s="157"/>
      <c r="AQ77" s="157">
        <v>0</v>
      </c>
      <c r="AR77" s="157"/>
      <c r="AS77" s="157">
        <v>0</v>
      </c>
      <c r="AT77" s="157"/>
      <c r="AU77" s="157">
        <v>6959</v>
      </c>
      <c r="AV77" s="157"/>
      <c r="AW77" s="157">
        <v>0</v>
      </c>
      <c r="AX77" s="157"/>
      <c r="AY77" s="157">
        <v>0</v>
      </c>
      <c r="AZ77" s="157"/>
      <c r="BA77" s="157">
        <v>0</v>
      </c>
      <c r="BB77" s="157"/>
      <c r="BC77" s="157">
        <v>0</v>
      </c>
      <c r="BD77" s="157"/>
      <c r="BE77" s="157">
        <v>12799</v>
      </c>
      <c r="BF77" s="157"/>
      <c r="BG77" s="157">
        <v>0</v>
      </c>
      <c r="BH77" s="157"/>
      <c r="BI77" s="157">
        <v>0</v>
      </c>
      <c r="BJ77" s="157"/>
      <c r="BK77" s="157">
        <v>0</v>
      </c>
      <c r="BL77" s="157"/>
      <c r="BM77" s="157">
        <v>3255</v>
      </c>
      <c r="BN77" s="157"/>
      <c r="BO77" s="157">
        <v>0</v>
      </c>
      <c r="BP77" s="157"/>
      <c r="BQ77" s="157">
        <v>0</v>
      </c>
      <c r="BR77" s="157"/>
      <c r="BS77" s="157">
        <v>0</v>
      </c>
    </row>
    <row r="78" spans="1:71" x14ac:dyDescent="0.2">
      <c r="A78" s="123" t="s">
        <v>636</v>
      </c>
      <c r="B78" s="124" t="s">
        <v>635</v>
      </c>
      <c r="C78" s="157">
        <v>1275</v>
      </c>
      <c r="D78" s="157"/>
      <c r="E78" s="157">
        <v>0</v>
      </c>
      <c r="F78" s="157"/>
      <c r="G78" s="157">
        <v>0</v>
      </c>
      <c r="H78" s="157"/>
      <c r="I78" s="157">
        <v>0</v>
      </c>
      <c r="J78" s="157"/>
      <c r="K78" s="157">
        <v>0</v>
      </c>
      <c r="L78" s="157"/>
      <c r="M78" s="157">
        <v>0</v>
      </c>
      <c r="N78" s="157"/>
      <c r="O78" s="157">
        <v>1200</v>
      </c>
      <c r="P78" s="157"/>
      <c r="Q78" s="157">
        <v>0</v>
      </c>
      <c r="R78" s="157"/>
      <c r="S78" s="157">
        <v>5050</v>
      </c>
      <c r="T78" s="157"/>
      <c r="U78" s="157">
        <v>0</v>
      </c>
      <c r="V78" s="157"/>
      <c r="W78" s="157">
        <v>0</v>
      </c>
      <c r="X78" s="157"/>
      <c r="Y78" s="157">
        <v>0</v>
      </c>
      <c r="Z78" s="157"/>
      <c r="AA78" s="157">
        <v>0</v>
      </c>
      <c r="AB78" s="157"/>
      <c r="AC78" s="157">
        <v>2885</v>
      </c>
      <c r="AD78" s="157"/>
      <c r="AE78" s="157">
        <v>0</v>
      </c>
      <c r="AF78" s="157"/>
      <c r="AG78" s="157">
        <v>0</v>
      </c>
      <c r="AH78" s="157"/>
      <c r="AI78" s="157">
        <v>0</v>
      </c>
      <c r="AJ78" s="157"/>
      <c r="AK78" s="157">
        <v>0</v>
      </c>
      <c r="AL78" s="157"/>
      <c r="AM78" s="157">
        <v>0</v>
      </c>
      <c r="AN78" s="157"/>
      <c r="AO78" s="157">
        <v>24690</v>
      </c>
      <c r="AP78" s="157"/>
      <c r="AQ78" s="157">
        <v>0</v>
      </c>
      <c r="AR78" s="157"/>
      <c r="AS78" s="157">
        <v>0</v>
      </c>
      <c r="AT78" s="157"/>
      <c r="AU78" s="157">
        <v>0</v>
      </c>
      <c r="AV78" s="157"/>
      <c r="AW78" s="157">
        <v>0</v>
      </c>
      <c r="AX78" s="157"/>
      <c r="AY78" s="157">
        <v>0</v>
      </c>
      <c r="AZ78" s="157"/>
      <c r="BA78" s="157">
        <v>0</v>
      </c>
      <c r="BB78" s="157"/>
      <c r="BC78" s="157">
        <v>0</v>
      </c>
      <c r="BD78" s="157"/>
      <c r="BE78" s="157">
        <v>20090</v>
      </c>
      <c r="BF78" s="157"/>
      <c r="BG78" s="157">
        <v>0</v>
      </c>
      <c r="BH78" s="157"/>
      <c r="BI78" s="157">
        <v>0</v>
      </c>
      <c r="BJ78" s="157"/>
      <c r="BK78" s="157">
        <v>0</v>
      </c>
      <c r="BL78" s="157"/>
      <c r="BM78" s="157">
        <v>0</v>
      </c>
      <c r="BN78" s="157"/>
      <c r="BO78" s="157">
        <v>0</v>
      </c>
      <c r="BP78" s="157"/>
      <c r="BQ78" s="157">
        <v>0</v>
      </c>
      <c r="BR78" s="157"/>
      <c r="BS78" s="157">
        <v>0</v>
      </c>
    </row>
    <row r="79" spans="1:71" x14ac:dyDescent="0.2">
      <c r="A79" s="123" t="s">
        <v>168</v>
      </c>
      <c r="B79" s="124" t="s">
        <v>169</v>
      </c>
      <c r="C79" s="157">
        <v>34545.08</v>
      </c>
      <c r="D79" s="157"/>
      <c r="E79" s="157">
        <v>11150</v>
      </c>
      <c r="F79" s="157"/>
      <c r="G79" s="157">
        <v>31476</v>
      </c>
      <c r="H79" s="157"/>
      <c r="I79" s="157">
        <v>5360</v>
      </c>
      <c r="J79" s="157"/>
      <c r="K79" s="157">
        <v>10563</v>
      </c>
      <c r="L79" s="157"/>
      <c r="M79" s="157">
        <v>0</v>
      </c>
      <c r="N79" s="157"/>
      <c r="O79" s="157">
        <v>18099.11</v>
      </c>
      <c r="P79" s="157"/>
      <c r="Q79" s="157">
        <v>6575.43</v>
      </c>
      <c r="R79" s="157"/>
      <c r="S79" s="157">
        <v>39000</v>
      </c>
      <c r="T79" s="157"/>
      <c r="U79" s="157">
        <v>0</v>
      </c>
      <c r="V79" s="157"/>
      <c r="W79" s="157">
        <v>52070</v>
      </c>
      <c r="X79" s="157"/>
      <c r="Y79" s="157">
        <v>10000</v>
      </c>
      <c r="Z79" s="157"/>
      <c r="AA79" s="157">
        <v>41542</v>
      </c>
      <c r="AB79" s="157"/>
      <c r="AC79" s="157">
        <v>28460</v>
      </c>
      <c r="AD79" s="157"/>
      <c r="AE79" s="157">
        <v>12516</v>
      </c>
      <c r="AF79" s="157"/>
      <c r="AG79" s="157">
        <v>41003</v>
      </c>
      <c r="AH79" s="157"/>
      <c r="AI79" s="157">
        <v>34335</v>
      </c>
      <c r="AJ79" s="157"/>
      <c r="AK79" s="157">
        <v>0</v>
      </c>
      <c r="AL79" s="157"/>
      <c r="AM79" s="157">
        <v>3800</v>
      </c>
      <c r="AN79" s="157"/>
      <c r="AO79" s="157">
        <v>41208</v>
      </c>
      <c r="AP79" s="157"/>
      <c r="AQ79" s="157">
        <v>3122</v>
      </c>
      <c r="AR79" s="157"/>
      <c r="AS79" s="157">
        <v>10222</v>
      </c>
      <c r="AT79" s="157"/>
      <c r="AU79" s="157">
        <v>66239.789999999994</v>
      </c>
      <c r="AV79" s="157"/>
      <c r="AW79" s="157">
        <v>26760</v>
      </c>
      <c r="AX79" s="157"/>
      <c r="AY79" s="157">
        <v>6714</v>
      </c>
      <c r="AZ79" s="157"/>
      <c r="BA79" s="157">
        <v>29928</v>
      </c>
      <c r="BB79" s="157"/>
      <c r="BC79" s="157">
        <v>4482</v>
      </c>
      <c r="BD79" s="157"/>
      <c r="BE79" s="157">
        <v>10897.51</v>
      </c>
      <c r="BF79" s="157"/>
      <c r="BG79" s="157">
        <v>17100.669999999998</v>
      </c>
      <c r="BH79" s="157"/>
      <c r="BI79" s="157">
        <v>11735</v>
      </c>
      <c r="BJ79" s="157"/>
      <c r="BK79" s="157">
        <v>7800</v>
      </c>
      <c r="BL79" s="157"/>
      <c r="BM79" s="157">
        <v>0</v>
      </c>
      <c r="BN79" s="157"/>
      <c r="BO79" s="157">
        <v>0</v>
      </c>
      <c r="BP79" s="157"/>
      <c r="BQ79" s="157">
        <v>0</v>
      </c>
      <c r="BR79" s="157"/>
      <c r="BS79" s="157">
        <v>2683</v>
      </c>
    </row>
    <row r="80" spans="1:71" x14ac:dyDescent="0.2">
      <c r="A80" s="123" t="s">
        <v>597</v>
      </c>
      <c r="B80" s="124" t="s">
        <v>596</v>
      </c>
      <c r="C80" s="157">
        <v>0</v>
      </c>
      <c r="D80" s="157"/>
      <c r="E80" s="157">
        <v>0</v>
      </c>
      <c r="F80" s="157"/>
      <c r="G80" s="157">
        <v>0</v>
      </c>
      <c r="H80" s="157"/>
      <c r="I80" s="157">
        <v>0</v>
      </c>
      <c r="J80" s="157"/>
      <c r="K80" s="157">
        <v>0</v>
      </c>
      <c r="L80" s="157"/>
      <c r="M80" s="157">
        <v>12413.78</v>
      </c>
      <c r="N80" s="157"/>
      <c r="O80" s="157">
        <v>0</v>
      </c>
      <c r="P80" s="157"/>
      <c r="Q80" s="157">
        <v>0</v>
      </c>
      <c r="R80" s="157"/>
      <c r="S80" s="157">
        <v>0</v>
      </c>
      <c r="T80" s="157"/>
      <c r="U80" s="157">
        <v>0</v>
      </c>
      <c r="V80" s="157"/>
      <c r="W80" s="157">
        <v>0</v>
      </c>
      <c r="X80" s="157"/>
      <c r="Y80" s="157">
        <v>0</v>
      </c>
      <c r="Z80" s="157"/>
      <c r="AA80" s="157">
        <v>15896.47</v>
      </c>
      <c r="AB80" s="157"/>
      <c r="AC80" s="157">
        <v>0</v>
      </c>
      <c r="AD80" s="157"/>
      <c r="AE80" s="157">
        <v>0</v>
      </c>
      <c r="AF80" s="157"/>
      <c r="AG80" s="157">
        <v>0</v>
      </c>
      <c r="AH80" s="157"/>
      <c r="AI80" s="157">
        <v>0</v>
      </c>
      <c r="AJ80" s="157"/>
      <c r="AK80" s="157">
        <v>0</v>
      </c>
      <c r="AL80" s="157"/>
      <c r="AM80" s="157">
        <v>0</v>
      </c>
      <c r="AN80" s="157"/>
      <c r="AO80" s="157">
        <v>0</v>
      </c>
      <c r="AP80" s="157"/>
      <c r="AQ80" s="157">
        <v>0</v>
      </c>
      <c r="AR80" s="157"/>
      <c r="AS80" s="157">
        <v>0</v>
      </c>
      <c r="AT80" s="157"/>
      <c r="AU80" s="157">
        <v>0</v>
      </c>
      <c r="AV80" s="157"/>
      <c r="AW80" s="157">
        <v>0</v>
      </c>
      <c r="AX80" s="157"/>
      <c r="AY80" s="157">
        <v>0</v>
      </c>
      <c r="AZ80" s="157"/>
      <c r="BA80" s="157">
        <v>0</v>
      </c>
      <c r="BB80" s="157"/>
      <c r="BC80" s="157">
        <v>0</v>
      </c>
      <c r="BD80" s="157"/>
      <c r="BE80" s="157">
        <v>0</v>
      </c>
      <c r="BF80" s="157"/>
      <c r="BG80" s="157">
        <v>0</v>
      </c>
      <c r="BH80" s="157"/>
      <c r="BI80" s="157">
        <v>0</v>
      </c>
      <c r="BJ80" s="157"/>
      <c r="BK80" s="157">
        <v>0</v>
      </c>
      <c r="BL80" s="157"/>
      <c r="BM80" s="157">
        <v>0</v>
      </c>
      <c r="BN80" s="157"/>
      <c r="BO80" s="157">
        <v>0</v>
      </c>
      <c r="BP80" s="157"/>
      <c r="BQ80" s="157">
        <v>0</v>
      </c>
      <c r="BR80" s="157"/>
      <c r="BS80" s="157">
        <v>0</v>
      </c>
    </row>
    <row r="81" spans="1:72" x14ac:dyDescent="0.2">
      <c r="A81" s="123" t="s">
        <v>634</v>
      </c>
      <c r="B81" s="124" t="s">
        <v>633</v>
      </c>
      <c r="C81" s="157">
        <v>3475</v>
      </c>
      <c r="D81" s="157"/>
      <c r="E81" s="157">
        <v>0</v>
      </c>
      <c r="F81" s="157"/>
      <c r="G81" s="157">
        <v>0</v>
      </c>
      <c r="H81" s="157"/>
      <c r="I81" s="157">
        <v>0</v>
      </c>
      <c r="J81" s="157"/>
      <c r="K81" s="157">
        <v>0</v>
      </c>
      <c r="L81" s="157"/>
      <c r="M81" s="157">
        <v>0</v>
      </c>
      <c r="N81" s="157"/>
      <c r="O81" s="157">
        <v>0</v>
      </c>
      <c r="P81" s="157"/>
      <c r="Q81" s="157">
        <v>0</v>
      </c>
      <c r="R81" s="157"/>
      <c r="S81" s="157">
        <v>0</v>
      </c>
      <c r="T81" s="157"/>
      <c r="U81" s="157">
        <v>0</v>
      </c>
      <c r="V81" s="157"/>
      <c r="W81" s="157">
        <v>0</v>
      </c>
      <c r="X81" s="157"/>
      <c r="Y81" s="157">
        <v>0</v>
      </c>
      <c r="Z81" s="157"/>
      <c r="AA81" s="157">
        <v>0</v>
      </c>
      <c r="AB81" s="157"/>
      <c r="AC81" s="157">
        <v>0</v>
      </c>
      <c r="AD81" s="157"/>
      <c r="AE81" s="157">
        <v>0</v>
      </c>
      <c r="AF81" s="157"/>
      <c r="AG81" s="157">
        <v>0</v>
      </c>
      <c r="AH81" s="157"/>
      <c r="AI81" s="157">
        <v>0</v>
      </c>
      <c r="AJ81" s="157"/>
      <c r="AK81" s="157">
        <v>0</v>
      </c>
      <c r="AL81" s="157"/>
      <c r="AM81" s="157">
        <v>0</v>
      </c>
      <c r="AN81" s="157"/>
      <c r="AO81" s="157">
        <v>0</v>
      </c>
      <c r="AP81" s="157"/>
      <c r="AQ81" s="157">
        <v>0</v>
      </c>
      <c r="AR81" s="157"/>
      <c r="AS81" s="157">
        <v>0</v>
      </c>
      <c r="AT81" s="157"/>
      <c r="AU81" s="157">
        <v>0</v>
      </c>
      <c r="AV81" s="157"/>
      <c r="AW81" s="157">
        <v>0</v>
      </c>
      <c r="AX81" s="157"/>
      <c r="AY81" s="157">
        <v>0</v>
      </c>
      <c r="AZ81" s="157"/>
      <c r="BA81" s="157">
        <v>0</v>
      </c>
      <c r="BB81" s="157"/>
      <c r="BC81" s="157">
        <v>0</v>
      </c>
      <c r="BD81" s="157"/>
      <c r="BE81" s="157">
        <v>0</v>
      </c>
      <c r="BF81" s="157"/>
      <c r="BG81" s="157">
        <v>0</v>
      </c>
      <c r="BH81" s="157"/>
      <c r="BI81" s="157">
        <v>3930</v>
      </c>
      <c r="BJ81" s="157"/>
      <c r="BK81" s="157">
        <v>3198</v>
      </c>
      <c r="BL81" s="157"/>
      <c r="BM81" s="157">
        <v>0</v>
      </c>
      <c r="BN81" s="157"/>
      <c r="BO81" s="157">
        <v>0</v>
      </c>
      <c r="BP81" s="157"/>
      <c r="BQ81" s="157">
        <v>0</v>
      </c>
      <c r="BR81" s="157"/>
      <c r="BS81" s="157">
        <v>0</v>
      </c>
    </row>
    <row r="82" spans="1:72" x14ac:dyDescent="0.2">
      <c r="A82" s="123" t="s">
        <v>572</v>
      </c>
      <c r="B82" s="124" t="s">
        <v>571</v>
      </c>
      <c r="C82" s="157">
        <v>0</v>
      </c>
      <c r="D82" s="157"/>
      <c r="E82" s="157">
        <v>0</v>
      </c>
      <c r="F82" s="157"/>
      <c r="G82" s="157">
        <v>10685</v>
      </c>
      <c r="H82" s="157"/>
      <c r="I82" s="157">
        <v>0</v>
      </c>
      <c r="J82" s="157"/>
      <c r="K82" s="157">
        <v>0</v>
      </c>
      <c r="L82" s="157"/>
      <c r="M82" s="157">
        <v>0</v>
      </c>
      <c r="N82" s="157"/>
      <c r="O82" s="157">
        <v>6732</v>
      </c>
      <c r="P82" s="157"/>
      <c r="Q82" s="157">
        <v>0</v>
      </c>
      <c r="R82" s="157"/>
      <c r="S82" s="157">
        <v>0</v>
      </c>
      <c r="T82" s="157"/>
      <c r="U82" s="157">
        <v>0</v>
      </c>
      <c r="V82" s="157"/>
      <c r="W82" s="157">
        <v>0</v>
      </c>
      <c r="X82" s="157"/>
      <c r="Y82" s="157">
        <v>0</v>
      </c>
      <c r="Z82" s="157"/>
      <c r="AA82" s="157">
        <v>0</v>
      </c>
      <c r="AB82" s="157"/>
      <c r="AC82" s="157">
        <v>0</v>
      </c>
      <c r="AD82" s="157"/>
      <c r="AE82" s="157">
        <v>0</v>
      </c>
      <c r="AF82" s="157"/>
      <c r="AG82" s="157">
        <v>1980</v>
      </c>
      <c r="AH82" s="157"/>
      <c r="AI82" s="157">
        <v>0</v>
      </c>
      <c r="AJ82" s="157"/>
      <c r="AK82" s="157">
        <v>12110.1</v>
      </c>
      <c r="AL82" s="157"/>
      <c r="AM82" s="157">
        <v>0</v>
      </c>
      <c r="AN82" s="157"/>
      <c r="AO82" s="157">
        <v>0</v>
      </c>
      <c r="AP82" s="157"/>
      <c r="AQ82" s="157">
        <v>0</v>
      </c>
      <c r="AR82" s="157"/>
      <c r="AS82" s="157">
        <v>0</v>
      </c>
      <c r="AT82" s="157"/>
      <c r="AU82" s="157">
        <v>70744.5</v>
      </c>
      <c r="AV82" s="157"/>
      <c r="AW82" s="157">
        <v>0</v>
      </c>
      <c r="AX82" s="157"/>
      <c r="AY82" s="157">
        <v>3870</v>
      </c>
      <c r="AZ82" s="157"/>
      <c r="BA82" s="157">
        <v>5840</v>
      </c>
      <c r="BB82" s="157"/>
      <c r="BC82" s="157">
        <v>0</v>
      </c>
      <c r="BD82" s="157"/>
      <c r="BE82" s="157">
        <v>0</v>
      </c>
      <c r="BF82" s="157"/>
      <c r="BG82" s="157">
        <v>0</v>
      </c>
      <c r="BH82" s="157"/>
      <c r="BI82" s="157">
        <v>0</v>
      </c>
      <c r="BJ82" s="157"/>
      <c r="BK82" s="157">
        <v>0</v>
      </c>
      <c r="BL82" s="157"/>
      <c r="BM82" s="157">
        <v>0</v>
      </c>
      <c r="BN82" s="157"/>
      <c r="BO82" s="157">
        <v>0</v>
      </c>
      <c r="BP82" s="157"/>
      <c r="BQ82" s="157">
        <v>0</v>
      </c>
      <c r="BR82" s="157"/>
      <c r="BS82" s="157">
        <v>0</v>
      </c>
    </row>
    <row r="83" spans="1:72" x14ac:dyDescent="0.2">
      <c r="A83" s="123" t="s">
        <v>464</v>
      </c>
      <c r="B83" s="124" t="s">
        <v>465</v>
      </c>
      <c r="C83" s="157">
        <v>0</v>
      </c>
      <c r="D83" s="157"/>
      <c r="E83" s="157">
        <v>0</v>
      </c>
      <c r="F83" s="157"/>
      <c r="G83" s="157">
        <v>0</v>
      </c>
      <c r="H83" s="157"/>
      <c r="I83" s="157">
        <v>0</v>
      </c>
      <c r="J83" s="157"/>
      <c r="K83" s="157">
        <v>44112</v>
      </c>
      <c r="L83" s="157"/>
      <c r="M83" s="157">
        <v>2800</v>
      </c>
      <c r="N83" s="157"/>
      <c r="O83" s="157">
        <v>0</v>
      </c>
      <c r="P83" s="157"/>
      <c r="Q83" s="157">
        <v>0</v>
      </c>
      <c r="R83" s="157"/>
      <c r="S83" s="157">
        <v>4800</v>
      </c>
      <c r="T83" s="157"/>
      <c r="U83" s="157">
        <v>0</v>
      </c>
      <c r="V83" s="157"/>
      <c r="W83" s="157">
        <v>0</v>
      </c>
      <c r="X83" s="157"/>
      <c r="Y83" s="157">
        <v>0</v>
      </c>
      <c r="Z83" s="157"/>
      <c r="AA83" s="157">
        <v>0</v>
      </c>
      <c r="AB83" s="157"/>
      <c r="AC83" s="157">
        <v>7509</v>
      </c>
      <c r="AD83" s="157"/>
      <c r="AE83" s="157">
        <v>0</v>
      </c>
      <c r="AF83" s="157"/>
      <c r="AG83" s="157">
        <v>0</v>
      </c>
      <c r="AH83" s="157"/>
      <c r="AI83" s="157">
        <v>22539</v>
      </c>
      <c r="AJ83" s="157"/>
      <c r="AK83" s="157">
        <v>9136.8700000000008</v>
      </c>
      <c r="AL83" s="157"/>
      <c r="AM83" s="157">
        <v>0</v>
      </c>
      <c r="AN83" s="157"/>
      <c r="AO83" s="157">
        <v>0</v>
      </c>
      <c r="AP83" s="157"/>
      <c r="AQ83" s="157">
        <v>0</v>
      </c>
      <c r="AR83" s="157"/>
      <c r="AS83" s="157">
        <v>0</v>
      </c>
      <c r="AT83" s="157"/>
      <c r="AU83" s="157">
        <v>41119</v>
      </c>
      <c r="AV83" s="157"/>
      <c r="AW83" s="157">
        <v>0</v>
      </c>
      <c r="AX83" s="157"/>
      <c r="AY83" s="157">
        <v>0</v>
      </c>
      <c r="AZ83" s="157"/>
      <c r="BA83" s="157">
        <v>0</v>
      </c>
      <c r="BB83" s="157"/>
      <c r="BC83" s="157">
        <v>0</v>
      </c>
      <c r="BD83" s="157"/>
      <c r="BE83" s="157">
        <v>3349</v>
      </c>
      <c r="BF83" s="157"/>
      <c r="BG83" s="157">
        <v>0</v>
      </c>
      <c r="BH83" s="157"/>
      <c r="BI83" s="157">
        <v>0</v>
      </c>
      <c r="BJ83" s="157"/>
      <c r="BK83" s="157">
        <v>7691.48</v>
      </c>
      <c r="BL83" s="157"/>
      <c r="BM83" s="157">
        <v>0</v>
      </c>
      <c r="BN83" s="157"/>
      <c r="BO83" s="157">
        <v>0</v>
      </c>
      <c r="BP83" s="157"/>
      <c r="BQ83" s="157">
        <v>0</v>
      </c>
      <c r="BR83" s="157"/>
      <c r="BS83" s="157">
        <v>0</v>
      </c>
    </row>
    <row r="84" spans="1:72" x14ac:dyDescent="0.2">
      <c r="A84" s="123" t="s">
        <v>170</v>
      </c>
      <c r="B84" s="124" t="s">
        <v>171</v>
      </c>
      <c r="C84" s="157">
        <v>6085433</v>
      </c>
      <c r="D84" s="157"/>
      <c r="E84" s="157">
        <v>8496313</v>
      </c>
      <c r="F84" s="157"/>
      <c r="G84" s="157">
        <v>6108876</v>
      </c>
      <c r="H84" s="157"/>
      <c r="I84" s="157">
        <v>9082400.2599999998</v>
      </c>
      <c r="J84" s="157"/>
      <c r="K84" s="157">
        <v>13387010</v>
      </c>
      <c r="L84" s="157"/>
      <c r="M84" s="157">
        <v>0</v>
      </c>
      <c r="N84" s="157"/>
      <c r="O84" s="157">
        <v>4302452.7699999996</v>
      </c>
      <c r="P84" s="157"/>
      <c r="Q84" s="157">
        <v>8781458.9100000001</v>
      </c>
      <c r="R84" s="157"/>
      <c r="S84" s="157">
        <v>9007534</v>
      </c>
      <c r="T84" s="157"/>
      <c r="U84" s="157">
        <v>5996211.7699999996</v>
      </c>
      <c r="V84" s="157"/>
      <c r="W84" s="157">
        <v>4447629</v>
      </c>
      <c r="X84" s="157"/>
      <c r="Y84" s="157">
        <v>7309216.6399999997</v>
      </c>
      <c r="Z84" s="157"/>
      <c r="AA84" s="157">
        <v>5993627</v>
      </c>
      <c r="AB84" s="157"/>
      <c r="AC84" s="157">
        <v>3804019</v>
      </c>
      <c r="AD84" s="157"/>
      <c r="AE84" s="157">
        <v>10187188</v>
      </c>
      <c r="AF84" s="157"/>
      <c r="AG84" s="157">
        <v>5738651</v>
      </c>
      <c r="AH84" s="157"/>
      <c r="AI84" s="157">
        <v>3842145</v>
      </c>
      <c r="AJ84" s="157"/>
      <c r="AK84" s="157">
        <v>7771244</v>
      </c>
      <c r="AL84" s="157"/>
      <c r="AM84" s="157">
        <v>10025751.74</v>
      </c>
      <c r="AN84" s="157"/>
      <c r="AO84" s="157">
        <v>3234.87</v>
      </c>
      <c r="AP84" s="157">
        <f>SUM(AO85:AO102)</f>
        <v>442565.92000000004</v>
      </c>
      <c r="AQ84" s="157">
        <v>11627780</v>
      </c>
      <c r="AR84" s="157"/>
      <c r="AS84" s="157">
        <v>6849376</v>
      </c>
      <c r="AT84" s="157"/>
      <c r="AU84" s="157">
        <v>6977937</v>
      </c>
      <c r="AV84" s="157"/>
      <c r="AW84" s="157">
        <v>8043450</v>
      </c>
      <c r="AX84" s="157"/>
      <c r="AY84" s="157">
        <v>7352033.3300000001</v>
      </c>
      <c r="AZ84" s="157"/>
      <c r="BA84" s="157">
        <v>7628595</v>
      </c>
      <c r="BB84" s="157"/>
      <c r="BC84" s="157">
        <v>9497252.9299999997</v>
      </c>
      <c r="BD84" s="157"/>
      <c r="BE84" s="157">
        <v>12571212</v>
      </c>
      <c r="BF84" s="157"/>
      <c r="BG84" s="157">
        <v>7612296</v>
      </c>
      <c r="BH84" s="157"/>
      <c r="BI84" s="157">
        <v>9700935</v>
      </c>
      <c r="BJ84" s="157"/>
      <c r="BK84" s="157">
        <v>5437906</v>
      </c>
      <c r="BL84" s="157"/>
      <c r="BM84" s="157">
        <v>6721897.1299999999</v>
      </c>
      <c r="BN84" s="157"/>
      <c r="BO84" s="157">
        <v>7591796.46</v>
      </c>
      <c r="BP84" s="157"/>
      <c r="BQ84" s="157">
        <v>8026185.2599999998</v>
      </c>
      <c r="BR84" s="157"/>
      <c r="BS84" s="157">
        <v>7174561.75</v>
      </c>
    </row>
    <row r="85" spans="1:72" x14ac:dyDescent="0.2">
      <c r="A85" s="123" t="s">
        <v>172</v>
      </c>
      <c r="B85" s="124" t="s">
        <v>173</v>
      </c>
      <c r="C85" s="157">
        <v>0</v>
      </c>
      <c r="D85" s="157">
        <f>SUM(C85:C102)</f>
        <v>246920.28</v>
      </c>
      <c r="E85" s="157">
        <v>0</v>
      </c>
      <c r="F85" s="157">
        <f>SUM(E85:E102)</f>
        <v>367154.49</v>
      </c>
      <c r="G85" s="157">
        <v>0</v>
      </c>
      <c r="H85" s="157">
        <f>SUM(G85:G102)</f>
        <v>253780.12</v>
      </c>
      <c r="I85" s="157">
        <v>0</v>
      </c>
      <c r="J85" s="157">
        <f>SUM(I85:I102)</f>
        <v>268495.05</v>
      </c>
      <c r="K85" s="157">
        <v>435595</v>
      </c>
      <c r="L85" s="157">
        <f>SUM(K85:K102)</f>
        <v>511687.78</v>
      </c>
      <c r="M85" s="157">
        <v>0</v>
      </c>
      <c r="N85" s="157">
        <f>SUM(M85:M102)</f>
        <v>246179.08000000002</v>
      </c>
      <c r="O85" s="157">
        <v>0</v>
      </c>
      <c r="P85" s="157">
        <f>SUM(O85:O102)</f>
        <v>381151.71</v>
      </c>
      <c r="Q85" s="157">
        <v>0</v>
      </c>
      <c r="R85" s="157">
        <f>SUM(Q85:Q102)</f>
        <v>373542.13</v>
      </c>
      <c r="S85" s="157">
        <v>0</v>
      </c>
      <c r="T85" s="157">
        <f>SUM(S85:S102)</f>
        <v>467506</v>
      </c>
      <c r="U85" s="157">
        <v>0</v>
      </c>
      <c r="V85" s="157">
        <f>SUM(U85:U102)</f>
        <v>293117.75</v>
      </c>
      <c r="W85" s="157">
        <v>0</v>
      </c>
      <c r="X85" s="157">
        <f>SUM(W85:W102)</f>
        <v>311231.15000000002</v>
      </c>
      <c r="Y85" s="157">
        <v>0</v>
      </c>
      <c r="Z85" s="157">
        <f>SUM(Y85:Y102)</f>
        <v>245504.75</v>
      </c>
      <c r="AA85" s="157">
        <v>0</v>
      </c>
      <c r="AB85" s="157">
        <f>SUM(AA85:AA102)</f>
        <v>361943.58</v>
      </c>
      <c r="AC85" s="157">
        <v>0</v>
      </c>
      <c r="AD85" s="157">
        <f>SUM(AC85:AC102)</f>
        <v>294273.61</v>
      </c>
      <c r="AE85" s="157">
        <v>0</v>
      </c>
      <c r="AF85" s="157">
        <f>SUM(AE85:AE102)</f>
        <v>756186.59</v>
      </c>
      <c r="AG85" s="157">
        <v>0</v>
      </c>
      <c r="AH85" s="157">
        <f>SUM(AG85:AG102)</f>
        <v>332418.03999999998</v>
      </c>
      <c r="AI85" s="157">
        <v>0</v>
      </c>
      <c r="AJ85" s="157">
        <f>SUM(AI85:AI102)</f>
        <v>253721.9</v>
      </c>
      <c r="AK85" s="157">
        <v>0</v>
      </c>
      <c r="AL85" s="157">
        <f>SUM(AK85:AK102)</f>
        <v>474785.79</v>
      </c>
      <c r="AM85" s="157">
        <v>157382</v>
      </c>
      <c r="AN85" s="157">
        <f>SUM(AM85:AM102)</f>
        <v>385384.83999999997</v>
      </c>
      <c r="AO85" s="157">
        <v>0</v>
      </c>
      <c r="AP85" s="157"/>
      <c r="AQ85" s="157">
        <v>0</v>
      </c>
      <c r="AR85" s="157">
        <f>SUM(AQ85:AQ102)</f>
        <v>548923.9</v>
      </c>
      <c r="AS85" s="157">
        <v>1890</v>
      </c>
      <c r="AT85" s="157">
        <f>AS85+AS87+AS89+AS91+AS92+AS95+AS98+AS99</f>
        <v>444306.66</v>
      </c>
      <c r="AU85" s="157">
        <v>3204</v>
      </c>
      <c r="AV85" s="157">
        <f>SUM(AU85:AU102)</f>
        <v>292266.87</v>
      </c>
      <c r="AW85" s="157">
        <v>0</v>
      </c>
      <c r="AX85" s="157">
        <f>SUM(AW85:AW102)</f>
        <v>207875</v>
      </c>
      <c r="AY85" s="157">
        <v>0</v>
      </c>
      <c r="AZ85" s="157">
        <f>SUM(AY85:AY102)</f>
        <v>288911.74</v>
      </c>
      <c r="BA85" s="157">
        <v>0</v>
      </c>
      <c r="BB85" s="157">
        <f>SUM(BA85:BA102)</f>
        <v>285480.59999999998</v>
      </c>
      <c r="BC85" s="157">
        <v>5440.97</v>
      </c>
      <c r="BD85" s="157">
        <f>SUM(BC85:BC102)</f>
        <v>641458.76</v>
      </c>
      <c r="BE85" s="157">
        <v>0</v>
      </c>
      <c r="BF85" s="157">
        <f>SUM(BE85:BE102)</f>
        <v>301540.37</v>
      </c>
      <c r="BG85" s="157">
        <v>0</v>
      </c>
      <c r="BH85" s="157">
        <f>SUM(BG85:BG102)</f>
        <v>483014.38999999996</v>
      </c>
      <c r="BI85" s="157">
        <v>0</v>
      </c>
      <c r="BJ85" s="157">
        <f>SUM(BI85:BI102)</f>
        <v>335901.91000000003</v>
      </c>
      <c r="BK85" s="157">
        <v>0</v>
      </c>
      <c r="BL85" s="157">
        <f>SUM(BK85:BK102)</f>
        <v>279783.57</v>
      </c>
      <c r="BM85" s="157">
        <v>0</v>
      </c>
      <c r="BN85" s="157">
        <f>SUM(BM85:BM102)</f>
        <v>351894.84</v>
      </c>
      <c r="BO85" s="157">
        <v>0</v>
      </c>
      <c r="BP85" s="157">
        <f>SUM(BO85:BO102)</f>
        <v>300229.34000000003</v>
      </c>
      <c r="BQ85" s="157">
        <v>0</v>
      </c>
      <c r="BR85" s="157">
        <f>SUM(BQ85:BQ102)</f>
        <v>142620.13</v>
      </c>
      <c r="BS85" s="157">
        <v>241432</v>
      </c>
      <c r="BT85" s="168">
        <f>SUM(BS85:BS102)</f>
        <v>256596.74</v>
      </c>
    </row>
    <row r="86" spans="1:72" x14ac:dyDescent="0.2">
      <c r="A86" s="123" t="s">
        <v>466</v>
      </c>
      <c r="B86" s="124" t="s">
        <v>467</v>
      </c>
      <c r="C86" s="157">
        <v>0</v>
      </c>
      <c r="D86" s="157"/>
      <c r="E86" s="157">
        <v>0</v>
      </c>
      <c r="F86" s="157"/>
      <c r="G86" s="157">
        <v>3360</v>
      </c>
      <c r="H86" s="157"/>
      <c r="I86" s="157">
        <v>0</v>
      </c>
      <c r="J86" s="157"/>
      <c r="K86" s="157">
        <v>5712</v>
      </c>
      <c r="L86" s="157"/>
      <c r="M86" s="157">
        <v>0</v>
      </c>
      <c r="N86" s="157"/>
      <c r="O86" s="157">
        <v>0</v>
      </c>
      <c r="P86" s="157"/>
      <c r="Q86" s="157">
        <v>0</v>
      </c>
      <c r="R86" s="157"/>
      <c r="S86" s="157">
        <v>0</v>
      </c>
      <c r="T86" s="157"/>
      <c r="U86" s="157">
        <v>0</v>
      </c>
      <c r="V86" s="157"/>
      <c r="W86" s="157">
        <v>2713</v>
      </c>
      <c r="X86" s="157"/>
      <c r="Y86" s="157">
        <v>0</v>
      </c>
      <c r="Z86" s="157"/>
      <c r="AA86" s="157">
        <v>0</v>
      </c>
      <c r="AB86" s="157"/>
      <c r="AC86" s="157">
        <v>0</v>
      </c>
      <c r="AD86" s="157"/>
      <c r="AE86" s="157">
        <v>0</v>
      </c>
      <c r="AF86" s="157"/>
      <c r="AG86" s="157">
        <v>0</v>
      </c>
      <c r="AH86" s="157"/>
      <c r="AI86" s="157">
        <v>0</v>
      </c>
      <c r="AJ86" s="157"/>
      <c r="AK86" s="157">
        <v>0</v>
      </c>
      <c r="AL86" s="157"/>
      <c r="AM86" s="157">
        <v>0</v>
      </c>
      <c r="AN86" s="157"/>
      <c r="AO86" s="157">
        <v>3191.8</v>
      </c>
      <c r="AP86" s="157"/>
      <c r="AQ86" s="157">
        <v>0</v>
      </c>
      <c r="AR86" s="157"/>
      <c r="AS86" s="157">
        <v>0</v>
      </c>
      <c r="AT86" s="157"/>
      <c r="AU86" s="157">
        <v>3695</v>
      </c>
      <c r="AV86" s="157"/>
      <c r="AW86" s="157">
        <v>0</v>
      </c>
      <c r="AX86" s="157"/>
      <c r="AY86" s="157">
        <v>0</v>
      </c>
      <c r="AZ86" s="157"/>
      <c r="BA86" s="157">
        <v>0</v>
      </c>
      <c r="BB86" s="157"/>
      <c r="BC86" s="157">
        <v>0</v>
      </c>
      <c r="BD86" s="157"/>
      <c r="BE86" s="157">
        <v>0</v>
      </c>
      <c r="BF86" s="157"/>
      <c r="BG86" s="157">
        <v>0</v>
      </c>
      <c r="BH86" s="157"/>
      <c r="BI86" s="157">
        <v>0</v>
      </c>
      <c r="BJ86" s="157"/>
      <c r="BK86" s="157">
        <v>0</v>
      </c>
      <c r="BL86" s="157"/>
      <c r="BM86" s="157">
        <v>0</v>
      </c>
      <c r="BN86" s="157"/>
      <c r="BO86" s="157">
        <v>31577.4</v>
      </c>
      <c r="BP86" s="157"/>
      <c r="BQ86" s="157">
        <v>0</v>
      </c>
      <c r="BR86" s="157"/>
      <c r="BS86" s="157">
        <v>0</v>
      </c>
    </row>
    <row r="87" spans="1:72" x14ac:dyDescent="0.2">
      <c r="A87" s="123" t="s">
        <v>174</v>
      </c>
      <c r="B87" s="124" t="s">
        <v>175</v>
      </c>
      <c r="C87" s="157">
        <v>0</v>
      </c>
      <c r="D87" s="157"/>
      <c r="E87" s="157">
        <v>0</v>
      </c>
      <c r="F87" s="157"/>
      <c r="G87" s="157">
        <v>0</v>
      </c>
      <c r="H87" s="157"/>
      <c r="I87" s="157">
        <v>1745.61</v>
      </c>
      <c r="J87" s="157"/>
      <c r="K87" s="157">
        <v>0</v>
      </c>
      <c r="L87" s="157"/>
      <c r="M87" s="157">
        <v>6071.6</v>
      </c>
      <c r="N87" s="157"/>
      <c r="O87" s="157">
        <v>0</v>
      </c>
      <c r="P87" s="157"/>
      <c r="Q87" s="157">
        <v>0</v>
      </c>
      <c r="R87" s="157"/>
      <c r="S87" s="157">
        <v>1052</v>
      </c>
      <c r="T87" s="157"/>
      <c r="U87" s="157">
        <v>0</v>
      </c>
      <c r="V87" s="157"/>
      <c r="W87" s="157">
        <v>3480</v>
      </c>
      <c r="X87" s="157"/>
      <c r="Y87" s="157">
        <v>0</v>
      </c>
      <c r="Z87" s="157"/>
      <c r="AA87" s="157">
        <v>1149</v>
      </c>
      <c r="AB87" s="157"/>
      <c r="AC87" s="157">
        <v>1842</v>
      </c>
      <c r="AD87" s="157"/>
      <c r="AE87" s="157">
        <v>0</v>
      </c>
      <c r="AF87" s="157"/>
      <c r="AG87" s="157">
        <v>1121.54</v>
      </c>
      <c r="AH87" s="157"/>
      <c r="AI87" s="157">
        <v>0</v>
      </c>
      <c r="AJ87" s="157"/>
      <c r="AK87" s="157">
        <v>0</v>
      </c>
      <c r="AL87" s="157"/>
      <c r="AM87" s="157">
        <v>0</v>
      </c>
      <c r="AN87" s="157"/>
      <c r="AO87" s="157">
        <v>0</v>
      </c>
      <c r="AP87" s="157"/>
      <c r="AQ87" s="157">
        <v>0</v>
      </c>
      <c r="AR87" s="157"/>
      <c r="AS87" s="157">
        <v>1149</v>
      </c>
      <c r="AT87" s="157"/>
      <c r="AU87" s="157">
        <v>0</v>
      </c>
      <c r="AV87" s="157"/>
      <c r="AW87" s="157">
        <v>0</v>
      </c>
      <c r="AX87" s="157"/>
      <c r="AY87" s="157">
        <v>1628</v>
      </c>
      <c r="AZ87" s="157"/>
      <c r="BA87" s="157">
        <v>0</v>
      </c>
      <c r="BB87" s="157"/>
      <c r="BC87" s="157">
        <v>0</v>
      </c>
      <c r="BD87" s="157"/>
      <c r="BE87" s="157">
        <v>0</v>
      </c>
      <c r="BF87" s="157"/>
      <c r="BG87" s="157">
        <v>0</v>
      </c>
      <c r="BH87" s="157"/>
      <c r="BI87" s="157">
        <v>0</v>
      </c>
      <c r="BJ87" s="157"/>
      <c r="BK87" s="157">
        <v>7027.9</v>
      </c>
      <c r="BL87" s="157"/>
      <c r="BM87" s="157">
        <v>0</v>
      </c>
      <c r="BN87" s="157"/>
      <c r="BO87" s="157">
        <v>0</v>
      </c>
      <c r="BP87" s="157"/>
      <c r="BQ87" s="157">
        <v>0</v>
      </c>
      <c r="BR87" s="157"/>
      <c r="BS87" s="157">
        <v>0</v>
      </c>
    </row>
    <row r="88" spans="1:72" x14ac:dyDescent="0.2">
      <c r="A88" s="123" t="s">
        <v>644</v>
      </c>
      <c r="B88" s="124" t="s">
        <v>643</v>
      </c>
      <c r="C88" s="157">
        <v>0</v>
      </c>
      <c r="D88" s="157"/>
      <c r="E88" s="157">
        <v>0</v>
      </c>
      <c r="F88" s="157"/>
      <c r="G88" s="157">
        <v>0</v>
      </c>
      <c r="H88" s="157"/>
      <c r="I88" s="157">
        <v>0</v>
      </c>
      <c r="J88" s="157"/>
      <c r="K88" s="157">
        <v>0</v>
      </c>
      <c r="L88" s="157"/>
      <c r="M88" s="157">
        <v>0</v>
      </c>
      <c r="N88" s="157"/>
      <c r="O88" s="157">
        <v>0</v>
      </c>
      <c r="P88" s="157"/>
      <c r="Q88" s="157">
        <v>0</v>
      </c>
      <c r="R88" s="157"/>
      <c r="S88" s="157">
        <v>0</v>
      </c>
      <c r="T88" s="157"/>
      <c r="U88" s="157">
        <v>0</v>
      </c>
      <c r="V88" s="157"/>
      <c r="W88" s="157">
        <v>0</v>
      </c>
      <c r="X88" s="157"/>
      <c r="Y88" s="157">
        <v>0</v>
      </c>
      <c r="Z88" s="157"/>
      <c r="AA88" s="157">
        <v>0</v>
      </c>
      <c r="AB88" s="157"/>
      <c r="AC88" s="157">
        <v>2700</v>
      </c>
      <c r="AD88" s="157"/>
      <c r="AE88" s="157">
        <v>0</v>
      </c>
      <c r="AF88" s="157"/>
      <c r="AG88" s="157">
        <v>0</v>
      </c>
      <c r="AH88" s="157"/>
      <c r="AI88" s="157">
        <v>0</v>
      </c>
      <c r="AJ88" s="157"/>
      <c r="AK88" s="157">
        <v>0</v>
      </c>
      <c r="AL88" s="157"/>
      <c r="AM88" s="157">
        <v>0</v>
      </c>
      <c r="AN88" s="157"/>
      <c r="AO88" s="157">
        <v>1872</v>
      </c>
      <c r="AP88" s="157"/>
      <c r="AQ88" s="157">
        <v>0</v>
      </c>
      <c r="AR88" s="157"/>
      <c r="AS88" s="157">
        <v>0</v>
      </c>
      <c r="AT88" s="157"/>
      <c r="AU88" s="157">
        <v>0</v>
      </c>
      <c r="AV88" s="157"/>
      <c r="AW88" s="157">
        <v>0</v>
      </c>
      <c r="AX88" s="157"/>
      <c r="AY88" s="157">
        <v>0</v>
      </c>
      <c r="AZ88" s="157"/>
      <c r="BA88" s="157">
        <v>0</v>
      </c>
      <c r="BB88" s="157"/>
      <c r="BC88" s="157">
        <v>0</v>
      </c>
      <c r="BD88" s="157"/>
      <c r="BE88" s="157">
        <v>0</v>
      </c>
      <c r="BF88" s="157"/>
      <c r="BG88" s="157">
        <v>0</v>
      </c>
      <c r="BH88" s="157"/>
      <c r="BI88" s="157">
        <v>0</v>
      </c>
      <c r="BJ88" s="157"/>
      <c r="BK88" s="157">
        <v>0</v>
      </c>
      <c r="BL88" s="157"/>
      <c r="BM88" s="157">
        <v>0</v>
      </c>
      <c r="BN88" s="157"/>
      <c r="BO88" s="157">
        <v>0</v>
      </c>
      <c r="BP88" s="157"/>
      <c r="BQ88" s="157">
        <v>0</v>
      </c>
      <c r="BR88" s="157"/>
      <c r="BS88" s="157">
        <v>0</v>
      </c>
    </row>
    <row r="89" spans="1:72" x14ac:dyDescent="0.2">
      <c r="A89" s="123" t="s">
        <v>176</v>
      </c>
      <c r="B89" s="124" t="s">
        <v>177</v>
      </c>
      <c r="C89" s="157">
        <v>7824.82</v>
      </c>
      <c r="D89" s="157"/>
      <c r="E89" s="157">
        <v>5464.62</v>
      </c>
      <c r="F89" s="157"/>
      <c r="G89" s="157">
        <v>15558</v>
      </c>
      <c r="H89" s="157"/>
      <c r="I89" s="157">
        <v>3243.75</v>
      </c>
      <c r="J89" s="157"/>
      <c r="K89" s="157">
        <v>4931</v>
      </c>
      <c r="L89" s="157"/>
      <c r="M89" s="157">
        <v>4918.1000000000004</v>
      </c>
      <c r="N89" s="157"/>
      <c r="O89" s="157">
        <v>5225.2299999999996</v>
      </c>
      <c r="P89" s="157"/>
      <c r="Q89" s="157">
        <v>0</v>
      </c>
      <c r="R89" s="157"/>
      <c r="S89" s="157">
        <v>9413</v>
      </c>
      <c r="T89" s="157"/>
      <c r="U89" s="157">
        <v>0</v>
      </c>
      <c r="V89" s="157"/>
      <c r="W89" s="157">
        <v>0</v>
      </c>
      <c r="X89" s="157"/>
      <c r="Y89" s="157">
        <v>5415</v>
      </c>
      <c r="Z89" s="157"/>
      <c r="AA89" s="157">
        <v>7110</v>
      </c>
      <c r="AB89" s="157"/>
      <c r="AC89" s="157">
        <v>5486.2</v>
      </c>
      <c r="AD89" s="157"/>
      <c r="AE89" s="157">
        <v>0</v>
      </c>
      <c r="AF89" s="157"/>
      <c r="AG89" s="157">
        <v>0</v>
      </c>
      <c r="AH89" s="157"/>
      <c r="AI89" s="157">
        <v>0</v>
      </c>
      <c r="AJ89" s="157"/>
      <c r="AK89" s="157">
        <v>0</v>
      </c>
      <c r="AL89" s="157"/>
      <c r="AM89" s="157">
        <v>6404</v>
      </c>
      <c r="AN89" s="157"/>
      <c r="AO89" s="157">
        <v>0</v>
      </c>
      <c r="AP89" s="157"/>
      <c r="AQ89" s="157">
        <v>0</v>
      </c>
      <c r="AR89" s="157"/>
      <c r="AS89" s="157">
        <v>3840</v>
      </c>
      <c r="AT89" s="157"/>
      <c r="AU89" s="157">
        <v>5700</v>
      </c>
      <c r="AV89" s="157"/>
      <c r="AW89" s="157">
        <v>3925</v>
      </c>
      <c r="AX89" s="157"/>
      <c r="AY89" s="157">
        <v>6094.62</v>
      </c>
      <c r="AZ89" s="157"/>
      <c r="BA89" s="157">
        <v>3351</v>
      </c>
      <c r="BB89" s="157"/>
      <c r="BC89" s="157">
        <v>12485</v>
      </c>
      <c r="BD89" s="157"/>
      <c r="BE89" s="157">
        <v>0</v>
      </c>
      <c r="BF89" s="157"/>
      <c r="BG89" s="157">
        <v>0</v>
      </c>
      <c r="BH89" s="157"/>
      <c r="BI89" s="157">
        <v>0</v>
      </c>
      <c r="BJ89" s="157"/>
      <c r="BK89" s="157">
        <v>5515</v>
      </c>
      <c r="BL89" s="157"/>
      <c r="BM89" s="157">
        <v>0</v>
      </c>
      <c r="BN89" s="157"/>
      <c r="BO89" s="157">
        <v>0</v>
      </c>
      <c r="BP89" s="157"/>
      <c r="BQ89" s="157">
        <v>8191.5</v>
      </c>
      <c r="BR89" s="157"/>
      <c r="BS89" s="157">
        <v>7265.88</v>
      </c>
    </row>
    <row r="90" spans="1:72" x14ac:dyDescent="0.2">
      <c r="A90" s="123" t="s">
        <v>570</v>
      </c>
      <c r="B90" s="124" t="s">
        <v>569</v>
      </c>
      <c r="C90" s="157">
        <v>0</v>
      </c>
      <c r="D90" s="157"/>
      <c r="E90" s="157">
        <v>0</v>
      </c>
      <c r="F90" s="157"/>
      <c r="G90" s="157">
        <v>2707</v>
      </c>
      <c r="H90" s="157"/>
      <c r="I90" s="157">
        <v>0</v>
      </c>
      <c r="J90" s="157"/>
      <c r="K90" s="157">
        <v>0</v>
      </c>
      <c r="L90" s="157"/>
      <c r="M90" s="157">
        <v>6457.03</v>
      </c>
      <c r="N90" s="157"/>
      <c r="O90" s="157">
        <v>0</v>
      </c>
      <c r="P90" s="157"/>
      <c r="Q90" s="157">
        <v>0</v>
      </c>
      <c r="R90" s="157"/>
      <c r="S90" s="157">
        <v>0</v>
      </c>
      <c r="T90" s="157"/>
      <c r="U90" s="157">
        <v>0</v>
      </c>
      <c r="V90" s="157"/>
      <c r="W90" s="157">
        <v>0</v>
      </c>
      <c r="X90" s="157"/>
      <c r="Y90" s="157">
        <v>3716</v>
      </c>
      <c r="Z90" s="157"/>
      <c r="AA90" s="157">
        <v>10600</v>
      </c>
      <c r="AB90" s="157"/>
      <c r="AC90" s="157">
        <v>1502</v>
      </c>
      <c r="AD90" s="157"/>
      <c r="AE90" s="157">
        <v>0</v>
      </c>
      <c r="AF90" s="157"/>
      <c r="AG90" s="157">
        <v>0</v>
      </c>
      <c r="AH90" s="157"/>
      <c r="AI90" s="157">
        <v>0</v>
      </c>
      <c r="AJ90" s="157"/>
      <c r="AK90" s="157">
        <v>0</v>
      </c>
      <c r="AL90" s="157"/>
      <c r="AM90" s="157">
        <v>0</v>
      </c>
      <c r="AN90" s="157"/>
      <c r="AO90" s="157">
        <v>2707</v>
      </c>
      <c r="AP90" s="157"/>
      <c r="AQ90" s="157">
        <v>0</v>
      </c>
      <c r="AR90" s="157"/>
      <c r="AS90" s="157">
        <v>0</v>
      </c>
      <c r="AT90" s="157"/>
      <c r="AU90" s="157">
        <v>6787</v>
      </c>
      <c r="AV90" s="157"/>
      <c r="AW90" s="157">
        <v>4080</v>
      </c>
      <c r="AX90" s="157"/>
      <c r="AY90" s="157">
        <v>0</v>
      </c>
      <c r="AZ90" s="157"/>
      <c r="BA90" s="157">
        <v>2711.48</v>
      </c>
      <c r="BB90" s="157"/>
      <c r="BC90" s="157">
        <v>0</v>
      </c>
      <c r="BD90" s="157"/>
      <c r="BE90" s="157">
        <v>2265.65</v>
      </c>
      <c r="BF90" s="157"/>
      <c r="BG90" s="157">
        <v>0</v>
      </c>
      <c r="BH90" s="157"/>
      <c r="BI90" s="157">
        <v>0</v>
      </c>
      <c r="BJ90" s="157"/>
      <c r="BK90" s="157">
        <v>0</v>
      </c>
      <c r="BL90" s="157"/>
      <c r="BM90" s="157">
        <v>0</v>
      </c>
      <c r="BN90" s="157"/>
      <c r="BO90" s="157">
        <v>9968.94</v>
      </c>
      <c r="BP90" s="157"/>
      <c r="BQ90" s="157">
        <v>0</v>
      </c>
      <c r="BR90" s="157"/>
      <c r="BS90" s="157">
        <v>0</v>
      </c>
    </row>
    <row r="91" spans="1:72" x14ac:dyDescent="0.2">
      <c r="A91" s="123" t="s">
        <v>178</v>
      </c>
      <c r="B91" s="124" t="s">
        <v>179</v>
      </c>
      <c r="C91" s="157">
        <v>3514</v>
      </c>
      <c r="D91" s="157"/>
      <c r="E91" s="157">
        <v>6993.9</v>
      </c>
      <c r="F91" s="157"/>
      <c r="G91" s="157">
        <v>3514</v>
      </c>
      <c r="H91" s="157"/>
      <c r="I91" s="157">
        <v>3444.79</v>
      </c>
      <c r="J91" s="157"/>
      <c r="K91" s="157">
        <v>13282.84</v>
      </c>
      <c r="L91" s="157"/>
      <c r="M91" s="157">
        <v>9685.99</v>
      </c>
      <c r="N91" s="157"/>
      <c r="O91" s="157">
        <v>8726.9599999999991</v>
      </c>
      <c r="P91" s="157"/>
      <c r="Q91" s="157">
        <v>0</v>
      </c>
      <c r="R91" s="157"/>
      <c r="S91" s="157">
        <v>4858</v>
      </c>
      <c r="T91" s="157"/>
      <c r="U91" s="157">
        <v>3444.79</v>
      </c>
      <c r="V91" s="157"/>
      <c r="W91" s="157">
        <v>3513.9</v>
      </c>
      <c r="X91" s="157"/>
      <c r="Y91" s="157">
        <v>8725.0499999999993</v>
      </c>
      <c r="Z91" s="157"/>
      <c r="AA91" s="157">
        <v>7027.9</v>
      </c>
      <c r="AB91" s="157"/>
      <c r="AC91" s="157">
        <v>13114</v>
      </c>
      <c r="AD91" s="157"/>
      <c r="AE91" s="157">
        <v>3444.79</v>
      </c>
      <c r="AF91" s="157"/>
      <c r="AG91" s="157">
        <v>0</v>
      </c>
      <c r="AH91" s="157"/>
      <c r="AI91" s="157">
        <v>6994.9</v>
      </c>
      <c r="AJ91" s="157"/>
      <c r="AK91" s="157">
        <v>3444.79</v>
      </c>
      <c r="AL91" s="157"/>
      <c r="AM91" s="157">
        <v>3513.9</v>
      </c>
      <c r="AN91" s="157"/>
      <c r="AO91" s="157">
        <v>3962.65</v>
      </c>
      <c r="AP91" s="157"/>
      <c r="AQ91" s="157">
        <v>3513.9</v>
      </c>
      <c r="AR91" s="157"/>
      <c r="AS91" s="157">
        <v>7593.79</v>
      </c>
      <c r="AT91" s="157"/>
      <c r="AU91" s="157">
        <v>3514</v>
      </c>
      <c r="AV91" s="157"/>
      <c r="AW91" s="157">
        <v>155895</v>
      </c>
      <c r="AX91" s="157"/>
      <c r="AY91" s="157">
        <v>3524.79</v>
      </c>
      <c r="AZ91" s="157"/>
      <c r="BA91" s="157">
        <v>6994.9</v>
      </c>
      <c r="BB91" s="157"/>
      <c r="BC91" s="157">
        <v>3444.79</v>
      </c>
      <c r="BD91" s="157"/>
      <c r="BE91" s="157">
        <v>7027.9</v>
      </c>
      <c r="BF91" s="157"/>
      <c r="BG91" s="157">
        <v>3444.79</v>
      </c>
      <c r="BH91" s="157"/>
      <c r="BI91" s="157">
        <v>3444.79</v>
      </c>
      <c r="BJ91" s="157"/>
      <c r="BK91" s="157">
        <v>0</v>
      </c>
      <c r="BL91" s="157"/>
      <c r="BM91" s="157">
        <v>0</v>
      </c>
      <c r="BN91" s="157"/>
      <c r="BO91" s="157">
        <v>0</v>
      </c>
      <c r="BP91" s="157"/>
      <c r="BQ91" s="157">
        <v>0</v>
      </c>
      <c r="BR91" s="157"/>
      <c r="BS91" s="157">
        <v>0</v>
      </c>
    </row>
    <row r="92" spans="1:72" x14ac:dyDescent="0.2">
      <c r="A92" s="123" t="s">
        <v>180</v>
      </c>
      <c r="B92" s="124" t="s">
        <v>181</v>
      </c>
      <c r="C92" s="157">
        <v>9960</v>
      </c>
      <c r="D92" s="157"/>
      <c r="E92" s="157">
        <v>128351</v>
      </c>
      <c r="F92" s="157"/>
      <c r="G92" s="157">
        <v>122880</v>
      </c>
      <c r="H92" s="157"/>
      <c r="I92" s="157">
        <v>107376</v>
      </c>
      <c r="J92" s="157"/>
      <c r="K92" s="157">
        <v>52166.94</v>
      </c>
      <c r="L92" s="157"/>
      <c r="M92" s="157">
        <v>97125.69</v>
      </c>
      <c r="N92" s="157"/>
      <c r="O92" s="157">
        <v>74016</v>
      </c>
      <c r="P92" s="157"/>
      <c r="Q92" s="157">
        <v>0</v>
      </c>
      <c r="R92" s="157"/>
      <c r="S92" s="157">
        <v>306420</v>
      </c>
      <c r="T92" s="157"/>
      <c r="U92" s="157">
        <v>2724.99</v>
      </c>
      <c r="V92" s="157"/>
      <c r="W92" s="157">
        <v>23825</v>
      </c>
      <c r="X92" s="157"/>
      <c r="Y92" s="157">
        <v>193913.66</v>
      </c>
      <c r="Z92" s="157"/>
      <c r="AA92" s="157">
        <v>298075.68</v>
      </c>
      <c r="AB92" s="157"/>
      <c r="AC92" s="157">
        <v>103635</v>
      </c>
      <c r="AD92" s="157"/>
      <c r="AE92" s="157">
        <v>3922</v>
      </c>
      <c r="AF92" s="157"/>
      <c r="AG92" s="157">
        <v>161122</v>
      </c>
      <c r="AH92" s="157"/>
      <c r="AI92" s="157">
        <v>19498</v>
      </c>
      <c r="AJ92" s="157"/>
      <c r="AK92" s="157">
        <v>471341</v>
      </c>
      <c r="AL92" s="157"/>
      <c r="AM92" s="157">
        <v>0</v>
      </c>
      <c r="AN92" s="157"/>
      <c r="AO92" s="157">
        <v>177607.55</v>
      </c>
      <c r="AP92" s="157"/>
      <c r="AQ92" s="157">
        <v>545410</v>
      </c>
      <c r="AR92" s="157"/>
      <c r="AS92" s="157">
        <v>300054</v>
      </c>
      <c r="AT92" s="157"/>
      <c r="AU92" s="157">
        <v>262507</v>
      </c>
      <c r="AV92" s="157"/>
      <c r="AW92" s="157">
        <v>3514</v>
      </c>
      <c r="AX92" s="157"/>
      <c r="AY92" s="157">
        <v>191654.94</v>
      </c>
      <c r="AZ92" s="157"/>
      <c r="BA92" s="157">
        <v>161342.22</v>
      </c>
      <c r="BB92" s="157"/>
      <c r="BC92" s="157">
        <v>620088</v>
      </c>
      <c r="BD92" s="157"/>
      <c r="BE92" s="157">
        <v>254646</v>
      </c>
      <c r="BF92" s="157"/>
      <c r="BG92" s="157">
        <v>353325.6</v>
      </c>
      <c r="BH92" s="157"/>
      <c r="BI92" s="157">
        <v>218121.96</v>
      </c>
      <c r="BJ92" s="157"/>
      <c r="BK92" s="157">
        <v>246817.68</v>
      </c>
      <c r="BL92" s="157"/>
      <c r="BM92" s="157">
        <v>351894.84</v>
      </c>
      <c r="BN92" s="157"/>
      <c r="BO92" s="157">
        <v>0</v>
      </c>
      <c r="BP92" s="157"/>
      <c r="BQ92" s="157">
        <v>0</v>
      </c>
      <c r="BR92" s="157"/>
      <c r="BS92" s="157">
        <v>7898.86</v>
      </c>
    </row>
    <row r="93" spans="1:72" x14ac:dyDescent="0.2">
      <c r="A93" s="123" t="s">
        <v>1035</v>
      </c>
      <c r="B93" s="124" t="s">
        <v>1034</v>
      </c>
      <c r="C93" s="157">
        <v>0</v>
      </c>
      <c r="D93" s="157"/>
      <c r="E93" s="157">
        <v>0</v>
      </c>
      <c r="F93" s="157"/>
      <c r="G93" s="157">
        <v>0</v>
      </c>
      <c r="H93" s="157"/>
      <c r="I93" s="157">
        <v>148744.1</v>
      </c>
      <c r="J93" s="157"/>
      <c r="K93" s="157">
        <v>0</v>
      </c>
      <c r="L93" s="157"/>
      <c r="M93" s="157">
        <v>0</v>
      </c>
      <c r="N93" s="157"/>
      <c r="O93" s="157">
        <v>0</v>
      </c>
      <c r="P93" s="157"/>
      <c r="Q93" s="157">
        <v>0</v>
      </c>
      <c r="R93" s="157"/>
      <c r="S93" s="157">
        <v>0</v>
      </c>
      <c r="T93" s="157"/>
      <c r="U93" s="157">
        <v>0</v>
      </c>
      <c r="V93" s="157"/>
      <c r="W93" s="157">
        <v>0</v>
      </c>
      <c r="X93" s="157"/>
      <c r="Y93" s="157">
        <v>0</v>
      </c>
      <c r="Z93" s="157"/>
      <c r="AA93" s="157">
        <v>0</v>
      </c>
      <c r="AB93" s="157"/>
      <c r="AC93" s="157">
        <v>0</v>
      </c>
      <c r="AD93" s="157"/>
      <c r="AE93" s="157">
        <v>0</v>
      </c>
      <c r="AF93" s="157"/>
      <c r="AG93" s="157">
        <v>0</v>
      </c>
      <c r="AH93" s="157"/>
      <c r="AI93" s="157">
        <v>0</v>
      </c>
      <c r="AJ93" s="157"/>
      <c r="AK93" s="157">
        <v>0</v>
      </c>
      <c r="AL93" s="157"/>
      <c r="AM93" s="157">
        <v>0</v>
      </c>
      <c r="AN93" s="157"/>
      <c r="AO93" s="157">
        <v>0</v>
      </c>
      <c r="AP93" s="157"/>
      <c r="AQ93" s="157">
        <v>0</v>
      </c>
      <c r="AR93" s="157"/>
      <c r="AS93" s="157">
        <v>0</v>
      </c>
      <c r="AT93" s="157"/>
      <c r="AU93" s="157">
        <v>0</v>
      </c>
      <c r="AV93" s="157"/>
      <c r="AW93" s="157">
        <v>0</v>
      </c>
      <c r="AX93" s="157"/>
      <c r="AY93" s="157">
        <v>0</v>
      </c>
      <c r="AZ93" s="157"/>
      <c r="BA93" s="157">
        <v>0</v>
      </c>
      <c r="BB93" s="157"/>
      <c r="BC93" s="157">
        <v>0</v>
      </c>
      <c r="BD93" s="157"/>
      <c r="BE93" s="157">
        <v>0</v>
      </c>
      <c r="BF93" s="157"/>
      <c r="BG93" s="157">
        <v>0</v>
      </c>
      <c r="BH93" s="157"/>
      <c r="BI93" s="157">
        <v>0</v>
      </c>
      <c r="BJ93" s="157"/>
      <c r="BK93" s="157">
        <v>0</v>
      </c>
      <c r="BL93" s="157"/>
      <c r="BM93" s="157">
        <v>0</v>
      </c>
      <c r="BN93" s="157"/>
      <c r="BO93" s="157">
        <v>0</v>
      </c>
      <c r="BP93" s="157"/>
      <c r="BQ93" s="157">
        <v>0</v>
      </c>
      <c r="BR93" s="157"/>
      <c r="BS93" s="157">
        <v>0</v>
      </c>
    </row>
    <row r="94" spans="1:72" x14ac:dyDescent="0.2">
      <c r="A94" s="123" t="s">
        <v>615</v>
      </c>
      <c r="B94" s="124" t="s">
        <v>614</v>
      </c>
      <c r="C94" s="157">
        <v>0</v>
      </c>
      <c r="D94" s="157"/>
      <c r="E94" s="157">
        <v>0</v>
      </c>
      <c r="F94" s="157"/>
      <c r="G94" s="157">
        <v>0</v>
      </c>
      <c r="H94" s="157"/>
      <c r="I94" s="157">
        <v>0</v>
      </c>
      <c r="J94" s="157"/>
      <c r="K94" s="157">
        <v>0</v>
      </c>
      <c r="L94" s="157"/>
      <c r="M94" s="157">
        <v>0</v>
      </c>
      <c r="N94" s="157"/>
      <c r="O94" s="157">
        <v>3689.52</v>
      </c>
      <c r="P94" s="157"/>
      <c r="Q94" s="157">
        <v>0</v>
      </c>
      <c r="R94" s="157"/>
      <c r="S94" s="157">
        <v>0</v>
      </c>
      <c r="T94" s="157"/>
      <c r="U94" s="157">
        <v>0</v>
      </c>
      <c r="V94" s="157"/>
      <c r="W94" s="157">
        <v>0</v>
      </c>
      <c r="X94" s="157"/>
      <c r="Y94" s="157">
        <v>0</v>
      </c>
      <c r="Z94" s="157"/>
      <c r="AA94" s="157">
        <v>5091</v>
      </c>
      <c r="AB94" s="157"/>
      <c r="AC94" s="157">
        <v>0</v>
      </c>
      <c r="AD94" s="157"/>
      <c r="AE94" s="157">
        <v>0</v>
      </c>
      <c r="AF94" s="157"/>
      <c r="AG94" s="157">
        <v>0</v>
      </c>
      <c r="AH94" s="157"/>
      <c r="AI94" s="157">
        <v>0</v>
      </c>
      <c r="AJ94" s="157"/>
      <c r="AK94" s="157">
        <v>0</v>
      </c>
      <c r="AL94" s="157"/>
      <c r="AM94" s="157">
        <v>0</v>
      </c>
      <c r="AN94" s="157"/>
      <c r="AO94" s="157">
        <v>0</v>
      </c>
      <c r="AP94" s="157"/>
      <c r="AQ94" s="157">
        <v>0</v>
      </c>
      <c r="AR94" s="157"/>
      <c r="AS94" s="157">
        <v>0</v>
      </c>
      <c r="AT94" s="157"/>
      <c r="AU94" s="157">
        <v>0</v>
      </c>
      <c r="AV94" s="157"/>
      <c r="AW94" s="157">
        <v>0</v>
      </c>
      <c r="AX94" s="157"/>
      <c r="AY94" s="157">
        <v>0</v>
      </c>
      <c r="AZ94" s="157"/>
      <c r="BA94" s="157">
        <v>0</v>
      </c>
      <c r="BB94" s="157"/>
      <c r="BC94" s="157">
        <v>0</v>
      </c>
      <c r="BD94" s="157"/>
      <c r="BE94" s="157">
        <v>0</v>
      </c>
      <c r="BF94" s="157"/>
      <c r="BG94" s="157">
        <v>0</v>
      </c>
      <c r="BH94" s="157"/>
      <c r="BI94" s="157">
        <v>0</v>
      </c>
      <c r="BJ94" s="157"/>
      <c r="BK94" s="157">
        <v>0</v>
      </c>
      <c r="BL94" s="157"/>
      <c r="BM94" s="157">
        <v>0</v>
      </c>
      <c r="BN94" s="157"/>
      <c r="BO94" s="157">
        <v>0</v>
      </c>
      <c r="BP94" s="157"/>
      <c r="BQ94" s="157">
        <v>0</v>
      </c>
      <c r="BR94" s="157"/>
      <c r="BS94" s="157">
        <v>0</v>
      </c>
    </row>
    <row r="95" spans="1:72" x14ac:dyDescent="0.2">
      <c r="A95" s="123" t="s">
        <v>182</v>
      </c>
      <c r="B95" s="124" t="s">
        <v>183</v>
      </c>
      <c r="C95" s="157">
        <v>0</v>
      </c>
      <c r="D95" s="157"/>
      <c r="E95" s="157">
        <v>21193.97</v>
      </c>
      <c r="F95" s="157"/>
      <c r="G95" s="157">
        <v>0</v>
      </c>
      <c r="H95" s="157"/>
      <c r="I95" s="157">
        <v>0</v>
      </c>
      <c r="J95" s="157"/>
      <c r="K95" s="157">
        <v>0</v>
      </c>
      <c r="L95" s="157"/>
      <c r="M95" s="157">
        <v>37899.040000000001</v>
      </c>
      <c r="N95" s="157"/>
      <c r="O95" s="157">
        <v>0</v>
      </c>
      <c r="P95" s="157"/>
      <c r="Q95" s="157">
        <v>0</v>
      </c>
      <c r="R95" s="157"/>
      <c r="S95" s="157">
        <v>10368</v>
      </c>
      <c r="T95" s="157"/>
      <c r="U95" s="157">
        <v>0</v>
      </c>
      <c r="V95" s="157"/>
      <c r="W95" s="157">
        <v>0</v>
      </c>
      <c r="X95" s="157"/>
      <c r="Y95" s="157">
        <v>0</v>
      </c>
      <c r="Z95" s="157"/>
      <c r="AA95" s="157">
        <v>19733</v>
      </c>
      <c r="AB95" s="157"/>
      <c r="AC95" s="157">
        <v>0</v>
      </c>
      <c r="AD95" s="157"/>
      <c r="AE95" s="157">
        <v>8159.8</v>
      </c>
      <c r="AF95" s="157"/>
      <c r="AG95" s="157">
        <v>0</v>
      </c>
      <c r="AH95" s="157"/>
      <c r="AI95" s="157">
        <v>0</v>
      </c>
      <c r="AJ95" s="157"/>
      <c r="AK95" s="157">
        <v>0</v>
      </c>
      <c r="AL95" s="157"/>
      <c r="AM95" s="157">
        <v>0</v>
      </c>
      <c r="AN95" s="157"/>
      <c r="AO95" s="157">
        <v>0</v>
      </c>
      <c r="AP95" s="157"/>
      <c r="AQ95" s="157">
        <v>0</v>
      </c>
      <c r="AR95" s="157"/>
      <c r="AS95" s="157">
        <v>41507</v>
      </c>
      <c r="AT95" s="157"/>
      <c r="AU95" s="157">
        <v>6859.87</v>
      </c>
      <c r="AV95" s="157"/>
      <c r="AW95" s="157">
        <v>0</v>
      </c>
      <c r="AX95" s="157"/>
      <c r="AY95" s="157">
        <v>0</v>
      </c>
      <c r="AZ95" s="157"/>
      <c r="BA95" s="157">
        <v>0</v>
      </c>
      <c r="BB95" s="157"/>
      <c r="BC95" s="157">
        <v>0</v>
      </c>
      <c r="BD95" s="157"/>
      <c r="BE95" s="157">
        <v>0</v>
      </c>
      <c r="BF95" s="157"/>
      <c r="BG95" s="157">
        <v>0</v>
      </c>
      <c r="BH95" s="157"/>
      <c r="BI95" s="157">
        <v>0</v>
      </c>
      <c r="BJ95" s="157"/>
      <c r="BK95" s="157">
        <v>0</v>
      </c>
      <c r="BL95" s="157"/>
      <c r="BM95" s="157">
        <v>0</v>
      </c>
      <c r="BN95" s="157"/>
      <c r="BO95" s="157">
        <v>0</v>
      </c>
      <c r="BP95" s="157"/>
      <c r="BQ95" s="157">
        <v>0</v>
      </c>
      <c r="BR95" s="157"/>
      <c r="BS95" s="157">
        <v>0</v>
      </c>
    </row>
    <row r="96" spans="1:72" x14ac:dyDescent="0.2">
      <c r="A96" s="123" t="s">
        <v>1033</v>
      </c>
      <c r="B96" s="124" t="s">
        <v>1032</v>
      </c>
      <c r="C96" s="157">
        <v>0</v>
      </c>
      <c r="D96" s="157"/>
      <c r="E96" s="157">
        <v>0</v>
      </c>
      <c r="F96" s="157"/>
      <c r="G96" s="157">
        <v>0</v>
      </c>
      <c r="H96" s="157"/>
      <c r="I96" s="157">
        <v>0</v>
      </c>
      <c r="J96" s="157"/>
      <c r="K96" s="157">
        <v>0</v>
      </c>
      <c r="L96" s="157"/>
      <c r="M96" s="157">
        <v>0</v>
      </c>
      <c r="N96" s="157"/>
      <c r="O96" s="157">
        <v>0</v>
      </c>
      <c r="P96" s="157"/>
      <c r="Q96" s="157">
        <v>3513.9</v>
      </c>
      <c r="R96" s="157"/>
      <c r="S96" s="157">
        <v>0</v>
      </c>
      <c r="T96" s="157"/>
      <c r="U96" s="157">
        <v>0</v>
      </c>
      <c r="V96" s="157"/>
      <c r="W96" s="157">
        <v>0</v>
      </c>
      <c r="X96" s="157"/>
      <c r="Y96" s="157">
        <v>0</v>
      </c>
      <c r="Z96" s="157"/>
      <c r="AA96" s="157">
        <v>0</v>
      </c>
      <c r="AB96" s="157"/>
      <c r="AC96" s="157">
        <v>0</v>
      </c>
      <c r="AD96" s="157"/>
      <c r="AE96" s="157">
        <v>0</v>
      </c>
      <c r="AF96" s="157"/>
      <c r="AG96" s="157">
        <v>0</v>
      </c>
      <c r="AH96" s="157"/>
      <c r="AI96" s="157">
        <v>0</v>
      </c>
      <c r="AJ96" s="157"/>
      <c r="AK96" s="157">
        <v>0</v>
      </c>
      <c r="AL96" s="157"/>
      <c r="AM96" s="157">
        <v>0</v>
      </c>
      <c r="AN96" s="157"/>
      <c r="AO96" s="157">
        <v>0</v>
      </c>
      <c r="AP96" s="157"/>
      <c r="AQ96" s="157">
        <v>0</v>
      </c>
      <c r="AR96" s="157"/>
      <c r="AS96" s="157">
        <v>0</v>
      </c>
      <c r="AT96" s="157"/>
      <c r="AU96" s="157">
        <v>0</v>
      </c>
      <c r="AV96" s="157"/>
      <c r="AW96" s="157">
        <v>0</v>
      </c>
      <c r="AX96" s="157"/>
      <c r="AY96" s="157">
        <v>0</v>
      </c>
      <c r="AZ96" s="157"/>
      <c r="BA96" s="157">
        <v>0</v>
      </c>
      <c r="BB96" s="157"/>
      <c r="BC96" s="157">
        <v>0</v>
      </c>
      <c r="BD96" s="157"/>
      <c r="BE96" s="157">
        <v>3590.82</v>
      </c>
      <c r="BF96" s="157"/>
      <c r="BG96" s="157">
        <v>0</v>
      </c>
      <c r="BH96" s="157"/>
      <c r="BI96" s="157">
        <v>0</v>
      </c>
      <c r="BJ96" s="157"/>
      <c r="BK96" s="157">
        <v>0</v>
      </c>
      <c r="BL96" s="157"/>
      <c r="BM96" s="157">
        <v>0</v>
      </c>
      <c r="BN96" s="157"/>
      <c r="BO96" s="157">
        <v>0</v>
      </c>
      <c r="BP96" s="157"/>
      <c r="BQ96" s="157">
        <v>0</v>
      </c>
      <c r="BR96" s="157"/>
      <c r="BS96" s="157">
        <v>0</v>
      </c>
    </row>
    <row r="97" spans="1:72" x14ac:dyDescent="0.2">
      <c r="A97" s="123" t="s">
        <v>1031</v>
      </c>
      <c r="B97" s="124" t="s">
        <v>1030</v>
      </c>
      <c r="C97" s="157">
        <v>0</v>
      </c>
      <c r="D97" s="157"/>
      <c r="E97" s="157">
        <v>0</v>
      </c>
      <c r="F97" s="157"/>
      <c r="G97" s="157">
        <v>0</v>
      </c>
      <c r="H97" s="157"/>
      <c r="I97" s="157">
        <v>0</v>
      </c>
      <c r="J97" s="157"/>
      <c r="K97" s="157">
        <v>0</v>
      </c>
      <c r="L97" s="157"/>
      <c r="M97" s="157">
        <v>0</v>
      </c>
      <c r="N97" s="157"/>
      <c r="O97" s="157">
        <v>0</v>
      </c>
      <c r="P97" s="157"/>
      <c r="Q97" s="157">
        <v>0</v>
      </c>
      <c r="R97" s="157"/>
      <c r="S97" s="157">
        <v>0</v>
      </c>
      <c r="T97" s="157"/>
      <c r="U97" s="157">
        <v>0</v>
      </c>
      <c r="V97" s="157"/>
      <c r="W97" s="157">
        <v>0</v>
      </c>
      <c r="X97" s="157"/>
      <c r="Y97" s="157">
        <v>6762.59</v>
      </c>
      <c r="Z97" s="157"/>
      <c r="AA97" s="157">
        <v>0</v>
      </c>
      <c r="AB97" s="157"/>
      <c r="AC97" s="157">
        <v>0</v>
      </c>
      <c r="AD97" s="157"/>
      <c r="AE97" s="157">
        <v>0</v>
      </c>
      <c r="AF97" s="157"/>
      <c r="AG97" s="157">
        <v>0</v>
      </c>
      <c r="AH97" s="157"/>
      <c r="AI97" s="157">
        <v>0</v>
      </c>
      <c r="AJ97" s="157"/>
      <c r="AK97" s="157">
        <v>0</v>
      </c>
      <c r="AL97" s="157"/>
      <c r="AM97" s="157">
        <v>18130</v>
      </c>
      <c r="AN97" s="157"/>
      <c r="AO97" s="157">
        <v>0</v>
      </c>
      <c r="AP97" s="157"/>
      <c r="AQ97" s="157">
        <v>0</v>
      </c>
      <c r="AR97" s="157"/>
      <c r="AS97" s="157">
        <v>0</v>
      </c>
      <c r="AT97" s="157"/>
      <c r="AU97" s="157">
        <v>0</v>
      </c>
      <c r="AV97" s="157"/>
      <c r="AW97" s="157">
        <v>0</v>
      </c>
      <c r="AX97" s="157"/>
      <c r="AY97" s="157">
        <v>0</v>
      </c>
      <c r="AZ97" s="157"/>
      <c r="BA97" s="157">
        <v>0</v>
      </c>
      <c r="BB97" s="157"/>
      <c r="BC97" s="157">
        <v>0</v>
      </c>
      <c r="BD97" s="157"/>
      <c r="BE97" s="157">
        <v>0</v>
      </c>
      <c r="BF97" s="157"/>
      <c r="BG97" s="157">
        <v>0</v>
      </c>
      <c r="BH97" s="157"/>
      <c r="BI97" s="157">
        <v>0</v>
      </c>
      <c r="BJ97" s="157"/>
      <c r="BK97" s="157">
        <v>0</v>
      </c>
      <c r="BL97" s="157"/>
      <c r="BM97" s="157">
        <v>0</v>
      </c>
      <c r="BN97" s="157"/>
      <c r="BO97" s="157">
        <v>0</v>
      </c>
      <c r="BP97" s="157"/>
      <c r="BQ97" s="157">
        <v>0</v>
      </c>
      <c r="BR97" s="157"/>
      <c r="BS97" s="157">
        <v>0</v>
      </c>
    </row>
    <row r="98" spans="1:72" x14ac:dyDescent="0.2">
      <c r="A98" s="123" t="s">
        <v>184</v>
      </c>
      <c r="B98" s="124" t="s">
        <v>185</v>
      </c>
      <c r="C98" s="157">
        <v>225621.46</v>
      </c>
      <c r="D98" s="157"/>
      <c r="E98" s="157">
        <v>5326</v>
      </c>
      <c r="F98" s="157"/>
      <c r="G98" s="157">
        <v>22977.119999999999</v>
      </c>
      <c r="H98" s="157"/>
      <c r="I98" s="157">
        <v>3940.8</v>
      </c>
      <c r="J98" s="157"/>
      <c r="K98" s="157">
        <v>0</v>
      </c>
      <c r="L98" s="157"/>
      <c r="M98" s="157">
        <v>0</v>
      </c>
      <c r="N98" s="157"/>
      <c r="O98" s="157">
        <v>0</v>
      </c>
      <c r="P98" s="157"/>
      <c r="Q98" s="157">
        <v>0</v>
      </c>
      <c r="R98" s="157"/>
      <c r="S98" s="157">
        <v>0</v>
      </c>
      <c r="T98" s="157"/>
      <c r="U98" s="157">
        <v>3848.7</v>
      </c>
      <c r="V98" s="157"/>
      <c r="W98" s="157">
        <v>20039.25</v>
      </c>
      <c r="X98" s="157"/>
      <c r="Y98" s="157">
        <v>20330.13</v>
      </c>
      <c r="Z98" s="157"/>
      <c r="AA98" s="157">
        <v>0</v>
      </c>
      <c r="AB98" s="157"/>
      <c r="AC98" s="157">
        <v>32523.41</v>
      </c>
      <c r="AD98" s="157"/>
      <c r="AE98" s="157">
        <v>0</v>
      </c>
      <c r="AF98" s="157"/>
      <c r="AG98" s="157">
        <v>62860.21</v>
      </c>
      <c r="AH98" s="157"/>
      <c r="AI98" s="157">
        <v>0</v>
      </c>
      <c r="AJ98" s="157"/>
      <c r="AK98" s="157">
        <v>0</v>
      </c>
      <c r="AL98" s="157"/>
      <c r="AM98" s="157">
        <v>0</v>
      </c>
      <c r="AN98" s="157"/>
      <c r="AO98" s="157">
        <v>36854.699999999997</v>
      </c>
      <c r="AP98" s="157"/>
      <c r="AQ98" s="157">
        <v>0</v>
      </c>
      <c r="AR98" s="157"/>
      <c r="AS98" s="157">
        <v>6436.87</v>
      </c>
      <c r="AT98" s="157"/>
      <c r="AU98" s="157">
        <v>0</v>
      </c>
      <c r="AV98" s="157"/>
      <c r="AW98" s="157">
        <v>0</v>
      </c>
      <c r="AX98" s="157"/>
      <c r="AY98" s="157">
        <v>4445</v>
      </c>
      <c r="AZ98" s="157"/>
      <c r="BA98" s="157">
        <v>0</v>
      </c>
      <c r="BB98" s="157"/>
      <c r="BC98" s="157">
        <v>0</v>
      </c>
      <c r="BD98" s="157"/>
      <c r="BE98" s="157">
        <v>0</v>
      </c>
      <c r="BF98" s="157"/>
      <c r="BG98" s="157">
        <v>0</v>
      </c>
      <c r="BH98" s="157"/>
      <c r="BI98" s="157">
        <v>3560.16</v>
      </c>
      <c r="BJ98" s="157"/>
      <c r="BK98" s="157">
        <v>15901.99</v>
      </c>
      <c r="BL98" s="157"/>
      <c r="BM98" s="157">
        <v>0</v>
      </c>
      <c r="BN98" s="157"/>
      <c r="BO98" s="157">
        <v>0</v>
      </c>
      <c r="BP98" s="157"/>
      <c r="BQ98" s="157">
        <v>0</v>
      </c>
      <c r="BR98" s="157"/>
      <c r="BS98" s="157">
        <v>0</v>
      </c>
    </row>
    <row r="99" spans="1:72" x14ac:dyDescent="0.2">
      <c r="A99" s="123" t="s">
        <v>186</v>
      </c>
      <c r="B99" s="124" t="s">
        <v>187</v>
      </c>
      <c r="C99" s="157">
        <v>0</v>
      </c>
      <c r="D99" s="157"/>
      <c r="E99" s="157">
        <v>194313</v>
      </c>
      <c r="F99" s="157"/>
      <c r="G99" s="157">
        <v>82784</v>
      </c>
      <c r="H99" s="157"/>
      <c r="I99" s="157">
        <v>0</v>
      </c>
      <c r="J99" s="157"/>
      <c r="K99" s="157">
        <v>0</v>
      </c>
      <c r="L99" s="157"/>
      <c r="M99" s="157">
        <v>83915</v>
      </c>
      <c r="N99" s="157"/>
      <c r="O99" s="157">
        <v>289494</v>
      </c>
      <c r="P99" s="157"/>
      <c r="Q99" s="157">
        <v>370028.23</v>
      </c>
      <c r="R99" s="157"/>
      <c r="S99" s="157">
        <v>135395</v>
      </c>
      <c r="T99" s="157"/>
      <c r="U99" s="157">
        <v>283099.27</v>
      </c>
      <c r="V99" s="157"/>
      <c r="W99" s="157">
        <v>257660</v>
      </c>
      <c r="X99" s="157"/>
      <c r="Y99" s="157">
        <v>6642.32</v>
      </c>
      <c r="Z99" s="157"/>
      <c r="AA99" s="157">
        <v>13157</v>
      </c>
      <c r="AB99" s="157"/>
      <c r="AC99" s="157">
        <v>133471</v>
      </c>
      <c r="AD99" s="157"/>
      <c r="AE99" s="157">
        <v>740660</v>
      </c>
      <c r="AF99" s="157"/>
      <c r="AG99" s="157">
        <v>107314.29</v>
      </c>
      <c r="AH99" s="157"/>
      <c r="AI99" s="157">
        <v>227229</v>
      </c>
      <c r="AJ99" s="157"/>
      <c r="AK99" s="157">
        <v>0</v>
      </c>
      <c r="AL99" s="157"/>
      <c r="AM99" s="157">
        <v>0</v>
      </c>
      <c r="AN99" s="157"/>
      <c r="AO99" s="157">
        <v>216370.22</v>
      </c>
      <c r="AP99" s="157"/>
      <c r="AQ99" s="157">
        <v>0</v>
      </c>
      <c r="AR99" s="157"/>
      <c r="AS99" s="157">
        <v>81836</v>
      </c>
      <c r="AT99" s="157"/>
      <c r="AU99" s="157">
        <v>0</v>
      </c>
      <c r="AV99" s="157"/>
      <c r="AW99" s="157">
        <v>40461</v>
      </c>
      <c r="AX99" s="157"/>
      <c r="AY99" s="157">
        <v>81564.39</v>
      </c>
      <c r="AZ99" s="157"/>
      <c r="BA99" s="157">
        <v>111081</v>
      </c>
      <c r="BB99" s="157"/>
      <c r="BC99" s="157">
        <v>0</v>
      </c>
      <c r="BD99" s="157"/>
      <c r="BE99" s="157">
        <v>34010</v>
      </c>
      <c r="BF99" s="157"/>
      <c r="BG99" s="157">
        <v>126244</v>
      </c>
      <c r="BH99" s="157"/>
      <c r="BI99" s="157">
        <v>110775</v>
      </c>
      <c r="BJ99" s="157"/>
      <c r="BK99" s="157">
        <v>4521</v>
      </c>
      <c r="BL99" s="157"/>
      <c r="BM99" s="157">
        <v>0</v>
      </c>
      <c r="BN99" s="157"/>
      <c r="BO99" s="157">
        <v>258683</v>
      </c>
      <c r="BP99" s="157"/>
      <c r="BQ99" s="157">
        <v>134428.63</v>
      </c>
      <c r="BR99" s="157"/>
      <c r="BS99" s="157">
        <v>0</v>
      </c>
    </row>
    <row r="100" spans="1:72" x14ac:dyDescent="0.2">
      <c r="A100" s="123" t="s">
        <v>951</v>
      </c>
      <c r="B100" s="124" t="s">
        <v>1029</v>
      </c>
      <c r="C100" s="157">
        <v>0</v>
      </c>
      <c r="D100" s="157"/>
      <c r="E100" s="157">
        <v>0</v>
      </c>
      <c r="F100" s="157"/>
      <c r="G100" s="157">
        <v>0</v>
      </c>
      <c r="H100" s="157"/>
      <c r="I100" s="157">
        <v>0</v>
      </c>
      <c r="J100" s="157"/>
      <c r="K100" s="157">
        <v>0</v>
      </c>
      <c r="L100" s="157"/>
      <c r="M100" s="157">
        <v>0</v>
      </c>
      <c r="N100" s="157"/>
      <c r="O100" s="157">
        <v>0</v>
      </c>
      <c r="P100" s="157"/>
      <c r="Q100" s="157">
        <v>0</v>
      </c>
      <c r="R100" s="157"/>
      <c r="S100" s="157">
        <v>0</v>
      </c>
      <c r="T100" s="157"/>
      <c r="U100" s="157">
        <v>0</v>
      </c>
      <c r="V100" s="157"/>
      <c r="W100" s="157">
        <v>0</v>
      </c>
      <c r="X100" s="157"/>
      <c r="Y100" s="157">
        <v>0</v>
      </c>
      <c r="Z100" s="157"/>
      <c r="AA100" s="157">
        <v>0</v>
      </c>
      <c r="AB100" s="157"/>
      <c r="AC100" s="157">
        <v>0</v>
      </c>
      <c r="AD100" s="157"/>
      <c r="AE100" s="157">
        <v>0</v>
      </c>
      <c r="AF100" s="157"/>
      <c r="AG100" s="157">
        <v>0</v>
      </c>
      <c r="AH100" s="157"/>
      <c r="AI100" s="157">
        <v>0</v>
      </c>
      <c r="AJ100" s="157"/>
      <c r="AK100" s="157">
        <v>0</v>
      </c>
      <c r="AL100" s="157"/>
      <c r="AM100" s="157">
        <v>199954.94</v>
      </c>
      <c r="AN100" s="157"/>
      <c r="AO100" s="157">
        <v>0</v>
      </c>
      <c r="AP100" s="157"/>
      <c r="AQ100" s="157">
        <v>0</v>
      </c>
      <c r="AR100" s="157"/>
      <c r="AS100" s="157">
        <v>0</v>
      </c>
      <c r="AT100" s="157"/>
      <c r="AU100" s="157">
        <v>0</v>
      </c>
      <c r="AV100" s="157"/>
      <c r="AW100" s="157">
        <v>0</v>
      </c>
      <c r="AX100" s="157"/>
      <c r="AY100" s="157">
        <v>0</v>
      </c>
      <c r="AZ100" s="157"/>
      <c r="BA100" s="157">
        <v>0</v>
      </c>
      <c r="BB100" s="157"/>
      <c r="BC100" s="157">
        <v>0</v>
      </c>
      <c r="BD100" s="157"/>
      <c r="BE100" s="157">
        <v>0</v>
      </c>
      <c r="BF100" s="157"/>
      <c r="BG100" s="157">
        <v>0</v>
      </c>
      <c r="BH100" s="157"/>
      <c r="BI100" s="157">
        <v>0</v>
      </c>
      <c r="BJ100" s="157"/>
      <c r="BK100" s="157">
        <v>0</v>
      </c>
      <c r="BL100" s="157"/>
      <c r="BM100" s="157">
        <v>0</v>
      </c>
      <c r="BN100" s="157"/>
      <c r="BO100" s="157">
        <v>0</v>
      </c>
      <c r="BP100" s="157"/>
      <c r="BQ100" s="157">
        <v>0</v>
      </c>
      <c r="BR100" s="157"/>
      <c r="BS100" s="157">
        <v>0</v>
      </c>
    </row>
    <row r="101" spans="1:72" x14ac:dyDescent="0.2">
      <c r="A101" s="123" t="s">
        <v>659</v>
      </c>
      <c r="B101" s="124" t="s">
        <v>658</v>
      </c>
      <c r="C101" s="157">
        <v>0</v>
      </c>
      <c r="D101" s="157"/>
      <c r="E101" s="157">
        <v>5512</v>
      </c>
      <c r="F101" s="157"/>
      <c r="G101" s="157">
        <v>0</v>
      </c>
      <c r="H101" s="157"/>
      <c r="I101" s="157">
        <v>0</v>
      </c>
      <c r="J101" s="157"/>
      <c r="K101" s="157">
        <v>0</v>
      </c>
      <c r="L101" s="157"/>
      <c r="M101" s="157">
        <v>0</v>
      </c>
      <c r="N101" s="157"/>
      <c r="O101" s="157">
        <v>0</v>
      </c>
      <c r="P101" s="157"/>
      <c r="Q101" s="157">
        <v>0</v>
      </c>
      <c r="R101" s="157"/>
      <c r="S101" s="157">
        <v>0</v>
      </c>
      <c r="T101" s="157"/>
      <c r="U101" s="157">
        <v>0</v>
      </c>
      <c r="V101" s="157"/>
      <c r="W101" s="157">
        <v>0</v>
      </c>
      <c r="X101" s="157"/>
      <c r="Y101" s="157">
        <v>0</v>
      </c>
      <c r="Z101" s="157"/>
      <c r="AA101" s="157">
        <v>0</v>
      </c>
      <c r="AB101" s="157"/>
      <c r="AC101" s="157">
        <v>0</v>
      </c>
      <c r="AD101" s="157"/>
      <c r="AE101" s="157">
        <v>0</v>
      </c>
      <c r="AF101" s="157"/>
      <c r="AG101" s="157">
        <v>0</v>
      </c>
      <c r="AH101" s="157"/>
      <c r="AI101" s="157">
        <v>0</v>
      </c>
      <c r="AJ101" s="157"/>
      <c r="AK101" s="157">
        <v>0</v>
      </c>
      <c r="AL101" s="157"/>
      <c r="AM101" s="157">
        <v>0</v>
      </c>
      <c r="AN101" s="157"/>
      <c r="AO101" s="157">
        <v>0</v>
      </c>
      <c r="AP101" s="157"/>
      <c r="AQ101" s="157">
        <v>0</v>
      </c>
      <c r="AR101" s="157"/>
      <c r="AS101" s="157">
        <v>0</v>
      </c>
      <c r="AT101" s="157"/>
      <c r="AU101" s="157">
        <v>0</v>
      </c>
      <c r="AV101" s="157"/>
      <c r="AW101" s="157">
        <v>0</v>
      </c>
      <c r="AX101" s="157"/>
      <c r="AY101" s="157">
        <v>0</v>
      </c>
      <c r="AZ101" s="157"/>
      <c r="BA101" s="157">
        <v>0</v>
      </c>
      <c r="BB101" s="157"/>
      <c r="BC101" s="157">
        <v>0</v>
      </c>
      <c r="BD101" s="157"/>
      <c r="BE101" s="157">
        <v>0</v>
      </c>
      <c r="BF101" s="157"/>
      <c r="BG101" s="157">
        <v>0</v>
      </c>
      <c r="BH101" s="157"/>
      <c r="BI101" s="157">
        <v>0</v>
      </c>
      <c r="BJ101" s="157"/>
      <c r="BK101" s="157">
        <v>0</v>
      </c>
      <c r="BL101" s="157"/>
      <c r="BM101" s="157">
        <v>0</v>
      </c>
      <c r="BN101" s="157"/>
      <c r="BO101" s="157">
        <v>0</v>
      </c>
      <c r="BP101" s="157"/>
      <c r="BQ101" s="157">
        <v>0</v>
      </c>
      <c r="BR101" s="157"/>
      <c r="BS101" s="157">
        <v>0</v>
      </c>
    </row>
    <row r="102" spans="1:72" x14ac:dyDescent="0.2">
      <c r="A102" s="123" t="s">
        <v>1431</v>
      </c>
      <c r="B102" s="124" t="s">
        <v>1432</v>
      </c>
      <c r="C102" s="157">
        <v>0</v>
      </c>
      <c r="D102" s="157"/>
      <c r="E102" s="157">
        <v>0</v>
      </c>
      <c r="F102" s="157"/>
      <c r="G102" s="157">
        <v>0</v>
      </c>
      <c r="H102" s="157"/>
      <c r="I102" s="157">
        <v>0</v>
      </c>
      <c r="J102" s="157"/>
      <c r="K102" s="157">
        <v>0</v>
      </c>
      <c r="L102" s="157"/>
      <c r="M102" s="157">
        <v>106.63</v>
      </c>
      <c r="N102" s="157"/>
      <c r="O102" s="157">
        <v>0</v>
      </c>
      <c r="P102" s="157"/>
      <c r="Q102" s="157">
        <v>0</v>
      </c>
      <c r="R102" s="157"/>
      <c r="S102" s="157">
        <v>0</v>
      </c>
      <c r="T102" s="157"/>
      <c r="U102" s="157">
        <v>0</v>
      </c>
      <c r="V102" s="157"/>
      <c r="W102" s="157">
        <v>0</v>
      </c>
      <c r="X102" s="157"/>
      <c r="Y102" s="157">
        <v>0</v>
      </c>
      <c r="Z102" s="157"/>
      <c r="AA102" s="157">
        <v>0</v>
      </c>
      <c r="AB102" s="157"/>
      <c r="AC102" s="157">
        <v>0</v>
      </c>
      <c r="AD102" s="157"/>
      <c r="AE102" s="157">
        <v>0</v>
      </c>
      <c r="AF102" s="157"/>
      <c r="AG102" s="157">
        <v>0</v>
      </c>
      <c r="AH102" s="157"/>
      <c r="AI102" s="157">
        <v>0</v>
      </c>
      <c r="AJ102" s="157"/>
      <c r="AK102" s="157">
        <v>0</v>
      </c>
      <c r="AL102" s="157"/>
      <c r="AM102" s="157">
        <v>0</v>
      </c>
      <c r="AN102" s="157"/>
      <c r="AO102" s="157">
        <v>0</v>
      </c>
      <c r="AP102" s="157"/>
      <c r="AQ102" s="157">
        <v>0</v>
      </c>
      <c r="AR102" s="157"/>
      <c r="AS102" s="157">
        <v>0</v>
      </c>
      <c r="AT102" s="157"/>
      <c r="AU102" s="157">
        <v>0</v>
      </c>
      <c r="AV102" s="157"/>
      <c r="AW102" s="157">
        <v>0</v>
      </c>
      <c r="AX102" s="157"/>
      <c r="AY102" s="157">
        <v>0</v>
      </c>
      <c r="AZ102" s="157"/>
      <c r="BA102" s="157">
        <v>0</v>
      </c>
      <c r="BB102" s="157"/>
      <c r="BC102" s="157">
        <v>0</v>
      </c>
      <c r="BD102" s="157"/>
      <c r="BE102" s="157">
        <v>0</v>
      </c>
      <c r="BF102" s="157"/>
      <c r="BG102" s="157">
        <v>0</v>
      </c>
      <c r="BH102" s="157"/>
      <c r="BI102" s="157">
        <v>0</v>
      </c>
      <c r="BJ102" s="157"/>
      <c r="BK102" s="157">
        <v>0</v>
      </c>
      <c r="BL102" s="157"/>
      <c r="BM102" s="157">
        <v>0</v>
      </c>
      <c r="BN102" s="157"/>
      <c r="BO102" s="157">
        <v>0</v>
      </c>
      <c r="BP102" s="157"/>
      <c r="BQ102" s="157">
        <v>0</v>
      </c>
      <c r="BR102" s="157"/>
      <c r="BS102" s="157">
        <v>0</v>
      </c>
    </row>
    <row r="103" spans="1:72" x14ac:dyDescent="0.2">
      <c r="A103" s="123" t="s">
        <v>188</v>
      </c>
      <c r="B103" s="124" t="s">
        <v>189</v>
      </c>
      <c r="C103" s="157">
        <v>-425740.9</v>
      </c>
      <c r="D103" s="157">
        <f>SUM(C103:C107)</f>
        <v>-3007311.27</v>
      </c>
      <c r="E103" s="157">
        <v>-722015.19</v>
      </c>
      <c r="F103" s="157">
        <f>SUM(E103:E107)</f>
        <v>-4143913.99</v>
      </c>
      <c r="G103" s="157">
        <v>-271655.67</v>
      </c>
      <c r="H103" s="157">
        <f>SUM(G103:G108)</f>
        <v>-3188723.5900000003</v>
      </c>
      <c r="I103" s="157">
        <v>-2872.16</v>
      </c>
      <c r="J103" s="157">
        <f>SUM(I103:I107)</f>
        <v>-2442903.4700000002</v>
      </c>
      <c r="K103" s="157">
        <v>-29389.08</v>
      </c>
      <c r="L103" s="157">
        <f>SUM(K103:K107)</f>
        <v>-4721912.04</v>
      </c>
      <c r="M103" s="157">
        <v>-384355.24</v>
      </c>
      <c r="N103" s="157">
        <f>SUM(M103:M107)</f>
        <v>-4676987.33</v>
      </c>
      <c r="O103" s="157">
        <v>-263782.18</v>
      </c>
      <c r="P103" s="157">
        <f>SUM(O103:O106)</f>
        <v>-2560127.7000000002</v>
      </c>
      <c r="Q103" s="157">
        <v>-154236.94</v>
      </c>
      <c r="R103" s="157">
        <f>SUM(Q103:Q107)</f>
        <v>-2503615.41</v>
      </c>
      <c r="S103" s="157">
        <v>-467408.23</v>
      </c>
      <c r="T103" s="157">
        <f>SUM(S103:S107)</f>
        <v>-4444703.7200000007</v>
      </c>
      <c r="U103" s="157">
        <v>-9676.5499999999993</v>
      </c>
      <c r="V103" s="157">
        <f>SUM(U103:U108)</f>
        <v>-1341668.93</v>
      </c>
      <c r="W103" s="157">
        <v>-349794.74</v>
      </c>
      <c r="X103" s="157">
        <f>SUM(W103:W107)</f>
        <v>-2875833.6300000004</v>
      </c>
      <c r="Y103" s="157">
        <v>-333317.03999999998</v>
      </c>
      <c r="Z103" s="157">
        <f>SUM(Y103:Y107)</f>
        <v>-4069030.31</v>
      </c>
      <c r="AA103" s="157">
        <v>-422879.57</v>
      </c>
      <c r="AB103" s="157">
        <f>SUM(AA103:AA107)</f>
        <v>-3024112.13</v>
      </c>
      <c r="AC103" s="157">
        <v>-438746.49</v>
      </c>
      <c r="AD103" s="157">
        <f>SUM(AC103:AC107)</f>
        <v>-2625444.7999999998</v>
      </c>
      <c r="AE103" s="157">
        <v>-733724.61</v>
      </c>
      <c r="AF103" s="157">
        <f>SUM(AE103:AE106)</f>
        <v>-4437733.4399999995</v>
      </c>
      <c r="AG103" s="157">
        <v>-559983.92000000004</v>
      </c>
      <c r="AH103" s="157">
        <f>SUM(AG103:AG107)</f>
        <v>-3238740.33</v>
      </c>
      <c r="AI103" s="157">
        <v>-243761.11</v>
      </c>
      <c r="AJ103" s="157">
        <f>SUM(AI103:AI108)</f>
        <v>-2213724.36</v>
      </c>
      <c r="AK103" s="157">
        <v>-706035.28</v>
      </c>
      <c r="AL103" s="157">
        <f>SUM(AK103:AK107)</f>
        <v>-3723150.17</v>
      </c>
      <c r="AM103" s="157">
        <v>-5784.83</v>
      </c>
      <c r="AN103" s="157">
        <f>SUM(AM103:AM107)</f>
        <v>-2065179.97</v>
      </c>
      <c r="AO103" s="157">
        <v>-499938.26</v>
      </c>
      <c r="AP103" s="157">
        <f>SUM(AO103:AO107)</f>
        <v>-3936659.3400000003</v>
      </c>
      <c r="AQ103" s="157">
        <v>-55249</v>
      </c>
      <c r="AR103" s="157">
        <f>SUM(AQ103:AQ107)</f>
        <v>-3520119</v>
      </c>
      <c r="AS103" s="157">
        <v>-268890</v>
      </c>
      <c r="AT103" s="157">
        <f>AS103+AS104+AS105+AS106</f>
        <v>-2999727</v>
      </c>
      <c r="AU103" s="157">
        <v>-31912.16</v>
      </c>
      <c r="AV103" s="157">
        <f>SUM(AU103:AU107)</f>
        <v>-2819007.3400000003</v>
      </c>
      <c r="AW103" s="157">
        <v>-184368.76</v>
      </c>
      <c r="AX103" s="157">
        <f>SUM(AW103:AW107)</f>
        <v>-2652814.8699999996</v>
      </c>
      <c r="AY103" s="157">
        <v>-237406.61</v>
      </c>
      <c r="AZ103" s="157">
        <f>SUM(AY103:AY106)</f>
        <v>-3668131.09</v>
      </c>
      <c r="BA103" s="157">
        <v>-380477.16</v>
      </c>
      <c r="BB103" s="157">
        <f>SUM(BA103:BA107)</f>
        <v>-2826151.45</v>
      </c>
      <c r="BC103" s="157">
        <v>-372650</v>
      </c>
      <c r="BD103" s="157">
        <f>SUM(BC103:BC107)</f>
        <v>-3520279</v>
      </c>
      <c r="BE103" s="157">
        <v>-326856.8</v>
      </c>
      <c r="BF103" s="157">
        <f>SUM(BE103:BE107)</f>
        <v>-3998642.1699999995</v>
      </c>
      <c r="BG103" s="157">
        <v>-75798</v>
      </c>
      <c r="BH103" s="157">
        <f>SUM(BG103:BG107)</f>
        <v>-2431343</v>
      </c>
      <c r="BI103" s="157">
        <v>-194845</v>
      </c>
      <c r="BJ103" s="157">
        <f>SUM(BI103:BI107)</f>
        <v>-2921746</v>
      </c>
      <c r="BK103" s="157">
        <v>-20965.75</v>
      </c>
      <c r="BL103" s="157">
        <f>SUM(BK103:BK107)</f>
        <v>-1632274.49</v>
      </c>
      <c r="BM103" s="157">
        <v>-322154.92</v>
      </c>
      <c r="BN103" s="157">
        <f>SUM(BM103:BM107)</f>
        <v>-1724610.44</v>
      </c>
      <c r="BO103" s="157">
        <v>-21779.14</v>
      </c>
      <c r="BP103" s="157">
        <f>SUM(BO103:BO107)</f>
        <v>-1568580.5599999998</v>
      </c>
      <c r="BQ103" s="157">
        <v>-12663.36</v>
      </c>
      <c r="BR103" s="157">
        <f>SUM(BQ103:BQ107)</f>
        <v>-1468796.9500000002</v>
      </c>
      <c r="BS103" s="157">
        <v>-25838.61</v>
      </c>
      <c r="BT103" s="168">
        <f>SUM(BS103:BS107)</f>
        <v>-1603191.8600000003</v>
      </c>
    </row>
    <row r="104" spans="1:72" x14ac:dyDescent="0.2">
      <c r="A104" s="123" t="s">
        <v>190</v>
      </c>
      <c r="B104" s="124" t="s">
        <v>191</v>
      </c>
      <c r="C104" s="157">
        <v>-2360885.08</v>
      </c>
      <c r="D104" s="157"/>
      <c r="E104" s="157">
        <v>-3076423.41</v>
      </c>
      <c r="F104" s="157"/>
      <c r="G104" s="157">
        <v>-2699219.22</v>
      </c>
      <c r="H104" s="157"/>
      <c r="I104" s="157">
        <v>-2232999.64</v>
      </c>
      <c r="J104" s="157"/>
      <c r="K104" s="157">
        <v>-4244759.24</v>
      </c>
      <c r="L104" s="157"/>
      <c r="M104" s="157">
        <v>-4078344.1</v>
      </c>
      <c r="N104" s="157"/>
      <c r="O104" s="157">
        <v>-1929592.19</v>
      </c>
      <c r="P104" s="157"/>
      <c r="Q104" s="157">
        <v>-1978212.08</v>
      </c>
      <c r="R104" s="157"/>
      <c r="S104" s="157">
        <v>-3525304.99</v>
      </c>
      <c r="T104" s="157"/>
      <c r="U104" s="157">
        <v>-1045196.93</v>
      </c>
      <c r="V104" s="157"/>
      <c r="W104" s="157">
        <v>-2238028.59</v>
      </c>
      <c r="X104" s="157"/>
      <c r="Y104" s="157">
        <v>-3510064.81</v>
      </c>
      <c r="Z104" s="157"/>
      <c r="AA104" s="157">
        <v>-2274674</v>
      </c>
      <c r="AB104" s="157"/>
      <c r="AC104" s="157">
        <v>-1921785.52</v>
      </c>
      <c r="AD104" s="157"/>
      <c r="AE104" s="157">
        <v>-2959416.29</v>
      </c>
      <c r="AF104" s="157"/>
      <c r="AG104" s="157">
        <v>-2437581.04</v>
      </c>
      <c r="AH104" s="157"/>
      <c r="AI104" s="157">
        <v>-1723788.43</v>
      </c>
      <c r="AJ104" s="157"/>
      <c r="AK104" s="157">
        <v>-2546720.1800000002</v>
      </c>
      <c r="AL104" s="157"/>
      <c r="AM104" s="157">
        <v>-1674544.02</v>
      </c>
      <c r="AN104" s="157"/>
      <c r="AO104" s="157">
        <v>-3022454.69</v>
      </c>
      <c r="AP104" s="157"/>
      <c r="AQ104" s="157">
        <v>-2927589</v>
      </c>
      <c r="AR104" s="157"/>
      <c r="AS104" s="157">
        <v>-2338803</v>
      </c>
      <c r="AT104" s="157"/>
      <c r="AU104" s="157">
        <v>-2517551.58</v>
      </c>
      <c r="AV104" s="157"/>
      <c r="AW104" s="157">
        <v>-2279909.5499999998</v>
      </c>
      <c r="AX104" s="157"/>
      <c r="AY104" s="157">
        <v>-3151799.62</v>
      </c>
      <c r="AZ104" s="157"/>
      <c r="BA104" s="157">
        <v>-2180551.42</v>
      </c>
      <c r="BB104" s="157"/>
      <c r="BC104" s="157">
        <v>-2583284</v>
      </c>
      <c r="BD104" s="157"/>
      <c r="BE104" s="157">
        <v>-3408584.8</v>
      </c>
      <c r="BF104" s="157"/>
      <c r="BG104" s="157">
        <v>-1955402</v>
      </c>
      <c r="BH104" s="157"/>
      <c r="BI104" s="157">
        <v>-2452407</v>
      </c>
      <c r="BJ104" s="157"/>
      <c r="BK104" s="157">
        <v>-1394137.28</v>
      </c>
      <c r="BL104" s="157"/>
      <c r="BM104" s="157">
        <v>-1050560.71</v>
      </c>
      <c r="BN104" s="157"/>
      <c r="BO104" s="157">
        <v>-1250702.06</v>
      </c>
      <c r="BP104" s="157"/>
      <c r="BQ104" s="157">
        <v>-1322533.08</v>
      </c>
      <c r="BR104" s="157"/>
      <c r="BS104" s="157">
        <v>-1328958.3700000001</v>
      </c>
    </row>
    <row r="105" spans="1:72" x14ac:dyDescent="0.2">
      <c r="A105" s="123" t="s">
        <v>192</v>
      </c>
      <c r="B105" s="124" t="s">
        <v>193</v>
      </c>
      <c r="C105" s="157">
        <v>-14323.65</v>
      </c>
      <c r="D105" s="157"/>
      <c r="E105" s="157">
        <v>-134850.16</v>
      </c>
      <c r="F105" s="157"/>
      <c r="G105" s="157">
        <v>-130277.25</v>
      </c>
      <c r="H105" s="157"/>
      <c r="I105" s="157">
        <v>-206144.99</v>
      </c>
      <c r="J105" s="157"/>
      <c r="K105" s="157">
        <v>-447763.72</v>
      </c>
      <c r="L105" s="157"/>
      <c r="M105" s="157">
        <v>-121028.91</v>
      </c>
      <c r="N105" s="157"/>
      <c r="O105" s="157">
        <v>-77449.33</v>
      </c>
      <c r="P105" s="157"/>
      <c r="Q105" s="157">
        <v>0</v>
      </c>
      <c r="R105" s="157"/>
      <c r="S105" s="157">
        <v>-313553.67</v>
      </c>
      <c r="T105" s="157"/>
      <c r="U105" s="157">
        <v>-1643.43</v>
      </c>
      <c r="V105" s="157"/>
      <c r="W105" s="157">
        <v>-25850.37</v>
      </c>
      <c r="X105" s="157"/>
      <c r="Y105" s="157">
        <v>-209346.38</v>
      </c>
      <c r="Z105" s="157"/>
      <c r="AA105" s="157">
        <v>-309012.09999999998</v>
      </c>
      <c r="AB105" s="157"/>
      <c r="AC105" s="157">
        <v>-119582.04</v>
      </c>
      <c r="AD105" s="157"/>
      <c r="AE105" s="157">
        <v>-2232.56</v>
      </c>
      <c r="AF105" s="157"/>
      <c r="AG105" s="157">
        <v>-133650.13</v>
      </c>
      <c r="AH105" s="157"/>
      <c r="AI105" s="157">
        <v>-21487.39</v>
      </c>
      <c r="AJ105" s="157"/>
      <c r="AK105" s="157">
        <v>-470394.71</v>
      </c>
      <c r="AL105" s="157"/>
      <c r="AM105" s="157">
        <v>-166766.18</v>
      </c>
      <c r="AN105" s="157"/>
      <c r="AO105" s="157">
        <v>-184080.95</v>
      </c>
      <c r="AP105" s="157"/>
      <c r="AQ105" s="157">
        <v>-537281</v>
      </c>
      <c r="AR105" s="157"/>
      <c r="AS105" s="157">
        <v>-293242</v>
      </c>
      <c r="AT105" s="157"/>
      <c r="AU105" s="157">
        <v>-268236.98</v>
      </c>
      <c r="AV105" s="157"/>
      <c r="AW105" s="157">
        <v>-150321.51999999999</v>
      </c>
      <c r="AX105" s="157"/>
      <c r="AY105" s="157">
        <v>-196775.92</v>
      </c>
      <c r="AZ105" s="157"/>
      <c r="BA105" s="157">
        <v>-156337.97</v>
      </c>
      <c r="BB105" s="157"/>
      <c r="BC105" s="157">
        <v>-564345</v>
      </c>
      <c r="BD105" s="157"/>
      <c r="BE105" s="157">
        <v>-232470.8</v>
      </c>
      <c r="BF105" s="157"/>
      <c r="BG105" s="157">
        <v>-292296</v>
      </c>
      <c r="BH105" s="157"/>
      <c r="BI105" s="157">
        <v>-180820</v>
      </c>
      <c r="BJ105" s="157"/>
      <c r="BK105" s="157">
        <v>-207479.82</v>
      </c>
      <c r="BL105" s="157"/>
      <c r="BM105" s="157">
        <v>-351894.81</v>
      </c>
      <c r="BN105" s="157"/>
      <c r="BO105" s="157">
        <v>-37416.379999999997</v>
      </c>
      <c r="BP105" s="157"/>
      <c r="BQ105" s="157">
        <v>-1753.93</v>
      </c>
      <c r="BR105" s="157"/>
      <c r="BS105" s="157">
        <v>-248394.88</v>
      </c>
    </row>
    <row r="106" spans="1:72" x14ac:dyDescent="0.2">
      <c r="A106" s="123" t="s">
        <v>194</v>
      </c>
      <c r="B106" s="124" t="s">
        <v>195</v>
      </c>
      <c r="C106" s="157">
        <v>-206361.64</v>
      </c>
      <c r="D106" s="157"/>
      <c r="E106" s="157">
        <v>-208853.5</v>
      </c>
      <c r="F106" s="157"/>
      <c r="G106" s="157">
        <v>-87571.45</v>
      </c>
      <c r="H106" s="157"/>
      <c r="I106" s="157">
        <v>-886.68</v>
      </c>
      <c r="J106" s="157"/>
      <c r="K106" s="157">
        <v>0</v>
      </c>
      <c r="L106" s="157"/>
      <c r="M106" s="157">
        <v>-93259.08</v>
      </c>
      <c r="N106" s="157"/>
      <c r="O106" s="157">
        <v>-289304</v>
      </c>
      <c r="P106" s="157"/>
      <c r="Q106" s="157">
        <v>-371166.39</v>
      </c>
      <c r="R106" s="157"/>
      <c r="S106" s="157">
        <v>-138436.82999999999</v>
      </c>
      <c r="T106" s="157"/>
      <c r="U106" s="157">
        <v>-285152.02</v>
      </c>
      <c r="V106" s="157"/>
      <c r="W106" s="157">
        <v>-262159.93</v>
      </c>
      <c r="X106" s="157"/>
      <c r="Y106" s="157">
        <v>-16302.08</v>
      </c>
      <c r="Z106" s="157"/>
      <c r="AA106" s="157">
        <v>-17546.46</v>
      </c>
      <c r="AB106" s="157"/>
      <c r="AC106" s="157">
        <v>-145330.75</v>
      </c>
      <c r="AD106" s="157"/>
      <c r="AE106" s="157">
        <v>-742359.98</v>
      </c>
      <c r="AF106" s="157"/>
      <c r="AG106" s="157">
        <v>-107525.24</v>
      </c>
      <c r="AH106" s="157"/>
      <c r="AI106" s="157">
        <v>-224687.43</v>
      </c>
      <c r="AJ106" s="157"/>
      <c r="AK106" s="157">
        <v>0</v>
      </c>
      <c r="AL106" s="157"/>
      <c r="AM106" s="157">
        <v>-218084.94</v>
      </c>
      <c r="AN106" s="157"/>
      <c r="AO106" s="157">
        <v>-230185.44</v>
      </c>
      <c r="AP106" s="157"/>
      <c r="AQ106" s="157">
        <v>0</v>
      </c>
      <c r="AR106" s="157"/>
      <c r="AS106" s="157">
        <v>-98792</v>
      </c>
      <c r="AT106" s="157"/>
      <c r="AU106" s="157">
        <v>-1306.6199999999999</v>
      </c>
      <c r="AV106" s="157"/>
      <c r="AW106" s="157">
        <v>-38215.040000000001</v>
      </c>
      <c r="AX106" s="157"/>
      <c r="AY106" s="157">
        <v>-82148.94</v>
      </c>
      <c r="AZ106" s="157"/>
      <c r="BA106" s="157">
        <v>-108784.9</v>
      </c>
      <c r="BB106" s="157"/>
      <c r="BC106" s="157">
        <v>0</v>
      </c>
      <c r="BD106" s="157"/>
      <c r="BE106" s="157">
        <v>-30729.77</v>
      </c>
      <c r="BF106" s="157"/>
      <c r="BG106" s="157">
        <v>-107847</v>
      </c>
      <c r="BH106" s="157"/>
      <c r="BI106" s="157">
        <v>-93674</v>
      </c>
      <c r="BJ106" s="157"/>
      <c r="BK106" s="157">
        <v>-9691.64</v>
      </c>
      <c r="BL106" s="157"/>
      <c r="BM106" s="157">
        <v>0</v>
      </c>
      <c r="BN106" s="157"/>
      <c r="BO106" s="157">
        <v>-258682.98</v>
      </c>
      <c r="BP106" s="157"/>
      <c r="BQ106" s="157">
        <v>-131846.57999999999</v>
      </c>
      <c r="BR106" s="157"/>
      <c r="BS106" s="157">
        <v>0</v>
      </c>
    </row>
    <row r="107" spans="1:72" x14ac:dyDescent="0.2">
      <c r="A107" s="123" t="s">
        <v>657</v>
      </c>
      <c r="B107" s="124" t="s">
        <v>656</v>
      </c>
      <c r="C107" s="157">
        <v>0</v>
      </c>
      <c r="D107" s="157"/>
      <c r="E107" s="157">
        <v>-1771.73</v>
      </c>
      <c r="F107" s="157"/>
      <c r="G107" s="157">
        <v>0</v>
      </c>
      <c r="H107" s="157"/>
      <c r="I107" s="157">
        <v>0</v>
      </c>
      <c r="J107" s="157"/>
      <c r="K107" s="157">
        <v>0</v>
      </c>
      <c r="L107" s="157"/>
      <c r="M107" s="157">
        <v>0</v>
      </c>
      <c r="N107" s="157"/>
      <c r="O107" s="157">
        <v>0</v>
      </c>
      <c r="P107" s="157"/>
      <c r="Q107" s="157">
        <v>0</v>
      </c>
      <c r="R107" s="157"/>
      <c r="S107" s="157">
        <v>0</v>
      </c>
      <c r="T107" s="157"/>
      <c r="U107" s="157">
        <v>0</v>
      </c>
      <c r="V107" s="157"/>
      <c r="W107" s="157">
        <v>0</v>
      </c>
      <c r="X107" s="157"/>
      <c r="Y107" s="157">
        <v>0</v>
      </c>
      <c r="Z107" s="157"/>
      <c r="AA107" s="157">
        <v>0</v>
      </c>
      <c r="AB107" s="157"/>
      <c r="AC107" s="157">
        <v>0</v>
      </c>
      <c r="AD107" s="157"/>
      <c r="AE107" s="157">
        <v>0</v>
      </c>
      <c r="AF107" s="157"/>
      <c r="AG107" s="157">
        <v>0</v>
      </c>
      <c r="AH107" s="157"/>
      <c r="AI107" s="157">
        <v>0</v>
      </c>
      <c r="AJ107" s="157"/>
      <c r="AK107" s="157">
        <v>0</v>
      </c>
      <c r="AL107" s="157"/>
      <c r="AM107" s="157">
        <v>0</v>
      </c>
      <c r="AN107" s="157"/>
      <c r="AO107" s="157">
        <v>0</v>
      </c>
      <c r="AP107" s="157"/>
      <c r="AQ107" s="157">
        <v>0</v>
      </c>
      <c r="AR107" s="157"/>
      <c r="AS107" s="157">
        <v>0</v>
      </c>
      <c r="AT107" s="157"/>
      <c r="AU107" s="157">
        <v>0</v>
      </c>
      <c r="AV107" s="157"/>
      <c r="AW107" s="157">
        <v>0</v>
      </c>
      <c r="AX107" s="157"/>
      <c r="AY107" s="157">
        <v>0</v>
      </c>
      <c r="AZ107" s="157"/>
      <c r="BA107" s="157">
        <v>0</v>
      </c>
      <c r="BB107" s="157"/>
      <c r="BC107" s="157">
        <v>0</v>
      </c>
      <c r="BD107" s="157"/>
      <c r="BE107" s="157">
        <v>0</v>
      </c>
      <c r="BF107" s="157"/>
      <c r="BG107" s="157">
        <v>0</v>
      </c>
      <c r="BH107" s="157"/>
      <c r="BI107" s="157">
        <v>0</v>
      </c>
      <c r="BJ107" s="157"/>
      <c r="BK107" s="157">
        <v>0</v>
      </c>
      <c r="BL107" s="157"/>
      <c r="BM107" s="157">
        <v>0</v>
      </c>
      <c r="BN107" s="157"/>
      <c r="BO107" s="157">
        <v>0</v>
      </c>
      <c r="BP107" s="157"/>
      <c r="BQ107" s="157">
        <v>0</v>
      </c>
      <c r="BR107" s="157"/>
      <c r="BS107" s="157">
        <v>0</v>
      </c>
    </row>
    <row r="108" spans="1:72" x14ac:dyDescent="0.2">
      <c r="A108" s="123" t="s">
        <v>468</v>
      </c>
      <c r="B108" s="124" t="s">
        <v>469</v>
      </c>
      <c r="C108" s="157">
        <v>0</v>
      </c>
      <c r="D108" s="157"/>
      <c r="E108" s="157">
        <v>0</v>
      </c>
      <c r="F108" s="157"/>
      <c r="G108" s="157">
        <v>0</v>
      </c>
      <c r="H108" s="157"/>
      <c r="I108" s="157">
        <v>0</v>
      </c>
      <c r="J108" s="157"/>
      <c r="K108" s="157">
        <v>10367</v>
      </c>
      <c r="L108" s="157"/>
      <c r="M108" s="157">
        <v>0</v>
      </c>
      <c r="N108" s="157"/>
      <c r="O108" s="157">
        <v>0</v>
      </c>
      <c r="P108" s="157"/>
      <c r="Q108" s="157">
        <v>0</v>
      </c>
      <c r="R108" s="157"/>
      <c r="S108" s="157">
        <v>0</v>
      </c>
      <c r="T108" s="157"/>
      <c r="U108" s="157">
        <v>0</v>
      </c>
      <c r="V108" s="157"/>
      <c r="W108" s="157">
        <v>0</v>
      </c>
      <c r="X108" s="157"/>
      <c r="Y108" s="157">
        <v>0</v>
      </c>
      <c r="Z108" s="157"/>
      <c r="AA108" s="157">
        <v>0</v>
      </c>
      <c r="AB108" s="157"/>
      <c r="AC108" s="157">
        <v>0</v>
      </c>
      <c r="AD108" s="157"/>
      <c r="AE108" s="157">
        <v>17822.3</v>
      </c>
      <c r="AF108" s="157"/>
      <c r="AG108" s="157">
        <v>0</v>
      </c>
      <c r="AH108" s="157"/>
      <c r="AI108" s="157">
        <v>0</v>
      </c>
      <c r="AJ108" s="157"/>
      <c r="AK108" s="157">
        <v>0</v>
      </c>
      <c r="AL108" s="157"/>
      <c r="AM108" s="157">
        <v>0</v>
      </c>
      <c r="AN108" s="157"/>
      <c r="AO108" s="157">
        <v>0</v>
      </c>
      <c r="AP108" s="157"/>
      <c r="AQ108" s="157">
        <v>0</v>
      </c>
      <c r="AR108" s="157"/>
      <c r="AS108" s="157">
        <v>0</v>
      </c>
      <c r="AT108" s="157"/>
      <c r="AU108" s="157">
        <v>0</v>
      </c>
      <c r="AV108" s="157"/>
      <c r="AW108" s="157">
        <v>0</v>
      </c>
      <c r="AX108" s="157"/>
      <c r="AY108" s="157">
        <v>0</v>
      </c>
      <c r="AZ108" s="157"/>
      <c r="BA108" s="157">
        <v>0</v>
      </c>
      <c r="BB108" s="157"/>
      <c r="BC108" s="157">
        <v>0</v>
      </c>
      <c r="BD108" s="157"/>
      <c r="BE108" s="157">
        <v>0</v>
      </c>
      <c r="BF108" s="157"/>
      <c r="BG108" s="157">
        <v>0</v>
      </c>
      <c r="BH108" s="157"/>
      <c r="BI108" s="157">
        <v>0</v>
      </c>
      <c r="BJ108" s="157"/>
      <c r="BK108" s="157">
        <v>0</v>
      </c>
      <c r="BL108" s="157"/>
      <c r="BM108" s="157">
        <v>0</v>
      </c>
      <c r="BN108" s="157"/>
      <c r="BO108" s="157">
        <v>0</v>
      </c>
      <c r="BP108" s="157"/>
      <c r="BQ108" s="157">
        <v>0</v>
      </c>
      <c r="BR108" s="157"/>
      <c r="BS108" s="157">
        <v>0</v>
      </c>
    </row>
    <row r="109" spans="1:72" x14ac:dyDescent="0.2">
      <c r="A109" s="123" t="s">
        <v>196</v>
      </c>
      <c r="B109" s="124" t="s">
        <v>197</v>
      </c>
      <c r="C109" s="157">
        <v>135786.63</v>
      </c>
      <c r="D109" s="157">
        <f>SUM(C109,C117)</f>
        <v>130128.85</v>
      </c>
      <c r="E109" s="157">
        <v>92344.72</v>
      </c>
      <c r="F109" s="157">
        <f>SUM(E109,E117)</f>
        <v>90847.51</v>
      </c>
      <c r="G109" s="157">
        <v>153219.04</v>
      </c>
      <c r="H109" s="157">
        <f>SUM(G109,G117)</f>
        <v>148111.74000000002</v>
      </c>
      <c r="I109" s="157">
        <v>12962</v>
      </c>
      <c r="J109" s="157">
        <f>SUM(I109,I117)</f>
        <v>6050</v>
      </c>
      <c r="K109" s="157">
        <v>459207.3</v>
      </c>
      <c r="L109" s="157">
        <f>SUM(K109,K117)</f>
        <v>440949.26</v>
      </c>
      <c r="M109" s="157">
        <v>136358.51999999999</v>
      </c>
      <c r="N109" s="157">
        <f>SUM(M109,M117)</f>
        <v>124180.27999999998</v>
      </c>
      <c r="O109" s="157">
        <v>114169.48</v>
      </c>
      <c r="P109" s="157">
        <f>SUM(O109,O117)</f>
        <v>110363.83</v>
      </c>
      <c r="Q109" s="157">
        <v>37851</v>
      </c>
      <c r="R109" s="157">
        <f>SUM(Q109,Q117)</f>
        <v>1614.7200000000012</v>
      </c>
      <c r="S109" s="157">
        <v>82263.7</v>
      </c>
      <c r="T109" s="157">
        <f>SUM(S109,S117)</f>
        <v>81804.23</v>
      </c>
      <c r="U109" s="157">
        <v>8563</v>
      </c>
      <c r="V109" s="157">
        <f>SUM(U109,U117)</f>
        <v>4852.04</v>
      </c>
      <c r="W109" s="157">
        <v>57499.33</v>
      </c>
      <c r="X109" s="157">
        <f>SUM(W109,W117)</f>
        <v>56541.01</v>
      </c>
      <c r="Y109" s="157">
        <v>815558</v>
      </c>
      <c r="Z109" s="157">
        <f>SUM(Y109,Y117,Y119)</f>
        <v>690603.27</v>
      </c>
      <c r="AA109" s="157">
        <v>176629.93</v>
      </c>
      <c r="AB109" s="157">
        <f>SUM(AA109,AA117)</f>
        <v>160879.43</v>
      </c>
      <c r="AC109" s="157">
        <v>48388.36</v>
      </c>
      <c r="AD109" s="157">
        <f>SUM(AC109,AC117)</f>
        <v>47582.13</v>
      </c>
      <c r="AE109" s="157">
        <v>433933.82</v>
      </c>
      <c r="AF109" s="157">
        <f>SUM(AE109,AE117)</f>
        <v>168896.8</v>
      </c>
      <c r="AG109" s="157">
        <v>146912.03</v>
      </c>
      <c r="AH109" s="157">
        <f>SUM(AG109,AG117)</f>
        <v>130588.47</v>
      </c>
      <c r="AI109" s="157">
        <v>42663.83</v>
      </c>
      <c r="AJ109" s="157">
        <f>SUM(AI109,AI117)</f>
        <v>42599.68</v>
      </c>
      <c r="AK109" s="157">
        <v>0</v>
      </c>
      <c r="AL109" s="157"/>
      <c r="AM109" s="157">
        <v>13007</v>
      </c>
      <c r="AN109" s="157">
        <f>SUM(AM109,AM117)</f>
        <v>7642</v>
      </c>
      <c r="AO109" s="157">
        <v>107640.59</v>
      </c>
      <c r="AP109" s="157">
        <f>SUM(AO109,AO117)</f>
        <v>102514.94</v>
      </c>
      <c r="AQ109" s="157">
        <v>79899.77</v>
      </c>
      <c r="AR109" s="157">
        <f>SUM(AQ109,AQ117)</f>
        <v>42873.61</v>
      </c>
      <c r="AS109" s="157">
        <v>135636.69</v>
      </c>
      <c r="AT109" s="157">
        <f>AS109+AS117</f>
        <v>123919.61</v>
      </c>
      <c r="AU109" s="157">
        <v>251633.75</v>
      </c>
      <c r="AV109" s="157">
        <f>SUM(AU109,AU117)</f>
        <v>223674.44</v>
      </c>
      <c r="AW109" s="157">
        <v>56812.36</v>
      </c>
      <c r="AX109" s="157">
        <f>SUM(AW109,AW117)</f>
        <v>16778.43</v>
      </c>
      <c r="AY109" s="157">
        <v>0</v>
      </c>
      <c r="AZ109" s="157"/>
      <c r="BA109" s="157">
        <v>40154</v>
      </c>
      <c r="BB109" s="157">
        <f>SUM(BA109,BA117)</f>
        <v>10817</v>
      </c>
      <c r="BC109" s="157">
        <v>45000</v>
      </c>
      <c r="BD109" s="157">
        <f>SUM(BC109,BC117)</f>
        <v>12250</v>
      </c>
      <c r="BE109" s="157">
        <v>44996</v>
      </c>
      <c r="BF109" s="157">
        <f>SUM(BE109,BE117)</f>
        <v>11996</v>
      </c>
      <c r="BG109" s="157">
        <v>33874</v>
      </c>
      <c r="BH109" s="157">
        <f>SUM(BG109,BG117)</f>
        <v>10611.91</v>
      </c>
      <c r="BI109" s="157">
        <v>39753</v>
      </c>
      <c r="BJ109" s="157">
        <f>SUM(BI109,BI117)</f>
        <v>12954.95</v>
      </c>
      <c r="BK109" s="157">
        <v>0</v>
      </c>
      <c r="BL109" s="157"/>
      <c r="BM109" s="157">
        <v>46100</v>
      </c>
      <c r="BN109" s="157">
        <f>SUM(BM109,BM117)</f>
        <v>42398.99</v>
      </c>
      <c r="BO109" s="157">
        <v>9705</v>
      </c>
      <c r="BP109" s="157">
        <f>SUM(BO109,BO117)</f>
        <v>5806.88</v>
      </c>
      <c r="BQ109" s="157">
        <v>9975</v>
      </c>
      <c r="BR109" s="157">
        <f>SUM(BQ109,BQ117)</f>
        <v>5818.92</v>
      </c>
      <c r="BS109" s="157">
        <v>9647</v>
      </c>
      <c r="BT109" s="168">
        <f>SUM(BS109,BS115,BS117)</f>
        <v>7309.16</v>
      </c>
    </row>
    <row r="110" spans="1:72" x14ac:dyDescent="0.2">
      <c r="A110" s="123" t="s">
        <v>198</v>
      </c>
      <c r="B110" s="124" t="s">
        <v>199</v>
      </c>
      <c r="C110" s="157">
        <v>254674.71</v>
      </c>
      <c r="D110" s="157"/>
      <c r="E110" s="157">
        <v>218722.23</v>
      </c>
      <c r="F110" s="157"/>
      <c r="G110" s="157">
        <v>279620.94</v>
      </c>
      <c r="H110" s="157"/>
      <c r="I110" s="157">
        <v>0</v>
      </c>
      <c r="J110" s="157"/>
      <c r="K110" s="157">
        <v>133229.6</v>
      </c>
      <c r="L110" s="157"/>
      <c r="M110" s="157">
        <v>249824.24</v>
      </c>
      <c r="N110" s="157"/>
      <c r="O110" s="157">
        <v>164793.69</v>
      </c>
      <c r="P110" s="157"/>
      <c r="Q110" s="157">
        <v>0</v>
      </c>
      <c r="R110" s="157"/>
      <c r="S110" s="157">
        <v>164564.57999999999</v>
      </c>
      <c r="T110" s="157"/>
      <c r="U110" s="157">
        <v>229505</v>
      </c>
      <c r="V110" s="157"/>
      <c r="W110" s="157">
        <v>184529.15</v>
      </c>
      <c r="X110" s="157"/>
      <c r="Y110" s="157">
        <v>190326.5</v>
      </c>
      <c r="Z110" s="157"/>
      <c r="AA110" s="157">
        <v>243272</v>
      </c>
      <c r="AB110" s="157"/>
      <c r="AC110" s="157">
        <v>120048.05</v>
      </c>
      <c r="AD110" s="157"/>
      <c r="AE110" s="157">
        <v>45302.34</v>
      </c>
      <c r="AF110" s="157"/>
      <c r="AG110" s="157">
        <v>218680.45</v>
      </c>
      <c r="AH110" s="157"/>
      <c r="AI110" s="157">
        <v>128455.2</v>
      </c>
      <c r="AJ110" s="157"/>
      <c r="AK110" s="157">
        <v>211115.54</v>
      </c>
      <c r="AL110" s="157"/>
      <c r="AM110" s="157">
        <v>0</v>
      </c>
      <c r="AN110" s="157"/>
      <c r="AO110" s="157">
        <v>215382.94</v>
      </c>
      <c r="AP110" s="157"/>
      <c r="AQ110" s="157">
        <v>0</v>
      </c>
      <c r="AR110" s="157"/>
      <c r="AS110" s="157">
        <v>338124.15</v>
      </c>
      <c r="AT110" s="157"/>
      <c r="AU110" s="157">
        <v>182451.11</v>
      </c>
      <c r="AV110" s="157"/>
      <c r="AW110" s="157">
        <v>0</v>
      </c>
      <c r="AX110" s="157"/>
      <c r="AY110" s="157">
        <v>0</v>
      </c>
      <c r="AZ110" s="157"/>
      <c r="BA110" s="157">
        <v>0</v>
      </c>
      <c r="BB110" s="157"/>
      <c r="BC110" s="157">
        <v>0</v>
      </c>
      <c r="BD110" s="157"/>
      <c r="BE110" s="157">
        <v>0</v>
      </c>
      <c r="BF110" s="157"/>
      <c r="BG110" s="157">
        <v>0</v>
      </c>
      <c r="BH110" s="157"/>
      <c r="BI110" s="157">
        <v>0</v>
      </c>
      <c r="BJ110" s="157"/>
      <c r="BK110" s="157">
        <v>0</v>
      </c>
      <c r="BL110" s="157"/>
      <c r="BM110" s="157">
        <v>13810.8</v>
      </c>
      <c r="BN110" s="157"/>
      <c r="BO110" s="157">
        <v>0</v>
      </c>
      <c r="BP110" s="157"/>
      <c r="BQ110" s="157">
        <v>0</v>
      </c>
      <c r="BR110" s="157"/>
      <c r="BS110" s="157">
        <v>0</v>
      </c>
    </row>
    <row r="111" spans="1:72" x14ac:dyDescent="0.2">
      <c r="A111" s="123" t="s">
        <v>518</v>
      </c>
      <c r="B111" s="124" t="s">
        <v>519</v>
      </c>
      <c r="C111" s="157">
        <v>0</v>
      </c>
      <c r="D111" s="157"/>
      <c r="E111" s="157">
        <v>31524.959999999999</v>
      </c>
      <c r="F111" s="157"/>
      <c r="G111" s="157">
        <v>0</v>
      </c>
      <c r="H111" s="157"/>
      <c r="I111" s="157">
        <v>292801</v>
      </c>
      <c r="J111" s="157"/>
      <c r="K111" s="157">
        <v>0</v>
      </c>
      <c r="L111" s="157"/>
      <c r="M111" s="157">
        <v>0</v>
      </c>
      <c r="N111" s="157"/>
      <c r="O111" s="157">
        <v>0</v>
      </c>
      <c r="P111" s="157"/>
      <c r="Q111" s="157">
        <v>117850</v>
      </c>
      <c r="R111" s="157"/>
      <c r="S111" s="157">
        <v>16986.7</v>
      </c>
      <c r="T111" s="157"/>
      <c r="U111" s="157">
        <v>0</v>
      </c>
      <c r="V111" s="157"/>
      <c r="W111" s="157">
        <v>15815.2</v>
      </c>
      <c r="X111" s="157"/>
      <c r="Y111" s="157">
        <v>0</v>
      </c>
      <c r="Z111" s="157"/>
      <c r="AA111" s="157">
        <v>0</v>
      </c>
      <c r="AB111" s="157"/>
      <c r="AC111" s="157">
        <v>9957.7099999999991</v>
      </c>
      <c r="AD111" s="157"/>
      <c r="AE111" s="157">
        <v>431994.05</v>
      </c>
      <c r="AF111" s="157"/>
      <c r="AG111" s="157">
        <v>0</v>
      </c>
      <c r="AH111" s="157"/>
      <c r="AI111" s="157">
        <v>7614.73</v>
      </c>
      <c r="AJ111" s="157"/>
      <c r="AK111" s="157">
        <v>0</v>
      </c>
      <c r="AL111" s="157"/>
      <c r="AM111" s="157">
        <v>272414.90999999997</v>
      </c>
      <c r="AN111" s="157"/>
      <c r="AO111" s="157">
        <v>0</v>
      </c>
      <c r="AP111" s="157"/>
      <c r="AQ111" s="157">
        <v>144812</v>
      </c>
      <c r="AR111" s="157"/>
      <c r="AS111" s="157">
        <v>0</v>
      </c>
      <c r="AT111" s="157"/>
      <c r="AU111" s="157">
        <v>81318.460000000006</v>
      </c>
      <c r="AV111" s="157"/>
      <c r="AW111" s="157">
        <v>39656.36</v>
      </c>
      <c r="AX111" s="157"/>
      <c r="AY111" s="157">
        <v>118162.5</v>
      </c>
      <c r="AZ111" s="157"/>
      <c r="BA111" s="157">
        <v>103658.65</v>
      </c>
      <c r="BB111" s="157"/>
      <c r="BC111" s="157">
        <v>28131</v>
      </c>
      <c r="BD111" s="157"/>
      <c r="BE111" s="157">
        <v>122940.4</v>
      </c>
      <c r="BF111" s="157"/>
      <c r="BG111" s="157">
        <v>32590.3</v>
      </c>
      <c r="BH111" s="157"/>
      <c r="BI111" s="157">
        <v>58152.78</v>
      </c>
      <c r="BJ111" s="157"/>
      <c r="BK111" s="157">
        <v>264762</v>
      </c>
      <c r="BL111" s="157"/>
      <c r="BM111" s="157">
        <v>0</v>
      </c>
      <c r="BN111" s="157"/>
      <c r="BO111" s="157">
        <v>209001</v>
      </c>
      <c r="BP111" s="157"/>
      <c r="BQ111" s="157">
        <v>214614</v>
      </c>
      <c r="BR111" s="157"/>
      <c r="BS111" s="157">
        <v>205060</v>
      </c>
    </row>
    <row r="112" spans="1:72" x14ac:dyDescent="0.2">
      <c r="A112" s="123" t="s">
        <v>1028</v>
      </c>
      <c r="B112" s="124" t="s">
        <v>1027</v>
      </c>
      <c r="C112" s="157">
        <v>0</v>
      </c>
      <c r="D112" s="157"/>
      <c r="E112" s="157">
        <v>0</v>
      </c>
      <c r="F112" s="157"/>
      <c r="G112" s="157">
        <v>0</v>
      </c>
      <c r="H112" s="157"/>
      <c r="I112" s="157">
        <v>0</v>
      </c>
      <c r="J112" s="157"/>
      <c r="K112" s="157">
        <v>0</v>
      </c>
      <c r="L112" s="157"/>
      <c r="M112" s="157">
        <v>0</v>
      </c>
      <c r="N112" s="157"/>
      <c r="O112" s="157">
        <v>0</v>
      </c>
      <c r="P112" s="157"/>
      <c r="Q112" s="157">
        <v>10000</v>
      </c>
      <c r="R112" s="157"/>
      <c r="S112" s="157">
        <v>0</v>
      </c>
      <c r="T112" s="157"/>
      <c r="U112" s="157">
        <v>0</v>
      </c>
      <c r="V112" s="157"/>
      <c r="W112" s="157">
        <v>0</v>
      </c>
      <c r="X112" s="157"/>
      <c r="Y112" s="157">
        <v>0</v>
      </c>
      <c r="Z112" s="157"/>
      <c r="AA112" s="157">
        <v>0</v>
      </c>
      <c r="AB112" s="157"/>
      <c r="AC112" s="157">
        <v>0</v>
      </c>
      <c r="AD112" s="157"/>
      <c r="AE112" s="157">
        <v>0</v>
      </c>
      <c r="AF112" s="157"/>
      <c r="AG112" s="157">
        <v>0</v>
      </c>
      <c r="AH112" s="157"/>
      <c r="AI112" s="157">
        <v>0</v>
      </c>
      <c r="AJ112" s="157"/>
      <c r="AK112" s="157">
        <v>0</v>
      </c>
      <c r="AL112" s="157"/>
      <c r="AM112" s="157">
        <v>6930</v>
      </c>
      <c r="AN112" s="157"/>
      <c r="AO112" s="157">
        <v>0</v>
      </c>
      <c r="AP112" s="157"/>
      <c r="AQ112" s="157">
        <v>10000</v>
      </c>
      <c r="AR112" s="157"/>
      <c r="AS112" s="157">
        <v>0</v>
      </c>
      <c r="AT112" s="157"/>
      <c r="AU112" s="157">
        <v>0</v>
      </c>
      <c r="AV112" s="157"/>
      <c r="AW112" s="157">
        <v>0</v>
      </c>
      <c r="AX112" s="157"/>
      <c r="AY112" s="157">
        <v>0</v>
      </c>
      <c r="AZ112" s="157"/>
      <c r="BA112" s="157">
        <v>0</v>
      </c>
      <c r="BB112" s="157"/>
      <c r="BC112" s="157">
        <v>0</v>
      </c>
      <c r="BD112" s="157"/>
      <c r="BE112" s="157">
        <v>0</v>
      </c>
      <c r="BF112" s="157"/>
      <c r="BG112" s="157">
        <v>5300</v>
      </c>
      <c r="BH112" s="157"/>
      <c r="BI112" s="157">
        <v>7700</v>
      </c>
      <c r="BJ112" s="157"/>
      <c r="BK112" s="157">
        <v>0</v>
      </c>
      <c r="BL112" s="157"/>
      <c r="BM112" s="157">
        <v>6930</v>
      </c>
      <c r="BN112" s="157"/>
      <c r="BO112" s="157">
        <v>6930</v>
      </c>
      <c r="BP112" s="157"/>
      <c r="BQ112" s="157">
        <v>6930</v>
      </c>
      <c r="BR112" s="157"/>
      <c r="BS112" s="157">
        <v>5100</v>
      </c>
    </row>
    <row r="113" spans="1:72" x14ac:dyDescent="0.2">
      <c r="A113" s="123" t="s">
        <v>470</v>
      </c>
      <c r="B113" s="124" t="s">
        <v>471</v>
      </c>
      <c r="C113" s="157">
        <v>0</v>
      </c>
      <c r="D113" s="157"/>
      <c r="E113" s="157">
        <v>0</v>
      </c>
      <c r="F113" s="157"/>
      <c r="G113" s="157">
        <v>0</v>
      </c>
      <c r="H113" s="157"/>
      <c r="I113" s="157">
        <v>157328</v>
      </c>
      <c r="J113" s="157"/>
      <c r="K113" s="157">
        <v>108125</v>
      </c>
      <c r="L113" s="157"/>
      <c r="M113" s="157">
        <v>0</v>
      </c>
      <c r="N113" s="157"/>
      <c r="O113" s="157">
        <v>0</v>
      </c>
      <c r="P113" s="157"/>
      <c r="Q113" s="157">
        <v>128913.71</v>
      </c>
      <c r="R113" s="157"/>
      <c r="S113" s="157">
        <v>0</v>
      </c>
      <c r="T113" s="157"/>
      <c r="U113" s="157">
        <v>0</v>
      </c>
      <c r="V113" s="157"/>
      <c r="W113" s="157">
        <v>0</v>
      </c>
      <c r="X113" s="157"/>
      <c r="Y113" s="157">
        <v>0</v>
      </c>
      <c r="Z113" s="157"/>
      <c r="AA113" s="157">
        <v>0</v>
      </c>
      <c r="AB113" s="157"/>
      <c r="AC113" s="157">
        <v>0</v>
      </c>
      <c r="AD113" s="157"/>
      <c r="AE113" s="157">
        <v>0</v>
      </c>
      <c r="AF113" s="157"/>
      <c r="AG113" s="157">
        <v>0</v>
      </c>
      <c r="AH113" s="157"/>
      <c r="AI113" s="157">
        <v>0</v>
      </c>
      <c r="AJ113" s="157"/>
      <c r="AK113" s="157">
        <v>0</v>
      </c>
      <c r="AL113" s="157"/>
      <c r="AM113" s="157">
        <v>95135.99</v>
      </c>
      <c r="AN113" s="157"/>
      <c r="AO113" s="157">
        <v>0</v>
      </c>
      <c r="AP113" s="157"/>
      <c r="AQ113" s="157">
        <v>64253</v>
      </c>
      <c r="AR113" s="157"/>
      <c r="AS113" s="157">
        <v>0</v>
      </c>
      <c r="AT113" s="157"/>
      <c r="AU113" s="157">
        <v>0</v>
      </c>
      <c r="AV113" s="157"/>
      <c r="AW113" s="157">
        <v>69968</v>
      </c>
      <c r="AX113" s="157"/>
      <c r="AY113" s="157">
        <v>88518.16</v>
      </c>
      <c r="AZ113" s="157"/>
      <c r="BA113" s="157">
        <v>-0.05</v>
      </c>
      <c r="BB113" s="157"/>
      <c r="BC113" s="157">
        <v>81831.86</v>
      </c>
      <c r="BD113" s="157"/>
      <c r="BE113" s="157">
        <v>49800</v>
      </c>
      <c r="BF113" s="157"/>
      <c r="BG113" s="157">
        <v>90896</v>
      </c>
      <c r="BH113" s="157"/>
      <c r="BI113" s="157">
        <v>87398</v>
      </c>
      <c r="BJ113" s="157"/>
      <c r="BK113" s="157">
        <v>164441</v>
      </c>
      <c r="BL113" s="157"/>
      <c r="BM113" s="157">
        <v>30987</v>
      </c>
      <c r="BN113" s="157"/>
      <c r="BO113" s="157">
        <v>61947</v>
      </c>
      <c r="BP113" s="157"/>
      <c r="BQ113" s="157">
        <v>56240.09</v>
      </c>
      <c r="BR113" s="157"/>
      <c r="BS113" s="157">
        <v>59139</v>
      </c>
    </row>
    <row r="114" spans="1:72" x14ac:dyDescent="0.2">
      <c r="A114" s="123" t="s">
        <v>472</v>
      </c>
      <c r="B114" s="124" t="s">
        <v>473</v>
      </c>
      <c r="C114" s="157">
        <v>0</v>
      </c>
      <c r="D114" s="157"/>
      <c r="E114" s="157">
        <v>0</v>
      </c>
      <c r="F114" s="157"/>
      <c r="G114" s="157">
        <v>0</v>
      </c>
      <c r="H114" s="157"/>
      <c r="I114" s="157">
        <v>118250.55</v>
      </c>
      <c r="J114" s="157"/>
      <c r="K114" s="157">
        <v>105113.60000000001</v>
      </c>
      <c r="L114" s="157"/>
      <c r="M114" s="157">
        <v>0</v>
      </c>
      <c r="N114" s="157"/>
      <c r="O114" s="157">
        <v>0</v>
      </c>
      <c r="P114" s="157"/>
      <c r="Q114" s="157">
        <v>50239.14</v>
      </c>
      <c r="R114" s="157"/>
      <c r="S114" s="157">
        <v>0</v>
      </c>
      <c r="T114" s="157"/>
      <c r="U114" s="157">
        <v>0</v>
      </c>
      <c r="V114" s="157"/>
      <c r="W114" s="157">
        <v>0</v>
      </c>
      <c r="X114" s="157"/>
      <c r="Y114" s="157">
        <v>0</v>
      </c>
      <c r="Z114" s="157"/>
      <c r="AA114" s="157">
        <v>0</v>
      </c>
      <c r="AB114" s="157"/>
      <c r="AC114" s="157">
        <v>0</v>
      </c>
      <c r="AD114" s="157"/>
      <c r="AE114" s="157">
        <v>0</v>
      </c>
      <c r="AF114" s="157"/>
      <c r="AG114" s="157">
        <v>0</v>
      </c>
      <c r="AH114" s="157"/>
      <c r="AI114" s="157">
        <v>0</v>
      </c>
      <c r="AJ114" s="157"/>
      <c r="AK114" s="157">
        <v>0</v>
      </c>
      <c r="AL114" s="157"/>
      <c r="AM114" s="157">
        <v>0</v>
      </c>
      <c r="AN114" s="157"/>
      <c r="AO114" s="157">
        <v>0</v>
      </c>
      <c r="AP114" s="157"/>
      <c r="AQ114" s="157">
        <v>116793.64</v>
      </c>
      <c r="AR114" s="157"/>
      <c r="AS114" s="157">
        <v>0</v>
      </c>
      <c r="AT114" s="157"/>
      <c r="AU114" s="157">
        <v>0</v>
      </c>
      <c r="AV114" s="157"/>
      <c r="AW114" s="157">
        <v>41209.65</v>
      </c>
      <c r="AX114" s="157"/>
      <c r="AY114" s="157">
        <v>40301.75</v>
      </c>
      <c r="AZ114" s="157"/>
      <c r="BA114" s="157">
        <v>0.17</v>
      </c>
      <c r="BB114" s="157"/>
      <c r="BC114" s="157">
        <v>50331.82</v>
      </c>
      <c r="BD114" s="157"/>
      <c r="BE114" s="157">
        <v>122870</v>
      </c>
      <c r="BF114" s="157"/>
      <c r="BG114" s="157">
        <v>30308</v>
      </c>
      <c r="BH114" s="157"/>
      <c r="BI114" s="157">
        <v>49983.5</v>
      </c>
      <c r="BJ114" s="157"/>
      <c r="BK114" s="157">
        <v>80864.740000000005</v>
      </c>
      <c r="BL114" s="157"/>
      <c r="BM114" s="157">
        <v>38943.279999999999</v>
      </c>
      <c r="BN114" s="157"/>
      <c r="BO114" s="157">
        <v>0</v>
      </c>
      <c r="BP114" s="157"/>
      <c r="BQ114" s="157">
        <v>0</v>
      </c>
      <c r="BR114" s="157"/>
      <c r="BS114" s="157">
        <v>0</v>
      </c>
    </row>
    <row r="115" spans="1:72" x14ac:dyDescent="0.2">
      <c r="A115" s="123" t="s">
        <v>950</v>
      </c>
      <c r="B115" s="124" t="s">
        <v>1026</v>
      </c>
      <c r="C115" s="157">
        <v>0</v>
      </c>
      <c r="D115" s="157"/>
      <c r="E115" s="157">
        <v>0</v>
      </c>
      <c r="F115" s="157"/>
      <c r="G115" s="157">
        <v>0</v>
      </c>
      <c r="H115" s="157"/>
      <c r="I115" s="157">
        <v>0</v>
      </c>
      <c r="J115" s="157"/>
      <c r="K115" s="157">
        <v>0</v>
      </c>
      <c r="L115" s="157"/>
      <c r="M115" s="157">
        <v>0</v>
      </c>
      <c r="N115" s="157"/>
      <c r="O115" s="157">
        <v>0</v>
      </c>
      <c r="P115" s="157"/>
      <c r="Q115" s="157">
        <v>0</v>
      </c>
      <c r="R115" s="157"/>
      <c r="S115" s="157">
        <v>0</v>
      </c>
      <c r="T115" s="157"/>
      <c r="U115" s="157">
        <v>0</v>
      </c>
      <c r="V115" s="157"/>
      <c r="W115" s="157">
        <v>0</v>
      </c>
      <c r="X115" s="157"/>
      <c r="Y115" s="157">
        <v>0</v>
      </c>
      <c r="Z115" s="157"/>
      <c r="AA115" s="157">
        <v>0</v>
      </c>
      <c r="AB115" s="157"/>
      <c r="AC115" s="157">
        <v>0</v>
      </c>
      <c r="AD115" s="157"/>
      <c r="AE115" s="157">
        <v>0</v>
      </c>
      <c r="AF115" s="157"/>
      <c r="AG115" s="157">
        <v>0</v>
      </c>
      <c r="AH115" s="157"/>
      <c r="AI115" s="157">
        <v>0</v>
      </c>
      <c r="AJ115" s="157"/>
      <c r="AK115" s="157">
        <v>0</v>
      </c>
      <c r="AL115" s="157"/>
      <c r="AM115" s="157">
        <v>0</v>
      </c>
      <c r="AN115" s="157"/>
      <c r="AO115" s="157">
        <v>0</v>
      </c>
      <c r="AP115" s="157"/>
      <c r="AQ115" s="157">
        <v>0</v>
      </c>
      <c r="AR115" s="157"/>
      <c r="AS115" s="157">
        <v>0</v>
      </c>
      <c r="AT115" s="157"/>
      <c r="AU115" s="157">
        <v>0</v>
      </c>
      <c r="AV115" s="157"/>
      <c r="AW115" s="157">
        <v>0</v>
      </c>
      <c r="AX115" s="157"/>
      <c r="AY115" s="157">
        <v>0</v>
      </c>
      <c r="AZ115" s="157"/>
      <c r="BA115" s="157">
        <v>0</v>
      </c>
      <c r="BB115" s="157"/>
      <c r="BC115" s="157">
        <v>0</v>
      </c>
      <c r="BD115" s="157"/>
      <c r="BE115" s="157">
        <v>0</v>
      </c>
      <c r="BF115" s="157"/>
      <c r="BG115" s="157">
        <v>0</v>
      </c>
      <c r="BH115" s="157"/>
      <c r="BI115" s="157">
        <v>0</v>
      </c>
      <c r="BJ115" s="157"/>
      <c r="BK115" s="157">
        <v>0</v>
      </c>
      <c r="BL115" s="157"/>
      <c r="BM115" s="157">
        <v>0</v>
      </c>
      <c r="BN115" s="157"/>
      <c r="BO115" s="157">
        <v>0</v>
      </c>
      <c r="BP115" s="157"/>
      <c r="BQ115" s="157">
        <v>0</v>
      </c>
      <c r="BR115" s="157"/>
      <c r="BS115" s="157">
        <v>770</v>
      </c>
    </row>
    <row r="116" spans="1:72" x14ac:dyDescent="0.2">
      <c r="A116" s="123" t="s">
        <v>1025</v>
      </c>
      <c r="B116" s="124" t="s">
        <v>1024</v>
      </c>
      <c r="C116" s="157">
        <v>0</v>
      </c>
      <c r="D116" s="157"/>
      <c r="E116" s="157">
        <v>0</v>
      </c>
      <c r="F116" s="157"/>
      <c r="G116" s="157">
        <v>0</v>
      </c>
      <c r="H116" s="157"/>
      <c r="I116" s="157">
        <v>14802</v>
      </c>
      <c r="J116" s="157"/>
      <c r="K116" s="157">
        <v>0</v>
      </c>
      <c r="L116" s="157"/>
      <c r="M116" s="157">
        <v>0</v>
      </c>
      <c r="N116" s="157"/>
      <c r="O116" s="157">
        <v>0</v>
      </c>
      <c r="P116" s="157"/>
      <c r="Q116" s="157">
        <v>0</v>
      </c>
      <c r="R116" s="157"/>
      <c r="S116" s="157">
        <v>0</v>
      </c>
      <c r="T116" s="157"/>
      <c r="U116" s="157">
        <v>0</v>
      </c>
      <c r="V116" s="157"/>
      <c r="W116" s="157">
        <v>0</v>
      </c>
      <c r="X116" s="157"/>
      <c r="Y116" s="157">
        <v>0</v>
      </c>
      <c r="Z116" s="157"/>
      <c r="AA116" s="157">
        <v>0</v>
      </c>
      <c r="AB116" s="157"/>
      <c r="AC116" s="157">
        <v>0</v>
      </c>
      <c r="AD116" s="157"/>
      <c r="AE116" s="157">
        <v>0</v>
      </c>
      <c r="AF116" s="157"/>
      <c r="AG116" s="157">
        <v>0</v>
      </c>
      <c r="AH116" s="157"/>
      <c r="AI116" s="157">
        <v>0</v>
      </c>
      <c r="AJ116" s="157"/>
      <c r="AK116" s="157">
        <v>0</v>
      </c>
      <c r="AL116" s="157"/>
      <c r="AM116" s="157">
        <v>0</v>
      </c>
      <c r="AN116" s="157"/>
      <c r="AO116" s="157">
        <v>0</v>
      </c>
      <c r="AP116" s="157"/>
      <c r="AQ116" s="157">
        <v>0</v>
      </c>
      <c r="AR116" s="157"/>
      <c r="AS116" s="157">
        <v>0</v>
      </c>
      <c r="AT116" s="157"/>
      <c r="AU116" s="157">
        <v>0</v>
      </c>
      <c r="AV116" s="157"/>
      <c r="AW116" s="157">
        <v>0</v>
      </c>
      <c r="AX116" s="157"/>
      <c r="AY116" s="157">
        <v>0</v>
      </c>
      <c r="AZ116" s="157"/>
      <c r="BA116" s="157">
        <v>0</v>
      </c>
      <c r="BB116" s="157"/>
      <c r="BC116" s="157">
        <v>0</v>
      </c>
      <c r="BD116" s="157"/>
      <c r="BE116" s="157">
        <v>0</v>
      </c>
      <c r="BF116" s="157"/>
      <c r="BG116" s="157">
        <v>0</v>
      </c>
      <c r="BH116" s="157"/>
      <c r="BI116" s="157">
        <v>0</v>
      </c>
      <c r="BJ116" s="157"/>
      <c r="BK116" s="157">
        <v>0</v>
      </c>
      <c r="BL116" s="157"/>
      <c r="BM116" s="157">
        <v>0</v>
      </c>
      <c r="BN116" s="157"/>
      <c r="BO116" s="157">
        <v>0</v>
      </c>
      <c r="BP116" s="157"/>
      <c r="BQ116" s="157">
        <v>0</v>
      </c>
      <c r="BR116" s="157"/>
      <c r="BS116" s="157">
        <v>0</v>
      </c>
    </row>
    <row r="117" spans="1:72" x14ac:dyDescent="0.2">
      <c r="A117" s="123" t="s">
        <v>520</v>
      </c>
      <c r="B117" s="124" t="s">
        <v>521</v>
      </c>
      <c r="C117" s="157">
        <v>-5657.78</v>
      </c>
      <c r="D117" s="157"/>
      <c r="E117" s="157">
        <v>-1497.21</v>
      </c>
      <c r="F117" s="157"/>
      <c r="G117" s="157">
        <v>-5107.3</v>
      </c>
      <c r="H117" s="157"/>
      <c r="I117" s="157">
        <v>-6912</v>
      </c>
      <c r="J117" s="157"/>
      <c r="K117" s="157">
        <v>-18258.04</v>
      </c>
      <c r="L117" s="157"/>
      <c r="M117" s="157">
        <v>-12178.24</v>
      </c>
      <c r="N117" s="157"/>
      <c r="O117" s="157">
        <v>-3805.65</v>
      </c>
      <c r="P117" s="157"/>
      <c r="Q117" s="157">
        <v>-36236.28</v>
      </c>
      <c r="R117" s="157"/>
      <c r="S117" s="157">
        <v>-459.47</v>
      </c>
      <c r="T117" s="157"/>
      <c r="U117" s="157">
        <v>-3710.96</v>
      </c>
      <c r="V117" s="157"/>
      <c r="W117" s="157">
        <v>-958.32</v>
      </c>
      <c r="X117" s="157"/>
      <c r="Y117" s="157">
        <v>-112130.6</v>
      </c>
      <c r="Z117" s="157"/>
      <c r="AA117" s="157">
        <v>-15750.5</v>
      </c>
      <c r="AB117" s="157"/>
      <c r="AC117" s="157">
        <v>-806.23</v>
      </c>
      <c r="AD117" s="157"/>
      <c r="AE117" s="157">
        <v>-265037.02</v>
      </c>
      <c r="AF117" s="157"/>
      <c r="AG117" s="157">
        <v>-16323.56</v>
      </c>
      <c r="AH117" s="157"/>
      <c r="AI117" s="157">
        <v>-64.150000000000006</v>
      </c>
      <c r="AJ117" s="157"/>
      <c r="AK117" s="157">
        <v>0</v>
      </c>
      <c r="AL117" s="157"/>
      <c r="AM117" s="157">
        <v>-5365</v>
      </c>
      <c r="AN117" s="157"/>
      <c r="AO117" s="157">
        <v>-5125.6499999999996</v>
      </c>
      <c r="AP117" s="157"/>
      <c r="AQ117" s="157">
        <v>-37026.160000000003</v>
      </c>
      <c r="AR117" s="157"/>
      <c r="AS117" s="157">
        <v>-11717.08</v>
      </c>
      <c r="AT117" s="157"/>
      <c r="AU117" s="157">
        <v>-27959.31</v>
      </c>
      <c r="AV117" s="157"/>
      <c r="AW117" s="157">
        <v>-40033.93</v>
      </c>
      <c r="AX117" s="157"/>
      <c r="AY117" s="157">
        <v>0</v>
      </c>
      <c r="AZ117" s="157"/>
      <c r="BA117" s="157">
        <v>-29337</v>
      </c>
      <c r="BB117" s="157"/>
      <c r="BC117" s="157">
        <v>-32750</v>
      </c>
      <c r="BD117" s="157"/>
      <c r="BE117" s="157">
        <v>-33000</v>
      </c>
      <c r="BF117" s="157"/>
      <c r="BG117" s="157">
        <v>-23262.09</v>
      </c>
      <c r="BH117" s="157"/>
      <c r="BI117" s="157">
        <v>-26798.05</v>
      </c>
      <c r="BJ117" s="157"/>
      <c r="BK117" s="157">
        <v>0</v>
      </c>
      <c r="BL117" s="157"/>
      <c r="BM117" s="157">
        <v>-3701.01</v>
      </c>
      <c r="BN117" s="157"/>
      <c r="BO117" s="157">
        <v>-3898.12</v>
      </c>
      <c r="BP117" s="157"/>
      <c r="BQ117" s="157">
        <v>-4156.08</v>
      </c>
      <c r="BR117" s="157"/>
      <c r="BS117" s="157">
        <v>-3107.84</v>
      </c>
    </row>
    <row r="118" spans="1:72" x14ac:dyDescent="0.2">
      <c r="A118" s="123" t="s">
        <v>200</v>
      </c>
      <c r="B118" s="124" t="s">
        <v>201</v>
      </c>
      <c r="C118" s="157">
        <v>-192139.76</v>
      </c>
      <c r="D118" s="157"/>
      <c r="E118" s="157">
        <v>-142805.95000000001</v>
      </c>
      <c r="F118" s="157"/>
      <c r="G118" s="157">
        <v>-232041.97</v>
      </c>
      <c r="H118" s="157"/>
      <c r="I118" s="157">
        <v>-286758</v>
      </c>
      <c r="J118" s="157"/>
      <c r="K118" s="157">
        <v>-35189.870000000003</v>
      </c>
      <c r="L118" s="157"/>
      <c r="M118" s="157">
        <v>-205260.39</v>
      </c>
      <c r="N118" s="157"/>
      <c r="O118" s="157">
        <v>-141716.68</v>
      </c>
      <c r="P118" s="157"/>
      <c r="Q118" s="157">
        <v>-44389.05</v>
      </c>
      <c r="R118" s="157"/>
      <c r="S118" s="157">
        <v>-117130.33</v>
      </c>
      <c r="T118" s="157"/>
      <c r="U118" s="157">
        <v>-37358.07</v>
      </c>
      <c r="V118" s="157"/>
      <c r="W118" s="157">
        <v>-158861.07</v>
      </c>
      <c r="X118" s="157"/>
      <c r="Y118" s="157">
        <v>-140147.99</v>
      </c>
      <c r="Z118" s="157"/>
      <c r="AA118" s="157">
        <v>-177758.75</v>
      </c>
      <c r="AB118" s="157"/>
      <c r="AC118" s="157">
        <v>-96537.97</v>
      </c>
      <c r="AD118" s="157"/>
      <c r="AE118" s="157">
        <v>-354421.49</v>
      </c>
      <c r="AF118" s="157"/>
      <c r="AG118" s="157">
        <v>-185774.07</v>
      </c>
      <c r="AH118" s="157"/>
      <c r="AI118" s="157">
        <v>-102533.02</v>
      </c>
      <c r="AJ118" s="157"/>
      <c r="AK118" s="157">
        <v>-135451.07</v>
      </c>
      <c r="AL118" s="157"/>
      <c r="AM118" s="157">
        <v>-58035.040000000001</v>
      </c>
      <c r="AN118" s="157"/>
      <c r="AO118" s="157">
        <v>-169470.49</v>
      </c>
      <c r="AP118" s="157"/>
      <c r="AQ118" s="157">
        <v>-159230.57</v>
      </c>
      <c r="AR118" s="157"/>
      <c r="AS118" s="157">
        <v>-240094.12</v>
      </c>
      <c r="AT118" s="157"/>
      <c r="AU118" s="157">
        <v>-85578.37</v>
      </c>
      <c r="AV118" s="157"/>
      <c r="AW118" s="157">
        <v>-95778.59</v>
      </c>
      <c r="AX118" s="157"/>
      <c r="AY118" s="157">
        <v>-158634.1</v>
      </c>
      <c r="AZ118" s="157"/>
      <c r="BA118" s="157">
        <v>-20682.04</v>
      </c>
      <c r="BB118" s="157"/>
      <c r="BC118" s="157">
        <v>-111621.38</v>
      </c>
      <c r="BD118" s="157"/>
      <c r="BE118" s="157">
        <v>-118073.96</v>
      </c>
      <c r="BF118" s="157"/>
      <c r="BG118" s="157">
        <v>-116774.73</v>
      </c>
      <c r="BH118" s="157"/>
      <c r="BI118" s="157">
        <v>-131858.26</v>
      </c>
      <c r="BJ118" s="157"/>
      <c r="BK118" s="157">
        <v>-231487</v>
      </c>
      <c r="BL118" s="157"/>
      <c r="BM118" s="157">
        <v>-14247.56</v>
      </c>
      <c r="BN118" s="157"/>
      <c r="BO118" s="157">
        <v>-43511.71</v>
      </c>
      <c r="BP118" s="157"/>
      <c r="BQ118" s="157">
        <v>-42726.95</v>
      </c>
      <c r="BR118" s="157"/>
      <c r="BS118" s="157">
        <v>-39752.28</v>
      </c>
    </row>
    <row r="119" spans="1:72" x14ac:dyDescent="0.2">
      <c r="A119" s="123" t="s">
        <v>949</v>
      </c>
      <c r="B119" s="124" t="s">
        <v>1023</v>
      </c>
      <c r="C119" s="157">
        <v>0</v>
      </c>
      <c r="D119" s="157"/>
      <c r="E119" s="157">
        <v>0</v>
      </c>
      <c r="F119" s="157"/>
      <c r="G119" s="157">
        <v>0</v>
      </c>
      <c r="H119" s="157"/>
      <c r="I119" s="157">
        <v>-14802</v>
      </c>
      <c r="J119" s="157"/>
      <c r="K119" s="157">
        <v>0</v>
      </c>
      <c r="L119" s="157"/>
      <c r="M119" s="157">
        <v>0</v>
      </c>
      <c r="N119" s="157"/>
      <c r="O119" s="157">
        <v>0</v>
      </c>
      <c r="P119" s="157"/>
      <c r="Q119" s="157">
        <v>-20185</v>
      </c>
      <c r="R119" s="157"/>
      <c r="S119" s="157">
        <v>0</v>
      </c>
      <c r="T119" s="157"/>
      <c r="U119" s="157">
        <v>0</v>
      </c>
      <c r="V119" s="157"/>
      <c r="W119" s="157">
        <v>0</v>
      </c>
      <c r="X119" s="157"/>
      <c r="Y119" s="157">
        <v>-12824.13</v>
      </c>
      <c r="Z119" s="157"/>
      <c r="AA119" s="157">
        <v>0</v>
      </c>
      <c r="AB119" s="157"/>
      <c r="AC119" s="157">
        <v>0</v>
      </c>
      <c r="AD119" s="157"/>
      <c r="AE119" s="157">
        <v>0</v>
      </c>
      <c r="AF119" s="157"/>
      <c r="AG119" s="157">
        <v>0</v>
      </c>
      <c r="AH119" s="157"/>
      <c r="AI119" s="157">
        <v>0</v>
      </c>
      <c r="AJ119" s="157"/>
      <c r="AK119" s="157">
        <v>0</v>
      </c>
      <c r="AL119" s="157"/>
      <c r="AM119" s="157">
        <v>0</v>
      </c>
      <c r="AN119" s="157"/>
      <c r="AO119" s="157">
        <v>0</v>
      </c>
      <c r="AP119" s="157"/>
      <c r="AQ119" s="157">
        <v>0</v>
      </c>
      <c r="AR119" s="157"/>
      <c r="AS119" s="157">
        <v>0</v>
      </c>
      <c r="AT119" s="157"/>
      <c r="AU119" s="157">
        <v>0</v>
      </c>
      <c r="AV119" s="157"/>
      <c r="AW119" s="157">
        <v>0</v>
      </c>
      <c r="AX119" s="157"/>
      <c r="AY119" s="157">
        <v>0</v>
      </c>
      <c r="AZ119" s="157"/>
      <c r="BA119" s="157">
        <v>0</v>
      </c>
      <c r="BB119" s="157"/>
      <c r="BC119" s="157">
        <v>0</v>
      </c>
      <c r="BD119" s="157"/>
      <c r="BE119" s="157">
        <v>0</v>
      </c>
      <c r="BF119" s="157"/>
      <c r="BG119" s="157">
        <v>0</v>
      </c>
      <c r="BH119" s="157"/>
      <c r="BI119" s="157">
        <v>0</v>
      </c>
      <c r="BJ119" s="157"/>
      <c r="BK119" s="157">
        <v>0</v>
      </c>
      <c r="BL119" s="157"/>
      <c r="BM119" s="157">
        <v>0</v>
      </c>
      <c r="BN119" s="157"/>
      <c r="BO119" s="157">
        <v>0</v>
      </c>
      <c r="BP119" s="157"/>
      <c r="BQ119" s="157">
        <v>0</v>
      </c>
      <c r="BR119" s="157"/>
      <c r="BS119" s="157">
        <v>0</v>
      </c>
    </row>
    <row r="120" spans="1:72" x14ac:dyDescent="0.2">
      <c r="A120" s="123" t="s">
        <v>202</v>
      </c>
      <c r="B120" s="124" t="s">
        <v>203</v>
      </c>
      <c r="C120" s="157">
        <v>-1272.1400000000001</v>
      </c>
      <c r="D120" s="157">
        <f>SUM(C120:C122)</f>
        <v>-1945.8200000000002</v>
      </c>
      <c r="E120" s="157">
        <v>0</v>
      </c>
      <c r="F120" s="157">
        <f>SUM(E120:E122)</f>
        <v>-701.77</v>
      </c>
      <c r="G120" s="157">
        <v>-9545.11</v>
      </c>
      <c r="H120" s="157">
        <f>SUM(G120:G122)</f>
        <v>-10168.93</v>
      </c>
      <c r="I120" s="157">
        <v>-3609.11</v>
      </c>
      <c r="J120" s="157">
        <f>SUM(I120:I122)</f>
        <v>-4294.2</v>
      </c>
      <c r="K120" s="157">
        <v>-1913.82</v>
      </c>
      <c r="L120" s="157">
        <f>SUM(K120:K122)</f>
        <v>-2128.8199999999997</v>
      </c>
      <c r="M120" s="157">
        <v>0</v>
      </c>
      <c r="N120" s="157">
        <f>SUM(M120:M122)</f>
        <v>-455.1</v>
      </c>
      <c r="O120" s="157">
        <v>0</v>
      </c>
      <c r="P120" s="157">
        <f>SUM(O120:O122)</f>
        <v>-854.76</v>
      </c>
      <c r="Q120" s="157">
        <v>0</v>
      </c>
      <c r="R120" s="157">
        <f>SUM(Q120:Q122)</f>
        <v>-777.97</v>
      </c>
      <c r="S120" s="157">
        <v>0</v>
      </c>
      <c r="T120" s="157">
        <f>SUM(S120:S122)</f>
        <v>0</v>
      </c>
      <c r="U120" s="157">
        <v>-2073.61</v>
      </c>
      <c r="V120" s="157">
        <f>SUM(U120:U122)</f>
        <v>-2639.1400000000003</v>
      </c>
      <c r="W120" s="157">
        <v>-515.66</v>
      </c>
      <c r="X120" s="157">
        <f>SUM(W120:W122)</f>
        <v>-885.88</v>
      </c>
      <c r="Y120" s="157">
        <v>-310.75</v>
      </c>
      <c r="Z120" s="157">
        <f>SUM(Y120:Y122)</f>
        <v>-310.75</v>
      </c>
      <c r="AA120" s="157">
        <v>0</v>
      </c>
      <c r="AB120" s="157">
        <f>SUM(AA120:AA122)</f>
        <v>0</v>
      </c>
      <c r="AC120" s="157">
        <v>-8.94</v>
      </c>
      <c r="AD120" s="157">
        <f>SUM(AC120:AC122)</f>
        <v>-11153.25</v>
      </c>
      <c r="AE120" s="157">
        <v>0</v>
      </c>
      <c r="AF120" s="157">
        <f>SUM(AE120:AE122)</f>
        <v>0</v>
      </c>
      <c r="AG120" s="157">
        <v>0</v>
      </c>
      <c r="AH120" s="157">
        <f>SUM(AG120:AG122)</f>
        <v>-188.56</v>
      </c>
      <c r="AI120" s="157">
        <v>-110.35</v>
      </c>
      <c r="AJ120" s="157">
        <f>SUM(AI120:AI122)</f>
        <v>-195.67</v>
      </c>
      <c r="AK120" s="157">
        <v>-1494.83</v>
      </c>
      <c r="AL120" s="157">
        <f>SUM(AK120:AK122)</f>
        <v>-1494.6299999999999</v>
      </c>
      <c r="AM120" s="157">
        <v>0</v>
      </c>
      <c r="AN120" s="157">
        <f>SUM(AM120:AM122)</f>
        <v>-308.64999999999998</v>
      </c>
      <c r="AO120" s="157">
        <v>-595.73</v>
      </c>
      <c r="AP120" s="157">
        <f>SUM(AO120:AO122)</f>
        <v>-595.73</v>
      </c>
      <c r="AQ120" s="157">
        <v>0</v>
      </c>
      <c r="AR120" s="157">
        <f>SUM(AQ120:AQ122)</f>
        <v>-503.79</v>
      </c>
      <c r="AS120" s="157">
        <v>0</v>
      </c>
      <c r="AT120" s="157"/>
      <c r="AU120" s="157">
        <v>-8341.08</v>
      </c>
      <c r="AV120" s="157">
        <f>SUM(AU120:AU122)</f>
        <v>-8523.08</v>
      </c>
      <c r="AW120" s="157">
        <v>-1668.55</v>
      </c>
      <c r="AX120" s="157">
        <f>SUM(AW120:AW122)</f>
        <v>-2799.6</v>
      </c>
      <c r="AY120" s="157">
        <v>-2230.9</v>
      </c>
      <c r="AZ120" s="157">
        <f>SUM(AY120:AY122)</f>
        <v>-2230.9</v>
      </c>
      <c r="BA120" s="157">
        <v>0</v>
      </c>
      <c r="BB120" s="157">
        <f>SUM(BA120:BA122)</f>
        <v>-450.13</v>
      </c>
      <c r="BC120" s="157">
        <v>0</v>
      </c>
      <c r="BD120" s="157">
        <f>SUM(BC120:BC122)</f>
        <v>0</v>
      </c>
      <c r="BE120" s="157">
        <v>-4428</v>
      </c>
      <c r="BF120" s="157">
        <f>SUM(BE120:BE122)</f>
        <v>-5486.68</v>
      </c>
      <c r="BG120" s="157">
        <v>0</v>
      </c>
      <c r="BH120" s="157">
        <f>SUM(BG120:BG122)</f>
        <v>0</v>
      </c>
      <c r="BI120" s="157">
        <v>0</v>
      </c>
      <c r="BJ120" s="157">
        <f>SUM(BI120:BI122)</f>
        <v>0</v>
      </c>
      <c r="BK120" s="157">
        <v>-6785.26</v>
      </c>
      <c r="BL120" s="157">
        <f>SUM(BK120:BK122)</f>
        <v>-7387.0300000000007</v>
      </c>
      <c r="BM120" s="157">
        <v>0</v>
      </c>
      <c r="BN120" s="157">
        <f>SUM(BM120:BM122)</f>
        <v>0</v>
      </c>
      <c r="BO120" s="157">
        <v>-626.12</v>
      </c>
      <c r="BP120" s="157">
        <f>SUM(BO120:BO122)</f>
        <v>-1180.25</v>
      </c>
      <c r="BQ120" s="157">
        <v>0</v>
      </c>
      <c r="BR120" s="157">
        <f>SUM(BQ120:BQ122)</f>
        <v>-889.38</v>
      </c>
      <c r="BS120" s="157">
        <v>-232</v>
      </c>
      <c r="BT120" s="168">
        <f>SUM(BS120:BS122)</f>
        <v>-232</v>
      </c>
    </row>
    <row r="121" spans="1:72" x14ac:dyDescent="0.2">
      <c r="A121" s="123" t="s">
        <v>204</v>
      </c>
      <c r="B121" s="124" t="s">
        <v>205</v>
      </c>
      <c r="C121" s="157">
        <v>0</v>
      </c>
      <c r="D121" s="157"/>
      <c r="E121" s="157">
        <v>0</v>
      </c>
      <c r="F121" s="157"/>
      <c r="G121" s="157">
        <v>0</v>
      </c>
      <c r="H121" s="157"/>
      <c r="I121" s="157">
        <v>0</v>
      </c>
      <c r="J121" s="157"/>
      <c r="K121" s="157">
        <v>0</v>
      </c>
      <c r="L121" s="157"/>
      <c r="M121" s="157">
        <v>0</v>
      </c>
      <c r="N121" s="157"/>
      <c r="O121" s="157">
        <v>0</v>
      </c>
      <c r="P121" s="157"/>
      <c r="Q121" s="157">
        <v>0</v>
      </c>
      <c r="R121" s="157"/>
      <c r="S121" s="157">
        <v>0</v>
      </c>
      <c r="T121" s="157"/>
      <c r="U121" s="157">
        <v>0</v>
      </c>
      <c r="V121" s="157"/>
      <c r="W121" s="157">
        <v>0</v>
      </c>
      <c r="X121" s="157"/>
      <c r="Y121" s="157">
        <v>0</v>
      </c>
      <c r="Z121" s="157"/>
      <c r="AA121" s="157">
        <v>0</v>
      </c>
      <c r="AB121" s="157"/>
      <c r="AC121" s="157">
        <v>-11075.47</v>
      </c>
      <c r="AD121" s="157"/>
      <c r="AE121" s="157">
        <v>0</v>
      </c>
      <c r="AF121" s="157"/>
      <c r="AG121" s="157">
        <v>0</v>
      </c>
      <c r="AH121" s="157"/>
      <c r="AI121" s="157">
        <v>0</v>
      </c>
      <c r="AJ121" s="157"/>
      <c r="AK121" s="157">
        <v>0.2</v>
      </c>
      <c r="AL121" s="157"/>
      <c r="AM121" s="157">
        <v>0</v>
      </c>
      <c r="AN121" s="157"/>
      <c r="AO121" s="157">
        <v>0</v>
      </c>
      <c r="AP121" s="157"/>
      <c r="AQ121" s="157">
        <v>0</v>
      </c>
      <c r="AR121" s="157"/>
      <c r="AS121" s="157">
        <v>0</v>
      </c>
      <c r="AT121" s="157"/>
      <c r="AU121" s="157">
        <v>0</v>
      </c>
      <c r="AV121" s="157"/>
      <c r="AW121" s="157">
        <v>0</v>
      </c>
      <c r="AX121" s="157"/>
      <c r="AY121" s="157">
        <v>0</v>
      </c>
      <c r="AZ121" s="157"/>
      <c r="BA121" s="157">
        <v>0</v>
      </c>
      <c r="BB121" s="157"/>
      <c r="BC121" s="157">
        <v>0</v>
      </c>
      <c r="BD121" s="157"/>
      <c r="BE121" s="157">
        <v>0</v>
      </c>
      <c r="BF121" s="157"/>
      <c r="BG121" s="157">
        <v>0</v>
      </c>
      <c r="BH121" s="157"/>
      <c r="BI121" s="157">
        <v>0</v>
      </c>
      <c r="BJ121" s="157"/>
      <c r="BK121" s="157">
        <v>0</v>
      </c>
      <c r="BL121" s="157"/>
      <c r="BM121" s="157">
        <v>0</v>
      </c>
      <c r="BN121" s="157"/>
      <c r="BO121" s="157">
        <v>0</v>
      </c>
      <c r="BP121" s="157"/>
      <c r="BQ121" s="157">
        <v>0</v>
      </c>
      <c r="BR121" s="157"/>
      <c r="BS121" s="157">
        <v>0</v>
      </c>
    </row>
    <row r="122" spans="1:72" x14ac:dyDescent="0.2">
      <c r="A122" s="123" t="s">
        <v>206</v>
      </c>
      <c r="B122" s="124" t="s">
        <v>207</v>
      </c>
      <c r="C122" s="157">
        <v>-673.68</v>
      </c>
      <c r="D122" s="157"/>
      <c r="E122" s="157">
        <v>-701.77</v>
      </c>
      <c r="F122" s="157"/>
      <c r="G122" s="157">
        <v>-623.82000000000005</v>
      </c>
      <c r="H122" s="157"/>
      <c r="I122" s="157">
        <v>-685.09</v>
      </c>
      <c r="J122" s="157"/>
      <c r="K122" s="157">
        <v>-215</v>
      </c>
      <c r="L122" s="157"/>
      <c r="M122" s="157">
        <v>-455.1</v>
      </c>
      <c r="N122" s="157"/>
      <c r="O122" s="157">
        <v>-854.76</v>
      </c>
      <c r="P122" s="157"/>
      <c r="Q122" s="157">
        <v>-777.97</v>
      </c>
      <c r="R122" s="157"/>
      <c r="S122" s="157">
        <v>0</v>
      </c>
      <c r="T122" s="157"/>
      <c r="U122" s="157">
        <v>-565.53</v>
      </c>
      <c r="V122" s="157"/>
      <c r="W122" s="157">
        <v>-370.22</v>
      </c>
      <c r="X122" s="157"/>
      <c r="Y122" s="157">
        <v>0</v>
      </c>
      <c r="Z122" s="157"/>
      <c r="AA122" s="157">
        <v>0</v>
      </c>
      <c r="AB122" s="157"/>
      <c r="AC122" s="157">
        <v>-68.84</v>
      </c>
      <c r="AD122" s="157"/>
      <c r="AE122" s="157">
        <v>0</v>
      </c>
      <c r="AF122" s="157"/>
      <c r="AG122" s="157">
        <v>-188.56</v>
      </c>
      <c r="AH122" s="157"/>
      <c r="AI122" s="157">
        <v>-85.32</v>
      </c>
      <c r="AJ122" s="157"/>
      <c r="AK122" s="157">
        <v>0</v>
      </c>
      <c r="AL122" s="157"/>
      <c r="AM122" s="157">
        <v>-308.64999999999998</v>
      </c>
      <c r="AN122" s="157"/>
      <c r="AO122" s="157">
        <v>0</v>
      </c>
      <c r="AP122" s="157"/>
      <c r="AQ122" s="157">
        <v>-503.79</v>
      </c>
      <c r="AR122" s="157"/>
      <c r="AS122" s="157">
        <v>-144.31</v>
      </c>
      <c r="AT122" s="157">
        <f>AS122</f>
        <v>-144.31</v>
      </c>
      <c r="AU122" s="157">
        <v>-182</v>
      </c>
      <c r="AV122" s="157"/>
      <c r="AW122" s="157">
        <v>-1131.05</v>
      </c>
      <c r="AX122" s="157"/>
      <c r="AY122" s="157">
        <v>0</v>
      </c>
      <c r="AZ122" s="157"/>
      <c r="BA122" s="157">
        <v>-450.13</v>
      </c>
      <c r="BB122" s="157"/>
      <c r="BC122" s="157">
        <v>0</v>
      </c>
      <c r="BD122" s="157"/>
      <c r="BE122" s="157">
        <v>-1058.68</v>
      </c>
      <c r="BF122" s="157"/>
      <c r="BG122" s="157">
        <v>0</v>
      </c>
      <c r="BH122" s="157"/>
      <c r="BI122" s="157">
        <v>0</v>
      </c>
      <c r="BJ122" s="157"/>
      <c r="BK122" s="157">
        <v>-601.77</v>
      </c>
      <c r="BL122" s="157"/>
      <c r="BM122" s="157">
        <v>0</v>
      </c>
      <c r="BN122" s="157"/>
      <c r="BO122" s="157">
        <v>-554.13</v>
      </c>
      <c r="BP122" s="157"/>
      <c r="BQ122" s="157">
        <v>-889.38</v>
      </c>
      <c r="BR122" s="157"/>
      <c r="BS122" s="157">
        <v>0</v>
      </c>
    </row>
    <row r="123" spans="1:72" x14ac:dyDescent="0.2">
      <c r="A123" s="123" t="s">
        <v>208</v>
      </c>
      <c r="B123" s="124" t="s">
        <v>209</v>
      </c>
      <c r="C123" s="157">
        <v>-48937.69</v>
      </c>
      <c r="D123" s="157">
        <f>SUM(C123:C128,C132:C150,C169)-C124</f>
        <v>-100286.98999999999</v>
      </c>
      <c r="E123" s="157">
        <v>-43362.76</v>
      </c>
      <c r="F123" s="157">
        <f>SUM(E123:E128,E132:E150,E169)-E124</f>
        <v>-70992.67</v>
      </c>
      <c r="G123" s="157">
        <v>-25265.85</v>
      </c>
      <c r="H123" s="157">
        <f>SUM(G123:G130,G132:G150,G153,G169)-G124</f>
        <v>-76440.189999999973</v>
      </c>
      <c r="I123" s="157">
        <v>-46204.76</v>
      </c>
      <c r="J123" s="157">
        <f>SUM(I123:I130,I132:I150,I169)-I124-I140-I141-I144-I145-I146-I147</f>
        <v>-64600.919999999984</v>
      </c>
      <c r="K123" s="157">
        <v>-108548.28</v>
      </c>
      <c r="L123" s="157">
        <f>SUM(K123:K128,K155,K169)-K124</f>
        <v>-205519.43999999997</v>
      </c>
      <c r="M123" s="157">
        <v>-51360.09</v>
      </c>
      <c r="N123" s="157">
        <f>SUM(M123:M128,M153,M169)-M124</f>
        <v>-113261.46</v>
      </c>
      <c r="O123" s="157">
        <v>-46202.15</v>
      </c>
      <c r="P123" s="157">
        <f>SUM(O123:O130,O132:O150,O168)-O124</f>
        <v>-72991.42</v>
      </c>
      <c r="Q123" s="157">
        <v>-35520.230000000003</v>
      </c>
      <c r="R123" s="157">
        <f>SUM(Q123:Q128,Q132:Q150,Q169)-Q124-Q136-Q138-Q139-Q144-Q145</f>
        <v>-79627.59</v>
      </c>
      <c r="S123" s="157">
        <v>-56040.62</v>
      </c>
      <c r="T123" s="157">
        <f>SUM(S123:S128,S132:S150,S169)-S125-S124-S150</f>
        <v>-72060.970000000016</v>
      </c>
      <c r="U123" s="157">
        <v>-47647.62</v>
      </c>
      <c r="V123" s="157">
        <f>SUM(U123:U128,U132:U150,U169)-U124-U134-U135-U142-U143-U150</f>
        <v>-129337.44</v>
      </c>
      <c r="W123" s="157">
        <v>-46733.53</v>
      </c>
      <c r="X123" s="157">
        <f>SUM(W123:W130,W132:W150,W169)-W124</f>
        <v>-61639.959999999992</v>
      </c>
      <c r="Y123" s="157">
        <v>-37455.4</v>
      </c>
      <c r="Z123" s="157">
        <f>SUM(Y123:Y128,Y132:Y150,Y169)-Y125-Y124-Y138-Y143-Y150</f>
        <v>-105565.11000000002</v>
      </c>
      <c r="AA123" s="157">
        <v>-31662.33</v>
      </c>
      <c r="AB123" s="157">
        <f>SUM(AA123:AA128,AA132:AA150,AA153)-AA124-AA150</f>
        <v>-69055.62999999999</v>
      </c>
      <c r="AC123" s="157">
        <v>-39507.5</v>
      </c>
      <c r="AD123" s="157">
        <f>SUM(AC123:AC130,AC132:AC150,AC169)-AC124-AC150</f>
        <v>-58743.93</v>
      </c>
      <c r="AE123" s="157">
        <v>-75969.460000000006</v>
      </c>
      <c r="AF123" s="157">
        <f>SUM(AE123:AE128,AE132:AE150)-AE124-AE150</f>
        <v>-225554.79000000004</v>
      </c>
      <c r="AG123" s="157">
        <v>-39759.89</v>
      </c>
      <c r="AH123" s="157">
        <f>SUM(AG123:AG128,AG132:AG150)-AG124-AG150</f>
        <v>-86017</v>
      </c>
      <c r="AI123" s="157">
        <v>-31022.11</v>
      </c>
      <c r="AJ123" s="157">
        <f>SUM(AI123:AI130,AI132:AI150,AI169)-AI124-AI150</f>
        <v>-42794.54</v>
      </c>
      <c r="AK123" s="157">
        <v>-64348.67</v>
      </c>
      <c r="AL123" s="157">
        <f>SUM(AK123:AK128,AK132:AK150,AK169)-AK125-AK124-AK146-AK147-AK150</f>
        <v>-83851.75</v>
      </c>
      <c r="AM123" s="157">
        <v>-63216.31</v>
      </c>
      <c r="AN123" s="157">
        <f>SUM(AM123:AM128,AM132:AM150,AM169)-AM124-AM134-AM135-AM136-AM137-AM142-AM143-AM148-AM149-AM150-AM147</f>
        <v>-89958.179999999964</v>
      </c>
      <c r="AO123" s="157">
        <v>-32364.28</v>
      </c>
      <c r="AP123" s="157">
        <f>SUM(AO123:AO130,AO132:AO150,AO169)-AO124-AO150</f>
        <v>-103846.24999999994</v>
      </c>
      <c r="AQ123" s="157">
        <v>-44126.06</v>
      </c>
      <c r="AR123" s="157">
        <f>SUM(AQ123:AQ128,AQ132:AQ150,AQ169)-AQ124-AQ136-AQ137-AQ144-AQ145-AQ150</f>
        <v>-67374.330000000016</v>
      </c>
      <c r="AS123" s="157">
        <v>-35664.26</v>
      </c>
      <c r="AT123" s="157">
        <f>SUM(AS123:AS128,AS153)-AS124-AS135</f>
        <v>-68651.960000000006</v>
      </c>
      <c r="AU123" s="157">
        <v>-41204.97</v>
      </c>
      <c r="AV123" s="157">
        <f>SUM(AU123:AU128,AU132:AU133,AU169)-AU124-AU148</f>
        <v>-189128.32000000007</v>
      </c>
      <c r="AW123" s="157">
        <v>-35276.68</v>
      </c>
      <c r="AX123" s="157">
        <f>SUM(AW123:AW128,AW132:AW150,AW169)-AW125-AW124-AW140-AW150</f>
        <v>-54043.94</v>
      </c>
      <c r="AY123" s="157">
        <v>-40041.75</v>
      </c>
      <c r="AZ123" s="157">
        <f>SUM(AY123:AY128,AY132:AY150,AY169)-AY124-AY134-AY135-AY142-AY143-AY150</f>
        <v>-56659.630000000005</v>
      </c>
      <c r="BA123" s="157">
        <v>-44095.34</v>
      </c>
      <c r="BB123" s="157">
        <f>SUM(BA123:BA128,BA132:BA150)-BA124-BA134-BA135-BA140-BA141-BA149</f>
        <v>-62592.239999999932</v>
      </c>
      <c r="BC123" s="157">
        <v>-61506.27</v>
      </c>
      <c r="BD123" s="157">
        <f>SUM(BC123:BC128,BC132:BC150)-BC124-BC134-BC135-BC150</f>
        <v>-93860.430000000008</v>
      </c>
      <c r="BE123" s="157">
        <v>-43261.82</v>
      </c>
      <c r="BF123" s="157">
        <f>SUM(BE123:BE128,BE132:BE150,BE169)-BE124-BE134-BE135-BE140-BE141-BE150</f>
        <v>-112706.29999999999</v>
      </c>
      <c r="BG123" s="157">
        <v>-16416.64</v>
      </c>
      <c r="BH123" s="157">
        <f>SUM(BG123:BG130,BG132:BG150,BG169)-BG129-BG124-BG134-BG135-BG140-BG141-BG150</f>
        <v>-38141.569999999978</v>
      </c>
      <c r="BI123" s="157">
        <v>-46623.3</v>
      </c>
      <c r="BJ123" s="157">
        <f>SUM(BI123:BI130,BI132:BI150,BI169)-BI129-BI124-BI134-BI135-BI140-BI141</f>
        <v>-63299.179999999993</v>
      </c>
      <c r="BK123" s="157">
        <v>-41963.39</v>
      </c>
      <c r="BL123" s="157">
        <f>SUM(BK123:BK128,BK132:BK150,BK169)-BK124-BK144-BK145</f>
        <v>-78152.640000000014</v>
      </c>
      <c r="BM123" s="157">
        <v>-23188.87</v>
      </c>
      <c r="BN123" s="157">
        <f>SUM(BM123:BM128,BM132:BM150,BM169)-BM124-BM150</f>
        <v>-49095.539999999994</v>
      </c>
      <c r="BO123" s="157">
        <v>-58074.32</v>
      </c>
      <c r="BP123" s="157">
        <f>SUM(BO123:BO128,BO132:BO150,BO169)-BO124-BO136-BO137-BO138-BO139-BO144-BO145-BO150</f>
        <v>-79203.539999999964</v>
      </c>
      <c r="BQ123" s="157">
        <v>-34624.949999999997</v>
      </c>
      <c r="BR123" s="157">
        <f>SUM(BQ123:BQ128,BQ132:BQ150,BQ169)-BQ124-BQ136-BQ137-BQ138-BQ139-BQ144-BQ145-BQ150</f>
        <v>-54377.649999999994</v>
      </c>
      <c r="BS123" s="157">
        <v>-23414.18</v>
      </c>
      <c r="BT123" s="168">
        <f>SUM(BS123:BS130,BS132:BS150,BS169)-BS129-BS124-BS136-BS137-BS138-BS139-BS144-BS145-BS150</f>
        <v>-40665.659999999982</v>
      </c>
    </row>
    <row r="124" spans="1:72" x14ac:dyDescent="0.2">
      <c r="A124" s="123" t="s">
        <v>210</v>
      </c>
      <c r="B124" s="124" t="s">
        <v>211</v>
      </c>
      <c r="C124" s="170">
        <v>-4116.8100000000004</v>
      </c>
      <c r="D124" s="157"/>
      <c r="E124" s="170">
        <v>-5561.42</v>
      </c>
      <c r="F124" s="157"/>
      <c r="G124" s="170">
        <v>-3871.6</v>
      </c>
      <c r="H124" s="157"/>
      <c r="I124" s="170">
        <v>-4262.33</v>
      </c>
      <c r="J124" s="157"/>
      <c r="K124" s="170">
        <v>-22329.7</v>
      </c>
      <c r="L124" s="157"/>
      <c r="M124" s="170">
        <v>-3718.98</v>
      </c>
      <c r="N124" s="157"/>
      <c r="O124" s="170">
        <v>-3013.63</v>
      </c>
      <c r="P124" s="157"/>
      <c r="Q124" s="170">
        <v>-3048.85</v>
      </c>
      <c r="R124" s="157"/>
      <c r="S124" s="170">
        <v>-5753.06</v>
      </c>
      <c r="T124" s="157"/>
      <c r="U124" s="170">
        <v>-3942.09</v>
      </c>
      <c r="V124" s="157"/>
      <c r="W124" s="170">
        <v>-4547.55</v>
      </c>
      <c r="X124" s="157"/>
      <c r="Y124" s="170">
        <v>-3429.13</v>
      </c>
      <c r="Z124" s="157"/>
      <c r="AA124" s="170">
        <v>-4163.6899999999996</v>
      </c>
      <c r="AB124" s="157"/>
      <c r="AC124" s="170">
        <v>-3417.56</v>
      </c>
      <c r="AD124" s="157"/>
      <c r="AE124" s="170">
        <v>-5754.06</v>
      </c>
      <c r="AF124" s="157"/>
      <c r="AG124" s="170">
        <v>-3987.56</v>
      </c>
      <c r="AH124" s="157"/>
      <c r="AI124" s="170">
        <v>-2644.93</v>
      </c>
      <c r="AJ124" s="157"/>
      <c r="AK124" s="170">
        <v>-3741.74</v>
      </c>
      <c r="AL124" s="157"/>
      <c r="AM124" s="170">
        <v>-5887.84</v>
      </c>
      <c r="AN124" s="157"/>
      <c r="AO124" s="170">
        <v>-3469.56</v>
      </c>
      <c r="AP124" s="157"/>
      <c r="AQ124" s="170">
        <v>-4978.62</v>
      </c>
      <c r="AR124" s="157"/>
      <c r="AS124" s="170">
        <v>-4268.03</v>
      </c>
      <c r="AT124" s="157"/>
      <c r="AU124" s="170">
        <v>-7172.49</v>
      </c>
      <c r="AV124" s="157"/>
      <c r="AW124" s="170">
        <v>-3877.95</v>
      </c>
      <c r="AX124" s="157"/>
      <c r="AY124" s="170">
        <v>-3753.86</v>
      </c>
      <c r="AZ124" s="157"/>
      <c r="BA124" s="170">
        <v>-4477.97</v>
      </c>
      <c r="BB124" s="157"/>
      <c r="BC124" s="170">
        <v>-1973.44</v>
      </c>
      <c r="BD124" s="157"/>
      <c r="BE124" s="170">
        <v>-5487.27</v>
      </c>
      <c r="BF124" s="157"/>
      <c r="BG124" s="170">
        <v>-1754.96</v>
      </c>
      <c r="BH124" s="157"/>
      <c r="BI124" s="170">
        <v>-3343.83</v>
      </c>
      <c r="BJ124" s="157"/>
      <c r="BK124" s="170">
        <v>-4159.59</v>
      </c>
      <c r="BL124" s="157"/>
      <c r="BM124" s="170">
        <v>-3185.37</v>
      </c>
      <c r="BN124" s="157"/>
      <c r="BO124" s="170">
        <v>-4032.25</v>
      </c>
      <c r="BP124" s="157"/>
      <c r="BQ124" s="170">
        <v>-3932.91</v>
      </c>
      <c r="BR124" s="157"/>
      <c r="BS124" s="170">
        <v>-4085.15</v>
      </c>
    </row>
    <row r="125" spans="1:72" x14ac:dyDescent="0.2">
      <c r="A125" s="123" t="s">
        <v>655</v>
      </c>
      <c r="B125" s="124" t="s">
        <v>654</v>
      </c>
      <c r="C125" s="157">
        <v>0</v>
      </c>
      <c r="D125" s="157"/>
      <c r="E125" s="157">
        <v>0</v>
      </c>
      <c r="F125" s="157"/>
      <c r="G125" s="157">
        <v>0</v>
      </c>
      <c r="H125" s="157"/>
      <c r="I125" s="157">
        <v>0</v>
      </c>
      <c r="J125" s="157"/>
      <c r="K125" s="157">
        <v>0</v>
      </c>
      <c r="L125" s="157"/>
      <c r="M125" s="157">
        <v>0</v>
      </c>
      <c r="N125" s="157"/>
      <c r="O125" s="157">
        <v>0</v>
      </c>
      <c r="P125" s="157"/>
      <c r="Q125" s="157">
        <v>0</v>
      </c>
      <c r="R125" s="157"/>
      <c r="S125" s="170">
        <v>0.27</v>
      </c>
      <c r="T125" s="157"/>
      <c r="U125" s="157">
        <v>0</v>
      </c>
      <c r="V125" s="157"/>
      <c r="W125" s="157">
        <v>0</v>
      </c>
      <c r="X125" s="157"/>
      <c r="Y125" s="170">
        <v>-3564.83</v>
      </c>
      <c r="Z125" s="157"/>
      <c r="AA125" s="157">
        <v>0</v>
      </c>
      <c r="AB125" s="157"/>
      <c r="AC125" s="157">
        <v>0</v>
      </c>
      <c r="AD125" s="157"/>
      <c r="AE125" s="157">
        <v>0</v>
      </c>
      <c r="AF125" s="157"/>
      <c r="AG125" s="157">
        <v>0</v>
      </c>
      <c r="AH125" s="157"/>
      <c r="AI125" s="157">
        <v>0</v>
      </c>
      <c r="AJ125" s="157"/>
      <c r="AK125" s="170">
        <v>-3133.47</v>
      </c>
      <c r="AL125" s="157"/>
      <c r="AM125" s="157">
        <v>0</v>
      </c>
      <c r="AN125" s="157"/>
      <c r="AO125" s="157">
        <v>0</v>
      </c>
      <c r="AP125" s="157"/>
      <c r="AQ125" s="157">
        <v>0</v>
      </c>
      <c r="AR125" s="157"/>
      <c r="AS125" s="157">
        <v>0</v>
      </c>
      <c r="AT125" s="157"/>
      <c r="AU125" s="157">
        <v>0</v>
      </c>
      <c r="AV125" s="157"/>
      <c r="AW125" s="170">
        <v>-3108.55</v>
      </c>
      <c r="AX125" s="157"/>
      <c r="AY125" s="157">
        <v>0</v>
      </c>
      <c r="AZ125" s="157"/>
      <c r="BA125" s="157">
        <v>0</v>
      </c>
      <c r="BB125" s="157"/>
      <c r="BC125" s="157">
        <v>0</v>
      </c>
      <c r="BD125" s="157"/>
      <c r="BE125" s="157">
        <v>0</v>
      </c>
      <c r="BF125" s="157"/>
      <c r="BG125" s="157">
        <v>0</v>
      </c>
      <c r="BH125" s="157"/>
      <c r="BI125" s="157">
        <v>0</v>
      </c>
      <c r="BJ125" s="157"/>
      <c r="BK125" s="157">
        <v>0</v>
      </c>
      <c r="BL125" s="157"/>
      <c r="BM125" s="157">
        <v>0</v>
      </c>
      <c r="BN125" s="157"/>
      <c r="BO125" s="157">
        <v>0</v>
      </c>
      <c r="BP125" s="157"/>
      <c r="BQ125" s="157">
        <v>0</v>
      </c>
      <c r="BR125" s="157"/>
      <c r="BS125" s="157">
        <v>0</v>
      </c>
    </row>
    <row r="126" spans="1:72" x14ac:dyDescent="0.2">
      <c r="A126" s="123" t="s">
        <v>212</v>
      </c>
      <c r="B126" s="124" t="s">
        <v>213</v>
      </c>
      <c r="C126" s="157">
        <v>-7702.67</v>
      </c>
      <c r="D126" s="157"/>
      <c r="E126" s="157">
        <v>-0.13</v>
      </c>
      <c r="F126" s="157"/>
      <c r="G126" s="157">
        <v>-7141.07</v>
      </c>
      <c r="H126" s="157"/>
      <c r="I126" s="157">
        <v>0.01</v>
      </c>
      <c r="J126" s="157"/>
      <c r="K126" s="157">
        <v>-857.24</v>
      </c>
      <c r="L126" s="157"/>
      <c r="M126" s="157">
        <v>-29820.83</v>
      </c>
      <c r="N126" s="157"/>
      <c r="O126" s="157">
        <v>0</v>
      </c>
      <c r="P126" s="157"/>
      <c r="Q126" s="157">
        <v>-7492</v>
      </c>
      <c r="R126" s="157"/>
      <c r="S126" s="157">
        <v>0</v>
      </c>
      <c r="T126" s="157"/>
      <c r="U126" s="157">
        <v>-711</v>
      </c>
      <c r="V126" s="157"/>
      <c r="W126" s="157">
        <v>0</v>
      </c>
      <c r="X126" s="157"/>
      <c r="Y126" s="157">
        <v>-6175.44</v>
      </c>
      <c r="Z126" s="157"/>
      <c r="AA126" s="157">
        <v>0.01</v>
      </c>
      <c r="AB126" s="157"/>
      <c r="AC126" s="157">
        <v>0</v>
      </c>
      <c r="AD126" s="157"/>
      <c r="AE126" s="157">
        <v>-52800</v>
      </c>
      <c r="AF126" s="157"/>
      <c r="AG126" s="157">
        <v>0</v>
      </c>
      <c r="AH126" s="157"/>
      <c r="AI126" s="157">
        <v>0</v>
      </c>
      <c r="AJ126" s="157"/>
      <c r="AK126" s="157">
        <v>0</v>
      </c>
      <c r="AL126" s="157"/>
      <c r="AM126" s="157">
        <v>0</v>
      </c>
      <c r="AN126" s="157"/>
      <c r="AO126" s="157">
        <v>-4889</v>
      </c>
      <c r="AP126" s="157"/>
      <c r="AQ126" s="157">
        <v>-1532.68</v>
      </c>
      <c r="AR126" s="157"/>
      <c r="AS126" s="157">
        <v>-2278.15</v>
      </c>
      <c r="AT126" s="157"/>
      <c r="AU126" s="157">
        <v>-23673.85</v>
      </c>
      <c r="AV126" s="157"/>
      <c r="AW126" s="157">
        <v>0</v>
      </c>
      <c r="AX126" s="157"/>
      <c r="AY126" s="157">
        <v>0.01</v>
      </c>
      <c r="AZ126" s="157"/>
      <c r="BA126" s="157">
        <v>0</v>
      </c>
      <c r="BB126" s="157"/>
      <c r="BC126" s="157">
        <v>-1196.43</v>
      </c>
      <c r="BD126" s="157"/>
      <c r="BE126" s="157">
        <v>-48380.99</v>
      </c>
      <c r="BF126" s="157"/>
      <c r="BG126" s="157">
        <v>-2280.88</v>
      </c>
      <c r="BH126" s="157"/>
      <c r="BI126" s="157">
        <v>-2094.46</v>
      </c>
      <c r="BJ126" s="157"/>
      <c r="BK126" s="157">
        <v>-1461.42</v>
      </c>
      <c r="BL126" s="157"/>
      <c r="BM126" s="157">
        <v>0</v>
      </c>
      <c r="BN126" s="157"/>
      <c r="BO126" s="157">
        <v>0.02</v>
      </c>
      <c r="BP126" s="157"/>
      <c r="BQ126" s="157">
        <v>0</v>
      </c>
      <c r="BR126" s="157"/>
      <c r="BS126" s="157">
        <v>-0.01</v>
      </c>
    </row>
    <row r="127" spans="1:72" x14ac:dyDescent="0.2">
      <c r="A127" s="123" t="s">
        <v>214</v>
      </c>
      <c r="B127" s="124" t="s">
        <v>215</v>
      </c>
      <c r="C127" s="157">
        <v>-6256.83</v>
      </c>
      <c r="D127" s="157"/>
      <c r="E127" s="157">
        <v>-8634.42</v>
      </c>
      <c r="F127" s="157"/>
      <c r="G127" s="157">
        <v>-4625.21</v>
      </c>
      <c r="H127" s="157"/>
      <c r="I127" s="157">
        <v>-4213.72</v>
      </c>
      <c r="J127" s="157"/>
      <c r="K127" s="157">
        <v>-5211.71</v>
      </c>
      <c r="L127" s="157"/>
      <c r="M127" s="157">
        <v>-4903.22</v>
      </c>
      <c r="N127" s="157"/>
      <c r="O127" s="157">
        <v>-3055.4</v>
      </c>
      <c r="P127" s="157"/>
      <c r="Q127" s="157">
        <v>-4147.1499999999996</v>
      </c>
      <c r="R127" s="157"/>
      <c r="S127" s="157">
        <v>-4778.13</v>
      </c>
      <c r="T127" s="157"/>
      <c r="U127" s="157">
        <v>-2927.84</v>
      </c>
      <c r="V127" s="157"/>
      <c r="W127" s="157">
        <v>-2700.52</v>
      </c>
      <c r="X127" s="157"/>
      <c r="Y127" s="157">
        <v>-6377.86</v>
      </c>
      <c r="Z127" s="157"/>
      <c r="AA127" s="157">
        <v>-3265</v>
      </c>
      <c r="AB127" s="157"/>
      <c r="AC127" s="157">
        <v>-1876.33</v>
      </c>
      <c r="AD127" s="157"/>
      <c r="AE127" s="157">
        <v>-27529.23</v>
      </c>
      <c r="AF127" s="157"/>
      <c r="AG127" s="157">
        <v>-4671.72</v>
      </c>
      <c r="AH127" s="157"/>
      <c r="AI127" s="157">
        <v>-1895.53</v>
      </c>
      <c r="AJ127" s="157"/>
      <c r="AK127" s="157">
        <v>-3787.17</v>
      </c>
      <c r="AL127" s="157"/>
      <c r="AM127" s="157">
        <v>-757.77</v>
      </c>
      <c r="AN127" s="157"/>
      <c r="AO127" s="157">
        <v>-6871.6</v>
      </c>
      <c r="AP127" s="157"/>
      <c r="AQ127" s="157">
        <v>-5809.22</v>
      </c>
      <c r="AR127" s="157"/>
      <c r="AS127" s="157">
        <v>-6699.44</v>
      </c>
      <c r="AT127" s="157"/>
      <c r="AU127" s="157">
        <v>-9837.5</v>
      </c>
      <c r="AV127" s="157"/>
      <c r="AW127" s="157">
        <v>-4219.07</v>
      </c>
      <c r="AX127" s="157"/>
      <c r="AY127" s="157">
        <v>-2877.99</v>
      </c>
      <c r="AZ127" s="157"/>
      <c r="BA127" s="157">
        <v>-3684.32</v>
      </c>
      <c r="BB127" s="157"/>
      <c r="BC127" s="157">
        <v>-9134.68</v>
      </c>
      <c r="BD127" s="157"/>
      <c r="BE127" s="157">
        <v>-3629.63</v>
      </c>
      <c r="BF127" s="157"/>
      <c r="BG127" s="157">
        <v>-4906.51</v>
      </c>
      <c r="BH127" s="157"/>
      <c r="BI127" s="157">
        <v>-4841.1400000000003</v>
      </c>
      <c r="BJ127" s="157"/>
      <c r="BK127" s="157">
        <v>-9043.09</v>
      </c>
      <c r="BL127" s="157"/>
      <c r="BM127" s="157">
        <v>-8821.9599999999991</v>
      </c>
      <c r="BN127" s="157"/>
      <c r="BO127" s="157">
        <v>-3732.29</v>
      </c>
      <c r="BP127" s="157"/>
      <c r="BQ127" s="157">
        <v>-3898.52</v>
      </c>
      <c r="BR127" s="157"/>
      <c r="BS127" s="157">
        <v>-2011.61</v>
      </c>
    </row>
    <row r="128" spans="1:72" x14ac:dyDescent="0.2">
      <c r="A128" s="123" t="s">
        <v>216</v>
      </c>
      <c r="B128" s="124" t="s">
        <v>217</v>
      </c>
      <c r="C128" s="157">
        <v>-9659.52</v>
      </c>
      <c r="D128" s="157"/>
      <c r="E128" s="157">
        <v>-18995.36</v>
      </c>
      <c r="F128" s="157"/>
      <c r="G128" s="157">
        <v>-10060.040000000001</v>
      </c>
      <c r="H128" s="157"/>
      <c r="I128" s="157">
        <v>-14182.45</v>
      </c>
      <c r="J128" s="157"/>
      <c r="K128" s="157">
        <v>-24696.21</v>
      </c>
      <c r="L128" s="157"/>
      <c r="M128" s="157">
        <v>-26247</v>
      </c>
      <c r="N128" s="157"/>
      <c r="O128" s="157">
        <v>-23733.87</v>
      </c>
      <c r="P128" s="157"/>
      <c r="Q128" s="157">
        <v>-13445.12</v>
      </c>
      <c r="R128" s="157"/>
      <c r="S128" s="157">
        <v>-11242.22</v>
      </c>
      <c r="T128" s="157"/>
      <c r="U128" s="157">
        <v>-18156.95</v>
      </c>
      <c r="V128" s="157"/>
      <c r="W128" s="157">
        <v>-12205.91</v>
      </c>
      <c r="X128" s="157"/>
      <c r="Y128" s="157">
        <v>-20719.64</v>
      </c>
      <c r="Z128" s="157"/>
      <c r="AA128" s="157">
        <v>-14194.04</v>
      </c>
      <c r="AB128" s="157"/>
      <c r="AC128" s="157">
        <v>-17360.099999999999</v>
      </c>
      <c r="AD128" s="157"/>
      <c r="AE128" s="157">
        <v>-37420.69</v>
      </c>
      <c r="AF128" s="157"/>
      <c r="AG128" s="157">
        <v>-21921.7</v>
      </c>
      <c r="AH128" s="157"/>
      <c r="AI128" s="157">
        <v>-9876.9</v>
      </c>
      <c r="AJ128" s="157"/>
      <c r="AK128" s="157">
        <v>-15715.91</v>
      </c>
      <c r="AL128" s="157"/>
      <c r="AM128" s="157">
        <v>-25984.1</v>
      </c>
      <c r="AN128" s="157"/>
      <c r="AO128" s="157">
        <v>-24293.4</v>
      </c>
      <c r="AP128" s="157"/>
      <c r="AQ128" s="157">
        <v>-15906.37</v>
      </c>
      <c r="AR128" s="157"/>
      <c r="AS128" s="157">
        <v>-21061.11</v>
      </c>
      <c r="AT128" s="157"/>
      <c r="AU128" s="157">
        <v>-72250.98</v>
      </c>
      <c r="AV128" s="157"/>
      <c r="AW128" s="157">
        <v>-14548.19</v>
      </c>
      <c r="AX128" s="157"/>
      <c r="AY128" s="157">
        <v>-13739.9</v>
      </c>
      <c r="AZ128" s="157"/>
      <c r="BA128" s="157">
        <v>-14812.58</v>
      </c>
      <c r="BB128" s="157"/>
      <c r="BC128" s="157">
        <v>-22023.05</v>
      </c>
      <c r="BD128" s="157"/>
      <c r="BE128" s="157">
        <v>-17687.86</v>
      </c>
      <c r="BF128" s="157"/>
      <c r="BG128" s="157">
        <v>-14537.54</v>
      </c>
      <c r="BH128" s="157"/>
      <c r="BI128" s="157">
        <v>-9740.2800000000007</v>
      </c>
      <c r="BJ128" s="157"/>
      <c r="BK128" s="157">
        <v>-25684.74</v>
      </c>
      <c r="BL128" s="157"/>
      <c r="BM128" s="157">
        <v>-17084.71</v>
      </c>
      <c r="BN128" s="157"/>
      <c r="BO128" s="157">
        <v>-17396.95</v>
      </c>
      <c r="BP128" s="157"/>
      <c r="BQ128" s="157">
        <v>-15854.18</v>
      </c>
      <c r="BR128" s="157"/>
      <c r="BS128" s="157">
        <v>-15239.86</v>
      </c>
    </row>
    <row r="129" spans="1:72" x14ac:dyDescent="0.2">
      <c r="A129" s="123" t="s">
        <v>218</v>
      </c>
      <c r="B129" s="124" t="s">
        <v>219</v>
      </c>
      <c r="C129" s="157">
        <v>0</v>
      </c>
      <c r="D129" s="157"/>
      <c r="E129" s="157">
        <v>0</v>
      </c>
      <c r="F129" s="157"/>
      <c r="G129" s="157">
        <v>0</v>
      </c>
      <c r="H129" s="157"/>
      <c r="I129" s="157">
        <v>0</v>
      </c>
      <c r="J129" s="157"/>
      <c r="K129" s="157">
        <v>0</v>
      </c>
      <c r="L129" s="157"/>
      <c r="M129" s="157">
        <v>0</v>
      </c>
      <c r="N129" s="157"/>
      <c r="O129" s="157">
        <v>0</v>
      </c>
      <c r="P129" s="157"/>
      <c r="Q129" s="157">
        <v>-17168.259999999998</v>
      </c>
      <c r="R129" s="157"/>
      <c r="S129" s="157">
        <v>0</v>
      </c>
      <c r="T129" s="157"/>
      <c r="U129" s="157">
        <v>-59317.55</v>
      </c>
      <c r="V129" s="157"/>
      <c r="W129" s="157">
        <v>0</v>
      </c>
      <c r="X129" s="157"/>
      <c r="Y129" s="157">
        <v>-76245.710000000006</v>
      </c>
      <c r="Z129" s="157"/>
      <c r="AA129" s="157">
        <v>0</v>
      </c>
      <c r="AB129" s="157"/>
      <c r="AC129" s="157">
        <v>0</v>
      </c>
      <c r="AD129" s="157"/>
      <c r="AE129" s="157">
        <v>0</v>
      </c>
      <c r="AF129" s="157"/>
      <c r="AG129" s="157">
        <v>0</v>
      </c>
      <c r="AH129" s="157"/>
      <c r="AI129" s="157">
        <v>0</v>
      </c>
      <c r="AJ129" s="157"/>
      <c r="AK129" s="157">
        <v>-42770.53</v>
      </c>
      <c r="AL129" s="157"/>
      <c r="AM129" s="157">
        <v>-92755.71</v>
      </c>
      <c r="AN129" s="157"/>
      <c r="AO129" s="157">
        <v>0</v>
      </c>
      <c r="AP129" s="157"/>
      <c r="AQ129" s="157">
        <v>0</v>
      </c>
      <c r="AR129" s="157"/>
      <c r="AS129" s="157">
        <v>0</v>
      </c>
      <c r="AT129" s="157"/>
      <c r="AU129" s="157">
        <v>0</v>
      </c>
      <c r="AV129" s="157"/>
      <c r="AW129" s="157">
        <v>-36378.78</v>
      </c>
      <c r="AX129" s="157"/>
      <c r="AY129" s="157">
        <v>-50916.87</v>
      </c>
      <c r="AZ129" s="157"/>
      <c r="BA129" s="157">
        <v>0</v>
      </c>
      <c r="BB129" s="157"/>
      <c r="BC129" s="157">
        <v>-13021.04</v>
      </c>
      <c r="BD129" s="157"/>
      <c r="BE129" s="157">
        <v>0</v>
      </c>
      <c r="BF129" s="157"/>
      <c r="BG129" s="157">
        <v>-9393.75</v>
      </c>
      <c r="BH129" s="157"/>
      <c r="BI129" s="157">
        <v>-42184.09</v>
      </c>
      <c r="BJ129" s="157"/>
      <c r="BK129" s="157">
        <v>-91323.83</v>
      </c>
      <c r="BL129" s="157"/>
      <c r="BM129" s="157">
        <v>0</v>
      </c>
      <c r="BN129" s="157"/>
      <c r="BO129" s="157">
        <v>-61815.82</v>
      </c>
      <c r="BP129" s="157"/>
      <c r="BQ129" s="157">
        <v>-64329.26</v>
      </c>
      <c r="BR129" s="157"/>
      <c r="BS129" s="157">
        <v>-68403.100000000006</v>
      </c>
    </row>
    <row r="130" spans="1:72" x14ac:dyDescent="0.2">
      <c r="A130" s="123" t="s">
        <v>1433</v>
      </c>
      <c r="B130" s="124" t="s">
        <v>1434</v>
      </c>
      <c r="C130" s="157">
        <v>0</v>
      </c>
      <c r="D130" s="157"/>
      <c r="E130" s="157">
        <v>0</v>
      </c>
      <c r="F130" s="157"/>
      <c r="G130" s="157">
        <v>0</v>
      </c>
      <c r="H130" s="157"/>
      <c r="I130" s="157">
        <v>0</v>
      </c>
      <c r="J130" s="157"/>
      <c r="K130" s="157">
        <v>0</v>
      </c>
      <c r="L130" s="157"/>
      <c r="M130" s="157">
        <v>0</v>
      </c>
      <c r="N130" s="157"/>
      <c r="O130" s="157">
        <v>0</v>
      </c>
      <c r="P130" s="157"/>
      <c r="Q130" s="157">
        <v>0</v>
      </c>
      <c r="R130" s="157"/>
      <c r="S130" s="157">
        <v>0</v>
      </c>
      <c r="T130" s="157"/>
      <c r="U130" s="157">
        <v>0</v>
      </c>
      <c r="V130" s="157"/>
      <c r="W130" s="157">
        <v>0</v>
      </c>
      <c r="X130" s="157"/>
      <c r="Y130" s="157">
        <v>0</v>
      </c>
      <c r="Z130" s="157"/>
      <c r="AA130" s="157">
        <v>0</v>
      </c>
      <c r="AB130" s="157"/>
      <c r="AC130" s="157">
        <v>0</v>
      </c>
      <c r="AD130" s="157"/>
      <c r="AE130" s="157">
        <v>0</v>
      </c>
      <c r="AF130" s="157"/>
      <c r="AG130" s="157">
        <v>0</v>
      </c>
      <c r="AH130" s="157"/>
      <c r="AI130" s="157">
        <v>0</v>
      </c>
      <c r="AJ130" s="157"/>
      <c r="AK130" s="157">
        <v>0</v>
      </c>
      <c r="AL130" s="157"/>
      <c r="AM130" s="157">
        <v>0</v>
      </c>
      <c r="AN130" s="157"/>
      <c r="AO130" s="157">
        <v>0</v>
      </c>
      <c r="AP130" s="157"/>
      <c r="AQ130" s="157">
        <v>-48715.88</v>
      </c>
      <c r="AR130" s="157"/>
      <c r="AS130" s="157">
        <v>0</v>
      </c>
      <c r="AT130" s="157"/>
      <c r="AU130" s="157">
        <v>0</v>
      </c>
      <c r="AV130" s="157"/>
      <c r="AW130" s="157">
        <v>0</v>
      </c>
      <c r="AX130" s="157"/>
      <c r="AY130" s="157">
        <v>0</v>
      </c>
      <c r="AZ130" s="157"/>
      <c r="BA130" s="157">
        <v>-77225</v>
      </c>
      <c r="BB130" s="157"/>
      <c r="BC130" s="157">
        <v>0</v>
      </c>
      <c r="BD130" s="157"/>
      <c r="BE130" s="157">
        <v>-87388.56</v>
      </c>
      <c r="BF130" s="157"/>
      <c r="BG130" s="157">
        <v>0</v>
      </c>
      <c r="BH130" s="157"/>
      <c r="BI130" s="157">
        <v>0</v>
      </c>
      <c r="BJ130" s="157"/>
      <c r="BK130" s="157">
        <v>0</v>
      </c>
      <c r="BL130" s="157"/>
      <c r="BM130" s="157">
        <v>0</v>
      </c>
      <c r="BN130" s="157"/>
      <c r="BO130" s="157">
        <v>0</v>
      </c>
      <c r="BP130" s="157"/>
      <c r="BQ130" s="157">
        <v>0</v>
      </c>
      <c r="BR130" s="157"/>
      <c r="BS130" s="157">
        <v>0</v>
      </c>
    </row>
    <row r="131" spans="1:72" x14ac:dyDescent="0.2">
      <c r="A131" s="123" t="s">
        <v>220</v>
      </c>
      <c r="B131" s="124" t="s">
        <v>221</v>
      </c>
      <c r="C131" s="157">
        <v>-126.25</v>
      </c>
      <c r="D131" s="157">
        <f>SUM(C131,C151:C155,C168)</f>
        <v>-23004.78</v>
      </c>
      <c r="E131" s="157">
        <v>0</v>
      </c>
      <c r="F131" s="157"/>
      <c r="G131" s="157">
        <v>-125</v>
      </c>
      <c r="H131" s="157">
        <f>SUM(G131,G151:G152,G168)</f>
        <v>-28687</v>
      </c>
      <c r="I131" s="157">
        <v>-126.25</v>
      </c>
      <c r="J131" s="157">
        <f>SUM(I131,I151:I155,I168)</f>
        <v>-11789.85</v>
      </c>
      <c r="K131" s="157">
        <v>-212.5</v>
      </c>
      <c r="L131" s="157">
        <f>SUM(K131,K151,K168)</f>
        <v>-170230.5</v>
      </c>
      <c r="M131" s="157">
        <v>-123.75</v>
      </c>
      <c r="N131" s="157">
        <f>SUM(M131,M151,M168)</f>
        <v>-8785.58</v>
      </c>
      <c r="O131" s="157">
        <v>0</v>
      </c>
      <c r="P131" s="157">
        <f>SUM(O131,O151:O155,O168)</f>
        <v>-98</v>
      </c>
      <c r="Q131" s="157">
        <v>-100</v>
      </c>
      <c r="R131" s="157">
        <f>SUM(Q131,Q151:Q155,Q168)</f>
        <v>-6385.6</v>
      </c>
      <c r="S131" s="157">
        <v>-125</v>
      </c>
      <c r="T131" s="157">
        <f>SUM(S131,S151:S155,S168)</f>
        <v>-7893</v>
      </c>
      <c r="U131" s="157">
        <v>-130</v>
      </c>
      <c r="V131" s="157">
        <f>SUM(U131,U151:U155,U168)</f>
        <v>-8768.4599999999991</v>
      </c>
      <c r="W131" s="157">
        <v>-100</v>
      </c>
      <c r="X131" s="157">
        <f>SUM(W131,W151:W155,W168)</f>
        <v>-6300</v>
      </c>
      <c r="Y131" s="157">
        <v>-125</v>
      </c>
      <c r="Z131" s="157">
        <f>SUM(Y131,Y151:Y155,Y168)</f>
        <v>-8891.0499999999993</v>
      </c>
      <c r="AA131" s="157">
        <v>-125</v>
      </c>
      <c r="AB131" s="157">
        <f>SUM(AA131,AA151:AA152,AA168)</f>
        <v>-8572</v>
      </c>
      <c r="AC131" s="157">
        <v>-100</v>
      </c>
      <c r="AD131" s="157">
        <f>SUM(AC131,AC151:AC155,AC168)</f>
        <v>-6360</v>
      </c>
      <c r="AE131" s="157">
        <v>-165</v>
      </c>
      <c r="AF131" s="157"/>
      <c r="AG131" s="157">
        <v>-126.25</v>
      </c>
      <c r="AH131" s="157">
        <f>SUM(AG131,AG151:AG155,AG168)</f>
        <v>-7956.03</v>
      </c>
      <c r="AI131" s="157">
        <v>-80</v>
      </c>
      <c r="AJ131" s="157">
        <f>SUM(AI131,AI151:AI155,AI168)</f>
        <v>-5492</v>
      </c>
      <c r="AK131" s="157">
        <v>-127.5</v>
      </c>
      <c r="AL131" s="157">
        <f>SUM(AK131,AK151:AK155,AK168)</f>
        <v>-9718.39</v>
      </c>
      <c r="AM131" s="157">
        <v>-191.25</v>
      </c>
      <c r="AN131" s="157">
        <f>SUM(AM131,AM151:AM155,AM168)</f>
        <v>-15193.779999999999</v>
      </c>
      <c r="AO131" s="157">
        <v>-113.75</v>
      </c>
      <c r="AP131" s="157">
        <f>SUM(AO131,AO151:AO154,AO168)</f>
        <v>-7197.25</v>
      </c>
      <c r="AQ131" s="157">
        <v>-64.38</v>
      </c>
      <c r="AR131" s="157">
        <f>SUM(AQ131,AQ151:AQ155,AQ168)</f>
        <v>-12765.72</v>
      </c>
      <c r="AS131" s="157">
        <v>-126.25</v>
      </c>
      <c r="AT131" s="157">
        <f>SUM(AS131,AS151,AS168)</f>
        <v>-8942.6</v>
      </c>
      <c r="AU131" s="157">
        <v>-135</v>
      </c>
      <c r="AV131" s="157">
        <f>SUM(AU131,AU151,AU168)</f>
        <v>-10386.08</v>
      </c>
      <c r="AW131" s="157">
        <v>-93.75</v>
      </c>
      <c r="AX131" s="157">
        <f>SUM(AW131,AW151:AW155,AW168)</f>
        <v>-9196.25</v>
      </c>
      <c r="AY131" s="157">
        <v>-125</v>
      </c>
      <c r="AZ131" s="157">
        <f>SUM(AY131,AY151:AY155,AY168)</f>
        <v>-8552</v>
      </c>
      <c r="BA131" s="157">
        <v>-112.5</v>
      </c>
      <c r="BB131" s="157">
        <f>SUM(BA131,BA151:BA155,BA168)</f>
        <v>-8370.43</v>
      </c>
      <c r="BC131" s="157">
        <v>-120</v>
      </c>
      <c r="BD131" s="157">
        <f>SUM(BC131,BC151:BC155,BC168)</f>
        <v>-9082.93</v>
      </c>
      <c r="BE131" s="157">
        <v>-150</v>
      </c>
      <c r="BF131" s="157">
        <f>SUM(BE131,BE151:BE155,BE168)</f>
        <v>-29742.239999999998</v>
      </c>
      <c r="BG131" s="157">
        <v>-92.5</v>
      </c>
      <c r="BH131" s="157">
        <f>SUM(BG131,BG151:BG155,BG168)</f>
        <v>-6994.39</v>
      </c>
      <c r="BI131" s="157">
        <v>-97.5</v>
      </c>
      <c r="BJ131" s="157">
        <f>SUM(BI131,BI151:BI155,BI168)</f>
        <v>-10709.02</v>
      </c>
      <c r="BK131" s="157">
        <v>-140</v>
      </c>
      <c r="BL131" s="157">
        <f>SUM(BK131,BK151:BK155,BK168)</f>
        <v>-10324.27</v>
      </c>
      <c r="BM131" s="157">
        <v>-2892092</v>
      </c>
      <c r="BN131" s="157">
        <f>SUM(BM131,BM151:BM155,BM168)</f>
        <v>-2930650.93</v>
      </c>
      <c r="BO131" s="157">
        <v>-128.75</v>
      </c>
      <c r="BP131" s="157">
        <f>SUM(BO131,BO151:BO155,BO168)</f>
        <v>-17637.22</v>
      </c>
      <c r="BQ131" s="157">
        <v>-136.25</v>
      </c>
      <c r="BR131" s="157">
        <f>SUM(BQ131,BQ151:BQ155,BQ168)</f>
        <v>-13844.779999999999</v>
      </c>
      <c r="BS131" s="157">
        <v>-112.5</v>
      </c>
      <c r="BT131" s="168">
        <f>SUM(BS131,BS151:BS155,BS168)</f>
        <v>-15385.95</v>
      </c>
    </row>
    <row r="132" spans="1:72" x14ac:dyDescent="0.2">
      <c r="A132" s="123" t="s">
        <v>522</v>
      </c>
      <c r="B132" s="124" t="s">
        <v>523</v>
      </c>
      <c r="C132" s="157">
        <v>-231555.28</v>
      </c>
      <c r="D132" s="157"/>
      <c r="E132" s="157">
        <v>0</v>
      </c>
      <c r="F132" s="157"/>
      <c r="G132" s="157">
        <v>-237660.02</v>
      </c>
      <c r="H132" s="157"/>
      <c r="I132" s="157">
        <v>0</v>
      </c>
      <c r="J132" s="157"/>
      <c r="K132" s="157">
        <v>0</v>
      </c>
      <c r="L132" s="157"/>
      <c r="M132" s="157">
        <v>0</v>
      </c>
      <c r="N132" s="157"/>
      <c r="O132" s="157">
        <v>0</v>
      </c>
      <c r="P132" s="157"/>
      <c r="Q132" s="157">
        <v>-72618.09</v>
      </c>
      <c r="R132" s="157"/>
      <c r="S132" s="157">
        <v>0</v>
      </c>
      <c r="T132" s="157"/>
      <c r="U132" s="157">
        <v>-272534.03000000003</v>
      </c>
      <c r="V132" s="157"/>
      <c r="W132" s="157">
        <v>0</v>
      </c>
      <c r="X132" s="157"/>
      <c r="Y132" s="157">
        <v>-34836.769999999997</v>
      </c>
      <c r="Z132" s="157"/>
      <c r="AA132" s="157">
        <v>-164941.56</v>
      </c>
      <c r="AB132" s="157"/>
      <c r="AC132" s="157">
        <v>0</v>
      </c>
      <c r="AD132" s="157"/>
      <c r="AE132" s="157">
        <v>-55629.41</v>
      </c>
      <c r="AF132" s="157"/>
      <c r="AG132" s="157">
        <v>-172762.69</v>
      </c>
      <c r="AH132" s="157"/>
      <c r="AI132" s="157">
        <v>0</v>
      </c>
      <c r="AJ132" s="157"/>
      <c r="AK132" s="157">
        <v>0</v>
      </c>
      <c r="AL132" s="157"/>
      <c r="AM132" s="157">
        <v>0</v>
      </c>
      <c r="AN132" s="157"/>
      <c r="AO132" s="157">
        <v>-292393.96999999997</v>
      </c>
      <c r="AP132" s="157"/>
      <c r="AQ132" s="157">
        <v>0</v>
      </c>
      <c r="AR132" s="157"/>
      <c r="AS132" s="157">
        <v>0</v>
      </c>
      <c r="AT132" s="157"/>
      <c r="AU132" s="157">
        <v>-386333.02</v>
      </c>
      <c r="AV132" s="157"/>
      <c r="AW132" s="157">
        <v>0</v>
      </c>
      <c r="AX132" s="157"/>
      <c r="AY132" s="157">
        <v>0</v>
      </c>
      <c r="AZ132" s="157"/>
      <c r="BA132" s="157">
        <v>0</v>
      </c>
      <c r="BB132" s="157"/>
      <c r="BC132" s="157">
        <v>0</v>
      </c>
      <c r="BD132" s="157"/>
      <c r="BE132" s="157">
        <v>0</v>
      </c>
      <c r="BF132" s="157"/>
      <c r="BG132" s="157">
        <v>0</v>
      </c>
      <c r="BH132" s="157"/>
      <c r="BI132" s="157">
        <v>0</v>
      </c>
      <c r="BJ132" s="157"/>
      <c r="BK132" s="157">
        <v>0</v>
      </c>
      <c r="BL132" s="157"/>
      <c r="BM132" s="157">
        <v>0</v>
      </c>
      <c r="BN132" s="157"/>
      <c r="BO132" s="157">
        <v>0</v>
      </c>
      <c r="BP132" s="157"/>
      <c r="BQ132" s="157">
        <v>0</v>
      </c>
      <c r="BR132" s="157"/>
      <c r="BS132" s="157">
        <v>0</v>
      </c>
    </row>
    <row r="133" spans="1:72" x14ac:dyDescent="0.2">
      <c r="A133" s="123" t="s">
        <v>524</v>
      </c>
      <c r="B133" s="124" t="s">
        <v>525</v>
      </c>
      <c r="C133" s="157">
        <v>203825</v>
      </c>
      <c r="D133" s="157"/>
      <c r="E133" s="157">
        <v>0</v>
      </c>
      <c r="F133" s="157"/>
      <c r="G133" s="157">
        <v>209095</v>
      </c>
      <c r="H133" s="157"/>
      <c r="I133" s="157">
        <v>0</v>
      </c>
      <c r="J133" s="157"/>
      <c r="K133" s="157">
        <v>0</v>
      </c>
      <c r="L133" s="157"/>
      <c r="M133" s="157">
        <v>0</v>
      </c>
      <c r="N133" s="157"/>
      <c r="O133" s="157">
        <v>0</v>
      </c>
      <c r="P133" s="157"/>
      <c r="Q133" s="157">
        <v>53595</v>
      </c>
      <c r="R133" s="157"/>
      <c r="S133" s="157">
        <v>0</v>
      </c>
      <c r="T133" s="157"/>
      <c r="U133" s="157">
        <v>212640</v>
      </c>
      <c r="V133" s="157"/>
      <c r="W133" s="157">
        <v>0</v>
      </c>
      <c r="X133" s="157"/>
      <c r="Y133" s="157">
        <v>0</v>
      </c>
      <c r="Z133" s="157"/>
      <c r="AA133" s="157">
        <v>145278</v>
      </c>
      <c r="AB133" s="157"/>
      <c r="AC133" s="157">
        <v>0</v>
      </c>
      <c r="AD133" s="157"/>
      <c r="AE133" s="157">
        <v>23794</v>
      </c>
      <c r="AF133" s="157"/>
      <c r="AG133" s="157">
        <v>153099</v>
      </c>
      <c r="AH133" s="157"/>
      <c r="AI133" s="157">
        <v>0</v>
      </c>
      <c r="AJ133" s="157"/>
      <c r="AK133" s="157">
        <v>0</v>
      </c>
      <c r="AL133" s="157"/>
      <c r="AM133" s="157">
        <v>0</v>
      </c>
      <c r="AN133" s="157"/>
      <c r="AO133" s="157">
        <v>256966</v>
      </c>
      <c r="AP133" s="157"/>
      <c r="AQ133" s="157">
        <v>0</v>
      </c>
      <c r="AR133" s="157"/>
      <c r="AS133" s="157">
        <v>0</v>
      </c>
      <c r="AT133" s="157"/>
      <c r="AU133" s="157">
        <v>344367</v>
      </c>
      <c r="AV133" s="157"/>
      <c r="AW133" s="157">
        <v>0</v>
      </c>
      <c r="AX133" s="157"/>
      <c r="AY133" s="157">
        <v>0</v>
      </c>
      <c r="AZ133" s="157"/>
      <c r="BA133" s="157">
        <v>0</v>
      </c>
      <c r="BB133" s="157"/>
      <c r="BC133" s="157">
        <v>0</v>
      </c>
      <c r="BD133" s="157"/>
      <c r="BE133" s="157">
        <v>0</v>
      </c>
      <c r="BF133" s="157"/>
      <c r="BG133" s="157">
        <v>0</v>
      </c>
      <c r="BH133" s="157"/>
      <c r="BI133" s="157">
        <v>0</v>
      </c>
      <c r="BJ133" s="157"/>
      <c r="BK133" s="157">
        <v>0</v>
      </c>
      <c r="BL133" s="157"/>
      <c r="BM133" s="157">
        <v>0</v>
      </c>
      <c r="BN133" s="157"/>
      <c r="BO133" s="157">
        <v>0</v>
      </c>
      <c r="BP133" s="157"/>
      <c r="BQ133" s="157">
        <v>0</v>
      </c>
      <c r="BR133" s="157"/>
      <c r="BS133" s="157">
        <v>0</v>
      </c>
    </row>
    <row r="134" spans="1:72" x14ac:dyDescent="0.2">
      <c r="A134" s="123" t="s">
        <v>222</v>
      </c>
      <c r="B134" s="124" t="s">
        <v>223</v>
      </c>
      <c r="C134" s="157">
        <v>0</v>
      </c>
      <c r="D134" s="157"/>
      <c r="E134" s="157">
        <v>0</v>
      </c>
      <c r="F134" s="157"/>
      <c r="G134" s="157">
        <v>0</v>
      </c>
      <c r="H134" s="157"/>
      <c r="I134" s="157">
        <v>0</v>
      </c>
      <c r="J134" s="157"/>
      <c r="K134" s="157">
        <v>0</v>
      </c>
      <c r="L134" s="157"/>
      <c r="M134" s="157">
        <v>0</v>
      </c>
      <c r="N134" s="157"/>
      <c r="O134" s="157">
        <v>0</v>
      </c>
      <c r="P134" s="157"/>
      <c r="Q134" s="157">
        <v>0</v>
      </c>
      <c r="R134" s="157"/>
      <c r="S134" s="157">
        <v>0</v>
      </c>
      <c r="T134" s="157"/>
      <c r="U134" s="170">
        <v>-16656.84</v>
      </c>
      <c r="V134" s="157"/>
      <c r="W134" s="157">
        <v>0</v>
      </c>
      <c r="X134" s="157"/>
      <c r="Y134" s="157">
        <v>0</v>
      </c>
      <c r="Z134" s="157"/>
      <c r="AA134" s="157">
        <v>0</v>
      </c>
      <c r="AB134" s="157"/>
      <c r="AC134" s="157">
        <v>0</v>
      </c>
      <c r="AD134" s="157"/>
      <c r="AE134" s="157">
        <v>0</v>
      </c>
      <c r="AF134" s="157"/>
      <c r="AG134" s="157">
        <v>0</v>
      </c>
      <c r="AH134" s="157"/>
      <c r="AI134" s="157">
        <v>0</v>
      </c>
      <c r="AJ134" s="157"/>
      <c r="AK134" s="157">
        <v>0</v>
      </c>
      <c r="AL134" s="157"/>
      <c r="AM134" s="170">
        <v>-10760.87</v>
      </c>
      <c r="AN134" s="157"/>
      <c r="AO134" s="157">
        <v>0</v>
      </c>
      <c r="AP134" s="157"/>
      <c r="AQ134" s="157">
        <v>0</v>
      </c>
      <c r="AR134" s="157"/>
      <c r="AS134" s="157">
        <v>0</v>
      </c>
      <c r="AT134" s="157"/>
      <c r="AU134" s="157">
        <v>0</v>
      </c>
      <c r="AV134" s="157"/>
      <c r="AW134" s="157">
        <v>0</v>
      </c>
      <c r="AX134" s="157"/>
      <c r="AY134" s="170">
        <v>-32333.4</v>
      </c>
      <c r="AZ134" s="157"/>
      <c r="BA134" s="170">
        <v>-27553.49</v>
      </c>
      <c r="BB134" s="157"/>
      <c r="BC134" s="170">
        <v>-25974.97</v>
      </c>
      <c r="BD134" s="157"/>
      <c r="BE134" s="170">
        <v>-28256.86</v>
      </c>
      <c r="BF134" s="157"/>
      <c r="BG134" s="170">
        <v>-27622.46</v>
      </c>
      <c r="BH134" s="157"/>
      <c r="BI134" s="170">
        <v>-30017.47</v>
      </c>
      <c r="BJ134" s="157"/>
      <c r="BK134" s="157">
        <v>0</v>
      </c>
      <c r="BL134" s="157"/>
      <c r="BM134" s="157">
        <v>0</v>
      </c>
      <c r="BN134" s="157"/>
      <c r="BO134" s="157">
        <v>0</v>
      </c>
      <c r="BP134" s="157"/>
      <c r="BQ134" s="157">
        <v>0</v>
      </c>
      <c r="BR134" s="157"/>
      <c r="BS134" s="157">
        <v>0</v>
      </c>
    </row>
    <row r="135" spans="1:72" x14ac:dyDescent="0.2">
      <c r="A135" s="123" t="s">
        <v>224</v>
      </c>
      <c r="B135" s="124" t="s">
        <v>225</v>
      </c>
      <c r="C135" s="157">
        <v>0</v>
      </c>
      <c r="D135" s="157"/>
      <c r="E135" s="157">
        <v>0</v>
      </c>
      <c r="F135" s="157"/>
      <c r="G135" s="157">
        <v>0</v>
      </c>
      <c r="H135" s="157"/>
      <c r="I135" s="157">
        <v>0</v>
      </c>
      <c r="J135" s="157"/>
      <c r="K135" s="157">
        <v>0</v>
      </c>
      <c r="L135" s="157"/>
      <c r="M135" s="157">
        <v>0</v>
      </c>
      <c r="N135" s="157"/>
      <c r="O135" s="157">
        <v>0</v>
      </c>
      <c r="P135" s="157"/>
      <c r="Q135" s="157">
        <v>0</v>
      </c>
      <c r="R135" s="157"/>
      <c r="S135" s="157">
        <v>0</v>
      </c>
      <c r="T135" s="157"/>
      <c r="U135" s="170">
        <v>13671</v>
      </c>
      <c r="V135" s="157"/>
      <c r="W135" s="157">
        <v>0</v>
      </c>
      <c r="X135" s="157"/>
      <c r="Y135" s="157">
        <v>0</v>
      </c>
      <c r="Z135" s="157"/>
      <c r="AA135" s="157">
        <v>0</v>
      </c>
      <c r="AB135" s="157"/>
      <c r="AC135" s="157">
        <v>0</v>
      </c>
      <c r="AD135" s="157"/>
      <c r="AE135" s="157">
        <v>0</v>
      </c>
      <c r="AF135" s="157"/>
      <c r="AG135" s="157">
        <v>0</v>
      </c>
      <c r="AH135" s="157"/>
      <c r="AI135" s="157">
        <v>0</v>
      </c>
      <c r="AJ135" s="157"/>
      <c r="AK135" s="157">
        <v>0</v>
      </c>
      <c r="AL135" s="157"/>
      <c r="AM135" s="170">
        <v>8002</v>
      </c>
      <c r="AN135" s="157"/>
      <c r="AO135" s="157">
        <v>0</v>
      </c>
      <c r="AP135" s="157"/>
      <c r="AQ135" s="157">
        <v>0</v>
      </c>
      <c r="AR135" s="157"/>
      <c r="AS135" s="157">
        <v>0</v>
      </c>
      <c r="AT135" s="157"/>
      <c r="AU135" s="157">
        <v>0</v>
      </c>
      <c r="AV135" s="157"/>
      <c r="AW135" s="157">
        <v>0</v>
      </c>
      <c r="AX135" s="157"/>
      <c r="AY135" s="170">
        <v>28302</v>
      </c>
      <c r="AZ135" s="157"/>
      <c r="BA135" s="170">
        <v>24420</v>
      </c>
      <c r="BB135" s="157"/>
      <c r="BC135" s="170">
        <v>22914.560000000001</v>
      </c>
      <c r="BD135" s="157"/>
      <c r="BE135" s="170">
        <v>25201</v>
      </c>
      <c r="BF135" s="157"/>
      <c r="BG135" s="170">
        <v>24581</v>
      </c>
      <c r="BH135" s="157"/>
      <c r="BI135" s="170">
        <v>26459</v>
      </c>
      <c r="BJ135" s="157"/>
      <c r="BK135" s="157">
        <v>0</v>
      </c>
      <c r="BL135" s="157"/>
      <c r="BM135" s="157">
        <v>0</v>
      </c>
      <c r="BN135" s="157"/>
      <c r="BO135" s="157">
        <v>0</v>
      </c>
      <c r="BP135" s="157"/>
      <c r="BQ135" s="157">
        <v>0</v>
      </c>
      <c r="BR135" s="157"/>
      <c r="BS135" s="157">
        <v>0</v>
      </c>
    </row>
    <row r="136" spans="1:72" x14ac:dyDescent="0.2">
      <c r="A136" s="123" t="s">
        <v>613</v>
      </c>
      <c r="B136" s="124" t="s">
        <v>612</v>
      </c>
      <c r="C136" s="157">
        <v>0</v>
      </c>
      <c r="D136" s="157"/>
      <c r="E136" s="157">
        <v>0</v>
      </c>
      <c r="F136" s="157"/>
      <c r="G136" s="157">
        <v>0</v>
      </c>
      <c r="H136" s="157"/>
      <c r="I136" s="157">
        <v>0</v>
      </c>
      <c r="J136" s="157"/>
      <c r="K136" s="157">
        <v>0</v>
      </c>
      <c r="L136" s="157"/>
      <c r="M136" s="157">
        <v>0</v>
      </c>
      <c r="N136" s="157"/>
      <c r="O136" s="157">
        <v>0</v>
      </c>
      <c r="P136" s="157"/>
      <c r="Q136" s="170">
        <v>-2826.76</v>
      </c>
      <c r="R136" s="157"/>
      <c r="S136" s="157">
        <v>0</v>
      </c>
      <c r="T136" s="157"/>
      <c r="U136" s="157">
        <v>0</v>
      </c>
      <c r="V136" s="157"/>
      <c r="W136" s="157">
        <v>0</v>
      </c>
      <c r="X136" s="157"/>
      <c r="Y136" s="157">
        <v>0</v>
      </c>
      <c r="Z136" s="157"/>
      <c r="AA136" s="157">
        <v>0</v>
      </c>
      <c r="AB136" s="157"/>
      <c r="AC136" s="157">
        <v>0</v>
      </c>
      <c r="AD136" s="157"/>
      <c r="AE136" s="157">
        <v>0</v>
      </c>
      <c r="AF136" s="157"/>
      <c r="AG136" s="157">
        <v>0</v>
      </c>
      <c r="AH136" s="157"/>
      <c r="AI136" s="157">
        <v>0</v>
      </c>
      <c r="AJ136" s="157"/>
      <c r="AK136" s="157">
        <v>0</v>
      </c>
      <c r="AL136" s="157"/>
      <c r="AM136" s="170">
        <v>-544271.51</v>
      </c>
      <c r="AN136" s="157"/>
      <c r="AO136" s="157">
        <v>0</v>
      </c>
      <c r="AP136" s="157"/>
      <c r="AQ136" s="170">
        <v>-161636.13</v>
      </c>
      <c r="AR136" s="157"/>
      <c r="AS136" s="157">
        <v>0</v>
      </c>
      <c r="AT136" s="157"/>
      <c r="AU136" s="157">
        <v>0</v>
      </c>
      <c r="AV136" s="157"/>
      <c r="AW136" s="157">
        <v>0</v>
      </c>
      <c r="AX136" s="157"/>
      <c r="AY136" s="157">
        <v>0</v>
      </c>
      <c r="AZ136" s="157"/>
      <c r="BA136" s="157">
        <v>0</v>
      </c>
      <c r="BB136" s="157"/>
      <c r="BC136" s="157">
        <v>0</v>
      </c>
      <c r="BD136" s="157"/>
      <c r="BE136" s="157">
        <v>0</v>
      </c>
      <c r="BF136" s="157"/>
      <c r="BG136" s="157">
        <v>0</v>
      </c>
      <c r="BH136" s="157"/>
      <c r="BI136" s="157">
        <v>0</v>
      </c>
      <c r="BJ136" s="157"/>
      <c r="BK136" s="157">
        <v>0</v>
      </c>
      <c r="BL136" s="157"/>
      <c r="BM136" s="157">
        <v>0</v>
      </c>
      <c r="BN136" s="157"/>
      <c r="BO136" s="170">
        <v>-282002.61</v>
      </c>
      <c r="BP136" s="157"/>
      <c r="BQ136" s="170">
        <v>-133177.20000000001</v>
      </c>
      <c r="BR136" s="157"/>
      <c r="BS136" s="170">
        <v>-148364.54999999999</v>
      </c>
    </row>
    <row r="137" spans="1:72" x14ac:dyDescent="0.2">
      <c r="A137" s="123" t="s">
        <v>611</v>
      </c>
      <c r="B137" s="124" t="s">
        <v>610</v>
      </c>
      <c r="C137" s="157">
        <v>0</v>
      </c>
      <c r="D137" s="157"/>
      <c r="E137" s="157">
        <v>0</v>
      </c>
      <c r="F137" s="157"/>
      <c r="G137" s="157">
        <v>0</v>
      </c>
      <c r="H137" s="157"/>
      <c r="I137" s="157">
        <v>0</v>
      </c>
      <c r="J137" s="157"/>
      <c r="K137" s="157">
        <v>0</v>
      </c>
      <c r="L137" s="157"/>
      <c r="M137" s="157">
        <v>0</v>
      </c>
      <c r="N137" s="157"/>
      <c r="O137" s="157">
        <v>0</v>
      </c>
      <c r="P137" s="157"/>
      <c r="Q137" s="157">
        <v>0</v>
      </c>
      <c r="R137" s="157"/>
      <c r="S137" s="157">
        <v>0</v>
      </c>
      <c r="T137" s="157"/>
      <c r="U137" s="157">
        <v>0</v>
      </c>
      <c r="V137" s="157"/>
      <c r="W137" s="157">
        <v>0</v>
      </c>
      <c r="X137" s="157"/>
      <c r="Y137" s="157">
        <v>0</v>
      </c>
      <c r="Z137" s="157"/>
      <c r="AA137" s="157">
        <v>0</v>
      </c>
      <c r="AB137" s="157"/>
      <c r="AC137" s="157">
        <v>0</v>
      </c>
      <c r="AD137" s="157"/>
      <c r="AE137" s="157">
        <v>0</v>
      </c>
      <c r="AF137" s="157"/>
      <c r="AG137" s="157">
        <v>0</v>
      </c>
      <c r="AH137" s="157"/>
      <c r="AI137" s="157">
        <v>0</v>
      </c>
      <c r="AJ137" s="157"/>
      <c r="AK137" s="157">
        <v>0</v>
      </c>
      <c r="AL137" s="157"/>
      <c r="AM137" s="170">
        <v>413158</v>
      </c>
      <c r="AN137" s="157"/>
      <c r="AO137" s="157">
        <v>0</v>
      </c>
      <c r="AP137" s="157"/>
      <c r="AQ137" s="170">
        <v>105109</v>
      </c>
      <c r="AR137" s="157"/>
      <c r="AS137" s="157">
        <v>0</v>
      </c>
      <c r="AT137" s="157"/>
      <c r="AU137" s="157">
        <v>0</v>
      </c>
      <c r="AV137" s="157"/>
      <c r="AW137" s="157">
        <v>0</v>
      </c>
      <c r="AX137" s="157"/>
      <c r="AY137" s="157">
        <v>0</v>
      </c>
      <c r="AZ137" s="157"/>
      <c r="BA137" s="157">
        <v>0</v>
      </c>
      <c r="BB137" s="157"/>
      <c r="BC137" s="157">
        <v>0</v>
      </c>
      <c r="BD137" s="157"/>
      <c r="BE137" s="157">
        <v>0</v>
      </c>
      <c r="BF137" s="157"/>
      <c r="BG137" s="157">
        <v>0</v>
      </c>
      <c r="BH137" s="157"/>
      <c r="BI137" s="157">
        <v>0</v>
      </c>
      <c r="BJ137" s="157"/>
      <c r="BK137" s="157">
        <v>0</v>
      </c>
      <c r="BL137" s="157"/>
      <c r="BM137" s="157">
        <v>0</v>
      </c>
      <c r="BN137" s="157"/>
      <c r="BO137" s="170">
        <v>185392</v>
      </c>
      <c r="BP137" s="157"/>
      <c r="BQ137" s="170">
        <v>99326.88</v>
      </c>
      <c r="BR137" s="157"/>
      <c r="BS137" s="170">
        <v>98525</v>
      </c>
    </row>
    <row r="138" spans="1:72" x14ac:dyDescent="0.2">
      <c r="A138" s="123" t="s">
        <v>474</v>
      </c>
      <c r="B138" s="124" t="s">
        <v>475</v>
      </c>
      <c r="C138" s="157">
        <v>0</v>
      </c>
      <c r="D138" s="157"/>
      <c r="E138" s="157">
        <v>0</v>
      </c>
      <c r="F138" s="157"/>
      <c r="G138" s="157">
        <v>0</v>
      </c>
      <c r="H138" s="157"/>
      <c r="I138" s="157">
        <v>0</v>
      </c>
      <c r="J138" s="157"/>
      <c r="K138" s="157">
        <v>0</v>
      </c>
      <c r="L138" s="157"/>
      <c r="M138" s="157">
        <v>0</v>
      </c>
      <c r="N138" s="157"/>
      <c r="O138" s="157">
        <v>0</v>
      </c>
      <c r="P138" s="157"/>
      <c r="Q138" s="170">
        <v>-11753.74</v>
      </c>
      <c r="R138" s="157"/>
      <c r="S138" s="157">
        <v>0</v>
      </c>
      <c r="T138" s="157"/>
      <c r="U138" s="157">
        <v>0</v>
      </c>
      <c r="V138" s="157"/>
      <c r="W138" s="157">
        <v>0</v>
      </c>
      <c r="X138" s="157"/>
      <c r="Y138" s="170">
        <v>-422642.41</v>
      </c>
      <c r="Z138" s="157"/>
      <c r="AA138" s="157">
        <v>0</v>
      </c>
      <c r="AB138" s="157"/>
      <c r="AC138" s="157">
        <v>0</v>
      </c>
      <c r="AD138" s="157"/>
      <c r="AE138" s="157">
        <v>0</v>
      </c>
      <c r="AF138" s="157"/>
      <c r="AG138" s="157">
        <v>0</v>
      </c>
      <c r="AH138" s="157"/>
      <c r="AI138" s="157">
        <v>0</v>
      </c>
      <c r="AJ138" s="157"/>
      <c r="AK138" s="157">
        <v>0</v>
      </c>
      <c r="AL138" s="157"/>
      <c r="AM138" s="157">
        <v>0</v>
      </c>
      <c r="AN138" s="157"/>
      <c r="AO138" s="157">
        <v>0</v>
      </c>
      <c r="AP138" s="157"/>
      <c r="AQ138" s="157">
        <v>0</v>
      </c>
      <c r="AR138" s="157"/>
      <c r="AS138" s="157">
        <v>0</v>
      </c>
      <c r="AT138" s="157"/>
      <c r="AU138" s="157">
        <v>0</v>
      </c>
      <c r="AV138" s="157"/>
      <c r="AW138" s="157">
        <v>0</v>
      </c>
      <c r="AX138" s="157"/>
      <c r="AY138" s="157">
        <v>0</v>
      </c>
      <c r="AZ138" s="157"/>
      <c r="BA138" s="157">
        <v>0</v>
      </c>
      <c r="BB138" s="157"/>
      <c r="BC138" s="157">
        <v>0</v>
      </c>
      <c r="BD138" s="157"/>
      <c r="BE138" s="157">
        <v>0</v>
      </c>
      <c r="BF138" s="157"/>
      <c r="BG138" s="157">
        <v>0</v>
      </c>
      <c r="BH138" s="157"/>
      <c r="BI138" s="157">
        <v>0</v>
      </c>
      <c r="BJ138" s="157"/>
      <c r="BK138" s="157">
        <v>0</v>
      </c>
      <c r="BL138" s="157"/>
      <c r="BM138" s="157">
        <v>0</v>
      </c>
      <c r="BN138" s="157"/>
      <c r="BO138" s="170">
        <v>-14999.96</v>
      </c>
      <c r="BP138" s="157"/>
      <c r="BQ138" s="170">
        <v>-12499.99</v>
      </c>
      <c r="BR138" s="157"/>
      <c r="BS138" s="170">
        <v>-12499.99</v>
      </c>
    </row>
    <row r="139" spans="1:72" x14ac:dyDescent="0.2">
      <c r="A139" s="123" t="s">
        <v>476</v>
      </c>
      <c r="B139" s="124" t="s">
        <v>477</v>
      </c>
      <c r="C139" s="157">
        <v>0</v>
      </c>
      <c r="D139" s="157"/>
      <c r="E139" s="157">
        <v>0</v>
      </c>
      <c r="F139" s="157"/>
      <c r="G139" s="157">
        <v>0</v>
      </c>
      <c r="H139" s="157"/>
      <c r="I139" s="157">
        <v>0</v>
      </c>
      <c r="J139" s="157"/>
      <c r="K139" s="157">
        <v>0</v>
      </c>
      <c r="L139" s="157"/>
      <c r="M139" s="157">
        <v>0</v>
      </c>
      <c r="N139" s="157"/>
      <c r="O139" s="157">
        <v>0</v>
      </c>
      <c r="P139" s="157"/>
      <c r="Q139" s="170">
        <v>4911</v>
      </c>
      <c r="R139" s="157"/>
      <c r="S139" s="157">
        <v>0</v>
      </c>
      <c r="T139" s="157"/>
      <c r="U139" s="157">
        <v>0</v>
      </c>
      <c r="V139" s="157"/>
      <c r="W139" s="157">
        <v>0</v>
      </c>
      <c r="X139" s="157"/>
      <c r="Y139" s="157">
        <v>0</v>
      </c>
      <c r="Z139" s="157"/>
      <c r="AA139" s="157">
        <v>0</v>
      </c>
      <c r="AB139" s="157"/>
      <c r="AC139" s="157">
        <v>0</v>
      </c>
      <c r="AD139" s="157"/>
      <c r="AE139" s="157">
        <v>0</v>
      </c>
      <c r="AF139" s="157"/>
      <c r="AG139" s="157">
        <v>0</v>
      </c>
      <c r="AH139" s="157"/>
      <c r="AI139" s="157">
        <v>0</v>
      </c>
      <c r="AJ139" s="157"/>
      <c r="AK139" s="157">
        <v>0</v>
      </c>
      <c r="AL139" s="157"/>
      <c r="AM139" s="157">
        <v>0</v>
      </c>
      <c r="AN139" s="157"/>
      <c r="AO139" s="157">
        <v>0</v>
      </c>
      <c r="AP139" s="157"/>
      <c r="AQ139" s="157">
        <v>0</v>
      </c>
      <c r="AR139" s="157"/>
      <c r="AS139" s="157">
        <v>0</v>
      </c>
      <c r="AT139" s="157"/>
      <c r="AU139" s="157">
        <v>0</v>
      </c>
      <c r="AV139" s="157"/>
      <c r="AW139" s="157">
        <v>0</v>
      </c>
      <c r="AX139" s="157"/>
      <c r="AY139" s="157">
        <v>0</v>
      </c>
      <c r="AZ139" s="157"/>
      <c r="BA139" s="157">
        <v>0</v>
      </c>
      <c r="BB139" s="157"/>
      <c r="BC139" s="157">
        <v>0</v>
      </c>
      <c r="BD139" s="157"/>
      <c r="BE139" s="157">
        <v>0</v>
      </c>
      <c r="BF139" s="157"/>
      <c r="BG139" s="157">
        <v>0</v>
      </c>
      <c r="BH139" s="157"/>
      <c r="BI139" s="157">
        <v>0</v>
      </c>
      <c r="BJ139" s="157"/>
      <c r="BK139" s="157">
        <v>0</v>
      </c>
      <c r="BL139" s="157"/>
      <c r="BM139" s="157">
        <v>0</v>
      </c>
      <c r="BN139" s="157"/>
      <c r="BO139" s="170">
        <v>12500</v>
      </c>
      <c r="BP139" s="157"/>
      <c r="BQ139" s="170">
        <v>10000</v>
      </c>
      <c r="BR139" s="157"/>
      <c r="BS139" s="170">
        <v>10000</v>
      </c>
    </row>
    <row r="140" spans="1:72" x14ac:dyDescent="0.2">
      <c r="A140" s="123" t="s">
        <v>478</v>
      </c>
      <c r="B140" s="124" t="s">
        <v>479</v>
      </c>
      <c r="C140" s="157">
        <v>0</v>
      </c>
      <c r="D140" s="157"/>
      <c r="E140" s="157">
        <v>0</v>
      </c>
      <c r="F140" s="157"/>
      <c r="G140" s="157">
        <v>0</v>
      </c>
      <c r="H140" s="157"/>
      <c r="I140" s="170">
        <v>-64295</v>
      </c>
      <c r="J140" s="157"/>
      <c r="K140" s="157">
        <v>0</v>
      </c>
      <c r="L140" s="157"/>
      <c r="M140" s="157">
        <v>0</v>
      </c>
      <c r="N140" s="157"/>
      <c r="O140" s="157">
        <v>0</v>
      </c>
      <c r="P140" s="157"/>
      <c r="Q140" s="157">
        <v>0</v>
      </c>
      <c r="R140" s="157"/>
      <c r="S140" s="157">
        <v>0</v>
      </c>
      <c r="T140" s="157"/>
      <c r="U140" s="157">
        <v>0</v>
      </c>
      <c r="V140" s="157"/>
      <c r="W140" s="157">
        <v>0</v>
      </c>
      <c r="X140" s="157"/>
      <c r="Y140" s="157">
        <v>0</v>
      </c>
      <c r="Z140" s="157"/>
      <c r="AA140" s="157">
        <v>0</v>
      </c>
      <c r="AB140" s="157"/>
      <c r="AC140" s="157">
        <v>0</v>
      </c>
      <c r="AD140" s="157"/>
      <c r="AE140" s="157">
        <v>0</v>
      </c>
      <c r="AF140" s="157"/>
      <c r="AG140" s="157">
        <v>0</v>
      </c>
      <c r="AH140" s="157"/>
      <c r="AI140" s="157">
        <v>0</v>
      </c>
      <c r="AJ140" s="157"/>
      <c r="AK140" s="157">
        <v>0</v>
      </c>
      <c r="AL140" s="157"/>
      <c r="AM140" s="157">
        <v>0</v>
      </c>
      <c r="AN140" s="157"/>
      <c r="AO140" s="157">
        <v>0</v>
      </c>
      <c r="AP140" s="157"/>
      <c r="AQ140" s="157">
        <v>0</v>
      </c>
      <c r="AR140" s="157"/>
      <c r="AS140" s="157">
        <v>0</v>
      </c>
      <c r="AT140" s="157"/>
      <c r="AU140" s="157">
        <v>0</v>
      </c>
      <c r="AV140" s="157"/>
      <c r="AW140" s="170">
        <v>-17823.97</v>
      </c>
      <c r="AX140" s="157"/>
      <c r="AY140" s="157">
        <v>0</v>
      </c>
      <c r="AZ140" s="157"/>
      <c r="BA140" s="170">
        <v>-457388</v>
      </c>
      <c r="BB140" s="157"/>
      <c r="BC140" s="157">
        <v>0</v>
      </c>
      <c r="BD140" s="157"/>
      <c r="BE140" s="170">
        <v>-268631.93</v>
      </c>
      <c r="BF140" s="157"/>
      <c r="BG140" s="170">
        <v>-99719.1</v>
      </c>
      <c r="BH140" s="157"/>
      <c r="BI140" s="170">
        <v>-457191.43</v>
      </c>
      <c r="BJ140" s="157"/>
      <c r="BK140" s="157">
        <v>0</v>
      </c>
      <c r="BL140" s="157"/>
      <c r="BM140" s="157">
        <v>0</v>
      </c>
      <c r="BN140" s="157"/>
      <c r="BO140" s="157">
        <v>0</v>
      </c>
      <c r="BP140" s="157"/>
      <c r="BQ140" s="157">
        <v>0</v>
      </c>
      <c r="BR140" s="157"/>
      <c r="BS140" s="157">
        <v>0</v>
      </c>
    </row>
    <row r="141" spans="1:72" x14ac:dyDescent="0.2">
      <c r="A141" s="123" t="s">
        <v>480</v>
      </c>
      <c r="B141" s="124" t="s">
        <v>481</v>
      </c>
      <c r="C141" s="157">
        <v>0</v>
      </c>
      <c r="D141" s="157"/>
      <c r="E141" s="157">
        <v>0</v>
      </c>
      <c r="F141" s="157"/>
      <c r="G141" s="157">
        <v>0</v>
      </c>
      <c r="H141" s="157"/>
      <c r="I141" s="170">
        <v>41756</v>
      </c>
      <c r="J141" s="157"/>
      <c r="K141" s="157">
        <v>0</v>
      </c>
      <c r="L141" s="157"/>
      <c r="M141" s="157">
        <v>0</v>
      </c>
      <c r="N141" s="157"/>
      <c r="O141" s="157">
        <v>0</v>
      </c>
      <c r="P141" s="157"/>
      <c r="Q141" s="157">
        <v>0</v>
      </c>
      <c r="R141" s="157"/>
      <c r="S141" s="157">
        <v>0</v>
      </c>
      <c r="T141" s="157"/>
      <c r="U141" s="157">
        <v>0</v>
      </c>
      <c r="V141" s="157"/>
      <c r="W141" s="157">
        <v>0</v>
      </c>
      <c r="X141" s="157"/>
      <c r="Y141" s="157">
        <v>0</v>
      </c>
      <c r="Z141" s="157"/>
      <c r="AA141" s="157">
        <v>0</v>
      </c>
      <c r="AB141" s="157"/>
      <c r="AC141" s="157">
        <v>0</v>
      </c>
      <c r="AD141" s="157"/>
      <c r="AE141" s="157">
        <v>0</v>
      </c>
      <c r="AF141" s="157"/>
      <c r="AG141" s="157">
        <v>0</v>
      </c>
      <c r="AH141" s="157"/>
      <c r="AI141" s="157">
        <v>0</v>
      </c>
      <c r="AJ141" s="157"/>
      <c r="AK141" s="157">
        <v>0</v>
      </c>
      <c r="AL141" s="157"/>
      <c r="AM141" s="157">
        <v>0</v>
      </c>
      <c r="AN141" s="157"/>
      <c r="AO141" s="157">
        <v>0</v>
      </c>
      <c r="AP141" s="157"/>
      <c r="AQ141" s="157">
        <v>0</v>
      </c>
      <c r="AR141" s="157"/>
      <c r="AS141" s="157">
        <v>0</v>
      </c>
      <c r="AT141" s="157"/>
      <c r="AU141" s="157">
        <v>0</v>
      </c>
      <c r="AV141" s="157"/>
      <c r="AW141" s="157">
        <v>0</v>
      </c>
      <c r="AX141" s="157"/>
      <c r="AY141" s="157">
        <v>0</v>
      </c>
      <c r="AZ141" s="157"/>
      <c r="BA141" s="170">
        <v>387839</v>
      </c>
      <c r="BB141" s="157"/>
      <c r="BC141" s="157">
        <v>0</v>
      </c>
      <c r="BD141" s="157"/>
      <c r="BE141" s="170">
        <v>182226</v>
      </c>
      <c r="BF141" s="157"/>
      <c r="BG141" s="170">
        <v>57369</v>
      </c>
      <c r="BH141" s="157"/>
      <c r="BI141" s="170">
        <v>393501</v>
      </c>
      <c r="BJ141" s="157"/>
      <c r="BK141" s="157">
        <v>0</v>
      </c>
      <c r="BL141" s="157"/>
      <c r="BM141" s="157">
        <v>0</v>
      </c>
      <c r="BN141" s="157"/>
      <c r="BO141" s="157">
        <v>0</v>
      </c>
      <c r="BP141" s="157"/>
      <c r="BQ141" s="157">
        <v>0</v>
      </c>
      <c r="BR141" s="157"/>
      <c r="BS141" s="157">
        <v>0</v>
      </c>
    </row>
    <row r="142" spans="1:72" x14ac:dyDescent="0.2">
      <c r="A142" s="123" t="s">
        <v>226</v>
      </c>
      <c r="B142" s="124" t="s">
        <v>227</v>
      </c>
      <c r="C142" s="157">
        <v>0</v>
      </c>
      <c r="D142" s="157"/>
      <c r="E142" s="157">
        <v>0</v>
      </c>
      <c r="F142" s="157"/>
      <c r="G142" s="157">
        <v>0</v>
      </c>
      <c r="H142" s="157"/>
      <c r="I142" s="157">
        <v>0</v>
      </c>
      <c r="J142" s="157"/>
      <c r="K142" s="157">
        <v>0</v>
      </c>
      <c r="L142" s="157"/>
      <c r="M142" s="157">
        <v>0</v>
      </c>
      <c r="N142" s="157"/>
      <c r="O142" s="157">
        <v>0</v>
      </c>
      <c r="P142" s="157"/>
      <c r="Q142" s="157">
        <v>0</v>
      </c>
      <c r="R142" s="157"/>
      <c r="S142" s="157">
        <v>0</v>
      </c>
      <c r="T142" s="157"/>
      <c r="U142" s="170">
        <v>-545971.41</v>
      </c>
      <c r="V142" s="157"/>
      <c r="W142" s="157">
        <v>0</v>
      </c>
      <c r="X142" s="157"/>
      <c r="Y142" s="157">
        <v>0</v>
      </c>
      <c r="Z142" s="157"/>
      <c r="AA142" s="157">
        <v>0</v>
      </c>
      <c r="AB142" s="157"/>
      <c r="AC142" s="157">
        <v>0</v>
      </c>
      <c r="AD142" s="157"/>
      <c r="AE142" s="157">
        <v>0</v>
      </c>
      <c r="AF142" s="157"/>
      <c r="AG142" s="157">
        <v>0</v>
      </c>
      <c r="AH142" s="157"/>
      <c r="AI142" s="157">
        <v>0</v>
      </c>
      <c r="AJ142" s="157"/>
      <c r="AK142" s="157">
        <v>0</v>
      </c>
      <c r="AL142" s="157"/>
      <c r="AM142" s="170">
        <v>-15000</v>
      </c>
      <c r="AN142" s="157"/>
      <c r="AO142" s="157">
        <v>0</v>
      </c>
      <c r="AP142" s="157"/>
      <c r="AQ142" s="157">
        <v>0</v>
      </c>
      <c r="AR142" s="157"/>
      <c r="AS142" s="157">
        <v>0</v>
      </c>
      <c r="AT142" s="157"/>
      <c r="AU142" s="157">
        <v>0</v>
      </c>
      <c r="AV142" s="157"/>
      <c r="AW142" s="157">
        <v>0</v>
      </c>
      <c r="AX142" s="157"/>
      <c r="AY142" s="170">
        <v>-538893.04</v>
      </c>
      <c r="AZ142" s="157"/>
      <c r="BA142" s="157">
        <v>0</v>
      </c>
      <c r="BB142" s="157"/>
      <c r="BC142" s="157">
        <v>0</v>
      </c>
      <c r="BD142" s="157"/>
      <c r="BE142" s="157">
        <v>0</v>
      </c>
      <c r="BF142" s="157"/>
      <c r="BG142" s="157">
        <v>0</v>
      </c>
      <c r="BH142" s="157"/>
      <c r="BI142" s="157">
        <v>0</v>
      </c>
      <c r="BJ142" s="157"/>
      <c r="BK142" s="157">
        <v>0</v>
      </c>
      <c r="BL142" s="157"/>
      <c r="BM142" s="157">
        <v>0</v>
      </c>
      <c r="BN142" s="157"/>
      <c r="BO142" s="157">
        <v>0</v>
      </c>
      <c r="BP142" s="157"/>
      <c r="BQ142" s="157">
        <v>0</v>
      </c>
      <c r="BR142" s="157"/>
      <c r="BS142" s="157">
        <v>0</v>
      </c>
    </row>
    <row r="143" spans="1:72" x14ac:dyDescent="0.2">
      <c r="A143" s="123" t="s">
        <v>228</v>
      </c>
      <c r="B143" s="124" t="s">
        <v>229</v>
      </c>
      <c r="C143" s="157">
        <v>0</v>
      </c>
      <c r="D143" s="157"/>
      <c r="E143" s="157">
        <v>0</v>
      </c>
      <c r="F143" s="157"/>
      <c r="G143" s="157">
        <v>0</v>
      </c>
      <c r="H143" s="157"/>
      <c r="I143" s="157">
        <v>0</v>
      </c>
      <c r="J143" s="157"/>
      <c r="K143" s="157">
        <v>0</v>
      </c>
      <c r="L143" s="157"/>
      <c r="M143" s="157">
        <v>0</v>
      </c>
      <c r="N143" s="157"/>
      <c r="O143" s="157">
        <v>0</v>
      </c>
      <c r="P143" s="157"/>
      <c r="Q143" s="157">
        <v>0</v>
      </c>
      <c r="R143" s="157"/>
      <c r="S143" s="157">
        <v>0</v>
      </c>
      <c r="T143" s="157"/>
      <c r="U143" s="170">
        <v>452642</v>
      </c>
      <c r="V143" s="157"/>
      <c r="W143" s="157">
        <v>0</v>
      </c>
      <c r="X143" s="157"/>
      <c r="Y143" s="170">
        <v>349216</v>
      </c>
      <c r="Z143" s="157"/>
      <c r="AA143" s="157">
        <v>0</v>
      </c>
      <c r="AB143" s="157"/>
      <c r="AC143" s="157">
        <v>0</v>
      </c>
      <c r="AD143" s="157"/>
      <c r="AE143" s="157">
        <v>0</v>
      </c>
      <c r="AF143" s="157"/>
      <c r="AG143" s="157">
        <v>0</v>
      </c>
      <c r="AH143" s="157"/>
      <c r="AI143" s="157">
        <v>0</v>
      </c>
      <c r="AJ143" s="157"/>
      <c r="AK143" s="157">
        <v>0</v>
      </c>
      <c r="AL143" s="157"/>
      <c r="AM143" s="170">
        <v>12500</v>
      </c>
      <c r="AN143" s="157"/>
      <c r="AO143" s="157">
        <v>0</v>
      </c>
      <c r="AP143" s="157"/>
      <c r="AQ143" s="157">
        <v>0</v>
      </c>
      <c r="AR143" s="157"/>
      <c r="AS143" s="157">
        <v>0</v>
      </c>
      <c r="AT143" s="157"/>
      <c r="AU143" s="157">
        <v>0</v>
      </c>
      <c r="AV143" s="157"/>
      <c r="AW143" s="157">
        <v>0</v>
      </c>
      <c r="AX143" s="157"/>
      <c r="AY143" s="170">
        <v>471696</v>
      </c>
      <c r="AZ143" s="157"/>
      <c r="BA143" s="157">
        <v>0</v>
      </c>
      <c r="BB143" s="157"/>
      <c r="BC143" s="157">
        <v>0</v>
      </c>
      <c r="BD143" s="157"/>
      <c r="BE143" s="157">
        <v>0</v>
      </c>
      <c r="BF143" s="157"/>
      <c r="BG143" s="157">
        <v>0</v>
      </c>
      <c r="BH143" s="157"/>
      <c r="BI143" s="157">
        <v>0</v>
      </c>
      <c r="BJ143" s="157"/>
      <c r="BK143" s="157">
        <v>0</v>
      </c>
      <c r="BL143" s="157"/>
      <c r="BM143" s="157">
        <v>0</v>
      </c>
      <c r="BN143" s="157"/>
      <c r="BO143" s="157">
        <v>0</v>
      </c>
      <c r="BP143" s="157"/>
      <c r="BQ143" s="157">
        <v>0</v>
      </c>
      <c r="BR143" s="157"/>
      <c r="BS143" s="157">
        <v>0</v>
      </c>
    </row>
    <row r="144" spans="1:72" x14ac:dyDescent="0.2">
      <c r="A144" s="123" t="s">
        <v>948</v>
      </c>
      <c r="B144" s="124" t="s">
        <v>1022</v>
      </c>
      <c r="C144" s="157">
        <v>0</v>
      </c>
      <c r="D144" s="157"/>
      <c r="E144" s="157">
        <v>0</v>
      </c>
      <c r="F144" s="157"/>
      <c r="G144" s="157">
        <v>0</v>
      </c>
      <c r="H144" s="157"/>
      <c r="I144" s="170">
        <v>-51329.74</v>
      </c>
      <c r="J144" s="157"/>
      <c r="K144" s="157">
        <v>0</v>
      </c>
      <c r="L144" s="157"/>
      <c r="M144" s="157">
        <v>0</v>
      </c>
      <c r="N144" s="157"/>
      <c r="O144" s="157">
        <v>0</v>
      </c>
      <c r="P144" s="157"/>
      <c r="Q144" s="170">
        <v>-24306.99</v>
      </c>
      <c r="R144" s="157"/>
      <c r="S144" s="157">
        <v>0</v>
      </c>
      <c r="T144" s="157"/>
      <c r="U144" s="157">
        <v>0</v>
      </c>
      <c r="V144" s="157"/>
      <c r="W144" s="157">
        <v>0</v>
      </c>
      <c r="X144" s="157"/>
      <c r="Y144" s="157">
        <v>0</v>
      </c>
      <c r="Z144" s="157"/>
      <c r="AA144" s="157">
        <v>0</v>
      </c>
      <c r="AB144" s="157"/>
      <c r="AC144" s="157">
        <v>0</v>
      </c>
      <c r="AD144" s="157"/>
      <c r="AE144" s="157">
        <v>0</v>
      </c>
      <c r="AF144" s="157"/>
      <c r="AG144" s="157">
        <v>0</v>
      </c>
      <c r="AH144" s="157"/>
      <c r="AI144" s="157">
        <v>0</v>
      </c>
      <c r="AJ144" s="157"/>
      <c r="AK144" s="157">
        <v>0</v>
      </c>
      <c r="AL144" s="157"/>
      <c r="AM144" s="157">
        <v>0</v>
      </c>
      <c r="AN144" s="157"/>
      <c r="AO144" s="157">
        <v>0</v>
      </c>
      <c r="AP144" s="157"/>
      <c r="AQ144" s="170">
        <v>-41944.84</v>
      </c>
      <c r="AR144" s="157"/>
      <c r="AS144" s="157">
        <v>0</v>
      </c>
      <c r="AT144" s="157"/>
      <c r="AU144" s="157">
        <v>0</v>
      </c>
      <c r="AV144" s="157"/>
      <c r="AW144" s="157">
        <v>0</v>
      </c>
      <c r="AX144" s="157"/>
      <c r="AY144" s="157">
        <v>0</v>
      </c>
      <c r="AZ144" s="157"/>
      <c r="BA144" s="157">
        <v>0</v>
      </c>
      <c r="BB144" s="157"/>
      <c r="BC144" s="157">
        <v>0</v>
      </c>
      <c r="BD144" s="157"/>
      <c r="BE144" s="157">
        <v>0</v>
      </c>
      <c r="BF144" s="157"/>
      <c r="BG144" s="157">
        <v>0</v>
      </c>
      <c r="BH144" s="157"/>
      <c r="BI144" s="157">
        <v>0</v>
      </c>
      <c r="BJ144" s="157"/>
      <c r="BK144" s="170">
        <v>-60022.12</v>
      </c>
      <c r="BL144" s="157"/>
      <c r="BM144" s="157">
        <v>0</v>
      </c>
      <c r="BN144" s="157"/>
      <c r="BO144" s="170">
        <v>-15495.33</v>
      </c>
      <c r="BP144" s="157"/>
      <c r="BQ144" s="170">
        <v>-15495.32</v>
      </c>
      <c r="BR144" s="157"/>
      <c r="BS144" s="170">
        <v>-15495.33</v>
      </c>
    </row>
    <row r="145" spans="1:72" x14ac:dyDescent="0.2">
      <c r="A145" s="123" t="s">
        <v>947</v>
      </c>
      <c r="B145" s="124" t="s">
        <v>1021</v>
      </c>
      <c r="C145" s="157">
        <v>0</v>
      </c>
      <c r="D145" s="157"/>
      <c r="E145" s="157">
        <v>0</v>
      </c>
      <c r="F145" s="157"/>
      <c r="G145" s="157">
        <v>0</v>
      </c>
      <c r="H145" s="157"/>
      <c r="I145" s="170">
        <v>45218</v>
      </c>
      <c r="J145" s="157"/>
      <c r="K145" s="157">
        <v>0</v>
      </c>
      <c r="L145" s="157"/>
      <c r="M145" s="157">
        <v>0</v>
      </c>
      <c r="N145" s="157"/>
      <c r="O145" s="157">
        <v>0</v>
      </c>
      <c r="P145" s="157"/>
      <c r="Q145" s="170">
        <v>21429</v>
      </c>
      <c r="R145" s="157"/>
      <c r="S145" s="157">
        <v>0</v>
      </c>
      <c r="T145" s="157"/>
      <c r="U145" s="157">
        <v>0</v>
      </c>
      <c r="V145" s="157"/>
      <c r="W145" s="157">
        <v>0</v>
      </c>
      <c r="X145" s="157"/>
      <c r="Y145" s="157">
        <v>0</v>
      </c>
      <c r="Z145" s="157"/>
      <c r="AA145" s="157">
        <v>0</v>
      </c>
      <c r="AB145" s="157"/>
      <c r="AC145" s="157">
        <v>0</v>
      </c>
      <c r="AD145" s="157"/>
      <c r="AE145" s="157">
        <v>0</v>
      </c>
      <c r="AF145" s="157"/>
      <c r="AG145" s="157">
        <v>0</v>
      </c>
      <c r="AH145" s="157"/>
      <c r="AI145" s="157">
        <v>0</v>
      </c>
      <c r="AJ145" s="157"/>
      <c r="AK145" s="157">
        <v>0</v>
      </c>
      <c r="AL145" s="157"/>
      <c r="AM145" s="157">
        <v>0</v>
      </c>
      <c r="AN145" s="157"/>
      <c r="AO145" s="157">
        <v>0</v>
      </c>
      <c r="AP145" s="157"/>
      <c r="AQ145" s="170">
        <v>35366</v>
      </c>
      <c r="AR145" s="157"/>
      <c r="AS145" s="157">
        <v>0</v>
      </c>
      <c r="AT145" s="157"/>
      <c r="AU145" s="157">
        <v>0</v>
      </c>
      <c r="AV145" s="157"/>
      <c r="AW145" s="157">
        <v>0</v>
      </c>
      <c r="AX145" s="157"/>
      <c r="AY145" s="157">
        <v>0</v>
      </c>
      <c r="AZ145" s="157"/>
      <c r="BA145" s="157">
        <v>0</v>
      </c>
      <c r="BB145" s="157"/>
      <c r="BC145" s="157">
        <v>0</v>
      </c>
      <c r="BD145" s="157"/>
      <c r="BE145" s="157">
        <v>0</v>
      </c>
      <c r="BF145" s="157"/>
      <c r="BG145" s="157">
        <v>0</v>
      </c>
      <c r="BH145" s="157"/>
      <c r="BI145" s="157">
        <v>0</v>
      </c>
      <c r="BJ145" s="157"/>
      <c r="BK145" s="170">
        <v>53232</v>
      </c>
      <c r="BL145" s="157"/>
      <c r="BM145" s="157">
        <v>0</v>
      </c>
      <c r="BN145" s="157"/>
      <c r="BO145" s="170">
        <v>12815</v>
      </c>
      <c r="BP145" s="157"/>
      <c r="BQ145" s="170">
        <v>12815</v>
      </c>
      <c r="BR145" s="157"/>
      <c r="BS145" s="170">
        <v>12815</v>
      </c>
    </row>
    <row r="146" spans="1:72" x14ac:dyDescent="0.2">
      <c r="A146" s="123" t="s">
        <v>526</v>
      </c>
      <c r="B146" s="124" t="s">
        <v>527</v>
      </c>
      <c r="C146" s="157">
        <v>0</v>
      </c>
      <c r="D146" s="157"/>
      <c r="E146" s="157">
        <v>0</v>
      </c>
      <c r="F146" s="157"/>
      <c r="G146" s="157">
        <v>0</v>
      </c>
      <c r="H146" s="157"/>
      <c r="I146" s="170">
        <v>-174987</v>
      </c>
      <c r="J146" s="157"/>
      <c r="K146" s="157">
        <v>0</v>
      </c>
      <c r="L146" s="157"/>
      <c r="M146" s="157">
        <v>0</v>
      </c>
      <c r="N146" s="157"/>
      <c r="O146" s="157">
        <v>0</v>
      </c>
      <c r="P146" s="157"/>
      <c r="Q146" s="157">
        <v>0</v>
      </c>
      <c r="R146" s="157"/>
      <c r="S146" s="157">
        <v>0</v>
      </c>
      <c r="T146" s="157"/>
      <c r="U146" s="157">
        <v>0</v>
      </c>
      <c r="V146" s="157"/>
      <c r="W146" s="157">
        <v>0</v>
      </c>
      <c r="X146" s="157"/>
      <c r="Y146" s="157">
        <v>0</v>
      </c>
      <c r="Z146" s="157"/>
      <c r="AA146" s="157">
        <v>0</v>
      </c>
      <c r="AB146" s="157"/>
      <c r="AC146" s="157">
        <v>0</v>
      </c>
      <c r="AD146" s="157"/>
      <c r="AE146" s="157">
        <v>0</v>
      </c>
      <c r="AF146" s="157"/>
      <c r="AG146" s="157">
        <v>0</v>
      </c>
      <c r="AH146" s="157"/>
      <c r="AI146" s="157">
        <v>0</v>
      </c>
      <c r="AJ146" s="157"/>
      <c r="AK146" s="170">
        <v>-573086.86</v>
      </c>
      <c r="AL146" s="157"/>
      <c r="AM146" s="157">
        <v>0</v>
      </c>
      <c r="AN146" s="157"/>
      <c r="AO146" s="157">
        <v>0</v>
      </c>
      <c r="AP146" s="157"/>
      <c r="AQ146" s="157">
        <v>0</v>
      </c>
      <c r="AR146" s="157"/>
      <c r="AS146" s="157">
        <v>0</v>
      </c>
      <c r="AT146" s="157"/>
      <c r="AU146" s="157">
        <v>0</v>
      </c>
      <c r="AV146" s="157"/>
      <c r="AW146" s="157">
        <v>0</v>
      </c>
      <c r="AX146" s="157"/>
      <c r="AY146" s="157">
        <v>0</v>
      </c>
      <c r="AZ146" s="157"/>
      <c r="BA146" s="157">
        <v>0</v>
      </c>
      <c r="BB146" s="157"/>
      <c r="BC146" s="157">
        <v>0</v>
      </c>
      <c r="BD146" s="157"/>
      <c r="BE146" s="157">
        <v>0</v>
      </c>
      <c r="BF146" s="157"/>
      <c r="BG146" s="157">
        <v>0</v>
      </c>
      <c r="BH146" s="157"/>
      <c r="BI146" s="157">
        <v>0</v>
      </c>
      <c r="BJ146" s="157"/>
      <c r="BK146" s="157">
        <v>0</v>
      </c>
      <c r="BL146" s="157"/>
      <c r="BM146" s="157">
        <v>0</v>
      </c>
      <c r="BN146" s="157"/>
      <c r="BO146" s="157">
        <v>0</v>
      </c>
      <c r="BP146" s="157"/>
      <c r="BQ146" s="157">
        <v>0</v>
      </c>
      <c r="BR146" s="157"/>
      <c r="BS146" s="157">
        <v>0</v>
      </c>
    </row>
    <row r="147" spans="1:72" x14ac:dyDescent="0.2">
      <c r="A147" s="123" t="s">
        <v>528</v>
      </c>
      <c r="B147" s="124" t="s">
        <v>529</v>
      </c>
      <c r="C147" s="157">
        <v>0</v>
      </c>
      <c r="D147" s="157"/>
      <c r="E147" s="157">
        <v>0</v>
      </c>
      <c r="F147" s="157"/>
      <c r="G147" s="157">
        <v>0</v>
      </c>
      <c r="H147" s="157"/>
      <c r="I147" s="170">
        <v>174987</v>
      </c>
      <c r="J147" s="157"/>
      <c r="K147" s="157">
        <v>0</v>
      </c>
      <c r="L147" s="157"/>
      <c r="M147" s="157">
        <v>0</v>
      </c>
      <c r="N147" s="157"/>
      <c r="O147" s="157">
        <v>0</v>
      </c>
      <c r="P147" s="157"/>
      <c r="Q147" s="157">
        <v>0</v>
      </c>
      <c r="R147" s="157"/>
      <c r="S147" s="157">
        <v>0</v>
      </c>
      <c r="T147" s="157"/>
      <c r="U147" s="157">
        <v>0</v>
      </c>
      <c r="V147" s="157"/>
      <c r="W147" s="157">
        <v>0</v>
      </c>
      <c r="X147" s="157"/>
      <c r="Y147" s="157">
        <v>0</v>
      </c>
      <c r="Z147" s="157"/>
      <c r="AA147" s="157">
        <v>0</v>
      </c>
      <c r="AB147" s="157"/>
      <c r="AC147" s="157">
        <v>0</v>
      </c>
      <c r="AD147" s="157"/>
      <c r="AE147" s="157">
        <v>0</v>
      </c>
      <c r="AF147" s="157"/>
      <c r="AG147" s="157">
        <v>0</v>
      </c>
      <c r="AH147" s="157"/>
      <c r="AI147" s="157">
        <v>0</v>
      </c>
      <c r="AJ147" s="157"/>
      <c r="AK147" s="170">
        <v>304499.5</v>
      </c>
      <c r="AL147" s="157"/>
      <c r="AM147" s="157">
        <v>0</v>
      </c>
      <c r="AN147" s="157"/>
      <c r="AO147" s="157">
        <v>0</v>
      </c>
      <c r="AP147" s="157"/>
      <c r="AQ147" s="157">
        <v>0</v>
      </c>
      <c r="AR147" s="157"/>
      <c r="AS147" s="157">
        <v>0</v>
      </c>
      <c r="AT147" s="157"/>
      <c r="AU147" s="157">
        <v>0</v>
      </c>
      <c r="AV147" s="157"/>
      <c r="AW147" s="157">
        <v>0</v>
      </c>
      <c r="AX147" s="157"/>
      <c r="AY147" s="157">
        <v>0</v>
      </c>
      <c r="AZ147" s="157"/>
      <c r="BA147" s="157">
        <v>0</v>
      </c>
      <c r="BB147" s="157"/>
      <c r="BC147" s="157">
        <v>0</v>
      </c>
      <c r="BD147" s="157"/>
      <c r="BE147" s="157">
        <v>0</v>
      </c>
      <c r="BF147" s="157"/>
      <c r="BG147" s="157">
        <v>0</v>
      </c>
      <c r="BH147" s="157"/>
      <c r="BI147" s="157">
        <v>0</v>
      </c>
      <c r="BJ147" s="157"/>
      <c r="BK147" s="157">
        <v>0</v>
      </c>
      <c r="BL147" s="157"/>
      <c r="BM147" s="157">
        <v>0</v>
      </c>
      <c r="BN147" s="157"/>
      <c r="BO147" s="157">
        <v>0</v>
      </c>
      <c r="BP147" s="157"/>
      <c r="BQ147" s="157">
        <v>0</v>
      </c>
      <c r="BR147" s="157"/>
      <c r="BS147" s="157">
        <v>0</v>
      </c>
    </row>
    <row r="148" spans="1:72" x14ac:dyDescent="0.2">
      <c r="A148" s="123" t="s">
        <v>946</v>
      </c>
      <c r="B148" s="124" t="s">
        <v>1020</v>
      </c>
      <c r="C148" s="157">
        <v>0</v>
      </c>
      <c r="D148" s="157"/>
      <c r="E148" s="157">
        <v>0</v>
      </c>
      <c r="F148" s="157"/>
      <c r="G148" s="157">
        <v>0</v>
      </c>
      <c r="H148" s="157"/>
      <c r="I148" s="157">
        <v>0</v>
      </c>
      <c r="J148" s="157"/>
      <c r="K148" s="157">
        <v>0</v>
      </c>
      <c r="L148" s="157"/>
      <c r="M148" s="157">
        <v>0</v>
      </c>
      <c r="N148" s="157"/>
      <c r="O148" s="157">
        <v>0</v>
      </c>
      <c r="P148" s="157"/>
      <c r="Q148" s="157">
        <v>0</v>
      </c>
      <c r="R148" s="157"/>
      <c r="S148" s="157">
        <v>0</v>
      </c>
      <c r="T148" s="157"/>
      <c r="U148" s="157">
        <v>0</v>
      </c>
      <c r="V148" s="157"/>
      <c r="W148" s="157">
        <v>0</v>
      </c>
      <c r="X148" s="157"/>
      <c r="Y148" s="157">
        <v>0</v>
      </c>
      <c r="Z148" s="157"/>
      <c r="AA148" s="157">
        <v>0</v>
      </c>
      <c r="AB148" s="157"/>
      <c r="AC148" s="157">
        <v>0</v>
      </c>
      <c r="AD148" s="157"/>
      <c r="AE148" s="157">
        <v>0</v>
      </c>
      <c r="AF148" s="157"/>
      <c r="AG148" s="157">
        <v>0</v>
      </c>
      <c r="AH148" s="157"/>
      <c r="AI148" s="157">
        <v>0</v>
      </c>
      <c r="AJ148" s="157"/>
      <c r="AK148" s="157">
        <v>0</v>
      </c>
      <c r="AL148" s="157"/>
      <c r="AM148" s="170">
        <v>-234817</v>
      </c>
      <c r="AN148" s="157"/>
      <c r="AO148" s="157">
        <v>0</v>
      </c>
      <c r="AP148" s="157"/>
      <c r="AQ148" s="157">
        <v>0</v>
      </c>
      <c r="AR148" s="157"/>
      <c r="AS148" s="157">
        <v>0</v>
      </c>
      <c r="AT148" s="157"/>
      <c r="AU148" s="157">
        <v>0</v>
      </c>
      <c r="AV148" s="157"/>
      <c r="AW148" s="157">
        <v>0</v>
      </c>
      <c r="AX148" s="157"/>
      <c r="AY148" s="157">
        <v>0</v>
      </c>
      <c r="AZ148" s="157"/>
      <c r="BA148" s="157">
        <v>0</v>
      </c>
      <c r="BB148" s="157"/>
      <c r="BC148" s="157">
        <v>0</v>
      </c>
      <c r="BD148" s="157"/>
      <c r="BE148" s="157">
        <v>0</v>
      </c>
      <c r="BF148" s="157"/>
      <c r="BG148" s="157">
        <v>0</v>
      </c>
      <c r="BH148" s="157"/>
      <c r="BI148" s="157">
        <v>0</v>
      </c>
      <c r="BJ148" s="157"/>
      <c r="BK148" s="157">
        <v>0</v>
      </c>
      <c r="BL148" s="157"/>
      <c r="BM148" s="157">
        <v>0</v>
      </c>
      <c r="BN148" s="157"/>
      <c r="BO148" s="157">
        <v>0</v>
      </c>
      <c r="BP148" s="157"/>
      <c r="BQ148" s="157">
        <v>0</v>
      </c>
      <c r="BR148" s="157"/>
      <c r="BS148" s="157">
        <v>0</v>
      </c>
    </row>
    <row r="149" spans="1:72" x14ac:dyDescent="0.2">
      <c r="A149" s="123" t="s">
        <v>945</v>
      </c>
      <c r="B149" s="124" t="s">
        <v>1019</v>
      </c>
      <c r="C149" s="157">
        <v>0</v>
      </c>
      <c r="D149" s="157"/>
      <c r="E149" s="157">
        <v>0</v>
      </c>
      <c r="F149" s="157"/>
      <c r="G149" s="157">
        <v>0</v>
      </c>
      <c r="H149" s="157"/>
      <c r="I149" s="157">
        <v>0</v>
      </c>
      <c r="J149" s="157"/>
      <c r="K149" s="157">
        <v>0</v>
      </c>
      <c r="L149" s="157"/>
      <c r="M149" s="157">
        <v>0</v>
      </c>
      <c r="N149" s="157"/>
      <c r="O149" s="157">
        <v>0</v>
      </c>
      <c r="P149" s="157"/>
      <c r="Q149" s="157">
        <v>0</v>
      </c>
      <c r="R149" s="157"/>
      <c r="S149" s="157">
        <v>0</v>
      </c>
      <c r="T149" s="157"/>
      <c r="U149" s="157">
        <v>0</v>
      </c>
      <c r="V149" s="157"/>
      <c r="W149" s="157">
        <v>0</v>
      </c>
      <c r="X149" s="157"/>
      <c r="Y149" s="157">
        <v>0</v>
      </c>
      <c r="Z149" s="157"/>
      <c r="AA149" s="157">
        <v>0</v>
      </c>
      <c r="AB149" s="157"/>
      <c r="AC149" s="157">
        <v>0</v>
      </c>
      <c r="AD149" s="157"/>
      <c r="AE149" s="157">
        <v>0</v>
      </c>
      <c r="AF149" s="157"/>
      <c r="AG149" s="157">
        <v>0</v>
      </c>
      <c r="AH149" s="157"/>
      <c r="AI149" s="157">
        <v>0</v>
      </c>
      <c r="AJ149" s="157"/>
      <c r="AK149" s="157">
        <v>0</v>
      </c>
      <c r="AL149" s="157"/>
      <c r="AM149" s="170">
        <v>197017</v>
      </c>
      <c r="AN149" s="157"/>
      <c r="AO149" s="157">
        <v>0</v>
      </c>
      <c r="AP149" s="157"/>
      <c r="AQ149" s="157">
        <v>0</v>
      </c>
      <c r="AR149" s="157"/>
      <c r="AS149" s="157">
        <v>0</v>
      </c>
      <c r="AT149" s="157"/>
      <c r="AU149" s="157">
        <v>0</v>
      </c>
      <c r="AV149" s="157"/>
      <c r="AW149" s="157">
        <v>0</v>
      </c>
      <c r="AX149" s="157"/>
      <c r="AY149" s="157">
        <v>0</v>
      </c>
      <c r="AZ149" s="157"/>
      <c r="BA149" s="157">
        <v>0</v>
      </c>
      <c r="BB149" s="157"/>
      <c r="BC149" s="157">
        <v>0</v>
      </c>
      <c r="BD149" s="157"/>
      <c r="BE149" s="157">
        <v>0</v>
      </c>
      <c r="BF149" s="157"/>
      <c r="BG149" s="157">
        <v>0</v>
      </c>
      <c r="BH149" s="157"/>
      <c r="BI149" s="157">
        <v>0</v>
      </c>
      <c r="BJ149" s="157"/>
      <c r="BK149" s="157">
        <v>0</v>
      </c>
      <c r="BL149" s="157"/>
      <c r="BM149" s="157">
        <v>0</v>
      </c>
      <c r="BN149" s="157"/>
      <c r="BO149" s="157">
        <v>0</v>
      </c>
      <c r="BP149" s="157"/>
      <c r="BQ149" s="157">
        <v>0</v>
      </c>
      <c r="BR149" s="157"/>
      <c r="BS149" s="157">
        <v>0</v>
      </c>
    </row>
    <row r="150" spans="1:72" x14ac:dyDescent="0.2">
      <c r="A150" s="123" t="s">
        <v>944</v>
      </c>
      <c r="B150" s="124" t="s">
        <v>1018</v>
      </c>
      <c r="C150" s="157">
        <v>0</v>
      </c>
      <c r="D150" s="157"/>
      <c r="E150" s="157">
        <v>0</v>
      </c>
      <c r="F150" s="157"/>
      <c r="G150" s="157">
        <v>0</v>
      </c>
      <c r="H150" s="157"/>
      <c r="I150" s="157">
        <v>0</v>
      </c>
      <c r="J150" s="157"/>
      <c r="K150" s="157">
        <v>0</v>
      </c>
      <c r="L150" s="157"/>
      <c r="M150" s="157">
        <v>0</v>
      </c>
      <c r="N150" s="157"/>
      <c r="O150" s="157">
        <v>0</v>
      </c>
      <c r="P150" s="157"/>
      <c r="Q150" s="157">
        <v>0</v>
      </c>
      <c r="R150" s="157"/>
      <c r="S150" s="157">
        <v>0</v>
      </c>
      <c r="T150" s="157"/>
      <c r="U150" s="157">
        <v>0</v>
      </c>
      <c r="V150" s="157"/>
      <c r="W150" s="157">
        <v>0</v>
      </c>
      <c r="X150" s="157"/>
      <c r="Y150" s="157">
        <v>0</v>
      </c>
      <c r="Z150" s="157"/>
      <c r="AA150" s="157">
        <v>0</v>
      </c>
      <c r="AB150" s="157"/>
      <c r="AC150" s="157">
        <v>0</v>
      </c>
      <c r="AD150" s="157"/>
      <c r="AE150" s="157">
        <v>0</v>
      </c>
      <c r="AF150" s="157"/>
      <c r="AG150" s="157">
        <v>0</v>
      </c>
      <c r="AH150" s="157"/>
      <c r="AI150" s="157">
        <v>0</v>
      </c>
      <c r="AJ150" s="157"/>
      <c r="AK150" s="157">
        <v>0</v>
      </c>
      <c r="AL150" s="157"/>
      <c r="AM150" s="170">
        <v>-158807.07999999999</v>
      </c>
      <c r="AN150" s="157"/>
      <c r="AO150" s="157">
        <v>0</v>
      </c>
      <c r="AP150" s="157"/>
      <c r="AQ150" s="157">
        <v>0</v>
      </c>
      <c r="AR150" s="157"/>
      <c r="AS150" s="157">
        <v>0</v>
      </c>
      <c r="AT150" s="157"/>
      <c r="AU150" s="157">
        <v>0</v>
      </c>
      <c r="AV150" s="157"/>
      <c r="AW150" s="157">
        <v>0</v>
      </c>
      <c r="AX150" s="157"/>
      <c r="AY150" s="157">
        <v>0</v>
      </c>
      <c r="AZ150" s="157"/>
      <c r="BA150" s="157">
        <v>0</v>
      </c>
      <c r="BB150" s="157"/>
      <c r="BC150" s="157">
        <v>0</v>
      </c>
      <c r="BD150" s="157"/>
      <c r="BE150" s="157">
        <v>0</v>
      </c>
      <c r="BF150" s="157"/>
      <c r="BG150" s="157">
        <v>0</v>
      </c>
      <c r="BH150" s="157"/>
      <c r="BI150" s="157">
        <v>0</v>
      </c>
      <c r="BJ150" s="157"/>
      <c r="BK150" s="157">
        <v>0</v>
      </c>
      <c r="BL150" s="157"/>
      <c r="BM150" s="157">
        <v>0</v>
      </c>
      <c r="BN150" s="157"/>
      <c r="BO150" s="157">
        <v>0</v>
      </c>
      <c r="BP150" s="157"/>
      <c r="BQ150" s="157">
        <v>0</v>
      </c>
      <c r="BR150" s="157"/>
      <c r="BS150" s="157">
        <v>0</v>
      </c>
    </row>
    <row r="151" spans="1:72" x14ac:dyDescent="0.2">
      <c r="A151" s="123" t="s">
        <v>230</v>
      </c>
      <c r="B151" s="124" t="s">
        <v>231</v>
      </c>
      <c r="C151" s="157">
        <v>-60.03</v>
      </c>
      <c r="D151" s="157"/>
      <c r="E151" s="157">
        <v>-2015.08</v>
      </c>
      <c r="F151" s="157">
        <f>SUM(E151:E155,E168)</f>
        <v>-2424.08</v>
      </c>
      <c r="G151" s="157">
        <v>-783</v>
      </c>
      <c r="H151" s="157"/>
      <c r="I151" s="157">
        <v>-1190.07</v>
      </c>
      <c r="J151" s="157"/>
      <c r="K151" s="157">
        <v>-156843</v>
      </c>
      <c r="L151" s="157"/>
      <c r="M151" s="157">
        <v>-989.33</v>
      </c>
      <c r="N151" s="157"/>
      <c r="O151" s="157">
        <v>-98</v>
      </c>
      <c r="P151" s="157"/>
      <c r="Q151" s="157">
        <v>-84.3</v>
      </c>
      <c r="R151" s="157"/>
      <c r="S151" s="157">
        <v>-18</v>
      </c>
      <c r="T151" s="157"/>
      <c r="U151" s="157">
        <v>-448.46</v>
      </c>
      <c r="V151" s="157"/>
      <c r="W151" s="157">
        <v>0</v>
      </c>
      <c r="X151" s="157"/>
      <c r="Y151" s="157">
        <v>-1016.05</v>
      </c>
      <c r="Z151" s="157"/>
      <c r="AA151" s="157">
        <v>-109</v>
      </c>
      <c r="AB151" s="157"/>
      <c r="AC151" s="157">
        <v>0</v>
      </c>
      <c r="AD151" s="157"/>
      <c r="AE151" s="157">
        <v>-6404.66</v>
      </c>
      <c r="AF151" s="157">
        <f>SUM(AE151:AE154,AE168,AE131)</f>
        <v>-76833.61</v>
      </c>
      <c r="AG151" s="157">
        <v>-2.2799999999999998</v>
      </c>
      <c r="AH151" s="157"/>
      <c r="AI151" s="157">
        <v>-93</v>
      </c>
      <c r="AJ151" s="157"/>
      <c r="AK151" s="157">
        <v>-1261.04</v>
      </c>
      <c r="AL151" s="157"/>
      <c r="AM151" s="157">
        <v>-2948.87</v>
      </c>
      <c r="AN151" s="157"/>
      <c r="AO151" s="157">
        <v>-31</v>
      </c>
      <c r="AP151" s="157"/>
      <c r="AQ151" s="157">
        <v>-1755</v>
      </c>
      <c r="AR151" s="157"/>
      <c r="AS151" s="157">
        <v>-988.85</v>
      </c>
      <c r="AT151" s="157"/>
      <c r="AU151" s="157">
        <v>-1881.08</v>
      </c>
      <c r="AV151" s="157"/>
      <c r="AW151" s="157">
        <v>-3290</v>
      </c>
      <c r="AX151" s="157"/>
      <c r="AY151" s="157">
        <v>-424</v>
      </c>
      <c r="AZ151" s="157"/>
      <c r="BA151" s="157">
        <v>-1.01</v>
      </c>
      <c r="BB151" s="157"/>
      <c r="BC151" s="157">
        <v>-1408.12</v>
      </c>
      <c r="BD151" s="157"/>
      <c r="BE151" s="157">
        <v>-1829.24</v>
      </c>
      <c r="BF151" s="157"/>
      <c r="BG151" s="157">
        <v>-597.03</v>
      </c>
      <c r="BH151" s="157"/>
      <c r="BI151" s="157">
        <v>-1839.52</v>
      </c>
      <c r="BJ151" s="157"/>
      <c r="BK151" s="157">
        <v>-446.29</v>
      </c>
      <c r="BL151" s="157"/>
      <c r="BM151" s="157">
        <v>-512.79</v>
      </c>
      <c r="BN151" s="157"/>
      <c r="BO151" s="157">
        <v>-9525.9699999999993</v>
      </c>
      <c r="BP151" s="157"/>
      <c r="BQ151" s="157">
        <v>-6.5</v>
      </c>
      <c r="BR151" s="157"/>
      <c r="BS151" s="157">
        <v>-3216.45</v>
      </c>
    </row>
    <row r="152" spans="1:72" x14ac:dyDescent="0.2">
      <c r="A152" s="123" t="s">
        <v>530</v>
      </c>
      <c r="B152" s="124" t="s">
        <v>531</v>
      </c>
      <c r="C152" s="157">
        <v>-14991</v>
      </c>
      <c r="D152" s="157"/>
      <c r="E152" s="157">
        <v>-139</v>
      </c>
      <c r="F152" s="157"/>
      <c r="G152" s="157">
        <v>-20029</v>
      </c>
      <c r="H152" s="157"/>
      <c r="I152" s="157">
        <v>-4</v>
      </c>
      <c r="J152" s="157"/>
      <c r="K152" s="157">
        <v>0</v>
      </c>
      <c r="L152" s="157"/>
      <c r="M152" s="157">
        <v>0</v>
      </c>
      <c r="N152" s="157"/>
      <c r="O152" s="157">
        <v>0</v>
      </c>
      <c r="P152" s="157"/>
      <c r="Q152" s="157">
        <v>-1.3</v>
      </c>
      <c r="R152" s="157"/>
      <c r="S152" s="157">
        <v>0</v>
      </c>
      <c r="T152" s="157"/>
      <c r="U152" s="157">
        <v>0</v>
      </c>
      <c r="V152" s="157"/>
      <c r="W152" s="157">
        <v>0</v>
      </c>
      <c r="X152" s="157"/>
      <c r="Y152" s="157">
        <v>0</v>
      </c>
      <c r="Z152" s="157"/>
      <c r="AA152" s="157">
        <v>-588</v>
      </c>
      <c r="AB152" s="157"/>
      <c r="AC152" s="157">
        <v>0</v>
      </c>
      <c r="AD152" s="157"/>
      <c r="AE152" s="157">
        <v>0</v>
      </c>
      <c r="AF152" s="157"/>
      <c r="AG152" s="157">
        <v>0</v>
      </c>
      <c r="AH152" s="157"/>
      <c r="AI152" s="157">
        <v>0</v>
      </c>
      <c r="AJ152" s="157"/>
      <c r="AK152" s="157">
        <v>0</v>
      </c>
      <c r="AL152" s="157"/>
      <c r="AM152" s="157">
        <v>-196.16</v>
      </c>
      <c r="AN152" s="157"/>
      <c r="AO152" s="157">
        <v>0</v>
      </c>
      <c r="AP152" s="157"/>
      <c r="AQ152" s="157">
        <v>-0.33</v>
      </c>
      <c r="AR152" s="157"/>
      <c r="AS152" s="157">
        <v>0</v>
      </c>
      <c r="AT152" s="157"/>
      <c r="AU152" s="157">
        <v>0</v>
      </c>
      <c r="AV152" s="157"/>
      <c r="AW152" s="157">
        <v>0</v>
      </c>
      <c r="AX152" s="157"/>
      <c r="AY152" s="157">
        <v>0</v>
      </c>
      <c r="AZ152" s="157"/>
      <c r="BA152" s="157">
        <v>-1281.92</v>
      </c>
      <c r="BB152" s="157"/>
      <c r="BC152" s="157">
        <v>-526.94000000000005</v>
      </c>
      <c r="BD152" s="157"/>
      <c r="BE152" s="157">
        <v>-9611</v>
      </c>
      <c r="BF152" s="157"/>
      <c r="BG152" s="157">
        <v>-26.77</v>
      </c>
      <c r="BH152" s="157"/>
      <c r="BI152" s="157">
        <v>0</v>
      </c>
      <c r="BJ152" s="157"/>
      <c r="BK152" s="157">
        <v>0</v>
      </c>
      <c r="BL152" s="157"/>
      <c r="BM152" s="157">
        <v>-185.73</v>
      </c>
      <c r="BN152" s="157"/>
      <c r="BO152" s="157">
        <v>0</v>
      </c>
      <c r="BP152" s="157"/>
      <c r="BQ152" s="157">
        <v>-1093.53</v>
      </c>
      <c r="BR152" s="157"/>
      <c r="BS152" s="157">
        <v>-809</v>
      </c>
    </row>
    <row r="153" spans="1:72" x14ac:dyDescent="0.2">
      <c r="A153" s="123" t="s">
        <v>232</v>
      </c>
      <c r="B153" s="124" t="s">
        <v>233</v>
      </c>
      <c r="C153" s="157">
        <v>0</v>
      </c>
      <c r="D153" s="157"/>
      <c r="E153" s="157">
        <v>-270</v>
      </c>
      <c r="F153" s="157"/>
      <c r="G153" s="157">
        <v>-783</v>
      </c>
      <c r="H153" s="157"/>
      <c r="I153" s="157">
        <v>-2642.03</v>
      </c>
      <c r="J153" s="157"/>
      <c r="K153" s="157">
        <v>0</v>
      </c>
      <c r="L153" s="157"/>
      <c r="M153" s="157">
        <v>-930.32</v>
      </c>
      <c r="N153" s="157"/>
      <c r="O153" s="157">
        <v>0</v>
      </c>
      <c r="P153" s="157"/>
      <c r="Q153" s="157">
        <v>0</v>
      </c>
      <c r="R153" s="157"/>
      <c r="S153" s="157">
        <v>0</v>
      </c>
      <c r="T153" s="157"/>
      <c r="U153" s="157">
        <v>0</v>
      </c>
      <c r="V153" s="157"/>
      <c r="W153" s="157">
        <v>0</v>
      </c>
      <c r="X153" s="157"/>
      <c r="Y153" s="157">
        <v>0</v>
      </c>
      <c r="Z153" s="157"/>
      <c r="AA153" s="157">
        <v>-270.70999999999998</v>
      </c>
      <c r="AB153" s="157"/>
      <c r="AC153" s="157">
        <v>-60</v>
      </c>
      <c r="AD153" s="157"/>
      <c r="AE153" s="157">
        <v>0</v>
      </c>
      <c r="AF153" s="157"/>
      <c r="AG153" s="157">
        <v>0</v>
      </c>
      <c r="AH153" s="157"/>
      <c r="AI153" s="157">
        <v>-359</v>
      </c>
      <c r="AJ153" s="157"/>
      <c r="AK153" s="157">
        <v>-424.85</v>
      </c>
      <c r="AL153" s="157"/>
      <c r="AM153" s="157">
        <v>0</v>
      </c>
      <c r="AN153" s="157"/>
      <c r="AO153" s="157">
        <v>0</v>
      </c>
      <c r="AP153" s="157"/>
      <c r="AQ153" s="157">
        <v>-6955</v>
      </c>
      <c r="AR153" s="157"/>
      <c r="AS153" s="157">
        <v>-2949</v>
      </c>
      <c r="AT153" s="157"/>
      <c r="AU153" s="157">
        <v>0</v>
      </c>
      <c r="AV153" s="157"/>
      <c r="AW153" s="157">
        <v>0</v>
      </c>
      <c r="AX153" s="157"/>
      <c r="AY153" s="157">
        <v>-253</v>
      </c>
      <c r="AZ153" s="157"/>
      <c r="BA153" s="157">
        <v>0</v>
      </c>
      <c r="BB153" s="157"/>
      <c r="BC153" s="157">
        <v>-672</v>
      </c>
      <c r="BD153" s="157"/>
      <c r="BE153" s="157">
        <v>-8618</v>
      </c>
      <c r="BF153" s="157"/>
      <c r="BG153" s="157">
        <v>-4</v>
      </c>
      <c r="BH153" s="157"/>
      <c r="BI153" s="157">
        <v>-52</v>
      </c>
      <c r="BJ153" s="157"/>
      <c r="BK153" s="157">
        <v>-1057.98</v>
      </c>
      <c r="BL153" s="157"/>
      <c r="BM153" s="157">
        <v>-914</v>
      </c>
      <c r="BN153" s="157"/>
      <c r="BO153" s="157">
        <v>0</v>
      </c>
      <c r="BP153" s="157"/>
      <c r="BQ153" s="157">
        <v>-4161</v>
      </c>
      <c r="BR153" s="157"/>
      <c r="BS153" s="157">
        <v>-4273</v>
      </c>
    </row>
    <row r="154" spans="1:72" x14ac:dyDescent="0.2">
      <c r="A154" s="123" t="s">
        <v>532</v>
      </c>
      <c r="B154" s="124" t="s">
        <v>533</v>
      </c>
      <c r="C154" s="157">
        <v>0</v>
      </c>
      <c r="D154" s="157"/>
      <c r="E154" s="157">
        <v>0</v>
      </c>
      <c r="F154" s="157"/>
      <c r="G154" s="157">
        <v>0</v>
      </c>
      <c r="H154" s="157"/>
      <c r="I154" s="157">
        <v>0</v>
      </c>
      <c r="J154" s="157"/>
      <c r="K154" s="157">
        <v>0</v>
      </c>
      <c r="L154" s="157"/>
      <c r="M154" s="157">
        <v>0</v>
      </c>
      <c r="N154" s="157"/>
      <c r="O154" s="157">
        <v>0</v>
      </c>
      <c r="P154" s="157"/>
      <c r="Q154" s="157">
        <v>0</v>
      </c>
      <c r="R154" s="157"/>
      <c r="S154" s="157">
        <v>0</v>
      </c>
      <c r="T154" s="157"/>
      <c r="U154" s="157">
        <v>0</v>
      </c>
      <c r="V154" s="157"/>
      <c r="W154" s="157">
        <v>0</v>
      </c>
      <c r="X154" s="157"/>
      <c r="Y154" s="157">
        <v>0</v>
      </c>
      <c r="Z154" s="157"/>
      <c r="AA154" s="157">
        <v>0</v>
      </c>
      <c r="AB154" s="157"/>
      <c r="AC154" s="157">
        <v>0</v>
      </c>
      <c r="AD154" s="157"/>
      <c r="AE154" s="157">
        <v>-57064</v>
      </c>
      <c r="AF154" s="157"/>
      <c r="AG154" s="157">
        <v>0</v>
      </c>
      <c r="AH154" s="157"/>
      <c r="AI154" s="157">
        <v>0</v>
      </c>
      <c r="AJ154" s="157"/>
      <c r="AK154" s="157">
        <v>0</v>
      </c>
      <c r="AL154" s="157"/>
      <c r="AM154" s="157">
        <v>0</v>
      </c>
      <c r="AN154" s="157"/>
      <c r="AO154" s="157">
        <v>0</v>
      </c>
      <c r="AP154" s="157"/>
      <c r="AQ154" s="157">
        <v>0</v>
      </c>
      <c r="AR154" s="157"/>
      <c r="AS154" s="157">
        <v>0</v>
      </c>
      <c r="AT154" s="157"/>
      <c r="AU154" s="157">
        <v>0</v>
      </c>
      <c r="AV154" s="157"/>
      <c r="AW154" s="157">
        <v>0</v>
      </c>
      <c r="AX154" s="157"/>
      <c r="AY154" s="157">
        <v>0</v>
      </c>
      <c r="AZ154" s="157"/>
      <c r="BA154" s="157">
        <v>0</v>
      </c>
      <c r="BB154" s="157"/>
      <c r="BC154" s="157">
        <v>0</v>
      </c>
      <c r="BD154" s="157"/>
      <c r="BE154" s="157">
        <v>-234</v>
      </c>
      <c r="BF154" s="157"/>
      <c r="BG154" s="157">
        <v>0</v>
      </c>
      <c r="BH154" s="157"/>
      <c r="BI154" s="157">
        <v>0</v>
      </c>
      <c r="BJ154" s="157"/>
      <c r="BK154" s="157">
        <v>0</v>
      </c>
      <c r="BL154" s="157"/>
      <c r="BM154" s="157">
        <v>0</v>
      </c>
      <c r="BN154" s="157"/>
      <c r="BO154" s="157">
        <v>0</v>
      </c>
      <c r="BP154" s="157"/>
      <c r="BQ154" s="157">
        <v>0</v>
      </c>
      <c r="BR154" s="157"/>
      <c r="BS154" s="157">
        <v>0</v>
      </c>
    </row>
    <row r="155" spans="1:72" x14ac:dyDescent="0.2">
      <c r="A155" s="123" t="s">
        <v>1435</v>
      </c>
      <c r="B155" s="124" t="s">
        <v>1436</v>
      </c>
      <c r="C155" s="157">
        <v>0</v>
      </c>
      <c r="D155" s="157"/>
      <c r="E155" s="157">
        <v>0</v>
      </c>
      <c r="F155" s="157"/>
      <c r="G155" s="157">
        <v>0</v>
      </c>
      <c r="H155" s="157"/>
      <c r="I155" s="157">
        <v>0</v>
      </c>
      <c r="J155" s="157"/>
      <c r="K155" s="157">
        <v>-65422</v>
      </c>
      <c r="L155" s="157"/>
      <c r="M155" s="157">
        <v>0</v>
      </c>
      <c r="N155" s="157"/>
      <c r="O155" s="157">
        <v>0</v>
      </c>
      <c r="P155" s="157"/>
      <c r="Q155" s="157">
        <v>0</v>
      </c>
      <c r="R155" s="157"/>
      <c r="S155" s="157">
        <v>0</v>
      </c>
      <c r="T155" s="157"/>
      <c r="U155" s="157">
        <v>0</v>
      </c>
      <c r="V155" s="157"/>
      <c r="W155" s="157">
        <v>0</v>
      </c>
      <c r="X155" s="157"/>
      <c r="Y155" s="157">
        <v>0</v>
      </c>
      <c r="Z155" s="157"/>
      <c r="AA155" s="157">
        <v>0</v>
      </c>
      <c r="AB155" s="157"/>
      <c r="AC155" s="157">
        <v>0</v>
      </c>
      <c r="AD155" s="157"/>
      <c r="AE155" s="157">
        <v>0</v>
      </c>
      <c r="AF155" s="157"/>
      <c r="AG155" s="157">
        <v>0</v>
      </c>
      <c r="AH155" s="157"/>
      <c r="AI155" s="157">
        <v>0</v>
      </c>
      <c r="AJ155" s="157"/>
      <c r="AK155" s="157">
        <v>0</v>
      </c>
      <c r="AL155" s="157"/>
      <c r="AM155" s="157">
        <v>0</v>
      </c>
      <c r="AN155" s="157"/>
      <c r="AO155" s="157">
        <v>0</v>
      </c>
      <c r="AP155" s="157"/>
      <c r="AQ155" s="157">
        <v>0</v>
      </c>
      <c r="AR155" s="157"/>
      <c r="AS155" s="157">
        <v>0</v>
      </c>
      <c r="AT155" s="157"/>
      <c r="AU155" s="157">
        <v>0</v>
      </c>
      <c r="AV155" s="157"/>
      <c r="AW155" s="157">
        <v>0</v>
      </c>
      <c r="AX155" s="157"/>
      <c r="AY155" s="157">
        <v>0</v>
      </c>
      <c r="AZ155" s="157"/>
      <c r="BA155" s="157">
        <v>0</v>
      </c>
      <c r="BB155" s="157"/>
      <c r="BC155" s="157">
        <v>0</v>
      </c>
      <c r="BD155" s="157"/>
      <c r="BE155" s="157">
        <v>0</v>
      </c>
      <c r="BF155" s="157"/>
      <c r="BG155" s="157">
        <v>0</v>
      </c>
      <c r="BH155" s="157"/>
      <c r="BI155" s="157">
        <v>0</v>
      </c>
      <c r="BJ155" s="157"/>
      <c r="BK155" s="157">
        <v>0</v>
      </c>
      <c r="BL155" s="157"/>
      <c r="BM155" s="157">
        <v>0</v>
      </c>
      <c r="BN155" s="157"/>
      <c r="BO155" s="157">
        <v>0</v>
      </c>
      <c r="BP155" s="157"/>
      <c r="BQ155" s="157">
        <v>0</v>
      </c>
      <c r="BR155" s="157"/>
      <c r="BS155" s="157">
        <v>0</v>
      </c>
    </row>
    <row r="156" spans="1:72" x14ac:dyDescent="0.2">
      <c r="A156" s="123" t="s">
        <v>1017</v>
      </c>
      <c r="B156" s="124" t="s">
        <v>1016</v>
      </c>
      <c r="C156" s="157">
        <v>0</v>
      </c>
      <c r="D156" s="157"/>
      <c r="E156" s="157">
        <v>0</v>
      </c>
      <c r="F156" s="157"/>
      <c r="G156" s="157">
        <v>0</v>
      </c>
      <c r="H156" s="157"/>
      <c r="I156" s="157">
        <v>0</v>
      </c>
      <c r="J156" s="157"/>
      <c r="K156" s="157">
        <v>0</v>
      </c>
      <c r="L156" s="157"/>
      <c r="M156" s="157">
        <v>0</v>
      </c>
      <c r="N156" s="157"/>
      <c r="O156" s="157">
        <v>0</v>
      </c>
      <c r="P156" s="157"/>
      <c r="Q156" s="157">
        <v>0</v>
      </c>
      <c r="R156" s="157">
        <f>SUM(Q156:Q161)+Q124+Q136+Q138+Q139+Q144+Q145</f>
        <v>-17668.479999999996</v>
      </c>
      <c r="S156" s="157">
        <v>0</v>
      </c>
      <c r="T156" s="157"/>
      <c r="U156" s="157">
        <v>0</v>
      </c>
      <c r="V156" s="157">
        <f>SUM(U156:U162)+U124+U134+U135+U142+U143</f>
        <v>-102038.58000000007</v>
      </c>
      <c r="W156" s="157">
        <v>-10706.79</v>
      </c>
      <c r="X156" s="157"/>
      <c r="Y156" s="157">
        <v>0</v>
      </c>
      <c r="Z156" s="157">
        <f>SUM(Y156:Y162)+Y143+Y138+Y125+Y124</f>
        <v>-83060.039999999964</v>
      </c>
      <c r="AA156" s="157">
        <v>0</v>
      </c>
      <c r="AB156" s="157"/>
      <c r="AC156" s="157">
        <v>0</v>
      </c>
      <c r="AD156" s="157"/>
      <c r="AE156" s="157">
        <v>0</v>
      </c>
      <c r="AF156" s="157"/>
      <c r="AG156" s="157">
        <v>0</v>
      </c>
      <c r="AH156" s="157"/>
      <c r="AI156" s="157">
        <v>0</v>
      </c>
      <c r="AJ156" s="157"/>
      <c r="AK156" s="157">
        <v>0</v>
      </c>
      <c r="AL156" s="157">
        <f>SUM(AK156:AK162)+AK147+AK146+AK125+AK124</f>
        <v>-277300.07999999996</v>
      </c>
      <c r="AM156" s="157">
        <v>0</v>
      </c>
      <c r="AN156" s="157">
        <f>SUM(AM156:AM162)+AM150+AM149+AM148+AM143+AM142+AM137+AM136+AM135+AM134+AM124</f>
        <v>-342832.76</v>
      </c>
      <c r="AO156" s="157">
        <v>0</v>
      </c>
      <c r="AP156" s="157"/>
      <c r="AQ156" s="157">
        <v>0</v>
      </c>
      <c r="AR156" s="157">
        <f>SUM(AQ156:AQ162)+AQ145+AQ144+AQ137+AQ136+AQ124</f>
        <v>-71625.759999999995</v>
      </c>
      <c r="AS156" s="157">
        <v>0</v>
      </c>
      <c r="AT156" s="157"/>
      <c r="AU156" s="157">
        <v>0</v>
      </c>
      <c r="AV156" s="157"/>
      <c r="AW156" s="157">
        <v>0</v>
      </c>
      <c r="AX156" s="157">
        <f>SUM(AW156:AW162)+AW140+AW125+AW124</f>
        <v>-25892.16</v>
      </c>
      <c r="AY156" s="157">
        <v>0</v>
      </c>
      <c r="AZ156" s="157">
        <f>SUM(AY156:AY162)+AY143+AY142+AY135+AY134+AY124</f>
        <v>-76587.790000000023</v>
      </c>
      <c r="BA156" s="157">
        <v>0</v>
      </c>
      <c r="BB156" s="157">
        <f>SUM(BA156:BA162)+BA141+BA140+BA135+BA134+BA124</f>
        <v>-79114.569999999992</v>
      </c>
      <c r="BC156" s="157">
        <v>0</v>
      </c>
      <c r="BD156" s="157">
        <f>SUM(BC156:BC161)+BC135+BC134+BC124</f>
        <v>-8036.8900000000012</v>
      </c>
      <c r="BE156" s="157">
        <v>0</v>
      </c>
      <c r="BF156" s="157">
        <f>SUM(BE156:BE161)+BE141+BE140+BE135+BE134+BE124</f>
        <v>-96792.56</v>
      </c>
      <c r="BG156" s="157">
        <v>0</v>
      </c>
      <c r="BH156" s="157"/>
      <c r="BI156" s="157">
        <v>0</v>
      </c>
      <c r="BJ156" s="157"/>
      <c r="BK156" s="157">
        <v>0</v>
      </c>
      <c r="BL156" s="157">
        <f>SUM(BK156:BK162)+BK145+BK144+BK124</f>
        <v>-15257.95</v>
      </c>
      <c r="BM156" s="157">
        <v>0</v>
      </c>
      <c r="BN156" s="157"/>
      <c r="BO156" s="157">
        <v>0</v>
      </c>
      <c r="BP156" s="157">
        <f>SUM(BO156:BO161)+BO145+BO144+BO139+BO138+BO137+BO136+BO124</f>
        <v>-107802.06999999998</v>
      </c>
      <c r="BQ156" s="157">
        <v>0</v>
      </c>
      <c r="BR156" s="157">
        <f>SUM(BQ156:BQ161,BQ144:BQ145,BQ136:BQ139,BQ124)</f>
        <v>-45484.040000000008</v>
      </c>
      <c r="BS156" s="157">
        <v>0</v>
      </c>
      <c r="BT156" s="168">
        <f>SUM(BS156:BS161)+BS145+BS144+BS139+BS138+BS137+BS136+BS124</f>
        <v>-60939.419999999991</v>
      </c>
    </row>
    <row r="157" spans="1:72" x14ac:dyDescent="0.2">
      <c r="A157" s="123" t="s">
        <v>609</v>
      </c>
      <c r="B157" s="124" t="s">
        <v>608</v>
      </c>
      <c r="C157" s="157">
        <v>0</v>
      </c>
      <c r="D157" s="157"/>
      <c r="E157" s="157">
        <v>0</v>
      </c>
      <c r="F157" s="157"/>
      <c r="G157" s="157">
        <v>0</v>
      </c>
      <c r="H157" s="157"/>
      <c r="I157" s="157">
        <v>0</v>
      </c>
      <c r="J157" s="157"/>
      <c r="K157" s="157">
        <v>0</v>
      </c>
      <c r="L157" s="157"/>
      <c r="M157" s="157">
        <v>0</v>
      </c>
      <c r="N157" s="157"/>
      <c r="O157" s="157">
        <v>0</v>
      </c>
      <c r="P157" s="157"/>
      <c r="Q157" s="157">
        <v>0</v>
      </c>
      <c r="R157" s="157"/>
      <c r="S157" s="157">
        <v>0</v>
      </c>
      <c r="T157" s="157"/>
      <c r="U157" s="157">
        <v>0</v>
      </c>
      <c r="V157" s="157"/>
      <c r="W157" s="157">
        <v>0</v>
      </c>
      <c r="X157" s="157"/>
      <c r="Y157" s="157">
        <v>0</v>
      </c>
      <c r="Z157" s="157"/>
      <c r="AA157" s="157">
        <v>0</v>
      </c>
      <c r="AB157" s="157"/>
      <c r="AC157" s="157">
        <v>0</v>
      </c>
      <c r="AD157" s="157"/>
      <c r="AE157" s="157">
        <v>0</v>
      </c>
      <c r="AF157" s="157"/>
      <c r="AG157" s="157">
        <v>0</v>
      </c>
      <c r="AH157" s="157"/>
      <c r="AI157" s="157">
        <v>0</v>
      </c>
      <c r="AJ157" s="157"/>
      <c r="AK157" s="157">
        <v>0</v>
      </c>
      <c r="AL157" s="157"/>
      <c r="AM157" s="157">
        <v>46.45</v>
      </c>
      <c r="AN157" s="157"/>
      <c r="AO157" s="157">
        <v>0</v>
      </c>
      <c r="AP157" s="157"/>
      <c r="AQ157" s="157">
        <v>0</v>
      </c>
      <c r="AR157" s="157"/>
      <c r="AS157" s="157">
        <v>0</v>
      </c>
      <c r="AT157" s="157"/>
      <c r="AU157" s="157">
        <v>0</v>
      </c>
      <c r="AV157" s="157"/>
      <c r="AW157" s="157">
        <v>0</v>
      </c>
      <c r="AX157" s="157"/>
      <c r="AY157" s="157">
        <v>0</v>
      </c>
      <c r="AZ157" s="157"/>
      <c r="BA157" s="157">
        <v>0</v>
      </c>
      <c r="BB157" s="157"/>
      <c r="BC157" s="157">
        <v>0</v>
      </c>
      <c r="BD157" s="157"/>
      <c r="BE157" s="157">
        <v>0</v>
      </c>
      <c r="BF157" s="157"/>
      <c r="BG157" s="157">
        <v>0</v>
      </c>
      <c r="BH157" s="157"/>
      <c r="BI157" s="157">
        <v>0</v>
      </c>
      <c r="BJ157" s="157"/>
      <c r="BK157" s="157">
        <v>0</v>
      </c>
      <c r="BL157" s="157"/>
      <c r="BM157" s="157">
        <v>0</v>
      </c>
      <c r="BN157" s="157"/>
      <c r="BO157" s="157">
        <v>0</v>
      </c>
      <c r="BP157" s="157"/>
      <c r="BQ157" s="157">
        <v>0</v>
      </c>
      <c r="BR157" s="157"/>
      <c r="BS157" s="157">
        <v>0</v>
      </c>
    </row>
    <row r="158" spans="1:72" x14ac:dyDescent="0.2">
      <c r="A158" s="123" t="s">
        <v>1437</v>
      </c>
      <c r="B158" s="124" t="s">
        <v>1438</v>
      </c>
      <c r="C158" s="157">
        <v>0</v>
      </c>
      <c r="D158" s="157"/>
      <c r="E158" s="157">
        <v>0</v>
      </c>
      <c r="F158" s="157"/>
      <c r="G158" s="157">
        <v>0</v>
      </c>
      <c r="H158" s="157"/>
      <c r="I158" s="157">
        <v>0</v>
      </c>
      <c r="J158" s="157"/>
      <c r="K158" s="157">
        <v>0</v>
      </c>
      <c r="L158" s="157"/>
      <c r="M158" s="157">
        <v>0</v>
      </c>
      <c r="N158" s="157"/>
      <c r="O158" s="157">
        <v>0</v>
      </c>
      <c r="P158" s="157"/>
      <c r="Q158" s="157">
        <v>0</v>
      </c>
      <c r="R158" s="157"/>
      <c r="S158" s="157">
        <v>0</v>
      </c>
      <c r="T158" s="157"/>
      <c r="U158" s="157">
        <v>0</v>
      </c>
      <c r="V158" s="157"/>
      <c r="W158" s="157">
        <v>0</v>
      </c>
      <c r="X158" s="157"/>
      <c r="Y158" s="157">
        <v>0</v>
      </c>
      <c r="Z158" s="157"/>
      <c r="AA158" s="157">
        <v>0</v>
      </c>
      <c r="AB158" s="157"/>
      <c r="AC158" s="157">
        <v>0</v>
      </c>
      <c r="AD158" s="157"/>
      <c r="AE158" s="157">
        <v>0</v>
      </c>
      <c r="AF158" s="157"/>
      <c r="AG158" s="157">
        <v>0</v>
      </c>
      <c r="AH158" s="157"/>
      <c r="AI158" s="157">
        <v>0</v>
      </c>
      <c r="AJ158" s="157"/>
      <c r="AK158" s="157">
        <v>0</v>
      </c>
      <c r="AL158" s="157"/>
      <c r="AM158" s="157">
        <v>0</v>
      </c>
      <c r="AN158" s="157"/>
      <c r="AO158" s="157">
        <v>0</v>
      </c>
      <c r="AP158" s="157"/>
      <c r="AQ158" s="157">
        <v>0</v>
      </c>
      <c r="AR158" s="157"/>
      <c r="AS158" s="157">
        <v>0</v>
      </c>
      <c r="AT158" s="157"/>
      <c r="AU158" s="157">
        <v>0</v>
      </c>
      <c r="AV158" s="157"/>
      <c r="AW158" s="157">
        <v>0</v>
      </c>
      <c r="AX158" s="157"/>
      <c r="AY158" s="157">
        <v>0</v>
      </c>
      <c r="AZ158" s="157"/>
      <c r="BA158" s="157">
        <v>0</v>
      </c>
      <c r="BB158" s="157"/>
      <c r="BC158" s="157">
        <v>0</v>
      </c>
      <c r="BD158" s="157"/>
      <c r="BE158" s="157">
        <v>125.94</v>
      </c>
      <c r="BF158" s="157"/>
      <c r="BG158" s="157">
        <v>0</v>
      </c>
      <c r="BH158" s="157"/>
      <c r="BI158" s="157">
        <v>0</v>
      </c>
      <c r="BJ158" s="157"/>
      <c r="BK158" s="157">
        <v>0</v>
      </c>
      <c r="BL158" s="157"/>
      <c r="BM158" s="157">
        <v>0</v>
      </c>
      <c r="BN158" s="157"/>
      <c r="BO158" s="157">
        <v>0</v>
      </c>
      <c r="BP158" s="157"/>
      <c r="BQ158" s="157">
        <v>0</v>
      </c>
      <c r="BR158" s="157"/>
      <c r="BS158" s="157">
        <v>0</v>
      </c>
    </row>
    <row r="159" spans="1:72" x14ac:dyDescent="0.2">
      <c r="A159" s="123" t="s">
        <v>234</v>
      </c>
      <c r="B159" s="124" t="s">
        <v>235</v>
      </c>
      <c r="C159" s="157">
        <v>0</v>
      </c>
      <c r="D159" s="157"/>
      <c r="E159" s="157">
        <v>0</v>
      </c>
      <c r="F159" s="157"/>
      <c r="G159" s="157">
        <v>0</v>
      </c>
      <c r="H159" s="157"/>
      <c r="I159" s="157">
        <v>-102.96</v>
      </c>
      <c r="J159" s="157"/>
      <c r="K159" s="157">
        <v>0</v>
      </c>
      <c r="L159" s="157"/>
      <c r="M159" s="157">
        <v>0</v>
      </c>
      <c r="N159" s="157"/>
      <c r="O159" s="157">
        <v>0</v>
      </c>
      <c r="P159" s="157"/>
      <c r="Q159" s="157">
        <v>-102.96</v>
      </c>
      <c r="R159" s="157"/>
      <c r="S159" s="157">
        <v>0</v>
      </c>
      <c r="T159" s="157"/>
      <c r="U159" s="157">
        <v>-102.96</v>
      </c>
      <c r="V159" s="157"/>
      <c r="W159" s="157">
        <v>0</v>
      </c>
      <c r="X159" s="157"/>
      <c r="Y159" s="157">
        <v>-102.96</v>
      </c>
      <c r="Z159" s="157"/>
      <c r="AA159" s="157">
        <v>0</v>
      </c>
      <c r="AB159" s="157"/>
      <c r="AC159" s="157">
        <v>0</v>
      </c>
      <c r="AD159" s="157"/>
      <c r="AE159" s="157">
        <v>0</v>
      </c>
      <c r="AF159" s="157"/>
      <c r="AG159" s="157">
        <v>0</v>
      </c>
      <c r="AH159" s="157"/>
      <c r="AI159" s="157">
        <v>0</v>
      </c>
      <c r="AJ159" s="157"/>
      <c r="AK159" s="157">
        <v>0</v>
      </c>
      <c r="AL159" s="157"/>
      <c r="AM159" s="157">
        <v>-102.96</v>
      </c>
      <c r="AN159" s="157"/>
      <c r="AO159" s="157">
        <v>0</v>
      </c>
      <c r="AP159" s="157"/>
      <c r="AQ159" s="157">
        <v>-172.98</v>
      </c>
      <c r="AR159" s="157"/>
      <c r="AS159" s="157">
        <v>-38.04</v>
      </c>
      <c r="AT159" s="157">
        <f>AS159+AS160+AS124</f>
        <v>-7158.82</v>
      </c>
      <c r="AU159" s="157">
        <v>0</v>
      </c>
      <c r="AV159" s="157"/>
      <c r="AW159" s="157">
        <v>0</v>
      </c>
      <c r="AX159" s="157"/>
      <c r="AY159" s="157">
        <v>-127.2</v>
      </c>
      <c r="AZ159" s="157"/>
      <c r="BA159" s="157">
        <v>-57.22</v>
      </c>
      <c r="BB159" s="157"/>
      <c r="BC159" s="157">
        <v>0</v>
      </c>
      <c r="BD159" s="157"/>
      <c r="BE159" s="157">
        <v>0</v>
      </c>
      <c r="BF159" s="157"/>
      <c r="BG159" s="157">
        <v>-102.96</v>
      </c>
      <c r="BH159" s="157"/>
      <c r="BI159" s="157">
        <v>0</v>
      </c>
      <c r="BJ159" s="157"/>
      <c r="BK159" s="157">
        <v>-125.85</v>
      </c>
      <c r="BL159" s="157"/>
      <c r="BM159" s="157">
        <v>0</v>
      </c>
      <c r="BN159" s="157"/>
      <c r="BO159" s="157">
        <v>-102.96</v>
      </c>
      <c r="BP159" s="157"/>
      <c r="BQ159" s="157">
        <v>-127.2</v>
      </c>
      <c r="BR159" s="157"/>
      <c r="BS159" s="157">
        <v>-102.96</v>
      </c>
    </row>
    <row r="160" spans="1:72" x14ac:dyDescent="0.2">
      <c r="A160" s="123" t="s">
        <v>236</v>
      </c>
      <c r="B160" s="124" t="s">
        <v>237</v>
      </c>
      <c r="C160" s="157">
        <v>-1577.52</v>
      </c>
      <c r="D160" s="157">
        <f>C160+C124</f>
        <v>-5694.33</v>
      </c>
      <c r="E160" s="157">
        <v>-2888.15</v>
      </c>
      <c r="F160" s="157">
        <f>E160+E124</f>
        <v>-8449.57</v>
      </c>
      <c r="G160" s="157">
        <v>-3586.17</v>
      </c>
      <c r="H160" s="157">
        <f>G160+G124</f>
        <v>-7457.77</v>
      </c>
      <c r="I160" s="157">
        <v>-1931.11</v>
      </c>
      <c r="J160" s="157"/>
      <c r="K160" s="157">
        <v>-4884.28</v>
      </c>
      <c r="L160" s="157">
        <f>K160+K124</f>
        <v>-27213.98</v>
      </c>
      <c r="M160" s="157">
        <v>-1814.71</v>
      </c>
      <c r="N160" s="157">
        <f>M160+M124</f>
        <v>-5533.6900000000005</v>
      </c>
      <c r="O160" s="157">
        <v>-3132.17</v>
      </c>
      <c r="P160" s="157">
        <f>O160+O124</f>
        <v>-6145.8</v>
      </c>
      <c r="Q160" s="157">
        <v>-1968.14</v>
      </c>
      <c r="R160" s="157"/>
      <c r="S160" s="157">
        <v>-6065.58</v>
      </c>
      <c r="T160" s="157">
        <f>S160+S124+S125</f>
        <v>-11818.369999999999</v>
      </c>
      <c r="U160" s="157">
        <v>-1676.71</v>
      </c>
      <c r="V160" s="157"/>
      <c r="W160" s="157">
        <v>-1072.28</v>
      </c>
      <c r="X160" s="157">
        <f>SUM(W156:W160)+W124</f>
        <v>-16326.620000000003</v>
      </c>
      <c r="Y160" s="157">
        <v>-2535.67</v>
      </c>
      <c r="Z160" s="157"/>
      <c r="AA160" s="157">
        <v>-1531.77</v>
      </c>
      <c r="AB160" s="157">
        <f>AA160+AA124</f>
        <v>-5695.4599999999991</v>
      </c>
      <c r="AC160" s="157">
        <v>-1590.83</v>
      </c>
      <c r="AD160" s="157">
        <f>AC160+AC124</f>
        <v>-5008.3899999999994</v>
      </c>
      <c r="AE160" s="157">
        <v>-1519.73</v>
      </c>
      <c r="AF160" s="157">
        <f>AE160+' Working TB 12.31'!AE124</f>
        <v>-7273.7900000000009</v>
      </c>
      <c r="AG160" s="157">
        <v>-1309.45</v>
      </c>
      <c r="AH160" s="157">
        <f>AG160+AG124</f>
        <v>-5297.01</v>
      </c>
      <c r="AI160" s="157">
        <v>-1102.93</v>
      </c>
      <c r="AJ160" s="157">
        <f>AI160+AI124</f>
        <v>-3747.8599999999997</v>
      </c>
      <c r="AK160" s="157">
        <v>-1835.42</v>
      </c>
      <c r="AL160" s="157"/>
      <c r="AM160" s="157">
        <v>-3907.12</v>
      </c>
      <c r="AN160" s="157"/>
      <c r="AO160" s="157">
        <v>-1759.09</v>
      </c>
      <c r="AP160" s="157">
        <f>AO160+AO124</f>
        <v>-5228.6499999999996</v>
      </c>
      <c r="AQ160" s="157">
        <v>-3366.62</v>
      </c>
      <c r="AR160" s="157"/>
      <c r="AS160" s="157">
        <v>-2852.75</v>
      </c>
      <c r="AT160" s="157"/>
      <c r="AU160" s="157">
        <v>-4151.62</v>
      </c>
      <c r="AV160" s="157">
        <f>AU160+AU124</f>
        <v>-11324.11</v>
      </c>
      <c r="AW160" s="157">
        <v>-1080.1199999999999</v>
      </c>
      <c r="AX160" s="157"/>
      <c r="AY160" s="157">
        <v>-1476.2</v>
      </c>
      <c r="AZ160" s="157"/>
      <c r="BA160" s="157">
        <v>-1894.8</v>
      </c>
      <c r="BB160" s="157"/>
      <c r="BC160" s="157">
        <v>-3000.95</v>
      </c>
      <c r="BD160" s="157"/>
      <c r="BE160" s="157">
        <v>-1967.35</v>
      </c>
      <c r="BF160" s="157"/>
      <c r="BG160" s="157">
        <v>-2649.96</v>
      </c>
      <c r="BH160" s="157"/>
      <c r="BI160" s="157">
        <v>-2089.04</v>
      </c>
      <c r="BJ160" s="157">
        <f>SUM(BI160:BI161)+BI124+BI134+BI135+BI140+BI141</f>
        <v>-72683.859999999986</v>
      </c>
      <c r="BK160" s="157">
        <v>-4180.3</v>
      </c>
      <c r="BL160" s="157"/>
      <c r="BM160" s="157">
        <v>-2183.66</v>
      </c>
      <c r="BN160" s="157">
        <f>BM160+BM124</f>
        <v>-5369.03</v>
      </c>
      <c r="BO160" s="157">
        <v>-1874.39</v>
      </c>
      <c r="BP160" s="157"/>
      <c r="BQ160" s="157">
        <v>-2391.73</v>
      </c>
      <c r="BR160" s="157"/>
      <c r="BS160" s="157">
        <v>-1729.35</v>
      </c>
    </row>
    <row r="161" spans="1:72" x14ac:dyDescent="0.2">
      <c r="A161" s="123" t="s">
        <v>238</v>
      </c>
      <c r="B161" s="124" t="s">
        <v>239</v>
      </c>
      <c r="C161" s="157">
        <v>0</v>
      </c>
      <c r="D161" s="157"/>
      <c r="E161" s="157">
        <v>0</v>
      </c>
      <c r="F161" s="157"/>
      <c r="G161" s="157">
        <v>0</v>
      </c>
      <c r="H161" s="157"/>
      <c r="I161" s="157">
        <v>-2.61</v>
      </c>
      <c r="J161" s="157">
        <f>SUM(I159:I161)+I140+I141+I144+I145+I146+I147+I124</f>
        <v>-34949.749999999985</v>
      </c>
      <c r="K161" s="157">
        <v>0</v>
      </c>
      <c r="L161" s="157"/>
      <c r="M161" s="157">
        <v>0</v>
      </c>
      <c r="N161" s="157"/>
      <c r="O161" s="157">
        <v>0</v>
      </c>
      <c r="P161" s="157"/>
      <c r="Q161" s="157">
        <v>-1.04</v>
      </c>
      <c r="R161" s="157"/>
      <c r="S161" s="157">
        <v>0</v>
      </c>
      <c r="T161" s="157"/>
      <c r="U161" s="157">
        <v>-1.57</v>
      </c>
      <c r="V161" s="157"/>
      <c r="W161" s="157">
        <v>0</v>
      </c>
      <c r="X161" s="157"/>
      <c r="Y161" s="157">
        <v>-1.04</v>
      </c>
      <c r="Z161" s="157"/>
      <c r="AA161" s="157">
        <v>0</v>
      </c>
      <c r="AB161" s="157"/>
      <c r="AC161" s="157">
        <v>0</v>
      </c>
      <c r="AD161" s="157"/>
      <c r="AE161" s="157">
        <v>0</v>
      </c>
      <c r="AF161" s="157"/>
      <c r="AG161" s="157">
        <v>0</v>
      </c>
      <c r="AH161" s="157"/>
      <c r="AI161" s="157">
        <v>0</v>
      </c>
      <c r="AJ161" s="157"/>
      <c r="AK161" s="157">
        <v>-2.09</v>
      </c>
      <c r="AL161" s="157"/>
      <c r="AM161" s="157">
        <v>-1.83</v>
      </c>
      <c r="AN161" s="157"/>
      <c r="AO161" s="157">
        <v>0</v>
      </c>
      <c r="AP161" s="157"/>
      <c r="AQ161" s="157">
        <v>-1.57</v>
      </c>
      <c r="AR161" s="157"/>
      <c r="AS161" s="157">
        <v>0</v>
      </c>
      <c r="AT161" s="157"/>
      <c r="AU161" s="157">
        <v>0</v>
      </c>
      <c r="AV161" s="157"/>
      <c r="AW161" s="157">
        <v>-1.57</v>
      </c>
      <c r="AX161" s="157"/>
      <c r="AY161" s="157">
        <v>-2.09</v>
      </c>
      <c r="AZ161" s="157"/>
      <c r="BA161" s="157">
        <v>-2.09</v>
      </c>
      <c r="BB161" s="157"/>
      <c r="BC161" s="157">
        <v>-2.09</v>
      </c>
      <c r="BD161" s="157"/>
      <c r="BE161" s="157">
        <v>-2.09</v>
      </c>
      <c r="BF161" s="157"/>
      <c r="BG161" s="157">
        <v>-0.52</v>
      </c>
      <c r="BH161" s="157"/>
      <c r="BI161" s="157">
        <v>-2.09</v>
      </c>
      <c r="BJ161" s="157"/>
      <c r="BK161" s="157">
        <v>-2.09</v>
      </c>
      <c r="BL161" s="157"/>
      <c r="BM161" s="157">
        <v>0</v>
      </c>
      <c r="BN161" s="157"/>
      <c r="BO161" s="157">
        <v>-1.57</v>
      </c>
      <c r="BP161" s="157"/>
      <c r="BQ161" s="157">
        <v>-1.57</v>
      </c>
      <c r="BR161" s="157"/>
      <c r="BS161" s="157">
        <v>-2.09</v>
      </c>
    </row>
    <row r="162" spans="1:72" x14ac:dyDescent="0.2">
      <c r="A162" s="123" t="s">
        <v>568</v>
      </c>
      <c r="B162" s="124" t="s">
        <v>567</v>
      </c>
      <c r="C162" s="157">
        <v>0</v>
      </c>
      <c r="D162" s="157"/>
      <c r="E162" s="157">
        <v>0</v>
      </c>
      <c r="F162" s="157"/>
      <c r="G162" s="157">
        <v>0</v>
      </c>
      <c r="H162" s="157"/>
      <c r="I162" s="157">
        <v>0</v>
      </c>
      <c r="J162" s="157"/>
      <c r="K162" s="157">
        <v>0</v>
      </c>
      <c r="L162" s="157"/>
      <c r="M162" s="157">
        <v>0</v>
      </c>
      <c r="N162" s="157"/>
      <c r="O162" s="157">
        <v>0</v>
      </c>
      <c r="P162" s="157"/>
      <c r="Q162" s="157">
        <v>0</v>
      </c>
      <c r="R162" s="157"/>
      <c r="S162" s="157">
        <v>0</v>
      </c>
      <c r="T162" s="157"/>
      <c r="U162" s="157">
        <v>0</v>
      </c>
      <c r="V162" s="157"/>
      <c r="W162" s="157">
        <v>0</v>
      </c>
      <c r="X162" s="157"/>
      <c r="Y162" s="157">
        <v>0</v>
      </c>
      <c r="Z162" s="157"/>
      <c r="AA162" s="157">
        <v>0</v>
      </c>
      <c r="AB162" s="157"/>
      <c r="AC162" s="157">
        <v>0</v>
      </c>
      <c r="AD162" s="157"/>
      <c r="AE162" s="157">
        <v>0</v>
      </c>
      <c r="AF162" s="157"/>
      <c r="AG162" s="157">
        <v>0</v>
      </c>
      <c r="AH162" s="157"/>
      <c r="AI162" s="157">
        <v>0</v>
      </c>
      <c r="AJ162" s="157"/>
      <c r="AK162" s="157">
        <v>0</v>
      </c>
      <c r="AL162" s="157"/>
      <c r="AM162" s="157">
        <v>0</v>
      </c>
      <c r="AN162" s="157"/>
      <c r="AO162" s="157">
        <v>0</v>
      </c>
      <c r="AP162" s="157"/>
      <c r="AQ162" s="157">
        <v>0</v>
      </c>
      <c r="AR162" s="157"/>
      <c r="AS162" s="157">
        <v>0</v>
      </c>
      <c r="AT162" s="157"/>
      <c r="AU162" s="157">
        <v>0.01</v>
      </c>
      <c r="AV162" s="157"/>
      <c r="AW162" s="157">
        <v>0</v>
      </c>
      <c r="AX162" s="157"/>
      <c r="AY162" s="157">
        <v>0</v>
      </c>
      <c r="AZ162" s="157"/>
      <c r="BA162" s="157">
        <v>0</v>
      </c>
      <c r="BB162" s="157"/>
      <c r="BC162" s="157">
        <v>0</v>
      </c>
      <c r="BD162" s="157"/>
      <c r="BE162" s="157">
        <v>0</v>
      </c>
      <c r="BF162" s="157"/>
      <c r="BG162" s="157">
        <v>-0.01</v>
      </c>
      <c r="BH162" s="157">
        <f>SUM(BG159:BG162)+BG141+BG140+BG135+BG134+BG124</f>
        <v>-49899.97</v>
      </c>
      <c r="BI162" s="157">
        <v>0.01</v>
      </c>
      <c r="BJ162" s="157"/>
      <c r="BK162" s="157">
        <v>0</v>
      </c>
      <c r="BL162" s="157"/>
      <c r="BM162" s="157">
        <v>0</v>
      </c>
      <c r="BN162" s="157"/>
      <c r="BO162" s="157">
        <v>0</v>
      </c>
      <c r="BP162" s="157"/>
      <c r="BQ162" s="157">
        <v>0</v>
      </c>
      <c r="BR162" s="157"/>
      <c r="BS162" s="157">
        <v>0</v>
      </c>
    </row>
    <row r="163" spans="1:72" x14ac:dyDescent="0.2">
      <c r="A163" s="123" t="s">
        <v>240</v>
      </c>
      <c r="B163" s="124" t="s">
        <v>241</v>
      </c>
      <c r="C163" s="157">
        <v>-45454</v>
      </c>
      <c r="D163" s="157">
        <f>SUM(C163:C167)</f>
        <v>-55363.99</v>
      </c>
      <c r="E163" s="157">
        <v>-46344</v>
      </c>
      <c r="F163" s="157">
        <f>SUM(E163:E167)</f>
        <v>-52426.19</v>
      </c>
      <c r="G163" s="157">
        <v>-42522</v>
      </c>
      <c r="H163" s="157">
        <f>SUM(G163:G167)</f>
        <v>-56435.839999999997</v>
      </c>
      <c r="I163" s="157">
        <v>-40554</v>
      </c>
      <c r="J163" s="157">
        <f>SUM(I163:I167)</f>
        <v>-49852.24</v>
      </c>
      <c r="K163" s="157">
        <v>-53250.15</v>
      </c>
      <c r="L163" s="157">
        <f>SUM(K163:K167)</f>
        <v>-64144.51</v>
      </c>
      <c r="M163" s="157">
        <v>-39775</v>
      </c>
      <c r="N163" s="157">
        <f>SUM(M163:M167)</f>
        <v>-47558.44</v>
      </c>
      <c r="O163" s="157">
        <v>-35517</v>
      </c>
      <c r="P163" s="157">
        <f>SUM(O163:O167)</f>
        <v>-44779.6</v>
      </c>
      <c r="Q163" s="157">
        <v>-28755</v>
      </c>
      <c r="R163" s="157">
        <f>SUM(Q163:Q167)</f>
        <v>-35412.46</v>
      </c>
      <c r="S163" s="157">
        <v>-41552</v>
      </c>
      <c r="T163" s="157">
        <f>SUM(S163:S167)</f>
        <v>-46158.15</v>
      </c>
      <c r="U163" s="157">
        <v>-52426</v>
      </c>
      <c r="V163" s="157">
        <f>SUM(U163:U167)</f>
        <v>-64348.32</v>
      </c>
      <c r="W163" s="157">
        <v>-31390</v>
      </c>
      <c r="X163" s="157">
        <f>SUM(W163:W167)</f>
        <v>-33997.79</v>
      </c>
      <c r="Y163" s="157">
        <v>-43394</v>
      </c>
      <c r="Z163" s="157">
        <f>SUM(Y163:Y167)</f>
        <v>-54746.18</v>
      </c>
      <c r="AA163" s="157">
        <v>-48281</v>
      </c>
      <c r="AB163" s="157">
        <f>SUM(AA163:AA167)</f>
        <v>-61474.44</v>
      </c>
      <c r="AC163" s="157">
        <v>-33068</v>
      </c>
      <c r="AD163" s="157">
        <f>SUM(AC163:AC167)</f>
        <v>-38573.79</v>
      </c>
      <c r="AE163" s="157">
        <v>-67676</v>
      </c>
      <c r="AF163" s="157">
        <f>SUM(AE163:AE167)</f>
        <v>-81141.679999999993</v>
      </c>
      <c r="AG163" s="157">
        <v>-46599</v>
      </c>
      <c r="AH163" s="157">
        <f>SUM(AG163:AG167)</f>
        <v>-56721.270000000004</v>
      </c>
      <c r="AI163" s="157">
        <v>-26831</v>
      </c>
      <c r="AJ163" s="157">
        <f>SUM(AI163:AI167)</f>
        <v>-29585.98</v>
      </c>
      <c r="AK163" s="157">
        <v>-43436</v>
      </c>
      <c r="AL163" s="157">
        <f>SUM(AK163:AK167)</f>
        <v>-50283.85</v>
      </c>
      <c r="AM163" s="157">
        <v>-70970</v>
      </c>
      <c r="AN163" s="157">
        <f>SUM(AM163:AM167)</f>
        <v>-80306.789999999994</v>
      </c>
      <c r="AO163" s="157">
        <v>-39133</v>
      </c>
      <c r="AP163" s="157">
        <f>SUM(AO163:AO167)</f>
        <v>-48777.17</v>
      </c>
      <c r="AQ163" s="157">
        <v>-45553</v>
      </c>
      <c r="AR163" s="157">
        <f>SUM(AQ163:AQ167)</f>
        <v>-55247.46</v>
      </c>
      <c r="AS163" s="157">
        <v>-51181</v>
      </c>
      <c r="AT163" s="157">
        <f>SUM(AS163:AS167)</f>
        <v>-64657.509999999995</v>
      </c>
      <c r="AU163" s="157">
        <v>-27347</v>
      </c>
      <c r="AV163" s="157">
        <f>SUM(AU163:AU167)</f>
        <v>-35777.89</v>
      </c>
      <c r="AW163" s="157">
        <v>-30964</v>
      </c>
      <c r="AX163" s="157">
        <f>SUM(AW163:AW167)</f>
        <v>-32738.240000000002</v>
      </c>
      <c r="AY163" s="157">
        <v>-51165</v>
      </c>
      <c r="AZ163" s="157">
        <f>SUM(AY163:AY167)</f>
        <v>-64151.79</v>
      </c>
      <c r="BA163" s="157">
        <v>-42206</v>
      </c>
      <c r="BB163" s="157">
        <f>SUM(BA163:BA167)</f>
        <v>-43349.08</v>
      </c>
      <c r="BC163" s="157">
        <v>-59997</v>
      </c>
      <c r="BD163" s="157">
        <f>SUM(BC163:BC167)</f>
        <v>-67911.969999999987</v>
      </c>
      <c r="BE163" s="157">
        <v>-35552</v>
      </c>
      <c r="BF163" s="157">
        <f>SUM(BE163:BE167)</f>
        <v>-39771.89</v>
      </c>
      <c r="BG163" s="157">
        <v>-33161</v>
      </c>
      <c r="BH163" s="157">
        <f>SUM(BG163:BG167)</f>
        <v>-39639.51</v>
      </c>
      <c r="BI163" s="157">
        <v>-36919</v>
      </c>
      <c r="BJ163" s="157">
        <f>SUM(BI163:BI167)</f>
        <v>-43747.19</v>
      </c>
      <c r="BK163" s="157">
        <v>-50790</v>
      </c>
      <c r="BL163" s="157">
        <f>SUM(BK163:BK167)</f>
        <v>-62994.909999999996</v>
      </c>
      <c r="BM163" s="157">
        <v>-33792</v>
      </c>
      <c r="BN163" s="157">
        <f>SUM(BM163:BM167)</f>
        <v>-36375.22</v>
      </c>
      <c r="BO163" s="157">
        <v>-48540</v>
      </c>
      <c r="BP163" s="157">
        <f>SUM(BO163:BO167)</f>
        <v>-59428.149999999994</v>
      </c>
      <c r="BQ163" s="157">
        <v>-48138</v>
      </c>
      <c r="BR163" s="157">
        <f>SUM(BQ163:BQ167)</f>
        <v>-57935.520000000004</v>
      </c>
      <c r="BS163" s="157">
        <v>-40736</v>
      </c>
      <c r="BT163" s="168">
        <f>SUM(BS163:BS167)</f>
        <v>-48551.99</v>
      </c>
    </row>
    <row r="164" spans="1:72" x14ac:dyDescent="0.2">
      <c r="A164" s="123" t="s">
        <v>482</v>
      </c>
      <c r="B164" s="124" t="s">
        <v>483</v>
      </c>
      <c r="C164" s="157">
        <v>0</v>
      </c>
      <c r="D164" s="157"/>
      <c r="E164" s="157">
        <v>0</v>
      </c>
      <c r="F164" s="157"/>
      <c r="G164" s="157">
        <v>0</v>
      </c>
      <c r="H164" s="157"/>
      <c r="I164" s="157">
        <v>0</v>
      </c>
      <c r="J164" s="157"/>
      <c r="K164" s="157">
        <v>0</v>
      </c>
      <c r="L164" s="157"/>
      <c r="M164" s="157">
        <v>0</v>
      </c>
      <c r="N164" s="157"/>
      <c r="O164" s="157">
        <v>0</v>
      </c>
      <c r="P164" s="157"/>
      <c r="Q164" s="157">
        <v>0</v>
      </c>
      <c r="R164" s="157"/>
      <c r="S164" s="157">
        <v>0</v>
      </c>
      <c r="T164" s="157"/>
      <c r="U164" s="157">
        <v>0</v>
      </c>
      <c r="V164" s="157"/>
      <c r="W164" s="157">
        <v>0</v>
      </c>
      <c r="X164" s="157"/>
      <c r="Y164" s="157">
        <v>0</v>
      </c>
      <c r="Z164" s="157"/>
      <c r="AA164" s="157">
        <v>0</v>
      </c>
      <c r="AB164" s="157"/>
      <c r="AC164" s="157">
        <v>0</v>
      </c>
      <c r="AD164" s="157"/>
      <c r="AE164" s="157">
        <v>0</v>
      </c>
      <c r="AF164" s="157"/>
      <c r="AG164" s="157">
        <v>0</v>
      </c>
      <c r="AH164" s="157"/>
      <c r="AI164" s="157">
        <v>0</v>
      </c>
      <c r="AJ164" s="157"/>
      <c r="AK164" s="157">
        <v>0</v>
      </c>
      <c r="AL164" s="157"/>
      <c r="AM164" s="157">
        <v>0</v>
      </c>
      <c r="AN164" s="157"/>
      <c r="AO164" s="157">
        <v>0</v>
      </c>
      <c r="AP164" s="157"/>
      <c r="AQ164" s="157">
        <v>0</v>
      </c>
      <c r="AR164" s="157"/>
      <c r="AS164" s="157">
        <v>0</v>
      </c>
      <c r="AT164" s="157"/>
      <c r="AU164" s="157">
        <v>0</v>
      </c>
      <c r="AV164" s="157"/>
      <c r="AW164" s="157">
        <v>0</v>
      </c>
      <c r="AX164" s="157"/>
      <c r="AY164" s="157">
        <v>0</v>
      </c>
      <c r="AZ164" s="157"/>
      <c r="BA164" s="157">
        <v>0</v>
      </c>
      <c r="BB164" s="157"/>
      <c r="BC164" s="157">
        <v>0</v>
      </c>
      <c r="BD164" s="157"/>
      <c r="BE164" s="157">
        <v>0</v>
      </c>
      <c r="BF164" s="157"/>
      <c r="BG164" s="157">
        <v>0</v>
      </c>
      <c r="BH164" s="157"/>
      <c r="BI164" s="157">
        <v>0</v>
      </c>
      <c r="BJ164" s="157"/>
      <c r="BK164" s="157">
        <v>0</v>
      </c>
      <c r="BL164" s="157"/>
      <c r="BM164" s="157">
        <v>0</v>
      </c>
      <c r="BN164" s="157"/>
      <c r="BO164" s="157">
        <v>0</v>
      </c>
      <c r="BP164" s="157"/>
      <c r="BQ164" s="157">
        <v>-300</v>
      </c>
      <c r="BR164" s="157"/>
      <c r="BS164" s="157">
        <v>0</v>
      </c>
    </row>
    <row r="165" spans="1:72" x14ac:dyDescent="0.2">
      <c r="A165" s="123" t="s">
        <v>242</v>
      </c>
      <c r="B165" s="124" t="s">
        <v>243</v>
      </c>
      <c r="C165" s="157">
        <v>-3900</v>
      </c>
      <c r="D165" s="157"/>
      <c r="E165" s="157">
        <v>-4000</v>
      </c>
      <c r="F165" s="157"/>
      <c r="G165" s="157">
        <v>-6650</v>
      </c>
      <c r="H165" s="157"/>
      <c r="I165" s="157">
        <v>-3200</v>
      </c>
      <c r="J165" s="157"/>
      <c r="K165" s="157">
        <v>0</v>
      </c>
      <c r="L165" s="157"/>
      <c r="M165" s="157">
        <v>-1550</v>
      </c>
      <c r="N165" s="157"/>
      <c r="O165" s="157">
        <v>-4350</v>
      </c>
      <c r="P165" s="157"/>
      <c r="Q165" s="157">
        <v>-3000</v>
      </c>
      <c r="R165" s="157"/>
      <c r="S165" s="157">
        <v>-2800</v>
      </c>
      <c r="T165" s="157"/>
      <c r="U165" s="157">
        <v>-3900</v>
      </c>
      <c r="V165" s="157"/>
      <c r="W165" s="157">
        <v>-1350</v>
      </c>
      <c r="X165" s="157"/>
      <c r="Y165" s="157">
        <v>-2500</v>
      </c>
      <c r="Z165" s="157"/>
      <c r="AA165" s="157">
        <v>-5550</v>
      </c>
      <c r="AB165" s="157"/>
      <c r="AC165" s="157">
        <v>-4100</v>
      </c>
      <c r="AD165" s="157"/>
      <c r="AE165" s="157">
        <v>-5600</v>
      </c>
      <c r="AF165" s="157"/>
      <c r="AG165" s="157">
        <v>-900</v>
      </c>
      <c r="AH165" s="157"/>
      <c r="AI165" s="157">
        <v>-1700</v>
      </c>
      <c r="AJ165" s="157"/>
      <c r="AK165" s="157">
        <v>-5346</v>
      </c>
      <c r="AL165" s="157"/>
      <c r="AM165" s="157">
        <v>-1250</v>
      </c>
      <c r="AN165" s="157"/>
      <c r="AO165" s="157">
        <v>-2700</v>
      </c>
      <c r="AP165" s="157"/>
      <c r="AQ165" s="157">
        <v>-4800</v>
      </c>
      <c r="AR165" s="157"/>
      <c r="AS165" s="157">
        <v>-4800</v>
      </c>
      <c r="AT165" s="157"/>
      <c r="AU165" s="157">
        <v>0</v>
      </c>
      <c r="AV165" s="157"/>
      <c r="AW165" s="157">
        <v>-500</v>
      </c>
      <c r="AX165" s="157"/>
      <c r="AY165" s="157">
        <v>-5100</v>
      </c>
      <c r="AZ165" s="157"/>
      <c r="BA165" s="157">
        <v>-900</v>
      </c>
      <c r="BB165" s="157"/>
      <c r="BC165" s="157">
        <v>0</v>
      </c>
      <c r="BD165" s="157"/>
      <c r="BE165" s="157">
        <v>0</v>
      </c>
      <c r="BF165" s="157"/>
      <c r="BG165" s="157">
        <v>-700</v>
      </c>
      <c r="BH165" s="157"/>
      <c r="BI165" s="157">
        <v>0</v>
      </c>
      <c r="BJ165" s="157"/>
      <c r="BK165" s="157">
        <v>-4800</v>
      </c>
      <c r="BL165" s="157"/>
      <c r="BM165" s="157">
        <v>0</v>
      </c>
      <c r="BN165" s="157"/>
      <c r="BO165" s="157">
        <v>-2400</v>
      </c>
      <c r="BP165" s="157"/>
      <c r="BQ165" s="157">
        <v>-2180</v>
      </c>
      <c r="BR165" s="157"/>
      <c r="BS165" s="157">
        <v>-2400</v>
      </c>
    </row>
    <row r="166" spans="1:72" x14ac:dyDescent="0.2">
      <c r="A166" s="123" t="s">
        <v>244</v>
      </c>
      <c r="B166" s="124" t="s">
        <v>245</v>
      </c>
      <c r="C166" s="157">
        <v>-6106.99</v>
      </c>
      <c r="D166" s="157"/>
      <c r="E166" s="157">
        <v>-2082.19</v>
      </c>
      <c r="F166" s="157"/>
      <c r="G166" s="157">
        <v>-7262.84</v>
      </c>
      <c r="H166" s="157"/>
      <c r="I166" s="157">
        <v>-6098.24</v>
      </c>
      <c r="J166" s="157"/>
      <c r="K166" s="157">
        <v>-10176.36</v>
      </c>
      <c r="L166" s="157"/>
      <c r="M166" s="157">
        <v>-6645.44</v>
      </c>
      <c r="N166" s="157"/>
      <c r="O166" s="157">
        <v>-4912.6000000000004</v>
      </c>
      <c r="P166" s="157"/>
      <c r="Q166" s="157">
        <v>-3641.46</v>
      </c>
      <c r="R166" s="157"/>
      <c r="S166" s="157">
        <v>-1806.15</v>
      </c>
      <c r="T166" s="157"/>
      <c r="U166" s="157">
        <v>-8022.32</v>
      </c>
      <c r="V166" s="157"/>
      <c r="W166" s="157">
        <v>-1118.79</v>
      </c>
      <c r="X166" s="157"/>
      <c r="Y166" s="157">
        <v>-8677.9</v>
      </c>
      <c r="Z166" s="157"/>
      <c r="AA166" s="157">
        <v>-7643.44</v>
      </c>
      <c r="AB166" s="157"/>
      <c r="AC166" s="157">
        <v>-1405.79</v>
      </c>
      <c r="AD166" s="157"/>
      <c r="AE166" s="157">
        <v>-7865.68</v>
      </c>
      <c r="AF166" s="157"/>
      <c r="AG166" s="157">
        <v>-9222.27</v>
      </c>
      <c r="AH166" s="157"/>
      <c r="AI166" s="157">
        <v>-1054.98</v>
      </c>
      <c r="AJ166" s="157"/>
      <c r="AK166" s="157">
        <v>-1688.85</v>
      </c>
      <c r="AL166" s="157"/>
      <c r="AM166" s="157">
        <v>-8086.79</v>
      </c>
      <c r="AN166" s="157"/>
      <c r="AO166" s="157">
        <v>-6912.17</v>
      </c>
      <c r="AP166" s="157"/>
      <c r="AQ166" s="157">
        <v>-5294.46</v>
      </c>
      <c r="AR166" s="157"/>
      <c r="AS166" s="157">
        <v>-7456.63</v>
      </c>
      <c r="AT166" s="157"/>
      <c r="AU166" s="157">
        <v>-8430.89</v>
      </c>
      <c r="AV166" s="157"/>
      <c r="AW166" s="157">
        <v>-1274.24</v>
      </c>
      <c r="AX166" s="157"/>
      <c r="AY166" s="157">
        <v>-7886.79</v>
      </c>
      <c r="AZ166" s="157"/>
      <c r="BA166" s="157">
        <v>-243.08</v>
      </c>
      <c r="BB166" s="157"/>
      <c r="BC166" s="157">
        <v>-7915.43</v>
      </c>
      <c r="BD166" s="157"/>
      <c r="BE166" s="157">
        <v>-4419.43</v>
      </c>
      <c r="BF166" s="157"/>
      <c r="BG166" s="157">
        <v>-5778.51</v>
      </c>
      <c r="BH166" s="157"/>
      <c r="BI166" s="157">
        <v>-5703.19</v>
      </c>
      <c r="BJ166" s="157"/>
      <c r="BK166" s="157">
        <v>-7385.88</v>
      </c>
      <c r="BL166" s="157"/>
      <c r="BM166" s="157">
        <v>-2583.2199999999998</v>
      </c>
      <c r="BN166" s="157"/>
      <c r="BO166" s="157">
        <v>-7711.09</v>
      </c>
      <c r="BP166" s="157"/>
      <c r="BQ166" s="157">
        <v>-7141.52</v>
      </c>
      <c r="BR166" s="157"/>
      <c r="BS166" s="157">
        <v>-5415.99</v>
      </c>
    </row>
    <row r="167" spans="1:72" x14ac:dyDescent="0.2">
      <c r="A167" s="123" t="s">
        <v>246</v>
      </c>
      <c r="B167" s="124" t="s">
        <v>247</v>
      </c>
      <c r="C167" s="157">
        <v>97</v>
      </c>
      <c r="D167" s="157"/>
      <c r="E167" s="157">
        <v>0</v>
      </c>
      <c r="F167" s="157"/>
      <c r="G167" s="157">
        <v>-1</v>
      </c>
      <c r="H167" s="157"/>
      <c r="I167" s="157">
        <v>0</v>
      </c>
      <c r="J167" s="157"/>
      <c r="K167" s="157">
        <v>-718</v>
      </c>
      <c r="L167" s="157"/>
      <c r="M167" s="157">
        <v>412</v>
      </c>
      <c r="N167" s="157"/>
      <c r="O167" s="157">
        <v>0</v>
      </c>
      <c r="P167" s="157"/>
      <c r="Q167" s="157">
        <v>-16</v>
      </c>
      <c r="R167" s="157"/>
      <c r="S167" s="157">
        <v>0</v>
      </c>
      <c r="T167" s="157"/>
      <c r="U167" s="157">
        <v>0</v>
      </c>
      <c r="V167" s="157"/>
      <c r="W167" s="157">
        <v>-139</v>
      </c>
      <c r="X167" s="157"/>
      <c r="Y167" s="157">
        <v>-174.28</v>
      </c>
      <c r="Z167" s="157"/>
      <c r="AA167" s="157">
        <v>0</v>
      </c>
      <c r="AB167" s="157"/>
      <c r="AC167" s="157">
        <v>0</v>
      </c>
      <c r="AD167" s="157"/>
      <c r="AE167" s="157">
        <v>0</v>
      </c>
      <c r="AF167" s="157"/>
      <c r="AG167" s="157">
        <v>0</v>
      </c>
      <c r="AH167" s="157"/>
      <c r="AI167" s="157">
        <v>0</v>
      </c>
      <c r="AJ167" s="157"/>
      <c r="AK167" s="157">
        <v>187</v>
      </c>
      <c r="AL167" s="157"/>
      <c r="AM167" s="157">
        <v>0</v>
      </c>
      <c r="AN167" s="157"/>
      <c r="AO167" s="157">
        <v>-32</v>
      </c>
      <c r="AP167" s="157"/>
      <c r="AQ167" s="157">
        <v>400</v>
      </c>
      <c r="AR167" s="157"/>
      <c r="AS167" s="157">
        <v>-1219.8800000000001</v>
      </c>
      <c r="AT167" s="157"/>
      <c r="AU167" s="157">
        <v>0</v>
      </c>
      <c r="AV167" s="157"/>
      <c r="AW167" s="157">
        <v>0</v>
      </c>
      <c r="AX167" s="157"/>
      <c r="AY167" s="157">
        <v>0</v>
      </c>
      <c r="AZ167" s="157"/>
      <c r="BA167" s="157">
        <v>0</v>
      </c>
      <c r="BB167" s="157"/>
      <c r="BC167" s="157">
        <v>0.46</v>
      </c>
      <c r="BD167" s="157"/>
      <c r="BE167" s="157">
        <v>199.54</v>
      </c>
      <c r="BF167" s="157"/>
      <c r="BG167" s="157">
        <v>0</v>
      </c>
      <c r="BH167" s="157"/>
      <c r="BI167" s="157">
        <v>-1125</v>
      </c>
      <c r="BJ167" s="157"/>
      <c r="BK167" s="157">
        <v>-19.03</v>
      </c>
      <c r="BL167" s="157"/>
      <c r="BM167" s="157">
        <v>0</v>
      </c>
      <c r="BN167" s="157"/>
      <c r="BO167" s="157">
        <v>-777.06</v>
      </c>
      <c r="BP167" s="157"/>
      <c r="BQ167" s="157">
        <v>-176</v>
      </c>
      <c r="BR167" s="157"/>
      <c r="BS167" s="157">
        <v>0</v>
      </c>
    </row>
    <row r="168" spans="1:72" x14ac:dyDescent="0.2">
      <c r="A168" s="123" t="s">
        <v>248</v>
      </c>
      <c r="B168" s="124" t="s">
        <v>249</v>
      </c>
      <c r="C168" s="157">
        <v>-7827.5</v>
      </c>
      <c r="D168" s="157"/>
      <c r="E168" s="157">
        <v>0</v>
      </c>
      <c r="F168" s="157"/>
      <c r="G168" s="157">
        <v>-7750</v>
      </c>
      <c r="H168" s="157"/>
      <c r="I168" s="157">
        <v>-7827.5</v>
      </c>
      <c r="J168" s="157"/>
      <c r="K168" s="157">
        <v>-13175</v>
      </c>
      <c r="L168" s="157"/>
      <c r="M168" s="157">
        <v>-7672.5</v>
      </c>
      <c r="N168" s="157"/>
      <c r="O168" s="157">
        <v>0</v>
      </c>
      <c r="P168" s="157"/>
      <c r="Q168" s="157">
        <v>-6200</v>
      </c>
      <c r="R168" s="157"/>
      <c r="S168" s="157">
        <v>-7750</v>
      </c>
      <c r="T168" s="157"/>
      <c r="U168" s="157">
        <v>-8190</v>
      </c>
      <c r="V168" s="157"/>
      <c r="W168" s="157">
        <v>-6200</v>
      </c>
      <c r="X168" s="157"/>
      <c r="Y168" s="157">
        <v>-7750</v>
      </c>
      <c r="Z168" s="157"/>
      <c r="AA168" s="157">
        <v>-7750</v>
      </c>
      <c r="AB168" s="157"/>
      <c r="AC168" s="157">
        <v>-6200</v>
      </c>
      <c r="AD168" s="157"/>
      <c r="AE168" s="157">
        <v>-13199.95</v>
      </c>
      <c r="AF168" s="157"/>
      <c r="AG168" s="157">
        <v>-7827.5</v>
      </c>
      <c r="AH168" s="157"/>
      <c r="AI168" s="157">
        <v>-4960</v>
      </c>
      <c r="AJ168" s="157"/>
      <c r="AK168" s="157">
        <v>-7905</v>
      </c>
      <c r="AL168" s="157"/>
      <c r="AM168" s="157">
        <v>-11857.5</v>
      </c>
      <c r="AN168" s="157"/>
      <c r="AO168" s="157">
        <v>-7052.5</v>
      </c>
      <c r="AP168" s="157"/>
      <c r="AQ168" s="157">
        <v>-3991.01</v>
      </c>
      <c r="AR168" s="157"/>
      <c r="AS168" s="157">
        <v>-7827.5</v>
      </c>
      <c r="AT168" s="157"/>
      <c r="AU168" s="157">
        <v>-8370</v>
      </c>
      <c r="AV168" s="157"/>
      <c r="AW168" s="157">
        <v>-5812.5</v>
      </c>
      <c r="AX168" s="157"/>
      <c r="AY168" s="157">
        <v>-7750</v>
      </c>
      <c r="AZ168" s="157"/>
      <c r="BA168" s="157">
        <v>-6975</v>
      </c>
      <c r="BB168" s="157"/>
      <c r="BC168" s="157">
        <v>-6355.87</v>
      </c>
      <c r="BD168" s="157"/>
      <c r="BE168" s="157">
        <v>-9300</v>
      </c>
      <c r="BF168" s="157"/>
      <c r="BG168" s="157">
        <v>-6274.09</v>
      </c>
      <c r="BH168" s="157"/>
      <c r="BI168" s="157">
        <v>-8720</v>
      </c>
      <c r="BJ168" s="157"/>
      <c r="BK168" s="157">
        <v>-8680</v>
      </c>
      <c r="BL168" s="157"/>
      <c r="BM168" s="157">
        <v>-36946.410000000003</v>
      </c>
      <c r="BN168" s="157"/>
      <c r="BO168" s="157">
        <v>-7982.5</v>
      </c>
      <c r="BP168" s="157"/>
      <c r="BQ168" s="157">
        <v>-8447.5</v>
      </c>
      <c r="BR168" s="157"/>
      <c r="BS168" s="157">
        <v>-6975</v>
      </c>
    </row>
    <row r="169" spans="1:72" x14ac:dyDescent="0.2">
      <c r="A169" s="123" t="s">
        <v>484</v>
      </c>
      <c r="B169" s="124" t="s">
        <v>485</v>
      </c>
      <c r="C169" s="157">
        <v>0</v>
      </c>
      <c r="D169" s="157"/>
      <c r="E169" s="157">
        <v>0</v>
      </c>
      <c r="F169" s="157"/>
      <c r="G169" s="157">
        <v>0</v>
      </c>
      <c r="H169" s="157"/>
      <c r="I169" s="157">
        <v>0</v>
      </c>
      <c r="J169" s="157"/>
      <c r="K169" s="157">
        <v>-784</v>
      </c>
      <c r="L169" s="157"/>
      <c r="M169" s="157">
        <v>0</v>
      </c>
      <c r="N169" s="157"/>
      <c r="O169" s="157">
        <v>0</v>
      </c>
      <c r="P169" s="157"/>
      <c r="Q169" s="157">
        <v>0</v>
      </c>
      <c r="R169" s="157"/>
      <c r="S169" s="157">
        <v>0</v>
      </c>
      <c r="T169" s="157"/>
      <c r="U169" s="157">
        <v>0</v>
      </c>
      <c r="V169" s="157"/>
      <c r="W169" s="157">
        <v>0</v>
      </c>
      <c r="X169" s="157"/>
      <c r="Y169" s="157">
        <v>0</v>
      </c>
      <c r="Z169" s="157"/>
      <c r="AA169" s="157">
        <v>0</v>
      </c>
      <c r="AB169" s="157"/>
      <c r="AC169" s="157">
        <v>0</v>
      </c>
      <c r="AD169" s="157"/>
      <c r="AE169" s="157">
        <v>0</v>
      </c>
      <c r="AF169" s="157"/>
      <c r="AG169" s="157">
        <v>0</v>
      </c>
      <c r="AH169" s="157"/>
      <c r="AI169" s="157">
        <v>0</v>
      </c>
      <c r="AJ169" s="157"/>
      <c r="AK169" s="157">
        <v>0</v>
      </c>
      <c r="AL169" s="157"/>
      <c r="AM169" s="157">
        <v>0</v>
      </c>
      <c r="AN169" s="157"/>
      <c r="AO169" s="157">
        <v>0</v>
      </c>
      <c r="AP169" s="157"/>
      <c r="AQ169" s="157">
        <v>0</v>
      </c>
      <c r="AR169" s="157"/>
      <c r="AS169" s="157">
        <v>0</v>
      </c>
      <c r="AT169" s="157"/>
      <c r="AU169" s="157">
        <v>-195</v>
      </c>
      <c r="AV169" s="157"/>
      <c r="AW169" s="157">
        <v>0</v>
      </c>
      <c r="AX169" s="157"/>
      <c r="AY169" s="157">
        <v>0</v>
      </c>
      <c r="AZ169" s="157"/>
      <c r="BA169" s="157">
        <v>0</v>
      </c>
      <c r="BB169" s="157"/>
      <c r="BC169" s="157">
        <v>0</v>
      </c>
      <c r="BD169" s="157"/>
      <c r="BE169" s="157">
        <v>254</v>
      </c>
      <c r="BF169" s="157"/>
      <c r="BG169" s="157">
        <v>0</v>
      </c>
      <c r="BH169" s="157"/>
      <c r="BI169" s="157">
        <v>0</v>
      </c>
      <c r="BJ169" s="157"/>
      <c r="BK169" s="157">
        <v>0</v>
      </c>
      <c r="BL169" s="157"/>
      <c r="BM169" s="157">
        <v>0</v>
      </c>
      <c r="BN169" s="157"/>
      <c r="BO169" s="157">
        <v>0</v>
      </c>
      <c r="BP169" s="157"/>
      <c r="BQ169" s="157">
        <v>0</v>
      </c>
      <c r="BR169" s="157"/>
      <c r="BS169" s="157">
        <v>0</v>
      </c>
    </row>
    <row r="170" spans="1:72" x14ac:dyDescent="0.2">
      <c r="A170" s="123" t="s">
        <v>250</v>
      </c>
      <c r="B170" s="124" t="s">
        <v>251</v>
      </c>
      <c r="C170" s="157">
        <v>0</v>
      </c>
      <c r="D170" s="157">
        <f>SUM(C170:C182)</f>
        <v>-70791.499999999971</v>
      </c>
      <c r="E170" s="157">
        <v>0</v>
      </c>
      <c r="F170" s="157">
        <f>SUM(E170:E181)</f>
        <v>-17935.52</v>
      </c>
      <c r="G170" s="157">
        <v>0</v>
      </c>
      <c r="H170" s="157">
        <f>SUM(G170:G182)</f>
        <v>-93353.209999999963</v>
      </c>
      <c r="I170" s="157">
        <v>0</v>
      </c>
      <c r="J170" s="157">
        <f>SUM(I170:I181)</f>
        <v>-390727.86</v>
      </c>
      <c r="K170" s="157">
        <v>0</v>
      </c>
      <c r="L170" s="157">
        <f>SUM(K170:K182)</f>
        <v>-107568.32000000001</v>
      </c>
      <c r="M170" s="157">
        <v>0</v>
      </c>
      <c r="N170" s="157"/>
      <c r="O170" s="157">
        <v>0</v>
      </c>
      <c r="P170" s="157">
        <f>SUM(O170:O182)</f>
        <v>-227853.37000000005</v>
      </c>
      <c r="Q170" s="157">
        <v>-11582.71</v>
      </c>
      <c r="R170" s="157">
        <f>SUM(Q170:Q182)</f>
        <v>-62398.429999999993</v>
      </c>
      <c r="S170" s="157">
        <v>0</v>
      </c>
      <c r="T170" s="157">
        <f>SUM(S170:S181)</f>
        <v>-9664.25</v>
      </c>
      <c r="U170" s="157">
        <v>-17407.080000000002</v>
      </c>
      <c r="V170" s="157">
        <f>SUM(U170:U182)</f>
        <v>-503654.31999999995</v>
      </c>
      <c r="W170" s="157">
        <v>0</v>
      </c>
      <c r="X170" s="157">
        <f>SUM(W170:W181)</f>
        <v>-134478.39000000001</v>
      </c>
      <c r="Y170" s="157">
        <v>-15271.86</v>
      </c>
      <c r="Z170" s="157">
        <f>SUM(Y170:Y181)</f>
        <v>-31051.200000000041</v>
      </c>
      <c r="AA170" s="157">
        <v>0</v>
      </c>
      <c r="AB170" s="157">
        <f>SUM(AA170:AA181)</f>
        <v>-52421.109999999964</v>
      </c>
      <c r="AC170" s="157">
        <v>0</v>
      </c>
      <c r="AD170" s="157">
        <f>SUM(AC170:AC181)</f>
        <v>-321876.26</v>
      </c>
      <c r="AE170" s="157">
        <v>0</v>
      </c>
      <c r="AF170" s="157"/>
      <c r="AG170" s="157">
        <v>0</v>
      </c>
      <c r="AH170" s="157">
        <f>SUM(AG170:AG181)</f>
        <v>-57049.399999999965</v>
      </c>
      <c r="AI170" s="157">
        <v>0</v>
      </c>
      <c r="AJ170" s="157">
        <f>SUM(AI170:AI181)</f>
        <v>-147897.92000000001</v>
      </c>
      <c r="AK170" s="157">
        <v>0</v>
      </c>
      <c r="AL170" s="157">
        <f>SUM(AK170:AK182)</f>
        <v>-435194</v>
      </c>
      <c r="AM170" s="157">
        <v>-27219.7</v>
      </c>
      <c r="AN170" s="157">
        <f>SUM(AM170:AM182)</f>
        <v>-265242.67999999993</v>
      </c>
      <c r="AO170" s="157">
        <v>0</v>
      </c>
      <c r="AP170" s="157">
        <f>SUM(AO170:AO181)</f>
        <v>-44071.429999999993</v>
      </c>
      <c r="AQ170" s="157">
        <v>0</v>
      </c>
      <c r="AR170" s="157">
        <f>SUM(AQ170:AQ181)</f>
        <v>-148846.06</v>
      </c>
      <c r="AS170" s="157">
        <v>0</v>
      </c>
      <c r="AT170" s="157"/>
      <c r="AU170" s="157">
        <v>0</v>
      </c>
      <c r="AV170" s="157"/>
      <c r="AW170" s="157">
        <v>-5390.8</v>
      </c>
      <c r="AX170" s="157">
        <f>SUM(AW170:AW182)</f>
        <v>-596490.59000000008</v>
      </c>
      <c r="AY170" s="157">
        <v>-13584.81</v>
      </c>
      <c r="AZ170" s="157">
        <f>SUM(AY170:AY181)</f>
        <v>-56316.930000000051</v>
      </c>
      <c r="BA170" s="157">
        <v>0</v>
      </c>
      <c r="BB170" s="157">
        <f>SUM(BA170:BA182)</f>
        <v>-11216.91</v>
      </c>
      <c r="BC170" s="157">
        <v>-4651.01</v>
      </c>
      <c r="BD170" s="157">
        <f>SUM(BC170:BC181)</f>
        <v>-61550.789999999979</v>
      </c>
      <c r="BE170" s="157">
        <v>0</v>
      </c>
      <c r="BF170" s="157">
        <f>SUM(BE170:BE182)</f>
        <v>-65622.829999999958</v>
      </c>
      <c r="BG170" s="157">
        <v>-2967.81</v>
      </c>
      <c r="BH170" s="157">
        <f>SUM(BG170:BG181)</f>
        <v>-74173.539999999979</v>
      </c>
      <c r="BI170" s="157">
        <v>-13746.33</v>
      </c>
      <c r="BJ170" s="157">
        <f>SUM(BI170:BI181)</f>
        <v>-13746.33</v>
      </c>
      <c r="BK170" s="157">
        <v>-23979.89</v>
      </c>
      <c r="BL170" s="157">
        <f>SUM(BK170:BK182)</f>
        <v>-30181.199999999997</v>
      </c>
      <c r="BM170" s="157">
        <v>-9584.06</v>
      </c>
      <c r="BN170" s="157">
        <f>SUM(BM170:BM181)</f>
        <v>-19163.539999999994</v>
      </c>
      <c r="BO170" s="157">
        <v>-18140.2</v>
      </c>
      <c r="BP170" s="157">
        <f>SUM(BO170:BO181)</f>
        <v>-114555.50000000001</v>
      </c>
      <c r="BQ170" s="157">
        <v>-18877.78</v>
      </c>
      <c r="BR170" s="157">
        <f>SUM(BQ170:BQ181)</f>
        <v>-145301.59000000003</v>
      </c>
      <c r="BS170" s="157">
        <v>-16157.68</v>
      </c>
      <c r="BT170" s="168">
        <f>SUM(BS170:BS181)</f>
        <v>-89740.589999999982</v>
      </c>
    </row>
    <row r="171" spans="1:72" x14ac:dyDescent="0.2">
      <c r="A171" s="123" t="s">
        <v>486</v>
      </c>
      <c r="B171" s="124" t="s">
        <v>487</v>
      </c>
      <c r="C171" s="157">
        <v>-26993.22</v>
      </c>
      <c r="D171" s="157"/>
      <c r="E171" s="157">
        <v>-17935.52</v>
      </c>
      <c r="F171" s="157"/>
      <c r="G171" s="157">
        <v>-28812.36</v>
      </c>
      <c r="H171" s="157"/>
      <c r="I171" s="157">
        <v>0</v>
      </c>
      <c r="J171" s="157"/>
      <c r="K171" s="157">
        <v>0</v>
      </c>
      <c r="L171" s="157"/>
      <c r="M171" s="157">
        <v>-12212.7</v>
      </c>
      <c r="N171" s="157">
        <f>SUM(M171:M184)</f>
        <v>-38592.679999999993</v>
      </c>
      <c r="O171" s="157">
        <v>-16566.84</v>
      </c>
      <c r="P171" s="157"/>
      <c r="Q171" s="157">
        <v>0</v>
      </c>
      <c r="R171" s="157"/>
      <c r="S171" s="157">
        <v>-9664.25</v>
      </c>
      <c r="T171" s="157"/>
      <c r="U171" s="157">
        <v>0</v>
      </c>
      <c r="V171" s="157"/>
      <c r="W171" s="157">
        <v>-8997.75</v>
      </c>
      <c r="X171" s="157"/>
      <c r="Y171" s="157">
        <v>0</v>
      </c>
      <c r="Z171" s="157"/>
      <c r="AA171" s="157">
        <v>-19106.98</v>
      </c>
      <c r="AB171" s="157"/>
      <c r="AC171" s="157">
        <v>-5665.25</v>
      </c>
      <c r="AD171" s="157"/>
      <c r="AE171" s="157">
        <v>0</v>
      </c>
      <c r="AF171" s="157"/>
      <c r="AG171" s="157">
        <v>-13788.54</v>
      </c>
      <c r="AH171" s="157"/>
      <c r="AI171" s="157">
        <v>-4332.25</v>
      </c>
      <c r="AJ171" s="157"/>
      <c r="AK171" s="157">
        <v>0</v>
      </c>
      <c r="AL171" s="157"/>
      <c r="AM171" s="157">
        <v>0</v>
      </c>
      <c r="AN171" s="157"/>
      <c r="AO171" s="157">
        <v>-22525.81</v>
      </c>
      <c r="AP171" s="157"/>
      <c r="AQ171" s="157">
        <v>-14877.67</v>
      </c>
      <c r="AR171" s="157"/>
      <c r="AS171" s="157">
        <v>-18319.060000000001</v>
      </c>
      <c r="AT171" s="157">
        <f>SUM(AS171:AS176)</f>
        <v>-63556.849999999991</v>
      </c>
      <c r="AU171" s="157">
        <v>0</v>
      </c>
      <c r="AV171" s="157"/>
      <c r="AW171" s="157">
        <v>0</v>
      </c>
      <c r="AX171" s="157"/>
      <c r="AY171" s="157">
        <v>0</v>
      </c>
      <c r="AZ171" s="157"/>
      <c r="BA171" s="157">
        <v>-11216.91</v>
      </c>
      <c r="BB171" s="157"/>
      <c r="BC171" s="157">
        <v>0</v>
      </c>
      <c r="BD171" s="157"/>
      <c r="BE171" s="157">
        <v>-11397.91</v>
      </c>
      <c r="BF171" s="157"/>
      <c r="BG171" s="157">
        <v>0</v>
      </c>
      <c r="BH171" s="157"/>
      <c r="BI171" s="157">
        <v>0</v>
      </c>
      <c r="BJ171" s="157"/>
      <c r="BK171" s="157">
        <v>0</v>
      </c>
      <c r="BL171" s="157"/>
      <c r="BM171" s="157">
        <v>0</v>
      </c>
      <c r="BN171" s="157"/>
      <c r="BO171" s="157">
        <v>0</v>
      </c>
      <c r="BP171" s="157"/>
      <c r="BQ171" s="157">
        <v>0</v>
      </c>
      <c r="BR171" s="157"/>
      <c r="BS171" s="157">
        <v>0</v>
      </c>
    </row>
    <row r="172" spans="1:72" x14ac:dyDescent="0.2">
      <c r="A172" s="123" t="s">
        <v>1439</v>
      </c>
      <c r="B172" s="124" t="s">
        <v>1440</v>
      </c>
      <c r="C172" s="157">
        <v>0</v>
      </c>
      <c r="D172" s="157"/>
      <c r="E172" s="157">
        <v>0</v>
      </c>
      <c r="F172" s="157"/>
      <c r="G172" s="157">
        <v>0</v>
      </c>
      <c r="H172" s="157"/>
      <c r="I172" s="157">
        <v>0</v>
      </c>
      <c r="J172" s="157"/>
      <c r="K172" s="157">
        <v>-89607.5</v>
      </c>
      <c r="L172" s="157"/>
      <c r="M172" s="157">
        <v>0</v>
      </c>
      <c r="N172" s="157"/>
      <c r="O172" s="157">
        <v>0</v>
      </c>
      <c r="P172" s="157"/>
      <c r="Q172" s="157">
        <v>0</v>
      </c>
      <c r="R172" s="157"/>
      <c r="S172" s="157">
        <v>0</v>
      </c>
      <c r="T172" s="157"/>
      <c r="U172" s="157">
        <v>0</v>
      </c>
      <c r="V172" s="157"/>
      <c r="W172" s="157">
        <v>0</v>
      </c>
      <c r="X172" s="157"/>
      <c r="Y172" s="157">
        <v>0</v>
      </c>
      <c r="Z172" s="157"/>
      <c r="AA172" s="157">
        <v>0</v>
      </c>
      <c r="AB172" s="157"/>
      <c r="AC172" s="157">
        <v>0</v>
      </c>
      <c r="AD172" s="157"/>
      <c r="AE172" s="157">
        <v>-39608.769999999997</v>
      </c>
      <c r="AF172" s="157">
        <f>SUM(AE172:AE182)</f>
        <v>-114711.10999999999</v>
      </c>
      <c r="AG172" s="157">
        <v>0</v>
      </c>
      <c r="AH172" s="157"/>
      <c r="AI172" s="157">
        <v>0</v>
      </c>
      <c r="AJ172" s="157"/>
      <c r="AK172" s="157">
        <v>0</v>
      </c>
      <c r="AL172" s="157"/>
      <c r="AM172" s="157">
        <v>0</v>
      </c>
      <c r="AN172" s="157"/>
      <c r="AO172" s="157">
        <v>0</v>
      </c>
      <c r="AP172" s="157"/>
      <c r="AQ172" s="157">
        <v>0</v>
      </c>
      <c r="AR172" s="157"/>
      <c r="AS172" s="157">
        <v>0</v>
      </c>
      <c r="AT172" s="157"/>
      <c r="AU172" s="157">
        <v>-30728.75</v>
      </c>
      <c r="AV172" s="157">
        <f>SUM(AU172:AU182)</f>
        <v>-44878.12999999999</v>
      </c>
      <c r="AW172" s="157">
        <v>0</v>
      </c>
      <c r="AX172" s="157"/>
      <c r="AY172" s="157">
        <v>0</v>
      </c>
      <c r="AZ172" s="157"/>
      <c r="BA172" s="157">
        <v>0</v>
      </c>
      <c r="BB172" s="157"/>
      <c r="BC172" s="157">
        <v>0</v>
      </c>
      <c r="BD172" s="157"/>
      <c r="BE172" s="157">
        <v>0</v>
      </c>
      <c r="BF172" s="157"/>
      <c r="BG172" s="157">
        <v>0</v>
      </c>
      <c r="BH172" s="157"/>
      <c r="BI172" s="157">
        <v>0</v>
      </c>
      <c r="BJ172" s="157"/>
      <c r="BK172" s="157">
        <v>0</v>
      </c>
      <c r="BL172" s="157"/>
      <c r="BM172" s="157">
        <v>0</v>
      </c>
      <c r="BN172" s="157"/>
      <c r="BO172" s="157">
        <v>0</v>
      </c>
      <c r="BP172" s="157"/>
      <c r="BQ172" s="157">
        <v>0</v>
      </c>
      <c r="BR172" s="157"/>
      <c r="BS172" s="157">
        <v>0</v>
      </c>
    </row>
    <row r="173" spans="1:72" x14ac:dyDescent="0.2">
      <c r="A173" s="123" t="s">
        <v>252</v>
      </c>
      <c r="B173" s="124" t="s">
        <v>253</v>
      </c>
      <c r="C173" s="157">
        <v>-326983.11</v>
      </c>
      <c r="D173" s="157"/>
      <c r="E173" s="157">
        <v>0</v>
      </c>
      <c r="F173" s="157"/>
      <c r="G173" s="157">
        <v>-284405.98</v>
      </c>
      <c r="H173" s="157"/>
      <c r="I173" s="157">
        <v>-854792.45</v>
      </c>
      <c r="J173" s="157"/>
      <c r="K173" s="157">
        <v>-172724.57</v>
      </c>
      <c r="L173" s="157"/>
      <c r="M173" s="157">
        <v>-396344.76</v>
      </c>
      <c r="N173" s="157"/>
      <c r="O173" s="157">
        <v>-461901.53</v>
      </c>
      <c r="P173" s="157"/>
      <c r="Q173" s="157">
        <v>-442093.68</v>
      </c>
      <c r="R173" s="157"/>
      <c r="S173" s="157">
        <v>0</v>
      </c>
      <c r="T173" s="157"/>
      <c r="U173" s="157">
        <v>-133340.76999999999</v>
      </c>
      <c r="V173" s="157"/>
      <c r="W173" s="157">
        <v>0</v>
      </c>
      <c r="X173" s="157"/>
      <c r="Y173" s="157">
        <v>-157924.17000000001</v>
      </c>
      <c r="Z173" s="157"/>
      <c r="AA173" s="157">
        <v>-322133.78999999998</v>
      </c>
      <c r="AB173" s="157"/>
      <c r="AC173" s="157">
        <v>0</v>
      </c>
      <c r="AD173" s="157"/>
      <c r="AE173" s="157">
        <v>-290880.82</v>
      </c>
      <c r="AF173" s="157"/>
      <c r="AG173" s="157">
        <v>-329842.36</v>
      </c>
      <c r="AH173" s="157"/>
      <c r="AI173" s="157">
        <v>-143565.67000000001</v>
      </c>
      <c r="AJ173" s="157"/>
      <c r="AK173" s="157">
        <v>-435194</v>
      </c>
      <c r="AL173" s="157"/>
      <c r="AM173" s="157">
        <v>-202455.8</v>
      </c>
      <c r="AN173" s="157"/>
      <c r="AO173" s="157">
        <v>0</v>
      </c>
      <c r="AP173" s="157"/>
      <c r="AQ173" s="157">
        <v>-420085.77</v>
      </c>
      <c r="AR173" s="157"/>
      <c r="AS173" s="157">
        <v>-370206.8</v>
      </c>
      <c r="AT173" s="157"/>
      <c r="AU173" s="157">
        <v>-154773.44</v>
      </c>
      <c r="AV173" s="157"/>
      <c r="AW173" s="157">
        <v>0</v>
      </c>
      <c r="AX173" s="157"/>
      <c r="AY173" s="157">
        <v>-408769.78</v>
      </c>
      <c r="AZ173" s="157"/>
      <c r="BA173" s="157">
        <v>0</v>
      </c>
      <c r="BB173" s="157"/>
      <c r="BC173" s="157">
        <v>-570620.86</v>
      </c>
      <c r="BD173" s="157"/>
      <c r="BE173" s="157">
        <v>-587966.81999999995</v>
      </c>
      <c r="BF173" s="157"/>
      <c r="BG173" s="157">
        <v>-354009.23</v>
      </c>
      <c r="BH173" s="157"/>
      <c r="BI173" s="157">
        <v>0</v>
      </c>
      <c r="BJ173" s="157"/>
      <c r="BK173" s="157">
        <v>-82458.179999999993</v>
      </c>
      <c r="BL173" s="157"/>
      <c r="BM173" s="157">
        <v>0</v>
      </c>
      <c r="BN173" s="157"/>
      <c r="BO173" s="157">
        <v>-184464</v>
      </c>
      <c r="BP173" s="157"/>
      <c r="BQ173" s="157">
        <v>-218114.38</v>
      </c>
      <c r="BR173" s="157"/>
      <c r="BS173" s="157">
        <v>-184838.74</v>
      </c>
    </row>
    <row r="174" spans="1:72" x14ac:dyDescent="0.2">
      <c r="A174" s="123" t="s">
        <v>254</v>
      </c>
      <c r="B174" s="124" t="s">
        <v>255</v>
      </c>
      <c r="C174" s="157">
        <v>300128.18</v>
      </c>
      <c r="D174" s="157"/>
      <c r="E174" s="157">
        <v>0</v>
      </c>
      <c r="F174" s="157"/>
      <c r="G174" s="157">
        <v>261234.48</v>
      </c>
      <c r="H174" s="157"/>
      <c r="I174" s="157">
        <v>774425.45</v>
      </c>
      <c r="J174" s="157"/>
      <c r="K174" s="157">
        <v>154763.75</v>
      </c>
      <c r="L174" s="157"/>
      <c r="M174" s="157">
        <v>369964.78</v>
      </c>
      <c r="N174" s="157"/>
      <c r="O174" s="157">
        <v>250615</v>
      </c>
      <c r="P174" s="157"/>
      <c r="Q174" s="157">
        <v>391277.96</v>
      </c>
      <c r="R174" s="157"/>
      <c r="S174" s="157">
        <v>0</v>
      </c>
      <c r="T174" s="157"/>
      <c r="U174" s="157">
        <v>112930.13</v>
      </c>
      <c r="V174" s="157"/>
      <c r="W174" s="157">
        <v>0</v>
      </c>
      <c r="X174" s="157"/>
      <c r="Y174" s="157">
        <v>142144.82999999999</v>
      </c>
      <c r="Z174" s="157"/>
      <c r="AA174" s="157">
        <v>293302.49</v>
      </c>
      <c r="AB174" s="157"/>
      <c r="AC174" s="157">
        <v>0</v>
      </c>
      <c r="AD174" s="157"/>
      <c r="AE174" s="157">
        <v>273253.84000000003</v>
      </c>
      <c r="AF174" s="157"/>
      <c r="AG174" s="157">
        <v>301344.43</v>
      </c>
      <c r="AH174" s="157"/>
      <c r="AI174" s="157">
        <v>0</v>
      </c>
      <c r="AJ174" s="157"/>
      <c r="AK174" s="157">
        <v>0</v>
      </c>
      <c r="AL174" s="157"/>
      <c r="AM174" s="157">
        <v>0</v>
      </c>
      <c r="AN174" s="157"/>
      <c r="AO174" s="157">
        <v>0</v>
      </c>
      <c r="AP174" s="157"/>
      <c r="AQ174" s="157">
        <v>344035.21</v>
      </c>
      <c r="AR174" s="157"/>
      <c r="AS174" s="157">
        <v>337119.79</v>
      </c>
      <c r="AT174" s="157"/>
      <c r="AU174" s="157">
        <v>141947.92000000001</v>
      </c>
      <c r="AV174" s="157"/>
      <c r="AW174" s="157">
        <v>0</v>
      </c>
      <c r="AX174" s="157"/>
      <c r="AY174" s="157">
        <v>366037.66</v>
      </c>
      <c r="AZ174" s="157"/>
      <c r="BA174" s="157">
        <v>0</v>
      </c>
      <c r="BB174" s="157"/>
      <c r="BC174" s="157">
        <v>513721.08</v>
      </c>
      <c r="BD174" s="157"/>
      <c r="BE174" s="157">
        <v>533741.9</v>
      </c>
      <c r="BF174" s="157"/>
      <c r="BG174" s="157">
        <v>282803.5</v>
      </c>
      <c r="BH174" s="157"/>
      <c r="BI174" s="157">
        <v>0</v>
      </c>
      <c r="BJ174" s="157"/>
      <c r="BK174" s="157">
        <v>76256.87</v>
      </c>
      <c r="BL174" s="157"/>
      <c r="BM174" s="157">
        <v>0</v>
      </c>
      <c r="BN174" s="157"/>
      <c r="BO174" s="157">
        <v>152842</v>
      </c>
      <c r="BP174" s="157"/>
      <c r="BQ174" s="157">
        <v>183026.87</v>
      </c>
      <c r="BR174" s="157"/>
      <c r="BS174" s="157">
        <v>148275.79999999999</v>
      </c>
    </row>
    <row r="175" spans="1:72" x14ac:dyDescent="0.2">
      <c r="A175" s="123" t="s">
        <v>256</v>
      </c>
      <c r="B175" s="124" t="s">
        <v>257</v>
      </c>
      <c r="C175" s="157">
        <v>0</v>
      </c>
      <c r="D175" s="157"/>
      <c r="E175" s="157">
        <v>0</v>
      </c>
      <c r="F175" s="157"/>
      <c r="G175" s="157">
        <v>-97633.35</v>
      </c>
      <c r="H175" s="157"/>
      <c r="I175" s="157">
        <v>-213756.63</v>
      </c>
      <c r="J175" s="157"/>
      <c r="K175" s="157">
        <v>0</v>
      </c>
      <c r="L175" s="157"/>
      <c r="M175" s="157">
        <v>0</v>
      </c>
      <c r="N175" s="157"/>
      <c r="O175" s="157">
        <v>0</v>
      </c>
      <c r="P175" s="157"/>
      <c r="Q175" s="157">
        <v>0</v>
      </c>
      <c r="R175" s="157"/>
      <c r="S175" s="157">
        <v>0</v>
      </c>
      <c r="T175" s="157"/>
      <c r="U175" s="157">
        <v>-465836.6</v>
      </c>
      <c r="V175" s="157"/>
      <c r="W175" s="157">
        <v>-125480.64</v>
      </c>
      <c r="X175" s="157"/>
      <c r="Y175" s="157">
        <v>0</v>
      </c>
      <c r="Z175" s="157"/>
      <c r="AA175" s="157">
        <v>-46261.2</v>
      </c>
      <c r="AB175" s="157"/>
      <c r="AC175" s="157">
        <v>-316211.01</v>
      </c>
      <c r="AD175" s="157"/>
      <c r="AE175" s="157">
        <v>-108000.36</v>
      </c>
      <c r="AF175" s="157"/>
      <c r="AG175" s="157">
        <v>-160429.93</v>
      </c>
      <c r="AH175" s="157"/>
      <c r="AI175" s="157">
        <v>0</v>
      </c>
      <c r="AJ175" s="157"/>
      <c r="AK175" s="157">
        <v>0</v>
      </c>
      <c r="AL175" s="157"/>
      <c r="AM175" s="157">
        <v>-135315.46</v>
      </c>
      <c r="AN175" s="157"/>
      <c r="AO175" s="157">
        <v>-214975.18</v>
      </c>
      <c r="AP175" s="157"/>
      <c r="AQ175" s="157">
        <v>-144903.23000000001</v>
      </c>
      <c r="AR175" s="157"/>
      <c r="AS175" s="157">
        <v>-120944.79</v>
      </c>
      <c r="AT175" s="157"/>
      <c r="AU175" s="157">
        <v>-13624.86</v>
      </c>
      <c r="AV175" s="157"/>
      <c r="AW175" s="157">
        <v>-591099.79</v>
      </c>
      <c r="AX175" s="157"/>
      <c r="AY175" s="157">
        <v>0</v>
      </c>
      <c r="AZ175" s="157"/>
      <c r="BA175" s="157">
        <v>0</v>
      </c>
      <c r="BB175" s="157"/>
      <c r="BC175" s="157">
        <v>0</v>
      </c>
      <c r="BD175" s="157"/>
      <c r="BE175" s="157">
        <v>0</v>
      </c>
      <c r="BF175" s="157"/>
      <c r="BG175" s="157">
        <v>0</v>
      </c>
      <c r="BH175" s="157"/>
      <c r="BI175" s="157">
        <v>0</v>
      </c>
      <c r="BJ175" s="157"/>
      <c r="BK175" s="157">
        <v>0</v>
      </c>
      <c r="BL175" s="157"/>
      <c r="BM175" s="157">
        <v>-79519.48</v>
      </c>
      <c r="BN175" s="157"/>
      <c r="BO175" s="157">
        <v>-253159.2</v>
      </c>
      <c r="BP175" s="157"/>
      <c r="BQ175" s="157">
        <v>-87736.08</v>
      </c>
      <c r="BR175" s="157"/>
      <c r="BS175" s="157">
        <v>-140969.46</v>
      </c>
    </row>
    <row r="176" spans="1:72" x14ac:dyDescent="0.2">
      <c r="A176" s="123" t="s">
        <v>258</v>
      </c>
      <c r="B176" s="124" t="s">
        <v>259</v>
      </c>
      <c r="C176" s="157">
        <v>0</v>
      </c>
      <c r="D176" s="157"/>
      <c r="E176" s="157">
        <v>0</v>
      </c>
      <c r="F176" s="157"/>
      <c r="G176" s="157">
        <v>56264</v>
      </c>
      <c r="H176" s="157"/>
      <c r="I176" s="157">
        <v>103396</v>
      </c>
      <c r="J176" s="157"/>
      <c r="K176" s="157">
        <v>0</v>
      </c>
      <c r="L176" s="157"/>
      <c r="M176" s="157">
        <v>0</v>
      </c>
      <c r="N176" s="157"/>
      <c r="O176" s="157">
        <v>0</v>
      </c>
      <c r="P176" s="157"/>
      <c r="Q176" s="157">
        <v>0</v>
      </c>
      <c r="R176" s="157"/>
      <c r="S176" s="157">
        <v>0</v>
      </c>
      <c r="T176" s="157"/>
      <c r="U176" s="157">
        <v>0</v>
      </c>
      <c r="V176" s="157"/>
      <c r="W176" s="157">
        <v>0</v>
      </c>
      <c r="X176" s="157"/>
      <c r="Y176" s="157">
        <v>0</v>
      </c>
      <c r="Z176" s="157"/>
      <c r="AA176" s="157">
        <v>41778.370000000003</v>
      </c>
      <c r="AB176" s="157"/>
      <c r="AC176" s="157">
        <v>0</v>
      </c>
      <c r="AD176" s="157"/>
      <c r="AE176" s="157">
        <v>50525</v>
      </c>
      <c r="AF176" s="157"/>
      <c r="AG176" s="157">
        <v>145667</v>
      </c>
      <c r="AH176" s="157"/>
      <c r="AI176" s="157">
        <v>0</v>
      </c>
      <c r="AJ176" s="157"/>
      <c r="AK176" s="157">
        <v>0</v>
      </c>
      <c r="AL176" s="157"/>
      <c r="AM176" s="157">
        <v>119856</v>
      </c>
      <c r="AN176" s="157"/>
      <c r="AO176" s="157">
        <v>193429.56</v>
      </c>
      <c r="AP176" s="157"/>
      <c r="AQ176" s="157">
        <v>93980</v>
      </c>
      <c r="AR176" s="157"/>
      <c r="AS176" s="157">
        <v>108794.01</v>
      </c>
      <c r="AT176" s="157"/>
      <c r="AU176" s="157">
        <v>12301</v>
      </c>
      <c r="AV176" s="157"/>
      <c r="AW176" s="157">
        <v>0</v>
      </c>
      <c r="AX176" s="157"/>
      <c r="AY176" s="157">
        <v>0</v>
      </c>
      <c r="AZ176" s="157"/>
      <c r="BA176" s="157">
        <v>0</v>
      </c>
      <c r="BB176" s="157"/>
      <c r="BC176" s="157">
        <v>0</v>
      </c>
      <c r="BD176" s="157"/>
      <c r="BE176" s="157">
        <v>0</v>
      </c>
      <c r="BF176" s="157"/>
      <c r="BG176" s="157">
        <v>0</v>
      </c>
      <c r="BH176" s="157"/>
      <c r="BI176" s="157">
        <v>0</v>
      </c>
      <c r="BJ176" s="157"/>
      <c r="BK176" s="157">
        <v>0</v>
      </c>
      <c r="BL176" s="157"/>
      <c r="BM176" s="157">
        <v>69940</v>
      </c>
      <c r="BN176" s="157"/>
      <c r="BO176" s="157">
        <v>210737.42</v>
      </c>
      <c r="BP176" s="157"/>
      <c r="BQ176" s="157">
        <v>75057.05</v>
      </c>
      <c r="BR176" s="157"/>
      <c r="BS176" s="157">
        <v>116214.65</v>
      </c>
    </row>
    <row r="177" spans="1:72" x14ac:dyDescent="0.2">
      <c r="A177" s="123" t="s">
        <v>632</v>
      </c>
      <c r="B177" s="124" t="s">
        <v>631</v>
      </c>
      <c r="C177" s="157">
        <v>-73040.350000000006</v>
      </c>
      <c r="D177" s="157"/>
      <c r="E177" s="157">
        <v>0</v>
      </c>
      <c r="F177" s="157"/>
      <c r="G177" s="157">
        <v>0</v>
      </c>
      <c r="H177" s="157"/>
      <c r="I177" s="157">
        <v>-200000.23</v>
      </c>
      <c r="J177" s="157"/>
      <c r="K177" s="157">
        <v>0</v>
      </c>
      <c r="L177" s="157"/>
      <c r="M177" s="157">
        <v>0</v>
      </c>
      <c r="N177" s="157"/>
      <c r="O177" s="157">
        <v>0</v>
      </c>
      <c r="P177" s="157"/>
      <c r="Q177" s="157">
        <v>0</v>
      </c>
      <c r="R177" s="157"/>
      <c r="S177" s="157">
        <v>0</v>
      </c>
      <c r="T177" s="157"/>
      <c r="U177" s="157">
        <v>0</v>
      </c>
      <c r="V177" s="157"/>
      <c r="W177" s="157">
        <v>0</v>
      </c>
      <c r="X177" s="157"/>
      <c r="Y177" s="157">
        <v>0</v>
      </c>
      <c r="Z177" s="157"/>
      <c r="AA177" s="157">
        <v>0</v>
      </c>
      <c r="AB177" s="157"/>
      <c r="AC177" s="157">
        <v>0</v>
      </c>
      <c r="AD177" s="157"/>
      <c r="AE177" s="157">
        <v>0</v>
      </c>
      <c r="AF177" s="157"/>
      <c r="AG177" s="157">
        <v>0</v>
      </c>
      <c r="AH177" s="157"/>
      <c r="AI177" s="157">
        <v>0</v>
      </c>
      <c r="AJ177" s="157"/>
      <c r="AK177" s="157">
        <v>0</v>
      </c>
      <c r="AL177" s="157"/>
      <c r="AM177" s="157">
        <v>-20107.72</v>
      </c>
      <c r="AN177" s="157"/>
      <c r="AO177" s="157">
        <v>0</v>
      </c>
      <c r="AP177" s="157"/>
      <c r="AQ177" s="157">
        <v>-6994.6</v>
      </c>
      <c r="AR177" s="157"/>
      <c r="AS177" s="157">
        <v>0</v>
      </c>
      <c r="AT177" s="157"/>
      <c r="AU177" s="157">
        <v>0</v>
      </c>
      <c r="AV177" s="157"/>
      <c r="AW177" s="157">
        <v>0</v>
      </c>
      <c r="AX177" s="157"/>
      <c r="AY177" s="157">
        <v>0</v>
      </c>
      <c r="AZ177" s="157"/>
      <c r="BA177" s="157">
        <v>0</v>
      </c>
      <c r="BB177" s="157"/>
      <c r="BC177" s="157">
        <v>0</v>
      </c>
      <c r="BD177" s="157"/>
      <c r="BE177" s="157">
        <v>0</v>
      </c>
      <c r="BF177" s="157"/>
      <c r="BG177" s="157">
        <v>0</v>
      </c>
      <c r="BH177" s="157"/>
      <c r="BI177" s="157">
        <v>0</v>
      </c>
      <c r="BJ177" s="157"/>
      <c r="BK177" s="157">
        <v>0</v>
      </c>
      <c r="BL177" s="157"/>
      <c r="BM177" s="157">
        <v>0</v>
      </c>
      <c r="BN177" s="157"/>
      <c r="BO177" s="157">
        <v>-67760.05</v>
      </c>
      <c r="BP177" s="157"/>
      <c r="BQ177" s="157">
        <v>-283992.96000000002</v>
      </c>
      <c r="BR177" s="157"/>
      <c r="BS177" s="157">
        <v>-65589.55</v>
      </c>
    </row>
    <row r="178" spans="1:72" x14ac:dyDescent="0.2">
      <c r="A178" s="123" t="s">
        <v>630</v>
      </c>
      <c r="B178" s="124" t="s">
        <v>629</v>
      </c>
      <c r="C178" s="157">
        <v>56097</v>
      </c>
      <c r="D178" s="157"/>
      <c r="E178" s="157">
        <v>0</v>
      </c>
      <c r="F178" s="157"/>
      <c r="G178" s="157">
        <v>0</v>
      </c>
      <c r="H178" s="157"/>
      <c r="I178" s="157">
        <v>0</v>
      </c>
      <c r="J178" s="157"/>
      <c r="K178" s="157">
        <v>0</v>
      </c>
      <c r="L178" s="157"/>
      <c r="M178" s="157">
        <v>0</v>
      </c>
      <c r="N178" s="157"/>
      <c r="O178" s="157">
        <v>0</v>
      </c>
      <c r="P178" s="157"/>
      <c r="Q178" s="157">
        <v>0</v>
      </c>
      <c r="R178" s="157"/>
      <c r="S178" s="157">
        <v>0</v>
      </c>
      <c r="T178" s="157"/>
      <c r="U178" s="157">
        <v>0</v>
      </c>
      <c r="V178" s="157"/>
      <c r="W178" s="157">
        <v>0</v>
      </c>
      <c r="X178" s="157"/>
      <c r="Y178" s="157">
        <v>0</v>
      </c>
      <c r="Z178" s="157"/>
      <c r="AA178" s="157">
        <v>0</v>
      </c>
      <c r="AB178" s="157"/>
      <c r="AC178" s="157">
        <v>0</v>
      </c>
      <c r="AD178" s="157"/>
      <c r="AE178" s="157">
        <v>0</v>
      </c>
      <c r="AF178" s="157"/>
      <c r="AG178" s="157">
        <v>0</v>
      </c>
      <c r="AH178" s="157"/>
      <c r="AI178" s="157">
        <v>0</v>
      </c>
      <c r="AJ178" s="157"/>
      <c r="AK178" s="157">
        <v>0</v>
      </c>
      <c r="AL178" s="157"/>
      <c r="AM178" s="157">
        <v>0</v>
      </c>
      <c r="AN178" s="157"/>
      <c r="AO178" s="157">
        <v>0</v>
      </c>
      <c r="AP178" s="157"/>
      <c r="AQ178" s="157">
        <v>0</v>
      </c>
      <c r="AR178" s="157"/>
      <c r="AS178" s="157">
        <v>0</v>
      </c>
      <c r="AT178" s="157"/>
      <c r="AU178" s="157">
        <v>0</v>
      </c>
      <c r="AV178" s="157"/>
      <c r="AW178" s="157">
        <v>0</v>
      </c>
      <c r="AX178" s="157"/>
      <c r="AY178" s="157">
        <v>0</v>
      </c>
      <c r="AZ178" s="157"/>
      <c r="BA178" s="157">
        <v>0</v>
      </c>
      <c r="BB178" s="157"/>
      <c r="BC178" s="157">
        <v>0</v>
      </c>
      <c r="BD178" s="157"/>
      <c r="BE178" s="157">
        <v>0</v>
      </c>
      <c r="BF178" s="157"/>
      <c r="BG178" s="157">
        <v>0</v>
      </c>
      <c r="BH178" s="157"/>
      <c r="BI178" s="157">
        <v>0</v>
      </c>
      <c r="BJ178" s="157"/>
      <c r="BK178" s="157">
        <v>0</v>
      </c>
      <c r="BL178" s="157"/>
      <c r="BM178" s="157">
        <v>0</v>
      </c>
      <c r="BN178" s="157"/>
      <c r="BO178" s="157">
        <v>56698.44</v>
      </c>
      <c r="BP178" s="157"/>
      <c r="BQ178" s="157">
        <v>207800</v>
      </c>
      <c r="BR178" s="157"/>
      <c r="BS178" s="157">
        <v>53324.39</v>
      </c>
    </row>
    <row r="179" spans="1:72" x14ac:dyDescent="0.2">
      <c r="A179" s="123" t="s">
        <v>653</v>
      </c>
      <c r="B179" s="124" t="s">
        <v>652</v>
      </c>
      <c r="C179" s="157">
        <v>0</v>
      </c>
      <c r="D179" s="157"/>
      <c r="E179" s="157">
        <v>0</v>
      </c>
      <c r="F179" s="157"/>
      <c r="G179" s="157">
        <v>0</v>
      </c>
      <c r="H179" s="157"/>
      <c r="I179" s="157">
        <v>0</v>
      </c>
      <c r="J179" s="157"/>
      <c r="K179" s="157">
        <v>0</v>
      </c>
      <c r="L179" s="157"/>
      <c r="M179" s="157">
        <v>0</v>
      </c>
      <c r="N179" s="157"/>
      <c r="O179" s="157">
        <v>0</v>
      </c>
      <c r="P179" s="157"/>
      <c r="Q179" s="157">
        <v>0</v>
      </c>
      <c r="R179" s="157"/>
      <c r="S179" s="157">
        <v>0</v>
      </c>
      <c r="T179" s="157"/>
      <c r="U179" s="157">
        <v>0</v>
      </c>
      <c r="V179" s="157"/>
      <c r="W179" s="157">
        <v>0</v>
      </c>
      <c r="X179" s="157"/>
      <c r="Y179" s="157">
        <v>0</v>
      </c>
      <c r="Z179" s="157"/>
      <c r="AA179" s="157">
        <v>0</v>
      </c>
      <c r="AB179" s="157"/>
      <c r="AC179" s="157">
        <v>0</v>
      </c>
      <c r="AD179" s="157"/>
      <c r="AE179" s="157">
        <v>0</v>
      </c>
      <c r="AF179" s="157"/>
      <c r="AG179" s="157">
        <v>0</v>
      </c>
      <c r="AH179" s="157"/>
      <c r="AI179" s="157">
        <v>0</v>
      </c>
      <c r="AJ179" s="157"/>
      <c r="AK179" s="157">
        <v>0</v>
      </c>
      <c r="AL179" s="157"/>
      <c r="AM179" s="157">
        <v>0</v>
      </c>
      <c r="AN179" s="157"/>
      <c r="AO179" s="157">
        <v>0</v>
      </c>
      <c r="AP179" s="157"/>
      <c r="AQ179" s="157">
        <v>0</v>
      </c>
      <c r="AR179" s="157"/>
      <c r="AS179" s="157">
        <v>0</v>
      </c>
      <c r="AT179" s="157"/>
      <c r="AU179" s="157">
        <v>0</v>
      </c>
      <c r="AV179" s="157"/>
      <c r="AW179" s="157">
        <v>0</v>
      </c>
      <c r="AX179" s="157"/>
      <c r="AY179" s="157">
        <v>0</v>
      </c>
      <c r="AZ179" s="157"/>
      <c r="BA179" s="157">
        <v>0</v>
      </c>
      <c r="BB179" s="157"/>
      <c r="BC179" s="157">
        <v>0</v>
      </c>
      <c r="BD179" s="157"/>
      <c r="BE179" s="157">
        <v>0</v>
      </c>
      <c r="BF179" s="157"/>
      <c r="BG179" s="157">
        <v>0</v>
      </c>
      <c r="BH179" s="157"/>
      <c r="BI179" s="157">
        <v>0</v>
      </c>
      <c r="BJ179" s="157"/>
      <c r="BK179" s="157">
        <v>0</v>
      </c>
      <c r="BL179" s="157"/>
      <c r="BM179" s="157">
        <v>0</v>
      </c>
      <c r="BN179" s="157"/>
      <c r="BO179" s="157">
        <v>-10338.959999999999</v>
      </c>
      <c r="BP179" s="157"/>
      <c r="BQ179" s="157">
        <v>0</v>
      </c>
      <c r="BR179" s="157"/>
      <c r="BS179" s="157">
        <v>0</v>
      </c>
    </row>
    <row r="180" spans="1:72" x14ac:dyDescent="0.2">
      <c r="A180" s="123" t="s">
        <v>943</v>
      </c>
      <c r="B180" s="124" t="s">
        <v>1015</v>
      </c>
      <c r="C180" s="157">
        <v>0</v>
      </c>
      <c r="D180" s="157"/>
      <c r="E180" s="157">
        <v>0</v>
      </c>
      <c r="F180" s="157"/>
      <c r="G180" s="157">
        <v>0</v>
      </c>
      <c r="H180" s="157"/>
      <c r="I180" s="157">
        <v>0</v>
      </c>
      <c r="J180" s="157"/>
      <c r="K180" s="157">
        <v>0</v>
      </c>
      <c r="L180" s="157"/>
      <c r="M180" s="157">
        <v>0</v>
      </c>
      <c r="N180" s="157"/>
      <c r="O180" s="157">
        <v>0</v>
      </c>
      <c r="P180" s="157"/>
      <c r="Q180" s="157">
        <v>0</v>
      </c>
      <c r="R180" s="157"/>
      <c r="S180" s="157">
        <v>0</v>
      </c>
      <c r="T180" s="157"/>
      <c r="U180" s="157">
        <v>0</v>
      </c>
      <c r="V180" s="157"/>
      <c r="W180" s="157">
        <v>0</v>
      </c>
      <c r="X180" s="157"/>
      <c r="Y180" s="157">
        <v>0</v>
      </c>
      <c r="Z180" s="157"/>
      <c r="AA180" s="157">
        <v>0</v>
      </c>
      <c r="AB180" s="157"/>
      <c r="AC180" s="157">
        <v>0</v>
      </c>
      <c r="AD180" s="157"/>
      <c r="AE180" s="157">
        <v>0</v>
      </c>
      <c r="AF180" s="157"/>
      <c r="AG180" s="157">
        <v>0</v>
      </c>
      <c r="AH180" s="157"/>
      <c r="AI180" s="157">
        <v>0</v>
      </c>
      <c r="AJ180" s="157"/>
      <c r="AK180" s="157">
        <v>0</v>
      </c>
      <c r="AL180" s="157"/>
      <c r="AM180" s="157">
        <v>0</v>
      </c>
      <c r="AN180" s="157"/>
      <c r="AO180" s="157">
        <v>0</v>
      </c>
      <c r="AP180" s="157"/>
      <c r="AQ180" s="157">
        <v>0</v>
      </c>
      <c r="AR180" s="157"/>
      <c r="AS180" s="157">
        <v>0</v>
      </c>
      <c r="AT180" s="157"/>
      <c r="AU180" s="157">
        <v>0</v>
      </c>
      <c r="AV180" s="157"/>
      <c r="AW180" s="157">
        <v>0</v>
      </c>
      <c r="AX180" s="157"/>
      <c r="AY180" s="157">
        <v>0</v>
      </c>
      <c r="AZ180" s="157"/>
      <c r="BA180" s="157">
        <v>0</v>
      </c>
      <c r="BB180" s="157"/>
      <c r="BC180" s="157">
        <v>0</v>
      </c>
      <c r="BD180" s="157"/>
      <c r="BE180" s="157">
        <v>0</v>
      </c>
      <c r="BF180" s="157"/>
      <c r="BG180" s="157">
        <v>0</v>
      </c>
      <c r="BH180" s="157"/>
      <c r="BI180" s="157">
        <v>0</v>
      </c>
      <c r="BJ180" s="157"/>
      <c r="BK180" s="157">
        <v>0</v>
      </c>
      <c r="BL180" s="157"/>
      <c r="BM180" s="157">
        <v>0</v>
      </c>
      <c r="BN180" s="157"/>
      <c r="BO180" s="157">
        <v>-5890.34</v>
      </c>
      <c r="BP180" s="157"/>
      <c r="BQ180" s="157">
        <v>-15469.52</v>
      </c>
      <c r="BR180" s="157"/>
      <c r="BS180" s="157">
        <v>0</v>
      </c>
    </row>
    <row r="181" spans="1:72" x14ac:dyDescent="0.2">
      <c r="A181" s="123" t="s">
        <v>942</v>
      </c>
      <c r="B181" s="124" t="s">
        <v>1014</v>
      </c>
      <c r="C181" s="157">
        <v>0</v>
      </c>
      <c r="D181" s="157"/>
      <c r="E181" s="157">
        <v>0</v>
      </c>
      <c r="F181" s="157"/>
      <c r="G181" s="157">
        <v>0</v>
      </c>
      <c r="H181" s="157"/>
      <c r="I181" s="157">
        <v>0</v>
      </c>
      <c r="J181" s="157"/>
      <c r="K181" s="157">
        <v>0</v>
      </c>
      <c r="L181" s="157"/>
      <c r="M181" s="157">
        <v>0</v>
      </c>
      <c r="N181" s="157"/>
      <c r="O181" s="157">
        <v>0</v>
      </c>
      <c r="P181" s="157"/>
      <c r="Q181" s="157">
        <v>0</v>
      </c>
      <c r="R181" s="157"/>
      <c r="S181" s="157">
        <v>0</v>
      </c>
      <c r="T181" s="157"/>
      <c r="U181" s="157">
        <v>0</v>
      </c>
      <c r="V181" s="157"/>
      <c r="W181" s="157">
        <v>0</v>
      </c>
      <c r="X181" s="157"/>
      <c r="Y181" s="157">
        <v>0</v>
      </c>
      <c r="Z181" s="157"/>
      <c r="AA181" s="157">
        <v>0</v>
      </c>
      <c r="AB181" s="157"/>
      <c r="AC181" s="157">
        <v>0</v>
      </c>
      <c r="AD181" s="157"/>
      <c r="AE181" s="157">
        <v>0</v>
      </c>
      <c r="AF181" s="157"/>
      <c r="AG181" s="157">
        <v>0</v>
      </c>
      <c r="AH181" s="157"/>
      <c r="AI181" s="157">
        <v>0</v>
      </c>
      <c r="AJ181" s="157"/>
      <c r="AK181" s="157">
        <v>0</v>
      </c>
      <c r="AL181" s="157"/>
      <c r="AM181" s="157">
        <v>0</v>
      </c>
      <c r="AN181" s="157"/>
      <c r="AO181" s="157">
        <v>0</v>
      </c>
      <c r="AP181" s="157"/>
      <c r="AQ181" s="157">
        <v>0</v>
      </c>
      <c r="AR181" s="157"/>
      <c r="AS181" s="157">
        <v>0</v>
      </c>
      <c r="AT181" s="157"/>
      <c r="AU181" s="157">
        <v>0</v>
      </c>
      <c r="AV181" s="157"/>
      <c r="AW181" s="157">
        <v>0</v>
      </c>
      <c r="AX181" s="157"/>
      <c r="AY181" s="157">
        <v>0</v>
      </c>
      <c r="AZ181" s="157"/>
      <c r="BA181" s="157">
        <v>0</v>
      </c>
      <c r="BB181" s="157"/>
      <c r="BC181" s="157">
        <v>0</v>
      </c>
      <c r="BD181" s="157"/>
      <c r="BE181" s="157">
        <v>0</v>
      </c>
      <c r="BF181" s="157"/>
      <c r="BG181" s="157">
        <v>0</v>
      </c>
      <c r="BH181" s="157"/>
      <c r="BI181" s="157">
        <v>0</v>
      </c>
      <c r="BJ181" s="157"/>
      <c r="BK181" s="157">
        <v>0</v>
      </c>
      <c r="BL181" s="157"/>
      <c r="BM181" s="157">
        <v>0</v>
      </c>
      <c r="BN181" s="157"/>
      <c r="BO181" s="157">
        <v>4919.3900000000003</v>
      </c>
      <c r="BP181" s="157"/>
      <c r="BQ181" s="157">
        <v>13005.21</v>
      </c>
      <c r="BR181" s="157"/>
      <c r="BS181" s="157">
        <v>0</v>
      </c>
    </row>
    <row r="182" spans="1:72" x14ac:dyDescent="0.2">
      <c r="A182" s="123" t="s">
        <v>651</v>
      </c>
      <c r="B182" s="124" t="s">
        <v>650</v>
      </c>
      <c r="C182" s="157">
        <v>0</v>
      </c>
      <c r="D182" s="157"/>
      <c r="E182" s="157">
        <v>0</v>
      </c>
      <c r="F182" s="157"/>
      <c r="G182" s="157">
        <v>0</v>
      </c>
      <c r="H182" s="157"/>
      <c r="I182" s="157">
        <v>0</v>
      </c>
      <c r="J182" s="157">
        <f>I182</f>
        <v>0</v>
      </c>
      <c r="K182" s="157">
        <v>0</v>
      </c>
      <c r="L182" s="157"/>
      <c r="M182" s="157">
        <v>0</v>
      </c>
      <c r="N182" s="157"/>
      <c r="O182" s="157">
        <v>0</v>
      </c>
      <c r="P182" s="157"/>
      <c r="Q182" s="157">
        <v>0</v>
      </c>
      <c r="R182" s="157"/>
      <c r="S182" s="157">
        <v>0</v>
      </c>
      <c r="T182" s="157"/>
      <c r="U182" s="157">
        <v>0</v>
      </c>
      <c r="V182" s="157"/>
      <c r="W182" s="157">
        <v>0</v>
      </c>
      <c r="X182" s="157"/>
      <c r="Y182" s="157">
        <v>0</v>
      </c>
      <c r="Z182" s="157"/>
      <c r="AA182" s="157">
        <v>0</v>
      </c>
      <c r="AB182" s="157"/>
      <c r="AC182" s="157">
        <v>0</v>
      </c>
      <c r="AD182" s="157"/>
      <c r="AE182" s="157">
        <v>0</v>
      </c>
      <c r="AF182" s="157"/>
      <c r="AG182" s="157">
        <v>0</v>
      </c>
      <c r="AH182" s="157"/>
      <c r="AI182" s="157">
        <v>0</v>
      </c>
      <c r="AJ182" s="157"/>
      <c r="AK182" s="157">
        <v>0</v>
      </c>
      <c r="AL182" s="157"/>
      <c r="AM182" s="157">
        <v>0</v>
      </c>
      <c r="AN182" s="157"/>
      <c r="AO182" s="157">
        <v>0</v>
      </c>
      <c r="AP182" s="157"/>
      <c r="AQ182" s="157">
        <v>0</v>
      </c>
      <c r="AR182" s="157"/>
      <c r="AS182" s="157">
        <v>0</v>
      </c>
      <c r="AT182" s="157"/>
      <c r="AU182" s="157">
        <v>0</v>
      </c>
      <c r="AV182" s="157"/>
      <c r="AW182" s="157">
        <v>0</v>
      </c>
      <c r="AX182" s="157"/>
      <c r="AY182" s="157">
        <v>0</v>
      </c>
      <c r="AZ182" s="157"/>
      <c r="BA182" s="157">
        <v>0</v>
      </c>
      <c r="BB182" s="157"/>
      <c r="BC182" s="157">
        <v>0</v>
      </c>
      <c r="BD182" s="157"/>
      <c r="BE182" s="157">
        <v>0</v>
      </c>
      <c r="BF182" s="157"/>
      <c r="BG182" s="157">
        <v>0</v>
      </c>
      <c r="BH182" s="157"/>
      <c r="BI182" s="157">
        <v>0</v>
      </c>
      <c r="BJ182" s="157">
        <f>BI182</f>
        <v>0</v>
      </c>
      <c r="BK182" s="157">
        <v>0</v>
      </c>
      <c r="BL182" s="157"/>
      <c r="BM182" s="157">
        <v>0</v>
      </c>
      <c r="BN182" s="157"/>
      <c r="BO182" s="157">
        <v>-31622.400000000001</v>
      </c>
      <c r="BP182" s="157">
        <f>BO182</f>
        <v>-31622.400000000001</v>
      </c>
      <c r="BQ182" s="157">
        <v>0</v>
      </c>
      <c r="BR182" s="157"/>
      <c r="BS182" s="157">
        <v>-37587.300000000003</v>
      </c>
      <c r="BT182" s="168">
        <f>BS182</f>
        <v>-37587.300000000003</v>
      </c>
    </row>
    <row r="183" spans="1:72" x14ac:dyDescent="0.2">
      <c r="A183" s="123" t="s">
        <v>260</v>
      </c>
      <c r="B183" s="124" t="s">
        <v>261</v>
      </c>
      <c r="C183" s="157">
        <v>0</v>
      </c>
      <c r="D183" s="157"/>
      <c r="E183" s="157">
        <v>0</v>
      </c>
      <c r="F183" s="157"/>
      <c r="G183" s="157">
        <v>0</v>
      </c>
      <c r="H183" s="157"/>
      <c r="I183" s="157">
        <v>-4750000</v>
      </c>
      <c r="J183" s="157">
        <f>SUM(I183:I190,I198,I111,I113,I114,I118)</f>
        <v>-6709891.1600000001</v>
      </c>
      <c r="K183" s="157">
        <v>0</v>
      </c>
      <c r="L183" s="157"/>
      <c r="M183" s="157">
        <v>0</v>
      </c>
      <c r="N183" s="157"/>
      <c r="O183" s="157">
        <v>0</v>
      </c>
      <c r="P183" s="157"/>
      <c r="Q183" s="157">
        <v>-2121631.7400000002</v>
      </c>
      <c r="R183" s="157">
        <f>SUM(Q183:Q198,Q129,Q111,Q112,Q113,Q114,Q119,Q118)</f>
        <v>-3052809.6199999996</v>
      </c>
      <c r="S183" s="157">
        <v>0</v>
      </c>
      <c r="T183" s="157"/>
      <c r="U183" s="157">
        <v>-4850682.45</v>
      </c>
      <c r="V183" s="157">
        <f>SUM(U183:U198,U110,U118,U129)</f>
        <v>-6636715.4199999999</v>
      </c>
      <c r="W183" s="157">
        <v>0</v>
      </c>
      <c r="X183" s="157"/>
      <c r="Y183" s="157">
        <v>-2914323</v>
      </c>
      <c r="Z183" s="157">
        <f>SUM(Y183:Y198,Y110,Y118,Y129)</f>
        <v>-3533146.12</v>
      </c>
      <c r="AA183" s="157">
        <v>0</v>
      </c>
      <c r="AB183" s="157"/>
      <c r="AC183" s="157">
        <v>0</v>
      </c>
      <c r="AD183" s="157"/>
      <c r="AE183" s="157">
        <v>-200216.65</v>
      </c>
      <c r="AF183" s="157">
        <f>SUM(AE183:AE198,AE110,AE111,AE118)</f>
        <v>-12357178.6</v>
      </c>
      <c r="AG183" s="157">
        <v>0</v>
      </c>
      <c r="AH183" s="157"/>
      <c r="AI183" s="157">
        <v>0</v>
      </c>
      <c r="AJ183" s="157"/>
      <c r="AK183" s="157">
        <v>-1785880.28</v>
      </c>
      <c r="AL183" s="157">
        <f>SUM(AK183:AK198,AK129,AK110,AK118)</f>
        <v>-3186091.9699999997</v>
      </c>
      <c r="AM183" s="157">
        <v>-7562244.29</v>
      </c>
      <c r="AN183" s="157">
        <f>SUM(AM183:AM192,AM111,AM112,AM113,AM118,AM129)</f>
        <v>-7902995.7999999989</v>
      </c>
      <c r="AO183" s="157">
        <v>0</v>
      </c>
      <c r="AP183" s="157"/>
      <c r="AQ183" s="157">
        <v>0</v>
      </c>
      <c r="AR183" s="157"/>
      <c r="AS183" s="157">
        <v>0</v>
      </c>
      <c r="AT183" s="157"/>
      <c r="AU183" s="157">
        <v>0</v>
      </c>
      <c r="AV183" s="157"/>
      <c r="AW183" s="157">
        <v>-1432012.22</v>
      </c>
      <c r="AX183" s="157">
        <f>SUM(AW183:AW198,AW111,AW113,AW114,AW118,AW129)</f>
        <v>-3706690.27</v>
      </c>
      <c r="AY183" s="157">
        <v>-2554083.13</v>
      </c>
      <c r="AZ183" s="157">
        <f>SUM(AY183:AY198,AY111,AY113,AY114,AY118,AY129)</f>
        <v>-3207259.4600000004</v>
      </c>
      <c r="BA183" s="157">
        <v>-4994363.47</v>
      </c>
      <c r="BB183" s="157">
        <f>SUM(BA183:BA198,BA111,BA118,BA130)</f>
        <v>-4574564.34</v>
      </c>
      <c r="BC183" s="157">
        <v>-767583.89</v>
      </c>
      <c r="BD183" s="157">
        <f>SUM(BC183:BC198,BC111,BC113,BC114,BC118,BC129)</f>
        <v>-2057184.46</v>
      </c>
      <c r="BE183" s="157">
        <v>-4639800</v>
      </c>
      <c r="BF183" s="157">
        <f>SUM(BE183:BE198,BE111,BE113,BE114,BE118,BE130)</f>
        <v>-5430634.1399999997</v>
      </c>
      <c r="BG183" s="157">
        <v>-523485.25</v>
      </c>
      <c r="BH183" s="157">
        <f>SUM(BG183:BG198,BG111,BG112,BG113,BG114,BG118)+BG129</f>
        <v>-1317819.1499999999</v>
      </c>
      <c r="BI183" s="157">
        <v>-2410840.91</v>
      </c>
      <c r="BJ183" s="157">
        <f>SUM(BI183:BI198,BI111,BI112,BI113,BI114,BI118)+BI129</f>
        <v>-2103485.2999999998</v>
      </c>
      <c r="BK183" s="157">
        <v>-4747381.33</v>
      </c>
      <c r="BL183" s="157">
        <f>SUM(BK183:BK198,BK111,BK113,BK114,BK118,BK129)</f>
        <v>-4181574.9400000004</v>
      </c>
      <c r="BM183" s="157">
        <v>-2708000</v>
      </c>
      <c r="BN183" s="157">
        <f>SUM(BM183:BM198,BM110,BM111,BM112,BM113,BM114,BM118)</f>
        <v>-6742118.4799999995</v>
      </c>
      <c r="BO183" s="157">
        <v>-5028184.18</v>
      </c>
      <c r="BP183" s="157">
        <f>SUM(BO183:BO196,BO110,BO111,BO112,BO113,BO118,BO129)</f>
        <v>-6765798.7499999991</v>
      </c>
      <c r="BQ183" s="157">
        <v>-5240670.74</v>
      </c>
      <c r="BR183" s="157">
        <f>SUM(BQ183:BQ198,BQ111,BQ112,BQ113,BQ118,BQ129)</f>
        <v>-7212457.0000000009</v>
      </c>
      <c r="BS183" s="157">
        <v>-5031596.9000000004</v>
      </c>
      <c r="BT183" s="168">
        <f>SUM(BS183:BS198,BS111,BS112,BS113,BS114,BS118)+BS129</f>
        <v>-6385417.1000000006</v>
      </c>
    </row>
    <row r="184" spans="1:72" x14ac:dyDescent="0.2">
      <c r="A184" s="123" t="s">
        <v>262</v>
      </c>
      <c r="B184" s="124" t="s">
        <v>263</v>
      </c>
      <c r="C184" s="157">
        <v>0</v>
      </c>
      <c r="D184" s="157"/>
      <c r="E184" s="157">
        <v>0</v>
      </c>
      <c r="F184" s="157"/>
      <c r="G184" s="157">
        <v>0</v>
      </c>
      <c r="H184" s="157"/>
      <c r="I184" s="157">
        <v>0</v>
      </c>
      <c r="J184" s="157"/>
      <c r="K184" s="157">
        <v>0</v>
      </c>
      <c r="L184" s="157"/>
      <c r="M184" s="157">
        <v>0</v>
      </c>
      <c r="N184" s="157"/>
      <c r="O184" s="157">
        <v>0</v>
      </c>
      <c r="P184" s="157"/>
      <c r="Q184" s="157">
        <v>109711.54</v>
      </c>
      <c r="R184" s="157"/>
      <c r="S184" s="157">
        <v>0</v>
      </c>
      <c r="T184" s="157"/>
      <c r="U184" s="157">
        <v>319121.78000000003</v>
      </c>
      <c r="V184" s="157"/>
      <c r="W184" s="157">
        <v>0</v>
      </c>
      <c r="X184" s="157"/>
      <c r="Y184" s="157">
        <v>550324.91</v>
      </c>
      <c r="Z184" s="157"/>
      <c r="AA184" s="157">
        <v>0</v>
      </c>
      <c r="AB184" s="157"/>
      <c r="AC184" s="157">
        <v>0</v>
      </c>
      <c r="AD184" s="157"/>
      <c r="AE184" s="157">
        <v>200216.65</v>
      </c>
      <c r="AF184" s="157"/>
      <c r="AG184" s="157">
        <v>0</v>
      </c>
      <c r="AH184" s="157"/>
      <c r="AI184" s="157">
        <v>0</v>
      </c>
      <c r="AJ184" s="157"/>
      <c r="AK184" s="157">
        <v>359093.87</v>
      </c>
      <c r="AL184" s="157"/>
      <c r="AM184" s="157">
        <v>476175.34</v>
      </c>
      <c r="AN184" s="157"/>
      <c r="AO184" s="157">
        <v>0</v>
      </c>
      <c r="AP184" s="157"/>
      <c r="AQ184" s="157">
        <v>0</v>
      </c>
      <c r="AR184" s="157"/>
      <c r="AS184" s="157">
        <v>0</v>
      </c>
      <c r="AT184" s="157"/>
      <c r="AU184" s="157">
        <v>0</v>
      </c>
      <c r="AV184" s="157"/>
      <c r="AW184" s="157">
        <v>292260.31</v>
      </c>
      <c r="AX184" s="157"/>
      <c r="AY184" s="157">
        <v>370452.3</v>
      </c>
      <c r="AZ184" s="157"/>
      <c r="BA184" s="157">
        <v>4994363.47</v>
      </c>
      <c r="BB184" s="157"/>
      <c r="BC184" s="157">
        <v>87258.25</v>
      </c>
      <c r="BD184" s="157"/>
      <c r="BE184" s="157">
        <v>4639800</v>
      </c>
      <c r="BF184" s="157"/>
      <c r="BG184" s="157">
        <v>63330.28</v>
      </c>
      <c r="BH184" s="157"/>
      <c r="BI184" s="157">
        <v>278163.68</v>
      </c>
      <c r="BJ184" s="157"/>
      <c r="BK184" s="157">
        <v>524481.96</v>
      </c>
      <c r="BL184" s="157"/>
      <c r="BM184" s="157">
        <v>0</v>
      </c>
      <c r="BN184" s="157"/>
      <c r="BO184" s="157">
        <v>305772.15999999997</v>
      </c>
      <c r="BP184" s="157"/>
      <c r="BQ184" s="157">
        <v>326245.8</v>
      </c>
      <c r="BR184" s="157"/>
      <c r="BS184" s="157">
        <v>312539.21999999997</v>
      </c>
    </row>
    <row r="185" spans="1:72" x14ac:dyDescent="0.2">
      <c r="A185" s="123" t="s">
        <v>264</v>
      </c>
      <c r="B185" s="124" t="s">
        <v>265</v>
      </c>
      <c r="C185" s="157">
        <v>-7627000</v>
      </c>
      <c r="D185" s="157">
        <f>SUM(C185:C192,C110,C118)</f>
        <v>-8409578.2599999998</v>
      </c>
      <c r="E185" s="157">
        <v>-5382000</v>
      </c>
      <c r="F185" s="157">
        <f>SUM(E185:E198,E110:E111,E118)</f>
        <v>-5525866.7599999998</v>
      </c>
      <c r="G185" s="157">
        <v>-8141000</v>
      </c>
      <c r="H185" s="157">
        <f>SUM(G185:G190,G110,G118)</f>
        <v>-8821753.1799999997</v>
      </c>
      <c r="I185" s="157">
        <v>0</v>
      </c>
      <c r="J185" s="157"/>
      <c r="K185" s="157">
        <v>0</v>
      </c>
      <c r="L185" s="157"/>
      <c r="M185" s="157">
        <v>-4650000</v>
      </c>
      <c r="N185" s="157">
        <f>SUM(M185:M198,M110,M118)</f>
        <v>-5436005.8099999996</v>
      </c>
      <c r="O185" s="157">
        <v>-4681000</v>
      </c>
      <c r="P185" s="157">
        <f>SUM(O185:O198,O110,O118)</f>
        <v>-5772707.5799999991</v>
      </c>
      <c r="Q185" s="157">
        <v>0</v>
      </c>
      <c r="R185" s="157"/>
      <c r="S185" s="157">
        <v>-2900000</v>
      </c>
      <c r="T185" s="157">
        <f>SUM(S185:S198,S110:S111,S118)</f>
        <v>-3109696.05</v>
      </c>
      <c r="U185" s="157">
        <v>0</v>
      </c>
      <c r="V185" s="157"/>
      <c r="W185" s="157">
        <v>-2700000</v>
      </c>
      <c r="X185" s="157">
        <f>SUM(W185:W198,W110,,W118,W111)</f>
        <v>-4578270.88</v>
      </c>
      <c r="Y185" s="157">
        <v>0</v>
      </c>
      <c r="Z185" s="157"/>
      <c r="AA185" s="157">
        <v>-7275000</v>
      </c>
      <c r="AB185" s="157">
        <f>SUM(AA185:AA198,AA110,AA118)</f>
        <v>-8496412.5099999998</v>
      </c>
      <c r="AC185" s="157">
        <v>-1700000</v>
      </c>
      <c r="AD185" s="157">
        <f>SUM(AC185:AC198,AC110,AC111,AC118)</f>
        <v>-3282912.2100000004</v>
      </c>
      <c r="AE185" s="157">
        <v>0</v>
      </c>
      <c r="AF185" s="157"/>
      <c r="AG185" s="157">
        <v>-5250000</v>
      </c>
      <c r="AH185" s="157">
        <f>SUM(AG185:AG197,AG110,AG118)</f>
        <v>-6415652.7700000005</v>
      </c>
      <c r="AI185" s="157">
        <v>-1300000</v>
      </c>
      <c r="AJ185" s="157">
        <f>SUM(AI185:AI198,AI110,AI111,AI118)</f>
        <v>-2584963.09</v>
      </c>
      <c r="AK185" s="157">
        <v>0</v>
      </c>
      <c r="AL185" s="157"/>
      <c r="AM185" s="157">
        <v>0</v>
      </c>
      <c r="AN185" s="157"/>
      <c r="AO185" s="157">
        <v>-6475000</v>
      </c>
      <c r="AP185" s="157">
        <f>SUM(AO185:AO198,AO110,AO118)</f>
        <v>-7498997.8099999996</v>
      </c>
      <c r="AQ185" s="157">
        <v>-4201284.12</v>
      </c>
      <c r="AR185" s="157">
        <f>SUM(AQ185:AQ198,AQ111,AQ112,AQ113,AQ114,AQ118,AQ130)</f>
        <v>-6832212.8800000008</v>
      </c>
      <c r="AS185" s="157">
        <v>-6975000</v>
      </c>
      <c r="AT185" s="157">
        <f>AS185+AS189+AS190+AS110+AS118</f>
        <v>-7842791.6299999999</v>
      </c>
      <c r="AU185" s="157">
        <v>-11700000</v>
      </c>
      <c r="AV185" s="157">
        <f>SUM(AU185:AU190,AU110,AU111,AU118)</f>
        <v>-11915871.459999999</v>
      </c>
      <c r="AW185" s="157">
        <v>0</v>
      </c>
      <c r="AX185" s="157"/>
      <c r="AY185" s="157">
        <v>0</v>
      </c>
      <c r="AZ185" s="157"/>
      <c r="BA185" s="157">
        <v>77225</v>
      </c>
      <c r="BB185" s="157"/>
      <c r="BC185" s="157">
        <v>0</v>
      </c>
      <c r="BD185" s="157"/>
      <c r="BE185" s="157">
        <v>-84631.58</v>
      </c>
      <c r="BF185" s="157"/>
      <c r="BG185" s="157">
        <v>0</v>
      </c>
      <c r="BH185" s="157"/>
      <c r="BI185" s="157">
        <v>0</v>
      </c>
      <c r="BJ185" s="157"/>
      <c r="BK185" s="157">
        <v>0</v>
      </c>
      <c r="BL185" s="157"/>
      <c r="BM185" s="157">
        <v>0</v>
      </c>
      <c r="BN185" s="157"/>
      <c r="BO185" s="157">
        <v>0</v>
      </c>
      <c r="BP185" s="157"/>
      <c r="BQ185" s="157">
        <v>0</v>
      </c>
      <c r="BR185" s="157"/>
      <c r="BS185" s="157">
        <v>0</v>
      </c>
    </row>
    <row r="186" spans="1:72" x14ac:dyDescent="0.2">
      <c r="A186" s="123" t="s">
        <v>488</v>
      </c>
      <c r="B186" s="124" t="s">
        <v>489</v>
      </c>
      <c r="C186" s="157">
        <v>0</v>
      </c>
      <c r="D186" s="157"/>
      <c r="E186" s="157">
        <v>0</v>
      </c>
      <c r="F186" s="157"/>
      <c r="G186" s="157">
        <v>0</v>
      </c>
      <c r="H186" s="157"/>
      <c r="I186" s="157">
        <v>0</v>
      </c>
      <c r="J186" s="157"/>
      <c r="K186" s="157">
        <v>0</v>
      </c>
      <c r="L186" s="157"/>
      <c r="M186" s="157">
        <v>0</v>
      </c>
      <c r="N186" s="157"/>
      <c r="O186" s="157">
        <v>0</v>
      </c>
      <c r="P186" s="157"/>
      <c r="Q186" s="157">
        <v>0</v>
      </c>
      <c r="R186" s="157"/>
      <c r="S186" s="157">
        <v>0</v>
      </c>
      <c r="T186" s="157"/>
      <c r="U186" s="157">
        <v>0</v>
      </c>
      <c r="V186" s="157"/>
      <c r="W186" s="157">
        <v>0</v>
      </c>
      <c r="X186" s="157"/>
      <c r="Y186" s="157">
        <v>0</v>
      </c>
      <c r="Z186" s="157"/>
      <c r="AA186" s="157">
        <v>0</v>
      </c>
      <c r="AB186" s="157"/>
      <c r="AC186" s="157">
        <v>0</v>
      </c>
      <c r="AD186" s="157"/>
      <c r="AE186" s="157">
        <v>0</v>
      </c>
      <c r="AF186" s="157"/>
      <c r="AG186" s="157">
        <v>0</v>
      </c>
      <c r="AH186" s="157"/>
      <c r="AI186" s="157">
        <v>0</v>
      </c>
      <c r="AJ186" s="157"/>
      <c r="AK186" s="157">
        <v>0</v>
      </c>
      <c r="AL186" s="157"/>
      <c r="AM186" s="157">
        <v>0</v>
      </c>
      <c r="AN186" s="157"/>
      <c r="AO186" s="157">
        <v>0</v>
      </c>
      <c r="AP186" s="157"/>
      <c r="AQ186" s="157">
        <v>435213.26</v>
      </c>
      <c r="AR186" s="157"/>
      <c r="AS186" s="157">
        <v>0</v>
      </c>
      <c r="AT186" s="157"/>
      <c r="AU186" s="157">
        <v>0</v>
      </c>
      <c r="AV186" s="157"/>
      <c r="AW186" s="157">
        <v>0</v>
      </c>
      <c r="AX186" s="157"/>
      <c r="AY186" s="157">
        <v>0</v>
      </c>
      <c r="AZ186" s="157"/>
      <c r="BA186" s="157">
        <v>337859.05</v>
      </c>
      <c r="BB186" s="157"/>
      <c r="BC186" s="157">
        <v>0</v>
      </c>
      <c r="BD186" s="157"/>
      <c r="BE186" s="157">
        <v>378898.32</v>
      </c>
      <c r="BF186" s="157"/>
      <c r="BG186" s="157">
        <v>0</v>
      </c>
      <c r="BH186" s="157"/>
      <c r="BI186" s="157">
        <v>0</v>
      </c>
      <c r="BJ186" s="157"/>
      <c r="BK186" s="157">
        <v>0</v>
      </c>
      <c r="BL186" s="157"/>
      <c r="BM186" s="157">
        <v>0</v>
      </c>
      <c r="BN186" s="157"/>
      <c r="BO186" s="157">
        <v>0</v>
      </c>
      <c r="BP186" s="157"/>
      <c r="BQ186" s="157">
        <v>0</v>
      </c>
      <c r="BR186" s="157"/>
      <c r="BS186" s="157">
        <v>0</v>
      </c>
    </row>
    <row r="187" spans="1:72" x14ac:dyDescent="0.2">
      <c r="A187" s="123" t="s">
        <v>566</v>
      </c>
      <c r="B187" s="124" t="s">
        <v>565</v>
      </c>
      <c r="C187" s="157">
        <v>0</v>
      </c>
      <c r="D187" s="157"/>
      <c r="E187" s="157">
        <v>0</v>
      </c>
      <c r="F187" s="157"/>
      <c r="G187" s="157">
        <v>0</v>
      </c>
      <c r="H187" s="157"/>
      <c r="I187" s="157">
        <v>0</v>
      </c>
      <c r="J187" s="157"/>
      <c r="K187" s="157">
        <v>0</v>
      </c>
      <c r="L187" s="157"/>
      <c r="M187" s="157">
        <v>0</v>
      </c>
      <c r="N187" s="157"/>
      <c r="O187" s="157">
        <v>0</v>
      </c>
      <c r="P187" s="157"/>
      <c r="Q187" s="157">
        <v>0</v>
      </c>
      <c r="R187" s="157"/>
      <c r="S187" s="157">
        <v>0</v>
      </c>
      <c r="T187" s="157"/>
      <c r="U187" s="157">
        <v>0</v>
      </c>
      <c r="V187" s="157"/>
      <c r="W187" s="157">
        <v>0</v>
      </c>
      <c r="X187" s="157"/>
      <c r="Y187" s="157">
        <v>0</v>
      </c>
      <c r="Z187" s="157"/>
      <c r="AA187" s="157">
        <v>0</v>
      </c>
      <c r="AB187" s="157"/>
      <c r="AC187" s="157">
        <v>0</v>
      </c>
      <c r="AD187" s="157"/>
      <c r="AE187" s="157">
        <v>0</v>
      </c>
      <c r="AF187" s="157"/>
      <c r="AG187" s="157">
        <v>0</v>
      </c>
      <c r="AH187" s="157"/>
      <c r="AI187" s="157">
        <v>0</v>
      </c>
      <c r="AJ187" s="157"/>
      <c r="AK187" s="157">
        <v>0</v>
      </c>
      <c r="AL187" s="157"/>
      <c r="AM187" s="157">
        <v>0</v>
      </c>
      <c r="AN187" s="157"/>
      <c r="AO187" s="157">
        <v>0</v>
      </c>
      <c r="AP187" s="157"/>
      <c r="AQ187" s="157">
        <v>0</v>
      </c>
      <c r="AR187" s="157"/>
      <c r="AS187" s="157">
        <v>0</v>
      </c>
      <c r="AT187" s="157"/>
      <c r="AU187" s="157">
        <v>0</v>
      </c>
      <c r="AV187" s="157"/>
      <c r="AW187" s="157">
        <v>0</v>
      </c>
      <c r="AX187" s="157"/>
      <c r="AY187" s="157">
        <v>0</v>
      </c>
      <c r="AZ187" s="157"/>
      <c r="BA187" s="157">
        <v>-4995400</v>
      </c>
      <c r="BB187" s="157"/>
      <c r="BC187" s="157">
        <v>0</v>
      </c>
      <c r="BD187" s="157"/>
      <c r="BE187" s="157">
        <v>-4467779.8600000003</v>
      </c>
      <c r="BF187" s="157"/>
      <c r="BG187" s="157">
        <v>0</v>
      </c>
      <c r="BH187" s="157"/>
      <c r="BI187" s="157">
        <v>0</v>
      </c>
      <c r="BJ187" s="157"/>
      <c r="BK187" s="157">
        <v>0</v>
      </c>
      <c r="BL187" s="157"/>
      <c r="BM187" s="157">
        <v>0</v>
      </c>
      <c r="BN187" s="157"/>
      <c r="BO187" s="157">
        <v>0</v>
      </c>
      <c r="BP187" s="157"/>
      <c r="BQ187" s="157">
        <v>0</v>
      </c>
      <c r="BR187" s="157"/>
      <c r="BS187" s="157">
        <v>0</v>
      </c>
    </row>
    <row r="188" spans="1:72" x14ac:dyDescent="0.2">
      <c r="A188" s="123" t="s">
        <v>490</v>
      </c>
      <c r="B188" s="124" t="s">
        <v>491</v>
      </c>
      <c r="C188" s="157">
        <v>0</v>
      </c>
      <c r="D188" s="157"/>
      <c r="E188" s="157">
        <v>0</v>
      </c>
      <c r="F188" s="157"/>
      <c r="G188" s="157">
        <v>0</v>
      </c>
      <c r="H188" s="157"/>
      <c r="I188" s="157">
        <v>0</v>
      </c>
      <c r="J188" s="157"/>
      <c r="K188" s="157">
        <v>-26546000</v>
      </c>
      <c r="L188" s="157">
        <f>SUM(K188:K190,K110,K113,K114,K118)</f>
        <v>-26681622.359999999</v>
      </c>
      <c r="M188" s="157">
        <v>0</v>
      </c>
      <c r="N188" s="157"/>
      <c r="O188" s="157">
        <v>0</v>
      </c>
      <c r="P188" s="157"/>
      <c r="Q188" s="157">
        <v>0</v>
      </c>
      <c r="R188" s="157"/>
      <c r="S188" s="157">
        <v>0</v>
      </c>
      <c r="T188" s="157"/>
      <c r="U188" s="157">
        <v>0</v>
      </c>
      <c r="V188" s="157"/>
      <c r="W188" s="157">
        <v>0</v>
      </c>
      <c r="X188" s="157"/>
      <c r="Y188" s="157">
        <v>0</v>
      </c>
      <c r="Z188" s="157"/>
      <c r="AA188" s="157">
        <v>0</v>
      </c>
      <c r="AB188" s="157"/>
      <c r="AC188" s="157">
        <v>0</v>
      </c>
      <c r="AD188" s="157"/>
      <c r="AE188" s="157">
        <v>-11734000</v>
      </c>
      <c r="AF188" s="157"/>
      <c r="AG188" s="157">
        <v>0</v>
      </c>
      <c r="AH188" s="157"/>
      <c r="AI188" s="157">
        <v>0</v>
      </c>
      <c r="AJ188" s="157"/>
      <c r="AK188" s="157">
        <v>0</v>
      </c>
      <c r="AL188" s="157"/>
      <c r="AM188" s="157">
        <v>0</v>
      </c>
      <c r="AN188" s="157"/>
      <c r="AO188" s="157">
        <v>0</v>
      </c>
      <c r="AP188" s="157"/>
      <c r="AQ188" s="157">
        <v>0</v>
      </c>
      <c r="AR188" s="157"/>
      <c r="AS188" s="157">
        <v>0</v>
      </c>
      <c r="AT188" s="157"/>
      <c r="AU188" s="157">
        <v>0</v>
      </c>
      <c r="AV188" s="157"/>
      <c r="AW188" s="157">
        <v>0</v>
      </c>
      <c r="AX188" s="157"/>
      <c r="AY188" s="157">
        <v>0</v>
      </c>
      <c r="AZ188" s="157"/>
      <c r="BA188" s="157">
        <v>0</v>
      </c>
      <c r="BB188" s="157"/>
      <c r="BC188" s="157">
        <v>0</v>
      </c>
      <c r="BD188" s="157"/>
      <c r="BE188" s="157">
        <v>0</v>
      </c>
      <c r="BF188" s="157"/>
      <c r="BG188" s="157">
        <v>0</v>
      </c>
      <c r="BH188" s="157"/>
      <c r="BI188" s="157">
        <v>0</v>
      </c>
      <c r="BJ188" s="157"/>
      <c r="BK188" s="157">
        <v>0</v>
      </c>
      <c r="BL188" s="157"/>
      <c r="BM188" s="157">
        <v>0</v>
      </c>
      <c r="BN188" s="157"/>
      <c r="BO188" s="157">
        <v>0</v>
      </c>
      <c r="BP188" s="157"/>
      <c r="BQ188" s="157">
        <v>0</v>
      </c>
      <c r="BR188" s="157"/>
      <c r="BS188" s="157">
        <v>0</v>
      </c>
    </row>
    <row r="189" spans="1:72" x14ac:dyDescent="0.2">
      <c r="A189" s="123" t="s">
        <v>266</v>
      </c>
      <c r="B189" s="124" t="s">
        <v>267</v>
      </c>
      <c r="C189" s="157">
        <v>-995673.03</v>
      </c>
      <c r="D189" s="157"/>
      <c r="E189" s="157">
        <v>0</v>
      </c>
      <c r="F189" s="157"/>
      <c r="G189" s="157">
        <v>-870016.36</v>
      </c>
      <c r="H189" s="157"/>
      <c r="I189" s="157">
        <v>-1950000</v>
      </c>
      <c r="J189" s="157"/>
      <c r="K189" s="157">
        <v>-506357.94</v>
      </c>
      <c r="L189" s="157"/>
      <c r="M189" s="157">
        <v>-987046.54</v>
      </c>
      <c r="N189" s="157"/>
      <c r="O189" s="157">
        <v>-1114784.5900000001</v>
      </c>
      <c r="P189" s="157"/>
      <c r="Q189" s="157">
        <v>-1288083</v>
      </c>
      <c r="R189" s="157"/>
      <c r="S189" s="157">
        <v>0</v>
      </c>
      <c r="T189" s="157"/>
      <c r="U189" s="157">
        <v>-540003.13</v>
      </c>
      <c r="V189" s="157"/>
      <c r="W189" s="157">
        <v>-850658</v>
      </c>
      <c r="X189" s="157"/>
      <c r="Y189" s="157">
        <v>-1416580</v>
      </c>
      <c r="Z189" s="157"/>
      <c r="AA189" s="157">
        <v>-967133.48</v>
      </c>
      <c r="AB189" s="157"/>
      <c r="AC189" s="157">
        <v>0</v>
      </c>
      <c r="AD189" s="157"/>
      <c r="AE189" s="157">
        <v>-606000</v>
      </c>
      <c r="AF189" s="157"/>
      <c r="AG189" s="157">
        <v>-1010743.73</v>
      </c>
      <c r="AH189" s="157"/>
      <c r="AI189" s="157">
        <v>-750000</v>
      </c>
      <c r="AJ189" s="157"/>
      <c r="AK189" s="157">
        <v>-630000</v>
      </c>
      <c r="AL189" s="157"/>
      <c r="AM189" s="157">
        <v>-655000</v>
      </c>
      <c r="AN189" s="157"/>
      <c r="AO189" s="157">
        <v>0</v>
      </c>
      <c r="AP189" s="157"/>
      <c r="AQ189" s="157">
        <v>-2000000</v>
      </c>
      <c r="AR189" s="157"/>
      <c r="AS189" s="157">
        <v>-1109077.8700000001</v>
      </c>
      <c r="AT189" s="157"/>
      <c r="AU189" s="157">
        <v>-481523.96</v>
      </c>
      <c r="AV189" s="157"/>
      <c r="AW189" s="157">
        <v>-1395565</v>
      </c>
      <c r="AX189" s="157"/>
      <c r="AY189" s="157">
        <v>-1185660.4099999999</v>
      </c>
      <c r="AZ189" s="157"/>
      <c r="BA189" s="157">
        <v>0</v>
      </c>
      <c r="BB189" s="157"/>
      <c r="BC189" s="157">
        <v>-1457500</v>
      </c>
      <c r="BD189" s="157"/>
      <c r="BE189" s="157">
        <v>-1500000</v>
      </c>
      <c r="BF189" s="157"/>
      <c r="BG189" s="157">
        <v>-890590</v>
      </c>
      <c r="BH189" s="157"/>
      <c r="BI189" s="157">
        <v>0</v>
      </c>
      <c r="BJ189" s="157"/>
      <c r="BK189" s="157">
        <v>-240965</v>
      </c>
      <c r="BL189" s="157"/>
      <c r="BM189" s="157">
        <v>0</v>
      </c>
      <c r="BN189" s="157"/>
      <c r="BO189" s="157">
        <v>-790560</v>
      </c>
      <c r="BP189" s="157"/>
      <c r="BQ189" s="157">
        <v>-922871</v>
      </c>
      <c r="BR189" s="157"/>
      <c r="BS189" s="157">
        <v>-914080</v>
      </c>
    </row>
    <row r="190" spans="1:72" x14ac:dyDescent="0.2">
      <c r="A190" s="123" t="s">
        <v>268</v>
      </c>
      <c r="B190" s="124" t="s">
        <v>269</v>
      </c>
      <c r="C190" s="157">
        <v>150559.82</v>
      </c>
      <c r="D190" s="157"/>
      <c r="E190" s="157">
        <v>0</v>
      </c>
      <c r="F190" s="157"/>
      <c r="G190" s="157">
        <v>141684.21</v>
      </c>
      <c r="H190" s="157"/>
      <c r="I190" s="157">
        <v>180430.55</v>
      </c>
      <c r="J190" s="157"/>
      <c r="K190" s="157">
        <v>59457.25</v>
      </c>
      <c r="L190" s="157"/>
      <c r="M190" s="157">
        <v>156476.88</v>
      </c>
      <c r="N190" s="157"/>
      <c r="O190" s="157">
        <v>0</v>
      </c>
      <c r="P190" s="157"/>
      <c r="Q190" s="157">
        <v>21933.040000000001</v>
      </c>
      <c r="R190" s="157"/>
      <c r="S190" s="157">
        <v>0</v>
      </c>
      <c r="T190" s="157"/>
      <c r="U190" s="157">
        <v>32683</v>
      </c>
      <c r="V190" s="157"/>
      <c r="W190" s="157">
        <v>315700</v>
      </c>
      <c r="X190" s="157"/>
      <c r="Y190" s="157">
        <v>273499.17</v>
      </c>
      <c r="Z190" s="157"/>
      <c r="AA190" s="157">
        <v>125525.96</v>
      </c>
      <c r="AB190" s="157"/>
      <c r="AC190" s="157">
        <v>0</v>
      </c>
      <c r="AD190" s="157"/>
      <c r="AE190" s="157">
        <v>59946.5</v>
      </c>
      <c r="AF190" s="157"/>
      <c r="AG190" s="157">
        <v>178944.58</v>
      </c>
      <c r="AH190" s="157"/>
      <c r="AI190" s="157">
        <v>0</v>
      </c>
      <c r="AJ190" s="157"/>
      <c r="AK190" s="157">
        <v>0</v>
      </c>
      <c r="AL190" s="157"/>
      <c r="AM190" s="157">
        <v>0</v>
      </c>
      <c r="AN190" s="157"/>
      <c r="AO190" s="157">
        <v>0</v>
      </c>
      <c r="AP190" s="157"/>
      <c r="AQ190" s="157">
        <v>108310.79</v>
      </c>
      <c r="AR190" s="157"/>
      <c r="AS190" s="157">
        <v>143256.21</v>
      </c>
      <c r="AT190" s="157"/>
      <c r="AU190" s="157">
        <v>87461.3</v>
      </c>
      <c r="AV190" s="157"/>
      <c r="AW190" s="157">
        <v>159950</v>
      </c>
      <c r="AX190" s="157"/>
      <c r="AY190" s="157">
        <v>124600.34</v>
      </c>
      <c r="AZ190" s="157"/>
      <c r="BA190" s="157">
        <v>0</v>
      </c>
      <c r="BB190" s="157"/>
      <c r="BC190" s="157">
        <v>44988.92</v>
      </c>
      <c r="BD190" s="157"/>
      <c r="BE190" s="157">
        <v>152731.1</v>
      </c>
      <c r="BF190" s="157"/>
      <c r="BG190" s="157">
        <v>0</v>
      </c>
      <c r="BH190" s="157"/>
      <c r="BI190" s="157">
        <v>0</v>
      </c>
      <c r="BJ190" s="157"/>
      <c r="BK190" s="157">
        <v>95032.52</v>
      </c>
      <c r="BL190" s="157"/>
      <c r="BM190" s="157">
        <v>0</v>
      </c>
      <c r="BN190" s="157"/>
      <c r="BO190" s="157">
        <v>0</v>
      </c>
      <c r="BP190" s="157"/>
      <c r="BQ190" s="157">
        <v>50108.13</v>
      </c>
      <c r="BR190" s="157"/>
      <c r="BS190" s="157">
        <v>0</v>
      </c>
    </row>
    <row r="191" spans="1:72" x14ac:dyDescent="0.2">
      <c r="A191" s="123" t="s">
        <v>270</v>
      </c>
      <c r="B191" s="124" t="s">
        <v>271</v>
      </c>
      <c r="C191" s="157">
        <v>0</v>
      </c>
      <c r="D191" s="157"/>
      <c r="E191" s="157">
        <v>-799866</v>
      </c>
      <c r="F191" s="157"/>
      <c r="G191" s="157">
        <v>-185018</v>
      </c>
      <c r="H191" s="157">
        <f>SUM(G191:G192)</f>
        <v>-161034</v>
      </c>
      <c r="I191" s="157">
        <v>-500000</v>
      </c>
      <c r="J191" s="157"/>
      <c r="K191" s="157">
        <v>-1214999.6599999999</v>
      </c>
      <c r="L191" s="157">
        <f>SUM(K191:K192)</f>
        <v>-944999.65999999992</v>
      </c>
      <c r="M191" s="157">
        <v>0</v>
      </c>
      <c r="N191" s="157"/>
      <c r="O191" s="157">
        <v>0</v>
      </c>
      <c r="P191" s="157"/>
      <c r="Q191" s="157">
        <v>0</v>
      </c>
      <c r="R191" s="157"/>
      <c r="S191" s="157">
        <v>0</v>
      </c>
      <c r="T191" s="157"/>
      <c r="U191" s="157">
        <v>-1730664</v>
      </c>
      <c r="V191" s="157"/>
      <c r="W191" s="157">
        <v>-1626219.16</v>
      </c>
      <c r="X191" s="157"/>
      <c r="Y191" s="157">
        <v>0</v>
      </c>
      <c r="Z191" s="157"/>
      <c r="AA191" s="157">
        <v>-547757.47</v>
      </c>
      <c r="AB191" s="157"/>
      <c r="AC191" s="157">
        <v>-743930</v>
      </c>
      <c r="AD191" s="157"/>
      <c r="AE191" s="157">
        <v>-200000</v>
      </c>
      <c r="AF191" s="157"/>
      <c r="AG191" s="157">
        <v>-415685</v>
      </c>
      <c r="AH191" s="157"/>
      <c r="AI191" s="157">
        <v>-651100</v>
      </c>
      <c r="AJ191" s="157"/>
      <c r="AK191" s="157">
        <v>-1466700</v>
      </c>
      <c r="AL191" s="157"/>
      <c r="AM191" s="157">
        <v>-720000</v>
      </c>
      <c r="AN191" s="157"/>
      <c r="AO191" s="157">
        <v>-1298853.8</v>
      </c>
      <c r="AP191" s="157"/>
      <c r="AQ191" s="157">
        <v>-1200000</v>
      </c>
      <c r="AR191" s="157"/>
      <c r="AS191" s="157">
        <v>-729897</v>
      </c>
      <c r="AT191" s="157"/>
      <c r="AU191" s="157">
        <v>-675474</v>
      </c>
      <c r="AV191" s="157">
        <f>SUM(AU191:AU192)</f>
        <v>-526559</v>
      </c>
      <c r="AW191" s="157">
        <v>-1350000</v>
      </c>
      <c r="AX191" s="157"/>
      <c r="AY191" s="157">
        <v>0</v>
      </c>
      <c r="AZ191" s="157"/>
      <c r="BA191" s="157">
        <v>0</v>
      </c>
      <c r="BB191" s="157"/>
      <c r="BC191" s="157">
        <v>0</v>
      </c>
      <c r="BD191" s="157"/>
      <c r="BE191" s="157">
        <v>0</v>
      </c>
      <c r="BF191" s="157"/>
      <c r="BG191" s="157">
        <v>0</v>
      </c>
      <c r="BH191" s="157"/>
      <c r="BI191" s="157">
        <v>0</v>
      </c>
      <c r="BJ191" s="157"/>
      <c r="BK191" s="157">
        <v>0</v>
      </c>
      <c r="BL191" s="157"/>
      <c r="BM191" s="157">
        <v>-250000</v>
      </c>
      <c r="BN191" s="157"/>
      <c r="BO191" s="157">
        <v>-1115609</v>
      </c>
      <c r="BP191" s="157"/>
      <c r="BQ191" s="157">
        <v>-500000</v>
      </c>
      <c r="BR191" s="157"/>
      <c r="BS191" s="157">
        <v>-767000</v>
      </c>
    </row>
    <row r="192" spans="1:72" x14ac:dyDescent="0.2">
      <c r="A192" s="123" t="s">
        <v>272</v>
      </c>
      <c r="B192" s="124" t="s">
        <v>273</v>
      </c>
      <c r="C192" s="157">
        <v>0</v>
      </c>
      <c r="D192" s="157"/>
      <c r="E192" s="157">
        <v>548558</v>
      </c>
      <c r="F192" s="157"/>
      <c r="G192" s="157">
        <v>23984</v>
      </c>
      <c r="H192" s="157"/>
      <c r="I192" s="157">
        <v>55684</v>
      </c>
      <c r="J192" s="157"/>
      <c r="K192" s="157">
        <v>270000</v>
      </c>
      <c r="L192" s="157"/>
      <c r="M192" s="157">
        <v>0</v>
      </c>
      <c r="N192" s="157"/>
      <c r="O192" s="157">
        <v>0</v>
      </c>
      <c r="P192" s="157"/>
      <c r="Q192" s="157">
        <v>0</v>
      </c>
      <c r="R192" s="157"/>
      <c r="S192" s="157">
        <v>0</v>
      </c>
      <c r="T192" s="157"/>
      <c r="U192" s="157">
        <v>0</v>
      </c>
      <c r="V192" s="157"/>
      <c r="W192" s="157">
        <v>241423</v>
      </c>
      <c r="X192" s="157"/>
      <c r="Y192" s="157">
        <v>0</v>
      </c>
      <c r="Z192" s="157"/>
      <c r="AA192" s="157">
        <v>102439.23</v>
      </c>
      <c r="AB192" s="157"/>
      <c r="AC192" s="157">
        <v>0</v>
      </c>
      <c r="AD192" s="157"/>
      <c r="AE192" s="157">
        <v>0</v>
      </c>
      <c r="AF192" s="157"/>
      <c r="AG192" s="157">
        <v>48925</v>
      </c>
      <c r="AH192" s="157"/>
      <c r="AI192" s="157">
        <v>82600</v>
      </c>
      <c r="AJ192" s="157"/>
      <c r="AK192" s="157">
        <v>304500.5</v>
      </c>
      <c r="AL192" s="157"/>
      <c r="AM192" s="157">
        <v>334383</v>
      </c>
      <c r="AN192" s="157"/>
      <c r="AO192" s="157">
        <v>228943.54</v>
      </c>
      <c r="AP192" s="157"/>
      <c r="AQ192" s="157">
        <v>0</v>
      </c>
      <c r="AR192" s="157"/>
      <c r="AS192" s="157">
        <v>125141.99</v>
      </c>
      <c r="AT192" s="157">
        <f>AS192+AS191</f>
        <v>-604755.01</v>
      </c>
      <c r="AU192" s="157">
        <v>148915</v>
      </c>
      <c r="AV192" s="157"/>
      <c r="AW192" s="157">
        <v>0</v>
      </c>
      <c r="AX192" s="157"/>
      <c r="AY192" s="157">
        <v>0</v>
      </c>
      <c r="AZ192" s="157"/>
      <c r="BA192" s="157">
        <v>0</v>
      </c>
      <c r="BB192" s="157"/>
      <c r="BC192" s="157">
        <v>0</v>
      </c>
      <c r="BD192" s="157"/>
      <c r="BE192" s="157">
        <v>0</v>
      </c>
      <c r="BF192" s="157"/>
      <c r="BG192" s="157">
        <v>0</v>
      </c>
      <c r="BH192" s="157"/>
      <c r="BI192" s="157">
        <v>0</v>
      </c>
      <c r="BJ192" s="157"/>
      <c r="BK192" s="157">
        <v>0</v>
      </c>
      <c r="BL192" s="157"/>
      <c r="BM192" s="157">
        <v>11256</v>
      </c>
      <c r="BN192" s="157"/>
      <c r="BO192" s="157">
        <v>60426.62</v>
      </c>
      <c r="BP192" s="157"/>
      <c r="BQ192" s="157">
        <v>187010.14</v>
      </c>
      <c r="BR192" s="157"/>
      <c r="BS192" s="157">
        <v>153599.35</v>
      </c>
    </row>
    <row r="193" spans="1:72" x14ac:dyDescent="0.2">
      <c r="A193" s="123" t="s">
        <v>628</v>
      </c>
      <c r="B193" s="124" t="s">
        <v>627</v>
      </c>
      <c r="C193" s="157">
        <v>-184479</v>
      </c>
      <c r="D193" s="157">
        <f>SUM(C193:C194)</f>
        <v>-159144</v>
      </c>
      <c r="E193" s="157">
        <v>0</v>
      </c>
      <c r="F193" s="157"/>
      <c r="G193" s="157">
        <v>0</v>
      </c>
      <c r="H193" s="157"/>
      <c r="I193" s="157">
        <v>-500000</v>
      </c>
      <c r="J193" s="157">
        <f>SUM(I191:I193)</f>
        <v>-944316</v>
      </c>
      <c r="K193" s="157">
        <v>0</v>
      </c>
      <c r="L193" s="157"/>
      <c r="M193" s="157">
        <v>0</v>
      </c>
      <c r="N193" s="157"/>
      <c r="O193" s="157">
        <v>0</v>
      </c>
      <c r="P193" s="157"/>
      <c r="Q193" s="157">
        <v>0</v>
      </c>
      <c r="R193" s="157"/>
      <c r="S193" s="157">
        <v>-1118184</v>
      </c>
      <c r="T193" s="157"/>
      <c r="U193" s="157">
        <v>0</v>
      </c>
      <c r="V193" s="157"/>
      <c r="W193" s="157">
        <v>0</v>
      </c>
      <c r="X193" s="157"/>
      <c r="Y193" s="157">
        <v>0</v>
      </c>
      <c r="Z193" s="157"/>
      <c r="AA193" s="157">
        <v>0</v>
      </c>
      <c r="AB193" s="157"/>
      <c r="AC193" s="157">
        <v>-1043350</v>
      </c>
      <c r="AD193" s="157"/>
      <c r="AE193" s="157">
        <v>0</v>
      </c>
      <c r="AF193" s="157"/>
      <c r="AG193" s="157">
        <v>0</v>
      </c>
      <c r="AH193" s="157"/>
      <c r="AI193" s="157">
        <v>0</v>
      </c>
      <c r="AJ193" s="157"/>
      <c r="AK193" s="157">
        <v>0</v>
      </c>
      <c r="AL193" s="157"/>
      <c r="AM193" s="157">
        <v>-283875.38</v>
      </c>
      <c r="AN193" s="157">
        <f>AM193</f>
        <v>-283875.38</v>
      </c>
      <c r="AO193" s="157">
        <v>0</v>
      </c>
      <c r="AP193" s="157"/>
      <c r="AQ193" s="157">
        <v>-102365</v>
      </c>
      <c r="AR193" s="157"/>
      <c r="AS193" s="157">
        <v>0</v>
      </c>
      <c r="AT193" s="157"/>
      <c r="AU193" s="157">
        <v>0</v>
      </c>
      <c r="AV193" s="157"/>
      <c r="AW193" s="157">
        <v>0</v>
      </c>
      <c r="AX193" s="157"/>
      <c r="AY193" s="157">
        <v>0</v>
      </c>
      <c r="AZ193" s="157"/>
      <c r="BA193" s="157">
        <v>0</v>
      </c>
      <c r="BB193" s="157"/>
      <c r="BC193" s="157">
        <v>0</v>
      </c>
      <c r="BD193" s="157"/>
      <c r="BE193" s="157">
        <v>0</v>
      </c>
      <c r="BF193" s="157"/>
      <c r="BG193" s="157">
        <v>0</v>
      </c>
      <c r="BH193" s="157"/>
      <c r="BI193" s="157">
        <v>0</v>
      </c>
      <c r="BJ193" s="157"/>
      <c r="BK193" s="157">
        <v>0</v>
      </c>
      <c r="BL193" s="157"/>
      <c r="BM193" s="157">
        <v>-3871798</v>
      </c>
      <c r="BN193" s="157"/>
      <c r="BO193" s="157">
        <v>-382501</v>
      </c>
      <c r="BP193" s="157"/>
      <c r="BQ193" s="157">
        <v>-1039000</v>
      </c>
      <c r="BR193" s="157"/>
      <c r="BS193" s="157">
        <v>-317435</v>
      </c>
    </row>
    <row r="194" spans="1:72" x14ac:dyDescent="0.2">
      <c r="A194" s="123" t="s">
        <v>626</v>
      </c>
      <c r="B194" s="124" t="s">
        <v>625</v>
      </c>
      <c r="C194" s="157">
        <v>25335</v>
      </c>
      <c r="D194" s="157"/>
      <c r="E194" s="157">
        <v>0</v>
      </c>
      <c r="F194" s="157"/>
      <c r="G194" s="157">
        <v>0</v>
      </c>
      <c r="H194" s="157"/>
      <c r="I194" s="157">
        <v>0</v>
      </c>
      <c r="J194" s="157"/>
      <c r="K194" s="157">
        <v>0</v>
      </c>
      <c r="L194" s="157"/>
      <c r="M194" s="157">
        <v>0</v>
      </c>
      <c r="N194" s="157"/>
      <c r="O194" s="157">
        <v>0</v>
      </c>
      <c r="P194" s="157"/>
      <c r="Q194" s="157">
        <v>0</v>
      </c>
      <c r="R194" s="157"/>
      <c r="S194" s="157">
        <v>844067</v>
      </c>
      <c r="T194" s="157"/>
      <c r="U194" s="157">
        <v>0</v>
      </c>
      <c r="V194" s="157"/>
      <c r="W194" s="157">
        <v>0</v>
      </c>
      <c r="X194" s="157"/>
      <c r="Y194" s="157">
        <v>0</v>
      </c>
      <c r="Z194" s="157"/>
      <c r="AA194" s="157">
        <v>0</v>
      </c>
      <c r="AB194" s="157"/>
      <c r="AC194" s="157">
        <v>170900</v>
      </c>
      <c r="AD194" s="157"/>
      <c r="AE194" s="157">
        <v>0</v>
      </c>
      <c r="AF194" s="157"/>
      <c r="AG194" s="157">
        <v>0</v>
      </c>
      <c r="AH194" s="157"/>
      <c r="AI194" s="157">
        <v>0</v>
      </c>
      <c r="AJ194" s="157"/>
      <c r="AK194" s="157">
        <v>0</v>
      </c>
      <c r="AL194" s="157"/>
      <c r="AM194" s="157">
        <v>0</v>
      </c>
      <c r="AN194" s="157"/>
      <c r="AO194" s="157">
        <v>0</v>
      </c>
      <c r="AP194" s="157"/>
      <c r="AQ194" s="157">
        <v>0</v>
      </c>
      <c r="AR194" s="157"/>
      <c r="AS194" s="157">
        <v>0</v>
      </c>
      <c r="AT194" s="157"/>
      <c r="AU194" s="157">
        <v>0</v>
      </c>
      <c r="AV194" s="157"/>
      <c r="AW194" s="157">
        <v>0</v>
      </c>
      <c r="AX194" s="157"/>
      <c r="AY194" s="157">
        <v>0</v>
      </c>
      <c r="AZ194" s="157"/>
      <c r="BA194" s="157">
        <v>0</v>
      </c>
      <c r="BB194" s="157"/>
      <c r="BC194" s="157">
        <v>0</v>
      </c>
      <c r="BD194" s="157"/>
      <c r="BE194" s="157">
        <v>0</v>
      </c>
      <c r="BF194" s="157"/>
      <c r="BG194" s="157">
        <v>0</v>
      </c>
      <c r="BH194" s="157"/>
      <c r="BI194" s="157">
        <v>0</v>
      </c>
      <c r="BJ194" s="157"/>
      <c r="BK194" s="157">
        <v>0</v>
      </c>
      <c r="BL194" s="157"/>
      <c r="BM194" s="157">
        <v>0</v>
      </c>
      <c r="BN194" s="157"/>
      <c r="BO194" s="157">
        <v>107394.57</v>
      </c>
      <c r="BP194" s="157"/>
      <c r="BQ194" s="157">
        <v>0</v>
      </c>
      <c r="BR194" s="157"/>
      <c r="BS194" s="157">
        <v>17412.61</v>
      </c>
    </row>
    <row r="195" spans="1:72" x14ac:dyDescent="0.2">
      <c r="A195" s="123" t="s">
        <v>1013</v>
      </c>
      <c r="B195" s="124" t="s">
        <v>1012</v>
      </c>
      <c r="C195" s="157">
        <v>0</v>
      </c>
      <c r="D195" s="157"/>
      <c r="E195" s="157">
        <v>0</v>
      </c>
      <c r="F195" s="157"/>
      <c r="G195" s="157">
        <v>0</v>
      </c>
      <c r="H195" s="157"/>
      <c r="I195" s="157">
        <v>0</v>
      </c>
      <c r="J195" s="157"/>
      <c r="K195" s="157">
        <v>0</v>
      </c>
      <c r="L195" s="157"/>
      <c r="M195" s="157">
        <v>0</v>
      </c>
      <c r="N195" s="157"/>
      <c r="O195" s="157">
        <v>0</v>
      </c>
      <c r="P195" s="157"/>
      <c r="Q195" s="157">
        <v>0</v>
      </c>
      <c r="R195" s="157"/>
      <c r="S195" s="157">
        <v>0</v>
      </c>
      <c r="T195" s="157"/>
      <c r="U195" s="157">
        <v>0</v>
      </c>
      <c r="V195" s="157"/>
      <c r="W195" s="157">
        <v>0</v>
      </c>
      <c r="X195" s="157"/>
      <c r="Y195" s="157">
        <v>0</v>
      </c>
      <c r="Z195" s="157"/>
      <c r="AA195" s="157">
        <v>0</v>
      </c>
      <c r="AB195" s="157"/>
      <c r="AC195" s="157">
        <v>0</v>
      </c>
      <c r="AD195" s="157"/>
      <c r="AE195" s="157">
        <v>0</v>
      </c>
      <c r="AF195" s="157"/>
      <c r="AG195" s="157">
        <v>0</v>
      </c>
      <c r="AH195" s="157"/>
      <c r="AI195" s="157">
        <v>0</v>
      </c>
      <c r="AJ195" s="157"/>
      <c r="AK195" s="157">
        <v>0</v>
      </c>
      <c r="AL195" s="157"/>
      <c r="AM195" s="157">
        <v>0</v>
      </c>
      <c r="AN195" s="157"/>
      <c r="AO195" s="157">
        <v>0</v>
      </c>
      <c r="AP195" s="157"/>
      <c r="AQ195" s="157">
        <v>0</v>
      </c>
      <c r="AR195" s="157"/>
      <c r="AS195" s="157">
        <v>0</v>
      </c>
      <c r="AT195" s="157"/>
      <c r="AU195" s="157">
        <v>0</v>
      </c>
      <c r="AV195" s="157"/>
      <c r="AW195" s="157">
        <v>0</v>
      </c>
      <c r="AX195" s="157"/>
      <c r="AY195" s="157">
        <v>0</v>
      </c>
      <c r="AZ195" s="157"/>
      <c r="BA195" s="157">
        <v>0</v>
      </c>
      <c r="BB195" s="157"/>
      <c r="BC195" s="157">
        <v>0</v>
      </c>
      <c r="BD195" s="157"/>
      <c r="BE195" s="157">
        <v>0</v>
      </c>
      <c r="BF195" s="157"/>
      <c r="BG195" s="157">
        <v>0</v>
      </c>
      <c r="BH195" s="157"/>
      <c r="BI195" s="157">
        <v>0</v>
      </c>
      <c r="BJ195" s="157"/>
      <c r="BK195" s="157">
        <v>0</v>
      </c>
      <c r="BL195" s="157"/>
      <c r="BM195" s="157">
        <v>0</v>
      </c>
      <c r="BN195" s="157"/>
      <c r="BO195" s="157">
        <v>-106369</v>
      </c>
      <c r="BP195" s="157"/>
      <c r="BQ195" s="157">
        <v>-272500</v>
      </c>
      <c r="BR195" s="157"/>
      <c r="BS195" s="157">
        <v>0</v>
      </c>
    </row>
    <row r="196" spans="1:72" x14ac:dyDescent="0.2">
      <c r="A196" s="123" t="s">
        <v>941</v>
      </c>
      <c r="B196" s="124" t="s">
        <v>1011</v>
      </c>
      <c r="C196" s="157">
        <v>0</v>
      </c>
      <c r="D196" s="157"/>
      <c r="E196" s="157">
        <v>0</v>
      </c>
      <c r="F196" s="157"/>
      <c r="G196" s="157">
        <v>0</v>
      </c>
      <c r="H196" s="157"/>
      <c r="I196" s="157">
        <v>0</v>
      </c>
      <c r="J196" s="157"/>
      <c r="K196" s="157">
        <v>0</v>
      </c>
      <c r="L196" s="157"/>
      <c r="M196" s="157">
        <v>0</v>
      </c>
      <c r="N196" s="157"/>
      <c r="O196" s="157">
        <v>0</v>
      </c>
      <c r="P196" s="157"/>
      <c r="Q196" s="157">
        <v>0</v>
      </c>
      <c r="R196" s="157"/>
      <c r="S196" s="157">
        <v>0</v>
      </c>
      <c r="T196" s="157"/>
      <c r="U196" s="157">
        <v>0</v>
      </c>
      <c r="V196" s="157"/>
      <c r="W196" s="157">
        <v>0</v>
      </c>
      <c r="X196" s="157"/>
      <c r="Y196" s="157">
        <v>0</v>
      </c>
      <c r="Z196" s="157"/>
      <c r="AA196" s="157">
        <v>0</v>
      </c>
      <c r="AB196" s="157"/>
      <c r="AC196" s="157">
        <v>0</v>
      </c>
      <c r="AD196" s="157"/>
      <c r="AE196" s="157">
        <v>0</v>
      </c>
      <c r="AF196" s="157"/>
      <c r="AG196" s="157">
        <v>0</v>
      </c>
      <c r="AH196" s="157"/>
      <c r="AI196" s="157">
        <v>0</v>
      </c>
      <c r="AJ196" s="157"/>
      <c r="AK196" s="157">
        <v>0</v>
      </c>
      <c r="AL196" s="157"/>
      <c r="AM196" s="157">
        <v>0</v>
      </c>
      <c r="AN196" s="157"/>
      <c r="AO196" s="157">
        <v>0</v>
      </c>
      <c r="AP196" s="157"/>
      <c r="AQ196" s="157">
        <v>0</v>
      </c>
      <c r="AR196" s="157"/>
      <c r="AS196" s="157">
        <v>0</v>
      </c>
      <c r="AT196" s="157"/>
      <c r="AU196" s="157">
        <v>0</v>
      </c>
      <c r="AV196" s="157"/>
      <c r="AW196" s="157">
        <v>0</v>
      </c>
      <c r="AX196" s="157"/>
      <c r="AY196" s="157">
        <v>0</v>
      </c>
      <c r="AZ196" s="157"/>
      <c r="BA196" s="157">
        <v>0</v>
      </c>
      <c r="BB196" s="157"/>
      <c r="BC196" s="157">
        <v>0</v>
      </c>
      <c r="BD196" s="157"/>
      <c r="BE196" s="157">
        <v>0</v>
      </c>
      <c r="BF196" s="157"/>
      <c r="BG196" s="157">
        <v>0</v>
      </c>
      <c r="BH196" s="157"/>
      <c r="BI196" s="157">
        <v>0</v>
      </c>
      <c r="BJ196" s="157"/>
      <c r="BK196" s="157">
        <v>0</v>
      </c>
      <c r="BL196" s="157"/>
      <c r="BM196" s="157">
        <v>0</v>
      </c>
      <c r="BN196" s="157"/>
      <c r="BO196" s="157">
        <v>11280.61</v>
      </c>
      <c r="BP196" s="157"/>
      <c r="BQ196" s="157">
        <v>28492.79</v>
      </c>
      <c r="BR196" s="157"/>
      <c r="BS196" s="157">
        <v>0</v>
      </c>
    </row>
    <row r="197" spans="1:72" x14ac:dyDescent="0.2">
      <c r="A197" s="123" t="s">
        <v>1010</v>
      </c>
      <c r="B197" s="124" t="s">
        <v>1009</v>
      </c>
      <c r="C197" s="157">
        <v>0</v>
      </c>
      <c r="D197" s="157"/>
      <c r="E197" s="157">
        <v>0</v>
      </c>
      <c r="F197" s="157"/>
      <c r="G197" s="157">
        <v>0</v>
      </c>
      <c r="H197" s="157"/>
      <c r="I197" s="157">
        <v>0</v>
      </c>
      <c r="J197" s="157"/>
      <c r="K197" s="157">
        <v>0</v>
      </c>
      <c r="L197" s="157"/>
      <c r="M197" s="157">
        <v>0</v>
      </c>
      <c r="N197" s="157"/>
      <c r="O197" s="157">
        <v>0</v>
      </c>
      <c r="P197" s="157"/>
      <c r="Q197" s="157">
        <v>0</v>
      </c>
      <c r="R197" s="157"/>
      <c r="S197" s="157">
        <v>0</v>
      </c>
      <c r="T197" s="157"/>
      <c r="U197" s="157">
        <v>0</v>
      </c>
      <c r="V197" s="157"/>
      <c r="W197" s="157">
        <v>0</v>
      </c>
      <c r="X197" s="157"/>
      <c r="Y197" s="157">
        <v>0</v>
      </c>
      <c r="Z197" s="157"/>
      <c r="AA197" s="157">
        <v>0</v>
      </c>
      <c r="AB197" s="157"/>
      <c r="AC197" s="157">
        <v>0</v>
      </c>
      <c r="AD197" s="157"/>
      <c r="AE197" s="157">
        <v>0</v>
      </c>
      <c r="AF197" s="157"/>
      <c r="AG197" s="157">
        <v>0</v>
      </c>
      <c r="AH197" s="157"/>
      <c r="AI197" s="157">
        <v>0</v>
      </c>
      <c r="AJ197" s="157"/>
      <c r="AK197" s="157">
        <v>0</v>
      </c>
      <c r="AL197" s="157"/>
      <c r="AM197" s="157">
        <v>0</v>
      </c>
      <c r="AN197" s="157"/>
      <c r="AO197" s="157">
        <v>0</v>
      </c>
      <c r="AP197" s="157"/>
      <c r="AQ197" s="157">
        <v>0</v>
      </c>
      <c r="AR197" s="157"/>
      <c r="AS197" s="157">
        <v>0</v>
      </c>
      <c r="AT197" s="157"/>
      <c r="AU197" s="157">
        <v>0</v>
      </c>
      <c r="AV197" s="157"/>
      <c r="AW197" s="157">
        <v>0</v>
      </c>
      <c r="AX197" s="157"/>
      <c r="AY197" s="157">
        <v>0</v>
      </c>
      <c r="AZ197" s="157"/>
      <c r="BA197" s="157">
        <v>0</v>
      </c>
      <c r="BB197" s="157"/>
      <c r="BC197" s="157">
        <v>0</v>
      </c>
      <c r="BD197" s="157"/>
      <c r="BE197" s="157">
        <v>0</v>
      </c>
      <c r="BF197" s="157"/>
      <c r="BG197" s="157">
        <v>0</v>
      </c>
      <c r="BH197" s="157"/>
      <c r="BI197" s="157">
        <v>0</v>
      </c>
      <c r="BJ197" s="157"/>
      <c r="BK197" s="157">
        <v>0</v>
      </c>
      <c r="BL197" s="157"/>
      <c r="BM197" s="157">
        <v>0</v>
      </c>
      <c r="BN197" s="157"/>
      <c r="BO197" s="157">
        <v>-179808</v>
      </c>
      <c r="BP197" s="157">
        <f>BO197</f>
        <v>-179808</v>
      </c>
      <c r="BQ197" s="157">
        <v>0</v>
      </c>
      <c r="BR197" s="157"/>
      <c r="BS197" s="157">
        <v>0</v>
      </c>
    </row>
    <row r="198" spans="1:72" x14ac:dyDescent="0.2">
      <c r="A198" s="123" t="s">
        <v>1008</v>
      </c>
      <c r="B198" s="124" t="s">
        <v>1007</v>
      </c>
      <c r="C198" s="157">
        <v>0</v>
      </c>
      <c r="D198" s="157"/>
      <c r="E198" s="157">
        <v>0</v>
      </c>
      <c r="F198" s="157"/>
      <c r="G198" s="157">
        <v>0</v>
      </c>
      <c r="H198" s="157"/>
      <c r="I198" s="157">
        <v>-471943.26</v>
      </c>
      <c r="J198" s="157"/>
      <c r="K198" s="157">
        <v>0</v>
      </c>
      <c r="L198" s="157"/>
      <c r="M198" s="157">
        <v>0</v>
      </c>
      <c r="N198" s="157"/>
      <c r="O198" s="157">
        <v>0</v>
      </c>
      <c r="P198" s="157"/>
      <c r="Q198" s="157">
        <v>0</v>
      </c>
      <c r="R198" s="157"/>
      <c r="S198" s="157">
        <v>0</v>
      </c>
      <c r="T198" s="157"/>
      <c r="U198" s="157">
        <v>0</v>
      </c>
      <c r="V198" s="157"/>
      <c r="W198" s="157">
        <v>0</v>
      </c>
      <c r="X198" s="157"/>
      <c r="Y198" s="157">
        <v>0</v>
      </c>
      <c r="Z198" s="157"/>
      <c r="AA198" s="157">
        <v>0</v>
      </c>
      <c r="AB198" s="157"/>
      <c r="AC198" s="157">
        <v>0</v>
      </c>
      <c r="AD198" s="157"/>
      <c r="AE198" s="157">
        <v>0</v>
      </c>
      <c r="AF198" s="157"/>
      <c r="AG198" s="157">
        <v>0</v>
      </c>
      <c r="AH198" s="157"/>
      <c r="AI198" s="157">
        <v>0</v>
      </c>
      <c r="AJ198" s="157"/>
      <c r="AK198" s="157">
        <v>0</v>
      </c>
      <c r="AL198" s="157"/>
      <c r="AM198" s="157">
        <v>0</v>
      </c>
      <c r="AN198" s="157"/>
      <c r="AO198" s="157">
        <v>0</v>
      </c>
      <c r="AP198" s="157"/>
      <c r="AQ198" s="157">
        <v>0</v>
      </c>
      <c r="AR198" s="157"/>
      <c r="AS198" s="157">
        <v>0</v>
      </c>
      <c r="AT198" s="157"/>
      <c r="AU198" s="157">
        <v>0</v>
      </c>
      <c r="AV198" s="157"/>
      <c r="AW198" s="157">
        <v>0</v>
      </c>
      <c r="AX198" s="157"/>
      <c r="AY198" s="157">
        <v>0</v>
      </c>
      <c r="AZ198" s="157"/>
      <c r="BA198" s="157">
        <v>0</v>
      </c>
      <c r="BB198" s="157"/>
      <c r="BC198" s="157">
        <v>0</v>
      </c>
      <c r="BD198" s="157"/>
      <c r="BE198" s="157">
        <v>0</v>
      </c>
      <c r="BF198" s="157"/>
      <c r="BG198" s="157">
        <v>0</v>
      </c>
      <c r="BH198" s="157"/>
      <c r="BI198" s="157">
        <v>0</v>
      </c>
      <c r="BJ198" s="157"/>
      <c r="BK198" s="157">
        <v>0</v>
      </c>
      <c r="BL198" s="157"/>
      <c r="BM198" s="157">
        <v>0</v>
      </c>
      <c r="BN198" s="157"/>
      <c r="BO198" s="157">
        <v>0</v>
      </c>
      <c r="BP198" s="157"/>
      <c r="BQ198" s="157">
        <v>0</v>
      </c>
      <c r="BR198" s="157"/>
      <c r="BS198" s="157">
        <v>0</v>
      </c>
    </row>
    <row r="199" spans="1:72" x14ac:dyDescent="0.2">
      <c r="A199" s="123" t="s">
        <v>274</v>
      </c>
      <c r="B199" s="124" t="s">
        <v>275</v>
      </c>
      <c r="C199" s="157">
        <v>102.57</v>
      </c>
      <c r="D199" s="157">
        <f>SUM(C199:C208)</f>
        <v>3257753.4100000006</v>
      </c>
      <c r="E199" s="157">
        <v>451.12</v>
      </c>
      <c r="F199" s="157">
        <f>SUM(E199:E208)</f>
        <v>-2301577.11</v>
      </c>
      <c r="G199" s="157">
        <v>8215.1299999999992</v>
      </c>
      <c r="H199" s="157">
        <f>SUM(G199:G208)</f>
        <v>4338641.9499999993</v>
      </c>
      <c r="I199" s="157">
        <v>217.75</v>
      </c>
      <c r="J199" s="157">
        <f>SUM(I199:I208)</f>
        <v>-532706.65</v>
      </c>
      <c r="K199" s="157">
        <v>-416.76</v>
      </c>
      <c r="L199" s="157">
        <f>SUM(K199:K208)</f>
        <v>14824144.619999999</v>
      </c>
      <c r="M199" s="157">
        <v>373.56</v>
      </c>
      <c r="N199" s="157">
        <f>SUM(M199:M208)</f>
        <v>1801066.5700000005</v>
      </c>
      <c r="O199" s="157">
        <v>3082.44</v>
      </c>
      <c r="P199" s="157">
        <f>SUM(O199:O208)</f>
        <v>2927039.3800000004</v>
      </c>
      <c r="Q199" s="157">
        <v>226.27</v>
      </c>
      <c r="R199" s="157">
        <f>SUM(Q199:Q208)</f>
        <v>-5003689.51</v>
      </c>
      <c r="S199" s="157">
        <v>297.64</v>
      </c>
      <c r="T199" s="157">
        <f>SUM(S199:S208)</f>
        <v>-4311136.4099999992</v>
      </c>
      <c r="U199" s="157">
        <v>46.29</v>
      </c>
      <c r="V199" s="157">
        <f>SUM(U199:U208)</f>
        <v>-228767.39000000013</v>
      </c>
      <c r="W199" s="157">
        <v>152</v>
      </c>
      <c r="X199" s="157">
        <f>SUM(W199:W208)</f>
        <v>760803.16999999993</v>
      </c>
      <c r="Y199" s="157">
        <v>279.08</v>
      </c>
      <c r="Z199" s="157">
        <f>SUM(Y199:Y208)</f>
        <v>-1740852.1400000001</v>
      </c>
      <c r="AA199" s="157">
        <v>-42019.02</v>
      </c>
      <c r="AB199" s="157">
        <f>SUM(AA199:AA208)</f>
        <v>3500224.9000000008</v>
      </c>
      <c r="AC199" s="157">
        <v>16284</v>
      </c>
      <c r="AD199" s="157">
        <f>SUM(AC199:AC208)</f>
        <v>880119.57000000007</v>
      </c>
      <c r="AE199" s="157">
        <v>-294943.84000000003</v>
      </c>
      <c r="AF199" s="157">
        <f>SUM(AE199:AE208)</f>
        <v>1806050.6100000003</v>
      </c>
      <c r="AG199" s="157">
        <v>167.28</v>
      </c>
      <c r="AH199" s="157">
        <f>SUM(AG199:AG209)</f>
        <v>2363603.08</v>
      </c>
      <c r="AI199" s="157">
        <v>323.88</v>
      </c>
      <c r="AJ199" s="157">
        <f>SUM(AI199:AI208)</f>
        <v>-306956.25</v>
      </c>
      <c r="AK199" s="157">
        <v>245</v>
      </c>
      <c r="AL199" s="157">
        <f>SUM(AK199:AK208)</f>
        <v>-3522785</v>
      </c>
      <c r="AM199" s="157">
        <v>91.53</v>
      </c>
      <c r="AN199" s="157">
        <f>SUM(AM199:AM208)</f>
        <v>-915093.01</v>
      </c>
      <c r="AO199" s="157">
        <v>-5568.07</v>
      </c>
      <c r="AP199" s="157">
        <f>SUM(AO199:AO208)</f>
        <v>4221965.58</v>
      </c>
      <c r="AQ199" s="157">
        <v>246</v>
      </c>
      <c r="AR199" s="157">
        <f>SUM(AQ199:AQ208)</f>
        <v>-5047608.3</v>
      </c>
      <c r="AS199" s="157">
        <v>133.25</v>
      </c>
      <c r="AT199" s="157">
        <f>SUM(AS199:AS208)</f>
        <v>2212885.9300000006</v>
      </c>
      <c r="AU199" s="157">
        <v>-22469.47</v>
      </c>
      <c r="AV199" s="157">
        <f>SUM(AU199:AU208)</f>
        <v>6802714.3100000005</v>
      </c>
      <c r="AW199" s="157">
        <v>253.78</v>
      </c>
      <c r="AX199" s="157">
        <f>SUM(AW199:AW208)</f>
        <v>-3523849.8200000003</v>
      </c>
      <c r="AY199" s="157">
        <v>193.52</v>
      </c>
      <c r="AZ199" s="157">
        <f>SUM(AY199:AY208)</f>
        <v>-2390908.62</v>
      </c>
      <c r="BA199" s="157">
        <v>29406</v>
      </c>
      <c r="BB199" s="157">
        <f>SUM(BA199:BA208)</f>
        <v>-2611102</v>
      </c>
      <c r="BC199" s="157">
        <v>304.36</v>
      </c>
      <c r="BD199" s="157">
        <f>SUM(BC199:BC208)</f>
        <v>-6967519.5899999999</v>
      </c>
      <c r="BE199" s="157">
        <v>228</v>
      </c>
      <c r="BF199" s="157">
        <f>SUM(BE199:BE208)</f>
        <v>-7247379</v>
      </c>
      <c r="BG199" s="157">
        <v>218.22</v>
      </c>
      <c r="BH199" s="157">
        <f>SUM(BG199:BG208)</f>
        <v>-6014569.7800000003</v>
      </c>
      <c r="BI199" s="157">
        <v>240</v>
      </c>
      <c r="BJ199" s="157">
        <f>SUM(BI199:BI208)</f>
        <v>-7018195</v>
      </c>
      <c r="BK199" s="157">
        <v>-320.19</v>
      </c>
      <c r="BL199" s="157">
        <f>SUM(BK199:BK208)</f>
        <v>-1289684.3700000001</v>
      </c>
      <c r="BM199" s="157">
        <v>24</v>
      </c>
      <c r="BN199" s="157">
        <f>SUM(BM199:BM208)</f>
        <v>1795468.6800000002</v>
      </c>
      <c r="BO199" s="157">
        <v>55.15</v>
      </c>
      <c r="BP199" s="157">
        <f>SUM(BO199:BO208)</f>
        <v>-844325.99</v>
      </c>
      <c r="BQ199" s="157">
        <v>53.76</v>
      </c>
      <c r="BR199" s="157">
        <f>SUM(BQ199:BQ209)</f>
        <v>-1020620.12</v>
      </c>
      <c r="BS199" s="157">
        <v>80.42</v>
      </c>
      <c r="BT199" s="168">
        <f>SUM(BS199:BS208)</f>
        <v>-1039535.01</v>
      </c>
    </row>
    <row r="200" spans="1:72" x14ac:dyDescent="0.2">
      <c r="A200" s="123" t="s">
        <v>276</v>
      </c>
      <c r="B200" s="124" t="s">
        <v>277</v>
      </c>
      <c r="C200" s="157">
        <v>6114501.9000000004</v>
      </c>
      <c r="D200" s="157"/>
      <c r="E200" s="157">
        <v>-463869.33</v>
      </c>
      <c r="F200" s="157"/>
      <c r="G200" s="157">
        <v>7211696.8099999996</v>
      </c>
      <c r="H200" s="157"/>
      <c r="I200" s="157">
        <v>0</v>
      </c>
      <c r="J200" s="157"/>
      <c r="K200" s="157">
        <v>21811559.68</v>
      </c>
      <c r="L200" s="157"/>
      <c r="M200" s="157">
        <v>2775170.41</v>
      </c>
      <c r="N200" s="157"/>
      <c r="O200" s="157">
        <v>3591388.94</v>
      </c>
      <c r="P200" s="157"/>
      <c r="Q200" s="157">
        <v>0</v>
      </c>
      <c r="R200" s="157"/>
      <c r="S200" s="157">
        <v>-708623.91</v>
      </c>
      <c r="T200" s="157"/>
      <c r="U200" s="157">
        <v>560630.19999999995</v>
      </c>
      <c r="V200" s="157"/>
      <c r="W200" s="157">
        <v>2152964.17</v>
      </c>
      <c r="X200" s="157"/>
      <c r="Y200" s="157">
        <v>5.75</v>
      </c>
      <c r="Z200" s="157"/>
      <c r="AA200" s="157">
        <v>6506166.9800000004</v>
      </c>
      <c r="AB200" s="157"/>
      <c r="AC200" s="157">
        <v>1318733.49</v>
      </c>
      <c r="AD200" s="157"/>
      <c r="AE200" s="157">
        <v>5727144.8200000003</v>
      </c>
      <c r="AF200" s="157"/>
      <c r="AG200" s="157">
        <v>4305209.1100000003</v>
      </c>
      <c r="AH200" s="157"/>
      <c r="AI200" s="157">
        <v>756781.87</v>
      </c>
      <c r="AJ200" s="157"/>
      <c r="AK200" s="157">
        <v>23</v>
      </c>
      <c r="AL200" s="157"/>
      <c r="AM200" s="157">
        <v>275438</v>
      </c>
      <c r="AN200" s="157"/>
      <c r="AO200" s="157">
        <v>5485096.21</v>
      </c>
      <c r="AP200" s="157"/>
      <c r="AQ200" s="157">
        <v>113857</v>
      </c>
      <c r="AR200" s="157"/>
      <c r="AS200" s="157">
        <v>5220117.3600000003</v>
      </c>
      <c r="AT200" s="157"/>
      <c r="AU200" s="157">
        <v>8642165.9700000007</v>
      </c>
      <c r="AV200" s="157"/>
      <c r="AW200" s="157">
        <v>0</v>
      </c>
      <c r="AX200" s="157"/>
      <c r="AY200" s="157">
        <v>955304</v>
      </c>
      <c r="AZ200" s="157"/>
      <c r="BA200" s="157">
        <v>714307</v>
      </c>
      <c r="BB200" s="157"/>
      <c r="BC200" s="157">
        <v>0</v>
      </c>
      <c r="BD200" s="157"/>
      <c r="BE200" s="157">
        <v>350915</v>
      </c>
      <c r="BF200" s="157"/>
      <c r="BG200" s="157">
        <v>0</v>
      </c>
      <c r="BH200" s="157"/>
      <c r="BI200" s="157">
        <v>200031</v>
      </c>
      <c r="BJ200" s="157"/>
      <c r="BK200" s="157">
        <v>770985</v>
      </c>
      <c r="BL200" s="157"/>
      <c r="BM200" s="157">
        <v>1546607.74</v>
      </c>
      <c r="BN200" s="157"/>
      <c r="BO200" s="157">
        <v>123595</v>
      </c>
      <c r="BP200" s="157"/>
      <c r="BQ200" s="157">
        <v>66218</v>
      </c>
      <c r="BR200" s="157"/>
      <c r="BS200" s="157">
        <v>73384.800000000003</v>
      </c>
    </row>
    <row r="201" spans="1:72" x14ac:dyDescent="0.2">
      <c r="A201" s="123" t="s">
        <v>1006</v>
      </c>
      <c r="B201" s="124" t="s">
        <v>1005</v>
      </c>
      <c r="C201" s="157">
        <v>0</v>
      </c>
      <c r="D201" s="157"/>
      <c r="E201" s="157">
        <v>0</v>
      </c>
      <c r="F201" s="157"/>
      <c r="G201" s="157">
        <v>0</v>
      </c>
      <c r="H201" s="157"/>
      <c r="I201" s="157">
        <v>0</v>
      </c>
      <c r="J201" s="157"/>
      <c r="K201" s="157">
        <v>3045.48</v>
      </c>
      <c r="L201" s="157"/>
      <c r="M201" s="157">
        <v>0</v>
      </c>
      <c r="N201" s="157"/>
      <c r="O201" s="157">
        <v>0</v>
      </c>
      <c r="P201" s="157"/>
      <c r="Q201" s="157">
        <v>0</v>
      </c>
      <c r="R201" s="157"/>
      <c r="S201" s="157">
        <v>0</v>
      </c>
      <c r="T201" s="157"/>
      <c r="U201" s="157">
        <v>0</v>
      </c>
      <c r="V201" s="157"/>
      <c r="W201" s="157">
        <v>0</v>
      </c>
      <c r="X201" s="157"/>
      <c r="Y201" s="157">
        <v>0</v>
      </c>
      <c r="Z201" s="157"/>
      <c r="AA201" s="157">
        <v>0</v>
      </c>
      <c r="AB201" s="157"/>
      <c r="AC201" s="157">
        <v>0</v>
      </c>
      <c r="AD201" s="157"/>
      <c r="AE201" s="157">
        <v>0</v>
      </c>
      <c r="AF201" s="157"/>
      <c r="AG201" s="157">
        <v>0</v>
      </c>
      <c r="AH201" s="157"/>
      <c r="AI201" s="157">
        <v>0</v>
      </c>
      <c r="AJ201" s="157"/>
      <c r="AK201" s="157">
        <v>0</v>
      </c>
      <c r="AL201" s="157"/>
      <c r="AM201" s="157">
        <v>0</v>
      </c>
      <c r="AN201" s="157"/>
      <c r="AO201" s="157">
        <v>0</v>
      </c>
      <c r="AP201" s="157"/>
      <c r="AQ201" s="157">
        <v>0</v>
      </c>
      <c r="AR201" s="157"/>
      <c r="AS201" s="157">
        <v>0</v>
      </c>
      <c r="AT201" s="157"/>
      <c r="AU201" s="157">
        <v>0</v>
      </c>
      <c r="AV201" s="157"/>
      <c r="AW201" s="157">
        <v>0</v>
      </c>
      <c r="AX201" s="157"/>
      <c r="AY201" s="157">
        <v>0</v>
      </c>
      <c r="AZ201" s="157"/>
      <c r="BA201" s="157">
        <v>-169500</v>
      </c>
      <c r="BB201" s="157"/>
      <c r="BC201" s="157">
        <v>0</v>
      </c>
      <c r="BD201" s="157"/>
      <c r="BE201" s="157">
        <v>0</v>
      </c>
      <c r="BF201" s="157"/>
      <c r="BG201" s="157">
        <v>0</v>
      </c>
      <c r="BH201" s="157"/>
      <c r="BI201" s="157">
        <v>0</v>
      </c>
      <c r="BJ201" s="157"/>
      <c r="BK201" s="157">
        <v>0</v>
      </c>
      <c r="BL201" s="157"/>
      <c r="BM201" s="157">
        <v>0</v>
      </c>
      <c r="BN201" s="157"/>
      <c r="BO201" s="157">
        <v>0</v>
      </c>
      <c r="BP201" s="157"/>
      <c r="BQ201" s="157">
        <v>0</v>
      </c>
      <c r="BR201" s="157"/>
      <c r="BS201" s="157">
        <v>0</v>
      </c>
    </row>
    <row r="202" spans="1:72" x14ac:dyDescent="0.2">
      <c r="A202" s="123" t="s">
        <v>278</v>
      </c>
      <c r="B202" s="124" t="s">
        <v>279</v>
      </c>
      <c r="C202" s="157">
        <v>-2199655.12</v>
      </c>
      <c r="D202" s="157"/>
      <c r="E202" s="157">
        <v>46900.1</v>
      </c>
      <c r="F202" s="157"/>
      <c r="G202" s="157">
        <v>694204.86</v>
      </c>
      <c r="H202" s="157"/>
      <c r="I202" s="157">
        <v>-547563.4</v>
      </c>
      <c r="J202" s="157"/>
      <c r="K202" s="157">
        <v>-7919275.6299999999</v>
      </c>
      <c r="L202" s="157"/>
      <c r="M202" s="157">
        <v>3174588.58</v>
      </c>
      <c r="N202" s="157"/>
      <c r="O202" s="157">
        <v>-667429.72</v>
      </c>
      <c r="P202" s="157"/>
      <c r="Q202" s="157">
        <v>1805233.33</v>
      </c>
      <c r="R202" s="157"/>
      <c r="S202" s="157">
        <v>2958272.39</v>
      </c>
      <c r="T202" s="157"/>
      <c r="U202" s="157">
        <v>464532.6</v>
      </c>
      <c r="V202" s="157"/>
      <c r="W202" s="157">
        <v>-1014409</v>
      </c>
      <c r="X202" s="157"/>
      <c r="Y202" s="157">
        <v>2784737.03</v>
      </c>
      <c r="Z202" s="157"/>
      <c r="AA202" s="157">
        <v>-3630836.06</v>
      </c>
      <c r="AB202" s="157"/>
      <c r="AC202" s="157">
        <v>-478895.92</v>
      </c>
      <c r="AD202" s="157"/>
      <c r="AE202" s="157">
        <v>-1918452.37</v>
      </c>
      <c r="AF202" s="157"/>
      <c r="AG202" s="157">
        <v>1330400.69</v>
      </c>
      <c r="AH202" s="157"/>
      <c r="AI202" s="157">
        <v>1535728.67</v>
      </c>
      <c r="AJ202" s="157"/>
      <c r="AK202" s="157">
        <v>-2740433</v>
      </c>
      <c r="AL202" s="157"/>
      <c r="AM202" s="157">
        <v>911453.46</v>
      </c>
      <c r="AN202" s="157"/>
      <c r="AO202" s="157">
        <v>2808576.44</v>
      </c>
      <c r="AP202" s="157"/>
      <c r="AQ202" s="157">
        <v>-2989041.3</v>
      </c>
      <c r="AR202" s="157"/>
      <c r="AS202" s="157">
        <v>1338839.17</v>
      </c>
      <c r="AT202" s="157"/>
      <c r="AU202" s="157">
        <v>-221975.19</v>
      </c>
      <c r="AV202" s="157"/>
      <c r="AW202" s="157">
        <v>-3548648.6</v>
      </c>
      <c r="AX202" s="157"/>
      <c r="AY202" s="157">
        <v>-3462550.14</v>
      </c>
      <c r="AZ202" s="157"/>
      <c r="BA202" s="157">
        <v>1861253</v>
      </c>
      <c r="BB202" s="157"/>
      <c r="BC202" s="157">
        <v>-6986510.9500000002</v>
      </c>
      <c r="BD202" s="157"/>
      <c r="BE202" s="157">
        <v>-7681698</v>
      </c>
      <c r="BF202" s="157"/>
      <c r="BG202" s="157">
        <v>-6031007</v>
      </c>
      <c r="BH202" s="157"/>
      <c r="BI202" s="157">
        <v>-7277319</v>
      </c>
      <c r="BJ202" s="157"/>
      <c r="BK202" s="157">
        <v>-2164667.1800000002</v>
      </c>
      <c r="BL202" s="157"/>
      <c r="BM202" s="157">
        <v>216351</v>
      </c>
      <c r="BN202" s="157"/>
      <c r="BO202" s="157">
        <v>538952.86</v>
      </c>
      <c r="BP202" s="157"/>
      <c r="BQ202" s="157">
        <v>587040.12</v>
      </c>
      <c r="BR202" s="157"/>
      <c r="BS202" s="157">
        <v>810754.77</v>
      </c>
    </row>
    <row r="203" spans="1:72" x14ac:dyDescent="0.2">
      <c r="A203" s="123" t="s">
        <v>280</v>
      </c>
      <c r="B203" s="124" t="s">
        <v>281</v>
      </c>
      <c r="C203" s="157">
        <v>490948.12</v>
      </c>
      <c r="D203" s="157"/>
      <c r="E203" s="157">
        <v>0</v>
      </c>
      <c r="F203" s="157"/>
      <c r="G203" s="157">
        <v>715222.14</v>
      </c>
      <c r="H203" s="157"/>
      <c r="I203" s="157">
        <v>4639</v>
      </c>
      <c r="J203" s="157"/>
      <c r="K203" s="157">
        <v>919231.85</v>
      </c>
      <c r="L203" s="157"/>
      <c r="M203" s="157">
        <v>-3652500.64</v>
      </c>
      <c r="N203" s="157"/>
      <c r="O203" s="157">
        <v>0</v>
      </c>
      <c r="P203" s="157"/>
      <c r="Q203" s="157">
        <v>546</v>
      </c>
      <c r="R203" s="157"/>
      <c r="S203" s="157">
        <v>389089.99</v>
      </c>
      <c r="T203" s="157"/>
      <c r="U203" s="157">
        <v>72771.8</v>
      </c>
      <c r="V203" s="157"/>
      <c r="W203" s="157">
        <v>0</v>
      </c>
      <c r="X203" s="157"/>
      <c r="Y203" s="157">
        <v>59619</v>
      </c>
      <c r="Z203" s="157"/>
      <c r="AA203" s="157">
        <v>666913</v>
      </c>
      <c r="AB203" s="157"/>
      <c r="AC203" s="157">
        <v>23998</v>
      </c>
      <c r="AD203" s="157"/>
      <c r="AE203" s="157">
        <v>54641</v>
      </c>
      <c r="AF203" s="157"/>
      <c r="AG203" s="157">
        <v>262676</v>
      </c>
      <c r="AH203" s="157"/>
      <c r="AI203" s="157">
        <v>37455.879999999997</v>
      </c>
      <c r="AJ203" s="157"/>
      <c r="AK203" s="157">
        <v>0</v>
      </c>
      <c r="AL203" s="157"/>
      <c r="AM203" s="157">
        <v>172149</v>
      </c>
      <c r="AN203" s="157"/>
      <c r="AO203" s="157">
        <v>-2770907</v>
      </c>
      <c r="AP203" s="157"/>
      <c r="AQ203" s="157">
        <v>28464</v>
      </c>
      <c r="AR203" s="157"/>
      <c r="AS203" s="157">
        <v>181867</v>
      </c>
      <c r="AT203" s="157"/>
      <c r="AU203" s="157">
        <v>378295</v>
      </c>
      <c r="AV203" s="157"/>
      <c r="AW203" s="157">
        <v>14545</v>
      </c>
      <c r="AX203" s="157"/>
      <c r="AY203" s="157">
        <v>106144</v>
      </c>
      <c r="AZ203" s="157"/>
      <c r="BA203" s="157">
        <v>116562</v>
      </c>
      <c r="BB203" s="157"/>
      <c r="BC203" s="157">
        <v>0</v>
      </c>
      <c r="BD203" s="157"/>
      <c r="BE203" s="157">
        <v>63176</v>
      </c>
      <c r="BF203" s="157"/>
      <c r="BG203" s="157">
        <v>8969</v>
      </c>
      <c r="BH203" s="157"/>
      <c r="BI203" s="157">
        <v>68554</v>
      </c>
      <c r="BJ203" s="157"/>
      <c r="BK203" s="157">
        <v>94318</v>
      </c>
      <c r="BL203" s="157"/>
      <c r="BM203" s="157">
        <v>16471.82</v>
      </c>
      <c r="BN203" s="157"/>
      <c r="BO203" s="157">
        <v>77248</v>
      </c>
      <c r="BP203" s="157"/>
      <c r="BQ203" s="157">
        <v>41390</v>
      </c>
      <c r="BR203" s="157"/>
      <c r="BS203" s="157">
        <v>20385</v>
      </c>
    </row>
    <row r="204" spans="1:72" x14ac:dyDescent="0.2">
      <c r="A204" s="123" t="s">
        <v>282</v>
      </c>
      <c r="B204" s="124" t="s">
        <v>283</v>
      </c>
      <c r="C204" s="157">
        <v>-1148144</v>
      </c>
      <c r="D204" s="157"/>
      <c r="E204" s="157">
        <v>-1885059</v>
      </c>
      <c r="F204" s="157"/>
      <c r="G204" s="157">
        <v>-4290697</v>
      </c>
      <c r="H204" s="157"/>
      <c r="I204" s="157">
        <v>0</v>
      </c>
      <c r="J204" s="157"/>
      <c r="K204" s="157">
        <v>0</v>
      </c>
      <c r="L204" s="157"/>
      <c r="M204" s="157">
        <v>-496565.34</v>
      </c>
      <c r="N204" s="157"/>
      <c r="O204" s="157">
        <v>-2.2799999999999998</v>
      </c>
      <c r="P204" s="157"/>
      <c r="Q204" s="157">
        <v>-6829695.1100000003</v>
      </c>
      <c r="R204" s="157"/>
      <c r="S204" s="157">
        <v>-6950172.5199999996</v>
      </c>
      <c r="T204" s="157"/>
      <c r="U204" s="157">
        <v>-1336748.28</v>
      </c>
      <c r="V204" s="157"/>
      <c r="W204" s="157">
        <v>-377904</v>
      </c>
      <c r="X204" s="157"/>
      <c r="Y204" s="157">
        <v>-4585493</v>
      </c>
      <c r="Z204" s="157"/>
      <c r="AA204" s="157">
        <v>0</v>
      </c>
      <c r="AB204" s="157"/>
      <c r="AC204" s="157">
        <v>0</v>
      </c>
      <c r="AD204" s="157"/>
      <c r="AE204" s="157">
        <v>-1772339</v>
      </c>
      <c r="AF204" s="157"/>
      <c r="AG204" s="157">
        <v>-3534850</v>
      </c>
      <c r="AH204" s="157"/>
      <c r="AI204" s="157">
        <v>-2637246.5499999998</v>
      </c>
      <c r="AJ204" s="157"/>
      <c r="AK204" s="157">
        <v>-782620</v>
      </c>
      <c r="AL204" s="157"/>
      <c r="AM204" s="157">
        <v>-2324244</v>
      </c>
      <c r="AN204" s="157"/>
      <c r="AO204" s="157">
        <v>-1295232</v>
      </c>
      <c r="AP204" s="157"/>
      <c r="AQ204" s="157">
        <v>-2277793</v>
      </c>
      <c r="AR204" s="157"/>
      <c r="AS204" s="157">
        <v>-4528070.8499999996</v>
      </c>
      <c r="AT204" s="157"/>
      <c r="AU204" s="157">
        <v>-1973302</v>
      </c>
      <c r="AV204" s="157"/>
      <c r="AW204" s="157">
        <v>0</v>
      </c>
      <c r="AX204" s="157"/>
      <c r="AY204" s="157">
        <v>0</v>
      </c>
      <c r="AZ204" s="157"/>
      <c r="BA204" s="157">
        <v>-5173130</v>
      </c>
      <c r="BB204" s="157"/>
      <c r="BC204" s="157">
        <v>0</v>
      </c>
      <c r="BD204" s="157"/>
      <c r="BE204" s="157">
        <v>0</v>
      </c>
      <c r="BF204" s="157"/>
      <c r="BG204" s="157">
        <v>-2750</v>
      </c>
      <c r="BH204" s="157"/>
      <c r="BI204" s="157">
        <v>-19701</v>
      </c>
      <c r="BJ204" s="157"/>
      <c r="BK204" s="157">
        <v>0</v>
      </c>
      <c r="BL204" s="157"/>
      <c r="BM204" s="157">
        <v>0</v>
      </c>
      <c r="BN204" s="157"/>
      <c r="BO204" s="157">
        <v>-1595768</v>
      </c>
      <c r="BP204" s="157"/>
      <c r="BQ204" s="157">
        <v>-1727512</v>
      </c>
      <c r="BR204" s="157"/>
      <c r="BS204" s="157">
        <v>-1954924</v>
      </c>
    </row>
    <row r="205" spans="1:72" x14ac:dyDescent="0.2">
      <c r="A205" s="123" t="s">
        <v>1004</v>
      </c>
      <c r="B205" s="124" t="s">
        <v>1003</v>
      </c>
      <c r="C205" s="157">
        <v>0</v>
      </c>
      <c r="D205" s="157"/>
      <c r="E205" s="157">
        <v>0</v>
      </c>
      <c r="F205" s="157"/>
      <c r="G205" s="157">
        <v>0</v>
      </c>
      <c r="H205" s="157"/>
      <c r="I205" s="157">
        <v>0</v>
      </c>
      <c r="J205" s="157"/>
      <c r="K205" s="157">
        <v>0</v>
      </c>
      <c r="L205" s="157"/>
      <c r="M205" s="157">
        <v>0</v>
      </c>
      <c r="N205" s="157"/>
      <c r="O205" s="157">
        <v>0</v>
      </c>
      <c r="P205" s="157"/>
      <c r="Q205" s="157">
        <v>0</v>
      </c>
      <c r="R205" s="157"/>
      <c r="S205" s="157">
        <v>0</v>
      </c>
      <c r="T205" s="157"/>
      <c r="U205" s="157">
        <v>0</v>
      </c>
      <c r="V205" s="157"/>
      <c r="W205" s="157">
        <v>0</v>
      </c>
      <c r="X205" s="157"/>
      <c r="Y205" s="157">
        <v>0</v>
      </c>
      <c r="Z205" s="157"/>
      <c r="AA205" s="157">
        <v>0</v>
      </c>
      <c r="AB205" s="157"/>
      <c r="AC205" s="157">
        <v>0</v>
      </c>
      <c r="AD205" s="157"/>
      <c r="AE205" s="157">
        <v>0</v>
      </c>
      <c r="AF205" s="157"/>
      <c r="AG205" s="157">
        <v>0</v>
      </c>
      <c r="AH205" s="157"/>
      <c r="AI205" s="157">
        <v>0</v>
      </c>
      <c r="AJ205" s="157"/>
      <c r="AK205" s="157">
        <v>0</v>
      </c>
      <c r="AL205" s="157"/>
      <c r="AM205" s="157">
        <v>0</v>
      </c>
      <c r="AN205" s="157"/>
      <c r="AO205" s="157">
        <v>0</v>
      </c>
      <c r="AP205" s="157"/>
      <c r="AQ205" s="157">
        <v>0</v>
      </c>
      <c r="AR205" s="157"/>
      <c r="AS205" s="157">
        <v>0</v>
      </c>
      <c r="AT205" s="157"/>
      <c r="AU205" s="157">
        <v>0</v>
      </c>
      <c r="AV205" s="157"/>
      <c r="AW205" s="157">
        <v>0</v>
      </c>
      <c r="AX205" s="157"/>
      <c r="AY205" s="157">
        <v>0</v>
      </c>
      <c r="AZ205" s="157"/>
      <c r="BA205" s="157">
        <v>0</v>
      </c>
      <c r="BB205" s="157"/>
      <c r="BC205" s="157">
        <v>0</v>
      </c>
      <c r="BD205" s="157"/>
      <c r="BE205" s="157">
        <v>0</v>
      </c>
      <c r="BF205" s="157"/>
      <c r="BG205" s="157">
        <v>0</v>
      </c>
      <c r="BH205" s="157"/>
      <c r="BI205" s="157">
        <v>0</v>
      </c>
      <c r="BJ205" s="157"/>
      <c r="BK205" s="157">
        <v>0</v>
      </c>
      <c r="BL205" s="157"/>
      <c r="BM205" s="157">
        <v>14727</v>
      </c>
      <c r="BN205" s="157"/>
      <c r="BO205" s="157">
        <v>0</v>
      </c>
      <c r="BP205" s="157"/>
      <c r="BQ205" s="157">
        <v>0</v>
      </c>
      <c r="BR205" s="157"/>
      <c r="BS205" s="157">
        <v>0</v>
      </c>
    </row>
    <row r="206" spans="1:72" x14ac:dyDescent="0.2">
      <c r="A206" s="123" t="s">
        <v>940</v>
      </c>
      <c r="B206" s="124" t="s">
        <v>1002</v>
      </c>
      <c r="C206" s="157">
        <v>0</v>
      </c>
      <c r="D206" s="157"/>
      <c r="E206" s="157">
        <v>0</v>
      </c>
      <c r="F206" s="157"/>
      <c r="G206" s="157">
        <v>0</v>
      </c>
      <c r="H206" s="157"/>
      <c r="I206" s="157">
        <v>0</v>
      </c>
      <c r="J206" s="157"/>
      <c r="K206" s="157">
        <v>0</v>
      </c>
      <c r="L206" s="157"/>
      <c r="M206" s="157">
        <v>0</v>
      </c>
      <c r="N206" s="157"/>
      <c r="O206" s="157">
        <v>0</v>
      </c>
      <c r="P206" s="157"/>
      <c r="Q206" s="157">
        <v>0</v>
      </c>
      <c r="R206" s="157"/>
      <c r="S206" s="157">
        <v>0</v>
      </c>
      <c r="T206" s="157"/>
      <c r="U206" s="157">
        <v>0</v>
      </c>
      <c r="V206" s="157"/>
      <c r="W206" s="157">
        <v>0</v>
      </c>
      <c r="X206" s="157"/>
      <c r="Y206" s="157">
        <v>0</v>
      </c>
      <c r="Z206" s="157"/>
      <c r="AA206" s="157">
        <v>0</v>
      </c>
      <c r="AB206" s="157"/>
      <c r="AC206" s="157">
        <v>0</v>
      </c>
      <c r="AD206" s="157"/>
      <c r="AE206" s="157">
        <v>0</v>
      </c>
      <c r="AF206" s="157"/>
      <c r="AG206" s="157">
        <v>0</v>
      </c>
      <c r="AH206" s="157"/>
      <c r="AI206" s="157">
        <v>0</v>
      </c>
      <c r="AJ206" s="157"/>
      <c r="AK206" s="157">
        <v>0</v>
      </c>
      <c r="AL206" s="157"/>
      <c r="AM206" s="157">
        <v>0</v>
      </c>
      <c r="AN206" s="157"/>
      <c r="AO206" s="157">
        <v>0</v>
      </c>
      <c r="AP206" s="157"/>
      <c r="AQ206" s="157">
        <v>0</v>
      </c>
      <c r="AR206" s="157"/>
      <c r="AS206" s="157">
        <v>0</v>
      </c>
      <c r="AT206" s="157"/>
      <c r="AU206" s="157">
        <v>0</v>
      </c>
      <c r="AV206" s="157"/>
      <c r="AW206" s="157">
        <v>0</v>
      </c>
      <c r="AX206" s="157"/>
      <c r="AY206" s="157">
        <v>0</v>
      </c>
      <c r="AZ206" s="157"/>
      <c r="BA206" s="157">
        <v>0</v>
      </c>
      <c r="BB206" s="157"/>
      <c r="BC206" s="157">
        <v>0</v>
      </c>
      <c r="BD206" s="157"/>
      <c r="BE206" s="157">
        <v>0</v>
      </c>
      <c r="BF206" s="157"/>
      <c r="BG206" s="157">
        <v>0</v>
      </c>
      <c r="BH206" s="157"/>
      <c r="BI206" s="157">
        <v>0</v>
      </c>
      <c r="BJ206" s="157"/>
      <c r="BK206" s="157">
        <v>0</v>
      </c>
      <c r="BL206" s="157"/>
      <c r="BM206" s="157">
        <v>1287.1199999999999</v>
      </c>
      <c r="BN206" s="157"/>
      <c r="BO206" s="157">
        <v>0</v>
      </c>
      <c r="BP206" s="157"/>
      <c r="BQ206" s="157">
        <v>0</v>
      </c>
      <c r="BR206" s="157"/>
      <c r="BS206" s="157">
        <v>0</v>
      </c>
    </row>
    <row r="207" spans="1:72" x14ac:dyDescent="0.2">
      <c r="A207" s="123" t="s">
        <v>492</v>
      </c>
      <c r="B207" s="124" t="s">
        <v>493</v>
      </c>
      <c r="C207" s="157">
        <v>0</v>
      </c>
      <c r="D207" s="157"/>
      <c r="E207" s="157">
        <v>0</v>
      </c>
      <c r="F207" s="157"/>
      <c r="G207" s="157">
        <v>0</v>
      </c>
      <c r="H207" s="157"/>
      <c r="I207" s="157">
        <v>10000</v>
      </c>
      <c r="J207" s="157"/>
      <c r="K207" s="157">
        <v>10000</v>
      </c>
      <c r="L207" s="157"/>
      <c r="M207" s="157">
        <v>0</v>
      </c>
      <c r="N207" s="157"/>
      <c r="O207" s="157">
        <v>0</v>
      </c>
      <c r="P207" s="157"/>
      <c r="Q207" s="157">
        <v>20000</v>
      </c>
      <c r="R207" s="157"/>
      <c r="S207" s="157">
        <v>0</v>
      </c>
      <c r="T207" s="157"/>
      <c r="U207" s="157">
        <v>10000</v>
      </c>
      <c r="V207" s="157"/>
      <c r="W207" s="157">
        <v>0</v>
      </c>
      <c r="X207" s="157"/>
      <c r="Y207" s="157">
        <v>0</v>
      </c>
      <c r="Z207" s="157"/>
      <c r="AA207" s="157">
        <v>0</v>
      </c>
      <c r="AB207" s="157"/>
      <c r="AC207" s="157">
        <v>0</v>
      </c>
      <c r="AD207" s="157"/>
      <c r="AE207" s="157">
        <v>10000</v>
      </c>
      <c r="AF207" s="157"/>
      <c r="AG207" s="157">
        <v>0</v>
      </c>
      <c r="AH207" s="157"/>
      <c r="AI207" s="157">
        <v>0</v>
      </c>
      <c r="AJ207" s="157"/>
      <c r="AK207" s="157">
        <v>0</v>
      </c>
      <c r="AL207" s="157"/>
      <c r="AM207" s="157">
        <v>50019</v>
      </c>
      <c r="AN207" s="157"/>
      <c r="AO207" s="157">
        <v>0</v>
      </c>
      <c r="AP207" s="157"/>
      <c r="AQ207" s="157">
        <v>76659</v>
      </c>
      <c r="AR207" s="157"/>
      <c r="AS207" s="157">
        <v>0</v>
      </c>
      <c r="AT207" s="157"/>
      <c r="AU207" s="157">
        <v>0</v>
      </c>
      <c r="AV207" s="157"/>
      <c r="AW207" s="157">
        <v>10000</v>
      </c>
      <c r="AX207" s="157"/>
      <c r="AY207" s="157">
        <v>10000</v>
      </c>
      <c r="AZ207" s="157"/>
      <c r="BA207" s="157">
        <v>10000</v>
      </c>
      <c r="BB207" s="157"/>
      <c r="BC207" s="157">
        <v>18687</v>
      </c>
      <c r="BD207" s="157"/>
      <c r="BE207" s="157">
        <v>20000</v>
      </c>
      <c r="BF207" s="157"/>
      <c r="BG207" s="157">
        <v>10000</v>
      </c>
      <c r="BH207" s="157"/>
      <c r="BI207" s="157">
        <v>10000</v>
      </c>
      <c r="BJ207" s="157"/>
      <c r="BK207" s="157">
        <v>10000</v>
      </c>
      <c r="BL207" s="157"/>
      <c r="BM207" s="157">
        <v>0</v>
      </c>
      <c r="BN207" s="157"/>
      <c r="BO207" s="157">
        <v>11591</v>
      </c>
      <c r="BP207" s="157"/>
      <c r="BQ207" s="157">
        <v>12190</v>
      </c>
      <c r="BR207" s="157"/>
      <c r="BS207" s="157">
        <v>10784</v>
      </c>
    </row>
    <row r="208" spans="1:72" x14ac:dyDescent="0.2">
      <c r="A208" s="123" t="s">
        <v>284</v>
      </c>
      <c r="B208" s="124" t="s">
        <v>285</v>
      </c>
      <c r="C208" s="157">
        <v>-0.06</v>
      </c>
      <c r="D208" s="157"/>
      <c r="E208" s="157">
        <v>0</v>
      </c>
      <c r="F208" s="157"/>
      <c r="G208" s="157">
        <v>0.01</v>
      </c>
      <c r="H208" s="157"/>
      <c r="I208" s="157">
        <v>0</v>
      </c>
      <c r="J208" s="157"/>
      <c r="K208" s="157">
        <v>0</v>
      </c>
      <c r="L208" s="157"/>
      <c r="M208" s="157">
        <v>0</v>
      </c>
      <c r="N208" s="157"/>
      <c r="O208" s="157">
        <v>0</v>
      </c>
      <c r="P208" s="157"/>
      <c r="Q208" s="157">
        <v>0</v>
      </c>
      <c r="R208" s="157"/>
      <c r="S208" s="157">
        <v>0</v>
      </c>
      <c r="T208" s="157"/>
      <c r="U208" s="157">
        <v>0</v>
      </c>
      <c r="V208" s="157"/>
      <c r="W208" s="157">
        <v>0</v>
      </c>
      <c r="X208" s="157"/>
      <c r="Y208" s="157">
        <v>0</v>
      </c>
      <c r="Z208" s="157"/>
      <c r="AA208" s="157">
        <v>0</v>
      </c>
      <c r="AB208" s="157"/>
      <c r="AC208" s="157">
        <v>0</v>
      </c>
      <c r="AD208" s="157"/>
      <c r="AE208" s="157">
        <v>0</v>
      </c>
      <c r="AF208" s="157"/>
      <c r="AG208" s="157">
        <v>0</v>
      </c>
      <c r="AH208" s="157"/>
      <c r="AI208" s="157">
        <v>0</v>
      </c>
      <c r="AJ208" s="157"/>
      <c r="AK208" s="157">
        <v>0</v>
      </c>
      <c r="AL208" s="157"/>
      <c r="AM208" s="157">
        <v>0</v>
      </c>
      <c r="AN208" s="157"/>
      <c r="AO208" s="157">
        <v>0</v>
      </c>
      <c r="AP208" s="157"/>
      <c r="AQ208" s="157">
        <v>0</v>
      </c>
      <c r="AR208" s="157"/>
      <c r="AS208" s="157">
        <v>0</v>
      </c>
      <c r="AT208" s="157"/>
      <c r="AU208" s="157">
        <v>0</v>
      </c>
      <c r="AV208" s="157"/>
      <c r="AW208" s="157">
        <v>0</v>
      </c>
      <c r="AX208" s="157"/>
      <c r="AY208" s="157">
        <v>0</v>
      </c>
      <c r="AZ208" s="157"/>
      <c r="BA208" s="157">
        <v>0</v>
      </c>
      <c r="BB208" s="157"/>
      <c r="BC208" s="157">
        <v>0</v>
      </c>
      <c r="BD208" s="157"/>
      <c r="BE208" s="157">
        <v>0</v>
      </c>
      <c r="BF208" s="157"/>
      <c r="BG208" s="157">
        <v>0</v>
      </c>
      <c r="BH208" s="157"/>
      <c r="BI208" s="157">
        <v>0</v>
      </c>
      <c r="BJ208" s="157"/>
      <c r="BK208" s="157">
        <v>0</v>
      </c>
      <c r="BL208" s="157"/>
      <c r="BM208" s="157">
        <v>0</v>
      </c>
      <c r="BN208" s="157"/>
      <c r="BO208" s="157">
        <v>0</v>
      </c>
      <c r="BP208" s="157"/>
      <c r="BQ208" s="157">
        <v>0</v>
      </c>
      <c r="BR208" s="157"/>
      <c r="BS208" s="157">
        <v>0</v>
      </c>
    </row>
    <row r="209" spans="1:72" x14ac:dyDescent="0.2">
      <c r="E209" s="159"/>
      <c r="F209" s="159"/>
    </row>
    <row r="210" spans="1:72" x14ac:dyDescent="0.2">
      <c r="A210" s="118"/>
      <c r="B210" s="119"/>
      <c r="C210" s="160" t="s">
        <v>937</v>
      </c>
      <c r="D210" s="160"/>
      <c r="E210" s="160" t="s">
        <v>936</v>
      </c>
      <c r="F210" s="160"/>
      <c r="G210" s="160" t="s">
        <v>935</v>
      </c>
      <c r="H210" s="160"/>
      <c r="I210" s="160" t="s">
        <v>934</v>
      </c>
      <c r="J210" s="160"/>
      <c r="K210" s="160" t="s">
        <v>933</v>
      </c>
      <c r="L210" s="160"/>
      <c r="M210" s="160" t="s">
        <v>932</v>
      </c>
      <c r="N210" s="160"/>
      <c r="O210" s="160" t="s">
        <v>931</v>
      </c>
      <c r="P210" s="160"/>
      <c r="Q210" s="160" t="s">
        <v>930</v>
      </c>
      <c r="R210" s="160"/>
      <c r="S210" s="160" t="s">
        <v>929</v>
      </c>
      <c r="T210" s="160"/>
      <c r="U210" s="160" t="s">
        <v>928</v>
      </c>
      <c r="V210" s="160"/>
      <c r="W210" s="160" t="s">
        <v>927</v>
      </c>
      <c r="X210" s="160"/>
      <c r="Y210" s="160" t="s">
        <v>926</v>
      </c>
      <c r="Z210" s="160"/>
      <c r="AA210" s="160" t="s">
        <v>925</v>
      </c>
      <c r="AB210" s="160"/>
      <c r="AC210" s="160" t="s">
        <v>924</v>
      </c>
      <c r="AD210" s="160"/>
      <c r="AE210" s="160" t="s">
        <v>923</v>
      </c>
      <c r="AF210" s="160"/>
      <c r="AG210" s="160" t="s">
        <v>922</v>
      </c>
      <c r="AH210" s="160"/>
      <c r="AI210" s="160" t="s">
        <v>921</v>
      </c>
      <c r="AJ210" s="160"/>
      <c r="AK210" s="160" t="s">
        <v>920</v>
      </c>
      <c r="AL210" s="160"/>
      <c r="AM210" s="160" t="s">
        <v>919</v>
      </c>
      <c r="AN210" s="160"/>
      <c r="AO210" s="160" t="s">
        <v>918</v>
      </c>
      <c r="AP210" s="160"/>
      <c r="AQ210" s="160" t="s">
        <v>917</v>
      </c>
      <c r="AR210" s="160"/>
      <c r="AS210" s="160" t="s">
        <v>916</v>
      </c>
      <c r="AT210" s="160"/>
      <c r="AU210" s="160" t="s">
        <v>915</v>
      </c>
      <c r="AV210" s="160"/>
      <c r="AW210" s="160" t="s">
        <v>914</v>
      </c>
      <c r="AX210" s="160"/>
      <c r="AY210" s="160" t="s">
        <v>913</v>
      </c>
      <c r="AZ210" s="160"/>
      <c r="BA210" s="160" t="s">
        <v>912</v>
      </c>
      <c r="BB210" s="160"/>
      <c r="BC210" s="160" t="s">
        <v>911</v>
      </c>
      <c r="BD210" s="160"/>
      <c r="BE210" s="160" t="s">
        <v>910</v>
      </c>
      <c r="BF210" s="160"/>
      <c r="BG210" s="160" t="s">
        <v>909</v>
      </c>
      <c r="BH210" s="160"/>
      <c r="BI210" s="160" t="s">
        <v>908</v>
      </c>
      <c r="BJ210" s="160"/>
      <c r="BK210" s="160" t="s">
        <v>907</v>
      </c>
      <c r="BL210" s="160"/>
      <c r="BM210" s="160" t="s">
        <v>906</v>
      </c>
      <c r="BN210" s="160"/>
      <c r="BO210" s="160" t="s">
        <v>905</v>
      </c>
      <c r="BP210" s="160"/>
      <c r="BQ210" s="160" t="s">
        <v>904</v>
      </c>
      <c r="BR210" s="160"/>
      <c r="BS210" s="160" t="s">
        <v>903</v>
      </c>
      <c r="BT210" s="160"/>
    </row>
    <row r="211" spans="1:72" x14ac:dyDescent="0.2">
      <c r="A211" s="154"/>
      <c r="B211" s="155"/>
      <c r="C211" s="161">
        <f>C210-C1</f>
        <v>0</v>
      </c>
      <c r="D211" s="161"/>
      <c r="E211" s="161">
        <f>E210-E1</f>
        <v>0</v>
      </c>
      <c r="F211" s="161"/>
      <c r="G211" s="161">
        <f>G210-G1</f>
        <v>0</v>
      </c>
      <c r="H211" s="161"/>
      <c r="I211" s="161">
        <f>I210-I1</f>
        <v>0</v>
      </c>
      <c r="J211" s="161"/>
      <c r="K211" s="161">
        <f>K210-K1</f>
        <v>0</v>
      </c>
      <c r="L211" s="161"/>
      <c r="M211" s="161">
        <f>M210-M1</f>
        <v>0</v>
      </c>
      <c r="N211" s="161"/>
      <c r="O211" s="161">
        <f>O210-O1</f>
        <v>0</v>
      </c>
      <c r="P211" s="161"/>
      <c r="Q211" s="161">
        <f>Q210-Q1</f>
        <v>0</v>
      </c>
      <c r="R211" s="161"/>
      <c r="S211" s="161">
        <f>S210-S1</f>
        <v>0</v>
      </c>
      <c r="T211" s="161"/>
      <c r="U211" s="161">
        <f>U210-U1</f>
        <v>0</v>
      </c>
      <c r="V211" s="161"/>
      <c r="W211" s="161">
        <f>W210-W1</f>
        <v>0</v>
      </c>
      <c r="X211" s="161"/>
      <c r="Y211" s="161">
        <f>Y210-Y1</f>
        <v>0</v>
      </c>
      <c r="Z211" s="161"/>
      <c r="AA211" s="161">
        <f>AA210-AA1</f>
        <v>0</v>
      </c>
      <c r="AB211" s="161"/>
      <c r="AC211" s="161">
        <f>AC210-AC1</f>
        <v>0</v>
      </c>
      <c r="AD211" s="161"/>
      <c r="AE211" s="161">
        <f>AE210-AE1</f>
        <v>0</v>
      </c>
      <c r="AF211" s="161"/>
      <c r="AG211" s="161">
        <f>AG210-AG1</f>
        <v>0</v>
      </c>
      <c r="AH211" s="161"/>
      <c r="AI211" s="161">
        <f>AI210-AI1</f>
        <v>0</v>
      </c>
      <c r="AJ211" s="161"/>
      <c r="AK211" s="161">
        <f>AK210-AK1</f>
        <v>0</v>
      </c>
      <c r="AL211" s="161"/>
      <c r="AM211" s="161">
        <f>AM210-AM1</f>
        <v>0</v>
      </c>
      <c r="AN211" s="161"/>
      <c r="AO211" s="161">
        <f>AO210-AO1</f>
        <v>0</v>
      </c>
      <c r="AP211" s="161"/>
      <c r="AQ211" s="161">
        <f>AQ210-AQ1</f>
        <v>0</v>
      </c>
      <c r="AR211" s="161"/>
      <c r="AS211" s="161">
        <f>AS210-AS1</f>
        <v>0</v>
      </c>
      <c r="AT211" s="161"/>
      <c r="AU211" s="161">
        <f>AU210-AU1</f>
        <v>0</v>
      </c>
      <c r="AV211" s="161"/>
      <c r="AW211" s="161">
        <f t="shared" ref="AW211:BG211" si="0">AW210-AW1</f>
        <v>0</v>
      </c>
      <c r="AX211" s="161"/>
      <c r="AY211" s="161">
        <f t="shared" si="0"/>
        <v>0</v>
      </c>
      <c r="AZ211" s="161"/>
      <c r="BA211" s="161">
        <f t="shared" si="0"/>
        <v>0</v>
      </c>
      <c r="BB211" s="161"/>
      <c r="BC211" s="161">
        <f t="shared" si="0"/>
        <v>0</v>
      </c>
      <c r="BD211" s="161"/>
      <c r="BE211" s="161">
        <f t="shared" si="0"/>
        <v>0</v>
      </c>
      <c r="BF211" s="161"/>
      <c r="BG211" s="161">
        <f t="shared" si="0"/>
        <v>0</v>
      </c>
      <c r="BH211" s="161"/>
      <c r="BI211" s="161">
        <f>BI210-BI1</f>
        <v>0</v>
      </c>
      <c r="BJ211" s="161"/>
      <c r="BK211" s="161">
        <f>BK210-BK1</f>
        <v>0</v>
      </c>
      <c r="BL211" s="161"/>
      <c r="BM211" s="161">
        <f>BM210-BM1</f>
        <v>0</v>
      </c>
      <c r="BN211" s="161"/>
      <c r="BO211" s="161">
        <f>BO210-BO1</f>
        <v>0</v>
      </c>
      <c r="BP211" s="161"/>
      <c r="BQ211" s="161">
        <f>BQ210-BQ1</f>
        <v>0</v>
      </c>
      <c r="BR211" s="161"/>
      <c r="BS211" s="161">
        <f>BS210-BS1</f>
        <v>0</v>
      </c>
      <c r="BT211" s="161"/>
    </row>
    <row r="212" spans="1:72" x14ac:dyDescent="0.2">
      <c r="A212" s="123" t="s">
        <v>286</v>
      </c>
      <c r="B212" s="124" t="s">
        <v>902</v>
      </c>
      <c r="C212" s="158">
        <v>23228.36</v>
      </c>
      <c r="D212" s="158">
        <f>SUM(C212:C221)</f>
        <v>427606.64</v>
      </c>
      <c r="E212" s="158">
        <v>16317.89</v>
      </c>
      <c r="F212" s="158">
        <f>SUM(E212:E221)</f>
        <v>414572.11</v>
      </c>
      <c r="G212" s="158">
        <v>14762.64</v>
      </c>
      <c r="H212" s="158">
        <f>SUM(G212:G221)</f>
        <v>430642.36</v>
      </c>
      <c r="I212" s="158">
        <v>15775.31</v>
      </c>
      <c r="J212" s="158">
        <f>SUM(I212:I222)</f>
        <v>446828.92</v>
      </c>
      <c r="K212" s="158">
        <v>21115.52</v>
      </c>
      <c r="L212" s="158">
        <f>SUM(K212:K218)</f>
        <v>1113300.45</v>
      </c>
      <c r="M212" s="158">
        <v>56196.25</v>
      </c>
      <c r="N212" s="158">
        <f>SUM(M212:M221)</f>
        <v>373341.00999999995</v>
      </c>
      <c r="O212" s="158">
        <v>15353.85</v>
      </c>
      <c r="P212" s="158">
        <f>SUM(O212:O221)</f>
        <v>306496.15000000002</v>
      </c>
      <c r="Q212" s="158">
        <v>14145.9</v>
      </c>
      <c r="R212" s="158">
        <f>SUM(Q212:Q221)</f>
        <v>306508.09999999998</v>
      </c>
      <c r="S212" s="158">
        <v>5010.9799999999996</v>
      </c>
      <c r="T212" s="158">
        <f>SUM(S212:S221)</f>
        <v>402853.64</v>
      </c>
      <c r="U212" s="158">
        <v>-8527.75</v>
      </c>
      <c r="V212" s="158">
        <f>SUM(U212:U221)</f>
        <v>480690.89999999997</v>
      </c>
      <c r="W212" s="158">
        <v>31345.95</v>
      </c>
      <c r="X212" s="158">
        <f>SUM(W212:W221)</f>
        <v>294106.05</v>
      </c>
      <c r="Y212" s="158">
        <v>-9470</v>
      </c>
      <c r="Z212" s="158">
        <f>SUM(Y212:Y221)</f>
        <v>398460</v>
      </c>
      <c r="AA212" s="158">
        <v>7852.16</v>
      </c>
      <c r="AB212" s="158">
        <f>SUM(AA212:AA222)</f>
        <v>435682.87999999995</v>
      </c>
      <c r="AC212" s="158">
        <v>7654.7</v>
      </c>
      <c r="AD212" s="158">
        <f>SUM(AC212:AC221)</f>
        <v>254847.3</v>
      </c>
      <c r="AE212" s="158">
        <v>21227.37</v>
      </c>
      <c r="AF212" s="158">
        <f>SUM(AE212:AE221)</f>
        <v>670291.51</v>
      </c>
      <c r="AG212" s="158">
        <v>-29978.32</v>
      </c>
      <c r="AH212" s="158">
        <f>SUM(AG212:AG221)</f>
        <v>416479.32</v>
      </c>
      <c r="AI212" s="158">
        <v>7946.98</v>
      </c>
      <c r="AJ212" s="158">
        <f>SUM(AI212:AI222)</f>
        <v>210725.02</v>
      </c>
      <c r="AK212" s="158">
        <v>32083.37</v>
      </c>
      <c r="AL212" s="158">
        <f>SUM(AK212:AK221)</f>
        <v>368539.63</v>
      </c>
      <c r="AM212" s="158">
        <v>78749.62</v>
      </c>
      <c r="AN212" s="158">
        <f>SUM(AM212:AM221)</f>
        <v>651811.74</v>
      </c>
      <c r="AO212" s="158">
        <v>12067.1</v>
      </c>
      <c r="AP212" s="158">
        <f>SUM(AO212:AO221)</f>
        <v>379012.9</v>
      </c>
      <c r="AQ212" s="158">
        <v>3623.24</v>
      </c>
      <c r="AR212" s="158">
        <f>SUM(AQ212:AQ221)</f>
        <v>432579.84000000003</v>
      </c>
      <c r="AS212" s="158">
        <v>20750.23</v>
      </c>
      <c r="AT212" s="158">
        <f>SUM(AS212:AS218)</f>
        <v>395395.44999999995</v>
      </c>
      <c r="AU212" s="158">
        <v>6482.82</v>
      </c>
      <c r="AV212" s="158">
        <f>SUM(AU212:AU221)</f>
        <v>715644.00000000012</v>
      </c>
      <c r="AW212" s="158">
        <v>4852</v>
      </c>
      <c r="AX212" s="158">
        <f>SUM(AW212:AW221)</f>
        <v>284406</v>
      </c>
      <c r="AY212" s="158">
        <v>-16633.099999999999</v>
      </c>
      <c r="AZ212" s="158">
        <f>SUM(AY212:AY221)</f>
        <v>419688.82</v>
      </c>
      <c r="BA212" s="158">
        <v>1544.01</v>
      </c>
      <c r="BB212" s="158">
        <f>SUM(BA212:BA221)</f>
        <v>407445.99</v>
      </c>
      <c r="BC212" s="158">
        <v>18984.52</v>
      </c>
      <c r="BD212" s="158">
        <f>SUM(BC212:BC221)</f>
        <v>317894.48</v>
      </c>
      <c r="BE212" s="158">
        <v>1688.95</v>
      </c>
      <c r="BF212" s="158">
        <f>SUM(BE212:BE221)</f>
        <v>535130</v>
      </c>
      <c r="BG212" s="158">
        <v>7989.18</v>
      </c>
      <c r="BH212" s="158">
        <f>SUM(BG212:BG222)</f>
        <v>247240.82</v>
      </c>
      <c r="BI212" s="158">
        <v>10808.21</v>
      </c>
      <c r="BJ212" s="158">
        <f>SUM(BI212:BI222)</f>
        <v>366379.79</v>
      </c>
      <c r="BK212" s="158">
        <v>19062.650000000001</v>
      </c>
      <c r="BL212" s="158">
        <f>SUM(BK212:BK221)</f>
        <v>501357.83999999997</v>
      </c>
      <c r="BM212" s="158">
        <v>22986.54</v>
      </c>
      <c r="BN212" s="158">
        <f>SUM(BM212:BM221)</f>
        <v>233270.46</v>
      </c>
      <c r="BO212" s="158">
        <v>14623.94</v>
      </c>
      <c r="BP212" s="158">
        <f>SUM(BO212:BO221)</f>
        <v>467145.6</v>
      </c>
      <c r="BQ212" s="158">
        <v>16073.79</v>
      </c>
      <c r="BR212" s="158">
        <f>SUM(BQ212:BQ221)</f>
        <v>433139.73</v>
      </c>
      <c r="BS212" s="158">
        <v>20814.64</v>
      </c>
      <c r="BT212" s="158">
        <f>SUM(BS212:BS221)</f>
        <v>388197.2</v>
      </c>
    </row>
    <row r="213" spans="1:72" x14ac:dyDescent="0.2">
      <c r="A213" s="123" t="s">
        <v>287</v>
      </c>
      <c r="B213" s="124" t="s">
        <v>901</v>
      </c>
      <c r="C213" s="158">
        <v>351422.64</v>
      </c>
      <c r="D213" s="158"/>
      <c r="E213" s="158">
        <v>391034.17</v>
      </c>
      <c r="F213" s="158"/>
      <c r="G213" s="158">
        <v>319841.36</v>
      </c>
      <c r="H213" s="158"/>
      <c r="I213" s="158">
        <v>388240.04</v>
      </c>
      <c r="J213" s="158"/>
      <c r="K213" s="158">
        <v>216143.45</v>
      </c>
      <c r="L213" s="158"/>
      <c r="M213" s="158">
        <v>353956.11</v>
      </c>
      <c r="N213" s="158"/>
      <c r="O213" s="158">
        <v>295190.15000000002</v>
      </c>
      <c r="P213" s="158"/>
      <c r="Q213" s="158">
        <v>294512.09999999998</v>
      </c>
      <c r="R213" s="158"/>
      <c r="S213" s="158">
        <v>354857.64</v>
      </c>
      <c r="T213" s="158"/>
      <c r="U213" s="158">
        <v>402710.48</v>
      </c>
      <c r="V213" s="158"/>
      <c r="W213" s="158">
        <v>269342.05</v>
      </c>
      <c r="X213" s="158"/>
      <c r="Y213" s="158">
        <v>341290</v>
      </c>
      <c r="Z213" s="158"/>
      <c r="AA213" s="158">
        <v>333574.03999999998</v>
      </c>
      <c r="AB213" s="158"/>
      <c r="AC213" s="158">
        <v>208509.63</v>
      </c>
      <c r="AD213" s="158"/>
      <c r="AE213" s="158">
        <v>339972.82</v>
      </c>
      <c r="AF213" s="158"/>
      <c r="AG213" s="158">
        <v>311844.32</v>
      </c>
      <c r="AH213" s="158"/>
      <c r="AI213" s="158">
        <v>189754.02</v>
      </c>
      <c r="AJ213" s="158"/>
      <c r="AK213" s="158">
        <v>247280.16</v>
      </c>
      <c r="AL213" s="158"/>
      <c r="AM213" s="158">
        <v>615143.54</v>
      </c>
      <c r="AN213" s="158"/>
      <c r="AO213" s="158">
        <v>347457.9</v>
      </c>
      <c r="AP213" s="158"/>
      <c r="AQ213" s="158">
        <v>398020.84</v>
      </c>
      <c r="AR213" s="158"/>
      <c r="AS213" s="158">
        <v>345300.85</v>
      </c>
      <c r="AT213" s="158"/>
      <c r="AU213" s="158">
        <v>137268</v>
      </c>
      <c r="AV213" s="158"/>
      <c r="AW213" s="158">
        <v>272103</v>
      </c>
      <c r="AX213" s="158"/>
      <c r="AY213" s="158">
        <v>334083.77</v>
      </c>
      <c r="AZ213" s="158"/>
      <c r="BA213" s="158">
        <v>301758.74</v>
      </c>
      <c r="BB213" s="158"/>
      <c r="BC213" s="158">
        <v>286306.74</v>
      </c>
      <c r="BD213" s="158"/>
      <c r="BE213" s="158">
        <v>113131</v>
      </c>
      <c r="BF213" s="158"/>
      <c r="BG213" s="158">
        <v>198101.59</v>
      </c>
      <c r="BH213" s="158"/>
      <c r="BI213" s="158">
        <v>170378.91</v>
      </c>
      <c r="BJ213" s="158"/>
      <c r="BK213" s="158">
        <v>408151.74</v>
      </c>
      <c r="BL213" s="158"/>
      <c r="BM213" s="158">
        <v>227007.87</v>
      </c>
      <c r="BN213" s="158"/>
      <c r="BO213" s="158">
        <v>346887.6</v>
      </c>
      <c r="BP213" s="158"/>
      <c r="BQ213" s="158">
        <v>355782.41</v>
      </c>
      <c r="BR213" s="158"/>
      <c r="BS213" s="158">
        <v>342236.39</v>
      </c>
      <c r="BT213" s="158"/>
    </row>
    <row r="214" spans="1:72" x14ac:dyDescent="0.2">
      <c r="A214" s="123" t="s">
        <v>288</v>
      </c>
      <c r="B214" s="124" t="s">
        <v>900</v>
      </c>
      <c r="C214" s="158">
        <v>76684</v>
      </c>
      <c r="D214" s="158"/>
      <c r="E214" s="158">
        <v>23537.94</v>
      </c>
      <c r="F214" s="158"/>
      <c r="G214" s="158">
        <v>111051</v>
      </c>
      <c r="H214" s="158"/>
      <c r="I214" s="158">
        <v>58588.88</v>
      </c>
      <c r="J214" s="158"/>
      <c r="K214" s="158">
        <v>0</v>
      </c>
      <c r="L214" s="158"/>
      <c r="M214" s="158">
        <v>19823.099999999999</v>
      </c>
      <c r="N214" s="158"/>
      <c r="O214" s="158">
        <v>11306</v>
      </c>
      <c r="P214" s="158"/>
      <c r="Q214" s="158">
        <v>11996</v>
      </c>
      <c r="R214" s="158"/>
      <c r="S214" s="158">
        <v>47996</v>
      </c>
      <c r="T214" s="158"/>
      <c r="U214" s="158">
        <v>77980.42</v>
      </c>
      <c r="V214" s="158"/>
      <c r="W214" s="158">
        <v>24757</v>
      </c>
      <c r="X214" s="158"/>
      <c r="Y214" s="158">
        <v>57170</v>
      </c>
      <c r="Z214" s="158"/>
      <c r="AA214" s="158">
        <v>102108.84</v>
      </c>
      <c r="AB214" s="158"/>
      <c r="AC214" s="158">
        <v>46337.67</v>
      </c>
      <c r="AD214" s="158"/>
      <c r="AE214" s="158">
        <v>330607.69</v>
      </c>
      <c r="AF214" s="158"/>
      <c r="AG214" s="158">
        <v>104635</v>
      </c>
      <c r="AH214" s="158"/>
      <c r="AI214" s="158">
        <v>20971</v>
      </c>
      <c r="AJ214" s="158"/>
      <c r="AK214" s="158">
        <v>121670.47</v>
      </c>
      <c r="AL214" s="158"/>
      <c r="AM214" s="158">
        <v>39330</v>
      </c>
      <c r="AN214" s="158"/>
      <c r="AO214" s="158">
        <v>31555</v>
      </c>
      <c r="AP214" s="158"/>
      <c r="AQ214" s="158">
        <v>34759</v>
      </c>
      <c r="AR214" s="158"/>
      <c r="AS214" s="158">
        <v>50465.77</v>
      </c>
      <c r="AT214" s="158"/>
      <c r="AU214" s="158">
        <v>0</v>
      </c>
      <c r="AV214" s="158"/>
      <c r="AW214" s="158">
        <v>12303</v>
      </c>
      <c r="AX214" s="158"/>
      <c r="AY214" s="158">
        <v>85605.05</v>
      </c>
      <c r="AZ214" s="158"/>
      <c r="BA214" s="158">
        <v>105687.25</v>
      </c>
      <c r="BB214" s="158"/>
      <c r="BC214" s="158">
        <v>31587.74</v>
      </c>
      <c r="BD214" s="158"/>
      <c r="BE214" s="158">
        <v>37677</v>
      </c>
      <c r="BF214" s="158"/>
      <c r="BG214" s="158">
        <v>49139.23</v>
      </c>
      <c r="BH214" s="158"/>
      <c r="BI214" s="158">
        <v>196000.88</v>
      </c>
      <c r="BJ214" s="158"/>
      <c r="BK214" s="158">
        <v>94186.1</v>
      </c>
      <c r="BL214" s="158"/>
      <c r="BM214" s="158">
        <v>6872.27</v>
      </c>
      <c r="BN214" s="158"/>
      <c r="BO214" s="158">
        <v>120258</v>
      </c>
      <c r="BP214" s="158"/>
      <c r="BQ214" s="158">
        <v>77307</v>
      </c>
      <c r="BR214" s="158"/>
      <c r="BS214" s="158">
        <v>45960.81</v>
      </c>
      <c r="BT214" s="158"/>
    </row>
    <row r="215" spans="1:72" x14ac:dyDescent="0.2">
      <c r="A215" s="123" t="s">
        <v>494</v>
      </c>
      <c r="B215" s="124" t="s">
        <v>899</v>
      </c>
      <c r="C215" s="158">
        <v>0</v>
      </c>
      <c r="D215" s="158"/>
      <c r="E215" s="158">
        <v>0</v>
      </c>
      <c r="F215" s="158"/>
      <c r="G215" s="158">
        <v>0</v>
      </c>
      <c r="H215" s="158"/>
      <c r="I215" s="158">
        <v>0</v>
      </c>
      <c r="J215" s="158"/>
      <c r="K215" s="158">
        <v>900961</v>
      </c>
      <c r="L215" s="158"/>
      <c r="M215" s="158">
        <v>0</v>
      </c>
      <c r="N215" s="158"/>
      <c r="O215" s="158">
        <v>0</v>
      </c>
      <c r="P215" s="158"/>
      <c r="Q215" s="158">
        <v>0</v>
      </c>
      <c r="R215" s="158"/>
      <c r="S215" s="158">
        <v>0</v>
      </c>
      <c r="T215" s="158"/>
      <c r="U215" s="158">
        <v>0</v>
      </c>
      <c r="V215" s="158"/>
      <c r="W215" s="158">
        <v>0</v>
      </c>
      <c r="X215" s="158"/>
      <c r="Y215" s="158">
        <v>0</v>
      </c>
      <c r="Z215" s="158"/>
      <c r="AA215" s="158">
        <v>0</v>
      </c>
      <c r="AB215" s="158"/>
      <c r="AC215" s="158">
        <v>0</v>
      </c>
      <c r="AD215" s="158"/>
      <c r="AE215" s="158">
        <v>0</v>
      </c>
      <c r="AF215" s="158"/>
      <c r="AG215" s="158">
        <v>0</v>
      </c>
      <c r="AH215" s="158"/>
      <c r="AI215" s="158">
        <v>0</v>
      </c>
      <c r="AJ215" s="158"/>
      <c r="AK215" s="158">
        <v>0</v>
      </c>
      <c r="AL215" s="158"/>
      <c r="AM215" s="158">
        <v>0</v>
      </c>
      <c r="AN215" s="158"/>
      <c r="AO215" s="158">
        <v>0</v>
      </c>
      <c r="AP215" s="158"/>
      <c r="AQ215" s="158">
        <v>0</v>
      </c>
      <c r="AR215" s="158"/>
      <c r="AS215" s="158">
        <v>0</v>
      </c>
      <c r="AT215" s="158"/>
      <c r="AU215" s="158">
        <v>579366</v>
      </c>
      <c r="AV215" s="158"/>
      <c r="AW215" s="158">
        <v>0</v>
      </c>
      <c r="AX215" s="158"/>
      <c r="AY215" s="158">
        <v>0</v>
      </c>
      <c r="AZ215" s="158"/>
      <c r="BA215" s="158">
        <v>0</v>
      </c>
      <c r="BB215" s="158"/>
      <c r="BC215" s="158">
        <v>0</v>
      </c>
      <c r="BD215" s="158"/>
      <c r="BE215" s="158">
        <v>403969</v>
      </c>
      <c r="BF215" s="158"/>
      <c r="BG215" s="158">
        <v>0</v>
      </c>
      <c r="BH215" s="158"/>
      <c r="BI215" s="158">
        <v>0</v>
      </c>
      <c r="BJ215" s="158"/>
      <c r="BK215" s="158">
        <v>0</v>
      </c>
      <c r="BL215" s="158"/>
      <c r="BM215" s="158">
        <v>0</v>
      </c>
      <c r="BN215" s="158"/>
      <c r="BO215" s="158">
        <v>0</v>
      </c>
      <c r="BP215" s="158"/>
      <c r="BQ215" s="158">
        <v>0</v>
      </c>
      <c r="BR215" s="158"/>
      <c r="BS215" s="158">
        <v>0</v>
      </c>
      <c r="BT215" s="158"/>
    </row>
    <row r="216" spans="1:72" x14ac:dyDescent="0.2">
      <c r="A216" s="123" t="s">
        <v>289</v>
      </c>
      <c r="B216" s="124" t="s">
        <v>898</v>
      </c>
      <c r="C216" s="158">
        <v>-9977</v>
      </c>
      <c r="D216" s="158"/>
      <c r="E216" s="158">
        <v>-1591</v>
      </c>
      <c r="F216" s="158"/>
      <c r="G216" s="158">
        <v>-9375</v>
      </c>
      <c r="H216" s="158"/>
      <c r="I216" s="158">
        <v>12363</v>
      </c>
      <c r="J216" s="158"/>
      <c r="K216" s="158">
        <v>0</v>
      </c>
      <c r="L216" s="158"/>
      <c r="M216" s="158">
        <v>-20371</v>
      </c>
      <c r="N216" s="158"/>
      <c r="O216" s="158">
        <v>-937</v>
      </c>
      <c r="P216" s="158"/>
      <c r="Q216" s="158">
        <v>-8886</v>
      </c>
      <c r="R216" s="158"/>
      <c r="S216" s="158">
        <v>-3996</v>
      </c>
      <c r="T216" s="158"/>
      <c r="U216" s="158">
        <v>19609</v>
      </c>
      <c r="V216" s="158"/>
      <c r="W216" s="158">
        <v>-10891</v>
      </c>
      <c r="X216" s="158"/>
      <c r="Y216" s="158">
        <v>12570</v>
      </c>
      <c r="Z216" s="158"/>
      <c r="AA216" s="158">
        <v>16193</v>
      </c>
      <c r="AB216" s="158"/>
      <c r="AC216" s="158">
        <v>-6731</v>
      </c>
      <c r="AD216" s="158"/>
      <c r="AE216" s="158">
        <v>10479</v>
      </c>
      <c r="AF216" s="158"/>
      <c r="AG216" s="158">
        <v>38086</v>
      </c>
      <c r="AH216" s="158"/>
      <c r="AI216" s="158">
        <v>-3309</v>
      </c>
      <c r="AJ216" s="158"/>
      <c r="AK216" s="158">
        <v>-6959</v>
      </c>
      <c r="AL216" s="158"/>
      <c r="AM216" s="158">
        <v>-18483</v>
      </c>
      <c r="AN216" s="158"/>
      <c r="AO216" s="158">
        <v>-6484</v>
      </c>
      <c r="AP216" s="158"/>
      <c r="AQ216" s="158">
        <v>8282</v>
      </c>
      <c r="AR216" s="158"/>
      <c r="AS216" s="158">
        <v>8711</v>
      </c>
      <c r="AT216" s="158"/>
      <c r="AU216" s="158">
        <v>-2352</v>
      </c>
      <c r="AV216" s="158"/>
      <c r="AW216" s="158">
        <v>1161</v>
      </c>
      <c r="AX216" s="158"/>
      <c r="AY216" s="158">
        <v>23682</v>
      </c>
      <c r="AZ216" s="158"/>
      <c r="BA216" s="158">
        <v>18687</v>
      </c>
      <c r="BB216" s="158"/>
      <c r="BC216" s="158">
        <v>7170</v>
      </c>
      <c r="BD216" s="158"/>
      <c r="BE216" s="158">
        <v>1573</v>
      </c>
      <c r="BF216" s="158"/>
      <c r="BG216" s="158">
        <v>-6384</v>
      </c>
      <c r="BH216" s="158"/>
      <c r="BI216" s="158">
        <v>2563</v>
      </c>
      <c r="BJ216" s="158"/>
      <c r="BK216" s="158">
        <v>14440</v>
      </c>
      <c r="BL216" s="158"/>
      <c r="BM216" s="158">
        <v>-5417</v>
      </c>
      <c r="BN216" s="158"/>
      <c r="BO216" s="158">
        <v>16367</v>
      </c>
      <c r="BP216" s="158"/>
      <c r="BQ216" s="158">
        <v>28189</v>
      </c>
      <c r="BR216" s="158"/>
      <c r="BS216" s="158">
        <v>-4030</v>
      </c>
      <c r="BT216" s="158"/>
    </row>
    <row r="217" spans="1:72" x14ac:dyDescent="0.2">
      <c r="A217" s="123" t="s">
        <v>1370</v>
      </c>
      <c r="B217" s="124" t="s">
        <v>1380</v>
      </c>
      <c r="C217" s="158">
        <v>0</v>
      </c>
      <c r="D217" s="158"/>
      <c r="E217" s="158">
        <v>0</v>
      </c>
      <c r="F217" s="158"/>
      <c r="G217" s="158">
        <v>0</v>
      </c>
      <c r="H217" s="158"/>
      <c r="I217" s="158">
        <v>0</v>
      </c>
      <c r="J217" s="158"/>
      <c r="K217" s="158">
        <v>0</v>
      </c>
      <c r="L217" s="158"/>
      <c r="M217" s="158">
        <v>0</v>
      </c>
      <c r="N217" s="158"/>
      <c r="O217" s="158">
        <v>0</v>
      </c>
      <c r="P217" s="158"/>
      <c r="Q217" s="158">
        <v>0</v>
      </c>
      <c r="R217" s="158"/>
      <c r="S217" s="158">
        <v>0</v>
      </c>
      <c r="T217" s="158"/>
      <c r="U217" s="158">
        <v>0</v>
      </c>
      <c r="V217" s="158"/>
      <c r="W217" s="158">
        <v>7</v>
      </c>
      <c r="X217" s="158"/>
      <c r="Y217" s="158">
        <v>0</v>
      </c>
      <c r="Z217" s="158"/>
      <c r="AA217" s="158">
        <v>0</v>
      </c>
      <c r="AB217" s="158"/>
      <c r="AC217" s="158">
        <v>0</v>
      </c>
      <c r="AD217" s="158"/>
      <c r="AE217" s="158">
        <v>0</v>
      </c>
      <c r="AF217" s="158"/>
      <c r="AG217" s="158">
        <v>0</v>
      </c>
      <c r="AH217" s="158"/>
      <c r="AI217" s="158">
        <v>0</v>
      </c>
      <c r="AJ217" s="158"/>
      <c r="AK217" s="158">
        <v>0</v>
      </c>
      <c r="AL217" s="158"/>
      <c r="AM217" s="158">
        <v>0</v>
      </c>
      <c r="AN217" s="158"/>
      <c r="AO217" s="158">
        <v>0</v>
      </c>
      <c r="AP217" s="158"/>
      <c r="AQ217" s="158">
        <v>0</v>
      </c>
      <c r="AR217" s="158"/>
      <c r="AS217" s="158">
        <v>0</v>
      </c>
      <c r="AT217" s="158"/>
      <c r="AU217" s="158">
        <v>0</v>
      </c>
      <c r="AV217" s="158"/>
      <c r="AW217" s="158">
        <v>0</v>
      </c>
      <c r="AX217" s="158"/>
      <c r="AY217" s="158">
        <v>0</v>
      </c>
      <c r="AZ217" s="158"/>
      <c r="BA217" s="158">
        <v>0</v>
      </c>
      <c r="BB217" s="158"/>
      <c r="BC217" s="158">
        <v>0</v>
      </c>
      <c r="BD217" s="158"/>
      <c r="BE217" s="158">
        <v>0</v>
      </c>
      <c r="BF217" s="158"/>
      <c r="BG217" s="158">
        <v>0</v>
      </c>
      <c r="BH217" s="158"/>
      <c r="BI217" s="158">
        <v>0</v>
      </c>
      <c r="BJ217" s="158"/>
      <c r="BK217" s="158">
        <v>0</v>
      </c>
      <c r="BL217" s="158"/>
      <c r="BM217" s="158">
        <v>0</v>
      </c>
      <c r="BN217" s="158"/>
      <c r="BO217" s="158">
        <v>0</v>
      </c>
      <c r="BP217" s="158"/>
      <c r="BQ217" s="158">
        <v>0</v>
      </c>
      <c r="BR217" s="158"/>
      <c r="BS217" s="158">
        <v>0</v>
      </c>
      <c r="BT217" s="158"/>
    </row>
    <row r="218" spans="1:72" x14ac:dyDescent="0.2">
      <c r="A218" s="123" t="s">
        <v>290</v>
      </c>
      <c r="B218" s="124" t="s">
        <v>897</v>
      </c>
      <c r="C218" s="158">
        <v>-13251.36</v>
      </c>
      <c r="D218" s="158"/>
      <c r="E218" s="158">
        <v>-14726.89</v>
      </c>
      <c r="F218" s="158"/>
      <c r="G218" s="158">
        <v>-5387.64</v>
      </c>
      <c r="H218" s="158"/>
      <c r="I218" s="158">
        <v>-28138.31</v>
      </c>
      <c r="J218" s="158"/>
      <c r="K218" s="158">
        <v>-24919.52</v>
      </c>
      <c r="L218" s="158"/>
      <c r="M218" s="158">
        <v>-35825.25</v>
      </c>
      <c r="N218" s="158"/>
      <c r="O218" s="158">
        <v>-14416.85</v>
      </c>
      <c r="P218" s="158"/>
      <c r="Q218" s="158">
        <v>-5259.9</v>
      </c>
      <c r="R218" s="158"/>
      <c r="S218" s="158">
        <v>-1014.98</v>
      </c>
      <c r="T218" s="158"/>
      <c r="U218" s="158">
        <v>-11081.25</v>
      </c>
      <c r="V218" s="158"/>
      <c r="W218" s="158">
        <v>-20454.95</v>
      </c>
      <c r="X218" s="158"/>
      <c r="Y218" s="158">
        <v>-3100</v>
      </c>
      <c r="Z218" s="158"/>
      <c r="AA218" s="158">
        <v>-24045.16</v>
      </c>
      <c r="AB218" s="158"/>
      <c r="AC218" s="158">
        <v>-923.7</v>
      </c>
      <c r="AD218" s="158"/>
      <c r="AE218" s="158">
        <v>-31706.37</v>
      </c>
      <c r="AF218" s="158"/>
      <c r="AG218" s="158">
        <v>-8107.68</v>
      </c>
      <c r="AH218" s="158"/>
      <c r="AI218" s="158">
        <v>-4637.9799999999996</v>
      </c>
      <c r="AJ218" s="158"/>
      <c r="AK218" s="158">
        <v>-25124.37</v>
      </c>
      <c r="AL218" s="158"/>
      <c r="AM218" s="158">
        <v>-60266.62</v>
      </c>
      <c r="AN218" s="158"/>
      <c r="AO218" s="158">
        <v>-5583.1</v>
      </c>
      <c r="AP218" s="158"/>
      <c r="AQ218" s="158">
        <v>-11905.24</v>
      </c>
      <c r="AR218" s="158"/>
      <c r="AS218" s="158">
        <v>-29832.400000000001</v>
      </c>
      <c r="AT218" s="158"/>
      <c r="AU218" s="158">
        <v>-5120.82</v>
      </c>
      <c r="AV218" s="158"/>
      <c r="AW218" s="158">
        <v>-6013</v>
      </c>
      <c r="AX218" s="158"/>
      <c r="AY218" s="158">
        <v>-7048.9</v>
      </c>
      <c r="AZ218" s="158"/>
      <c r="BA218" s="158">
        <v>-20231.009999999998</v>
      </c>
      <c r="BB218" s="158"/>
      <c r="BC218" s="158">
        <v>-26154.52</v>
      </c>
      <c r="BD218" s="158"/>
      <c r="BE218" s="158">
        <v>-20240.95</v>
      </c>
      <c r="BF218" s="158"/>
      <c r="BG218" s="158">
        <v>-1605.18</v>
      </c>
      <c r="BH218" s="158"/>
      <c r="BI218" s="158">
        <v>-13371.21</v>
      </c>
      <c r="BJ218" s="158"/>
      <c r="BK218" s="158">
        <v>-33502.65</v>
      </c>
      <c r="BL218" s="158"/>
      <c r="BM218" s="158">
        <v>-17569.54</v>
      </c>
      <c r="BN218" s="158"/>
      <c r="BO218" s="158">
        <v>-30990.94</v>
      </c>
      <c r="BP218" s="158"/>
      <c r="BQ218" s="158">
        <v>-44262.79</v>
      </c>
      <c r="BR218" s="158"/>
      <c r="BS218" s="158">
        <v>-16784.64</v>
      </c>
      <c r="BT218" s="158"/>
    </row>
    <row r="219" spans="1:72" x14ac:dyDescent="0.2">
      <c r="A219" s="123" t="s">
        <v>495</v>
      </c>
      <c r="B219" s="124" t="s">
        <v>896</v>
      </c>
      <c r="C219" s="158">
        <v>0</v>
      </c>
      <c r="D219" s="158"/>
      <c r="E219" s="158">
        <v>0</v>
      </c>
      <c r="F219" s="158"/>
      <c r="G219" s="158">
        <v>0</v>
      </c>
      <c r="H219" s="158"/>
      <c r="I219" s="158">
        <v>0</v>
      </c>
      <c r="J219" s="158"/>
      <c r="K219" s="158">
        <v>0</v>
      </c>
      <c r="L219" s="158">
        <f>SUM(K219:K244)</f>
        <v>13596.380000000001</v>
      </c>
      <c r="M219" s="158">
        <v>-438.2</v>
      </c>
      <c r="N219" s="158"/>
      <c r="O219" s="158">
        <v>0</v>
      </c>
      <c r="P219" s="158"/>
      <c r="Q219" s="158">
        <v>0</v>
      </c>
      <c r="R219" s="158"/>
      <c r="S219" s="158">
        <v>0</v>
      </c>
      <c r="T219" s="158"/>
      <c r="U219" s="158">
        <v>0</v>
      </c>
      <c r="V219" s="158"/>
      <c r="W219" s="158">
        <v>0</v>
      </c>
      <c r="X219" s="158"/>
      <c r="Y219" s="158">
        <v>0</v>
      </c>
      <c r="Z219" s="158"/>
      <c r="AA219" s="158">
        <v>0</v>
      </c>
      <c r="AB219" s="158"/>
      <c r="AC219" s="158">
        <v>0</v>
      </c>
      <c r="AD219" s="158"/>
      <c r="AE219" s="158">
        <v>-289</v>
      </c>
      <c r="AF219" s="158"/>
      <c r="AG219" s="158">
        <v>0</v>
      </c>
      <c r="AH219" s="158"/>
      <c r="AI219" s="158">
        <v>0</v>
      </c>
      <c r="AJ219" s="158"/>
      <c r="AK219" s="158">
        <v>-411</v>
      </c>
      <c r="AL219" s="158"/>
      <c r="AM219" s="158">
        <v>-2661.8</v>
      </c>
      <c r="AN219" s="158"/>
      <c r="AO219" s="158">
        <v>0</v>
      </c>
      <c r="AP219" s="158"/>
      <c r="AQ219" s="158">
        <v>0</v>
      </c>
      <c r="AR219" s="158"/>
      <c r="AS219" s="158">
        <v>0</v>
      </c>
      <c r="AT219" s="158"/>
      <c r="AU219" s="158">
        <v>0</v>
      </c>
      <c r="AV219" s="158">
        <f>SUM(AU219:AU244)</f>
        <v>24903.5</v>
      </c>
      <c r="AW219" s="158">
        <v>0</v>
      </c>
      <c r="AX219" s="158"/>
      <c r="AY219" s="158">
        <v>0</v>
      </c>
      <c r="AZ219" s="158"/>
      <c r="BA219" s="158">
        <v>0</v>
      </c>
      <c r="BB219" s="158"/>
      <c r="BC219" s="158">
        <v>0</v>
      </c>
      <c r="BD219" s="158"/>
      <c r="BE219" s="158">
        <v>-2668</v>
      </c>
      <c r="BF219" s="158"/>
      <c r="BG219" s="158">
        <v>0</v>
      </c>
      <c r="BH219" s="158"/>
      <c r="BI219" s="158">
        <v>0</v>
      </c>
      <c r="BJ219" s="158"/>
      <c r="BK219" s="158">
        <v>-980</v>
      </c>
      <c r="BL219" s="158"/>
      <c r="BM219" s="158">
        <v>-609.67999999999995</v>
      </c>
      <c r="BN219" s="158"/>
      <c r="BO219" s="158">
        <v>0</v>
      </c>
      <c r="BP219" s="158"/>
      <c r="BQ219" s="158">
        <v>0</v>
      </c>
      <c r="BR219" s="158"/>
      <c r="BS219" s="158">
        <v>0</v>
      </c>
      <c r="BT219" s="158"/>
    </row>
    <row r="220" spans="1:72" x14ac:dyDescent="0.2">
      <c r="A220" s="123" t="s">
        <v>534</v>
      </c>
      <c r="B220" s="124" t="s">
        <v>895</v>
      </c>
      <c r="C220" s="158">
        <v>0</v>
      </c>
      <c r="D220" s="158"/>
      <c r="E220" s="158">
        <v>0</v>
      </c>
      <c r="F220" s="158"/>
      <c r="G220" s="158">
        <v>0</v>
      </c>
      <c r="H220" s="158"/>
      <c r="I220" s="158">
        <v>0</v>
      </c>
      <c r="J220" s="158"/>
      <c r="K220" s="158">
        <v>0</v>
      </c>
      <c r="L220" s="158"/>
      <c r="M220" s="158">
        <v>0</v>
      </c>
      <c r="N220" s="158"/>
      <c r="O220" s="158">
        <v>0</v>
      </c>
      <c r="P220" s="158"/>
      <c r="Q220" s="158">
        <v>0</v>
      </c>
      <c r="R220" s="158"/>
      <c r="S220" s="158">
        <v>0</v>
      </c>
      <c r="T220" s="158"/>
      <c r="U220" s="158">
        <v>0</v>
      </c>
      <c r="V220" s="158"/>
      <c r="W220" s="158">
        <v>0</v>
      </c>
      <c r="X220" s="158"/>
      <c r="Y220" s="158">
        <v>0</v>
      </c>
      <c r="Z220" s="158"/>
      <c r="AA220" s="158">
        <v>0</v>
      </c>
      <c r="AB220" s="158"/>
      <c r="AC220" s="158">
        <v>0</v>
      </c>
      <c r="AD220" s="158"/>
      <c r="AE220" s="158">
        <v>0</v>
      </c>
      <c r="AF220" s="158"/>
      <c r="AG220" s="158">
        <v>0</v>
      </c>
      <c r="AH220" s="158"/>
      <c r="AI220" s="158">
        <v>0</v>
      </c>
      <c r="AJ220" s="158"/>
      <c r="AK220" s="158">
        <v>0</v>
      </c>
      <c r="AL220" s="158"/>
      <c r="AM220" s="158">
        <v>0</v>
      </c>
      <c r="AN220" s="158"/>
      <c r="AO220" s="158">
        <v>0</v>
      </c>
      <c r="AP220" s="158"/>
      <c r="AQ220" s="158">
        <v>0</v>
      </c>
      <c r="AR220" s="158"/>
      <c r="AS220" s="158">
        <v>0</v>
      </c>
      <c r="AT220" s="158"/>
      <c r="AU220" s="158">
        <v>0</v>
      </c>
      <c r="AV220" s="158"/>
      <c r="AW220" s="158">
        <v>0</v>
      </c>
      <c r="AX220" s="158"/>
      <c r="AY220" s="158">
        <v>0</v>
      </c>
      <c r="AZ220" s="158"/>
      <c r="BA220" s="158">
        <v>0</v>
      </c>
      <c r="BB220" s="158"/>
      <c r="BC220" s="158">
        <v>0</v>
      </c>
      <c r="BD220" s="158"/>
      <c r="BE220" s="158">
        <v>0</v>
      </c>
      <c r="BF220" s="158"/>
      <c r="BG220" s="158">
        <v>0</v>
      </c>
      <c r="BH220" s="158"/>
      <c r="BI220" s="158">
        <v>0</v>
      </c>
      <c r="BJ220" s="158"/>
      <c r="BK220" s="158">
        <v>0</v>
      </c>
      <c r="BL220" s="158"/>
      <c r="BM220" s="158">
        <v>0</v>
      </c>
      <c r="BN220" s="158"/>
      <c r="BO220" s="158">
        <v>0</v>
      </c>
      <c r="BP220" s="158"/>
      <c r="BQ220" s="158">
        <v>50.32</v>
      </c>
      <c r="BR220" s="158"/>
      <c r="BS220" s="158">
        <v>0</v>
      </c>
      <c r="BT220" s="158"/>
    </row>
    <row r="221" spans="1:72" x14ac:dyDescent="0.2">
      <c r="A221" s="123" t="s">
        <v>291</v>
      </c>
      <c r="B221" s="124" t="s">
        <v>894</v>
      </c>
      <c r="C221" s="158">
        <v>-500</v>
      </c>
      <c r="D221" s="158"/>
      <c r="E221" s="158">
        <v>0</v>
      </c>
      <c r="F221" s="158"/>
      <c r="G221" s="158">
        <v>-250</v>
      </c>
      <c r="H221" s="158"/>
      <c r="I221" s="158">
        <v>0</v>
      </c>
      <c r="J221" s="158"/>
      <c r="K221" s="158">
        <v>0</v>
      </c>
      <c r="L221" s="158"/>
      <c r="M221" s="158">
        <v>0</v>
      </c>
      <c r="N221" s="158"/>
      <c r="O221" s="158">
        <v>0</v>
      </c>
      <c r="P221" s="158"/>
      <c r="Q221" s="158">
        <v>0</v>
      </c>
      <c r="R221" s="158"/>
      <c r="S221" s="158">
        <v>0</v>
      </c>
      <c r="T221" s="158"/>
      <c r="U221" s="158">
        <v>0</v>
      </c>
      <c r="V221" s="158"/>
      <c r="W221" s="158">
        <v>0</v>
      </c>
      <c r="X221" s="158"/>
      <c r="Y221" s="158">
        <v>0</v>
      </c>
      <c r="Z221" s="158"/>
      <c r="AA221" s="158">
        <v>0</v>
      </c>
      <c r="AB221" s="158"/>
      <c r="AC221" s="158">
        <v>0</v>
      </c>
      <c r="AD221" s="158"/>
      <c r="AE221" s="158">
        <v>0</v>
      </c>
      <c r="AF221" s="158"/>
      <c r="AG221" s="158">
        <v>0</v>
      </c>
      <c r="AH221" s="158"/>
      <c r="AI221" s="158">
        <v>0</v>
      </c>
      <c r="AJ221" s="158"/>
      <c r="AK221" s="158">
        <v>0</v>
      </c>
      <c r="AL221" s="158"/>
      <c r="AM221" s="158">
        <v>0</v>
      </c>
      <c r="AN221" s="158"/>
      <c r="AO221" s="158">
        <v>0</v>
      </c>
      <c r="AP221" s="158"/>
      <c r="AQ221" s="158">
        <v>-200</v>
      </c>
      <c r="AR221" s="158"/>
      <c r="AS221" s="158">
        <v>0</v>
      </c>
      <c r="AT221" s="158"/>
      <c r="AU221" s="158">
        <v>0</v>
      </c>
      <c r="AV221" s="158"/>
      <c r="AW221" s="158">
        <v>0</v>
      </c>
      <c r="AX221" s="158"/>
      <c r="AY221" s="158">
        <v>0</v>
      </c>
      <c r="AZ221" s="158"/>
      <c r="BA221" s="158">
        <v>0</v>
      </c>
      <c r="BB221" s="158"/>
      <c r="BC221" s="158">
        <v>0</v>
      </c>
      <c r="BD221" s="158"/>
      <c r="BE221" s="158">
        <v>0</v>
      </c>
      <c r="BF221" s="158"/>
      <c r="BG221" s="158">
        <v>0</v>
      </c>
      <c r="BH221" s="158"/>
      <c r="BI221" s="158">
        <v>0</v>
      </c>
      <c r="BJ221" s="158"/>
      <c r="BK221" s="158">
        <v>0</v>
      </c>
      <c r="BL221" s="158"/>
      <c r="BM221" s="158">
        <v>0</v>
      </c>
      <c r="BN221" s="158">
        <f>SUM(BM221:BM244)</f>
        <v>218856.36</v>
      </c>
      <c r="BO221" s="158">
        <v>0</v>
      </c>
      <c r="BP221" s="158"/>
      <c r="BQ221" s="158">
        <v>0</v>
      </c>
      <c r="BR221" s="158"/>
      <c r="BS221" s="158">
        <v>0</v>
      </c>
      <c r="BT221" s="158"/>
    </row>
    <row r="222" spans="1:72" x14ac:dyDescent="0.2">
      <c r="A222" s="123" t="s">
        <v>535</v>
      </c>
      <c r="B222" s="124" t="s">
        <v>893</v>
      </c>
      <c r="C222" s="158">
        <v>0</v>
      </c>
      <c r="D222" s="158">
        <f>SUM(C222:C244)</f>
        <v>10763.93</v>
      </c>
      <c r="E222" s="158">
        <v>0</v>
      </c>
      <c r="F222" s="158">
        <f>SUM(E222:E244)</f>
        <v>3991.36</v>
      </c>
      <c r="G222" s="158">
        <v>0</v>
      </c>
      <c r="H222" s="158">
        <f>SUM(G222:G244)</f>
        <v>8776.25</v>
      </c>
      <c r="I222" s="158">
        <v>0</v>
      </c>
      <c r="J222" s="158"/>
      <c r="K222" s="158">
        <v>0</v>
      </c>
      <c r="L222" s="158"/>
      <c r="M222" s="158">
        <v>0</v>
      </c>
      <c r="N222" s="158">
        <f>SUM(M222:M244)</f>
        <v>9422.24</v>
      </c>
      <c r="O222" s="158">
        <v>0</v>
      </c>
      <c r="P222" s="158">
        <f>SUM(O222:O244)</f>
        <v>9470.7000000000007</v>
      </c>
      <c r="Q222" s="158">
        <v>0</v>
      </c>
      <c r="R222" s="158">
        <f>SUM(Q222:Q244)</f>
        <v>4465.2100000000009</v>
      </c>
      <c r="S222" s="158">
        <v>0</v>
      </c>
      <c r="T222" s="158">
        <f>SUM(S222:S244)</f>
        <v>10336.16</v>
      </c>
      <c r="U222" s="158">
        <v>0</v>
      </c>
      <c r="V222" s="158">
        <f>SUM(U222:U244)</f>
        <v>12299.81</v>
      </c>
      <c r="W222" s="158">
        <v>0</v>
      </c>
      <c r="X222" s="158">
        <f>SUM(W222:W244)</f>
        <v>9772.93</v>
      </c>
      <c r="Y222" s="158">
        <v>0</v>
      </c>
      <c r="Z222" s="158">
        <f>SUM(Y222:Y244)</f>
        <v>7052.3099999999995</v>
      </c>
      <c r="AA222" s="158">
        <v>0</v>
      </c>
      <c r="AB222" s="158"/>
      <c r="AC222" s="158">
        <v>0</v>
      </c>
      <c r="AD222" s="158">
        <f>SUM(AC222:AC244)</f>
        <v>6771.17</v>
      </c>
      <c r="AE222" s="158">
        <v>212.66</v>
      </c>
      <c r="AF222" s="158">
        <f>SUM(AE222:AE244)</f>
        <v>11460.91</v>
      </c>
      <c r="AG222" s="158">
        <v>0</v>
      </c>
      <c r="AH222" s="158">
        <f>SUM(AG222:AG244)</f>
        <v>5701.13</v>
      </c>
      <c r="AI222" s="158">
        <v>0</v>
      </c>
      <c r="AJ222" s="158">
        <f>SUM(AI222:AI244)</f>
        <v>6004.2900000000009</v>
      </c>
      <c r="AK222" s="158">
        <v>0</v>
      </c>
      <c r="AL222" s="158">
        <f>SUM(AK222:AK244)</f>
        <v>11685.95</v>
      </c>
      <c r="AM222" s="158">
        <v>0</v>
      </c>
      <c r="AN222" s="158"/>
      <c r="AO222" s="158">
        <v>0</v>
      </c>
      <c r="AP222" s="158">
        <f>SUM(AO222:AO244)</f>
        <v>6477.77</v>
      </c>
      <c r="AQ222" s="158">
        <v>0</v>
      </c>
      <c r="AR222" s="158">
        <f>SUM(AQ222:AQ244)</f>
        <v>2859.02</v>
      </c>
      <c r="AS222" s="158">
        <v>0</v>
      </c>
      <c r="AT222" s="158"/>
      <c r="AU222" s="158">
        <v>0</v>
      </c>
      <c r="AV222" s="158"/>
      <c r="AW222" s="158">
        <v>0</v>
      </c>
      <c r="AX222" s="158">
        <f>SUM(AW222:AW244)</f>
        <v>6492.3</v>
      </c>
      <c r="AY222" s="158">
        <v>0</v>
      </c>
      <c r="AZ222" s="158">
        <f>SUM(AY222:AY244)</f>
        <v>9597.9</v>
      </c>
      <c r="BA222" s="158">
        <v>0</v>
      </c>
      <c r="BB222" s="158">
        <f>SUM(BA222:BA244)</f>
        <v>8864.58</v>
      </c>
      <c r="BC222" s="158">
        <v>0</v>
      </c>
      <c r="BD222" s="158">
        <f>SUM(BC222:BC244)</f>
        <v>12162.37</v>
      </c>
      <c r="BE222" s="158">
        <v>213.19</v>
      </c>
      <c r="BF222" s="158">
        <f>SUM(BE222:BE244)</f>
        <v>11943.48</v>
      </c>
      <c r="BG222" s="158">
        <v>0</v>
      </c>
      <c r="BH222" s="158">
        <f>SUM(BG222:BG244)</f>
        <v>6134.58</v>
      </c>
      <c r="BI222" s="158">
        <v>0</v>
      </c>
      <c r="BJ222" s="158"/>
      <c r="BK222" s="158">
        <v>0</v>
      </c>
      <c r="BL222" s="158">
        <f>SUM(BK222:BK244)</f>
        <v>18616.629999999997</v>
      </c>
      <c r="BM222" s="158">
        <v>0</v>
      </c>
      <c r="BN222" s="158"/>
      <c r="BO222" s="158">
        <v>0</v>
      </c>
      <c r="BP222" s="158">
        <f>SUM(BO222:BO244)</f>
        <v>10113.81</v>
      </c>
      <c r="BQ222" s="158">
        <v>0</v>
      </c>
      <c r="BR222" s="158">
        <f>SUM(BQ222:BQ244)</f>
        <v>9166.41</v>
      </c>
      <c r="BS222" s="158">
        <v>0</v>
      </c>
      <c r="BT222" s="158">
        <f>SUM(BS222:BS244)</f>
        <v>8317.69</v>
      </c>
    </row>
    <row r="223" spans="1:72" x14ac:dyDescent="0.2">
      <c r="A223" s="123" t="s">
        <v>292</v>
      </c>
      <c r="B223" s="124" t="s">
        <v>892</v>
      </c>
      <c r="C223" s="158">
        <v>154.1</v>
      </c>
      <c r="D223" s="158"/>
      <c r="E223" s="158">
        <v>0</v>
      </c>
      <c r="F223" s="158"/>
      <c r="G223" s="158">
        <v>278.2</v>
      </c>
      <c r="H223" s="158"/>
      <c r="I223" s="158">
        <v>323.60000000000002</v>
      </c>
      <c r="J223" s="158">
        <f>SUM(I223:I244)</f>
        <v>13063.51</v>
      </c>
      <c r="K223" s="158">
        <v>155.85</v>
      </c>
      <c r="L223" s="158"/>
      <c r="M223" s="158">
        <v>761.8</v>
      </c>
      <c r="N223" s="158"/>
      <c r="O223" s="158">
        <v>265.35000000000002</v>
      </c>
      <c r="P223" s="158"/>
      <c r="Q223" s="158">
        <v>8.65</v>
      </c>
      <c r="R223" s="158"/>
      <c r="S223" s="158">
        <v>0</v>
      </c>
      <c r="T223" s="158"/>
      <c r="U223" s="158">
        <v>530</v>
      </c>
      <c r="V223" s="158"/>
      <c r="W223" s="158">
        <v>0</v>
      </c>
      <c r="X223" s="158"/>
      <c r="Y223" s="158">
        <v>556.15</v>
      </c>
      <c r="Z223" s="158"/>
      <c r="AA223" s="158">
        <v>156.6</v>
      </c>
      <c r="AB223" s="158">
        <f>SUM(AA223:AA244)</f>
        <v>8144.92</v>
      </c>
      <c r="AC223" s="158">
        <v>226.35</v>
      </c>
      <c r="AD223" s="158"/>
      <c r="AE223" s="158">
        <v>2413.0700000000002</v>
      </c>
      <c r="AF223" s="158"/>
      <c r="AG223" s="158">
        <v>101.35</v>
      </c>
      <c r="AH223" s="158"/>
      <c r="AI223" s="158">
        <v>0</v>
      </c>
      <c r="AJ223" s="158"/>
      <c r="AK223" s="158">
        <v>1812.02</v>
      </c>
      <c r="AL223" s="158"/>
      <c r="AM223" s="158">
        <v>1456.24</v>
      </c>
      <c r="AN223" s="158">
        <f>SUM(AM223:AM244)</f>
        <v>11773.84</v>
      </c>
      <c r="AO223" s="158">
        <v>291.95</v>
      </c>
      <c r="AP223" s="158"/>
      <c r="AQ223" s="158">
        <v>251.41</v>
      </c>
      <c r="AR223" s="158"/>
      <c r="AS223" s="158">
        <v>174.85</v>
      </c>
      <c r="AT223" s="158">
        <f>SUM(AS223:AS244)</f>
        <v>10712.310000000001</v>
      </c>
      <c r="AU223" s="158">
        <v>285.45</v>
      </c>
      <c r="AV223" s="158"/>
      <c r="AW223" s="158">
        <v>331.7</v>
      </c>
      <c r="AX223" s="158"/>
      <c r="AY223" s="158">
        <v>348.05</v>
      </c>
      <c r="AZ223" s="158"/>
      <c r="BA223" s="158">
        <v>974.95</v>
      </c>
      <c r="BB223" s="158"/>
      <c r="BC223" s="158">
        <v>2952.6</v>
      </c>
      <c r="BD223" s="158"/>
      <c r="BE223" s="158">
        <v>999.25</v>
      </c>
      <c r="BF223" s="158"/>
      <c r="BG223" s="158">
        <v>111.8</v>
      </c>
      <c r="BH223" s="158"/>
      <c r="BI223" s="158">
        <v>1005.89</v>
      </c>
      <c r="BJ223" s="158">
        <f>SUM(BI223:BI244)</f>
        <v>9880.98</v>
      </c>
      <c r="BK223" s="158">
        <v>821.85</v>
      </c>
      <c r="BL223" s="158"/>
      <c r="BM223" s="158">
        <v>2435</v>
      </c>
      <c r="BN223" s="158"/>
      <c r="BO223" s="158">
        <v>624.41999999999996</v>
      </c>
      <c r="BP223" s="158"/>
      <c r="BQ223" s="158">
        <v>600.45000000000005</v>
      </c>
      <c r="BR223" s="158"/>
      <c r="BS223" s="158">
        <v>47.45</v>
      </c>
      <c r="BT223" s="158"/>
    </row>
    <row r="224" spans="1:72" x14ac:dyDescent="0.2">
      <c r="A224" s="123" t="s">
        <v>293</v>
      </c>
      <c r="B224" s="124" t="s">
        <v>891</v>
      </c>
      <c r="C224" s="158">
        <v>179</v>
      </c>
      <c r="D224" s="158"/>
      <c r="E224" s="158">
        <v>0</v>
      </c>
      <c r="F224" s="158"/>
      <c r="G224" s="158">
        <v>224</v>
      </c>
      <c r="H224" s="158"/>
      <c r="I224" s="158">
        <v>380</v>
      </c>
      <c r="J224" s="158"/>
      <c r="K224" s="158">
        <v>360</v>
      </c>
      <c r="L224" s="158"/>
      <c r="M224" s="158">
        <v>977.05</v>
      </c>
      <c r="N224" s="158"/>
      <c r="O224" s="158">
        <v>100</v>
      </c>
      <c r="P224" s="158"/>
      <c r="Q224" s="158">
        <v>30</v>
      </c>
      <c r="R224" s="158"/>
      <c r="S224" s="158">
        <v>0</v>
      </c>
      <c r="T224" s="158"/>
      <c r="U224" s="158">
        <v>320</v>
      </c>
      <c r="V224" s="158"/>
      <c r="W224" s="158">
        <v>0</v>
      </c>
      <c r="X224" s="158"/>
      <c r="Y224" s="158">
        <v>264</v>
      </c>
      <c r="Z224" s="158"/>
      <c r="AA224" s="158">
        <v>232</v>
      </c>
      <c r="AB224" s="158"/>
      <c r="AC224" s="158">
        <v>0</v>
      </c>
      <c r="AD224" s="158"/>
      <c r="AE224" s="158">
        <v>1573.3</v>
      </c>
      <c r="AF224" s="158"/>
      <c r="AG224" s="158">
        <v>90</v>
      </c>
      <c r="AH224" s="158"/>
      <c r="AI224" s="158">
        <v>0</v>
      </c>
      <c r="AJ224" s="158"/>
      <c r="AK224" s="158">
        <v>388.85</v>
      </c>
      <c r="AL224" s="158"/>
      <c r="AM224" s="158">
        <v>600</v>
      </c>
      <c r="AN224" s="158"/>
      <c r="AO224" s="158">
        <v>35</v>
      </c>
      <c r="AP224" s="158"/>
      <c r="AQ224" s="158">
        <v>210</v>
      </c>
      <c r="AR224" s="158"/>
      <c r="AS224" s="158">
        <v>250</v>
      </c>
      <c r="AT224" s="158"/>
      <c r="AU224" s="158">
        <v>30</v>
      </c>
      <c r="AV224" s="158"/>
      <c r="AW224" s="158">
        <v>0</v>
      </c>
      <c r="AX224" s="158"/>
      <c r="AY224" s="158">
        <v>270</v>
      </c>
      <c r="AZ224" s="158"/>
      <c r="BA224" s="158">
        <v>54</v>
      </c>
      <c r="BB224" s="158"/>
      <c r="BC224" s="158">
        <v>3043.6</v>
      </c>
      <c r="BD224" s="158"/>
      <c r="BE224" s="158">
        <v>1184</v>
      </c>
      <c r="BF224" s="158"/>
      <c r="BG224" s="158">
        <v>287</v>
      </c>
      <c r="BH224" s="158"/>
      <c r="BI224" s="158">
        <v>1334</v>
      </c>
      <c r="BJ224" s="158"/>
      <c r="BK224" s="158">
        <v>450</v>
      </c>
      <c r="BL224" s="158"/>
      <c r="BM224" s="158">
        <v>2122</v>
      </c>
      <c r="BN224" s="158"/>
      <c r="BO224" s="158">
        <v>510</v>
      </c>
      <c r="BP224" s="158"/>
      <c r="BQ224" s="158">
        <v>0</v>
      </c>
      <c r="BR224" s="158"/>
      <c r="BS224" s="158">
        <v>0</v>
      </c>
      <c r="BT224" s="158"/>
    </row>
    <row r="225" spans="1:72" x14ac:dyDescent="0.2">
      <c r="A225" s="123" t="s">
        <v>294</v>
      </c>
      <c r="B225" s="124" t="s">
        <v>890</v>
      </c>
      <c r="C225" s="158">
        <v>0</v>
      </c>
      <c r="D225" s="158"/>
      <c r="E225" s="158">
        <v>0</v>
      </c>
      <c r="F225" s="158"/>
      <c r="G225" s="158">
        <v>0</v>
      </c>
      <c r="H225" s="158"/>
      <c r="I225" s="158">
        <v>0</v>
      </c>
      <c r="J225" s="158"/>
      <c r="K225" s="158">
        <v>0</v>
      </c>
      <c r="L225" s="158"/>
      <c r="M225" s="158">
        <v>0</v>
      </c>
      <c r="N225" s="158"/>
      <c r="O225" s="158">
        <v>0</v>
      </c>
      <c r="P225" s="158"/>
      <c r="Q225" s="158">
        <v>0</v>
      </c>
      <c r="R225" s="158"/>
      <c r="S225" s="158">
        <v>0</v>
      </c>
      <c r="T225" s="158"/>
      <c r="U225" s="158">
        <v>0</v>
      </c>
      <c r="V225" s="158"/>
      <c r="W225" s="158">
        <v>0</v>
      </c>
      <c r="X225" s="158"/>
      <c r="Y225" s="158">
        <v>0</v>
      </c>
      <c r="Z225" s="158"/>
      <c r="AA225" s="158">
        <v>0</v>
      </c>
      <c r="AB225" s="158"/>
      <c r="AC225" s="158">
        <v>0</v>
      </c>
      <c r="AD225" s="158"/>
      <c r="AE225" s="158">
        <v>0</v>
      </c>
      <c r="AF225" s="158"/>
      <c r="AG225" s="158">
        <v>0</v>
      </c>
      <c r="AH225" s="158"/>
      <c r="AI225" s="158">
        <v>0</v>
      </c>
      <c r="AJ225" s="158"/>
      <c r="AK225" s="158">
        <v>0</v>
      </c>
      <c r="AL225" s="158"/>
      <c r="AM225" s="158">
        <v>0</v>
      </c>
      <c r="AN225" s="158"/>
      <c r="AO225" s="158">
        <v>0</v>
      </c>
      <c r="AP225" s="158"/>
      <c r="AQ225" s="158">
        <v>0</v>
      </c>
      <c r="AR225" s="158"/>
      <c r="AS225" s="158">
        <v>0</v>
      </c>
      <c r="AT225" s="158"/>
      <c r="AU225" s="158">
        <v>50</v>
      </c>
      <c r="AV225" s="158"/>
      <c r="AW225" s="158">
        <v>0</v>
      </c>
      <c r="AX225" s="158"/>
      <c r="AY225" s="158">
        <v>0</v>
      </c>
      <c r="AZ225" s="158"/>
      <c r="BA225" s="158">
        <v>0</v>
      </c>
      <c r="BB225" s="158"/>
      <c r="BC225" s="158">
        <v>0</v>
      </c>
      <c r="BD225" s="158"/>
      <c r="BE225" s="158">
        <v>0</v>
      </c>
      <c r="BF225" s="158"/>
      <c r="BG225" s="158">
        <v>0</v>
      </c>
      <c r="BH225" s="158"/>
      <c r="BI225" s="158">
        <v>25</v>
      </c>
      <c r="BJ225" s="158"/>
      <c r="BK225" s="158">
        <v>0</v>
      </c>
      <c r="BL225" s="158"/>
      <c r="BM225" s="158">
        <v>0</v>
      </c>
      <c r="BN225" s="158"/>
      <c r="BO225" s="158">
        <v>25</v>
      </c>
      <c r="BP225" s="158"/>
      <c r="BQ225" s="158">
        <v>0</v>
      </c>
      <c r="BR225" s="158"/>
      <c r="BS225" s="158">
        <v>0</v>
      </c>
      <c r="BT225" s="158"/>
    </row>
    <row r="226" spans="1:72" x14ac:dyDescent="0.2">
      <c r="A226" s="123" t="s">
        <v>295</v>
      </c>
      <c r="B226" s="124" t="s">
        <v>889</v>
      </c>
      <c r="C226" s="158">
        <v>-257.31</v>
      </c>
      <c r="D226" s="158"/>
      <c r="E226" s="158">
        <v>0</v>
      </c>
      <c r="F226" s="158"/>
      <c r="G226" s="158">
        <v>479.34</v>
      </c>
      <c r="H226" s="158"/>
      <c r="I226" s="158">
        <v>490</v>
      </c>
      <c r="J226" s="158"/>
      <c r="K226" s="158">
        <v>90</v>
      </c>
      <c r="L226" s="158"/>
      <c r="M226" s="158">
        <v>45</v>
      </c>
      <c r="N226" s="158"/>
      <c r="O226" s="158">
        <v>243</v>
      </c>
      <c r="P226" s="158"/>
      <c r="Q226" s="158">
        <v>121</v>
      </c>
      <c r="R226" s="158"/>
      <c r="S226" s="158">
        <v>0</v>
      </c>
      <c r="T226" s="158"/>
      <c r="U226" s="158">
        <v>62</v>
      </c>
      <c r="V226" s="158"/>
      <c r="W226" s="158">
        <v>0</v>
      </c>
      <c r="X226" s="158"/>
      <c r="Y226" s="158">
        <v>50</v>
      </c>
      <c r="Z226" s="158"/>
      <c r="AA226" s="158">
        <v>125</v>
      </c>
      <c r="AB226" s="158"/>
      <c r="AC226" s="158">
        <v>38</v>
      </c>
      <c r="AD226" s="158"/>
      <c r="AE226" s="158">
        <v>0</v>
      </c>
      <c r="AF226" s="158"/>
      <c r="AG226" s="158">
        <v>75</v>
      </c>
      <c r="AH226" s="158"/>
      <c r="AI226" s="158">
        <v>16</v>
      </c>
      <c r="AJ226" s="158"/>
      <c r="AK226" s="158">
        <v>0</v>
      </c>
      <c r="AL226" s="158"/>
      <c r="AM226" s="158">
        <v>175</v>
      </c>
      <c r="AN226" s="158"/>
      <c r="AO226" s="158">
        <v>0</v>
      </c>
      <c r="AP226" s="158"/>
      <c r="AQ226" s="158">
        <v>189</v>
      </c>
      <c r="AR226" s="158"/>
      <c r="AS226" s="158">
        <v>137</v>
      </c>
      <c r="AT226" s="158"/>
      <c r="AU226" s="158">
        <v>119</v>
      </c>
      <c r="AV226" s="158"/>
      <c r="AW226" s="158">
        <v>65</v>
      </c>
      <c r="AX226" s="158"/>
      <c r="AY226" s="158">
        <v>40</v>
      </c>
      <c r="AZ226" s="158"/>
      <c r="BA226" s="158">
        <v>80</v>
      </c>
      <c r="BB226" s="158"/>
      <c r="BC226" s="158">
        <v>50</v>
      </c>
      <c r="BD226" s="158"/>
      <c r="BE226" s="158">
        <v>500</v>
      </c>
      <c r="BF226" s="158"/>
      <c r="BG226" s="158">
        <v>160</v>
      </c>
      <c r="BH226" s="158"/>
      <c r="BI226" s="158">
        <v>235</v>
      </c>
      <c r="BJ226" s="158"/>
      <c r="BK226" s="158">
        <v>227</v>
      </c>
      <c r="BL226" s="158"/>
      <c r="BM226" s="158">
        <v>0</v>
      </c>
      <c r="BN226" s="158"/>
      <c r="BO226" s="158">
        <v>332</v>
      </c>
      <c r="BP226" s="158"/>
      <c r="BQ226" s="158">
        <v>480</v>
      </c>
      <c r="BR226" s="158"/>
      <c r="BS226" s="158">
        <v>381</v>
      </c>
      <c r="BT226" s="158"/>
    </row>
    <row r="227" spans="1:72" x14ac:dyDescent="0.2">
      <c r="A227" s="123" t="s">
        <v>536</v>
      </c>
      <c r="B227" s="124" t="s">
        <v>888</v>
      </c>
      <c r="C227" s="158">
        <v>70</v>
      </c>
      <c r="D227" s="158"/>
      <c r="E227" s="158">
        <v>0</v>
      </c>
      <c r="F227" s="158"/>
      <c r="G227" s="158">
        <v>35</v>
      </c>
      <c r="H227" s="158"/>
      <c r="I227" s="158">
        <v>35</v>
      </c>
      <c r="J227" s="158"/>
      <c r="K227" s="158">
        <v>0</v>
      </c>
      <c r="L227" s="158"/>
      <c r="M227" s="158">
        <v>70</v>
      </c>
      <c r="N227" s="158"/>
      <c r="O227" s="158">
        <v>35</v>
      </c>
      <c r="P227" s="158"/>
      <c r="Q227" s="158">
        <v>0</v>
      </c>
      <c r="R227" s="158"/>
      <c r="S227" s="158">
        <v>0</v>
      </c>
      <c r="T227" s="158"/>
      <c r="U227" s="158">
        <v>35</v>
      </c>
      <c r="V227" s="158"/>
      <c r="W227" s="158">
        <v>70</v>
      </c>
      <c r="X227" s="158"/>
      <c r="Y227" s="158">
        <v>105</v>
      </c>
      <c r="Z227" s="158"/>
      <c r="AA227" s="158">
        <v>0</v>
      </c>
      <c r="AB227" s="158"/>
      <c r="AC227" s="158">
        <v>70</v>
      </c>
      <c r="AD227" s="158"/>
      <c r="AE227" s="158">
        <v>70</v>
      </c>
      <c r="AF227" s="158"/>
      <c r="AG227" s="158">
        <v>0</v>
      </c>
      <c r="AH227" s="158"/>
      <c r="AI227" s="158">
        <v>0</v>
      </c>
      <c r="AJ227" s="158"/>
      <c r="AK227" s="158">
        <v>35</v>
      </c>
      <c r="AL227" s="158"/>
      <c r="AM227" s="158">
        <v>140</v>
      </c>
      <c r="AN227" s="158"/>
      <c r="AO227" s="158">
        <v>0</v>
      </c>
      <c r="AP227" s="158"/>
      <c r="AQ227" s="158">
        <v>0</v>
      </c>
      <c r="AR227" s="158"/>
      <c r="AS227" s="158">
        <v>25</v>
      </c>
      <c r="AT227" s="158"/>
      <c r="AU227" s="158">
        <v>175</v>
      </c>
      <c r="AV227" s="158"/>
      <c r="AW227" s="158">
        <v>35</v>
      </c>
      <c r="AX227" s="158"/>
      <c r="AY227" s="158">
        <v>35</v>
      </c>
      <c r="AZ227" s="158"/>
      <c r="BA227" s="158">
        <v>245</v>
      </c>
      <c r="BB227" s="158"/>
      <c r="BC227" s="158">
        <v>70</v>
      </c>
      <c r="BD227" s="158"/>
      <c r="BE227" s="158">
        <v>0</v>
      </c>
      <c r="BF227" s="158"/>
      <c r="BG227" s="158">
        <v>0</v>
      </c>
      <c r="BH227" s="158"/>
      <c r="BI227" s="158">
        <v>70</v>
      </c>
      <c r="BJ227" s="158"/>
      <c r="BK227" s="158">
        <v>140</v>
      </c>
      <c r="BL227" s="158"/>
      <c r="BM227" s="158">
        <v>140</v>
      </c>
      <c r="BN227" s="158"/>
      <c r="BO227" s="158">
        <v>35</v>
      </c>
      <c r="BP227" s="158"/>
      <c r="BQ227" s="158">
        <v>105</v>
      </c>
      <c r="BR227" s="158"/>
      <c r="BS227" s="158">
        <v>35</v>
      </c>
      <c r="BT227" s="158"/>
    </row>
    <row r="228" spans="1:72" x14ac:dyDescent="0.2">
      <c r="A228" s="123" t="s">
        <v>887</v>
      </c>
      <c r="B228" s="124" t="s">
        <v>886</v>
      </c>
      <c r="C228" s="158">
        <v>0</v>
      </c>
      <c r="D228" s="158"/>
      <c r="E228" s="158">
        <v>0</v>
      </c>
      <c r="F228" s="158"/>
      <c r="G228" s="158">
        <v>0</v>
      </c>
      <c r="H228" s="158"/>
      <c r="I228" s="158">
        <v>0</v>
      </c>
      <c r="J228" s="158"/>
      <c r="K228" s="158">
        <v>0</v>
      </c>
      <c r="L228" s="158"/>
      <c r="M228" s="158">
        <v>0</v>
      </c>
      <c r="N228" s="158"/>
      <c r="O228" s="158">
        <v>0</v>
      </c>
      <c r="P228" s="158"/>
      <c r="Q228" s="158">
        <v>0</v>
      </c>
      <c r="R228" s="158"/>
      <c r="S228" s="158">
        <v>0</v>
      </c>
      <c r="T228" s="158"/>
      <c r="U228" s="158">
        <v>0</v>
      </c>
      <c r="V228" s="158"/>
      <c r="W228" s="158">
        <v>0</v>
      </c>
      <c r="X228" s="158"/>
      <c r="Y228" s="158">
        <v>0</v>
      </c>
      <c r="Z228" s="158"/>
      <c r="AA228" s="158">
        <v>0</v>
      </c>
      <c r="AB228" s="158"/>
      <c r="AC228" s="158">
        <v>0</v>
      </c>
      <c r="AD228" s="158"/>
      <c r="AE228" s="158">
        <v>0</v>
      </c>
      <c r="AF228" s="158"/>
      <c r="AG228" s="158">
        <v>0</v>
      </c>
      <c r="AH228" s="158"/>
      <c r="AI228" s="158">
        <v>0</v>
      </c>
      <c r="AJ228" s="158"/>
      <c r="AK228" s="158">
        <v>450</v>
      </c>
      <c r="AL228" s="158"/>
      <c r="AM228" s="158">
        <v>0</v>
      </c>
      <c r="AN228" s="158"/>
      <c r="AO228" s="158">
        <v>0</v>
      </c>
      <c r="AP228" s="158"/>
      <c r="AQ228" s="158">
        <v>0</v>
      </c>
      <c r="AR228" s="158"/>
      <c r="AS228" s="158">
        <v>0</v>
      </c>
      <c r="AT228" s="158"/>
      <c r="AU228" s="158">
        <v>0</v>
      </c>
      <c r="AV228" s="158"/>
      <c r="AW228" s="158">
        <v>0</v>
      </c>
      <c r="AX228" s="158"/>
      <c r="AY228" s="158">
        <v>0</v>
      </c>
      <c r="AZ228" s="158"/>
      <c r="BA228" s="158">
        <v>0</v>
      </c>
      <c r="BB228" s="158"/>
      <c r="BC228" s="158">
        <v>0</v>
      </c>
      <c r="BD228" s="158"/>
      <c r="BE228" s="158">
        <v>0</v>
      </c>
      <c r="BF228" s="158"/>
      <c r="BG228" s="158">
        <v>60</v>
      </c>
      <c r="BH228" s="158"/>
      <c r="BI228" s="158">
        <v>0</v>
      </c>
      <c r="BJ228" s="158"/>
      <c r="BK228" s="158">
        <v>525.66999999999996</v>
      </c>
      <c r="BL228" s="158"/>
      <c r="BM228" s="158">
        <v>0</v>
      </c>
      <c r="BN228" s="158"/>
      <c r="BO228" s="158">
        <v>0</v>
      </c>
      <c r="BP228" s="158"/>
      <c r="BQ228" s="158">
        <v>0</v>
      </c>
      <c r="BR228" s="158"/>
      <c r="BS228" s="158">
        <v>0</v>
      </c>
      <c r="BT228" s="158"/>
    </row>
    <row r="229" spans="1:72" x14ac:dyDescent="0.2">
      <c r="A229" s="123" t="s">
        <v>1353</v>
      </c>
      <c r="B229" s="124" t="s">
        <v>1381</v>
      </c>
      <c r="C229" s="158">
        <v>0</v>
      </c>
      <c r="D229" s="158"/>
      <c r="E229" s="158">
        <v>0</v>
      </c>
      <c r="F229" s="158"/>
      <c r="G229" s="158">
        <v>0</v>
      </c>
      <c r="H229" s="158"/>
      <c r="I229" s="158">
        <v>0</v>
      </c>
      <c r="J229" s="158"/>
      <c r="K229" s="158">
        <v>705</v>
      </c>
      <c r="L229" s="158"/>
      <c r="M229" s="158">
        <v>0</v>
      </c>
      <c r="N229" s="158"/>
      <c r="O229" s="158">
        <v>0</v>
      </c>
      <c r="P229" s="158"/>
      <c r="Q229" s="158">
        <v>0</v>
      </c>
      <c r="R229" s="158"/>
      <c r="S229" s="158">
        <v>0</v>
      </c>
      <c r="T229" s="158"/>
      <c r="U229" s="158">
        <v>0</v>
      </c>
      <c r="V229" s="158"/>
      <c r="W229" s="158">
        <v>0</v>
      </c>
      <c r="X229" s="158"/>
      <c r="Y229" s="158">
        <v>0</v>
      </c>
      <c r="Z229" s="158"/>
      <c r="AA229" s="158">
        <v>0</v>
      </c>
      <c r="AB229" s="158"/>
      <c r="AC229" s="158">
        <v>0</v>
      </c>
      <c r="AD229" s="158"/>
      <c r="AE229" s="158">
        <v>0</v>
      </c>
      <c r="AF229" s="158"/>
      <c r="AG229" s="158">
        <v>0</v>
      </c>
      <c r="AH229" s="158"/>
      <c r="AI229" s="158">
        <v>0</v>
      </c>
      <c r="AJ229" s="158"/>
      <c r="AK229" s="158">
        <v>0</v>
      </c>
      <c r="AL229" s="158"/>
      <c r="AM229" s="158">
        <v>0</v>
      </c>
      <c r="AN229" s="158"/>
      <c r="AO229" s="158">
        <v>0</v>
      </c>
      <c r="AP229" s="158"/>
      <c r="AQ229" s="158">
        <v>0</v>
      </c>
      <c r="AR229" s="158"/>
      <c r="AS229" s="158">
        <v>0</v>
      </c>
      <c r="AT229" s="158"/>
      <c r="AU229" s="158">
        <v>0</v>
      </c>
      <c r="AV229" s="158"/>
      <c r="AW229" s="158">
        <v>0</v>
      </c>
      <c r="AX229" s="158"/>
      <c r="AY229" s="158">
        <v>0</v>
      </c>
      <c r="AZ229" s="158"/>
      <c r="BA229" s="158">
        <v>0</v>
      </c>
      <c r="BB229" s="158"/>
      <c r="BC229" s="158">
        <v>0</v>
      </c>
      <c r="BD229" s="158"/>
      <c r="BE229" s="158">
        <v>0</v>
      </c>
      <c r="BF229" s="158"/>
      <c r="BG229" s="158">
        <v>0</v>
      </c>
      <c r="BH229" s="158"/>
      <c r="BI229" s="158">
        <v>0</v>
      </c>
      <c r="BJ229" s="158"/>
      <c r="BK229" s="158">
        <v>0</v>
      </c>
      <c r="BL229" s="158"/>
      <c r="BM229" s="158">
        <v>0</v>
      </c>
      <c r="BN229" s="158"/>
      <c r="BO229" s="158">
        <v>0</v>
      </c>
      <c r="BP229" s="158"/>
      <c r="BQ229" s="158">
        <v>0</v>
      </c>
      <c r="BR229" s="158"/>
      <c r="BS229" s="158">
        <v>0</v>
      </c>
      <c r="BT229" s="158"/>
    </row>
    <row r="230" spans="1:72" x14ac:dyDescent="0.2">
      <c r="A230" s="123" t="s">
        <v>1351</v>
      </c>
      <c r="B230" s="124" t="s">
        <v>1382</v>
      </c>
      <c r="C230" s="158">
        <v>0</v>
      </c>
      <c r="D230" s="158"/>
      <c r="E230" s="158">
        <v>0</v>
      </c>
      <c r="F230" s="158"/>
      <c r="G230" s="158">
        <v>0</v>
      </c>
      <c r="H230" s="158"/>
      <c r="I230" s="158">
        <v>0</v>
      </c>
      <c r="J230" s="158"/>
      <c r="K230" s="158">
        <v>0</v>
      </c>
      <c r="L230" s="158"/>
      <c r="M230" s="158">
        <v>0</v>
      </c>
      <c r="N230" s="158"/>
      <c r="O230" s="158">
        <v>0</v>
      </c>
      <c r="P230" s="158"/>
      <c r="Q230" s="158">
        <v>0</v>
      </c>
      <c r="R230" s="158"/>
      <c r="S230" s="158">
        <v>0</v>
      </c>
      <c r="T230" s="158"/>
      <c r="U230" s="158">
        <v>0</v>
      </c>
      <c r="V230" s="158"/>
      <c r="W230" s="158">
        <v>0</v>
      </c>
      <c r="X230" s="158"/>
      <c r="Y230" s="158">
        <v>0</v>
      </c>
      <c r="Z230" s="158"/>
      <c r="AA230" s="158">
        <v>0</v>
      </c>
      <c r="AB230" s="158"/>
      <c r="AC230" s="158">
        <v>0</v>
      </c>
      <c r="AD230" s="158"/>
      <c r="AE230" s="158">
        <v>0</v>
      </c>
      <c r="AF230" s="158"/>
      <c r="AG230" s="158">
        <v>0</v>
      </c>
      <c r="AH230" s="158"/>
      <c r="AI230" s="158">
        <v>0</v>
      </c>
      <c r="AJ230" s="158"/>
      <c r="AK230" s="158">
        <v>0</v>
      </c>
      <c r="AL230" s="158"/>
      <c r="AM230" s="158">
        <v>0</v>
      </c>
      <c r="AN230" s="158"/>
      <c r="AO230" s="158">
        <v>0</v>
      </c>
      <c r="AP230" s="158"/>
      <c r="AQ230" s="158">
        <v>0</v>
      </c>
      <c r="AR230" s="158"/>
      <c r="AS230" s="158">
        <v>7.41</v>
      </c>
      <c r="AT230" s="158"/>
      <c r="AU230" s="158">
        <v>0</v>
      </c>
      <c r="AV230" s="158"/>
      <c r="AW230" s="158">
        <v>0</v>
      </c>
      <c r="AX230" s="158"/>
      <c r="AY230" s="158">
        <v>0</v>
      </c>
      <c r="AZ230" s="158"/>
      <c r="BA230" s="158">
        <v>0</v>
      </c>
      <c r="BB230" s="158"/>
      <c r="BC230" s="158">
        <v>0</v>
      </c>
      <c r="BD230" s="158"/>
      <c r="BE230" s="158">
        <v>0</v>
      </c>
      <c r="BF230" s="158"/>
      <c r="BG230" s="158">
        <v>0</v>
      </c>
      <c r="BH230" s="158"/>
      <c r="BI230" s="158">
        <v>0</v>
      </c>
      <c r="BJ230" s="158"/>
      <c r="BK230" s="158">
        <v>0</v>
      </c>
      <c r="BL230" s="158"/>
      <c r="BM230" s="158">
        <v>0</v>
      </c>
      <c r="BN230" s="158"/>
      <c r="BO230" s="158">
        <v>0</v>
      </c>
      <c r="BP230" s="158"/>
      <c r="BQ230" s="158">
        <v>0</v>
      </c>
      <c r="BR230" s="158"/>
      <c r="BS230" s="158">
        <v>0</v>
      </c>
      <c r="BT230" s="158"/>
    </row>
    <row r="231" spans="1:72" x14ac:dyDescent="0.2">
      <c r="A231" s="123" t="s">
        <v>296</v>
      </c>
      <c r="B231" s="124" t="s">
        <v>885</v>
      </c>
      <c r="C231" s="158">
        <v>350</v>
      </c>
      <c r="D231" s="158"/>
      <c r="E231" s="158">
        <v>0</v>
      </c>
      <c r="F231" s="158"/>
      <c r="G231" s="158">
        <v>325</v>
      </c>
      <c r="H231" s="158"/>
      <c r="I231" s="158">
        <v>250</v>
      </c>
      <c r="J231" s="158"/>
      <c r="K231" s="158">
        <v>0</v>
      </c>
      <c r="L231" s="158"/>
      <c r="M231" s="158">
        <v>150</v>
      </c>
      <c r="N231" s="158"/>
      <c r="O231" s="158">
        <v>250</v>
      </c>
      <c r="P231" s="158"/>
      <c r="Q231" s="158">
        <v>50</v>
      </c>
      <c r="R231" s="158"/>
      <c r="S231" s="158">
        <v>120</v>
      </c>
      <c r="T231" s="158"/>
      <c r="U231" s="158">
        <v>250</v>
      </c>
      <c r="V231" s="158"/>
      <c r="W231" s="158">
        <v>160</v>
      </c>
      <c r="X231" s="158"/>
      <c r="Y231" s="158">
        <v>0</v>
      </c>
      <c r="Z231" s="158"/>
      <c r="AA231" s="158">
        <v>125</v>
      </c>
      <c r="AB231" s="158"/>
      <c r="AC231" s="158">
        <v>120</v>
      </c>
      <c r="AD231" s="158"/>
      <c r="AE231" s="158">
        <v>675</v>
      </c>
      <c r="AF231" s="158"/>
      <c r="AG231" s="158">
        <v>125</v>
      </c>
      <c r="AH231" s="158"/>
      <c r="AI231" s="158">
        <v>160</v>
      </c>
      <c r="AJ231" s="158"/>
      <c r="AK231" s="158">
        <v>640</v>
      </c>
      <c r="AL231" s="158"/>
      <c r="AM231" s="158">
        <v>150</v>
      </c>
      <c r="AN231" s="158"/>
      <c r="AO231" s="158">
        <v>125</v>
      </c>
      <c r="AP231" s="158"/>
      <c r="AQ231" s="158">
        <v>175</v>
      </c>
      <c r="AR231" s="158"/>
      <c r="AS231" s="158">
        <v>476</v>
      </c>
      <c r="AT231" s="158"/>
      <c r="AU231" s="158">
        <v>0</v>
      </c>
      <c r="AV231" s="158"/>
      <c r="AW231" s="158">
        <v>120</v>
      </c>
      <c r="AX231" s="158"/>
      <c r="AY231" s="158">
        <v>0</v>
      </c>
      <c r="AZ231" s="158"/>
      <c r="BA231" s="158">
        <v>266</v>
      </c>
      <c r="BB231" s="158"/>
      <c r="BC231" s="158">
        <v>700</v>
      </c>
      <c r="BD231" s="158"/>
      <c r="BE231" s="158">
        <v>75</v>
      </c>
      <c r="BF231" s="158"/>
      <c r="BG231" s="158">
        <v>125</v>
      </c>
      <c r="BH231" s="158"/>
      <c r="BI231" s="158">
        <v>315</v>
      </c>
      <c r="BJ231" s="158"/>
      <c r="BK231" s="158">
        <v>225</v>
      </c>
      <c r="BL231" s="158"/>
      <c r="BM231" s="158">
        <v>0</v>
      </c>
      <c r="BN231" s="158"/>
      <c r="BO231" s="158">
        <v>225</v>
      </c>
      <c r="BP231" s="158"/>
      <c r="BQ231" s="158">
        <v>300</v>
      </c>
      <c r="BR231" s="158"/>
      <c r="BS231" s="158">
        <v>200</v>
      </c>
      <c r="BT231" s="158"/>
    </row>
    <row r="232" spans="1:72" x14ac:dyDescent="0.2">
      <c r="A232" s="123" t="s">
        <v>297</v>
      </c>
      <c r="B232" s="124" t="s">
        <v>884</v>
      </c>
      <c r="C232" s="158">
        <v>4290.68</v>
      </c>
      <c r="D232" s="158"/>
      <c r="E232" s="158">
        <v>2575.36</v>
      </c>
      <c r="F232" s="158"/>
      <c r="G232" s="158">
        <v>4044.04</v>
      </c>
      <c r="H232" s="158"/>
      <c r="I232" s="158">
        <v>4230.16</v>
      </c>
      <c r="J232" s="158"/>
      <c r="K232" s="158">
        <v>5949.52</v>
      </c>
      <c r="L232" s="158"/>
      <c r="M232" s="158">
        <v>3257.28</v>
      </c>
      <c r="N232" s="158"/>
      <c r="O232" s="158">
        <v>3130.12</v>
      </c>
      <c r="P232" s="158"/>
      <c r="Q232" s="158">
        <v>3115.84</v>
      </c>
      <c r="R232" s="158"/>
      <c r="S232" s="158">
        <v>7684.97</v>
      </c>
      <c r="T232" s="158"/>
      <c r="U232" s="158">
        <v>4089.48</v>
      </c>
      <c r="V232" s="158"/>
      <c r="W232" s="158">
        <v>4403.08</v>
      </c>
      <c r="X232" s="158"/>
      <c r="Y232" s="158">
        <v>4282.6000000000004</v>
      </c>
      <c r="Z232" s="158"/>
      <c r="AA232" s="158">
        <v>4889.84</v>
      </c>
      <c r="AB232" s="158"/>
      <c r="AC232" s="158">
        <v>3478.96</v>
      </c>
      <c r="AD232" s="158"/>
      <c r="AE232" s="158">
        <v>0</v>
      </c>
      <c r="AF232" s="158"/>
      <c r="AG232" s="158">
        <v>2760.52</v>
      </c>
      <c r="AH232" s="158"/>
      <c r="AI232" s="158">
        <v>3070.32</v>
      </c>
      <c r="AJ232" s="158"/>
      <c r="AK232" s="158">
        <v>0</v>
      </c>
      <c r="AL232" s="158"/>
      <c r="AM232" s="158">
        <v>5814.76</v>
      </c>
      <c r="AN232" s="158"/>
      <c r="AO232" s="158">
        <v>3203.56</v>
      </c>
      <c r="AP232" s="158"/>
      <c r="AQ232" s="158">
        <v>0</v>
      </c>
      <c r="AR232" s="158"/>
      <c r="AS232" s="158">
        <v>4473.8</v>
      </c>
      <c r="AT232" s="158"/>
      <c r="AU232" s="158">
        <v>4563.5600000000004</v>
      </c>
      <c r="AV232" s="158"/>
      <c r="AW232" s="158">
        <v>3286.52</v>
      </c>
      <c r="AX232" s="158"/>
      <c r="AY232" s="158">
        <v>4532.28</v>
      </c>
      <c r="AZ232" s="158"/>
      <c r="BA232" s="158">
        <v>5396.09</v>
      </c>
      <c r="BB232" s="158"/>
      <c r="BC232" s="158">
        <v>0</v>
      </c>
      <c r="BD232" s="158"/>
      <c r="BE232" s="158">
        <v>3166.84</v>
      </c>
      <c r="BF232" s="158"/>
      <c r="BG232" s="158">
        <v>2930.88</v>
      </c>
      <c r="BH232" s="158"/>
      <c r="BI232" s="158">
        <v>0</v>
      </c>
      <c r="BJ232" s="158"/>
      <c r="BK232" s="158">
        <v>5718.35</v>
      </c>
      <c r="BL232" s="158"/>
      <c r="BM232" s="158">
        <v>0</v>
      </c>
      <c r="BN232" s="158"/>
      <c r="BO232" s="158">
        <v>3588.08</v>
      </c>
      <c r="BP232" s="158"/>
      <c r="BQ232" s="158">
        <v>3815.56</v>
      </c>
      <c r="BR232" s="158"/>
      <c r="BS232" s="158">
        <v>3494.08</v>
      </c>
      <c r="BT232" s="158"/>
    </row>
    <row r="233" spans="1:72" x14ac:dyDescent="0.2">
      <c r="A233" s="123" t="s">
        <v>298</v>
      </c>
      <c r="B233" s="124" t="s">
        <v>883</v>
      </c>
      <c r="C233" s="158">
        <v>489.2</v>
      </c>
      <c r="D233" s="158"/>
      <c r="E233" s="158">
        <v>0</v>
      </c>
      <c r="F233" s="158"/>
      <c r="G233" s="158">
        <v>0</v>
      </c>
      <c r="H233" s="158"/>
      <c r="I233" s="158">
        <v>1986.32</v>
      </c>
      <c r="J233" s="158"/>
      <c r="K233" s="158">
        <v>0</v>
      </c>
      <c r="L233" s="158"/>
      <c r="M233" s="158">
        <v>0</v>
      </c>
      <c r="N233" s="158"/>
      <c r="O233" s="158">
        <v>165.27</v>
      </c>
      <c r="P233" s="158"/>
      <c r="Q233" s="158">
        <v>0</v>
      </c>
      <c r="R233" s="158"/>
      <c r="S233" s="158">
        <v>0</v>
      </c>
      <c r="T233" s="158"/>
      <c r="U233" s="158">
        <v>0</v>
      </c>
      <c r="V233" s="158"/>
      <c r="W233" s="158">
        <v>0</v>
      </c>
      <c r="X233" s="158"/>
      <c r="Y233" s="158">
        <v>0</v>
      </c>
      <c r="Z233" s="158"/>
      <c r="AA233" s="158">
        <v>0</v>
      </c>
      <c r="AB233" s="158"/>
      <c r="AC233" s="158">
        <v>0</v>
      </c>
      <c r="AD233" s="158"/>
      <c r="AE233" s="158">
        <v>0</v>
      </c>
      <c r="AF233" s="158"/>
      <c r="AG233" s="158">
        <v>419.25</v>
      </c>
      <c r="AH233" s="158"/>
      <c r="AI233" s="158">
        <v>0</v>
      </c>
      <c r="AJ233" s="158"/>
      <c r="AK233" s="158">
        <v>1250</v>
      </c>
      <c r="AL233" s="158"/>
      <c r="AM233" s="158">
        <v>0</v>
      </c>
      <c r="AN233" s="158"/>
      <c r="AO233" s="158">
        <v>0</v>
      </c>
      <c r="AP233" s="158"/>
      <c r="AQ233" s="158">
        <v>0</v>
      </c>
      <c r="AR233" s="158"/>
      <c r="AS233" s="158">
        <v>0</v>
      </c>
      <c r="AT233" s="158"/>
      <c r="AU233" s="158">
        <v>0</v>
      </c>
      <c r="AV233" s="158"/>
      <c r="AW233" s="158">
        <v>0</v>
      </c>
      <c r="AX233" s="158"/>
      <c r="AY233" s="158">
        <v>0</v>
      </c>
      <c r="AZ233" s="158"/>
      <c r="BA233" s="158">
        <v>346.31</v>
      </c>
      <c r="BB233" s="158"/>
      <c r="BC233" s="158">
        <v>0</v>
      </c>
      <c r="BD233" s="158"/>
      <c r="BE233" s="158">
        <v>702.85</v>
      </c>
      <c r="BF233" s="158"/>
      <c r="BG233" s="158">
        <v>0</v>
      </c>
      <c r="BH233" s="158"/>
      <c r="BI233" s="158">
        <v>885.96</v>
      </c>
      <c r="BJ233" s="158"/>
      <c r="BK233" s="158">
        <v>0</v>
      </c>
      <c r="BL233" s="158"/>
      <c r="BM233" s="158">
        <v>0</v>
      </c>
      <c r="BN233" s="158"/>
      <c r="BO233" s="158">
        <v>911.61</v>
      </c>
      <c r="BP233" s="158"/>
      <c r="BQ233" s="158">
        <v>0</v>
      </c>
      <c r="BR233" s="158"/>
      <c r="BS233" s="158">
        <v>0</v>
      </c>
      <c r="BT233" s="158"/>
    </row>
    <row r="234" spans="1:72" x14ac:dyDescent="0.2">
      <c r="A234" s="123" t="s">
        <v>537</v>
      </c>
      <c r="B234" s="124" t="s">
        <v>882</v>
      </c>
      <c r="C234" s="158">
        <v>0</v>
      </c>
      <c r="D234" s="158"/>
      <c r="E234" s="158">
        <v>0</v>
      </c>
      <c r="F234" s="158"/>
      <c r="G234" s="158">
        <v>0</v>
      </c>
      <c r="H234" s="158"/>
      <c r="I234" s="158">
        <v>0</v>
      </c>
      <c r="J234" s="158"/>
      <c r="K234" s="158">
        <v>0</v>
      </c>
      <c r="L234" s="158"/>
      <c r="M234" s="158">
        <v>0</v>
      </c>
      <c r="N234" s="158"/>
      <c r="O234" s="158">
        <v>0</v>
      </c>
      <c r="P234" s="158"/>
      <c r="Q234" s="158">
        <v>0</v>
      </c>
      <c r="R234" s="158"/>
      <c r="S234" s="158">
        <v>0</v>
      </c>
      <c r="T234" s="158"/>
      <c r="U234" s="158">
        <v>0</v>
      </c>
      <c r="V234" s="158"/>
      <c r="W234" s="158">
        <v>0</v>
      </c>
      <c r="X234" s="158"/>
      <c r="Y234" s="158">
        <v>0</v>
      </c>
      <c r="Z234" s="158"/>
      <c r="AA234" s="158">
        <v>0</v>
      </c>
      <c r="AB234" s="158"/>
      <c r="AC234" s="158">
        <v>0</v>
      </c>
      <c r="AD234" s="158"/>
      <c r="AE234" s="158">
        <v>0</v>
      </c>
      <c r="AF234" s="158"/>
      <c r="AG234" s="158">
        <v>0</v>
      </c>
      <c r="AH234" s="158"/>
      <c r="AI234" s="158">
        <v>0</v>
      </c>
      <c r="AJ234" s="158"/>
      <c r="AK234" s="158">
        <v>0</v>
      </c>
      <c r="AL234" s="158"/>
      <c r="AM234" s="158">
        <v>0</v>
      </c>
      <c r="AN234" s="158"/>
      <c r="AO234" s="158">
        <v>65</v>
      </c>
      <c r="AP234" s="158"/>
      <c r="AQ234" s="158">
        <v>0</v>
      </c>
      <c r="AR234" s="158"/>
      <c r="AS234" s="158">
        <v>0</v>
      </c>
      <c r="AT234" s="158"/>
      <c r="AU234" s="158">
        <v>0</v>
      </c>
      <c r="AV234" s="158"/>
      <c r="AW234" s="158">
        <v>0</v>
      </c>
      <c r="AX234" s="158"/>
      <c r="AY234" s="158">
        <v>30</v>
      </c>
      <c r="AZ234" s="158"/>
      <c r="BA234" s="158">
        <v>0</v>
      </c>
      <c r="BB234" s="158"/>
      <c r="BC234" s="158">
        <v>0</v>
      </c>
      <c r="BD234" s="158"/>
      <c r="BE234" s="158">
        <v>0</v>
      </c>
      <c r="BF234" s="158"/>
      <c r="BG234" s="158">
        <v>0</v>
      </c>
      <c r="BH234" s="158"/>
      <c r="BI234" s="158">
        <v>0</v>
      </c>
      <c r="BJ234" s="158"/>
      <c r="BK234" s="158">
        <v>0</v>
      </c>
      <c r="BL234" s="158"/>
      <c r="BM234" s="158">
        <v>0</v>
      </c>
      <c r="BN234" s="158"/>
      <c r="BO234" s="158">
        <v>0</v>
      </c>
      <c r="BP234" s="158"/>
      <c r="BQ234" s="158">
        <v>454.5</v>
      </c>
      <c r="BR234" s="158"/>
      <c r="BS234" s="158">
        <v>0</v>
      </c>
      <c r="BT234" s="158"/>
    </row>
    <row r="235" spans="1:72" x14ac:dyDescent="0.2">
      <c r="A235" s="123" t="s">
        <v>538</v>
      </c>
      <c r="B235" s="124" t="s">
        <v>881</v>
      </c>
      <c r="C235" s="158">
        <v>0</v>
      </c>
      <c r="D235" s="158"/>
      <c r="E235" s="158">
        <v>0</v>
      </c>
      <c r="F235" s="158"/>
      <c r="G235" s="158">
        <v>0</v>
      </c>
      <c r="H235" s="158"/>
      <c r="I235" s="158">
        <v>0</v>
      </c>
      <c r="J235" s="158"/>
      <c r="K235" s="158">
        <v>0</v>
      </c>
      <c r="L235" s="158"/>
      <c r="M235" s="158">
        <v>0</v>
      </c>
      <c r="N235" s="158"/>
      <c r="O235" s="158">
        <v>0</v>
      </c>
      <c r="P235" s="158"/>
      <c r="Q235" s="158">
        <v>0</v>
      </c>
      <c r="R235" s="158"/>
      <c r="S235" s="158">
        <v>0</v>
      </c>
      <c r="T235" s="158"/>
      <c r="U235" s="158">
        <v>0</v>
      </c>
      <c r="V235" s="158"/>
      <c r="W235" s="158">
        <v>0</v>
      </c>
      <c r="X235" s="158"/>
      <c r="Y235" s="158">
        <v>0</v>
      </c>
      <c r="Z235" s="158"/>
      <c r="AA235" s="158">
        <v>0</v>
      </c>
      <c r="AB235" s="158"/>
      <c r="AC235" s="158">
        <v>0</v>
      </c>
      <c r="AD235" s="158"/>
      <c r="AE235" s="158">
        <v>0</v>
      </c>
      <c r="AF235" s="158"/>
      <c r="AG235" s="158">
        <v>0</v>
      </c>
      <c r="AH235" s="158"/>
      <c r="AI235" s="158">
        <v>159.74</v>
      </c>
      <c r="AJ235" s="158"/>
      <c r="AK235" s="158">
        <v>0</v>
      </c>
      <c r="AL235" s="158"/>
      <c r="AM235" s="158">
        <v>0</v>
      </c>
      <c r="AN235" s="158"/>
      <c r="AO235" s="158">
        <v>0</v>
      </c>
      <c r="AP235" s="158"/>
      <c r="AQ235" s="158">
        <v>0</v>
      </c>
      <c r="AR235" s="158"/>
      <c r="AS235" s="158">
        <v>0</v>
      </c>
      <c r="AT235" s="158"/>
      <c r="AU235" s="158">
        <v>0</v>
      </c>
      <c r="AV235" s="158"/>
      <c r="AW235" s="158">
        <v>0</v>
      </c>
      <c r="AX235" s="158"/>
      <c r="AY235" s="158">
        <v>53.25</v>
      </c>
      <c r="AZ235" s="158"/>
      <c r="BA235" s="158">
        <v>0</v>
      </c>
      <c r="BB235" s="158"/>
      <c r="BC235" s="158">
        <v>0</v>
      </c>
      <c r="BD235" s="158"/>
      <c r="BE235" s="158">
        <v>32.85</v>
      </c>
      <c r="BF235" s="158"/>
      <c r="BG235" s="158">
        <v>0</v>
      </c>
      <c r="BH235" s="158"/>
      <c r="BI235" s="158">
        <v>0</v>
      </c>
      <c r="BJ235" s="158"/>
      <c r="BK235" s="158">
        <v>0</v>
      </c>
      <c r="BL235" s="158"/>
      <c r="BM235" s="158">
        <v>0</v>
      </c>
      <c r="BN235" s="158"/>
      <c r="BO235" s="158">
        <v>0</v>
      </c>
      <c r="BP235" s="158"/>
      <c r="BQ235" s="158">
        <v>0</v>
      </c>
      <c r="BR235" s="158"/>
      <c r="BS235" s="158">
        <v>0</v>
      </c>
      <c r="BT235" s="158"/>
    </row>
    <row r="236" spans="1:72" x14ac:dyDescent="0.2">
      <c r="A236" s="123" t="s">
        <v>595</v>
      </c>
      <c r="B236" s="124" t="s">
        <v>880</v>
      </c>
      <c r="C236" s="158">
        <v>666.36</v>
      </c>
      <c r="D236" s="158"/>
      <c r="E236" s="158">
        <v>0</v>
      </c>
      <c r="F236" s="158"/>
      <c r="G236" s="158">
        <v>841.3</v>
      </c>
      <c r="H236" s="158"/>
      <c r="I236" s="158">
        <v>1484.7</v>
      </c>
      <c r="J236" s="158"/>
      <c r="K236" s="158">
        <v>0</v>
      </c>
      <c r="L236" s="158"/>
      <c r="M236" s="158">
        <v>0</v>
      </c>
      <c r="N236" s="158"/>
      <c r="O236" s="158">
        <v>0</v>
      </c>
      <c r="P236" s="158"/>
      <c r="Q236" s="158">
        <v>0</v>
      </c>
      <c r="R236" s="158"/>
      <c r="S236" s="158">
        <v>67.55</v>
      </c>
      <c r="T236" s="158"/>
      <c r="U236" s="158">
        <v>29.33</v>
      </c>
      <c r="V236" s="158"/>
      <c r="W236" s="158">
        <v>1188.74</v>
      </c>
      <c r="X236" s="158"/>
      <c r="Y236" s="158">
        <v>0</v>
      </c>
      <c r="Z236" s="158"/>
      <c r="AA236" s="158">
        <v>3.45</v>
      </c>
      <c r="AB236" s="158"/>
      <c r="AC236" s="158">
        <v>0</v>
      </c>
      <c r="AD236" s="158"/>
      <c r="AE236" s="158">
        <v>0</v>
      </c>
      <c r="AF236" s="158"/>
      <c r="AG236" s="158">
        <v>140</v>
      </c>
      <c r="AH236" s="158"/>
      <c r="AI236" s="158">
        <v>0</v>
      </c>
      <c r="AJ236" s="158"/>
      <c r="AK236" s="158">
        <v>306.39999999999998</v>
      </c>
      <c r="AL236" s="158"/>
      <c r="AM236" s="158">
        <v>0</v>
      </c>
      <c r="AN236" s="158"/>
      <c r="AO236" s="158">
        <v>88.94</v>
      </c>
      <c r="AP236" s="158"/>
      <c r="AQ236" s="158">
        <v>47.56</v>
      </c>
      <c r="AR236" s="158"/>
      <c r="AS236" s="158">
        <v>0</v>
      </c>
      <c r="AT236" s="158"/>
      <c r="AU236" s="158">
        <v>0</v>
      </c>
      <c r="AV236" s="158"/>
      <c r="AW236" s="158">
        <v>0</v>
      </c>
      <c r="AX236" s="158"/>
      <c r="AY236" s="158">
        <v>0</v>
      </c>
      <c r="AZ236" s="158"/>
      <c r="BA236" s="158">
        <v>0</v>
      </c>
      <c r="BB236" s="158"/>
      <c r="BC236" s="158">
        <v>0</v>
      </c>
      <c r="BD236" s="158"/>
      <c r="BE236" s="158">
        <v>396</v>
      </c>
      <c r="BF236" s="158"/>
      <c r="BG236" s="158">
        <v>789.47</v>
      </c>
      <c r="BH236" s="158"/>
      <c r="BI236" s="158">
        <v>1539.49</v>
      </c>
      <c r="BJ236" s="158"/>
      <c r="BK236" s="158">
        <v>7662.58</v>
      </c>
      <c r="BL236" s="158"/>
      <c r="BM236" s="158">
        <v>0</v>
      </c>
      <c r="BN236" s="158"/>
      <c r="BO236" s="158">
        <v>298.49</v>
      </c>
      <c r="BP236" s="158"/>
      <c r="BQ236" s="158">
        <v>55.17</v>
      </c>
      <c r="BR236" s="158"/>
      <c r="BS236" s="158">
        <v>964.14</v>
      </c>
      <c r="BT236" s="158"/>
    </row>
    <row r="237" spans="1:72" x14ac:dyDescent="0.2">
      <c r="A237" s="123" t="s">
        <v>299</v>
      </c>
      <c r="B237" s="124" t="s">
        <v>879</v>
      </c>
      <c r="C237" s="158">
        <v>349.1</v>
      </c>
      <c r="D237" s="158"/>
      <c r="E237" s="158">
        <v>0</v>
      </c>
      <c r="F237" s="158"/>
      <c r="G237" s="158">
        <v>244.5</v>
      </c>
      <c r="H237" s="158"/>
      <c r="I237" s="158">
        <v>1056</v>
      </c>
      <c r="J237" s="158"/>
      <c r="K237" s="158">
        <v>1518.18</v>
      </c>
      <c r="L237" s="158"/>
      <c r="M237" s="158">
        <v>1300</v>
      </c>
      <c r="N237" s="158"/>
      <c r="O237" s="158">
        <v>1480</v>
      </c>
      <c r="P237" s="158"/>
      <c r="Q237" s="158">
        <v>342.53</v>
      </c>
      <c r="R237" s="158"/>
      <c r="S237" s="158">
        <v>0</v>
      </c>
      <c r="T237" s="158"/>
      <c r="U237" s="158">
        <v>699.86</v>
      </c>
      <c r="V237" s="158"/>
      <c r="W237" s="158">
        <v>360</v>
      </c>
      <c r="X237" s="158"/>
      <c r="Y237" s="158">
        <v>7</v>
      </c>
      <c r="Z237" s="158"/>
      <c r="AA237" s="158">
        <v>160</v>
      </c>
      <c r="AB237" s="158"/>
      <c r="AC237" s="158">
        <v>6.26</v>
      </c>
      <c r="AD237" s="158"/>
      <c r="AE237" s="158">
        <v>4039</v>
      </c>
      <c r="AF237" s="158"/>
      <c r="AG237" s="158">
        <v>0</v>
      </c>
      <c r="AH237" s="158"/>
      <c r="AI237" s="158">
        <v>30</v>
      </c>
      <c r="AJ237" s="158"/>
      <c r="AK237" s="158">
        <v>3467</v>
      </c>
      <c r="AL237" s="158"/>
      <c r="AM237" s="158">
        <v>200</v>
      </c>
      <c r="AN237" s="158"/>
      <c r="AO237" s="158">
        <v>221.69</v>
      </c>
      <c r="AP237" s="158"/>
      <c r="AQ237" s="158">
        <v>625.6</v>
      </c>
      <c r="AR237" s="158"/>
      <c r="AS237" s="158">
        <v>314</v>
      </c>
      <c r="AT237" s="158"/>
      <c r="AU237" s="158">
        <v>537.64</v>
      </c>
      <c r="AV237" s="158"/>
      <c r="AW237" s="158">
        <v>420</v>
      </c>
      <c r="AX237" s="158"/>
      <c r="AY237" s="158">
        <v>1277.75</v>
      </c>
      <c r="AZ237" s="158"/>
      <c r="BA237" s="158">
        <v>0</v>
      </c>
      <c r="BB237" s="158"/>
      <c r="BC237" s="158">
        <v>1429.06</v>
      </c>
      <c r="BD237" s="158"/>
      <c r="BE237" s="158">
        <v>1795.38</v>
      </c>
      <c r="BF237" s="158"/>
      <c r="BG237" s="158">
        <v>273</v>
      </c>
      <c r="BH237" s="158"/>
      <c r="BI237" s="158">
        <v>2586.8000000000002</v>
      </c>
      <c r="BJ237" s="158"/>
      <c r="BK237" s="158">
        <v>1544.1</v>
      </c>
      <c r="BL237" s="158"/>
      <c r="BM237" s="158">
        <v>594.79999999999995</v>
      </c>
      <c r="BN237" s="158"/>
      <c r="BO237" s="158">
        <v>432.32</v>
      </c>
      <c r="BP237" s="158"/>
      <c r="BQ237" s="158">
        <v>-200</v>
      </c>
      <c r="BR237" s="158"/>
      <c r="BS237" s="158">
        <v>210</v>
      </c>
      <c r="BT237" s="158"/>
    </row>
    <row r="238" spans="1:72" x14ac:dyDescent="0.2">
      <c r="A238" s="123" t="s">
        <v>300</v>
      </c>
      <c r="B238" s="124" t="s">
        <v>878</v>
      </c>
      <c r="C238" s="158">
        <v>151.5</v>
      </c>
      <c r="D238" s="158"/>
      <c r="E238" s="158">
        <v>30</v>
      </c>
      <c r="F238" s="158"/>
      <c r="G238" s="158">
        <v>179.58</v>
      </c>
      <c r="H238" s="158"/>
      <c r="I238" s="158">
        <v>78.66</v>
      </c>
      <c r="J238" s="158"/>
      <c r="K238" s="158">
        <v>37.17</v>
      </c>
      <c r="L238" s="158"/>
      <c r="M238" s="158">
        <v>0</v>
      </c>
      <c r="N238" s="158"/>
      <c r="O238" s="158">
        <v>0</v>
      </c>
      <c r="P238" s="158"/>
      <c r="Q238" s="158">
        <v>4</v>
      </c>
      <c r="R238" s="158"/>
      <c r="S238" s="158">
        <v>0</v>
      </c>
      <c r="T238" s="158"/>
      <c r="U238" s="158">
        <v>50</v>
      </c>
      <c r="V238" s="158"/>
      <c r="W238" s="158">
        <v>0</v>
      </c>
      <c r="X238" s="158"/>
      <c r="Y238" s="158">
        <v>346</v>
      </c>
      <c r="Z238" s="158"/>
      <c r="AA238" s="158">
        <v>0</v>
      </c>
      <c r="AB238" s="158"/>
      <c r="AC238" s="158">
        <v>0</v>
      </c>
      <c r="AD238" s="158"/>
      <c r="AE238" s="158">
        <v>0</v>
      </c>
      <c r="AF238" s="158"/>
      <c r="AG238" s="158">
        <v>0</v>
      </c>
      <c r="AH238" s="158"/>
      <c r="AI238" s="158">
        <v>25</v>
      </c>
      <c r="AJ238" s="158"/>
      <c r="AK238" s="158">
        <v>0</v>
      </c>
      <c r="AL238" s="158"/>
      <c r="AM238" s="158">
        <v>0</v>
      </c>
      <c r="AN238" s="158"/>
      <c r="AO238" s="158">
        <v>0</v>
      </c>
      <c r="AP238" s="158"/>
      <c r="AQ238" s="158">
        <v>0</v>
      </c>
      <c r="AR238" s="158"/>
      <c r="AS238" s="158">
        <v>42.5</v>
      </c>
      <c r="AT238" s="158"/>
      <c r="AU238" s="158">
        <v>2026.6</v>
      </c>
      <c r="AV238" s="158"/>
      <c r="AW238" s="158">
        <v>60</v>
      </c>
      <c r="AX238" s="158"/>
      <c r="AY238" s="158">
        <v>0</v>
      </c>
      <c r="AZ238" s="158"/>
      <c r="BA238" s="158">
        <v>57</v>
      </c>
      <c r="BB238" s="158"/>
      <c r="BC238" s="158">
        <v>0</v>
      </c>
      <c r="BD238" s="158"/>
      <c r="BE238" s="158">
        <v>32</v>
      </c>
      <c r="BF238" s="158"/>
      <c r="BG238" s="158">
        <v>322.7</v>
      </c>
      <c r="BH238" s="158"/>
      <c r="BI238" s="158">
        <v>54</v>
      </c>
      <c r="BJ238" s="158"/>
      <c r="BK238" s="158">
        <v>0</v>
      </c>
      <c r="BL238" s="158"/>
      <c r="BM238" s="158">
        <v>0</v>
      </c>
      <c r="BN238" s="158"/>
      <c r="BO238" s="158">
        <v>979</v>
      </c>
      <c r="BP238" s="158"/>
      <c r="BQ238" s="158">
        <v>448.73</v>
      </c>
      <c r="BR238" s="158"/>
      <c r="BS238" s="158">
        <v>70</v>
      </c>
      <c r="BT238" s="158"/>
    </row>
    <row r="239" spans="1:72" x14ac:dyDescent="0.2">
      <c r="A239" s="123" t="s">
        <v>1339</v>
      </c>
      <c r="B239" s="124" t="s">
        <v>1383</v>
      </c>
      <c r="C239" s="158">
        <v>0</v>
      </c>
      <c r="D239" s="158"/>
      <c r="E239" s="158">
        <v>0</v>
      </c>
      <c r="F239" s="158"/>
      <c r="G239" s="158">
        <v>0</v>
      </c>
      <c r="H239" s="158"/>
      <c r="I239" s="158">
        <v>0</v>
      </c>
      <c r="J239" s="158"/>
      <c r="K239" s="158">
        <v>176.12</v>
      </c>
      <c r="L239" s="158"/>
      <c r="M239" s="158">
        <v>0</v>
      </c>
      <c r="N239" s="158"/>
      <c r="O239" s="158">
        <v>17.96</v>
      </c>
      <c r="P239" s="158"/>
      <c r="Q239" s="158">
        <v>0</v>
      </c>
      <c r="R239" s="158"/>
      <c r="S239" s="158">
        <v>0</v>
      </c>
      <c r="T239" s="158"/>
      <c r="U239" s="158">
        <v>0</v>
      </c>
      <c r="V239" s="158"/>
      <c r="W239" s="158">
        <v>0</v>
      </c>
      <c r="X239" s="158"/>
      <c r="Y239" s="158">
        <v>0</v>
      </c>
      <c r="Z239" s="158"/>
      <c r="AA239" s="158">
        <v>0</v>
      </c>
      <c r="AB239" s="158"/>
      <c r="AC239" s="158">
        <v>14.1</v>
      </c>
      <c r="AD239" s="158"/>
      <c r="AE239" s="158">
        <v>0</v>
      </c>
      <c r="AF239" s="158"/>
      <c r="AG239" s="158">
        <v>0</v>
      </c>
      <c r="AH239" s="158"/>
      <c r="AI239" s="158">
        <v>0</v>
      </c>
      <c r="AJ239" s="158"/>
      <c r="AK239" s="158">
        <v>0</v>
      </c>
      <c r="AL239" s="158"/>
      <c r="AM239" s="158">
        <v>0</v>
      </c>
      <c r="AN239" s="158"/>
      <c r="AO239" s="158">
        <v>0</v>
      </c>
      <c r="AP239" s="158"/>
      <c r="AQ239" s="158">
        <v>0</v>
      </c>
      <c r="AR239" s="158"/>
      <c r="AS239" s="158">
        <v>0</v>
      </c>
      <c r="AT239" s="158"/>
      <c r="AU239" s="158">
        <v>0</v>
      </c>
      <c r="AV239" s="158"/>
      <c r="AW239" s="158">
        <v>0</v>
      </c>
      <c r="AX239" s="158"/>
      <c r="AY239" s="158">
        <v>0</v>
      </c>
      <c r="AZ239" s="158"/>
      <c r="BA239" s="158">
        <v>0</v>
      </c>
      <c r="BB239" s="158"/>
      <c r="BC239" s="158">
        <v>0</v>
      </c>
      <c r="BD239" s="158"/>
      <c r="BE239" s="158">
        <v>0</v>
      </c>
      <c r="BF239" s="158"/>
      <c r="BG239" s="158">
        <v>0</v>
      </c>
      <c r="BH239" s="158"/>
      <c r="BI239" s="158">
        <v>0</v>
      </c>
      <c r="BJ239" s="158"/>
      <c r="BK239" s="158">
        <v>0</v>
      </c>
      <c r="BL239" s="158"/>
      <c r="BM239" s="158">
        <v>0</v>
      </c>
      <c r="BN239" s="158"/>
      <c r="BO239" s="158">
        <v>0</v>
      </c>
      <c r="BP239" s="158"/>
      <c r="BQ239" s="158">
        <v>0</v>
      </c>
      <c r="BR239" s="158"/>
      <c r="BS239" s="158">
        <v>0</v>
      </c>
      <c r="BT239" s="158"/>
    </row>
    <row r="240" spans="1:72" x14ac:dyDescent="0.2">
      <c r="A240" s="123" t="s">
        <v>301</v>
      </c>
      <c r="B240" s="124" t="s">
        <v>877</v>
      </c>
      <c r="C240" s="158">
        <v>4151.3</v>
      </c>
      <c r="D240" s="158"/>
      <c r="E240" s="158">
        <v>1386</v>
      </c>
      <c r="F240" s="158"/>
      <c r="G240" s="158">
        <v>2125.29</v>
      </c>
      <c r="H240" s="158"/>
      <c r="I240" s="158">
        <v>2524.0700000000002</v>
      </c>
      <c r="J240" s="158"/>
      <c r="K240" s="158">
        <v>4539.54</v>
      </c>
      <c r="L240" s="158"/>
      <c r="M240" s="158">
        <v>2626.11</v>
      </c>
      <c r="N240" s="158"/>
      <c r="O240" s="158">
        <v>0</v>
      </c>
      <c r="P240" s="158"/>
      <c r="Q240" s="158">
        <v>793.19</v>
      </c>
      <c r="R240" s="158"/>
      <c r="S240" s="158">
        <v>2303.64</v>
      </c>
      <c r="T240" s="158"/>
      <c r="U240" s="158">
        <v>3199.14</v>
      </c>
      <c r="V240" s="158"/>
      <c r="W240" s="158">
        <v>3591.11</v>
      </c>
      <c r="X240" s="158"/>
      <c r="Y240" s="158">
        <v>1441.56</v>
      </c>
      <c r="Z240" s="158"/>
      <c r="AA240" s="158">
        <v>2453.0300000000002</v>
      </c>
      <c r="AB240" s="158"/>
      <c r="AC240" s="158">
        <v>2648.26</v>
      </c>
      <c r="AD240" s="158"/>
      <c r="AE240" s="158">
        <v>2297.88</v>
      </c>
      <c r="AF240" s="158"/>
      <c r="AG240" s="158">
        <v>1990.01</v>
      </c>
      <c r="AH240" s="158"/>
      <c r="AI240" s="158">
        <v>2373.23</v>
      </c>
      <c r="AJ240" s="158"/>
      <c r="AK240" s="158">
        <v>2211.6799999999998</v>
      </c>
      <c r="AL240" s="158"/>
      <c r="AM240" s="158">
        <v>3482.16</v>
      </c>
      <c r="AN240" s="158"/>
      <c r="AO240" s="158">
        <v>2446.63</v>
      </c>
      <c r="AP240" s="158"/>
      <c r="AQ240" s="158">
        <v>922.02</v>
      </c>
      <c r="AR240" s="158"/>
      <c r="AS240" s="158">
        <v>4366.25</v>
      </c>
      <c r="AT240" s="158"/>
      <c r="AU240" s="158">
        <v>2192.37</v>
      </c>
      <c r="AV240" s="158"/>
      <c r="AW240" s="158">
        <v>1974.08</v>
      </c>
      <c r="AX240" s="158"/>
      <c r="AY240" s="158">
        <v>3011.57</v>
      </c>
      <c r="AZ240" s="158"/>
      <c r="BA240" s="158">
        <v>1345.23</v>
      </c>
      <c r="BB240" s="158"/>
      <c r="BC240" s="158">
        <v>2286.1799999999998</v>
      </c>
      <c r="BD240" s="158"/>
      <c r="BE240" s="158">
        <v>2144.12</v>
      </c>
      <c r="BF240" s="158"/>
      <c r="BG240" s="158">
        <v>904.73</v>
      </c>
      <c r="BH240" s="158"/>
      <c r="BI240" s="158">
        <v>1339.45</v>
      </c>
      <c r="BJ240" s="158"/>
      <c r="BK240" s="158">
        <v>1209.08</v>
      </c>
      <c r="BL240" s="158"/>
      <c r="BM240" s="158">
        <v>270</v>
      </c>
      <c r="BN240" s="158"/>
      <c r="BO240" s="158">
        <v>1742.46</v>
      </c>
      <c r="BP240" s="158"/>
      <c r="BQ240" s="158">
        <v>3013</v>
      </c>
      <c r="BR240" s="158"/>
      <c r="BS240" s="158">
        <v>2916.02</v>
      </c>
      <c r="BT240" s="158"/>
    </row>
    <row r="241" spans="1:72" x14ac:dyDescent="0.2">
      <c r="A241" s="123" t="s">
        <v>302</v>
      </c>
      <c r="B241" s="124" t="s">
        <v>876</v>
      </c>
      <c r="C241" s="158">
        <v>0</v>
      </c>
      <c r="D241" s="158"/>
      <c r="E241" s="158">
        <v>0</v>
      </c>
      <c r="F241" s="158"/>
      <c r="G241" s="158">
        <v>0</v>
      </c>
      <c r="H241" s="158"/>
      <c r="I241" s="158">
        <v>0</v>
      </c>
      <c r="J241" s="158"/>
      <c r="K241" s="158">
        <v>0</v>
      </c>
      <c r="L241" s="158"/>
      <c r="M241" s="158">
        <v>0</v>
      </c>
      <c r="N241" s="158"/>
      <c r="O241" s="158">
        <v>0</v>
      </c>
      <c r="P241" s="158"/>
      <c r="Q241" s="158">
        <v>0</v>
      </c>
      <c r="R241" s="158"/>
      <c r="S241" s="158">
        <v>0</v>
      </c>
      <c r="T241" s="158"/>
      <c r="U241" s="158">
        <v>0</v>
      </c>
      <c r="V241" s="158"/>
      <c r="W241" s="158">
        <v>0</v>
      </c>
      <c r="X241" s="158"/>
      <c r="Y241" s="158">
        <v>0</v>
      </c>
      <c r="Z241" s="158"/>
      <c r="AA241" s="158">
        <v>0</v>
      </c>
      <c r="AB241" s="158"/>
      <c r="AC241" s="158">
        <v>0</v>
      </c>
      <c r="AD241" s="158"/>
      <c r="AE241" s="158">
        <v>0</v>
      </c>
      <c r="AF241" s="158"/>
      <c r="AG241" s="158">
        <v>0</v>
      </c>
      <c r="AH241" s="158"/>
      <c r="AI241" s="158">
        <v>0</v>
      </c>
      <c r="AJ241" s="158"/>
      <c r="AK241" s="158">
        <v>250</v>
      </c>
      <c r="AL241" s="158"/>
      <c r="AM241" s="158">
        <v>51</v>
      </c>
      <c r="AN241" s="158"/>
      <c r="AO241" s="158">
        <v>0</v>
      </c>
      <c r="AP241" s="158"/>
      <c r="AQ241" s="158">
        <v>0</v>
      </c>
      <c r="AR241" s="158"/>
      <c r="AS241" s="158">
        <v>0</v>
      </c>
      <c r="AT241" s="158"/>
      <c r="AU241" s="158">
        <v>0</v>
      </c>
      <c r="AV241" s="158"/>
      <c r="AW241" s="158">
        <v>0</v>
      </c>
      <c r="AX241" s="158"/>
      <c r="AY241" s="158">
        <v>0</v>
      </c>
      <c r="AZ241" s="158"/>
      <c r="BA241" s="158">
        <v>0</v>
      </c>
      <c r="BB241" s="158"/>
      <c r="BC241" s="158">
        <v>350.93</v>
      </c>
      <c r="BD241" s="158"/>
      <c r="BE241" s="158">
        <v>0</v>
      </c>
      <c r="BF241" s="158"/>
      <c r="BG241" s="158">
        <v>120</v>
      </c>
      <c r="BH241" s="158"/>
      <c r="BI241" s="158">
        <v>0</v>
      </c>
      <c r="BJ241" s="158"/>
      <c r="BK241" s="158">
        <v>0</v>
      </c>
      <c r="BL241" s="158"/>
      <c r="BM241" s="158">
        <v>0</v>
      </c>
      <c r="BN241" s="158"/>
      <c r="BO241" s="158">
        <v>410.43</v>
      </c>
      <c r="BP241" s="158"/>
      <c r="BQ241" s="158">
        <v>244</v>
      </c>
      <c r="BR241" s="158"/>
      <c r="BS241" s="158">
        <v>0</v>
      </c>
      <c r="BT241" s="158"/>
    </row>
    <row r="242" spans="1:72" x14ac:dyDescent="0.2">
      <c r="A242" s="123" t="s">
        <v>303</v>
      </c>
      <c r="B242" s="124" t="s">
        <v>875</v>
      </c>
      <c r="C242" s="158">
        <v>0</v>
      </c>
      <c r="D242" s="158"/>
      <c r="E242" s="158">
        <v>0</v>
      </c>
      <c r="F242" s="158"/>
      <c r="G242" s="158">
        <v>0</v>
      </c>
      <c r="H242" s="158"/>
      <c r="I242" s="158">
        <v>0</v>
      </c>
      <c r="J242" s="158"/>
      <c r="K242" s="158">
        <v>0</v>
      </c>
      <c r="L242" s="158"/>
      <c r="M242" s="158">
        <v>0</v>
      </c>
      <c r="N242" s="158"/>
      <c r="O242" s="158">
        <v>3334</v>
      </c>
      <c r="P242" s="158"/>
      <c r="Q242" s="158">
        <v>0</v>
      </c>
      <c r="R242" s="158"/>
      <c r="S242" s="158">
        <v>160</v>
      </c>
      <c r="T242" s="158"/>
      <c r="U242" s="158">
        <v>0</v>
      </c>
      <c r="V242" s="158"/>
      <c r="W242" s="158">
        <v>0</v>
      </c>
      <c r="X242" s="158"/>
      <c r="Y242" s="158">
        <v>0</v>
      </c>
      <c r="Z242" s="158"/>
      <c r="AA242" s="158">
        <v>0</v>
      </c>
      <c r="AB242" s="158"/>
      <c r="AC242" s="158">
        <v>169.24</v>
      </c>
      <c r="AD242" s="158"/>
      <c r="AE242" s="158">
        <v>0</v>
      </c>
      <c r="AF242" s="158"/>
      <c r="AG242" s="158">
        <v>0</v>
      </c>
      <c r="AH242" s="158"/>
      <c r="AI242" s="158">
        <v>0</v>
      </c>
      <c r="AJ242" s="158"/>
      <c r="AK242" s="158">
        <v>600</v>
      </c>
      <c r="AL242" s="158"/>
      <c r="AM242" s="158">
        <v>-295.32</v>
      </c>
      <c r="AN242" s="158"/>
      <c r="AO242" s="158">
        <v>0</v>
      </c>
      <c r="AP242" s="158"/>
      <c r="AQ242" s="158">
        <v>0</v>
      </c>
      <c r="AR242" s="158"/>
      <c r="AS242" s="158">
        <v>345.5</v>
      </c>
      <c r="AT242" s="158"/>
      <c r="AU242" s="158">
        <v>14923.88</v>
      </c>
      <c r="AV242" s="158"/>
      <c r="AW242" s="158">
        <v>0</v>
      </c>
      <c r="AX242" s="158"/>
      <c r="AY242" s="158">
        <v>0</v>
      </c>
      <c r="AZ242" s="158"/>
      <c r="BA242" s="158">
        <v>0</v>
      </c>
      <c r="BB242" s="158"/>
      <c r="BC242" s="158">
        <v>0</v>
      </c>
      <c r="BD242" s="158"/>
      <c r="BE242" s="158">
        <v>152</v>
      </c>
      <c r="BF242" s="158"/>
      <c r="BG242" s="158">
        <v>0</v>
      </c>
      <c r="BH242" s="158"/>
      <c r="BI242" s="158">
        <v>265.39</v>
      </c>
      <c r="BJ242" s="158"/>
      <c r="BK242" s="158">
        <v>93</v>
      </c>
      <c r="BL242" s="158"/>
      <c r="BM242" s="158">
        <v>0</v>
      </c>
      <c r="BN242" s="158"/>
      <c r="BO242" s="158">
        <v>0</v>
      </c>
      <c r="BP242" s="158"/>
      <c r="BQ242" s="158">
        <v>0</v>
      </c>
      <c r="BR242" s="158"/>
      <c r="BS242" s="158">
        <v>0</v>
      </c>
      <c r="BT242" s="158"/>
    </row>
    <row r="243" spans="1:72" x14ac:dyDescent="0.2">
      <c r="A243" s="123" t="s">
        <v>304</v>
      </c>
      <c r="B243" s="124" t="s">
        <v>874</v>
      </c>
      <c r="C243" s="158">
        <v>170</v>
      </c>
      <c r="D243" s="158"/>
      <c r="E243" s="158">
        <v>0</v>
      </c>
      <c r="F243" s="158"/>
      <c r="G243" s="158">
        <v>0</v>
      </c>
      <c r="H243" s="158"/>
      <c r="I243" s="158">
        <v>225</v>
      </c>
      <c r="J243" s="158"/>
      <c r="K243" s="158">
        <v>65</v>
      </c>
      <c r="L243" s="158"/>
      <c r="M243" s="158">
        <v>235</v>
      </c>
      <c r="N243" s="158"/>
      <c r="O243" s="158">
        <v>450</v>
      </c>
      <c r="P243" s="158"/>
      <c r="Q243" s="158">
        <v>0</v>
      </c>
      <c r="R243" s="158"/>
      <c r="S243" s="158">
        <v>0</v>
      </c>
      <c r="T243" s="158"/>
      <c r="U243" s="158">
        <v>3035</v>
      </c>
      <c r="V243" s="158"/>
      <c r="W243" s="158">
        <v>0</v>
      </c>
      <c r="X243" s="158"/>
      <c r="Y243" s="158">
        <v>0</v>
      </c>
      <c r="Z243" s="158"/>
      <c r="AA243" s="158">
        <v>0</v>
      </c>
      <c r="AB243" s="158"/>
      <c r="AC243" s="158">
        <v>0</v>
      </c>
      <c r="AD243" s="158"/>
      <c r="AE243" s="158">
        <v>180</v>
      </c>
      <c r="AF243" s="158"/>
      <c r="AG243" s="158">
        <v>0</v>
      </c>
      <c r="AH243" s="158"/>
      <c r="AI243" s="158">
        <v>170</v>
      </c>
      <c r="AJ243" s="158"/>
      <c r="AK243" s="158">
        <v>275</v>
      </c>
      <c r="AL243" s="158"/>
      <c r="AM243" s="158">
        <v>0</v>
      </c>
      <c r="AN243" s="158"/>
      <c r="AO243" s="158">
        <v>0</v>
      </c>
      <c r="AP243" s="158"/>
      <c r="AQ243" s="158">
        <v>438.43</v>
      </c>
      <c r="AR243" s="158"/>
      <c r="AS243" s="158">
        <v>100</v>
      </c>
      <c r="AT243" s="158"/>
      <c r="AU243" s="158">
        <v>0</v>
      </c>
      <c r="AV243" s="158"/>
      <c r="AW243" s="158">
        <v>200</v>
      </c>
      <c r="AX243" s="158"/>
      <c r="AY243" s="158">
        <v>0</v>
      </c>
      <c r="AZ243" s="158"/>
      <c r="BA243" s="158">
        <v>100</v>
      </c>
      <c r="BB243" s="158"/>
      <c r="BC243" s="158">
        <v>1280</v>
      </c>
      <c r="BD243" s="158"/>
      <c r="BE243" s="158">
        <v>550</v>
      </c>
      <c r="BF243" s="158"/>
      <c r="BG243" s="158">
        <v>50</v>
      </c>
      <c r="BH243" s="158"/>
      <c r="BI243" s="158">
        <v>225</v>
      </c>
      <c r="BJ243" s="158"/>
      <c r="BK243" s="158">
        <v>0</v>
      </c>
      <c r="BL243" s="158"/>
      <c r="BM243" s="158">
        <v>818.56</v>
      </c>
      <c r="BN243" s="158"/>
      <c r="BO243" s="158">
        <v>0</v>
      </c>
      <c r="BP243" s="158"/>
      <c r="BQ243" s="158">
        <v>-150</v>
      </c>
      <c r="BR243" s="158"/>
      <c r="BS243" s="158">
        <v>0</v>
      </c>
      <c r="BT243" s="158"/>
    </row>
    <row r="244" spans="1:72" x14ac:dyDescent="0.2">
      <c r="A244" s="123" t="s">
        <v>1331</v>
      </c>
      <c r="B244" s="124" t="s">
        <v>1384</v>
      </c>
      <c r="C244" s="158">
        <v>0</v>
      </c>
      <c r="D244" s="158">
        <f>SUM(C244:C248)</f>
        <v>0</v>
      </c>
      <c r="E244" s="158">
        <v>0</v>
      </c>
      <c r="F244" s="158"/>
      <c r="G244" s="158">
        <v>0</v>
      </c>
      <c r="H244" s="158"/>
      <c r="I244" s="158">
        <v>0</v>
      </c>
      <c r="J244" s="158"/>
      <c r="K244" s="158">
        <v>0</v>
      </c>
      <c r="L244" s="158"/>
      <c r="M244" s="158">
        <v>0</v>
      </c>
      <c r="N244" s="158"/>
      <c r="O244" s="158">
        <v>0</v>
      </c>
      <c r="P244" s="158"/>
      <c r="Q244" s="158">
        <v>0</v>
      </c>
      <c r="R244" s="158"/>
      <c r="S244" s="158">
        <v>0</v>
      </c>
      <c r="T244" s="158"/>
      <c r="U244" s="158">
        <v>0</v>
      </c>
      <c r="V244" s="158"/>
      <c r="W244" s="158">
        <v>0</v>
      </c>
      <c r="X244" s="158"/>
      <c r="Y244" s="158">
        <v>0</v>
      </c>
      <c r="Z244" s="158"/>
      <c r="AA244" s="158">
        <v>0</v>
      </c>
      <c r="AB244" s="158"/>
      <c r="AC244" s="158">
        <v>0</v>
      </c>
      <c r="AD244" s="158"/>
      <c r="AE244" s="158">
        <v>0</v>
      </c>
      <c r="AF244" s="158"/>
      <c r="AG244" s="158">
        <v>0</v>
      </c>
      <c r="AH244" s="158"/>
      <c r="AI244" s="158">
        <v>0</v>
      </c>
      <c r="AJ244" s="158"/>
      <c r="AK244" s="158">
        <v>0</v>
      </c>
      <c r="AL244" s="158"/>
      <c r="AM244" s="158">
        <v>0</v>
      </c>
      <c r="AN244" s="158"/>
      <c r="AO244" s="158">
        <v>0</v>
      </c>
      <c r="AP244" s="158"/>
      <c r="AQ244" s="158">
        <v>0</v>
      </c>
      <c r="AR244" s="158"/>
      <c r="AS244" s="158">
        <v>0</v>
      </c>
      <c r="AT244" s="158"/>
      <c r="AU244" s="158">
        <v>0</v>
      </c>
      <c r="AV244" s="158"/>
      <c r="AW244" s="158">
        <v>0</v>
      </c>
      <c r="AX244" s="158"/>
      <c r="AY244" s="158">
        <v>0</v>
      </c>
      <c r="AZ244" s="158"/>
      <c r="BA244" s="158">
        <v>0</v>
      </c>
      <c r="BB244" s="158"/>
      <c r="BC244" s="158">
        <v>0</v>
      </c>
      <c r="BD244" s="158"/>
      <c r="BE244" s="158">
        <v>0</v>
      </c>
      <c r="BF244" s="158"/>
      <c r="BG244" s="158">
        <v>0</v>
      </c>
      <c r="BH244" s="158"/>
      <c r="BI244" s="158">
        <v>0</v>
      </c>
      <c r="BJ244" s="158"/>
      <c r="BK244" s="158">
        <v>0</v>
      </c>
      <c r="BL244" s="158"/>
      <c r="BM244" s="158">
        <v>212476</v>
      </c>
      <c r="BN244" s="158"/>
      <c r="BO244" s="158">
        <v>0</v>
      </c>
      <c r="BP244" s="158"/>
      <c r="BQ244" s="158">
        <v>0</v>
      </c>
      <c r="BR244" s="158"/>
      <c r="BS244" s="158">
        <v>0</v>
      </c>
      <c r="BT244" s="158"/>
    </row>
    <row r="245" spans="1:72" x14ac:dyDescent="0.2">
      <c r="A245" s="123" t="s">
        <v>305</v>
      </c>
      <c r="B245" s="124" t="s">
        <v>873</v>
      </c>
      <c r="C245" s="158">
        <v>0</v>
      </c>
      <c r="D245" s="158"/>
      <c r="E245" s="158">
        <v>0</v>
      </c>
      <c r="F245" s="158">
        <f>SUM(E245:E248)</f>
        <v>2061</v>
      </c>
      <c r="G245" s="158">
        <v>0</v>
      </c>
      <c r="H245" s="158">
        <f>SUM(G245:G248)</f>
        <v>0</v>
      </c>
      <c r="I245" s="158">
        <v>42.81</v>
      </c>
      <c r="J245" s="158">
        <f>SUM(I245:I248)</f>
        <v>64.48</v>
      </c>
      <c r="K245" s="158">
        <v>0</v>
      </c>
      <c r="L245" s="158">
        <f>SUM(K245:K248)</f>
        <v>0</v>
      </c>
      <c r="M245" s="158">
        <v>-4.0999999999999996</v>
      </c>
      <c r="N245" s="158">
        <f>SUM(M245:M248)</f>
        <v>81.080000000000013</v>
      </c>
      <c r="O245" s="158">
        <v>0</v>
      </c>
      <c r="P245" s="158">
        <f>SUM(O245:O248)</f>
        <v>0</v>
      </c>
      <c r="Q245" s="158">
        <v>0</v>
      </c>
      <c r="R245" s="158">
        <f>SUM(Q245:Q248)</f>
        <v>0</v>
      </c>
      <c r="S245" s="158">
        <v>0</v>
      </c>
      <c r="T245" s="158">
        <f>SUM(S245:S248)</f>
        <v>2025</v>
      </c>
      <c r="U245" s="158">
        <v>0</v>
      </c>
      <c r="V245" s="158">
        <f>SUM(U245:U248)</f>
        <v>2002.95</v>
      </c>
      <c r="W245" s="158">
        <v>0</v>
      </c>
      <c r="X245" s="158">
        <f>SUM(W245:W248)</f>
        <v>1860</v>
      </c>
      <c r="Y245" s="158">
        <v>48.24</v>
      </c>
      <c r="Z245" s="158">
        <f>SUM(Y245:Y248)</f>
        <v>48.24</v>
      </c>
      <c r="AA245" s="158">
        <v>0</v>
      </c>
      <c r="AB245" s="158">
        <f>SUM(AA245:AA248)</f>
        <v>86.36</v>
      </c>
      <c r="AC245" s="158">
        <v>0</v>
      </c>
      <c r="AD245" s="158">
        <f>SUM(AC245:AC248)</f>
        <v>1699</v>
      </c>
      <c r="AE245" s="158">
        <v>0</v>
      </c>
      <c r="AF245" s="158">
        <f>SUM(AE245:AE248)</f>
        <v>0</v>
      </c>
      <c r="AG245" s="158">
        <v>0</v>
      </c>
      <c r="AH245" s="158">
        <f>SUM(AG245:AG248)</f>
        <v>86.82</v>
      </c>
      <c r="AI245" s="158">
        <v>0</v>
      </c>
      <c r="AJ245" s="158">
        <f>SUM(AI245:AI248)</f>
        <v>1174</v>
      </c>
      <c r="AK245" s="158">
        <v>117.03</v>
      </c>
      <c r="AL245" s="158">
        <f>SUM(AK245:AK248)</f>
        <v>2426.0300000000002</v>
      </c>
      <c r="AM245" s="158">
        <v>10.52</v>
      </c>
      <c r="AN245" s="158">
        <f>SUM(AM245:AM248)</f>
        <v>2047.68</v>
      </c>
      <c r="AO245" s="158">
        <v>0</v>
      </c>
      <c r="AP245" s="158">
        <f>SUM(AO245:AO248)</f>
        <v>65.63</v>
      </c>
      <c r="AQ245" s="158">
        <v>4.96</v>
      </c>
      <c r="AR245" s="158">
        <f>SUM(AQ245:AQ248)</f>
        <v>313.97999999999996</v>
      </c>
      <c r="AS245" s="158">
        <v>0</v>
      </c>
      <c r="AT245" s="158">
        <f>SUM(AS245:AS248)</f>
        <v>264.17</v>
      </c>
      <c r="AU245" s="158">
        <v>0</v>
      </c>
      <c r="AV245" s="158">
        <f>SUM(AU245:AU248)</f>
        <v>179.10000000000002</v>
      </c>
      <c r="AW245" s="158">
        <v>28.76</v>
      </c>
      <c r="AX245" s="158">
        <f>SUM(AW245:AW248)</f>
        <v>1151.76</v>
      </c>
      <c r="AY245" s="158">
        <v>5.49</v>
      </c>
      <c r="AZ245" s="158">
        <f>SUM(AY245:AY248)</f>
        <v>5.49</v>
      </c>
      <c r="BA245" s="158">
        <v>39.31</v>
      </c>
      <c r="BB245" s="158">
        <f>SUM(BA245:BA248)</f>
        <v>56.22</v>
      </c>
      <c r="BC245" s="158">
        <v>5.93</v>
      </c>
      <c r="BD245" s="158">
        <f>SUM(BC245:BC248)</f>
        <v>125.72</v>
      </c>
      <c r="BE245" s="158">
        <v>33.840000000000003</v>
      </c>
      <c r="BF245" s="158">
        <f>SUM(BE245:BE248)</f>
        <v>93.48</v>
      </c>
      <c r="BG245" s="158">
        <v>5.6</v>
      </c>
      <c r="BH245" s="158">
        <f>SUM(BG245:BG248)</f>
        <v>5.6</v>
      </c>
      <c r="BI245" s="158">
        <v>62.32</v>
      </c>
      <c r="BJ245" s="158">
        <f>SUM(BI245:BI248)</f>
        <v>62.32</v>
      </c>
      <c r="BK245" s="158">
        <v>53.06</v>
      </c>
      <c r="BL245" s="158">
        <f>SUM(BK245:BK248)</f>
        <v>101.1</v>
      </c>
      <c r="BM245" s="158">
        <v>0</v>
      </c>
      <c r="BN245" s="158">
        <f>SUM(BM245:BM248)</f>
        <v>0</v>
      </c>
      <c r="BO245" s="158">
        <v>5.15</v>
      </c>
      <c r="BP245" s="158">
        <f>SUM(BO245:BO248)</f>
        <v>1580.85</v>
      </c>
      <c r="BQ245" s="158">
        <v>5.0199999999999996</v>
      </c>
      <c r="BR245" s="158">
        <f>SUM(BQ245:BQ248)</f>
        <v>1486.5900000000001</v>
      </c>
      <c r="BS245" s="158">
        <v>40.43</v>
      </c>
      <c r="BT245" s="158">
        <f>SUM(BS245:BS248)</f>
        <v>1166.3499999999999</v>
      </c>
    </row>
    <row r="246" spans="1:72" x14ac:dyDescent="0.2">
      <c r="A246" s="123" t="s">
        <v>1326</v>
      </c>
      <c r="B246" s="124" t="s">
        <v>1385</v>
      </c>
      <c r="C246" s="158">
        <v>0</v>
      </c>
      <c r="D246" s="158"/>
      <c r="E246" s="158">
        <v>0</v>
      </c>
      <c r="F246" s="158"/>
      <c r="G246" s="158">
        <v>0</v>
      </c>
      <c r="H246" s="158"/>
      <c r="I246" s="158">
        <v>16.36</v>
      </c>
      <c r="J246" s="158"/>
      <c r="K246" s="158">
        <v>0</v>
      </c>
      <c r="L246" s="158"/>
      <c r="M246" s="158">
        <v>0</v>
      </c>
      <c r="N246" s="158"/>
      <c r="O246" s="158">
        <v>0</v>
      </c>
      <c r="P246" s="158"/>
      <c r="Q246" s="158">
        <v>0</v>
      </c>
      <c r="R246" s="158"/>
      <c r="S246" s="158">
        <v>0</v>
      </c>
      <c r="T246" s="158"/>
      <c r="U246" s="158">
        <v>0</v>
      </c>
      <c r="V246" s="158"/>
      <c r="W246" s="158">
        <v>0</v>
      </c>
      <c r="X246" s="158"/>
      <c r="Y246" s="158">
        <v>0</v>
      </c>
      <c r="Z246" s="158"/>
      <c r="AA246" s="158">
        <v>0</v>
      </c>
      <c r="AB246" s="158"/>
      <c r="AC246" s="158">
        <v>0</v>
      </c>
      <c r="AD246" s="158"/>
      <c r="AE246" s="158">
        <v>0</v>
      </c>
      <c r="AF246" s="158"/>
      <c r="AG246" s="158">
        <v>0</v>
      </c>
      <c r="AH246" s="158"/>
      <c r="AI246" s="158">
        <v>0</v>
      </c>
      <c r="AJ246" s="158"/>
      <c r="AK246" s="158">
        <v>0</v>
      </c>
      <c r="AL246" s="158"/>
      <c r="AM246" s="158">
        <v>0</v>
      </c>
      <c r="AN246" s="158"/>
      <c r="AO246" s="158">
        <v>0</v>
      </c>
      <c r="AP246" s="158"/>
      <c r="AQ246" s="158">
        <v>0</v>
      </c>
      <c r="AR246" s="158"/>
      <c r="AS246" s="158">
        <v>0</v>
      </c>
      <c r="AT246" s="158"/>
      <c r="AU246" s="158">
        <v>37.520000000000003</v>
      </c>
      <c r="AV246" s="158"/>
      <c r="AW246" s="158">
        <v>0</v>
      </c>
      <c r="AX246" s="158"/>
      <c r="AY246" s="158">
        <v>0</v>
      </c>
      <c r="AZ246" s="158"/>
      <c r="BA246" s="158">
        <v>0</v>
      </c>
      <c r="BB246" s="158"/>
      <c r="BC246" s="158">
        <v>48.81</v>
      </c>
      <c r="BD246" s="158"/>
      <c r="BE246" s="158">
        <v>0</v>
      </c>
      <c r="BF246" s="158"/>
      <c r="BG246" s="158">
        <v>0</v>
      </c>
      <c r="BH246" s="158"/>
      <c r="BI246" s="158">
        <v>0</v>
      </c>
      <c r="BJ246" s="158"/>
      <c r="BK246" s="158">
        <v>0</v>
      </c>
      <c r="BL246" s="158"/>
      <c r="BM246" s="158">
        <v>0</v>
      </c>
      <c r="BN246" s="158"/>
      <c r="BO246" s="158">
        <v>0</v>
      </c>
      <c r="BP246" s="158"/>
      <c r="BQ246" s="158">
        <v>0</v>
      </c>
      <c r="BR246" s="158"/>
      <c r="BS246" s="158">
        <v>0</v>
      </c>
      <c r="BT246" s="158"/>
    </row>
    <row r="247" spans="1:72" x14ac:dyDescent="0.2">
      <c r="A247" s="123" t="s">
        <v>872</v>
      </c>
      <c r="B247" s="124" t="s">
        <v>871</v>
      </c>
      <c r="C247" s="158">
        <v>0</v>
      </c>
      <c r="D247" s="158"/>
      <c r="E247" s="158">
        <v>0</v>
      </c>
      <c r="F247" s="158"/>
      <c r="G247" s="158">
        <v>0</v>
      </c>
      <c r="H247" s="158"/>
      <c r="I247" s="158">
        <v>0</v>
      </c>
      <c r="J247" s="158"/>
      <c r="K247" s="158">
        <v>0</v>
      </c>
      <c r="L247" s="158"/>
      <c r="M247" s="158">
        <v>0</v>
      </c>
      <c r="N247" s="158"/>
      <c r="O247" s="158">
        <v>0</v>
      </c>
      <c r="P247" s="158"/>
      <c r="Q247" s="158">
        <v>0</v>
      </c>
      <c r="R247" s="158"/>
      <c r="S247" s="158">
        <v>0</v>
      </c>
      <c r="T247" s="158"/>
      <c r="U247" s="158">
        <v>0</v>
      </c>
      <c r="V247" s="158"/>
      <c r="W247" s="158">
        <v>0</v>
      </c>
      <c r="X247" s="158"/>
      <c r="Y247" s="158">
        <v>0</v>
      </c>
      <c r="Z247" s="158"/>
      <c r="AA247" s="158">
        <v>0</v>
      </c>
      <c r="AB247" s="158"/>
      <c r="AC247" s="158">
        <v>0</v>
      </c>
      <c r="AD247" s="158"/>
      <c r="AE247" s="158">
        <v>0</v>
      </c>
      <c r="AF247" s="158"/>
      <c r="AG247" s="158">
        <v>0</v>
      </c>
      <c r="AH247" s="158"/>
      <c r="AI247" s="158">
        <v>0</v>
      </c>
      <c r="AJ247" s="158"/>
      <c r="AK247" s="158">
        <v>0</v>
      </c>
      <c r="AL247" s="158"/>
      <c r="AM247" s="158">
        <v>0</v>
      </c>
      <c r="AN247" s="158"/>
      <c r="AO247" s="158">
        <v>0</v>
      </c>
      <c r="AP247" s="158"/>
      <c r="AQ247" s="158">
        <v>0</v>
      </c>
      <c r="AR247" s="158"/>
      <c r="AS247" s="158">
        <v>0</v>
      </c>
      <c r="AT247" s="158"/>
      <c r="AU247" s="158">
        <v>0</v>
      </c>
      <c r="AV247" s="158"/>
      <c r="AW247" s="158">
        <v>0</v>
      </c>
      <c r="AX247" s="158"/>
      <c r="AY247" s="158">
        <v>0</v>
      </c>
      <c r="AZ247" s="158"/>
      <c r="BA247" s="158">
        <v>0</v>
      </c>
      <c r="BB247" s="158"/>
      <c r="BC247" s="158">
        <v>0</v>
      </c>
      <c r="BD247" s="158"/>
      <c r="BE247" s="158">
        <v>0</v>
      </c>
      <c r="BF247" s="158"/>
      <c r="BG247" s="158">
        <v>0</v>
      </c>
      <c r="BH247" s="158"/>
      <c r="BI247" s="158">
        <v>0</v>
      </c>
      <c r="BJ247" s="158"/>
      <c r="BK247" s="158">
        <v>0</v>
      </c>
      <c r="BL247" s="158"/>
      <c r="BM247" s="158">
        <v>0</v>
      </c>
      <c r="BN247" s="158"/>
      <c r="BO247" s="158">
        <v>707.53</v>
      </c>
      <c r="BP247" s="158"/>
      <c r="BQ247" s="158">
        <v>690.32</v>
      </c>
      <c r="BR247" s="158"/>
      <c r="BS247" s="158">
        <v>506.18</v>
      </c>
      <c r="BT247" s="158"/>
    </row>
    <row r="248" spans="1:72" x14ac:dyDescent="0.2">
      <c r="A248" s="123" t="s">
        <v>306</v>
      </c>
      <c r="B248" s="124" t="s">
        <v>870</v>
      </c>
      <c r="C248" s="162">
        <v>0</v>
      </c>
      <c r="D248" s="162"/>
      <c r="E248" s="162">
        <v>2061</v>
      </c>
      <c r="F248" s="162"/>
      <c r="G248" s="162">
        <v>0</v>
      </c>
      <c r="H248" s="162"/>
      <c r="I248" s="162">
        <v>5.31</v>
      </c>
      <c r="J248" s="162"/>
      <c r="K248" s="162">
        <v>0</v>
      </c>
      <c r="L248" s="162"/>
      <c r="M248" s="162">
        <v>85.18</v>
      </c>
      <c r="N248" s="162"/>
      <c r="O248" s="162">
        <v>0</v>
      </c>
      <c r="P248" s="162"/>
      <c r="Q248" s="162">
        <v>0</v>
      </c>
      <c r="R248" s="162"/>
      <c r="S248" s="162">
        <v>2025</v>
      </c>
      <c r="T248" s="162"/>
      <c r="U248" s="162">
        <v>2002.95</v>
      </c>
      <c r="V248" s="162"/>
      <c r="W248" s="162">
        <v>1860</v>
      </c>
      <c r="X248" s="162"/>
      <c r="Y248" s="162">
        <v>0</v>
      </c>
      <c r="Z248" s="162"/>
      <c r="AA248" s="162">
        <v>86.36</v>
      </c>
      <c r="AB248" s="162"/>
      <c r="AC248" s="162">
        <v>1699</v>
      </c>
      <c r="AD248" s="162"/>
      <c r="AE248" s="162">
        <v>0</v>
      </c>
      <c r="AF248" s="162"/>
      <c r="AG248" s="162">
        <v>86.82</v>
      </c>
      <c r="AH248" s="162"/>
      <c r="AI248" s="162">
        <v>1174</v>
      </c>
      <c r="AJ248" s="162"/>
      <c r="AK248" s="162">
        <v>2309</v>
      </c>
      <c r="AL248" s="162"/>
      <c r="AM248" s="162">
        <v>2037.16</v>
      </c>
      <c r="AN248" s="162"/>
      <c r="AO248" s="162">
        <v>65.63</v>
      </c>
      <c r="AP248" s="162"/>
      <c r="AQ248" s="162">
        <v>309.02</v>
      </c>
      <c r="AR248" s="162"/>
      <c r="AS248" s="162">
        <v>264.17</v>
      </c>
      <c r="AT248" s="162"/>
      <c r="AU248" s="162">
        <v>141.58000000000001</v>
      </c>
      <c r="AV248" s="162"/>
      <c r="AW248" s="162">
        <v>1123</v>
      </c>
      <c r="AX248" s="162"/>
      <c r="AY248" s="162">
        <v>0</v>
      </c>
      <c r="AZ248" s="162"/>
      <c r="BA248" s="162">
        <v>16.91</v>
      </c>
      <c r="BB248" s="162"/>
      <c r="BC248" s="162">
        <v>70.98</v>
      </c>
      <c r="BD248" s="162"/>
      <c r="BE248" s="162">
        <v>59.64</v>
      </c>
      <c r="BF248" s="162"/>
      <c r="BG248" s="162">
        <v>0</v>
      </c>
      <c r="BH248" s="162"/>
      <c r="BI248" s="162">
        <v>0</v>
      </c>
      <c r="BJ248" s="162"/>
      <c r="BK248" s="162">
        <v>48.04</v>
      </c>
      <c r="BL248" s="162"/>
      <c r="BM248" s="162">
        <v>0</v>
      </c>
      <c r="BN248" s="162"/>
      <c r="BO248" s="162">
        <v>868.17</v>
      </c>
      <c r="BP248" s="162"/>
      <c r="BQ248" s="162">
        <v>791.25</v>
      </c>
      <c r="BR248" s="162"/>
      <c r="BS248" s="162">
        <v>619.74</v>
      </c>
      <c r="BT248" s="162"/>
    </row>
    <row r="249" spans="1:72" x14ac:dyDescent="0.2">
      <c r="A249" s="123"/>
      <c r="B249" s="124"/>
      <c r="C249" s="156">
        <f t="shared" ref="C249:AL249" si="1">SUM(C212:C248)</f>
        <v>438370.56999999995</v>
      </c>
      <c r="D249" s="156">
        <f t="shared" si="1"/>
        <v>438370.57</v>
      </c>
      <c r="E249" s="156">
        <f t="shared" si="1"/>
        <v>420624.47</v>
      </c>
      <c r="F249" s="156">
        <f t="shared" si="1"/>
        <v>420624.47</v>
      </c>
      <c r="G249" s="156">
        <f t="shared" si="1"/>
        <v>439418.61</v>
      </c>
      <c r="H249" s="156">
        <f t="shared" si="1"/>
        <v>439418.61</v>
      </c>
      <c r="I249" s="156">
        <f t="shared" si="1"/>
        <v>459956.90999999992</v>
      </c>
      <c r="J249" s="156">
        <f t="shared" si="1"/>
        <v>459956.91</v>
      </c>
      <c r="K249" s="156">
        <f t="shared" si="1"/>
        <v>1126896.83</v>
      </c>
      <c r="L249" s="156">
        <f t="shared" si="1"/>
        <v>1126896.8299999998</v>
      </c>
      <c r="M249" s="156">
        <f t="shared" si="1"/>
        <v>382844.32999999996</v>
      </c>
      <c r="N249" s="156">
        <f t="shared" si="1"/>
        <v>382844.32999999996</v>
      </c>
      <c r="O249" s="156">
        <f t="shared" si="1"/>
        <v>315966.85000000003</v>
      </c>
      <c r="P249" s="156">
        <f t="shared" si="1"/>
        <v>315966.85000000003</v>
      </c>
      <c r="Q249" s="156">
        <f t="shared" si="1"/>
        <v>310973.31000000006</v>
      </c>
      <c r="R249" s="156">
        <f t="shared" si="1"/>
        <v>310973.31</v>
      </c>
      <c r="S249" s="156">
        <f t="shared" si="1"/>
        <v>415214.8</v>
      </c>
      <c r="T249" s="156">
        <f t="shared" si="1"/>
        <v>415214.8</v>
      </c>
      <c r="U249" s="156">
        <f t="shared" si="1"/>
        <v>494993.66</v>
      </c>
      <c r="V249" s="156">
        <f t="shared" si="1"/>
        <v>494993.66</v>
      </c>
      <c r="W249" s="156">
        <f t="shared" si="1"/>
        <v>305738.98</v>
      </c>
      <c r="X249" s="156">
        <f t="shared" si="1"/>
        <v>305738.98</v>
      </c>
      <c r="Y249" s="156">
        <f t="shared" si="1"/>
        <v>405560.55</v>
      </c>
      <c r="Z249" s="156">
        <f t="shared" si="1"/>
        <v>405560.55</v>
      </c>
      <c r="AA249" s="156">
        <f t="shared" si="1"/>
        <v>443914.16</v>
      </c>
      <c r="AB249" s="156">
        <f t="shared" si="1"/>
        <v>443914.15999999992</v>
      </c>
      <c r="AC249" s="156">
        <f t="shared" si="1"/>
        <v>263317.46999999997</v>
      </c>
      <c r="AD249" s="156">
        <f t="shared" si="1"/>
        <v>263317.46999999997</v>
      </c>
      <c r="AE249" s="156">
        <f t="shared" si="1"/>
        <v>681752.42</v>
      </c>
      <c r="AF249" s="156">
        <f t="shared" si="1"/>
        <v>681752.42</v>
      </c>
      <c r="AG249" s="156">
        <f t="shared" si="1"/>
        <v>422267.27</v>
      </c>
      <c r="AH249" s="156">
        <f t="shared" si="1"/>
        <v>422267.27</v>
      </c>
      <c r="AI249" s="156">
        <f t="shared" si="1"/>
        <v>217903.31</v>
      </c>
      <c r="AJ249" s="156">
        <f t="shared" si="1"/>
        <v>217903.31</v>
      </c>
      <c r="AK249" s="156">
        <f t="shared" si="1"/>
        <v>382651.61000000004</v>
      </c>
      <c r="AL249" s="156">
        <f t="shared" si="1"/>
        <v>382651.61000000004</v>
      </c>
      <c r="AM249" s="156">
        <f t="shared" ref="AM249:BT249" si="2">SUM(AM212:AM248)</f>
        <v>665633.26000000013</v>
      </c>
      <c r="AN249" s="156">
        <f t="shared" si="2"/>
        <v>665633.26</v>
      </c>
      <c r="AO249" s="156">
        <f t="shared" si="2"/>
        <v>385556.30000000005</v>
      </c>
      <c r="AP249" s="156">
        <f t="shared" si="2"/>
        <v>385556.30000000005</v>
      </c>
      <c r="AQ249" s="156">
        <f t="shared" si="2"/>
        <v>435752.84</v>
      </c>
      <c r="AR249" s="156">
        <f t="shared" si="2"/>
        <v>435752.84</v>
      </c>
      <c r="AS249" s="156">
        <f t="shared" si="2"/>
        <v>406371.92999999988</v>
      </c>
      <c r="AT249" s="156">
        <f t="shared" si="2"/>
        <v>406371.92999999993</v>
      </c>
      <c r="AU249" s="156">
        <f t="shared" si="2"/>
        <v>740726.60000000009</v>
      </c>
      <c r="AV249" s="156">
        <f t="shared" si="2"/>
        <v>740726.60000000009</v>
      </c>
      <c r="AW249" s="156">
        <f t="shared" si="2"/>
        <v>292050.06000000006</v>
      </c>
      <c r="AX249" s="156">
        <f t="shared" si="2"/>
        <v>292050.06</v>
      </c>
      <c r="AY249" s="156">
        <f t="shared" si="2"/>
        <v>429292.21</v>
      </c>
      <c r="AZ249" s="156">
        <f t="shared" si="2"/>
        <v>429292.21</v>
      </c>
      <c r="BA249" s="156">
        <f t="shared" si="2"/>
        <v>416366.79</v>
      </c>
      <c r="BB249" s="156">
        <f t="shared" si="2"/>
        <v>416366.79</v>
      </c>
      <c r="BC249" s="156">
        <f t="shared" si="2"/>
        <v>330182.56999999989</v>
      </c>
      <c r="BD249" s="156">
        <f t="shared" si="2"/>
        <v>330182.56999999995</v>
      </c>
      <c r="BE249" s="156">
        <f t="shared" si="2"/>
        <v>547166.95999999985</v>
      </c>
      <c r="BF249" s="156">
        <f t="shared" si="2"/>
        <v>547166.96</v>
      </c>
      <c r="BG249" s="156">
        <f t="shared" si="2"/>
        <v>253381.00000000003</v>
      </c>
      <c r="BH249" s="156">
        <f t="shared" si="2"/>
        <v>253381</v>
      </c>
      <c r="BI249" s="156">
        <f t="shared" si="2"/>
        <v>376323.09</v>
      </c>
      <c r="BJ249" s="156">
        <f t="shared" si="2"/>
        <v>376323.08999999997</v>
      </c>
      <c r="BK249" s="156">
        <f t="shared" si="2"/>
        <v>520075.56999999989</v>
      </c>
      <c r="BL249" s="156">
        <f t="shared" si="2"/>
        <v>520075.56999999995</v>
      </c>
      <c r="BM249" s="156">
        <f t="shared" si="2"/>
        <v>452126.81999999995</v>
      </c>
      <c r="BN249" s="156">
        <f t="shared" si="2"/>
        <v>452126.81999999995</v>
      </c>
      <c r="BO249" s="156">
        <f t="shared" si="2"/>
        <v>478840.26</v>
      </c>
      <c r="BP249" s="156">
        <f t="shared" si="2"/>
        <v>478840.25999999995</v>
      </c>
      <c r="BQ249" s="156">
        <f t="shared" si="2"/>
        <v>443792.73</v>
      </c>
      <c r="BR249" s="156">
        <f t="shared" si="2"/>
        <v>443792.73</v>
      </c>
      <c r="BS249" s="156">
        <f t="shared" si="2"/>
        <v>397681.24000000005</v>
      </c>
      <c r="BT249" s="156">
        <f t="shared" si="2"/>
        <v>397681.24</v>
      </c>
    </row>
    <row r="250" spans="1:72" x14ac:dyDescent="0.2">
      <c r="A250" s="123"/>
      <c r="B250" s="124"/>
      <c r="C250" s="157"/>
      <c r="D250" s="157"/>
      <c r="E250" s="157"/>
      <c r="F250" s="157"/>
      <c r="G250" s="157"/>
      <c r="H250" s="157"/>
      <c r="I250" s="157"/>
      <c r="J250" s="157"/>
      <c r="K250" s="157"/>
      <c r="L250" s="157"/>
      <c r="M250" s="157"/>
      <c r="N250" s="157"/>
      <c r="O250" s="157"/>
      <c r="P250" s="157"/>
      <c r="Q250" s="157"/>
      <c r="R250" s="157"/>
      <c r="S250" s="157"/>
      <c r="T250" s="157"/>
      <c r="U250" s="157"/>
      <c r="V250" s="157"/>
      <c r="W250" s="157"/>
      <c r="X250" s="157"/>
      <c r="Y250" s="157"/>
      <c r="Z250" s="157"/>
      <c r="AA250" s="157"/>
      <c r="AB250" s="157"/>
      <c r="AC250" s="157"/>
      <c r="AD250" s="157"/>
      <c r="AE250" s="157"/>
      <c r="AF250" s="157"/>
      <c r="AG250" s="157"/>
      <c r="AH250" s="157"/>
      <c r="AI250" s="157"/>
      <c r="AJ250" s="157"/>
      <c r="AK250" s="157"/>
      <c r="AL250" s="157"/>
      <c r="AM250" s="157"/>
      <c r="AN250" s="157"/>
      <c r="AO250" s="157"/>
      <c r="AP250" s="157"/>
      <c r="AQ250" s="157"/>
      <c r="AR250" s="157"/>
      <c r="AS250" s="157"/>
      <c r="AT250" s="157"/>
      <c r="AU250" s="157"/>
      <c r="AV250" s="157"/>
      <c r="AW250" s="157"/>
      <c r="AX250" s="157"/>
      <c r="AY250" s="157"/>
      <c r="AZ250" s="157"/>
      <c r="BA250" s="157"/>
      <c r="BB250" s="157"/>
      <c r="BC250" s="157"/>
      <c r="BD250" s="157"/>
      <c r="BE250" s="157"/>
      <c r="BF250" s="157"/>
      <c r="BG250" s="157"/>
      <c r="BH250" s="157"/>
      <c r="BI250" s="157"/>
      <c r="BJ250" s="157"/>
      <c r="BK250" s="157"/>
      <c r="BL250" s="157"/>
      <c r="BM250" s="157"/>
      <c r="BN250" s="157"/>
      <c r="BO250" s="157"/>
      <c r="BP250" s="157"/>
      <c r="BQ250" s="157"/>
      <c r="BR250" s="157"/>
      <c r="BS250" s="157"/>
      <c r="BT250" s="157"/>
    </row>
    <row r="251" spans="1:72" x14ac:dyDescent="0.2">
      <c r="A251" s="123" t="s">
        <v>539</v>
      </c>
      <c r="B251" s="124" t="s">
        <v>869</v>
      </c>
      <c r="C251" s="158">
        <v>10269.049999999999</v>
      </c>
      <c r="D251" s="158">
        <f>SUM(C251:C255,C264,C267,C284:C330,C417:C461)</f>
        <v>68383.170000000013</v>
      </c>
      <c r="E251" s="158">
        <v>18163.669999999998</v>
      </c>
      <c r="F251" s="158">
        <f>SUM(E251:E255,E264,E267,E284:E330,E417:E461)</f>
        <v>102765.81000000001</v>
      </c>
      <c r="G251" s="158">
        <v>10166.35</v>
      </c>
      <c r="H251" s="158">
        <f>SUM(G251:G255,G264,G267,G284:G330,G417:G461)</f>
        <v>43187.130000000005</v>
      </c>
      <c r="I251" s="158">
        <v>19920.53</v>
      </c>
      <c r="J251" s="158">
        <f>SUM(I251:I255,I264,I267,I284:I330,I417:I461)</f>
        <v>53822.299999999996</v>
      </c>
      <c r="K251" s="158">
        <v>22522.5</v>
      </c>
      <c r="L251" s="158">
        <f>SUM(K251:K255,K264,K267,K284:K330,K417:K461)</f>
        <v>105592.80000000003</v>
      </c>
      <c r="M251" s="158">
        <v>18796.41</v>
      </c>
      <c r="N251" s="158">
        <f>SUM(M251:M255,M264,M267,M284:M330,M417:M461)</f>
        <v>80744.049999999988</v>
      </c>
      <c r="O251" s="158">
        <v>21872.98</v>
      </c>
      <c r="P251" s="158">
        <f>SUM(O251:O255,O264,O267,O284:O330,O417:O461)</f>
        <v>59012.369999999988</v>
      </c>
      <c r="Q251" s="158">
        <v>11731.23</v>
      </c>
      <c r="R251" s="158">
        <f>SUM(Q251:Q255,Q264,Q267,Q284:Q330,Q417:Q461)</f>
        <v>55791.81</v>
      </c>
      <c r="S251" s="158">
        <v>19210.62</v>
      </c>
      <c r="T251" s="158">
        <f>SUM(S251:S255,S264,S267,S284:S330,S417:S461)</f>
        <v>77584.479999999996</v>
      </c>
      <c r="U251" s="158">
        <v>21216.959999999999</v>
      </c>
      <c r="V251" s="158">
        <f>SUM(U251:U255,U264,U267,U284:U330,U417:U461)</f>
        <v>44063.930000000008</v>
      </c>
      <c r="W251" s="158">
        <v>17243.939999999999</v>
      </c>
      <c r="X251" s="158">
        <f>SUM(W251:W255,W264,W267,W284:W330,W417:W461)</f>
        <v>68332.76999999999</v>
      </c>
      <c r="Y251" s="158">
        <v>19270.150000000001</v>
      </c>
      <c r="Z251" s="158">
        <f>SUM(Y251:Y255,Y264,Y267,Y284:Y330,Y417:Y461)</f>
        <v>35386.370000000003</v>
      </c>
      <c r="AA251" s="158">
        <v>20232.419999999998</v>
      </c>
      <c r="AB251" s="158">
        <f>SUM(AA251:AA255,AA264,AA267,AA284:AA330,AA417:AA461)</f>
        <v>57894.95</v>
      </c>
      <c r="AC251" s="158">
        <v>15941.84</v>
      </c>
      <c r="AD251" s="158">
        <f>SUM(AC251:AC255,AC264,AC267,AC284:AC330,AC417:AC461)</f>
        <v>53162.51</v>
      </c>
      <c r="AE251" s="158">
        <v>31023.919999999998</v>
      </c>
      <c r="AF251" s="158">
        <f>SUM(AE251:AE255,AE264,AE267,AE284:AE330,AE417:AE461)</f>
        <v>99808.3</v>
      </c>
      <c r="AG251" s="158">
        <v>19262.150000000001</v>
      </c>
      <c r="AH251" s="158">
        <f>SUM(AG251:AG257,AG264,AG267,AG284:AG330,AG417:AG461)</f>
        <v>67794.509999999995</v>
      </c>
      <c r="AI251" s="158">
        <v>12753.49</v>
      </c>
      <c r="AJ251" s="158">
        <f>SUM(AI251:AI255,AI264,AI267,AI284:AI330,AI417:AI461)</f>
        <v>54846.32</v>
      </c>
      <c r="AK251" s="158">
        <v>22820.639999999999</v>
      </c>
      <c r="AL251" s="158">
        <f>SUM(AK251:AK255,AK264,AK267,AK284:AK330,AK417:AK461)</f>
        <v>89709.93</v>
      </c>
      <c r="AM251" s="158">
        <v>15237.52</v>
      </c>
      <c r="AN251" s="158">
        <f>SUM(AM251:AM255,AM264,AM267,AM284:AM330,AM417:AM461)</f>
        <v>86046.239999999991</v>
      </c>
      <c r="AO251" s="158">
        <v>11574.79</v>
      </c>
      <c r="AP251" s="158">
        <f>SUM(AO251:AO255,AO264,AO267,AO284:AO330,AO417:AO461)</f>
        <v>58061.489999999991</v>
      </c>
      <c r="AQ251" s="158">
        <v>11118.09</v>
      </c>
      <c r="AR251" s="158">
        <f>SUM(AQ251:AQ255,AQ264,AQ267,AQ284:AQ330,AQ417:AQ461)</f>
        <v>56032.44000000001</v>
      </c>
      <c r="AS251" s="158">
        <v>10902.23</v>
      </c>
      <c r="AT251" s="158">
        <f>SUM(AS251:AS256,AS264,AS267,AS284:AS330,AS417:AS461)</f>
        <v>46856.13</v>
      </c>
      <c r="AU251" s="158">
        <v>23273.59</v>
      </c>
      <c r="AV251" s="158">
        <f>SUM(AU251:AU255,AU264,AU267,AU284,AU285:AU330,AU417:AU461)</f>
        <v>82667.8</v>
      </c>
      <c r="AW251" s="158">
        <v>18476.87</v>
      </c>
      <c r="AX251" s="158">
        <f>SUM(AW251:AW255,AW264,AW267,AW284:AW330,AW417:AW461)</f>
        <v>24090.210000000006</v>
      </c>
      <c r="AY251" s="158">
        <v>14149.04</v>
      </c>
      <c r="AZ251" s="158">
        <f>SUM(AY251:AY255,AY264,AY267,AY284:AY330,AY417:AY461)</f>
        <v>44597.95</v>
      </c>
      <c r="BA251" s="158">
        <v>19524.09</v>
      </c>
      <c r="BB251" s="158">
        <f>SUM(BA251:BA255,BA264,BA267,BA284:BA330,BA417:BA461)</f>
        <v>45532.709999999992</v>
      </c>
      <c r="BC251" s="158">
        <v>21346.5</v>
      </c>
      <c r="BD251" s="158">
        <f>SUM(BC251:BC255,BC264,BC267,BC284:BC330,BC417:BC461)</f>
        <v>98139.360000000044</v>
      </c>
      <c r="BE251" s="158">
        <v>17726.490000000002</v>
      </c>
      <c r="BF251" s="158">
        <f>SUM(BE251:BE255,BE264,BE267,BE284:BE330,BE417:BE461)</f>
        <v>107609.31</v>
      </c>
      <c r="BG251" s="158">
        <v>10135.56</v>
      </c>
      <c r="BH251" s="158">
        <f>SUM(BG251:BG255,BG264,BG267,BG284:BG330,BG417:BG461)</f>
        <v>52313.439999999988</v>
      </c>
      <c r="BI251" s="158">
        <v>10683.62</v>
      </c>
      <c r="BJ251" s="158">
        <f>SUM(BI251:BI255,BI264,BI267,BI284:BI330,BI417:BI461)</f>
        <v>65732.340000000011</v>
      </c>
      <c r="BK251" s="158">
        <v>23459.95</v>
      </c>
      <c r="BL251" s="158">
        <f>SUM(BK251:BK255,BK264,BK267,BK284:BK330,BK417:BK461)</f>
        <v>65460.989999999954</v>
      </c>
      <c r="BM251" s="158">
        <v>6516.54</v>
      </c>
      <c r="BN251" s="158">
        <f>SUM(BM251:BM255,BM264,BM267,BM284:BM330,BM417:BM461)</f>
        <v>47379.26</v>
      </c>
      <c r="BO251" s="158">
        <v>21686.35</v>
      </c>
      <c r="BP251" s="158">
        <f>SUM(BO251:BO255,BO264,BO267,BO284:BO330,BO417:BO461)</f>
        <v>65667.66</v>
      </c>
      <c r="BQ251" s="158">
        <v>17979.189999999999</v>
      </c>
      <c r="BR251" s="158">
        <f>SUM(BQ251:BQ255,BQ264,BQ267,BQ284:BQ330,BQ417:BQ461)</f>
        <v>52997.96</v>
      </c>
      <c r="BS251" s="158">
        <v>12149.31</v>
      </c>
      <c r="BT251" s="158">
        <f>SUM(BS251:BS255,BS264,BS267,BS284:BS330,BS417:BS461)</f>
        <v>33508.639999999999</v>
      </c>
    </row>
    <row r="252" spans="1:72" x14ac:dyDescent="0.2">
      <c r="A252" s="123" t="s">
        <v>307</v>
      </c>
      <c r="B252" s="124" t="s">
        <v>868</v>
      </c>
      <c r="C252" s="158">
        <v>0</v>
      </c>
      <c r="D252" s="158"/>
      <c r="E252" s="158">
        <v>0</v>
      </c>
      <c r="F252" s="158"/>
      <c r="G252" s="158">
        <v>0</v>
      </c>
      <c r="H252" s="158"/>
      <c r="I252" s="158">
        <v>0</v>
      </c>
      <c r="J252" s="158"/>
      <c r="K252" s="158">
        <v>2125.73</v>
      </c>
      <c r="L252" s="158"/>
      <c r="M252" s="158">
        <v>0</v>
      </c>
      <c r="N252" s="158"/>
      <c r="O252" s="158">
        <v>0</v>
      </c>
      <c r="P252" s="158"/>
      <c r="Q252" s="158">
        <v>0.88</v>
      </c>
      <c r="R252" s="158"/>
      <c r="S252" s="158">
        <v>0</v>
      </c>
      <c r="T252" s="158"/>
      <c r="U252" s="158">
        <v>0</v>
      </c>
      <c r="V252" s="158"/>
      <c r="W252" s="158">
        <v>0</v>
      </c>
      <c r="X252" s="158"/>
      <c r="Y252" s="158">
        <v>0</v>
      </c>
      <c r="Z252" s="158"/>
      <c r="AA252" s="158">
        <v>0</v>
      </c>
      <c r="AB252" s="158"/>
      <c r="AC252" s="158">
        <v>283.64999999999998</v>
      </c>
      <c r="AD252" s="158"/>
      <c r="AE252" s="158">
        <v>0</v>
      </c>
      <c r="AF252" s="158"/>
      <c r="AG252" s="158">
        <v>0</v>
      </c>
      <c r="AH252" s="158"/>
      <c r="AI252" s="158">
        <v>222.89</v>
      </c>
      <c r="AJ252" s="158"/>
      <c r="AK252" s="158">
        <v>0</v>
      </c>
      <c r="AL252" s="158"/>
      <c r="AM252" s="158">
        <v>0</v>
      </c>
      <c r="AN252" s="158"/>
      <c r="AO252" s="158">
        <v>0</v>
      </c>
      <c r="AP252" s="158"/>
      <c r="AQ252" s="158">
        <v>1633.34</v>
      </c>
      <c r="AR252" s="158"/>
      <c r="AS252" s="158">
        <v>1294.6099999999999</v>
      </c>
      <c r="AT252" s="158"/>
      <c r="AU252" s="158">
        <v>0</v>
      </c>
      <c r="AV252" s="158"/>
      <c r="AW252" s="158">
        <v>0</v>
      </c>
      <c r="AX252" s="158"/>
      <c r="AY252" s="158">
        <v>-5.68</v>
      </c>
      <c r="AZ252" s="158"/>
      <c r="BA252" s="158">
        <v>0</v>
      </c>
      <c r="BB252" s="158"/>
      <c r="BC252" s="158">
        <v>0</v>
      </c>
      <c r="BD252" s="158"/>
      <c r="BE252" s="158">
        <v>0</v>
      </c>
      <c r="BF252" s="158"/>
      <c r="BG252" s="158">
        <v>0</v>
      </c>
      <c r="BH252" s="158"/>
      <c r="BI252" s="158">
        <v>0</v>
      </c>
      <c r="BJ252" s="158"/>
      <c r="BK252" s="158">
        <v>99.01</v>
      </c>
      <c r="BL252" s="158"/>
      <c r="BM252" s="158">
        <v>0</v>
      </c>
      <c r="BN252" s="158"/>
      <c r="BO252" s="158">
        <v>827.93</v>
      </c>
      <c r="BP252" s="158"/>
      <c r="BQ252" s="158">
        <v>218.66</v>
      </c>
      <c r="BR252" s="158"/>
      <c r="BS252" s="158">
        <v>0</v>
      </c>
      <c r="BT252" s="158"/>
    </row>
    <row r="253" spans="1:72" x14ac:dyDescent="0.2">
      <c r="A253" s="123" t="s">
        <v>308</v>
      </c>
      <c r="B253" s="124" t="s">
        <v>867</v>
      </c>
      <c r="C253" s="158">
        <v>28578.23</v>
      </c>
      <c r="D253" s="158"/>
      <c r="E253" s="158">
        <v>15154.66</v>
      </c>
      <c r="F253" s="158"/>
      <c r="G253" s="158">
        <v>8480.2000000000007</v>
      </c>
      <c r="H253" s="158"/>
      <c r="I253" s="158">
        <v>13214.31</v>
      </c>
      <c r="J253" s="158"/>
      <c r="K253" s="158">
        <v>21186.43</v>
      </c>
      <c r="L253" s="158"/>
      <c r="M253" s="158">
        <v>12440.58</v>
      </c>
      <c r="N253" s="158"/>
      <c r="O253" s="158">
        <v>7512.84</v>
      </c>
      <c r="P253" s="158"/>
      <c r="Q253" s="158">
        <v>12690.68</v>
      </c>
      <c r="R253" s="158"/>
      <c r="S253" s="158">
        <v>16073.11</v>
      </c>
      <c r="T253" s="158"/>
      <c r="U253" s="158">
        <v>12147.8</v>
      </c>
      <c r="V253" s="158"/>
      <c r="W253" s="158">
        <v>10238.4</v>
      </c>
      <c r="X253" s="158"/>
      <c r="Y253" s="158">
        <v>11469.11</v>
      </c>
      <c r="Z253" s="158"/>
      <c r="AA253" s="158">
        <v>4184.8</v>
      </c>
      <c r="AB253" s="158"/>
      <c r="AC253" s="158">
        <v>8000.88</v>
      </c>
      <c r="AD253" s="158"/>
      <c r="AE253" s="158">
        <v>13444.87</v>
      </c>
      <c r="AF253" s="158"/>
      <c r="AG253" s="158">
        <v>11013.06</v>
      </c>
      <c r="AH253" s="158"/>
      <c r="AI253" s="158">
        <v>5574.25</v>
      </c>
      <c r="AJ253" s="158"/>
      <c r="AK253" s="158">
        <v>10350.82</v>
      </c>
      <c r="AL253" s="158"/>
      <c r="AM253" s="158">
        <v>18781.75</v>
      </c>
      <c r="AN253" s="158"/>
      <c r="AO253" s="158">
        <v>9168.2199999999993</v>
      </c>
      <c r="AP253" s="158"/>
      <c r="AQ253" s="158">
        <v>17410.900000000001</v>
      </c>
      <c r="AR253" s="158"/>
      <c r="AS253" s="158">
        <v>8039.17</v>
      </c>
      <c r="AT253" s="158"/>
      <c r="AU253" s="158">
        <v>12280.91</v>
      </c>
      <c r="AV253" s="158"/>
      <c r="AW253" s="158">
        <v>4866.58</v>
      </c>
      <c r="AX253" s="158"/>
      <c r="AY253" s="158">
        <v>17547.38</v>
      </c>
      <c r="AZ253" s="158"/>
      <c r="BA253" s="158">
        <v>8351.39</v>
      </c>
      <c r="BB253" s="158"/>
      <c r="BC253" s="158">
        <v>10237.89</v>
      </c>
      <c r="BD253" s="158"/>
      <c r="BE253" s="158">
        <v>12673.34</v>
      </c>
      <c r="BF253" s="158"/>
      <c r="BG253" s="158">
        <v>1075.22</v>
      </c>
      <c r="BH253" s="158"/>
      <c r="BI253" s="158">
        <v>6873.55</v>
      </c>
      <c r="BJ253" s="158"/>
      <c r="BK253" s="158">
        <v>12310.6</v>
      </c>
      <c r="BL253" s="158"/>
      <c r="BM253" s="158">
        <v>3251.91</v>
      </c>
      <c r="BN253" s="158"/>
      <c r="BO253" s="158">
        <v>11361.37</v>
      </c>
      <c r="BP253" s="158"/>
      <c r="BQ253" s="158">
        <v>10797.31</v>
      </c>
      <c r="BR253" s="158"/>
      <c r="BS253" s="158">
        <v>6481.4</v>
      </c>
      <c r="BT253" s="158"/>
    </row>
    <row r="254" spans="1:72" x14ac:dyDescent="0.2">
      <c r="A254" s="123" t="s">
        <v>540</v>
      </c>
      <c r="B254" s="124" t="s">
        <v>866</v>
      </c>
      <c r="C254" s="158">
        <v>0</v>
      </c>
      <c r="D254" s="158"/>
      <c r="E254" s="158">
        <v>0</v>
      </c>
      <c r="F254" s="158"/>
      <c r="G254" s="158">
        <v>0</v>
      </c>
      <c r="H254" s="158"/>
      <c r="I254" s="158">
        <v>0</v>
      </c>
      <c r="J254" s="158"/>
      <c r="K254" s="158">
        <v>0</v>
      </c>
      <c r="L254" s="158"/>
      <c r="M254" s="158">
        <v>0</v>
      </c>
      <c r="N254" s="158"/>
      <c r="O254" s="158">
        <v>0</v>
      </c>
      <c r="P254" s="158"/>
      <c r="Q254" s="158">
        <v>0</v>
      </c>
      <c r="R254" s="158"/>
      <c r="S254" s="158">
        <v>0</v>
      </c>
      <c r="T254" s="158"/>
      <c r="U254" s="158">
        <v>0</v>
      </c>
      <c r="V254" s="158"/>
      <c r="W254" s="158">
        <v>-120.56</v>
      </c>
      <c r="X254" s="158"/>
      <c r="Y254" s="158">
        <v>0</v>
      </c>
      <c r="Z254" s="158"/>
      <c r="AA254" s="158">
        <v>0</v>
      </c>
      <c r="AB254" s="158"/>
      <c r="AC254" s="158">
        <v>0</v>
      </c>
      <c r="AD254" s="158"/>
      <c r="AE254" s="158">
        <v>17.79</v>
      </c>
      <c r="AF254" s="158"/>
      <c r="AG254" s="158">
        <v>0</v>
      </c>
      <c r="AH254" s="158"/>
      <c r="AI254" s="158">
        <v>0</v>
      </c>
      <c r="AJ254" s="158"/>
      <c r="AK254" s="158">
        <v>0</v>
      </c>
      <c r="AL254" s="158"/>
      <c r="AM254" s="158">
        <v>0</v>
      </c>
      <c r="AN254" s="158"/>
      <c r="AO254" s="158">
        <v>-134.43</v>
      </c>
      <c r="AP254" s="158"/>
      <c r="AQ254" s="158">
        <v>0</v>
      </c>
      <c r="AR254" s="158"/>
      <c r="AS254" s="158">
        <v>0</v>
      </c>
      <c r="AT254" s="158"/>
      <c r="AU254" s="158">
        <v>-315.01</v>
      </c>
      <c r="AV254" s="158"/>
      <c r="AW254" s="158">
        <v>0</v>
      </c>
      <c r="AX254" s="158"/>
      <c r="AY254" s="158">
        <v>0</v>
      </c>
      <c r="AZ254" s="158"/>
      <c r="BA254" s="158">
        <v>-3.74</v>
      </c>
      <c r="BB254" s="158"/>
      <c r="BC254" s="158">
        <v>0</v>
      </c>
      <c r="BD254" s="158"/>
      <c r="BE254" s="158">
        <v>0</v>
      </c>
      <c r="BF254" s="158"/>
      <c r="BG254" s="158">
        <v>532.77</v>
      </c>
      <c r="BH254" s="158"/>
      <c r="BI254" s="158">
        <v>1205.43</v>
      </c>
      <c r="BJ254" s="158"/>
      <c r="BK254" s="158">
        <v>0</v>
      </c>
      <c r="BL254" s="158"/>
      <c r="BM254" s="158">
        <v>0</v>
      </c>
      <c r="BN254" s="158"/>
      <c r="BO254" s="158">
        <v>0</v>
      </c>
      <c r="BP254" s="158"/>
      <c r="BQ254" s="158">
        <v>0</v>
      </c>
      <c r="BR254" s="158"/>
      <c r="BS254" s="158">
        <v>0</v>
      </c>
      <c r="BT254" s="158"/>
    </row>
    <row r="255" spans="1:72" x14ac:dyDescent="0.2">
      <c r="A255" s="123" t="s">
        <v>309</v>
      </c>
      <c r="B255" s="124" t="s">
        <v>865</v>
      </c>
      <c r="C255" s="158">
        <v>2.17</v>
      </c>
      <c r="D255" s="158"/>
      <c r="E255" s="158">
        <v>0</v>
      </c>
      <c r="F255" s="158"/>
      <c r="G255" s="158">
        <v>2.17</v>
      </c>
      <c r="H255" s="158"/>
      <c r="I255" s="158">
        <v>10.42</v>
      </c>
      <c r="J255" s="158"/>
      <c r="K255" s="158">
        <v>2544.75</v>
      </c>
      <c r="L255" s="158"/>
      <c r="M255" s="158">
        <v>1.35</v>
      </c>
      <c r="N255" s="158"/>
      <c r="O255" s="158">
        <v>666</v>
      </c>
      <c r="P255" s="158"/>
      <c r="Q255" s="158">
        <v>-10.56</v>
      </c>
      <c r="R255" s="158"/>
      <c r="S255" s="158">
        <v>0</v>
      </c>
      <c r="T255" s="158"/>
      <c r="U255" s="158">
        <v>-10.57</v>
      </c>
      <c r="V255" s="158"/>
      <c r="W255" s="158">
        <v>0</v>
      </c>
      <c r="X255" s="158"/>
      <c r="Y255" s="158">
        <v>-29.4</v>
      </c>
      <c r="Z255" s="158"/>
      <c r="AA255" s="158">
        <v>-50.09</v>
      </c>
      <c r="AB255" s="158"/>
      <c r="AC255" s="158">
        <v>-126.35</v>
      </c>
      <c r="AD255" s="158"/>
      <c r="AE255" s="158">
        <v>0</v>
      </c>
      <c r="AF255" s="158"/>
      <c r="AG255" s="158">
        <v>4.05</v>
      </c>
      <c r="AH255" s="158"/>
      <c r="AI255" s="158">
        <v>29.02</v>
      </c>
      <c r="AJ255" s="158"/>
      <c r="AK255" s="158">
        <v>1149.78</v>
      </c>
      <c r="AL255" s="158"/>
      <c r="AM255" s="158">
        <v>-56.4</v>
      </c>
      <c r="AN255" s="158">
        <f>SUM(AM256:AM263,AM265:AM266,AM268:AM283,AM340:AM394,AM401)</f>
        <v>92221.53</v>
      </c>
      <c r="AO255" s="158">
        <v>13.67</v>
      </c>
      <c r="AP255" s="158"/>
      <c r="AQ255" s="158">
        <v>1831.16</v>
      </c>
      <c r="AR255" s="158"/>
      <c r="AS255" s="158">
        <v>80.680000000000007</v>
      </c>
      <c r="AT255" s="158"/>
      <c r="AU255" s="158">
        <v>0</v>
      </c>
      <c r="AV255" s="158"/>
      <c r="AW255" s="158">
        <v>2.02</v>
      </c>
      <c r="AX255" s="158"/>
      <c r="AY255" s="158">
        <v>20.18</v>
      </c>
      <c r="AZ255" s="158"/>
      <c r="BA255" s="158">
        <v>0</v>
      </c>
      <c r="BB255" s="158"/>
      <c r="BC255" s="158">
        <v>1080.22</v>
      </c>
      <c r="BD255" s="158"/>
      <c r="BE255" s="158">
        <v>-2.4</v>
      </c>
      <c r="BF255" s="158"/>
      <c r="BG255" s="158">
        <v>0</v>
      </c>
      <c r="BH255" s="158"/>
      <c r="BI255" s="158">
        <v>0</v>
      </c>
      <c r="BJ255" s="158"/>
      <c r="BK255" s="158">
        <v>-2.74</v>
      </c>
      <c r="BL255" s="158"/>
      <c r="BM255" s="158">
        <v>765.78</v>
      </c>
      <c r="BN255" s="158"/>
      <c r="BO255" s="158">
        <v>-6.18</v>
      </c>
      <c r="BP255" s="158"/>
      <c r="BQ255" s="158">
        <v>-3.7</v>
      </c>
      <c r="BR255" s="158"/>
      <c r="BS255" s="158">
        <v>2.09</v>
      </c>
      <c r="BT255" s="158"/>
    </row>
    <row r="256" spans="1:72" x14ac:dyDescent="0.2">
      <c r="A256" s="123" t="s">
        <v>310</v>
      </c>
      <c r="B256" s="124" t="s">
        <v>864</v>
      </c>
      <c r="C256" s="158">
        <v>0</v>
      </c>
      <c r="D256" s="158">
        <f>SUM(C256:C263,C265:C266,C268:C283,C340:C394,C401)</f>
        <v>54956.779999999984</v>
      </c>
      <c r="E256" s="158">
        <v>0</v>
      </c>
      <c r="F256" s="158">
        <f>SUM(E256:E263,E265:E266,E268:E283,E340:E394,E401)</f>
        <v>56318.560000000012</v>
      </c>
      <c r="G256" s="158">
        <v>0</v>
      </c>
      <c r="H256" s="158">
        <f>SUM(G256:G263,G265:G266,G268:G283,G340:G394,G401)</f>
        <v>51740.589999999989</v>
      </c>
      <c r="I256" s="158">
        <v>0</v>
      </c>
      <c r="J256" s="158">
        <f>SUM(I256:I263,I265:I266,I268:I283,I340:I394,I401)</f>
        <v>66635.69</v>
      </c>
      <c r="K256" s="158">
        <v>0</v>
      </c>
      <c r="L256" s="158">
        <f>SUM(K256:K263,K265,K268,K272:K283,K340:K394,K401)</f>
        <v>114523.90000000001</v>
      </c>
      <c r="M256" s="158">
        <v>0</v>
      </c>
      <c r="N256" s="158">
        <f>SUM(M256:M263,M265:M266,M268:M283,M340:M394,M401)</f>
        <v>61263.749999999985</v>
      </c>
      <c r="O256" s="158">
        <v>0</v>
      </c>
      <c r="P256" s="158">
        <f>SUM(O256:O263,O265:O266,O268:O283,O340:O394,O401)</f>
        <v>56447.109999999986</v>
      </c>
      <c r="Q256" s="158">
        <v>0</v>
      </c>
      <c r="R256" s="158">
        <f>SUM(Q256:Q263,Q265:Q266,Q268:Q283,Q340:Q394,Q401)</f>
        <v>52647.01999999999</v>
      </c>
      <c r="S256" s="158">
        <v>0</v>
      </c>
      <c r="T256" s="158">
        <f>SUM(S256:S263,S265:S266,S268:S283,S340:S394,S401)</f>
        <v>73716.86000000003</v>
      </c>
      <c r="U256" s="158">
        <v>0</v>
      </c>
      <c r="V256" s="158">
        <f>SUM(U256:U263,U265:U266,U268:U283,U340:U394,U401)</f>
        <v>63652.080000000009</v>
      </c>
      <c r="W256" s="158">
        <v>0</v>
      </c>
      <c r="X256" s="158">
        <f>SUM(W256:W263,W265:W266,W268:W283,W340:W394,W401)</f>
        <v>46549.489999999991</v>
      </c>
      <c r="Y256" s="158">
        <v>0</v>
      </c>
      <c r="Z256" s="158">
        <f>SUM(Y256:Y263,Y265:Y266,Y268:Y283,Y340:Y394,Y401)</f>
        <v>54000.5</v>
      </c>
      <c r="AA256" s="158">
        <v>0</v>
      </c>
      <c r="AB256" s="158">
        <f>SUM(AA256:AA263,AA265:AA266,AA268:AA283,AA340:AA394,AA401)</f>
        <v>52232.020000000011</v>
      </c>
      <c r="AC256" s="158">
        <v>0</v>
      </c>
      <c r="AD256" s="158">
        <f>SUM(AC256:AC263,AC265:AC266,AC268:AC283,AC340:AC394,AC401)</f>
        <v>43346.569999999985</v>
      </c>
      <c r="AE256" s="158">
        <v>0</v>
      </c>
      <c r="AF256" s="158">
        <f>SUM(AE256:AE263,AE265:AE266,AE268:AE283,AE340:AE394,AE401)</f>
        <v>104764.43000000002</v>
      </c>
      <c r="AG256" s="158">
        <v>0</v>
      </c>
      <c r="AH256" s="158">
        <f>SUM(AG256:AG263,AG265:AG266,AG268:AG283,AG340:AG394,AG401)</f>
        <v>54839.38</v>
      </c>
      <c r="AI256" s="158">
        <v>0</v>
      </c>
      <c r="AJ256" s="158">
        <f>SUM(AI256:AI263,AI265:AI266,AI268:AI283,AI340:AI394,AI401)</f>
        <v>34736.119999999995</v>
      </c>
      <c r="AK256" s="158">
        <v>0</v>
      </c>
      <c r="AL256" s="158">
        <f>SUM(AK256:AK263,AK265:AK266,AK268:AK283,AK340:AK394,AK401)</f>
        <v>76072.300000000032</v>
      </c>
      <c r="AM256" s="158">
        <v>0</v>
      </c>
      <c r="AN256" s="158"/>
      <c r="AO256" s="158">
        <v>0</v>
      </c>
      <c r="AP256" s="158">
        <f>SUM(AO256:AO263,AO265:AO266,AO268:AO283,AO340:AO394,AO401)</f>
        <v>53872.719999999994</v>
      </c>
      <c r="AQ256" s="158">
        <v>0</v>
      </c>
      <c r="AR256" s="158">
        <f>SUM(AQ256:AQ263,AQ265:AQ266,AQ268:AQ283,AQ340:AQ394,AQ401)</f>
        <v>51598.19000000001</v>
      </c>
      <c r="AS256" s="158">
        <v>0</v>
      </c>
      <c r="AT256" s="158"/>
      <c r="AU256" s="158">
        <v>1249.6199999999999</v>
      </c>
      <c r="AV256" s="158">
        <f>SUM(AU256:AU263,AU265,AU268:AU283,AU340:AU394,AU401)</f>
        <v>60443.26999999999</v>
      </c>
      <c r="AW256" s="158">
        <v>0</v>
      </c>
      <c r="AX256" s="158">
        <f>SUM(AW256:AW263,AW265:AW266,AW268:AW283,AW340:AW394,AW401)</f>
        <v>41640.379999999997</v>
      </c>
      <c r="AY256" s="158">
        <v>0</v>
      </c>
      <c r="AZ256" s="158">
        <f>SUM(AY256:AY263,AY265:AY266,AY268:AY283,AY340:AY394,AY401)</f>
        <v>57997.32</v>
      </c>
      <c r="BA256" s="158">
        <v>2249.7800000000002</v>
      </c>
      <c r="BB256" s="158">
        <f>SUM(BA256:BA263,BA265:BA266,BA268:BA283,BA340:BA394,BA401)</f>
        <v>52185.400000000009</v>
      </c>
      <c r="BC256" s="158">
        <v>0</v>
      </c>
      <c r="BD256" s="158">
        <f>SUM(BC256:BC263,BC265:BC266,BC268:BC283,BC340:BC394,BC401)</f>
        <v>84044.590000000011</v>
      </c>
      <c r="BE256" s="158">
        <v>0</v>
      </c>
      <c r="BF256" s="158">
        <f>SUM(BE256:BE263,BE265:BE266,BE268:BE283,BE340:BE394,BE401)</f>
        <v>66375.190000000017</v>
      </c>
      <c r="BG256" s="158">
        <v>0</v>
      </c>
      <c r="BH256" s="158">
        <f>SUM(BG256:BG263,BG265:BG266,BG268:BG283,BG340:BG394,BG401)</f>
        <v>44473.210000000006</v>
      </c>
      <c r="BI256" s="158">
        <v>0</v>
      </c>
      <c r="BJ256" s="158">
        <f>SUM(BI256:BI263,BI265:BI266,BI268:BI283,BI340:BI394,BI401)</f>
        <v>68520.33</v>
      </c>
      <c r="BK256" s="158">
        <v>0</v>
      </c>
      <c r="BL256" s="158">
        <f>SUM(BK256:BK263,BK265:BK266,BK268:BK283,BK340:BK394,BK401)</f>
        <v>69816.680000000008</v>
      </c>
      <c r="BM256" s="158">
        <v>0</v>
      </c>
      <c r="BN256" s="158">
        <f>SUM(BM256:BM263,BM265:BM266,BM268:BM283,BM340:BM394,BM401)</f>
        <v>46420.819999999985</v>
      </c>
      <c r="BO256" s="158">
        <v>-0.01</v>
      </c>
      <c r="BP256" s="158">
        <f>SUM(BO256:BO263,BO265:BO266,BO268:BO283,BO340:BO394,BO401)</f>
        <v>59354.569999999985</v>
      </c>
      <c r="BQ256" s="158">
        <v>0</v>
      </c>
      <c r="BR256" s="158">
        <f>SUM(BQ256:BQ263,BQ265:BQ266,BQ268:BQ283,BQ340:BQ394,BQ401)</f>
        <v>55183.760000000009</v>
      </c>
      <c r="BS256" s="158">
        <v>0</v>
      </c>
      <c r="BT256" s="158">
        <f>SUM(BS256:BS263,BS265:BS266,BS268:BS283,BS340:BS394,BS401)</f>
        <v>49031.779999999992</v>
      </c>
    </row>
    <row r="257" spans="1:72" x14ac:dyDescent="0.2">
      <c r="A257" s="123" t="s">
        <v>311</v>
      </c>
      <c r="B257" s="124" t="s">
        <v>863</v>
      </c>
      <c r="C257" s="158">
        <v>0</v>
      </c>
      <c r="D257" s="158"/>
      <c r="E257" s="158">
        <v>0</v>
      </c>
      <c r="F257" s="158"/>
      <c r="G257" s="158">
        <v>0</v>
      </c>
      <c r="H257" s="158"/>
      <c r="I257" s="158">
        <v>0</v>
      </c>
      <c r="J257" s="158"/>
      <c r="K257" s="158">
        <v>1224.48</v>
      </c>
      <c r="L257" s="158"/>
      <c r="M257" s="158">
        <v>0</v>
      </c>
      <c r="N257" s="158"/>
      <c r="O257" s="158">
        <v>0</v>
      </c>
      <c r="P257" s="158"/>
      <c r="Q257" s="158">
        <v>0</v>
      </c>
      <c r="R257" s="158"/>
      <c r="S257" s="158">
        <v>0</v>
      </c>
      <c r="T257" s="158"/>
      <c r="U257" s="158">
        <v>0</v>
      </c>
      <c r="V257" s="158"/>
      <c r="W257" s="158">
        <v>0</v>
      </c>
      <c r="X257" s="158"/>
      <c r="Y257" s="158">
        <v>0</v>
      </c>
      <c r="Z257" s="158"/>
      <c r="AA257" s="158">
        <v>0</v>
      </c>
      <c r="AB257" s="158"/>
      <c r="AC257" s="158">
        <v>0</v>
      </c>
      <c r="AD257" s="158"/>
      <c r="AE257" s="158">
        <v>0</v>
      </c>
      <c r="AF257" s="158"/>
      <c r="AG257" s="158">
        <v>0</v>
      </c>
      <c r="AH257" s="158"/>
      <c r="AI257" s="158">
        <v>0</v>
      </c>
      <c r="AJ257" s="158"/>
      <c r="AK257" s="158">
        <v>0</v>
      </c>
      <c r="AL257" s="158"/>
      <c r="AM257" s="158">
        <v>0</v>
      </c>
      <c r="AN257" s="158"/>
      <c r="AO257" s="158">
        <v>0</v>
      </c>
      <c r="AP257" s="158"/>
      <c r="AQ257" s="158">
        <v>741.89</v>
      </c>
      <c r="AR257" s="158"/>
      <c r="AS257" s="158">
        <v>727.49</v>
      </c>
      <c r="AT257" s="158">
        <f>SUM(AS257:AS263,AS265,AS268,AS272:AS283,AS340:AS394,AS401)</f>
        <v>61358.950000000004</v>
      </c>
      <c r="AU257" s="158">
        <v>0</v>
      </c>
      <c r="AV257" s="158"/>
      <c r="AW257" s="158">
        <v>0</v>
      </c>
      <c r="AX257" s="158"/>
      <c r="AY257" s="158">
        <v>0</v>
      </c>
      <c r="AZ257" s="158"/>
      <c r="BA257" s="158">
        <v>0</v>
      </c>
      <c r="BB257" s="158"/>
      <c r="BC257" s="158">
        <v>0</v>
      </c>
      <c r="BD257" s="158"/>
      <c r="BE257" s="158">
        <v>0</v>
      </c>
      <c r="BF257" s="158"/>
      <c r="BG257" s="158">
        <v>0</v>
      </c>
      <c r="BH257" s="158"/>
      <c r="BI257" s="158">
        <v>0</v>
      </c>
      <c r="BJ257" s="158"/>
      <c r="BK257" s="158">
        <v>0</v>
      </c>
      <c r="BL257" s="158"/>
      <c r="BM257" s="158">
        <v>0</v>
      </c>
      <c r="BN257" s="158"/>
      <c r="BO257" s="158">
        <v>0</v>
      </c>
      <c r="BP257" s="158"/>
      <c r="BQ257" s="158">
        <v>0</v>
      </c>
      <c r="BR257" s="158"/>
      <c r="BS257" s="158">
        <v>0.01</v>
      </c>
      <c r="BT257" s="158"/>
    </row>
    <row r="258" spans="1:72" x14ac:dyDescent="0.2">
      <c r="A258" s="123" t="s">
        <v>496</v>
      </c>
      <c r="B258" s="124" t="s">
        <v>862</v>
      </c>
      <c r="C258" s="158">
        <v>13008.28</v>
      </c>
      <c r="D258" s="158"/>
      <c r="E258" s="158">
        <v>21404.44</v>
      </c>
      <c r="F258" s="158"/>
      <c r="G258" s="158">
        <v>12879.44</v>
      </c>
      <c r="H258" s="158"/>
      <c r="I258" s="158">
        <v>21434.41</v>
      </c>
      <c r="J258" s="158"/>
      <c r="K258" s="158">
        <v>12122.35</v>
      </c>
      <c r="L258" s="158"/>
      <c r="M258" s="158">
        <v>21627.23</v>
      </c>
      <c r="N258" s="158"/>
      <c r="O258" s="158">
        <v>20510.86</v>
      </c>
      <c r="P258" s="158"/>
      <c r="Q258" s="158">
        <v>11943.79</v>
      </c>
      <c r="R258" s="158"/>
      <c r="S258" s="158">
        <v>24874.89</v>
      </c>
      <c r="T258" s="158"/>
      <c r="U258" s="158">
        <v>24434.75</v>
      </c>
      <c r="V258" s="158"/>
      <c r="W258" s="158">
        <v>22811.63</v>
      </c>
      <c r="X258" s="158"/>
      <c r="Y258" s="158">
        <v>12611.85</v>
      </c>
      <c r="Z258" s="158"/>
      <c r="AA258" s="158">
        <v>10177.66</v>
      </c>
      <c r="AB258" s="158"/>
      <c r="AC258" s="158">
        <v>12954.23</v>
      </c>
      <c r="AD258" s="158"/>
      <c r="AE258" s="158">
        <v>23057.63</v>
      </c>
      <c r="AF258" s="158"/>
      <c r="AG258" s="158">
        <v>13277.4</v>
      </c>
      <c r="AH258" s="158"/>
      <c r="AI258" s="158">
        <v>10363.379999999999</v>
      </c>
      <c r="AJ258" s="158"/>
      <c r="AK258" s="158">
        <v>23008.01</v>
      </c>
      <c r="AL258" s="158"/>
      <c r="AM258" s="158">
        <v>14295.25</v>
      </c>
      <c r="AN258" s="158"/>
      <c r="AO258" s="158">
        <v>13429.56</v>
      </c>
      <c r="AP258" s="158"/>
      <c r="AQ258" s="158">
        <v>7344.71</v>
      </c>
      <c r="AR258" s="158"/>
      <c r="AS258" s="158">
        <v>7202.06</v>
      </c>
      <c r="AT258" s="158"/>
      <c r="AU258" s="158">
        <v>12371.24</v>
      </c>
      <c r="AV258" s="158"/>
      <c r="AW258" s="158">
        <v>22943.74</v>
      </c>
      <c r="AX258" s="158"/>
      <c r="AY258" s="158">
        <v>10177.66</v>
      </c>
      <c r="AZ258" s="158"/>
      <c r="BA258" s="158">
        <v>22272.92</v>
      </c>
      <c r="BB258" s="158"/>
      <c r="BC258" s="158">
        <v>22995.73</v>
      </c>
      <c r="BD258" s="158"/>
      <c r="BE258" s="158">
        <v>19705.03</v>
      </c>
      <c r="BF258" s="158"/>
      <c r="BG258" s="158">
        <v>13190.63</v>
      </c>
      <c r="BH258" s="158"/>
      <c r="BI258" s="158">
        <v>13903.61</v>
      </c>
      <c r="BJ258" s="158"/>
      <c r="BK258" s="158">
        <v>20961.57</v>
      </c>
      <c r="BL258" s="158"/>
      <c r="BM258" s="158">
        <v>8613.44</v>
      </c>
      <c r="BN258" s="158"/>
      <c r="BO258" s="158">
        <v>13540.31</v>
      </c>
      <c r="BP258" s="158"/>
      <c r="BQ258" s="158">
        <v>21004.94</v>
      </c>
      <c r="BR258" s="158"/>
      <c r="BS258" s="158">
        <v>9159.92</v>
      </c>
      <c r="BT258" s="158"/>
    </row>
    <row r="259" spans="1:72" x14ac:dyDescent="0.2">
      <c r="A259" s="123" t="s">
        <v>312</v>
      </c>
      <c r="B259" s="124" t="s">
        <v>861</v>
      </c>
      <c r="C259" s="158">
        <v>7681.82</v>
      </c>
      <c r="D259" s="158"/>
      <c r="E259" s="158">
        <v>0</v>
      </c>
      <c r="F259" s="158"/>
      <c r="G259" s="158">
        <v>7605.71</v>
      </c>
      <c r="H259" s="158"/>
      <c r="I259" s="158">
        <v>4669.3</v>
      </c>
      <c r="J259" s="158"/>
      <c r="K259" s="158">
        <v>39305.879999999997</v>
      </c>
      <c r="L259" s="158"/>
      <c r="M259" s="158">
        <v>0</v>
      </c>
      <c r="N259" s="158"/>
      <c r="O259" s="158">
        <v>0</v>
      </c>
      <c r="P259" s="158"/>
      <c r="Q259" s="158">
        <v>8574.1299999999992</v>
      </c>
      <c r="R259" s="158"/>
      <c r="S259" s="158">
        <v>0</v>
      </c>
      <c r="T259" s="158"/>
      <c r="U259" s="158">
        <v>0</v>
      </c>
      <c r="V259" s="158"/>
      <c r="W259" s="158">
        <v>0</v>
      </c>
      <c r="X259" s="158"/>
      <c r="Y259" s="158">
        <v>6891.29</v>
      </c>
      <c r="Z259" s="158"/>
      <c r="AA259" s="158">
        <v>9003.66</v>
      </c>
      <c r="AB259" s="158"/>
      <c r="AC259" s="158">
        <v>7690.34</v>
      </c>
      <c r="AD259" s="158"/>
      <c r="AE259" s="158">
        <v>21047.81</v>
      </c>
      <c r="AF259" s="158"/>
      <c r="AG259" s="158">
        <v>6956.34</v>
      </c>
      <c r="AH259" s="158"/>
      <c r="AI259" s="158">
        <v>6152.29</v>
      </c>
      <c r="AJ259" s="158"/>
      <c r="AK259" s="158">
        <v>14984.71</v>
      </c>
      <c r="AL259" s="158"/>
      <c r="AM259" s="158">
        <v>18319.37</v>
      </c>
      <c r="AN259" s="158"/>
      <c r="AO259" s="158">
        <v>7990.45</v>
      </c>
      <c r="AP259" s="158"/>
      <c r="AQ259" s="158">
        <v>12024.2</v>
      </c>
      <c r="AR259" s="158"/>
      <c r="AS259" s="158">
        <v>13004.12</v>
      </c>
      <c r="AT259" s="158"/>
      <c r="AU259" s="158">
        <v>7509.64</v>
      </c>
      <c r="AV259" s="158"/>
      <c r="AW259" s="158">
        <v>0</v>
      </c>
      <c r="AX259" s="158"/>
      <c r="AY259" s="158">
        <v>9742.1</v>
      </c>
      <c r="AZ259" s="158"/>
      <c r="BA259" s="158">
        <v>0</v>
      </c>
      <c r="BB259" s="158"/>
      <c r="BC259" s="158">
        <v>14102.33</v>
      </c>
      <c r="BD259" s="158"/>
      <c r="BE259" s="158">
        <v>12498.29</v>
      </c>
      <c r="BF259" s="158"/>
      <c r="BG259" s="158">
        <v>1044.19</v>
      </c>
      <c r="BH259" s="158"/>
      <c r="BI259" s="158">
        <v>19786.7</v>
      </c>
      <c r="BJ259" s="158"/>
      <c r="BK259" s="158">
        <v>4249.7299999999996</v>
      </c>
      <c r="BL259" s="158"/>
      <c r="BM259" s="158">
        <v>4686.3599999999997</v>
      </c>
      <c r="BN259" s="158"/>
      <c r="BO259" s="158">
        <v>7094.13</v>
      </c>
      <c r="BP259" s="158"/>
      <c r="BQ259" s="158">
        <v>0</v>
      </c>
      <c r="BR259" s="158"/>
      <c r="BS259" s="158">
        <v>8960.7800000000007</v>
      </c>
      <c r="BT259" s="158"/>
    </row>
    <row r="260" spans="1:72" x14ac:dyDescent="0.2">
      <c r="A260" s="123" t="s">
        <v>607</v>
      </c>
      <c r="B260" s="124" t="s">
        <v>860</v>
      </c>
      <c r="C260" s="158">
        <v>0</v>
      </c>
      <c r="D260" s="158"/>
      <c r="E260" s="158">
        <v>0</v>
      </c>
      <c r="F260" s="158"/>
      <c r="G260" s="158">
        <v>0</v>
      </c>
      <c r="H260" s="158"/>
      <c r="I260" s="158">
        <v>0</v>
      </c>
      <c r="J260" s="158"/>
      <c r="K260" s="158">
        <v>0</v>
      </c>
      <c r="L260" s="158"/>
      <c r="M260" s="158">
        <v>0</v>
      </c>
      <c r="N260" s="158"/>
      <c r="O260" s="158">
        <v>0</v>
      </c>
      <c r="P260" s="158"/>
      <c r="Q260" s="158">
        <v>0</v>
      </c>
      <c r="R260" s="158"/>
      <c r="S260" s="158">
        <v>0</v>
      </c>
      <c r="T260" s="158"/>
      <c r="U260" s="158">
        <v>0</v>
      </c>
      <c r="V260" s="158"/>
      <c r="W260" s="158">
        <v>0</v>
      </c>
      <c r="X260" s="158"/>
      <c r="Y260" s="158">
        <v>0</v>
      </c>
      <c r="Z260" s="158"/>
      <c r="AA260" s="158">
        <v>0</v>
      </c>
      <c r="AB260" s="158"/>
      <c r="AC260" s="158">
        <v>320.11</v>
      </c>
      <c r="AD260" s="158"/>
      <c r="AE260" s="158">
        <v>0</v>
      </c>
      <c r="AF260" s="158"/>
      <c r="AG260" s="158">
        <v>0</v>
      </c>
      <c r="AH260" s="158"/>
      <c r="AI260" s="158">
        <v>22.81</v>
      </c>
      <c r="AJ260" s="158"/>
      <c r="AK260" s="158">
        <v>15.83</v>
      </c>
      <c r="AL260" s="158"/>
      <c r="AM260" s="158">
        <v>9.08</v>
      </c>
      <c r="AN260" s="158"/>
      <c r="AO260" s="158">
        <v>0</v>
      </c>
      <c r="AP260" s="158"/>
      <c r="AQ260" s="158">
        <v>0</v>
      </c>
      <c r="AR260" s="158"/>
      <c r="AS260" s="158">
        <v>0</v>
      </c>
      <c r="AT260" s="158"/>
      <c r="AU260" s="158">
        <v>0</v>
      </c>
      <c r="AV260" s="158"/>
      <c r="AW260" s="158">
        <v>0</v>
      </c>
      <c r="AX260" s="158"/>
      <c r="AY260" s="158">
        <v>276.31</v>
      </c>
      <c r="AZ260" s="158"/>
      <c r="BA260" s="158">
        <v>0</v>
      </c>
      <c r="BB260" s="158"/>
      <c r="BC260" s="158">
        <v>0</v>
      </c>
      <c r="BD260" s="158"/>
      <c r="BE260" s="158">
        <v>0</v>
      </c>
      <c r="BF260" s="158"/>
      <c r="BG260" s="158">
        <v>689.57</v>
      </c>
      <c r="BH260" s="158"/>
      <c r="BI260" s="158">
        <v>0</v>
      </c>
      <c r="BJ260" s="158"/>
      <c r="BK260" s="158">
        <v>0</v>
      </c>
      <c r="BL260" s="158"/>
      <c r="BM260" s="158">
        <v>474.41</v>
      </c>
      <c r="BN260" s="158"/>
      <c r="BO260" s="158">
        <v>0</v>
      </c>
      <c r="BP260" s="158"/>
      <c r="BQ260" s="158">
        <v>-274.38</v>
      </c>
      <c r="BR260" s="158"/>
      <c r="BS260" s="158">
        <v>-93.44</v>
      </c>
      <c r="BT260" s="158"/>
    </row>
    <row r="261" spans="1:72" x14ac:dyDescent="0.2">
      <c r="A261" s="123" t="s">
        <v>649</v>
      </c>
      <c r="B261" s="124" t="s">
        <v>859</v>
      </c>
      <c r="C261" s="158">
        <v>0</v>
      </c>
      <c r="D261" s="158"/>
      <c r="E261" s="158">
        <v>0</v>
      </c>
      <c r="F261" s="158"/>
      <c r="G261" s="158">
        <v>0</v>
      </c>
      <c r="H261" s="158"/>
      <c r="I261" s="158">
        <v>0</v>
      </c>
      <c r="J261" s="158"/>
      <c r="K261" s="158">
        <v>0</v>
      </c>
      <c r="L261" s="158"/>
      <c r="M261" s="158">
        <v>0</v>
      </c>
      <c r="N261" s="158"/>
      <c r="O261" s="158">
        <v>0</v>
      </c>
      <c r="P261" s="158"/>
      <c r="Q261" s="158">
        <v>0</v>
      </c>
      <c r="R261" s="158"/>
      <c r="S261" s="158">
        <v>-71.03</v>
      </c>
      <c r="T261" s="158"/>
      <c r="U261" s="158">
        <v>0</v>
      </c>
      <c r="V261" s="158"/>
      <c r="W261" s="158">
        <v>0</v>
      </c>
      <c r="X261" s="158"/>
      <c r="Y261" s="158">
        <v>0</v>
      </c>
      <c r="Z261" s="158"/>
      <c r="AA261" s="158">
        <v>0</v>
      </c>
      <c r="AB261" s="158"/>
      <c r="AC261" s="158">
        <v>0</v>
      </c>
      <c r="AD261" s="158"/>
      <c r="AE261" s="158">
        <v>0</v>
      </c>
      <c r="AF261" s="158"/>
      <c r="AG261" s="158">
        <v>0</v>
      </c>
      <c r="AH261" s="158"/>
      <c r="AI261" s="158">
        <v>0</v>
      </c>
      <c r="AJ261" s="158"/>
      <c r="AK261" s="158">
        <v>0</v>
      </c>
      <c r="AL261" s="158"/>
      <c r="AM261" s="158">
        <v>0</v>
      </c>
      <c r="AN261" s="158"/>
      <c r="AO261" s="158">
        <v>0</v>
      </c>
      <c r="AP261" s="158"/>
      <c r="AQ261" s="158">
        <v>0</v>
      </c>
      <c r="AR261" s="158"/>
      <c r="AS261" s="158">
        <v>0</v>
      </c>
      <c r="AT261" s="158"/>
      <c r="AU261" s="158">
        <v>0</v>
      </c>
      <c r="AV261" s="158"/>
      <c r="AW261" s="158">
        <v>142.08000000000001</v>
      </c>
      <c r="AX261" s="158"/>
      <c r="AY261" s="158">
        <v>0</v>
      </c>
      <c r="AZ261" s="158"/>
      <c r="BA261" s="158">
        <v>0</v>
      </c>
      <c r="BB261" s="158"/>
      <c r="BC261" s="158">
        <v>0</v>
      </c>
      <c r="BD261" s="158"/>
      <c r="BE261" s="158">
        <v>0</v>
      </c>
      <c r="BF261" s="158"/>
      <c r="BG261" s="158">
        <v>0</v>
      </c>
      <c r="BH261" s="158"/>
      <c r="BI261" s="158">
        <v>0</v>
      </c>
      <c r="BJ261" s="158"/>
      <c r="BK261" s="158">
        <v>0</v>
      </c>
      <c r="BL261" s="158"/>
      <c r="BM261" s="158">
        <v>0</v>
      </c>
      <c r="BN261" s="158"/>
      <c r="BO261" s="158">
        <v>0</v>
      </c>
      <c r="BP261" s="158"/>
      <c r="BQ261" s="158">
        <v>0</v>
      </c>
      <c r="BR261" s="158"/>
      <c r="BS261" s="158">
        <v>0</v>
      </c>
      <c r="BT261" s="158"/>
    </row>
    <row r="262" spans="1:72" x14ac:dyDescent="0.2">
      <c r="A262" s="123" t="s">
        <v>858</v>
      </c>
      <c r="B262" s="124" t="s">
        <v>857</v>
      </c>
      <c r="C262" s="158">
        <v>0</v>
      </c>
      <c r="D262" s="158"/>
      <c r="E262" s="158">
        <v>0</v>
      </c>
      <c r="F262" s="158"/>
      <c r="G262" s="158">
        <v>0</v>
      </c>
      <c r="H262" s="158"/>
      <c r="I262" s="158">
        <v>2088.2800000000002</v>
      </c>
      <c r="J262" s="158"/>
      <c r="K262" s="158">
        <v>0</v>
      </c>
      <c r="L262" s="158"/>
      <c r="M262" s="158">
        <v>0</v>
      </c>
      <c r="N262" s="158"/>
      <c r="O262" s="158">
        <v>0</v>
      </c>
      <c r="P262" s="158"/>
      <c r="Q262" s="158">
        <v>0</v>
      </c>
      <c r="R262" s="158"/>
      <c r="S262" s="158">
        <v>12780.09</v>
      </c>
      <c r="T262" s="158"/>
      <c r="U262" s="158">
        <v>0</v>
      </c>
      <c r="V262" s="158"/>
      <c r="W262" s="158">
        <v>0</v>
      </c>
      <c r="X262" s="158"/>
      <c r="Y262" s="158">
        <v>0</v>
      </c>
      <c r="Z262" s="158"/>
      <c r="AA262" s="158">
        <v>0</v>
      </c>
      <c r="AB262" s="158"/>
      <c r="AC262" s="158">
        <v>0</v>
      </c>
      <c r="AD262" s="158"/>
      <c r="AE262" s="158">
        <v>0</v>
      </c>
      <c r="AF262" s="158"/>
      <c r="AG262" s="158">
        <v>0</v>
      </c>
      <c r="AH262" s="158"/>
      <c r="AI262" s="158">
        <v>0</v>
      </c>
      <c r="AJ262" s="158"/>
      <c r="AK262" s="158">
        <v>0</v>
      </c>
      <c r="AL262" s="158"/>
      <c r="AM262" s="158">
        <v>0</v>
      </c>
      <c r="AN262" s="158"/>
      <c r="AO262" s="158">
        <v>0</v>
      </c>
      <c r="AP262" s="158"/>
      <c r="AQ262" s="158">
        <v>0</v>
      </c>
      <c r="AR262" s="158"/>
      <c r="AS262" s="158">
        <v>0</v>
      </c>
      <c r="AT262" s="158"/>
      <c r="AU262" s="158">
        <v>0</v>
      </c>
      <c r="AV262" s="158"/>
      <c r="AW262" s="158">
        <v>0</v>
      </c>
      <c r="AX262" s="158"/>
      <c r="AY262" s="158">
        <v>0</v>
      </c>
      <c r="AZ262" s="158"/>
      <c r="BA262" s="158">
        <v>0</v>
      </c>
      <c r="BB262" s="158"/>
      <c r="BC262" s="158">
        <v>0</v>
      </c>
      <c r="BD262" s="158"/>
      <c r="BE262" s="158">
        <v>0</v>
      </c>
      <c r="BF262" s="158"/>
      <c r="BG262" s="158">
        <v>0</v>
      </c>
      <c r="BH262" s="158"/>
      <c r="BI262" s="158">
        <v>0</v>
      </c>
      <c r="BJ262" s="158"/>
      <c r="BK262" s="158">
        <v>2831.25</v>
      </c>
      <c r="BL262" s="158"/>
      <c r="BM262" s="158">
        <v>0</v>
      </c>
      <c r="BN262" s="158"/>
      <c r="BO262" s="158">
        <v>0</v>
      </c>
      <c r="BP262" s="158"/>
      <c r="BQ262" s="158">
        <v>0</v>
      </c>
      <c r="BR262" s="158"/>
      <c r="BS262" s="158">
        <v>0</v>
      </c>
      <c r="BT262" s="158"/>
    </row>
    <row r="263" spans="1:72" x14ac:dyDescent="0.2">
      <c r="A263" s="123" t="s">
        <v>856</v>
      </c>
      <c r="B263" s="124" t="s">
        <v>855</v>
      </c>
      <c r="C263" s="158">
        <v>0</v>
      </c>
      <c r="D263" s="158"/>
      <c r="E263" s="158">
        <v>0</v>
      </c>
      <c r="F263" s="158"/>
      <c r="G263" s="158">
        <v>0</v>
      </c>
      <c r="H263" s="158"/>
      <c r="I263" s="158">
        <v>0</v>
      </c>
      <c r="J263" s="158"/>
      <c r="K263" s="158">
        <v>0</v>
      </c>
      <c r="L263" s="158"/>
      <c r="M263" s="158">
        <v>0</v>
      </c>
      <c r="N263" s="158"/>
      <c r="O263" s="158">
        <v>0</v>
      </c>
      <c r="P263" s="158"/>
      <c r="Q263" s="158">
        <v>0</v>
      </c>
      <c r="R263" s="158"/>
      <c r="S263" s="158">
        <v>0</v>
      </c>
      <c r="T263" s="158"/>
      <c r="U263" s="158">
        <v>0</v>
      </c>
      <c r="V263" s="158"/>
      <c r="W263" s="158">
        <v>0</v>
      </c>
      <c r="X263" s="158"/>
      <c r="Y263" s="158">
        <v>0</v>
      </c>
      <c r="Z263" s="158"/>
      <c r="AA263" s="158">
        <v>0</v>
      </c>
      <c r="AB263" s="158"/>
      <c r="AC263" s="158">
        <v>0</v>
      </c>
      <c r="AD263" s="158"/>
      <c r="AE263" s="158">
        <v>0</v>
      </c>
      <c r="AF263" s="158"/>
      <c r="AG263" s="158">
        <v>0</v>
      </c>
      <c r="AH263" s="158"/>
      <c r="AI263" s="158">
        <v>0</v>
      </c>
      <c r="AJ263" s="158"/>
      <c r="AK263" s="158">
        <v>0</v>
      </c>
      <c r="AL263" s="158"/>
      <c r="AM263" s="158">
        <v>0</v>
      </c>
      <c r="AN263" s="158"/>
      <c r="AO263" s="158">
        <v>0</v>
      </c>
      <c r="AP263" s="158"/>
      <c r="AQ263" s="158">
        <v>0</v>
      </c>
      <c r="AR263" s="158"/>
      <c r="AS263" s="158">
        <v>0</v>
      </c>
      <c r="AT263" s="158"/>
      <c r="AU263" s="158">
        <v>0</v>
      </c>
      <c r="AV263" s="158"/>
      <c r="AW263" s="158">
        <v>0</v>
      </c>
      <c r="AX263" s="158"/>
      <c r="AY263" s="158">
        <v>0</v>
      </c>
      <c r="AZ263" s="158"/>
      <c r="BA263" s="158">
        <v>-38.56</v>
      </c>
      <c r="BB263" s="158"/>
      <c r="BC263" s="158">
        <v>0</v>
      </c>
      <c r="BD263" s="158"/>
      <c r="BE263" s="158">
        <v>0</v>
      </c>
      <c r="BF263" s="158"/>
      <c r="BG263" s="158">
        <v>0</v>
      </c>
      <c r="BH263" s="158"/>
      <c r="BI263" s="158">
        <v>0</v>
      </c>
      <c r="BJ263" s="158"/>
      <c r="BK263" s="158">
        <v>0</v>
      </c>
      <c r="BL263" s="158"/>
      <c r="BM263" s="158">
        <v>0</v>
      </c>
      <c r="BN263" s="158"/>
      <c r="BO263" s="158">
        <v>0</v>
      </c>
      <c r="BP263" s="158"/>
      <c r="BQ263" s="158">
        <v>0</v>
      </c>
      <c r="BR263" s="158"/>
      <c r="BS263" s="158">
        <v>0</v>
      </c>
      <c r="BT263" s="158"/>
    </row>
    <row r="264" spans="1:72" x14ac:dyDescent="0.2">
      <c r="A264" s="123" t="s">
        <v>313</v>
      </c>
      <c r="B264" s="124" t="s">
        <v>854</v>
      </c>
      <c r="C264" s="158">
        <v>1406</v>
      </c>
      <c r="D264" s="158"/>
      <c r="E264" s="158">
        <v>2598</v>
      </c>
      <c r="F264" s="158"/>
      <c r="G264" s="158">
        <v>2362</v>
      </c>
      <c r="H264" s="158"/>
      <c r="I264" s="158">
        <v>458</v>
      </c>
      <c r="J264" s="158"/>
      <c r="K264" s="158">
        <v>4649.6000000000004</v>
      </c>
      <c r="L264" s="158"/>
      <c r="M264" s="158">
        <v>3065</v>
      </c>
      <c r="N264" s="158"/>
      <c r="O264" s="158">
        <v>1472.33</v>
      </c>
      <c r="P264" s="158"/>
      <c r="Q264" s="158">
        <v>2645</v>
      </c>
      <c r="R264" s="158"/>
      <c r="S264" s="158">
        <v>1057</v>
      </c>
      <c r="T264" s="158"/>
      <c r="U264" s="158">
        <v>3030</v>
      </c>
      <c r="V264" s="158"/>
      <c r="W264" s="158">
        <v>-1263</v>
      </c>
      <c r="X264" s="158"/>
      <c r="Y264" s="158">
        <v>2552</v>
      </c>
      <c r="Z264" s="158"/>
      <c r="AA264" s="158">
        <v>670</v>
      </c>
      <c r="AB264" s="158"/>
      <c r="AC264" s="158">
        <v>1963</v>
      </c>
      <c r="AD264" s="158"/>
      <c r="AE264" s="158">
        <v>4117</v>
      </c>
      <c r="AF264" s="158"/>
      <c r="AG264" s="158">
        <v>2624</v>
      </c>
      <c r="AH264" s="158"/>
      <c r="AI264" s="158">
        <v>2100</v>
      </c>
      <c r="AJ264" s="158"/>
      <c r="AK264" s="158">
        <v>5442</v>
      </c>
      <c r="AL264" s="158"/>
      <c r="AM264" s="158">
        <v>7139</v>
      </c>
      <c r="AN264" s="158"/>
      <c r="AO264" s="158">
        <v>2258</v>
      </c>
      <c r="AP264" s="158"/>
      <c r="AQ264" s="158">
        <v>2268.35</v>
      </c>
      <c r="AR264" s="158"/>
      <c r="AS264" s="158">
        <v>1790.39</v>
      </c>
      <c r="AT264" s="158"/>
      <c r="AU264" s="158">
        <v>-113</v>
      </c>
      <c r="AV264" s="158"/>
      <c r="AW264" s="158">
        <v>2076</v>
      </c>
      <c r="AX264" s="158"/>
      <c r="AY264" s="158">
        <v>2868</v>
      </c>
      <c r="AZ264" s="158"/>
      <c r="BA264" s="158">
        <v>3660.84</v>
      </c>
      <c r="BB264" s="158"/>
      <c r="BC264" s="158">
        <v>3443.84</v>
      </c>
      <c r="BD264" s="158"/>
      <c r="BE264" s="158">
        <v>3518.5</v>
      </c>
      <c r="BF264" s="158"/>
      <c r="BG264" s="158">
        <v>1431.26</v>
      </c>
      <c r="BH264" s="158"/>
      <c r="BI264" s="158">
        <v>1523.31</v>
      </c>
      <c r="BJ264" s="158"/>
      <c r="BK264" s="158">
        <v>-538</v>
      </c>
      <c r="BL264" s="158"/>
      <c r="BM264" s="158">
        <v>1214.2</v>
      </c>
      <c r="BN264" s="158"/>
      <c r="BO264" s="158">
        <v>2822</v>
      </c>
      <c r="BP264" s="158"/>
      <c r="BQ264" s="158">
        <v>1133</v>
      </c>
      <c r="BR264" s="158"/>
      <c r="BS264" s="158">
        <v>709</v>
      </c>
      <c r="BT264" s="158"/>
    </row>
    <row r="265" spans="1:72" x14ac:dyDescent="0.2">
      <c r="A265" s="123" t="s">
        <v>314</v>
      </c>
      <c r="B265" s="124" t="s">
        <v>853</v>
      </c>
      <c r="C265" s="158">
        <v>1543</v>
      </c>
      <c r="D265" s="158"/>
      <c r="E265" s="158">
        <v>2734</v>
      </c>
      <c r="F265" s="158"/>
      <c r="G265" s="158">
        <v>2335</v>
      </c>
      <c r="H265" s="158"/>
      <c r="I265" s="158">
        <v>427</v>
      </c>
      <c r="J265" s="158"/>
      <c r="K265" s="158">
        <v>4748.59</v>
      </c>
      <c r="L265" s="158"/>
      <c r="M265" s="158">
        <v>1999</v>
      </c>
      <c r="N265" s="158"/>
      <c r="O265" s="158">
        <v>2347.25</v>
      </c>
      <c r="P265" s="158"/>
      <c r="Q265" s="158">
        <v>1977</v>
      </c>
      <c r="R265" s="158"/>
      <c r="S265" s="158">
        <v>3854</v>
      </c>
      <c r="T265" s="158"/>
      <c r="U265" s="158">
        <v>3048</v>
      </c>
      <c r="V265" s="158"/>
      <c r="W265" s="158">
        <v>2641</v>
      </c>
      <c r="X265" s="158"/>
      <c r="Y265" s="158">
        <v>3022</v>
      </c>
      <c r="Z265" s="158"/>
      <c r="AA265" s="158">
        <v>491</v>
      </c>
      <c r="AB265" s="158"/>
      <c r="AC265" s="158">
        <v>2047</v>
      </c>
      <c r="AD265" s="158"/>
      <c r="AE265" s="158">
        <v>2826</v>
      </c>
      <c r="AF265" s="158"/>
      <c r="AG265" s="158">
        <v>2084</v>
      </c>
      <c r="AH265" s="158"/>
      <c r="AI265" s="158">
        <v>1827</v>
      </c>
      <c r="AJ265" s="158"/>
      <c r="AK265" s="158">
        <v>4800</v>
      </c>
      <c r="AL265" s="158"/>
      <c r="AM265" s="158">
        <v>5247</v>
      </c>
      <c r="AN265" s="158"/>
      <c r="AO265" s="158">
        <v>1703</v>
      </c>
      <c r="AP265" s="158"/>
      <c r="AQ265" s="158">
        <v>1833.56</v>
      </c>
      <c r="AR265" s="158"/>
      <c r="AS265" s="158">
        <v>1687.2</v>
      </c>
      <c r="AT265" s="158"/>
      <c r="AU265" s="158">
        <v>4901</v>
      </c>
      <c r="AV265" s="158"/>
      <c r="AW265" s="158">
        <v>1471</v>
      </c>
      <c r="AX265" s="158"/>
      <c r="AY265" s="158">
        <v>1788</v>
      </c>
      <c r="AZ265" s="158"/>
      <c r="BA265" s="158">
        <v>3024.73</v>
      </c>
      <c r="BB265" s="158"/>
      <c r="BC265" s="158">
        <v>3804.63</v>
      </c>
      <c r="BD265" s="158"/>
      <c r="BE265" s="158">
        <v>2048</v>
      </c>
      <c r="BF265" s="158"/>
      <c r="BG265" s="158">
        <v>1941.57</v>
      </c>
      <c r="BH265" s="158"/>
      <c r="BI265" s="158">
        <v>2383.5700000000002</v>
      </c>
      <c r="BJ265" s="158"/>
      <c r="BK265" s="158">
        <v>-801</v>
      </c>
      <c r="BL265" s="158"/>
      <c r="BM265" s="158">
        <v>1094.47</v>
      </c>
      <c r="BN265" s="158"/>
      <c r="BO265" s="158">
        <v>2084</v>
      </c>
      <c r="BP265" s="158"/>
      <c r="BQ265" s="158">
        <v>569</v>
      </c>
      <c r="BR265" s="158"/>
      <c r="BS265" s="158">
        <v>479</v>
      </c>
      <c r="BT265" s="158"/>
    </row>
    <row r="266" spans="1:72" x14ac:dyDescent="0.2">
      <c r="A266" s="123" t="s">
        <v>1386</v>
      </c>
      <c r="B266" s="124" t="s">
        <v>1387</v>
      </c>
      <c r="C266" s="158">
        <v>0</v>
      </c>
      <c r="D266" s="158"/>
      <c r="E266" s="158">
        <v>0</v>
      </c>
      <c r="F266" s="158"/>
      <c r="G266" s="158">
        <v>0</v>
      </c>
      <c r="H266" s="158"/>
      <c r="I266" s="158">
        <v>0</v>
      </c>
      <c r="J266" s="158"/>
      <c r="K266" s="158">
        <v>0</v>
      </c>
      <c r="L266" s="158"/>
      <c r="M266" s="158">
        <v>0</v>
      </c>
      <c r="N266" s="158"/>
      <c r="O266" s="158">
        <v>0</v>
      </c>
      <c r="P266" s="158"/>
      <c r="Q266" s="158">
        <v>0</v>
      </c>
      <c r="R266" s="158"/>
      <c r="S266" s="158">
        <v>0</v>
      </c>
      <c r="T266" s="158"/>
      <c r="U266" s="158">
        <v>0</v>
      </c>
      <c r="V266" s="158"/>
      <c r="W266" s="158">
        <v>0</v>
      </c>
      <c r="X266" s="158"/>
      <c r="Y266" s="158">
        <v>0</v>
      </c>
      <c r="Z266" s="158"/>
      <c r="AA266" s="158">
        <v>0</v>
      </c>
      <c r="AB266" s="158"/>
      <c r="AC266" s="158">
        <v>0</v>
      </c>
      <c r="AD266" s="158"/>
      <c r="AE266" s="158">
        <v>77.349999999999994</v>
      </c>
      <c r="AF266" s="158"/>
      <c r="AG266" s="158">
        <v>0</v>
      </c>
      <c r="AH266" s="158"/>
      <c r="AI266" s="158">
        <v>0</v>
      </c>
      <c r="AJ266" s="158"/>
      <c r="AK266" s="158">
        <v>0</v>
      </c>
      <c r="AL266" s="158"/>
      <c r="AM266" s="158">
        <v>0</v>
      </c>
      <c r="AN266" s="158"/>
      <c r="AO266" s="158">
        <v>0</v>
      </c>
      <c r="AP266" s="158"/>
      <c r="AQ266" s="158">
        <v>0</v>
      </c>
      <c r="AR266" s="158"/>
      <c r="AS266" s="158">
        <v>0</v>
      </c>
      <c r="AT266" s="158"/>
      <c r="AU266" s="158">
        <v>0</v>
      </c>
      <c r="AV266" s="158"/>
      <c r="AW266" s="158">
        <v>0</v>
      </c>
      <c r="AX266" s="158"/>
      <c r="AY266" s="158">
        <v>0</v>
      </c>
      <c r="AZ266" s="158"/>
      <c r="BA266" s="158">
        <v>0</v>
      </c>
      <c r="BB266" s="158"/>
      <c r="BC266" s="158">
        <v>0</v>
      </c>
      <c r="BD266" s="158"/>
      <c r="BE266" s="158">
        <v>0</v>
      </c>
      <c r="BF266" s="158"/>
      <c r="BG266" s="158">
        <v>0</v>
      </c>
      <c r="BH266" s="158"/>
      <c r="BI266" s="158">
        <v>0</v>
      </c>
      <c r="BJ266" s="158"/>
      <c r="BK266" s="158">
        <v>0</v>
      </c>
      <c r="BL266" s="158"/>
      <c r="BM266" s="158">
        <v>0</v>
      </c>
      <c r="BN266" s="158"/>
      <c r="BO266" s="158">
        <v>0</v>
      </c>
      <c r="BP266" s="158"/>
      <c r="BQ266" s="158">
        <v>0</v>
      </c>
      <c r="BR266" s="158"/>
      <c r="BS266" s="158">
        <v>0</v>
      </c>
      <c r="BT266" s="158"/>
    </row>
    <row r="267" spans="1:72" x14ac:dyDescent="0.2">
      <c r="A267" s="123" t="s">
        <v>315</v>
      </c>
      <c r="B267" s="124" t="s">
        <v>852</v>
      </c>
      <c r="C267" s="158">
        <v>-254.74</v>
      </c>
      <c r="D267" s="158"/>
      <c r="E267" s="158">
        <v>-346.69</v>
      </c>
      <c r="F267" s="158"/>
      <c r="G267" s="158">
        <v>-298.13</v>
      </c>
      <c r="H267" s="158"/>
      <c r="I267" s="158">
        <v>-384.74</v>
      </c>
      <c r="J267" s="158"/>
      <c r="K267" s="158">
        <v>-618.33000000000004</v>
      </c>
      <c r="L267" s="158"/>
      <c r="M267" s="158">
        <v>-12.74</v>
      </c>
      <c r="N267" s="158"/>
      <c r="O267" s="158">
        <v>-253.67</v>
      </c>
      <c r="P267" s="158"/>
      <c r="Q267" s="158">
        <v>-248.63</v>
      </c>
      <c r="R267" s="158"/>
      <c r="S267" s="158">
        <v>-370.82</v>
      </c>
      <c r="T267" s="158"/>
      <c r="U267" s="158">
        <v>319.77</v>
      </c>
      <c r="V267" s="158"/>
      <c r="W267" s="158">
        <v>-393.22</v>
      </c>
      <c r="X267" s="158"/>
      <c r="Y267" s="158">
        <v>-276.95999999999998</v>
      </c>
      <c r="Z267" s="158"/>
      <c r="AA267" s="158">
        <v>-317</v>
      </c>
      <c r="AB267" s="158"/>
      <c r="AC267" s="158">
        <v>-199.91</v>
      </c>
      <c r="AD267" s="158"/>
      <c r="AE267" s="158">
        <v>-486.32</v>
      </c>
      <c r="AF267" s="158"/>
      <c r="AG267" s="158">
        <v>-348.23</v>
      </c>
      <c r="AH267" s="158"/>
      <c r="AI267" s="158">
        <v>-190.03</v>
      </c>
      <c r="AJ267" s="158"/>
      <c r="AK267" s="158">
        <v>-374.9</v>
      </c>
      <c r="AL267" s="158"/>
      <c r="AM267" s="158">
        <v>-385.04</v>
      </c>
      <c r="AN267" s="158"/>
      <c r="AO267" s="158">
        <v>-206.47</v>
      </c>
      <c r="AP267" s="158"/>
      <c r="AQ267" s="158">
        <v>-276.05</v>
      </c>
      <c r="AR267" s="158"/>
      <c r="AS267" s="158">
        <v>-220.69</v>
      </c>
      <c r="AT267" s="158"/>
      <c r="AU267" s="158">
        <v>-529.64</v>
      </c>
      <c r="AV267" s="158"/>
      <c r="AW267" s="158">
        <v>-238.62</v>
      </c>
      <c r="AX267" s="158"/>
      <c r="AY267" s="158">
        <v>-451.1</v>
      </c>
      <c r="AZ267" s="158"/>
      <c r="BA267" s="158">
        <v>-289.68</v>
      </c>
      <c r="BB267" s="158"/>
      <c r="BC267" s="158">
        <v>-347.4</v>
      </c>
      <c r="BD267" s="158"/>
      <c r="BE267" s="158">
        <v>-362.03</v>
      </c>
      <c r="BF267" s="158"/>
      <c r="BG267" s="158">
        <v>-193.83</v>
      </c>
      <c r="BH267" s="158"/>
      <c r="BI267" s="158">
        <v>-199.31</v>
      </c>
      <c r="BJ267" s="158"/>
      <c r="BK267" s="158">
        <v>-436.87</v>
      </c>
      <c r="BL267" s="158"/>
      <c r="BM267" s="158">
        <v>-176.39</v>
      </c>
      <c r="BN267" s="158"/>
      <c r="BO267" s="158">
        <v>-344.75</v>
      </c>
      <c r="BP267" s="158"/>
      <c r="BQ267" s="158">
        <v>-323.95</v>
      </c>
      <c r="BR267" s="158"/>
      <c r="BS267" s="158">
        <v>-389.7</v>
      </c>
      <c r="BT267" s="158"/>
    </row>
    <row r="268" spans="1:72" x14ac:dyDescent="0.2">
      <c r="A268" s="123" t="s">
        <v>316</v>
      </c>
      <c r="B268" s="124" t="s">
        <v>851</v>
      </c>
      <c r="C268" s="158">
        <v>-287.61</v>
      </c>
      <c r="D268" s="158"/>
      <c r="E268" s="158">
        <v>-345.55</v>
      </c>
      <c r="F268" s="158"/>
      <c r="G268" s="158">
        <v>-287.60000000000002</v>
      </c>
      <c r="H268" s="158"/>
      <c r="I268" s="158">
        <v>-358.94</v>
      </c>
      <c r="J268" s="158"/>
      <c r="K268" s="158">
        <v>-410.43</v>
      </c>
      <c r="L268" s="158"/>
      <c r="M268" s="158">
        <v>-189.04</v>
      </c>
      <c r="N268" s="158"/>
      <c r="O268" s="158">
        <v>-342.62</v>
      </c>
      <c r="P268" s="158"/>
      <c r="Q268" s="158">
        <v>-249.57</v>
      </c>
      <c r="R268" s="158"/>
      <c r="S268" s="158">
        <v>-515.77</v>
      </c>
      <c r="T268" s="158"/>
      <c r="U268" s="158">
        <v>314.3</v>
      </c>
      <c r="V268" s="158"/>
      <c r="W268" s="158">
        <v>-360.89</v>
      </c>
      <c r="X268" s="158"/>
      <c r="Y268" s="158">
        <v>-371.9</v>
      </c>
      <c r="Z268" s="158"/>
      <c r="AA268" s="158">
        <v>-237.03</v>
      </c>
      <c r="AB268" s="158"/>
      <c r="AC268" s="158">
        <v>-250.72</v>
      </c>
      <c r="AD268" s="158"/>
      <c r="AE268" s="158">
        <v>-334.92</v>
      </c>
      <c r="AF268" s="158"/>
      <c r="AG268" s="158">
        <v>-282.64</v>
      </c>
      <c r="AH268" s="158"/>
      <c r="AI268" s="158">
        <v>-232.52</v>
      </c>
      <c r="AJ268" s="158"/>
      <c r="AK268" s="158">
        <v>-453.34</v>
      </c>
      <c r="AL268" s="158"/>
      <c r="AM268" s="158">
        <v>-422.87</v>
      </c>
      <c r="AN268" s="158"/>
      <c r="AO268" s="158">
        <v>-287.17</v>
      </c>
      <c r="AP268" s="158"/>
      <c r="AQ268" s="158">
        <v>-237.87</v>
      </c>
      <c r="AR268" s="158"/>
      <c r="AS268" s="158">
        <v>-202.93</v>
      </c>
      <c r="AT268" s="158"/>
      <c r="AU268" s="158">
        <v>-410.36</v>
      </c>
      <c r="AV268" s="158"/>
      <c r="AW268" s="158">
        <v>-361.78</v>
      </c>
      <c r="AX268" s="158"/>
      <c r="AY268" s="158">
        <v>-219</v>
      </c>
      <c r="AZ268" s="158"/>
      <c r="BA268" s="158">
        <v>-422.2</v>
      </c>
      <c r="BB268" s="158"/>
      <c r="BC268" s="158">
        <v>-511.32</v>
      </c>
      <c r="BD268" s="158"/>
      <c r="BE268" s="158">
        <v>-445.35</v>
      </c>
      <c r="BF268" s="158"/>
      <c r="BG268" s="158">
        <v>-262.68</v>
      </c>
      <c r="BH268" s="158"/>
      <c r="BI268" s="158">
        <v>-381.14</v>
      </c>
      <c r="BJ268" s="158"/>
      <c r="BK268" s="158">
        <v>-282.95999999999998</v>
      </c>
      <c r="BL268" s="158"/>
      <c r="BM268" s="158">
        <v>-377.68</v>
      </c>
      <c r="BN268" s="158"/>
      <c r="BO268" s="158">
        <v>-282.64999999999998</v>
      </c>
      <c r="BP268" s="158"/>
      <c r="BQ268" s="158">
        <v>-377.55</v>
      </c>
      <c r="BR268" s="158"/>
      <c r="BS268" s="158">
        <v>-252.73</v>
      </c>
      <c r="BT268" s="158"/>
    </row>
    <row r="269" spans="1:72" x14ac:dyDescent="0.2">
      <c r="A269" s="123" t="s">
        <v>317</v>
      </c>
      <c r="B269" s="124" t="s">
        <v>850</v>
      </c>
      <c r="C269" s="158">
        <v>0</v>
      </c>
      <c r="D269" s="158"/>
      <c r="E269" s="158">
        <v>-42.03</v>
      </c>
      <c r="F269" s="158"/>
      <c r="G269" s="158">
        <v>0</v>
      </c>
      <c r="H269" s="158"/>
      <c r="I269" s="158">
        <v>0</v>
      </c>
      <c r="J269" s="158"/>
      <c r="K269" s="158">
        <v>0</v>
      </c>
      <c r="L269" s="158"/>
      <c r="M269" s="158">
        <v>0</v>
      </c>
      <c r="N269" s="158"/>
      <c r="O269" s="158">
        <v>0</v>
      </c>
      <c r="P269" s="158"/>
      <c r="Q269" s="158">
        <v>0</v>
      </c>
      <c r="R269" s="158"/>
      <c r="S269" s="158">
        <v>0</v>
      </c>
      <c r="T269" s="158"/>
      <c r="U269" s="158">
        <v>0</v>
      </c>
      <c r="V269" s="158"/>
      <c r="W269" s="158">
        <v>0</v>
      </c>
      <c r="X269" s="158"/>
      <c r="Y269" s="158">
        <v>0</v>
      </c>
      <c r="Z269" s="158"/>
      <c r="AA269" s="158">
        <v>0</v>
      </c>
      <c r="AB269" s="158"/>
      <c r="AC269" s="158">
        <v>0</v>
      </c>
      <c r="AD269" s="158"/>
      <c r="AE269" s="158">
        <v>0</v>
      </c>
      <c r="AF269" s="158"/>
      <c r="AG269" s="158">
        <v>0</v>
      </c>
      <c r="AH269" s="158"/>
      <c r="AI269" s="158">
        <v>0</v>
      </c>
      <c r="AJ269" s="158"/>
      <c r="AK269" s="158">
        <v>0</v>
      </c>
      <c r="AL269" s="158"/>
      <c r="AM269" s="158">
        <v>0</v>
      </c>
      <c r="AN269" s="158"/>
      <c r="AO269" s="158">
        <v>0</v>
      </c>
      <c r="AP269" s="158"/>
      <c r="AQ269" s="158">
        <v>0</v>
      </c>
      <c r="AR269" s="158"/>
      <c r="AS269" s="158">
        <v>0</v>
      </c>
      <c r="AT269" s="158"/>
      <c r="AU269" s="158">
        <v>0</v>
      </c>
      <c r="AV269" s="158"/>
      <c r="AW269" s="158">
        <v>0</v>
      </c>
      <c r="AX269" s="158"/>
      <c r="AY269" s="158">
        <v>0</v>
      </c>
      <c r="AZ269" s="158"/>
      <c r="BA269" s="158">
        <v>0</v>
      </c>
      <c r="BB269" s="158"/>
      <c r="BC269" s="158">
        <v>0</v>
      </c>
      <c r="BD269" s="158"/>
      <c r="BE269" s="158">
        <v>0</v>
      </c>
      <c r="BF269" s="158"/>
      <c r="BG269" s="158">
        <v>0</v>
      </c>
      <c r="BH269" s="158"/>
      <c r="BI269" s="158">
        <v>0</v>
      </c>
      <c r="BJ269" s="158"/>
      <c r="BK269" s="158">
        <v>0</v>
      </c>
      <c r="BL269" s="158"/>
      <c r="BM269" s="158">
        <v>0</v>
      </c>
      <c r="BN269" s="158"/>
      <c r="BO269" s="158">
        <v>-285.42</v>
      </c>
      <c r="BP269" s="158"/>
      <c r="BQ269" s="158">
        <v>0</v>
      </c>
      <c r="BR269" s="158"/>
      <c r="BS269" s="158">
        <v>0</v>
      </c>
      <c r="BT269" s="158"/>
    </row>
    <row r="270" spans="1:72" x14ac:dyDescent="0.2">
      <c r="A270" s="123" t="s">
        <v>318</v>
      </c>
      <c r="B270" s="124" t="s">
        <v>849</v>
      </c>
      <c r="C270" s="158">
        <v>0</v>
      </c>
      <c r="D270" s="158"/>
      <c r="E270" s="158">
        <v>0</v>
      </c>
      <c r="F270" s="158"/>
      <c r="G270" s="158">
        <v>0</v>
      </c>
      <c r="H270" s="158"/>
      <c r="I270" s="158">
        <v>0</v>
      </c>
      <c r="J270" s="158"/>
      <c r="K270" s="158">
        <v>0</v>
      </c>
      <c r="L270" s="158"/>
      <c r="M270" s="158">
        <v>0</v>
      </c>
      <c r="N270" s="158"/>
      <c r="O270" s="158">
        <v>0</v>
      </c>
      <c r="P270" s="158"/>
      <c r="Q270" s="158">
        <v>0</v>
      </c>
      <c r="R270" s="158"/>
      <c r="S270" s="158">
        <v>0</v>
      </c>
      <c r="T270" s="158"/>
      <c r="U270" s="158">
        <v>0</v>
      </c>
      <c r="V270" s="158"/>
      <c r="W270" s="158">
        <v>0</v>
      </c>
      <c r="X270" s="158"/>
      <c r="Y270" s="158">
        <v>0</v>
      </c>
      <c r="Z270" s="158"/>
      <c r="AA270" s="158">
        <v>0</v>
      </c>
      <c r="AB270" s="158"/>
      <c r="AC270" s="158">
        <v>-114.2</v>
      </c>
      <c r="AD270" s="158"/>
      <c r="AE270" s="158">
        <v>0</v>
      </c>
      <c r="AF270" s="158"/>
      <c r="AG270" s="158">
        <v>0</v>
      </c>
      <c r="AH270" s="158"/>
      <c r="AI270" s="158">
        <v>-89.74</v>
      </c>
      <c r="AJ270" s="158"/>
      <c r="AK270" s="158">
        <v>0</v>
      </c>
      <c r="AL270" s="158"/>
      <c r="AM270" s="158">
        <v>0</v>
      </c>
      <c r="AN270" s="158"/>
      <c r="AO270" s="158">
        <v>0</v>
      </c>
      <c r="AP270" s="158"/>
      <c r="AQ270" s="158">
        <v>0</v>
      </c>
      <c r="AR270" s="158"/>
      <c r="AS270" s="158">
        <v>0</v>
      </c>
      <c r="AT270" s="158"/>
      <c r="AU270" s="158">
        <v>0</v>
      </c>
      <c r="AV270" s="158"/>
      <c r="AW270" s="158">
        <v>0</v>
      </c>
      <c r="AX270" s="158"/>
      <c r="AY270" s="158">
        <v>0</v>
      </c>
      <c r="AZ270" s="158"/>
      <c r="BA270" s="158">
        <v>0</v>
      </c>
      <c r="BB270" s="158"/>
      <c r="BC270" s="158">
        <v>0</v>
      </c>
      <c r="BD270" s="158"/>
      <c r="BE270" s="158">
        <v>44.93</v>
      </c>
      <c r="BF270" s="158"/>
      <c r="BG270" s="158">
        <v>0</v>
      </c>
      <c r="BH270" s="158"/>
      <c r="BI270" s="158">
        <v>0</v>
      </c>
      <c r="BJ270" s="158"/>
      <c r="BK270" s="158">
        <v>13.27</v>
      </c>
      <c r="BL270" s="158"/>
      <c r="BM270" s="158">
        <v>39.15</v>
      </c>
      <c r="BN270" s="158"/>
      <c r="BO270" s="158">
        <v>0</v>
      </c>
      <c r="BP270" s="158"/>
      <c r="BQ270" s="158">
        <v>0</v>
      </c>
      <c r="BR270" s="158"/>
      <c r="BS270" s="158">
        <v>0</v>
      </c>
      <c r="BT270" s="158"/>
    </row>
    <row r="271" spans="1:72" x14ac:dyDescent="0.2">
      <c r="A271" s="123" t="s">
        <v>848</v>
      </c>
      <c r="B271" s="124" t="s">
        <v>847</v>
      </c>
      <c r="C271" s="158">
        <v>0</v>
      </c>
      <c r="D271" s="158"/>
      <c r="E271" s="158">
        <v>0</v>
      </c>
      <c r="F271" s="158"/>
      <c r="G271" s="158">
        <v>0</v>
      </c>
      <c r="H271" s="158"/>
      <c r="I271" s="158">
        <v>0</v>
      </c>
      <c r="J271" s="158"/>
      <c r="K271" s="158">
        <v>0</v>
      </c>
      <c r="L271" s="158"/>
      <c r="M271" s="158">
        <v>0</v>
      </c>
      <c r="N271" s="158"/>
      <c r="O271" s="158">
        <v>0</v>
      </c>
      <c r="P271" s="158"/>
      <c r="Q271" s="158">
        <v>0</v>
      </c>
      <c r="R271" s="158"/>
      <c r="S271" s="158">
        <v>0</v>
      </c>
      <c r="T271" s="158"/>
      <c r="U271" s="158">
        <v>0</v>
      </c>
      <c r="V271" s="158"/>
      <c r="W271" s="158">
        <v>0</v>
      </c>
      <c r="X271" s="158"/>
      <c r="Y271" s="158">
        <v>0</v>
      </c>
      <c r="Z271" s="158"/>
      <c r="AA271" s="158">
        <v>0</v>
      </c>
      <c r="AB271" s="158"/>
      <c r="AC271" s="158">
        <v>0</v>
      </c>
      <c r="AD271" s="158"/>
      <c r="AE271" s="158">
        <v>0</v>
      </c>
      <c r="AF271" s="158"/>
      <c r="AG271" s="158">
        <v>0</v>
      </c>
      <c r="AH271" s="158"/>
      <c r="AI271" s="158">
        <v>0</v>
      </c>
      <c r="AJ271" s="158"/>
      <c r="AK271" s="158">
        <v>0</v>
      </c>
      <c r="AL271" s="158"/>
      <c r="AM271" s="158">
        <v>0</v>
      </c>
      <c r="AN271" s="158"/>
      <c r="AO271" s="158">
        <v>0</v>
      </c>
      <c r="AP271" s="158"/>
      <c r="AQ271" s="158">
        <v>0</v>
      </c>
      <c r="AR271" s="158"/>
      <c r="AS271" s="158">
        <v>0</v>
      </c>
      <c r="AT271" s="158"/>
      <c r="AU271" s="158">
        <v>0</v>
      </c>
      <c r="AV271" s="158"/>
      <c r="AW271" s="158">
        <v>0</v>
      </c>
      <c r="AX271" s="158"/>
      <c r="AY271" s="158">
        <v>0</v>
      </c>
      <c r="AZ271" s="158"/>
      <c r="BA271" s="158">
        <v>0</v>
      </c>
      <c r="BB271" s="158"/>
      <c r="BC271" s="158">
        <v>4310</v>
      </c>
      <c r="BD271" s="158"/>
      <c r="BE271" s="158">
        <v>0</v>
      </c>
      <c r="BF271" s="158"/>
      <c r="BG271" s="158">
        <v>0</v>
      </c>
      <c r="BH271" s="158"/>
      <c r="BI271" s="158">
        <v>0</v>
      </c>
      <c r="BJ271" s="158"/>
      <c r="BK271" s="158">
        <v>0</v>
      </c>
      <c r="BL271" s="158"/>
      <c r="BM271" s="158">
        <v>0</v>
      </c>
      <c r="BN271" s="158"/>
      <c r="BO271" s="158">
        <v>0</v>
      </c>
      <c r="BP271" s="158"/>
      <c r="BQ271" s="158">
        <v>0</v>
      </c>
      <c r="BR271" s="158"/>
      <c r="BS271" s="158">
        <v>0</v>
      </c>
      <c r="BT271" s="158"/>
    </row>
    <row r="272" spans="1:72" x14ac:dyDescent="0.2">
      <c r="A272" s="123" t="s">
        <v>319</v>
      </c>
      <c r="B272" s="124" t="s">
        <v>846</v>
      </c>
      <c r="C272" s="158">
        <v>22.77</v>
      </c>
      <c r="D272" s="158"/>
      <c r="E272" s="158">
        <v>35.770000000000003</v>
      </c>
      <c r="F272" s="158"/>
      <c r="G272" s="158">
        <v>22.79</v>
      </c>
      <c r="H272" s="158"/>
      <c r="I272" s="158">
        <v>60.71</v>
      </c>
      <c r="J272" s="158"/>
      <c r="K272" s="158">
        <v>77.44</v>
      </c>
      <c r="L272" s="158"/>
      <c r="M272" s="158">
        <v>57.34</v>
      </c>
      <c r="N272" s="158"/>
      <c r="O272" s="158">
        <v>26.62</v>
      </c>
      <c r="P272" s="158"/>
      <c r="Q272" s="158">
        <v>21.06</v>
      </c>
      <c r="R272" s="158"/>
      <c r="S272" s="158">
        <v>28.3</v>
      </c>
      <c r="T272" s="158"/>
      <c r="U272" s="158">
        <v>85.81</v>
      </c>
      <c r="V272" s="158"/>
      <c r="W272" s="158">
        <v>0</v>
      </c>
      <c r="X272" s="158"/>
      <c r="Y272" s="158">
        <v>52.25</v>
      </c>
      <c r="Z272" s="158"/>
      <c r="AA272" s="158">
        <v>34.270000000000003</v>
      </c>
      <c r="AB272" s="158"/>
      <c r="AC272" s="158">
        <v>18.22</v>
      </c>
      <c r="AD272" s="158"/>
      <c r="AE272" s="158">
        <v>133.1</v>
      </c>
      <c r="AF272" s="158"/>
      <c r="AG272" s="158">
        <v>64.319999999999993</v>
      </c>
      <c r="AH272" s="158"/>
      <c r="AI272" s="158">
        <v>14.3</v>
      </c>
      <c r="AJ272" s="158"/>
      <c r="AK272" s="158">
        <v>69.53</v>
      </c>
      <c r="AL272" s="158"/>
      <c r="AM272" s="158">
        <v>72.540000000000006</v>
      </c>
      <c r="AN272" s="158"/>
      <c r="AO272" s="158">
        <v>59.96</v>
      </c>
      <c r="AP272" s="158"/>
      <c r="AQ272" s="158">
        <v>39.06</v>
      </c>
      <c r="AR272" s="158"/>
      <c r="AS272" s="158">
        <v>50.46</v>
      </c>
      <c r="AT272" s="158"/>
      <c r="AU272" s="158">
        <v>99.08</v>
      </c>
      <c r="AV272" s="158"/>
      <c r="AW272" s="158">
        <v>103.23</v>
      </c>
      <c r="AX272" s="158"/>
      <c r="AY272" s="158">
        <v>49.57</v>
      </c>
      <c r="AZ272" s="158"/>
      <c r="BA272" s="158">
        <v>120.46</v>
      </c>
      <c r="BB272" s="158"/>
      <c r="BC272" s="158">
        <v>9.18</v>
      </c>
      <c r="BD272" s="158"/>
      <c r="BE272" s="158">
        <v>45.97</v>
      </c>
      <c r="BF272" s="158"/>
      <c r="BG272" s="158">
        <v>40.06</v>
      </c>
      <c r="BH272" s="158"/>
      <c r="BI272" s="158">
        <v>81.11</v>
      </c>
      <c r="BJ272" s="158"/>
      <c r="BK272" s="158">
        <v>13.73</v>
      </c>
      <c r="BL272" s="158"/>
      <c r="BM272" s="158">
        <v>5.43</v>
      </c>
      <c r="BN272" s="158"/>
      <c r="BO272" s="158">
        <v>52.86</v>
      </c>
      <c r="BP272" s="158"/>
      <c r="BQ272" s="158">
        <v>47.06</v>
      </c>
      <c r="BR272" s="158"/>
      <c r="BS272" s="158">
        <v>56.9</v>
      </c>
      <c r="BT272" s="158"/>
    </row>
    <row r="273" spans="1:72" x14ac:dyDescent="0.2">
      <c r="A273" s="123" t="s">
        <v>1301</v>
      </c>
      <c r="B273" s="124" t="s">
        <v>1388</v>
      </c>
      <c r="C273" s="158">
        <v>183.05</v>
      </c>
      <c r="D273" s="158"/>
      <c r="E273" s="158">
        <v>109.83</v>
      </c>
      <c r="F273" s="158"/>
      <c r="G273" s="158">
        <v>146.44</v>
      </c>
      <c r="H273" s="158"/>
      <c r="I273" s="158">
        <v>183.05</v>
      </c>
      <c r="J273" s="158"/>
      <c r="K273" s="158">
        <v>219.65</v>
      </c>
      <c r="L273" s="158"/>
      <c r="M273" s="158">
        <v>109.83</v>
      </c>
      <c r="N273" s="158"/>
      <c r="O273" s="158">
        <v>109.83</v>
      </c>
      <c r="P273" s="158"/>
      <c r="Q273" s="158">
        <v>183.05</v>
      </c>
      <c r="R273" s="158"/>
      <c r="S273" s="158">
        <v>146.44</v>
      </c>
      <c r="T273" s="158"/>
      <c r="U273" s="158">
        <v>109.83</v>
      </c>
      <c r="V273" s="158"/>
      <c r="W273" s="158">
        <v>109.83</v>
      </c>
      <c r="X273" s="158"/>
      <c r="Y273" s="158">
        <v>146.44</v>
      </c>
      <c r="Z273" s="158"/>
      <c r="AA273" s="158">
        <v>109.83</v>
      </c>
      <c r="AB273" s="158"/>
      <c r="AC273" s="158">
        <v>146.44</v>
      </c>
      <c r="AD273" s="158"/>
      <c r="AE273" s="158">
        <v>146.44</v>
      </c>
      <c r="AF273" s="158"/>
      <c r="AG273" s="158">
        <v>146.44</v>
      </c>
      <c r="AH273" s="158"/>
      <c r="AI273" s="158">
        <v>146.44</v>
      </c>
      <c r="AJ273" s="158"/>
      <c r="AK273" s="158">
        <v>146.44</v>
      </c>
      <c r="AL273" s="158"/>
      <c r="AM273" s="158">
        <v>219.65</v>
      </c>
      <c r="AN273" s="158"/>
      <c r="AO273" s="158">
        <v>146.44</v>
      </c>
      <c r="AP273" s="158"/>
      <c r="AQ273" s="158">
        <v>183.05</v>
      </c>
      <c r="AR273" s="158"/>
      <c r="AS273" s="158">
        <v>146.44</v>
      </c>
      <c r="AT273" s="158"/>
      <c r="AU273" s="158">
        <v>146.44</v>
      </c>
      <c r="AV273" s="158"/>
      <c r="AW273" s="158">
        <v>109.83</v>
      </c>
      <c r="AX273" s="158"/>
      <c r="AY273" s="158">
        <v>183.05</v>
      </c>
      <c r="AZ273" s="158"/>
      <c r="BA273" s="158">
        <v>146.44</v>
      </c>
      <c r="BB273" s="158"/>
      <c r="BC273" s="158">
        <v>146.44</v>
      </c>
      <c r="BD273" s="158"/>
      <c r="BE273" s="158">
        <v>146.44</v>
      </c>
      <c r="BF273" s="158"/>
      <c r="BG273" s="158">
        <v>109.83</v>
      </c>
      <c r="BH273" s="158"/>
      <c r="BI273" s="158">
        <v>183.05</v>
      </c>
      <c r="BJ273" s="158"/>
      <c r="BK273" s="158">
        <v>183.05</v>
      </c>
      <c r="BL273" s="158"/>
      <c r="BM273" s="158">
        <v>146.44</v>
      </c>
      <c r="BN273" s="158"/>
      <c r="BO273" s="158">
        <v>146.44</v>
      </c>
      <c r="BP273" s="158"/>
      <c r="BQ273" s="158">
        <v>109.83</v>
      </c>
      <c r="BR273" s="158"/>
      <c r="BS273" s="158">
        <v>146.44</v>
      </c>
      <c r="BT273" s="158"/>
    </row>
    <row r="274" spans="1:72" x14ac:dyDescent="0.2">
      <c r="A274" s="123" t="s">
        <v>1389</v>
      </c>
      <c r="B274" s="124" t="s">
        <v>845</v>
      </c>
      <c r="C274" s="158">
        <v>0</v>
      </c>
      <c r="D274" s="158"/>
      <c r="E274" s="158">
        <v>0</v>
      </c>
      <c r="F274" s="158"/>
      <c r="G274" s="158">
        <v>0</v>
      </c>
      <c r="H274" s="158"/>
      <c r="I274" s="158">
        <v>0</v>
      </c>
      <c r="J274" s="158"/>
      <c r="K274" s="158">
        <v>4036.01</v>
      </c>
      <c r="L274" s="158"/>
      <c r="M274" s="158">
        <v>0</v>
      </c>
      <c r="N274" s="158"/>
      <c r="O274" s="158">
        <v>0</v>
      </c>
      <c r="P274" s="158"/>
      <c r="Q274" s="158">
        <v>0</v>
      </c>
      <c r="R274" s="158"/>
      <c r="S274" s="158">
        <v>0</v>
      </c>
      <c r="T274" s="158"/>
      <c r="U274" s="158">
        <v>0</v>
      </c>
      <c r="V274" s="158"/>
      <c r="W274" s="158">
        <v>0</v>
      </c>
      <c r="X274" s="158"/>
      <c r="Y274" s="158">
        <v>0</v>
      </c>
      <c r="Z274" s="158"/>
      <c r="AA274" s="158">
        <v>0</v>
      </c>
      <c r="AB274" s="158"/>
      <c r="AC274" s="158">
        <v>0</v>
      </c>
      <c r="AD274" s="158"/>
      <c r="AE274" s="158">
        <v>0</v>
      </c>
      <c r="AF274" s="158"/>
      <c r="AG274" s="158">
        <v>0</v>
      </c>
      <c r="AH274" s="158"/>
      <c r="AI274" s="158">
        <v>0</v>
      </c>
      <c r="AJ274" s="158"/>
      <c r="AK274" s="158">
        <v>0</v>
      </c>
      <c r="AL274" s="158"/>
      <c r="AM274" s="158">
        <v>0</v>
      </c>
      <c r="AN274" s="158"/>
      <c r="AO274" s="158">
        <v>0</v>
      </c>
      <c r="AP274" s="158"/>
      <c r="AQ274" s="158">
        <v>0</v>
      </c>
      <c r="AR274" s="158"/>
      <c r="AS274" s="158">
        <v>1174.98</v>
      </c>
      <c r="AT274" s="158"/>
      <c r="AU274" s="158">
        <v>0</v>
      </c>
      <c r="AV274" s="158"/>
      <c r="AW274" s="158">
        <v>0</v>
      </c>
      <c r="AX274" s="158"/>
      <c r="AY274" s="158">
        <v>0</v>
      </c>
      <c r="AZ274" s="158"/>
      <c r="BA274" s="158">
        <v>0</v>
      </c>
      <c r="BB274" s="158"/>
      <c r="BC274" s="158">
        <v>0</v>
      </c>
      <c r="BD274" s="158"/>
      <c r="BE274" s="158">
        <v>0</v>
      </c>
      <c r="BF274" s="158"/>
      <c r="BG274" s="158">
        <v>0</v>
      </c>
      <c r="BH274" s="158"/>
      <c r="BI274" s="158">
        <v>0</v>
      </c>
      <c r="BJ274" s="158"/>
      <c r="BK274" s="158">
        <v>0</v>
      </c>
      <c r="BL274" s="158"/>
      <c r="BM274" s="158">
        <v>0</v>
      </c>
      <c r="BN274" s="158"/>
      <c r="BO274" s="158">
        <v>0</v>
      </c>
      <c r="BP274" s="158"/>
      <c r="BQ274" s="158">
        <v>0</v>
      </c>
      <c r="BR274" s="158"/>
      <c r="BS274" s="158">
        <v>0</v>
      </c>
      <c r="BT274" s="158"/>
    </row>
    <row r="275" spans="1:72" x14ac:dyDescent="0.2">
      <c r="A275" s="123" t="s">
        <v>320</v>
      </c>
      <c r="B275" s="124" t="s">
        <v>845</v>
      </c>
      <c r="C275" s="158">
        <v>0</v>
      </c>
      <c r="D275" s="158"/>
      <c r="E275" s="158">
        <v>0</v>
      </c>
      <c r="F275" s="158"/>
      <c r="G275" s="158">
        <v>0</v>
      </c>
      <c r="H275" s="158"/>
      <c r="I275" s="158">
        <v>0</v>
      </c>
      <c r="J275" s="158"/>
      <c r="K275" s="158">
        <v>4167.6899999999996</v>
      </c>
      <c r="L275" s="158"/>
      <c r="M275" s="158">
        <v>0</v>
      </c>
      <c r="N275" s="158"/>
      <c r="O275" s="158">
        <v>0</v>
      </c>
      <c r="P275" s="158"/>
      <c r="Q275" s="158">
        <v>0</v>
      </c>
      <c r="R275" s="158"/>
      <c r="S275" s="158">
        <v>0</v>
      </c>
      <c r="T275" s="158"/>
      <c r="U275" s="158">
        <v>0</v>
      </c>
      <c r="V275" s="158"/>
      <c r="W275" s="158">
        <v>0</v>
      </c>
      <c r="X275" s="158"/>
      <c r="Y275" s="158">
        <v>0</v>
      </c>
      <c r="Z275" s="158"/>
      <c r="AA275" s="158">
        <v>0</v>
      </c>
      <c r="AB275" s="158"/>
      <c r="AC275" s="158">
        <v>0</v>
      </c>
      <c r="AD275" s="158"/>
      <c r="AE275" s="158">
        <v>0</v>
      </c>
      <c r="AF275" s="158"/>
      <c r="AG275" s="158">
        <v>0</v>
      </c>
      <c r="AH275" s="158"/>
      <c r="AI275" s="158">
        <v>0</v>
      </c>
      <c r="AJ275" s="158"/>
      <c r="AK275" s="158">
        <v>0</v>
      </c>
      <c r="AL275" s="158"/>
      <c r="AM275" s="158">
        <v>490.88</v>
      </c>
      <c r="AN275" s="158"/>
      <c r="AO275" s="158">
        <v>0</v>
      </c>
      <c r="AP275" s="158"/>
      <c r="AQ275" s="158">
        <v>0</v>
      </c>
      <c r="AR275" s="158"/>
      <c r="AS275" s="158">
        <v>5502.28</v>
      </c>
      <c r="AT275" s="158"/>
      <c r="AU275" s="158">
        <v>0</v>
      </c>
      <c r="AV275" s="158"/>
      <c r="AW275" s="158">
        <v>0</v>
      </c>
      <c r="AX275" s="158"/>
      <c r="AY275" s="158">
        <v>0</v>
      </c>
      <c r="AZ275" s="158"/>
      <c r="BA275" s="158">
        <v>0</v>
      </c>
      <c r="BB275" s="158"/>
      <c r="BC275" s="158">
        <v>0</v>
      </c>
      <c r="BD275" s="158"/>
      <c r="BE275" s="158">
        <v>0</v>
      </c>
      <c r="BF275" s="158"/>
      <c r="BG275" s="158">
        <v>0</v>
      </c>
      <c r="BH275" s="158"/>
      <c r="BI275" s="158">
        <v>0</v>
      </c>
      <c r="BJ275" s="158"/>
      <c r="BK275" s="158">
        <v>0</v>
      </c>
      <c r="BL275" s="158"/>
      <c r="BM275" s="158">
        <v>0</v>
      </c>
      <c r="BN275" s="158"/>
      <c r="BO275" s="158">
        <v>0</v>
      </c>
      <c r="BP275" s="158"/>
      <c r="BQ275" s="158">
        <v>0</v>
      </c>
      <c r="BR275" s="158"/>
      <c r="BS275" s="158">
        <v>0</v>
      </c>
      <c r="BT275" s="158"/>
    </row>
    <row r="276" spans="1:72" x14ac:dyDescent="0.2">
      <c r="A276" s="123" t="s">
        <v>1390</v>
      </c>
      <c r="B276" s="124" t="s">
        <v>1391</v>
      </c>
      <c r="C276" s="158">
        <v>16663.09</v>
      </c>
      <c r="D276" s="158"/>
      <c r="E276" s="158">
        <v>15405.99</v>
      </c>
      <c r="F276" s="158"/>
      <c r="G276" s="158">
        <v>11095.48</v>
      </c>
      <c r="H276" s="158"/>
      <c r="I276" s="158">
        <v>18017.71</v>
      </c>
      <c r="J276" s="158"/>
      <c r="K276" s="158">
        <v>30038.29</v>
      </c>
      <c r="L276" s="158"/>
      <c r="M276" s="158">
        <v>15401.49</v>
      </c>
      <c r="N276" s="158"/>
      <c r="O276" s="158">
        <v>15090.6</v>
      </c>
      <c r="P276" s="158"/>
      <c r="Q276" s="158">
        <v>13540.26</v>
      </c>
      <c r="R276" s="158"/>
      <c r="S276" s="158">
        <v>20346.59</v>
      </c>
      <c r="T276" s="158"/>
      <c r="U276" s="158">
        <v>16165.01</v>
      </c>
      <c r="V276" s="158"/>
      <c r="W276" s="158">
        <v>13739.76</v>
      </c>
      <c r="X276" s="158"/>
      <c r="Y276" s="158">
        <v>15313.28</v>
      </c>
      <c r="Z276" s="158"/>
      <c r="AA276" s="158">
        <v>12892.85</v>
      </c>
      <c r="AB276" s="158"/>
      <c r="AC276" s="158">
        <v>12606.45</v>
      </c>
      <c r="AD276" s="158"/>
      <c r="AE276" s="158">
        <v>25961.42</v>
      </c>
      <c r="AF276" s="158"/>
      <c r="AG276" s="158">
        <v>15273.87</v>
      </c>
      <c r="AH276" s="158"/>
      <c r="AI276" s="158">
        <v>9890.16</v>
      </c>
      <c r="AJ276" s="158"/>
      <c r="AK276" s="158">
        <v>20669.830000000002</v>
      </c>
      <c r="AL276" s="158"/>
      <c r="AM276" s="158">
        <v>20294.849999999999</v>
      </c>
      <c r="AN276" s="158"/>
      <c r="AO276" s="158">
        <v>12652.96</v>
      </c>
      <c r="AP276" s="158"/>
      <c r="AQ276" s="158">
        <v>15418.88</v>
      </c>
      <c r="AR276" s="158"/>
      <c r="AS276" s="158">
        <v>12213.42</v>
      </c>
      <c r="AT276" s="158"/>
      <c r="AU276" s="158">
        <v>17257.03</v>
      </c>
      <c r="AV276" s="158"/>
      <c r="AW276" s="158">
        <v>12957.65</v>
      </c>
      <c r="AX276" s="158"/>
      <c r="AY276" s="158">
        <v>15629.28</v>
      </c>
      <c r="AZ276" s="158"/>
      <c r="BA276" s="158">
        <v>16055.77</v>
      </c>
      <c r="BB276" s="158"/>
      <c r="BC276" s="158">
        <v>21101.5</v>
      </c>
      <c r="BD276" s="158"/>
      <c r="BE276" s="158">
        <v>17552.330000000002</v>
      </c>
      <c r="BF276" s="158"/>
      <c r="BG276" s="158">
        <v>7930.7</v>
      </c>
      <c r="BH276" s="158"/>
      <c r="BI276" s="158">
        <v>15681.67</v>
      </c>
      <c r="BJ276" s="158"/>
      <c r="BK276" s="158">
        <v>18626.099999999999</v>
      </c>
      <c r="BL276" s="158"/>
      <c r="BM276" s="158">
        <v>7752.85</v>
      </c>
      <c r="BN276" s="158"/>
      <c r="BO276" s="158">
        <v>16200.59</v>
      </c>
      <c r="BP276" s="158"/>
      <c r="BQ276" s="158">
        <v>14810.82</v>
      </c>
      <c r="BR276" s="158"/>
      <c r="BS276" s="158">
        <v>11168.15</v>
      </c>
      <c r="BT276" s="158"/>
    </row>
    <row r="277" spans="1:72" x14ac:dyDescent="0.2">
      <c r="A277" s="123" t="s">
        <v>321</v>
      </c>
      <c r="B277" s="124" t="s">
        <v>844</v>
      </c>
      <c r="C277" s="158">
        <v>213.92</v>
      </c>
      <c r="D277" s="158"/>
      <c r="E277" s="158">
        <v>150</v>
      </c>
      <c r="F277" s="158"/>
      <c r="G277" s="158">
        <v>213.94</v>
      </c>
      <c r="H277" s="158"/>
      <c r="I277" s="158">
        <v>0</v>
      </c>
      <c r="J277" s="158"/>
      <c r="K277" s="158">
        <v>195.97</v>
      </c>
      <c r="L277" s="158"/>
      <c r="M277" s="158">
        <v>0</v>
      </c>
      <c r="N277" s="158"/>
      <c r="O277" s="158">
        <v>0</v>
      </c>
      <c r="P277" s="158"/>
      <c r="Q277" s="158">
        <v>0</v>
      </c>
      <c r="R277" s="158"/>
      <c r="S277" s="158">
        <v>0</v>
      </c>
      <c r="T277" s="158"/>
      <c r="U277" s="158">
        <v>0</v>
      </c>
      <c r="V277" s="158"/>
      <c r="W277" s="158">
        <v>0</v>
      </c>
      <c r="X277" s="158"/>
      <c r="Y277" s="158">
        <v>23.53</v>
      </c>
      <c r="Z277" s="158"/>
      <c r="AA277" s="158">
        <v>0</v>
      </c>
      <c r="AB277" s="158"/>
      <c r="AC277" s="158">
        <v>0</v>
      </c>
      <c r="AD277" s="158"/>
      <c r="AE277" s="158">
        <v>0</v>
      </c>
      <c r="AF277" s="158"/>
      <c r="AG277" s="158">
        <v>0</v>
      </c>
      <c r="AH277" s="158"/>
      <c r="AI277" s="158">
        <v>0</v>
      </c>
      <c r="AJ277" s="158"/>
      <c r="AK277" s="158">
        <v>310.70999999999998</v>
      </c>
      <c r="AL277" s="158"/>
      <c r="AM277" s="158">
        <v>0</v>
      </c>
      <c r="AN277" s="158"/>
      <c r="AO277" s="158">
        <v>0</v>
      </c>
      <c r="AP277" s="158"/>
      <c r="AQ277" s="158">
        <v>98.41</v>
      </c>
      <c r="AR277" s="158"/>
      <c r="AS277" s="158">
        <v>117.55</v>
      </c>
      <c r="AT277" s="158"/>
      <c r="AU277" s="158">
        <v>0</v>
      </c>
      <c r="AV277" s="158"/>
      <c r="AW277" s="158">
        <v>0</v>
      </c>
      <c r="AX277" s="158"/>
      <c r="AY277" s="158">
        <v>0</v>
      </c>
      <c r="AZ277" s="158"/>
      <c r="BA277" s="158">
        <v>0</v>
      </c>
      <c r="BB277" s="158"/>
      <c r="BC277" s="158">
        <v>0</v>
      </c>
      <c r="BD277" s="158"/>
      <c r="BE277" s="158">
        <v>0</v>
      </c>
      <c r="BF277" s="158"/>
      <c r="BG277" s="158">
        <v>0</v>
      </c>
      <c r="BH277" s="158"/>
      <c r="BI277" s="158">
        <v>0</v>
      </c>
      <c r="BJ277" s="158"/>
      <c r="BK277" s="158">
        <v>0</v>
      </c>
      <c r="BL277" s="158"/>
      <c r="BM277" s="158">
        <v>0</v>
      </c>
      <c r="BN277" s="158"/>
      <c r="BO277" s="158">
        <v>391.17</v>
      </c>
      <c r="BP277" s="158"/>
      <c r="BQ277" s="158">
        <v>0</v>
      </c>
      <c r="BR277" s="158"/>
      <c r="BS277" s="158">
        <v>0</v>
      </c>
      <c r="BT277" s="158"/>
    </row>
    <row r="278" spans="1:72" x14ac:dyDescent="0.2">
      <c r="A278" s="123" t="s">
        <v>843</v>
      </c>
      <c r="B278" s="124" t="s">
        <v>842</v>
      </c>
      <c r="C278" s="158">
        <v>0</v>
      </c>
      <c r="D278" s="158"/>
      <c r="E278" s="158">
        <v>0</v>
      </c>
      <c r="F278" s="158"/>
      <c r="G278" s="158">
        <v>0</v>
      </c>
      <c r="H278" s="158"/>
      <c r="I278" s="158">
        <v>0</v>
      </c>
      <c r="J278" s="158"/>
      <c r="K278" s="158">
        <v>0</v>
      </c>
      <c r="L278" s="158"/>
      <c r="M278" s="158">
        <v>0</v>
      </c>
      <c r="N278" s="158"/>
      <c r="O278" s="158">
        <v>0</v>
      </c>
      <c r="P278" s="158"/>
      <c r="Q278" s="158">
        <v>0</v>
      </c>
      <c r="R278" s="158"/>
      <c r="S278" s="158">
        <v>0</v>
      </c>
      <c r="T278" s="158"/>
      <c r="U278" s="158">
        <v>0</v>
      </c>
      <c r="V278" s="158"/>
      <c r="W278" s="158">
        <v>0</v>
      </c>
      <c r="X278" s="158"/>
      <c r="Y278" s="158">
        <v>0</v>
      </c>
      <c r="Z278" s="158"/>
      <c r="AA278" s="158">
        <v>0</v>
      </c>
      <c r="AB278" s="158"/>
      <c r="AC278" s="158">
        <v>0</v>
      </c>
      <c r="AD278" s="158"/>
      <c r="AE278" s="158">
        <v>0</v>
      </c>
      <c r="AF278" s="158"/>
      <c r="AG278" s="158">
        <v>0</v>
      </c>
      <c r="AH278" s="158"/>
      <c r="AI278" s="158">
        <v>0</v>
      </c>
      <c r="AJ278" s="158"/>
      <c r="AK278" s="158">
        <v>0</v>
      </c>
      <c r="AL278" s="158"/>
      <c r="AM278" s="158">
        <v>0</v>
      </c>
      <c r="AN278" s="158"/>
      <c r="AO278" s="158">
        <v>0</v>
      </c>
      <c r="AP278" s="158"/>
      <c r="AQ278" s="158">
        <v>0</v>
      </c>
      <c r="AR278" s="158"/>
      <c r="AS278" s="158">
        <v>0</v>
      </c>
      <c r="AT278" s="158"/>
      <c r="AU278" s="158">
        <v>0</v>
      </c>
      <c r="AV278" s="158"/>
      <c r="AW278" s="158">
        <v>0</v>
      </c>
      <c r="AX278" s="158"/>
      <c r="AY278" s="158">
        <v>0</v>
      </c>
      <c r="AZ278" s="158"/>
      <c r="BA278" s="158">
        <v>0</v>
      </c>
      <c r="BB278" s="158"/>
      <c r="BC278" s="158">
        <v>73.48</v>
      </c>
      <c r="BD278" s="158"/>
      <c r="BE278" s="158">
        <v>0</v>
      </c>
      <c r="BF278" s="158"/>
      <c r="BG278" s="158">
        <v>0</v>
      </c>
      <c r="BH278" s="158"/>
      <c r="BI278" s="158">
        <v>0</v>
      </c>
      <c r="BJ278" s="158"/>
      <c r="BK278" s="158">
        <v>0</v>
      </c>
      <c r="BL278" s="158"/>
      <c r="BM278" s="158">
        <v>0</v>
      </c>
      <c r="BN278" s="158"/>
      <c r="BO278" s="158">
        <v>0</v>
      </c>
      <c r="BP278" s="158"/>
      <c r="BQ278" s="158">
        <v>0</v>
      </c>
      <c r="BR278" s="158"/>
      <c r="BS278" s="158">
        <v>0</v>
      </c>
      <c r="BT278" s="158"/>
    </row>
    <row r="279" spans="1:72" x14ac:dyDescent="0.2">
      <c r="A279" s="123" t="s">
        <v>564</v>
      </c>
      <c r="B279" s="124" t="s">
        <v>841</v>
      </c>
      <c r="C279" s="158">
        <v>0</v>
      </c>
      <c r="D279" s="158"/>
      <c r="E279" s="158">
        <v>0</v>
      </c>
      <c r="F279" s="158"/>
      <c r="G279" s="158">
        <v>0</v>
      </c>
      <c r="H279" s="158"/>
      <c r="I279" s="158">
        <v>0</v>
      </c>
      <c r="J279" s="158"/>
      <c r="K279" s="158">
        <v>0</v>
      </c>
      <c r="L279" s="158"/>
      <c r="M279" s="158">
        <v>0</v>
      </c>
      <c r="N279" s="158"/>
      <c r="O279" s="158">
        <v>0</v>
      </c>
      <c r="P279" s="158"/>
      <c r="Q279" s="158">
        <v>0</v>
      </c>
      <c r="R279" s="158"/>
      <c r="S279" s="158">
        <v>0</v>
      </c>
      <c r="T279" s="158"/>
      <c r="U279" s="158">
        <v>0</v>
      </c>
      <c r="V279" s="158"/>
      <c r="W279" s="158">
        <v>0</v>
      </c>
      <c r="X279" s="158"/>
      <c r="Y279" s="158">
        <v>0</v>
      </c>
      <c r="Z279" s="158"/>
      <c r="AA279" s="158">
        <v>0</v>
      </c>
      <c r="AB279" s="158"/>
      <c r="AC279" s="158">
        <v>0</v>
      </c>
      <c r="AD279" s="158"/>
      <c r="AE279" s="158">
        <v>0</v>
      </c>
      <c r="AF279" s="158"/>
      <c r="AG279" s="158">
        <v>0</v>
      </c>
      <c r="AH279" s="158"/>
      <c r="AI279" s="158">
        <v>0</v>
      </c>
      <c r="AJ279" s="158"/>
      <c r="AK279" s="158">
        <v>0</v>
      </c>
      <c r="AL279" s="158"/>
      <c r="AM279" s="158">
        <v>0</v>
      </c>
      <c r="AN279" s="158"/>
      <c r="AO279" s="158">
        <v>0</v>
      </c>
      <c r="AP279" s="158"/>
      <c r="AQ279" s="158">
        <v>0</v>
      </c>
      <c r="AR279" s="158"/>
      <c r="AS279" s="158">
        <v>0</v>
      </c>
      <c r="AT279" s="158"/>
      <c r="AU279" s="158">
        <v>135.41999999999999</v>
      </c>
      <c r="AV279" s="158"/>
      <c r="AW279" s="158">
        <v>0</v>
      </c>
      <c r="AX279" s="158"/>
      <c r="AY279" s="158">
        <v>0</v>
      </c>
      <c r="AZ279" s="158"/>
      <c r="BA279" s="158">
        <v>0</v>
      </c>
      <c r="BB279" s="158"/>
      <c r="BC279" s="158">
        <v>0</v>
      </c>
      <c r="BD279" s="158"/>
      <c r="BE279" s="158">
        <v>0</v>
      </c>
      <c r="BF279" s="158"/>
      <c r="BG279" s="158">
        <v>56.96</v>
      </c>
      <c r="BH279" s="158"/>
      <c r="BI279" s="158">
        <v>56.96</v>
      </c>
      <c r="BJ279" s="158"/>
      <c r="BK279" s="158">
        <v>0</v>
      </c>
      <c r="BL279" s="158"/>
      <c r="BM279" s="158">
        <v>0</v>
      </c>
      <c r="BN279" s="158"/>
      <c r="BO279" s="158">
        <v>0</v>
      </c>
      <c r="BP279" s="158"/>
      <c r="BQ279" s="158">
        <v>0</v>
      </c>
      <c r="BR279" s="158"/>
      <c r="BS279" s="158">
        <v>0</v>
      </c>
      <c r="BT279" s="158"/>
    </row>
    <row r="280" spans="1:72" x14ac:dyDescent="0.2">
      <c r="A280" s="123" t="s">
        <v>497</v>
      </c>
      <c r="B280" s="124" t="s">
        <v>840</v>
      </c>
      <c r="C280" s="158">
        <v>0</v>
      </c>
      <c r="D280" s="158"/>
      <c r="E280" s="158">
        <v>0</v>
      </c>
      <c r="F280" s="158"/>
      <c r="G280" s="158">
        <v>0</v>
      </c>
      <c r="H280" s="158"/>
      <c r="I280" s="158">
        <v>0</v>
      </c>
      <c r="J280" s="158"/>
      <c r="K280" s="158">
        <v>0</v>
      </c>
      <c r="L280" s="158"/>
      <c r="M280" s="158">
        <v>0</v>
      </c>
      <c r="N280" s="158"/>
      <c r="O280" s="158">
        <v>0</v>
      </c>
      <c r="P280" s="158"/>
      <c r="Q280" s="158">
        <v>0</v>
      </c>
      <c r="R280" s="158"/>
      <c r="S280" s="158">
        <v>0</v>
      </c>
      <c r="T280" s="158"/>
      <c r="U280" s="158">
        <v>0</v>
      </c>
      <c r="V280" s="158"/>
      <c r="W280" s="158">
        <v>1405.07</v>
      </c>
      <c r="X280" s="158"/>
      <c r="Y280" s="158">
        <v>0</v>
      </c>
      <c r="Z280" s="158"/>
      <c r="AA280" s="158">
        <v>0</v>
      </c>
      <c r="AB280" s="158"/>
      <c r="AC280" s="158">
        <v>0</v>
      </c>
      <c r="AD280" s="158"/>
      <c r="AE280" s="158">
        <v>0</v>
      </c>
      <c r="AF280" s="158"/>
      <c r="AG280" s="158">
        <v>0</v>
      </c>
      <c r="AH280" s="158"/>
      <c r="AI280" s="158">
        <v>0</v>
      </c>
      <c r="AJ280" s="158"/>
      <c r="AK280" s="158">
        <v>0</v>
      </c>
      <c r="AL280" s="158"/>
      <c r="AM280" s="158">
        <v>0</v>
      </c>
      <c r="AN280" s="158"/>
      <c r="AO280" s="158">
        <v>0</v>
      </c>
      <c r="AP280" s="158"/>
      <c r="AQ280" s="158">
        <v>0</v>
      </c>
      <c r="AR280" s="158"/>
      <c r="AS280" s="158">
        <v>0</v>
      </c>
      <c r="AT280" s="158"/>
      <c r="AU280" s="158">
        <v>0</v>
      </c>
      <c r="AV280" s="158"/>
      <c r="AW280" s="158">
        <v>0</v>
      </c>
      <c r="AX280" s="158"/>
      <c r="AY280" s="158">
        <v>0</v>
      </c>
      <c r="AZ280" s="158"/>
      <c r="BA280" s="158">
        <v>0</v>
      </c>
      <c r="BB280" s="158"/>
      <c r="BC280" s="158">
        <v>0</v>
      </c>
      <c r="BD280" s="158"/>
      <c r="BE280" s="158">
        <v>287.22000000000003</v>
      </c>
      <c r="BF280" s="158"/>
      <c r="BG280" s="158">
        <v>0</v>
      </c>
      <c r="BH280" s="158"/>
      <c r="BI280" s="158">
        <v>0</v>
      </c>
      <c r="BJ280" s="158"/>
      <c r="BK280" s="158">
        <v>0</v>
      </c>
      <c r="BL280" s="158"/>
      <c r="BM280" s="158">
        <v>0</v>
      </c>
      <c r="BN280" s="158"/>
      <c r="BO280" s="158">
        <v>0</v>
      </c>
      <c r="BP280" s="158"/>
      <c r="BQ280" s="158">
        <v>0</v>
      </c>
      <c r="BR280" s="158"/>
      <c r="BS280" s="158">
        <v>0</v>
      </c>
      <c r="BT280" s="158"/>
    </row>
    <row r="281" spans="1:72" x14ac:dyDescent="0.2">
      <c r="A281" s="123" t="s">
        <v>322</v>
      </c>
      <c r="B281" s="124" t="s">
        <v>839</v>
      </c>
      <c r="C281" s="158">
        <v>1030.1199999999999</v>
      </c>
      <c r="D281" s="158"/>
      <c r="E281" s="158">
        <v>4049.17</v>
      </c>
      <c r="F281" s="158"/>
      <c r="G281" s="158">
        <v>3053.12</v>
      </c>
      <c r="H281" s="158"/>
      <c r="I281" s="158">
        <v>1383.01</v>
      </c>
      <c r="J281" s="158"/>
      <c r="K281" s="158">
        <v>2431.9</v>
      </c>
      <c r="L281" s="158"/>
      <c r="M281" s="158">
        <v>2144.92</v>
      </c>
      <c r="N281" s="158"/>
      <c r="O281" s="158">
        <v>710.38</v>
      </c>
      <c r="P281" s="158"/>
      <c r="Q281" s="158">
        <v>1675.18</v>
      </c>
      <c r="R281" s="158"/>
      <c r="S281" s="158">
        <v>3632.31</v>
      </c>
      <c r="T281" s="158"/>
      <c r="U281" s="158">
        <v>1670.33</v>
      </c>
      <c r="V281" s="158"/>
      <c r="W281" s="158">
        <v>1640.83</v>
      </c>
      <c r="X281" s="158"/>
      <c r="Y281" s="158">
        <v>715.38</v>
      </c>
      <c r="Z281" s="158"/>
      <c r="AA281" s="158">
        <v>3322.17</v>
      </c>
      <c r="AB281" s="158"/>
      <c r="AC281" s="158">
        <v>2105.02</v>
      </c>
      <c r="AD281" s="158"/>
      <c r="AE281" s="158">
        <v>543.38</v>
      </c>
      <c r="AF281" s="158"/>
      <c r="AG281" s="158">
        <v>2491.88</v>
      </c>
      <c r="AH281" s="158"/>
      <c r="AI281" s="158">
        <v>1666.73</v>
      </c>
      <c r="AJ281" s="158"/>
      <c r="AK281" s="158">
        <v>838.66</v>
      </c>
      <c r="AL281" s="158"/>
      <c r="AM281" s="158">
        <v>2643.15</v>
      </c>
      <c r="AN281" s="158"/>
      <c r="AO281" s="158">
        <v>2919.25</v>
      </c>
      <c r="AP281" s="158"/>
      <c r="AQ281" s="158">
        <v>2138.33</v>
      </c>
      <c r="AR281" s="158"/>
      <c r="AS281" s="158">
        <v>1519.92</v>
      </c>
      <c r="AT281" s="158"/>
      <c r="AU281" s="158">
        <v>396.77</v>
      </c>
      <c r="AV281" s="158"/>
      <c r="AW281" s="158">
        <v>371.27</v>
      </c>
      <c r="AX281" s="158"/>
      <c r="AY281" s="158">
        <v>1417.84</v>
      </c>
      <c r="AZ281" s="158"/>
      <c r="BA281" s="158">
        <v>1114.44</v>
      </c>
      <c r="BB281" s="158"/>
      <c r="BC281" s="158">
        <v>615.89</v>
      </c>
      <c r="BD281" s="158"/>
      <c r="BE281" s="158">
        <v>1495.11</v>
      </c>
      <c r="BF281" s="158"/>
      <c r="BG281" s="158">
        <v>744.58</v>
      </c>
      <c r="BH281" s="158"/>
      <c r="BI281" s="158">
        <v>410.81</v>
      </c>
      <c r="BJ281" s="158"/>
      <c r="BK281" s="158">
        <v>1180.99</v>
      </c>
      <c r="BL281" s="158"/>
      <c r="BM281" s="158">
        <v>727.51</v>
      </c>
      <c r="BN281" s="158"/>
      <c r="BO281" s="158">
        <v>4012.72</v>
      </c>
      <c r="BP281" s="158"/>
      <c r="BQ281" s="158">
        <v>1421.59</v>
      </c>
      <c r="BR281" s="158"/>
      <c r="BS281" s="158">
        <v>2702.56</v>
      </c>
      <c r="BT281" s="158"/>
    </row>
    <row r="282" spans="1:72" x14ac:dyDescent="0.2">
      <c r="A282" s="123" t="s">
        <v>323</v>
      </c>
      <c r="B282" s="124" t="s">
        <v>838</v>
      </c>
      <c r="C282" s="158">
        <v>0</v>
      </c>
      <c r="D282" s="158"/>
      <c r="E282" s="158">
        <v>0</v>
      </c>
      <c r="F282" s="158"/>
      <c r="G282" s="158">
        <v>0</v>
      </c>
      <c r="H282" s="158"/>
      <c r="I282" s="158">
        <v>0</v>
      </c>
      <c r="J282" s="158"/>
      <c r="K282" s="158">
        <v>0</v>
      </c>
      <c r="L282" s="158"/>
      <c r="M282" s="158">
        <v>0</v>
      </c>
      <c r="N282" s="158"/>
      <c r="O282" s="158">
        <v>1219</v>
      </c>
      <c r="P282" s="158"/>
      <c r="Q282" s="158">
        <v>0</v>
      </c>
      <c r="R282" s="158"/>
      <c r="S282" s="158">
        <v>1625.91</v>
      </c>
      <c r="T282" s="158"/>
      <c r="U282" s="158">
        <v>0</v>
      </c>
      <c r="V282" s="158"/>
      <c r="W282" s="158">
        <v>0</v>
      </c>
      <c r="X282" s="158"/>
      <c r="Y282" s="158">
        <v>0</v>
      </c>
      <c r="Z282" s="158"/>
      <c r="AA282" s="158">
        <v>0</v>
      </c>
      <c r="AB282" s="158"/>
      <c r="AC282" s="158">
        <v>0</v>
      </c>
      <c r="AD282" s="158"/>
      <c r="AE282" s="158">
        <v>0</v>
      </c>
      <c r="AF282" s="158"/>
      <c r="AG282" s="158">
        <v>0</v>
      </c>
      <c r="AH282" s="158"/>
      <c r="AI282" s="158">
        <v>0</v>
      </c>
      <c r="AJ282" s="158"/>
      <c r="AK282" s="158">
        <v>0</v>
      </c>
      <c r="AL282" s="158"/>
      <c r="AM282" s="158">
        <v>0</v>
      </c>
      <c r="AN282" s="158"/>
      <c r="AO282" s="158">
        <v>0</v>
      </c>
      <c r="AP282" s="158"/>
      <c r="AQ282" s="158">
        <v>0</v>
      </c>
      <c r="AR282" s="158"/>
      <c r="AS282" s="158">
        <v>0</v>
      </c>
      <c r="AT282" s="158"/>
      <c r="AU282" s="158">
        <v>1425</v>
      </c>
      <c r="AV282" s="158"/>
      <c r="AW282" s="158">
        <v>0</v>
      </c>
      <c r="AX282" s="158"/>
      <c r="AY282" s="158">
        <v>0</v>
      </c>
      <c r="AZ282" s="158"/>
      <c r="BA282" s="158">
        <v>0</v>
      </c>
      <c r="BB282" s="158"/>
      <c r="BC282" s="158">
        <v>567</v>
      </c>
      <c r="BD282" s="158"/>
      <c r="BE282" s="158">
        <v>0</v>
      </c>
      <c r="BF282" s="158"/>
      <c r="BG282" s="158">
        <v>1000</v>
      </c>
      <c r="BH282" s="158"/>
      <c r="BI282" s="158">
        <v>800</v>
      </c>
      <c r="BJ282" s="158"/>
      <c r="BK282" s="158">
        <v>0</v>
      </c>
      <c r="BL282" s="158"/>
      <c r="BM282" s="158">
        <v>403.94</v>
      </c>
      <c r="BN282" s="158"/>
      <c r="BO282" s="158">
        <v>0</v>
      </c>
      <c r="BP282" s="158"/>
      <c r="BQ282" s="158">
        <v>0</v>
      </c>
      <c r="BR282" s="158"/>
      <c r="BS282" s="158">
        <v>0</v>
      </c>
      <c r="BT282" s="158"/>
    </row>
    <row r="283" spans="1:72" x14ac:dyDescent="0.2">
      <c r="A283" s="123" t="s">
        <v>324</v>
      </c>
      <c r="B283" s="124" t="s">
        <v>837</v>
      </c>
      <c r="C283" s="158">
        <v>2447.9</v>
      </c>
      <c r="D283" s="158"/>
      <c r="E283" s="158">
        <v>0</v>
      </c>
      <c r="F283" s="158"/>
      <c r="G283" s="158">
        <v>2447.9</v>
      </c>
      <c r="H283" s="158"/>
      <c r="I283" s="158">
        <v>2447.9</v>
      </c>
      <c r="J283" s="158"/>
      <c r="K283" s="158">
        <v>0</v>
      </c>
      <c r="L283" s="158"/>
      <c r="M283" s="158">
        <v>2447.9</v>
      </c>
      <c r="N283" s="158"/>
      <c r="O283" s="158">
        <v>0</v>
      </c>
      <c r="P283" s="158"/>
      <c r="Q283" s="158">
        <v>2447.9</v>
      </c>
      <c r="R283" s="158"/>
      <c r="S283" s="158">
        <v>648.76</v>
      </c>
      <c r="T283" s="158"/>
      <c r="U283" s="158">
        <v>2447.9</v>
      </c>
      <c r="V283" s="158"/>
      <c r="W283" s="158">
        <v>0</v>
      </c>
      <c r="X283" s="158"/>
      <c r="Y283" s="158">
        <v>2447.9</v>
      </c>
      <c r="Z283" s="158"/>
      <c r="AA283" s="158">
        <v>2447.9</v>
      </c>
      <c r="AB283" s="158"/>
      <c r="AC283" s="158">
        <v>0</v>
      </c>
      <c r="AD283" s="158"/>
      <c r="AE283" s="158">
        <v>0</v>
      </c>
      <c r="AF283" s="158"/>
      <c r="AG283" s="158">
        <v>2447.9</v>
      </c>
      <c r="AH283" s="158"/>
      <c r="AI283" s="158">
        <v>0</v>
      </c>
      <c r="AJ283" s="158"/>
      <c r="AK283" s="158">
        <v>0</v>
      </c>
      <c r="AL283" s="158"/>
      <c r="AM283" s="158">
        <v>2447.9</v>
      </c>
      <c r="AN283" s="158"/>
      <c r="AO283" s="158">
        <v>2447.9</v>
      </c>
      <c r="AP283" s="158"/>
      <c r="AQ283" s="158">
        <v>2447.9</v>
      </c>
      <c r="AR283" s="158"/>
      <c r="AS283" s="158">
        <v>2447.9</v>
      </c>
      <c r="AT283" s="158"/>
      <c r="AU283" s="158">
        <v>0</v>
      </c>
      <c r="AV283" s="158"/>
      <c r="AW283" s="158">
        <v>0</v>
      </c>
      <c r="AX283" s="158"/>
      <c r="AY283" s="158">
        <v>2447.9</v>
      </c>
      <c r="AZ283" s="158"/>
      <c r="BA283" s="158">
        <v>0</v>
      </c>
      <c r="BB283" s="158"/>
      <c r="BC283" s="158">
        <v>0</v>
      </c>
      <c r="BD283" s="158"/>
      <c r="BE283" s="158">
        <v>0</v>
      </c>
      <c r="BF283" s="158"/>
      <c r="BG283" s="158">
        <v>2447.9</v>
      </c>
      <c r="BH283" s="158"/>
      <c r="BI283" s="158">
        <v>0</v>
      </c>
      <c r="BJ283" s="158"/>
      <c r="BK283" s="158">
        <v>2447.9</v>
      </c>
      <c r="BL283" s="158"/>
      <c r="BM283" s="158">
        <v>0</v>
      </c>
      <c r="BN283" s="158"/>
      <c r="BO283" s="158">
        <v>2447.9</v>
      </c>
      <c r="BP283" s="158"/>
      <c r="BQ283" s="158">
        <v>2447.9</v>
      </c>
      <c r="BR283" s="158"/>
      <c r="BS283" s="158">
        <v>2447.9</v>
      </c>
      <c r="BT283" s="158"/>
    </row>
    <row r="284" spans="1:72" x14ac:dyDescent="0.2">
      <c r="A284" s="123" t="s">
        <v>325</v>
      </c>
      <c r="B284" s="124" t="s">
        <v>836</v>
      </c>
      <c r="C284" s="158">
        <v>37.99</v>
      </c>
      <c r="D284" s="158"/>
      <c r="E284" s="158">
        <v>2150.5</v>
      </c>
      <c r="F284" s="158"/>
      <c r="G284" s="158">
        <v>49.42</v>
      </c>
      <c r="H284" s="158"/>
      <c r="I284" s="158">
        <v>26.73</v>
      </c>
      <c r="J284" s="158"/>
      <c r="K284" s="158">
        <v>191.48</v>
      </c>
      <c r="L284" s="158"/>
      <c r="M284" s="158">
        <v>0</v>
      </c>
      <c r="N284" s="158"/>
      <c r="O284" s="158">
        <v>92.64</v>
      </c>
      <c r="P284" s="158"/>
      <c r="Q284" s="158">
        <v>640.12</v>
      </c>
      <c r="R284" s="158"/>
      <c r="S284" s="158">
        <v>149.38</v>
      </c>
      <c r="T284" s="158"/>
      <c r="U284" s="158">
        <v>20.99</v>
      </c>
      <c r="V284" s="158"/>
      <c r="W284" s="158">
        <v>323.64999999999998</v>
      </c>
      <c r="X284" s="158"/>
      <c r="Y284" s="158">
        <v>204.61</v>
      </c>
      <c r="Z284" s="158"/>
      <c r="AA284" s="158">
        <v>144.19</v>
      </c>
      <c r="AB284" s="158"/>
      <c r="AC284" s="158">
        <v>0</v>
      </c>
      <c r="AD284" s="158"/>
      <c r="AE284" s="158">
        <v>435</v>
      </c>
      <c r="AF284" s="158"/>
      <c r="AG284" s="158">
        <v>7.41</v>
      </c>
      <c r="AH284" s="158"/>
      <c r="AI284" s="158">
        <v>0</v>
      </c>
      <c r="AJ284" s="158"/>
      <c r="AK284" s="158">
        <v>1508.89</v>
      </c>
      <c r="AL284" s="158"/>
      <c r="AM284" s="158">
        <v>449.97</v>
      </c>
      <c r="AN284" s="158"/>
      <c r="AO284" s="158">
        <v>85.42</v>
      </c>
      <c r="AP284" s="158"/>
      <c r="AQ284" s="158">
        <v>430</v>
      </c>
      <c r="AR284" s="158"/>
      <c r="AS284" s="158">
        <v>38.47</v>
      </c>
      <c r="AT284" s="158"/>
      <c r="AU284" s="158">
        <v>130</v>
      </c>
      <c r="AV284" s="158"/>
      <c r="AW284" s="158">
        <v>602.39</v>
      </c>
      <c r="AX284" s="158"/>
      <c r="AY284" s="158">
        <v>0</v>
      </c>
      <c r="AZ284" s="158"/>
      <c r="BA284" s="158">
        <v>0</v>
      </c>
      <c r="BB284" s="158"/>
      <c r="BC284" s="158">
        <v>437.98</v>
      </c>
      <c r="BD284" s="158"/>
      <c r="BE284" s="158">
        <v>1477.73</v>
      </c>
      <c r="BF284" s="158"/>
      <c r="BG284" s="158">
        <v>1262.93</v>
      </c>
      <c r="BH284" s="158"/>
      <c r="BI284" s="158">
        <v>635.69000000000005</v>
      </c>
      <c r="BJ284" s="158"/>
      <c r="BK284" s="158">
        <v>1492.84</v>
      </c>
      <c r="BL284" s="158"/>
      <c r="BM284" s="158">
        <v>669.65</v>
      </c>
      <c r="BN284" s="158"/>
      <c r="BO284" s="158">
        <v>534.5</v>
      </c>
      <c r="BP284" s="158"/>
      <c r="BQ284" s="158">
        <v>0</v>
      </c>
      <c r="BR284" s="158"/>
      <c r="BS284" s="158">
        <v>464</v>
      </c>
      <c r="BT284" s="158"/>
    </row>
    <row r="285" spans="1:72" x14ac:dyDescent="0.2">
      <c r="A285" s="123" t="s">
        <v>326</v>
      </c>
      <c r="B285" s="124" t="s">
        <v>835</v>
      </c>
      <c r="C285" s="158">
        <v>282.76</v>
      </c>
      <c r="D285" s="158"/>
      <c r="E285" s="158">
        <v>329.26</v>
      </c>
      <c r="F285" s="158"/>
      <c r="G285" s="158">
        <v>103.65</v>
      </c>
      <c r="H285" s="158"/>
      <c r="I285" s="158">
        <v>65.02</v>
      </c>
      <c r="J285" s="158"/>
      <c r="K285" s="158">
        <v>284.58</v>
      </c>
      <c r="L285" s="158"/>
      <c r="M285" s="158">
        <v>75.569999999999993</v>
      </c>
      <c r="N285" s="158"/>
      <c r="O285" s="158">
        <v>82.7</v>
      </c>
      <c r="P285" s="158"/>
      <c r="Q285" s="158">
        <v>104.1</v>
      </c>
      <c r="R285" s="158"/>
      <c r="S285" s="158">
        <v>147.33000000000001</v>
      </c>
      <c r="T285" s="158"/>
      <c r="U285" s="158">
        <v>0</v>
      </c>
      <c r="V285" s="158"/>
      <c r="W285" s="158">
        <v>553.4</v>
      </c>
      <c r="X285" s="158"/>
      <c r="Y285" s="158">
        <v>42.8</v>
      </c>
      <c r="Z285" s="158"/>
      <c r="AA285" s="158">
        <v>0</v>
      </c>
      <c r="AB285" s="158"/>
      <c r="AC285" s="158">
        <v>487.67</v>
      </c>
      <c r="AD285" s="158"/>
      <c r="AE285" s="158">
        <v>112.29</v>
      </c>
      <c r="AF285" s="158"/>
      <c r="AG285" s="158">
        <v>267.82</v>
      </c>
      <c r="AH285" s="158"/>
      <c r="AI285" s="158">
        <v>85.01</v>
      </c>
      <c r="AJ285" s="158"/>
      <c r="AK285" s="158">
        <v>21.2</v>
      </c>
      <c r="AL285" s="158"/>
      <c r="AM285" s="158">
        <v>528.48</v>
      </c>
      <c r="AN285" s="158"/>
      <c r="AO285" s="158">
        <v>0</v>
      </c>
      <c r="AP285" s="158"/>
      <c r="AQ285" s="158">
        <v>160.33000000000001</v>
      </c>
      <c r="AR285" s="158"/>
      <c r="AS285" s="158">
        <v>87.31</v>
      </c>
      <c r="AT285" s="158"/>
      <c r="AU285" s="158">
        <v>475.02</v>
      </c>
      <c r="AV285" s="158"/>
      <c r="AW285" s="158">
        <v>264.99</v>
      </c>
      <c r="AX285" s="158"/>
      <c r="AY285" s="158">
        <v>0</v>
      </c>
      <c r="AZ285" s="158"/>
      <c r="BA285" s="158">
        <v>207.19</v>
      </c>
      <c r="BB285" s="158"/>
      <c r="BC285" s="158">
        <v>0</v>
      </c>
      <c r="BD285" s="158"/>
      <c r="BE285" s="158">
        <v>325.51</v>
      </c>
      <c r="BF285" s="158"/>
      <c r="BG285" s="158">
        <v>63.96</v>
      </c>
      <c r="BH285" s="158"/>
      <c r="BI285" s="158">
        <v>186.32</v>
      </c>
      <c r="BJ285" s="158"/>
      <c r="BK285" s="158">
        <v>411.18</v>
      </c>
      <c r="BL285" s="158"/>
      <c r="BM285" s="158">
        <v>0</v>
      </c>
      <c r="BN285" s="158"/>
      <c r="BO285" s="158">
        <v>422.07</v>
      </c>
      <c r="BP285" s="158"/>
      <c r="BQ285" s="158">
        <v>31</v>
      </c>
      <c r="BR285" s="158"/>
      <c r="BS285" s="158">
        <v>0</v>
      </c>
      <c r="BT285" s="158"/>
    </row>
    <row r="286" spans="1:72" x14ac:dyDescent="0.2">
      <c r="A286" s="123" t="s">
        <v>327</v>
      </c>
      <c r="B286" s="124" t="s">
        <v>834</v>
      </c>
      <c r="C286" s="158">
        <v>1614.35</v>
      </c>
      <c r="D286" s="158"/>
      <c r="E286" s="158">
        <v>411.73</v>
      </c>
      <c r="F286" s="158"/>
      <c r="G286" s="158">
        <v>889.41</v>
      </c>
      <c r="H286" s="158"/>
      <c r="I286" s="158">
        <v>405.61</v>
      </c>
      <c r="J286" s="158"/>
      <c r="K286" s="158">
        <v>553.97</v>
      </c>
      <c r="L286" s="158"/>
      <c r="M286" s="158">
        <v>960.32</v>
      </c>
      <c r="N286" s="158"/>
      <c r="O286" s="158">
        <v>317.86</v>
      </c>
      <c r="P286" s="158"/>
      <c r="Q286" s="158">
        <v>185.33</v>
      </c>
      <c r="R286" s="158"/>
      <c r="S286" s="158">
        <v>899.52</v>
      </c>
      <c r="T286" s="158"/>
      <c r="U286" s="158">
        <v>151.9</v>
      </c>
      <c r="V286" s="158"/>
      <c r="W286" s="158">
        <v>2074.41</v>
      </c>
      <c r="X286" s="158"/>
      <c r="Y286" s="158">
        <v>327.68</v>
      </c>
      <c r="Z286" s="158"/>
      <c r="AA286" s="158">
        <v>206.97</v>
      </c>
      <c r="AB286" s="158"/>
      <c r="AC286" s="158">
        <v>849.15</v>
      </c>
      <c r="AD286" s="158"/>
      <c r="AE286" s="158">
        <v>1668.11</v>
      </c>
      <c r="AF286" s="158"/>
      <c r="AG286" s="158">
        <v>751.66</v>
      </c>
      <c r="AH286" s="158"/>
      <c r="AI286" s="158">
        <v>610.70000000000005</v>
      </c>
      <c r="AJ286" s="158"/>
      <c r="AK286" s="158">
        <v>755.36</v>
      </c>
      <c r="AL286" s="158"/>
      <c r="AM286" s="158">
        <v>620.61</v>
      </c>
      <c r="AN286" s="158"/>
      <c r="AO286" s="158">
        <v>-415.46</v>
      </c>
      <c r="AP286" s="158"/>
      <c r="AQ286" s="158">
        <v>132.80000000000001</v>
      </c>
      <c r="AR286" s="158"/>
      <c r="AS286" s="158">
        <v>258.44</v>
      </c>
      <c r="AT286" s="158"/>
      <c r="AU286" s="158">
        <v>1129.4000000000001</v>
      </c>
      <c r="AV286" s="158"/>
      <c r="AW286" s="158">
        <v>802.84</v>
      </c>
      <c r="AX286" s="158"/>
      <c r="AY286" s="158">
        <v>152.53</v>
      </c>
      <c r="AZ286" s="158"/>
      <c r="BA286" s="158">
        <v>300.19</v>
      </c>
      <c r="BB286" s="158"/>
      <c r="BC286" s="158">
        <v>892.55</v>
      </c>
      <c r="BD286" s="158"/>
      <c r="BE286" s="158">
        <v>1381.23</v>
      </c>
      <c r="BF286" s="158"/>
      <c r="BG286" s="158">
        <v>95.66</v>
      </c>
      <c r="BH286" s="158"/>
      <c r="BI286" s="158">
        <v>747.22</v>
      </c>
      <c r="BJ286" s="158"/>
      <c r="BK286" s="158">
        <v>-1024.29</v>
      </c>
      <c r="BL286" s="158"/>
      <c r="BM286" s="158">
        <v>341.57</v>
      </c>
      <c r="BN286" s="158"/>
      <c r="BO286" s="158">
        <v>568.99</v>
      </c>
      <c r="BP286" s="158"/>
      <c r="BQ286" s="158">
        <v>740.89</v>
      </c>
      <c r="BR286" s="158"/>
      <c r="BS286" s="158">
        <v>437.38</v>
      </c>
      <c r="BT286" s="158"/>
    </row>
    <row r="287" spans="1:72" x14ac:dyDescent="0.2">
      <c r="A287" s="123" t="s">
        <v>328</v>
      </c>
      <c r="B287" s="124" t="s">
        <v>833</v>
      </c>
      <c r="C287" s="158">
        <v>277.54000000000002</v>
      </c>
      <c r="D287" s="158"/>
      <c r="E287" s="158">
        <v>253.35</v>
      </c>
      <c r="F287" s="158"/>
      <c r="G287" s="158">
        <v>13.33</v>
      </c>
      <c r="H287" s="158"/>
      <c r="I287" s="158">
        <v>21.16</v>
      </c>
      <c r="J287" s="158"/>
      <c r="K287" s="158">
        <v>248.62</v>
      </c>
      <c r="L287" s="158"/>
      <c r="M287" s="158">
        <v>74.040000000000006</v>
      </c>
      <c r="N287" s="158"/>
      <c r="O287" s="158">
        <v>367.11</v>
      </c>
      <c r="P287" s="158"/>
      <c r="Q287" s="158">
        <v>101.99</v>
      </c>
      <c r="R287" s="158"/>
      <c r="S287" s="158">
        <v>83.34</v>
      </c>
      <c r="T287" s="158"/>
      <c r="U287" s="158">
        <v>147.01</v>
      </c>
      <c r="V287" s="158"/>
      <c r="W287" s="158">
        <v>686.87</v>
      </c>
      <c r="X287" s="158"/>
      <c r="Y287" s="158">
        <v>99.84</v>
      </c>
      <c r="Z287" s="158"/>
      <c r="AA287" s="158">
        <v>0</v>
      </c>
      <c r="AB287" s="158"/>
      <c r="AC287" s="158">
        <v>191.64</v>
      </c>
      <c r="AD287" s="158"/>
      <c r="AE287" s="158">
        <v>0</v>
      </c>
      <c r="AF287" s="158"/>
      <c r="AG287" s="158">
        <v>0</v>
      </c>
      <c r="AH287" s="158"/>
      <c r="AI287" s="158">
        <v>250.04</v>
      </c>
      <c r="AJ287" s="158"/>
      <c r="AK287" s="158">
        <v>0</v>
      </c>
      <c r="AL287" s="158"/>
      <c r="AM287" s="158">
        <v>562.57000000000005</v>
      </c>
      <c r="AN287" s="158"/>
      <c r="AO287" s="158">
        <v>3.18</v>
      </c>
      <c r="AP287" s="158"/>
      <c r="AQ287" s="158">
        <v>47.06</v>
      </c>
      <c r="AR287" s="158"/>
      <c r="AS287" s="158">
        <v>64.989999999999995</v>
      </c>
      <c r="AT287" s="158"/>
      <c r="AU287" s="158">
        <v>126.04</v>
      </c>
      <c r="AV287" s="158"/>
      <c r="AW287" s="158">
        <v>257.55</v>
      </c>
      <c r="AX287" s="158"/>
      <c r="AY287" s="158">
        <v>156.51</v>
      </c>
      <c r="AZ287" s="158"/>
      <c r="BA287" s="158">
        <v>0</v>
      </c>
      <c r="BB287" s="158"/>
      <c r="BC287" s="158">
        <v>497.94</v>
      </c>
      <c r="BD287" s="158"/>
      <c r="BE287" s="158">
        <v>1945.22</v>
      </c>
      <c r="BF287" s="158"/>
      <c r="BG287" s="158">
        <v>170.27</v>
      </c>
      <c r="BH287" s="158"/>
      <c r="BI287" s="158">
        <v>403.5</v>
      </c>
      <c r="BJ287" s="158"/>
      <c r="BK287" s="158">
        <v>85.42</v>
      </c>
      <c r="BL287" s="158"/>
      <c r="BM287" s="158">
        <v>244.74</v>
      </c>
      <c r="BN287" s="158"/>
      <c r="BO287" s="158">
        <v>115.31</v>
      </c>
      <c r="BP287" s="158"/>
      <c r="BQ287" s="158">
        <v>1083.71</v>
      </c>
      <c r="BR287" s="158"/>
      <c r="BS287" s="158">
        <v>43.24</v>
      </c>
      <c r="BT287" s="158"/>
    </row>
    <row r="288" spans="1:72" x14ac:dyDescent="0.2">
      <c r="A288" s="123" t="s">
        <v>329</v>
      </c>
      <c r="B288" s="124" t="s">
        <v>832</v>
      </c>
      <c r="C288" s="158">
        <v>0</v>
      </c>
      <c r="D288" s="158"/>
      <c r="E288" s="158">
        <v>0</v>
      </c>
      <c r="F288" s="158"/>
      <c r="G288" s="158">
        <v>0</v>
      </c>
      <c r="H288" s="158"/>
      <c r="I288" s="158">
        <v>116.98</v>
      </c>
      <c r="J288" s="158"/>
      <c r="K288" s="158">
        <v>608.97</v>
      </c>
      <c r="L288" s="158"/>
      <c r="M288" s="158">
        <v>0</v>
      </c>
      <c r="N288" s="158"/>
      <c r="O288" s="158">
        <v>0</v>
      </c>
      <c r="P288" s="158"/>
      <c r="Q288" s="158">
        <v>161.38</v>
      </c>
      <c r="R288" s="158"/>
      <c r="S288" s="158">
        <v>0</v>
      </c>
      <c r="T288" s="158"/>
      <c r="U288" s="158">
        <v>0</v>
      </c>
      <c r="V288" s="158"/>
      <c r="W288" s="158">
        <v>224.61</v>
      </c>
      <c r="X288" s="158"/>
      <c r="Y288" s="158">
        <v>0</v>
      </c>
      <c r="Z288" s="158"/>
      <c r="AA288" s="158">
        <v>20.37</v>
      </c>
      <c r="AB288" s="158"/>
      <c r="AC288" s="158">
        <v>0</v>
      </c>
      <c r="AD288" s="158"/>
      <c r="AE288" s="158">
        <v>0</v>
      </c>
      <c r="AF288" s="158"/>
      <c r="AG288" s="158">
        <v>0</v>
      </c>
      <c r="AH288" s="158"/>
      <c r="AI288" s="158">
        <v>0</v>
      </c>
      <c r="AJ288" s="158"/>
      <c r="AK288" s="158">
        <v>1607.09</v>
      </c>
      <c r="AL288" s="158"/>
      <c r="AM288" s="158">
        <v>443.74</v>
      </c>
      <c r="AN288" s="158"/>
      <c r="AO288" s="158">
        <v>116.55</v>
      </c>
      <c r="AP288" s="158"/>
      <c r="AQ288" s="158">
        <v>300</v>
      </c>
      <c r="AR288" s="158"/>
      <c r="AS288" s="158">
        <v>300</v>
      </c>
      <c r="AT288" s="158"/>
      <c r="AU288" s="158">
        <v>0</v>
      </c>
      <c r="AV288" s="158"/>
      <c r="AW288" s="158">
        <v>529.47</v>
      </c>
      <c r="AX288" s="158"/>
      <c r="AY288" s="158">
        <v>0</v>
      </c>
      <c r="AZ288" s="158"/>
      <c r="BA288" s="158">
        <v>0</v>
      </c>
      <c r="BB288" s="158"/>
      <c r="BC288" s="158">
        <v>423.58</v>
      </c>
      <c r="BD288" s="158"/>
      <c r="BE288" s="158">
        <v>459.05</v>
      </c>
      <c r="BF288" s="158"/>
      <c r="BG288" s="158">
        <v>274.27</v>
      </c>
      <c r="BH288" s="158"/>
      <c r="BI288" s="158">
        <v>351.87</v>
      </c>
      <c r="BJ288" s="158"/>
      <c r="BK288" s="158">
        <v>0</v>
      </c>
      <c r="BL288" s="158"/>
      <c r="BM288" s="158">
        <v>355.28</v>
      </c>
      <c r="BN288" s="158"/>
      <c r="BO288" s="158">
        <v>0</v>
      </c>
      <c r="BP288" s="158"/>
      <c r="BQ288" s="158">
        <v>451.06</v>
      </c>
      <c r="BR288" s="158"/>
      <c r="BS288" s="158">
        <v>12.69</v>
      </c>
      <c r="BT288" s="158"/>
    </row>
    <row r="289" spans="1:72" x14ac:dyDescent="0.2">
      <c r="A289" s="123" t="s">
        <v>330</v>
      </c>
      <c r="B289" s="124" t="s">
        <v>831</v>
      </c>
      <c r="C289" s="158">
        <v>870.9</v>
      </c>
      <c r="D289" s="158"/>
      <c r="E289" s="158">
        <v>550</v>
      </c>
      <c r="F289" s="158"/>
      <c r="G289" s="158">
        <v>178.5</v>
      </c>
      <c r="H289" s="158"/>
      <c r="I289" s="158">
        <v>0</v>
      </c>
      <c r="J289" s="158"/>
      <c r="K289" s="158">
        <v>0</v>
      </c>
      <c r="L289" s="158"/>
      <c r="M289" s="158">
        <v>928.42</v>
      </c>
      <c r="N289" s="158"/>
      <c r="O289" s="158">
        <v>0</v>
      </c>
      <c r="P289" s="158"/>
      <c r="Q289" s="158">
        <v>180</v>
      </c>
      <c r="R289" s="158"/>
      <c r="S289" s="158">
        <v>0</v>
      </c>
      <c r="T289" s="158"/>
      <c r="U289" s="158">
        <v>23.91</v>
      </c>
      <c r="V289" s="158"/>
      <c r="W289" s="158">
        <v>629.22</v>
      </c>
      <c r="X289" s="158"/>
      <c r="Y289" s="158">
        <v>338</v>
      </c>
      <c r="Z289" s="158"/>
      <c r="AA289" s="158">
        <v>0</v>
      </c>
      <c r="AB289" s="158"/>
      <c r="AC289" s="158">
        <v>69.58</v>
      </c>
      <c r="AD289" s="158"/>
      <c r="AE289" s="158">
        <v>174.08</v>
      </c>
      <c r="AF289" s="158"/>
      <c r="AG289" s="158">
        <v>869.1</v>
      </c>
      <c r="AH289" s="158"/>
      <c r="AI289" s="158">
        <v>0</v>
      </c>
      <c r="AJ289" s="158"/>
      <c r="AK289" s="158">
        <v>866.52</v>
      </c>
      <c r="AL289" s="158"/>
      <c r="AM289" s="158">
        <v>430</v>
      </c>
      <c r="AN289" s="158"/>
      <c r="AO289" s="158">
        <v>0</v>
      </c>
      <c r="AP289" s="158"/>
      <c r="AQ289" s="158">
        <v>0</v>
      </c>
      <c r="AR289" s="158"/>
      <c r="AS289" s="158">
        <v>0</v>
      </c>
      <c r="AT289" s="158"/>
      <c r="AU289" s="158">
        <v>3450</v>
      </c>
      <c r="AV289" s="158"/>
      <c r="AW289" s="158">
        <v>-437.5</v>
      </c>
      <c r="AX289" s="158"/>
      <c r="AY289" s="158">
        <v>360</v>
      </c>
      <c r="AZ289" s="158"/>
      <c r="BA289" s="158">
        <v>17.989999999999998</v>
      </c>
      <c r="BB289" s="158"/>
      <c r="BC289" s="158">
        <v>220</v>
      </c>
      <c r="BD289" s="158"/>
      <c r="BE289" s="158">
        <v>7242.71</v>
      </c>
      <c r="BF289" s="158"/>
      <c r="BG289" s="158">
        <v>561.20000000000005</v>
      </c>
      <c r="BH289" s="158"/>
      <c r="BI289" s="158">
        <v>865.88</v>
      </c>
      <c r="BJ289" s="158"/>
      <c r="BK289" s="158">
        <v>180</v>
      </c>
      <c r="BL289" s="158"/>
      <c r="BM289" s="158">
        <v>169.5</v>
      </c>
      <c r="BN289" s="158"/>
      <c r="BO289" s="158">
        <v>0</v>
      </c>
      <c r="BP289" s="158"/>
      <c r="BQ289" s="158">
        <v>2517.84</v>
      </c>
      <c r="BR289" s="158"/>
      <c r="BS289" s="158">
        <v>222</v>
      </c>
      <c r="BT289" s="158"/>
    </row>
    <row r="290" spans="1:72" x14ac:dyDescent="0.2">
      <c r="A290" s="123" t="s">
        <v>331</v>
      </c>
      <c r="B290" s="124" t="s">
        <v>830</v>
      </c>
      <c r="C290" s="158">
        <v>0</v>
      </c>
      <c r="D290" s="158"/>
      <c r="E290" s="158">
        <v>0</v>
      </c>
      <c r="F290" s="158"/>
      <c r="G290" s="158">
        <v>55</v>
      </c>
      <c r="H290" s="158"/>
      <c r="I290" s="158">
        <v>366.96</v>
      </c>
      <c r="J290" s="158"/>
      <c r="K290" s="158">
        <v>225.86</v>
      </c>
      <c r="L290" s="158"/>
      <c r="M290" s="158">
        <v>150</v>
      </c>
      <c r="N290" s="158"/>
      <c r="O290" s="158">
        <v>0</v>
      </c>
      <c r="P290" s="158"/>
      <c r="Q290" s="158">
        <v>86.52</v>
      </c>
      <c r="R290" s="158"/>
      <c r="S290" s="158">
        <v>525</v>
      </c>
      <c r="T290" s="158"/>
      <c r="U290" s="158">
        <v>0</v>
      </c>
      <c r="V290" s="158"/>
      <c r="W290" s="158">
        <v>0</v>
      </c>
      <c r="X290" s="158"/>
      <c r="Y290" s="158">
        <v>0</v>
      </c>
      <c r="Z290" s="158"/>
      <c r="AA290" s="158">
        <v>159.5</v>
      </c>
      <c r="AB290" s="158"/>
      <c r="AC290" s="158">
        <v>0</v>
      </c>
      <c r="AD290" s="158"/>
      <c r="AE290" s="158">
        <v>400.6</v>
      </c>
      <c r="AF290" s="158"/>
      <c r="AG290" s="158">
        <v>175</v>
      </c>
      <c r="AH290" s="158"/>
      <c r="AI290" s="158">
        <v>150</v>
      </c>
      <c r="AJ290" s="158"/>
      <c r="AK290" s="158">
        <v>0</v>
      </c>
      <c r="AL290" s="158"/>
      <c r="AM290" s="158">
        <v>-170</v>
      </c>
      <c r="AN290" s="158"/>
      <c r="AO290" s="158">
        <v>0</v>
      </c>
      <c r="AP290" s="158"/>
      <c r="AQ290" s="158">
        <v>1320</v>
      </c>
      <c r="AR290" s="158"/>
      <c r="AS290" s="158">
        <v>0</v>
      </c>
      <c r="AT290" s="158"/>
      <c r="AU290" s="158">
        <v>73.08</v>
      </c>
      <c r="AV290" s="158"/>
      <c r="AW290" s="158">
        <v>0</v>
      </c>
      <c r="AX290" s="158"/>
      <c r="AY290" s="158">
        <v>0</v>
      </c>
      <c r="AZ290" s="158"/>
      <c r="BA290" s="158">
        <v>0</v>
      </c>
      <c r="BB290" s="158"/>
      <c r="BC290" s="158">
        <v>150</v>
      </c>
      <c r="BD290" s="158"/>
      <c r="BE290" s="158">
        <v>1302.4000000000001</v>
      </c>
      <c r="BF290" s="158"/>
      <c r="BG290" s="158">
        <v>37.94</v>
      </c>
      <c r="BH290" s="158"/>
      <c r="BI290" s="158">
        <v>0</v>
      </c>
      <c r="BJ290" s="158"/>
      <c r="BK290" s="158">
        <v>0</v>
      </c>
      <c r="BL290" s="158"/>
      <c r="BM290" s="158">
        <v>1671.31</v>
      </c>
      <c r="BN290" s="158"/>
      <c r="BO290" s="158">
        <v>290</v>
      </c>
      <c r="BP290" s="158"/>
      <c r="BQ290" s="158">
        <v>306.62</v>
      </c>
      <c r="BR290" s="158"/>
      <c r="BS290" s="158">
        <v>245</v>
      </c>
      <c r="BT290" s="158"/>
    </row>
    <row r="291" spans="1:72" x14ac:dyDescent="0.2">
      <c r="A291" s="123" t="s">
        <v>332</v>
      </c>
      <c r="B291" s="124" t="s">
        <v>829</v>
      </c>
      <c r="C291" s="158">
        <v>237.29</v>
      </c>
      <c r="D291" s="158"/>
      <c r="E291" s="158">
        <v>639.86</v>
      </c>
      <c r="F291" s="158"/>
      <c r="G291" s="158">
        <v>250.47</v>
      </c>
      <c r="H291" s="158"/>
      <c r="I291" s="158">
        <v>117.39</v>
      </c>
      <c r="J291" s="158"/>
      <c r="K291" s="158">
        <v>761.9</v>
      </c>
      <c r="L291" s="158"/>
      <c r="M291" s="158">
        <v>156.79</v>
      </c>
      <c r="N291" s="158"/>
      <c r="O291" s="158">
        <v>0</v>
      </c>
      <c r="P291" s="158"/>
      <c r="Q291" s="158">
        <v>412.67</v>
      </c>
      <c r="R291" s="158"/>
      <c r="S291" s="158">
        <v>1769.42</v>
      </c>
      <c r="T291" s="158"/>
      <c r="U291" s="158">
        <v>0</v>
      </c>
      <c r="V291" s="158"/>
      <c r="W291" s="158">
        <v>0</v>
      </c>
      <c r="X291" s="158"/>
      <c r="Y291" s="158">
        <v>0</v>
      </c>
      <c r="Z291" s="158"/>
      <c r="AA291" s="158">
        <v>0</v>
      </c>
      <c r="AB291" s="158"/>
      <c r="AC291" s="158">
        <v>441.38</v>
      </c>
      <c r="AD291" s="158"/>
      <c r="AE291" s="158">
        <v>165</v>
      </c>
      <c r="AF291" s="158"/>
      <c r="AG291" s="158">
        <v>0</v>
      </c>
      <c r="AH291" s="158"/>
      <c r="AI291" s="158">
        <v>0</v>
      </c>
      <c r="AJ291" s="158"/>
      <c r="AK291" s="158">
        <v>0</v>
      </c>
      <c r="AL291" s="158"/>
      <c r="AM291" s="158">
        <v>0</v>
      </c>
      <c r="AN291" s="158"/>
      <c r="AO291" s="158">
        <v>0</v>
      </c>
      <c r="AP291" s="158"/>
      <c r="AQ291" s="158">
        <v>170.94</v>
      </c>
      <c r="AR291" s="158"/>
      <c r="AS291" s="158">
        <v>170.94</v>
      </c>
      <c r="AT291" s="158"/>
      <c r="AU291" s="158">
        <v>0</v>
      </c>
      <c r="AV291" s="158"/>
      <c r="AW291" s="158">
        <v>0</v>
      </c>
      <c r="AX291" s="158"/>
      <c r="AY291" s="158">
        <v>706.25</v>
      </c>
      <c r="AZ291" s="158"/>
      <c r="BA291" s="158">
        <v>1475.54</v>
      </c>
      <c r="BB291" s="158"/>
      <c r="BC291" s="158">
        <v>148.34</v>
      </c>
      <c r="BD291" s="158"/>
      <c r="BE291" s="158">
        <v>0</v>
      </c>
      <c r="BF291" s="158"/>
      <c r="BG291" s="158">
        <v>0</v>
      </c>
      <c r="BH291" s="158"/>
      <c r="BI291" s="158">
        <v>220</v>
      </c>
      <c r="BJ291" s="158"/>
      <c r="BK291" s="158">
        <v>26.31</v>
      </c>
      <c r="BL291" s="158"/>
      <c r="BM291" s="158">
        <v>0</v>
      </c>
      <c r="BN291" s="158"/>
      <c r="BO291" s="158">
        <v>0</v>
      </c>
      <c r="BP291" s="158"/>
      <c r="BQ291" s="158">
        <v>940.42</v>
      </c>
      <c r="BR291" s="158"/>
      <c r="BS291" s="158">
        <v>270</v>
      </c>
      <c r="BT291" s="158"/>
    </row>
    <row r="292" spans="1:72" x14ac:dyDescent="0.2">
      <c r="A292" s="123" t="s">
        <v>333</v>
      </c>
      <c r="B292" s="124" t="s">
        <v>828</v>
      </c>
      <c r="C292" s="158">
        <v>86.56</v>
      </c>
      <c r="D292" s="158"/>
      <c r="E292" s="158">
        <v>55.4</v>
      </c>
      <c r="F292" s="158"/>
      <c r="G292" s="158">
        <v>267.38</v>
      </c>
      <c r="H292" s="158"/>
      <c r="I292" s="158">
        <v>240.62</v>
      </c>
      <c r="J292" s="158"/>
      <c r="K292" s="158">
        <v>147.15</v>
      </c>
      <c r="L292" s="158"/>
      <c r="M292" s="158">
        <v>205.81</v>
      </c>
      <c r="N292" s="158"/>
      <c r="O292" s="158">
        <v>56.58</v>
      </c>
      <c r="P292" s="158"/>
      <c r="Q292" s="158">
        <v>193.41</v>
      </c>
      <c r="R292" s="158"/>
      <c r="S292" s="158">
        <v>73.69</v>
      </c>
      <c r="T292" s="158"/>
      <c r="U292" s="158">
        <v>316.26</v>
      </c>
      <c r="V292" s="158"/>
      <c r="W292" s="158">
        <v>39.96</v>
      </c>
      <c r="X292" s="158"/>
      <c r="Y292" s="158">
        <v>361.21</v>
      </c>
      <c r="Z292" s="158"/>
      <c r="AA292" s="158">
        <v>78.61</v>
      </c>
      <c r="AB292" s="158"/>
      <c r="AC292" s="158">
        <v>-139.88</v>
      </c>
      <c r="AD292" s="158"/>
      <c r="AE292" s="158">
        <v>2378.87</v>
      </c>
      <c r="AF292" s="158"/>
      <c r="AG292" s="158">
        <v>33.770000000000003</v>
      </c>
      <c r="AH292" s="158"/>
      <c r="AI292" s="158">
        <v>236.79</v>
      </c>
      <c r="AJ292" s="158"/>
      <c r="AK292" s="158">
        <v>1799.35</v>
      </c>
      <c r="AL292" s="158"/>
      <c r="AM292" s="158">
        <v>293.33</v>
      </c>
      <c r="AN292" s="158"/>
      <c r="AO292" s="158">
        <v>146.13</v>
      </c>
      <c r="AP292" s="158"/>
      <c r="AQ292" s="158">
        <v>519.49</v>
      </c>
      <c r="AR292" s="158"/>
      <c r="AS292" s="158">
        <v>414.28</v>
      </c>
      <c r="AT292" s="158"/>
      <c r="AU292" s="158">
        <v>161.66</v>
      </c>
      <c r="AV292" s="158"/>
      <c r="AW292" s="158">
        <v>429.16</v>
      </c>
      <c r="AX292" s="158"/>
      <c r="AY292" s="158">
        <v>280.75</v>
      </c>
      <c r="AZ292" s="158"/>
      <c r="BA292" s="158">
        <v>64.400000000000006</v>
      </c>
      <c r="BB292" s="158"/>
      <c r="BC292" s="158">
        <v>226.44</v>
      </c>
      <c r="BD292" s="158"/>
      <c r="BE292" s="158">
        <v>909.23</v>
      </c>
      <c r="BF292" s="158"/>
      <c r="BG292" s="158">
        <v>172.63</v>
      </c>
      <c r="BH292" s="158"/>
      <c r="BI292" s="158">
        <v>-64.59</v>
      </c>
      <c r="BJ292" s="158"/>
      <c r="BK292" s="158">
        <v>88.52</v>
      </c>
      <c r="BL292" s="158"/>
      <c r="BM292" s="158">
        <v>875.02</v>
      </c>
      <c r="BN292" s="158"/>
      <c r="BO292" s="158">
        <v>776.61</v>
      </c>
      <c r="BP292" s="158"/>
      <c r="BQ292" s="158">
        <v>141.47</v>
      </c>
      <c r="BR292" s="158"/>
      <c r="BS292" s="158">
        <v>276.37</v>
      </c>
      <c r="BT292" s="158"/>
    </row>
    <row r="293" spans="1:72" x14ac:dyDescent="0.2">
      <c r="A293" s="123" t="s">
        <v>334</v>
      </c>
      <c r="B293" s="124" t="s">
        <v>827</v>
      </c>
      <c r="C293" s="158">
        <v>0</v>
      </c>
      <c r="D293" s="158"/>
      <c r="E293" s="158">
        <v>0</v>
      </c>
      <c r="F293" s="158"/>
      <c r="G293" s="158">
        <v>0</v>
      </c>
      <c r="H293" s="158"/>
      <c r="I293" s="158">
        <v>5.0599999999999996</v>
      </c>
      <c r="J293" s="158"/>
      <c r="K293" s="158">
        <v>1275.1400000000001</v>
      </c>
      <c r="L293" s="158"/>
      <c r="M293" s="158">
        <v>0</v>
      </c>
      <c r="N293" s="158"/>
      <c r="O293" s="158">
        <v>0</v>
      </c>
      <c r="P293" s="158"/>
      <c r="Q293" s="158">
        <v>0</v>
      </c>
      <c r="R293" s="158"/>
      <c r="S293" s="158">
        <v>0</v>
      </c>
      <c r="T293" s="158"/>
      <c r="U293" s="158">
        <v>0</v>
      </c>
      <c r="V293" s="158"/>
      <c r="W293" s="158">
        <v>613.26</v>
      </c>
      <c r="X293" s="158"/>
      <c r="Y293" s="158">
        <v>0</v>
      </c>
      <c r="Z293" s="158"/>
      <c r="AA293" s="158">
        <v>0</v>
      </c>
      <c r="AB293" s="158"/>
      <c r="AC293" s="158">
        <v>0</v>
      </c>
      <c r="AD293" s="158"/>
      <c r="AE293" s="158">
        <v>0</v>
      </c>
      <c r="AF293" s="158"/>
      <c r="AG293" s="158">
        <v>0</v>
      </c>
      <c r="AH293" s="158"/>
      <c r="AI293" s="158">
        <v>0</v>
      </c>
      <c r="AJ293" s="158"/>
      <c r="AK293" s="158">
        <v>0</v>
      </c>
      <c r="AL293" s="158"/>
      <c r="AM293" s="158">
        <v>0</v>
      </c>
      <c r="AN293" s="158"/>
      <c r="AO293" s="158">
        <v>1089.4000000000001</v>
      </c>
      <c r="AP293" s="158"/>
      <c r="AQ293" s="158">
        <v>0</v>
      </c>
      <c r="AR293" s="158"/>
      <c r="AS293" s="158">
        <v>0</v>
      </c>
      <c r="AT293" s="158"/>
      <c r="AU293" s="158">
        <v>0</v>
      </c>
      <c r="AV293" s="158"/>
      <c r="AW293" s="158">
        <v>0</v>
      </c>
      <c r="AX293" s="158"/>
      <c r="AY293" s="158">
        <v>0</v>
      </c>
      <c r="AZ293" s="158"/>
      <c r="BA293" s="158">
        <v>0</v>
      </c>
      <c r="BB293" s="158"/>
      <c r="BC293" s="158">
        <v>0</v>
      </c>
      <c r="BD293" s="158"/>
      <c r="BE293" s="158">
        <v>0</v>
      </c>
      <c r="BF293" s="158"/>
      <c r="BG293" s="158">
        <v>0</v>
      </c>
      <c r="BH293" s="158"/>
      <c r="BI293" s="158">
        <v>0</v>
      </c>
      <c r="BJ293" s="158"/>
      <c r="BK293" s="158">
        <v>71.88</v>
      </c>
      <c r="BL293" s="158"/>
      <c r="BM293" s="158">
        <v>0</v>
      </c>
      <c r="BN293" s="158"/>
      <c r="BO293" s="158">
        <v>0</v>
      </c>
      <c r="BP293" s="158"/>
      <c r="BQ293" s="158">
        <v>78.39</v>
      </c>
      <c r="BR293" s="158"/>
      <c r="BS293" s="158">
        <v>0</v>
      </c>
      <c r="BT293" s="158"/>
    </row>
    <row r="294" spans="1:72" x14ac:dyDescent="0.2">
      <c r="A294" s="123" t="s">
        <v>541</v>
      </c>
      <c r="B294" s="124" t="s">
        <v>826</v>
      </c>
      <c r="C294" s="158">
        <v>0</v>
      </c>
      <c r="D294" s="158"/>
      <c r="E294" s="158">
        <v>801</v>
      </c>
      <c r="F294" s="158"/>
      <c r="G294" s="158">
        <v>0</v>
      </c>
      <c r="H294" s="158"/>
      <c r="I294" s="158">
        <v>0</v>
      </c>
      <c r="J294" s="158"/>
      <c r="K294" s="158">
        <v>0</v>
      </c>
      <c r="L294" s="158"/>
      <c r="M294" s="158">
        <v>0</v>
      </c>
      <c r="N294" s="158"/>
      <c r="O294" s="158">
        <v>0</v>
      </c>
      <c r="P294" s="158"/>
      <c r="Q294" s="158">
        <v>0</v>
      </c>
      <c r="R294" s="158"/>
      <c r="S294" s="158">
        <v>0</v>
      </c>
      <c r="T294" s="158"/>
      <c r="U294" s="158">
        <v>0</v>
      </c>
      <c r="V294" s="158"/>
      <c r="W294" s="158">
        <v>433.55</v>
      </c>
      <c r="X294" s="158"/>
      <c r="Y294" s="158">
        <v>0</v>
      </c>
      <c r="Z294" s="158"/>
      <c r="AA294" s="158">
        <v>0</v>
      </c>
      <c r="AB294" s="158"/>
      <c r="AC294" s="158">
        <v>0</v>
      </c>
      <c r="AD294" s="158"/>
      <c r="AE294" s="158">
        <v>115.89</v>
      </c>
      <c r="AF294" s="158"/>
      <c r="AG294" s="158">
        <v>0</v>
      </c>
      <c r="AH294" s="158"/>
      <c r="AI294" s="158">
        <v>0</v>
      </c>
      <c r="AJ294" s="158"/>
      <c r="AK294" s="158">
        <v>0</v>
      </c>
      <c r="AL294" s="158"/>
      <c r="AM294" s="158">
        <v>1130</v>
      </c>
      <c r="AN294" s="158"/>
      <c r="AO294" s="158">
        <v>0</v>
      </c>
      <c r="AP294" s="158"/>
      <c r="AQ294" s="158">
        <v>0</v>
      </c>
      <c r="AR294" s="158"/>
      <c r="AS294" s="158">
        <v>0</v>
      </c>
      <c r="AT294" s="158"/>
      <c r="AU294" s="158">
        <v>0</v>
      </c>
      <c r="AV294" s="158"/>
      <c r="AW294" s="158">
        <v>0</v>
      </c>
      <c r="AX294" s="158"/>
      <c r="AY294" s="158">
        <v>0</v>
      </c>
      <c r="AZ294" s="158"/>
      <c r="BA294" s="158">
        <v>0</v>
      </c>
      <c r="BB294" s="158"/>
      <c r="BC294" s="158">
        <v>0</v>
      </c>
      <c r="BD294" s="158"/>
      <c r="BE294" s="158">
        <v>75</v>
      </c>
      <c r="BF294" s="158"/>
      <c r="BG294" s="158">
        <v>0</v>
      </c>
      <c r="BH294" s="158"/>
      <c r="BI294" s="158">
        <v>0</v>
      </c>
      <c r="BJ294" s="158"/>
      <c r="BK294" s="158">
        <v>0</v>
      </c>
      <c r="BL294" s="158"/>
      <c r="BM294" s="158">
        <v>0</v>
      </c>
      <c r="BN294" s="158"/>
      <c r="BO294" s="158">
        <v>0</v>
      </c>
      <c r="BP294" s="158"/>
      <c r="BQ294" s="158">
        <v>10879.59</v>
      </c>
      <c r="BR294" s="158"/>
      <c r="BS294" s="158">
        <v>0</v>
      </c>
      <c r="BT294" s="158"/>
    </row>
    <row r="295" spans="1:72" x14ac:dyDescent="0.2">
      <c r="A295" s="123" t="s">
        <v>1279</v>
      </c>
      <c r="B295" s="124" t="s">
        <v>1392</v>
      </c>
      <c r="C295" s="158">
        <v>0</v>
      </c>
      <c r="D295" s="158"/>
      <c r="E295" s="158">
        <v>13.72</v>
      </c>
      <c r="F295" s="158"/>
      <c r="G295" s="158">
        <v>0</v>
      </c>
      <c r="H295" s="158"/>
      <c r="I295" s="158">
        <v>0</v>
      </c>
      <c r="J295" s="158"/>
      <c r="K295" s="158">
        <v>0</v>
      </c>
      <c r="L295" s="158"/>
      <c r="M295" s="158">
        <v>0</v>
      </c>
      <c r="N295" s="158"/>
      <c r="O295" s="158">
        <v>0</v>
      </c>
      <c r="P295" s="158"/>
      <c r="Q295" s="158">
        <v>0</v>
      </c>
      <c r="R295" s="158"/>
      <c r="S295" s="158">
        <v>0</v>
      </c>
      <c r="T295" s="158"/>
      <c r="U295" s="158">
        <v>0</v>
      </c>
      <c r="V295" s="158"/>
      <c r="W295" s="158">
        <v>0</v>
      </c>
      <c r="X295" s="158"/>
      <c r="Y295" s="158">
        <v>169.61</v>
      </c>
      <c r="Z295" s="158"/>
      <c r="AA295" s="158">
        <v>0</v>
      </c>
      <c r="AB295" s="158"/>
      <c r="AC295" s="158">
        <v>0</v>
      </c>
      <c r="AD295" s="158"/>
      <c r="AE295" s="158">
        <v>55</v>
      </c>
      <c r="AF295" s="158"/>
      <c r="AG295" s="158">
        <v>22.69</v>
      </c>
      <c r="AH295" s="158"/>
      <c r="AI295" s="158">
        <v>0</v>
      </c>
      <c r="AJ295" s="158"/>
      <c r="AK295" s="158">
        <v>0</v>
      </c>
      <c r="AL295" s="158"/>
      <c r="AM295" s="158">
        <v>0</v>
      </c>
      <c r="AN295" s="158"/>
      <c r="AO295" s="158">
        <v>0</v>
      </c>
      <c r="AP295" s="158"/>
      <c r="AQ295" s="158">
        <v>0</v>
      </c>
      <c r="AR295" s="158"/>
      <c r="AS295" s="158">
        <v>0</v>
      </c>
      <c r="AT295" s="158"/>
      <c r="AU295" s="158">
        <v>0</v>
      </c>
      <c r="AV295" s="158"/>
      <c r="AW295" s="158">
        <v>0</v>
      </c>
      <c r="AX295" s="158"/>
      <c r="AY295" s="158">
        <v>0</v>
      </c>
      <c r="AZ295" s="158"/>
      <c r="BA295" s="158">
        <v>0</v>
      </c>
      <c r="BB295" s="158"/>
      <c r="BC295" s="158">
        <v>0</v>
      </c>
      <c r="BD295" s="158"/>
      <c r="BE295" s="158">
        <v>0</v>
      </c>
      <c r="BF295" s="158"/>
      <c r="BG295" s="158">
        <v>0</v>
      </c>
      <c r="BH295" s="158"/>
      <c r="BI295" s="158">
        <v>662.47</v>
      </c>
      <c r="BJ295" s="158"/>
      <c r="BK295" s="158">
        <v>19.18</v>
      </c>
      <c r="BL295" s="158"/>
      <c r="BM295" s="158">
        <v>0</v>
      </c>
      <c r="BN295" s="158"/>
      <c r="BO295" s="158">
        <v>0</v>
      </c>
      <c r="BP295" s="158"/>
      <c r="BQ295" s="158">
        <v>0</v>
      </c>
      <c r="BR295" s="158"/>
      <c r="BS295" s="158">
        <v>0</v>
      </c>
      <c r="BT295" s="158"/>
    </row>
    <row r="296" spans="1:72" x14ac:dyDescent="0.2">
      <c r="A296" s="123" t="s">
        <v>335</v>
      </c>
      <c r="B296" s="124" t="s">
        <v>825</v>
      </c>
      <c r="C296" s="158">
        <v>107.98</v>
      </c>
      <c r="D296" s="158"/>
      <c r="E296" s="158">
        <v>1616.82</v>
      </c>
      <c r="F296" s="158"/>
      <c r="G296" s="158">
        <v>254.01</v>
      </c>
      <c r="H296" s="158"/>
      <c r="I296" s="158">
        <v>1456.42</v>
      </c>
      <c r="J296" s="158"/>
      <c r="K296" s="158">
        <v>1181.3900000000001</v>
      </c>
      <c r="L296" s="158"/>
      <c r="M296" s="158">
        <v>337.45</v>
      </c>
      <c r="N296" s="158"/>
      <c r="O296" s="158">
        <v>847.86</v>
      </c>
      <c r="P296" s="158"/>
      <c r="Q296" s="158">
        <v>209.7</v>
      </c>
      <c r="R296" s="158"/>
      <c r="S296" s="158">
        <v>1198.82</v>
      </c>
      <c r="T296" s="158"/>
      <c r="U296" s="158">
        <v>657.55</v>
      </c>
      <c r="V296" s="158"/>
      <c r="W296" s="158">
        <v>1155.44</v>
      </c>
      <c r="X296" s="158"/>
      <c r="Y296" s="158">
        <v>463</v>
      </c>
      <c r="Z296" s="158"/>
      <c r="AA296" s="158">
        <v>1080.6300000000001</v>
      </c>
      <c r="AB296" s="158"/>
      <c r="AC296" s="158">
        <v>474</v>
      </c>
      <c r="AD296" s="158"/>
      <c r="AE296" s="158">
        <v>187.77</v>
      </c>
      <c r="AF296" s="158"/>
      <c r="AG296" s="158">
        <v>123.75</v>
      </c>
      <c r="AH296" s="158"/>
      <c r="AI296" s="158">
        <v>1549.46</v>
      </c>
      <c r="AJ296" s="158"/>
      <c r="AK296" s="158">
        <v>502.41</v>
      </c>
      <c r="AL296" s="158"/>
      <c r="AM296" s="158">
        <v>1457.21</v>
      </c>
      <c r="AN296" s="158"/>
      <c r="AO296" s="158">
        <v>617.92999999999995</v>
      </c>
      <c r="AP296" s="158"/>
      <c r="AQ296" s="158">
        <v>676.72</v>
      </c>
      <c r="AR296" s="158"/>
      <c r="AS296" s="158">
        <v>857.36</v>
      </c>
      <c r="AT296" s="158"/>
      <c r="AU296" s="158">
        <v>53.91</v>
      </c>
      <c r="AV296" s="158"/>
      <c r="AW296" s="158">
        <v>403.29</v>
      </c>
      <c r="AX296" s="158"/>
      <c r="AY296" s="158">
        <v>913.44</v>
      </c>
      <c r="AZ296" s="158"/>
      <c r="BA296" s="158">
        <v>2341.4699999999998</v>
      </c>
      <c r="BB296" s="158"/>
      <c r="BC296" s="158">
        <v>930.72</v>
      </c>
      <c r="BD296" s="158"/>
      <c r="BE296" s="158">
        <v>0</v>
      </c>
      <c r="BF296" s="158"/>
      <c r="BG296" s="158">
        <v>528.04</v>
      </c>
      <c r="BH296" s="158"/>
      <c r="BI296" s="158">
        <v>554.71</v>
      </c>
      <c r="BJ296" s="158"/>
      <c r="BK296" s="158">
        <v>411.32</v>
      </c>
      <c r="BL296" s="158"/>
      <c r="BM296" s="158">
        <v>437.94</v>
      </c>
      <c r="BN296" s="158"/>
      <c r="BO296" s="158">
        <v>2157.88</v>
      </c>
      <c r="BP296" s="158"/>
      <c r="BQ296" s="158">
        <v>0</v>
      </c>
      <c r="BR296" s="158"/>
      <c r="BS296" s="158">
        <v>656.56</v>
      </c>
      <c r="BT296" s="158"/>
    </row>
    <row r="297" spans="1:72" x14ac:dyDescent="0.2">
      <c r="A297" s="123" t="s">
        <v>336</v>
      </c>
      <c r="B297" s="124" t="s">
        <v>824</v>
      </c>
      <c r="C297" s="158">
        <v>0</v>
      </c>
      <c r="D297" s="158"/>
      <c r="E297" s="158">
        <v>0</v>
      </c>
      <c r="F297" s="158"/>
      <c r="G297" s="158">
        <v>0</v>
      </c>
      <c r="H297" s="158"/>
      <c r="I297" s="158">
        <v>0</v>
      </c>
      <c r="J297" s="158"/>
      <c r="K297" s="158">
        <v>0</v>
      </c>
      <c r="L297" s="158"/>
      <c r="M297" s="158">
        <v>-600</v>
      </c>
      <c r="N297" s="158"/>
      <c r="O297" s="158">
        <v>0</v>
      </c>
      <c r="P297" s="158"/>
      <c r="Q297" s="158">
        <v>0</v>
      </c>
      <c r="R297" s="158"/>
      <c r="S297" s="158">
        <v>0</v>
      </c>
      <c r="T297" s="158"/>
      <c r="U297" s="158">
        <v>0</v>
      </c>
      <c r="V297" s="158"/>
      <c r="W297" s="158">
        <v>0</v>
      </c>
      <c r="X297" s="158"/>
      <c r="Y297" s="158">
        <v>0</v>
      </c>
      <c r="Z297" s="158"/>
      <c r="AA297" s="158">
        <v>0</v>
      </c>
      <c r="AB297" s="158"/>
      <c r="AC297" s="158">
        <v>0</v>
      </c>
      <c r="AD297" s="158"/>
      <c r="AE297" s="158">
        <v>0</v>
      </c>
      <c r="AF297" s="158"/>
      <c r="AG297" s="158">
        <v>0</v>
      </c>
      <c r="AH297" s="158"/>
      <c r="AI297" s="158">
        <v>0</v>
      </c>
      <c r="AJ297" s="158"/>
      <c r="AK297" s="158">
        <v>-615</v>
      </c>
      <c r="AL297" s="158"/>
      <c r="AM297" s="158">
        <v>0</v>
      </c>
      <c r="AN297" s="158"/>
      <c r="AO297" s="158">
        <v>0</v>
      </c>
      <c r="AP297" s="158"/>
      <c r="AQ297" s="158">
        <v>0</v>
      </c>
      <c r="AR297" s="158"/>
      <c r="AS297" s="158">
        <v>0</v>
      </c>
      <c r="AT297" s="158"/>
      <c r="AU297" s="158">
        <v>0</v>
      </c>
      <c r="AV297" s="158"/>
      <c r="AW297" s="158">
        <v>0</v>
      </c>
      <c r="AX297" s="158"/>
      <c r="AY297" s="158">
        <v>0</v>
      </c>
      <c r="AZ297" s="158"/>
      <c r="BA297" s="158">
        <v>12.98</v>
      </c>
      <c r="BB297" s="158"/>
      <c r="BC297" s="158">
        <v>0</v>
      </c>
      <c r="BD297" s="158"/>
      <c r="BE297" s="158">
        <v>0</v>
      </c>
      <c r="BF297" s="158"/>
      <c r="BG297" s="158">
        <v>0</v>
      </c>
      <c r="BH297" s="158"/>
      <c r="BI297" s="158">
        <v>0</v>
      </c>
      <c r="BJ297" s="158"/>
      <c r="BK297" s="158">
        <v>87.04</v>
      </c>
      <c r="BL297" s="158"/>
      <c r="BM297" s="158">
        <v>0</v>
      </c>
      <c r="BN297" s="158"/>
      <c r="BO297" s="158">
        <v>548.04999999999995</v>
      </c>
      <c r="BP297" s="158"/>
      <c r="BQ297" s="158">
        <v>-2680</v>
      </c>
      <c r="BR297" s="158"/>
      <c r="BS297" s="158">
        <v>0</v>
      </c>
      <c r="BT297" s="158"/>
    </row>
    <row r="298" spans="1:72" x14ac:dyDescent="0.2">
      <c r="A298" s="123" t="s">
        <v>1275</v>
      </c>
      <c r="B298" s="124" t="s">
        <v>1393</v>
      </c>
      <c r="C298" s="158">
        <v>0</v>
      </c>
      <c r="D298" s="158"/>
      <c r="E298" s="158">
        <v>0</v>
      </c>
      <c r="F298" s="158"/>
      <c r="G298" s="158">
        <v>0</v>
      </c>
      <c r="H298" s="158"/>
      <c r="I298" s="158">
        <v>0</v>
      </c>
      <c r="J298" s="158"/>
      <c r="K298" s="158">
        <v>0</v>
      </c>
      <c r="L298" s="158"/>
      <c r="M298" s="158">
        <v>0</v>
      </c>
      <c r="N298" s="158"/>
      <c r="O298" s="158">
        <v>0</v>
      </c>
      <c r="P298" s="158"/>
      <c r="Q298" s="158">
        <v>0</v>
      </c>
      <c r="R298" s="158"/>
      <c r="S298" s="158">
        <v>606.36</v>
      </c>
      <c r="T298" s="158"/>
      <c r="U298" s="158">
        <v>0</v>
      </c>
      <c r="V298" s="158"/>
      <c r="W298" s="158">
        <v>0</v>
      </c>
      <c r="X298" s="158"/>
      <c r="Y298" s="158">
        <v>0</v>
      </c>
      <c r="Z298" s="158"/>
      <c r="AA298" s="158">
        <v>0</v>
      </c>
      <c r="AB298" s="158"/>
      <c r="AC298" s="158">
        <v>0</v>
      </c>
      <c r="AD298" s="158"/>
      <c r="AE298" s="158">
        <v>0</v>
      </c>
      <c r="AF298" s="158"/>
      <c r="AG298" s="158">
        <v>0</v>
      </c>
      <c r="AH298" s="158"/>
      <c r="AI298" s="158">
        <v>0</v>
      </c>
      <c r="AJ298" s="158"/>
      <c r="AK298" s="158">
        <v>0</v>
      </c>
      <c r="AL298" s="158"/>
      <c r="AM298" s="158">
        <v>0</v>
      </c>
      <c r="AN298" s="158"/>
      <c r="AO298" s="158">
        <v>-54.4</v>
      </c>
      <c r="AP298" s="158"/>
      <c r="AQ298" s="158">
        <v>0</v>
      </c>
      <c r="AR298" s="158"/>
      <c r="AS298" s="158">
        <v>0</v>
      </c>
      <c r="AT298" s="158"/>
      <c r="AU298" s="158">
        <v>0</v>
      </c>
      <c r="AV298" s="158"/>
      <c r="AW298" s="158">
        <v>0</v>
      </c>
      <c r="AX298" s="158"/>
      <c r="AY298" s="158">
        <v>0</v>
      </c>
      <c r="AZ298" s="158"/>
      <c r="BA298" s="158">
        <v>0</v>
      </c>
      <c r="BB298" s="158"/>
      <c r="BC298" s="158">
        <v>0</v>
      </c>
      <c r="BD298" s="158"/>
      <c r="BE298" s="158">
        <v>272.83999999999997</v>
      </c>
      <c r="BF298" s="158"/>
      <c r="BG298" s="158">
        <v>0</v>
      </c>
      <c r="BH298" s="158"/>
      <c r="BI298" s="158">
        <v>0</v>
      </c>
      <c r="BJ298" s="158"/>
      <c r="BK298" s="158">
        <v>0</v>
      </c>
      <c r="BL298" s="158"/>
      <c r="BM298" s="158">
        <v>0</v>
      </c>
      <c r="BN298" s="158"/>
      <c r="BO298" s="158">
        <v>0</v>
      </c>
      <c r="BP298" s="158"/>
      <c r="BQ298" s="158">
        <v>0</v>
      </c>
      <c r="BR298" s="158"/>
      <c r="BS298" s="158">
        <v>0</v>
      </c>
      <c r="BT298" s="158"/>
    </row>
    <row r="299" spans="1:72" x14ac:dyDescent="0.2">
      <c r="A299" s="123" t="s">
        <v>1273</v>
      </c>
      <c r="B299" s="124" t="s">
        <v>1394</v>
      </c>
      <c r="C299" s="158">
        <v>0</v>
      </c>
      <c r="D299" s="158"/>
      <c r="E299" s="158">
        <v>0</v>
      </c>
      <c r="F299" s="158"/>
      <c r="G299" s="158">
        <v>0</v>
      </c>
      <c r="H299" s="158"/>
      <c r="I299" s="158">
        <v>0</v>
      </c>
      <c r="J299" s="158"/>
      <c r="K299" s="158">
        <v>0</v>
      </c>
      <c r="L299" s="158"/>
      <c r="M299" s="158">
        <v>0</v>
      </c>
      <c r="N299" s="158"/>
      <c r="O299" s="158">
        <v>0</v>
      </c>
      <c r="P299" s="158"/>
      <c r="Q299" s="158">
        <v>0</v>
      </c>
      <c r="R299" s="158"/>
      <c r="S299" s="158">
        <v>0</v>
      </c>
      <c r="T299" s="158"/>
      <c r="U299" s="158">
        <v>0</v>
      </c>
      <c r="V299" s="158"/>
      <c r="W299" s="158">
        <v>0</v>
      </c>
      <c r="X299" s="158"/>
      <c r="Y299" s="158">
        <v>0</v>
      </c>
      <c r="Z299" s="158"/>
      <c r="AA299" s="158">
        <v>0</v>
      </c>
      <c r="AB299" s="158"/>
      <c r="AC299" s="158">
        <v>0</v>
      </c>
      <c r="AD299" s="158"/>
      <c r="AE299" s="158">
        <v>790</v>
      </c>
      <c r="AF299" s="158"/>
      <c r="AG299" s="158">
        <v>0</v>
      </c>
      <c r="AH299" s="158"/>
      <c r="AI299" s="158">
        <v>0</v>
      </c>
      <c r="AJ299" s="158"/>
      <c r="AK299" s="158">
        <v>0</v>
      </c>
      <c r="AL299" s="158"/>
      <c r="AM299" s="158">
        <v>0</v>
      </c>
      <c r="AN299" s="158"/>
      <c r="AO299" s="158">
        <v>0</v>
      </c>
      <c r="AP299" s="158"/>
      <c r="AQ299" s="158">
        <v>0</v>
      </c>
      <c r="AR299" s="158"/>
      <c r="AS299" s="158">
        <v>0</v>
      </c>
      <c r="AT299" s="158"/>
      <c r="AU299" s="158">
        <v>0</v>
      </c>
      <c r="AV299" s="158"/>
      <c r="AW299" s="158">
        <v>0</v>
      </c>
      <c r="AX299" s="158"/>
      <c r="AY299" s="158">
        <v>0</v>
      </c>
      <c r="AZ299" s="158"/>
      <c r="BA299" s="158">
        <v>0</v>
      </c>
      <c r="BB299" s="158"/>
      <c r="BC299" s="158">
        <v>0</v>
      </c>
      <c r="BD299" s="158"/>
      <c r="BE299" s="158">
        <v>0</v>
      </c>
      <c r="BF299" s="158"/>
      <c r="BG299" s="158">
        <v>0</v>
      </c>
      <c r="BH299" s="158"/>
      <c r="BI299" s="158">
        <v>0</v>
      </c>
      <c r="BJ299" s="158"/>
      <c r="BK299" s="158">
        <v>0</v>
      </c>
      <c r="BL299" s="158"/>
      <c r="BM299" s="158">
        <v>0</v>
      </c>
      <c r="BN299" s="158"/>
      <c r="BO299" s="158">
        <v>0</v>
      </c>
      <c r="BP299" s="158"/>
      <c r="BQ299" s="158">
        <v>0</v>
      </c>
      <c r="BR299" s="158"/>
      <c r="BS299" s="158">
        <v>0</v>
      </c>
      <c r="BT299" s="158"/>
    </row>
    <row r="300" spans="1:72" x14ac:dyDescent="0.2">
      <c r="A300" s="123" t="s">
        <v>498</v>
      </c>
      <c r="B300" s="124" t="s">
        <v>823</v>
      </c>
      <c r="C300" s="158">
        <v>580</v>
      </c>
      <c r="D300" s="158"/>
      <c r="E300" s="158">
        <v>0</v>
      </c>
      <c r="F300" s="158"/>
      <c r="G300" s="158">
        <v>0</v>
      </c>
      <c r="H300" s="158"/>
      <c r="I300" s="158">
        <v>0</v>
      </c>
      <c r="J300" s="158"/>
      <c r="K300" s="158">
        <v>0</v>
      </c>
      <c r="L300" s="158"/>
      <c r="M300" s="158">
        <v>0</v>
      </c>
      <c r="N300" s="158"/>
      <c r="O300" s="158">
        <v>0</v>
      </c>
      <c r="P300" s="158"/>
      <c r="Q300" s="158">
        <v>375</v>
      </c>
      <c r="R300" s="158"/>
      <c r="S300" s="158">
        <v>0</v>
      </c>
      <c r="T300" s="158"/>
      <c r="U300" s="158">
        <v>0</v>
      </c>
      <c r="V300" s="158"/>
      <c r="W300" s="158">
        <v>0</v>
      </c>
      <c r="X300" s="158"/>
      <c r="Y300" s="158">
        <v>0</v>
      </c>
      <c r="Z300" s="158"/>
      <c r="AA300" s="158">
        <v>0</v>
      </c>
      <c r="AB300" s="158"/>
      <c r="AC300" s="158">
        <v>0</v>
      </c>
      <c r="AD300" s="158"/>
      <c r="AE300" s="158">
        <v>0</v>
      </c>
      <c r="AF300" s="158"/>
      <c r="AG300" s="158">
        <v>1025</v>
      </c>
      <c r="AH300" s="158"/>
      <c r="AI300" s="158">
        <v>80</v>
      </c>
      <c r="AJ300" s="158"/>
      <c r="AK300" s="158">
        <v>0</v>
      </c>
      <c r="AL300" s="158"/>
      <c r="AM300" s="158">
        <v>0</v>
      </c>
      <c r="AN300" s="158"/>
      <c r="AO300" s="158">
        <v>0</v>
      </c>
      <c r="AP300" s="158"/>
      <c r="AQ300" s="158">
        <v>0</v>
      </c>
      <c r="AR300" s="158"/>
      <c r="AS300" s="158">
        <v>0</v>
      </c>
      <c r="AT300" s="158"/>
      <c r="AU300" s="158">
        <v>0</v>
      </c>
      <c r="AV300" s="158"/>
      <c r="AW300" s="158">
        <v>0</v>
      </c>
      <c r="AX300" s="158"/>
      <c r="AY300" s="158">
        <v>285</v>
      </c>
      <c r="AZ300" s="158"/>
      <c r="BA300" s="158">
        <v>0</v>
      </c>
      <c r="BB300" s="158"/>
      <c r="BC300" s="158">
        <v>0</v>
      </c>
      <c r="BD300" s="158"/>
      <c r="BE300" s="158">
        <v>0</v>
      </c>
      <c r="BF300" s="158"/>
      <c r="BG300" s="158">
        <v>0</v>
      </c>
      <c r="BH300" s="158"/>
      <c r="BI300" s="158">
        <v>0</v>
      </c>
      <c r="BJ300" s="158"/>
      <c r="BK300" s="158">
        <v>0</v>
      </c>
      <c r="BL300" s="158"/>
      <c r="BM300" s="158">
        <v>0</v>
      </c>
      <c r="BN300" s="158"/>
      <c r="BO300" s="158">
        <v>0</v>
      </c>
      <c r="BP300" s="158"/>
      <c r="BQ300" s="158">
        <v>0</v>
      </c>
      <c r="BR300" s="158"/>
      <c r="BS300" s="158">
        <v>0</v>
      </c>
      <c r="BT300" s="158"/>
    </row>
    <row r="301" spans="1:72" x14ac:dyDescent="0.2">
      <c r="A301" s="123" t="s">
        <v>337</v>
      </c>
      <c r="B301" s="124" t="s">
        <v>822</v>
      </c>
      <c r="C301" s="158">
        <v>0</v>
      </c>
      <c r="D301" s="158"/>
      <c r="E301" s="158">
        <v>0</v>
      </c>
      <c r="F301" s="158"/>
      <c r="G301" s="158">
        <v>0</v>
      </c>
      <c r="H301" s="158"/>
      <c r="I301" s="158">
        <v>0</v>
      </c>
      <c r="J301" s="158"/>
      <c r="K301" s="158">
        <v>35.520000000000003</v>
      </c>
      <c r="L301" s="158"/>
      <c r="M301" s="158">
        <v>-27.42</v>
      </c>
      <c r="N301" s="158"/>
      <c r="O301" s="158">
        <v>47.19</v>
      </c>
      <c r="P301" s="158"/>
      <c r="Q301" s="158">
        <v>94.04</v>
      </c>
      <c r="R301" s="158"/>
      <c r="S301" s="158">
        <v>889.05</v>
      </c>
      <c r="T301" s="158"/>
      <c r="U301" s="158">
        <v>43.18</v>
      </c>
      <c r="V301" s="158"/>
      <c r="W301" s="158">
        <v>0</v>
      </c>
      <c r="X301" s="158"/>
      <c r="Y301" s="158">
        <v>0</v>
      </c>
      <c r="Z301" s="158"/>
      <c r="AA301" s="158">
        <v>29.51</v>
      </c>
      <c r="AB301" s="158"/>
      <c r="AC301" s="158">
        <v>23.5</v>
      </c>
      <c r="AD301" s="158"/>
      <c r="AE301" s="158">
        <v>157.53</v>
      </c>
      <c r="AF301" s="158"/>
      <c r="AG301" s="158">
        <v>975.41</v>
      </c>
      <c r="AH301" s="158"/>
      <c r="AI301" s="158">
        <v>95.15</v>
      </c>
      <c r="AJ301" s="158"/>
      <c r="AK301" s="158">
        <v>160.93</v>
      </c>
      <c r="AL301" s="158"/>
      <c r="AM301" s="158">
        <v>2400</v>
      </c>
      <c r="AN301" s="158"/>
      <c r="AO301" s="158">
        <v>1533.6</v>
      </c>
      <c r="AP301" s="158"/>
      <c r="AQ301" s="158">
        <v>2.4</v>
      </c>
      <c r="AR301" s="158"/>
      <c r="AS301" s="158">
        <v>0</v>
      </c>
      <c r="AT301" s="158"/>
      <c r="AU301" s="158">
        <v>128.38</v>
      </c>
      <c r="AV301" s="158"/>
      <c r="AW301" s="158">
        <v>0</v>
      </c>
      <c r="AX301" s="158"/>
      <c r="AY301" s="158">
        <v>457.57</v>
      </c>
      <c r="AZ301" s="158"/>
      <c r="BA301" s="158">
        <v>131.19999999999999</v>
      </c>
      <c r="BB301" s="158"/>
      <c r="BC301" s="158">
        <v>12.71</v>
      </c>
      <c r="BD301" s="158"/>
      <c r="BE301" s="158">
        <v>990.07</v>
      </c>
      <c r="BF301" s="158"/>
      <c r="BG301" s="158">
        <v>871.75</v>
      </c>
      <c r="BH301" s="158"/>
      <c r="BI301" s="158">
        <v>1481.5</v>
      </c>
      <c r="BJ301" s="158"/>
      <c r="BK301" s="158">
        <v>2058.88</v>
      </c>
      <c r="BL301" s="158"/>
      <c r="BM301" s="158">
        <v>25.44</v>
      </c>
      <c r="BN301" s="158"/>
      <c r="BO301" s="158">
        <v>242.87</v>
      </c>
      <c r="BP301" s="158"/>
      <c r="BQ301" s="158">
        <v>20.420000000000002</v>
      </c>
      <c r="BR301" s="158"/>
      <c r="BS301" s="158">
        <v>0</v>
      </c>
      <c r="BT301" s="158"/>
    </row>
    <row r="302" spans="1:72" x14ac:dyDescent="0.2">
      <c r="A302" s="123" t="s">
        <v>338</v>
      </c>
      <c r="B302" s="124" t="s">
        <v>821</v>
      </c>
      <c r="C302" s="158">
        <v>0</v>
      </c>
      <c r="D302" s="158"/>
      <c r="E302" s="158">
        <v>0</v>
      </c>
      <c r="F302" s="158"/>
      <c r="G302" s="158">
        <v>0</v>
      </c>
      <c r="H302" s="158"/>
      <c r="I302" s="158">
        <v>0</v>
      </c>
      <c r="J302" s="158"/>
      <c r="K302" s="158">
        <v>24.37</v>
      </c>
      <c r="L302" s="158"/>
      <c r="M302" s="158">
        <v>0</v>
      </c>
      <c r="N302" s="158"/>
      <c r="O302" s="158">
        <v>0</v>
      </c>
      <c r="P302" s="158"/>
      <c r="Q302" s="158">
        <v>0</v>
      </c>
      <c r="R302" s="158"/>
      <c r="S302" s="158">
        <v>0</v>
      </c>
      <c r="T302" s="158"/>
      <c r="U302" s="158">
        <v>0</v>
      </c>
      <c r="V302" s="158"/>
      <c r="W302" s="158">
        <v>0</v>
      </c>
      <c r="X302" s="158"/>
      <c r="Y302" s="158">
        <v>5.53</v>
      </c>
      <c r="Z302" s="158"/>
      <c r="AA302" s="158">
        <v>0</v>
      </c>
      <c r="AB302" s="158"/>
      <c r="AC302" s="158">
        <v>0</v>
      </c>
      <c r="AD302" s="158"/>
      <c r="AE302" s="158">
        <v>0</v>
      </c>
      <c r="AF302" s="158"/>
      <c r="AG302" s="158">
        <v>0</v>
      </c>
      <c r="AH302" s="158"/>
      <c r="AI302" s="158">
        <v>0</v>
      </c>
      <c r="AJ302" s="158"/>
      <c r="AK302" s="158">
        <v>0</v>
      </c>
      <c r="AL302" s="158"/>
      <c r="AM302" s="158">
        <v>181.01</v>
      </c>
      <c r="AN302" s="158"/>
      <c r="AO302" s="158">
        <v>0</v>
      </c>
      <c r="AP302" s="158"/>
      <c r="AQ302" s="158">
        <v>0</v>
      </c>
      <c r="AR302" s="158"/>
      <c r="AS302" s="158">
        <v>0</v>
      </c>
      <c r="AT302" s="158"/>
      <c r="AU302" s="158">
        <v>57.66</v>
      </c>
      <c r="AV302" s="158"/>
      <c r="AW302" s="158">
        <v>0</v>
      </c>
      <c r="AX302" s="158"/>
      <c r="AY302" s="158">
        <v>0</v>
      </c>
      <c r="AZ302" s="158"/>
      <c r="BA302" s="158">
        <v>0</v>
      </c>
      <c r="BB302" s="158"/>
      <c r="BC302" s="158">
        <v>86.83</v>
      </c>
      <c r="BD302" s="158"/>
      <c r="BE302" s="158">
        <v>0</v>
      </c>
      <c r="BF302" s="158"/>
      <c r="BG302" s="158">
        <v>0</v>
      </c>
      <c r="BH302" s="158"/>
      <c r="BI302" s="158">
        <v>0</v>
      </c>
      <c r="BJ302" s="158"/>
      <c r="BK302" s="158">
        <v>0</v>
      </c>
      <c r="BL302" s="158"/>
      <c r="BM302" s="158">
        <v>0</v>
      </c>
      <c r="BN302" s="158"/>
      <c r="BO302" s="158">
        <v>0</v>
      </c>
      <c r="BP302" s="158"/>
      <c r="BQ302" s="158">
        <v>0</v>
      </c>
      <c r="BR302" s="158"/>
      <c r="BS302" s="158">
        <v>0</v>
      </c>
      <c r="BT302" s="158"/>
    </row>
    <row r="303" spans="1:72" x14ac:dyDescent="0.2">
      <c r="A303" s="123" t="s">
        <v>339</v>
      </c>
      <c r="B303" s="124" t="s">
        <v>820</v>
      </c>
      <c r="C303" s="158">
        <v>667.42</v>
      </c>
      <c r="D303" s="158"/>
      <c r="E303" s="158">
        <v>568.97</v>
      </c>
      <c r="F303" s="158"/>
      <c r="G303" s="158">
        <v>505.64</v>
      </c>
      <c r="H303" s="158"/>
      <c r="I303" s="158">
        <v>300.85000000000002</v>
      </c>
      <c r="J303" s="158"/>
      <c r="K303" s="158">
        <v>546.91999999999996</v>
      </c>
      <c r="L303" s="158"/>
      <c r="M303" s="158">
        <v>758.5</v>
      </c>
      <c r="N303" s="158"/>
      <c r="O303" s="158">
        <v>1274.48</v>
      </c>
      <c r="P303" s="158"/>
      <c r="Q303" s="158">
        <v>557.01</v>
      </c>
      <c r="R303" s="158"/>
      <c r="S303" s="158">
        <v>1143.1199999999999</v>
      </c>
      <c r="T303" s="158"/>
      <c r="U303" s="158">
        <v>430.49</v>
      </c>
      <c r="V303" s="158"/>
      <c r="W303" s="158">
        <v>1748.7</v>
      </c>
      <c r="X303" s="158"/>
      <c r="Y303" s="158">
        <v>986.79</v>
      </c>
      <c r="Z303" s="158"/>
      <c r="AA303" s="158">
        <v>1209.76</v>
      </c>
      <c r="AB303" s="158"/>
      <c r="AC303" s="158">
        <v>742.12</v>
      </c>
      <c r="AD303" s="158"/>
      <c r="AE303" s="158">
        <v>299.01</v>
      </c>
      <c r="AF303" s="158"/>
      <c r="AG303" s="158">
        <v>786.52</v>
      </c>
      <c r="AH303" s="158"/>
      <c r="AI303" s="158">
        <v>605.44000000000005</v>
      </c>
      <c r="AJ303" s="158"/>
      <c r="AK303" s="158">
        <v>205.86</v>
      </c>
      <c r="AL303" s="158"/>
      <c r="AM303" s="158">
        <v>580.12</v>
      </c>
      <c r="AN303" s="158"/>
      <c r="AO303" s="158">
        <v>224.83</v>
      </c>
      <c r="AP303" s="158"/>
      <c r="AQ303" s="158">
        <v>656.05</v>
      </c>
      <c r="AR303" s="158"/>
      <c r="AS303" s="158">
        <v>750.85</v>
      </c>
      <c r="AT303" s="158"/>
      <c r="AU303" s="158">
        <v>758.89</v>
      </c>
      <c r="AV303" s="158"/>
      <c r="AW303" s="158">
        <v>483.16</v>
      </c>
      <c r="AX303" s="158"/>
      <c r="AY303" s="158">
        <v>536.98</v>
      </c>
      <c r="AZ303" s="158"/>
      <c r="BA303" s="158">
        <v>634.69000000000005</v>
      </c>
      <c r="BB303" s="158"/>
      <c r="BC303" s="158">
        <v>540.66</v>
      </c>
      <c r="BD303" s="158"/>
      <c r="BE303" s="158">
        <v>920.5</v>
      </c>
      <c r="BF303" s="158"/>
      <c r="BG303" s="158">
        <v>651.17999999999995</v>
      </c>
      <c r="BH303" s="158"/>
      <c r="BI303" s="158">
        <v>401.26</v>
      </c>
      <c r="BJ303" s="158"/>
      <c r="BK303" s="158">
        <v>420.96</v>
      </c>
      <c r="BL303" s="158"/>
      <c r="BM303" s="158">
        <v>169.32</v>
      </c>
      <c r="BN303" s="158"/>
      <c r="BO303" s="158">
        <v>658.21</v>
      </c>
      <c r="BP303" s="158"/>
      <c r="BQ303" s="158">
        <v>442.43</v>
      </c>
      <c r="BR303" s="158"/>
      <c r="BS303" s="158">
        <v>489.42</v>
      </c>
      <c r="BT303" s="158"/>
    </row>
    <row r="304" spans="1:72" x14ac:dyDescent="0.2">
      <c r="A304" s="123" t="s">
        <v>340</v>
      </c>
      <c r="B304" s="124" t="s">
        <v>819</v>
      </c>
      <c r="C304" s="158">
        <v>19.079999999999998</v>
      </c>
      <c r="D304" s="158"/>
      <c r="E304" s="158">
        <v>67.94</v>
      </c>
      <c r="F304" s="158"/>
      <c r="G304" s="158">
        <v>0</v>
      </c>
      <c r="H304" s="158"/>
      <c r="I304" s="158">
        <v>0</v>
      </c>
      <c r="J304" s="158"/>
      <c r="K304" s="158">
        <v>65.55</v>
      </c>
      <c r="L304" s="158"/>
      <c r="M304" s="158">
        <v>940.33</v>
      </c>
      <c r="N304" s="158"/>
      <c r="O304" s="158">
        <v>35.700000000000003</v>
      </c>
      <c r="P304" s="158"/>
      <c r="Q304" s="158">
        <v>507.92</v>
      </c>
      <c r="R304" s="158"/>
      <c r="S304" s="158">
        <v>10.76</v>
      </c>
      <c r="T304" s="158"/>
      <c r="U304" s="158">
        <v>35.03</v>
      </c>
      <c r="V304" s="158"/>
      <c r="W304" s="158">
        <v>73.099999999999994</v>
      </c>
      <c r="X304" s="158"/>
      <c r="Y304" s="158">
        <v>23.85</v>
      </c>
      <c r="Z304" s="158"/>
      <c r="AA304" s="158">
        <v>0</v>
      </c>
      <c r="AB304" s="158"/>
      <c r="AC304" s="158">
        <v>4.41</v>
      </c>
      <c r="AD304" s="158"/>
      <c r="AE304" s="158">
        <v>34.950000000000003</v>
      </c>
      <c r="AF304" s="158"/>
      <c r="AG304" s="158">
        <v>247.64</v>
      </c>
      <c r="AH304" s="158"/>
      <c r="AI304" s="158">
        <v>2.2000000000000002</v>
      </c>
      <c r="AJ304" s="158"/>
      <c r="AK304" s="158">
        <v>15.85</v>
      </c>
      <c r="AL304" s="158"/>
      <c r="AM304" s="158">
        <v>132.09</v>
      </c>
      <c r="AN304" s="158"/>
      <c r="AO304" s="158">
        <v>145.58000000000001</v>
      </c>
      <c r="AP304" s="158"/>
      <c r="AQ304" s="158">
        <v>0</v>
      </c>
      <c r="AR304" s="158"/>
      <c r="AS304" s="158">
        <v>96.02</v>
      </c>
      <c r="AT304" s="158"/>
      <c r="AU304" s="158">
        <v>-169.64</v>
      </c>
      <c r="AV304" s="158"/>
      <c r="AW304" s="158">
        <v>0</v>
      </c>
      <c r="AX304" s="158"/>
      <c r="AY304" s="158">
        <v>90.06</v>
      </c>
      <c r="AZ304" s="158"/>
      <c r="BA304" s="158">
        <v>16.350000000000001</v>
      </c>
      <c r="BB304" s="158"/>
      <c r="BC304" s="158">
        <v>32.06</v>
      </c>
      <c r="BD304" s="158"/>
      <c r="BE304" s="158">
        <v>592.70000000000005</v>
      </c>
      <c r="BF304" s="158"/>
      <c r="BG304" s="158">
        <v>0</v>
      </c>
      <c r="BH304" s="158"/>
      <c r="BI304" s="158">
        <v>451.44</v>
      </c>
      <c r="BJ304" s="158"/>
      <c r="BK304" s="158">
        <v>298.91000000000003</v>
      </c>
      <c r="BL304" s="158"/>
      <c r="BM304" s="158">
        <v>349.11</v>
      </c>
      <c r="BN304" s="158"/>
      <c r="BO304" s="158">
        <v>321.05</v>
      </c>
      <c r="BP304" s="158"/>
      <c r="BQ304" s="158">
        <v>0</v>
      </c>
      <c r="BR304" s="158"/>
      <c r="BS304" s="158">
        <v>66.95</v>
      </c>
      <c r="BT304" s="158"/>
    </row>
    <row r="305" spans="1:72" x14ac:dyDescent="0.2">
      <c r="A305" s="123" t="s">
        <v>341</v>
      </c>
      <c r="B305" s="124" t="s">
        <v>818</v>
      </c>
      <c r="C305" s="158">
        <v>225.67</v>
      </c>
      <c r="D305" s="158"/>
      <c r="E305" s="158">
        <v>524.16</v>
      </c>
      <c r="F305" s="158"/>
      <c r="G305" s="158">
        <v>37.35</v>
      </c>
      <c r="H305" s="158"/>
      <c r="I305" s="158">
        <v>0</v>
      </c>
      <c r="J305" s="158"/>
      <c r="K305" s="158">
        <v>0</v>
      </c>
      <c r="L305" s="158"/>
      <c r="M305" s="158">
        <v>0</v>
      </c>
      <c r="N305" s="158"/>
      <c r="O305" s="158">
        <v>177.2</v>
      </c>
      <c r="P305" s="158"/>
      <c r="Q305" s="158">
        <v>0</v>
      </c>
      <c r="R305" s="158"/>
      <c r="S305" s="158">
        <v>145.21</v>
      </c>
      <c r="T305" s="158"/>
      <c r="U305" s="158">
        <v>0</v>
      </c>
      <c r="V305" s="158"/>
      <c r="W305" s="158">
        <v>144.69999999999999</v>
      </c>
      <c r="X305" s="158"/>
      <c r="Y305" s="158">
        <v>0</v>
      </c>
      <c r="Z305" s="158"/>
      <c r="AA305" s="158">
        <v>10.02</v>
      </c>
      <c r="AB305" s="158"/>
      <c r="AC305" s="158">
        <v>345.96</v>
      </c>
      <c r="AD305" s="158"/>
      <c r="AE305" s="158">
        <v>0</v>
      </c>
      <c r="AF305" s="158"/>
      <c r="AG305" s="158">
        <v>0</v>
      </c>
      <c r="AH305" s="158"/>
      <c r="AI305" s="158">
        <v>0</v>
      </c>
      <c r="AJ305" s="158"/>
      <c r="AK305" s="158">
        <v>0</v>
      </c>
      <c r="AL305" s="158"/>
      <c r="AM305" s="158">
        <v>67.94</v>
      </c>
      <c r="AN305" s="158"/>
      <c r="AO305" s="158">
        <v>47.08</v>
      </c>
      <c r="AP305" s="158"/>
      <c r="AQ305" s="158">
        <v>0</v>
      </c>
      <c r="AR305" s="158"/>
      <c r="AS305" s="158">
        <v>0</v>
      </c>
      <c r="AT305" s="158"/>
      <c r="AU305" s="158">
        <v>42.06</v>
      </c>
      <c r="AV305" s="158"/>
      <c r="AW305" s="158">
        <v>194.32</v>
      </c>
      <c r="AX305" s="158"/>
      <c r="AY305" s="158">
        <v>38.840000000000003</v>
      </c>
      <c r="AZ305" s="158"/>
      <c r="BA305" s="158">
        <v>6.31</v>
      </c>
      <c r="BB305" s="158"/>
      <c r="BC305" s="158">
        <v>0</v>
      </c>
      <c r="BD305" s="158"/>
      <c r="BE305" s="158">
        <v>0</v>
      </c>
      <c r="BF305" s="158"/>
      <c r="BG305" s="158">
        <v>0</v>
      </c>
      <c r="BH305" s="158"/>
      <c r="BI305" s="158">
        <v>0</v>
      </c>
      <c r="BJ305" s="158"/>
      <c r="BK305" s="158">
        <v>0</v>
      </c>
      <c r="BL305" s="158"/>
      <c r="BM305" s="158">
        <v>241.11</v>
      </c>
      <c r="BN305" s="158"/>
      <c r="BO305" s="158">
        <v>0</v>
      </c>
      <c r="BP305" s="158"/>
      <c r="BQ305" s="158">
        <v>-2.4700000000000002</v>
      </c>
      <c r="BR305" s="158"/>
      <c r="BS305" s="158">
        <v>7.97</v>
      </c>
      <c r="BT305" s="158"/>
    </row>
    <row r="306" spans="1:72" x14ac:dyDescent="0.2">
      <c r="A306" s="123" t="s">
        <v>342</v>
      </c>
      <c r="B306" s="124" t="s">
        <v>817</v>
      </c>
      <c r="C306" s="158">
        <v>112.35</v>
      </c>
      <c r="D306" s="158"/>
      <c r="E306" s="158">
        <v>156.86000000000001</v>
      </c>
      <c r="F306" s="158"/>
      <c r="G306" s="158">
        <v>0</v>
      </c>
      <c r="H306" s="158"/>
      <c r="I306" s="158">
        <v>14.97</v>
      </c>
      <c r="J306" s="158"/>
      <c r="K306" s="158">
        <v>0</v>
      </c>
      <c r="L306" s="158"/>
      <c r="M306" s="158">
        <v>266.32</v>
      </c>
      <c r="N306" s="158"/>
      <c r="O306" s="158">
        <v>42.25</v>
      </c>
      <c r="P306" s="158"/>
      <c r="Q306" s="158">
        <v>126.96</v>
      </c>
      <c r="R306" s="158"/>
      <c r="S306" s="158">
        <v>100.32</v>
      </c>
      <c r="T306" s="158"/>
      <c r="U306" s="158">
        <v>53.94</v>
      </c>
      <c r="V306" s="158"/>
      <c r="W306" s="158">
        <v>586.95000000000005</v>
      </c>
      <c r="X306" s="158"/>
      <c r="Y306" s="158">
        <v>0</v>
      </c>
      <c r="Z306" s="158"/>
      <c r="AA306" s="158">
        <v>44.54</v>
      </c>
      <c r="AB306" s="158"/>
      <c r="AC306" s="158">
        <v>43.63</v>
      </c>
      <c r="AD306" s="158"/>
      <c r="AE306" s="158">
        <v>0</v>
      </c>
      <c r="AF306" s="158"/>
      <c r="AG306" s="158">
        <v>43.4</v>
      </c>
      <c r="AH306" s="158"/>
      <c r="AI306" s="158">
        <v>0</v>
      </c>
      <c r="AJ306" s="158"/>
      <c r="AK306" s="158">
        <v>14.82</v>
      </c>
      <c r="AL306" s="158"/>
      <c r="AM306" s="158">
        <v>8.1999999999999993</v>
      </c>
      <c r="AN306" s="158"/>
      <c r="AO306" s="158">
        <v>3.71</v>
      </c>
      <c r="AP306" s="158"/>
      <c r="AQ306" s="158">
        <v>0</v>
      </c>
      <c r="AR306" s="158"/>
      <c r="AS306" s="158">
        <v>10.210000000000001</v>
      </c>
      <c r="AT306" s="158"/>
      <c r="AU306" s="158">
        <v>121.84</v>
      </c>
      <c r="AV306" s="158"/>
      <c r="AW306" s="158">
        <v>44.54</v>
      </c>
      <c r="AX306" s="158"/>
      <c r="AY306" s="158">
        <v>24.14</v>
      </c>
      <c r="AZ306" s="158"/>
      <c r="BA306" s="158">
        <v>0</v>
      </c>
      <c r="BB306" s="158"/>
      <c r="BC306" s="158">
        <v>112.3</v>
      </c>
      <c r="BD306" s="158"/>
      <c r="BE306" s="158">
        <v>89.71</v>
      </c>
      <c r="BF306" s="158"/>
      <c r="BG306" s="158">
        <v>0</v>
      </c>
      <c r="BH306" s="158"/>
      <c r="BI306" s="158">
        <v>0</v>
      </c>
      <c r="BJ306" s="158"/>
      <c r="BK306" s="158">
        <v>153.94999999999999</v>
      </c>
      <c r="BL306" s="158"/>
      <c r="BM306" s="158">
        <v>210.74</v>
      </c>
      <c r="BN306" s="158"/>
      <c r="BO306" s="158">
        <v>18.43</v>
      </c>
      <c r="BP306" s="158"/>
      <c r="BQ306" s="158">
        <v>2.4700000000000002</v>
      </c>
      <c r="BR306" s="158"/>
      <c r="BS306" s="158">
        <v>0</v>
      </c>
      <c r="BT306" s="158"/>
    </row>
    <row r="307" spans="1:72" x14ac:dyDescent="0.2">
      <c r="A307" s="123" t="s">
        <v>499</v>
      </c>
      <c r="B307" s="124" t="s">
        <v>816</v>
      </c>
      <c r="C307" s="158">
        <v>0</v>
      </c>
      <c r="D307" s="158"/>
      <c r="E307" s="158">
        <v>0</v>
      </c>
      <c r="F307" s="158"/>
      <c r="G307" s="158">
        <v>0</v>
      </c>
      <c r="H307" s="158"/>
      <c r="I307" s="158">
        <v>0</v>
      </c>
      <c r="J307" s="158"/>
      <c r="K307" s="158">
        <v>-166</v>
      </c>
      <c r="L307" s="158"/>
      <c r="M307" s="158">
        <v>1947.75</v>
      </c>
      <c r="N307" s="158"/>
      <c r="O307" s="158">
        <v>0</v>
      </c>
      <c r="P307" s="158"/>
      <c r="Q307" s="158">
        <v>0</v>
      </c>
      <c r="R307" s="158"/>
      <c r="S307" s="158">
        <v>0</v>
      </c>
      <c r="T307" s="158"/>
      <c r="U307" s="158">
        <v>1232</v>
      </c>
      <c r="V307" s="158"/>
      <c r="W307" s="158">
        <v>0</v>
      </c>
      <c r="X307" s="158"/>
      <c r="Y307" s="158">
        <v>0</v>
      </c>
      <c r="Z307" s="158"/>
      <c r="AA307" s="158">
        <v>600</v>
      </c>
      <c r="AB307" s="158"/>
      <c r="AC307" s="158">
        <v>448.21</v>
      </c>
      <c r="AD307" s="158"/>
      <c r="AE307" s="158">
        <v>0</v>
      </c>
      <c r="AF307" s="158"/>
      <c r="AG307" s="158">
        <v>0</v>
      </c>
      <c r="AH307" s="158"/>
      <c r="AI307" s="158">
        <v>0</v>
      </c>
      <c r="AJ307" s="158"/>
      <c r="AK307" s="158">
        <v>0</v>
      </c>
      <c r="AL307" s="158"/>
      <c r="AM307" s="158">
        <v>0</v>
      </c>
      <c r="AN307" s="158"/>
      <c r="AO307" s="158">
        <v>0</v>
      </c>
      <c r="AP307" s="158"/>
      <c r="AQ307" s="158">
        <v>0</v>
      </c>
      <c r="AR307" s="158"/>
      <c r="AS307" s="158">
        <v>0</v>
      </c>
      <c r="AT307" s="158"/>
      <c r="AU307" s="158">
        <v>0</v>
      </c>
      <c r="AV307" s="158"/>
      <c r="AW307" s="158">
        <v>0</v>
      </c>
      <c r="AX307" s="158"/>
      <c r="AY307" s="158">
        <v>288.75</v>
      </c>
      <c r="AZ307" s="158"/>
      <c r="BA307" s="158">
        <v>0</v>
      </c>
      <c r="BB307" s="158"/>
      <c r="BC307" s="158">
        <v>0</v>
      </c>
      <c r="BD307" s="158"/>
      <c r="BE307" s="158">
        <v>0</v>
      </c>
      <c r="BF307" s="158"/>
      <c r="BG307" s="158">
        <v>200</v>
      </c>
      <c r="BH307" s="158"/>
      <c r="BI307" s="158">
        <v>200</v>
      </c>
      <c r="BJ307" s="158"/>
      <c r="BK307" s="158">
        <v>546.86</v>
      </c>
      <c r="BL307" s="158"/>
      <c r="BM307" s="158">
        <v>0</v>
      </c>
      <c r="BN307" s="158"/>
      <c r="BO307" s="158">
        <v>0</v>
      </c>
      <c r="BP307" s="158"/>
      <c r="BQ307" s="158">
        <v>288.75</v>
      </c>
      <c r="BR307" s="158"/>
      <c r="BS307" s="158">
        <v>0</v>
      </c>
      <c r="BT307" s="158"/>
    </row>
    <row r="308" spans="1:72" x14ac:dyDescent="0.2">
      <c r="A308" s="123" t="s">
        <v>343</v>
      </c>
      <c r="B308" s="124" t="s">
        <v>815</v>
      </c>
      <c r="C308" s="158">
        <v>196.32</v>
      </c>
      <c r="D308" s="158"/>
      <c r="E308" s="158">
        <v>88.53</v>
      </c>
      <c r="F308" s="158"/>
      <c r="G308" s="158">
        <v>121.88</v>
      </c>
      <c r="H308" s="158"/>
      <c r="I308" s="158">
        <v>0</v>
      </c>
      <c r="J308" s="158"/>
      <c r="K308" s="158">
        <v>0</v>
      </c>
      <c r="L308" s="158"/>
      <c r="M308" s="158">
        <v>58.09</v>
      </c>
      <c r="N308" s="158"/>
      <c r="O308" s="158">
        <v>45.39</v>
      </c>
      <c r="P308" s="158"/>
      <c r="Q308" s="158">
        <v>9.2200000000000006</v>
      </c>
      <c r="R308" s="158"/>
      <c r="S308" s="158">
        <v>6.77</v>
      </c>
      <c r="T308" s="158"/>
      <c r="U308" s="158">
        <v>36.369999999999997</v>
      </c>
      <c r="V308" s="158"/>
      <c r="W308" s="158">
        <v>0</v>
      </c>
      <c r="X308" s="158"/>
      <c r="Y308" s="158">
        <v>5.3</v>
      </c>
      <c r="Z308" s="158"/>
      <c r="AA308" s="158">
        <v>0</v>
      </c>
      <c r="AB308" s="158"/>
      <c r="AC308" s="158">
        <v>11.63</v>
      </c>
      <c r="AD308" s="158"/>
      <c r="AE308" s="158">
        <v>16.59</v>
      </c>
      <c r="AF308" s="158"/>
      <c r="AG308" s="158">
        <v>0</v>
      </c>
      <c r="AH308" s="158"/>
      <c r="AI308" s="158">
        <v>0</v>
      </c>
      <c r="AJ308" s="158"/>
      <c r="AK308" s="158">
        <v>0</v>
      </c>
      <c r="AL308" s="158"/>
      <c r="AM308" s="158">
        <v>0</v>
      </c>
      <c r="AN308" s="158"/>
      <c r="AO308" s="158">
        <v>0</v>
      </c>
      <c r="AP308" s="158"/>
      <c r="AQ308" s="158">
        <v>6.99</v>
      </c>
      <c r="AR308" s="158"/>
      <c r="AS308" s="158">
        <v>0</v>
      </c>
      <c r="AT308" s="158"/>
      <c r="AU308" s="158">
        <v>20.99</v>
      </c>
      <c r="AV308" s="158"/>
      <c r="AW308" s="158">
        <v>18.89</v>
      </c>
      <c r="AX308" s="158"/>
      <c r="AY308" s="158">
        <v>30.17</v>
      </c>
      <c r="AZ308" s="158"/>
      <c r="BA308" s="158">
        <v>30.81</v>
      </c>
      <c r="BB308" s="158"/>
      <c r="BC308" s="158">
        <v>65</v>
      </c>
      <c r="BD308" s="158"/>
      <c r="BE308" s="158">
        <v>9.76</v>
      </c>
      <c r="BF308" s="158"/>
      <c r="BG308" s="158">
        <v>200.39</v>
      </c>
      <c r="BH308" s="158"/>
      <c r="BI308" s="158">
        <v>200.39</v>
      </c>
      <c r="BJ308" s="158"/>
      <c r="BK308" s="158">
        <v>97.54</v>
      </c>
      <c r="BL308" s="158"/>
      <c r="BM308" s="158">
        <v>0</v>
      </c>
      <c r="BN308" s="158"/>
      <c r="BO308" s="158">
        <v>55.09</v>
      </c>
      <c r="BP308" s="158"/>
      <c r="BQ308" s="158">
        <v>-10.52</v>
      </c>
      <c r="BR308" s="158"/>
      <c r="BS308" s="158">
        <v>75.28</v>
      </c>
      <c r="BT308" s="158"/>
    </row>
    <row r="309" spans="1:72" x14ac:dyDescent="0.2">
      <c r="A309" s="123" t="s">
        <v>344</v>
      </c>
      <c r="B309" s="124" t="s">
        <v>814</v>
      </c>
      <c r="C309" s="158">
        <v>4208.05</v>
      </c>
      <c r="D309" s="158"/>
      <c r="E309" s="158">
        <v>19477.330000000002</v>
      </c>
      <c r="F309" s="158"/>
      <c r="G309" s="158">
        <v>4014.15</v>
      </c>
      <c r="H309" s="158"/>
      <c r="I309" s="158">
        <v>5370.96</v>
      </c>
      <c r="J309" s="158"/>
      <c r="K309" s="158">
        <v>9081.25</v>
      </c>
      <c r="L309" s="158"/>
      <c r="M309" s="158">
        <v>4500</v>
      </c>
      <c r="N309" s="158"/>
      <c r="O309" s="158">
        <v>8656.84</v>
      </c>
      <c r="P309" s="158"/>
      <c r="Q309" s="158">
        <v>6625</v>
      </c>
      <c r="R309" s="158"/>
      <c r="S309" s="158">
        <v>9206.7999999999993</v>
      </c>
      <c r="T309" s="158"/>
      <c r="U309" s="158">
        <v>4489.55</v>
      </c>
      <c r="V309" s="158"/>
      <c r="W309" s="158">
        <v>5185.37</v>
      </c>
      <c r="X309" s="158"/>
      <c r="Y309" s="158">
        <v>4609.6400000000003</v>
      </c>
      <c r="Z309" s="158"/>
      <c r="AA309" s="158">
        <v>4543.3</v>
      </c>
      <c r="AB309" s="158"/>
      <c r="AC309" s="158">
        <v>6532.5</v>
      </c>
      <c r="AD309" s="158"/>
      <c r="AE309" s="158">
        <v>6576.25</v>
      </c>
      <c r="AF309" s="158"/>
      <c r="AG309" s="158">
        <v>4340.8</v>
      </c>
      <c r="AH309" s="158"/>
      <c r="AI309" s="158">
        <v>6223.3</v>
      </c>
      <c r="AJ309" s="158"/>
      <c r="AK309" s="158">
        <v>7612.5</v>
      </c>
      <c r="AL309" s="158"/>
      <c r="AM309" s="158">
        <v>6000</v>
      </c>
      <c r="AN309" s="158"/>
      <c r="AO309" s="158">
        <v>10196.36</v>
      </c>
      <c r="AP309" s="158"/>
      <c r="AQ309" s="158">
        <v>6055.8</v>
      </c>
      <c r="AR309" s="158"/>
      <c r="AS309" s="158">
        <v>6500</v>
      </c>
      <c r="AT309" s="158"/>
      <c r="AU309" s="158">
        <v>5773.3</v>
      </c>
      <c r="AV309" s="158"/>
      <c r="AW309" s="158">
        <v>6226.02</v>
      </c>
      <c r="AX309" s="158"/>
      <c r="AY309" s="158">
        <v>3813.3</v>
      </c>
      <c r="AZ309" s="158"/>
      <c r="BA309" s="158">
        <v>3169.6</v>
      </c>
      <c r="BB309" s="158"/>
      <c r="BC309" s="158">
        <v>8445</v>
      </c>
      <c r="BD309" s="158"/>
      <c r="BE309" s="158">
        <v>6371.44</v>
      </c>
      <c r="BF309" s="158"/>
      <c r="BG309" s="158">
        <v>2225</v>
      </c>
      <c r="BH309" s="158"/>
      <c r="BI309" s="158">
        <v>2225</v>
      </c>
      <c r="BJ309" s="158"/>
      <c r="BK309" s="158">
        <v>4775</v>
      </c>
      <c r="BL309" s="158"/>
      <c r="BM309" s="158">
        <v>5395</v>
      </c>
      <c r="BN309" s="158"/>
      <c r="BO309" s="158">
        <v>4640.8</v>
      </c>
      <c r="BP309" s="158"/>
      <c r="BQ309" s="158">
        <v>5545</v>
      </c>
      <c r="BR309" s="158"/>
      <c r="BS309" s="158">
        <v>4376.25</v>
      </c>
      <c r="BT309" s="158"/>
    </row>
    <row r="310" spans="1:72" x14ac:dyDescent="0.2">
      <c r="A310" s="123" t="s">
        <v>345</v>
      </c>
      <c r="B310" s="124" t="s">
        <v>813</v>
      </c>
      <c r="C310" s="158">
        <v>3286.61</v>
      </c>
      <c r="D310" s="158"/>
      <c r="E310" s="158">
        <v>5098.6899999999996</v>
      </c>
      <c r="F310" s="158"/>
      <c r="G310" s="158">
        <v>3466.5</v>
      </c>
      <c r="H310" s="158"/>
      <c r="I310" s="158">
        <v>0</v>
      </c>
      <c r="J310" s="158"/>
      <c r="K310" s="158">
        <v>5573.23</v>
      </c>
      <c r="L310" s="158"/>
      <c r="M310" s="158">
        <v>2640.61</v>
      </c>
      <c r="N310" s="158"/>
      <c r="O310" s="158">
        <v>2456.36</v>
      </c>
      <c r="P310" s="158"/>
      <c r="Q310" s="158">
        <v>2410.5300000000002</v>
      </c>
      <c r="R310" s="158"/>
      <c r="S310" s="158">
        <v>2373.2399999999998</v>
      </c>
      <c r="T310" s="158"/>
      <c r="U310" s="158">
        <v>4876.83</v>
      </c>
      <c r="V310" s="158"/>
      <c r="W310" s="158">
        <v>4008.66</v>
      </c>
      <c r="X310" s="158"/>
      <c r="Y310" s="158">
        <v>3743.61</v>
      </c>
      <c r="Z310" s="158"/>
      <c r="AA310" s="158">
        <v>0</v>
      </c>
      <c r="AB310" s="158"/>
      <c r="AC310" s="158">
        <v>772.08</v>
      </c>
      <c r="AD310" s="158"/>
      <c r="AE310" s="158">
        <v>11423.36</v>
      </c>
      <c r="AF310" s="158"/>
      <c r="AG310" s="158">
        <v>295</v>
      </c>
      <c r="AH310" s="158"/>
      <c r="AI310" s="158">
        <v>472.41</v>
      </c>
      <c r="AJ310" s="158"/>
      <c r="AK310" s="158">
        <v>4179.92</v>
      </c>
      <c r="AL310" s="158"/>
      <c r="AM310" s="158">
        <v>9243.74</v>
      </c>
      <c r="AN310" s="158"/>
      <c r="AO310" s="158">
        <v>2695.98</v>
      </c>
      <c r="AP310" s="158"/>
      <c r="AQ310" s="158">
        <v>1518.4</v>
      </c>
      <c r="AR310" s="158"/>
      <c r="AS310" s="158">
        <v>2653.45</v>
      </c>
      <c r="AT310" s="158"/>
      <c r="AU310" s="158">
        <v>5665.03</v>
      </c>
      <c r="AV310" s="158"/>
      <c r="AW310" s="158">
        <v>2481.09</v>
      </c>
      <c r="AX310" s="158"/>
      <c r="AY310" s="158">
        <v>250</v>
      </c>
      <c r="AZ310" s="158"/>
      <c r="BA310" s="158">
        <v>1138.5</v>
      </c>
      <c r="BB310" s="158"/>
      <c r="BC310" s="158">
        <v>8602.01</v>
      </c>
      <c r="BD310" s="158"/>
      <c r="BE310" s="158">
        <v>10727.75</v>
      </c>
      <c r="BF310" s="158"/>
      <c r="BG310" s="158">
        <v>2934.1</v>
      </c>
      <c r="BH310" s="158"/>
      <c r="BI310" s="158">
        <v>3400.91</v>
      </c>
      <c r="BJ310" s="158"/>
      <c r="BK310" s="158">
        <v>0</v>
      </c>
      <c r="BL310" s="158"/>
      <c r="BM310" s="158">
        <v>3314.08</v>
      </c>
      <c r="BN310" s="158"/>
      <c r="BO310" s="158">
        <v>-198.05</v>
      </c>
      <c r="BP310" s="158"/>
      <c r="BQ310" s="158">
        <v>0</v>
      </c>
      <c r="BR310" s="158"/>
      <c r="BS310" s="158">
        <v>500</v>
      </c>
      <c r="BT310" s="158"/>
    </row>
    <row r="311" spans="1:72" x14ac:dyDescent="0.2">
      <c r="A311" s="123" t="s">
        <v>1258</v>
      </c>
      <c r="B311" s="124" t="s">
        <v>1395</v>
      </c>
      <c r="C311" s="158">
        <v>0</v>
      </c>
      <c r="D311" s="158"/>
      <c r="E311" s="158">
        <v>1092</v>
      </c>
      <c r="F311" s="158"/>
      <c r="G311" s="158">
        <v>0</v>
      </c>
      <c r="H311" s="158"/>
      <c r="I311" s="158">
        <v>600</v>
      </c>
      <c r="J311" s="158"/>
      <c r="K311" s="158">
        <v>680</v>
      </c>
      <c r="L311" s="158"/>
      <c r="M311" s="158">
        <v>1127.8800000000001</v>
      </c>
      <c r="N311" s="158"/>
      <c r="O311" s="158">
        <v>590</v>
      </c>
      <c r="P311" s="158"/>
      <c r="Q311" s="158">
        <v>690</v>
      </c>
      <c r="R311" s="158"/>
      <c r="S311" s="158">
        <v>1765.5</v>
      </c>
      <c r="T311" s="158"/>
      <c r="U311" s="158">
        <v>2107</v>
      </c>
      <c r="V311" s="158"/>
      <c r="W311" s="158">
        <v>2455</v>
      </c>
      <c r="X311" s="158"/>
      <c r="Y311" s="158">
        <v>1557</v>
      </c>
      <c r="Z311" s="158"/>
      <c r="AA311" s="158">
        <v>300</v>
      </c>
      <c r="AB311" s="158"/>
      <c r="AC311" s="158">
        <v>675</v>
      </c>
      <c r="AD311" s="158"/>
      <c r="AE311" s="158">
        <v>450</v>
      </c>
      <c r="AF311" s="158"/>
      <c r="AG311" s="158">
        <v>600</v>
      </c>
      <c r="AH311" s="158"/>
      <c r="AI311" s="158">
        <v>675</v>
      </c>
      <c r="AJ311" s="158"/>
      <c r="AK311" s="158">
        <v>3420</v>
      </c>
      <c r="AL311" s="158"/>
      <c r="AM311" s="158">
        <v>1990</v>
      </c>
      <c r="AN311" s="158"/>
      <c r="AO311" s="158">
        <v>1866</v>
      </c>
      <c r="AP311" s="158"/>
      <c r="AQ311" s="158">
        <v>0</v>
      </c>
      <c r="AR311" s="158"/>
      <c r="AS311" s="158">
        <v>0</v>
      </c>
      <c r="AT311" s="158"/>
      <c r="AU311" s="158">
        <v>694</v>
      </c>
      <c r="AV311" s="158"/>
      <c r="AW311" s="158">
        <v>4498</v>
      </c>
      <c r="AX311" s="158"/>
      <c r="AY311" s="158">
        <v>600</v>
      </c>
      <c r="AZ311" s="158"/>
      <c r="BA311" s="158">
        <v>0</v>
      </c>
      <c r="BB311" s="158"/>
      <c r="BC311" s="158">
        <v>1086</v>
      </c>
      <c r="BD311" s="158"/>
      <c r="BE311" s="158">
        <v>2098.75</v>
      </c>
      <c r="BF311" s="158"/>
      <c r="BG311" s="158">
        <v>0</v>
      </c>
      <c r="BH311" s="158"/>
      <c r="BI311" s="158">
        <v>0</v>
      </c>
      <c r="BJ311" s="158"/>
      <c r="BK311" s="158">
        <v>600</v>
      </c>
      <c r="BL311" s="158"/>
      <c r="BM311" s="158">
        <v>864.5</v>
      </c>
      <c r="BN311" s="158"/>
      <c r="BO311" s="158">
        <v>900</v>
      </c>
      <c r="BP311" s="158"/>
      <c r="BQ311" s="158">
        <v>300</v>
      </c>
      <c r="BR311" s="158"/>
      <c r="BS311" s="158">
        <v>300</v>
      </c>
      <c r="BT311" s="158"/>
    </row>
    <row r="312" spans="1:72" x14ac:dyDescent="0.2">
      <c r="A312" s="123" t="s">
        <v>1256</v>
      </c>
      <c r="B312" s="124" t="s">
        <v>1396</v>
      </c>
      <c r="C312" s="158">
        <v>0</v>
      </c>
      <c r="D312" s="158"/>
      <c r="E312" s="158">
        <v>0</v>
      </c>
      <c r="F312" s="158"/>
      <c r="G312" s="158">
        <v>0</v>
      </c>
      <c r="H312" s="158"/>
      <c r="I312" s="158">
        <v>0</v>
      </c>
      <c r="J312" s="158"/>
      <c r="K312" s="158">
        <v>0</v>
      </c>
      <c r="L312" s="158"/>
      <c r="M312" s="158">
        <v>0</v>
      </c>
      <c r="N312" s="158"/>
      <c r="O312" s="158">
        <v>0</v>
      </c>
      <c r="P312" s="158"/>
      <c r="Q312" s="158">
        <v>0</v>
      </c>
      <c r="R312" s="158"/>
      <c r="S312" s="158">
        <v>0</v>
      </c>
      <c r="T312" s="158"/>
      <c r="U312" s="158">
        <v>0</v>
      </c>
      <c r="V312" s="158"/>
      <c r="W312" s="158">
        <v>0</v>
      </c>
      <c r="X312" s="158"/>
      <c r="Y312" s="158">
        <v>0</v>
      </c>
      <c r="Z312" s="158"/>
      <c r="AA312" s="158">
        <v>0</v>
      </c>
      <c r="AB312" s="158"/>
      <c r="AC312" s="158">
        <v>0</v>
      </c>
      <c r="AD312" s="158"/>
      <c r="AE312" s="158">
        <v>0</v>
      </c>
      <c r="AF312" s="158"/>
      <c r="AG312" s="158">
        <v>0</v>
      </c>
      <c r="AH312" s="158"/>
      <c r="AI312" s="158">
        <v>0</v>
      </c>
      <c r="AJ312" s="158"/>
      <c r="AK312" s="158">
        <v>0</v>
      </c>
      <c r="AL312" s="158"/>
      <c r="AM312" s="158">
        <v>418.1</v>
      </c>
      <c r="AN312" s="158"/>
      <c r="AO312" s="158">
        <v>0</v>
      </c>
      <c r="AP312" s="158"/>
      <c r="AQ312" s="158">
        <v>0</v>
      </c>
      <c r="AR312" s="158"/>
      <c r="AS312" s="158">
        <v>0</v>
      </c>
      <c r="AT312" s="158"/>
      <c r="AU312" s="158">
        <v>0</v>
      </c>
      <c r="AV312" s="158"/>
      <c r="AW312" s="158">
        <v>0</v>
      </c>
      <c r="AX312" s="158"/>
      <c r="AY312" s="158">
        <v>0</v>
      </c>
      <c r="AZ312" s="158"/>
      <c r="BA312" s="158">
        <v>0</v>
      </c>
      <c r="BB312" s="158"/>
      <c r="BC312" s="158">
        <v>0</v>
      </c>
      <c r="BD312" s="158"/>
      <c r="BE312" s="158">
        <v>0</v>
      </c>
      <c r="BF312" s="158"/>
      <c r="BG312" s="158">
        <v>0</v>
      </c>
      <c r="BH312" s="158"/>
      <c r="BI312" s="158">
        <v>0</v>
      </c>
      <c r="BJ312" s="158"/>
      <c r="BK312" s="158">
        <v>0</v>
      </c>
      <c r="BL312" s="158"/>
      <c r="BM312" s="158">
        <v>0</v>
      </c>
      <c r="BN312" s="158"/>
      <c r="BO312" s="158">
        <v>0</v>
      </c>
      <c r="BP312" s="158"/>
      <c r="BQ312" s="158">
        <v>0</v>
      </c>
      <c r="BR312" s="158"/>
      <c r="BS312" s="158">
        <v>0</v>
      </c>
      <c r="BT312" s="158"/>
    </row>
    <row r="313" spans="1:72" x14ac:dyDescent="0.2">
      <c r="A313" s="123" t="s">
        <v>346</v>
      </c>
      <c r="B313" s="124" t="s">
        <v>812</v>
      </c>
      <c r="C313" s="158">
        <v>2152.7600000000002</v>
      </c>
      <c r="D313" s="158"/>
      <c r="E313" s="158">
        <v>3251.92</v>
      </c>
      <c r="F313" s="158"/>
      <c r="G313" s="158">
        <v>2188.25</v>
      </c>
      <c r="H313" s="158"/>
      <c r="I313" s="158">
        <v>1559.61</v>
      </c>
      <c r="J313" s="158"/>
      <c r="K313" s="158">
        <v>2809.1</v>
      </c>
      <c r="L313" s="158"/>
      <c r="M313" s="158">
        <v>848.65</v>
      </c>
      <c r="N313" s="158"/>
      <c r="O313" s="158">
        <v>2227.8000000000002</v>
      </c>
      <c r="P313" s="158"/>
      <c r="Q313" s="158">
        <v>2241.5300000000002</v>
      </c>
      <c r="R313" s="158"/>
      <c r="S313" s="158">
        <v>1013.2</v>
      </c>
      <c r="T313" s="158"/>
      <c r="U313" s="158">
        <v>2159.56</v>
      </c>
      <c r="V313" s="158"/>
      <c r="W313" s="158">
        <v>360.62</v>
      </c>
      <c r="X313" s="158"/>
      <c r="Y313" s="158">
        <v>1685.41</v>
      </c>
      <c r="Z313" s="158"/>
      <c r="AA313" s="158">
        <v>1792.99</v>
      </c>
      <c r="AB313" s="158"/>
      <c r="AC313" s="158">
        <v>2228.06</v>
      </c>
      <c r="AD313" s="158"/>
      <c r="AE313" s="158">
        <v>0</v>
      </c>
      <c r="AF313" s="158"/>
      <c r="AG313" s="158">
        <v>1928.13</v>
      </c>
      <c r="AH313" s="158"/>
      <c r="AI313" s="158">
        <v>1667.33</v>
      </c>
      <c r="AJ313" s="158"/>
      <c r="AK313" s="158">
        <v>0</v>
      </c>
      <c r="AL313" s="158"/>
      <c r="AM313" s="158">
        <v>5531.6</v>
      </c>
      <c r="AN313" s="158"/>
      <c r="AO313" s="158">
        <v>1985.28</v>
      </c>
      <c r="AP313" s="158"/>
      <c r="AQ313" s="158">
        <v>2444.14</v>
      </c>
      <c r="AR313" s="158"/>
      <c r="AS313" s="158">
        <v>0</v>
      </c>
      <c r="AT313" s="158"/>
      <c r="AU313" s="158">
        <v>2982.22</v>
      </c>
      <c r="AV313" s="158"/>
      <c r="AW313" s="158">
        <v>1121.3</v>
      </c>
      <c r="AX313" s="158"/>
      <c r="AY313" s="158">
        <v>2537.12</v>
      </c>
      <c r="AZ313" s="158"/>
      <c r="BA313" s="158">
        <v>1638.9</v>
      </c>
      <c r="BB313" s="158"/>
      <c r="BC313" s="158">
        <v>0</v>
      </c>
      <c r="BD313" s="158"/>
      <c r="BE313" s="158">
        <v>0</v>
      </c>
      <c r="BF313" s="158"/>
      <c r="BG313" s="158">
        <v>1636.76</v>
      </c>
      <c r="BH313" s="158"/>
      <c r="BI313" s="158">
        <v>1573.4</v>
      </c>
      <c r="BJ313" s="158"/>
      <c r="BK313" s="158">
        <v>4475.04</v>
      </c>
      <c r="BL313" s="158"/>
      <c r="BM313" s="158">
        <v>0</v>
      </c>
      <c r="BN313" s="158"/>
      <c r="BO313" s="158">
        <v>1895.15</v>
      </c>
      <c r="BP313" s="158"/>
      <c r="BQ313" s="158">
        <v>2990.3</v>
      </c>
      <c r="BR313" s="158"/>
      <c r="BS313" s="158">
        <v>2194.3000000000002</v>
      </c>
      <c r="BT313" s="158"/>
    </row>
    <row r="314" spans="1:72" x14ac:dyDescent="0.2">
      <c r="A314" s="123" t="s">
        <v>347</v>
      </c>
      <c r="B314" s="124" t="s">
        <v>811</v>
      </c>
      <c r="C314" s="158">
        <v>1445.88</v>
      </c>
      <c r="D314" s="158"/>
      <c r="E314" s="158">
        <v>5552.74</v>
      </c>
      <c r="F314" s="158"/>
      <c r="G314" s="158">
        <v>710.94</v>
      </c>
      <c r="H314" s="158"/>
      <c r="I314" s="158">
        <v>0</v>
      </c>
      <c r="J314" s="158"/>
      <c r="K314" s="158">
        <v>1486.94</v>
      </c>
      <c r="L314" s="158"/>
      <c r="M314" s="158">
        <v>1958.32</v>
      </c>
      <c r="N314" s="158"/>
      <c r="O314" s="158">
        <v>1525.84</v>
      </c>
      <c r="P314" s="158"/>
      <c r="Q314" s="158">
        <v>73.95</v>
      </c>
      <c r="R314" s="158"/>
      <c r="S314" s="158">
        <v>279.60000000000002</v>
      </c>
      <c r="T314" s="158"/>
      <c r="U314" s="158">
        <v>1638.48</v>
      </c>
      <c r="V314" s="158"/>
      <c r="W314" s="158">
        <v>1488.21</v>
      </c>
      <c r="X314" s="158"/>
      <c r="Y314" s="158">
        <v>1255</v>
      </c>
      <c r="Z314" s="158"/>
      <c r="AA314" s="158">
        <v>4234.33</v>
      </c>
      <c r="AB314" s="158"/>
      <c r="AC314" s="158">
        <v>1889.13</v>
      </c>
      <c r="AD314" s="158"/>
      <c r="AE314" s="158">
        <v>6393.38</v>
      </c>
      <c r="AF314" s="158"/>
      <c r="AG314" s="158">
        <v>1059.33</v>
      </c>
      <c r="AH314" s="158"/>
      <c r="AI314" s="158">
        <v>1743.63</v>
      </c>
      <c r="AJ314" s="158"/>
      <c r="AK314" s="158">
        <v>614.79999999999995</v>
      </c>
      <c r="AL314" s="158"/>
      <c r="AM314" s="158">
        <v>1733.97</v>
      </c>
      <c r="AN314" s="158"/>
      <c r="AO314" s="158">
        <v>1291.3399999999999</v>
      </c>
      <c r="AP314" s="158"/>
      <c r="AQ314" s="158">
        <v>336.96</v>
      </c>
      <c r="AR314" s="158"/>
      <c r="AS314" s="158">
        <v>1917.96</v>
      </c>
      <c r="AT314" s="158"/>
      <c r="AU314" s="158">
        <v>2769.77</v>
      </c>
      <c r="AV314" s="158"/>
      <c r="AW314" s="158">
        <v>3143.18</v>
      </c>
      <c r="AX314" s="158"/>
      <c r="AY314" s="158">
        <v>4850</v>
      </c>
      <c r="AZ314" s="158"/>
      <c r="BA314" s="158">
        <v>957</v>
      </c>
      <c r="BB314" s="158"/>
      <c r="BC314" s="158">
        <v>4019.43</v>
      </c>
      <c r="BD314" s="158"/>
      <c r="BE314" s="158">
        <v>-1750</v>
      </c>
      <c r="BF314" s="158"/>
      <c r="BG314" s="158">
        <v>23.92</v>
      </c>
      <c r="BH314" s="158"/>
      <c r="BI314" s="158">
        <v>0</v>
      </c>
      <c r="BJ314" s="158"/>
      <c r="BK314" s="158">
        <v>4235.63</v>
      </c>
      <c r="BL314" s="158"/>
      <c r="BM314" s="158">
        <v>2094.56</v>
      </c>
      <c r="BN314" s="158"/>
      <c r="BO314" s="158">
        <v>600</v>
      </c>
      <c r="BP314" s="158"/>
      <c r="BQ314" s="158">
        <v>2589</v>
      </c>
      <c r="BR314" s="158"/>
      <c r="BS314" s="158">
        <v>2525</v>
      </c>
      <c r="BT314" s="158"/>
    </row>
    <row r="315" spans="1:72" x14ac:dyDescent="0.2">
      <c r="A315" s="123" t="s">
        <v>348</v>
      </c>
      <c r="B315" s="124" t="s">
        <v>810</v>
      </c>
      <c r="C315" s="158">
        <v>0</v>
      </c>
      <c r="D315" s="158"/>
      <c r="E315" s="158">
        <v>0</v>
      </c>
      <c r="F315" s="158"/>
      <c r="G315" s="158">
        <v>0</v>
      </c>
      <c r="H315" s="158"/>
      <c r="I315" s="158">
        <v>0</v>
      </c>
      <c r="J315" s="158"/>
      <c r="K315" s="158">
        <v>0</v>
      </c>
      <c r="L315" s="158"/>
      <c r="M315" s="158">
        <v>0</v>
      </c>
      <c r="N315" s="158"/>
      <c r="O315" s="158">
        <v>0</v>
      </c>
      <c r="P315" s="158"/>
      <c r="Q315" s="158">
        <v>0</v>
      </c>
      <c r="R315" s="158"/>
      <c r="S315" s="158">
        <v>0</v>
      </c>
      <c r="T315" s="158"/>
      <c r="U315" s="158">
        <v>583.79999999999995</v>
      </c>
      <c r="V315" s="158"/>
      <c r="W315" s="158">
        <v>0</v>
      </c>
      <c r="X315" s="158"/>
      <c r="Y315" s="158">
        <v>0</v>
      </c>
      <c r="Z315" s="158"/>
      <c r="AA315" s="158">
        <v>3943.5</v>
      </c>
      <c r="AB315" s="158"/>
      <c r="AC315" s="158">
        <v>0</v>
      </c>
      <c r="AD315" s="158"/>
      <c r="AE315" s="158">
        <v>0</v>
      </c>
      <c r="AF315" s="158"/>
      <c r="AG315" s="158">
        <v>0</v>
      </c>
      <c r="AH315" s="158"/>
      <c r="AI315" s="158">
        <v>0</v>
      </c>
      <c r="AJ315" s="158"/>
      <c r="AK315" s="158">
        <v>0</v>
      </c>
      <c r="AL315" s="158"/>
      <c r="AM315" s="158">
        <v>1151.7</v>
      </c>
      <c r="AN315" s="158"/>
      <c r="AO315" s="158">
        <v>1165.1300000000001</v>
      </c>
      <c r="AP315" s="158"/>
      <c r="AQ315" s="158">
        <v>2122.44</v>
      </c>
      <c r="AR315" s="158"/>
      <c r="AS315" s="158">
        <v>0</v>
      </c>
      <c r="AT315" s="158"/>
      <c r="AU315" s="158">
        <v>0</v>
      </c>
      <c r="AV315" s="158"/>
      <c r="AW315" s="158">
        <v>0</v>
      </c>
      <c r="AX315" s="158"/>
      <c r="AY315" s="158">
        <v>0</v>
      </c>
      <c r="AZ315" s="158"/>
      <c r="BA315" s="158">
        <v>0</v>
      </c>
      <c r="BB315" s="158"/>
      <c r="BC315" s="158">
        <v>0</v>
      </c>
      <c r="BD315" s="158"/>
      <c r="BE315" s="158">
        <v>0</v>
      </c>
      <c r="BF315" s="158"/>
      <c r="BG315" s="158">
        <v>11074</v>
      </c>
      <c r="BH315" s="158"/>
      <c r="BI315" s="158">
        <v>11074</v>
      </c>
      <c r="BJ315" s="158"/>
      <c r="BK315" s="158">
        <v>0</v>
      </c>
      <c r="BL315" s="158"/>
      <c r="BM315" s="158">
        <v>125</v>
      </c>
      <c r="BN315" s="158"/>
      <c r="BO315" s="158">
        <v>0</v>
      </c>
      <c r="BP315" s="158"/>
      <c r="BQ315" s="158">
        <v>270</v>
      </c>
      <c r="BR315" s="158"/>
      <c r="BS315" s="158">
        <v>4302</v>
      </c>
      <c r="BT315" s="158"/>
    </row>
    <row r="316" spans="1:72" x14ac:dyDescent="0.2">
      <c r="A316" s="123" t="s">
        <v>563</v>
      </c>
      <c r="B316" s="124" t="s">
        <v>809</v>
      </c>
      <c r="C316" s="158">
        <v>0</v>
      </c>
      <c r="D316" s="158"/>
      <c r="E316" s="158">
        <v>0</v>
      </c>
      <c r="F316" s="158"/>
      <c r="G316" s="158">
        <v>0</v>
      </c>
      <c r="H316" s="158"/>
      <c r="I316" s="158">
        <v>0</v>
      </c>
      <c r="J316" s="158"/>
      <c r="K316" s="158">
        <v>0</v>
      </c>
      <c r="L316" s="158"/>
      <c r="M316" s="158">
        <v>0</v>
      </c>
      <c r="N316" s="158"/>
      <c r="O316" s="158">
        <v>0</v>
      </c>
      <c r="P316" s="158"/>
      <c r="Q316" s="158">
        <v>1744.5</v>
      </c>
      <c r="R316" s="158"/>
      <c r="S316" s="158">
        <v>0</v>
      </c>
      <c r="T316" s="158"/>
      <c r="U316" s="158">
        <v>0</v>
      </c>
      <c r="V316" s="158"/>
      <c r="W316" s="158">
        <v>0</v>
      </c>
      <c r="X316" s="158"/>
      <c r="Y316" s="158">
        <v>130</v>
      </c>
      <c r="Z316" s="158"/>
      <c r="AA316" s="158">
        <v>0</v>
      </c>
      <c r="AB316" s="158"/>
      <c r="AC316" s="158">
        <v>0</v>
      </c>
      <c r="AD316" s="158"/>
      <c r="AE316" s="158">
        <v>0</v>
      </c>
      <c r="AF316" s="158"/>
      <c r="AG316" s="158">
        <v>0</v>
      </c>
      <c r="AH316" s="158"/>
      <c r="AI316" s="158">
        <v>0</v>
      </c>
      <c r="AJ316" s="158"/>
      <c r="AK316" s="158">
        <v>0</v>
      </c>
      <c r="AL316" s="158"/>
      <c r="AM316" s="158">
        <v>0</v>
      </c>
      <c r="AN316" s="158"/>
      <c r="AO316" s="158">
        <v>0</v>
      </c>
      <c r="AP316" s="158"/>
      <c r="AQ316" s="158">
        <v>0</v>
      </c>
      <c r="AR316" s="158"/>
      <c r="AS316" s="158">
        <v>0</v>
      </c>
      <c r="AT316" s="158"/>
      <c r="AU316" s="158">
        <v>0</v>
      </c>
      <c r="AV316" s="158"/>
      <c r="AW316" s="158">
        <v>309</v>
      </c>
      <c r="AX316" s="158"/>
      <c r="AY316" s="158">
        <v>0</v>
      </c>
      <c r="AZ316" s="158"/>
      <c r="BA316" s="158">
        <v>0</v>
      </c>
      <c r="BB316" s="158"/>
      <c r="BC316" s="158">
        <v>0</v>
      </c>
      <c r="BD316" s="158"/>
      <c r="BE316" s="158">
        <v>0</v>
      </c>
      <c r="BF316" s="158"/>
      <c r="BG316" s="158">
        <v>0</v>
      </c>
      <c r="BH316" s="158"/>
      <c r="BI316" s="158">
        <v>0</v>
      </c>
      <c r="BJ316" s="158"/>
      <c r="BK316" s="158">
        <v>0</v>
      </c>
      <c r="BL316" s="158"/>
      <c r="BM316" s="158">
        <v>0</v>
      </c>
      <c r="BN316" s="158"/>
      <c r="BO316" s="158">
        <v>0</v>
      </c>
      <c r="BP316" s="158"/>
      <c r="BQ316" s="158">
        <v>0</v>
      </c>
      <c r="BR316" s="158"/>
      <c r="BS316" s="158">
        <v>0</v>
      </c>
      <c r="BT316" s="158"/>
    </row>
    <row r="317" spans="1:72" x14ac:dyDescent="0.2">
      <c r="A317" s="123" t="s">
        <v>1397</v>
      </c>
      <c r="B317" s="124" t="s">
        <v>1398</v>
      </c>
      <c r="C317" s="158">
        <v>0</v>
      </c>
      <c r="D317" s="158"/>
      <c r="E317" s="158">
        <v>0</v>
      </c>
      <c r="F317" s="158"/>
      <c r="G317" s="158">
        <v>0</v>
      </c>
      <c r="H317" s="158"/>
      <c r="I317" s="158">
        <v>0</v>
      </c>
      <c r="J317" s="158"/>
      <c r="K317" s="158">
        <v>0</v>
      </c>
      <c r="L317" s="158"/>
      <c r="M317" s="158">
        <v>0</v>
      </c>
      <c r="N317" s="158"/>
      <c r="O317" s="158">
        <v>0</v>
      </c>
      <c r="P317" s="158"/>
      <c r="Q317" s="158">
        <v>0</v>
      </c>
      <c r="R317" s="158"/>
      <c r="S317" s="158">
        <v>0</v>
      </c>
      <c r="T317" s="158"/>
      <c r="U317" s="158">
        <v>0</v>
      </c>
      <c r="V317" s="158"/>
      <c r="W317" s="158">
        <v>0</v>
      </c>
      <c r="X317" s="158"/>
      <c r="Y317" s="158">
        <v>0</v>
      </c>
      <c r="Z317" s="158"/>
      <c r="AA317" s="158">
        <v>0</v>
      </c>
      <c r="AB317" s="158"/>
      <c r="AC317" s="158">
        <v>0</v>
      </c>
      <c r="AD317" s="158"/>
      <c r="AE317" s="158">
        <v>0</v>
      </c>
      <c r="AF317" s="158"/>
      <c r="AG317" s="158">
        <v>0</v>
      </c>
      <c r="AH317" s="158"/>
      <c r="AI317" s="158">
        <v>0</v>
      </c>
      <c r="AJ317" s="158"/>
      <c r="AK317" s="158">
        <v>0</v>
      </c>
      <c r="AL317" s="158"/>
      <c r="AM317" s="158">
        <v>0</v>
      </c>
      <c r="AN317" s="158"/>
      <c r="AO317" s="158">
        <v>0</v>
      </c>
      <c r="AP317" s="158"/>
      <c r="AQ317" s="158">
        <v>0</v>
      </c>
      <c r="AR317" s="158"/>
      <c r="AS317" s="158">
        <v>0</v>
      </c>
      <c r="AT317" s="158"/>
      <c r="AU317" s="158">
        <v>3179.99</v>
      </c>
      <c r="AV317" s="158"/>
      <c r="AW317" s="158">
        <v>0</v>
      </c>
      <c r="AX317" s="158"/>
      <c r="AY317" s="158">
        <v>0</v>
      </c>
      <c r="AZ317" s="158"/>
      <c r="BA317" s="158">
        <v>0</v>
      </c>
      <c r="BB317" s="158"/>
      <c r="BC317" s="158">
        <v>0</v>
      </c>
      <c r="BD317" s="158"/>
      <c r="BE317" s="158">
        <v>0</v>
      </c>
      <c r="BF317" s="158"/>
      <c r="BG317" s="158">
        <v>0</v>
      </c>
      <c r="BH317" s="158"/>
      <c r="BI317" s="158">
        <v>0</v>
      </c>
      <c r="BJ317" s="158"/>
      <c r="BK317" s="158">
        <v>0</v>
      </c>
      <c r="BL317" s="158"/>
      <c r="BM317" s="158">
        <v>0</v>
      </c>
      <c r="BN317" s="158"/>
      <c r="BO317" s="158">
        <v>0</v>
      </c>
      <c r="BP317" s="158"/>
      <c r="BQ317" s="158">
        <v>0</v>
      </c>
      <c r="BR317" s="158"/>
      <c r="BS317" s="158">
        <v>0</v>
      </c>
      <c r="BT317" s="158"/>
    </row>
    <row r="318" spans="1:72" x14ac:dyDescent="0.2">
      <c r="A318" s="123" t="s">
        <v>349</v>
      </c>
      <c r="B318" s="124" t="s">
        <v>808</v>
      </c>
      <c r="C318" s="158">
        <v>738</v>
      </c>
      <c r="D318" s="158"/>
      <c r="E318" s="158">
        <v>1079.6099999999999</v>
      </c>
      <c r="F318" s="158"/>
      <c r="G318" s="158">
        <v>2447</v>
      </c>
      <c r="H318" s="158"/>
      <c r="I318" s="158">
        <v>1918</v>
      </c>
      <c r="J318" s="158"/>
      <c r="K318" s="158">
        <v>2811</v>
      </c>
      <c r="L318" s="158"/>
      <c r="M318" s="158">
        <v>1705</v>
      </c>
      <c r="N318" s="158"/>
      <c r="O318" s="158">
        <v>650</v>
      </c>
      <c r="P318" s="158"/>
      <c r="Q318" s="158">
        <v>1360.1</v>
      </c>
      <c r="R318" s="158"/>
      <c r="S318" s="158">
        <v>667.8</v>
      </c>
      <c r="T318" s="158"/>
      <c r="U318" s="158">
        <v>10963.74</v>
      </c>
      <c r="V318" s="158"/>
      <c r="W318" s="158">
        <v>1002.5</v>
      </c>
      <c r="X318" s="158"/>
      <c r="Y318" s="158">
        <v>1297</v>
      </c>
      <c r="Z318" s="158"/>
      <c r="AA318" s="158">
        <v>1885</v>
      </c>
      <c r="AB318" s="158"/>
      <c r="AC318" s="158">
        <v>612.15</v>
      </c>
      <c r="AD318" s="158"/>
      <c r="AE318" s="158">
        <v>1004.5</v>
      </c>
      <c r="AF318" s="158"/>
      <c r="AG318" s="158">
        <v>1427</v>
      </c>
      <c r="AH318" s="158"/>
      <c r="AI318" s="158">
        <v>1036.1500000000001</v>
      </c>
      <c r="AJ318" s="158"/>
      <c r="AK318" s="158">
        <v>6254</v>
      </c>
      <c r="AL318" s="158"/>
      <c r="AM318" s="158">
        <v>1155</v>
      </c>
      <c r="AN318" s="158"/>
      <c r="AO318" s="158">
        <v>579.38</v>
      </c>
      <c r="AP318" s="158"/>
      <c r="AQ318" s="158">
        <v>710</v>
      </c>
      <c r="AR318" s="158"/>
      <c r="AS318" s="158">
        <v>454</v>
      </c>
      <c r="AT318" s="158"/>
      <c r="AU318" s="158">
        <v>4744</v>
      </c>
      <c r="AV318" s="158"/>
      <c r="AW318" s="158">
        <v>1127.05</v>
      </c>
      <c r="AX318" s="158"/>
      <c r="AY318" s="158">
        <v>640</v>
      </c>
      <c r="AZ318" s="158"/>
      <c r="BA318" s="158">
        <v>700</v>
      </c>
      <c r="BB318" s="158"/>
      <c r="BC318" s="158">
        <v>2640</v>
      </c>
      <c r="BD318" s="158"/>
      <c r="BE318" s="158">
        <v>2700</v>
      </c>
      <c r="BF318" s="158"/>
      <c r="BG318" s="158">
        <v>2155</v>
      </c>
      <c r="BH318" s="158"/>
      <c r="BI318" s="158">
        <v>2055</v>
      </c>
      <c r="BJ318" s="158"/>
      <c r="BK318" s="158">
        <v>800</v>
      </c>
      <c r="BL318" s="158"/>
      <c r="BM318" s="158">
        <v>2085.4299999999998</v>
      </c>
      <c r="BN318" s="158"/>
      <c r="BO318" s="158">
        <v>2636</v>
      </c>
      <c r="BP318" s="158"/>
      <c r="BQ318" s="158">
        <v>515</v>
      </c>
      <c r="BR318" s="158"/>
      <c r="BS318" s="158">
        <v>502</v>
      </c>
      <c r="BT318" s="158"/>
    </row>
    <row r="319" spans="1:72" x14ac:dyDescent="0.2">
      <c r="A319" s="123" t="s">
        <v>1249</v>
      </c>
      <c r="B319" s="124" t="s">
        <v>1399</v>
      </c>
      <c r="C319" s="158">
        <v>0</v>
      </c>
      <c r="D319" s="158"/>
      <c r="E319" s="158">
        <v>0</v>
      </c>
      <c r="F319" s="158"/>
      <c r="G319" s="158">
        <v>0</v>
      </c>
      <c r="H319" s="158"/>
      <c r="I319" s="158">
        <v>0</v>
      </c>
      <c r="J319" s="158"/>
      <c r="K319" s="158">
        <v>0</v>
      </c>
      <c r="L319" s="158"/>
      <c r="M319" s="158">
        <v>0</v>
      </c>
      <c r="N319" s="158"/>
      <c r="O319" s="158">
        <v>0</v>
      </c>
      <c r="P319" s="158"/>
      <c r="Q319" s="158">
        <v>0</v>
      </c>
      <c r="R319" s="158"/>
      <c r="S319" s="158">
        <v>0</v>
      </c>
      <c r="T319" s="158"/>
      <c r="U319" s="158">
        <v>0</v>
      </c>
      <c r="V319" s="158"/>
      <c r="W319" s="158">
        <v>0</v>
      </c>
      <c r="X319" s="158"/>
      <c r="Y319" s="158">
        <v>0</v>
      </c>
      <c r="Z319" s="158"/>
      <c r="AA319" s="158">
        <v>0</v>
      </c>
      <c r="AB319" s="158"/>
      <c r="AC319" s="158">
        <v>0</v>
      </c>
      <c r="AD319" s="158"/>
      <c r="AE319" s="158">
        <v>0</v>
      </c>
      <c r="AF319" s="158"/>
      <c r="AG319" s="158">
        <v>0</v>
      </c>
      <c r="AH319" s="158"/>
      <c r="AI319" s="158">
        <v>0</v>
      </c>
      <c r="AJ319" s="158"/>
      <c r="AK319" s="158">
        <v>0</v>
      </c>
      <c r="AL319" s="158"/>
      <c r="AM319" s="158">
        <v>0</v>
      </c>
      <c r="AN319" s="158"/>
      <c r="AO319" s="158">
        <v>0</v>
      </c>
      <c r="AP319" s="158"/>
      <c r="AQ319" s="158">
        <v>0</v>
      </c>
      <c r="AR319" s="158"/>
      <c r="AS319" s="158">
        <v>0</v>
      </c>
      <c r="AT319" s="158"/>
      <c r="AU319" s="158">
        <v>0</v>
      </c>
      <c r="AV319" s="158"/>
      <c r="AW319" s="158">
        <v>0</v>
      </c>
      <c r="AX319" s="158"/>
      <c r="AY319" s="158">
        <v>0</v>
      </c>
      <c r="AZ319" s="158"/>
      <c r="BA319" s="158">
        <v>0</v>
      </c>
      <c r="BB319" s="158"/>
      <c r="BC319" s="158">
        <v>0</v>
      </c>
      <c r="BD319" s="158"/>
      <c r="BE319" s="158">
        <v>0</v>
      </c>
      <c r="BF319" s="158"/>
      <c r="BG319" s="158">
        <v>0</v>
      </c>
      <c r="BH319" s="158"/>
      <c r="BI319" s="158">
        <v>48.23</v>
      </c>
      <c r="BJ319" s="158"/>
      <c r="BK319" s="158">
        <v>0</v>
      </c>
      <c r="BL319" s="158"/>
      <c r="BM319" s="158">
        <v>0</v>
      </c>
      <c r="BN319" s="158"/>
      <c r="BO319" s="158">
        <v>0</v>
      </c>
      <c r="BP319" s="158"/>
      <c r="BQ319" s="158">
        <v>0</v>
      </c>
      <c r="BR319" s="158"/>
      <c r="BS319" s="158">
        <v>0</v>
      </c>
      <c r="BT319" s="158"/>
    </row>
    <row r="320" spans="1:72" x14ac:dyDescent="0.2">
      <c r="A320" s="123" t="s">
        <v>1247</v>
      </c>
      <c r="B320" s="124" t="s">
        <v>1400</v>
      </c>
      <c r="C320" s="158">
        <v>0</v>
      </c>
      <c r="D320" s="158"/>
      <c r="E320" s="158">
        <v>0</v>
      </c>
      <c r="F320" s="158"/>
      <c r="G320" s="158">
        <v>0</v>
      </c>
      <c r="H320" s="158"/>
      <c r="I320" s="158">
        <v>0</v>
      </c>
      <c r="J320" s="158"/>
      <c r="K320" s="158">
        <v>0</v>
      </c>
      <c r="L320" s="158"/>
      <c r="M320" s="158">
        <v>0</v>
      </c>
      <c r="N320" s="158"/>
      <c r="O320" s="158">
        <v>0</v>
      </c>
      <c r="P320" s="158"/>
      <c r="Q320" s="158">
        <v>0</v>
      </c>
      <c r="R320" s="158"/>
      <c r="S320" s="158">
        <v>0</v>
      </c>
      <c r="T320" s="158"/>
      <c r="U320" s="158">
        <v>0</v>
      </c>
      <c r="V320" s="158"/>
      <c r="W320" s="158">
        <v>0</v>
      </c>
      <c r="X320" s="158"/>
      <c r="Y320" s="158">
        <v>0</v>
      </c>
      <c r="Z320" s="158"/>
      <c r="AA320" s="158">
        <v>0</v>
      </c>
      <c r="AB320" s="158"/>
      <c r="AC320" s="158">
        <v>839.47</v>
      </c>
      <c r="AD320" s="158"/>
      <c r="AE320" s="158">
        <v>0</v>
      </c>
      <c r="AF320" s="158"/>
      <c r="AG320" s="158">
        <v>0</v>
      </c>
      <c r="AH320" s="158"/>
      <c r="AI320" s="158">
        <v>0</v>
      </c>
      <c r="AJ320" s="158"/>
      <c r="AK320" s="158">
        <v>0</v>
      </c>
      <c r="AL320" s="158"/>
      <c r="AM320" s="158">
        <v>0</v>
      </c>
      <c r="AN320" s="158"/>
      <c r="AO320" s="158">
        <v>-325</v>
      </c>
      <c r="AP320" s="158"/>
      <c r="AQ320" s="158">
        <v>0</v>
      </c>
      <c r="AR320" s="158"/>
      <c r="AS320" s="158">
        <v>0</v>
      </c>
      <c r="AT320" s="158"/>
      <c r="AU320" s="158">
        <v>0</v>
      </c>
      <c r="AV320" s="158"/>
      <c r="AW320" s="158">
        <v>0</v>
      </c>
      <c r="AX320" s="158"/>
      <c r="AY320" s="158">
        <v>0</v>
      </c>
      <c r="AZ320" s="158"/>
      <c r="BA320" s="158">
        <v>0</v>
      </c>
      <c r="BB320" s="158"/>
      <c r="BC320" s="158">
        <v>0</v>
      </c>
      <c r="BD320" s="158"/>
      <c r="BE320" s="158">
        <v>0</v>
      </c>
      <c r="BF320" s="158"/>
      <c r="BG320" s="158">
        <v>0</v>
      </c>
      <c r="BH320" s="158"/>
      <c r="BI320" s="158">
        <v>0</v>
      </c>
      <c r="BJ320" s="158"/>
      <c r="BK320" s="158">
        <v>0</v>
      </c>
      <c r="BL320" s="158"/>
      <c r="BM320" s="158">
        <v>0</v>
      </c>
      <c r="BN320" s="158"/>
      <c r="BO320" s="158">
        <v>0</v>
      </c>
      <c r="BP320" s="158"/>
      <c r="BQ320" s="158">
        <v>0</v>
      </c>
      <c r="BR320" s="158"/>
      <c r="BS320" s="158">
        <v>0</v>
      </c>
      <c r="BT320" s="158"/>
    </row>
    <row r="321" spans="1:72" x14ac:dyDescent="0.2">
      <c r="A321" s="123" t="s">
        <v>542</v>
      </c>
      <c r="B321" s="124" t="s">
        <v>807</v>
      </c>
      <c r="C321" s="158">
        <v>0</v>
      </c>
      <c r="D321" s="158"/>
      <c r="E321" s="158">
        <v>0</v>
      </c>
      <c r="F321" s="158"/>
      <c r="G321" s="158">
        <v>0</v>
      </c>
      <c r="H321" s="158"/>
      <c r="I321" s="158">
        <v>0</v>
      </c>
      <c r="J321" s="158"/>
      <c r="K321" s="158">
        <v>810.92</v>
      </c>
      <c r="L321" s="158"/>
      <c r="M321" s="158">
        <v>0</v>
      </c>
      <c r="N321" s="158"/>
      <c r="O321" s="158">
        <v>0</v>
      </c>
      <c r="P321" s="158"/>
      <c r="Q321" s="158">
        <v>0</v>
      </c>
      <c r="R321" s="158"/>
      <c r="S321" s="158">
        <v>0</v>
      </c>
      <c r="T321" s="158"/>
      <c r="U321" s="158">
        <v>0</v>
      </c>
      <c r="V321" s="158"/>
      <c r="W321" s="158">
        <v>0</v>
      </c>
      <c r="X321" s="158"/>
      <c r="Y321" s="158">
        <v>218</v>
      </c>
      <c r="Z321" s="158"/>
      <c r="AA321" s="158">
        <v>0</v>
      </c>
      <c r="AB321" s="158"/>
      <c r="AC321" s="158">
        <v>0</v>
      </c>
      <c r="AD321" s="158"/>
      <c r="AE321" s="158">
        <v>0</v>
      </c>
      <c r="AF321" s="158"/>
      <c r="AG321" s="158">
        <v>1457.35</v>
      </c>
      <c r="AH321" s="158"/>
      <c r="AI321" s="158">
        <v>255</v>
      </c>
      <c r="AJ321" s="158"/>
      <c r="AK321" s="158">
        <v>0</v>
      </c>
      <c r="AL321" s="158"/>
      <c r="AM321" s="158">
        <v>0</v>
      </c>
      <c r="AN321" s="158"/>
      <c r="AO321" s="158">
        <v>0</v>
      </c>
      <c r="AP321" s="158"/>
      <c r="AQ321" s="158">
        <v>0</v>
      </c>
      <c r="AR321" s="158"/>
      <c r="AS321" s="158">
        <v>0</v>
      </c>
      <c r="AT321" s="158"/>
      <c r="AU321" s="158">
        <v>0</v>
      </c>
      <c r="AV321" s="158"/>
      <c r="AW321" s="158">
        <v>0</v>
      </c>
      <c r="AX321" s="158"/>
      <c r="AY321" s="158">
        <v>0</v>
      </c>
      <c r="AZ321" s="158"/>
      <c r="BA321" s="158">
        <v>0</v>
      </c>
      <c r="BB321" s="158"/>
      <c r="BC321" s="158">
        <v>0</v>
      </c>
      <c r="BD321" s="158"/>
      <c r="BE321" s="158">
        <v>0</v>
      </c>
      <c r="BF321" s="158"/>
      <c r="BG321" s="158">
        <v>0</v>
      </c>
      <c r="BH321" s="158"/>
      <c r="BI321" s="158">
        <v>0</v>
      </c>
      <c r="BJ321" s="158"/>
      <c r="BK321" s="158">
        <v>0</v>
      </c>
      <c r="BL321" s="158"/>
      <c r="BM321" s="158">
        <v>0</v>
      </c>
      <c r="BN321" s="158"/>
      <c r="BO321" s="158">
        <v>0</v>
      </c>
      <c r="BP321" s="158"/>
      <c r="BQ321" s="158">
        <v>0</v>
      </c>
      <c r="BR321" s="158"/>
      <c r="BS321" s="158">
        <v>0</v>
      </c>
      <c r="BT321" s="158"/>
    </row>
    <row r="322" spans="1:72" x14ac:dyDescent="0.2">
      <c r="A322" s="123" t="s">
        <v>562</v>
      </c>
      <c r="B322" s="124" t="s">
        <v>806</v>
      </c>
      <c r="C322" s="158">
        <v>299</v>
      </c>
      <c r="D322" s="158"/>
      <c r="E322" s="158">
        <v>0</v>
      </c>
      <c r="F322" s="158"/>
      <c r="G322" s="158">
        <v>0</v>
      </c>
      <c r="H322" s="158"/>
      <c r="I322" s="158">
        <v>0</v>
      </c>
      <c r="J322" s="158"/>
      <c r="K322" s="158">
        <v>0</v>
      </c>
      <c r="L322" s="158"/>
      <c r="M322" s="158">
        <v>0</v>
      </c>
      <c r="N322" s="158"/>
      <c r="O322" s="158">
        <v>0</v>
      </c>
      <c r="P322" s="158"/>
      <c r="Q322" s="158">
        <v>0</v>
      </c>
      <c r="R322" s="158"/>
      <c r="S322" s="158">
        <v>0</v>
      </c>
      <c r="T322" s="158"/>
      <c r="U322" s="158">
        <v>0</v>
      </c>
      <c r="V322" s="158"/>
      <c r="W322" s="158">
        <v>0</v>
      </c>
      <c r="X322" s="158"/>
      <c r="Y322" s="158">
        <v>0</v>
      </c>
      <c r="Z322" s="158"/>
      <c r="AA322" s="158">
        <v>0</v>
      </c>
      <c r="AB322" s="158"/>
      <c r="AC322" s="158">
        <v>685</v>
      </c>
      <c r="AD322" s="158"/>
      <c r="AE322" s="158">
        <v>0</v>
      </c>
      <c r="AF322" s="158"/>
      <c r="AG322" s="158">
        <v>0</v>
      </c>
      <c r="AH322" s="158"/>
      <c r="AI322" s="158">
        <v>0</v>
      </c>
      <c r="AJ322" s="158"/>
      <c r="AK322" s="158">
        <v>0</v>
      </c>
      <c r="AL322" s="158"/>
      <c r="AM322" s="158">
        <v>0</v>
      </c>
      <c r="AN322" s="158"/>
      <c r="AO322" s="158">
        <v>0</v>
      </c>
      <c r="AP322" s="158"/>
      <c r="AQ322" s="158">
        <v>0</v>
      </c>
      <c r="AR322" s="158"/>
      <c r="AS322" s="158">
        <v>0</v>
      </c>
      <c r="AT322" s="158"/>
      <c r="AU322" s="158">
        <v>609.42999999999995</v>
      </c>
      <c r="AV322" s="158"/>
      <c r="AW322" s="158">
        <v>0</v>
      </c>
      <c r="AX322" s="158"/>
      <c r="AY322" s="158">
        <v>0</v>
      </c>
      <c r="AZ322" s="158"/>
      <c r="BA322" s="158">
        <v>0</v>
      </c>
      <c r="BB322" s="158"/>
      <c r="BC322" s="158">
        <v>0</v>
      </c>
      <c r="BD322" s="158"/>
      <c r="BE322" s="158">
        <v>0</v>
      </c>
      <c r="BF322" s="158"/>
      <c r="BG322" s="158">
        <v>0</v>
      </c>
      <c r="BH322" s="158"/>
      <c r="BI322" s="158">
        <v>0</v>
      </c>
      <c r="BJ322" s="158"/>
      <c r="BK322" s="158">
        <v>0</v>
      </c>
      <c r="BL322" s="158"/>
      <c r="BM322" s="158">
        <v>0</v>
      </c>
      <c r="BN322" s="158"/>
      <c r="BO322" s="158">
        <v>52.58</v>
      </c>
      <c r="BP322" s="158"/>
      <c r="BQ322" s="158">
        <v>0</v>
      </c>
      <c r="BR322" s="158"/>
      <c r="BS322" s="158">
        <v>0</v>
      </c>
      <c r="BT322" s="158"/>
    </row>
    <row r="323" spans="1:72" x14ac:dyDescent="0.2">
      <c r="A323" s="123" t="s">
        <v>543</v>
      </c>
      <c r="B323" s="124" t="s">
        <v>805</v>
      </c>
      <c r="C323" s="158">
        <v>0</v>
      </c>
      <c r="D323" s="158"/>
      <c r="E323" s="158">
        <v>0</v>
      </c>
      <c r="F323" s="158"/>
      <c r="G323" s="158">
        <v>0</v>
      </c>
      <c r="H323" s="158"/>
      <c r="I323" s="158">
        <v>0</v>
      </c>
      <c r="J323" s="158"/>
      <c r="K323" s="158">
        <v>0</v>
      </c>
      <c r="L323" s="158"/>
      <c r="M323" s="158">
        <v>0</v>
      </c>
      <c r="N323" s="158"/>
      <c r="O323" s="158">
        <v>0</v>
      </c>
      <c r="P323" s="158"/>
      <c r="Q323" s="158">
        <v>0</v>
      </c>
      <c r="R323" s="158"/>
      <c r="S323" s="158">
        <v>0</v>
      </c>
      <c r="T323" s="158"/>
      <c r="U323" s="158">
        <v>0</v>
      </c>
      <c r="V323" s="158"/>
      <c r="W323" s="158">
        <v>0</v>
      </c>
      <c r="X323" s="158"/>
      <c r="Y323" s="158">
        <v>0</v>
      </c>
      <c r="Z323" s="158"/>
      <c r="AA323" s="158">
        <v>0</v>
      </c>
      <c r="AB323" s="158"/>
      <c r="AC323" s="158">
        <v>0</v>
      </c>
      <c r="AD323" s="158"/>
      <c r="AE323" s="158">
        <v>4144.5</v>
      </c>
      <c r="AF323" s="158"/>
      <c r="AG323" s="158">
        <v>0</v>
      </c>
      <c r="AH323" s="158"/>
      <c r="AI323" s="158">
        <v>0</v>
      </c>
      <c r="AJ323" s="158"/>
      <c r="AK323" s="158">
        <v>0</v>
      </c>
      <c r="AL323" s="158"/>
      <c r="AM323" s="158">
        <v>0</v>
      </c>
      <c r="AN323" s="158"/>
      <c r="AO323" s="158">
        <v>0</v>
      </c>
      <c r="AP323" s="158"/>
      <c r="AQ323" s="158">
        <v>0</v>
      </c>
      <c r="AR323" s="158"/>
      <c r="AS323" s="158">
        <v>0</v>
      </c>
      <c r="AT323" s="158"/>
      <c r="AU323" s="158">
        <v>0</v>
      </c>
      <c r="AV323" s="158"/>
      <c r="AW323" s="158">
        <v>0</v>
      </c>
      <c r="AX323" s="158"/>
      <c r="AY323" s="158">
        <v>0</v>
      </c>
      <c r="AZ323" s="158"/>
      <c r="BA323" s="158">
        <v>0</v>
      </c>
      <c r="BB323" s="158"/>
      <c r="BC323" s="158">
        <v>0</v>
      </c>
      <c r="BD323" s="158"/>
      <c r="BE323" s="158">
        <v>0</v>
      </c>
      <c r="BF323" s="158"/>
      <c r="BG323" s="158">
        <v>0</v>
      </c>
      <c r="BH323" s="158"/>
      <c r="BI323" s="158">
        <v>0</v>
      </c>
      <c r="BJ323" s="158"/>
      <c r="BK323" s="158">
        <v>0</v>
      </c>
      <c r="BL323" s="158"/>
      <c r="BM323" s="158">
        <v>0</v>
      </c>
      <c r="BN323" s="158"/>
      <c r="BO323" s="158">
        <v>0</v>
      </c>
      <c r="BP323" s="158"/>
      <c r="BQ323" s="158">
        <v>0</v>
      </c>
      <c r="BR323" s="158"/>
      <c r="BS323" s="158">
        <v>0</v>
      </c>
      <c r="BT323" s="158"/>
    </row>
    <row r="324" spans="1:72" x14ac:dyDescent="0.2">
      <c r="A324" s="123" t="s">
        <v>544</v>
      </c>
      <c r="B324" s="124" t="s">
        <v>804</v>
      </c>
      <c r="C324" s="158">
        <v>0</v>
      </c>
      <c r="D324" s="158"/>
      <c r="E324" s="158">
        <v>0</v>
      </c>
      <c r="F324" s="158"/>
      <c r="G324" s="158">
        <v>0</v>
      </c>
      <c r="H324" s="158"/>
      <c r="I324" s="158">
        <v>0</v>
      </c>
      <c r="J324" s="158"/>
      <c r="K324" s="158">
        <v>0</v>
      </c>
      <c r="L324" s="158"/>
      <c r="M324" s="158">
        <v>0</v>
      </c>
      <c r="N324" s="158"/>
      <c r="O324" s="158">
        <v>0</v>
      </c>
      <c r="P324" s="158"/>
      <c r="Q324" s="158">
        <v>0</v>
      </c>
      <c r="R324" s="158"/>
      <c r="S324" s="158">
        <v>0</v>
      </c>
      <c r="T324" s="158"/>
      <c r="U324" s="158">
        <v>0</v>
      </c>
      <c r="V324" s="158"/>
      <c r="W324" s="158">
        <v>0</v>
      </c>
      <c r="X324" s="158"/>
      <c r="Y324" s="158">
        <v>0</v>
      </c>
      <c r="Z324" s="158"/>
      <c r="AA324" s="158">
        <v>0</v>
      </c>
      <c r="AB324" s="158"/>
      <c r="AC324" s="158">
        <v>0</v>
      </c>
      <c r="AD324" s="158"/>
      <c r="AE324" s="158">
        <v>464.07</v>
      </c>
      <c r="AF324" s="158"/>
      <c r="AG324" s="158">
        <v>871.5</v>
      </c>
      <c r="AH324" s="158"/>
      <c r="AI324" s="158">
        <v>0</v>
      </c>
      <c r="AJ324" s="158"/>
      <c r="AK324" s="158">
        <v>0</v>
      </c>
      <c r="AL324" s="158"/>
      <c r="AM324" s="158">
        <v>0</v>
      </c>
      <c r="AN324" s="158"/>
      <c r="AO324" s="158">
        <v>0</v>
      </c>
      <c r="AP324" s="158"/>
      <c r="AQ324" s="158">
        <v>0</v>
      </c>
      <c r="AR324" s="158"/>
      <c r="AS324" s="158">
        <v>0</v>
      </c>
      <c r="AT324" s="158"/>
      <c r="AU324" s="158">
        <v>2243.85</v>
      </c>
      <c r="AV324" s="158"/>
      <c r="AW324" s="158">
        <v>0</v>
      </c>
      <c r="AX324" s="158"/>
      <c r="AY324" s="158">
        <v>0</v>
      </c>
      <c r="AZ324" s="158"/>
      <c r="BA324" s="158">
        <v>0</v>
      </c>
      <c r="BB324" s="158"/>
      <c r="BC324" s="158">
        <v>626.59</v>
      </c>
      <c r="BD324" s="158"/>
      <c r="BE324" s="158">
        <v>139.91999999999999</v>
      </c>
      <c r="BF324" s="158"/>
      <c r="BG324" s="158">
        <v>9516.9599999999991</v>
      </c>
      <c r="BH324" s="158"/>
      <c r="BI324" s="158">
        <v>9516.9599999999991</v>
      </c>
      <c r="BJ324" s="158"/>
      <c r="BK324" s="158">
        <v>0</v>
      </c>
      <c r="BL324" s="158"/>
      <c r="BM324" s="158">
        <v>92.16</v>
      </c>
      <c r="BN324" s="158"/>
      <c r="BO324" s="158">
        <v>0</v>
      </c>
      <c r="BP324" s="158"/>
      <c r="BQ324" s="158">
        <v>0</v>
      </c>
      <c r="BR324" s="158"/>
      <c r="BS324" s="158">
        <v>0</v>
      </c>
      <c r="BT324" s="158"/>
    </row>
    <row r="325" spans="1:72" x14ac:dyDescent="0.2">
      <c r="A325" s="123" t="s">
        <v>350</v>
      </c>
      <c r="B325" s="124" t="s">
        <v>803</v>
      </c>
      <c r="C325" s="158">
        <v>1627</v>
      </c>
      <c r="D325" s="158"/>
      <c r="E325" s="158">
        <v>392.74</v>
      </c>
      <c r="F325" s="158"/>
      <c r="G325" s="158">
        <v>1075</v>
      </c>
      <c r="H325" s="158"/>
      <c r="I325" s="158">
        <v>2821.63</v>
      </c>
      <c r="J325" s="158"/>
      <c r="K325" s="158">
        <v>3850</v>
      </c>
      <c r="L325" s="158"/>
      <c r="M325" s="158">
        <v>457.81</v>
      </c>
      <c r="N325" s="158"/>
      <c r="O325" s="158">
        <v>400</v>
      </c>
      <c r="P325" s="158"/>
      <c r="Q325" s="158">
        <v>200</v>
      </c>
      <c r="R325" s="158"/>
      <c r="S325" s="158">
        <v>0</v>
      </c>
      <c r="T325" s="158"/>
      <c r="U325" s="158">
        <v>0</v>
      </c>
      <c r="V325" s="158"/>
      <c r="W325" s="158">
        <v>636</v>
      </c>
      <c r="X325" s="158"/>
      <c r="Y325" s="158">
        <v>400</v>
      </c>
      <c r="Z325" s="158"/>
      <c r="AA325" s="158">
        <v>0</v>
      </c>
      <c r="AB325" s="158"/>
      <c r="AC325" s="158">
        <v>466.4</v>
      </c>
      <c r="AD325" s="158"/>
      <c r="AE325" s="158">
        <v>0</v>
      </c>
      <c r="AF325" s="158"/>
      <c r="AG325" s="158">
        <v>0</v>
      </c>
      <c r="AH325" s="158"/>
      <c r="AI325" s="158">
        <v>402.8</v>
      </c>
      <c r="AJ325" s="158"/>
      <c r="AK325" s="158">
        <v>1060</v>
      </c>
      <c r="AL325" s="158"/>
      <c r="AM325" s="158">
        <v>2799.72</v>
      </c>
      <c r="AN325" s="158"/>
      <c r="AO325" s="158">
        <v>1850</v>
      </c>
      <c r="AP325" s="158"/>
      <c r="AQ325" s="158">
        <v>200</v>
      </c>
      <c r="AR325" s="158"/>
      <c r="AS325" s="158">
        <v>1128.96</v>
      </c>
      <c r="AT325" s="158"/>
      <c r="AU325" s="158">
        <v>1850</v>
      </c>
      <c r="AV325" s="158"/>
      <c r="AW325" s="158">
        <v>0</v>
      </c>
      <c r="AX325" s="158"/>
      <c r="AY325" s="158">
        <v>0</v>
      </c>
      <c r="AZ325" s="158"/>
      <c r="BA325" s="158">
        <v>0</v>
      </c>
      <c r="BB325" s="158"/>
      <c r="BC325" s="158">
        <v>1140.0999999999999</v>
      </c>
      <c r="BD325" s="158"/>
      <c r="BE325" s="158">
        <v>2518.9</v>
      </c>
      <c r="BF325" s="158"/>
      <c r="BG325" s="158">
        <v>1475</v>
      </c>
      <c r="BH325" s="158"/>
      <c r="BI325" s="158">
        <v>1675</v>
      </c>
      <c r="BJ325" s="158"/>
      <c r="BK325" s="158">
        <v>0</v>
      </c>
      <c r="BL325" s="158"/>
      <c r="BM325" s="158">
        <v>0</v>
      </c>
      <c r="BN325" s="158"/>
      <c r="BO325" s="158">
        <v>2250</v>
      </c>
      <c r="BP325" s="158"/>
      <c r="BQ325" s="158">
        <v>2800</v>
      </c>
      <c r="BR325" s="158"/>
      <c r="BS325" s="158">
        <v>0</v>
      </c>
      <c r="BT325" s="158"/>
    </row>
    <row r="326" spans="1:72" x14ac:dyDescent="0.2">
      <c r="A326" s="123" t="s">
        <v>351</v>
      </c>
      <c r="B326" s="124" t="s">
        <v>802</v>
      </c>
      <c r="C326" s="158">
        <v>0</v>
      </c>
      <c r="D326" s="158"/>
      <c r="E326" s="158">
        <v>0</v>
      </c>
      <c r="F326" s="158"/>
      <c r="G326" s="158">
        <v>0</v>
      </c>
      <c r="H326" s="158"/>
      <c r="I326" s="158">
        <v>0</v>
      </c>
      <c r="J326" s="158"/>
      <c r="K326" s="158">
        <v>0</v>
      </c>
      <c r="L326" s="158"/>
      <c r="M326" s="158">
        <v>0</v>
      </c>
      <c r="N326" s="158"/>
      <c r="O326" s="158">
        <v>0</v>
      </c>
      <c r="P326" s="158"/>
      <c r="Q326" s="158">
        <v>0</v>
      </c>
      <c r="R326" s="158"/>
      <c r="S326" s="158">
        <v>0</v>
      </c>
      <c r="T326" s="158"/>
      <c r="U326" s="158">
        <v>225</v>
      </c>
      <c r="V326" s="158"/>
      <c r="W326" s="158">
        <v>0</v>
      </c>
      <c r="X326" s="158"/>
      <c r="Y326" s="158">
        <v>345</v>
      </c>
      <c r="Z326" s="158"/>
      <c r="AA326" s="158">
        <v>0</v>
      </c>
      <c r="AB326" s="158"/>
      <c r="AC326" s="158">
        <v>0</v>
      </c>
      <c r="AD326" s="158"/>
      <c r="AE326" s="158">
        <v>497.3</v>
      </c>
      <c r="AF326" s="158"/>
      <c r="AG326" s="158">
        <v>0</v>
      </c>
      <c r="AH326" s="158"/>
      <c r="AI326" s="158">
        <v>0</v>
      </c>
      <c r="AJ326" s="158"/>
      <c r="AK326" s="158">
        <v>2195.8000000000002</v>
      </c>
      <c r="AL326" s="158"/>
      <c r="AM326" s="158">
        <v>260</v>
      </c>
      <c r="AN326" s="158"/>
      <c r="AO326" s="158">
        <v>7.98</v>
      </c>
      <c r="AP326" s="158"/>
      <c r="AQ326" s="158">
        <v>225</v>
      </c>
      <c r="AR326" s="158"/>
      <c r="AS326" s="158">
        <v>0</v>
      </c>
      <c r="AT326" s="158"/>
      <c r="AU326" s="158">
        <v>100</v>
      </c>
      <c r="AV326" s="158"/>
      <c r="AW326" s="158">
        <v>0</v>
      </c>
      <c r="AX326" s="158"/>
      <c r="AY326" s="158">
        <v>0</v>
      </c>
      <c r="AZ326" s="158"/>
      <c r="BA326" s="158">
        <v>0</v>
      </c>
      <c r="BB326" s="158"/>
      <c r="BC326" s="158">
        <v>745.26</v>
      </c>
      <c r="BD326" s="158"/>
      <c r="BE326" s="158">
        <v>101.9</v>
      </c>
      <c r="BF326" s="158"/>
      <c r="BG326" s="158">
        <v>154.19999999999999</v>
      </c>
      <c r="BH326" s="158"/>
      <c r="BI326" s="158">
        <v>164.3</v>
      </c>
      <c r="BJ326" s="158"/>
      <c r="BK326" s="158">
        <v>118.95</v>
      </c>
      <c r="BL326" s="158"/>
      <c r="BM326" s="158">
        <v>1733.74</v>
      </c>
      <c r="BN326" s="158"/>
      <c r="BO326" s="158">
        <v>120</v>
      </c>
      <c r="BP326" s="158"/>
      <c r="BQ326" s="158">
        <v>0</v>
      </c>
      <c r="BR326" s="158"/>
      <c r="BS326" s="158">
        <v>0</v>
      </c>
      <c r="BT326" s="158"/>
    </row>
    <row r="327" spans="1:72" x14ac:dyDescent="0.2">
      <c r="A327" s="123" t="s">
        <v>352</v>
      </c>
      <c r="B327" s="124" t="s">
        <v>801</v>
      </c>
      <c r="C327" s="158">
        <v>621.44000000000005</v>
      </c>
      <c r="D327" s="158"/>
      <c r="E327" s="158">
        <v>335.77</v>
      </c>
      <c r="F327" s="158"/>
      <c r="G327" s="158">
        <v>285.29000000000002</v>
      </c>
      <c r="H327" s="158"/>
      <c r="I327" s="158">
        <v>596.45000000000005</v>
      </c>
      <c r="J327" s="158"/>
      <c r="K327" s="158">
        <v>1531.94</v>
      </c>
      <c r="L327" s="158"/>
      <c r="M327" s="158">
        <v>1896.22</v>
      </c>
      <c r="N327" s="158"/>
      <c r="O327" s="158">
        <v>0</v>
      </c>
      <c r="P327" s="158"/>
      <c r="Q327" s="158">
        <v>0</v>
      </c>
      <c r="R327" s="158"/>
      <c r="S327" s="158">
        <v>710.19</v>
      </c>
      <c r="T327" s="158"/>
      <c r="U327" s="158">
        <v>206.4</v>
      </c>
      <c r="V327" s="158"/>
      <c r="W327" s="158">
        <v>147.32</v>
      </c>
      <c r="X327" s="158"/>
      <c r="Y327" s="158">
        <v>0</v>
      </c>
      <c r="Z327" s="158"/>
      <c r="AA327" s="158">
        <v>480.89</v>
      </c>
      <c r="AB327" s="158"/>
      <c r="AC327" s="158">
        <v>275.07</v>
      </c>
      <c r="AD327" s="158"/>
      <c r="AE327" s="158">
        <v>3700</v>
      </c>
      <c r="AF327" s="158"/>
      <c r="AG327" s="158">
        <v>425.43</v>
      </c>
      <c r="AH327" s="158"/>
      <c r="AI327" s="158">
        <v>26.19</v>
      </c>
      <c r="AJ327" s="158"/>
      <c r="AK327" s="158">
        <v>4363.09</v>
      </c>
      <c r="AL327" s="158"/>
      <c r="AM327" s="158">
        <v>1808.18</v>
      </c>
      <c r="AN327" s="158"/>
      <c r="AO327" s="158">
        <v>196.56</v>
      </c>
      <c r="AP327" s="158"/>
      <c r="AQ327" s="158">
        <v>217.53</v>
      </c>
      <c r="AR327" s="158"/>
      <c r="AS327" s="158">
        <v>667.92</v>
      </c>
      <c r="AT327" s="158"/>
      <c r="AU327" s="158">
        <v>133.74</v>
      </c>
      <c r="AV327" s="158"/>
      <c r="AW327" s="158">
        <v>0</v>
      </c>
      <c r="AX327" s="158"/>
      <c r="AY327" s="158">
        <v>267.27</v>
      </c>
      <c r="AZ327" s="158"/>
      <c r="BA327" s="158">
        <v>1525</v>
      </c>
      <c r="BB327" s="158"/>
      <c r="BC327" s="158">
        <v>1024.74</v>
      </c>
      <c r="BD327" s="158"/>
      <c r="BE327" s="158">
        <v>6164.35</v>
      </c>
      <c r="BF327" s="158"/>
      <c r="BG327" s="158">
        <v>1775</v>
      </c>
      <c r="BH327" s="158"/>
      <c r="BI327" s="158">
        <v>2725</v>
      </c>
      <c r="BJ327" s="158"/>
      <c r="BK327" s="158">
        <v>4213</v>
      </c>
      <c r="BL327" s="158"/>
      <c r="BM327" s="158">
        <v>3313.63</v>
      </c>
      <c r="BN327" s="158"/>
      <c r="BO327" s="158">
        <v>1495.44</v>
      </c>
      <c r="BP327" s="158"/>
      <c r="BQ327" s="158">
        <v>561.95000000000005</v>
      </c>
      <c r="BR327" s="158"/>
      <c r="BS327" s="158">
        <v>281.87</v>
      </c>
      <c r="BT327" s="158"/>
    </row>
    <row r="328" spans="1:72" x14ac:dyDescent="0.2">
      <c r="A328" s="123" t="s">
        <v>353</v>
      </c>
      <c r="B328" s="124" t="s">
        <v>800</v>
      </c>
      <c r="C328" s="158">
        <v>0</v>
      </c>
      <c r="D328" s="158"/>
      <c r="E328" s="158">
        <v>0</v>
      </c>
      <c r="F328" s="158"/>
      <c r="G328" s="158">
        <v>0</v>
      </c>
      <c r="H328" s="158"/>
      <c r="I328" s="158">
        <v>0</v>
      </c>
      <c r="J328" s="158"/>
      <c r="K328" s="158">
        <v>0</v>
      </c>
      <c r="L328" s="158"/>
      <c r="M328" s="158">
        <v>0</v>
      </c>
      <c r="N328" s="158"/>
      <c r="O328" s="158">
        <v>0</v>
      </c>
      <c r="P328" s="158"/>
      <c r="Q328" s="158">
        <v>0</v>
      </c>
      <c r="R328" s="158"/>
      <c r="S328" s="158">
        <v>0</v>
      </c>
      <c r="T328" s="158"/>
      <c r="U328" s="158">
        <v>0</v>
      </c>
      <c r="V328" s="158"/>
      <c r="W328" s="158">
        <v>0</v>
      </c>
      <c r="X328" s="158"/>
      <c r="Y328" s="158">
        <v>0</v>
      </c>
      <c r="Z328" s="158"/>
      <c r="AA328" s="158">
        <v>0</v>
      </c>
      <c r="AB328" s="158"/>
      <c r="AC328" s="158">
        <v>0</v>
      </c>
      <c r="AD328" s="158"/>
      <c r="AE328" s="158">
        <v>2067</v>
      </c>
      <c r="AF328" s="158"/>
      <c r="AG328" s="158">
        <v>0</v>
      </c>
      <c r="AH328" s="158"/>
      <c r="AI328" s="158">
        <v>0</v>
      </c>
      <c r="AJ328" s="158"/>
      <c r="AK328" s="158">
        <v>0</v>
      </c>
      <c r="AL328" s="158"/>
      <c r="AM328" s="158">
        <v>0</v>
      </c>
      <c r="AN328" s="158"/>
      <c r="AO328" s="158">
        <v>0</v>
      </c>
      <c r="AP328" s="158"/>
      <c r="AQ328" s="158">
        <v>219</v>
      </c>
      <c r="AR328" s="158"/>
      <c r="AS328" s="158">
        <v>0</v>
      </c>
      <c r="AT328" s="158"/>
      <c r="AU328" s="158">
        <v>0</v>
      </c>
      <c r="AV328" s="158"/>
      <c r="AW328" s="158">
        <v>0</v>
      </c>
      <c r="AX328" s="158"/>
      <c r="AY328" s="158">
        <v>0</v>
      </c>
      <c r="AZ328" s="158"/>
      <c r="BA328" s="158">
        <v>0</v>
      </c>
      <c r="BB328" s="158"/>
      <c r="BC328" s="158">
        <v>125</v>
      </c>
      <c r="BD328" s="158"/>
      <c r="BE328" s="158">
        <v>386.9</v>
      </c>
      <c r="BF328" s="158"/>
      <c r="BG328" s="158">
        <v>200</v>
      </c>
      <c r="BH328" s="158"/>
      <c r="BI328" s="158">
        <v>400</v>
      </c>
      <c r="BJ328" s="158"/>
      <c r="BK328" s="158">
        <v>0</v>
      </c>
      <c r="BL328" s="158"/>
      <c r="BM328" s="158">
        <v>1810</v>
      </c>
      <c r="BN328" s="158"/>
      <c r="BO328" s="158">
        <v>0</v>
      </c>
      <c r="BP328" s="158"/>
      <c r="BQ328" s="158">
        <v>0</v>
      </c>
      <c r="BR328" s="158"/>
      <c r="BS328" s="158">
        <v>0</v>
      </c>
      <c r="BT328" s="158"/>
    </row>
    <row r="329" spans="1:72" x14ac:dyDescent="0.2">
      <c r="A329" s="123" t="s">
        <v>354</v>
      </c>
      <c r="B329" s="124" t="s">
        <v>799</v>
      </c>
      <c r="C329" s="158">
        <v>0</v>
      </c>
      <c r="D329" s="158"/>
      <c r="E329" s="158">
        <v>0</v>
      </c>
      <c r="F329" s="158"/>
      <c r="G329" s="158">
        <v>0</v>
      </c>
      <c r="H329" s="158"/>
      <c r="I329" s="158">
        <v>0</v>
      </c>
      <c r="J329" s="158"/>
      <c r="K329" s="158">
        <v>0</v>
      </c>
      <c r="L329" s="158"/>
      <c r="M329" s="158">
        <v>0</v>
      </c>
      <c r="N329" s="158"/>
      <c r="O329" s="158">
        <v>0</v>
      </c>
      <c r="P329" s="158"/>
      <c r="Q329" s="158">
        <v>0</v>
      </c>
      <c r="R329" s="158"/>
      <c r="S329" s="158">
        <v>0</v>
      </c>
      <c r="T329" s="158"/>
      <c r="U329" s="158">
        <v>0</v>
      </c>
      <c r="V329" s="158"/>
      <c r="W329" s="158">
        <v>0</v>
      </c>
      <c r="X329" s="158"/>
      <c r="Y329" s="158">
        <v>0</v>
      </c>
      <c r="Z329" s="158"/>
      <c r="AA329" s="158">
        <v>0</v>
      </c>
      <c r="AB329" s="158"/>
      <c r="AC329" s="158">
        <v>0</v>
      </c>
      <c r="AD329" s="158"/>
      <c r="AE329" s="158">
        <v>0</v>
      </c>
      <c r="AF329" s="158"/>
      <c r="AG329" s="158">
        <v>0</v>
      </c>
      <c r="AH329" s="158"/>
      <c r="AI329" s="158">
        <v>0</v>
      </c>
      <c r="AJ329" s="158"/>
      <c r="AK329" s="158">
        <v>250</v>
      </c>
      <c r="AL329" s="158"/>
      <c r="AM329" s="158">
        <v>0</v>
      </c>
      <c r="AN329" s="158"/>
      <c r="AO329" s="158">
        <v>0</v>
      </c>
      <c r="AP329" s="158"/>
      <c r="AQ329" s="158">
        <v>0</v>
      </c>
      <c r="AR329" s="158"/>
      <c r="AS329" s="158">
        <v>0</v>
      </c>
      <c r="AT329" s="158"/>
      <c r="AU329" s="158">
        <v>0</v>
      </c>
      <c r="AV329" s="158"/>
      <c r="AW329" s="158">
        <v>0</v>
      </c>
      <c r="AX329" s="158"/>
      <c r="AY329" s="158">
        <v>0</v>
      </c>
      <c r="AZ329" s="158"/>
      <c r="BA329" s="158">
        <v>0</v>
      </c>
      <c r="BB329" s="158"/>
      <c r="BC329" s="158">
        <v>0</v>
      </c>
      <c r="BD329" s="158"/>
      <c r="BE329" s="158">
        <v>0</v>
      </c>
      <c r="BF329" s="158"/>
      <c r="BG329" s="158">
        <v>0</v>
      </c>
      <c r="BH329" s="158"/>
      <c r="BI329" s="158">
        <v>0</v>
      </c>
      <c r="BJ329" s="158"/>
      <c r="BK329" s="158">
        <v>0</v>
      </c>
      <c r="BL329" s="158"/>
      <c r="BM329" s="158">
        <v>0</v>
      </c>
      <c r="BN329" s="158"/>
      <c r="BO329" s="158">
        <v>0</v>
      </c>
      <c r="BP329" s="158"/>
      <c r="BQ329" s="158">
        <v>0</v>
      </c>
      <c r="BR329" s="158"/>
      <c r="BS329" s="158">
        <v>0</v>
      </c>
      <c r="BT329" s="158"/>
    </row>
    <row r="330" spans="1:72" x14ac:dyDescent="0.2">
      <c r="A330" s="123" t="s">
        <v>798</v>
      </c>
      <c r="B330" s="124" t="s">
        <v>797</v>
      </c>
      <c r="C330" s="158">
        <v>0</v>
      </c>
      <c r="D330" s="158"/>
      <c r="E330" s="158">
        <v>0</v>
      </c>
      <c r="F330" s="158"/>
      <c r="G330" s="158">
        <v>0</v>
      </c>
      <c r="H330" s="158"/>
      <c r="I330" s="158">
        <v>0</v>
      </c>
      <c r="J330" s="158"/>
      <c r="K330" s="158">
        <v>0</v>
      </c>
      <c r="L330" s="158"/>
      <c r="M330" s="158">
        <v>0</v>
      </c>
      <c r="N330" s="158"/>
      <c r="O330" s="158">
        <v>0</v>
      </c>
      <c r="P330" s="158"/>
      <c r="Q330" s="158">
        <v>0</v>
      </c>
      <c r="R330" s="158"/>
      <c r="S330" s="158">
        <v>0</v>
      </c>
      <c r="T330" s="158"/>
      <c r="U330" s="158">
        <v>0</v>
      </c>
      <c r="V330" s="158"/>
      <c r="W330" s="158">
        <v>0</v>
      </c>
      <c r="X330" s="158"/>
      <c r="Y330" s="158">
        <v>0</v>
      </c>
      <c r="Z330" s="158"/>
      <c r="AA330" s="158">
        <v>0</v>
      </c>
      <c r="AB330" s="158"/>
      <c r="AC330" s="158">
        <v>0</v>
      </c>
      <c r="AD330" s="158"/>
      <c r="AE330" s="158">
        <v>0</v>
      </c>
      <c r="AF330" s="158"/>
      <c r="AG330" s="158">
        <v>0</v>
      </c>
      <c r="AH330" s="158"/>
      <c r="AI330" s="158">
        <v>0</v>
      </c>
      <c r="AJ330" s="158"/>
      <c r="AK330" s="158">
        <v>175</v>
      </c>
      <c r="AL330" s="158"/>
      <c r="AM330" s="158">
        <v>0</v>
      </c>
      <c r="AN330" s="158"/>
      <c r="AO330" s="158">
        <v>0</v>
      </c>
      <c r="AP330" s="158"/>
      <c r="AQ330" s="158">
        <v>0</v>
      </c>
      <c r="AR330" s="158"/>
      <c r="AS330" s="158">
        <v>0</v>
      </c>
      <c r="AT330" s="158"/>
      <c r="AU330" s="158">
        <v>0</v>
      </c>
      <c r="AV330" s="158"/>
      <c r="AW330" s="158">
        <v>0</v>
      </c>
      <c r="AX330" s="158"/>
      <c r="AY330" s="158">
        <v>0</v>
      </c>
      <c r="AZ330" s="158"/>
      <c r="BA330" s="158">
        <v>0</v>
      </c>
      <c r="BB330" s="158"/>
      <c r="BC330" s="158">
        <v>0</v>
      </c>
      <c r="BD330" s="158"/>
      <c r="BE330" s="158">
        <v>0</v>
      </c>
      <c r="BF330" s="158"/>
      <c r="BG330" s="158">
        <v>0</v>
      </c>
      <c r="BH330" s="158"/>
      <c r="BI330" s="158">
        <v>0</v>
      </c>
      <c r="BJ330" s="158"/>
      <c r="BK330" s="158">
        <v>0</v>
      </c>
      <c r="BL330" s="158"/>
      <c r="BM330" s="158">
        <v>0</v>
      </c>
      <c r="BN330" s="158"/>
      <c r="BO330" s="158">
        <v>0</v>
      </c>
      <c r="BP330" s="158"/>
      <c r="BQ330" s="158">
        <v>0</v>
      </c>
      <c r="BR330" s="158"/>
      <c r="BS330" s="158">
        <v>0</v>
      </c>
      <c r="BT330" s="158"/>
    </row>
    <row r="331" spans="1:72" x14ac:dyDescent="0.2">
      <c r="A331" s="123" t="s">
        <v>355</v>
      </c>
      <c r="B331" s="124" t="s">
        <v>796</v>
      </c>
      <c r="C331" s="158">
        <v>7541.08</v>
      </c>
      <c r="D331" s="158">
        <f>SUM(C331:C339)</f>
        <v>27457.570000000003</v>
      </c>
      <c r="E331" s="158">
        <v>7032.17</v>
      </c>
      <c r="F331" s="158">
        <f>SUM(E331:E339)</f>
        <v>27598.309999999998</v>
      </c>
      <c r="G331" s="158">
        <v>7450.11</v>
      </c>
      <c r="H331" s="158">
        <f>SUM(G331:G339)</f>
        <v>22280.559999999998</v>
      </c>
      <c r="I331" s="158">
        <v>12464.98</v>
      </c>
      <c r="J331" s="158">
        <f>SUM(I331:I339)</f>
        <v>19279.229999999996</v>
      </c>
      <c r="K331" s="158">
        <v>15584.65</v>
      </c>
      <c r="L331" s="158">
        <f>SUM(K331:K339)</f>
        <v>44100.42</v>
      </c>
      <c r="M331" s="158">
        <v>18719.650000000001</v>
      </c>
      <c r="N331" s="158">
        <f>SUM(M331:M339)</f>
        <v>8949.36</v>
      </c>
      <c r="O331" s="158">
        <v>12144.15</v>
      </c>
      <c r="P331" s="158">
        <f>SUM(O331:O339)</f>
        <v>32737.150000000005</v>
      </c>
      <c r="Q331" s="158">
        <v>9869.18</v>
      </c>
      <c r="R331" s="158">
        <f>SUM(Q331:Q338)</f>
        <v>20523.27</v>
      </c>
      <c r="S331" s="158">
        <v>8439.85</v>
      </c>
      <c r="T331" s="158">
        <f>SUM(S331:S339)</f>
        <v>41473.429999999993</v>
      </c>
      <c r="U331" s="158">
        <v>7518.79</v>
      </c>
      <c r="V331" s="158">
        <f>SUM(U331:U339)</f>
        <v>13288.370000000003</v>
      </c>
      <c r="W331" s="158">
        <v>7488.76</v>
      </c>
      <c r="X331" s="158">
        <f>SUM(W331:W339)</f>
        <v>28935.200000000001</v>
      </c>
      <c r="Y331" s="158">
        <v>10900</v>
      </c>
      <c r="Z331" s="158">
        <f>SUM(Y331:Y339)</f>
        <v>22626.05</v>
      </c>
      <c r="AA331" s="158">
        <v>8780.9500000000007</v>
      </c>
      <c r="AB331" s="158">
        <f>SUM(AA331:AA339)</f>
        <v>12869.04</v>
      </c>
      <c r="AC331" s="158">
        <v>6347.98</v>
      </c>
      <c r="AD331" s="158">
        <f>SUM(AC331:AC339)</f>
        <v>34546.07</v>
      </c>
      <c r="AE331" s="158">
        <v>6167.31</v>
      </c>
      <c r="AF331" s="158">
        <f>SUM(AE331:AE338)</f>
        <v>42531.469999999994</v>
      </c>
      <c r="AG331" s="158">
        <v>11167.38</v>
      </c>
      <c r="AH331" s="158">
        <f>SUM(AG331:AG339)</f>
        <v>19294.629999999997</v>
      </c>
      <c r="AI331" s="158">
        <v>5552.44</v>
      </c>
      <c r="AJ331" s="158">
        <f>SUM(AI331:AI339)</f>
        <v>30265.71</v>
      </c>
      <c r="AK331" s="158">
        <v>4776.6000000000004</v>
      </c>
      <c r="AL331" s="158">
        <f>SUM(AK331:AK339)</f>
        <v>45523.49</v>
      </c>
      <c r="AM331" s="158">
        <v>11656.09</v>
      </c>
      <c r="AN331" s="158">
        <f>SUM(AM331:AM339)</f>
        <v>26431.450000000004</v>
      </c>
      <c r="AO331" s="158">
        <v>5765.65</v>
      </c>
      <c r="AP331" s="158">
        <f>SUM(AO331:AO339)</f>
        <v>17820.849999999999</v>
      </c>
      <c r="AQ331" s="158">
        <v>5737.38</v>
      </c>
      <c r="AR331" s="158">
        <f>SUM(AQ331:AQ339)</f>
        <v>16786.920000000002</v>
      </c>
      <c r="AS331" s="158">
        <v>8982.9500000000007</v>
      </c>
      <c r="AT331" s="158">
        <f>SUM(AS331:AS339)</f>
        <v>21194.45</v>
      </c>
      <c r="AU331" s="158">
        <v>13738.45</v>
      </c>
      <c r="AV331" s="158">
        <f>SUM(AU331:AU339)</f>
        <v>46513.45</v>
      </c>
      <c r="AW331" s="158">
        <v>6649.09</v>
      </c>
      <c r="AX331" s="158">
        <f>SUM(AW331:AW339)</f>
        <v>30870.799999999996</v>
      </c>
      <c r="AY331" s="158">
        <v>13291.72</v>
      </c>
      <c r="AZ331" s="158">
        <f>SUM(AY331:AY339)</f>
        <v>19821.55</v>
      </c>
      <c r="BA331" s="158">
        <v>4553.6499999999996</v>
      </c>
      <c r="BB331" s="158">
        <f>SUM(BA331:BA339)</f>
        <v>20933.339999999997</v>
      </c>
      <c r="BC331" s="158">
        <v>6968.57</v>
      </c>
      <c r="BD331" s="158">
        <f>SUM(BC331:BC339)</f>
        <v>28424.510000000002</v>
      </c>
      <c r="BE331" s="158">
        <v>5959.56</v>
      </c>
      <c r="BF331" s="158">
        <f>SUM(BE331:BE339)</f>
        <v>19696.819999999996</v>
      </c>
      <c r="BG331" s="158">
        <v>8873.9699999999993</v>
      </c>
      <c r="BH331" s="158">
        <f>SUM(BG331:BG339)</f>
        <v>31346.440000000002</v>
      </c>
      <c r="BI331" s="158">
        <v>7130.72</v>
      </c>
      <c r="BJ331" s="158">
        <f>SUM(BI331:BI339)</f>
        <v>28275.850000000002</v>
      </c>
      <c r="BK331" s="158">
        <v>14882.46</v>
      </c>
      <c r="BL331" s="158">
        <f>SUM(BK331:BK339)</f>
        <v>28148.609999999997</v>
      </c>
      <c r="BM331" s="158">
        <v>4055.24</v>
      </c>
      <c r="BN331" s="158">
        <f>SUM(BM331:BM339)</f>
        <v>19585.899999999994</v>
      </c>
      <c r="BO331" s="158">
        <v>8244.98</v>
      </c>
      <c r="BP331" s="158">
        <f>SUM(BO331:BO339)</f>
        <v>14091.869999999999</v>
      </c>
      <c r="BQ331" s="158">
        <v>9477.44</v>
      </c>
      <c r="BR331" s="158">
        <f>SUM(BQ331:BQ339)</f>
        <v>16353.26</v>
      </c>
      <c r="BS331" s="158">
        <v>10141.049999999999</v>
      </c>
      <c r="BT331" s="158">
        <f>SUM(BS331:BS339)</f>
        <v>15092.12</v>
      </c>
    </row>
    <row r="332" spans="1:72" x14ac:dyDescent="0.2">
      <c r="A332" s="123" t="s">
        <v>561</v>
      </c>
      <c r="B332" s="124" t="s">
        <v>795</v>
      </c>
      <c r="C332" s="158">
        <v>0</v>
      </c>
      <c r="D332" s="158"/>
      <c r="E332" s="158">
        <v>145.04</v>
      </c>
      <c r="F332" s="158"/>
      <c r="G332" s="158">
        <v>801.29</v>
      </c>
      <c r="H332" s="158"/>
      <c r="I332" s="158">
        <v>0</v>
      </c>
      <c r="J332" s="158"/>
      <c r="K332" s="158">
        <v>0</v>
      </c>
      <c r="L332" s="158"/>
      <c r="M332" s="158">
        <v>0</v>
      </c>
      <c r="N332" s="158"/>
      <c r="O332" s="158">
        <v>634.52</v>
      </c>
      <c r="P332" s="158"/>
      <c r="Q332" s="158">
        <v>0</v>
      </c>
      <c r="R332" s="158"/>
      <c r="S332" s="158">
        <v>120.2</v>
      </c>
      <c r="T332" s="158"/>
      <c r="U332" s="158">
        <v>0</v>
      </c>
      <c r="V332" s="158"/>
      <c r="W332" s="158">
        <v>0</v>
      </c>
      <c r="X332" s="158"/>
      <c r="Y332" s="158">
        <v>0</v>
      </c>
      <c r="Z332" s="158"/>
      <c r="AA332" s="158">
        <v>0</v>
      </c>
      <c r="AB332" s="158"/>
      <c r="AC332" s="158">
        <v>0</v>
      </c>
      <c r="AD332" s="158"/>
      <c r="AE332" s="158">
        <v>0</v>
      </c>
      <c r="AF332" s="158"/>
      <c r="AG332" s="158">
        <v>594.79</v>
      </c>
      <c r="AH332" s="158"/>
      <c r="AI332" s="158">
        <v>0</v>
      </c>
      <c r="AJ332" s="158"/>
      <c r="AK332" s="158">
        <v>0</v>
      </c>
      <c r="AL332" s="158"/>
      <c r="AM332" s="158">
        <v>0</v>
      </c>
      <c r="AN332" s="158"/>
      <c r="AO332" s="158">
        <v>0</v>
      </c>
      <c r="AP332" s="158"/>
      <c r="AQ332" s="158">
        <v>0</v>
      </c>
      <c r="AR332" s="158"/>
      <c r="AS332" s="158">
        <v>0</v>
      </c>
      <c r="AT332" s="158"/>
      <c r="AU332" s="158">
        <v>15480.05</v>
      </c>
      <c r="AV332" s="158"/>
      <c r="AW332" s="158">
        <v>0</v>
      </c>
      <c r="AX332" s="158"/>
      <c r="AY332" s="158">
        <v>0</v>
      </c>
      <c r="AZ332" s="158"/>
      <c r="BA332" s="158">
        <v>0</v>
      </c>
      <c r="BB332" s="158"/>
      <c r="BC332" s="158">
        <v>0</v>
      </c>
      <c r="BD332" s="158"/>
      <c r="BE332" s="158">
        <v>0</v>
      </c>
      <c r="BF332" s="158"/>
      <c r="BG332" s="158">
        <v>0</v>
      </c>
      <c r="BH332" s="158"/>
      <c r="BI332" s="158">
        <v>0</v>
      </c>
      <c r="BJ332" s="158"/>
      <c r="BK332" s="158">
        <v>5307.62</v>
      </c>
      <c r="BL332" s="158"/>
      <c r="BM332" s="158">
        <v>0</v>
      </c>
      <c r="BN332" s="158"/>
      <c r="BO332" s="158">
        <v>0</v>
      </c>
      <c r="BP332" s="158"/>
      <c r="BQ332" s="158">
        <v>0</v>
      </c>
      <c r="BR332" s="158"/>
      <c r="BS332" s="158">
        <v>0</v>
      </c>
      <c r="BT332" s="158"/>
    </row>
    <row r="333" spans="1:72" x14ac:dyDescent="0.2">
      <c r="A333" s="123" t="s">
        <v>356</v>
      </c>
      <c r="B333" s="124" t="s">
        <v>794</v>
      </c>
      <c r="C333" s="158">
        <v>14505.71</v>
      </c>
      <c r="D333" s="158"/>
      <c r="E333" s="158">
        <v>16714.900000000001</v>
      </c>
      <c r="F333" s="158"/>
      <c r="G333" s="158">
        <v>9857.26</v>
      </c>
      <c r="H333" s="158"/>
      <c r="I333" s="158">
        <v>3312.9</v>
      </c>
      <c r="J333" s="158"/>
      <c r="K333" s="158">
        <v>24104.45</v>
      </c>
      <c r="L333" s="158"/>
      <c r="M333" s="158">
        <v>-14634.69</v>
      </c>
      <c r="N333" s="158"/>
      <c r="O333" s="158">
        <v>17259.990000000002</v>
      </c>
      <c r="P333" s="158"/>
      <c r="Q333" s="158">
        <v>6076.19</v>
      </c>
      <c r="R333" s="158"/>
      <c r="S333" s="158">
        <v>27806.66</v>
      </c>
      <c r="T333" s="158"/>
      <c r="U333" s="158">
        <v>2629.4</v>
      </c>
      <c r="V333" s="158"/>
      <c r="W333" s="158">
        <v>16378.11</v>
      </c>
      <c r="X333" s="158"/>
      <c r="Y333" s="158">
        <v>8474.67</v>
      </c>
      <c r="Z333" s="158"/>
      <c r="AA333" s="158">
        <v>830.47</v>
      </c>
      <c r="AB333" s="158"/>
      <c r="AC333" s="158">
        <v>24188.32</v>
      </c>
      <c r="AD333" s="158"/>
      <c r="AE333" s="158">
        <v>30823.7</v>
      </c>
      <c r="AF333" s="158"/>
      <c r="AG333" s="158">
        <v>3014.11</v>
      </c>
      <c r="AH333" s="158"/>
      <c r="AI333" s="158">
        <v>20117.73</v>
      </c>
      <c r="AJ333" s="158"/>
      <c r="AK333" s="158">
        <v>37385.050000000003</v>
      </c>
      <c r="AL333" s="158"/>
      <c r="AM333" s="158">
        <v>9203.67</v>
      </c>
      <c r="AN333" s="158"/>
      <c r="AO333" s="158">
        <v>7780.04</v>
      </c>
      <c r="AP333" s="158"/>
      <c r="AQ333" s="158">
        <v>8009.52</v>
      </c>
      <c r="AR333" s="158"/>
      <c r="AS333" s="158">
        <v>8206.36</v>
      </c>
      <c r="AT333" s="158"/>
      <c r="AU333" s="158">
        <v>14153.21</v>
      </c>
      <c r="AV333" s="158"/>
      <c r="AW333" s="158">
        <v>19634.12</v>
      </c>
      <c r="AX333" s="158"/>
      <c r="AY333" s="158">
        <v>3788.59</v>
      </c>
      <c r="AZ333" s="158"/>
      <c r="BA333" s="158">
        <v>12293.45</v>
      </c>
      <c r="BB333" s="158"/>
      <c r="BC333" s="158">
        <v>18557.86</v>
      </c>
      <c r="BD333" s="158"/>
      <c r="BE333" s="158">
        <v>9698.4699999999993</v>
      </c>
      <c r="BF333" s="158"/>
      <c r="BG333" s="158">
        <v>20626.28</v>
      </c>
      <c r="BH333" s="158"/>
      <c r="BI333" s="158">
        <v>19268.3</v>
      </c>
      <c r="BJ333" s="158"/>
      <c r="BK333" s="158">
        <v>1812.46</v>
      </c>
      <c r="BL333" s="158"/>
      <c r="BM333" s="158">
        <v>10846.82</v>
      </c>
      <c r="BN333" s="158"/>
      <c r="BO333" s="158">
        <v>1637.82</v>
      </c>
      <c r="BP333" s="158"/>
      <c r="BQ333" s="158">
        <v>2240.17</v>
      </c>
      <c r="BR333" s="158"/>
      <c r="BS333" s="158">
        <v>1077.72</v>
      </c>
      <c r="BT333" s="158"/>
    </row>
    <row r="334" spans="1:72" x14ac:dyDescent="0.2">
      <c r="A334" s="123" t="s">
        <v>357</v>
      </c>
      <c r="B334" s="124" t="s">
        <v>793</v>
      </c>
      <c r="C334" s="158">
        <v>2136.0100000000002</v>
      </c>
      <c r="D334" s="158"/>
      <c r="E334" s="158">
        <v>2436.59</v>
      </c>
      <c r="F334" s="158"/>
      <c r="G334" s="158">
        <v>1713.23</v>
      </c>
      <c r="H334" s="158"/>
      <c r="I334" s="158">
        <v>1723.06</v>
      </c>
      <c r="J334" s="158"/>
      <c r="K334" s="158">
        <v>1664.18</v>
      </c>
      <c r="L334" s="158"/>
      <c r="M334" s="158">
        <v>2384.65</v>
      </c>
      <c r="N334" s="158"/>
      <c r="O334" s="158">
        <v>882.29</v>
      </c>
      <c r="P334" s="158"/>
      <c r="Q334" s="158">
        <v>2626.87</v>
      </c>
      <c r="R334" s="158"/>
      <c r="S334" s="158">
        <v>3438.1</v>
      </c>
      <c r="T334" s="158"/>
      <c r="U334" s="158">
        <v>1141.44</v>
      </c>
      <c r="V334" s="158"/>
      <c r="W334" s="158">
        <v>2360.44</v>
      </c>
      <c r="X334" s="158"/>
      <c r="Y334" s="158">
        <v>1344.95</v>
      </c>
      <c r="Z334" s="158"/>
      <c r="AA334" s="158">
        <v>2029.18</v>
      </c>
      <c r="AB334" s="158"/>
      <c r="AC334" s="158">
        <v>2050.89</v>
      </c>
      <c r="AD334" s="158"/>
      <c r="AE334" s="158">
        <v>3205.14</v>
      </c>
      <c r="AF334" s="158"/>
      <c r="AG334" s="158">
        <v>2453.83</v>
      </c>
      <c r="AH334" s="158"/>
      <c r="AI334" s="158">
        <v>2566.6999999999998</v>
      </c>
      <c r="AJ334" s="158"/>
      <c r="AK334" s="158">
        <v>1720.77</v>
      </c>
      <c r="AL334" s="158"/>
      <c r="AM334" s="158">
        <v>2749.15</v>
      </c>
      <c r="AN334" s="158"/>
      <c r="AO334" s="158">
        <v>1858.57</v>
      </c>
      <c r="AP334" s="158"/>
      <c r="AQ334" s="158">
        <v>1888.77</v>
      </c>
      <c r="AR334" s="158"/>
      <c r="AS334" s="158">
        <v>1916.74</v>
      </c>
      <c r="AT334" s="158"/>
      <c r="AU334" s="158">
        <v>1302.2</v>
      </c>
      <c r="AV334" s="158"/>
      <c r="AW334" s="158">
        <v>2942.55</v>
      </c>
      <c r="AX334" s="158"/>
      <c r="AY334" s="158">
        <v>1542.31</v>
      </c>
      <c r="AZ334" s="158"/>
      <c r="BA334" s="158">
        <v>2182.71</v>
      </c>
      <c r="BB334" s="158"/>
      <c r="BC334" s="158">
        <v>711.19</v>
      </c>
      <c r="BD334" s="158"/>
      <c r="BE334" s="158">
        <v>2518.6799999999998</v>
      </c>
      <c r="BF334" s="158"/>
      <c r="BG334" s="158">
        <v>1143.5</v>
      </c>
      <c r="BH334" s="158"/>
      <c r="BI334" s="158">
        <v>983.32</v>
      </c>
      <c r="BJ334" s="158"/>
      <c r="BK334" s="158">
        <v>1548.42</v>
      </c>
      <c r="BL334" s="158"/>
      <c r="BM334" s="158">
        <v>2177.2199999999998</v>
      </c>
      <c r="BN334" s="158"/>
      <c r="BO334" s="158">
        <v>1846.22</v>
      </c>
      <c r="BP334" s="158"/>
      <c r="BQ334" s="158">
        <v>1974.94</v>
      </c>
      <c r="BR334" s="158"/>
      <c r="BS334" s="158">
        <v>1341.2</v>
      </c>
      <c r="BT334" s="158"/>
    </row>
    <row r="335" spans="1:72" x14ac:dyDescent="0.2">
      <c r="A335" s="123" t="s">
        <v>358</v>
      </c>
      <c r="B335" s="124" t="s">
        <v>792</v>
      </c>
      <c r="C335" s="158">
        <v>191.74</v>
      </c>
      <c r="D335" s="158"/>
      <c r="E335" s="158">
        <v>321.92</v>
      </c>
      <c r="F335" s="158"/>
      <c r="G335" s="158">
        <v>291.7</v>
      </c>
      <c r="H335" s="158"/>
      <c r="I335" s="158">
        <v>467.44</v>
      </c>
      <c r="J335" s="158"/>
      <c r="K335" s="158">
        <v>643.94000000000005</v>
      </c>
      <c r="L335" s="158"/>
      <c r="M335" s="158">
        <v>477.97</v>
      </c>
      <c r="N335" s="158"/>
      <c r="O335" s="158">
        <v>287.83999999999997</v>
      </c>
      <c r="P335" s="158"/>
      <c r="Q335" s="158">
        <v>698.33</v>
      </c>
      <c r="R335" s="158"/>
      <c r="S335" s="158">
        <v>419.92</v>
      </c>
      <c r="T335" s="158"/>
      <c r="U335" s="158">
        <v>781.37</v>
      </c>
      <c r="V335" s="158"/>
      <c r="W335" s="158">
        <v>619.26</v>
      </c>
      <c r="X335" s="158"/>
      <c r="Y335" s="158">
        <v>363.07</v>
      </c>
      <c r="Z335" s="158"/>
      <c r="AA335" s="158">
        <v>258.41000000000003</v>
      </c>
      <c r="AB335" s="158"/>
      <c r="AC335" s="158">
        <v>277.49</v>
      </c>
      <c r="AD335" s="158"/>
      <c r="AE335" s="158">
        <v>568.52</v>
      </c>
      <c r="AF335" s="158"/>
      <c r="AG335" s="158">
        <v>339.26</v>
      </c>
      <c r="AH335" s="158"/>
      <c r="AI335" s="158">
        <v>277.47000000000003</v>
      </c>
      <c r="AJ335" s="158"/>
      <c r="AK335" s="158">
        <v>336.85</v>
      </c>
      <c r="AL335" s="158"/>
      <c r="AM335" s="158">
        <v>467.75</v>
      </c>
      <c r="AN335" s="158"/>
      <c r="AO335" s="158">
        <v>568.91</v>
      </c>
      <c r="AP335" s="158"/>
      <c r="AQ335" s="158">
        <v>305.22000000000003</v>
      </c>
      <c r="AR335" s="158"/>
      <c r="AS335" s="158">
        <v>220.42</v>
      </c>
      <c r="AT335" s="158"/>
      <c r="AU335" s="158">
        <v>878.41</v>
      </c>
      <c r="AV335" s="158"/>
      <c r="AW335" s="158">
        <v>381.92</v>
      </c>
      <c r="AX335" s="158"/>
      <c r="AY335" s="158">
        <v>258.41000000000003</v>
      </c>
      <c r="AZ335" s="158"/>
      <c r="BA335" s="158">
        <v>323.52999999999997</v>
      </c>
      <c r="BB335" s="158"/>
      <c r="BC335" s="158">
        <v>286.02</v>
      </c>
      <c r="BD335" s="158"/>
      <c r="BE335" s="158">
        <v>305.67</v>
      </c>
      <c r="BF335" s="158"/>
      <c r="BG335" s="158">
        <v>71.97</v>
      </c>
      <c r="BH335" s="158"/>
      <c r="BI335" s="158">
        <v>71.959999999999994</v>
      </c>
      <c r="BJ335" s="158"/>
      <c r="BK335" s="158">
        <v>1638.3</v>
      </c>
      <c r="BL335" s="158"/>
      <c r="BM335" s="158">
        <v>275.12</v>
      </c>
      <c r="BN335" s="158"/>
      <c r="BO335" s="158">
        <v>369.26</v>
      </c>
      <c r="BP335" s="158"/>
      <c r="BQ335" s="158">
        <v>459.92</v>
      </c>
      <c r="BR335" s="158"/>
      <c r="BS335" s="158">
        <v>238.04</v>
      </c>
      <c r="BT335" s="158"/>
    </row>
    <row r="336" spans="1:72" x14ac:dyDescent="0.2">
      <c r="A336" s="123" t="s">
        <v>359</v>
      </c>
      <c r="B336" s="124" t="s">
        <v>791</v>
      </c>
      <c r="C336" s="158">
        <v>1808.87</v>
      </c>
      <c r="D336" s="158"/>
      <c r="E336" s="158">
        <v>356.48</v>
      </c>
      <c r="F336" s="158"/>
      <c r="G336" s="158">
        <v>786.17</v>
      </c>
      <c r="H336" s="158"/>
      <c r="I336" s="158">
        <v>576.69000000000005</v>
      </c>
      <c r="J336" s="158"/>
      <c r="K336" s="158">
        <v>1039.06</v>
      </c>
      <c r="L336" s="158"/>
      <c r="M336" s="158">
        <v>761.38</v>
      </c>
      <c r="N336" s="158"/>
      <c r="O336" s="158">
        <v>524.75</v>
      </c>
      <c r="P336" s="158"/>
      <c r="Q336" s="158">
        <v>525.78</v>
      </c>
      <c r="R336" s="158"/>
      <c r="S336" s="158">
        <v>327.72</v>
      </c>
      <c r="T336" s="158"/>
      <c r="U336" s="158">
        <v>776.21</v>
      </c>
      <c r="V336" s="158"/>
      <c r="W336" s="158">
        <v>1045.33</v>
      </c>
      <c r="X336" s="158"/>
      <c r="Y336" s="158">
        <v>841.34</v>
      </c>
      <c r="Z336" s="158"/>
      <c r="AA336" s="158">
        <v>671.01</v>
      </c>
      <c r="AB336" s="158"/>
      <c r="AC336" s="158">
        <v>1527.02</v>
      </c>
      <c r="AD336" s="158"/>
      <c r="AE336" s="158">
        <v>771.96</v>
      </c>
      <c r="AF336" s="158"/>
      <c r="AG336" s="158">
        <v>1072.27</v>
      </c>
      <c r="AH336" s="158"/>
      <c r="AI336" s="158">
        <v>1169.08</v>
      </c>
      <c r="AJ336" s="158"/>
      <c r="AK336" s="158">
        <v>477.14</v>
      </c>
      <c r="AL336" s="158"/>
      <c r="AM336" s="158">
        <v>277.5</v>
      </c>
      <c r="AN336" s="158"/>
      <c r="AO336" s="158">
        <v>1044.6400000000001</v>
      </c>
      <c r="AP336" s="158"/>
      <c r="AQ336" s="158">
        <v>362.19</v>
      </c>
      <c r="AR336" s="158"/>
      <c r="AS336" s="158">
        <v>528.75</v>
      </c>
      <c r="AT336" s="158"/>
      <c r="AU336" s="158">
        <v>789.6</v>
      </c>
      <c r="AV336" s="158"/>
      <c r="AW336" s="158">
        <v>814.03</v>
      </c>
      <c r="AX336" s="158"/>
      <c r="AY336" s="158">
        <v>699.24</v>
      </c>
      <c r="AZ336" s="158"/>
      <c r="BA336" s="158">
        <v>787.53</v>
      </c>
      <c r="BB336" s="158"/>
      <c r="BC336" s="158">
        <v>880.72</v>
      </c>
      <c r="BD336" s="158"/>
      <c r="BE336" s="158">
        <v>1130.93</v>
      </c>
      <c r="BF336" s="158"/>
      <c r="BG336" s="158">
        <v>549.89</v>
      </c>
      <c r="BH336" s="158"/>
      <c r="BI336" s="158">
        <v>566.47</v>
      </c>
      <c r="BJ336" s="158"/>
      <c r="BK336" s="158">
        <v>597.66999999999996</v>
      </c>
      <c r="BL336" s="158"/>
      <c r="BM336" s="158">
        <v>680.67</v>
      </c>
      <c r="BN336" s="158"/>
      <c r="BO336" s="158">
        <v>1284.77</v>
      </c>
      <c r="BP336" s="158"/>
      <c r="BQ336" s="158">
        <v>899.96</v>
      </c>
      <c r="BR336" s="158"/>
      <c r="BS336" s="158">
        <v>621.74</v>
      </c>
      <c r="BT336" s="158"/>
    </row>
    <row r="337" spans="1:72" x14ac:dyDescent="0.2">
      <c r="A337" s="123" t="s">
        <v>360</v>
      </c>
      <c r="B337" s="124" t="s">
        <v>790</v>
      </c>
      <c r="C337" s="158">
        <v>441.64</v>
      </c>
      <c r="D337" s="158"/>
      <c r="E337" s="158">
        <v>0</v>
      </c>
      <c r="F337" s="158"/>
      <c r="G337" s="158">
        <v>482.34</v>
      </c>
      <c r="H337" s="158"/>
      <c r="I337" s="158">
        <v>0</v>
      </c>
      <c r="J337" s="158"/>
      <c r="K337" s="158">
        <v>424.5</v>
      </c>
      <c r="L337" s="158"/>
      <c r="M337" s="158">
        <v>0</v>
      </c>
      <c r="N337" s="158"/>
      <c r="O337" s="158">
        <v>587.25</v>
      </c>
      <c r="P337" s="158"/>
      <c r="Q337" s="158">
        <v>243.68</v>
      </c>
      <c r="R337" s="158"/>
      <c r="S337" s="158">
        <v>862.49</v>
      </c>
      <c r="T337" s="158"/>
      <c r="U337" s="158">
        <v>55.65</v>
      </c>
      <c r="V337" s="158"/>
      <c r="W337" s="158">
        <v>471.18</v>
      </c>
      <c r="X337" s="158"/>
      <c r="Y337" s="158">
        <v>658.02</v>
      </c>
      <c r="Z337" s="158"/>
      <c r="AA337" s="158">
        <v>0</v>
      </c>
      <c r="AB337" s="158"/>
      <c r="AC337" s="158">
        <v>179.47</v>
      </c>
      <c r="AD337" s="158"/>
      <c r="AE337" s="158">
        <v>0</v>
      </c>
      <c r="AF337" s="158"/>
      <c r="AG337" s="158">
        <v>362.39</v>
      </c>
      <c r="AH337" s="158"/>
      <c r="AI337" s="158">
        <v>549.35</v>
      </c>
      <c r="AJ337" s="158"/>
      <c r="AK337" s="158">
        <v>146.72999999999999</v>
      </c>
      <c r="AL337" s="158"/>
      <c r="AM337" s="158">
        <v>0</v>
      </c>
      <c r="AN337" s="158"/>
      <c r="AO337" s="158">
        <v>643.54999999999995</v>
      </c>
      <c r="AP337" s="158"/>
      <c r="AQ337" s="158">
        <v>0</v>
      </c>
      <c r="AR337" s="158"/>
      <c r="AS337" s="158">
        <v>511.59</v>
      </c>
      <c r="AT337" s="158"/>
      <c r="AU337" s="158">
        <v>52.46</v>
      </c>
      <c r="AV337" s="158"/>
      <c r="AW337" s="158">
        <v>350.4</v>
      </c>
      <c r="AX337" s="158"/>
      <c r="AY337" s="158">
        <v>0</v>
      </c>
      <c r="AZ337" s="158"/>
      <c r="BA337" s="158">
        <v>0</v>
      </c>
      <c r="BB337" s="158"/>
      <c r="BC337" s="158">
        <v>0</v>
      </c>
      <c r="BD337" s="158"/>
      <c r="BE337" s="158">
        <v>0</v>
      </c>
      <c r="BF337" s="158"/>
      <c r="BG337" s="158">
        <v>0</v>
      </c>
      <c r="BH337" s="158"/>
      <c r="BI337" s="158">
        <v>0</v>
      </c>
      <c r="BJ337" s="158"/>
      <c r="BK337" s="158">
        <v>442.39</v>
      </c>
      <c r="BL337" s="158"/>
      <c r="BM337" s="158">
        <v>0</v>
      </c>
      <c r="BN337" s="158"/>
      <c r="BO337" s="158">
        <v>74.91</v>
      </c>
      <c r="BP337" s="158"/>
      <c r="BQ337" s="158">
        <v>392.25</v>
      </c>
      <c r="BR337" s="158"/>
      <c r="BS337" s="158">
        <v>262.27999999999997</v>
      </c>
      <c r="BT337" s="158"/>
    </row>
    <row r="338" spans="1:72" x14ac:dyDescent="0.2">
      <c r="A338" s="123" t="s">
        <v>361</v>
      </c>
      <c r="B338" s="124" t="s">
        <v>789</v>
      </c>
      <c r="C338" s="158">
        <v>497.52</v>
      </c>
      <c r="D338" s="158"/>
      <c r="E338" s="158">
        <v>591.21</v>
      </c>
      <c r="F338" s="158"/>
      <c r="G338" s="158">
        <v>563.46</v>
      </c>
      <c r="H338" s="158"/>
      <c r="I338" s="158">
        <v>734.16</v>
      </c>
      <c r="J338" s="158"/>
      <c r="K338" s="158">
        <v>803.64</v>
      </c>
      <c r="L338" s="158"/>
      <c r="M338" s="158">
        <v>1240.4000000000001</v>
      </c>
      <c r="N338" s="158"/>
      <c r="O338" s="158">
        <v>416.36</v>
      </c>
      <c r="P338" s="158"/>
      <c r="Q338" s="158">
        <v>483.24</v>
      </c>
      <c r="R338" s="158"/>
      <c r="S338" s="158">
        <v>58.49</v>
      </c>
      <c r="T338" s="158"/>
      <c r="U338" s="158">
        <v>385.51</v>
      </c>
      <c r="V338" s="158"/>
      <c r="W338" s="158">
        <v>572.12</v>
      </c>
      <c r="X338" s="158"/>
      <c r="Y338" s="158">
        <v>44</v>
      </c>
      <c r="Z338" s="158"/>
      <c r="AA338" s="158">
        <v>299.02</v>
      </c>
      <c r="AB338" s="158"/>
      <c r="AC338" s="158">
        <v>47.8</v>
      </c>
      <c r="AD338" s="158"/>
      <c r="AE338" s="158">
        <v>994.84</v>
      </c>
      <c r="AF338" s="158"/>
      <c r="AG338" s="158">
        <v>290.60000000000002</v>
      </c>
      <c r="AH338" s="158"/>
      <c r="AI338" s="158">
        <v>155.99</v>
      </c>
      <c r="AJ338" s="158"/>
      <c r="AK338" s="158">
        <v>846.68</v>
      </c>
      <c r="AL338" s="158"/>
      <c r="AM338" s="158">
        <v>2077.29</v>
      </c>
      <c r="AN338" s="158"/>
      <c r="AO338" s="158">
        <v>159.49</v>
      </c>
      <c r="AP338" s="158"/>
      <c r="AQ338" s="158">
        <v>483.84</v>
      </c>
      <c r="AR338" s="158"/>
      <c r="AS338" s="158">
        <v>827.64</v>
      </c>
      <c r="AT338" s="158"/>
      <c r="AU338" s="158">
        <v>85.07</v>
      </c>
      <c r="AV338" s="158"/>
      <c r="AW338" s="158">
        <v>98.69</v>
      </c>
      <c r="AX338" s="158"/>
      <c r="AY338" s="158">
        <v>241.28</v>
      </c>
      <c r="AZ338" s="158"/>
      <c r="BA338" s="158">
        <v>792.47</v>
      </c>
      <c r="BB338" s="158"/>
      <c r="BC338" s="158">
        <v>1020.15</v>
      </c>
      <c r="BD338" s="158"/>
      <c r="BE338" s="158">
        <v>1554.51</v>
      </c>
      <c r="BF338" s="158"/>
      <c r="BG338" s="158">
        <v>80.83</v>
      </c>
      <c r="BH338" s="158"/>
      <c r="BI338" s="158">
        <v>255.08</v>
      </c>
      <c r="BJ338" s="158"/>
      <c r="BK338" s="158">
        <v>1919.29</v>
      </c>
      <c r="BL338" s="158"/>
      <c r="BM338" s="158">
        <v>1550.83</v>
      </c>
      <c r="BN338" s="158"/>
      <c r="BO338" s="158">
        <v>633.91</v>
      </c>
      <c r="BP338" s="158"/>
      <c r="BQ338" s="158">
        <v>908.58</v>
      </c>
      <c r="BR338" s="158"/>
      <c r="BS338" s="158">
        <v>1410.09</v>
      </c>
      <c r="BT338" s="158"/>
    </row>
    <row r="339" spans="1:72" x14ac:dyDescent="0.2">
      <c r="A339" s="123" t="s">
        <v>500</v>
      </c>
      <c r="B339" s="124" t="s">
        <v>788</v>
      </c>
      <c r="C339" s="158">
        <v>335</v>
      </c>
      <c r="D339" s="158"/>
      <c r="E339" s="158">
        <v>0</v>
      </c>
      <c r="F339" s="158"/>
      <c r="G339" s="158">
        <v>335</v>
      </c>
      <c r="H339" s="158"/>
      <c r="I339" s="158">
        <v>0</v>
      </c>
      <c r="J339" s="158"/>
      <c r="K339" s="158">
        <v>-164</v>
      </c>
      <c r="L339" s="158"/>
      <c r="M339" s="158">
        <v>0</v>
      </c>
      <c r="N339" s="158"/>
      <c r="O339" s="158">
        <v>0</v>
      </c>
      <c r="P339" s="158"/>
      <c r="Q339" s="158">
        <v>0</v>
      </c>
      <c r="R339" s="158"/>
      <c r="S339" s="158">
        <v>0</v>
      </c>
      <c r="T339" s="158"/>
      <c r="U339" s="158">
        <v>0</v>
      </c>
      <c r="V339" s="158"/>
      <c r="W339" s="158">
        <v>0</v>
      </c>
      <c r="X339" s="158"/>
      <c r="Y339" s="158">
        <v>0</v>
      </c>
      <c r="Z339" s="158"/>
      <c r="AA339" s="158">
        <v>0</v>
      </c>
      <c r="AB339" s="158"/>
      <c r="AC339" s="158">
        <v>-72.900000000000006</v>
      </c>
      <c r="AD339" s="158"/>
      <c r="AE339" s="158">
        <v>0</v>
      </c>
      <c r="AF339" s="158"/>
      <c r="AG339" s="158">
        <v>0</v>
      </c>
      <c r="AH339" s="158"/>
      <c r="AI339" s="158">
        <v>-123.05</v>
      </c>
      <c r="AJ339" s="158"/>
      <c r="AK339" s="158">
        <v>-166.33</v>
      </c>
      <c r="AL339" s="158"/>
      <c r="AM339" s="158">
        <v>0</v>
      </c>
      <c r="AN339" s="158"/>
      <c r="AO339" s="158">
        <v>0</v>
      </c>
      <c r="AP339" s="158"/>
      <c r="AQ339" s="158">
        <v>0</v>
      </c>
      <c r="AR339" s="158"/>
      <c r="AS339" s="158">
        <v>0</v>
      </c>
      <c r="AT339" s="158"/>
      <c r="AU339" s="158">
        <v>34</v>
      </c>
      <c r="AV339" s="158"/>
      <c r="AW339" s="158">
        <v>0</v>
      </c>
      <c r="AX339" s="158"/>
      <c r="AY339" s="158">
        <v>0</v>
      </c>
      <c r="AZ339" s="158"/>
      <c r="BA339" s="158">
        <v>0</v>
      </c>
      <c r="BB339" s="158"/>
      <c r="BC339" s="158">
        <v>0</v>
      </c>
      <c r="BD339" s="158"/>
      <c r="BE339" s="158">
        <v>-1471</v>
      </c>
      <c r="BF339" s="158"/>
      <c r="BG339" s="158">
        <v>0</v>
      </c>
      <c r="BH339" s="158"/>
      <c r="BI339" s="158">
        <v>0</v>
      </c>
      <c r="BJ339" s="158"/>
      <c r="BK339" s="158">
        <v>0</v>
      </c>
      <c r="BL339" s="158"/>
      <c r="BM339" s="158">
        <v>0</v>
      </c>
      <c r="BN339" s="158"/>
      <c r="BO339" s="158">
        <v>0</v>
      </c>
      <c r="BP339" s="158"/>
      <c r="BQ339" s="158">
        <v>0</v>
      </c>
      <c r="BR339" s="158"/>
      <c r="BS339" s="158">
        <v>0</v>
      </c>
      <c r="BT339" s="158"/>
    </row>
    <row r="340" spans="1:72" x14ac:dyDescent="0.2">
      <c r="A340" s="123" t="s">
        <v>1221</v>
      </c>
      <c r="B340" s="124" t="s">
        <v>1401</v>
      </c>
      <c r="C340" s="158">
        <v>0</v>
      </c>
      <c r="D340" s="158"/>
      <c r="E340" s="158">
        <v>0</v>
      </c>
      <c r="F340" s="158"/>
      <c r="G340" s="158">
        <v>0</v>
      </c>
      <c r="H340" s="158"/>
      <c r="I340" s="158">
        <v>116.46</v>
      </c>
      <c r="J340" s="158"/>
      <c r="K340" s="158">
        <v>135</v>
      </c>
      <c r="L340" s="158"/>
      <c r="M340" s="158">
        <v>0</v>
      </c>
      <c r="N340" s="158"/>
      <c r="O340" s="158">
        <v>0</v>
      </c>
      <c r="P340" s="158"/>
      <c r="Q340" s="158">
        <v>0</v>
      </c>
      <c r="R340" s="158"/>
      <c r="S340" s="158">
        <v>0</v>
      </c>
      <c r="T340" s="158"/>
      <c r="U340" s="158">
        <v>116.46</v>
      </c>
      <c r="V340" s="158"/>
      <c r="W340" s="158">
        <v>0</v>
      </c>
      <c r="X340" s="158"/>
      <c r="Y340" s="158">
        <v>116.47</v>
      </c>
      <c r="Z340" s="158"/>
      <c r="AA340" s="158">
        <v>116.46</v>
      </c>
      <c r="AB340" s="158"/>
      <c r="AC340" s="158">
        <v>0</v>
      </c>
      <c r="AD340" s="158"/>
      <c r="AE340" s="158">
        <v>0</v>
      </c>
      <c r="AF340" s="158"/>
      <c r="AG340" s="158">
        <v>116.47</v>
      </c>
      <c r="AH340" s="158"/>
      <c r="AI340" s="158">
        <v>0</v>
      </c>
      <c r="AJ340" s="158"/>
      <c r="AK340" s="158">
        <v>0</v>
      </c>
      <c r="AL340" s="158"/>
      <c r="AM340" s="158">
        <v>73.03</v>
      </c>
      <c r="AN340" s="158"/>
      <c r="AO340" s="158">
        <v>134.44</v>
      </c>
      <c r="AP340" s="158"/>
      <c r="AQ340" s="158">
        <v>0</v>
      </c>
      <c r="AR340" s="158"/>
      <c r="AS340" s="158">
        <v>0</v>
      </c>
      <c r="AT340" s="158"/>
      <c r="AU340" s="158">
        <v>116.47</v>
      </c>
      <c r="AV340" s="158"/>
      <c r="AW340" s="158">
        <v>0</v>
      </c>
      <c r="AX340" s="158"/>
      <c r="AY340" s="158">
        <v>116.47</v>
      </c>
      <c r="AZ340" s="158"/>
      <c r="BA340" s="158">
        <v>0</v>
      </c>
      <c r="BB340" s="158"/>
      <c r="BC340" s="158">
        <v>0</v>
      </c>
      <c r="BD340" s="158"/>
      <c r="BE340" s="158">
        <v>0</v>
      </c>
      <c r="BF340" s="158"/>
      <c r="BG340" s="158">
        <v>0</v>
      </c>
      <c r="BH340" s="158"/>
      <c r="BI340" s="158">
        <v>0</v>
      </c>
      <c r="BJ340" s="158"/>
      <c r="BK340" s="158">
        <v>116.47</v>
      </c>
      <c r="BL340" s="158"/>
      <c r="BM340" s="158">
        <v>0</v>
      </c>
      <c r="BN340" s="158"/>
      <c r="BO340" s="158">
        <v>116.47</v>
      </c>
      <c r="BP340" s="158"/>
      <c r="BQ340" s="158">
        <v>116.47</v>
      </c>
      <c r="BR340" s="158"/>
      <c r="BS340" s="158">
        <v>159.44999999999999</v>
      </c>
      <c r="BT340" s="158"/>
    </row>
    <row r="341" spans="1:72" x14ac:dyDescent="0.2">
      <c r="A341" s="123" t="s">
        <v>620</v>
      </c>
      <c r="B341" s="124" t="s">
        <v>787</v>
      </c>
      <c r="C341" s="158">
        <v>29.99</v>
      </c>
      <c r="D341" s="158"/>
      <c r="E341" s="158">
        <v>29.99</v>
      </c>
      <c r="F341" s="158"/>
      <c r="G341" s="158">
        <v>29.99</v>
      </c>
      <c r="H341" s="158"/>
      <c r="I341" s="158">
        <v>74.45</v>
      </c>
      <c r="J341" s="158"/>
      <c r="K341" s="158">
        <v>29.99</v>
      </c>
      <c r="L341" s="158"/>
      <c r="M341" s="158">
        <v>29.99</v>
      </c>
      <c r="N341" s="158"/>
      <c r="O341" s="158">
        <v>29.99</v>
      </c>
      <c r="P341" s="158"/>
      <c r="Q341" s="158">
        <v>29.99</v>
      </c>
      <c r="R341" s="158"/>
      <c r="S341" s="158">
        <v>29.99</v>
      </c>
      <c r="T341" s="158"/>
      <c r="U341" s="158">
        <v>29.99</v>
      </c>
      <c r="V341" s="158"/>
      <c r="W341" s="158">
        <v>29.99</v>
      </c>
      <c r="X341" s="158"/>
      <c r="Y341" s="158">
        <v>29.99</v>
      </c>
      <c r="Z341" s="158"/>
      <c r="AA341" s="158">
        <v>29.99</v>
      </c>
      <c r="AB341" s="158"/>
      <c r="AC341" s="158">
        <v>29.99</v>
      </c>
      <c r="AD341" s="158"/>
      <c r="AE341" s="158">
        <v>29.99</v>
      </c>
      <c r="AF341" s="158"/>
      <c r="AG341" s="158">
        <v>187.13</v>
      </c>
      <c r="AH341" s="158"/>
      <c r="AI341" s="158">
        <v>29.99</v>
      </c>
      <c r="AJ341" s="158"/>
      <c r="AK341" s="158">
        <v>29.99</v>
      </c>
      <c r="AL341" s="158"/>
      <c r="AM341" s="158">
        <v>29.99</v>
      </c>
      <c r="AN341" s="158"/>
      <c r="AO341" s="158">
        <v>29.99</v>
      </c>
      <c r="AP341" s="158"/>
      <c r="AQ341" s="158">
        <v>29.99</v>
      </c>
      <c r="AR341" s="158"/>
      <c r="AS341" s="158">
        <v>29.99</v>
      </c>
      <c r="AT341" s="158"/>
      <c r="AU341" s="158">
        <v>29.99</v>
      </c>
      <c r="AV341" s="158"/>
      <c r="AW341" s="158">
        <v>29.99</v>
      </c>
      <c r="AX341" s="158"/>
      <c r="AY341" s="158">
        <v>29.99</v>
      </c>
      <c r="AZ341" s="158"/>
      <c r="BA341" s="158">
        <v>244.19</v>
      </c>
      <c r="BB341" s="158"/>
      <c r="BC341" s="158">
        <v>167.12</v>
      </c>
      <c r="BD341" s="158"/>
      <c r="BE341" s="158">
        <v>29.99</v>
      </c>
      <c r="BF341" s="158"/>
      <c r="BG341" s="158">
        <v>29.99</v>
      </c>
      <c r="BH341" s="158"/>
      <c r="BI341" s="158">
        <v>29.99</v>
      </c>
      <c r="BJ341" s="158"/>
      <c r="BK341" s="158">
        <v>2129.44</v>
      </c>
      <c r="BL341" s="158"/>
      <c r="BM341" s="158">
        <v>30</v>
      </c>
      <c r="BN341" s="158"/>
      <c r="BO341" s="158">
        <v>261.88</v>
      </c>
      <c r="BP341" s="158"/>
      <c r="BQ341" s="158">
        <v>30</v>
      </c>
      <c r="BR341" s="158"/>
      <c r="BS341" s="158">
        <v>30</v>
      </c>
      <c r="BT341" s="158"/>
    </row>
    <row r="342" spans="1:72" x14ac:dyDescent="0.2">
      <c r="A342" s="123" t="s">
        <v>362</v>
      </c>
      <c r="B342" s="124" t="s">
        <v>778</v>
      </c>
      <c r="C342" s="158">
        <v>1109.78</v>
      </c>
      <c r="D342" s="158"/>
      <c r="E342" s="158">
        <v>0</v>
      </c>
      <c r="F342" s="158"/>
      <c r="G342" s="158">
        <v>1109.75</v>
      </c>
      <c r="H342" s="158"/>
      <c r="I342" s="158">
        <v>1209.08</v>
      </c>
      <c r="J342" s="158"/>
      <c r="K342" s="158">
        <v>0</v>
      </c>
      <c r="L342" s="158"/>
      <c r="M342" s="158">
        <v>1167.55</v>
      </c>
      <c r="N342" s="158"/>
      <c r="O342" s="158">
        <v>3595.72</v>
      </c>
      <c r="P342" s="158"/>
      <c r="Q342" s="158">
        <v>1109.71</v>
      </c>
      <c r="R342" s="158"/>
      <c r="S342" s="158">
        <v>0</v>
      </c>
      <c r="T342" s="158"/>
      <c r="U342" s="158">
        <v>1109.7</v>
      </c>
      <c r="V342" s="158"/>
      <c r="W342" s="158">
        <v>0</v>
      </c>
      <c r="X342" s="158"/>
      <c r="Y342" s="158">
        <v>1109.71</v>
      </c>
      <c r="Z342" s="158"/>
      <c r="AA342" s="158">
        <v>1209.05</v>
      </c>
      <c r="AB342" s="158"/>
      <c r="AC342" s="158">
        <v>0</v>
      </c>
      <c r="AD342" s="158"/>
      <c r="AE342" s="158">
        <v>5770</v>
      </c>
      <c r="AF342" s="158"/>
      <c r="AG342" s="158">
        <v>1209.06</v>
      </c>
      <c r="AH342" s="158"/>
      <c r="AI342" s="158">
        <v>0</v>
      </c>
      <c r="AJ342" s="158"/>
      <c r="AK342" s="158">
        <v>0</v>
      </c>
      <c r="AL342" s="158"/>
      <c r="AM342" s="158">
        <v>2495.77</v>
      </c>
      <c r="AN342" s="158"/>
      <c r="AO342" s="158">
        <v>1109.69</v>
      </c>
      <c r="AP342" s="158"/>
      <c r="AQ342" s="158">
        <v>1109.68</v>
      </c>
      <c r="AR342" s="158"/>
      <c r="AS342" s="158">
        <v>1109.69</v>
      </c>
      <c r="AT342" s="158"/>
      <c r="AU342" s="158">
        <v>0</v>
      </c>
      <c r="AV342" s="158"/>
      <c r="AW342" s="158">
        <v>0</v>
      </c>
      <c r="AX342" s="158"/>
      <c r="AY342" s="158">
        <v>1209.05</v>
      </c>
      <c r="AZ342" s="158"/>
      <c r="BA342" s="158">
        <v>135</v>
      </c>
      <c r="BB342" s="158"/>
      <c r="BC342" s="158">
        <v>88.39</v>
      </c>
      <c r="BD342" s="158"/>
      <c r="BE342" s="158">
        <v>0</v>
      </c>
      <c r="BF342" s="158"/>
      <c r="BG342" s="158">
        <v>1109.6600000000001</v>
      </c>
      <c r="BH342" s="158"/>
      <c r="BI342" s="158">
        <v>0</v>
      </c>
      <c r="BJ342" s="158"/>
      <c r="BK342" s="158">
        <v>1209.01</v>
      </c>
      <c r="BL342" s="158"/>
      <c r="BM342" s="158">
        <v>0</v>
      </c>
      <c r="BN342" s="158"/>
      <c r="BO342" s="158">
        <v>1209.01</v>
      </c>
      <c r="BP342" s="158"/>
      <c r="BQ342" s="158">
        <v>1481.46</v>
      </c>
      <c r="BR342" s="158"/>
      <c r="BS342" s="158">
        <v>1209.02</v>
      </c>
      <c r="BT342" s="158"/>
    </row>
    <row r="343" spans="1:72" x14ac:dyDescent="0.2">
      <c r="A343" s="123" t="s">
        <v>545</v>
      </c>
      <c r="B343" s="124" t="s">
        <v>786</v>
      </c>
      <c r="C343" s="158">
        <v>0</v>
      </c>
      <c r="D343" s="158"/>
      <c r="E343" s="158">
        <v>0</v>
      </c>
      <c r="F343" s="158"/>
      <c r="G343" s="158">
        <v>0</v>
      </c>
      <c r="H343" s="158"/>
      <c r="I343" s="158">
        <v>0</v>
      </c>
      <c r="J343" s="158"/>
      <c r="K343" s="158">
        <v>0</v>
      </c>
      <c r="L343" s="158"/>
      <c r="M343" s="158">
        <v>0</v>
      </c>
      <c r="N343" s="158"/>
      <c r="O343" s="158">
        <v>0</v>
      </c>
      <c r="P343" s="158"/>
      <c r="Q343" s="158">
        <v>0</v>
      </c>
      <c r="R343" s="158"/>
      <c r="S343" s="158">
        <v>0</v>
      </c>
      <c r="T343" s="158"/>
      <c r="U343" s="158">
        <v>0</v>
      </c>
      <c r="V343" s="158"/>
      <c r="W343" s="158">
        <v>0</v>
      </c>
      <c r="X343" s="158"/>
      <c r="Y343" s="158">
        <v>0</v>
      </c>
      <c r="Z343" s="158"/>
      <c r="AA343" s="158">
        <v>0</v>
      </c>
      <c r="AB343" s="158"/>
      <c r="AC343" s="158">
        <v>0</v>
      </c>
      <c r="AD343" s="158"/>
      <c r="AE343" s="158">
        <v>190.66</v>
      </c>
      <c r="AF343" s="158"/>
      <c r="AG343" s="158">
        <v>0</v>
      </c>
      <c r="AH343" s="158"/>
      <c r="AI343" s="158">
        <v>0</v>
      </c>
      <c r="AJ343" s="158"/>
      <c r="AK343" s="158">
        <v>0</v>
      </c>
      <c r="AL343" s="158"/>
      <c r="AM343" s="158">
        <v>0</v>
      </c>
      <c r="AN343" s="158"/>
      <c r="AO343" s="158">
        <v>0</v>
      </c>
      <c r="AP343" s="158"/>
      <c r="AQ343" s="158">
        <v>0</v>
      </c>
      <c r="AR343" s="158"/>
      <c r="AS343" s="158">
        <v>0</v>
      </c>
      <c r="AT343" s="158"/>
      <c r="AU343" s="158">
        <v>0</v>
      </c>
      <c r="AV343" s="158"/>
      <c r="AW343" s="158">
        <v>0</v>
      </c>
      <c r="AX343" s="158"/>
      <c r="AY343" s="158">
        <v>0</v>
      </c>
      <c r="AZ343" s="158"/>
      <c r="BA343" s="158">
        <v>0</v>
      </c>
      <c r="BB343" s="158"/>
      <c r="BC343" s="158">
        <v>0</v>
      </c>
      <c r="BD343" s="158"/>
      <c r="BE343" s="158">
        <v>0</v>
      </c>
      <c r="BF343" s="158"/>
      <c r="BG343" s="158">
        <v>0</v>
      </c>
      <c r="BH343" s="158"/>
      <c r="BI343" s="158">
        <v>0</v>
      </c>
      <c r="BJ343" s="158"/>
      <c r="BK343" s="158">
        <v>0</v>
      </c>
      <c r="BL343" s="158"/>
      <c r="BM343" s="158">
        <v>0</v>
      </c>
      <c r="BN343" s="158"/>
      <c r="BO343" s="158">
        <v>0</v>
      </c>
      <c r="BP343" s="158"/>
      <c r="BQ343" s="158">
        <v>0</v>
      </c>
      <c r="BR343" s="158"/>
      <c r="BS343" s="158">
        <v>0</v>
      </c>
      <c r="BT343" s="158"/>
    </row>
    <row r="344" spans="1:72" x14ac:dyDescent="0.2">
      <c r="A344" s="123" t="s">
        <v>363</v>
      </c>
      <c r="B344" s="124" t="s">
        <v>785</v>
      </c>
      <c r="C344" s="158">
        <v>0</v>
      </c>
      <c r="D344" s="158"/>
      <c r="E344" s="158">
        <v>0</v>
      </c>
      <c r="F344" s="158"/>
      <c r="G344" s="158">
        <v>0</v>
      </c>
      <c r="H344" s="158"/>
      <c r="I344" s="158">
        <v>0</v>
      </c>
      <c r="J344" s="158"/>
      <c r="K344" s="158">
        <v>0</v>
      </c>
      <c r="L344" s="158"/>
      <c r="M344" s="158">
        <v>0</v>
      </c>
      <c r="N344" s="158"/>
      <c r="O344" s="158">
        <v>0</v>
      </c>
      <c r="P344" s="158"/>
      <c r="Q344" s="158">
        <v>1217.3399999999999</v>
      </c>
      <c r="R344" s="158"/>
      <c r="S344" s="158">
        <v>0</v>
      </c>
      <c r="T344" s="158"/>
      <c r="U344" s="158">
        <v>0</v>
      </c>
      <c r="V344" s="158"/>
      <c r="W344" s="158">
        <v>0</v>
      </c>
      <c r="X344" s="158"/>
      <c r="Y344" s="158">
        <v>0</v>
      </c>
      <c r="Z344" s="158"/>
      <c r="AA344" s="158">
        <v>0</v>
      </c>
      <c r="AB344" s="158"/>
      <c r="AC344" s="158">
        <v>0</v>
      </c>
      <c r="AD344" s="158"/>
      <c r="AE344" s="158">
        <v>0</v>
      </c>
      <c r="AF344" s="158"/>
      <c r="AG344" s="158">
        <v>0</v>
      </c>
      <c r="AH344" s="158"/>
      <c r="AI344" s="158">
        <v>0</v>
      </c>
      <c r="AJ344" s="158"/>
      <c r="AK344" s="158">
        <v>0</v>
      </c>
      <c r="AL344" s="158"/>
      <c r="AM344" s="158">
        <v>0</v>
      </c>
      <c r="AN344" s="158"/>
      <c r="AO344" s="158">
        <v>0</v>
      </c>
      <c r="AP344" s="158"/>
      <c r="AQ344" s="158">
        <v>0</v>
      </c>
      <c r="AR344" s="158"/>
      <c r="AS344" s="158">
        <v>0</v>
      </c>
      <c r="AT344" s="158"/>
      <c r="AU344" s="158">
        <v>0</v>
      </c>
      <c r="AV344" s="158"/>
      <c r="AW344" s="158">
        <v>0</v>
      </c>
      <c r="AX344" s="158"/>
      <c r="AY344" s="158">
        <v>0</v>
      </c>
      <c r="AZ344" s="158"/>
      <c r="BA344" s="158">
        <v>0</v>
      </c>
      <c r="BB344" s="158"/>
      <c r="BC344" s="158">
        <v>116.32</v>
      </c>
      <c r="BD344" s="158"/>
      <c r="BE344" s="158">
        <v>0</v>
      </c>
      <c r="BF344" s="158"/>
      <c r="BG344" s="158">
        <v>0</v>
      </c>
      <c r="BH344" s="158"/>
      <c r="BI344" s="158">
        <v>0</v>
      </c>
      <c r="BJ344" s="158"/>
      <c r="BK344" s="158">
        <v>0</v>
      </c>
      <c r="BL344" s="158"/>
      <c r="BM344" s="158">
        <v>0</v>
      </c>
      <c r="BN344" s="158"/>
      <c r="BO344" s="158">
        <v>0</v>
      </c>
      <c r="BP344" s="158"/>
      <c r="BQ344" s="158">
        <v>0</v>
      </c>
      <c r="BR344" s="158"/>
      <c r="BS344" s="158">
        <v>0</v>
      </c>
      <c r="BT344" s="158"/>
    </row>
    <row r="345" spans="1:72" x14ac:dyDescent="0.2">
      <c r="A345" s="123" t="s">
        <v>364</v>
      </c>
      <c r="B345" s="124" t="s">
        <v>784</v>
      </c>
      <c r="C345" s="158">
        <v>0</v>
      </c>
      <c r="D345" s="158"/>
      <c r="E345" s="158">
        <v>0</v>
      </c>
      <c r="F345" s="158"/>
      <c r="G345" s="158">
        <v>0</v>
      </c>
      <c r="H345" s="158"/>
      <c r="I345" s="158">
        <v>0</v>
      </c>
      <c r="J345" s="158"/>
      <c r="K345" s="158">
        <v>0</v>
      </c>
      <c r="L345" s="158"/>
      <c r="M345" s="158">
        <v>0</v>
      </c>
      <c r="N345" s="158"/>
      <c r="O345" s="158">
        <v>0</v>
      </c>
      <c r="P345" s="158"/>
      <c r="Q345" s="158">
        <v>0</v>
      </c>
      <c r="R345" s="158"/>
      <c r="S345" s="158">
        <v>0</v>
      </c>
      <c r="T345" s="158"/>
      <c r="U345" s="158">
        <v>0</v>
      </c>
      <c r="V345" s="158"/>
      <c r="W345" s="158">
        <v>0</v>
      </c>
      <c r="X345" s="158"/>
      <c r="Y345" s="158">
        <v>0</v>
      </c>
      <c r="Z345" s="158"/>
      <c r="AA345" s="158">
        <v>0</v>
      </c>
      <c r="AB345" s="158"/>
      <c r="AC345" s="158">
        <v>0</v>
      </c>
      <c r="AD345" s="158"/>
      <c r="AE345" s="158">
        <v>0</v>
      </c>
      <c r="AF345" s="158"/>
      <c r="AG345" s="158">
        <v>0</v>
      </c>
      <c r="AH345" s="158"/>
      <c r="AI345" s="158">
        <v>0</v>
      </c>
      <c r="AJ345" s="158"/>
      <c r="AK345" s="158">
        <v>0</v>
      </c>
      <c r="AL345" s="158"/>
      <c r="AM345" s="158">
        <v>0</v>
      </c>
      <c r="AN345" s="158"/>
      <c r="AO345" s="158">
        <v>0</v>
      </c>
      <c r="AP345" s="158"/>
      <c r="AQ345" s="158">
        <v>0</v>
      </c>
      <c r="AR345" s="158"/>
      <c r="AS345" s="158">
        <v>0</v>
      </c>
      <c r="AT345" s="158"/>
      <c r="AU345" s="158">
        <v>0</v>
      </c>
      <c r="AV345" s="158"/>
      <c r="AW345" s="158">
        <v>0</v>
      </c>
      <c r="AX345" s="158"/>
      <c r="AY345" s="158">
        <v>0</v>
      </c>
      <c r="AZ345" s="158"/>
      <c r="BA345" s="158">
        <v>0</v>
      </c>
      <c r="BB345" s="158"/>
      <c r="BC345" s="158">
        <v>250</v>
      </c>
      <c r="BD345" s="158"/>
      <c r="BE345" s="158">
        <v>0</v>
      </c>
      <c r="BF345" s="158"/>
      <c r="BG345" s="158">
        <v>0</v>
      </c>
      <c r="BH345" s="158"/>
      <c r="BI345" s="158">
        <v>0</v>
      </c>
      <c r="BJ345" s="158"/>
      <c r="BK345" s="158">
        <v>0</v>
      </c>
      <c r="BL345" s="158"/>
      <c r="BM345" s="158">
        <v>0</v>
      </c>
      <c r="BN345" s="158"/>
      <c r="BO345" s="158">
        <v>0</v>
      </c>
      <c r="BP345" s="158"/>
      <c r="BQ345" s="158">
        <v>0</v>
      </c>
      <c r="BR345" s="158"/>
      <c r="BS345" s="158">
        <v>0</v>
      </c>
      <c r="BT345" s="158"/>
    </row>
    <row r="346" spans="1:72" x14ac:dyDescent="0.2">
      <c r="A346" s="123" t="s">
        <v>1215</v>
      </c>
      <c r="B346" s="124" t="s">
        <v>1402</v>
      </c>
      <c r="C346" s="158">
        <v>0</v>
      </c>
      <c r="D346" s="158"/>
      <c r="E346" s="158">
        <v>0</v>
      </c>
      <c r="F346" s="158"/>
      <c r="G346" s="158">
        <v>0</v>
      </c>
      <c r="H346" s="158"/>
      <c r="I346" s="158">
        <v>0</v>
      </c>
      <c r="J346" s="158"/>
      <c r="K346" s="158">
        <v>0</v>
      </c>
      <c r="L346" s="158"/>
      <c r="M346" s="158">
        <v>0</v>
      </c>
      <c r="N346" s="158"/>
      <c r="O346" s="158">
        <v>0</v>
      </c>
      <c r="P346" s="158"/>
      <c r="Q346" s="158">
        <v>0</v>
      </c>
      <c r="R346" s="158"/>
      <c r="S346" s="158">
        <v>0</v>
      </c>
      <c r="T346" s="158"/>
      <c r="U346" s="158">
        <v>0</v>
      </c>
      <c r="V346" s="158"/>
      <c r="W346" s="158">
        <v>0</v>
      </c>
      <c r="X346" s="158"/>
      <c r="Y346" s="158">
        <v>0</v>
      </c>
      <c r="Z346" s="158"/>
      <c r="AA346" s="158">
        <v>0</v>
      </c>
      <c r="AB346" s="158"/>
      <c r="AC346" s="158">
        <v>0</v>
      </c>
      <c r="AD346" s="158"/>
      <c r="AE346" s="158">
        <v>0</v>
      </c>
      <c r="AF346" s="158"/>
      <c r="AG346" s="158">
        <v>0</v>
      </c>
      <c r="AH346" s="158"/>
      <c r="AI346" s="158">
        <v>0</v>
      </c>
      <c r="AJ346" s="158"/>
      <c r="AK346" s="158">
        <v>0</v>
      </c>
      <c r="AL346" s="158"/>
      <c r="AM346" s="158">
        <v>0</v>
      </c>
      <c r="AN346" s="158"/>
      <c r="AO346" s="158">
        <v>0</v>
      </c>
      <c r="AP346" s="158"/>
      <c r="AQ346" s="158">
        <v>0</v>
      </c>
      <c r="AR346" s="158"/>
      <c r="AS346" s="158">
        <v>0</v>
      </c>
      <c r="AT346" s="158"/>
      <c r="AU346" s="158">
        <v>0</v>
      </c>
      <c r="AV346" s="158"/>
      <c r="AW346" s="158">
        <v>0</v>
      </c>
      <c r="AX346" s="158"/>
      <c r="AY346" s="158">
        <v>0</v>
      </c>
      <c r="AZ346" s="158"/>
      <c r="BA346" s="158">
        <v>0</v>
      </c>
      <c r="BB346" s="158"/>
      <c r="BC346" s="158">
        <v>0</v>
      </c>
      <c r="BD346" s="158"/>
      <c r="BE346" s="158">
        <v>0</v>
      </c>
      <c r="BF346" s="158"/>
      <c r="BG346" s="158">
        <v>0</v>
      </c>
      <c r="BH346" s="158"/>
      <c r="BI346" s="158">
        <v>0</v>
      </c>
      <c r="BJ346" s="158"/>
      <c r="BK346" s="158">
        <v>0</v>
      </c>
      <c r="BL346" s="158"/>
      <c r="BM346" s="158">
        <v>0</v>
      </c>
      <c r="BN346" s="158"/>
      <c r="BO346" s="158">
        <v>0</v>
      </c>
      <c r="BP346" s="158"/>
      <c r="BQ346" s="158">
        <v>-31.62</v>
      </c>
      <c r="BR346" s="158"/>
      <c r="BS346" s="158">
        <v>0</v>
      </c>
      <c r="BT346" s="158"/>
    </row>
    <row r="347" spans="1:72" x14ac:dyDescent="0.2">
      <c r="A347" s="123" t="s">
        <v>546</v>
      </c>
      <c r="B347" s="124" t="s">
        <v>783</v>
      </c>
      <c r="C347" s="158">
        <v>0</v>
      </c>
      <c r="D347" s="158"/>
      <c r="E347" s="158">
        <v>0</v>
      </c>
      <c r="F347" s="158"/>
      <c r="G347" s="158">
        <v>0</v>
      </c>
      <c r="H347" s="158"/>
      <c r="I347" s="158">
        <v>0</v>
      </c>
      <c r="J347" s="158"/>
      <c r="K347" s="158">
        <v>0</v>
      </c>
      <c r="L347" s="158"/>
      <c r="M347" s="158">
        <v>0</v>
      </c>
      <c r="N347" s="158"/>
      <c r="O347" s="158">
        <v>702.24</v>
      </c>
      <c r="P347" s="158"/>
      <c r="Q347" s="158">
        <v>250</v>
      </c>
      <c r="R347" s="158"/>
      <c r="S347" s="158">
        <v>0</v>
      </c>
      <c r="T347" s="158"/>
      <c r="U347" s="158">
        <v>0</v>
      </c>
      <c r="V347" s="158"/>
      <c r="W347" s="158">
        <v>0</v>
      </c>
      <c r="X347" s="158"/>
      <c r="Y347" s="158">
        <v>0</v>
      </c>
      <c r="Z347" s="158"/>
      <c r="AA347" s="158">
        <v>0</v>
      </c>
      <c r="AB347" s="158"/>
      <c r="AC347" s="158">
        <v>0</v>
      </c>
      <c r="AD347" s="158"/>
      <c r="AE347" s="158">
        <v>250</v>
      </c>
      <c r="AF347" s="158"/>
      <c r="AG347" s="158">
        <v>100</v>
      </c>
      <c r="AH347" s="158"/>
      <c r="AI347" s="158">
        <v>0</v>
      </c>
      <c r="AJ347" s="158"/>
      <c r="AK347" s="158">
        <v>0</v>
      </c>
      <c r="AL347" s="158"/>
      <c r="AM347" s="158">
        <v>0</v>
      </c>
      <c r="AN347" s="158"/>
      <c r="AO347" s="158">
        <v>0</v>
      </c>
      <c r="AP347" s="158"/>
      <c r="AQ347" s="158">
        <v>0</v>
      </c>
      <c r="AR347" s="158"/>
      <c r="AS347" s="158">
        <v>550</v>
      </c>
      <c r="AT347" s="158"/>
      <c r="AU347" s="158">
        <v>0</v>
      </c>
      <c r="AV347" s="158"/>
      <c r="AW347" s="158">
        <v>0</v>
      </c>
      <c r="AX347" s="158"/>
      <c r="AY347" s="158">
        <v>0</v>
      </c>
      <c r="AZ347" s="158"/>
      <c r="BA347" s="158">
        <v>738.32</v>
      </c>
      <c r="BB347" s="158"/>
      <c r="BC347" s="158">
        <v>0</v>
      </c>
      <c r="BD347" s="158"/>
      <c r="BE347" s="158">
        <v>0</v>
      </c>
      <c r="BF347" s="158"/>
      <c r="BG347" s="158">
        <v>0</v>
      </c>
      <c r="BH347" s="158"/>
      <c r="BI347" s="158">
        <v>0</v>
      </c>
      <c r="BJ347" s="158"/>
      <c r="BK347" s="158">
        <v>0</v>
      </c>
      <c r="BL347" s="158"/>
      <c r="BM347" s="158">
        <v>0</v>
      </c>
      <c r="BN347" s="158"/>
      <c r="BO347" s="158">
        <v>200</v>
      </c>
      <c r="BP347" s="158"/>
      <c r="BQ347" s="158">
        <v>0</v>
      </c>
      <c r="BR347" s="158"/>
      <c r="BS347" s="158">
        <v>200</v>
      </c>
      <c r="BT347" s="158"/>
    </row>
    <row r="348" spans="1:72" x14ac:dyDescent="0.2">
      <c r="A348" s="123" t="s">
        <v>547</v>
      </c>
      <c r="B348" s="124" t="s">
        <v>782</v>
      </c>
      <c r="C348" s="158">
        <v>0</v>
      </c>
      <c r="D348" s="158"/>
      <c r="E348" s="158">
        <v>0</v>
      </c>
      <c r="F348" s="158"/>
      <c r="G348" s="158">
        <v>0</v>
      </c>
      <c r="H348" s="158"/>
      <c r="I348" s="158">
        <v>0</v>
      </c>
      <c r="J348" s="158"/>
      <c r="K348" s="158">
        <v>0</v>
      </c>
      <c r="L348" s="158"/>
      <c r="M348" s="158">
        <v>0</v>
      </c>
      <c r="N348" s="158"/>
      <c r="O348" s="158">
        <v>0</v>
      </c>
      <c r="P348" s="158"/>
      <c r="Q348" s="158">
        <v>0</v>
      </c>
      <c r="R348" s="158"/>
      <c r="S348" s="158">
        <v>0</v>
      </c>
      <c r="T348" s="158"/>
      <c r="U348" s="158">
        <v>0</v>
      </c>
      <c r="V348" s="158"/>
      <c r="W348" s="158">
        <v>0</v>
      </c>
      <c r="X348" s="158"/>
      <c r="Y348" s="158">
        <v>0</v>
      </c>
      <c r="Z348" s="158"/>
      <c r="AA348" s="158">
        <v>0</v>
      </c>
      <c r="AB348" s="158"/>
      <c r="AC348" s="158">
        <v>38.200000000000003</v>
      </c>
      <c r="AD348" s="158"/>
      <c r="AE348" s="158">
        <v>8.99</v>
      </c>
      <c r="AF348" s="158"/>
      <c r="AG348" s="158">
        <v>0</v>
      </c>
      <c r="AH348" s="158"/>
      <c r="AI348" s="158">
        <v>0</v>
      </c>
      <c r="AJ348" s="158"/>
      <c r="AK348" s="158">
        <v>0</v>
      </c>
      <c r="AL348" s="158"/>
      <c r="AM348" s="158">
        <v>67.290000000000006</v>
      </c>
      <c r="AN348" s="158"/>
      <c r="AO348" s="158">
        <v>0</v>
      </c>
      <c r="AP348" s="158"/>
      <c r="AQ348" s="158">
        <v>0</v>
      </c>
      <c r="AR348" s="158"/>
      <c r="AS348" s="158">
        <v>0</v>
      </c>
      <c r="AT348" s="158"/>
      <c r="AU348" s="158">
        <v>0</v>
      </c>
      <c r="AV348" s="158"/>
      <c r="AW348" s="158">
        <v>0</v>
      </c>
      <c r="AX348" s="158"/>
      <c r="AY348" s="158">
        <v>0</v>
      </c>
      <c r="AZ348" s="158"/>
      <c r="BA348" s="158">
        <v>0</v>
      </c>
      <c r="BB348" s="158"/>
      <c r="BC348" s="158">
        <v>0</v>
      </c>
      <c r="BD348" s="158"/>
      <c r="BE348" s="158">
        <v>0</v>
      </c>
      <c r="BF348" s="158"/>
      <c r="BG348" s="158">
        <v>0</v>
      </c>
      <c r="BH348" s="158"/>
      <c r="BI348" s="158">
        <v>0</v>
      </c>
      <c r="BJ348" s="158"/>
      <c r="BK348" s="158">
        <v>0</v>
      </c>
      <c r="BL348" s="158"/>
      <c r="BM348" s="158">
        <v>0</v>
      </c>
      <c r="BN348" s="158"/>
      <c r="BO348" s="158">
        <v>0</v>
      </c>
      <c r="BP348" s="158"/>
      <c r="BQ348" s="158">
        <v>80.98</v>
      </c>
      <c r="BR348" s="158"/>
      <c r="BS348" s="158">
        <v>0</v>
      </c>
      <c r="BT348" s="158"/>
    </row>
    <row r="349" spans="1:72" x14ac:dyDescent="0.2">
      <c r="A349" s="123" t="s">
        <v>365</v>
      </c>
      <c r="B349" s="124" t="s">
        <v>780</v>
      </c>
      <c r="C349" s="158">
        <v>59.75</v>
      </c>
      <c r="D349" s="158"/>
      <c r="E349" s="158">
        <v>0</v>
      </c>
      <c r="F349" s="158"/>
      <c r="G349" s="158">
        <v>59.75</v>
      </c>
      <c r="H349" s="158"/>
      <c r="I349" s="158">
        <v>0</v>
      </c>
      <c r="J349" s="158"/>
      <c r="K349" s="158">
        <v>0</v>
      </c>
      <c r="L349" s="158"/>
      <c r="M349" s="158">
        <v>0</v>
      </c>
      <c r="N349" s="158"/>
      <c r="O349" s="158">
        <v>0</v>
      </c>
      <c r="P349" s="158"/>
      <c r="Q349" s="158">
        <v>0</v>
      </c>
      <c r="R349" s="158"/>
      <c r="S349" s="158">
        <v>0</v>
      </c>
      <c r="T349" s="158"/>
      <c r="U349" s="158">
        <v>0</v>
      </c>
      <c r="V349" s="158"/>
      <c r="W349" s="158">
        <v>0</v>
      </c>
      <c r="X349" s="158"/>
      <c r="Y349" s="158">
        <v>0</v>
      </c>
      <c r="Z349" s="158"/>
      <c r="AA349" s="158">
        <v>0</v>
      </c>
      <c r="AB349" s="158"/>
      <c r="AC349" s="158">
        <v>0</v>
      </c>
      <c r="AD349" s="158"/>
      <c r="AE349" s="158">
        <v>0</v>
      </c>
      <c r="AF349" s="158"/>
      <c r="AG349" s="158">
        <v>0</v>
      </c>
      <c r="AH349" s="158"/>
      <c r="AI349" s="158">
        <v>0</v>
      </c>
      <c r="AJ349" s="158"/>
      <c r="AK349" s="158">
        <v>0</v>
      </c>
      <c r="AL349" s="158"/>
      <c r="AM349" s="158">
        <v>0</v>
      </c>
      <c r="AN349" s="158"/>
      <c r="AO349" s="158">
        <v>0</v>
      </c>
      <c r="AP349" s="158"/>
      <c r="AQ349" s="158">
        <v>0</v>
      </c>
      <c r="AR349" s="158"/>
      <c r="AS349" s="158">
        <v>90</v>
      </c>
      <c r="AT349" s="158"/>
      <c r="AU349" s="158">
        <v>0</v>
      </c>
      <c r="AV349" s="158"/>
      <c r="AW349" s="158">
        <v>0</v>
      </c>
      <c r="AX349" s="158"/>
      <c r="AY349" s="158">
        <v>0</v>
      </c>
      <c r="AZ349" s="158"/>
      <c r="BA349" s="158">
        <v>0</v>
      </c>
      <c r="BB349" s="158"/>
      <c r="BC349" s="158">
        <v>-43.66</v>
      </c>
      <c r="BD349" s="158"/>
      <c r="BE349" s="158">
        <v>0</v>
      </c>
      <c r="BF349" s="158"/>
      <c r="BG349" s="158">
        <v>0</v>
      </c>
      <c r="BH349" s="158"/>
      <c r="BI349" s="158">
        <v>0</v>
      </c>
      <c r="BJ349" s="158"/>
      <c r="BK349" s="158">
        <v>0</v>
      </c>
      <c r="BL349" s="158"/>
      <c r="BM349" s="158">
        <v>0</v>
      </c>
      <c r="BN349" s="158"/>
      <c r="BO349" s="158">
        <v>0</v>
      </c>
      <c r="BP349" s="158"/>
      <c r="BQ349" s="158">
        <v>92.48</v>
      </c>
      <c r="BR349" s="158"/>
      <c r="BS349" s="158">
        <v>0</v>
      </c>
      <c r="BT349" s="158"/>
    </row>
    <row r="350" spans="1:72" x14ac:dyDescent="0.2">
      <c r="A350" s="123" t="s">
        <v>779</v>
      </c>
      <c r="B350" s="124" t="s">
        <v>778</v>
      </c>
      <c r="C350" s="158">
        <v>0</v>
      </c>
      <c r="D350" s="158"/>
      <c r="E350" s="158">
        <v>0</v>
      </c>
      <c r="F350" s="158"/>
      <c r="G350" s="158">
        <v>0</v>
      </c>
      <c r="H350" s="158"/>
      <c r="I350" s="158">
        <v>0</v>
      </c>
      <c r="J350" s="158"/>
      <c r="K350" s="158">
        <v>0</v>
      </c>
      <c r="L350" s="158"/>
      <c r="M350" s="158">
        <v>0</v>
      </c>
      <c r="N350" s="158"/>
      <c r="O350" s="158">
        <v>499</v>
      </c>
      <c r="P350" s="158"/>
      <c r="Q350" s="158">
        <v>0</v>
      </c>
      <c r="R350" s="158"/>
      <c r="S350" s="158">
        <v>0</v>
      </c>
      <c r="T350" s="158"/>
      <c r="U350" s="158">
        <v>0</v>
      </c>
      <c r="V350" s="158"/>
      <c r="W350" s="158">
        <v>0</v>
      </c>
      <c r="X350" s="158"/>
      <c r="Y350" s="158">
        <v>0</v>
      </c>
      <c r="Z350" s="158"/>
      <c r="AA350" s="158">
        <v>0</v>
      </c>
      <c r="AB350" s="158"/>
      <c r="AC350" s="158">
        <v>0</v>
      </c>
      <c r="AD350" s="158"/>
      <c r="AE350" s="158">
        <v>0</v>
      </c>
      <c r="AF350" s="158"/>
      <c r="AG350" s="158">
        <v>0</v>
      </c>
      <c r="AH350" s="158"/>
      <c r="AI350" s="158">
        <v>0</v>
      </c>
      <c r="AJ350" s="158"/>
      <c r="AK350" s="158">
        <v>0</v>
      </c>
      <c r="AL350" s="158"/>
      <c r="AM350" s="158">
        <v>0</v>
      </c>
      <c r="AN350" s="158"/>
      <c r="AO350" s="158">
        <v>0</v>
      </c>
      <c r="AP350" s="158"/>
      <c r="AQ350" s="158">
        <v>0</v>
      </c>
      <c r="AR350" s="158"/>
      <c r="AS350" s="158">
        <v>0</v>
      </c>
      <c r="AT350" s="158"/>
      <c r="AU350" s="158">
        <v>0</v>
      </c>
      <c r="AV350" s="158"/>
      <c r="AW350" s="158">
        <v>0</v>
      </c>
      <c r="AX350" s="158"/>
      <c r="AY350" s="158">
        <v>0</v>
      </c>
      <c r="AZ350" s="158"/>
      <c r="BA350" s="158">
        <v>0</v>
      </c>
      <c r="BB350" s="158"/>
      <c r="BC350" s="158">
        <v>0</v>
      </c>
      <c r="BD350" s="158"/>
      <c r="BE350" s="158">
        <v>0</v>
      </c>
      <c r="BF350" s="158"/>
      <c r="BG350" s="158">
        <v>0</v>
      </c>
      <c r="BH350" s="158"/>
      <c r="BI350" s="158">
        <v>0</v>
      </c>
      <c r="BJ350" s="158"/>
      <c r="BK350" s="158">
        <v>0</v>
      </c>
      <c r="BL350" s="158"/>
      <c r="BM350" s="158">
        <v>0</v>
      </c>
      <c r="BN350" s="158"/>
      <c r="BO350" s="158">
        <v>0</v>
      </c>
      <c r="BP350" s="158"/>
      <c r="BQ350" s="158">
        <v>0</v>
      </c>
      <c r="BR350" s="158"/>
      <c r="BS350" s="158">
        <v>0</v>
      </c>
      <c r="BT350" s="158"/>
    </row>
    <row r="351" spans="1:72" x14ac:dyDescent="0.2">
      <c r="A351" s="123" t="s">
        <v>777</v>
      </c>
      <c r="B351" s="124" t="s">
        <v>776</v>
      </c>
      <c r="C351" s="158">
        <v>0</v>
      </c>
      <c r="D351" s="158"/>
      <c r="E351" s="158">
        <v>0</v>
      </c>
      <c r="F351" s="158"/>
      <c r="G351" s="158">
        <v>0</v>
      </c>
      <c r="H351" s="158"/>
      <c r="I351" s="158">
        <v>0</v>
      </c>
      <c r="J351" s="158"/>
      <c r="K351" s="158">
        <v>0</v>
      </c>
      <c r="L351" s="158"/>
      <c r="M351" s="158">
        <v>0</v>
      </c>
      <c r="N351" s="158"/>
      <c r="O351" s="158">
        <v>0</v>
      </c>
      <c r="P351" s="158"/>
      <c r="Q351" s="158">
        <v>0</v>
      </c>
      <c r="R351" s="158"/>
      <c r="S351" s="158">
        <v>0</v>
      </c>
      <c r="T351" s="158"/>
      <c r="U351" s="158">
        <v>0</v>
      </c>
      <c r="V351" s="158"/>
      <c r="W351" s="158">
        <v>0</v>
      </c>
      <c r="X351" s="158"/>
      <c r="Y351" s="158">
        <v>0</v>
      </c>
      <c r="Z351" s="158"/>
      <c r="AA351" s="158">
        <v>0</v>
      </c>
      <c r="AB351" s="158"/>
      <c r="AC351" s="158">
        <v>0</v>
      </c>
      <c r="AD351" s="158"/>
      <c r="AE351" s="158">
        <v>0</v>
      </c>
      <c r="AF351" s="158"/>
      <c r="AG351" s="158">
        <v>0</v>
      </c>
      <c r="AH351" s="158"/>
      <c r="AI351" s="158">
        <v>0</v>
      </c>
      <c r="AJ351" s="158"/>
      <c r="AK351" s="158">
        <v>0</v>
      </c>
      <c r="AL351" s="158"/>
      <c r="AM351" s="158">
        <v>0</v>
      </c>
      <c r="AN351" s="158"/>
      <c r="AO351" s="158">
        <v>0</v>
      </c>
      <c r="AP351" s="158"/>
      <c r="AQ351" s="158">
        <v>0</v>
      </c>
      <c r="AR351" s="158"/>
      <c r="AS351" s="158">
        <v>0</v>
      </c>
      <c r="AT351" s="158"/>
      <c r="AU351" s="158">
        <v>0</v>
      </c>
      <c r="AV351" s="158"/>
      <c r="AW351" s="158">
        <v>0</v>
      </c>
      <c r="AX351" s="158"/>
      <c r="AY351" s="158">
        <v>0</v>
      </c>
      <c r="AZ351" s="158"/>
      <c r="BA351" s="158">
        <v>0</v>
      </c>
      <c r="BB351" s="158"/>
      <c r="BC351" s="158">
        <v>43.75</v>
      </c>
      <c r="BD351" s="158"/>
      <c r="BE351" s="158">
        <v>0</v>
      </c>
      <c r="BF351" s="158"/>
      <c r="BG351" s="158">
        <v>0</v>
      </c>
      <c r="BH351" s="158"/>
      <c r="BI351" s="158">
        <v>0</v>
      </c>
      <c r="BJ351" s="158"/>
      <c r="BK351" s="158">
        <v>0</v>
      </c>
      <c r="BL351" s="158"/>
      <c r="BM351" s="158">
        <v>147</v>
      </c>
      <c r="BN351" s="158"/>
      <c r="BO351" s="158">
        <v>0</v>
      </c>
      <c r="BP351" s="158"/>
      <c r="BQ351" s="158">
        <v>0</v>
      </c>
      <c r="BR351" s="158"/>
      <c r="BS351" s="158">
        <v>0</v>
      </c>
      <c r="BT351" s="158"/>
    </row>
    <row r="352" spans="1:72" x14ac:dyDescent="0.2">
      <c r="A352" s="123" t="s">
        <v>1403</v>
      </c>
      <c r="B352" s="124" t="s">
        <v>1404</v>
      </c>
      <c r="C352" s="158">
        <v>0</v>
      </c>
      <c r="D352" s="158"/>
      <c r="E352" s="158">
        <v>0</v>
      </c>
      <c r="F352" s="158"/>
      <c r="G352" s="158">
        <v>0</v>
      </c>
      <c r="H352" s="158"/>
      <c r="I352" s="158">
        <v>0</v>
      </c>
      <c r="J352" s="158"/>
      <c r="K352" s="158">
        <v>0</v>
      </c>
      <c r="L352" s="158"/>
      <c r="M352" s="158">
        <v>0</v>
      </c>
      <c r="N352" s="158"/>
      <c r="O352" s="158">
        <v>0</v>
      </c>
      <c r="P352" s="158"/>
      <c r="Q352" s="158">
        <v>0</v>
      </c>
      <c r="R352" s="158"/>
      <c r="S352" s="158">
        <v>0</v>
      </c>
      <c r="T352" s="158"/>
      <c r="U352" s="158">
        <v>0</v>
      </c>
      <c r="V352" s="158"/>
      <c r="W352" s="158">
        <v>0</v>
      </c>
      <c r="X352" s="158"/>
      <c r="Y352" s="158">
        <v>0</v>
      </c>
      <c r="Z352" s="158"/>
      <c r="AA352" s="158">
        <v>0</v>
      </c>
      <c r="AB352" s="158"/>
      <c r="AC352" s="158">
        <v>0</v>
      </c>
      <c r="AD352" s="158"/>
      <c r="AE352" s="158">
        <v>0</v>
      </c>
      <c r="AF352" s="158"/>
      <c r="AG352" s="158">
        <v>0</v>
      </c>
      <c r="AH352" s="158"/>
      <c r="AI352" s="158">
        <v>0</v>
      </c>
      <c r="AJ352" s="158"/>
      <c r="AK352" s="158">
        <v>0</v>
      </c>
      <c r="AL352" s="158"/>
      <c r="AM352" s="158">
        <v>0</v>
      </c>
      <c r="AN352" s="158"/>
      <c r="AO352" s="158">
        <v>0</v>
      </c>
      <c r="AP352" s="158"/>
      <c r="AQ352" s="158">
        <v>0</v>
      </c>
      <c r="AR352" s="158"/>
      <c r="AS352" s="158">
        <v>0</v>
      </c>
      <c r="AT352" s="158"/>
      <c r="AU352" s="158">
        <v>0</v>
      </c>
      <c r="AV352" s="158"/>
      <c r="AW352" s="158">
        <v>0</v>
      </c>
      <c r="AX352" s="158"/>
      <c r="AY352" s="158">
        <v>0</v>
      </c>
      <c r="AZ352" s="158"/>
      <c r="BA352" s="158">
        <v>31.33</v>
      </c>
      <c r="BB352" s="158"/>
      <c r="BC352" s="158">
        <v>400</v>
      </c>
      <c r="BD352" s="158"/>
      <c r="BE352" s="158">
        <v>0</v>
      </c>
      <c r="BF352" s="158"/>
      <c r="BG352" s="158">
        <v>0</v>
      </c>
      <c r="BH352" s="158"/>
      <c r="BI352" s="158">
        <v>0</v>
      </c>
      <c r="BJ352" s="158"/>
      <c r="BK352" s="158">
        <v>0</v>
      </c>
      <c r="BL352" s="158"/>
      <c r="BM352" s="158">
        <v>0</v>
      </c>
      <c r="BN352" s="158"/>
      <c r="BO352" s="158">
        <v>0</v>
      </c>
      <c r="BP352" s="158"/>
      <c r="BQ352" s="158">
        <v>0</v>
      </c>
      <c r="BR352" s="158"/>
      <c r="BS352" s="158">
        <v>0</v>
      </c>
      <c r="BT352" s="158"/>
    </row>
    <row r="353" spans="1:72" x14ac:dyDescent="0.2">
      <c r="A353" s="123" t="s">
        <v>366</v>
      </c>
      <c r="B353" s="124" t="s">
        <v>775</v>
      </c>
      <c r="C353" s="158">
        <v>375</v>
      </c>
      <c r="D353" s="158"/>
      <c r="E353" s="158">
        <v>477</v>
      </c>
      <c r="F353" s="158"/>
      <c r="G353" s="158">
        <v>300</v>
      </c>
      <c r="H353" s="158"/>
      <c r="I353" s="158">
        <v>375</v>
      </c>
      <c r="J353" s="158"/>
      <c r="K353" s="158">
        <v>450</v>
      </c>
      <c r="L353" s="158"/>
      <c r="M353" s="158">
        <v>300</v>
      </c>
      <c r="N353" s="158"/>
      <c r="O353" s="158">
        <v>375</v>
      </c>
      <c r="P353" s="158"/>
      <c r="Q353" s="158">
        <v>375</v>
      </c>
      <c r="R353" s="158"/>
      <c r="S353" s="158">
        <v>397.5</v>
      </c>
      <c r="T353" s="158"/>
      <c r="U353" s="158">
        <v>375</v>
      </c>
      <c r="V353" s="158"/>
      <c r="W353" s="158">
        <v>556.5</v>
      </c>
      <c r="X353" s="158"/>
      <c r="Y353" s="158">
        <v>150</v>
      </c>
      <c r="Z353" s="158"/>
      <c r="AA353" s="158">
        <v>375</v>
      </c>
      <c r="AB353" s="158"/>
      <c r="AC353" s="158">
        <v>397.5</v>
      </c>
      <c r="AD353" s="158"/>
      <c r="AE353" s="158">
        <v>300</v>
      </c>
      <c r="AF353" s="158"/>
      <c r="AG353" s="158">
        <v>375</v>
      </c>
      <c r="AH353" s="158"/>
      <c r="AI353" s="158">
        <v>397.5</v>
      </c>
      <c r="AJ353" s="158"/>
      <c r="AK353" s="158">
        <v>318</v>
      </c>
      <c r="AL353" s="158"/>
      <c r="AM353" s="158">
        <v>296.25</v>
      </c>
      <c r="AN353" s="158"/>
      <c r="AO353" s="158">
        <v>375</v>
      </c>
      <c r="AP353" s="158"/>
      <c r="AQ353" s="158">
        <v>375</v>
      </c>
      <c r="AR353" s="158"/>
      <c r="AS353" s="158">
        <v>450</v>
      </c>
      <c r="AT353" s="158"/>
      <c r="AU353" s="158">
        <v>450</v>
      </c>
      <c r="AV353" s="158"/>
      <c r="AW353" s="158">
        <v>477</v>
      </c>
      <c r="AX353" s="158"/>
      <c r="AY353" s="158">
        <v>375</v>
      </c>
      <c r="AZ353" s="158"/>
      <c r="BA353" s="158">
        <v>225</v>
      </c>
      <c r="BB353" s="158"/>
      <c r="BC353" s="158">
        <v>492</v>
      </c>
      <c r="BD353" s="158"/>
      <c r="BE353" s="158">
        <v>318.75</v>
      </c>
      <c r="BF353" s="158"/>
      <c r="BG353" s="158">
        <v>375</v>
      </c>
      <c r="BH353" s="158"/>
      <c r="BI353" s="158">
        <v>375</v>
      </c>
      <c r="BJ353" s="158"/>
      <c r="BK353" s="158">
        <v>300</v>
      </c>
      <c r="BL353" s="158"/>
      <c r="BM353" s="158">
        <v>205</v>
      </c>
      <c r="BN353" s="158"/>
      <c r="BO353" s="158">
        <v>375</v>
      </c>
      <c r="BP353" s="158"/>
      <c r="BQ353" s="158">
        <v>450</v>
      </c>
      <c r="BR353" s="158"/>
      <c r="BS353" s="158">
        <v>375</v>
      </c>
      <c r="BT353" s="158"/>
    </row>
    <row r="354" spans="1:72" x14ac:dyDescent="0.2">
      <c r="A354" s="123" t="s">
        <v>367</v>
      </c>
      <c r="B354" s="124" t="s">
        <v>774</v>
      </c>
      <c r="C354" s="158">
        <v>90</v>
      </c>
      <c r="D354" s="158"/>
      <c r="E354" s="158">
        <v>40</v>
      </c>
      <c r="F354" s="158"/>
      <c r="G354" s="158">
        <v>440.5</v>
      </c>
      <c r="H354" s="158"/>
      <c r="I354" s="158">
        <v>165</v>
      </c>
      <c r="J354" s="158"/>
      <c r="K354" s="158">
        <v>150</v>
      </c>
      <c r="L354" s="158"/>
      <c r="M354" s="158">
        <v>191.5</v>
      </c>
      <c r="N354" s="158"/>
      <c r="O354" s="158">
        <v>45.5</v>
      </c>
      <c r="P354" s="158"/>
      <c r="Q354" s="158">
        <v>60</v>
      </c>
      <c r="R354" s="158"/>
      <c r="S354" s="158">
        <v>140</v>
      </c>
      <c r="T354" s="158"/>
      <c r="U354" s="158">
        <v>128</v>
      </c>
      <c r="V354" s="158"/>
      <c r="W354" s="158">
        <v>144.5</v>
      </c>
      <c r="X354" s="158"/>
      <c r="Y354" s="158">
        <v>0</v>
      </c>
      <c r="Z354" s="158"/>
      <c r="AA354" s="158">
        <v>100</v>
      </c>
      <c r="AB354" s="158"/>
      <c r="AC354" s="158">
        <v>100</v>
      </c>
      <c r="AD354" s="158"/>
      <c r="AE354" s="158">
        <v>395.5</v>
      </c>
      <c r="AF354" s="158"/>
      <c r="AG354" s="158">
        <v>131</v>
      </c>
      <c r="AH354" s="158"/>
      <c r="AI354" s="158">
        <v>80</v>
      </c>
      <c r="AJ354" s="158"/>
      <c r="AK354" s="158">
        <v>248</v>
      </c>
      <c r="AL354" s="158"/>
      <c r="AM354" s="158">
        <v>205.5</v>
      </c>
      <c r="AN354" s="158"/>
      <c r="AO354" s="158">
        <v>40</v>
      </c>
      <c r="AP354" s="158"/>
      <c r="AQ354" s="158">
        <v>235</v>
      </c>
      <c r="AR354" s="158"/>
      <c r="AS354" s="158">
        <v>275</v>
      </c>
      <c r="AT354" s="158"/>
      <c r="AU354" s="158">
        <v>11.5</v>
      </c>
      <c r="AV354" s="158"/>
      <c r="AW354" s="158">
        <v>5.5</v>
      </c>
      <c r="AX354" s="158"/>
      <c r="AY354" s="158">
        <v>45.5</v>
      </c>
      <c r="AZ354" s="158"/>
      <c r="BA354" s="158">
        <v>153</v>
      </c>
      <c r="BB354" s="158"/>
      <c r="BC354" s="158">
        <v>751.5</v>
      </c>
      <c r="BD354" s="158"/>
      <c r="BE354" s="158">
        <v>217</v>
      </c>
      <c r="BF354" s="158"/>
      <c r="BG354" s="158">
        <v>120</v>
      </c>
      <c r="BH354" s="158"/>
      <c r="BI354" s="158">
        <v>319.5</v>
      </c>
      <c r="BJ354" s="158"/>
      <c r="BK354" s="158">
        <v>320</v>
      </c>
      <c r="BL354" s="158"/>
      <c r="BM354" s="158">
        <v>624</v>
      </c>
      <c r="BN354" s="158"/>
      <c r="BO354" s="158">
        <v>246</v>
      </c>
      <c r="BP354" s="158"/>
      <c r="BQ354" s="158">
        <v>142.5</v>
      </c>
      <c r="BR354" s="158"/>
      <c r="BS354" s="158">
        <v>130.5</v>
      </c>
      <c r="BT354" s="158"/>
    </row>
    <row r="355" spans="1:72" x14ac:dyDescent="0.2">
      <c r="A355" s="123" t="s">
        <v>368</v>
      </c>
      <c r="B355" s="124" t="s">
        <v>773</v>
      </c>
      <c r="C355" s="158">
        <v>0</v>
      </c>
      <c r="D355" s="158"/>
      <c r="E355" s="158">
        <v>0</v>
      </c>
      <c r="F355" s="158"/>
      <c r="G355" s="158">
        <v>0</v>
      </c>
      <c r="H355" s="158"/>
      <c r="I355" s="158">
        <v>3316.14</v>
      </c>
      <c r="J355" s="158"/>
      <c r="K355" s="158">
        <v>492.64</v>
      </c>
      <c r="L355" s="158"/>
      <c r="M355" s="158">
        <v>0</v>
      </c>
      <c r="N355" s="158"/>
      <c r="O355" s="158">
        <v>0</v>
      </c>
      <c r="P355" s="158"/>
      <c r="Q355" s="158">
        <v>0</v>
      </c>
      <c r="R355" s="158"/>
      <c r="S355" s="158">
        <v>0</v>
      </c>
      <c r="T355" s="158"/>
      <c r="U355" s="158">
        <v>1523.8</v>
      </c>
      <c r="V355" s="158"/>
      <c r="W355" s="158">
        <v>800.74</v>
      </c>
      <c r="X355" s="158"/>
      <c r="Y355" s="158">
        <v>0</v>
      </c>
      <c r="Z355" s="158"/>
      <c r="AA355" s="158">
        <v>832.11</v>
      </c>
      <c r="AB355" s="158"/>
      <c r="AC355" s="158">
        <v>0</v>
      </c>
      <c r="AD355" s="158"/>
      <c r="AE355" s="158">
        <v>0</v>
      </c>
      <c r="AF355" s="158"/>
      <c r="AG355" s="158">
        <v>0</v>
      </c>
      <c r="AH355" s="158"/>
      <c r="AI355" s="158">
        <v>0</v>
      </c>
      <c r="AJ355" s="158"/>
      <c r="AK355" s="158">
        <v>880.1</v>
      </c>
      <c r="AL355" s="158"/>
      <c r="AM355" s="158">
        <v>1029.68</v>
      </c>
      <c r="AN355" s="158"/>
      <c r="AO355" s="158">
        <v>0</v>
      </c>
      <c r="AP355" s="158"/>
      <c r="AQ355" s="158">
        <v>0</v>
      </c>
      <c r="AR355" s="158"/>
      <c r="AS355" s="158">
        <v>0</v>
      </c>
      <c r="AT355" s="158"/>
      <c r="AU355" s="158">
        <v>0</v>
      </c>
      <c r="AV355" s="158"/>
      <c r="AW355" s="158">
        <v>288.13</v>
      </c>
      <c r="AX355" s="158"/>
      <c r="AY355" s="158">
        <v>1653.9</v>
      </c>
      <c r="AZ355" s="158"/>
      <c r="BA355" s="158">
        <v>482.03</v>
      </c>
      <c r="BB355" s="158"/>
      <c r="BC355" s="158">
        <v>74.08</v>
      </c>
      <c r="BD355" s="158"/>
      <c r="BE355" s="158">
        <v>2299.5500000000002</v>
      </c>
      <c r="BF355" s="158"/>
      <c r="BG355" s="158">
        <v>495.15</v>
      </c>
      <c r="BH355" s="158"/>
      <c r="BI355" s="158">
        <v>-992.67</v>
      </c>
      <c r="BJ355" s="158"/>
      <c r="BK355" s="158">
        <v>5183.7700000000004</v>
      </c>
      <c r="BL355" s="158"/>
      <c r="BM355" s="158">
        <v>7893.84</v>
      </c>
      <c r="BN355" s="158"/>
      <c r="BO355" s="158">
        <v>831.09</v>
      </c>
      <c r="BP355" s="158"/>
      <c r="BQ355" s="158">
        <v>0</v>
      </c>
      <c r="BR355" s="158"/>
      <c r="BS355" s="158">
        <v>530.03</v>
      </c>
      <c r="BT355" s="158"/>
    </row>
    <row r="356" spans="1:72" x14ac:dyDescent="0.2">
      <c r="A356" s="123" t="s">
        <v>369</v>
      </c>
      <c r="B356" s="124" t="s">
        <v>772</v>
      </c>
      <c r="C356" s="158">
        <v>0</v>
      </c>
      <c r="D356" s="158"/>
      <c r="E356" s="158">
        <v>273.87</v>
      </c>
      <c r="F356" s="158"/>
      <c r="G356" s="158">
        <v>0</v>
      </c>
      <c r="H356" s="158"/>
      <c r="I356" s="158">
        <v>0</v>
      </c>
      <c r="J356" s="158"/>
      <c r="K356" s="158">
        <v>533</v>
      </c>
      <c r="L356" s="158"/>
      <c r="M356" s="158">
        <v>577</v>
      </c>
      <c r="N356" s="158"/>
      <c r="O356" s="158">
        <v>0</v>
      </c>
      <c r="P356" s="158"/>
      <c r="Q356" s="158">
        <v>0</v>
      </c>
      <c r="R356" s="158"/>
      <c r="S356" s="158">
        <v>0</v>
      </c>
      <c r="T356" s="158"/>
      <c r="U356" s="158">
        <v>4</v>
      </c>
      <c r="V356" s="158"/>
      <c r="W356" s="158">
        <v>0</v>
      </c>
      <c r="X356" s="158"/>
      <c r="Y356" s="158">
        <v>11.5</v>
      </c>
      <c r="Z356" s="158"/>
      <c r="AA356" s="158">
        <v>984.71</v>
      </c>
      <c r="AB356" s="158"/>
      <c r="AC356" s="158">
        <v>0</v>
      </c>
      <c r="AD356" s="158"/>
      <c r="AE356" s="158">
        <v>12337.46</v>
      </c>
      <c r="AF356" s="158"/>
      <c r="AG356" s="158">
        <v>0</v>
      </c>
      <c r="AH356" s="158"/>
      <c r="AI356" s="158">
        <v>0</v>
      </c>
      <c r="AJ356" s="158"/>
      <c r="AK356" s="158">
        <v>0</v>
      </c>
      <c r="AL356" s="158"/>
      <c r="AM356" s="158">
        <v>467.81</v>
      </c>
      <c r="AN356" s="158"/>
      <c r="AO356" s="158">
        <v>0</v>
      </c>
      <c r="AP356" s="158"/>
      <c r="AQ356" s="158">
        <v>0</v>
      </c>
      <c r="AR356" s="158"/>
      <c r="AS356" s="158">
        <v>0</v>
      </c>
      <c r="AT356" s="158"/>
      <c r="AU356" s="158">
        <v>6349.95</v>
      </c>
      <c r="AV356" s="158"/>
      <c r="AW356" s="158">
        <v>-248.58</v>
      </c>
      <c r="AX356" s="158"/>
      <c r="AY356" s="158">
        <v>697</v>
      </c>
      <c r="AZ356" s="158"/>
      <c r="BA356" s="158">
        <v>810.15</v>
      </c>
      <c r="BB356" s="158"/>
      <c r="BC356" s="158">
        <v>0</v>
      </c>
      <c r="BD356" s="158"/>
      <c r="BE356" s="158">
        <v>1730.16</v>
      </c>
      <c r="BF356" s="158"/>
      <c r="BG356" s="158">
        <v>-50</v>
      </c>
      <c r="BH356" s="158"/>
      <c r="BI356" s="158">
        <v>0</v>
      </c>
      <c r="BJ356" s="158"/>
      <c r="BK356" s="158">
        <v>0</v>
      </c>
      <c r="BL356" s="158"/>
      <c r="BM356" s="158">
        <v>46.65</v>
      </c>
      <c r="BN356" s="158"/>
      <c r="BO356" s="158">
        <v>0</v>
      </c>
      <c r="BP356" s="158"/>
      <c r="BQ356" s="158">
        <v>4</v>
      </c>
      <c r="BR356" s="158"/>
      <c r="BS356" s="158">
        <v>31</v>
      </c>
      <c r="BT356" s="158"/>
    </row>
    <row r="357" spans="1:72" x14ac:dyDescent="0.2">
      <c r="A357" s="123" t="s">
        <v>370</v>
      </c>
      <c r="B357" s="124" t="s">
        <v>771</v>
      </c>
      <c r="C357" s="158">
        <v>0</v>
      </c>
      <c r="D357" s="158"/>
      <c r="E357" s="158">
        <v>0</v>
      </c>
      <c r="F357" s="158"/>
      <c r="G357" s="158">
        <v>0</v>
      </c>
      <c r="H357" s="158"/>
      <c r="I357" s="158">
        <v>3802.91</v>
      </c>
      <c r="J357" s="158"/>
      <c r="K357" s="158">
        <v>1451.74</v>
      </c>
      <c r="L357" s="158"/>
      <c r="M357" s="158">
        <v>48.2</v>
      </c>
      <c r="N357" s="158"/>
      <c r="O357" s="158">
        <v>0</v>
      </c>
      <c r="P357" s="158"/>
      <c r="Q357" s="158">
        <v>0</v>
      </c>
      <c r="R357" s="158"/>
      <c r="S357" s="158">
        <v>0</v>
      </c>
      <c r="T357" s="158"/>
      <c r="U357" s="158">
        <v>3306.59</v>
      </c>
      <c r="V357" s="158"/>
      <c r="W357" s="158">
        <v>0</v>
      </c>
      <c r="X357" s="158"/>
      <c r="Y357" s="158">
        <v>0</v>
      </c>
      <c r="Z357" s="158"/>
      <c r="AA357" s="158">
        <v>101.73</v>
      </c>
      <c r="AB357" s="158"/>
      <c r="AC357" s="158">
        <v>0</v>
      </c>
      <c r="AD357" s="158"/>
      <c r="AE357" s="158">
        <v>2579.9699999999998</v>
      </c>
      <c r="AF357" s="158"/>
      <c r="AG357" s="158">
        <v>0</v>
      </c>
      <c r="AH357" s="158"/>
      <c r="AI357" s="158">
        <v>0</v>
      </c>
      <c r="AJ357" s="158"/>
      <c r="AK357" s="158">
        <v>2466.12</v>
      </c>
      <c r="AL357" s="158"/>
      <c r="AM357" s="158">
        <v>144.61000000000001</v>
      </c>
      <c r="AN357" s="158"/>
      <c r="AO357" s="158">
        <v>29.75</v>
      </c>
      <c r="AP357" s="158"/>
      <c r="AQ357" s="158">
        <v>0</v>
      </c>
      <c r="AR357" s="158"/>
      <c r="AS357" s="158">
        <v>0</v>
      </c>
      <c r="AT357" s="158"/>
      <c r="AU357" s="158">
        <v>757.22</v>
      </c>
      <c r="AV357" s="158"/>
      <c r="AW357" s="158">
        <v>-34.549999999999997</v>
      </c>
      <c r="AX357" s="158"/>
      <c r="AY357" s="158">
        <v>0</v>
      </c>
      <c r="AZ357" s="158"/>
      <c r="BA357" s="158">
        <v>91.4</v>
      </c>
      <c r="BB357" s="158"/>
      <c r="BC357" s="158">
        <v>1242.07</v>
      </c>
      <c r="BD357" s="158"/>
      <c r="BE357" s="158">
        <v>1093.6600000000001</v>
      </c>
      <c r="BF357" s="158"/>
      <c r="BG357" s="158">
        <v>317</v>
      </c>
      <c r="BH357" s="158"/>
      <c r="BI357" s="158">
        <v>2508.46</v>
      </c>
      <c r="BJ357" s="158"/>
      <c r="BK357" s="158">
        <v>494.11</v>
      </c>
      <c r="BL357" s="158"/>
      <c r="BM357" s="158">
        <v>2472.35</v>
      </c>
      <c r="BN357" s="158"/>
      <c r="BO357" s="158">
        <v>351.45</v>
      </c>
      <c r="BP357" s="158"/>
      <c r="BQ357" s="158">
        <v>954.4</v>
      </c>
      <c r="BR357" s="158"/>
      <c r="BS357" s="158">
        <v>0</v>
      </c>
      <c r="BT357" s="158"/>
    </row>
    <row r="358" spans="1:72" x14ac:dyDescent="0.2">
      <c r="A358" s="123" t="s">
        <v>371</v>
      </c>
      <c r="B358" s="124" t="s">
        <v>770</v>
      </c>
      <c r="C358" s="158">
        <v>182</v>
      </c>
      <c r="D358" s="158"/>
      <c r="E358" s="158">
        <v>39.96</v>
      </c>
      <c r="F358" s="158"/>
      <c r="G358" s="158">
        <v>180.74</v>
      </c>
      <c r="H358" s="158"/>
      <c r="I358" s="158">
        <v>0</v>
      </c>
      <c r="J358" s="158"/>
      <c r="K358" s="158">
        <v>0</v>
      </c>
      <c r="L358" s="158"/>
      <c r="M358" s="158">
        <v>132.13999999999999</v>
      </c>
      <c r="N358" s="158"/>
      <c r="O358" s="158">
        <v>0</v>
      </c>
      <c r="P358" s="158"/>
      <c r="Q358" s="158">
        <v>20.11</v>
      </c>
      <c r="R358" s="158"/>
      <c r="S358" s="158">
        <v>39.96</v>
      </c>
      <c r="T358" s="158"/>
      <c r="U358" s="158">
        <v>10</v>
      </c>
      <c r="V358" s="158"/>
      <c r="W358" s="158">
        <v>39.96</v>
      </c>
      <c r="X358" s="158"/>
      <c r="Y358" s="158">
        <v>288.37</v>
      </c>
      <c r="Z358" s="158"/>
      <c r="AA358" s="158">
        <v>274.76</v>
      </c>
      <c r="AB358" s="158"/>
      <c r="AC358" s="158">
        <v>66.34</v>
      </c>
      <c r="AD358" s="158"/>
      <c r="AE358" s="158">
        <v>0</v>
      </c>
      <c r="AF358" s="158"/>
      <c r="AG358" s="158">
        <v>53.22</v>
      </c>
      <c r="AH358" s="158"/>
      <c r="AI358" s="158">
        <v>71.44</v>
      </c>
      <c r="AJ358" s="158"/>
      <c r="AK358" s="158">
        <v>89.12</v>
      </c>
      <c r="AL358" s="158"/>
      <c r="AM358" s="158">
        <v>123.27</v>
      </c>
      <c r="AN358" s="158"/>
      <c r="AO358" s="158">
        <v>0</v>
      </c>
      <c r="AP358" s="158"/>
      <c r="AQ358" s="158">
        <v>169.47</v>
      </c>
      <c r="AR358" s="158"/>
      <c r="AS358" s="158">
        <v>89.72</v>
      </c>
      <c r="AT358" s="158"/>
      <c r="AU358" s="158">
        <v>21.08</v>
      </c>
      <c r="AV358" s="158"/>
      <c r="AW358" s="158">
        <v>39.96</v>
      </c>
      <c r="AX358" s="158"/>
      <c r="AY358" s="158">
        <v>560.44000000000005</v>
      </c>
      <c r="AZ358" s="158"/>
      <c r="BA358" s="158">
        <v>0</v>
      </c>
      <c r="BB358" s="158"/>
      <c r="BC358" s="158">
        <v>613.98</v>
      </c>
      <c r="BD358" s="158"/>
      <c r="BE358" s="158">
        <v>0</v>
      </c>
      <c r="BF358" s="158"/>
      <c r="BG358" s="158">
        <v>627.1</v>
      </c>
      <c r="BH358" s="158"/>
      <c r="BI358" s="158">
        <v>687.51</v>
      </c>
      <c r="BJ358" s="158"/>
      <c r="BK358" s="158">
        <v>0</v>
      </c>
      <c r="BL358" s="158"/>
      <c r="BM358" s="158">
        <v>85.15</v>
      </c>
      <c r="BN358" s="158"/>
      <c r="BO358" s="158">
        <v>55</v>
      </c>
      <c r="BP358" s="158"/>
      <c r="BQ358" s="158">
        <v>55</v>
      </c>
      <c r="BR358" s="158"/>
      <c r="BS358" s="158">
        <v>347</v>
      </c>
      <c r="BT358" s="158"/>
    </row>
    <row r="359" spans="1:72" x14ac:dyDescent="0.2">
      <c r="A359" s="123" t="s">
        <v>372</v>
      </c>
      <c r="B359" s="124" t="s">
        <v>769</v>
      </c>
      <c r="C359" s="158">
        <v>447.19</v>
      </c>
      <c r="D359" s="158"/>
      <c r="E359" s="158">
        <v>29.19</v>
      </c>
      <c r="F359" s="158"/>
      <c r="G359" s="158">
        <v>323.67</v>
      </c>
      <c r="H359" s="158"/>
      <c r="I359" s="158">
        <v>93.49</v>
      </c>
      <c r="J359" s="158"/>
      <c r="K359" s="158">
        <v>-0.05</v>
      </c>
      <c r="L359" s="158"/>
      <c r="M359" s="158">
        <v>622.20000000000005</v>
      </c>
      <c r="N359" s="158"/>
      <c r="O359" s="158">
        <v>27.77</v>
      </c>
      <c r="P359" s="158"/>
      <c r="Q359" s="158">
        <v>68.17</v>
      </c>
      <c r="R359" s="158"/>
      <c r="S359" s="158">
        <v>50.41</v>
      </c>
      <c r="T359" s="158"/>
      <c r="U359" s="158">
        <v>772.08</v>
      </c>
      <c r="V359" s="158"/>
      <c r="W359" s="158">
        <v>59.18</v>
      </c>
      <c r="X359" s="158"/>
      <c r="Y359" s="158">
        <v>95.54</v>
      </c>
      <c r="Z359" s="158"/>
      <c r="AA359" s="158">
        <v>536.75</v>
      </c>
      <c r="AB359" s="158"/>
      <c r="AC359" s="158">
        <v>86.05</v>
      </c>
      <c r="AD359" s="158"/>
      <c r="AE359" s="158">
        <v>43.78</v>
      </c>
      <c r="AF359" s="158"/>
      <c r="AG359" s="158">
        <v>36.35</v>
      </c>
      <c r="AH359" s="158"/>
      <c r="AI359" s="158">
        <v>59.48</v>
      </c>
      <c r="AJ359" s="158"/>
      <c r="AK359" s="158">
        <v>135.74</v>
      </c>
      <c r="AL359" s="158"/>
      <c r="AM359" s="158">
        <v>634.51</v>
      </c>
      <c r="AN359" s="158"/>
      <c r="AO359" s="158">
        <v>39.270000000000003</v>
      </c>
      <c r="AP359" s="158"/>
      <c r="AQ359" s="158">
        <v>553.4</v>
      </c>
      <c r="AR359" s="158"/>
      <c r="AS359" s="158">
        <v>1381.32</v>
      </c>
      <c r="AT359" s="158"/>
      <c r="AU359" s="158">
        <v>50.95</v>
      </c>
      <c r="AV359" s="158"/>
      <c r="AW359" s="158">
        <v>125.1</v>
      </c>
      <c r="AX359" s="158"/>
      <c r="AY359" s="158">
        <v>506.65</v>
      </c>
      <c r="AZ359" s="158"/>
      <c r="BA359" s="158">
        <v>121.97</v>
      </c>
      <c r="BB359" s="158"/>
      <c r="BC359" s="158">
        <v>592.95000000000005</v>
      </c>
      <c r="BD359" s="158"/>
      <c r="BE359" s="158">
        <v>158.58000000000001</v>
      </c>
      <c r="BF359" s="158"/>
      <c r="BG359" s="158">
        <v>563.04999999999995</v>
      </c>
      <c r="BH359" s="158"/>
      <c r="BI359" s="158">
        <v>503</v>
      </c>
      <c r="BJ359" s="158"/>
      <c r="BK359" s="158">
        <v>97.73</v>
      </c>
      <c r="BL359" s="158"/>
      <c r="BM359" s="158">
        <v>-0.35</v>
      </c>
      <c r="BN359" s="158"/>
      <c r="BO359" s="158">
        <v>658.88</v>
      </c>
      <c r="BP359" s="158"/>
      <c r="BQ359" s="158">
        <v>746.16</v>
      </c>
      <c r="BR359" s="158"/>
      <c r="BS359" s="158">
        <v>972.51</v>
      </c>
      <c r="BT359" s="158"/>
    </row>
    <row r="360" spans="1:72" x14ac:dyDescent="0.2">
      <c r="A360" s="123" t="s">
        <v>548</v>
      </c>
      <c r="B360" s="124" t="s">
        <v>768</v>
      </c>
      <c r="C360" s="158">
        <v>43.96</v>
      </c>
      <c r="D360" s="158"/>
      <c r="E360" s="158">
        <v>0</v>
      </c>
      <c r="F360" s="158"/>
      <c r="G360" s="158">
        <v>62.24</v>
      </c>
      <c r="H360" s="158"/>
      <c r="I360" s="158">
        <v>0</v>
      </c>
      <c r="J360" s="158"/>
      <c r="K360" s="158">
        <v>0</v>
      </c>
      <c r="L360" s="158"/>
      <c r="M360" s="158">
        <v>0</v>
      </c>
      <c r="N360" s="158"/>
      <c r="O360" s="158">
        <v>0</v>
      </c>
      <c r="P360" s="158"/>
      <c r="Q360" s="158">
        <v>0</v>
      </c>
      <c r="R360" s="158"/>
      <c r="S360" s="158">
        <v>100</v>
      </c>
      <c r="T360" s="158"/>
      <c r="U360" s="158">
        <v>0</v>
      </c>
      <c r="V360" s="158"/>
      <c r="W360" s="158">
        <v>0</v>
      </c>
      <c r="X360" s="158"/>
      <c r="Y360" s="158">
        <v>0</v>
      </c>
      <c r="Z360" s="158"/>
      <c r="AA360" s="158">
        <v>0</v>
      </c>
      <c r="AB360" s="158"/>
      <c r="AC360" s="158">
        <v>0</v>
      </c>
      <c r="AD360" s="158"/>
      <c r="AE360" s="158">
        <v>0</v>
      </c>
      <c r="AF360" s="158"/>
      <c r="AG360" s="158">
        <v>0</v>
      </c>
      <c r="AH360" s="158"/>
      <c r="AI360" s="158">
        <v>0</v>
      </c>
      <c r="AJ360" s="158"/>
      <c r="AK360" s="158">
        <v>0</v>
      </c>
      <c r="AL360" s="158"/>
      <c r="AM360" s="158">
        <v>23.94</v>
      </c>
      <c r="AN360" s="158"/>
      <c r="AO360" s="158">
        <v>55.95</v>
      </c>
      <c r="AP360" s="158"/>
      <c r="AQ360" s="158">
        <v>0</v>
      </c>
      <c r="AR360" s="158"/>
      <c r="AS360" s="158">
        <v>0</v>
      </c>
      <c r="AT360" s="158"/>
      <c r="AU360" s="158">
        <v>0</v>
      </c>
      <c r="AV360" s="158"/>
      <c r="AW360" s="158">
        <v>0</v>
      </c>
      <c r="AX360" s="158"/>
      <c r="AY360" s="158">
        <v>0</v>
      </c>
      <c r="AZ360" s="158"/>
      <c r="BA360" s="158">
        <v>0</v>
      </c>
      <c r="BB360" s="158"/>
      <c r="BC360" s="158">
        <v>0</v>
      </c>
      <c r="BD360" s="158"/>
      <c r="BE360" s="158">
        <v>0</v>
      </c>
      <c r="BF360" s="158"/>
      <c r="BG360" s="158">
        <v>0</v>
      </c>
      <c r="BH360" s="158"/>
      <c r="BI360" s="158">
        <v>0</v>
      </c>
      <c r="BJ360" s="158"/>
      <c r="BK360" s="158">
        <v>0</v>
      </c>
      <c r="BL360" s="158"/>
      <c r="BM360" s="158">
        <v>0</v>
      </c>
      <c r="BN360" s="158"/>
      <c r="BO360" s="158">
        <v>0</v>
      </c>
      <c r="BP360" s="158"/>
      <c r="BQ360" s="158">
        <v>0</v>
      </c>
      <c r="BR360" s="158"/>
      <c r="BS360" s="158">
        <v>0</v>
      </c>
      <c r="BT360" s="158"/>
    </row>
    <row r="361" spans="1:72" x14ac:dyDescent="0.2">
      <c r="A361" s="123" t="s">
        <v>549</v>
      </c>
      <c r="B361" s="124" t="s">
        <v>767</v>
      </c>
      <c r="C361" s="158">
        <v>15</v>
      </c>
      <c r="D361" s="158"/>
      <c r="E361" s="158">
        <v>0</v>
      </c>
      <c r="F361" s="158"/>
      <c r="G361" s="158">
        <v>0</v>
      </c>
      <c r="H361" s="158"/>
      <c r="I361" s="158">
        <v>0</v>
      </c>
      <c r="J361" s="158"/>
      <c r="K361" s="158">
        <v>0</v>
      </c>
      <c r="L361" s="158"/>
      <c r="M361" s="158">
        <v>0</v>
      </c>
      <c r="N361" s="158"/>
      <c r="O361" s="158">
        <v>0</v>
      </c>
      <c r="P361" s="158"/>
      <c r="Q361" s="158">
        <v>0</v>
      </c>
      <c r="R361" s="158"/>
      <c r="S361" s="158">
        <v>0</v>
      </c>
      <c r="T361" s="158"/>
      <c r="U361" s="158">
        <v>0</v>
      </c>
      <c r="V361" s="158"/>
      <c r="W361" s="158">
        <v>0</v>
      </c>
      <c r="X361" s="158"/>
      <c r="Y361" s="158">
        <v>0</v>
      </c>
      <c r="Z361" s="158"/>
      <c r="AA361" s="158">
        <v>0</v>
      </c>
      <c r="AB361" s="158"/>
      <c r="AC361" s="158">
        <v>0</v>
      </c>
      <c r="AD361" s="158"/>
      <c r="AE361" s="158">
        <v>0</v>
      </c>
      <c r="AF361" s="158"/>
      <c r="AG361" s="158">
        <v>0</v>
      </c>
      <c r="AH361" s="158"/>
      <c r="AI361" s="158">
        <v>0</v>
      </c>
      <c r="AJ361" s="158"/>
      <c r="AK361" s="158">
        <v>0</v>
      </c>
      <c r="AL361" s="158"/>
      <c r="AM361" s="158">
        <v>0</v>
      </c>
      <c r="AN361" s="158"/>
      <c r="AO361" s="158">
        <v>0</v>
      </c>
      <c r="AP361" s="158"/>
      <c r="AQ361" s="158">
        <v>0</v>
      </c>
      <c r="AR361" s="158"/>
      <c r="AS361" s="158">
        <v>0</v>
      </c>
      <c r="AT361" s="158"/>
      <c r="AU361" s="158">
        <v>0</v>
      </c>
      <c r="AV361" s="158"/>
      <c r="AW361" s="158">
        <v>0</v>
      </c>
      <c r="AX361" s="158"/>
      <c r="AY361" s="158">
        <v>0</v>
      </c>
      <c r="AZ361" s="158"/>
      <c r="BA361" s="158">
        <v>0</v>
      </c>
      <c r="BB361" s="158"/>
      <c r="BC361" s="158">
        <v>0</v>
      </c>
      <c r="BD361" s="158"/>
      <c r="BE361" s="158">
        <v>0</v>
      </c>
      <c r="BF361" s="158"/>
      <c r="BG361" s="158">
        <v>0</v>
      </c>
      <c r="BH361" s="158"/>
      <c r="BI361" s="158">
        <v>0</v>
      </c>
      <c r="BJ361" s="158"/>
      <c r="BK361" s="158">
        <v>0</v>
      </c>
      <c r="BL361" s="158"/>
      <c r="BM361" s="158">
        <v>15</v>
      </c>
      <c r="BN361" s="158"/>
      <c r="BO361" s="158">
        <v>0</v>
      </c>
      <c r="BP361" s="158"/>
      <c r="BQ361" s="158">
        <v>11.04</v>
      </c>
      <c r="BR361" s="158"/>
      <c r="BS361" s="158">
        <v>0</v>
      </c>
      <c r="BT361" s="158"/>
    </row>
    <row r="362" spans="1:72" x14ac:dyDescent="0.2">
      <c r="A362" s="123" t="s">
        <v>766</v>
      </c>
      <c r="B362" s="124" t="s">
        <v>765</v>
      </c>
      <c r="C362" s="158">
        <v>0</v>
      </c>
      <c r="D362" s="158"/>
      <c r="E362" s="158">
        <v>0</v>
      </c>
      <c r="F362" s="158"/>
      <c r="G362" s="158">
        <v>0</v>
      </c>
      <c r="H362" s="158"/>
      <c r="I362" s="158">
        <v>0</v>
      </c>
      <c r="J362" s="158"/>
      <c r="K362" s="158">
        <v>0</v>
      </c>
      <c r="L362" s="158"/>
      <c r="M362" s="158">
        <v>0</v>
      </c>
      <c r="N362" s="158"/>
      <c r="O362" s="158">
        <v>0</v>
      </c>
      <c r="P362" s="158"/>
      <c r="Q362" s="158">
        <v>3182.88</v>
      </c>
      <c r="R362" s="158"/>
      <c r="S362" s="158">
        <v>0</v>
      </c>
      <c r="T362" s="158"/>
      <c r="U362" s="158">
        <v>0</v>
      </c>
      <c r="V362" s="158"/>
      <c r="W362" s="158">
        <v>0</v>
      </c>
      <c r="X362" s="158"/>
      <c r="Y362" s="158">
        <v>0</v>
      </c>
      <c r="Z362" s="158"/>
      <c r="AA362" s="158">
        <v>0</v>
      </c>
      <c r="AB362" s="158"/>
      <c r="AC362" s="158">
        <v>0</v>
      </c>
      <c r="AD362" s="158"/>
      <c r="AE362" s="158">
        <v>0</v>
      </c>
      <c r="AF362" s="158"/>
      <c r="AG362" s="158">
        <v>0</v>
      </c>
      <c r="AH362" s="158"/>
      <c r="AI362" s="158">
        <v>0</v>
      </c>
      <c r="AJ362" s="158"/>
      <c r="AK362" s="158">
        <v>0</v>
      </c>
      <c r="AL362" s="158"/>
      <c r="AM362" s="158">
        <v>0</v>
      </c>
      <c r="AN362" s="158"/>
      <c r="AO362" s="158">
        <v>0</v>
      </c>
      <c r="AP362" s="158"/>
      <c r="AQ362" s="158">
        <v>0</v>
      </c>
      <c r="AR362" s="158"/>
      <c r="AS362" s="158">
        <v>0</v>
      </c>
      <c r="AT362" s="158"/>
      <c r="AU362" s="158">
        <v>0</v>
      </c>
      <c r="AV362" s="158"/>
      <c r="AW362" s="158">
        <v>0</v>
      </c>
      <c r="AX362" s="158"/>
      <c r="AY362" s="158">
        <v>0</v>
      </c>
      <c r="AZ362" s="158"/>
      <c r="BA362" s="158">
        <v>0</v>
      </c>
      <c r="BB362" s="158"/>
      <c r="BC362" s="158">
        <v>0</v>
      </c>
      <c r="BD362" s="158"/>
      <c r="BE362" s="158">
        <v>0</v>
      </c>
      <c r="BF362" s="158"/>
      <c r="BG362" s="158">
        <v>0</v>
      </c>
      <c r="BH362" s="158"/>
      <c r="BI362" s="158">
        <v>0</v>
      </c>
      <c r="BJ362" s="158"/>
      <c r="BK362" s="158">
        <v>0</v>
      </c>
      <c r="BL362" s="158"/>
      <c r="BM362" s="158">
        <v>0</v>
      </c>
      <c r="BN362" s="158"/>
      <c r="BO362" s="158">
        <v>0</v>
      </c>
      <c r="BP362" s="158"/>
      <c r="BQ362" s="158">
        <v>0</v>
      </c>
      <c r="BR362" s="158"/>
      <c r="BS362" s="158">
        <v>0</v>
      </c>
      <c r="BT362" s="158"/>
    </row>
    <row r="363" spans="1:72" x14ac:dyDescent="0.2">
      <c r="A363" s="123" t="s">
        <v>373</v>
      </c>
      <c r="B363" s="124" t="s">
        <v>764</v>
      </c>
      <c r="C363" s="158">
        <v>15.96</v>
      </c>
      <c r="D363" s="158"/>
      <c r="E363" s="158">
        <v>161.96</v>
      </c>
      <c r="F363" s="158"/>
      <c r="G363" s="158">
        <v>15.96</v>
      </c>
      <c r="H363" s="158"/>
      <c r="I363" s="158">
        <v>15.96</v>
      </c>
      <c r="J363" s="158"/>
      <c r="K363" s="158">
        <v>938.86</v>
      </c>
      <c r="L363" s="158"/>
      <c r="M363" s="158">
        <v>5562.84</v>
      </c>
      <c r="N363" s="158"/>
      <c r="O363" s="158">
        <v>849.31</v>
      </c>
      <c r="P363" s="158"/>
      <c r="Q363" s="158">
        <v>1574.3</v>
      </c>
      <c r="R363" s="158"/>
      <c r="S363" s="158">
        <v>15.96</v>
      </c>
      <c r="T363" s="158"/>
      <c r="U363" s="158">
        <v>2041.81</v>
      </c>
      <c r="V363" s="158"/>
      <c r="W363" s="158">
        <v>109.71</v>
      </c>
      <c r="X363" s="158"/>
      <c r="Y363" s="158">
        <v>1963.86</v>
      </c>
      <c r="Z363" s="158"/>
      <c r="AA363" s="158">
        <v>15.96</v>
      </c>
      <c r="AB363" s="158"/>
      <c r="AC363" s="158">
        <v>280.13</v>
      </c>
      <c r="AD363" s="158"/>
      <c r="AE363" s="158">
        <v>15.96</v>
      </c>
      <c r="AF363" s="158"/>
      <c r="AG363" s="158">
        <v>65.959999999999994</v>
      </c>
      <c r="AH363" s="158"/>
      <c r="AI363" s="158">
        <v>341.29</v>
      </c>
      <c r="AJ363" s="158"/>
      <c r="AK363" s="158">
        <v>61.96</v>
      </c>
      <c r="AL363" s="158"/>
      <c r="AM363" s="158">
        <v>2456.61</v>
      </c>
      <c r="AN363" s="158"/>
      <c r="AO363" s="158">
        <v>1788.56</v>
      </c>
      <c r="AP363" s="158"/>
      <c r="AQ363" s="158">
        <v>687.61</v>
      </c>
      <c r="AR363" s="158"/>
      <c r="AS363" s="158">
        <v>680.11</v>
      </c>
      <c r="AT363" s="158"/>
      <c r="AU363" s="158">
        <v>2214.71</v>
      </c>
      <c r="AV363" s="158"/>
      <c r="AW363" s="158">
        <v>15.96</v>
      </c>
      <c r="AX363" s="158"/>
      <c r="AY363" s="158">
        <v>115.96</v>
      </c>
      <c r="AZ363" s="158"/>
      <c r="BA363" s="158">
        <v>15.96</v>
      </c>
      <c r="BB363" s="158"/>
      <c r="BC363" s="158">
        <v>2440.96</v>
      </c>
      <c r="BD363" s="158"/>
      <c r="BE363" s="158">
        <v>15.96</v>
      </c>
      <c r="BF363" s="158"/>
      <c r="BG363" s="158">
        <v>4164.21</v>
      </c>
      <c r="BH363" s="158"/>
      <c r="BI363" s="158">
        <v>4388.46</v>
      </c>
      <c r="BJ363" s="158"/>
      <c r="BK363" s="158">
        <v>15.96</v>
      </c>
      <c r="BL363" s="158"/>
      <c r="BM363" s="158">
        <v>2390.9499999999998</v>
      </c>
      <c r="BN363" s="158"/>
      <c r="BO363" s="158">
        <v>66.95</v>
      </c>
      <c r="BP363" s="158"/>
      <c r="BQ363" s="158">
        <v>65.95</v>
      </c>
      <c r="BR363" s="158"/>
      <c r="BS363" s="158">
        <v>15.95</v>
      </c>
      <c r="BT363" s="158"/>
    </row>
    <row r="364" spans="1:72" x14ac:dyDescent="0.2">
      <c r="A364" s="123" t="s">
        <v>374</v>
      </c>
      <c r="B364" s="124" t="s">
        <v>763</v>
      </c>
      <c r="C364" s="158">
        <v>0</v>
      </c>
      <c r="D364" s="158"/>
      <c r="E364" s="158">
        <v>0</v>
      </c>
      <c r="F364" s="158"/>
      <c r="G364" s="158">
        <v>0</v>
      </c>
      <c r="H364" s="158"/>
      <c r="I364" s="158">
        <v>0</v>
      </c>
      <c r="J364" s="158"/>
      <c r="K364" s="158">
        <v>0</v>
      </c>
      <c r="L364" s="158"/>
      <c r="M364" s="158">
        <v>0</v>
      </c>
      <c r="N364" s="158"/>
      <c r="O364" s="158">
        <v>0</v>
      </c>
      <c r="P364" s="158"/>
      <c r="Q364" s="158">
        <v>0</v>
      </c>
      <c r="R364" s="158"/>
      <c r="S364" s="158">
        <v>5.25</v>
      </c>
      <c r="T364" s="158"/>
      <c r="U364" s="158">
        <v>0</v>
      </c>
      <c r="V364" s="158"/>
      <c r="W364" s="158">
        <v>0</v>
      </c>
      <c r="X364" s="158"/>
      <c r="Y364" s="158">
        <v>0</v>
      </c>
      <c r="Z364" s="158"/>
      <c r="AA364" s="158">
        <v>0</v>
      </c>
      <c r="AB364" s="158"/>
      <c r="AC364" s="158">
        <v>0</v>
      </c>
      <c r="AD364" s="158"/>
      <c r="AE364" s="158">
        <v>-792.82</v>
      </c>
      <c r="AF364" s="158"/>
      <c r="AG364" s="158">
        <v>0</v>
      </c>
      <c r="AH364" s="158"/>
      <c r="AI364" s="158">
        <v>0</v>
      </c>
      <c r="AJ364" s="158"/>
      <c r="AK364" s="158">
        <v>0</v>
      </c>
      <c r="AL364" s="158"/>
      <c r="AM364" s="158">
        <v>0</v>
      </c>
      <c r="AN364" s="158"/>
      <c r="AO364" s="158">
        <v>0</v>
      </c>
      <c r="AP364" s="158"/>
      <c r="AQ364" s="158">
        <v>0</v>
      </c>
      <c r="AR364" s="158"/>
      <c r="AS364" s="158">
        <v>0</v>
      </c>
      <c r="AT364" s="158"/>
      <c r="AU364" s="158">
        <v>0</v>
      </c>
      <c r="AV364" s="158"/>
      <c r="AW364" s="158">
        <v>0</v>
      </c>
      <c r="AX364" s="158"/>
      <c r="AY364" s="158">
        <v>0</v>
      </c>
      <c r="AZ364" s="158"/>
      <c r="BA364" s="158">
        <v>0</v>
      </c>
      <c r="BB364" s="158"/>
      <c r="BC364" s="158">
        <v>0</v>
      </c>
      <c r="BD364" s="158"/>
      <c r="BE364" s="158">
        <v>0</v>
      </c>
      <c r="BF364" s="158"/>
      <c r="BG364" s="158">
        <v>0</v>
      </c>
      <c r="BH364" s="158"/>
      <c r="BI364" s="158">
        <v>0</v>
      </c>
      <c r="BJ364" s="158"/>
      <c r="BK364" s="158">
        <v>0</v>
      </c>
      <c r="BL364" s="158"/>
      <c r="BM364" s="158">
        <v>20</v>
      </c>
      <c r="BN364" s="158"/>
      <c r="BO364" s="158">
        <v>211</v>
      </c>
      <c r="BP364" s="158"/>
      <c r="BQ364" s="158">
        <v>0</v>
      </c>
      <c r="BR364" s="158"/>
      <c r="BS364" s="158">
        <v>0</v>
      </c>
      <c r="BT364" s="158"/>
    </row>
    <row r="365" spans="1:72" x14ac:dyDescent="0.2">
      <c r="A365" s="123" t="s">
        <v>375</v>
      </c>
      <c r="B365" s="124" t="s">
        <v>762</v>
      </c>
      <c r="C365" s="158">
        <v>49</v>
      </c>
      <c r="D365" s="158"/>
      <c r="E365" s="158">
        <v>0</v>
      </c>
      <c r="F365" s="158"/>
      <c r="G365" s="158">
        <v>49</v>
      </c>
      <c r="H365" s="158"/>
      <c r="I365" s="158">
        <v>49</v>
      </c>
      <c r="J365" s="158"/>
      <c r="K365" s="158">
        <v>55.59</v>
      </c>
      <c r="L365" s="158"/>
      <c r="M365" s="158">
        <v>16.45</v>
      </c>
      <c r="N365" s="158"/>
      <c r="O365" s="158">
        <v>30.8</v>
      </c>
      <c r="P365" s="158"/>
      <c r="Q365" s="158">
        <v>0</v>
      </c>
      <c r="R365" s="158"/>
      <c r="S365" s="158">
        <v>107.8</v>
      </c>
      <c r="T365" s="158"/>
      <c r="U365" s="158">
        <v>0</v>
      </c>
      <c r="V365" s="158"/>
      <c r="W365" s="158">
        <v>137.19999999999999</v>
      </c>
      <c r="X365" s="158"/>
      <c r="Y365" s="158">
        <v>0</v>
      </c>
      <c r="Z365" s="158"/>
      <c r="AA365" s="158">
        <v>49</v>
      </c>
      <c r="AB365" s="158"/>
      <c r="AC365" s="158">
        <v>58</v>
      </c>
      <c r="AD365" s="158"/>
      <c r="AE365" s="158">
        <v>19.600000000000001</v>
      </c>
      <c r="AF365" s="158"/>
      <c r="AG365" s="158">
        <v>49</v>
      </c>
      <c r="AH365" s="158"/>
      <c r="AI365" s="158">
        <v>30.58</v>
      </c>
      <c r="AJ365" s="158"/>
      <c r="AK365" s="158">
        <v>0</v>
      </c>
      <c r="AL365" s="158"/>
      <c r="AM365" s="158">
        <v>11.56</v>
      </c>
      <c r="AN365" s="158"/>
      <c r="AO365" s="158">
        <v>0</v>
      </c>
      <c r="AP365" s="158"/>
      <c r="AQ365" s="158">
        <v>0</v>
      </c>
      <c r="AR365" s="158"/>
      <c r="AS365" s="158">
        <v>12.78</v>
      </c>
      <c r="AT365" s="158"/>
      <c r="AU365" s="158">
        <v>0</v>
      </c>
      <c r="AV365" s="158"/>
      <c r="AW365" s="158">
        <v>0</v>
      </c>
      <c r="AX365" s="158"/>
      <c r="AY365" s="158">
        <v>0</v>
      </c>
      <c r="AZ365" s="158"/>
      <c r="BA365" s="158">
        <v>29.4</v>
      </c>
      <c r="BB365" s="158"/>
      <c r="BC365" s="158">
        <v>0</v>
      </c>
      <c r="BD365" s="158"/>
      <c r="BE365" s="158">
        <v>93.88</v>
      </c>
      <c r="BF365" s="158"/>
      <c r="BG365" s="158">
        <v>20.95</v>
      </c>
      <c r="BH365" s="158"/>
      <c r="BI365" s="158">
        <v>19.600000000000001</v>
      </c>
      <c r="BJ365" s="158"/>
      <c r="BK365" s="158">
        <v>7</v>
      </c>
      <c r="BL365" s="158"/>
      <c r="BM365" s="158">
        <v>9.99</v>
      </c>
      <c r="BN365" s="158"/>
      <c r="BO365" s="158">
        <v>0</v>
      </c>
      <c r="BP365" s="158"/>
      <c r="BQ365" s="158">
        <v>19.600000000000001</v>
      </c>
      <c r="BR365" s="158"/>
      <c r="BS365" s="158">
        <v>0</v>
      </c>
      <c r="BT365" s="158"/>
    </row>
    <row r="366" spans="1:72" x14ac:dyDescent="0.2">
      <c r="A366" s="123" t="s">
        <v>376</v>
      </c>
      <c r="B366" s="124" t="s">
        <v>761</v>
      </c>
      <c r="C366" s="158">
        <v>9.5399999999999991</v>
      </c>
      <c r="D366" s="158"/>
      <c r="E366" s="158">
        <v>32.92</v>
      </c>
      <c r="F366" s="158"/>
      <c r="G366" s="158">
        <v>25.08</v>
      </c>
      <c r="H366" s="158"/>
      <c r="I366" s="158">
        <v>9.33</v>
      </c>
      <c r="J366" s="158"/>
      <c r="K366" s="158">
        <v>32.799999999999997</v>
      </c>
      <c r="L366" s="158"/>
      <c r="M366" s="158">
        <v>9.33</v>
      </c>
      <c r="N366" s="158"/>
      <c r="O366" s="158">
        <v>18.7</v>
      </c>
      <c r="P366" s="158"/>
      <c r="Q366" s="158">
        <v>29.13</v>
      </c>
      <c r="R366" s="158"/>
      <c r="S366" s="158">
        <v>18.920000000000002</v>
      </c>
      <c r="T366" s="158"/>
      <c r="U366" s="158">
        <v>24.94</v>
      </c>
      <c r="V366" s="158"/>
      <c r="W366" s="158">
        <v>9.33</v>
      </c>
      <c r="X366" s="158"/>
      <c r="Y366" s="158">
        <v>11.18</v>
      </c>
      <c r="Z366" s="158"/>
      <c r="AA366" s="158">
        <v>10.46</v>
      </c>
      <c r="AB366" s="158"/>
      <c r="AC366" s="158">
        <v>18.77</v>
      </c>
      <c r="AD366" s="158"/>
      <c r="AE366" s="158">
        <v>25.14</v>
      </c>
      <c r="AF366" s="158"/>
      <c r="AG366" s="158">
        <v>20.16</v>
      </c>
      <c r="AH366" s="158"/>
      <c r="AI366" s="158">
        <v>9.33</v>
      </c>
      <c r="AJ366" s="158"/>
      <c r="AK366" s="158">
        <v>25.08</v>
      </c>
      <c r="AL366" s="158"/>
      <c r="AM366" s="158">
        <v>9.33</v>
      </c>
      <c r="AN366" s="158"/>
      <c r="AO366" s="158">
        <v>18.329999999999998</v>
      </c>
      <c r="AP366" s="158"/>
      <c r="AQ366" s="158">
        <v>9.33</v>
      </c>
      <c r="AR366" s="158"/>
      <c r="AS366" s="158">
        <v>13.32</v>
      </c>
      <c r="AT366" s="158"/>
      <c r="AU366" s="158">
        <v>29.15</v>
      </c>
      <c r="AV366" s="158"/>
      <c r="AW366" s="158">
        <v>32.85</v>
      </c>
      <c r="AX366" s="158"/>
      <c r="AY366" s="158">
        <v>9.33</v>
      </c>
      <c r="AZ366" s="158"/>
      <c r="BA366" s="158">
        <v>249.29</v>
      </c>
      <c r="BB366" s="158"/>
      <c r="BC366" s="158">
        <v>9.4700000000000006</v>
      </c>
      <c r="BD366" s="158"/>
      <c r="BE366" s="158">
        <v>90.68</v>
      </c>
      <c r="BF366" s="158"/>
      <c r="BG366" s="158">
        <v>0</v>
      </c>
      <c r="BH366" s="158"/>
      <c r="BI366" s="158">
        <v>9.33</v>
      </c>
      <c r="BJ366" s="158"/>
      <c r="BK366" s="158">
        <v>25.24</v>
      </c>
      <c r="BL366" s="158"/>
      <c r="BM366" s="158">
        <v>29.59</v>
      </c>
      <c r="BN366" s="158"/>
      <c r="BO366" s="158">
        <v>13.32</v>
      </c>
      <c r="BP366" s="158"/>
      <c r="BQ366" s="158">
        <v>13.32</v>
      </c>
      <c r="BR366" s="158"/>
      <c r="BS366" s="158">
        <v>29.06</v>
      </c>
      <c r="BT366" s="158"/>
    </row>
    <row r="367" spans="1:72" x14ac:dyDescent="0.2">
      <c r="A367" s="123" t="s">
        <v>377</v>
      </c>
      <c r="B367" s="124" t="s">
        <v>760</v>
      </c>
      <c r="C367" s="158">
        <v>34.880000000000003</v>
      </c>
      <c r="D367" s="158"/>
      <c r="E367" s="158">
        <v>34.880000000000003</v>
      </c>
      <c r="F367" s="158"/>
      <c r="G367" s="158">
        <v>119.88</v>
      </c>
      <c r="H367" s="158"/>
      <c r="I367" s="158">
        <v>34.880000000000003</v>
      </c>
      <c r="J367" s="158"/>
      <c r="K367" s="158">
        <v>34.869999999999997</v>
      </c>
      <c r="L367" s="158"/>
      <c r="M367" s="158">
        <v>34.880000000000003</v>
      </c>
      <c r="N367" s="158"/>
      <c r="O367" s="158">
        <v>34.880000000000003</v>
      </c>
      <c r="P367" s="158"/>
      <c r="Q367" s="158">
        <v>34.880000000000003</v>
      </c>
      <c r="R367" s="158"/>
      <c r="S367" s="158">
        <v>81.88</v>
      </c>
      <c r="T367" s="158"/>
      <c r="U367" s="158">
        <v>34.869999999999997</v>
      </c>
      <c r="V367" s="158"/>
      <c r="W367" s="158">
        <v>34.880000000000003</v>
      </c>
      <c r="X367" s="158"/>
      <c r="Y367" s="158">
        <v>34.880000000000003</v>
      </c>
      <c r="Z367" s="158"/>
      <c r="AA367" s="158">
        <v>34.880000000000003</v>
      </c>
      <c r="AB367" s="158"/>
      <c r="AC367" s="158">
        <v>34.880000000000003</v>
      </c>
      <c r="AD367" s="158"/>
      <c r="AE367" s="158">
        <v>34.869999999999997</v>
      </c>
      <c r="AF367" s="158"/>
      <c r="AG367" s="158">
        <v>109.93</v>
      </c>
      <c r="AH367" s="158"/>
      <c r="AI367" s="158">
        <v>34.880000000000003</v>
      </c>
      <c r="AJ367" s="158"/>
      <c r="AK367" s="158">
        <v>34.880000000000003</v>
      </c>
      <c r="AL367" s="158"/>
      <c r="AM367" s="158">
        <v>34.880000000000003</v>
      </c>
      <c r="AN367" s="158"/>
      <c r="AO367" s="158">
        <v>99.54</v>
      </c>
      <c r="AP367" s="158"/>
      <c r="AQ367" s="158">
        <v>34.880000000000003</v>
      </c>
      <c r="AR367" s="158"/>
      <c r="AS367" s="158">
        <v>34.880000000000003</v>
      </c>
      <c r="AT367" s="158"/>
      <c r="AU367" s="158">
        <v>34.880000000000003</v>
      </c>
      <c r="AV367" s="158"/>
      <c r="AW367" s="158">
        <v>81.87</v>
      </c>
      <c r="AX367" s="158"/>
      <c r="AY367" s="158">
        <v>34.880000000000003</v>
      </c>
      <c r="AZ367" s="158"/>
      <c r="BA367" s="158">
        <v>34.880000000000003</v>
      </c>
      <c r="BB367" s="158"/>
      <c r="BC367" s="158">
        <v>34.880000000000003</v>
      </c>
      <c r="BD367" s="158"/>
      <c r="BE367" s="158">
        <v>34.880000000000003</v>
      </c>
      <c r="BF367" s="158"/>
      <c r="BG367" s="158">
        <v>34.880000000000003</v>
      </c>
      <c r="BH367" s="158"/>
      <c r="BI367" s="158">
        <v>34.880000000000003</v>
      </c>
      <c r="BJ367" s="158"/>
      <c r="BK367" s="158">
        <v>34.880000000000003</v>
      </c>
      <c r="BL367" s="158"/>
      <c r="BM367" s="158">
        <v>34.880000000000003</v>
      </c>
      <c r="BN367" s="158"/>
      <c r="BO367" s="158">
        <v>81.88</v>
      </c>
      <c r="BP367" s="158"/>
      <c r="BQ367" s="158">
        <v>34.880000000000003</v>
      </c>
      <c r="BR367" s="158"/>
      <c r="BS367" s="158">
        <v>34.880000000000003</v>
      </c>
      <c r="BT367" s="158"/>
    </row>
    <row r="368" spans="1:72" x14ac:dyDescent="0.2">
      <c r="A368" s="123" t="s">
        <v>1193</v>
      </c>
      <c r="B368" s="124" t="s">
        <v>776</v>
      </c>
      <c r="C368" s="158">
        <v>0</v>
      </c>
      <c r="D368" s="158"/>
      <c r="E368" s="158">
        <v>0</v>
      </c>
      <c r="F368" s="158"/>
      <c r="G368" s="158">
        <v>0</v>
      </c>
      <c r="H368" s="158"/>
      <c r="I368" s="158">
        <v>0</v>
      </c>
      <c r="J368" s="158"/>
      <c r="K368" s="158">
        <v>0</v>
      </c>
      <c r="L368" s="158"/>
      <c r="M368" s="158">
        <v>0</v>
      </c>
      <c r="N368" s="158"/>
      <c r="O368" s="158">
        <v>0</v>
      </c>
      <c r="P368" s="158"/>
      <c r="Q368" s="158">
        <v>0</v>
      </c>
      <c r="R368" s="158"/>
      <c r="S368" s="158">
        <v>35.99</v>
      </c>
      <c r="T368" s="158"/>
      <c r="U368" s="158">
        <v>0</v>
      </c>
      <c r="V368" s="158"/>
      <c r="W368" s="158">
        <v>0</v>
      </c>
      <c r="X368" s="158"/>
      <c r="Y368" s="158">
        <v>0</v>
      </c>
      <c r="Z368" s="158"/>
      <c r="AA368" s="158">
        <v>0</v>
      </c>
      <c r="AB368" s="158"/>
      <c r="AC368" s="158">
        <v>0</v>
      </c>
      <c r="AD368" s="158"/>
      <c r="AE368" s="158">
        <v>0</v>
      </c>
      <c r="AF368" s="158"/>
      <c r="AG368" s="158">
        <v>0</v>
      </c>
      <c r="AH368" s="158"/>
      <c r="AI368" s="158">
        <v>0</v>
      </c>
      <c r="AJ368" s="158"/>
      <c r="AK368" s="158">
        <v>0</v>
      </c>
      <c r="AL368" s="158"/>
      <c r="AM368" s="158">
        <v>0</v>
      </c>
      <c r="AN368" s="158"/>
      <c r="AO368" s="158">
        <v>0</v>
      </c>
      <c r="AP368" s="158"/>
      <c r="AQ368" s="158">
        <v>0</v>
      </c>
      <c r="AR368" s="158"/>
      <c r="AS368" s="158">
        <v>54.05</v>
      </c>
      <c r="AT368" s="158"/>
      <c r="AU368" s="158">
        <v>0</v>
      </c>
      <c r="AV368" s="158"/>
      <c r="AW368" s="158">
        <v>0</v>
      </c>
      <c r="AX368" s="158"/>
      <c r="AY368" s="158">
        <v>0</v>
      </c>
      <c r="AZ368" s="158"/>
      <c r="BA368" s="158">
        <v>0</v>
      </c>
      <c r="BB368" s="158"/>
      <c r="BC368" s="158">
        <v>0</v>
      </c>
      <c r="BD368" s="158"/>
      <c r="BE368" s="158">
        <v>0</v>
      </c>
      <c r="BF368" s="158"/>
      <c r="BG368" s="158">
        <v>0</v>
      </c>
      <c r="BH368" s="158"/>
      <c r="BI368" s="158">
        <v>0</v>
      </c>
      <c r="BJ368" s="158"/>
      <c r="BK368" s="158">
        <v>0</v>
      </c>
      <c r="BL368" s="158"/>
      <c r="BM368" s="158">
        <v>0</v>
      </c>
      <c r="BN368" s="158"/>
      <c r="BO368" s="158">
        <v>0</v>
      </c>
      <c r="BP368" s="158"/>
      <c r="BQ368" s="158">
        <v>0</v>
      </c>
      <c r="BR368" s="158"/>
      <c r="BS368" s="158">
        <v>0</v>
      </c>
      <c r="BT368" s="158"/>
    </row>
    <row r="369" spans="1:72" x14ac:dyDescent="0.2">
      <c r="A369" s="123" t="s">
        <v>642</v>
      </c>
      <c r="B369" s="124" t="s">
        <v>759</v>
      </c>
      <c r="C369" s="158">
        <v>0</v>
      </c>
      <c r="D369" s="158"/>
      <c r="E369" s="158">
        <v>0</v>
      </c>
      <c r="F369" s="158"/>
      <c r="G369" s="158">
        <v>0</v>
      </c>
      <c r="H369" s="158"/>
      <c r="I369" s="158">
        <v>0</v>
      </c>
      <c r="J369" s="158"/>
      <c r="K369" s="158">
        <v>0</v>
      </c>
      <c r="L369" s="158"/>
      <c r="M369" s="158">
        <v>0</v>
      </c>
      <c r="N369" s="158"/>
      <c r="O369" s="158">
        <v>0</v>
      </c>
      <c r="P369" s="158"/>
      <c r="Q369" s="158">
        <v>0</v>
      </c>
      <c r="R369" s="158"/>
      <c r="S369" s="158">
        <v>0</v>
      </c>
      <c r="T369" s="158"/>
      <c r="U369" s="158">
        <v>0</v>
      </c>
      <c r="V369" s="158"/>
      <c r="W369" s="158">
        <v>0</v>
      </c>
      <c r="X369" s="158"/>
      <c r="Y369" s="158">
        <v>0</v>
      </c>
      <c r="Z369" s="158"/>
      <c r="AA369" s="158">
        <v>0</v>
      </c>
      <c r="AB369" s="158"/>
      <c r="AC369" s="158">
        <v>0</v>
      </c>
      <c r="AD369" s="158"/>
      <c r="AE369" s="158">
        <v>0</v>
      </c>
      <c r="AF369" s="158"/>
      <c r="AG369" s="158">
        <v>0</v>
      </c>
      <c r="AH369" s="158"/>
      <c r="AI369" s="158">
        <v>0</v>
      </c>
      <c r="AJ369" s="158"/>
      <c r="AK369" s="158">
        <v>0</v>
      </c>
      <c r="AL369" s="158"/>
      <c r="AM369" s="158">
        <v>3454.02</v>
      </c>
      <c r="AN369" s="158"/>
      <c r="AO369" s="158">
        <v>0</v>
      </c>
      <c r="AP369" s="158"/>
      <c r="AQ369" s="158">
        <v>0</v>
      </c>
      <c r="AR369" s="158"/>
      <c r="AS369" s="158">
        <v>0</v>
      </c>
      <c r="AT369" s="158"/>
      <c r="AU369" s="158">
        <v>0</v>
      </c>
      <c r="AV369" s="158"/>
      <c r="AW369" s="158">
        <v>0</v>
      </c>
      <c r="AX369" s="158"/>
      <c r="AY369" s="158">
        <v>0</v>
      </c>
      <c r="AZ369" s="158"/>
      <c r="BA369" s="158">
        <v>0</v>
      </c>
      <c r="BB369" s="158"/>
      <c r="BC369" s="158">
        <v>0</v>
      </c>
      <c r="BD369" s="158"/>
      <c r="BE369" s="158">
        <v>0</v>
      </c>
      <c r="BF369" s="158"/>
      <c r="BG369" s="158">
        <v>0</v>
      </c>
      <c r="BH369" s="158"/>
      <c r="BI369" s="158">
        <v>0</v>
      </c>
      <c r="BJ369" s="158"/>
      <c r="BK369" s="158">
        <v>0</v>
      </c>
      <c r="BL369" s="158"/>
      <c r="BM369" s="158">
        <v>0</v>
      </c>
      <c r="BN369" s="158"/>
      <c r="BO369" s="158">
        <v>0</v>
      </c>
      <c r="BP369" s="158"/>
      <c r="BQ369" s="158">
        <v>0</v>
      </c>
      <c r="BR369" s="158"/>
      <c r="BS369" s="158">
        <v>0</v>
      </c>
      <c r="BT369" s="158"/>
    </row>
    <row r="370" spans="1:72" x14ac:dyDescent="0.2">
      <c r="A370" s="123" t="s">
        <v>550</v>
      </c>
      <c r="B370" s="124" t="s">
        <v>758</v>
      </c>
      <c r="C370" s="158">
        <v>0</v>
      </c>
      <c r="D370" s="158"/>
      <c r="E370" s="158">
        <v>0</v>
      </c>
      <c r="F370" s="158"/>
      <c r="G370" s="158">
        <v>0</v>
      </c>
      <c r="H370" s="158"/>
      <c r="I370" s="158">
        <v>299</v>
      </c>
      <c r="J370" s="158"/>
      <c r="K370" s="158">
        <v>0</v>
      </c>
      <c r="L370" s="158"/>
      <c r="M370" s="158">
        <v>0</v>
      </c>
      <c r="N370" s="158"/>
      <c r="O370" s="158">
        <v>0</v>
      </c>
      <c r="P370" s="158"/>
      <c r="Q370" s="158">
        <v>0</v>
      </c>
      <c r="R370" s="158"/>
      <c r="S370" s="158">
        <v>0</v>
      </c>
      <c r="T370" s="158"/>
      <c r="U370" s="158">
        <v>0</v>
      </c>
      <c r="V370" s="158"/>
      <c r="W370" s="158">
        <v>0</v>
      </c>
      <c r="X370" s="158"/>
      <c r="Y370" s="158">
        <v>0</v>
      </c>
      <c r="Z370" s="158"/>
      <c r="AA370" s="158">
        <v>0</v>
      </c>
      <c r="AB370" s="158"/>
      <c r="AC370" s="158">
        <v>0</v>
      </c>
      <c r="AD370" s="158"/>
      <c r="AE370" s="158">
        <v>-174</v>
      </c>
      <c r="AF370" s="158"/>
      <c r="AG370" s="158">
        <v>0</v>
      </c>
      <c r="AH370" s="158"/>
      <c r="AI370" s="158">
        <v>0</v>
      </c>
      <c r="AJ370" s="158"/>
      <c r="AK370" s="158">
        <v>0</v>
      </c>
      <c r="AL370" s="158"/>
      <c r="AM370" s="158">
        <v>0</v>
      </c>
      <c r="AN370" s="158"/>
      <c r="AO370" s="158">
        <v>462</v>
      </c>
      <c r="AP370" s="158"/>
      <c r="AQ370" s="158">
        <v>0</v>
      </c>
      <c r="AR370" s="158"/>
      <c r="AS370" s="158">
        <v>0</v>
      </c>
      <c r="AT370" s="158"/>
      <c r="AU370" s="158">
        <v>217.3</v>
      </c>
      <c r="AV370" s="158"/>
      <c r="AW370" s="158">
        <v>0</v>
      </c>
      <c r="AX370" s="158"/>
      <c r="AY370" s="158">
        <v>0</v>
      </c>
      <c r="AZ370" s="158"/>
      <c r="BA370" s="158">
        <v>0</v>
      </c>
      <c r="BB370" s="158"/>
      <c r="BC370" s="158">
        <v>0</v>
      </c>
      <c r="BD370" s="158"/>
      <c r="BE370" s="158">
        <v>0</v>
      </c>
      <c r="BF370" s="158"/>
      <c r="BG370" s="158">
        <v>0</v>
      </c>
      <c r="BH370" s="158"/>
      <c r="BI370" s="158">
        <v>0</v>
      </c>
      <c r="BJ370" s="158"/>
      <c r="BK370" s="158">
        <v>0</v>
      </c>
      <c r="BL370" s="158"/>
      <c r="BM370" s="158">
        <v>330</v>
      </c>
      <c r="BN370" s="158"/>
      <c r="BO370" s="158">
        <v>0</v>
      </c>
      <c r="BP370" s="158"/>
      <c r="BQ370" s="158">
        <v>0</v>
      </c>
      <c r="BR370" s="158"/>
      <c r="BS370" s="158">
        <v>0</v>
      </c>
      <c r="BT370" s="158"/>
    </row>
    <row r="371" spans="1:72" x14ac:dyDescent="0.2">
      <c r="A371" s="123" t="s">
        <v>378</v>
      </c>
      <c r="B371" s="124" t="s">
        <v>757</v>
      </c>
      <c r="C371" s="158">
        <v>54.32</v>
      </c>
      <c r="D371" s="158"/>
      <c r="E371" s="158">
        <v>58.82</v>
      </c>
      <c r="F371" s="158"/>
      <c r="G371" s="158">
        <v>54.32</v>
      </c>
      <c r="H371" s="158"/>
      <c r="I371" s="158">
        <v>58.82</v>
      </c>
      <c r="J371" s="158"/>
      <c r="K371" s="158">
        <v>50.82</v>
      </c>
      <c r="L371" s="158"/>
      <c r="M371" s="158">
        <v>58.82</v>
      </c>
      <c r="N371" s="158"/>
      <c r="O371" s="158">
        <v>58.82</v>
      </c>
      <c r="P371" s="158"/>
      <c r="Q371" s="158">
        <v>54.32</v>
      </c>
      <c r="R371" s="158"/>
      <c r="S371" s="158">
        <v>11.82</v>
      </c>
      <c r="T371" s="158"/>
      <c r="U371" s="158">
        <v>11.82</v>
      </c>
      <c r="V371" s="158"/>
      <c r="W371" s="158">
        <v>91.52</v>
      </c>
      <c r="X371" s="158"/>
      <c r="Y371" s="158">
        <v>58.82</v>
      </c>
      <c r="Z371" s="158"/>
      <c r="AA371" s="158">
        <v>11.82</v>
      </c>
      <c r="AB371" s="158"/>
      <c r="AC371" s="158">
        <v>58.82</v>
      </c>
      <c r="AD371" s="158"/>
      <c r="AE371" s="158">
        <v>11.82</v>
      </c>
      <c r="AF371" s="158"/>
      <c r="AG371" s="158">
        <v>11.82</v>
      </c>
      <c r="AH371" s="158"/>
      <c r="AI371" s="158">
        <v>41.57</v>
      </c>
      <c r="AJ371" s="158"/>
      <c r="AK371" s="158">
        <v>58.82</v>
      </c>
      <c r="AL371" s="158"/>
      <c r="AM371" s="158">
        <v>67.28</v>
      </c>
      <c r="AN371" s="158"/>
      <c r="AO371" s="158">
        <v>76.069999999999993</v>
      </c>
      <c r="AP371" s="158"/>
      <c r="AQ371" s="158">
        <v>98.07</v>
      </c>
      <c r="AR371" s="158"/>
      <c r="AS371" s="158">
        <v>44.07</v>
      </c>
      <c r="AT371" s="158"/>
      <c r="AU371" s="158">
        <v>58.82</v>
      </c>
      <c r="AV371" s="158"/>
      <c r="AW371" s="158">
        <v>11.82</v>
      </c>
      <c r="AX371" s="158"/>
      <c r="AY371" s="158">
        <v>11.82</v>
      </c>
      <c r="AZ371" s="158"/>
      <c r="BA371" s="158">
        <v>58.82</v>
      </c>
      <c r="BB371" s="158"/>
      <c r="BC371" s="158">
        <v>58.82</v>
      </c>
      <c r="BD371" s="158"/>
      <c r="BE371" s="158">
        <v>58.99</v>
      </c>
      <c r="BF371" s="158"/>
      <c r="BG371" s="158">
        <v>81.819999999999993</v>
      </c>
      <c r="BH371" s="158"/>
      <c r="BI371" s="158">
        <v>11.82</v>
      </c>
      <c r="BJ371" s="158"/>
      <c r="BK371" s="158">
        <v>11.82</v>
      </c>
      <c r="BL371" s="158"/>
      <c r="BM371" s="158">
        <v>41.57</v>
      </c>
      <c r="BN371" s="158"/>
      <c r="BO371" s="158">
        <v>11.82</v>
      </c>
      <c r="BP371" s="158"/>
      <c r="BQ371" s="158">
        <v>11.82</v>
      </c>
      <c r="BR371" s="158"/>
      <c r="BS371" s="158">
        <v>11.82</v>
      </c>
      <c r="BT371" s="158"/>
    </row>
    <row r="372" spans="1:72" x14ac:dyDescent="0.2">
      <c r="A372" s="123" t="s">
        <v>379</v>
      </c>
      <c r="B372" s="124" t="s">
        <v>756</v>
      </c>
      <c r="C372" s="158">
        <v>0</v>
      </c>
      <c r="D372" s="158"/>
      <c r="E372" s="158">
        <v>0</v>
      </c>
      <c r="F372" s="158"/>
      <c r="G372" s="158">
        <v>0</v>
      </c>
      <c r="H372" s="158"/>
      <c r="I372" s="158">
        <v>0</v>
      </c>
      <c r="J372" s="158"/>
      <c r="K372" s="158">
        <v>0</v>
      </c>
      <c r="L372" s="158"/>
      <c r="M372" s="158">
        <v>0</v>
      </c>
      <c r="N372" s="158"/>
      <c r="O372" s="158">
        <v>0</v>
      </c>
      <c r="P372" s="158"/>
      <c r="Q372" s="158">
        <v>0</v>
      </c>
      <c r="R372" s="158"/>
      <c r="S372" s="158">
        <v>0</v>
      </c>
      <c r="T372" s="158"/>
      <c r="U372" s="158">
        <v>0</v>
      </c>
      <c r="V372" s="158"/>
      <c r="W372" s="158">
        <v>0</v>
      </c>
      <c r="X372" s="158"/>
      <c r="Y372" s="158">
        <v>0</v>
      </c>
      <c r="Z372" s="158"/>
      <c r="AA372" s="158">
        <v>-66</v>
      </c>
      <c r="AB372" s="158"/>
      <c r="AC372" s="158">
        <v>0</v>
      </c>
      <c r="AD372" s="158"/>
      <c r="AE372" s="158">
        <v>0</v>
      </c>
      <c r="AF372" s="158"/>
      <c r="AG372" s="158">
        <v>0</v>
      </c>
      <c r="AH372" s="158"/>
      <c r="AI372" s="158">
        <v>0</v>
      </c>
      <c r="AJ372" s="158"/>
      <c r="AK372" s="158">
        <v>0</v>
      </c>
      <c r="AL372" s="158"/>
      <c r="AM372" s="158">
        <v>0</v>
      </c>
      <c r="AN372" s="158"/>
      <c r="AO372" s="158">
        <v>0</v>
      </c>
      <c r="AP372" s="158"/>
      <c r="AQ372" s="158">
        <v>0</v>
      </c>
      <c r="AR372" s="158"/>
      <c r="AS372" s="158">
        <v>0</v>
      </c>
      <c r="AT372" s="158"/>
      <c r="AU372" s="158">
        <v>0</v>
      </c>
      <c r="AV372" s="158"/>
      <c r="AW372" s="158">
        <v>0</v>
      </c>
      <c r="AX372" s="158"/>
      <c r="AY372" s="158">
        <v>0</v>
      </c>
      <c r="AZ372" s="158"/>
      <c r="BA372" s="158">
        <v>0</v>
      </c>
      <c r="BB372" s="158"/>
      <c r="BC372" s="158">
        <v>0</v>
      </c>
      <c r="BD372" s="158"/>
      <c r="BE372" s="158">
        <v>0</v>
      </c>
      <c r="BF372" s="158"/>
      <c r="BG372" s="158">
        <v>0</v>
      </c>
      <c r="BH372" s="158"/>
      <c r="BI372" s="158">
        <v>0</v>
      </c>
      <c r="BJ372" s="158"/>
      <c r="BK372" s="158">
        <v>0</v>
      </c>
      <c r="BL372" s="158"/>
      <c r="BM372" s="158">
        <v>0</v>
      </c>
      <c r="BN372" s="158"/>
      <c r="BO372" s="158">
        <v>0</v>
      </c>
      <c r="BP372" s="158"/>
      <c r="BQ372" s="158">
        <v>0</v>
      </c>
      <c r="BR372" s="158"/>
      <c r="BS372" s="158">
        <v>0</v>
      </c>
      <c r="BT372" s="158"/>
    </row>
    <row r="373" spans="1:72" x14ac:dyDescent="0.2">
      <c r="A373" s="123" t="s">
        <v>1405</v>
      </c>
      <c r="B373" s="124" t="s">
        <v>1406</v>
      </c>
      <c r="C373" s="158">
        <v>610.84</v>
      </c>
      <c r="D373" s="158"/>
      <c r="E373" s="158">
        <v>610.83000000000004</v>
      </c>
      <c r="F373" s="158"/>
      <c r="G373" s="158">
        <v>610.84</v>
      </c>
      <c r="H373" s="158"/>
      <c r="I373" s="158">
        <v>610.83000000000004</v>
      </c>
      <c r="J373" s="158"/>
      <c r="K373" s="158">
        <v>610.84</v>
      </c>
      <c r="L373" s="158"/>
      <c r="M373" s="158">
        <v>610.83000000000004</v>
      </c>
      <c r="N373" s="158"/>
      <c r="O373" s="158">
        <v>610.83000000000004</v>
      </c>
      <c r="P373" s="158"/>
      <c r="Q373" s="158">
        <v>610.83000000000004</v>
      </c>
      <c r="R373" s="158"/>
      <c r="S373" s="158">
        <v>610.83000000000004</v>
      </c>
      <c r="T373" s="158"/>
      <c r="U373" s="158">
        <v>610.83000000000004</v>
      </c>
      <c r="V373" s="158"/>
      <c r="W373" s="158">
        <v>610.83000000000004</v>
      </c>
      <c r="X373" s="158"/>
      <c r="Y373" s="158">
        <v>610.83000000000004</v>
      </c>
      <c r="Z373" s="158"/>
      <c r="AA373" s="158">
        <v>610.83000000000004</v>
      </c>
      <c r="AB373" s="158"/>
      <c r="AC373" s="158">
        <v>610.83000000000004</v>
      </c>
      <c r="AD373" s="158"/>
      <c r="AE373" s="158">
        <v>610.83000000000004</v>
      </c>
      <c r="AF373" s="158"/>
      <c r="AG373" s="158">
        <v>610.83000000000004</v>
      </c>
      <c r="AH373" s="158"/>
      <c r="AI373" s="158">
        <v>610.83000000000004</v>
      </c>
      <c r="AJ373" s="158"/>
      <c r="AK373" s="158">
        <v>610.83000000000004</v>
      </c>
      <c r="AL373" s="158"/>
      <c r="AM373" s="158">
        <v>610.84</v>
      </c>
      <c r="AN373" s="158"/>
      <c r="AO373" s="158">
        <v>610.83000000000004</v>
      </c>
      <c r="AP373" s="158"/>
      <c r="AQ373" s="158">
        <v>610.83000000000004</v>
      </c>
      <c r="AR373" s="158"/>
      <c r="AS373" s="158">
        <v>610.83000000000004</v>
      </c>
      <c r="AT373" s="158"/>
      <c r="AU373" s="158">
        <v>610.83000000000004</v>
      </c>
      <c r="AV373" s="158"/>
      <c r="AW373" s="158">
        <v>610.83000000000004</v>
      </c>
      <c r="AX373" s="158"/>
      <c r="AY373" s="158">
        <v>610.83000000000004</v>
      </c>
      <c r="AZ373" s="158"/>
      <c r="BA373" s="158">
        <v>610.83000000000004</v>
      </c>
      <c r="BB373" s="158"/>
      <c r="BC373" s="158">
        <v>610.83000000000004</v>
      </c>
      <c r="BD373" s="158"/>
      <c r="BE373" s="158">
        <v>610.83000000000004</v>
      </c>
      <c r="BF373" s="158"/>
      <c r="BG373" s="158">
        <v>610.83000000000004</v>
      </c>
      <c r="BH373" s="158"/>
      <c r="BI373" s="158">
        <v>610.83000000000004</v>
      </c>
      <c r="BJ373" s="158"/>
      <c r="BK373" s="158">
        <v>610.83000000000004</v>
      </c>
      <c r="BL373" s="158"/>
      <c r="BM373" s="158">
        <v>610.83000000000004</v>
      </c>
      <c r="BN373" s="158"/>
      <c r="BO373" s="158">
        <v>610.83000000000004</v>
      </c>
      <c r="BP373" s="158"/>
      <c r="BQ373" s="158">
        <v>610.83000000000004</v>
      </c>
      <c r="BR373" s="158"/>
      <c r="BS373" s="158">
        <v>610.83000000000004</v>
      </c>
      <c r="BT373" s="158"/>
    </row>
    <row r="374" spans="1:72" x14ac:dyDescent="0.2">
      <c r="A374" s="123" t="s">
        <v>380</v>
      </c>
      <c r="B374" s="124" t="s">
        <v>755</v>
      </c>
      <c r="C374" s="158">
        <v>5737.6</v>
      </c>
      <c r="D374" s="158"/>
      <c r="E374" s="158">
        <v>6515.6</v>
      </c>
      <c r="F374" s="158"/>
      <c r="G374" s="158">
        <v>5632.85</v>
      </c>
      <c r="H374" s="158"/>
      <c r="I374" s="158">
        <v>5653.62</v>
      </c>
      <c r="J374" s="158"/>
      <c r="K374" s="158">
        <v>11793.81</v>
      </c>
      <c r="L374" s="158"/>
      <c r="M374" s="158">
        <v>5537.52</v>
      </c>
      <c r="N374" s="158"/>
      <c r="O374" s="158">
        <v>5618.05</v>
      </c>
      <c r="P374" s="158"/>
      <c r="Q374" s="158">
        <v>4465.1499999999996</v>
      </c>
      <c r="R374" s="158"/>
      <c r="S374" s="158">
        <v>5591.9</v>
      </c>
      <c r="T374" s="158"/>
      <c r="U374" s="158">
        <v>5863.39</v>
      </c>
      <c r="V374" s="158"/>
      <c r="W374" s="158">
        <v>4541.3999999999996</v>
      </c>
      <c r="X374" s="158"/>
      <c r="Y374" s="158">
        <v>5613.6</v>
      </c>
      <c r="Z374" s="158"/>
      <c r="AA374" s="158">
        <v>5631.15</v>
      </c>
      <c r="AB374" s="158"/>
      <c r="AC374" s="158">
        <v>4494.6000000000004</v>
      </c>
      <c r="AD374" s="158"/>
      <c r="AE374" s="158">
        <v>7325.17</v>
      </c>
      <c r="AF374" s="158"/>
      <c r="AG374" s="158">
        <v>5671.17</v>
      </c>
      <c r="AH374" s="158"/>
      <c r="AI374" s="158">
        <v>3616.35</v>
      </c>
      <c r="AJ374" s="158"/>
      <c r="AK374" s="158">
        <v>5890.5</v>
      </c>
      <c r="AL374" s="158"/>
      <c r="AM374" s="158">
        <v>8524.39</v>
      </c>
      <c r="AN374" s="158"/>
      <c r="AO374" s="158">
        <v>5130.59</v>
      </c>
      <c r="AP374" s="158"/>
      <c r="AQ374" s="158">
        <v>7221.17</v>
      </c>
      <c r="AR374" s="158"/>
      <c r="AS374" s="158">
        <v>5651.67</v>
      </c>
      <c r="AT374" s="158"/>
      <c r="AU374" s="158">
        <v>6063.43</v>
      </c>
      <c r="AV374" s="158"/>
      <c r="AW374" s="158">
        <v>4219.55</v>
      </c>
      <c r="AX374" s="158"/>
      <c r="AY374" s="158">
        <v>5629.2</v>
      </c>
      <c r="AZ374" s="158"/>
      <c r="BA374" s="158">
        <v>6316.17</v>
      </c>
      <c r="BB374" s="158"/>
      <c r="BC374" s="158">
        <v>6659.76</v>
      </c>
      <c r="BD374" s="158"/>
      <c r="BE374" s="158">
        <v>6665.85</v>
      </c>
      <c r="BF374" s="158"/>
      <c r="BG374" s="158">
        <v>5151.6099999999997</v>
      </c>
      <c r="BH374" s="158"/>
      <c r="BI374" s="158">
        <v>5424.2</v>
      </c>
      <c r="BJ374" s="158"/>
      <c r="BK374" s="158">
        <v>6266.41</v>
      </c>
      <c r="BL374" s="158"/>
      <c r="BM374" s="158">
        <v>4161.3500000000004</v>
      </c>
      <c r="BN374" s="158"/>
      <c r="BO374" s="158">
        <v>5786.31</v>
      </c>
      <c r="BP374" s="158"/>
      <c r="BQ374" s="158">
        <v>6101.5</v>
      </c>
      <c r="BR374" s="158"/>
      <c r="BS374" s="158">
        <v>5067.17</v>
      </c>
      <c r="BT374" s="158"/>
    </row>
    <row r="375" spans="1:72" x14ac:dyDescent="0.2">
      <c r="A375" s="123" t="s">
        <v>381</v>
      </c>
      <c r="B375" s="124" t="s">
        <v>754</v>
      </c>
      <c r="C375" s="158">
        <v>0</v>
      </c>
      <c r="D375" s="158"/>
      <c r="E375" s="158">
        <v>0</v>
      </c>
      <c r="F375" s="158"/>
      <c r="G375" s="158">
        <v>0</v>
      </c>
      <c r="H375" s="158"/>
      <c r="I375" s="158">
        <v>0</v>
      </c>
      <c r="J375" s="158"/>
      <c r="K375" s="158">
        <v>0</v>
      </c>
      <c r="L375" s="158"/>
      <c r="M375" s="158">
        <v>0</v>
      </c>
      <c r="N375" s="158"/>
      <c r="O375" s="158">
        <v>0</v>
      </c>
      <c r="P375" s="158"/>
      <c r="Q375" s="158">
        <v>0</v>
      </c>
      <c r="R375" s="158"/>
      <c r="S375" s="158">
        <v>0</v>
      </c>
      <c r="T375" s="158"/>
      <c r="U375" s="158">
        <v>0</v>
      </c>
      <c r="V375" s="158"/>
      <c r="W375" s="158">
        <v>0</v>
      </c>
      <c r="X375" s="158"/>
      <c r="Y375" s="158">
        <v>0</v>
      </c>
      <c r="Z375" s="158"/>
      <c r="AA375" s="158">
        <v>-60</v>
      </c>
      <c r="AB375" s="158"/>
      <c r="AC375" s="158">
        <v>0</v>
      </c>
      <c r="AD375" s="158"/>
      <c r="AE375" s="158">
        <v>0</v>
      </c>
      <c r="AF375" s="158"/>
      <c r="AG375" s="158">
        <v>0</v>
      </c>
      <c r="AH375" s="158"/>
      <c r="AI375" s="158">
        <v>0</v>
      </c>
      <c r="AJ375" s="158"/>
      <c r="AK375" s="158">
        <v>0</v>
      </c>
      <c r="AL375" s="158"/>
      <c r="AM375" s="158">
        <v>0</v>
      </c>
      <c r="AN375" s="158"/>
      <c r="AO375" s="158">
        <v>0</v>
      </c>
      <c r="AP375" s="158"/>
      <c r="AQ375" s="158">
        <v>0</v>
      </c>
      <c r="AR375" s="158"/>
      <c r="AS375" s="158">
        <v>0</v>
      </c>
      <c r="AT375" s="158"/>
      <c r="AU375" s="158">
        <v>0</v>
      </c>
      <c r="AV375" s="158"/>
      <c r="AW375" s="158">
        <v>0</v>
      </c>
      <c r="AX375" s="158"/>
      <c r="AY375" s="158">
        <v>0</v>
      </c>
      <c r="AZ375" s="158"/>
      <c r="BA375" s="158">
        <v>0</v>
      </c>
      <c r="BB375" s="158"/>
      <c r="BC375" s="158">
        <v>0</v>
      </c>
      <c r="BD375" s="158"/>
      <c r="BE375" s="158">
        <v>0</v>
      </c>
      <c r="BF375" s="158"/>
      <c r="BG375" s="158">
        <v>0</v>
      </c>
      <c r="BH375" s="158"/>
      <c r="BI375" s="158">
        <v>0</v>
      </c>
      <c r="BJ375" s="158"/>
      <c r="BK375" s="158">
        <v>0</v>
      </c>
      <c r="BL375" s="158"/>
      <c r="BM375" s="158">
        <v>0</v>
      </c>
      <c r="BN375" s="158"/>
      <c r="BO375" s="158">
        <v>0</v>
      </c>
      <c r="BP375" s="158"/>
      <c r="BQ375" s="158">
        <v>0</v>
      </c>
      <c r="BR375" s="158"/>
      <c r="BS375" s="158">
        <v>0</v>
      </c>
      <c r="BT375" s="158"/>
    </row>
    <row r="376" spans="1:72" x14ac:dyDescent="0.2">
      <c r="A376" s="123" t="s">
        <v>647</v>
      </c>
      <c r="B376" s="124" t="s">
        <v>753</v>
      </c>
      <c r="C376" s="158">
        <v>0</v>
      </c>
      <c r="D376" s="158"/>
      <c r="E376" s="158">
        <v>30.73</v>
      </c>
      <c r="F376" s="158"/>
      <c r="G376" s="158">
        <v>0</v>
      </c>
      <c r="H376" s="158"/>
      <c r="I376" s="158">
        <v>0</v>
      </c>
      <c r="J376" s="158"/>
      <c r="K376" s="158">
        <v>0</v>
      </c>
      <c r="L376" s="158"/>
      <c r="M376" s="158">
        <v>0</v>
      </c>
      <c r="N376" s="158"/>
      <c r="O376" s="158">
        <v>0</v>
      </c>
      <c r="P376" s="158"/>
      <c r="Q376" s="158">
        <v>0</v>
      </c>
      <c r="R376" s="158"/>
      <c r="S376" s="158">
        <v>0.01</v>
      </c>
      <c r="T376" s="158"/>
      <c r="U376" s="158">
        <v>0</v>
      </c>
      <c r="V376" s="158"/>
      <c r="W376" s="158">
        <v>0</v>
      </c>
      <c r="X376" s="158"/>
      <c r="Y376" s="158">
        <v>0</v>
      </c>
      <c r="Z376" s="158"/>
      <c r="AA376" s="158">
        <v>0</v>
      </c>
      <c r="AB376" s="158"/>
      <c r="AC376" s="158">
        <v>0</v>
      </c>
      <c r="AD376" s="158"/>
      <c r="AE376" s="158">
        <v>0</v>
      </c>
      <c r="AF376" s="158"/>
      <c r="AG376" s="158">
        <v>0</v>
      </c>
      <c r="AH376" s="158"/>
      <c r="AI376" s="158">
        <v>0</v>
      </c>
      <c r="AJ376" s="158"/>
      <c r="AK376" s="158">
        <v>0</v>
      </c>
      <c r="AL376" s="158"/>
      <c r="AM376" s="158">
        <v>0</v>
      </c>
      <c r="AN376" s="158"/>
      <c r="AO376" s="158">
        <v>0</v>
      </c>
      <c r="AP376" s="158"/>
      <c r="AQ376" s="158">
        <v>0</v>
      </c>
      <c r="AR376" s="158"/>
      <c r="AS376" s="158">
        <v>0</v>
      </c>
      <c r="AT376" s="158"/>
      <c r="AU376" s="158">
        <v>0</v>
      </c>
      <c r="AV376" s="158"/>
      <c r="AW376" s="158">
        <v>0</v>
      </c>
      <c r="AX376" s="158"/>
      <c r="AY376" s="158">
        <v>0</v>
      </c>
      <c r="AZ376" s="158"/>
      <c r="BA376" s="158">
        <v>0</v>
      </c>
      <c r="BB376" s="158"/>
      <c r="BC376" s="158">
        <v>0</v>
      </c>
      <c r="BD376" s="158"/>
      <c r="BE376" s="158">
        <v>0</v>
      </c>
      <c r="BF376" s="158"/>
      <c r="BG376" s="158">
        <v>0</v>
      </c>
      <c r="BH376" s="158"/>
      <c r="BI376" s="158">
        <v>0</v>
      </c>
      <c r="BJ376" s="158"/>
      <c r="BK376" s="158">
        <v>0</v>
      </c>
      <c r="BL376" s="158"/>
      <c r="BM376" s="158">
        <v>0</v>
      </c>
      <c r="BN376" s="158"/>
      <c r="BO376" s="158">
        <v>0</v>
      </c>
      <c r="BP376" s="158"/>
      <c r="BQ376" s="158">
        <v>0</v>
      </c>
      <c r="BR376" s="158"/>
      <c r="BS376" s="158">
        <v>0</v>
      </c>
      <c r="BT376" s="158"/>
    </row>
    <row r="377" spans="1:72" x14ac:dyDescent="0.2">
      <c r="A377" s="123" t="s">
        <v>382</v>
      </c>
      <c r="B377" s="124" t="s">
        <v>752</v>
      </c>
      <c r="C377" s="158">
        <v>0</v>
      </c>
      <c r="D377" s="158"/>
      <c r="E377" s="158">
        <v>0</v>
      </c>
      <c r="F377" s="158"/>
      <c r="G377" s="158">
        <v>0</v>
      </c>
      <c r="H377" s="158"/>
      <c r="I377" s="158">
        <v>0</v>
      </c>
      <c r="J377" s="158"/>
      <c r="K377" s="158">
        <v>605.14</v>
      </c>
      <c r="L377" s="158"/>
      <c r="M377" s="158">
        <v>0</v>
      </c>
      <c r="N377" s="158"/>
      <c r="O377" s="158">
        <v>344.09</v>
      </c>
      <c r="P377" s="158"/>
      <c r="Q377" s="158">
        <v>160.31</v>
      </c>
      <c r="R377" s="158"/>
      <c r="S377" s="158">
        <v>0</v>
      </c>
      <c r="T377" s="158"/>
      <c r="U377" s="158">
        <v>0</v>
      </c>
      <c r="V377" s="158"/>
      <c r="W377" s="158">
        <v>0</v>
      </c>
      <c r="X377" s="158"/>
      <c r="Y377" s="158">
        <v>0</v>
      </c>
      <c r="Z377" s="158"/>
      <c r="AA377" s="158">
        <v>0</v>
      </c>
      <c r="AB377" s="158"/>
      <c r="AC377" s="158">
        <v>0</v>
      </c>
      <c r="AD377" s="158"/>
      <c r="AE377" s="158">
        <v>0</v>
      </c>
      <c r="AF377" s="158"/>
      <c r="AG377" s="158">
        <v>0</v>
      </c>
      <c r="AH377" s="158"/>
      <c r="AI377" s="158">
        <v>196.06</v>
      </c>
      <c r="AJ377" s="158"/>
      <c r="AK377" s="158">
        <v>449.33</v>
      </c>
      <c r="AL377" s="158"/>
      <c r="AM377" s="158">
        <v>1039.24</v>
      </c>
      <c r="AN377" s="158"/>
      <c r="AO377" s="158">
        <v>0</v>
      </c>
      <c r="AP377" s="158"/>
      <c r="AQ377" s="158">
        <v>828.22</v>
      </c>
      <c r="AR377" s="158"/>
      <c r="AS377" s="158">
        <v>25.55</v>
      </c>
      <c r="AT377" s="158"/>
      <c r="AU377" s="158">
        <v>0</v>
      </c>
      <c r="AV377" s="158"/>
      <c r="AW377" s="158">
        <v>0</v>
      </c>
      <c r="AX377" s="158"/>
      <c r="AY377" s="158">
        <v>0</v>
      </c>
      <c r="AZ377" s="158"/>
      <c r="BA377" s="158">
        <v>0</v>
      </c>
      <c r="BB377" s="158"/>
      <c r="BC377" s="158">
        <v>364.55</v>
      </c>
      <c r="BD377" s="158"/>
      <c r="BE377" s="158">
        <v>205.64</v>
      </c>
      <c r="BF377" s="158"/>
      <c r="BG377" s="158">
        <v>0</v>
      </c>
      <c r="BH377" s="158"/>
      <c r="BI377" s="158">
        <v>0</v>
      </c>
      <c r="BJ377" s="158"/>
      <c r="BK377" s="158">
        <v>-115.05</v>
      </c>
      <c r="BL377" s="158"/>
      <c r="BM377" s="158">
        <v>0</v>
      </c>
      <c r="BN377" s="158"/>
      <c r="BO377" s="158">
        <v>0</v>
      </c>
      <c r="BP377" s="158"/>
      <c r="BQ377" s="158">
        <v>-538.55999999999995</v>
      </c>
      <c r="BR377" s="158"/>
      <c r="BS377" s="158">
        <v>0</v>
      </c>
      <c r="BT377" s="158"/>
    </row>
    <row r="378" spans="1:72" x14ac:dyDescent="0.2">
      <c r="A378" s="123" t="s">
        <v>559</v>
      </c>
      <c r="B378" s="124" t="s">
        <v>751</v>
      </c>
      <c r="C378" s="158">
        <v>423.77</v>
      </c>
      <c r="D378" s="158"/>
      <c r="E378" s="158">
        <v>388.07</v>
      </c>
      <c r="F378" s="158"/>
      <c r="G378" s="158">
        <v>223.53</v>
      </c>
      <c r="H378" s="158"/>
      <c r="I378" s="158">
        <v>80.349999999999994</v>
      </c>
      <c r="J378" s="158"/>
      <c r="K378" s="158">
        <v>0</v>
      </c>
      <c r="L378" s="158"/>
      <c r="M378" s="158">
        <v>61.49</v>
      </c>
      <c r="N378" s="158"/>
      <c r="O378" s="158">
        <v>0</v>
      </c>
      <c r="P378" s="158"/>
      <c r="Q378" s="158">
        <v>0</v>
      </c>
      <c r="R378" s="158"/>
      <c r="S378" s="158">
        <v>0</v>
      </c>
      <c r="T378" s="158"/>
      <c r="U378" s="158">
        <v>69.650000000000006</v>
      </c>
      <c r="V378" s="158"/>
      <c r="W378" s="158">
        <v>90.18</v>
      </c>
      <c r="X378" s="158"/>
      <c r="Y378" s="158">
        <v>0</v>
      </c>
      <c r="Z378" s="158"/>
      <c r="AA378" s="158">
        <v>495.41</v>
      </c>
      <c r="AB378" s="158"/>
      <c r="AC378" s="158">
        <v>0</v>
      </c>
      <c r="AD378" s="158"/>
      <c r="AE378" s="158">
        <v>0</v>
      </c>
      <c r="AF378" s="158"/>
      <c r="AG378" s="158">
        <v>513.05999999999995</v>
      </c>
      <c r="AH378" s="158"/>
      <c r="AI378" s="158">
        <v>0</v>
      </c>
      <c r="AJ378" s="158"/>
      <c r="AK378" s="158">
        <v>0</v>
      </c>
      <c r="AL378" s="158"/>
      <c r="AM378" s="158">
        <v>0</v>
      </c>
      <c r="AN378" s="158"/>
      <c r="AO378" s="158">
        <v>52.98</v>
      </c>
      <c r="AP378" s="158"/>
      <c r="AQ378" s="158">
        <v>0</v>
      </c>
      <c r="AR378" s="158"/>
      <c r="AS378" s="158">
        <v>0</v>
      </c>
      <c r="AT378" s="158"/>
      <c r="AU378" s="158">
        <v>483.92</v>
      </c>
      <c r="AV378" s="158"/>
      <c r="AW378" s="158">
        <v>453.31</v>
      </c>
      <c r="AX378" s="158"/>
      <c r="AY378" s="158">
        <v>195.99</v>
      </c>
      <c r="AZ378" s="158"/>
      <c r="BA378" s="158">
        <v>115.1</v>
      </c>
      <c r="BB378" s="158"/>
      <c r="BC378" s="158">
        <v>0</v>
      </c>
      <c r="BD378" s="158"/>
      <c r="BE378" s="158">
        <v>0</v>
      </c>
      <c r="BF378" s="158"/>
      <c r="BG378" s="158">
        <v>113.96</v>
      </c>
      <c r="BH378" s="158"/>
      <c r="BI378" s="158">
        <v>120.11</v>
      </c>
      <c r="BJ378" s="158"/>
      <c r="BK378" s="158">
        <v>348.66</v>
      </c>
      <c r="BL378" s="158"/>
      <c r="BM378" s="158">
        <v>148.27000000000001</v>
      </c>
      <c r="BN378" s="158"/>
      <c r="BO378" s="158">
        <v>428.29</v>
      </c>
      <c r="BP378" s="158"/>
      <c r="BQ378" s="158">
        <v>738.07</v>
      </c>
      <c r="BR378" s="158"/>
      <c r="BS378" s="158">
        <v>411.8</v>
      </c>
      <c r="BT378" s="158"/>
    </row>
    <row r="379" spans="1:72" x14ac:dyDescent="0.2">
      <c r="A379" s="123" t="s">
        <v>383</v>
      </c>
      <c r="B379" s="124" t="s">
        <v>750</v>
      </c>
      <c r="C379" s="158">
        <v>-3423.32</v>
      </c>
      <c r="D379" s="158"/>
      <c r="E379" s="158">
        <v>99.7</v>
      </c>
      <c r="F379" s="158"/>
      <c r="G379" s="158">
        <v>-3346.32</v>
      </c>
      <c r="H379" s="158"/>
      <c r="I379" s="158">
        <v>-5897.31</v>
      </c>
      <c r="J379" s="158"/>
      <c r="K379" s="158">
        <v>-3091.23</v>
      </c>
      <c r="L379" s="158"/>
      <c r="M379" s="158">
        <v>-3183.23</v>
      </c>
      <c r="N379" s="158"/>
      <c r="O379" s="158">
        <v>-1635.26</v>
      </c>
      <c r="P379" s="158"/>
      <c r="Q379" s="158">
        <v>-1777.68</v>
      </c>
      <c r="R379" s="158"/>
      <c r="S379" s="158">
        <v>-3224.19</v>
      </c>
      <c r="T379" s="158"/>
      <c r="U379" s="158">
        <v>-7263.01</v>
      </c>
      <c r="V379" s="158"/>
      <c r="W379" s="158">
        <v>-4124.1899999999996</v>
      </c>
      <c r="X379" s="158"/>
      <c r="Y379" s="158">
        <v>-3865.16</v>
      </c>
      <c r="Z379" s="158"/>
      <c r="AA379" s="158">
        <v>-3347.66</v>
      </c>
      <c r="AB379" s="158"/>
      <c r="AC379" s="158">
        <v>-2041.06</v>
      </c>
      <c r="AD379" s="158"/>
      <c r="AE379" s="158">
        <v>-6087.99</v>
      </c>
      <c r="AF379" s="158"/>
      <c r="AG379" s="158">
        <v>-2583.71</v>
      </c>
      <c r="AH379" s="158"/>
      <c r="AI379" s="158">
        <v>-1583.51</v>
      </c>
      <c r="AJ379" s="158"/>
      <c r="AK379" s="158">
        <v>-1115.19</v>
      </c>
      <c r="AL379" s="158"/>
      <c r="AM379" s="158">
        <v>-2105.29</v>
      </c>
      <c r="AN379" s="158"/>
      <c r="AO379" s="158">
        <v>-2657.82</v>
      </c>
      <c r="AP379" s="158"/>
      <c r="AQ379" s="158">
        <v>-3971.34</v>
      </c>
      <c r="AR379" s="158"/>
      <c r="AS379" s="158">
        <v>-2588.65</v>
      </c>
      <c r="AT379" s="158"/>
      <c r="AU379" s="158">
        <v>-3576.6</v>
      </c>
      <c r="AV379" s="158"/>
      <c r="AW379" s="158">
        <v>-2720.03</v>
      </c>
      <c r="AX379" s="158"/>
      <c r="AY379" s="158">
        <v>-2051.58</v>
      </c>
      <c r="AZ379" s="158"/>
      <c r="BA379" s="158">
        <v>-4271.55</v>
      </c>
      <c r="BB379" s="158"/>
      <c r="BC379" s="158">
        <v>-5307.6</v>
      </c>
      <c r="BD379" s="158"/>
      <c r="BE379" s="158">
        <v>-2358.4699999999998</v>
      </c>
      <c r="BF379" s="158"/>
      <c r="BG379" s="158">
        <v>-3179.77</v>
      </c>
      <c r="BH379" s="158"/>
      <c r="BI379" s="158">
        <v>-3150.17</v>
      </c>
      <c r="BJ379" s="158"/>
      <c r="BK379" s="158">
        <v>-4395.34</v>
      </c>
      <c r="BL379" s="158"/>
      <c r="BM379" s="158">
        <v>-1580.15</v>
      </c>
      <c r="BN379" s="158"/>
      <c r="BO379" s="158">
        <v>-3497.1</v>
      </c>
      <c r="BP379" s="158"/>
      <c r="BQ379" s="158">
        <v>-2312.1799999999998</v>
      </c>
      <c r="BR379" s="158"/>
      <c r="BS379" s="158">
        <v>-2244.98</v>
      </c>
      <c r="BT379" s="158"/>
    </row>
    <row r="380" spans="1:72" x14ac:dyDescent="0.2">
      <c r="A380" s="123" t="s">
        <v>1176</v>
      </c>
      <c r="B380" s="124" t="s">
        <v>1407</v>
      </c>
      <c r="C380" s="158">
        <v>0</v>
      </c>
      <c r="D380" s="158"/>
      <c r="E380" s="158">
        <v>0</v>
      </c>
      <c r="F380" s="158"/>
      <c r="G380" s="158">
        <v>0</v>
      </c>
      <c r="H380" s="158"/>
      <c r="I380" s="158">
        <v>0</v>
      </c>
      <c r="J380" s="158"/>
      <c r="K380" s="158">
        <v>69</v>
      </c>
      <c r="L380" s="158"/>
      <c r="M380" s="158">
        <v>0</v>
      </c>
      <c r="N380" s="158"/>
      <c r="O380" s="158">
        <v>0</v>
      </c>
      <c r="P380" s="158"/>
      <c r="Q380" s="158">
        <v>0</v>
      </c>
      <c r="R380" s="158"/>
      <c r="S380" s="158">
        <v>0</v>
      </c>
      <c r="T380" s="158"/>
      <c r="U380" s="158">
        <v>0</v>
      </c>
      <c r="V380" s="158"/>
      <c r="W380" s="158">
        <v>0</v>
      </c>
      <c r="X380" s="158"/>
      <c r="Y380" s="158">
        <v>0</v>
      </c>
      <c r="Z380" s="158"/>
      <c r="AA380" s="158">
        <v>0</v>
      </c>
      <c r="AB380" s="158"/>
      <c r="AC380" s="158">
        <v>250</v>
      </c>
      <c r="AD380" s="158"/>
      <c r="AE380" s="158">
        <v>0</v>
      </c>
      <c r="AF380" s="158"/>
      <c r="AG380" s="158">
        <v>0</v>
      </c>
      <c r="AH380" s="158"/>
      <c r="AI380" s="158">
        <v>250</v>
      </c>
      <c r="AJ380" s="158"/>
      <c r="AK380" s="158">
        <v>47.39</v>
      </c>
      <c r="AL380" s="158"/>
      <c r="AM380" s="158">
        <v>0</v>
      </c>
      <c r="AN380" s="158"/>
      <c r="AO380" s="158">
        <v>-45.51</v>
      </c>
      <c r="AP380" s="158"/>
      <c r="AQ380" s="158">
        <v>69</v>
      </c>
      <c r="AR380" s="158"/>
      <c r="AS380" s="158">
        <v>69</v>
      </c>
      <c r="AT380" s="158"/>
      <c r="AU380" s="158">
        <v>0</v>
      </c>
      <c r="AV380" s="158"/>
      <c r="AW380" s="158">
        <v>0</v>
      </c>
      <c r="AX380" s="158"/>
      <c r="AY380" s="158">
        <v>0</v>
      </c>
      <c r="AZ380" s="158"/>
      <c r="BA380" s="158">
        <v>0</v>
      </c>
      <c r="BB380" s="158"/>
      <c r="BC380" s="158">
        <v>0</v>
      </c>
      <c r="BD380" s="158"/>
      <c r="BE380" s="158">
        <v>0</v>
      </c>
      <c r="BF380" s="158"/>
      <c r="BG380" s="158">
        <v>0</v>
      </c>
      <c r="BH380" s="158"/>
      <c r="BI380" s="158">
        <v>0</v>
      </c>
      <c r="BJ380" s="158"/>
      <c r="BK380" s="158">
        <v>0</v>
      </c>
      <c r="BL380" s="158"/>
      <c r="BM380" s="158">
        <v>0</v>
      </c>
      <c r="BN380" s="158"/>
      <c r="BO380" s="158">
        <v>0</v>
      </c>
      <c r="BP380" s="158"/>
      <c r="BQ380" s="158">
        <v>0</v>
      </c>
      <c r="BR380" s="158"/>
      <c r="BS380" s="158">
        <v>0</v>
      </c>
      <c r="BT380" s="158"/>
    </row>
    <row r="381" spans="1:72" x14ac:dyDescent="0.2">
      <c r="A381" s="123" t="s">
        <v>1408</v>
      </c>
      <c r="B381" s="124" t="s">
        <v>749</v>
      </c>
      <c r="C381" s="158">
        <v>0</v>
      </c>
      <c r="D381" s="158"/>
      <c r="E381" s="158">
        <v>0</v>
      </c>
      <c r="F381" s="158"/>
      <c r="G381" s="158">
        <v>0</v>
      </c>
      <c r="H381" s="158"/>
      <c r="I381" s="158">
        <v>0</v>
      </c>
      <c r="J381" s="158"/>
      <c r="K381" s="158">
        <v>14.27</v>
      </c>
      <c r="L381" s="158"/>
      <c r="M381" s="158">
        <v>0</v>
      </c>
      <c r="N381" s="158"/>
      <c r="O381" s="158">
        <v>0</v>
      </c>
      <c r="P381" s="158"/>
      <c r="Q381" s="158">
        <v>0</v>
      </c>
      <c r="R381" s="158"/>
      <c r="S381" s="158">
        <v>0</v>
      </c>
      <c r="T381" s="158"/>
      <c r="U381" s="158">
        <v>0</v>
      </c>
      <c r="V381" s="158"/>
      <c r="W381" s="158">
        <v>0</v>
      </c>
      <c r="X381" s="158"/>
      <c r="Y381" s="158">
        <v>0</v>
      </c>
      <c r="Z381" s="158"/>
      <c r="AA381" s="158">
        <v>0</v>
      </c>
      <c r="AB381" s="158"/>
      <c r="AC381" s="158">
        <v>0</v>
      </c>
      <c r="AD381" s="158"/>
      <c r="AE381" s="158">
        <v>0</v>
      </c>
      <c r="AF381" s="158"/>
      <c r="AG381" s="158">
        <v>0</v>
      </c>
      <c r="AH381" s="158"/>
      <c r="AI381" s="158">
        <v>0</v>
      </c>
      <c r="AJ381" s="158"/>
      <c r="AK381" s="158">
        <v>0</v>
      </c>
      <c r="AL381" s="158"/>
      <c r="AM381" s="158">
        <v>0</v>
      </c>
      <c r="AN381" s="158"/>
      <c r="AO381" s="158">
        <v>0</v>
      </c>
      <c r="AP381" s="158"/>
      <c r="AQ381" s="158">
        <v>0</v>
      </c>
      <c r="AR381" s="158"/>
      <c r="AS381" s="158">
        <v>0</v>
      </c>
      <c r="AT381" s="158"/>
      <c r="AU381" s="158">
        <v>0</v>
      </c>
      <c r="AV381" s="158"/>
      <c r="AW381" s="158">
        <v>0</v>
      </c>
      <c r="AX381" s="158"/>
      <c r="AY381" s="158">
        <v>0</v>
      </c>
      <c r="AZ381" s="158"/>
      <c r="BA381" s="158">
        <v>0</v>
      </c>
      <c r="BB381" s="158"/>
      <c r="BC381" s="158">
        <v>0</v>
      </c>
      <c r="BD381" s="158"/>
      <c r="BE381" s="158">
        <v>0</v>
      </c>
      <c r="BF381" s="158"/>
      <c r="BG381" s="158">
        <v>0</v>
      </c>
      <c r="BH381" s="158"/>
      <c r="BI381" s="158">
        <v>0</v>
      </c>
      <c r="BJ381" s="158"/>
      <c r="BK381" s="158">
        <v>0</v>
      </c>
      <c r="BL381" s="158"/>
      <c r="BM381" s="158">
        <v>0</v>
      </c>
      <c r="BN381" s="158"/>
      <c r="BO381" s="158">
        <v>0</v>
      </c>
      <c r="BP381" s="158"/>
      <c r="BQ381" s="158">
        <v>0</v>
      </c>
      <c r="BR381" s="158"/>
      <c r="BS381" s="158">
        <v>0</v>
      </c>
      <c r="BT381" s="158"/>
    </row>
    <row r="382" spans="1:72" x14ac:dyDescent="0.2">
      <c r="A382" s="123" t="s">
        <v>384</v>
      </c>
      <c r="B382" s="124" t="s">
        <v>749</v>
      </c>
      <c r="C382" s="158">
        <v>82.37</v>
      </c>
      <c r="D382" s="158"/>
      <c r="E382" s="158">
        <v>87.55</v>
      </c>
      <c r="F382" s="158"/>
      <c r="G382" s="158">
        <v>82</v>
      </c>
      <c r="H382" s="158"/>
      <c r="I382" s="158">
        <v>82.37</v>
      </c>
      <c r="J382" s="158"/>
      <c r="K382" s="158">
        <v>157.9</v>
      </c>
      <c r="L382" s="158"/>
      <c r="M382" s="158">
        <v>81.63</v>
      </c>
      <c r="N382" s="158"/>
      <c r="O382" s="158">
        <v>74.599999999999994</v>
      </c>
      <c r="P382" s="158"/>
      <c r="Q382" s="158">
        <v>74.599999999999994</v>
      </c>
      <c r="R382" s="158"/>
      <c r="S382" s="158">
        <v>82</v>
      </c>
      <c r="T382" s="158"/>
      <c r="U382" s="158">
        <v>83.48</v>
      </c>
      <c r="V382" s="158"/>
      <c r="W382" s="158">
        <v>74.599999999999994</v>
      </c>
      <c r="X382" s="158"/>
      <c r="Y382" s="158">
        <v>201.48</v>
      </c>
      <c r="Z382" s="158"/>
      <c r="AA382" s="158">
        <v>82</v>
      </c>
      <c r="AB382" s="158"/>
      <c r="AC382" s="158">
        <v>74.599999999999994</v>
      </c>
      <c r="AD382" s="158"/>
      <c r="AE382" s="158">
        <v>93.84</v>
      </c>
      <c r="AF382" s="158"/>
      <c r="AG382" s="158">
        <v>82.37</v>
      </c>
      <c r="AH382" s="158"/>
      <c r="AI382" s="158">
        <v>68.680000000000007</v>
      </c>
      <c r="AJ382" s="158"/>
      <c r="AK382" s="158">
        <v>338.74</v>
      </c>
      <c r="AL382" s="158"/>
      <c r="AM382" s="158">
        <v>101.61</v>
      </c>
      <c r="AN382" s="158"/>
      <c r="AO382" s="158">
        <v>33.67</v>
      </c>
      <c r="AP382" s="158"/>
      <c r="AQ382" s="158">
        <v>433.11</v>
      </c>
      <c r="AR382" s="158"/>
      <c r="AS382" s="158">
        <v>82.37</v>
      </c>
      <c r="AT382" s="158"/>
      <c r="AU382" s="158">
        <v>39.96</v>
      </c>
      <c r="AV382" s="158"/>
      <c r="AW382" s="158">
        <v>72.75</v>
      </c>
      <c r="AX382" s="158"/>
      <c r="AY382" s="158">
        <v>82</v>
      </c>
      <c r="AZ382" s="158"/>
      <c r="BA382" s="158">
        <v>78.3</v>
      </c>
      <c r="BB382" s="158"/>
      <c r="BC382" s="158">
        <v>80.52</v>
      </c>
      <c r="BD382" s="158"/>
      <c r="BE382" s="158">
        <v>170.15</v>
      </c>
      <c r="BF382" s="158"/>
      <c r="BG382" s="158">
        <v>73.86</v>
      </c>
      <c r="BH382" s="158"/>
      <c r="BI382" s="158">
        <v>27.38</v>
      </c>
      <c r="BJ382" s="158"/>
      <c r="BK382" s="158">
        <v>86.44</v>
      </c>
      <c r="BL382" s="158"/>
      <c r="BM382" s="158">
        <v>67.2</v>
      </c>
      <c r="BN382" s="158"/>
      <c r="BO382" s="158">
        <v>178.11</v>
      </c>
      <c r="BP382" s="158"/>
      <c r="BQ382" s="158">
        <v>85.33</v>
      </c>
      <c r="BR382" s="158"/>
      <c r="BS382" s="158">
        <v>78.3</v>
      </c>
      <c r="BT382" s="158"/>
    </row>
    <row r="383" spans="1:72" x14ac:dyDescent="0.2">
      <c r="A383" s="123" t="s">
        <v>624</v>
      </c>
      <c r="B383" s="124" t="s">
        <v>748</v>
      </c>
      <c r="C383" s="158">
        <v>95</v>
      </c>
      <c r="D383" s="158"/>
      <c r="E383" s="158">
        <v>0</v>
      </c>
      <c r="F383" s="158"/>
      <c r="G383" s="158">
        <v>0</v>
      </c>
      <c r="H383" s="158"/>
      <c r="I383" s="158">
        <v>0</v>
      </c>
      <c r="J383" s="158"/>
      <c r="K383" s="158">
        <v>0</v>
      </c>
      <c r="L383" s="158"/>
      <c r="M383" s="158">
        <v>0</v>
      </c>
      <c r="N383" s="158"/>
      <c r="O383" s="158">
        <v>0</v>
      </c>
      <c r="P383" s="158"/>
      <c r="Q383" s="158">
        <v>0</v>
      </c>
      <c r="R383" s="158"/>
      <c r="S383" s="158">
        <v>0</v>
      </c>
      <c r="T383" s="158"/>
      <c r="U383" s="158">
        <v>0</v>
      </c>
      <c r="V383" s="158"/>
      <c r="W383" s="158">
        <v>0</v>
      </c>
      <c r="X383" s="158"/>
      <c r="Y383" s="158">
        <v>0</v>
      </c>
      <c r="Z383" s="158"/>
      <c r="AA383" s="158">
        <v>0</v>
      </c>
      <c r="AB383" s="158"/>
      <c r="AC383" s="158">
        <v>0</v>
      </c>
      <c r="AD383" s="158"/>
      <c r="AE383" s="158">
        <v>0</v>
      </c>
      <c r="AF383" s="158"/>
      <c r="AG383" s="158">
        <v>0</v>
      </c>
      <c r="AH383" s="158"/>
      <c r="AI383" s="158">
        <v>0</v>
      </c>
      <c r="AJ383" s="158"/>
      <c r="AK383" s="158">
        <v>0</v>
      </c>
      <c r="AL383" s="158"/>
      <c r="AM383" s="158">
        <v>0</v>
      </c>
      <c r="AN383" s="158"/>
      <c r="AO383" s="158">
        <v>0</v>
      </c>
      <c r="AP383" s="158"/>
      <c r="AQ383" s="158">
        <v>0</v>
      </c>
      <c r="AR383" s="158"/>
      <c r="AS383" s="158">
        <v>0</v>
      </c>
      <c r="AT383" s="158"/>
      <c r="AU383" s="158">
        <v>0</v>
      </c>
      <c r="AV383" s="158"/>
      <c r="AW383" s="158">
        <v>0</v>
      </c>
      <c r="AX383" s="158"/>
      <c r="AY383" s="158">
        <v>0</v>
      </c>
      <c r="AZ383" s="158"/>
      <c r="BA383" s="158">
        <v>0</v>
      </c>
      <c r="BB383" s="158"/>
      <c r="BC383" s="158">
        <v>95</v>
      </c>
      <c r="BD383" s="158"/>
      <c r="BE383" s="158">
        <v>0</v>
      </c>
      <c r="BF383" s="158"/>
      <c r="BG383" s="158">
        <v>0</v>
      </c>
      <c r="BH383" s="158"/>
      <c r="BI383" s="158">
        <v>0</v>
      </c>
      <c r="BJ383" s="158"/>
      <c r="BK383" s="158">
        <v>0</v>
      </c>
      <c r="BL383" s="158"/>
      <c r="BM383" s="158">
        <v>0</v>
      </c>
      <c r="BN383" s="158"/>
      <c r="BO383" s="158">
        <v>0</v>
      </c>
      <c r="BP383" s="158"/>
      <c r="BQ383" s="158">
        <v>0</v>
      </c>
      <c r="BR383" s="158"/>
      <c r="BS383" s="158">
        <v>0</v>
      </c>
      <c r="BT383" s="158"/>
    </row>
    <row r="384" spans="1:72" x14ac:dyDescent="0.2">
      <c r="A384" s="123" t="s">
        <v>385</v>
      </c>
      <c r="B384" s="124" t="s">
        <v>747</v>
      </c>
      <c r="C384" s="158">
        <v>37.369999999999997</v>
      </c>
      <c r="D384" s="158"/>
      <c r="E384" s="158">
        <v>42.55</v>
      </c>
      <c r="F384" s="158"/>
      <c r="G384" s="158">
        <v>37</v>
      </c>
      <c r="H384" s="158"/>
      <c r="I384" s="158">
        <v>37.369999999999997</v>
      </c>
      <c r="J384" s="158"/>
      <c r="K384" s="158">
        <v>197.9</v>
      </c>
      <c r="L384" s="158"/>
      <c r="M384" s="158">
        <v>36.630000000000003</v>
      </c>
      <c r="N384" s="158"/>
      <c r="O384" s="158">
        <v>29.6</v>
      </c>
      <c r="P384" s="158"/>
      <c r="Q384" s="158">
        <v>29.6</v>
      </c>
      <c r="R384" s="158"/>
      <c r="S384" s="158">
        <v>37</v>
      </c>
      <c r="T384" s="158"/>
      <c r="U384" s="158">
        <v>233.48</v>
      </c>
      <c r="V384" s="158"/>
      <c r="W384" s="158">
        <v>29.6</v>
      </c>
      <c r="X384" s="158"/>
      <c r="Y384" s="158">
        <v>172</v>
      </c>
      <c r="Z384" s="158"/>
      <c r="AA384" s="158">
        <v>37</v>
      </c>
      <c r="AB384" s="158"/>
      <c r="AC384" s="158">
        <v>49.76</v>
      </c>
      <c r="AD384" s="158"/>
      <c r="AE384" s="158">
        <v>62.17</v>
      </c>
      <c r="AF384" s="158"/>
      <c r="AG384" s="158">
        <v>37.369999999999997</v>
      </c>
      <c r="AH384" s="158"/>
      <c r="AI384" s="158">
        <v>23.68</v>
      </c>
      <c r="AJ384" s="158"/>
      <c r="AK384" s="158">
        <v>37.74</v>
      </c>
      <c r="AL384" s="158"/>
      <c r="AM384" s="158">
        <v>56.61</v>
      </c>
      <c r="AN384" s="158"/>
      <c r="AO384" s="158">
        <v>33.67</v>
      </c>
      <c r="AP384" s="158"/>
      <c r="AQ384" s="158">
        <v>38.11</v>
      </c>
      <c r="AR384" s="158"/>
      <c r="AS384" s="158">
        <v>37.369999999999997</v>
      </c>
      <c r="AT384" s="158"/>
      <c r="AU384" s="158">
        <v>39.96</v>
      </c>
      <c r="AV384" s="158"/>
      <c r="AW384" s="158">
        <v>27.75</v>
      </c>
      <c r="AX384" s="158"/>
      <c r="AY384" s="158">
        <v>37</v>
      </c>
      <c r="AZ384" s="158"/>
      <c r="BA384" s="158">
        <v>33.299999999999997</v>
      </c>
      <c r="BB384" s="158"/>
      <c r="BC384" s="158">
        <v>35.520000000000003</v>
      </c>
      <c r="BD384" s="158"/>
      <c r="BE384" s="158">
        <v>57.73</v>
      </c>
      <c r="BF384" s="158"/>
      <c r="BG384" s="158">
        <v>40.71</v>
      </c>
      <c r="BH384" s="158"/>
      <c r="BI384" s="158">
        <v>42.19</v>
      </c>
      <c r="BJ384" s="158"/>
      <c r="BK384" s="158">
        <v>41.44</v>
      </c>
      <c r="BL384" s="158"/>
      <c r="BM384" s="158">
        <v>22.2</v>
      </c>
      <c r="BN384" s="158"/>
      <c r="BO384" s="158">
        <v>38.11</v>
      </c>
      <c r="BP384" s="158"/>
      <c r="BQ384" s="158">
        <v>40.33</v>
      </c>
      <c r="BR384" s="158"/>
      <c r="BS384" s="158">
        <v>33.299999999999997</v>
      </c>
      <c r="BT384" s="158"/>
    </row>
    <row r="385" spans="1:72" x14ac:dyDescent="0.2">
      <c r="A385" s="123" t="s">
        <v>1169</v>
      </c>
      <c r="B385" s="124" t="s">
        <v>1409</v>
      </c>
      <c r="C385" s="158">
        <v>80</v>
      </c>
      <c r="D385" s="158"/>
      <c r="E385" s="158">
        <v>80</v>
      </c>
      <c r="F385" s="158"/>
      <c r="G385" s="158">
        <v>80</v>
      </c>
      <c r="H385" s="158"/>
      <c r="I385" s="158">
        <v>80</v>
      </c>
      <c r="J385" s="158"/>
      <c r="K385" s="158">
        <v>80</v>
      </c>
      <c r="L385" s="158"/>
      <c r="M385" s="158">
        <v>80</v>
      </c>
      <c r="N385" s="158"/>
      <c r="O385" s="158">
        <v>80</v>
      </c>
      <c r="P385" s="158"/>
      <c r="Q385" s="158">
        <v>80</v>
      </c>
      <c r="R385" s="158"/>
      <c r="S385" s="158">
        <v>80</v>
      </c>
      <c r="T385" s="158"/>
      <c r="U385" s="158">
        <v>80</v>
      </c>
      <c r="V385" s="158"/>
      <c r="W385" s="158">
        <v>80</v>
      </c>
      <c r="X385" s="158"/>
      <c r="Y385" s="158">
        <v>80</v>
      </c>
      <c r="Z385" s="158"/>
      <c r="AA385" s="158">
        <v>80</v>
      </c>
      <c r="AB385" s="158"/>
      <c r="AC385" s="158">
        <v>80</v>
      </c>
      <c r="AD385" s="158"/>
      <c r="AE385" s="158">
        <v>80</v>
      </c>
      <c r="AF385" s="158"/>
      <c r="AG385" s="158">
        <v>80</v>
      </c>
      <c r="AH385" s="158"/>
      <c r="AI385" s="158">
        <v>80</v>
      </c>
      <c r="AJ385" s="158"/>
      <c r="AK385" s="158">
        <v>80</v>
      </c>
      <c r="AL385" s="158"/>
      <c r="AM385" s="158">
        <v>80</v>
      </c>
      <c r="AN385" s="158"/>
      <c r="AO385" s="158">
        <v>80</v>
      </c>
      <c r="AP385" s="158"/>
      <c r="AQ385" s="158">
        <v>80</v>
      </c>
      <c r="AR385" s="158"/>
      <c r="AS385" s="158">
        <v>80</v>
      </c>
      <c r="AT385" s="158"/>
      <c r="AU385" s="158">
        <v>80</v>
      </c>
      <c r="AV385" s="158"/>
      <c r="AW385" s="158">
        <v>80</v>
      </c>
      <c r="AX385" s="158"/>
      <c r="AY385" s="158">
        <v>80</v>
      </c>
      <c r="AZ385" s="158"/>
      <c r="BA385" s="158">
        <v>80</v>
      </c>
      <c r="BB385" s="158"/>
      <c r="BC385" s="158">
        <v>80</v>
      </c>
      <c r="BD385" s="158"/>
      <c r="BE385" s="158">
        <v>80</v>
      </c>
      <c r="BF385" s="158"/>
      <c r="BG385" s="158">
        <v>80</v>
      </c>
      <c r="BH385" s="158"/>
      <c r="BI385" s="158">
        <v>80</v>
      </c>
      <c r="BJ385" s="158"/>
      <c r="BK385" s="158">
        <v>80</v>
      </c>
      <c r="BL385" s="158"/>
      <c r="BM385" s="158">
        <v>80</v>
      </c>
      <c r="BN385" s="158"/>
      <c r="BO385" s="158">
        <v>80</v>
      </c>
      <c r="BP385" s="158"/>
      <c r="BQ385" s="158">
        <v>80</v>
      </c>
      <c r="BR385" s="158"/>
      <c r="BS385" s="158">
        <v>80</v>
      </c>
      <c r="BT385" s="158"/>
    </row>
    <row r="386" spans="1:72" x14ac:dyDescent="0.2">
      <c r="A386" s="123" t="s">
        <v>1410</v>
      </c>
      <c r="B386" s="124" t="s">
        <v>745</v>
      </c>
      <c r="C386" s="158">
        <v>0</v>
      </c>
      <c r="D386" s="158"/>
      <c r="E386" s="158">
        <v>0</v>
      </c>
      <c r="F386" s="158"/>
      <c r="G386" s="158">
        <v>0</v>
      </c>
      <c r="H386" s="158"/>
      <c r="I386" s="158">
        <v>0</v>
      </c>
      <c r="J386" s="158"/>
      <c r="K386" s="158">
        <v>35.39</v>
      </c>
      <c r="L386" s="158"/>
      <c r="M386" s="158">
        <v>0</v>
      </c>
      <c r="N386" s="158"/>
      <c r="O386" s="158">
        <v>0</v>
      </c>
      <c r="P386" s="158"/>
      <c r="Q386" s="158">
        <v>0</v>
      </c>
      <c r="R386" s="158"/>
      <c r="S386" s="158">
        <v>0</v>
      </c>
      <c r="T386" s="158"/>
      <c r="U386" s="158">
        <v>0</v>
      </c>
      <c r="V386" s="158"/>
      <c r="W386" s="158">
        <v>129.12</v>
      </c>
      <c r="X386" s="158"/>
      <c r="Y386" s="158">
        <v>102.49</v>
      </c>
      <c r="Z386" s="158"/>
      <c r="AA386" s="158">
        <v>0</v>
      </c>
      <c r="AB386" s="158"/>
      <c r="AC386" s="158">
        <v>0</v>
      </c>
      <c r="AD386" s="158"/>
      <c r="AE386" s="158">
        <v>0</v>
      </c>
      <c r="AF386" s="158"/>
      <c r="AG386" s="158">
        <v>0</v>
      </c>
      <c r="AH386" s="158"/>
      <c r="AI386" s="158">
        <v>0</v>
      </c>
      <c r="AJ386" s="158"/>
      <c r="AK386" s="158">
        <v>0</v>
      </c>
      <c r="AL386" s="158"/>
      <c r="AM386" s="158">
        <v>0</v>
      </c>
      <c r="AN386" s="158"/>
      <c r="AO386" s="158">
        <v>0</v>
      </c>
      <c r="AP386" s="158"/>
      <c r="AQ386" s="158">
        <v>0</v>
      </c>
      <c r="AR386" s="158"/>
      <c r="AS386" s="158">
        <v>0</v>
      </c>
      <c r="AT386" s="158"/>
      <c r="AU386" s="158">
        <v>22.5</v>
      </c>
      <c r="AV386" s="158"/>
      <c r="AW386" s="158">
        <v>0</v>
      </c>
      <c r="AX386" s="158"/>
      <c r="AY386" s="158">
        <v>0</v>
      </c>
      <c r="AZ386" s="158"/>
      <c r="BA386" s="158">
        <v>0</v>
      </c>
      <c r="BB386" s="158"/>
      <c r="BC386" s="158">
        <v>0</v>
      </c>
      <c r="BD386" s="158"/>
      <c r="BE386" s="158">
        <v>265.07</v>
      </c>
      <c r="BF386" s="158"/>
      <c r="BG386" s="158">
        <v>0</v>
      </c>
      <c r="BH386" s="158"/>
      <c r="BI386" s="158">
        <v>0</v>
      </c>
      <c r="BJ386" s="158"/>
      <c r="BK386" s="158">
        <v>0</v>
      </c>
      <c r="BL386" s="158"/>
      <c r="BM386" s="158">
        <v>0</v>
      </c>
      <c r="BN386" s="158"/>
      <c r="BO386" s="158">
        <v>0</v>
      </c>
      <c r="BP386" s="158"/>
      <c r="BQ386" s="158">
        <v>0</v>
      </c>
      <c r="BR386" s="158"/>
      <c r="BS386" s="158">
        <v>0</v>
      </c>
      <c r="BT386" s="158"/>
    </row>
    <row r="387" spans="1:72" x14ac:dyDescent="0.2">
      <c r="A387" s="123" t="s">
        <v>594</v>
      </c>
      <c r="B387" s="124" t="s">
        <v>746</v>
      </c>
      <c r="C387" s="158">
        <v>0</v>
      </c>
      <c r="D387" s="158"/>
      <c r="E387" s="158">
        <v>0</v>
      </c>
      <c r="F387" s="158"/>
      <c r="G387" s="158">
        <v>0</v>
      </c>
      <c r="H387" s="158"/>
      <c r="I387" s="158">
        <v>0</v>
      </c>
      <c r="J387" s="158"/>
      <c r="K387" s="158">
        <v>0</v>
      </c>
      <c r="L387" s="158"/>
      <c r="M387" s="158">
        <v>26.77</v>
      </c>
      <c r="N387" s="158"/>
      <c r="O387" s="158">
        <v>0</v>
      </c>
      <c r="P387" s="158"/>
      <c r="Q387" s="158">
        <v>38.5</v>
      </c>
      <c r="R387" s="158"/>
      <c r="S387" s="158">
        <v>0</v>
      </c>
      <c r="T387" s="158"/>
      <c r="U387" s="158">
        <v>143.30000000000001</v>
      </c>
      <c r="V387" s="158"/>
      <c r="W387" s="158">
        <v>0</v>
      </c>
      <c r="X387" s="158"/>
      <c r="Y387" s="158">
        <v>0</v>
      </c>
      <c r="Z387" s="158"/>
      <c r="AA387" s="158">
        <v>0</v>
      </c>
      <c r="AB387" s="158"/>
      <c r="AC387" s="158">
        <v>0</v>
      </c>
      <c r="AD387" s="158"/>
      <c r="AE387" s="158">
        <v>0</v>
      </c>
      <c r="AF387" s="158"/>
      <c r="AG387" s="158">
        <v>0</v>
      </c>
      <c r="AH387" s="158"/>
      <c r="AI387" s="158">
        <v>0</v>
      </c>
      <c r="AJ387" s="158"/>
      <c r="AK387" s="158">
        <v>0</v>
      </c>
      <c r="AL387" s="158"/>
      <c r="AM387" s="158">
        <v>14.14</v>
      </c>
      <c r="AN387" s="158"/>
      <c r="AO387" s="158">
        <v>0</v>
      </c>
      <c r="AP387" s="158"/>
      <c r="AQ387" s="158">
        <v>0</v>
      </c>
      <c r="AR387" s="158"/>
      <c r="AS387" s="158">
        <v>0</v>
      </c>
      <c r="AT387" s="158"/>
      <c r="AU387" s="158">
        <v>0</v>
      </c>
      <c r="AV387" s="158"/>
      <c r="AW387" s="158">
        <v>156.94999999999999</v>
      </c>
      <c r="AX387" s="158"/>
      <c r="AY387" s="158">
        <v>0</v>
      </c>
      <c r="AZ387" s="158"/>
      <c r="BA387" s="158">
        <v>0</v>
      </c>
      <c r="BB387" s="158"/>
      <c r="BC387" s="158">
        <v>85.34</v>
      </c>
      <c r="BD387" s="158"/>
      <c r="BE387" s="158">
        <v>0</v>
      </c>
      <c r="BF387" s="158"/>
      <c r="BG387" s="158">
        <v>0</v>
      </c>
      <c r="BH387" s="158"/>
      <c r="BI387" s="158">
        <v>0</v>
      </c>
      <c r="BJ387" s="158"/>
      <c r="BK387" s="158">
        <v>0</v>
      </c>
      <c r="BL387" s="158"/>
      <c r="BM387" s="158">
        <v>0</v>
      </c>
      <c r="BN387" s="158"/>
      <c r="BO387" s="158">
        <v>0</v>
      </c>
      <c r="BP387" s="158"/>
      <c r="BQ387" s="158">
        <v>0</v>
      </c>
      <c r="BR387" s="158"/>
      <c r="BS387" s="158">
        <v>0</v>
      </c>
      <c r="BT387" s="158"/>
    </row>
    <row r="388" spans="1:72" x14ac:dyDescent="0.2">
      <c r="A388" s="123" t="s">
        <v>386</v>
      </c>
      <c r="B388" s="124" t="s">
        <v>745</v>
      </c>
      <c r="C388" s="158">
        <v>240.74</v>
      </c>
      <c r="D388" s="158"/>
      <c r="E388" s="158">
        <v>606.23</v>
      </c>
      <c r="F388" s="158"/>
      <c r="G388" s="158">
        <v>129.74</v>
      </c>
      <c r="H388" s="158"/>
      <c r="I388" s="158">
        <v>129.74</v>
      </c>
      <c r="J388" s="158"/>
      <c r="K388" s="158">
        <v>826.87</v>
      </c>
      <c r="L388" s="158"/>
      <c r="M388" s="158">
        <v>129.72999999999999</v>
      </c>
      <c r="N388" s="158"/>
      <c r="O388" s="158">
        <v>199.22</v>
      </c>
      <c r="P388" s="158"/>
      <c r="Q388" s="158">
        <v>89</v>
      </c>
      <c r="R388" s="158"/>
      <c r="S388" s="158">
        <v>520.66</v>
      </c>
      <c r="T388" s="158"/>
      <c r="U388" s="158">
        <v>129.74</v>
      </c>
      <c r="V388" s="158"/>
      <c r="W388" s="158">
        <v>40.32</v>
      </c>
      <c r="X388" s="158"/>
      <c r="Y388" s="158">
        <v>243.53</v>
      </c>
      <c r="Z388" s="158"/>
      <c r="AA388" s="158">
        <v>88.94</v>
      </c>
      <c r="AB388" s="158"/>
      <c r="AC388" s="158">
        <v>54.36</v>
      </c>
      <c r="AD388" s="158"/>
      <c r="AE388" s="158">
        <v>249.75</v>
      </c>
      <c r="AF388" s="158"/>
      <c r="AG388" s="158">
        <v>129.72999999999999</v>
      </c>
      <c r="AH388" s="158"/>
      <c r="AI388" s="158">
        <v>110.27</v>
      </c>
      <c r="AJ388" s="158"/>
      <c r="AK388" s="158">
        <v>209.04</v>
      </c>
      <c r="AL388" s="158"/>
      <c r="AM388" s="158">
        <v>186.38</v>
      </c>
      <c r="AN388" s="158"/>
      <c r="AO388" s="158">
        <v>256.25</v>
      </c>
      <c r="AP388" s="158"/>
      <c r="AQ388" s="158">
        <v>348.46</v>
      </c>
      <c r="AR388" s="158"/>
      <c r="AS388" s="158">
        <v>318.58999999999997</v>
      </c>
      <c r="AT388" s="158"/>
      <c r="AU388" s="158">
        <v>305.56</v>
      </c>
      <c r="AV388" s="158"/>
      <c r="AW388" s="158">
        <v>70.48</v>
      </c>
      <c r="AX388" s="158"/>
      <c r="AY388" s="158">
        <v>167.82</v>
      </c>
      <c r="AZ388" s="158"/>
      <c r="BA388" s="158">
        <v>199.68</v>
      </c>
      <c r="BB388" s="158"/>
      <c r="BC388" s="158">
        <v>378.02</v>
      </c>
      <c r="BD388" s="158"/>
      <c r="BE388" s="158">
        <v>177.58</v>
      </c>
      <c r="BF388" s="158"/>
      <c r="BG388" s="158">
        <v>251.35</v>
      </c>
      <c r="BH388" s="158"/>
      <c r="BI388" s="158">
        <v>218.78</v>
      </c>
      <c r="BJ388" s="158"/>
      <c r="BK388" s="158">
        <v>145.27000000000001</v>
      </c>
      <c r="BL388" s="158"/>
      <c r="BM388" s="158">
        <v>202.3</v>
      </c>
      <c r="BN388" s="158"/>
      <c r="BO388" s="158">
        <v>89</v>
      </c>
      <c r="BP388" s="158"/>
      <c r="BQ388" s="158">
        <v>89</v>
      </c>
      <c r="BR388" s="158"/>
      <c r="BS388" s="158">
        <v>95.87</v>
      </c>
      <c r="BT388" s="158"/>
    </row>
    <row r="389" spans="1:72" x14ac:dyDescent="0.2">
      <c r="A389" s="123" t="s">
        <v>744</v>
      </c>
      <c r="B389" s="124" t="s">
        <v>743</v>
      </c>
      <c r="C389" s="158">
        <v>0</v>
      </c>
      <c r="D389" s="158"/>
      <c r="E389" s="158">
        <v>0</v>
      </c>
      <c r="F389" s="158"/>
      <c r="G389" s="158">
        <v>0</v>
      </c>
      <c r="H389" s="158"/>
      <c r="I389" s="158">
        <v>0</v>
      </c>
      <c r="J389" s="158"/>
      <c r="K389" s="158">
        <v>0</v>
      </c>
      <c r="L389" s="158"/>
      <c r="M389" s="158">
        <v>0</v>
      </c>
      <c r="N389" s="158"/>
      <c r="O389" s="158">
        <v>0</v>
      </c>
      <c r="P389" s="158"/>
      <c r="Q389" s="158">
        <v>0</v>
      </c>
      <c r="R389" s="158"/>
      <c r="S389" s="158">
        <v>0</v>
      </c>
      <c r="T389" s="158"/>
      <c r="U389" s="158">
        <v>0</v>
      </c>
      <c r="V389" s="158"/>
      <c r="W389" s="158">
        <v>0</v>
      </c>
      <c r="X389" s="158"/>
      <c r="Y389" s="158">
        <v>0</v>
      </c>
      <c r="Z389" s="158"/>
      <c r="AA389" s="158">
        <v>0</v>
      </c>
      <c r="AB389" s="158"/>
      <c r="AC389" s="158">
        <v>0</v>
      </c>
      <c r="AD389" s="158"/>
      <c r="AE389" s="158">
        <v>0</v>
      </c>
      <c r="AF389" s="158"/>
      <c r="AG389" s="158">
        <v>0</v>
      </c>
      <c r="AH389" s="158"/>
      <c r="AI389" s="158">
        <v>0</v>
      </c>
      <c r="AJ389" s="158"/>
      <c r="AK389" s="158">
        <v>0</v>
      </c>
      <c r="AL389" s="158"/>
      <c r="AM389" s="158">
        <v>0</v>
      </c>
      <c r="AN389" s="158"/>
      <c r="AO389" s="158">
        <v>0</v>
      </c>
      <c r="AP389" s="158"/>
      <c r="AQ389" s="158">
        <v>0</v>
      </c>
      <c r="AR389" s="158"/>
      <c r="AS389" s="158">
        <v>0</v>
      </c>
      <c r="AT389" s="158"/>
      <c r="AU389" s="158">
        <v>0</v>
      </c>
      <c r="AV389" s="158"/>
      <c r="AW389" s="158">
        <v>0</v>
      </c>
      <c r="AX389" s="158"/>
      <c r="AY389" s="158">
        <v>0</v>
      </c>
      <c r="AZ389" s="158"/>
      <c r="BA389" s="158">
        <v>0</v>
      </c>
      <c r="BB389" s="158"/>
      <c r="BC389" s="158">
        <v>0</v>
      </c>
      <c r="BD389" s="158"/>
      <c r="BE389" s="158">
        <v>0</v>
      </c>
      <c r="BF389" s="158"/>
      <c r="BG389" s="158">
        <v>0</v>
      </c>
      <c r="BH389" s="158"/>
      <c r="BI389" s="158">
        <v>0</v>
      </c>
      <c r="BJ389" s="158"/>
      <c r="BK389" s="158">
        <v>0</v>
      </c>
      <c r="BL389" s="158"/>
      <c r="BM389" s="158">
        <v>302</v>
      </c>
      <c r="BN389" s="158"/>
      <c r="BO389" s="158">
        <v>0</v>
      </c>
      <c r="BP389" s="158"/>
      <c r="BQ389" s="158">
        <v>0</v>
      </c>
      <c r="BR389" s="158"/>
      <c r="BS389" s="158">
        <v>0</v>
      </c>
      <c r="BT389" s="158"/>
    </row>
    <row r="390" spans="1:72" x14ac:dyDescent="0.2">
      <c r="A390" s="123" t="s">
        <v>387</v>
      </c>
      <c r="B390" s="124" t="s">
        <v>742</v>
      </c>
      <c r="C390" s="158">
        <v>490.09</v>
      </c>
      <c r="D390" s="158"/>
      <c r="E390" s="158">
        <v>2654.47</v>
      </c>
      <c r="F390" s="158"/>
      <c r="G390" s="158">
        <v>405.43</v>
      </c>
      <c r="H390" s="158"/>
      <c r="I390" s="158">
        <v>219.91</v>
      </c>
      <c r="J390" s="158"/>
      <c r="K390" s="158">
        <v>552.11</v>
      </c>
      <c r="L390" s="158"/>
      <c r="M390" s="158">
        <v>146.19999999999999</v>
      </c>
      <c r="N390" s="158"/>
      <c r="O390" s="158">
        <v>747.72</v>
      </c>
      <c r="P390" s="158"/>
      <c r="Q390" s="158">
        <v>258.95999999999998</v>
      </c>
      <c r="R390" s="158"/>
      <c r="S390" s="158">
        <v>1427.44</v>
      </c>
      <c r="T390" s="158"/>
      <c r="U390" s="158">
        <v>258.33999999999997</v>
      </c>
      <c r="V390" s="158"/>
      <c r="W390" s="158">
        <v>600</v>
      </c>
      <c r="X390" s="158"/>
      <c r="Y390" s="158">
        <v>585.86</v>
      </c>
      <c r="Z390" s="158"/>
      <c r="AA390" s="158">
        <v>395.17</v>
      </c>
      <c r="AB390" s="158"/>
      <c r="AC390" s="158">
        <v>409.4</v>
      </c>
      <c r="AD390" s="158"/>
      <c r="AE390" s="158">
        <v>833</v>
      </c>
      <c r="AF390" s="158"/>
      <c r="AG390" s="158">
        <v>26.31</v>
      </c>
      <c r="AH390" s="158"/>
      <c r="AI390" s="158">
        <v>372.76</v>
      </c>
      <c r="AJ390" s="158"/>
      <c r="AK390" s="158">
        <v>10.7</v>
      </c>
      <c r="AL390" s="158"/>
      <c r="AM390" s="158">
        <v>0</v>
      </c>
      <c r="AN390" s="158"/>
      <c r="AO390" s="158">
        <v>237.52</v>
      </c>
      <c r="AP390" s="158"/>
      <c r="AQ390" s="158">
        <v>509.23</v>
      </c>
      <c r="AR390" s="158"/>
      <c r="AS390" s="158">
        <v>1127.44</v>
      </c>
      <c r="AT390" s="158"/>
      <c r="AU390" s="158">
        <v>780.67</v>
      </c>
      <c r="AV390" s="158"/>
      <c r="AW390" s="158">
        <v>0</v>
      </c>
      <c r="AX390" s="158"/>
      <c r="AY390" s="158">
        <v>394.98</v>
      </c>
      <c r="AZ390" s="158"/>
      <c r="BA390" s="158">
        <v>450.47</v>
      </c>
      <c r="BB390" s="158"/>
      <c r="BC390" s="158">
        <v>580.49</v>
      </c>
      <c r="BD390" s="158"/>
      <c r="BE390" s="158">
        <v>654.69000000000005</v>
      </c>
      <c r="BF390" s="158"/>
      <c r="BG390" s="158">
        <v>386.44</v>
      </c>
      <c r="BH390" s="158"/>
      <c r="BI390" s="158">
        <v>42.73</v>
      </c>
      <c r="BJ390" s="158"/>
      <c r="BK390" s="158">
        <v>1275.18</v>
      </c>
      <c r="BL390" s="158"/>
      <c r="BM390" s="158">
        <v>1183.48</v>
      </c>
      <c r="BN390" s="158"/>
      <c r="BO390" s="158">
        <v>152.35</v>
      </c>
      <c r="BP390" s="158"/>
      <c r="BQ390" s="158">
        <v>422.12</v>
      </c>
      <c r="BR390" s="158"/>
      <c r="BS390" s="158">
        <v>443.54</v>
      </c>
      <c r="BT390" s="158"/>
    </row>
    <row r="391" spans="1:72" x14ac:dyDescent="0.2">
      <c r="A391" s="123" t="s">
        <v>551</v>
      </c>
      <c r="B391" s="124" t="s">
        <v>741</v>
      </c>
      <c r="C391" s="158">
        <v>16</v>
      </c>
      <c r="D391" s="158"/>
      <c r="E391" s="158">
        <v>9</v>
      </c>
      <c r="F391" s="158"/>
      <c r="G391" s="158">
        <v>16</v>
      </c>
      <c r="H391" s="158"/>
      <c r="I391" s="158">
        <v>8</v>
      </c>
      <c r="J391" s="158"/>
      <c r="K391" s="158">
        <v>0</v>
      </c>
      <c r="L391" s="158"/>
      <c r="M391" s="158">
        <v>0</v>
      </c>
      <c r="N391" s="158"/>
      <c r="O391" s="158">
        <v>8</v>
      </c>
      <c r="P391" s="158"/>
      <c r="Q391" s="158">
        <v>0</v>
      </c>
      <c r="R391" s="158"/>
      <c r="S391" s="158">
        <v>37.729999999999997</v>
      </c>
      <c r="T391" s="158"/>
      <c r="U391" s="158">
        <v>0</v>
      </c>
      <c r="V391" s="158"/>
      <c r="W391" s="158">
        <v>0</v>
      </c>
      <c r="X391" s="158"/>
      <c r="Y391" s="158">
        <v>16</v>
      </c>
      <c r="Z391" s="158"/>
      <c r="AA391" s="158">
        <v>0</v>
      </c>
      <c r="AB391" s="158"/>
      <c r="AC391" s="158">
        <v>0</v>
      </c>
      <c r="AD391" s="158"/>
      <c r="AE391" s="158">
        <v>0</v>
      </c>
      <c r="AF391" s="158"/>
      <c r="AG391" s="158">
        <v>0</v>
      </c>
      <c r="AH391" s="158"/>
      <c r="AI391" s="158">
        <v>0</v>
      </c>
      <c r="AJ391" s="158"/>
      <c r="AK391" s="158">
        <v>0</v>
      </c>
      <c r="AL391" s="158"/>
      <c r="AM391" s="158">
        <v>0</v>
      </c>
      <c r="AN391" s="158"/>
      <c r="AO391" s="158">
        <v>9</v>
      </c>
      <c r="AP391" s="158"/>
      <c r="AQ391" s="158">
        <v>0</v>
      </c>
      <c r="AR391" s="158"/>
      <c r="AS391" s="158">
        <v>0</v>
      </c>
      <c r="AT391" s="158"/>
      <c r="AU391" s="158">
        <v>0</v>
      </c>
      <c r="AV391" s="158"/>
      <c r="AW391" s="158">
        <v>0</v>
      </c>
      <c r="AX391" s="158"/>
      <c r="AY391" s="158">
        <v>0</v>
      </c>
      <c r="AZ391" s="158"/>
      <c r="BA391" s="158">
        <v>427.46</v>
      </c>
      <c r="BB391" s="158"/>
      <c r="BC391" s="158">
        <v>4</v>
      </c>
      <c r="BD391" s="158"/>
      <c r="BE391" s="158">
        <v>14.8</v>
      </c>
      <c r="BF391" s="158"/>
      <c r="BG391" s="158">
        <v>26</v>
      </c>
      <c r="BH391" s="158"/>
      <c r="BI391" s="158">
        <v>7</v>
      </c>
      <c r="BJ391" s="158"/>
      <c r="BK391" s="158">
        <v>10</v>
      </c>
      <c r="BL391" s="158"/>
      <c r="BM391" s="158">
        <v>0</v>
      </c>
      <c r="BN391" s="158"/>
      <c r="BO391" s="158">
        <v>4</v>
      </c>
      <c r="BP391" s="158"/>
      <c r="BQ391" s="158">
        <v>0</v>
      </c>
      <c r="BR391" s="158"/>
      <c r="BS391" s="158">
        <v>0</v>
      </c>
      <c r="BT391" s="158"/>
    </row>
    <row r="392" spans="1:72" x14ac:dyDescent="0.2">
      <c r="A392" s="123" t="s">
        <v>388</v>
      </c>
      <c r="B392" s="124" t="s">
        <v>735</v>
      </c>
      <c r="C392" s="158">
        <v>0</v>
      </c>
      <c r="D392" s="158"/>
      <c r="E392" s="158">
        <v>0</v>
      </c>
      <c r="F392" s="158"/>
      <c r="G392" s="158">
        <v>0</v>
      </c>
      <c r="H392" s="158"/>
      <c r="I392" s="158">
        <v>335</v>
      </c>
      <c r="J392" s="158"/>
      <c r="K392" s="158">
        <v>0</v>
      </c>
      <c r="L392" s="158"/>
      <c r="M392" s="158">
        <v>0</v>
      </c>
      <c r="N392" s="158"/>
      <c r="O392" s="158">
        <v>0</v>
      </c>
      <c r="P392" s="158"/>
      <c r="Q392" s="158">
        <v>0</v>
      </c>
      <c r="R392" s="158"/>
      <c r="S392" s="158">
        <v>0</v>
      </c>
      <c r="T392" s="158"/>
      <c r="U392" s="158">
        <v>0</v>
      </c>
      <c r="V392" s="158"/>
      <c r="W392" s="158">
        <v>0</v>
      </c>
      <c r="X392" s="158"/>
      <c r="Y392" s="158">
        <v>0</v>
      </c>
      <c r="Z392" s="158"/>
      <c r="AA392" s="158">
        <v>0</v>
      </c>
      <c r="AB392" s="158"/>
      <c r="AC392" s="158">
        <v>0</v>
      </c>
      <c r="AD392" s="158"/>
      <c r="AE392" s="158">
        <v>0</v>
      </c>
      <c r="AF392" s="158"/>
      <c r="AG392" s="158">
        <v>0</v>
      </c>
      <c r="AH392" s="158"/>
      <c r="AI392" s="158">
        <v>0</v>
      </c>
      <c r="AJ392" s="158"/>
      <c r="AK392" s="158">
        <v>0</v>
      </c>
      <c r="AL392" s="158"/>
      <c r="AM392" s="158">
        <v>0</v>
      </c>
      <c r="AN392" s="158"/>
      <c r="AO392" s="158">
        <v>0</v>
      </c>
      <c r="AP392" s="158"/>
      <c r="AQ392" s="158">
        <v>0</v>
      </c>
      <c r="AR392" s="158"/>
      <c r="AS392" s="158">
        <v>0</v>
      </c>
      <c r="AT392" s="158"/>
      <c r="AU392" s="158">
        <v>0</v>
      </c>
      <c r="AV392" s="158"/>
      <c r="AW392" s="158">
        <v>0</v>
      </c>
      <c r="AX392" s="158"/>
      <c r="AY392" s="158">
        <v>335</v>
      </c>
      <c r="AZ392" s="158"/>
      <c r="BA392" s="158">
        <v>0</v>
      </c>
      <c r="BB392" s="158"/>
      <c r="BC392" s="158">
        <v>0</v>
      </c>
      <c r="BD392" s="158"/>
      <c r="BE392" s="158">
        <v>0</v>
      </c>
      <c r="BF392" s="158"/>
      <c r="BG392" s="158">
        <v>0</v>
      </c>
      <c r="BH392" s="158"/>
      <c r="BI392" s="158">
        <v>0</v>
      </c>
      <c r="BJ392" s="158"/>
      <c r="BK392" s="158">
        <v>0</v>
      </c>
      <c r="BL392" s="158"/>
      <c r="BM392" s="158">
        <v>0</v>
      </c>
      <c r="BN392" s="158"/>
      <c r="BO392" s="158">
        <v>0</v>
      </c>
      <c r="BP392" s="158"/>
      <c r="BQ392" s="158">
        <v>-25.07</v>
      </c>
      <c r="BR392" s="158"/>
      <c r="BS392" s="158">
        <v>335</v>
      </c>
      <c r="BT392" s="158"/>
    </row>
    <row r="393" spans="1:72" x14ac:dyDescent="0.2">
      <c r="A393" s="123" t="s">
        <v>1411</v>
      </c>
      <c r="B393" s="124" t="s">
        <v>1412</v>
      </c>
      <c r="C393" s="158">
        <v>0</v>
      </c>
      <c r="D393" s="158"/>
      <c r="E393" s="158">
        <v>0</v>
      </c>
      <c r="F393" s="158"/>
      <c r="G393" s="158">
        <v>0</v>
      </c>
      <c r="H393" s="158"/>
      <c r="I393" s="158">
        <v>0</v>
      </c>
      <c r="J393" s="158"/>
      <c r="K393" s="158">
        <v>0</v>
      </c>
      <c r="L393" s="158"/>
      <c r="M393" s="158">
        <v>0</v>
      </c>
      <c r="N393" s="158"/>
      <c r="O393" s="158">
        <v>0</v>
      </c>
      <c r="P393" s="158"/>
      <c r="Q393" s="158">
        <v>0</v>
      </c>
      <c r="R393" s="158"/>
      <c r="S393" s="158">
        <v>0</v>
      </c>
      <c r="T393" s="158"/>
      <c r="U393" s="158">
        <v>0</v>
      </c>
      <c r="V393" s="158"/>
      <c r="W393" s="158">
        <v>0</v>
      </c>
      <c r="X393" s="158"/>
      <c r="Y393" s="158">
        <v>0</v>
      </c>
      <c r="Z393" s="158"/>
      <c r="AA393" s="158">
        <v>0</v>
      </c>
      <c r="AB393" s="158"/>
      <c r="AC393" s="158">
        <v>0</v>
      </c>
      <c r="AD393" s="158"/>
      <c r="AE393" s="158">
        <v>0</v>
      </c>
      <c r="AF393" s="158"/>
      <c r="AG393" s="158">
        <v>0</v>
      </c>
      <c r="AH393" s="158"/>
      <c r="AI393" s="158">
        <v>0</v>
      </c>
      <c r="AJ393" s="158"/>
      <c r="AK393" s="158">
        <v>0</v>
      </c>
      <c r="AL393" s="158"/>
      <c r="AM393" s="158">
        <v>0</v>
      </c>
      <c r="AN393" s="158"/>
      <c r="AO393" s="158">
        <v>0</v>
      </c>
      <c r="AP393" s="158"/>
      <c r="AQ393" s="158">
        <v>0</v>
      </c>
      <c r="AR393" s="158"/>
      <c r="AS393" s="158">
        <v>0</v>
      </c>
      <c r="AT393" s="158"/>
      <c r="AU393" s="158">
        <v>0</v>
      </c>
      <c r="AV393" s="158"/>
      <c r="AW393" s="158">
        <v>0</v>
      </c>
      <c r="AX393" s="158"/>
      <c r="AY393" s="158">
        <v>0</v>
      </c>
      <c r="AZ393" s="158"/>
      <c r="BA393" s="158">
        <v>0</v>
      </c>
      <c r="BB393" s="158"/>
      <c r="BC393" s="158">
        <v>4.62</v>
      </c>
      <c r="BD393" s="158"/>
      <c r="BE393" s="158">
        <v>0</v>
      </c>
      <c r="BF393" s="158"/>
      <c r="BG393" s="158">
        <v>0</v>
      </c>
      <c r="BH393" s="158"/>
      <c r="BI393" s="158">
        <v>0</v>
      </c>
      <c r="BJ393" s="158"/>
      <c r="BK393" s="158">
        <v>0</v>
      </c>
      <c r="BL393" s="158"/>
      <c r="BM393" s="158">
        <v>0</v>
      </c>
      <c r="BN393" s="158"/>
      <c r="BO393" s="158">
        <v>0</v>
      </c>
      <c r="BP393" s="158"/>
      <c r="BQ393" s="158">
        <v>0</v>
      </c>
      <c r="BR393" s="158"/>
      <c r="BS393" s="158">
        <v>0</v>
      </c>
      <c r="BT393" s="158"/>
    </row>
    <row r="394" spans="1:72" x14ac:dyDescent="0.2">
      <c r="A394" s="123" t="s">
        <v>389</v>
      </c>
      <c r="B394" s="124" t="s">
        <v>740</v>
      </c>
      <c r="C394" s="158">
        <v>283.20999999999998</v>
      </c>
      <c r="D394" s="158"/>
      <c r="E394" s="158">
        <v>513.62</v>
      </c>
      <c r="F394" s="158"/>
      <c r="G394" s="158">
        <v>378.07</v>
      </c>
      <c r="H394" s="158"/>
      <c r="I394" s="158">
        <v>63.46</v>
      </c>
      <c r="J394" s="158"/>
      <c r="K394" s="158">
        <v>158.82</v>
      </c>
      <c r="L394" s="158"/>
      <c r="M394" s="158">
        <v>230.36</v>
      </c>
      <c r="N394" s="158"/>
      <c r="O394" s="158">
        <v>263.95999999999998</v>
      </c>
      <c r="P394" s="158"/>
      <c r="Q394" s="158">
        <v>499.12</v>
      </c>
      <c r="R394" s="158"/>
      <c r="S394" s="158">
        <v>167.51</v>
      </c>
      <c r="T394" s="158"/>
      <c r="U394" s="158">
        <v>261.24</v>
      </c>
      <c r="V394" s="158"/>
      <c r="W394" s="158">
        <v>476.89</v>
      </c>
      <c r="X394" s="158"/>
      <c r="Y394" s="158">
        <v>309.18</v>
      </c>
      <c r="Z394" s="158"/>
      <c r="AA394" s="158">
        <v>151.84</v>
      </c>
      <c r="AB394" s="158"/>
      <c r="AC394" s="158">
        <v>672.51</v>
      </c>
      <c r="AD394" s="158"/>
      <c r="AE394" s="158">
        <v>217.53</v>
      </c>
      <c r="AF394" s="158"/>
      <c r="AG394" s="158">
        <v>87.24</v>
      </c>
      <c r="AH394" s="158"/>
      <c r="AI394" s="158">
        <v>134.09</v>
      </c>
      <c r="AJ394" s="158"/>
      <c r="AK394" s="158">
        <v>775.03</v>
      </c>
      <c r="AL394" s="158"/>
      <c r="AM394" s="158">
        <v>502.73</v>
      </c>
      <c r="AN394" s="158"/>
      <c r="AO394" s="158">
        <v>71</v>
      </c>
      <c r="AP394" s="158"/>
      <c r="AQ394" s="158">
        <v>96.85</v>
      </c>
      <c r="AR394" s="158"/>
      <c r="AS394" s="158">
        <v>278.56</v>
      </c>
      <c r="AT394" s="158"/>
      <c r="AU394" s="158">
        <v>170.14</v>
      </c>
      <c r="AV394" s="158"/>
      <c r="AW394" s="158">
        <v>106.72</v>
      </c>
      <c r="AX394" s="158"/>
      <c r="AY394" s="158">
        <v>449.03</v>
      </c>
      <c r="AZ394" s="158"/>
      <c r="BA394" s="158">
        <v>201.12</v>
      </c>
      <c r="BB394" s="158"/>
      <c r="BC394" s="158">
        <v>826.05</v>
      </c>
      <c r="BD394" s="158"/>
      <c r="BE394" s="158">
        <v>311.27</v>
      </c>
      <c r="BF394" s="158"/>
      <c r="BG394" s="158">
        <v>241.95</v>
      </c>
      <c r="BH394" s="158"/>
      <c r="BI394" s="158">
        <v>233.56</v>
      </c>
      <c r="BJ394" s="158"/>
      <c r="BK394" s="158">
        <v>260.43</v>
      </c>
      <c r="BL394" s="158"/>
      <c r="BM394" s="158">
        <v>156.4</v>
      </c>
      <c r="BN394" s="158"/>
      <c r="BO394" s="158">
        <v>28.28</v>
      </c>
      <c r="BP394" s="158"/>
      <c r="BQ394" s="158">
        <v>177.64</v>
      </c>
      <c r="BR394" s="158"/>
      <c r="BS394" s="158">
        <v>581.74</v>
      </c>
      <c r="BT394" s="158"/>
    </row>
    <row r="395" spans="1:72" x14ac:dyDescent="0.2">
      <c r="A395" s="123" t="s">
        <v>390</v>
      </c>
      <c r="B395" s="124" t="s">
        <v>739</v>
      </c>
      <c r="C395" s="158">
        <v>10700.01</v>
      </c>
      <c r="D395" s="158">
        <f>SUM(C395:C400)</f>
        <v>23903.58</v>
      </c>
      <c r="E395" s="158">
        <v>10074.99</v>
      </c>
      <c r="F395" s="158">
        <f>SUM(E395:E400)</f>
        <v>16915.390000000003</v>
      </c>
      <c r="G395" s="158">
        <v>10700.01</v>
      </c>
      <c r="H395" s="158">
        <f>SUM(G395:G400)</f>
        <v>24239.47</v>
      </c>
      <c r="I395" s="158">
        <v>2468.6</v>
      </c>
      <c r="J395" s="158">
        <f>SUM(I395:I400)</f>
        <v>7369.88</v>
      </c>
      <c r="K395" s="158">
        <v>11574.99</v>
      </c>
      <c r="L395" s="158">
        <f>SUM(K395:K400)</f>
        <v>46510.979999999996</v>
      </c>
      <c r="M395" s="158">
        <v>10700.01</v>
      </c>
      <c r="N395" s="158">
        <f>SUM(M395:M400)</f>
        <v>22559.190000000002</v>
      </c>
      <c r="O395" s="158">
        <v>10700.01</v>
      </c>
      <c r="P395" s="158">
        <f>SUM(O395:O400)</f>
        <v>19475.37</v>
      </c>
      <c r="Q395" s="158">
        <v>183.32</v>
      </c>
      <c r="R395" s="158">
        <f>SUM(Q395:Q400)</f>
        <v>4244.5</v>
      </c>
      <c r="S395" s="158">
        <v>10074.99</v>
      </c>
      <c r="T395" s="158">
        <f>SUM(S395:S400)</f>
        <v>16227.699999999999</v>
      </c>
      <c r="U395" s="158">
        <v>2468.5700000000002</v>
      </c>
      <c r="V395" s="158">
        <f>SUM(U395:U400)</f>
        <v>7564.75</v>
      </c>
      <c r="W395" s="158">
        <v>10074.99</v>
      </c>
      <c r="X395" s="158">
        <f>SUM(W395:W400)</f>
        <v>15193.07</v>
      </c>
      <c r="Y395" s="158">
        <v>2468.5700000000002</v>
      </c>
      <c r="Z395" s="158">
        <f>SUM(Y395:Y400)</f>
        <v>7593.0499999999993</v>
      </c>
      <c r="AA395" s="158">
        <v>10700.01</v>
      </c>
      <c r="AB395" s="158">
        <f>SUM(AA395:AA400)</f>
        <v>24428.32</v>
      </c>
      <c r="AC395" s="158">
        <v>10074.99</v>
      </c>
      <c r="AD395" s="158">
        <f>SUM(AC395:AC399)</f>
        <v>14390.409999999998</v>
      </c>
      <c r="AE395" s="158">
        <v>12200.02</v>
      </c>
      <c r="AF395" s="158">
        <f>SUM(AE395:AE400)</f>
        <v>33651.990000000005</v>
      </c>
      <c r="AG395" s="158">
        <v>10700.01</v>
      </c>
      <c r="AH395" s="158">
        <f>SUM(AG395:AG400)</f>
        <v>23479.43</v>
      </c>
      <c r="AI395" s="158">
        <v>10074.99</v>
      </c>
      <c r="AJ395" s="158">
        <f>SUM(AI395:AI400)</f>
        <v>13713.32</v>
      </c>
      <c r="AK395" s="158">
        <v>2264.1799999999998</v>
      </c>
      <c r="AL395" s="158">
        <f>SUM(AK395:AK400)</f>
        <v>5380.7400000000007</v>
      </c>
      <c r="AM395" s="158">
        <v>2468.5700000000002</v>
      </c>
      <c r="AN395" s="158">
        <f>SUM(AM395:AM400)</f>
        <v>12888.400000000001</v>
      </c>
      <c r="AO395" s="158">
        <v>10700.01</v>
      </c>
      <c r="AP395" s="158">
        <f>SUM(AO395:AO400)</f>
        <v>22203.020000000004</v>
      </c>
      <c r="AQ395" s="158">
        <v>-1066.68</v>
      </c>
      <c r="AR395" s="158">
        <f>SUM(AQ395:AQ400)</f>
        <v>3847.7999999999997</v>
      </c>
      <c r="AS395" s="158">
        <v>10700.01</v>
      </c>
      <c r="AT395" s="158">
        <f>SUM(AS395:AS400)</f>
        <v>24119.32</v>
      </c>
      <c r="AU395" s="158">
        <v>12200.01</v>
      </c>
      <c r="AV395" s="158">
        <f>SUM(AU395:AU400)</f>
        <v>44156.17</v>
      </c>
      <c r="AW395" s="158">
        <v>1963.74</v>
      </c>
      <c r="AX395" s="158">
        <f>SUM(AW395:AW400)</f>
        <v>3707.9900000000002</v>
      </c>
      <c r="AY395" s="158">
        <v>2468.6</v>
      </c>
      <c r="AZ395" s="158">
        <f>SUM(AY395:AY400)</f>
        <v>7348.07</v>
      </c>
      <c r="BA395" s="158">
        <v>-441.7</v>
      </c>
      <c r="BB395" s="158">
        <f>SUM(BA395:BA400)</f>
        <v>3720.12</v>
      </c>
      <c r="BC395" s="158">
        <v>2468.5700000000002</v>
      </c>
      <c r="BD395" s="158">
        <f>SUM(BC395:BC400)</f>
        <v>10949.39</v>
      </c>
      <c r="BE395" s="158">
        <v>-117.05</v>
      </c>
      <c r="BF395" s="158">
        <f>SUM(BE395:BE400)</f>
        <v>8526.4699999999993</v>
      </c>
      <c r="BG395" s="158">
        <v>2468.5700000000002</v>
      </c>
      <c r="BH395" s="158">
        <f>SUM(BG395:BG400)</f>
        <v>6533.75</v>
      </c>
      <c r="BI395" s="158">
        <v>2398.6999999999998</v>
      </c>
      <c r="BJ395" s="158">
        <f>SUM(BI395:BI400)</f>
        <v>7856.53</v>
      </c>
      <c r="BK395" s="158">
        <v>2468.6</v>
      </c>
      <c r="BL395" s="158">
        <f>SUM(BK395:BK400)</f>
        <v>8403.08</v>
      </c>
      <c r="BM395" s="158">
        <v>10700.01</v>
      </c>
      <c r="BN395" s="158">
        <f>SUM(BM395:BM400)</f>
        <v>19920.310000000001</v>
      </c>
      <c r="BO395" s="158">
        <v>2468.6</v>
      </c>
      <c r="BP395" s="158">
        <f>SUM(BO395:BO400)</f>
        <v>8104.3499999999995</v>
      </c>
      <c r="BQ395" s="158">
        <v>2468.6</v>
      </c>
      <c r="BR395" s="158">
        <f>SUM(BQ395:BQ400)</f>
        <v>8662.119999999999</v>
      </c>
      <c r="BS395" s="158">
        <v>2468.6</v>
      </c>
      <c r="BT395" s="158">
        <f>SUM(BS395:BS400)</f>
        <v>8457.7799999999988</v>
      </c>
    </row>
    <row r="396" spans="1:72" x14ac:dyDescent="0.2">
      <c r="A396" s="123" t="s">
        <v>391</v>
      </c>
      <c r="B396" s="124" t="s">
        <v>738</v>
      </c>
      <c r="C396" s="158">
        <v>8954.66</v>
      </c>
      <c r="D396" s="158"/>
      <c r="E396" s="158">
        <v>6824.84</v>
      </c>
      <c r="F396" s="158"/>
      <c r="G396" s="158">
        <v>9332.25</v>
      </c>
      <c r="H396" s="158"/>
      <c r="I396" s="158">
        <v>652.37</v>
      </c>
      <c r="J396" s="158"/>
      <c r="K396" s="158">
        <v>27812.080000000002</v>
      </c>
      <c r="L396" s="158"/>
      <c r="M396" s="158">
        <v>7202.62</v>
      </c>
      <c r="N396" s="158"/>
      <c r="O396" s="158">
        <v>5401.45</v>
      </c>
      <c r="P396" s="158"/>
      <c r="Q396" s="158">
        <v>372.27</v>
      </c>
      <c r="R396" s="158"/>
      <c r="S396" s="158">
        <v>6137.15</v>
      </c>
      <c r="T396" s="158"/>
      <c r="U396" s="158">
        <v>722.27</v>
      </c>
      <c r="V396" s="158"/>
      <c r="W396" s="158">
        <v>5102.5200000000004</v>
      </c>
      <c r="X396" s="158"/>
      <c r="Y396" s="158">
        <v>582.27</v>
      </c>
      <c r="Z396" s="158"/>
      <c r="AA396" s="158">
        <v>9186.1</v>
      </c>
      <c r="AB396" s="158"/>
      <c r="AC396" s="158">
        <v>4299.8599999999997</v>
      </c>
      <c r="AD396" s="158"/>
      <c r="AE396" s="158">
        <v>15160.41</v>
      </c>
      <c r="AF396" s="158"/>
      <c r="AG396" s="158">
        <v>8195.51</v>
      </c>
      <c r="AH396" s="158"/>
      <c r="AI396" s="158">
        <v>3622.77</v>
      </c>
      <c r="AJ396" s="158"/>
      <c r="AK396" s="158">
        <v>3101</v>
      </c>
      <c r="AL396" s="158"/>
      <c r="AM396" s="158">
        <v>4004.27</v>
      </c>
      <c r="AN396" s="158"/>
      <c r="AO396" s="158">
        <v>7010.8</v>
      </c>
      <c r="AP396" s="158"/>
      <c r="AQ396" s="158">
        <v>582.27</v>
      </c>
      <c r="AR396" s="158"/>
      <c r="AS396" s="158">
        <v>8835.4</v>
      </c>
      <c r="AT396" s="158"/>
      <c r="AU396" s="158">
        <v>26715.599999999999</v>
      </c>
      <c r="AV396" s="158"/>
      <c r="AW396" s="158">
        <v>1728.7</v>
      </c>
      <c r="AX396" s="158"/>
      <c r="AY396" s="158">
        <v>672.27</v>
      </c>
      <c r="AZ396" s="158"/>
      <c r="BA396" s="158">
        <v>396.27</v>
      </c>
      <c r="BB396" s="158"/>
      <c r="BC396" s="158">
        <v>4440.2700000000004</v>
      </c>
      <c r="BD396" s="158"/>
      <c r="BE396" s="158">
        <v>3602.97</v>
      </c>
      <c r="BF396" s="158"/>
      <c r="BG396" s="158">
        <v>626.28</v>
      </c>
      <c r="BH396" s="158"/>
      <c r="BI396" s="158">
        <v>1852.28</v>
      </c>
      <c r="BJ396" s="158"/>
      <c r="BK396" s="158">
        <v>852.28</v>
      </c>
      <c r="BL396" s="158"/>
      <c r="BM396" s="158">
        <v>6679.75</v>
      </c>
      <c r="BN396" s="158"/>
      <c r="BO396" s="158">
        <v>968.55</v>
      </c>
      <c r="BP396" s="158"/>
      <c r="BQ396" s="158">
        <v>1251.25</v>
      </c>
      <c r="BR396" s="158"/>
      <c r="BS396" s="158">
        <v>2198.63</v>
      </c>
      <c r="BT396" s="158"/>
    </row>
    <row r="397" spans="1:72" x14ac:dyDescent="0.2">
      <c r="A397" s="123" t="s">
        <v>737</v>
      </c>
      <c r="B397" s="124" t="s">
        <v>736</v>
      </c>
      <c r="C397" s="158">
        <v>0</v>
      </c>
      <c r="D397" s="158"/>
      <c r="E397" s="158">
        <v>0</v>
      </c>
      <c r="F397" s="158"/>
      <c r="G397" s="158">
        <v>0</v>
      </c>
      <c r="H397" s="158"/>
      <c r="I397" s="158">
        <v>0</v>
      </c>
      <c r="J397" s="158"/>
      <c r="K397" s="158">
        <v>0</v>
      </c>
      <c r="L397" s="158"/>
      <c r="M397" s="158">
        <v>0</v>
      </c>
      <c r="N397" s="158"/>
      <c r="O397" s="158">
        <v>0</v>
      </c>
      <c r="P397" s="158"/>
      <c r="Q397" s="158">
        <v>0</v>
      </c>
      <c r="R397" s="158"/>
      <c r="S397" s="158">
        <v>0</v>
      </c>
      <c r="T397" s="158"/>
      <c r="U397" s="158">
        <v>0</v>
      </c>
      <c r="V397" s="158"/>
      <c r="W397" s="158">
        <v>0</v>
      </c>
      <c r="X397" s="158"/>
      <c r="Y397" s="158">
        <v>0</v>
      </c>
      <c r="Z397" s="158"/>
      <c r="AA397" s="158">
        <v>0</v>
      </c>
      <c r="AB397" s="158"/>
      <c r="AC397" s="158">
        <v>0</v>
      </c>
      <c r="AD397" s="158"/>
      <c r="AE397" s="158">
        <v>326</v>
      </c>
      <c r="AF397" s="158"/>
      <c r="AG397" s="158">
        <v>0</v>
      </c>
      <c r="AH397" s="158"/>
      <c r="AI397" s="158">
        <v>0</v>
      </c>
      <c r="AJ397" s="158"/>
      <c r="AK397" s="158">
        <v>0</v>
      </c>
      <c r="AL397" s="158"/>
      <c r="AM397" s="158">
        <v>0</v>
      </c>
      <c r="AN397" s="158"/>
      <c r="AO397" s="158">
        <v>0</v>
      </c>
      <c r="AP397" s="158"/>
      <c r="AQ397" s="158">
        <v>0</v>
      </c>
      <c r="AR397" s="158"/>
      <c r="AS397" s="158">
        <v>0</v>
      </c>
      <c r="AT397" s="158"/>
      <c r="AU397" s="158">
        <v>0</v>
      </c>
      <c r="AV397" s="158"/>
      <c r="AW397" s="158">
        <v>0</v>
      </c>
      <c r="AX397" s="158"/>
      <c r="AY397" s="158">
        <v>0</v>
      </c>
      <c r="AZ397" s="158"/>
      <c r="BA397" s="158">
        <v>0</v>
      </c>
      <c r="BB397" s="158"/>
      <c r="BC397" s="158">
        <v>0</v>
      </c>
      <c r="BD397" s="158"/>
      <c r="BE397" s="158">
        <v>0</v>
      </c>
      <c r="BF397" s="158"/>
      <c r="BG397" s="158">
        <v>0</v>
      </c>
      <c r="BH397" s="158"/>
      <c r="BI397" s="158">
        <v>0</v>
      </c>
      <c r="BJ397" s="158"/>
      <c r="BK397" s="158">
        <v>0</v>
      </c>
      <c r="BL397" s="158"/>
      <c r="BM397" s="158">
        <v>0</v>
      </c>
      <c r="BN397" s="158"/>
      <c r="BO397" s="158">
        <v>0</v>
      </c>
      <c r="BP397" s="158"/>
      <c r="BQ397" s="158">
        <v>0</v>
      </c>
      <c r="BR397" s="158"/>
      <c r="BS397" s="158">
        <v>0</v>
      </c>
      <c r="BT397" s="158"/>
    </row>
    <row r="398" spans="1:72" x14ac:dyDescent="0.2">
      <c r="A398" s="123" t="s">
        <v>552</v>
      </c>
      <c r="B398" s="124" t="s">
        <v>735</v>
      </c>
      <c r="C398" s="158">
        <v>0</v>
      </c>
      <c r="D398" s="158"/>
      <c r="E398" s="158">
        <v>0</v>
      </c>
      <c r="F398" s="158"/>
      <c r="G398" s="158">
        <v>0</v>
      </c>
      <c r="H398" s="158"/>
      <c r="I398" s="158">
        <v>0</v>
      </c>
      <c r="J398" s="158"/>
      <c r="K398" s="158">
        <v>0</v>
      </c>
      <c r="L398" s="158"/>
      <c r="M398" s="158">
        <v>335</v>
      </c>
      <c r="N398" s="158"/>
      <c r="O398" s="158">
        <v>0</v>
      </c>
      <c r="P398" s="158"/>
      <c r="Q398" s="158">
        <v>0</v>
      </c>
      <c r="R398" s="158"/>
      <c r="S398" s="158">
        <v>0</v>
      </c>
      <c r="T398" s="158"/>
      <c r="U398" s="158">
        <v>0</v>
      </c>
      <c r="V398" s="158"/>
      <c r="W398" s="158">
        <v>0</v>
      </c>
      <c r="X398" s="158"/>
      <c r="Y398" s="158">
        <v>0</v>
      </c>
      <c r="Z398" s="158"/>
      <c r="AA398" s="158">
        <v>335</v>
      </c>
      <c r="AB398" s="158"/>
      <c r="AC398" s="158">
        <v>0</v>
      </c>
      <c r="AD398" s="158"/>
      <c r="AE398" s="158">
        <v>425</v>
      </c>
      <c r="AF398" s="158"/>
      <c r="AG398" s="158">
        <v>335</v>
      </c>
      <c r="AH398" s="158"/>
      <c r="AI398" s="158">
        <v>0</v>
      </c>
      <c r="AJ398" s="158"/>
      <c r="AK398" s="158">
        <v>0</v>
      </c>
      <c r="AL398" s="158"/>
      <c r="AM398" s="158">
        <v>0</v>
      </c>
      <c r="AN398" s="158"/>
      <c r="AO398" s="158">
        <v>0</v>
      </c>
      <c r="AP398" s="158"/>
      <c r="AQ398" s="158">
        <v>0</v>
      </c>
      <c r="AR398" s="158"/>
      <c r="AS398" s="158">
        <v>335</v>
      </c>
      <c r="AT398" s="158"/>
      <c r="AU398" s="158">
        <v>0</v>
      </c>
      <c r="AV398" s="158"/>
      <c r="AW398" s="158">
        <v>0</v>
      </c>
      <c r="AX398" s="158"/>
      <c r="AY398" s="158">
        <v>0</v>
      </c>
      <c r="AZ398" s="158"/>
      <c r="BA398" s="158">
        <v>0</v>
      </c>
      <c r="BB398" s="158"/>
      <c r="BC398" s="158">
        <v>0</v>
      </c>
      <c r="BD398" s="158"/>
      <c r="BE398" s="158">
        <v>0</v>
      </c>
      <c r="BF398" s="158"/>
      <c r="BG398" s="158">
        <v>315</v>
      </c>
      <c r="BH398" s="158"/>
      <c r="BI398" s="158">
        <v>315</v>
      </c>
      <c r="BJ398" s="158"/>
      <c r="BK398" s="158">
        <v>375</v>
      </c>
      <c r="BL398" s="158"/>
      <c r="BM398" s="158">
        <v>0</v>
      </c>
      <c r="BN398" s="158"/>
      <c r="BO398" s="158">
        <v>335</v>
      </c>
      <c r="BP398" s="158"/>
      <c r="BQ398" s="158">
        <v>360.07</v>
      </c>
      <c r="BR398" s="158"/>
      <c r="BS398" s="158">
        <v>0</v>
      </c>
      <c r="BT398" s="158"/>
    </row>
    <row r="399" spans="1:72" x14ac:dyDescent="0.2">
      <c r="A399" s="123" t="s">
        <v>392</v>
      </c>
      <c r="B399" s="124" t="s">
        <v>734</v>
      </c>
      <c r="C399" s="158">
        <v>40.56</v>
      </c>
      <c r="D399" s="158"/>
      <c r="E399" s="158">
        <v>15.56</v>
      </c>
      <c r="F399" s="158"/>
      <c r="G399" s="158">
        <v>40.56</v>
      </c>
      <c r="H399" s="158"/>
      <c r="I399" s="158">
        <v>40.56</v>
      </c>
      <c r="J399" s="158"/>
      <c r="K399" s="158">
        <v>40.56</v>
      </c>
      <c r="L399" s="158"/>
      <c r="M399" s="158">
        <v>196.56</v>
      </c>
      <c r="N399" s="158"/>
      <c r="O399" s="158">
        <v>40.56</v>
      </c>
      <c r="P399" s="158"/>
      <c r="Q399" s="158">
        <v>355.56</v>
      </c>
      <c r="R399" s="158"/>
      <c r="S399" s="158">
        <v>15.56</v>
      </c>
      <c r="T399" s="158"/>
      <c r="U399" s="158">
        <v>40.56</v>
      </c>
      <c r="V399" s="158"/>
      <c r="W399" s="158">
        <v>15.56</v>
      </c>
      <c r="X399" s="158"/>
      <c r="Y399" s="158">
        <v>375.56</v>
      </c>
      <c r="Z399" s="158"/>
      <c r="AA399" s="158">
        <v>40.56</v>
      </c>
      <c r="AB399" s="158"/>
      <c r="AC399" s="158">
        <v>15.56</v>
      </c>
      <c r="AD399" s="158"/>
      <c r="AE399" s="158">
        <v>40.56</v>
      </c>
      <c r="AF399" s="158"/>
      <c r="AG399" s="158">
        <v>40.56</v>
      </c>
      <c r="AH399" s="158"/>
      <c r="AI399" s="158">
        <v>15.56</v>
      </c>
      <c r="AJ399" s="158"/>
      <c r="AK399" s="158">
        <v>15.56</v>
      </c>
      <c r="AL399" s="158"/>
      <c r="AM399" s="158">
        <v>40.56</v>
      </c>
      <c r="AN399" s="158"/>
      <c r="AO399" s="158">
        <v>700.56</v>
      </c>
      <c r="AP399" s="158"/>
      <c r="AQ399" s="158">
        <v>40.56</v>
      </c>
      <c r="AR399" s="158"/>
      <c r="AS399" s="158">
        <v>40.56</v>
      </c>
      <c r="AT399" s="158"/>
      <c r="AU399" s="158">
        <v>740.56</v>
      </c>
      <c r="AV399" s="158"/>
      <c r="AW399" s="158">
        <v>15.55</v>
      </c>
      <c r="AX399" s="158"/>
      <c r="AY399" s="158">
        <v>40.549999999999997</v>
      </c>
      <c r="AZ399" s="158"/>
      <c r="BA399" s="158">
        <v>15.55</v>
      </c>
      <c r="BB399" s="158"/>
      <c r="BC399" s="158">
        <v>40.549999999999997</v>
      </c>
      <c r="BD399" s="158"/>
      <c r="BE399" s="158">
        <v>40.549999999999997</v>
      </c>
      <c r="BF399" s="158"/>
      <c r="BG399" s="158">
        <v>40.549999999999997</v>
      </c>
      <c r="BH399" s="158"/>
      <c r="BI399" s="158">
        <v>40.549999999999997</v>
      </c>
      <c r="BJ399" s="158"/>
      <c r="BK399" s="158">
        <v>40.549999999999997</v>
      </c>
      <c r="BL399" s="158"/>
      <c r="BM399" s="158">
        <v>40.549999999999997</v>
      </c>
      <c r="BN399" s="158"/>
      <c r="BO399" s="158">
        <v>40.549999999999997</v>
      </c>
      <c r="BP399" s="158"/>
      <c r="BQ399" s="158">
        <v>40.549999999999997</v>
      </c>
      <c r="BR399" s="158"/>
      <c r="BS399" s="158">
        <v>40.549999999999997</v>
      </c>
      <c r="BT399" s="158"/>
    </row>
    <row r="400" spans="1:72" x14ac:dyDescent="0.2">
      <c r="A400" s="123" t="s">
        <v>393</v>
      </c>
      <c r="B400" s="124" t="s">
        <v>733</v>
      </c>
      <c r="C400" s="158">
        <v>4208.3500000000004</v>
      </c>
      <c r="D400" s="158"/>
      <c r="E400" s="158">
        <v>0</v>
      </c>
      <c r="F400" s="158"/>
      <c r="G400" s="158">
        <v>4166.6499999999996</v>
      </c>
      <c r="H400" s="158"/>
      <c r="I400" s="158">
        <v>4208.3500000000004</v>
      </c>
      <c r="J400" s="158"/>
      <c r="K400" s="158">
        <v>7083.35</v>
      </c>
      <c r="L400" s="158"/>
      <c r="M400" s="158">
        <v>4125</v>
      </c>
      <c r="N400" s="158"/>
      <c r="O400" s="158">
        <v>3333.35</v>
      </c>
      <c r="P400" s="158"/>
      <c r="Q400" s="158">
        <v>3333.35</v>
      </c>
      <c r="R400" s="158"/>
      <c r="S400" s="158">
        <v>0</v>
      </c>
      <c r="T400" s="158"/>
      <c r="U400" s="158">
        <v>4333.3500000000004</v>
      </c>
      <c r="V400" s="158"/>
      <c r="W400" s="158">
        <v>0</v>
      </c>
      <c r="X400" s="158"/>
      <c r="Y400" s="158">
        <v>4166.6499999999996</v>
      </c>
      <c r="Z400" s="158"/>
      <c r="AA400" s="158">
        <v>4166.6499999999996</v>
      </c>
      <c r="AB400" s="158"/>
      <c r="AC400" s="158">
        <v>0</v>
      </c>
      <c r="AD400" s="158"/>
      <c r="AE400" s="158">
        <v>5500</v>
      </c>
      <c r="AF400" s="158"/>
      <c r="AG400" s="158">
        <v>4208.3500000000004</v>
      </c>
      <c r="AH400" s="158"/>
      <c r="AI400" s="158">
        <v>0</v>
      </c>
      <c r="AJ400" s="158"/>
      <c r="AK400" s="158">
        <v>0</v>
      </c>
      <c r="AL400" s="158"/>
      <c r="AM400" s="158">
        <v>6375</v>
      </c>
      <c r="AN400" s="158"/>
      <c r="AO400" s="158">
        <v>3791.65</v>
      </c>
      <c r="AP400" s="158"/>
      <c r="AQ400" s="158">
        <v>4291.6499999999996</v>
      </c>
      <c r="AR400" s="158"/>
      <c r="AS400" s="158">
        <v>4208.3500000000004</v>
      </c>
      <c r="AT400" s="158"/>
      <c r="AU400" s="158">
        <v>4500</v>
      </c>
      <c r="AV400" s="158"/>
      <c r="AW400" s="158">
        <v>0</v>
      </c>
      <c r="AX400" s="158"/>
      <c r="AY400" s="158">
        <v>4166.6499999999996</v>
      </c>
      <c r="AZ400" s="158"/>
      <c r="BA400" s="158">
        <v>3750</v>
      </c>
      <c r="BB400" s="158"/>
      <c r="BC400" s="158">
        <v>4000</v>
      </c>
      <c r="BD400" s="158"/>
      <c r="BE400" s="158">
        <v>5000</v>
      </c>
      <c r="BF400" s="158"/>
      <c r="BG400" s="158">
        <v>3083.35</v>
      </c>
      <c r="BH400" s="158"/>
      <c r="BI400" s="158">
        <v>3250</v>
      </c>
      <c r="BJ400" s="158"/>
      <c r="BK400" s="158">
        <v>4666.6499999999996</v>
      </c>
      <c r="BL400" s="158"/>
      <c r="BM400" s="158">
        <v>2500</v>
      </c>
      <c r="BN400" s="158"/>
      <c r="BO400" s="158">
        <v>4291.6499999999996</v>
      </c>
      <c r="BP400" s="158"/>
      <c r="BQ400" s="158">
        <v>4541.6499999999996</v>
      </c>
      <c r="BR400" s="158"/>
      <c r="BS400" s="158">
        <v>3750</v>
      </c>
      <c r="BT400" s="158"/>
    </row>
    <row r="401" spans="1:72" x14ac:dyDescent="0.2">
      <c r="A401" s="123" t="s">
        <v>394</v>
      </c>
      <c r="B401" s="124" t="s">
        <v>732</v>
      </c>
      <c r="C401" s="158">
        <v>5260.4</v>
      </c>
      <c r="D401" s="158"/>
      <c r="E401" s="158">
        <v>0</v>
      </c>
      <c r="F401" s="158"/>
      <c r="G401" s="158">
        <v>5208.3500000000004</v>
      </c>
      <c r="H401" s="158"/>
      <c r="I401" s="158">
        <v>5260.4</v>
      </c>
      <c r="J401" s="158"/>
      <c r="K401" s="158">
        <v>0</v>
      </c>
      <c r="L401" s="158"/>
      <c r="M401" s="158">
        <v>5156.25</v>
      </c>
      <c r="N401" s="158"/>
      <c r="O401" s="158">
        <v>4166.6499999999996</v>
      </c>
      <c r="P401" s="158"/>
      <c r="Q401" s="158">
        <v>0</v>
      </c>
      <c r="R401" s="158"/>
      <c r="S401" s="158">
        <v>0</v>
      </c>
      <c r="T401" s="158"/>
      <c r="U401" s="158">
        <v>5416.65</v>
      </c>
      <c r="V401" s="158"/>
      <c r="W401" s="158">
        <v>0</v>
      </c>
      <c r="X401" s="158"/>
      <c r="Y401" s="158">
        <v>5208.3500000000004</v>
      </c>
      <c r="Z401" s="158"/>
      <c r="AA401" s="158">
        <v>5208.3500000000004</v>
      </c>
      <c r="AB401" s="158"/>
      <c r="AC401" s="158">
        <v>0</v>
      </c>
      <c r="AD401" s="158"/>
      <c r="AE401" s="158">
        <v>6875</v>
      </c>
      <c r="AF401" s="158"/>
      <c r="AG401" s="158">
        <v>5260.4</v>
      </c>
      <c r="AH401" s="158"/>
      <c r="AI401" s="158">
        <v>0</v>
      </c>
      <c r="AJ401" s="158"/>
      <c r="AK401" s="158">
        <v>0</v>
      </c>
      <c r="AL401" s="158"/>
      <c r="AM401" s="158">
        <v>7968.75</v>
      </c>
      <c r="AN401" s="158"/>
      <c r="AO401" s="158">
        <v>4739.6000000000004</v>
      </c>
      <c r="AP401" s="158"/>
      <c r="AQ401" s="158">
        <v>0</v>
      </c>
      <c r="AR401" s="158"/>
      <c r="AS401" s="158">
        <v>5260.4</v>
      </c>
      <c r="AT401" s="158"/>
      <c r="AU401" s="158">
        <v>0</v>
      </c>
      <c r="AV401" s="158"/>
      <c r="AW401" s="158">
        <v>0</v>
      </c>
      <c r="AX401" s="158"/>
      <c r="AY401" s="158">
        <v>5208.3500000000004</v>
      </c>
      <c r="AZ401" s="158"/>
      <c r="BA401" s="158">
        <v>0</v>
      </c>
      <c r="BB401" s="158"/>
      <c r="BC401" s="158">
        <v>5000</v>
      </c>
      <c r="BD401" s="158"/>
      <c r="BE401" s="158">
        <v>0</v>
      </c>
      <c r="BF401" s="158"/>
      <c r="BG401" s="158">
        <v>3854.15</v>
      </c>
      <c r="BH401" s="158"/>
      <c r="BI401" s="158">
        <v>4062.5</v>
      </c>
      <c r="BJ401" s="158"/>
      <c r="BK401" s="158">
        <v>5833.35</v>
      </c>
      <c r="BL401" s="158"/>
      <c r="BM401" s="158">
        <v>3125</v>
      </c>
      <c r="BN401" s="158"/>
      <c r="BO401" s="158">
        <v>5364.6</v>
      </c>
      <c r="BP401" s="158"/>
      <c r="BQ401" s="158">
        <v>5677.1</v>
      </c>
      <c r="BR401" s="158"/>
      <c r="BS401" s="158">
        <v>4687.5</v>
      </c>
      <c r="BT401" s="158"/>
    </row>
    <row r="402" spans="1:72" x14ac:dyDescent="0.2">
      <c r="A402" s="123" t="s">
        <v>395</v>
      </c>
      <c r="B402" s="124" t="s">
        <v>731</v>
      </c>
      <c r="C402" s="158">
        <v>19818.29</v>
      </c>
      <c r="D402" s="158">
        <f>C402</f>
        <v>19818.29</v>
      </c>
      <c r="E402" s="158">
        <v>25204.82</v>
      </c>
      <c r="F402" s="158">
        <f>E402</f>
        <v>25204.82</v>
      </c>
      <c r="G402" s="158">
        <v>19741.91</v>
      </c>
      <c r="H402" s="158">
        <f>G402</f>
        <v>19741.91</v>
      </c>
      <c r="I402" s="158">
        <v>22325.47</v>
      </c>
      <c r="J402" s="158">
        <f>I402</f>
        <v>22325.47</v>
      </c>
      <c r="K402" s="158">
        <v>40482.300000000003</v>
      </c>
      <c r="L402" s="158">
        <f>K402</f>
        <v>40482.300000000003</v>
      </c>
      <c r="M402" s="158">
        <v>19034.900000000001</v>
      </c>
      <c r="N402" s="158">
        <f>M402</f>
        <v>19034.900000000001</v>
      </c>
      <c r="O402" s="158">
        <v>15632.57</v>
      </c>
      <c r="P402" s="158">
        <f>O402</f>
        <v>15632.57</v>
      </c>
      <c r="Q402" s="158">
        <v>15494.73</v>
      </c>
      <c r="R402" s="158">
        <f>Q402</f>
        <v>15494.73</v>
      </c>
      <c r="S402" s="158">
        <v>28913.35</v>
      </c>
      <c r="T402" s="158">
        <f>S402</f>
        <v>28913.35</v>
      </c>
      <c r="U402" s="158">
        <v>19540.63</v>
      </c>
      <c r="V402" s="158">
        <f>U402</f>
        <v>19540.63</v>
      </c>
      <c r="W402" s="158">
        <v>21625.78</v>
      </c>
      <c r="X402" s="158">
        <f>W402</f>
        <v>21625.78</v>
      </c>
      <c r="Y402" s="158">
        <v>18124.45</v>
      </c>
      <c r="Z402" s="158">
        <f>Y402</f>
        <v>18124.45</v>
      </c>
      <c r="AA402" s="158">
        <v>20079.88</v>
      </c>
      <c r="AB402" s="158">
        <f>AA402</f>
        <v>20079.88</v>
      </c>
      <c r="AC402" s="158">
        <v>16990.689999999999</v>
      </c>
      <c r="AD402" s="158">
        <f>AC402</f>
        <v>16990.689999999999</v>
      </c>
      <c r="AE402" s="158">
        <v>21288.66</v>
      </c>
      <c r="AF402" s="158">
        <f>AE402</f>
        <v>21288.66</v>
      </c>
      <c r="AG402" s="158">
        <v>19135.71</v>
      </c>
      <c r="AH402" s="158">
        <f>AG402</f>
        <v>19135.71</v>
      </c>
      <c r="AI402" s="158">
        <v>13029.02</v>
      </c>
      <c r="AJ402" s="158">
        <f>AI402</f>
        <v>13029.02</v>
      </c>
      <c r="AK402" s="158">
        <v>20461.310000000001</v>
      </c>
      <c r="AL402" s="158">
        <f>AK402</f>
        <v>20461.310000000001</v>
      </c>
      <c r="AM402" s="158">
        <v>26769.39</v>
      </c>
      <c r="AN402" s="158">
        <f>AM402</f>
        <v>26769.39</v>
      </c>
      <c r="AO402" s="158">
        <v>17303.86</v>
      </c>
      <c r="AP402" s="158">
        <f>AO402</f>
        <v>17303.86</v>
      </c>
      <c r="AQ402" s="158">
        <v>23910.86</v>
      </c>
      <c r="AR402" s="158">
        <f>AQ402</f>
        <v>23910.86</v>
      </c>
      <c r="AS402" s="158">
        <v>20375.38</v>
      </c>
      <c r="AT402" s="158">
        <f>AS402</f>
        <v>20375.38</v>
      </c>
      <c r="AU402" s="158">
        <v>29060.77</v>
      </c>
      <c r="AV402" s="158">
        <f>AU402</f>
        <v>29060.77</v>
      </c>
      <c r="AW402" s="158">
        <v>17442.97</v>
      </c>
      <c r="AX402" s="158">
        <f>AW402</f>
        <v>17442.97</v>
      </c>
      <c r="AY402" s="158">
        <v>19247.060000000001</v>
      </c>
      <c r="AZ402" s="158">
        <f>AY402</f>
        <v>19247.060000000001</v>
      </c>
      <c r="BA402" s="158">
        <v>20936.39</v>
      </c>
      <c r="BB402" s="158">
        <f>BA402</f>
        <v>20936.39</v>
      </c>
      <c r="BC402" s="158">
        <v>9954.0499999999993</v>
      </c>
      <c r="BD402" s="158">
        <f>BC402</f>
        <v>9954.0499999999993</v>
      </c>
      <c r="BE402" s="158">
        <v>29395.62</v>
      </c>
      <c r="BF402" s="158">
        <f>BE402</f>
        <v>29395.62</v>
      </c>
      <c r="BG402" s="158">
        <v>10127.77</v>
      </c>
      <c r="BH402" s="158">
        <f>BG402</f>
        <v>10127.77</v>
      </c>
      <c r="BI402" s="158">
        <v>16866.689999999999</v>
      </c>
      <c r="BJ402" s="158">
        <f>BI402</f>
        <v>16866.689999999999</v>
      </c>
      <c r="BK402" s="158">
        <v>20706.73</v>
      </c>
      <c r="BL402" s="158">
        <f>BK402</f>
        <v>20706.73</v>
      </c>
      <c r="BM402" s="158">
        <v>13894.77</v>
      </c>
      <c r="BN402" s="158">
        <f>BM402</f>
        <v>13894.77</v>
      </c>
      <c r="BO402" s="158">
        <v>21043.9</v>
      </c>
      <c r="BP402" s="158">
        <f>BO402</f>
        <v>21043.9</v>
      </c>
      <c r="BQ402" s="158">
        <v>19869.189999999999</v>
      </c>
      <c r="BR402" s="158">
        <f>BQ402</f>
        <v>19869.189999999999</v>
      </c>
      <c r="BS402" s="158">
        <v>19907.63</v>
      </c>
      <c r="BT402" s="158">
        <f>BS402</f>
        <v>19907.63</v>
      </c>
    </row>
    <row r="403" spans="1:72" x14ac:dyDescent="0.2">
      <c r="A403" s="123" t="s">
        <v>396</v>
      </c>
      <c r="B403" s="124" t="s">
        <v>730</v>
      </c>
      <c r="C403" s="158">
        <v>8525.66</v>
      </c>
      <c r="D403" s="158">
        <f>SUM(C403:C407,C472)</f>
        <v>38018.22</v>
      </c>
      <c r="E403" s="158">
        <v>10249.18</v>
      </c>
      <c r="F403" s="158">
        <f>SUM(E403:E408,E472)</f>
        <v>61442.770000000004</v>
      </c>
      <c r="G403" s="158">
        <v>8278.41</v>
      </c>
      <c r="H403" s="158">
        <f>SUM(G403:G408,G472)</f>
        <v>31715.11</v>
      </c>
      <c r="I403" s="158">
        <v>8249.02</v>
      </c>
      <c r="J403" s="158">
        <f>SUM(I403:I408,I472)</f>
        <v>30988.879999999997</v>
      </c>
      <c r="K403" s="158">
        <v>16012.15</v>
      </c>
      <c r="L403" s="158">
        <f>SUM(K403:K407)</f>
        <v>55208.630000000005</v>
      </c>
      <c r="M403" s="158">
        <v>9840.82</v>
      </c>
      <c r="N403" s="158">
        <f>SUM(M403:M408)</f>
        <v>38389.149999999994</v>
      </c>
      <c r="O403" s="158">
        <v>6961.02</v>
      </c>
      <c r="P403" s="158">
        <f>SUM(O403:O408,O472)</f>
        <v>18163.510000000002</v>
      </c>
      <c r="Q403" s="158">
        <v>8945.2099999999991</v>
      </c>
      <c r="R403" s="158">
        <f>SUM(Q403:Q408,Q472)</f>
        <v>25404.66</v>
      </c>
      <c r="S403" s="158">
        <v>9890.9500000000007</v>
      </c>
      <c r="T403" s="158">
        <f>SUM(S403:S408,S472)</f>
        <v>46599.46</v>
      </c>
      <c r="U403" s="158">
        <v>8750.18</v>
      </c>
      <c r="V403" s="158">
        <f>SUM(U403:U408,U472)</f>
        <v>57955.68</v>
      </c>
      <c r="W403" s="158">
        <v>6856.55</v>
      </c>
      <c r="X403" s="158">
        <f>SUM(W403:W408,W472)</f>
        <v>37842.97</v>
      </c>
      <c r="Y403" s="158">
        <v>9447.7000000000007</v>
      </c>
      <c r="Z403" s="158">
        <f>SUM(Y403:Y408,Y472)</f>
        <v>41915.33</v>
      </c>
      <c r="AA403" s="158">
        <v>8253.3799999999992</v>
      </c>
      <c r="AB403" s="158">
        <f>SUM(AA403:AA408,AA472)</f>
        <v>31805.549999999996</v>
      </c>
      <c r="AC403" s="158">
        <v>6608.86</v>
      </c>
      <c r="AD403" s="158">
        <f>SUM(AC403:AC408,AC472)</f>
        <v>30785.93</v>
      </c>
      <c r="AE403" s="158">
        <v>14555.24</v>
      </c>
      <c r="AF403" s="158">
        <f>SUM(AE403:AE408,AE472)</f>
        <v>66122.31</v>
      </c>
      <c r="AG403" s="158">
        <v>8268.76</v>
      </c>
      <c r="AH403" s="158">
        <f>SUM(AG403:AG408,AG472)</f>
        <v>35976.21</v>
      </c>
      <c r="AI403" s="158">
        <v>5596.27</v>
      </c>
      <c r="AJ403" s="158">
        <f>SUM(AI403:AI408,AI472)</f>
        <v>27906.010000000002</v>
      </c>
      <c r="AK403" s="158">
        <v>10883.07</v>
      </c>
      <c r="AL403" s="158">
        <f>SUM(AK403:AK408,AK472)</f>
        <v>58523.82</v>
      </c>
      <c r="AM403" s="158">
        <v>13705.03</v>
      </c>
      <c r="AN403" s="158">
        <f>SUM(AM403:AM408,AM472)</f>
        <v>44104.21</v>
      </c>
      <c r="AO403" s="158">
        <v>7763.81</v>
      </c>
      <c r="AP403" s="158">
        <f>SUM(AO403:AO408,AO472)</f>
        <v>35578.75</v>
      </c>
      <c r="AQ403" s="158">
        <v>10122.23</v>
      </c>
      <c r="AR403" s="158">
        <f>SUM(AQ403:AQ408,AQ472)</f>
        <v>25274.219999999998</v>
      </c>
      <c r="AS403" s="158">
        <v>9241.86</v>
      </c>
      <c r="AT403" s="158">
        <f>SUM(AS403:AS407)</f>
        <v>27895.97</v>
      </c>
      <c r="AU403" s="158">
        <v>10907.46</v>
      </c>
      <c r="AV403" s="158">
        <f>SUM(AU403:AU408,AU472)</f>
        <v>59294.14</v>
      </c>
      <c r="AW403" s="158">
        <v>7335.56</v>
      </c>
      <c r="AX403" s="158">
        <f>SUM(AW403:AW408,AW472)</f>
        <v>51649.36</v>
      </c>
      <c r="AY403" s="158">
        <v>9890.84</v>
      </c>
      <c r="AZ403" s="158">
        <f>SUM(AY403:AY408,AY472)</f>
        <v>31066.480000000003</v>
      </c>
      <c r="BA403" s="158">
        <v>9734.91</v>
      </c>
      <c r="BB403" s="158">
        <f>SUM(BA403:BA408,BA472)</f>
        <v>34491.440000000002</v>
      </c>
      <c r="BC403" s="158">
        <v>14096.25</v>
      </c>
      <c r="BD403" s="158">
        <f>SUM(BC403:BC408,BC472)</f>
        <v>32581.280000000002</v>
      </c>
      <c r="BE403" s="158">
        <v>10663.89</v>
      </c>
      <c r="BF403" s="158">
        <f>SUM(BE403:BE408,BE472)</f>
        <v>46108.04</v>
      </c>
      <c r="BG403" s="158">
        <v>7254.23</v>
      </c>
      <c r="BH403" s="158">
        <f>SUM(BG403:BG408,BG472)</f>
        <v>22339.75</v>
      </c>
      <c r="BI403" s="158">
        <v>8868.24</v>
      </c>
      <c r="BJ403" s="158">
        <f>SUM(BI403:BI408,BI472)</f>
        <v>41978.59</v>
      </c>
      <c r="BK403" s="158">
        <v>9623.9500000000007</v>
      </c>
      <c r="BL403" s="158">
        <f>SUM(BK403:BK408,BK472)</f>
        <v>34104.81</v>
      </c>
      <c r="BM403" s="158">
        <v>7038.35</v>
      </c>
      <c r="BN403" s="158">
        <f>SUM(BM403:BM408,BM472)</f>
        <v>33611.040000000001</v>
      </c>
      <c r="BO403" s="158">
        <v>8762.17</v>
      </c>
      <c r="BP403" s="158">
        <f>SUM(BO403:BO408,BO472)</f>
        <v>30097.9</v>
      </c>
      <c r="BQ403" s="158">
        <v>9288.9699999999993</v>
      </c>
      <c r="BR403" s="158">
        <f>SUM(BQ403:BQ408,BQ472)</f>
        <v>34504.639999999999</v>
      </c>
      <c r="BS403" s="158">
        <v>7804.26</v>
      </c>
      <c r="BT403" s="158">
        <f>SUM(BS403:BS408,BS472)</f>
        <v>27991.360000000001</v>
      </c>
    </row>
    <row r="404" spans="1:72" x14ac:dyDescent="0.2">
      <c r="A404" s="123" t="s">
        <v>397</v>
      </c>
      <c r="B404" s="124" t="s">
        <v>729</v>
      </c>
      <c r="C404" s="158">
        <v>1743.3</v>
      </c>
      <c r="D404" s="158"/>
      <c r="E404" s="158">
        <v>2528.15</v>
      </c>
      <c r="F404" s="158"/>
      <c r="G404" s="158">
        <v>1654.56</v>
      </c>
      <c r="H404" s="158"/>
      <c r="I404" s="158">
        <v>1978.75</v>
      </c>
      <c r="J404" s="158"/>
      <c r="K404" s="158">
        <v>3334.58</v>
      </c>
      <c r="L404" s="158"/>
      <c r="M404" s="158">
        <v>1910.42</v>
      </c>
      <c r="N404" s="158"/>
      <c r="O404" s="158">
        <v>1674.17</v>
      </c>
      <c r="P404" s="158"/>
      <c r="Q404" s="158">
        <v>1557.92</v>
      </c>
      <c r="R404" s="158"/>
      <c r="S404" s="158">
        <v>3385.26</v>
      </c>
      <c r="T404" s="158"/>
      <c r="U404" s="158">
        <v>1980</v>
      </c>
      <c r="V404" s="158"/>
      <c r="W404" s="158">
        <v>2603.8200000000002</v>
      </c>
      <c r="X404" s="158"/>
      <c r="Y404" s="158">
        <v>1972.17</v>
      </c>
      <c r="Z404" s="158"/>
      <c r="AA404" s="158">
        <v>1849.17</v>
      </c>
      <c r="AB404" s="158"/>
      <c r="AC404" s="158">
        <v>2125.33</v>
      </c>
      <c r="AD404" s="158"/>
      <c r="AE404" s="158">
        <v>2987.08</v>
      </c>
      <c r="AF404" s="158"/>
      <c r="AG404" s="158">
        <v>2019.56</v>
      </c>
      <c r="AH404" s="158"/>
      <c r="AI404" s="158">
        <v>1683.19</v>
      </c>
      <c r="AJ404" s="158"/>
      <c r="AK404" s="158">
        <v>2943.35</v>
      </c>
      <c r="AL404" s="158"/>
      <c r="AM404" s="158">
        <v>2318.75</v>
      </c>
      <c r="AN404" s="158"/>
      <c r="AO404" s="158">
        <v>1712.08</v>
      </c>
      <c r="AP404" s="158"/>
      <c r="AQ404" s="158">
        <v>1676.67</v>
      </c>
      <c r="AR404" s="158"/>
      <c r="AS404" s="158">
        <v>1520.42</v>
      </c>
      <c r="AT404" s="158"/>
      <c r="AU404" s="158">
        <v>1939.58</v>
      </c>
      <c r="AV404" s="158"/>
      <c r="AW404" s="158">
        <v>2198.8000000000002</v>
      </c>
      <c r="AX404" s="158"/>
      <c r="AY404" s="158">
        <v>1715.85</v>
      </c>
      <c r="AZ404" s="158"/>
      <c r="BA404" s="158">
        <v>621.66999999999996</v>
      </c>
      <c r="BB404" s="158"/>
      <c r="BC404" s="158">
        <v>2494.58</v>
      </c>
      <c r="BD404" s="158"/>
      <c r="BE404" s="158">
        <v>2503.79</v>
      </c>
      <c r="BF404" s="158"/>
      <c r="BG404" s="158">
        <v>1349.17</v>
      </c>
      <c r="BH404" s="158"/>
      <c r="BI404" s="158">
        <v>1605</v>
      </c>
      <c r="BJ404" s="158"/>
      <c r="BK404" s="158">
        <v>2181.25</v>
      </c>
      <c r="BL404" s="158"/>
      <c r="BM404" s="158">
        <v>1101.67</v>
      </c>
      <c r="BN404" s="158"/>
      <c r="BO404" s="158">
        <v>1846.95</v>
      </c>
      <c r="BP404" s="158"/>
      <c r="BQ404" s="158">
        <v>1696.61</v>
      </c>
      <c r="BR404" s="158"/>
      <c r="BS404" s="158">
        <v>1529.58</v>
      </c>
      <c r="BT404" s="158"/>
    </row>
    <row r="405" spans="1:72" x14ac:dyDescent="0.2">
      <c r="A405" s="123" t="s">
        <v>398</v>
      </c>
      <c r="B405" s="124" t="s">
        <v>728</v>
      </c>
      <c r="C405" s="158">
        <v>13403.49</v>
      </c>
      <c r="D405" s="158"/>
      <c r="E405" s="158">
        <v>48665.440000000002</v>
      </c>
      <c r="F405" s="158"/>
      <c r="G405" s="158">
        <v>6904.64</v>
      </c>
      <c r="H405" s="158"/>
      <c r="I405" s="158">
        <v>10953.68</v>
      </c>
      <c r="J405" s="158"/>
      <c r="K405" s="158">
        <v>9324.9500000000007</v>
      </c>
      <c r="L405" s="158"/>
      <c r="M405" s="158">
        <v>1653.04</v>
      </c>
      <c r="N405" s="158"/>
      <c r="O405" s="158">
        <v>9519.94</v>
      </c>
      <c r="P405" s="158"/>
      <c r="Q405" s="158">
        <v>4015.75</v>
      </c>
      <c r="R405" s="158"/>
      <c r="S405" s="158">
        <v>33323.25</v>
      </c>
      <c r="T405" s="158"/>
      <c r="U405" s="158">
        <v>19191.95</v>
      </c>
      <c r="V405" s="158"/>
      <c r="W405" s="158">
        <v>28382.6</v>
      </c>
      <c r="X405" s="158"/>
      <c r="Y405" s="158">
        <v>11380.05</v>
      </c>
      <c r="Z405" s="158"/>
      <c r="AA405" s="158">
        <v>8067.76</v>
      </c>
      <c r="AB405" s="158"/>
      <c r="AC405" s="158">
        <v>22051.74</v>
      </c>
      <c r="AD405" s="158"/>
      <c r="AE405" s="158">
        <v>5760.93</v>
      </c>
      <c r="AF405" s="158"/>
      <c r="AG405" s="158">
        <v>10736.62</v>
      </c>
      <c r="AH405" s="158"/>
      <c r="AI405" s="158">
        <v>20626.55</v>
      </c>
      <c r="AJ405" s="158"/>
      <c r="AK405" s="158">
        <v>44697.4</v>
      </c>
      <c r="AL405" s="158"/>
      <c r="AM405" s="158">
        <v>27388.09</v>
      </c>
      <c r="AN405" s="158"/>
      <c r="AO405" s="158">
        <v>7812.3</v>
      </c>
      <c r="AP405" s="158"/>
      <c r="AQ405" s="158">
        <v>3485.05</v>
      </c>
      <c r="AR405" s="158"/>
      <c r="AS405" s="158">
        <v>2661.71</v>
      </c>
      <c r="AT405" s="158"/>
      <c r="AU405" s="158">
        <v>19146.349999999999</v>
      </c>
      <c r="AV405" s="158"/>
      <c r="AW405" s="158">
        <v>42115</v>
      </c>
      <c r="AX405" s="158"/>
      <c r="AY405" s="158">
        <v>11927.79</v>
      </c>
      <c r="AZ405" s="158"/>
      <c r="BA405" s="158">
        <v>24134.86</v>
      </c>
      <c r="BB405" s="158"/>
      <c r="BC405" s="158">
        <v>14814.8</v>
      </c>
      <c r="BD405" s="158"/>
      <c r="BE405" s="158">
        <v>13529.35</v>
      </c>
      <c r="BF405" s="158"/>
      <c r="BG405" s="158">
        <v>13736.35</v>
      </c>
      <c r="BH405" s="158"/>
      <c r="BI405" s="158">
        <v>31505.35</v>
      </c>
      <c r="BJ405" s="158"/>
      <c r="BK405" s="158">
        <v>11229.73</v>
      </c>
      <c r="BL405" s="158"/>
      <c r="BM405" s="158">
        <v>18635.349999999999</v>
      </c>
      <c r="BN405" s="158"/>
      <c r="BO405" s="158">
        <v>6791.64</v>
      </c>
      <c r="BP405" s="158"/>
      <c r="BQ405" s="158">
        <v>8493</v>
      </c>
      <c r="BR405" s="158"/>
      <c r="BS405" s="158">
        <v>6250.88</v>
      </c>
      <c r="BT405" s="158"/>
    </row>
    <row r="406" spans="1:72" x14ac:dyDescent="0.2">
      <c r="A406" s="123" t="s">
        <v>399</v>
      </c>
      <c r="B406" s="124" t="s">
        <v>727</v>
      </c>
      <c r="C406" s="158">
        <v>2888.75</v>
      </c>
      <c r="D406" s="158"/>
      <c r="E406" s="158">
        <v>0</v>
      </c>
      <c r="F406" s="158"/>
      <c r="G406" s="158">
        <v>2975.4</v>
      </c>
      <c r="H406" s="158"/>
      <c r="I406" s="158">
        <v>9807.51</v>
      </c>
      <c r="J406" s="158"/>
      <c r="K406" s="158">
        <v>26536.95</v>
      </c>
      <c r="L406" s="158"/>
      <c r="M406" s="158">
        <v>24850.7</v>
      </c>
      <c r="N406" s="158"/>
      <c r="O406" s="158">
        <v>0</v>
      </c>
      <c r="P406" s="158"/>
      <c r="Q406" s="158">
        <v>3134.82</v>
      </c>
      <c r="R406" s="158"/>
      <c r="S406" s="158">
        <v>0</v>
      </c>
      <c r="T406" s="158"/>
      <c r="U406" s="158">
        <v>-779.08</v>
      </c>
      <c r="V406" s="158"/>
      <c r="W406" s="158">
        <v>0</v>
      </c>
      <c r="X406" s="158"/>
      <c r="Y406" s="158">
        <v>1836.18</v>
      </c>
      <c r="Z406" s="158"/>
      <c r="AA406" s="158">
        <v>5462.1</v>
      </c>
      <c r="AB406" s="158"/>
      <c r="AC406" s="158">
        <v>0</v>
      </c>
      <c r="AD406" s="158"/>
      <c r="AE406" s="158">
        <v>22000.01</v>
      </c>
      <c r="AF406" s="158"/>
      <c r="AG406" s="158">
        <v>5546.03</v>
      </c>
      <c r="AH406" s="158"/>
      <c r="AI406" s="158">
        <v>0</v>
      </c>
      <c r="AJ406" s="158"/>
      <c r="AK406" s="158">
        <v>0</v>
      </c>
      <c r="AL406" s="158"/>
      <c r="AM406" s="158">
        <v>0</v>
      </c>
      <c r="AN406" s="158"/>
      <c r="AO406" s="158">
        <v>1685.38</v>
      </c>
      <c r="AP406" s="158"/>
      <c r="AQ406" s="158">
        <v>8471.15</v>
      </c>
      <c r="AR406" s="158"/>
      <c r="AS406" s="158">
        <v>14574.98</v>
      </c>
      <c r="AT406" s="158"/>
      <c r="AU406" s="158">
        <v>10057.57</v>
      </c>
      <c r="AV406" s="158"/>
      <c r="AW406" s="158">
        <v>0</v>
      </c>
      <c r="AX406" s="158"/>
      <c r="AY406" s="158">
        <v>7542.9</v>
      </c>
      <c r="AZ406" s="158"/>
      <c r="BA406" s="158">
        <v>0</v>
      </c>
      <c r="BB406" s="158"/>
      <c r="BC406" s="158">
        <v>0</v>
      </c>
      <c r="BD406" s="158"/>
      <c r="BE406" s="158">
        <v>19331</v>
      </c>
      <c r="BF406" s="158"/>
      <c r="BG406" s="158">
        <v>0</v>
      </c>
      <c r="BH406" s="158"/>
      <c r="BI406" s="158">
        <v>0</v>
      </c>
      <c r="BJ406" s="158"/>
      <c r="BK406" s="158">
        <v>11069.88</v>
      </c>
      <c r="BL406" s="158"/>
      <c r="BM406" s="158">
        <v>0</v>
      </c>
      <c r="BN406" s="158"/>
      <c r="BO406" s="158">
        <v>13930.96</v>
      </c>
      <c r="BP406" s="158"/>
      <c r="BQ406" s="158">
        <v>15025.95</v>
      </c>
      <c r="BR406" s="158"/>
      <c r="BS406" s="158">
        <v>12406.78</v>
      </c>
      <c r="BT406" s="158"/>
    </row>
    <row r="407" spans="1:72" x14ac:dyDescent="0.2">
      <c r="A407" s="123" t="s">
        <v>400</v>
      </c>
      <c r="B407" s="124" t="s">
        <v>726</v>
      </c>
      <c r="C407" s="158">
        <v>-97.43</v>
      </c>
      <c r="D407" s="158"/>
      <c r="E407" s="158">
        <v>0</v>
      </c>
      <c r="F407" s="158"/>
      <c r="G407" s="158">
        <v>0</v>
      </c>
      <c r="H407" s="158"/>
      <c r="I407" s="158">
        <v>-0.08</v>
      </c>
      <c r="J407" s="158"/>
      <c r="K407" s="158">
        <v>0</v>
      </c>
      <c r="L407" s="158"/>
      <c r="M407" s="158">
        <v>134.16999999999999</v>
      </c>
      <c r="N407" s="158"/>
      <c r="O407" s="158">
        <v>8.3800000000000008</v>
      </c>
      <c r="P407" s="158"/>
      <c r="Q407" s="158">
        <v>242.39</v>
      </c>
      <c r="R407" s="158"/>
      <c r="S407" s="158">
        <v>0</v>
      </c>
      <c r="T407" s="158"/>
      <c r="U407" s="158">
        <v>322.97000000000003</v>
      </c>
      <c r="V407" s="158"/>
      <c r="W407" s="158">
        <v>0</v>
      </c>
      <c r="X407" s="158"/>
      <c r="Y407" s="158">
        <v>323.98</v>
      </c>
      <c r="Z407" s="158"/>
      <c r="AA407" s="158">
        <v>-20.010000000000002</v>
      </c>
      <c r="AB407" s="158"/>
      <c r="AC407" s="158">
        <v>0</v>
      </c>
      <c r="AD407" s="158"/>
      <c r="AE407" s="158">
        <v>0.14000000000000001</v>
      </c>
      <c r="AF407" s="158"/>
      <c r="AG407" s="158">
        <v>1212.0899999999999</v>
      </c>
      <c r="AH407" s="158"/>
      <c r="AI407" s="158">
        <v>0</v>
      </c>
      <c r="AJ407" s="158"/>
      <c r="AK407" s="158">
        <v>0</v>
      </c>
      <c r="AL407" s="158"/>
      <c r="AM407" s="158">
        <v>692.34</v>
      </c>
      <c r="AN407" s="158"/>
      <c r="AO407" s="158">
        <v>409.06</v>
      </c>
      <c r="AP407" s="158"/>
      <c r="AQ407" s="158">
        <v>1519.12</v>
      </c>
      <c r="AR407" s="158"/>
      <c r="AS407" s="158">
        <v>-103</v>
      </c>
      <c r="AT407" s="158"/>
      <c r="AU407" s="158">
        <v>469.18</v>
      </c>
      <c r="AV407" s="158"/>
      <c r="AW407" s="158">
        <v>0</v>
      </c>
      <c r="AX407" s="158"/>
      <c r="AY407" s="158">
        <v>-10.9</v>
      </c>
      <c r="AZ407" s="158"/>
      <c r="BA407" s="158">
        <v>0</v>
      </c>
      <c r="BB407" s="158"/>
      <c r="BC407" s="158">
        <v>1175.6500000000001</v>
      </c>
      <c r="BD407" s="158"/>
      <c r="BE407" s="158">
        <v>80.010000000000005</v>
      </c>
      <c r="BF407" s="158"/>
      <c r="BG407" s="158">
        <v>0</v>
      </c>
      <c r="BH407" s="158"/>
      <c r="BI407" s="158">
        <v>0</v>
      </c>
      <c r="BJ407" s="158"/>
      <c r="BK407" s="158">
        <v>0</v>
      </c>
      <c r="BL407" s="158"/>
      <c r="BM407" s="158">
        <v>61.52</v>
      </c>
      <c r="BN407" s="158"/>
      <c r="BO407" s="158">
        <v>-1233.82</v>
      </c>
      <c r="BP407" s="158"/>
      <c r="BQ407" s="158">
        <v>0.11</v>
      </c>
      <c r="BR407" s="158"/>
      <c r="BS407" s="158">
        <v>-0.14000000000000001</v>
      </c>
      <c r="BT407" s="158"/>
    </row>
    <row r="408" spans="1:72" x14ac:dyDescent="0.2">
      <c r="A408" s="123" t="s">
        <v>401</v>
      </c>
      <c r="B408" s="124" t="s">
        <v>725</v>
      </c>
      <c r="C408" s="158">
        <v>0</v>
      </c>
      <c r="D408" s="158">
        <f>SUM(C408:C412,C466:C471)</f>
        <v>145214.22999999998</v>
      </c>
      <c r="E408" s="158">
        <v>0</v>
      </c>
      <c r="F408" s="158"/>
      <c r="G408" s="158">
        <v>0</v>
      </c>
      <c r="H408" s="158"/>
      <c r="I408" s="158">
        <v>0</v>
      </c>
      <c r="J408" s="158"/>
      <c r="K408" s="158">
        <v>0</v>
      </c>
      <c r="L408" s="158"/>
      <c r="M408" s="158">
        <v>0</v>
      </c>
      <c r="N408" s="158"/>
      <c r="O408" s="158">
        <v>0</v>
      </c>
      <c r="P408" s="158"/>
      <c r="Q408" s="158">
        <v>0</v>
      </c>
      <c r="R408" s="158"/>
      <c r="S408" s="158">
        <v>0</v>
      </c>
      <c r="T408" s="158"/>
      <c r="U408" s="158">
        <v>0</v>
      </c>
      <c r="V408" s="158"/>
      <c r="W408" s="158">
        <v>0</v>
      </c>
      <c r="X408" s="158"/>
      <c r="Y408" s="158">
        <v>0</v>
      </c>
      <c r="Z408" s="158"/>
      <c r="AA408" s="158">
        <v>0</v>
      </c>
      <c r="AB408" s="158"/>
      <c r="AC408" s="158">
        <v>0</v>
      </c>
      <c r="AD408" s="158"/>
      <c r="AE408" s="158">
        <v>7554.15</v>
      </c>
      <c r="AF408" s="158"/>
      <c r="AG408" s="158">
        <v>0</v>
      </c>
      <c r="AH408" s="158"/>
      <c r="AI408" s="158">
        <v>0</v>
      </c>
      <c r="AJ408" s="158"/>
      <c r="AK408" s="158">
        <v>0</v>
      </c>
      <c r="AL408" s="158"/>
      <c r="AM408" s="158">
        <v>0</v>
      </c>
      <c r="AN408" s="158"/>
      <c r="AO408" s="158">
        <v>0</v>
      </c>
      <c r="AP408" s="158"/>
      <c r="AQ408" s="158">
        <v>0</v>
      </c>
      <c r="AR408" s="158"/>
      <c r="AS408" s="158">
        <v>0</v>
      </c>
      <c r="AT408" s="158"/>
      <c r="AU408" s="158">
        <v>0</v>
      </c>
      <c r="AV408" s="158"/>
      <c r="AW408" s="158">
        <v>0</v>
      </c>
      <c r="AX408" s="158"/>
      <c r="AY408" s="158">
        <v>0</v>
      </c>
      <c r="AZ408" s="158"/>
      <c r="BA408" s="158">
        <v>0</v>
      </c>
      <c r="BB408" s="158"/>
      <c r="BC408" s="158">
        <v>0</v>
      </c>
      <c r="BD408" s="158"/>
      <c r="BE408" s="158">
        <v>0</v>
      </c>
      <c r="BF408" s="158"/>
      <c r="BG408" s="158">
        <v>0</v>
      </c>
      <c r="BH408" s="158"/>
      <c r="BI408" s="158">
        <v>0</v>
      </c>
      <c r="BJ408" s="158"/>
      <c r="BK408" s="158">
        <v>0</v>
      </c>
      <c r="BL408" s="158"/>
      <c r="BM408" s="158">
        <v>6774.15</v>
      </c>
      <c r="BN408" s="158"/>
      <c r="BO408" s="158">
        <v>0</v>
      </c>
      <c r="BP408" s="158"/>
      <c r="BQ408" s="158">
        <v>0</v>
      </c>
      <c r="BR408" s="158"/>
      <c r="BS408" s="158">
        <v>0</v>
      </c>
      <c r="BT408" s="158"/>
    </row>
    <row r="409" spans="1:72" x14ac:dyDescent="0.2">
      <c r="A409" s="123" t="s">
        <v>402</v>
      </c>
      <c r="B409" s="124" t="s">
        <v>724</v>
      </c>
      <c r="C409" s="158">
        <v>0</v>
      </c>
      <c r="D409" s="158"/>
      <c r="E409" s="158">
        <v>0</v>
      </c>
      <c r="F409" s="158">
        <f>SUM(E409:E412,E466:E470)</f>
        <v>89451.680000000008</v>
      </c>
      <c r="G409" s="158">
        <v>0</v>
      </c>
      <c r="H409" s="158">
        <f>SUM(G409:G412,G466:G470)</f>
        <v>151544.90000000002</v>
      </c>
      <c r="I409" s="158">
        <v>70357.8</v>
      </c>
      <c r="J409" s="158">
        <f>SUM(I409:I412,I466:I468,I464)</f>
        <v>32167.11</v>
      </c>
      <c r="K409" s="158">
        <v>0</v>
      </c>
      <c r="L409" s="158">
        <f>SUM(K409:K415,K466)</f>
        <v>450401.49999999994</v>
      </c>
      <c r="M409" s="158">
        <v>0</v>
      </c>
      <c r="N409" s="158">
        <f>SUM(M409:M415,M466)</f>
        <v>68108.540000000008</v>
      </c>
      <c r="O409" s="158">
        <v>0</v>
      </c>
      <c r="P409" s="158">
        <f>SUM(O409:O412,O466)</f>
        <v>91550.200000000012</v>
      </c>
      <c r="Q409" s="158">
        <v>57940.83</v>
      </c>
      <c r="R409" s="158">
        <f>SUM(Q409:Q415,Q466)</f>
        <v>79159.5</v>
      </c>
      <c r="S409" s="158">
        <v>0</v>
      </c>
      <c r="T409" s="158">
        <f>SUM(S409:S412,S466:S471)</f>
        <v>48133.57</v>
      </c>
      <c r="U409" s="158">
        <v>87093.38</v>
      </c>
      <c r="V409" s="158">
        <f>SUM(U409:U415,U466:U471)</f>
        <v>126874.82</v>
      </c>
      <c r="W409" s="158">
        <v>0</v>
      </c>
      <c r="X409" s="158">
        <f>SUM(W409:W412,W466:W471)</f>
        <v>51638.33</v>
      </c>
      <c r="Y409" s="158">
        <v>76484.44</v>
      </c>
      <c r="Z409" s="158">
        <f>SUM(Y409:Y412,Y466)</f>
        <v>83631.16</v>
      </c>
      <c r="AA409" s="158">
        <v>0</v>
      </c>
      <c r="AB409" s="158">
        <f>SUM(AA409:AA411,AA466:AA467,AA412)</f>
        <v>106522.33</v>
      </c>
      <c r="AC409" s="158">
        <v>0</v>
      </c>
      <c r="AD409" s="158">
        <f>SUM(AC409:AC412,AC467)</f>
        <v>34446.68</v>
      </c>
      <c r="AE409" s="158">
        <v>0</v>
      </c>
      <c r="AF409" s="158">
        <f>SUM(AE409:AE412,AE466:AE467)</f>
        <v>249427.91</v>
      </c>
      <c r="AG409" s="158">
        <v>0</v>
      </c>
      <c r="AH409" s="158">
        <f>SUM(AG409:AG412,AG466:AG469)</f>
        <v>84193.26</v>
      </c>
      <c r="AI409" s="158">
        <v>0</v>
      </c>
      <c r="AJ409" s="158">
        <f>SUM(AI409:AI412,AI466)</f>
        <v>24776.82</v>
      </c>
      <c r="AK409" s="158">
        <v>38561.629999999997</v>
      </c>
      <c r="AL409" s="158">
        <f>SUM(AK409:AK412,AK466)</f>
        <v>52446.6</v>
      </c>
      <c r="AM409" s="158">
        <v>136189.21</v>
      </c>
      <c r="AN409" s="158">
        <f>SUM(AM409:AM415,AM465:AM468)</f>
        <v>180883.34999999998</v>
      </c>
      <c r="AO409" s="158">
        <v>0</v>
      </c>
      <c r="AP409" s="158">
        <f>SUM(AO409:AO412,AO467)</f>
        <v>120627.06</v>
      </c>
      <c r="AQ409" s="158">
        <v>0</v>
      </c>
      <c r="AR409" s="158">
        <f>SUM(AQ409:AQ415,AQ466:AQ471)</f>
        <v>117180.37</v>
      </c>
      <c r="AS409" s="158">
        <v>0</v>
      </c>
      <c r="AT409" s="158"/>
      <c r="AU409" s="158">
        <v>0</v>
      </c>
      <c r="AV409" s="158"/>
      <c r="AW409" s="158">
        <v>26847.03</v>
      </c>
      <c r="AX409" s="158">
        <f>SUM(AW409:AW412,AW467)</f>
        <v>50582.35</v>
      </c>
      <c r="AY409" s="158">
        <v>67291.38</v>
      </c>
      <c r="AZ409" s="158">
        <f>SUM(AY409:AY415,AY466)</f>
        <v>85674.5</v>
      </c>
      <c r="BA409" s="158">
        <v>0</v>
      </c>
      <c r="BB409" s="158">
        <f>SUM(BA409:BA412,BA466)</f>
        <v>56178.8</v>
      </c>
      <c r="BC409" s="158">
        <v>23018.86</v>
      </c>
      <c r="BD409" s="158">
        <f>SUM(BC409:BC412,BC466:BC471)</f>
        <v>47078.66</v>
      </c>
      <c r="BE409" s="158">
        <v>0</v>
      </c>
      <c r="BF409" s="158">
        <f>SUM(BE409:BE414,BE466:BE471)</f>
        <v>79739.010000000009</v>
      </c>
      <c r="BG409" s="158">
        <v>14694.26</v>
      </c>
      <c r="BH409" s="158">
        <f>SUM(BG409:BG412,BG466)</f>
        <v>29964.09</v>
      </c>
      <c r="BI409" s="158">
        <v>68054.47</v>
      </c>
      <c r="BJ409" s="158">
        <f>SUM(BI409:BI413,BI466)</f>
        <v>68506.540000000008</v>
      </c>
      <c r="BK409" s="158">
        <v>120031.97</v>
      </c>
      <c r="BL409" s="158">
        <f>SUM(BK409:BK412,BK466)</f>
        <v>123119.52</v>
      </c>
      <c r="BM409" s="158">
        <v>47301.98</v>
      </c>
      <c r="BN409" s="158">
        <f>SUM(BM409:BM412,BM466:BM467)</f>
        <v>51872.740000000005</v>
      </c>
      <c r="BO409" s="158">
        <v>90761.42</v>
      </c>
      <c r="BP409" s="158">
        <f>SUM(BO409:BO415,BO466:BO473)</f>
        <v>127968.07</v>
      </c>
      <c r="BQ409" s="158">
        <v>94451.8</v>
      </c>
      <c r="BR409" s="158">
        <f>SUM(BQ409:BQ412,BQ466:BQ471)</f>
        <v>133152.4</v>
      </c>
      <c r="BS409" s="158">
        <v>80847.75</v>
      </c>
      <c r="BT409" s="158">
        <f>SUM(BS409:BS411,BS466:BS471,BS412)</f>
        <v>112069.87</v>
      </c>
    </row>
    <row r="410" spans="1:72" x14ac:dyDescent="0.2">
      <c r="A410" s="123" t="s">
        <v>403</v>
      </c>
      <c r="B410" s="124" t="s">
        <v>723</v>
      </c>
      <c r="C410" s="158">
        <v>133224.62</v>
      </c>
      <c r="D410" s="158"/>
      <c r="E410" s="158">
        <v>88867.3</v>
      </c>
      <c r="F410" s="158"/>
      <c r="G410" s="158">
        <v>142202.92000000001</v>
      </c>
      <c r="H410" s="158"/>
      <c r="I410" s="158">
        <v>0</v>
      </c>
      <c r="J410" s="158"/>
      <c r="K410" s="158">
        <v>0</v>
      </c>
      <c r="L410" s="158"/>
      <c r="M410" s="158">
        <v>60669.58</v>
      </c>
      <c r="N410" s="158"/>
      <c r="O410" s="158">
        <v>81765.38</v>
      </c>
      <c r="P410" s="158"/>
      <c r="Q410" s="158">
        <v>0</v>
      </c>
      <c r="R410" s="158"/>
      <c r="S410" s="158">
        <v>47884.639999999999</v>
      </c>
      <c r="T410" s="158"/>
      <c r="U410" s="158">
        <v>0</v>
      </c>
      <c r="V410" s="158"/>
      <c r="W410" s="158">
        <v>44582.25</v>
      </c>
      <c r="X410" s="158"/>
      <c r="Y410" s="158">
        <v>0</v>
      </c>
      <c r="Z410" s="158"/>
      <c r="AA410" s="158">
        <v>94918.54</v>
      </c>
      <c r="AB410" s="158"/>
      <c r="AC410" s="158">
        <v>28070.31</v>
      </c>
      <c r="AD410" s="158"/>
      <c r="AE410" s="158">
        <v>45236.34</v>
      </c>
      <c r="AF410" s="158"/>
      <c r="AG410" s="158">
        <v>68497.919999999998</v>
      </c>
      <c r="AH410" s="158"/>
      <c r="AI410" s="158">
        <v>21465.53</v>
      </c>
      <c r="AJ410" s="158"/>
      <c r="AK410" s="158">
        <v>0</v>
      </c>
      <c r="AL410" s="158"/>
      <c r="AM410" s="158">
        <v>0</v>
      </c>
      <c r="AN410" s="158"/>
      <c r="AO410" s="158">
        <v>111175.77</v>
      </c>
      <c r="AP410" s="158"/>
      <c r="AQ410" s="158">
        <v>74542.100000000006</v>
      </c>
      <c r="AR410" s="158"/>
      <c r="AS410" s="158">
        <v>91004.37</v>
      </c>
      <c r="AT410" s="158">
        <f>SUM(AS410:AS412,AS466:AS467)</f>
        <v>106956.45999999999</v>
      </c>
      <c r="AU410" s="158">
        <v>0</v>
      </c>
      <c r="AV410" s="158"/>
      <c r="AW410" s="158">
        <v>0</v>
      </c>
      <c r="AX410" s="158"/>
      <c r="AY410" s="158">
        <v>0</v>
      </c>
      <c r="AZ410" s="158"/>
      <c r="BA410" s="158">
        <v>56236.76</v>
      </c>
      <c r="BB410" s="158"/>
      <c r="BC410" s="158">
        <v>0</v>
      </c>
      <c r="BD410" s="158"/>
      <c r="BE410" s="158">
        <v>57049.31</v>
      </c>
      <c r="BF410" s="158"/>
      <c r="BG410" s="158">
        <v>0</v>
      </c>
      <c r="BH410" s="158"/>
      <c r="BI410" s="158">
        <v>0</v>
      </c>
      <c r="BJ410" s="158"/>
      <c r="BK410" s="158">
        <v>0</v>
      </c>
      <c r="BL410" s="158"/>
      <c r="BM410" s="158">
        <v>0</v>
      </c>
      <c r="BN410" s="158"/>
      <c r="BO410" s="158">
        <v>0</v>
      </c>
      <c r="BP410" s="158"/>
      <c r="BQ410" s="158">
        <v>0</v>
      </c>
      <c r="BR410" s="158"/>
      <c r="BS410" s="158">
        <v>0</v>
      </c>
      <c r="BT410" s="158"/>
    </row>
    <row r="411" spans="1:72" x14ac:dyDescent="0.2">
      <c r="A411" s="123" t="s">
        <v>501</v>
      </c>
      <c r="B411" s="124" t="s">
        <v>722</v>
      </c>
      <c r="C411" s="158">
        <v>0</v>
      </c>
      <c r="D411" s="158"/>
      <c r="E411" s="158">
        <v>0</v>
      </c>
      <c r="F411" s="158"/>
      <c r="G411" s="158">
        <v>0</v>
      </c>
      <c r="H411" s="158"/>
      <c r="I411" s="158">
        <v>0</v>
      </c>
      <c r="J411" s="158"/>
      <c r="K411" s="158">
        <v>442256.36</v>
      </c>
      <c r="L411" s="158"/>
      <c r="M411" s="158">
        <v>0</v>
      </c>
      <c r="N411" s="158"/>
      <c r="O411" s="158">
        <v>0</v>
      </c>
      <c r="P411" s="158"/>
      <c r="Q411" s="158">
        <v>0</v>
      </c>
      <c r="R411" s="158"/>
      <c r="S411" s="158">
        <v>0</v>
      </c>
      <c r="T411" s="158"/>
      <c r="U411" s="158">
        <v>0</v>
      </c>
      <c r="V411" s="158"/>
      <c r="W411" s="158">
        <v>0</v>
      </c>
      <c r="X411" s="158"/>
      <c r="Y411" s="158">
        <v>0</v>
      </c>
      <c r="Z411" s="158"/>
      <c r="AA411" s="158">
        <v>0</v>
      </c>
      <c r="AB411" s="158"/>
      <c r="AC411" s="158">
        <v>0</v>
      </c>
      <c r="AD411" s="158"/>
      <c r="AE411" s="158">
        <v>195488.45</v>
      </c>
      <c r="AF411" s="158"/>
      <c r="AG411" s="158">
        <v>0</v>
      </c>
      <c r="AH411" s="158"/>
      <c r="AI411" s="158">
        <v>0</v>
      </c>
      <c r="AJ411" s="158"/>
      <c r="AK411" s="158">
        <v>0</v>
      </c>
      <c r="AL411" s="158"/>
      <c r="AM411" s="158">
        <v>0</v>
      </c>
      <c r="AN411" s="158"/>
      <c r="AO411" s="158">
        <v>0</v>
      </c>
      <c r="AP411" s="158"/>
      <c r="AQ411" s="158">
        <v>0</v>
      </c>
      <c r="AR411" s="158"/>
      <c r="AS411" s="158">
        <v>0</v>
      </c>
      <c r="AT411" s="158"/>
      <c r="AU411" s="158">
        <v>152652.5</v>
      </c>
      <c r="AV411" s="158">
        <f>SUM(AU411:AU412,AU466:AU467)</f>
        <v>157220.97999999998</v>
      </c>
      <c r="AW411" s="158">
        <v>0</v>
      </c>
      <c r="AX411" s="158"/>
      <c r="AY411" s="158">
        <v>0</v>
      </c>
      <c r="AZ411" s="158"/>
      <c r="BA411" s="158">
        <v>0</v>
      </c>
      <c r="BB411" s="158"/>
      <c r="BC411" s="158">
        <v>0</v>
      </c>
      <c r="BD411" s="158"/>
      <c r="BE411" s="158">
        <v>0</v>
      </c>
      <c r="BF411" s="158"/>
      <c r="BG411" s="158">
        <v>0</v>
      </c>
      <c r="BH411" s="158"/>
      <c r="BI411" s="158">
        <v>0</v>
      </c>
      <c r="BJ411" s="158"/>
      <c r="BK411" s="158">
        <v>0</v>
      </c>
      <c r="BL411" s="158"/>
      <c r="BM411" s="158">
        <v>0</v>
      </c>
      <c r="BN411" s="158"/>
      <c r="BO411" s="158">
        <v>0</v>
      </c>
      <c r="BP411" s="158"/>
      <c r="BQ411" s="158">
        <v>0</v>
      </c>
      <c r="BR411" s="158"/>
      <c r="BS411" s="158">
        <v>0</v>
      </c>
      <c r="BT411" s="158"/>
    </row>
    <row r="412" spans="1:72" x14ac:dyDescent="0.2">
      <c r="A412" s="123" t="s">
        <v>404</v>
      </c>
      <c r="B412" s="124" t="s">
        <v>721</v>
      </c>
      <c r="C412" s="158">
        <v>294.52999999999997</v>
      </c>
      <c r="D412" s="158"/>
      <c r="E412" s="158">
        <v>220.89</v>
      </c>
      <c r="F412" s="158"/>
      <c r="G412" s="158">
        <v>588.63</v>
      </c>
      <c r="H412" s="158"/>
      <c r="I412" s="158">
        <v>489.01</v>
      </c>
      <c r="J412" s="158"/>
      <c r="K412" s="158">
        <v>696.79</v>
      </c>
      <c r="L412" s="158"/>
      <c r="M412" s="158">
        <v>517.54999999999995</v>
      </c>
      <c r="N412" s="158"/>
      <c r="O412" s="158">
        <v>494.96</v>
      </c>
      <c r="P412" s="158"/>
      <c r="Q412" s="158">
        <v>116.17</v>
      </c>
      <c r="R412" s="158"/>
      <c r="S412" s="158">
        <v>234.6</v>
      </c>
      <c r="T412" s="158"/>
      <c r="U412" s="158">
        <v>678.99</v>
      </c>
      <c r="V412" s="158"/>
      <c r="W412" s="158">
        <v>201.29</v>
      </c>
      <c r="X412" s="158"/>
      <c r="Y412" s="158">
        <v>558.78</v>
      </c>
      <c r="Z412" s="158"/>
      <c r="AA412" s="158">
        <v>686.96</v>
      </c>
      <c r="AB412" s="158"/>
      <c r="AC412" s="158">
        <v>176.97</v>
      </c>
      <c r="AD412" s="158"/>
      <c r="AE412" s="158">
        <v>728.36</v>
      </c>
      <c r="AF412" s="158"/>
      <c r="AG412" s="158">
        <v>626.96</v>
      </c>
      <c r="AH412" s="158"/>
      <c r="AI412" s="158">
        <v>186.29</v>
      </c>
      <c r="AJ412" s="158"/>
      <c r="AK412" s="158">
        <v>444.97</v>
      </c>
      <c r="AL412" s="158"/>
      <c r="AM412" s="158">
        <v>496.34</v>
      </c>
      <c r="AN412" s="158"/>
      <c r="AO412" s="158">
        <v>535.39</v>
      </c>
      <c r="AP412" s="158"/>
      <c r="AQ412" s="158">
        <v>683.62</v>
      </c>
      <c r="AR412" s="158"/>
      <c r="AS412" s="158">
        <v>513.78</v>
      </c>
      <c r="AT412" s="158"/>
      <c r="AU412" s="158">
        <v>348.62</v>
      </c>
      <c r="AV412" s="158"/>
      <c r="AW412" s="158">
        <v>178.27</v>
      </c>
      <c r="AX412" s="158"/>
      <c r="AY412" s="158">
        <v>698.78</v>
      </c>
      <c r="AZ412" s="158"/>
      <c r="BA412" s="158">
        <v>-57.96</v>
      </c>
      <c r="BB412" s="158"/>
      <c r="BC412" s="158">
        <v>581.69000000000005</v>
      </c>
      <c r="BD412" s="158"/>
      <c r="BE412" s="158">
        <v>235.23</v>
      </c>
      <c r="BF412" s="158"/>
      <c r="BG412" s="158">
        <v>426.65</v>
      </c>
      <c r="BH412" s="158"/>
      <c r="BI412" s="158">
        <v>452.07</v>
      </c>
      <c r="BJ412" s="158"/>
      <c r="BK412" s="158">
        <v>655.34</v>
      </c>
      <c r="BL412" s="158"/>
      <c r="BM412" s="158">
        <v>482.5</v>
      </c>
      <c r="BN412" s="158"/>
      <c r="BO412" s="158">
        <v>702.7</v>
      </c>
      <c r="BP412" s="158"/>
      <c r="BQ412" s="158">
        <v>604.66999999999996</v>
      </c>
      <c r="BR412" s="158"/>
      <c r="BS412" s="158">
        <v>568.05999999999995</v>
      </c>
      <c r="BT412" s="158"/>
    </row>
    <row r="413" spans="1:72" x14ac:dyDescent="0.2">
      <c r="A413" s="123" t="s">
        <v>720</v>
      </c>
      <c r="B413" s="124" t="s">
        <v>719</v>
      </c>
      <c r="C413" s="158">
        <v>0</v>
      </c>
      <c r="D413" s="158"/>
      <c r="E413" s="158">
        <v>0</v>
      </c>
      <c r="F413" s="158"/>
      <c r="G413" s="158">
        <v>0</v>
      </c>
      <c r="H413" s="158"/>
      <c r="I413" s="158">
        <v>0</v>
      </c>
      <c r="J413" s="158"/>
      <c r="K413" s="158">
        <v>0</v>
      </c>
      <c r="L413" s="158"/>
      <c r="M413" s="158">
        <v>0</v>
      </c>
      <c r="N413" s="158"/>
      <c r="O413" s="158">
        <v>0</v>
      </c>
      <c r="P413" s="158"/>
      <c r="Q413" s="158">
        <v>0</v>
      </c>
      <c r="R413" s="158"/>
      <c r="S413" s="158">
        <v>0</v>
      </c>
      <c r="T413" s="158"/>
      <c r="U413" s="158">
        <v>0</v>
      </c>
      <c r="V413" s="158"/>
      <c r="W413" s="158">
        <v>0</v>
      </c>
      <c r="X413" s="158"/>
      <c r="Y413" s="158">
        <v>1485.3</v>
      </c>
      <c r="Z413" s="158"/>
      <c r="AA413" s="158">
        <v>0</v>
      </c>
      <c r="AB413" s="158"/>
      <c r="AC413" s="158">
        <v>0</v>
      </c>
      <c r="AD413" s="158"/>
      <c r="AE413" s="158">
        <v>0</v>
      </c>
      <c r="AF413" s="158"/>
      <c r="AG413" s="158">
        <v>0</v>
      </c>
      <c r="AH413" s="158"/>
      <c r="AI413" s="158">
        <v>0</v>
      </c>
      <c r="AJ413" s="158"/>
      <c r="AK413" s="158">
        <v>1291.3800000000001</v>
      </c>
      <c r="AL413" s="158"/>
      <c r="AM413" s="158">
        <v>0</v>
      </c>
      <c r="AN413" s="158"/>
      <c r="AO413" s="158">
        <v>0</v>
      </c>
      <c r="AP413" s="158"/>
      <c r="AQ413" s="158">
        <v>0</v>
      </c>
      <c r="AR413" s="158"/>
      <c r="AS413" s="158">
        <v>0</v>
      </c>
      <c r="AT413" s="158"/>
      <c r="AU413" s="158">
        <v>0</v>
      </c>
      <c r="AV413" s="158"/>
      <c r="AW413" s="158">
        <v>1234.71</v>
      </c>
      <c r="AX413" s="158"/>
      <c r="AY413" s="158">
        <v>0</v>
      </c>
      <c r="AZ413" s="158"/>
      <c r="BA413" s="158">
        <v>0</v>
      </c>
      <c r="BB413" s="158"/>
      <c r="BC413" s="158">
        <v>0</v>
      </c>
      <c r="BD413" s="158"/>
      <c r="BE413" s="158">
        <v>0</v>
      </c>
      <c r="BF413" s="158"/>
      <c r="BG413" s="158">
        <v>0</v>
      </c>
      <c r="BH413" s="158"/>
      <c r="BI413" s="158">
        <v>0</v>
      </c>
      <c r="BJ413" s="158"/>
      <c r="BK413" s="158">
        <v>0</v>
      </c>
      <c r="BL413" s="158"/>
      <c r="BM413" s="158">
        <v>0</v>
      </c>
      <c r="BN413" s="158"/>
      <c r="BO413" s="158">
        <v>0</v>
      </c>
      <c r="BP413" s="158"/>
      <c r="BQ413" s="158">
        <v>0</v>
      </c>
      <c r="BR413" s="158"/>
      <c r="BS413" s="158">
        <v>0</v>
      </c>
      <c r="BT413" s="158"/>
    </row>
    <row r="414" spans="1:72" x14ac:dyDescent="0.2">
      <c r="A414" s="123" t="s">
        <v>646</v>
      </c>
      <c r="B414" s="124" t="s">
        <v>718</v>
      </c>
      <c r="C414" s="158">
        <v>0</v>
      </c>
      <c r="D414" s="158"/>
      <c r="E414" s="158">
        <v>0</v>
      </c>
      <c r="F414" s="158"/>
      <c r="G414" s="158">
        <v>0</v>
      </c>
      <c r="H414" s="158"/>
      <c r="I414" s="158">
        <v>0</v>
      </c>
      <c r="J414" s="158"/>
      <c r="K414" s="158">
        <v>0</v>
      </c>
      <c r="L414" s="158"/>
      <c r="M414" s="158">
        <v>0</v>
      </c>
      <c r="N414" s="158"/>
      <c r="O414" s="158">
        <v>0</v>
      </c>
      <c r="P414" s="158"/>
      <c r="Q414" s="158">
        <v>0</v>
      </c>
      <c r="R414" s="158"/>
      <c r="S414" s="158">
        <v>0</v>
      </c>
      <c r="T414" s="158"/>
      <c r="U414" s="158">
        <v>0</v>
      </c>
      <c r="V414" s="158"/>
      <c r="W414" s="158">
        <v>0</v>
      </c>
      <c r="X414" s="158"/>
      <c r="Y414" s="158">
        <v>0</v>
      </c>
      <c r="Z414" s="158"/>
      <c r="AA414" s="158">
        <v>0</v>
      </c>
      <c r="AB414" s="158"/>
      <c r="AC414" s="158">
        <v>0</v>
      </c>
      <c r="AD414" s="158"/>
      <c r="AE414" s="158">
        <v>0</v>
      </c>
      <c r="AF414" s="158"/>
      <c r="AG414" s="158">
        <v>0</v>
      </c>
      <c r="AH414" s="158"/>
      <c r="AI414" s="158">
        <v>0</v>
      </c>
      <c r="AJ414" s="158"/>
      <c r="AK414" s="158">
        <v>1547.8</v>
      </c>
      <c r="AL414" s="158"/>
      <c r="AM414" s="158">
        <v>0</v>
      </c>
      <c r="AN414" s="158"/>
      <c r="AO414" s="158">
        <v>0</v>
      </c>
      <c r="AP414" s="158"/>
      <c r="AQ414" s="158">
        <v>0</v>
      </c>
      <c r="AR414" s="158"/>
      <c r="AS414" s="158">
        <v>0</v>
      </c>
      <c r="AT414" s="158"/>
      <c r="AU414" s="158">
        <v>0</v>
      </c>
      <c r="AV414" s="158"/>
      <c r="AW414" s="158">
        <v>0</v>
      </c>
      <c r="AX414" s="158"/>
      <c r="AY414" s="158">
        <v>0</v>
      </c>
      <c r="AZ414" s="158"/>
      <c r="BA414" s="158">
        <v>0</v>
      </c>
      <c r="BB414" s="158"/>
      <c r="BC414" s="158">
        <v>0</v>
      </c>
      <c r="BD414" s="158"/>
      <c r="BE414" s="158">
        <v>0</v>
      </c>
      <c r="BF414" s="158"/>
      <c r="BG414" s="158">
        <v>0</v>
      </c>
      <c r="BH414" s="158"/>
      <c r="BI414" s="158">
        <v>0</v>
      </c>
      <c r="BJ414" s="158"/>
      <c r="BK414" s="158">
        <v>0</v>
      </c>
      <c r="BL414" s="158"/>
      <c r="BM414" s="158">
        <v>0</v>
      </c>
      <c r="BN414" s="158"/>
      <c r="BO414" s="158">
        <v>0</v>
      </c>
      <c r="BP414" s="158"/>
      <c r="BQ414" s="158">
        <v>0</v>
      </c>
      <c r="BR414" s="158"/>
      <c r="BS414" s="158">
        <v>0</v>
      </c>
      <c r="BT414" s="158"/>
    </row>
    <row r="415" spans="1:72" x14ac:dyDescent="0.2">
      <c r="A415" s="123" t="s">
        <v>558</v>
      </c>
      <c r="B415" s="124" t="s">
        <v>717</v>
      </c>
      <c r="C415" s="158">
        <v>0</v>
      </c>
      <c r="D415" s="158"/>
      <c r="E415" s="158">
        <v>0</v>
      </c>
      <c r="F415" s="158"/>
      <c r="G415" s="158">
        <v>0</v>
      </c>
      <c r="H415" s="158"/>
      <c r="I415" s="158">
        <v>0</v>
      </c>
      <c r="J415" s="158"/>
      <c r="K415" s="158">
        <v>0</v>
      </c>
      <c r="L415" s="158"/>
      <c r="M415" s="158">
        <v>0</v>
      </c>
      <c r="N415" s="158"/>
      <c r="O415" s="158">
        <v>0</v>
      </c>
      <c r="P415" s="158"/>
      <c r="Q415" s="158">
        <v>0</v>
      </c>
      <c r="R415" s="158"/>
      <c r="S415" s="158">
        <v>0</v>
      </c>
      <c r="T415" s="158"/>
      <c r="U415" s="158">
        <v>0</v>
      </c>
      <c r="V415" s="158"/>
      <c r="W415" s="158">
        <v>0</v>
      </c>
      <c r="X415" s="158"/>
      <c r="Y415" s="158">
        <v>0</v>
      </c>
      <c r="Z415" s="158"/>
      <c r="AA415" s="158">
        <v>0</v>
      </c>
      <c r="AB415" s="158"/>
      <c r="AC415" s="158">
        <v>0</v>
      </c>
      <c r="AD415" s="158"/>
      <c r="AE415" s="158">
        <v>0</v>
      </c>
      <c r="AF415" s="158"/>
      <c r="AG415" s="158">
        <v>0</v>
      </c>
      <c r="AH415" s="158"/>
      <c r="AI415" s="158">
        <v>0</v>
      </c>
      <c r="AJ415" s="158"/>
      <c r="AK415" s="158">
        <v>3086.47</v>
      </c>
      <c r="AL415" s="158"/>
      <c r="AM415" s="158">
        <v>0</v>
      </c>
      <c r="AN415" s="158"/>
      <c r="AO415" s="158">
        <v>0</v>
      </c>
      <c r="AP415" s="158"/>
      <c r="AQ415" s="158">
        <v>0</v>
      </c>
      <c r="AR415" s="158"/>
      <c r="AS415" s="158">
        <v>0</v>
      </c>
      <c r="AT415" s="158"/>
      <c r="AU415" s="158">
        <v>17940.759999999998</v>
      </c>
      <c r="AV415" s="158">
        <f>SUM(AU415:AU416)</f>
        <v>21715.759999999998</v>
      </c>
      <c r="AW415" s="158">
        <v>0</v>
      </c>
      <c r="AX415" s="158"/>
      <c r="AY415" s="158">
        <v>0</v>
      </c>
      <c r="AZ415" s="158"/>
      <c r="BA415" s="158">
        <v>0</v>
      </c>
      <c r="BB415" s="158"/>
      <c r="BC415" s="158">
        <v>0</v>
      </c>
      <c r="BD415" s="158"/>
      <c r="BE415" s="158">
        <v>8913.85</v>
      </c>
      <c r="BF415" s="158"/>
      <c r="BG415" s="158">
        <v>0</v>
      </c>
      <c r="BH415" s="158"/>
      <c r="BI415" s="158">
        <v>0</v>
      </c>
      <c r="BJ415" s="158"/>
      <c r="BK415" s="158">
        <v>0</v>
      </c>
      <c r="BL415" s="158"/>
      <c r="BM415" s="158">
        <v>0</v>
      </c>
      <c r="BN415" s="158"/>
      <c r="BO415" s="158">
        <v>0</v>
      </c>
      <c r="BP415" s="158"/>
      <c r="BQ415" s="158">
        <v>0</v>
      </c>
      <c r="BR415" s="158"/>
      <c r="BS415" s="158">
        <v>0</v>
      </c>
      <c r="BT415" s="158"/>
    </row>
    <row r="416" spans="1:72" x14ac:dyDescent="0.2">
      <c r="A416" s="123" t="s">
        <v>405</v>
      </c>
      <c r="B416" s="124" t="s">
        <v>716</v>
      </c>
      <c r="C416" s="158">
        <v>288968.59000000003</v>
      </c>
      <c r="D416" s="158">
        <f>C416</f>
        <v>288968.59000000003</v>
      </c>
      <c r="E416" s="158">
        <v>108257.32</v>
      </c>
      <c r="F416" s="158">
        <f>E416</f>
        <v>108257.32</v>
      </c>
      <c r="G416" s="158">
        <v>82347.539999999994</v>
      </c>
      <c r="H416" s="158">
        <f>G416</f>
        <v>82347.539999999994</v>
      </c>
      <c r="I416" s="158">
        <v>28328.68</v>
      </c>
      <c r="J416" s="158">
        <f>SUM(I416,I476:I478)</f>
        <v>45766.68</v>
      </c>
      <c r="K416" s="158">
        <v>836001.46</v>
      </c>
      <c r="L416" s="158">
        <f>K416</f>
        <v>836001.46</v>
      </c>
      <c r="M416" s="158">
        <v>141738.16</v>
      </c>
      <c r="N416" s="158">
        <f>M416</f>
        <v>141738.16</v>
      </c>
      <c r="O416" s="158">
        <v>3396</v>
      </c>
      <c r="P416" s="158">
        <f>O416</f>
        <v>3396</v>
      </c>
      <c r="Q416" s="158">
        <v>4815.47</v>
      </c>
      <c r="R416" s="158">
        <f>SUM(Q416,Q474,Q475,Q478)</f>
        <v>15725.17</v>
      </c>
      <c r="S416" s="158">
        <v>16023.65</v>
      </c>
      <c r="T416" s="158">
        <f>S416</f>
        <v>16023.65</v>
      </c>
      <c r="U416" s="158">
        <v>11221.66</v>
      </c>
      <c r="V416" s="158">
        <f>SUM(U416,U473,U477)</f>
        <v>51479.17</v>
      </c>
      <c r="W416" s="158">
        <v>25392.13</v>
      </c>
      <c r="X416" s="158">
        <f>W416</f>
        <v>25392.13</v>
      </c>
      <c r="Y416" s="158">
        <v>4587.25</v>
      </c>
      <c r="Z416" s="158">
        <f>SUM(Y416,Y413,Y475)</f>
        <v>36667</v>
      </c>
      <c r="AA416" s="158">
        <v>259559.98</v>
      </c>
      <c r="AB416" s="158">
        <f>AA416</f>
        <v>259559.98</v>
      </c>
      <c r="AC416" s="158">
        <v>19154.45</v>
      </c>
      <c r="AD416" s="158">
        <f>AC416</f>
        <v>19154.45</v>
      </c>
      <c r="AE416" s="158">
        <v>250663.67</v>
      </c>
      <c r="AF416" s="158">
        <f>AE416</f>
        <v>250663.67</v>
      </c>
      <c r="AG416" s="158">
        <v>2545</v>
      </c>
      <c r="AH416" s="158">
        <f>AG416</f>
        <v>2545</v>
      </c>
      <c r="AI416" s="158">
        <v>6114.75</v>
      </c>
      <c r="AJ416" s="158">
        <f>AI416</f>
        <v>6114.75</v>
      </c>
      <c r="AK416" s="158">
        <v>0</v>
      </c>
      <c r="AL416" s="158">
        <f>SUM(AK413:AK416,AK478)</f>
        <v>5925.65</v>
      </c>
      <c r="AM416" s="158">
        <v>17003.34</v>
      </c>
      <c r="AN416" s="158">
        <f>SUM(AM416,AM473:AM475)</f>
        <v>66261.86</v>
      </c>
      <c r="AO416" s="158">
        <v>3993.55</v>
      </c>
      <c r="AP416" s="158">
        <f>AO416</f>
        <v>3993.55</v>
      </c>
      <c r="AQ416" s="158">
        <v>8451.2000000000007</v>
      </c>
      <c r="AR416" s="158">
        <f>SUM(AQ416,AQ474:AQ478)</f>
        <v>25904.18</v>
      </c>
      <c r="AS416" s="158">
        <v>300895.03999999998</v>
      </c>
      <c r="AT416" s="158">
        <f>AS416</f>
        <v>300895.03999999998</v>
      </c>
      <c r="AU416" s="158">
        <v>3775</v>
      </c>
      <c r="AV416" s="158"/>
      <c r="AW416" s="158">
        <v>0</v>
      </c>
      <c r="AX416" s="158">
        <f>SUM(AW413,AW476)</f>
        <v>22564.68</v>
      </c>
      <c r="AY416" s="158">
        <v>1250</v>
      </c>
      <c r="AZ416" s="158">
        <f>SUM(AY473:AY477,AY416)</f>
        <v>30928.5</v>
      </c>
      <c r="BA416" s="158">
        <v>11048.45</v>
      </c>
      <c r="BB416" s="158">
        <f>SUM(BA416,BA473,BA476)</f>
        <v>41429.910000000003</v>
      </c>
      <c r="BC416" s="158">
        <v>1200</v>
      </c>
      <c r="BD416" s="158">
        <f>SUM(BC416,BC473)</f>
        <v>2443.3199999999997</v>
      </c>
      <c r="BE416" s="158">
        <v>1500</v>
      </c>
      <c r="BF416" s="158">
        <f>SUM(BE416,BE415,BE473,BE476)</f>
        <v>98061.81</v>
      </c>
      <c r="BG416" s="158">
        <v>925</v>
      </c>
      <c r="BH416" s="158">
        <f>SUM(BG416,BG473,BG476)</f>
        <v>44543.63</v>
      </c>
      <c r="BI416" s="158">
        <v>975</v>
      </c>
      <c r="BJ416" s="158">
        <f>SUM(BI416,BI473,BI476)</f>
        <v>44661.56</v>
      </c>
      <c r="BK416" s="158">
        <v>1400</v>
      </c>
      <c r="BL416" s="158">
        <f>SUM(BK416,BK478,BK477)</f>
        <v>4159.55</v>
      </c>
      <c r="BM416" s="158">
        <v>4295</v>
      </c>
      <c r="BN416" s="158">
        <f>BM416</f>
        <v>4295</v>
      </c>
      <c r="BO416" s="158">
        <v>11314.12</v>
      </c>
      <c r="BP416" s="158">
        <f>SUM(BO416,BO474:BO478)</f>
        <v>60900.770000000004</v>
      </c>
      <c r="BQ416" s="158">
        <v>11817.9</v>
      </c>
      <c r="BR416" s="158">
        <f>SUM(BQ416,BQ474:BQ478)</f>
        <v>20837.97</v>
      </c>
      <c r="BS416" s="158">
        <v>11166.4</v>
      </c>
      <c r="BT416" s="158">
        <f>SUM(BS416,BS474:BS475,BS478)</f>
        <v>46581.740000000005</v>
      </c>
    </row>
    <row r="417" spans="1:72" x14ac:dyDescent="0.2">
      <c r="A417" s="123" t="s">
        <v>406</v>
      </c>
      <c r="B417" s="124" t="s">
        <v>715</v>
      </c>
      <c r="C417" s="158">
        <v>4761.8900000000003</v>
      </c>
      <c r="D417" s="158"/>
      <c r="E417" s="158">
        <v>2824.11</v>
      </c>
      <c r="F417" s="158"/>
      <c r="G417" s="158">
        <v>1575.24</v>
      </c>
      <c r="H417" s="158"/>
      <c r="I417" s="158">
        <v>3975.91</v>
      </c>
      <c r="J417" s="158"/>
      <c r="K417" s="158">
        <v>4722.1000000000004</v>
      </c>
      <c r="L417" s="158"/>
      <c r="M417" s="158">
        <v>3009.17</v>
      </c>
      <c r="N417" s="158"/>
      <c r="O417" s="158">
        <v>717.75</v>
      </c>
      <c r="P417" s="158"/>
      <c r="Q417" s="158">
        <v>1278.76</v>
      </c>
      <c r="R417" s="158"/>
      <c r="S417" s="158">
        <v>3171.72</v>
      </c>
      <c r="T417" s="158"/>
      <c r="U417" s="158">
        <v>1958.54</v>
      </c>
      <c r="V417" s="158"/>
      <c r="W417" s="158">
        <v>1141.4000000000001</v>
      </c>
      <c r="X417" s="158"/>
      <c r="Y417" s="158">
        <v>0</v>
      </c>
      <c r="Z417" s="158"/>
      <c r="AA417" s="158">
        <v>1806.25</v>
      </c>
      <c r="AB417" s="158"/>
      <c r="AC417" s="158">
        <v>1039.77</v>
      </c>
      <c r="AD417" s="158"/>
      <c r="AE417" s="158">
        <v>6445.56</v>
      </c>
      <c r="AF417" s="158"/>
      <c r="AG417" s="158">
        <v>2544.1999999999998</v>
      </c>
      <c r="AH417" s="158"/>
      <c r="AI417" s="158">
        <v>1992.87</v>
      </c>
      <c r="AJ417" s="158"/>
      <c r="AK417" s="158">
        <v>6318.31</v>
      </c>
      <c r="AL417" s="158"/>
      <c r="AM417" s="158">
        <v>4353.32</v>
      </c>
      <c r="AN417" s="158"/>
      <c r="AO417" s="158">
        <v>1202.45</v>
      </c>
      <c r="AP417" s="158"/>
      <c r="AQ417" s="158">
        <v>822.14</v>
      </c>
      <c r="AR417" s="158"/>
      <c r="AS417" s="158">
        <v>4581.6499999999996</v>
      </c>
      <c r="AT417" s="158"/>
      <c r="AU417" s="158">
        <v>0</v>
      </c>
      <c r="AV417" s="158"/>
      <c r="AW417" s="158">
        <v>1044.8599999999999</v>
      </c>
      <c r="AX417" s="158"/>
      <c r="AY417" s="158">
        <v>1786.41</v>
      </c>
      <c r="AZ417" s="158"/>
      <c r="BA417" s="158">
        <v>2415.8000000000002</v>
      </c>
      <c r="BB417" s="158"/>
      <c r="BC417" s="158">
        <v>3460.29</v>
      </c>
      <c r="BD417" s="158"/>
      <c r="BE417" s="158">
        <v>8725.16</v>
      </c>
      <c r="BF417" s="158"/>
      <c r="BG417" s="158">
        <v>2059.1999999999998</v>
      </c>
      <c r="BH417" s="158"/>
      <c r="BI417" s="158">
        <v>5353.71</v>
      </c>
      <c r="BJ417" s="158"/>
      <c r="BK417" s="158">
        <v>5902.17</v>
      </c>
      <c r="BL417" s="158"/>
      <c r="BM417" s="158">
        <v>1646</v>
      </c>
      <c r="BN417" s="158"/>
      <c r="BO417" s="158">
        <v>4555.88</v>
      </c>
      <c r="BP417" s="158"/>
      <c r="BQ417" s="158">
        <v>2541.52</v>
      </c>
      <c r="BR417" s="158"/>
      <c r="BS417" s="158">
        <v>1645.75</v>
      </c>
      <c r="BT417" s="158"/>
    </row>
    <row r="418" spans="1:72" x14ac:dyDescent="0.2">
      <c r="A418" s="123" t="s">
        <v>407</v>
      </c>
      <c r="B418" s="124" t="s">
        <v>714</v>
      </c>
      <c r="C418" s="158">
        <v>0</v>
      </c>
      <c r="D418" s="158"/>
      <c r="E418" s="158">
        <v>3453.09</v>
      </c>
      <c r="F418" s="158"/>
      <c r="G418" s="158">
        <v>0</v>
      </c>
      <c r="H418" s="158"/>
      <c r="I418" s="158">
        <v>1566.51</v>
      </c>
      <c r="J418" s="158"/>
      <c r="K418" s="158">
        <v>648.52</v>
      </c>
      <c r="L418" s="158"/>
      <c r="M418" s="158">
        <v>1021.04</v>
      </c>
      <c r="N418" s="158"/>
      <c r="O418" s="158">
        <v>244.4</v>
      </c>
      <c r="P418" s="158"/>
      <c r="Q418" s="158">
        <v>0</v>
      </c>
      <c r="R418" s="158"/>
      <c r="S418" s="158">
        <v>2169.81</v>
      </c>
      <c r="T418" s="158"/>
      <c r="U418" s="158">
        <v>1258</v>
      </c>
      <c r="V418" s="158"/>
      <c r="W418" s="158">
        <v>5128.76</v>
      </c>
      <c r="X418" s="158"/>
      <c r="Y418" s="158">
        <v>0</v>
      </c>
      <c r="Z418" s="158"/>
      <c r="AA418" s="158">
        <v>2111.6</v>
      </c>
      <c r="AB418" s="158"/>
      <c r="AC418" s="158">
        <v>1300.3599999999999</v>
      </c>
      <c r="AD418" s="158"/>
      <c r="AE418" s="158">
        <v>101.51</v>
      </c>
      <c r="AF418" s="158"/>
      <c r="AG418" s="158">
        <v>741.14</v>
      </c>
      <c r="AH418" s="158"/>
      <c r="AI418" s="158">
        <v>2474.7199999999998</v>
      </c>
      <c r="AJ418" s="158"/>
      <c r="AK418" s="158">
        <v>833.92</v>
      </c>
      <c r="AL418" s="158"/>
      <c r="AM418" s="158">
        <v>1025.45</v>
      </c>
      <c r="AN418" s="158"/>
      <c r="AO418" s="158">
        <v>0</v>
      </c>
      <c r="AP418" s="158"/>
      <c r="AQ418" s="158">
        <v>0</v>
      </c>
      <c r="AR418" s="158"/>
      <c r="AS418" s="158">
        <v>2120.25</v>
      </c>
      <c r="AT418" s="158"/>
      <c r="AU418" s="158">
        <v>0</v>
      </c>
      <c r="AV418" s="158"/>
      <c r="AW418" s="158">
        <v>623.12</v>
      </c>
      <c r="AX418" s="158"/>
      <c r="AY418" s="158">
        <v>0</v>
      </c>
      <c r="AZ418" s="158"/>
      <c r="BA418" s="158">
        <v>1319.31</v>
      </c>
      <c r="BB418" s="158"/>
      <c r="BC418" s="158">
        <v>6354.52</v>
      </c>
      <c r="BD418" s="158"/>
      <c r="BE418" s="158">
        <v>3601.18</v>
      </c>
      <c r="BF418" s="158"/>
      <c r="BG418" s="158">
        <v>0</v>
      </c>
      <c r="BH418" s="158"/>
      <c r="BI418" s="158">
        <v>635.24</v>
      </c>
      <c r="BJ418" s="158"/>
      <c r="BK418" s="158">
        <v>4247.38</v>
      </c>
      <c r="BL418" s="158"/>
      <c r="BM418" s="158">
        <v>0</v>
      </c>
      <c r="BN418" s="158"/>
      <c r="BO418" s="158">
        <v>-255</v>
      </c>
      <c r="BP418" s="158"/>
      <c r="BQ418" s="158">
        <v>0</v>
      </c>
      <c r="BR418" s="158"/>
      <c r="BS418" s="158">
        <v>0</v>
      </c>
      <c r="BT418" s="158"/>
    </row>
    <row r="419" spans="1:72" x14ac:dyDescent="0.2">
      <c r="A419" s="123" t="s">
        <v>408</v>
      </c>
      <c r="B419" s="124" t="s">
        <v>713</v>
      </c>
      <c r="C419" s="158">
        <v>0</v>
      </c>
      <c r="D419" s="158"/>
      <c r="E419" s="158">
        <v>0</v>
      </c>
      <c r="F419" s="158"/>
      <c r="G419" s="158">
        <v>0</v>
      </c>
      <c r="H419" s="158"/>
      <c r="I419" s="158">
        <v>0</v>
      </c>
      <c r="J419" s="158"/>
      <c r="K419" s="158">
        <v>0</v>
      </c>
      <c r="L419" s="158"/>
      <c r="M419" s="158">
        <v>569.04999999999995</v>
      </c>
      <c r="N419" s="158"/>
      <c r="O419" s="158">
        <v>0</v>
      </c>
      <c r="P419" s="158"/>
      <c r="Q419" s="158">
        <v>0</v>
      </c>
      <c r="R419" s="158"/>
      <c r="S419" s="158">
        <v>0</v>
      </c>
      <c r="T419" s="158"/>
      <c r="U419" s="158">
        <v>0</v>
      </c>
      <c r="V419" s="158"/>
      <c r="W419" s="158">
        <v>0</v>
      </c>
      <c r="X419" s="158"/>
      <c r="Y419" s="158">
        <v>0</v>
      </c>
      <c r="Z419" s="158"/>
      <c r="AA419" s="158">
        <v>0</v>
      </c>
      <c r="AB419" s="158"/>
      <c r="AC419" s="158">
        <v>603.19000000000005</v>
      </c>
      <c r="AD419" s="158"/>
      <c r="AE419" s="158">
        <v>0</v>
      </c>
      <c r="AF419" s="158"/>
      <c r="AG419" s="158">
        <v>0</v>
      </c>
      <c r="AH419" s="158"/>
      <c r="AI419" s="158">
        <v>603.20000000000005</v>
      </c>
      <c r="AJ419" s="158"/>
      <c r="AK419" s="158">
        <v>0</v>
      </c>
      <c r="AL419" s="158"/>
      <c r="AM419" s="158">
        <v>0</v>
      </c>
      <c r="AN419" s="158"/>
      <c r="AO419" s="158">
        <v>0</v>
      </c>
      <c r="AP419" s="158"/>
      <c r="AQ419" s="158">
        <v>0</v>
      </c>
      <c r="AR419" s="158"/>
      <c r="AS419" s="158">
        <v>0</v>
      </c>
      <c r="AT419" s="158"/>
      <c r="AU419" s="158">
        <v>0</v>
      </c>
      <c r="AV419" s="158"/>
      <c r="AW419" s="158">
        <v>0</v>
      </c>
      <c r="AX419" s="158"/>
      <c r="AY419" s="158">
        <v>0</v>
      </c>
      <c r="AZ419" s="158"/>
      <c r="BA419" s="158">
        <v>0</v>
      </c>
      <c r="BB419" s="158"/>
      <c r="BC419" s="158">
        <v>0</v>
      </c>
      <c r="BD419" s="158"/>
      <c r="BE419" s="158">
        <v>51.41</v>
      </c>
      <c r="BF419" s="158"/>
      <c r="BG419" s="158">
        <v>0</v>
      </c>
      <c r="BH419" s="158"/>
      <c r="BI419" s="158">
        <v>953.33</v>
      </c>
      <c r="BJ419" s="158"/>
      <c r="BK419" s="158">
        <v>619.73</v>
      </c>
      <c r="BL419" s="158"/>
      <c r="BM419" s="158">
        <v>0</v>
      </c>
      <c r="BN419" s="158"/>
      <c r="BO419" s="158">
        <v>0</v>
      </c>
      <c r="BP419" s="158"/>
      <c r="BQ419" s="158">
        <v>59.17</v>
      </c>
      <c r="BR419" s="158"/>
      <c r="BS419" s="158">
        <v>0</v>
      </c>
      <c r="BT419" s="158"/>
    </row>
    <row r="420" spans="1:72" x14ac:dyDescent="0.2">
      <c r="A420" s="123" t="s">
        <v>409</v>
      </c>
      <c r="B420" s="124" t="s">
        <v>712</v>
      </c>
      <c r="C420" s="158">
        <v>1514.57</v>
      </c>
      <c r="D420" s="158"/>
      <c r="E420" s="158">
        <v>3803.7</v>
      </c>
      <c r="F420" s="158"/>
      <c r="G420" s="158">
        <v>1397.65</v>
      </c>
      <c r="H420" s="158"/>
      <c r="I420" s="158">
        <v>316.94</v>
      </c>
      <c r="J420" s="158"/>
      <c r="K420" s="158">
        <v>0</v>
      </c>
      <c r="L420" s="158"/>
      <c r="M420" s="158">
        <v>0</v>
      </c>
      <c r="N420" s="158"/>
      <c r="O420" s="158">
        <v>761.06</v>
      </c>
      <c r="P420" s="158"/>
      <c r="Q420" s="158">
        <v>0</v>
      </c>
      <c r="R420" s="158"/>
      <c r="S420" s="158">
        <v>6775.09</v>
      </c>
      <c r="T420" s="158"/>
      <c r="U420" s="158">
        <v>0</v>
      </c>
      <c r="V420" s="158"/>
      <c r="W420" s="158">
        <v>2510.35</v>
      </c>
      <c r="X420" s="158"/>
      <c r="Y420" s="158">
        <v>0</v>
      </c>
      <c r="Z420" s="158"/>
      <c r="AA420" s="158">
        <v>869.58</v>
      </c>
      <c r="AB420" s="158"/>
      <c r="AC420" s="158">
        <v>772.8</v>
      </c>
      <c r="AD420" s="158"/>
      <c r="AE420" s="158">
        <v>0</v>
      </c>
      <c r="AF420" s="158"/>
      <c r="AG420" s="158">
        <v>0</v>
      </c>
      <c r="AH420" s="158"/>
      <c r="AI420" s="158">
        <v>1931.53</v>
      </c>
      <c r="AJ420" s="158"/>
      <c r="AK420" s="158">
        <v>0</v>
      </c>
      <c r="AL420" s="158"/>
      <c r="AM420" s="158">
        <v>1083.19</v>
      </c>
      <c r="AN420" s="158"/>
      <c r="AO420" s="158">
        <v>1453.43</v>
      </c>
      <c r="AP420" s="158"/>
      <c r="AQ420" s="158">
        <v>0</v>
      </c>
      <c r="AR420" s="158"/>
      <c r="AS420" s="158">
        <v>0</v>
      </c>
      <c r="AT420" s="158"/>
      <c r="AU420" s="158">
        <v>0</v>
      </c>
      <c r="AV420" s="158"/>
      <c r="AW420" s="158">
        <v>0</v>
      </c>
      <c r="AX420" s="158"/>
      <c r="AY420" s="158">
        <v>372.06</v>
      </c>
      <c r="AZ420" s="158"/>
      <c r="BA420" s="158">
        <v>0</v>
      </c>
      <c r="BB420" s="158"/>
      <c r="BC420" s="158">
        <v>0</v>
      </c>
      <c r="BD420" s="158"/>
      <c r="BE420" s="158">
        <v>0</v>
      </c>
      <c r="BF420" s="158"/>
      <c r="BG420" s="158">
        <v>0</v>
      </c>
      <c r="BH420" s="158"/>
      <c r="BI420" s="158">
        <v>0</v>
      </c>
      <c r="BJ420" s="158"/>
      <c r="BK420" s="158">
        <v>0</v>
      </c>
      <c r="BL420" s="158"/>
      <c r="BM420" s="158">
        <v>0</v>
      </c>
      <c r="BN420" s="158"/>
      <c r="BO420" s="158">
        <v>0</v>
      </c>
      <c r="BP420" s="158"/>
      <c r="BQ420" s="158">
        <v>608.16</v>
      </c>
      <c r="BR420" s="158"/>
      <c r="BS420" s="158">
        <v>0</v>
      </c>
      <c r="BT420" s="158"/>
    </row>
    <row r="421" spans="1:72" x14ac:dyDescent="0.2">
      <c r="A421" s="123" t="s">
        <v>410</v>
      </c>
      <c r="B421" s="124" t="s">
        <v>711</v>
      </c>
      <c r="C421" s="158">
        <v>1145.57</v>
      </c>
      <c r="D421" s="158"/>
      <c r="E421" s="158">
        <v>2625.86</v>
      </c>
      <c r="F421" s="158"/>
      <c r="G421" s="158">
        <v>1629.05</v>
      </c>
      <c r="H421" s="158"/>
      <c r="I421" s="158">
        <v>1687.96</v>
      </c>
      <c r="J421" s="158"/>
      <c r="K421" s="158">
        <v>1584.92</v>
      </c>
      <c r="L421" s="158"/>
      <c r="M421" s="158">
        <v>3681.15</v>
      </c>
      <c r="N421" s="158"/>
      <c r="O421" s="158">
        <v>3039.77</v>
      </c>
      <c r="P421" s="158"/>
      <c r="Q421" s="158">
        <v>1080.78</v>
      </c>
      <c r="R421" s="158"/>
      <c r="S421" s="158">
        <v>893.01</v>
      </c>
      <c r="T421" s="158"/>
      <c r="U421" s="158">
        <v>0</v>
      </c>
      <c r="V421" s="158"/>
      <c r="W421" s="158">
        <v>6944.75</v>
      </c>
      <c r="X421" s="158"/>
      <c r="Y421" s="158">
        <v>5333.5</v>
      </c>
      <c r="Z421" s="158"/>
      <c r="AA421" s="158">
        <v>1739.96</v>
      </c>
      <c r="AB421" s="158"/>
      <c r="AC421" s="158">
        <v>1954.87</v>
      </c>
      <c r="AD421" s="158"/>
      <c r="AE421" s="158">
        <v>0</v>
      </c>
      <c r="AF421" s="158"/>
      <c r="AG421" s="158">
        <v>0</v>
      </c>
      <c r="AH421" s="158"/>
      <c r="AI421" s="158">
        <v>5182.1099999999997</v>
      </c>
      <c r="AJ421" s="158"/>
      <c r="AK421" s="158">
        <v>193.81</v>
      </c>
      <c r="AL421" s="158"/>
      <c r="AM421" s="158">
        <v>7451.7</v>
      </c>
      <c r="AN421" s="158"/>
      <c r="AO421" s="158">
        <v>0</v>
      </c>
      <c r="AP421" s="158"/>
      <c r="AQ421" s="158">
        <v>0</v>
      </c>
      <c r="AR421" s="158"/>
      <c r="AS421" s="158">
        <v>310.68</v>
      </c>
      <c r="AT421" s="158"/>
      <c r="AU421" s="158">
        <v>225</v>
      </c>
      <c r="AV421" s="158"/>
      <c r="AW421" s="158">
        <v>3373.03</v>
      </c>
      <c r="AX421" s="158"/>
      <c r="AY421" s="158">
        <v>0</v>
      </c>
      <c r="AZ421" s="158"/>
      <c r="BA421" s="158">
        <v>0</v>
      </c>
      <c r="BB421" s="158"/>
      <c r="BC421" s="158">
        <v>315</v>
      </c>
      <c r="BD421" s="158"/>
      <c r="BE421" s="158">
        <v>2711.48</v>
      </c>
      <c r="BF421" s="158"/>
      <c r="BG421" s="158">
        <v>0</v>
      </c>
      <c r="BH421" s="158"/>
      <c r="BI421" s="158">
        <v>0</v>
      </c>
      <c r="BJ421" s="158"/>
      <c r="BK421" s="158">
        <v>1966.34</v>
      </c>
      <c r="BL421" s="158"/>
      <c r="BM421" s="158">
        <v>940</v>
      </c>
      <c r="BN421" s="158"/>
      <c r="BO421" s="158">
        <v>2199.13</v>
      </c>
      <c r="BP421" s="158"/>
      <c r="BQ421" s="158">
        <v>1214.21</v>
      </c>
      <c r="BR421" s="158"/>
      <c r="BS421" s="158">
        <v>2960.66</v>
      </c>
      <c r="BT421" s="158"/>
    </row>
    <row r="422" spans="1:72" x14ac:dyDescent="0.2">
      <c r="A422" s="123" t="s">
        <v>411</v>
      </c>
      <c r="B422" s="124" t="s">
        <v>710</v>
      </c>
      <c r="C422" s="158">
        <v>0</v>
      </c>
      <c r="D422" s="158"/>
      <c r="E422" s="158">
        <v>0</v>
      </c>
      <c r="F422" s="158"/>
      <c r="G422" s="158">
        <v>0</v>
      </c>
      <c r="H422" s="158"/>
      <c r="I422" s="158">
        <v>0</v>
      </c>
      <c r="J422" s="158"/>
      <c r="K422" s="158">
        <v>649.11</v>
      </c>
      <c r="L422" s="158"/>
      <c r="M422" s="158">
        <v>628.36</v>
      </c>
      <c r="N422" s="158"/>
      <c r="O422" s="158">
        <v>0</v>
      </c>
      <c r="P422" s="158"/>
      <c r="Q422" s="158">
        <v>0</v>
      </c>
      <c r="R422" s="158"/>
      <c r="S422" s="158">
        <v>566.99</v>
      </c>
      <c r="T422" s="158"/>
      <c r="U422" s="158">
        <v>0</v>
      </c>
      <c r="V422" s="158"/>
      <c r="W422" s="158">
        <v>0</v>
      </c>
      <c r="X422" s="158"/>
      <c r="Y422" s="158">
        <v>0</v>
      </c>
      <c r="Z422" s="158"/>
      <c r="AA422" s="158">
        <v>0</v>
      </c>
      <c r="AB422" s="158"/>
      <c r="AC422" s="158">
        <v>1206.3800000000001</v>
      </c>
      <c r="AD422" s="158"/>
      <c r="AE422" s="158">
        <v>0</v>
      </c>
      <c r="AF422" s="158"/>
      <c r="AG422" s="158">
        <v>1206.3800000000001</v>
      </c>
      <c r="AH422" s="158"/>
      <c r="AI422" s="158">
        <v>603.20000000000005</v>
      </c>
      <c r="AJ422" s="158"/>
      <c r="AK422" s="158">
        <v>755.76</v>
      </c>
      <c r="AL422" s="158"/>
      <c r="AM422" s="158">
        <v>0</v>
      </c>
      <c r="AN422" s="158"/>
      <c r="AO422" s="158">
        <v>0</v>
      </c>
      <c r="AP422" s="158"/>
      <c r="AQ422" s="158">
        <v>0</v>
      </c>
      <c r="AR422" s="158"/>
      <c r="AS422" s="158">
        <v>0</v>
      </c>
      <c r="AT422" s="158"/>
      <c r="AU422" s="158">
        <v>990.18</v>
      </c>
      <c r="AV422" s="158"/>
      <c r="AW422" s="158">
        <v>2412.7800000000002</v>
      </c>
      <c r="AX422" s="158"/>
      <c r="AY422" s="158">
        <v>0</v>
      </c>
      <c r="AZ422" s="158"/>
      <c r="BA422" s="158">
        <v>0</v>
      </c>
      <c r="BB422" s="158"/>
      <c r="BC422" s="158">
        <v>0</v>
      </c>
      <c r="BD422" s="158"/>
      <c r="BE422" s="158">
        <v>1105.68</v>
      </c>
      <c r="BF422" s="158"/>
      <c r="BG422" s="158">
        <v>0</v>
      </c>
      <c r="BH422" s="158"/>
      <c r="BI422" s="158">
        <v>1288.1199999999999</v>
      </c>
      <c r="BJ422" s="158"/>
      <c r="BK422" s="158">
        <v>1251.6500000000001</v>
      </c>
      <c r="BL422" s="158"/>
      <c r="BM422" s="158">
        <v>0</v>
      </c>
      <c r="BN422" s="158"/>
      <c r="BO422" s="158">
        <v>0</v>
      </c>
      <c r="BP422" s="158"/>
      <c r="BQ422" s="158">
        <v>0</v>
      </c>
      <c r="BR422" s="158"/>
      <c r="BS422" s="158">
        <v>631.34</v>
      </c>
      <c r="BT422" s="158"/>
    </row>
    <row r="423" spans="1:72" x14ac:dyDescent="0.2">
      <c r="A423" s="123" t="s">
        <v>412</v>
      </c>
      <c r="B423" s="124" t="s">
        <v>709</v>
      </c>
      <c r="C423" s="158">
        <v>385.86</v>
      </c>
      <c r="D423" s="158"/>
      <c r="E423" s="158">
        <v>0</v>
      </c>
      <c r="F423" s="158"/>
      <c r="G423" s="158">
        <v>0</v>
      </c>
      <c r="H423" s="158"/>
      <c r="I423" s="158">
        <v>0</v>
      </c>
      <c r="J423" s="158"/>
      <c r="K423" s="158">
        <v>552.46</v>
      </c>
      <c r="L423" s="158"/>
      <c r="M423" s="158">
        <v>236.93</v>
      </c>
      <c r="N423" s="158"/>
      <c r="O423" s="158">
        <v>0</v>
      </c>
      <c r="P423" s="158"/>
      <c r="Q423" s="158">
        <v>0</v>
      </c>
      <c r="R423" s="158"/>
      <c r="S423" s="158">
        <v>487.08</v>
      </c>
      <c r="T423" s="158"/>
      <c r="U423" s="158">
        <v>201.33</v>
      </c>
      <c r="V423" s="158"/>
      <c r="W423" s="158">
        <v>160.02000000000001</v>
      </c>
      <c r="X423" s="158"/>
      <c r="Y423" s="158">
        <v>0</v>
      </c>
      <c r="Z423" s="158"/>
      <c r="AA423" s="158">
        <v>99.28</v>
      </c>
      <c r="AB423" s="158"/>
      <c r="AC423" s="158">
        <v>0</v>
      </c>
      <c r="AD423" s="158"/>
      <c r="AE423" s="158">
        <v>212.52</v>
      </c>
      <c r="AF423" s="158"/>
      <c r="AG423" s="158">
        <v>115.82</v>
      </c>
      <c r="AH423" s="158"/>
      <c r="AI423" s="158">
        <v>0</v>
      </c>
      <c r="AJ423" s="158"/>
      <c r="AK423" s="158">
        <v>322.10000000000002</v>
      </c>
      <c r="AL423" s="158"/>
      <c r="AM423" s="158">
        <v>694.72</v>
      </c>
      <c r="AN423" s="158"/>
      <c r="AO423" s="158">
        <v>0</v>
      </c>
      <c r="AP423" s="158"/>
      <c r="AQ423" s="158">
        <v>0</v>
      </c>
      <c r="AR423" s="158"/>
      <c r="AS423" s="158">
        <v>120.08</v>
      </c>
      <c r="AT423" s="158"/>
      <c r="AU423" s="158">
        <v>0</v>
      </c>
      <c r="AV423" s="158"/>
      <c r="AW423" s="158">
        <v>0</v>
      </c>
      <c r="AX423" s="158"/>
      <c r="AY423" s="158">
        <v>0</v>
      </c>
      <c r="AZ423" s="158"/>
      <c r="BA423" s="158">
        <v>0</v>
      </c>
      <c r="BB423" s="158"/>
      <c r="BC423" s="158">
        <v>850.83</v>
      </c>
      <c r="BD423" s="158"/>
      <c r="BE423" s="158">
        <v>352.66</v>
      </c>
      <c r="BF423" s="158"/>
      <c r="BG423" s="158">
        <v>227.44</v>
      </c>
      <c r="BH423" s="158"/>
      <c r="BI423" s="158">
        <v>207.76</v>
      </c>
      <c r="BJ423" s="158"/>
      <c r="BK423" s="158">
        <v>151.72999999999999</v>
      </c>
      <c r="BL423" s="158"/>
      <c r="BM423" s="158">
        <v>240.57</v>
      </c>
      <c r="BN423" s="158"/>
      <c r="BO423" s="158">
        <v>235.97</v>
      </c>
      <c r="BP423" s="158"/>
      <c r="BQ423" s="158">
        <v>137.81</v>
      </c>
      <c r="BR423" s="158"/>
      <c r="BS423" s="158">
        <v>163.83000000000001</v>
      </c>
      <c r="BT423" s="158"/>
    </row>
    <row r="424" spans="1:72" x14ac:dyDescent="0.2">
      <c r="A424" s="123" t="s">
        <v>553</v>
      </c>
      <c r="B424" s="124" t="s">
        <v>708</v>
      </c>
      <c r="C424" s="158">
        <v>0</v>
      </c>
      <c r="D424" s="158"/>
      <c r="E424" s="158">
        <v>0</v>
      </c>
      <c r="F424" s="158"/>
      <c r="G424" s="158">
        <v>0</v>
      </c>
      <c r="H424" s="158"/>
      <c r="I424" s="158">
        <v>0</v>
      </c>
      <c r="J424" s="158"/>
      <c r="K424" s="158">
        <v>0</v>
      </c>
      <c r="L424" s="158"/>
      <c r="M424" s="158">
        <v>0</v>
      </c>
      <c r="N424" s="158"/>
      <c r="O424" s="158">
        <v>0</v>
      </c>
      <c r="P424" s="158"/>
      <c r="Q424" s="158">
        <v>0</v>
      </c>
      <c r="R424" s="158"/>
      <c r="S424" s="158">
        <v>0</v>
      </c>
      <c r="T424" s="158"/>
      <c r="U424" s="158">
        <v>0</v>
      </c>
      <c r="V424" s="158"/>
      <c r="W424" s="158">
        <v>0</v>
      </c>
      <c r="X424" s="158"/>
      <c r="Y424" s="158">
        <v>0</v>
      </c>
      <c r="Z424" s="158"/>
      <c r="AA424" s="158">
        <v>0</v>
      </c>
      <c r="AB424" s="158"/>
      <c r="AC424" s="158">
        <v>0</v>
      </c>
      <c r="AD424" s="158"/>
      <c r="AE424" s="158">
        <v>0</v>
      </c>
      <c r="AF424" s="158"/>
      <c r="AG424" s="158">
        <v>0</v>
      </c>
      <c r="AH424" s="158"/>
      <c r="AI424" s="158">
        <v>0</v>
      </c>
      <c r="AJ424" s="158"/>
      <c r="AK424" s="158">
        <v>703.89</v>
      </c>
      <c r="AL424" s="158"/>
      <c r="AM424" s="158">
        <v>0</v>
      </c>
      <c r="AN424" s="158"/>
      <c r="AO424" s="158">
        <v>0</v>
      </c>
      <c r="AP424" s="158"/>
      <c r="AQ424" s="158">
        <v>0</v>
      </c>
      <c r="AR424" s="158"/>
      <c r="AS424" s="158">
        <v>0</v>
      </c>
      <c r="AT424" s="158"/>
      <c r="AU424" s="158">
        <v>0</v>
      </c>
      <c r="AV424" s="158"/>
      <c r="AW424" s="158">
        <v>0</v>
      </c>
      <c r="AX424" s="158"/>
      <c r="AY424" s="158">
        <v>0</v>
      </c>
      <c r="AZ424" s="158"/>
      <c r="BA424" s="158">
        <v>0</v>
      </c>
      <c r="BB424" s="158"/>
      <c r="BC424" s="158">
        <v>10403.1</v>
      </c>
      <c r="BD424" s="158"/>
      <c r="BE424" s="158">
        <v>0</v>
      </c>
      <c r="BF424" s="158"/>
      <c r="BG424" s="158">
        <v>0</v>
      </c>
      <c r="BH424" s="158"/>
      <c r="BI424" s="158">
        <v>4061.71</v>
      </c>
      <c r="BJ424" s="158"/>
      <c r="BK424" s="158">
        <v>0</v>
      </c>
      <c r="BL424" s="158"/>
      <c r="BM424" s="158">
        <v>4497.3500000000004</v>
      </c>
      <c r="BN424" s="158"/>
      <c r="BO424" s="158">
        <v>0</v>
      </c>
      <c r="BP424" s="158"/>
      <c r="BQ424" s="158">
        <v>0</v>
      </c>
      <c r="BR424" s="158"/>
      <c r="BS424" s="158">
        <v>0</v>
      </c>
      <c r="BT424" s="158"/>
    </row>
    <row r="425" spans="1:72" x14ac:dyDescent="0.2">
      <c r="A425" s="123" t="s">
        <v>1124</v>
      </c>
      <c r="B425" s="124" t="s">
        <v>1413</v>
      </c>
      <c r="C425" s="158">
        <v>0</v>
      </c>
      <c r="D425" s="158"/>
      <c r="E425" s="158">
        <v>0</v>
      </c>
      <c r="F425" s="158"/>
      <c r="G425" s="158">
        <v>0</v>
      </c>
      <c r="H425" s="158"/>
      <c r="I425" s="158">
        <v>344.9</v>
      </c>
      <c r="J425" s="158"/>
      <c r="K425" s="158">
        <v>0</v>
      </c>
      <c r="L425" s="158"/>
      <c r="M425" s="158">
        <v>0</v>
      </c>
      <c r="N425" s="158"/>
      <c r="O425" s="158">
        <v>0</v>
      </c>
      <c r="P425" s="158"/>
      <c r="Q425" s="158">
        <v>344.9</v>
      </c>
      <c r="R425" s="158"/>
      <c r="S425" s="158">
        <v>0</v>
      </c>
      <c r="T425" s="158"/>
      <c r="U425" s="158">
        <v>0</v>
      </c>
      <c r="V425" s="158"/>
      <c r="W425" s="158">
        <v>754.79</v>
      </c>
      <c r="X425" s="158"/>
      <c r="Y425" s="158">
        <v>0</v>
      </c>
      <c r="Z425" s="158"/>
      <c r="AA425" s="158">
        <v>0</v>
      </c>
      <c r="AB425" s="158"/>
      <c r="AC425" s="158">
        <v>0</v>
      </c>
      <c r="AD425" s="158"/>
      <c r="AE425" s="158">
        <v>0</v>
      </c>
      <c r="AF425" s="158"/>
      <c r="AG425" s="158">
        <v>0</v>
      </c>
      <c r="AH425" s="158"/>
      <c r="AI425" s="158">
        <v>0</v>
      </c>
      <c r="AJ425" s="158"/>
      <c r="AK425" s="158">
        <v>270.88</v>
      </c>
      <c r="AL425" s="158"/>
      <c r="AM425" s="158">
        <v>0</v>
      </c>
      <c r="AN425" s="158"/>
      <c r="AO425" s="158">
        <v>0</v>
      </c>
      <c r="AP425" s="158"/>
      <c r="AQ425" s="158">
        <v>0</v>
      </c>
      <c r="AR425" s="158"/>
      <c r="AS425" s="158">
        <v>0</v>
      </c>
      <c r="AT425" s="158"/>
      <c r="AU425" s="158">
        <v>349.1</v>
      </c>
      <c r="AV425" s="158"/>
      <c r="AW425" s="158">
        <v>0</v>
      </c>
      <c r="AX425" s="158"/>
      <c r="AY425" s="158">
        <v>344.9</v>
      </c>
      <c r="AZ425" s="158"/>
      <c r="BA425" s="158">
        <v>0</v>
      </c>
      <c r="BB425" s="158"/>
      <c r="BC425" s="158">
        <v>0</v>
      </c>
      <c r="BD425" s="158"/>
      <c r="BE425" s="158">
        <v>0</v>
      </c>
      <c r="BF425" s="158"/>
      <c r="BG425" s="158">
        <v>0</v>
      </c>
      <c r="BH425" s="158"/>
      <c r="BI425" s="158">
        <v>0</v>
      </c>
      <c r="BJ425" s="158"/>
      <c r="BK425" s="158">
        <v>0</v>
      </c>
      <c r="BL425" s="158"/>
      <c r="BM425" s="158">
        <v>0</v>
      </c>
      <c r="BN425" s="158"/>
      <c r="BO425" s="158">
        <v>0</v>
      </c>
      <c r="BP425" s="158"/>
      <c r="BQ425" s="158">
        <v>0</v>
      </c>
      <c r="BR425" s="158"/>
      <c r="BS425" s="158">
        <v>345.14</v>
      </c>
      <c r="BT425" s="158"/>
    </row>
    <row r="426" spans="1:72" x14ac:dyDescent="0.2">
      <c r="A426" s="123" t="s">
        <v>413</v>
      </c>
      <c r="B426" s="124" t="s">
        <v>707</v>
      </c>
      <c r="C426" s="158">
        <v>284.12</v>
      </c>
      <c r="D426" s="158"/>
      <c r="E426" s="158">
        <v>306.64999999999998</v>
      </c>
      <c r="F426" s="158"/>
      <c r="G426" s="158">
        <v>281.66000000000003</v>
      </c>
      <c r="H426" s="158"/>
      <c r="I426" s="158">
        <v>0</v>
      </c>
      <c r="J426" s="158"/>
      <c r="K426" s="158">
        <v>0</v>
      </c>
      <c r="L426" s="158"/>
      <c r="M426" s="158">
        <v>291</v>
      </c>
      <c r="N426" s="158"/>
      <c r="O426" s="158">
        <v>373.42</v>
      </c>
      <c r="P426" s="158"/>
      <c r="Q426" s="158">
        <v>56.08</v>
      </c>
      <c r="R426" s="158"/>
      <c r="S426" s="158">
        <v>688.91</v>
      </c>
      <c r="T426" s="158"/>
      <c r="U426" s="158">
        <v>0</v>
      </c>
      <c r="V426" s="158"/>
      <c r="W426" s="158">
        <v>352.42</v>
      </c>
      <c r="X426" s="158"/>
      <c r="Y426" s="158">
        <v>0</v>
      </c>
      <c r="Z426" s="158"/>
      <c r="AA426" s="158">
        <v>236.08</v>
      </c>
      <c r="AB426" s="158"/>
      <c r="AC426" s="158">
        <v>422.04</v>
      </c>
      <c r="AD426" s="158"/>
      <c r="AE426" s="158">
        <v>0</v>
      </c>
      <c r="AF426" s="158"/>
      <c r="AG426" s="158">
        <v>0</v>
      </c>
      <c r="AH426" s="158"/>
      <c r="AI426" s="158">
        <v>191.81</v>
      </c>
      <c r="AJ426" s="158"/>
      <c r="AK426" s="158">
        <v>77.95</v>
      </c>
      <c r="AL426" s="158"/>
      <c r="AM426" s="158">
        <v>0</v>
      </c>
      <c r="AN426" s="158"/>
      <c r="AO426" s="158">
        <v>429.68</v>
      </c>
      <c r="AP426" s="158"/>
      <c r="AQ426" s="158">
        <v>0</v>
      </c>
      <c r="AR426" s="158"/>
      <c r="AS426" s="158">
        <v>0</v>
      </c>
      <c r="AT426" s="158"/>
      <c r="AU426" s="158">
        <v>1853.24</v>
      </c>
      <c r="AV426" s="158"/>
      <c r="AW426" s="158">
        <v>0</v>
      </c>
      <c r="AX426" s="158"/>
      <c r="AY426" s="158">
        <v>0</v>
      </c>
      <c r="AZ426" s="158"/>
      <c r="BA426" s="158">
        <v>0</v>
      </c>
      <c r="BB426" s="158"/>
      <c r="BC426" s="158">
        <v>243.91</v>
      </c>
      <c r="BD426" s="158"/>
      <c r="BE426" s="158">
        <v>712.6</v>
      </c>
      <c r="BF426" s="158"/>
      <c r="BG426" s="158">
        <v>0</v>
      </c>
      <c r="BH426" s="158"/>
      <c r="BI426" s="158">
        <v>0</v>
      </c>
      <c r="BJ426" s="158"/>
      <c r="BK426" s="158">
        <v>0</v>
      </c>
      <c r="BL426" s="158"/>
      <c r="BM426" s="158">
        <v>135.91999999999999</v>
      </c>
      <c r="BN426" s="158"/>
      <c r="BO426" s="158">
        <v>172.01</v>
      </c>
      <c r="BP426" s="158"/>
      <c r="BQ426" s="158">
        <v>0</v>
      </c>
      <c r="BR426" s="158"/>
      <c r="BS426" s="158">
        <v>286.12</v>
      </c>
      <c r="BT426" s="158"/>
    </row>
    <row r="427" spans="1:72" x14ac:dyDescent="0.2">
      <c r="A427" s="123" t="s">
        <v>1121</v>
      </c>
      <c r="B427" s="124" t="s">
        <v>1414</v>
      </c>
      <c r="C427" s="158">
        <v>0</v>
      </c>
      <c r="D427" s="158"/>
      <c r="E427" s="158">
        <v>0</v>
      </c>
      <c r="F427" s="158"/>
      <c r="G427" s="158">
        <v>-2863</v>
      </c>
      <c r="H427" s="158"/>
      <c r="I427" s="158">
        <v>-4330</v>
      </c>
      <c r="J427" s="158"/>
      <c r="K427" s="158">
        <v>-9230</v>
      </c>
      <c r="L427" s="158"/>
      <c r="M427" s="158">
        <v>0</v>
      </c>
      <c r="N427" s="158"/>
      <c r="O427" s="158">
        <v>-20731</v>
      </c>
      <c r="P427" s="158"/>
      <c r="Q427" s="158">
        <v>0</v>
      </c>
      <c r="R427" s="158"/>
      <c r="S427" s="158">
        <v>0</v>
      </c>
      <c r="T427" s="158"/>
      <c r="U427" s="158">
        <v>-28417.56</v>
      </c>
      <c r="V427" s="158"/>
      <c r="W427" s="158">
        <v>-11870</v>
      </c>
      <c r="X427" s="158"/>
      <c r="Y427" s="158">
        <v>-24500</v>
      </c>
      <c r="Z427" s="158"/>
      <c r="AA427" s="158">
        <v>0</v>
      </c>
      <c r="AB427" s="158"/>
      <c r="AC427" s="158">
        <v>0</v>
      </c>
      <c r="AD427" s="158"/>
      <c r="AE427" s="158">
        <v>0</v>
      </c>
      <c r="AF427" s="158"/>
      <c r="AG427" s="158">
        <v>0</v>
      </c>
      <c r="AH427" s="158"/>
      <c r="AI427" s="158">
        <v>-2940</v>
      </c>
      <c r="AJ427" s="158"/>
      <c r="AK427" s="158">
        <v>0</v>
      </c>
      <c r="AL427" s="158"/>
      <c r="AM427" s="158">
        <v>-11045</v>
      </c>
      <c r="AN427" s="158"/>
      <c r="AO427" s="158">
        <v>0</v>
      </c>
      <c r="AP427" s="158"/>
      <c r="AQ427" s="158">
        <v>0</v>
      </c>
      <c r="AR427" s="158"/>
      <c r="AS427" s="158">
        <v>-28934</v>
      </c>
      <c r="AT427" s="158"/>
      <c r="AU427" s="158">
        <v>-16814</v>
      </c>
      <c r="AV427" s="158"/>
      <c r="AW427" s="158">
        <v>-31473.919999999998</v>
      </c>
      <c r="AX427" s="158"/>
      <c r="AY427" s="158">
        <v>-14315</v>
      </c>
      <c r="AZ427" s="158"/>
      <c r="BA427" s="158">
        <v>-6049.07</v>
      </c>
      <c r="BB427" s="158"/>
      <c r="BC427" s="158">
        <v>-4482</v>
      </c>
      <c r="BD427" s="158"/>
      <c r="BE427" s="158">
        <v>-3590.82</v>
      </c>
      <c r="BF427" s="158"/>
      <c r="BG427" s="158">
        <v>-11739.67</v>
      </c>
      <c r="BH427" s="158"/>
      <c r="BI427" s="158">
        <v>-16012</v>
      </c>
      <c r="BJ427" s="158"/>
      <c r="BK427" s="158">
        <v>-20026.900000000001</v>
      </c>
      <c r="BL427" s="158"/>
      <c r="BM427" s="158">
        <v>0</v>
      </c>
      <c r="BN427" s="158"/>
      <c r="BO427" s="158">
        <v>0</v>
      </c>
      <c r="BP427" s="158"/>
      <c r="BQ427" s="158">
        <v>-4044.09</v>
      </c>
      <c r="BR427" s="158"/>
      <c r="BS427" s="158">
        <v>-9948.8799999999992</v>
      </c>
      <c r="BT427" s="158"/>
    </row>
    <row r="428" spans="1:72" x14ac:dyDescent="0.2">
      <c r="A428" s="123" t="s">
        <v>1119</v>
      </c>
      <c r="B428" s="124" t="s">
        <v>1415</v>
      </c>
      <c r="C428" s="158">
        <v>0</v>
      </c>
      <c r="D428" s="158"/>
      <c r="E428" s="158">
        <v>0</v>
      </c>
      <c r="F428" s="158"/>
      <c r="G428" s="158">
        <v>0</v>
      </c>
      <c r="H428" s="158"/>
      <c r="I428" s="158">
        <v>0</v>
      </c>
      <c r="J428" s="158"/>
      <c r="K428" s="158">
        <v>274</v>
      </c>
      <c r="L428" s="158"/>
      <c r="M428" s="158">
        <v>0</v>
      </c>
      <c r="N428" s="158"/>
      <c r="O428" s="158">
        <v>0</v>
      </c>
      <c r="P428" s="158"/>
      <c r="Q428" s="158">
        <v>0</v>
      </c>
      <c r="R428" s="158"/>
      <c r="S428" s="158">
        <v>0</v>
      </c>
      <c r="T428" s="158"/>
      <c r="U428" s="158">
        <v>0</v>
      </c>
      <c r="V428" s="158"/>
      <c r="W428" s="158">
        <v>0</v>
      </c>
      <c r="X428" s="158"/>
      <c r="Y428" s="158">
        <v>0</v>
      </c>
      <c r="Z428" s="158"/>
      <c r="AA428" s="158">
        <v>0</v>
      </c>
      <c r="AB428" s="158"/>
      <c r="AC428" s="158">
        <v>0</v>
      </c>
      <c r="AD428" s="158"/>
      <c r="AE428" s="158">
        <v>0</v>
      </c>
      <c r="AF428" s="158"/>
      <c r="AG428" s="158">
        <v>0</v>
      </c>
      <c r="AH428" s="158"/>
      <c r="AI428" s="158">
        <v>0</v>
      </c>
      <c r="AJ428" s="158"/>
      <c r="AK428" s="158">
        <v>225</v>
      </c>
      <c r="AL428" s="158"/>
      <c r="AM428" s="158">
        <v>0</v>
      </c>
      <c r="AN428" s="158"/>
      <c r="AO428" s="158">
        <v>246</v>
      </c>
      <c r="AP428" s="158"/>
      <c r="AQ428" s="158">
        <v>0</v>
      </c>
      <c r="AR428" s="158"/>
      <c r="AS428" s="158">
        <v>0</v>
      </c>
      <c r="AT428" s="158"/>
      <c r="AU428" s="158">
        <v>981</v>
      </c>
      <c r="AV428" s="158"/>
      <c r="AW428" s="158">
        <v>0</v>
      </c>
      <c r="AX428" s="158"/>
      <c r="AY428" s="158">
        <v>0</v>
      </c>
      <c r="AZ428" s="158"/>
      <c r="BA428" s="158">
        <v>0</v>
      </c>
      <c r="BB428" s="158"/>
      <c r="BC428" s="158">
        <v>0</v>
      </c>
      <c r="BD428" s="158"/>
      <c r="BE428" s="158">
        <v>0</v>
      </c>
      <c r="BF428" s="158"/>
      <c r="BG428" s="158">
        <v>0</v>
      </c>
      <c r="BH428" s="158"/>
      <c r="BI428" s="158">
        <v>0</v>
      </c>
      <c r="BJ428" s="158"/>
      <c r="BK428" s="158">
        <v>0</v>
      </c>
      <c r="BL428" s="158"/>
      <c r="BM428" s="158">
        <v>0</v>
      </c>
      <c r="BN428" s="158"/>
      <c r="BO428" s="158">
        <v>0</v>
      </c>
      <c r="BP428" s="158"/>
      <c r="BQ428" s="158">
        <v>0</v>
      </c>
      <c r="BR428" s="158"/>
      <c r="BS428" s="158">
        <v>0</v>
      </c>
      <c r="BT428" s="158"/>
    </row>
    <row r="429" spans="1:72" x14ac:dyDescent="0.2">
      <c r="A429" s="123" t="s">
        <v>414</v>
      </c>
      <c r="B429" s="124" t="s">
        <v>706</v>
      </c>
      <c r="C429" s="158">
        <v>0</v>
      </c>
      <c r="D429" s="158"/>
      <c r="E429" s="158">
        <v>-2781.34</v>
      </c>
      <c r="F429" s="158"/>
      <c r="G429" s="158">
        <v>0</v>
      </c>
      <c r="H429" s="158"/>
      <c r="I429" s="158">
        <v>0</v>
      </c>
      <c r="J429" s="158"/>
      <c r="K429" s="158">
        <v>0</v>
      </c>
      <c r="L429" s="158"/>
      <c r="M429" s="158">
        <v>0</v>
      </c>
      <c r="N429" s="158"/>
      <c r="O429" s="158">
        <v>0</v>
      </c>
      <c r="P429" s="158"/>
      <c r="Q429" s="158">
        <v>6700</v>
      </c>
      <c r="R429" s="158"/>
      <c r="S429" s="158">
        <v>0</v>
      </c>
      <c r="T429" s="158"/>
      <c r="U429" s="158">
        <v>0</v>
      </c>
      <c r="V429" s="158"/>
      <c r="W429" s="158">
        <v>0</v>
      </c>
      <c r="X429" s="158"/>
      <c r="Y429" s="158">
        <v>0</v>
      </c>
      <c r="Z429" s="158"/>
      <c r="AA429" s="158">
        <v>0</v>
      </c>
      <c r="AB429" s="158"/>
      <c r="AC429" s="158">
        <v>0</v>
      </c>
      <c r="AD429" s="158"/>
      <c r="AE429" s="158">
        <v>0</v>
      </c>
      <c r="AF429" s="158"/>
      <c r="AG429" s="158">
        <v>0</v>
      </c>
      <c r="AH429" s="158"/>
      <c r="AI429" s="158">
        <v>2275</v>
      </c>
      <c r="AJ429" s="158"/>
      <c r="AK429" s="158">
        <v>0</v>
      </c>
      <c r="AL429" s="158"/>
      <c r="AM429" s="158">
        <v>0</v>
      </c>
      <c r="AN429" s="158"/>
      <c r="AO429" s="158">
        <v>0</v>
      </c>
      <c r="AP429" s="158"/>
      <c r="AQ429" s="158">
        <v>0</v>
      </c>
      <c r="AR429" s="158"/>
      <c r="AS429" s="158">
        <v>-3875</v>
      </c>
      <c r="AT429" s="158"/>
      <c r="AU429" s="158">
        <v>4830</v>
      </c>
      <c r="AV429" s="158"/>
      <c r="AW429" s="158">
        <v>0</v>
      </c>
      <c r="AX429" s="158"/>
      <c r="AY429" s="158">
        <v>0</v>
      </c>
      <c r="AZ429" s="158"/>
      <c r="BA429" s="158">
        <v>0</v>
      </c>
      <c r="BB429" s="158"/>
      <c r="BC429" s="158">
        <v>2700</v>
      </c>
      <c r="BD429" s="158"/>
      <c r="BE429" s="158">
        <v>5724</v>
      </c>
      <c r="BF429" s="158"/>
      <c r="BG429" s="158">
        <v>0</v>
      </c>
      <c r="BH429" s="158"/>
      <c r="BI429" s="158">
        <v>0</v>
      </c>
      <c r="BJ429" s="158"/>
      <c r="BK429" s="158">
        <v>0</v>
      </c>
      <c r="BL429" s="158"/>
      <c r="BM429" s="158">
        <v>1300</v>
      </c>
      <c r="BN429" s="158"/>
      <c r="BO429" s="158">
        <v>0</v>
      </c>
      <c r="BP429" s="158"/>
      <c r="BQ429" s="158">
        <v>0</v>
      </c>
      <c r="BR429" s="158"/>
      <c r="BS429" s="158">
        <v>0</v>
      </c>
      <c r="BT429" s="158"/>
    </row>
    <row r="430" spans="1:72" x14ac:dyDescent="0.2">
      <c r="A430" s="123" t="s">
        <v>502</v>
      </c>
      <c r="B430" s="124" t="s">
        <v>705</v>
      </c>
      <c r="C430" s="158">
        <v>0</v>
      </c>
      <c r="D430" s="158"/>
      <c r="E430" s="158">
        <v>0</v>
      </c>
      <c r="F430" s="158"/>
      <c r="G430" s="158">
        <v>0</v>
      </c>
      <c r="H430" s="158"/>
      <c r="I430" s="158">
        <v>0</v>
      </c>
      <c r="J430" s="158"/>
      <c r="K430" s="158">
        <v>0</v>
      </c>
      <c r="L430" s="158"/>
      <c r="M430" s="158">
        <v>0</v>
      </c>
      <c r="N430" s="158"/>
      <c r="O430" s="158">
        <v>0</v>
      </c>
      <c r="P430" s="158"/>
      <c r="Q430" s="158">
        <v>0</v>
      </c>
      <c r="R430" s="158"/>
      <c r="S430" s="158">
        <v>0</v>
      </c>
      <c r="T430" s="158"/>
      <c r="U430" s="158">
        <v>0</v>
      </c>
      <c r="V430" s="158"/>
      <c r="W430" s="158">
        <v>0</v>
      </c>
      <c r="X430" s="158"/>
      <c r="Y430" s="158">
        <v>0</v>
      </c>
      <c r="Z430" s="158"/>
      <c r="AA430" s="158">
        <v>0</v>
      </c>
      <c r="AB430" s="158"/>
      <c r="AC430" s="158">
        <v>0</v>
      </c>
      <c r="AD430" s="158"/>
      <c r="AE430" s="158">
        <v>0</v>
      </c>
      <c r="AF430" s="158"/>
      <c r="AG430" s="158">
        <v>0</v>
      </c>
      <c r="AH430" s="158"/>
      <c r="AI430" s="158">
        <v>0</v>
      </c>
      <c r="AJ430" s="158"/>
      <c r="AK430" s="158">
        <v>0</v>
      </c>
      <c r="AL430" s="158"/>
      <c r="AM430" s="158">
        <v>0</v>
      </c>
      <c r="AN430" s="158"/>
      <c r="AO430" s="158">
        <v>0</v>
      </c>
      <c r="AP430" s="158"/>
      <c r="AQ430" s="158">
        <v>0</v>
      </c>
      <c r="AR430" s="158"/>
      <c r="AS430" s="158">
        <v>0</v>
      </c>
      <c r="AT430" s="158"/>
      <c r="AU430" s="158">
        <v>0</v>
      </c>
      <c r="AV430" s="158"/>
      <c r="AW430" s="158">
        <v>0</v>
      </c>
      <c r="AX430" s="158"/>
      <c r="AY430" s="158">
        <v>0</v>
      </c>
      <c r="AZ430" s="158"/>
      <c r="BA430" s="158">
        <v>0</v>
      </c>
      <c r="BB430" s="158"/>
      <c r="BC430" s="158">
        <v>0</v>
      </c>
      <c r="BD430" s="158"/>
      <c r="BE430" s="158">
        <v>0</v>
      </c>
      <c r="BF430" s="158"/>
      <c r="BG430" s="158">
        <v>0</v>
      </c>
      <c r="BH430" s="158"/>
      <c r="BI430" s="158">
        <v>0</v>
      </c>
      <c r="BJ430" s="158"/>
      <c r="BK430" s="158">
        <v>450</v>
      </c>
      <c r="BL430" s="158"/>
      <c r="BM430" s="158">
        <v>0</v>
      </c>
      <c r="BN430" s="158"/>
      <c r="BO430" s="158">
        <v>0</v>
      </c>
      <c r="BP430" s="158"/>
      <c r="BQ430" s="158">
        <v>0</v>
      </c>
      <c r="BR430" s="158"/>
      <c r="BS430" s="158">
        <v>0</v>
      </c>
      <c r="BT430" s="158"/>
    </row>
    <row r="431" spans="1:72" x14ac:dyDescent="0.2">
      <c r="A431" s="123" t="s">
        <v>554</v>
      </c>
      <c r="B431" s="124" t="s">
        <v>704</v>
      </c>
      <c r="C431" s="158">
        <v>0</v>
      </c>
      <c r="D431" s="158"/>
      <c r="E431" s="158">
        <v>0</v>
      </c>
      <c r="F431" s="158"/>
      <c r="G431" s="158">
        <v>0</v>
      </c>
      <c r="H431" s="158"/>
      <c r="I431" s="158">
        <v>0</v>
      </c>
      <c r="J431" s="158"/>
      <c r="K431" s="158">
        <v>203.29</v>
      </c>
      <c r="L431" s="158"/>
      <c r="M431" s="158">
        <v>0</v>
      </c>
      <c r="N431" s="158"/>
      <c r="O431" s="158">
        <v>409.9</v>
      </c>
      <c r="P431" s="158"/>
      <c r="Q431" s="158">
        <v>0</v>
      </c>
      <c r="R431" s="158"/>
      <c r="S431" s="158">
        <v>0</v>
      </c>
      <c r="T431" s="158"/>
      <c r="U431" s="158">
        <v>0</v>
      </c>
      <c r="V431" s="158"/>
      <c r="W431" s="158">
        <v>0</v>
      </c>
      <c r="X431" s="158"/>
      <c r="Y431" s="158">
        <v>0</v>
      </c>
      <c r="Z431" s="158"/>
      <c r="AA431" s="158">
        <v>0</v>
      </c>
      <c r="AB431" s="158"/>
      <c r="AC431" s="158">
        <v>0</v>
      </c>
      <c r="AD431" s="158"/>
      <c r="AE431" s="158">
        <v>0</v>
      </c>
      <c r="AF431" s="158"/>
      <c r="AG431" s="158">
        <v>0</v>
      </c>
      <c r="AH431" s="158"/>
      <c r="AI431" s="158">
        <v>0</v>
      </c>
      <c r="AJ431" s="158"/>
      <c r="AK431" s="158">
        <v>0</v>
      </c>
      <c r="AL431" s="158"/>
      <c r="AM431" s="158">
        <v>0</v>
      </c>
      <c r="AN431" s="158"/>
      <c r="AO431" s="158">
        <v>0</v>
      </c>
      <c r="AP431" s="158"/>
      <c r="AQ431" s="158">
        <v>0</v>
      </c>
      <c r="AR431" s="158"/>
      <c r="AS431" s="158">
        <v>0</v>
      </c>
      <c r="AT431" s="158"/>
      <c r="AU431" s="158">
        <v>0</v>
      </c>
      <c r="AV431" s="158"/>
      <c r="AW431" s="158">
        <v>0</v>
      </c>
      <c r="AX431" s="158"/>
      <c r="AY431" s="158">
        <v>0</v>
      </c>
      <c r="AZ431" s="158"/>
      <c r="BA431" s="158">
        <v>0</v>
      </c>
      <c r="BB431" s="158"/>
      <c r="BC431" s="158">
        <v>0</v>
      </c>
      <c r="BD431" s="158"/>
      <c r="BE431" s="158">
        <v>0</v>
      </c>
      <c r="BF431" s="158"/>
      <c r="BG431" s="158">
        <v>0</v>
      </c>
      <c r="BH431" s="158"/>
      <c r="BI431" s="158">
        <v>0</v>
      </c>
      <c r="BJ431" s="158"/>
      <c r="BK431" s="158">
        <v>0</v>
      </c>
      <c r="BL431" s="158"/>
      <c r="BM431" s="158">
        <v>0</v>
      </c>
      <c r="BN431" s="158"/>
      <c r="BO431" s="158">
        <v>0</v>
      </c>
      <c r="BP431" s="158"/>
      <c r="BQ431" s="158">
        <v>0</v>
      </c>
      <c r="BR431" s="158"/>
      <c r="BS431" s="158">
        <v>0</v>
      </c>
      <c r="BT431" s="158"/>
    </row>
    <row r="432" spans="1:72" x14ac:dyDescent="0.2">
      <c r="A432" s="123" t="s">
        <v>1114</v>
      </c>
      <c r="B432" s="124" t="s">
        <v>1416</v>
      </c>
      <c r="C432" s="158">
        <v>0</v>
      </c>
      <c r="D432" s="158"/>
      <c r="E432" s="158">
        <v>0</v>
      </c>
      <c r="F432" s="158"/>
      <c r="G432" s="158">
        <v>0</v>
      </c>
      <c r="H432" s="158"/>
      <c r="I432" s="158">
        <v>0</v>
      </c>
      <c r="J432" s="158"/>
      <c r="K432" s="158">
        <v>0</v>
      </c>
      <c r="L432" s="158"/>
      <c r="M432" s="158">
        <v>0</v>
      </c>
      <c r="N432" s="158"/>
      <c r="O432" s="158">
        <v>0</v>
      </c>
      <c r="P432" s="158"/>
      <c r="Q432" s="158">
        <v>0</v>
      </c>
      <c r="R432" s="158"/>
      <c r="S432" s="158">
        <v>0</v>
      </c>
      <c r="T432" s="158"/>
      <c r="U432" s="158">
        <v>0</v>
      </c>
      <c r="V432" s="158"/>
      <c r="W432" s="158">
        <v>0</v>
      </c>
      <c r="X432" s="158"/>
      <c r="Y432" s="158">
        <v>0</v>
      </c>
      <c r="Z432" s="158"/>
      <c r="AA432" s="158">
        <v>3950</v>
      </c>
      <c r="AB432" s="158"/>
      <c r="AC432" s="158">
        <v>0</v>
      </c>
      <c r="AD432" s="158"/>
      <c r="AE432" s="158">
        <v>0</v>
      </c>
      <c r="AF432" s="158"/>
      <c r="AG432" s="158">
        <v>0</v>
      </c>
      <c r="AH432" s="158"/>
      <c r="AI432" s="158">
        <v>0</v>
      </c>
      <c r="AJ432" s="158"/>
      <c r="AK432" s="158">
        <v>0</v>
      </c>
      <c r="AL432" s="158"/>
      <c r="AM432" s="158">
        <v>0</v>
      </c>
      <c r="AN432" s="158"/>
      <c r="AO432" s="158">
        <v>0</v>
      </c>
      <c r="AP432" s="158"/>
      <c r="AQ432" s="158">
        <v>0</v>
      </c>
      <c r="AR432" s="158"/>
      <c r="AS432" s="158">
        <v>28934</v>
      </c>
      <c r="AT432" s="158"/>
      <c r="AU432" s="158">
        <v>5535</v>
      </c>
      <c r="AV432" s="158"/>
      <c r="AW432" s="158">
        <v>0</v>
      </c>
      <c r="AX432" s="158"/>
      <c r="AY432" s="158">
        <v>0</v>
      </c>
      <c r="AZ432" s="158"/>
      <c r="BA432" s="158">
        <v>0</v>
      </c>
      <c r="BB432" s="158"/>
      <c r="BC432" s="158">
        <v>0</v>
      </c>
      <c r="BD432" s="158"/>
      <c r="BE432" s="158">
        <v>0</v>
      </c>
      <c r="BF432" s="158"/>
      <c r="BG432" s="158">
        <v>0</v>
      </c>
      <c r="BH432" s="158"/>
      <c r="BI432" s="158">
        <v>0</v>
      </c>
      <c r="BJ432" s="158"/>
      <c r="BK432" s="158">
        <v>0</v>
      </c>
      <c r="BL432" s="158"/>
      <c r="BM432" s="158">
        <v>0</v>
      </c>
      <c r="BN432" s="158"/>
      <c r="BO432" s="158">
        <v>0</v>
      </c>
      <c r="BP432" s="158"/>
      <c r="BQ432" s="158">
        <v>0</v>
      </c>
      <c r="BR432" s="158"/>
      <c r="BS432" s="158">
        <v>0</v>
      </c>
      <c r="BT432" s="158"/>
    </row>
    <row r="433" spans="1:72" x14ac:dyDescent="0.2">
      <c r="A433" s="123" t="s">
        <v>1112</v>
      </c>
      <c r="B433" s="124" t="s">
        <v>1417</v>
      </c>
      <c r="C433" s="158">
        <v>0</v>
      </c>
      <c r="D433" s="158"/>
      <c r="E433" s="158">
        <v>0</v>
      </c>
      <c r="F433" s="158"/>
      <c r="G433" s="158">
        <v>0</v>
      </c>
      <c r="H433" s="158"/>
      <c r="I433" s="158">
        <v>0</v>
      </c>
      <c r="J433" s="158"/>
      <c r="K433" s="158">
        <v>0</v>
      </c>
      <c r="L433" s="158"/>
      <c r="M433" s="158">
        <v>0</v>
      </c>
      <c r="N433" s="158"/>
      <c r="O433" s="158">
        <v>0</v>
      </c>
      <c r="P433" s="158"/>
      <c r="Q433" s="158">
        <v>0</v>
      </c>
      <c r="R433" s="158"/>
      <c r="S433" s="158">
        <v>0</v>
      </c>
      <c r="T433" s="158"/>
      <c r="U433" s="158">
        <v>0</v>
      </c>
      <c r="V433" s="158"/>
      <c r="W433" s="158">
        <v>0</v>
      </c>
      <c r="X433" s="158"/>
      <c r="Y433" s="158">
        <v>0</v>
      </c>
      <c r="Z433" s="158"/>
      <c r="AA433" s="158">
        <v>0</v>
      </c>
      <c r="AB433" s="158"/>
      <c r="AC433" s="158">
        <v>0</v>
      </c>
      <c r="AD433" s="158"/>
      <c r="AE433" s="158">
        <v>0</v>
      </c>
      <c r="AF433" s="158"/>
      <c r="AG433" s="158">
        <v>0</v>
      </c>
      <c r="AH433" s="158"/>
      <c r="AI433" s="158">
        <v>0</v>
      </c>
      <c r="AJ433" s="158"/>
      <c r="AK433" s="158">
        <v>625</v>
      </c>
      <c r="AL433" s="158"/>
      <c r="AM433" s="158">
        <v>0</v>
      </c>
      <c r="AN433" s="158"/>
      <c r="AO433" s="158">
        <v>0</v>
      </c>
      <c r="AP433" s="158"/>
      <c r="AQ433" s="158">
        <v>0</v>
      </c>
      <c r="AR433" s="158"/>
      <c r="AS433" s="158">
        <v>0</v>
      </c>
      <c r="AT433" s="158"/>
      <c r="AU433" s="158">
        <v>0</v>
      </c>
      <c r="AV433" s="158"/>
      <c r="AW433" s="158">
        <v>0</v>
      </c>
      <c r="AX433" s="158"/>
      <c r="AY433" s="158">
        <v>0</v>
      </c>
      <c r="AZ433" s="158"/>
      <c r="BA433" s="158">
        <v>0</v>
      </c>
      <c r="BB433" s="158"/>
      <c r="BC433" s="158">
        <v>0</v>
      </c>
      <c r="BD433" s="158"/>
      <c r="BE433" s="158">
        <v>0</v>
      </c>
      <c r="BF433" s="158"/>
      <c r="BG433" s="158">
        <v>0</v>
      </c>
      <c r="BH433" s="158"/>
      <c r="BI433" s="158">
        <v>0</v>
      </c>
      <c r="BJ433" s="158"/>
      <c r="BK433" s="158">
        <v>0</v>
      </c>
      <c r="BL433" s="158"/>
      <c r="BM433" s="158">
        <v>0</v>
      </c>
      <c r="BN433" s="158"/>
      <c r="BO433" s="158">
        <v>0</v>
      </c>
      <c r="BP433" s="158"/>
      <c r="BQ433" s="158">
        <v>0</v>
      </c>
      <c r="BR433" s="158"/>
      <c r="BS433" s="158">
        <v>0</v>
      </c>
      <c r="BT433" s="158"/>
    </row>
    <row r="434" spans="1:72" x14ac:dyDescent="0.2">
      <c r="A434" s="123" t="s">
        <v>415</v>
      </c>
      <c r="B434" s="124" t="s">
        <v>703</v>
      </c>
      <c r="C434" s="158">
        <v>0</v>
      </c>
      <c r="D434" s="158"/>
      <c r="E434" s="158">
        <v>0</v>
      </c>
      <c r="F434" s="158"/>
      <c r="G434" s="158">
        <v>0</v>
      </c>
      <c r="H434" s="158"/>
      <c r="I434" s="158">
        <v>0</v>
      </c>
      <c r="J434" s="158"/>
      <c r="K434" s="158">
        <v>0</v>
      </c>
      <c r="L434" s="158"/>
      <c r="M434" s="158">
        <v>0</v>
      </c>
      <c r="N434" s="158"/>
      <c r="O434" s="158">
        <v>14675</v>
      </c>
      <c r="P434" s="158"/>
      <c r="Q434" s="158">
        <v>231.71</v>
      </c>
      <c r="R434" s="158"/>
      <c r="S434" s="158">
        <v>1008</v>
      </c>
      <c r="T434" s="158"/>
      <c r="U434" s="158">
        <v>0</v>
      </c>
      <c r="V434" s="158"/>
      <c r="W434" s="158">
        <v>0</v>
      </c>
      <c r="X434" s="158"/>
      <c r="Y434" s="158">
        <v>0</v>
      </c>
      <c r="Z434" s="158"/>
      <c r="AA434" s="158">
        <v>0</v>
      </c>
      <c r="AB434" s="158"/>
      <c r="AC434" s="158">
        <v>0</v>
      </c>
      <c r="AD434" s="158"/>
      <c r="AE434" s="158">
        <v>0</v>
      </c>
      <c r="AF434" s="158"/>
      <c r="AG434" s="158">
        <v>0</v>
      </c>
      <c r="AH434" s="158"/>
      <c r="AI434" s="158">
        <v>0</v>
      </c>
      <c r="AJ434" s="158"/>
      <c r="AK434" s="158">
        <v>0</v>
      </c>
      <c r="AL434" s="158"/>
      <c r="AM434" s="158">
        <v>0</v>
      </c>
      <c r="AN434" s="158"/>
      <c r="AO434" s="158">
        <v>-1400</v>
      </c>
      <c r="AP434" s="158"/>
      <c r="AQ434" s="158">
        <v>0</v>
      </c>
      <c r="AR434" s="158"/>
      <c r="AS434" s="158">
        <v>1132.3</v>
      </c>
      <c r="AT434" s="158"/>
      <c r="AU434" s="158">
        <v>0</v>
      </c>
      <c r="AV434" s="158"/>
      <c r="AW434" s="158">
        <v>0</v>
      </c>
      <c r="AX434" s="158"/>
      <c r="AY434" s="158">
        <v>0</v>
      </c>
      <c r="AZ434" s="158"/>
      <c r="BA434" s="158">
        <v>861.27</v>
      </c>
      <c r="BB434" s="158"/>
      <c r="BC434" s="158">
        <v>0</v>
      </c>
      <c r="BD434" s="158"/>
      <c r="BE434" s="158">
        <v>0</v>
      </c>
      <c r="BF434" s="158"/>
      <c r="BG434" s="158">
        <v>0</v>
      </c>
      <c r="BH434" s="158"/>
      <c r="BI434" s="158">
        <v>0</v>
      </c>
      <c r="BJ434" s="158"/>
      <c r="BK434" s="158">
        <v>0</v>
      </c>
      <c r="BL434" s="158"/>
      <c r="BM434" s="158">
        <v>0</v>
      </c>
      <c r="BN434" s="158"/>
      <c r="BO434" s="158">
        <v>0</v>
      </c>
      <c r="BP434" s="158"/>
      <c r="BQ434" s="158">
        <v>0</v>
      </c>
      <c r="BR434" s="158"/>
      <c r="BS434" s="158">
        <v>0</v>
      </c>
      <c r="BT434" s="158"/>
    </row>
    <row r="435" spans="1:72" x14ac:dyDescent="0.2">
      <c r="A435" s="123" t="s">
        <v>503</v>
      </c>
      <c r="B435" s="124" t="s">
        <v>702</v>
      </c>
      <c r="C435" s="158">
        <v>0</v>
      </c>
      <c r="D435" s="158"/>
      <c r="E435" s="158">
        <v>-1233.3599999999999</v>
      </c>
      <c r="F435" s="158"/>
      <c r="G435" s="158">
        <v>0</v>
      </c>
      <c r="H435" s="158"/>
      <c r="I435" s="158">
        <v>0</v>
      </c>
      <c r="J435" s="158"/>
      <c r="K435" s="158">
        <v>1127.81</v>
      </c>
      <c r="L435" s="158"/>
      <c r="M435" s="158">
        <v>0</v>
      </c>
      <c r="N435" s="158"/>
      <c r="O435" s="158">
        <v>317</v>
      </c>
      <c r="P435" s="158"/>
      <c r="Q435" s="158">
        <v>0</v>
      </c>
      <c r="R435" s="158"/>
      <c r="S435" s="158">
        <v>0</v>
      </c>
      <c r="T435" s="158"/>
      <c r="U435" s="158">
        <v>0</v>
      </c>
      <c r="V435" s="158"/>
      <c r="W435" s="158">
        <v>0</v>
      </c>
      <c r="X435" s="158"/>
      <c r="Y435" s="158">
        <v>0</v>
      </c>
      <c r="Z435" s="158"/>
      <c r="AA435" s="158">
        <v>0</v>
      </c>
      <c r="AB435" s="158"/>
      <c r="AC435" s="158">
        <v>0</v>
      </c>
      <c r="AD435" s="158"/>
      <c r="AE435" s="158">
        <v>0</v>
      </c>
      <c r="AF435" s="158"/>
      <c r="AG435" s="158">
        <v>0</v>
      </c>
      <c r="AH435" s="158"/>
      <c r="AI435" s="158">
        <v>0</v>
      </c>
      <c r="AJ435" s="158"/>
      <c r="AK435" s="158">
        <v>0</v>
      </c>
      <c r="AL435" s="158"/>
      <c r="AM435" s="158">
        <v>0</v>
      </c>
      <c r="AN435" s="158"/>
      <c r="AO435" s="158">
        <v>0</v>
      </c>
      <c r="AP435" s="158"/>
      <c r="AQ435" s="158">
        <v>0</v>
      </c>
      <c r="AR435" s="158"/>
      <c r="AS435" s="158">
        <v>0</v>
      </c>
      <c r="AT435" s="158"/>
      <c r="AU435" s="158">
        <v>0</v>
      </c>
      <c r="AV435" s="158"/>
      <c r="AW435" s="158">
        <v>0</v>
      </c>
      <c r="AX435" s="158"/>
      <c r="AY435" s="158">
        <v>0</v>
      </c>
      <c r="AZ435" s="158"/>
      <c r="BA435" s="158">
        <v>0</v>
      </c>
      <c r="BB435" s="158"/>
      <c r="BC435" s="158">
        <v>0</v>
      </c>
      <c r="BD435" s="158"/>
      <c r="BE435" s="158">
        <v>0</v>
      </c>
      <c r="BF435" s="158"/>
      <c r="BG435" s="158">
        <v>-0.33</v>
      </c>
      <c r="BH435" s="158"/>
      <c r="BI435" s="158">
        <v>0</v>
      </c>
      <c r="BJ435" s="158"/>
      <c r="BK435" s="158">
        <v>0</v>
      </c>
      <c r="BL435" s="158"/>
      <c r="BM435" s="158">
        <v>0</v>
      </c>
      <c r="BN435" s="158"/>
      <c r="BO435" s="158">
        <v>0</v>
      </c>
      <c r="BP435" s="158"/>
      <c r="BQ435" s="158">
        <v>0</v>
      </c>
      <c r="BR435" s="158"/>
      <c r="BS435" s="158">
        <v>0</v>
      </c>
      <c r="BT435" s="158"/>
    </row>
    <row r="436" spans="1:72" x14ac:dyDescent="0.2">
      <c r="A436" s="123" t="s">
        <v>416</v>
      </c>
      <c r="B436" s="124" t="s">
        <v>701</v>
      </c>
      <c r="C436" s="158">
        <v>0</v>
      </c>
      <c r="D436" s="158"/>
      <c r="E436" s="158">
        <v>0</v>
      </c>
      <c r="F436" s="158"/>
      <c r="G436" s="158">
        <v>0</v>
      </c>
      <c r="H436" s="158"/>
      <c r="I436" s="158">
        <v>0</v>
      </c>
      <c r="J436" s="158"/>
      <c r="K436" s="158">
        <v>0</v>
      </c>
      <c r="L436" s="158"/>
      <c r="M436" s="158">
        <v>0</v>
      </c>
      <c r="N436" s="158"/>
      <c r="O436" s="158">
        <v>0</v>
      </c>
      <c r="P436" s="158"/>
      <c r="Q436" s="158">
        <v>0</v>
      </c>
      <c r="R436" s="158"/>
      <c r="S436" s="158">
        <v>0</v>
      </c>
      <c r="T436" s="158"/>
      <c r="U436" s="158">
        <v>0</v>
      </c>
      <c r="V436" s="158"/>
      <c r="W436" s="158">
        <v>0</v>
      </c>
      <c r="X436" s="158"/>
      <c r="Y436" s="158">
        <v>0</v>
      </c>
      <c r="Z436" s="158"/>
      <c r="AA436" s="158">
        <v>0</v>
      </c>
      <c r="AB436" s="158"/>
      <c r="AC436" s="158">
        <v>0</v>
      </c>
      <c r="AD436" s="158"/>
      <c r="AE436" s="158">
        <v>0</v>
      </c>
      <c r="AF436" s="158"/>
      <c r="AG436" s="158">
        <v>0</v>
      </c>
      <c r="AH436" s="158"/>
      <c r="AI436" s="158">
        <v>2940</v>
      </c>
      <c r="AJ436" s="158"/>
      <c r="AK436" s="158">
        <v>0</v>
      </c>
      <c r="AL436" s="158"/>
      <c r="AM436" s="158">
        <v>0</v>
      </c>
      <c r="AN436" s="158"/>
      <c r="AO436" s="158">
        <v>0</v>
      </c>
      <c r="AP436" s="158"/>
      <c r="AQ436" s="158">
        <v>0</v>
      </c>
      <c r="AR436" s="158"/>
      <c r="AS436" s="158">
        <v>0</v>
      </c>
      <c r="AT436" s="158"/>
      <c r="AU436" s="158">
        <v>-218</v>
      </c>
      <c r="AV436" s="158"/>
      <c r="AW436" s="158">
        <v>0</v>
      </c>
      <c r="AX436" s="158"/>
      <c r="AY436" s="158">
        <v>0</v>
      </c>
      <c r="AZ436" s="158"/>
      <c r="BA436" s="158">
        <v>0</v>
      </c>
      <c r="BB436" s="158"/>
      <c r="BC436" s="158">
        <v>1500</v>
      </c>
      <c r="BD436" s="158"/>
      <c r="BE436" s="158">
        <v>2400</v>
      </c>
      <c r="BF436" s="158"/>
      <c r="BG436" s="158">
        <v>848</v>
      </c>
      <c r="BH436" s="158"/>
      <c r="BI436" s="158">
        <v>0</v>
      </c>
      <c r="BJ436" s="158"/>
      <c r="BK436" s="158">
        <v>0</v>
      </c>
      <c r="BL436" s="158"/>
      <c r="BM436" s="158">
        <v>0</v>
      </c>
      <c r="BN436" s="158"/>
      <c r="BO436" s="158">
        <v>0</v>
      </c>
      <c r="BP436" s="158"/>
      <c r="BQ436" s="158">
        <v>0</v>
      </c>
      <c r="BR436" s="158"/>
      <c r="BS436" s="158">
        <v>0</v>
      </c>
      <c r="BT436" s="158"/>
    </row>
    <row r="437" spans="1:72" x14ac:dyDescent="0.2">
      <c r="A437" s="123" t="s">
        <v>417</v>
      </c>
      <c r="B437" s="124" t="s">
        <v>700</v>
      </c>
      <c r="C437" s="158">
        <v>0</v>
      </c>
      <c r="D437" s="158"/>
      <c r="E437" s="158">
        <v>13207.86</v>
      </c>
      <c r="F437" s="158"/>
      <c r="G437" s="158">
        <v>0</v>
      </c>
      <c r="H437" s="158"/>
      <c r="I437" s="158">
        <v>0</v>
      </c>
      <c r="J437" s="158"/>
      <c r="K437" s="158">
        <v>910.88</v>
      </c>
      <c r="L437" s="158"/>
      <c r="M437" s="158">
        <v>0</v>
      </c>
      <c r="N437" s="158"/>
      <c r="O437" s="158">
        <v>0</v>
      </c>
      <c r="P437" s="158"/>
      <c r="Q437" s="158">
        <v>0</v>
      </c>
      <c r="R437" s="158"/>
      <c r="S437" s="158">
        <v>1477.27</v>
      </c>
      <c r="T437" s="158"/>
      <c r="U437" s="158">
        <v>692.82</v>
      </c>
      <c r="V437" s="158"/>
      <c r="W437" s="158">
        <v>0</v>
      </c>
      <c r="X437" s="158"/>
      <c r="Y437" s="158">
        <v>0</v>
      </c>
      <c r="Z437" s="158"/>
      <c r="AA437" s="158">
        <v>671.06</v>
      </c>
      <c r="AB437" s="158"/>
      <c r="AC437" s="158">
        <v>0</v>
      </c>
      <c r="AD437" s="158"/>
      <c r="AE437" s="158">
        <v>0</v>
      </c>
      <c r="AF437" s="158"/>
      <c r="AG437" s="158">
        <v>2774.8</v>
      </c>
      <c r="AH437" s="158"/>
      <c r="AI437" s="158">
        <v>0</v>
      </c>
      <c r="AJ437" s="158"/>
      <c r="AK437" s="158">
        <v>190.8</v>
      </c>
      <c r="AL437" s="158"/>
      <c r="AM437" s="158">
        <v>558.75</v>
      </c>
      <c r="AN437" s="158"/>
      <c r="AO437" s="158">
        <v>1849.96</v>
      </c>
      <c r="AP437" s="158"/>
      <c r="AQ437" s="158">
        <v>440</v>
      </c>
      <c r="AR437" s="158"/>
      <c r="AS437" s="158">
        <v>673.94</v>
      </c>
      <c r="AT437" s="158"/>
      <c r="AU437" s="158">
        <v>0</v>
      </c>
      <c r="AV437" s="158"/>
      <c r="AW437" s="158">
        <v>0</v>
      </c>
      <c r="AX437" s="158"/>
      <c r="AY437" s="158">
        <v>495.88</v>
      </c>
      <c r="AZ437" s="158"/>
      <c r="BA437" s="158">
        <v>0</v>
      </c>
      <c r="BB437" s="158"/>
      <c r="BC437" s="158">
        <v>0</v>
      </c>
      <c r="BD437" s="158"/>
      <c r="BE437" s="158">
        <v>0</v>
      </c>
      <c r="BF437" s="158"/>
      <c r="BG437" s="158">
        <v>0</v>
      </c>
      <c r="BH437" s="158"/>
      <c r="BI437" s="158">
        <v>0</v>
      </c>
      <c r="BJ437" s="158"/>
      <c r="BK437" s="158">
        <v>0</v>
      </c>
      <c r="BL437" s="158"/>
      <c r="BM437" s="158">
        <v>0</v>
      </c>
      <c r="BN437" s="158"/>
      <c r="BO437" s="158">
        <v>275.39999999999998</v>
      </c>
      <c r="BP437" s="158"/>
      <c r="BQ437" s="158">
        <v>872.95</v>
      </c>
      <c r="BR437" s="158"/>
      <c r="BS437" s="158">
        <v>-42</v>
      </c>
      <c r="BT437" s="158"/>
    </row>
    <row r="438" spans="1:72" x14ac:dyDescent="0.2">
      <c r="A438" s="123" t="s">
        <v>1104</v>
      </c>
      <c r="B438" s="124" t="s">
        <v>1418</v>
      </c>
      <c r="C438" s="158">
        <v>0</v>
      </c>
      <c r="D438" s="158"/>
      <c r="E438" s="158">
        <v>0</v>
      </c>
      <c r="F438" s="158"/>
      <c r="G438" s="158">
        <v>0</v>
      </c>
      <c r="H438" s="158"/>
      <c r="I438" s="158">
        <v>0</v>
      </c>
      <c r="J438" s="158"/>
      <c r="K438" s="158">
        <v>0</v>
      </c>
      <c r="L438" s="158"/>
      <c r="M438" s="158">
        <v>0</v>
      </c>
      <c r="N438" s="158"/>
      <c r="O438" s="158">
        <v>0</v>
      </c>
      <c r="P438" s="158"/>
      <c r="Q438" s="158">
        <v>0</v>
      </c>
      <c r="R438" s="158"/>
      <c r="S438" s="158">
        <v>0</v>
      </c>
      <c r="T438" s="158"/>
      <c r="U438" s="158">
        <v>0</v>
      </c>
      <c r="V438" s="158"/>
      <c r="W438" s="158">
        <v>0</v>
      </c>
      <c r="X438" s="158"/>
      <c r="Y438" s="158">
        <v>0</v>
      </c>
      <c r="Z438" s="158"/>
      <c r="AA438" s="158">
        <v>0</v>
      </c>
      <c r="AB438" s="158"/>
      <c r="AC438" s="158">
        <v>0</v>
      </c>
      <c r="AD438" s="158"/>
      <c r="AE438" s="158">
        <v>0</v>
      </c>
      <c r="AF438" s="158"/>
      <c r="AG438" s="158">
        <v>0</v>
      </c>
      <c r="AH438" s="158"/>
      <c r="AI438" s="158">
        <v>0</v>
      </c>
      <c r="AJ438" s="158"/>
      <c r="AK438" s="158">
        <v>0</v>
      </c>
      <c r="AL438" s="158"/>
      <c r="AM438" s="158">
        <v>0</v>
      </c>
      <c r="AN438" s="158"/>
      <c r="AO438" s="158">
        <v>0</v>
      </c>
      <c r="AP438" s="158"/>
      <c r="AQ438" s="158">
        <v>0</v>
      </c>
      <c r="AR438" s="158"/>
      <c r="AS438" s="158">
        <v>0</v>
      </c>
      <c r="AT438" s="158"/>
      <c r="AU438" s="158">
        <v>0</v>
      </c>
      <c r="AV438" s="158"/>
      <c r="AW438" s="158">
        <v>0</v>
      </c>
      <c r="AX438" s="158"/>
      <c r="AY438" s="158">
        <v>0</v>
      </c>
      <c r="AZ438" s="158"/>
      <c r="BA438" s="158">
        <v>0</v>
      </c>
      <c r="BB438" s="158"/>
      <c r="BC438" s="158">
        <v>1200</v>
      </c>
      <c r="BD438" s="158"/>
      <c r="BE438" s="158">
        <v>0</v>
      </c>
      <c r="BF438" s="158"/>
      <c r="BG438" s="158">
        <v>0</v>
      </c>
      <c r="BH438" s="158"/>
      <c r="BI438" s="158">
        <v>0</v>
      </c>
      <c r="BJ438" s="158"/>
      <c r="BK438" s="158">
        <v>0</v>
      </c>
      <c r="BL438" s="158"/>
      <c r="BM438" s="158">
        <v>0</v>
      </c>
      <c r="BN438" s="158"/>
      <c r="BO438" s="158">
        <v>0</v>
      </c>
      <c r="BP438" s="158"/>
      <c r="BQ438" s="158">
        <v>0</v>
      </c>
      <c r="BR438" s="158"/>
      <c r="BS438" s="158">
        <v>0</v>
      </c>
      <c r="BT438" s="158"/>
    </row>
    <row r="439" spans="1:72" x14ac:dyDescent="0.2">
      <c r="A439" s="123" t="s">
        <v>1102</v>
      </c>
      <c r="B439" s="124" t="s">
        <v>1419</v>
      </c>
      <c r="C439" s="158">
        <v>0</v>
      </c>
      <c r="D439" s="158"/>
      <c r="E439" s="158">
        <v>0</v>
      </c>
      <c r="F439" s="158"/>
      <c r="G439" s="158">
        <v>0</v>
      </c>
      <c r="H439" s="158"/>
      <c r="I439" s="158">
        <v>0</v>
      </c>
      <c r="J439" s="158"/>
      <c r="K439" s="158">
        <v>0</v>
      </c>
      <c r="L439" s="158"/>
      <c r="M439" s="158">
        <v>0</v>
      </c>
      <c r="N439" s="158"/>
      <c r="O439" s="158">
        <v>0</v>
      </c>
      <c r="P439" s="158"/>
      <c r="Q439" s="158">
        <v>0</v>
      </c>
      <c r="R439" s="158"/>
      <c r="S439" s="158">
        <v>0</v>
      </c>
      <c r="T439" s="158"/>
      <c r="U439" s="158">
        <v>0</v>
      </c>
      <c r="V439" s="158"/>
      <c r="W439" s="158">
        <v>0</v>
      </c>
      <c r="X439" s="158"/>
      <c r="Y439" s="158">
        <v>0</v>
      </c>
      <c r="Z439" s="158"/>
      <c r="AA439" s="158">
        <v>0</v>
      </c>
      <c r="AB439" s="158"/>
      <c r="AC439" s="158">
        <v>0</v>
      </c>
      <c r="AD439" s="158"/>
      <c r="AE439" s="158">
        <v>0</v>
      </c>
      <c r="AF439" s="158"/>
      <c r="AG439" s="158">
        <v>0</v>
      </c>
      <c r="AH439" s="158"/>
      <c r="AI439" s="158">
        <v>0</v>
      </c>
      <c r="AJ439" s="158"/>
      <c r="AK439" s="158">
        <v>0</v>
      </c>
      <c r="AL439" s="158"/>
      <c r="AM439" s="158">
        <v>0</v>
      </c>
      <c r="AN439" s="158"/>
      <c r="AO439" s="158">
        <v>0</v>
      </c>
      <c r="AP439" s="158"/>
      <c r="AQ439" s="158">
        <v>104.18</v>
      </c>
      <c r="AR439" s="158"/>
      <c r="AS439" s="158">
        <v>0</v>
      </c>
      <c r="AT439" s="158"/>
      <c r="AU439" s="158">
        <v>0</v>
      </c>
      <c r="AV439" s="158"/>
      <c r="AW439" s="158">
        <v>0</v>
      </c>
      <c r="AX439" s="158"/>
      <c r="AY439" s="158">
        <v>0</v>
      </c>
      <c r="AZ439" s="158"/>
      <c r="BA439" s="158">
        <v>0</v>
      </c>
      <c r="BB439" s="158"/>
      <c r="BC439" s="158">
        <v>0</v>
      </c>
      <c r="BD439" s="158"/>
      <c r="BE439" s="158">
        <v>0</v>
      </c>
      <c r="BF439" s="158"/>
      <c r="BG439" s="158">
        <v>0</v>
      </c>
      <c r="BH439" s="158"/>
      <c r="BI439" s="158">
        <v>0</v>
      </c>
      <c r="BJ439" s="158"/>
      <c r="BK439" s="158">
        <v>0</v>
      </c>
      <c r="BL439" s="158"/>
      <c r="BM439" s="158">
        <v>0</v>
      </c>
      <c r="BN439" s="158"/>
      <c r="BO439" s="158">
        <v>0</v>
      </c>
      <c r="BP439" s="158"/>
      <c r="BQ439" s="158">
        <v>0</v>
      </c>
      <c r="BR439" s="158"/>
      <c r="BS439" s="158">
        <v>0</v>
      </c>
      <c r="BT439" s="158"/>
    </row>
    <row r="440" spans="1:72" x14ac:dyDescent="0.2">
      <c r="A440" s="123" t="s">
        <v>593</v>
      </c>
      <c r="B440" s="124" t="s">
        <v>699</v>
      </c>
      <c r="C440" s="158">
        <v>0</v>
      </c>
      <c r="D440" s="158"/>
      <c r="E440" s="158">
        <v>0</v>
      </c>
      <c r="F440" s="158"/>
      <c r="G440" s="158">
        <v>0</v>
      </c>
      <c r="H440" s="158"/>
      <c r="I440" s="158">
        <v>0</v>
      </c>
      <c r="J440" s="158"/>
      <c r="K440" s="158">
        <v>0</v>
      </c>
      <c r="L440" s="158"/>
      <c r="M440" s="158">
        <v>203.84</v>
      </c>
      <c r="N440" s="158"/>
      <c r="O440" s="158">
        <v>0</v>
      </c>
      <c r="P440" s="158"/>
      <c r="Q440" s="158">
        <v>0</v>
      </c>
      <c r="R440" s="158"/>
      <c r="S440" s="158">
        <v>0</v>
      </c>
      <c r="T440" s="158"/>
      <c r="U440" s="158">
        <v>0</v>
      </c>
      <c r="V440" s="158"/>
      <c r="W440" s="158">
        <v>0</v>
      </c>
      <c r="X440" s="158"/>
      <c r="Y440" s="158">
        <v>0</v>
      </c>
      <c r="Z440" s="158"/>
      <c r="AA440" s="158">
        <v>0</v>
      </c>
      <c r="AB440" s="158"/>
      <c r="AC440" s="158">
        <v>0</v>
      </c>
      <c r="AD440" s="158"/>
      <c r="AE440" s="158">
        <v>0</v>
      </c>
      <c r="AF440" s="158"/>
      <c r="AG440" s="158">
        <v>0</v>
      </c>
      <c r="AH440" s="158"/>
      <c r="AI440" s="158">
        <v>0</v>
      </c>
      <c r="AJ440" s="158"/>
      <c r="AK440" s="158">
        <v>0</v>
      </c>
      <c r="AL440" s="158"/>
      <c r="AM440" s="158">
        <v>0</v>
      </c>
      <c r="AN440" s="158"/>
      <c r="AO440" s="158">
        <v>0</v>
      </c>
      <c r="AP440" s="158"/>
      <c r="AQ440" s="158">
        <v>0</v>
      </c>
      <c r="AR440" s="158"/>
      <c r="AS440" s="158">
        <v>0</v>
      </c>
      <c r="AT440" s="158"/>
      <c r="AU440" s="158">
        <v>0</v>
      </c>
      <c r="AV440" s="158"/>
      <c r="AW440" s="158">
        <v>0</v>
      </c>
      <c r="AX440" s="158"/>
      <c r="AY440" s="158">
        <v>0</v>
      </c>
      <c r="AZ440" s="158"/>
      <c r="BA440" s="158">
        <v>0</v>
      </c>
      <c r="BB440" s="158"/>
      <c r="BC440" s="158">
        <v>0</v>
      </c>
      <c r="BD440" s="158"/>
      <c r="BE440" s="158">
        <v>0</v>
      </c>
      <c r="BF440" s="158"/>
      <c r="BG440" s="158">
        <v>0</v>
      </c>
      <c r="BH440" s="158"/>
      <c r="BI440" s="158">
        <v>0</v>
      </c>
      <c r="BJ440" s="158"/>
      <c r="BK440" s="158">
        <v>0</v>
      </c>
      <c r="BL440" s="158"/>
      <c r="BM440" s="158">
        <v>0</v>
      </c>
      <c r="BN440" s="158"/>
      <c r="BO440" s="158">
        <v>0</v>
      </c>
      <c r="BP440" s="158"/>
      <c r="BQ440" s="158">
        <v>0</v>
      </c>
      <c r="BR440" s="158"/>
      <c r="BS440" s="158">
        <v>0</v>
      </c>
      <c r="BT440" s="158"/>
    </row>
    <row r="441" spans="1:72" x14ac:dyDescent="0.2">
      <c r="A441" s="123" t="s">
        <v>418</v>
      </c>
      <c r="B441" s="124" t="s">
        <v>698</v>
      </c>
      <c r="C441" s="158">
        <v>0</v>
      </c>
      <c r="D441" s="158"/>
      <c r="E441" s="158">
        <v>0</v>
      </c>
      <c r="F441" s="158"/>
      <c r="G441" s="158">
        <v>0</v>
      </c>
      <c r="H441" s="158"/>
      <c r="I441" s="158">
        <v>0</v>
      </c>
      <c r="J441" s="158"/>
      <c r="K441" s="158">
        <v>9775</v>
      </c>
      <c r="L441" s="158"/>
      <c r="M441" s="158">
        <v>0</v>
      </c>
      <c r="N441" s="158"/>
      <c r="O441" s="158">
        <v>0</v>
      </c>
      <c r="P441" s="158"/>
      <c r="Q441" s="158">
        <v>0</v>
      </c>
      <c r="R441" s="158"/>
      <c r="S441" s="158">
        <v>200</v>
      </c>
      <c r="T441" s="158"/>
      <c r="U441" s="158">
        <v>0</v>
      </c>
      <c r="V441" s="158"/>
      <c r="W441" s="158">
        <v>0</v>
      </c>
      <c r="X441" s="158"/>
      <c r="Y441" s="158">
        <v>0</v>
      </c>
      <c r="Z441" s="158"/>
      <c r="AA441" s="158">
        <v>0</v>
      </c>
      <c r="AB441" s="158"/>
      <c r="AC441" s="158">
        <v>0</v>
      </c>
      <c r="AD441" s="158"/>
      <c r="AE441" s="158">
        <v>1220.4000000000001</v>
      </c>
      <c r="AF441" s="158"/>
      <c r="AG441" s="158">
        <v>0</v>
      </c>
      <c r="AH441" s="158"/>
      <c r="AI441" s="158">
        <v>0</v>
      </c>
      <c r="AJ441" s="158"/>
      <c r="AK441" s="158">
        <v>0</v>
      </c>
      <c r="AL441" s="158"/>
      <c r="AM441" s="158">
        <v>0</v>
      </c>
      <c r="AN441" s="158"/>
      <c r="AO441" s="158">
        <v>0</v>
      </c>
      <c r="AP441" s="158"/>
      <c r="AQ441" s="158">
        <v>0</v>
      </c>
      <c r="AR441" s="158"/>
      <c r="AS441" s="158">
        <v>0</v>
      </c>
      <c r="AT441" s="158"/>
      <c r="AU441" s="158">
        <v>0</v>
      </c>
      <c r="AV441" s="158"/>
      <c r="AW441" s="158">
        <v>428.75</v>
      </c>
      <c r="AX441" s="158"/>
      <c r="AY441" s="158">
        <v>0</v>
      </c>
      <c r="AZ441" s="158"/>
      <c r="BA441" s="158">
        <v>1219.78</v>
      </c>
      <c r="BB441" s="158"/>
      <c r="BC441" s="158">
        <v>2817.24</v>
      </c>
      <c r="BD441" s="158"/>
      <c r="BE441" s="158">
        <v>0</v>
      </c>
      <c r="BF441" s="158"/>
      <c r="BG441" s="158">
        <v>0</v>
      </c>
      <c r="BH441" s="158"/>
      <c r="BI441" s="158">
        <v>0</v>
      </c>
      <c r="BJ441" s="158"/>
      <c r="BK441" s="158">
        <v>0</v>
      </c>
      <c r="BL441" s="158"/>
      <c r="BM441" s="158">
        <v>260.06</v>
      </c>
      <c r="BN441" s="158"/>
      <c r="BO441" s="158">
        <v>0</v>
      </c>
      <c r="BP441" s="158"/>
      <c r="BQ441" s="158">
        <v>0</v>
      </c>
      <c r="BR441" s="158"/>
      <c r="BS441" s="158">
        <v>498.3</v>
      </c>
      <c r="BT441" s="158"/>
    </row>
    <row r="442" spans="1:72" x14ac:dyDescent="0.2">
      <c r="A442" s="123" t="s">
        <v>697</v>
      </c>
      <c r="B442" s="124" t="s">
        <v>696</v>
      </c>
      <c r="C442" s="158">
        <v>370.5</v>
      </c>
      <c r="D442" s="158"/>
      <c r="E442" s="158">
        <v>0</v>
      </c>
      <c r="F442" s="158"/>
      <c r="G442" s="158">
        <v>452.77</v>
      </c>
      <c r="H442" s="158"/>
      <c r="I442" s="158">
        <v>0</v>
      </c>
      <c r="J442" s="158"/>
      <c r="K442" s="158">
        <v>0</v>
      </c>
      <c r="L442" s="158"/>
      <c r="M442" s="158">
        <v>0</v>
      </c>
      <c r="N442" s="158"/>
      <c r="O442" s="158">
        <v>0</v>
      </c>
      <c r="P442" s="158"/>
      <c r="Q442" s="158">
        <v>0</v>
      </c>
      <c r="R442" s="158"/>
      <c r="S442" s="158">
        <v>0</v>
      </c>
      <c r="T442" s="158"/>
      <c r="U442" s="158">
        <v>0</v>
      </c>
      <c r="V442" s="158"/>
      <c r="W442" s="158">
        <v>0</v>
      </c>
      <c r="X442" s="158"/>
      <c r="Y442" s="158">
        <v>0</v>
      </c>
      <c r="Z442" s="158"/>
      <c r="AA442" s="158">
        <v>0</v>
      </c>
      <c r="AB442" s="158"/>
      <c r="AC442" s="158">
        <v>0</v>
      </c>
      <c r="AD442" s="158"/>
      <c r="AE442" s="158">
        <v>0</v>
      </c>
      <c r="AF442" s="158"/>
      <c r="AG442" s="158">
        <v>0</v>
      </c>
      <c r="AH442" s="158"/>
      <c r="AI442" s="158">
        <v>0</v>
      </c>
      <c r="AJ442" s="158"/>
      <c r="AK442" s="158">
        <v>0</v>
      </c>
      <c r="AL442" s="158"/>
      <c r="AM442" s="158">
        <v>0</v>
      </c>
      <c r="AN442" s="158"/>
      <c r="AO442" s="158">
        <v>0</v>
      </c>
      <c r="AP442" s="158"/>
      <c r="AQ442" s="158">
        <v>0</v>
      </c>
      <c r="AR442" s="158"/>
      <c r="AS442" s="158">
        <v>0</v>
      </c>
      <c r="AT442" s="158"/>
      <c r="AU442" s="158">
        <v>0</v>
      </c>
      <c r="AV442" s="158"/>
      <c r="AW442" s="158">
        <v>0</v>
      </c>
      <c r="AX442" s="158"/>
      <c r="AY442" s="158">
        <v>0</v>
      </c>
      <c r="AZ442" s="158"/>
      <c r="BA442" s="158">
        <v>0</v>
      </c>
      <c r="BB442" s="158"/>
      <c r="BC442" s="158">
        <v>155.82</v>
      </c>
      <c r="BD442" s="158"/>
      <c r="BE442" s="158">
        <v>0</v>
      </c>
      <c r="BF442" s="158"/>
      <c r="BG442" s="158">
        <v>0</v>
      </c>
      <c r="BH442" s="158"/>
      <c r="BI442" s="158">
        <v>0</v>
      </c>
      <c r="BJ442" s="158"/>
      <c r="BK442" s="158">
        <v>0</v>
      </c>
      <c r="BL442" s="158"/>
      <c r="BM442" s="158">
        <v>0</v>
      </c>
      <c r="BN442" s="158"/>
      <c r="BO442" s="158">
        <v>0</v>
      </c>
      <c r="BP442" s="158"/>
      <c r="BQ442" s="158">
        <v>0</v>
      </c>
      <c r="BR442" s="158"/>
      <c r="BS442" s="158">
        <v>0</v>
      </c>
      <c r="BT442" s="158"/>
    </row>
    <row r="443" spans="1:72" x14ac:dyDescent="0.2">
      <c r="A443" s="123" t="s">
        <v>1095</v>
      </c>
      <c r="B443" s="124" t="s">
        <v>1420</v>
      </c>
      <c r="C443" s="158">
        <v>0</v>
      </c>
      <c r="D443" s="158"/>
      <c r="E443" s="158">
        <v>0</v>
      </c>
      <c r="F443" s="158"/>
      <c r="G443" s="158">
        <v>0</v>
      </c>
      <c r="H443" s="158"/>
      <c r="I443" s="158">
        <v>0</v>
      </c>
      <c r="J443" s="158"/>
      <c r="K443" s="158">
        <v>0</v>
      </c>
      <c r="L443" s="158"/>
      <c r="M443" s="158">
        <v>0</v>
      </c>
      <c r="N443" s="158"/>
      <c r="O443" s="158">
        <v>0</v>
      </c>
      <c r="P443" s="158"/>
      <c r="Q443" s="158">
        <v>0</v>
      </c>
      <c r="R443" s="158"/>
      <c r="S443" s="158">
        <v>0</v>
      </c>
      <c r="T443" s="158"/>
      <c r="U443" s="158">
        <v>0</v>
      </c>
      <c r="V443" s="158"/>
      <c r="W443" s="158">
        <v>0</v>
      </c>
      <c r="X443" s="158"/>
      <c r="Y443" s="158">
        <v>0</v>
      </c>
      <c r="Z443" s="158"/>
      <c r="AA443" s="158">
        <v>0</v>
      </c>
      <c r="AB443" s="158"/>
      <c r="AC443" s="158">
        <v>0</v>
      </c>
      <c r="AD443" s="158"/>
      <c r="AE443" s="158">
        <v>0</v>
      </c>
      <c r="AF443" s="158"/>
      <c r="AG443" s="158">
        <v>0</v>
      </c>
      <c r="AH443" s="158"/>
      <c r="AI443" s="158">
        <v>0</v>
      </c>
      <c r="AJ443" s="158"/>
      <c r="AK443" s="158">
        <v>0</v>
      </c>
      <c r="AL443" s="158"/>
      <c r="AM443" s="158">
        <v>0</v>
      </c>
      <c r="AN443" s="158"/>
      <c r="AO443" s="158">
        <v>0</v>
      </c>
      <c r="AP443" s="158"/>
      <c r="AQ443" s="158">
        <v>0</v>
      </c>
      <c r="AR443" s="158"/>
      <c r="AS443" s="158">
        <v>0</v>
      </c>
      <c r="AT443" s="158"/>
      <c r="AU443" s="158">
        <v>0</v>
      </c>
      <c r="AV443" s="158"/>
      <c r="AW443" s="158">
        <v>0</v>
      </c>
      <c r="AX443" s="158"/>
      <c r="AY443" s="158">
        <v>0</v>
      </c>
      <c r="AZ443" s="158"/>
      <c r="BA443" s="158">
        <v>0</v>
      </c>
      <c r="BB443" s="158"/>
      <c r="BC443" s="158">
        <v>0</v>
      </c>
      <c r="BD443" s="158"/>
      <c r="BE443" s="158">
        <v>0</v>
      </c>
      <c r="BF443" s="158"/>
      <c r="BG443" s="158">
        <v>0</v>
      </c>
      <c r="BH443" s="158"/>
      <c r="BI443" s="158">
        <v>0</v>
      </c>
      <c r="BJ443" s="158"/>
      <c r="BK443" s="158">
        <v>-298</v>
      </c>
      <c r="BL443" s="158"/>
      <c r="BM443" s="158">
        <v>0</v>
      </c>
      <c r="BN443" s="158"/>
      <c r="BO443" s="158">
        <v>0</v>
      </c>
      <c r="BP443" s="158"/>
      <c r="BQ443" s="158">
        <v>0</v>
      </c>
      <c r="BR443" s="158"/>
      <c r="BS443" s="158">
        <v>0</v>
      </c>
      <c r="BT443" s="158"/>
    </row>
    <row r="444" spans="1:72" x14ac:dyDescent="0.2">
      <c r="A444" s="123" t="s">
        <v>419</v>
      </c>
      <c r="B444" s="124" t="s">
        <v>695</v>
      </c>
      <c r="C444" s="158">
        <v>0</v>
      </c>
      <c r="D444" s="158"/>
      <c r="E444" s="158">
        <v>0</v>
      </c>
      <c r="F444" s="158"/>
      <c r="G444" s="158">
        <v>0</v>
      </c>
      <c r="H444" s="158"/>
      <c r="I444" s="158">
        <v>384.7</v>
      </c>
      <c r="J444" s="158"/>
      <c r="K444" s="158">
        <v>-402.68</v>
      </c>
      <c r="L444" s="158"/>
      <c r="M444" s="158">
        <v>14811.98</v>
      </c>
      <c r="N444" s="158"/>
      <c r="O444" s="158">
        <v>76.45</v>
      </c>
      <c r="P444" s="158"/>
      <c r="Q444" s="158">
        <v>0</v>
      </c>
      <c r="R444" s="158"/>
      <c r="S444" s="158">
        <v>0</v>
      </c>
      <c r="T444" s="158"/>
      <c r="U444" s="158">
        <v>0</v>
      </c>
      <c r="V444" s="158"/>
      <c r="W444" s="158">
        <v>126.53</v>
      </c>
      <c r="X444" s="158"/>
      <c r="Y444" s="158">
        <v>835</v>
      </c>
      <c r="Z444" s="158"/>
      <c r="AA444" s="158">
        <v>0</v>
      </c>
      <c r="AB444" s="158"/>
      <c r="AC444" s="158">
        <v>0</v>
      </c>
      <c r="AD444" s="158"/>
      <c r="AE444" s="158">
        <v>0</v>
      </c>
      <c r="AF444" s="158"/>
      <c r="AG444" s="158">
        <v>0</v>
      </c>
      <c r="AH444" s="158"/>
      <c r="AI444" s="158">
        <v>0</v>
      </c>
      <c r="AJ444" s="158"/>
      <c r="AK444" s="158">
        <v>0</v>
      </c>
      <c r="AL444" s="158"/>
      <c r="AM444" s="158">
        <v>0</v>
      </c>
      <c r="AN444" s="158"/>
      <c r="AO444" s="158">
        <v>0</v>
      </c>
      <c r="AP444" s="158"/>
      <c r="AQ444" s="158">
        <v>910.88</v>
      </c>
      <c r="AR444" s="158"/>
      <c r="AS444" s="158">
        <v>1418.2</v>
      </c>
      <c r="AT444" s="158"/>
      <c r="AU444" s="158">
        <v>0</v>
      </c>
      <c r="AV444" s="158"/>
      <c r="AW444" s="158">
        <v>0</v>
      </c>
      <c r="AX444" s="158"/>
      <c r="AY444" s="158">
        <v>0</v>
      </c>
      <c r="AZ444" s="158"/>
      <c r="BA444" s="158">
        <v>0</v>
      </c>
      <c r="BB444" s="158"/>
      <c r="BC444" s="158">
        <v>0</v>
      </c>
      <c r="BD444" s="158"/>
      <c r="BE444" s="158">
        <v>0</v>
      </c>
      <c r="BF444" s="158"/>
      <c r="BG444" s="158">
        <v>4297.5</v>
      </c>
      <c r="BH444" s="158"/>
      <c r="BI444" s="158">
        <v>0</v>
      </c>
      <c r="BJ444" s="158"/>
      <c r="BK444" s="158">
        <v>0</v>
      </c>
      <c r="BL444" s="158"/>
      <c r="BM444" s="158">
        <v>0</v>
      </c>
      <c r="BN444" s="158"/>
      <c r="BO444" s="158">
        <v>0</v>
      </c>
      <c r="BP444" s="158"/>
      <c r="BQ444" s="158">
        <v>0</v>
      </c>
      <c r="BR444" s="158"/>
      <c r="BS444" s="158">
        <v>0</v>
      </c>
      <c r="BT444" s="158"/>
    </row>
    <row r="445" spans="1:72" x14ac:dyDescent="0.2">
      <c r="A445" s="123" t="s">
        <v>504</v>
      </c>
      <c r="B445" s="124" t="s">
        <v>694</v>
      </c>
      <c r="C445" s="158">
        <v>0</v>
      </c>
      <c r="D445" s="158"/>
      <c r="E445" s="158">
        <v>0</v>
      </c>
      <c r="F445" s="158"/>
      <c r="G445" s="158">
        <v>0</v>
      </c>
      <c r="H445" s="158"/>
      <c r="I445" s="158">
        <v>0</v>
      </c>
      <c r="J445" s="158"/>
      <c r="K445" s="158">
        <v>160.37</v>
      </c>
      <c r="L445" s="158"/>
      <c r="M445" s="158">
        <v>0</v>
      </c>
      <c r="N445" s="158"/>
      <c r="O445" s="158">
        <v>188.91</v>
      </c>
      <c r="P445" s="158"/>
      <c r="Q445" s="158">
        <v>0</v>
      </c>
      <c r="R445" s="158"/>
      <c r="S445" s="158">
        <v>87.7</v>
      </c>
      <c r="T445" s="158"/>
      <c r="U445" s="158">
        <v>0</v>
      </c>
      <c r="V445" s="158"/>
      <c r="W445" s="158">
        <v>142.46</v>
      </c>
      <c r="X445" s="158"/>
      <c r="Y445" s="158">
        <v>0</v>
      </c>
      <c r="Z445" s="158"/>
      <c r="AA445" s="158">
        <v>809.69</v>
      </c>
      <c r="AB445" s="158"/>
      <c r="AC445" s="158">
        <v>0</v>
      </c>
      <c r="AD445" s="158"/>
      <c r="AE445" s="158">
        <v>0</v>
      </c>
      <c r="AF445" s="158"/>
      <c r="AG445" s="158">
        <v>0</v>
      </c>
      <c r="AH445" s="158"/>
      <c r="AI445" s="158">
        <v>191.55</v>
      </c>
      <c r="AJ445" s="158"/>
      <c r="AK445" s="158">
        <v>0</v>
      </c>
      <c r="AL445" s="158"/>
      <c r="AM445" s="158">
        <v>0</v>
      </c>
      <c r="AN445" s="158"/>
      <c r="AO445" s="158">
        <v>0</v>
      </c>
      <c r="AP445" s="158"/>
      <c r="AQ445" s="158">
        <v>0</v>
      </c>
      <c r="AR445" s="158"/>
      <c r="AS445" s="158">
        <v>345.2</v>
      </c>
      <c r="AT445" s="158"/>
      <c r="AU445" s="158">
        <v>0</v>
      </c>
      <c r="AV445" s="158"/>
      <c r="AW445" s="158">
        <v>0</v>
      </c>
      <c r="AX445" s="158"/>
      <c r="AY445" s="158">
        <v>637.20000000000005</v>
      </c>
      <c r="AZ445" s="158"/>
      <c r="BA445" s="158">
        <v>154.6</v>
      </c>
      <c r="BB445" s="158"/>
      <c r="BC445" s="158">
        <v>0</v>
      </c>
      <c r="BD445" s="158"/>
      <c r="BE445" s="158">
        <v>0</v>
      </c>
      <c r="BF445" s="158"/>
      <c r="BG445" s="158">
        <v>0</v>
      </c>
      <c r="BH445" s="158"/>
      <c r="BI445" s="158">
        <v>0</v>
      </c>
      <c r="BJ445" s="158"/>
      <c r="BK445" s="158">
        <v>0</v>
      </c>
      <c r="BL445" s="158"/>
      <c r="BM445" s="158">
        <v>0</v>
      </c>
      <c r="BN445" s="158"/>
      <c r="BO445" s="158">
        <v>0</v>
      </c>
      <c r="BP445" s="158"/>
      <c r="BQ445" s="158">
        <v>0</v>
      </c>
      <c r="BR445" s="158"/>
      <c r="BS445" s="158">
        <v>0</v>
      </c>
      <c r="BT445" s="158"/>
    </row>
    <row r="446" spans="1:72" x14ac:dyDescent="0.2">
      <c r="A446" s="123" t="s">
        <v>557</v>
      </c>
      <c r="B446" s="124" t="s">
        <v>693</v>
      </c>
      <c r="C446" s="158">
        <v>0</v>
      </c>
      <c r="D446" s="158"/>
      <c r="E446" s="158">
        <v>480.7</v>
      </c>
      <c r="F446" s="158"/>
      <c r="G446" s="158">
        <v>0</v>
      </c>
      <c r="H446" s="158"/>
      <c r="I446" s="158">
        <v>0</v>
      </c>
      <c r="J446" s="158"/>
      <c r="K446" s="158">
        <v>0</v>
      </c>
      <c r="L446" s="158"/>
      <c r="M446" s="158">
        <v>0</v>
      </c>
      <c r="N446" s="158"/>
      <c r="O446" s="158">
        <v>6182.78</v>
      </c>
      <c r="P446" s="158"/>
      <c r="Q446" s="158">
        <v>0</v>
      </c>
      <c r="R446" s="158"/>
      <c r="S446" s="158">
        <v>0</v>
      </c>
      <c r="T446" s="158"/>
      <c r="U446" s="158">
        <v>0</v>
      </c>
      <c r="V446" s="158"/>
      <c r="W446" s="158">
        <v>0</v>
      </c>
      <c r="X446" s="158"/>
      <c r="Y446" s="158">
        <v>1316</v>
      </c>
      <c r="Z446" s="158"/>
      <c r="AA446" s="158">
        <v>0</v>
      </c>
      <c r="AB446" s="158"/>
      <c r="AC446" s="158">
        <v>0</v>
      </c>
      <c r="AD446" s="158"/>
      <c r="AE446" s="158">
        <v>0</v>
      </c>
      <c r="AF446" s="158"/>
      <c r="AG446" s="158">
        <v>0</v>
      </c>
      <c r="AH446" s="158"/>
      <c r="AI446" s="158">
        <v>800</v>
      </c>
      <c r="AJ446" s="158"/>
      <c r="AK446" s="158">
        <v>0</v>
      </c>
      <c r="AL446" s="158"/>
      <c r="AM446" s="158">
        <v>0</v>
      </c>
      <c r="AN446" s="158"/>
      <c r="AO446" s="158">
        <v>0</v>
      </c>
      <c r="AP446" s="158"/>
      <c r="AQ446" s="158">
        <v>-340</v>
      </c>
      <c r="AR446" s="158"/>
      <c r="AS446" s="158">
        <v>0</v>
      </c>
      <c r="AT446" s="158"/>
      <c r="AU446" s="158">
        <v>7279.03</v>
      </c>
      <c r="AV446" s="158"/>
      <c r="AW446" s="158">
        <v>0</v>
      </c>
      <c r="AX446" s="158"/>
      <c r="AY446" s="158">
        <v>0</v>
      </c>
      <c r="AZ446" s="158"/>
      <c r="BA446" s="158">
        <v>0</v>
      </c>
      <c r="BB446" s="158"/>
      <c r="BC446" s="158">
        <v>0</v>
      </c>
      <c r="BD446" s="158"/>
      <c r="BE446" s="158">
        <v>0</v>
      </c>
      <c r="BF446" s="158"/>
      <c r="BG446" s="158">
        <v>5200</v>
      </c>
      <c r="BH446" s="158"/>
      <c r="BI446" s="158">
        <v>6112</v>
      </c>
      <c r="BJ446" s="158"/>
      <c r="BK446" s="158">
        <v>0</v>
      </c>
      <c r="BL446" s="158"/>
      <c r="BM446" s="158">
        <v>0</v>
      </c>
      <c r="BN446" s="158"/>
      <c r="BO446" s="158">
        <v>0</v>
      </c>
      <c r="BP446" s="158"/>
      <c r="BQ446" s="158">
        <v>0</v>
      </c>
      <c r="BR446" s="158"/>
      <c r="BS446" s="158">
        <v>-232</v>
      </c>
      <c r="BT446" s="158"/>
    </row>
    <row r="447" spans="1:72" x14ac:dyDescent="0.2">
      <c r="A447" s="123" t="s">
        <v>420</v>
      </c>
      <c r="B447" s="124" t="s">
        <v>692</v>
      </c>
      <c r="C447" s="158">
        <v>0</v>
      </c>
      <c r="D447" s="158"/>
      <c r="E447" s="158">
        <v>0</v>
      </c>
      <c r="F447" s="158"/>
      <c r="G447" s="158">
        <v>0</v>
      </c>
      <c r="H447" s="158"/>
      <c r="I447" s="158">
        <v>0</v>
      </c>
      <c r="J447" s="158"/>
      <c r="K447" s="158">
        <v>1609.52</v>
      </c>
      <c r="L447" s="158"/>
      <c r="M447" s="158">
        <v>0</v>
      </c>
      <c r="N447" s="158"/>
      <c r="O447" s="158">
        <v>0</v>
      </c>
      <c r="P447" s="158"/>
      <c r="Q447" s="158">
        <v>0</v>
      </c>
      <c r="R447" s="158"/>
      <c r="S447" s="158">
        <v>0</v>
      </c>
      <c r="T447" s="158"/>
      <c r="U447" s="158">
        <v>0</v>
      </c>
      <c r="V447" s="158"/>
      <c r="W447" s="158">
        <v>487.58</v>
      </c>
      <c r="X447" s="158"/>
      <c r="Y447" s="158">
        <v>0</v>
      </c>
      <c r="Z447" s="158"/>
      <c r="AA447" s="158">
        <v>0</v>
      </c>
      <c r="AB447" s="158"/>
      <c r="AC447" s="158">
        <v>0</v>
      </c>
      <c r="AD447" s="158"/>
      <c r="AE447" s="158">
        <v>0</v>
      </c>
      <c r="AF447" s="158"/>
      <c r="AG447" s="158">
        <v>0</v>
      </c>
      <c r="AH447" s="158"/>
      <c r="AI447" s="158">
        <v>159.69</v>
      </c>
      <c r="AJ447" s="158"/>
      <c r="AK447" s="158">
        <v>0</v>
      </c>
      <c r="AL447" s="158"/>
      <c r="AM447" s="158">
        <v>0</v>
      </c>
      <c r="AN447" s="158"/>
      <c r="AO447" s="158">
        <v>0</v>
      </c>
      <c r="AP447" s="158"/>
      <c r="AQ447" s="158">
        <v>1330.71</v>
      </c>
      <c r="AR447" s="158"/>
      <c r="AS447" s="158">
        <v>1075</v>
      </c>
      <c r="AT447" s="158"/>
      <c r="AU447" s="158">
        <v>5030</v>
      </c>
      <c r="AV447" s="158"/>
      <c r="AW447" s="158">
        <v>0</v>
      </c>
      <c r="AX447" s="158"/>
      <c r="AY447" s="158">
        <v>0</v>
      </c>
      <c r="AZ447" s="158"/>
      <c r="BA447" s="158">
        <v>0</v>
      </c>
      <c r="BB447" s="158"/>
      <c r="BC447" s="158">
        <v>0</v>
      </c>
      <c r="BD447" s="158"/>
      <c r="BE447" s="158">
        <v>2294.5300000000002</v>
      </c>
      <c r="BF447" s="158"/>
      <c r="BG447" s="158">
        <v>0</v>
      </c>
      <c r="BH447" s="158"/>
      <c r="BI447" s="158">
        <v>0</v>
      </c>
      <c r="BJ447" s="158"/>
      <c r="BK447" s="158">
        <v>5336</v>
      </c>
      <c r="BL447" s="158"/>
      <c r="BM447" s="158">
        <v>0</v>
      </c>
      <c r="BN447" s="158"/>
      <c r="BO447" s="158">
        <v>0</v>
      </c>
      <c r="BP447" s="158"/>
      <c r="BQ447" s="158">
        <v>0</v>
      </c>
      <c r="BR447" s="158"/>
      <c r="BS447" s="158">
        <v>0</v>
      </c>
      <c r="BT447" s="158"/>
    </row>
    <row r="448" spans="1:72" x14ac:dyDescent="0.2">
      <c r="A448" s="123" t="s">
        <v>1087</v>
      </c>
      <c r="B448" s="124" t="s">
        <v>1421</v>
      </c>
      <c r="C448" s="158">
        <v>0</v>
      </c>
      <c r="D448" s="158"/>
      <c r="E448" s="158">
        <v>0</v>
      </c>
      <c r="F448" s="158"/>
      <c r="G448" s="158">
        <v>2863</v>
      </c>
      <c r="H448" s="158"/>
      <c r="I448" s="158">
        <v>0</v>
      </c>
      <c r="J448" s="158"/>
      <c r="K448" s="158">
        <v>0</v>
      </c>
      <c r="L448" s="158"/>
      <c r="M448" s="158">
        <v>0</v>
      </c>
      <c r="N448" s="158"/>
      <c r="O448" s="158">
        <v>0</v>
      </c>
      <c r="P448" s="158"/>
      <c r="Q448" s="158">
        <v>0</v>
      </c>
      <c r="R448" s="158"/>
      <c r="S448" s="158">
        <v>0</v>
      </c>
      <c r="T448" s="158"/>
      <c r="U448" s="158">
        <v>0</v>
      </c>
      <c r="V448" s="158"/>
      <c r="W448" s="158">
        <v>0</v>
      </c>
      <c r="X448" s="158"/>
      <c r="Y448" s="158">
        <v>0</v>
      </c>
      <c r="Z448" s="158"/>
      <c r="AA448" s="158">
        <v>0</v>
      </c>
      <c r="AB448" s="158"/>
      <c r="AC448" s="158">
        <v>0</v>
      </c>
      <c r="AD448" s="158"/>
      <c r="AE448" s="158">
        <v>0</v>
      </c>
      <c r="AF448" s="158"/>
      <c r="AG448" s="158">
        <v>0</v>
      </c>
      <c r="AH448" s="158"/>
      <c r="AI448" s="158">
        <v>0</v>
      </c>
      <c r="AJ448" s="158"/>
      <c r="AK448" s="158">
        <v>1370</v>
      </c>
      <c r="AL448" s="158"/>
      <c r="AM448" s="158">
        <v>0</v>
      </c>
      <c r="AN448" s="158"/>
      <c r="AO448" s="158">
        <v>0</v>
      </c>
      <c r="AP448" s="158"/>
      <c r="AQ448" s="158">
        <v>0</v>
      </c>
      <c r="AR448" s="158"/>
      <c r="AS448" s="158">
        <v>0</v>
      </c>
      <c r="AT448" s="158"/>
      <c r="AU448" s="158">
        <v>0</v>
      </c>
      <c r="AV448" s="158"/>
      <c r="AW448" s="158">
        <v>0</v>
      </c>
      <c r="AX448" s="158"/>
      <c r="AY448" s="158">
        <v>3870</v>
      </c>
      <c r="AZ448" s="158"/>
      <c r="BA448" s="158">
        <v>0</v>
      </c>
      <c r="BB448" s="158"/>
      <c r="BC448" s="158">
        <v>650</v>
      </c>
      <c r="BD448" s="158"/>
      <c r="BE448" s="158">
        <v>0</v>
      </c>
      <c r="BF448" s="158"/>
      <c r="BG448" s="158">
        <v>0</v>
      </c>
      <c r="BH448" s="158"/>
      <c r="BI448" s="158">
        <v>0</v>
      </c>
      <c r="BJ448" s="158"/>
      <c r="BK448" s="158">
        <v>0</v>
      </c>
      <c r="BL448" s="158"/>
      <c r="BM448" s="158">
        <v>0</v>
      </c>
      <c r="BN448" s="158"/>
      <c r="BO448" s="158">
        <v>0</v>
      </c>
      <c r="BP448" s="158"/>
      <c r="BQ448" s="158">
        <v>0</v>
      </c>
      <c r="BR448" s="158"/>
      <c r="BS448" s="158">
        <v>0</v>
      </c>
      <c r="BT448" s="158"/>
    </row>
    <row r="449" spans="1:72" x14ac:dyDescent="0.2">
      <c r="A449" s="123" t="s">
        <v>1085</v>
      </c>
      <c r="B449" s="124" t="s">
        <v>1422</v>
      </c>
      <c r="C449" s="158">
        <v>0</v>
      </c>
      <c r="D449" s="158"/>
      <c r="E449" s="158">
        <v>0</v>
      </c>
      <c r="F449" s="158"/>
      <c r="G449" s="158">
        <v>0</v>
      </c>
      <c r="H449" s="158"/>
      <c r="I449" s="158">
        <v>0</v>
      </c>
      <c r="J449" s="158"/>
      <c r="K449" s="158">
        <v>0</v>
      </c>
      <c r="L449" s="158"/>
      <c r="M449" s="158">
        <v>0</v>
      </c>
      <c r="N449" s="158"/>
      <c r="O449" s="158">
        <v>0</v>
      </c>
      <c r="P449" s="158"/>
      <c r="Q449" s="158">
        <v>0</v>
      </c>
      <c r="R449" s="158"/>
      <c r="S449" s="158">
        <v>0</v>
      </c>
      <c r="T449" s="158"/>
      <c r="U449" s="158">
        <v>0</v>
      </c>
      <c r="V449" s="158"/>
      <c r="W449" s="158">
        <v>0</v>
      </c>
      <c r="X449" s="158"/>
      <c r="Y449" s="158">
        <v>0</v>
      </c>
      <c r="Z449" s="158"/>
      <c r="AA449" s="158">
        <v>0</v>
      </c>
      <c r="AB449" s="158"/>
      <c r="AC449" s="158">
        <v>117.39</v>
      </c>
      <c r="AD449" s="158"/>
      <c r="AE449" s="158">
        <v>0</v>
      </c>
      <c r="AF449" s="158"/>
      <c r="AG449" s="158">
        <v>2152</v>
      </c>
      <c r="AH449" s="158"/>
      <c r="AI449" s="158">
        <v>0</v>
      </c>
      <c r="AJ449" s="158"/>
      <c r="AK449" s="158">
        <v>0</v>
      </c>
      <c r="AL449" s="158"/>
      <c r="AM449" s="158">
        <v>0</v>
      </c>
      <c r="AN449" s="158"/>
      <c r="AO449" s="158">
        <v>0</v>
      </c>
      <c r="AP449" s="158"/>
      <c r="AQ449" s="158">
        <v>0</v>
      </c>
      <c r="AR449" s="158"/>
      <c r="AS449" s="158">
        <v>0</v>
      </c>
      <c r="AT449" s="158"/>
      <c r="AU449" s="158">
        <v>0</v>
      </c>
      <c r="AV449" s="158"/>
      <c r="AW449" s="158">
        <v>0</v>
      </c>
      <c r="AX449" s="158"/>
      <c r="AY449" s="158">
        <v>0</v>
      </c>
      <c r="AZ449" s="158"/>
      <c r="BA449" s="158">
        <v>0</v>
      </c>
      <c r="BB449" s="158"/>
      <c r="BC449" s="158">
        <v>0</v>
      </c>
      <c r="BD449" s="158"/>
      <c r="BE449" s="158">
        <v>0</v>
      </c>
      <c r="BF449" s="158"/>
      <c r="BG449" s="158">
        <v>0</v>
      </c>
      <c r="BH449" s="158"/>
      <c r="BI449" s="158">
        <v>0</v>
      </c>
      <c r="BJ449" s="158"/>
      <c r="BK449" s="158">
        <v>5515</v>
      </c>
      <c r="BL449" s="158"/>
      <c r="BM449" s="158">
        <v>0</v>
      </c>
      <c r="BN449" s="158"/>
      <c r="BO449" s="158">
        <v>0</v>
      </c>
      <c r="BP449" s="158"/>
      <c r="BQ449" s="158">
        <v>1004.4</v>
      </c>
      <c r="BR449" s="158"/>
      <c r="BS449" s="158">
        <v>0</v>
      </c>
      <c r="BT449" s="158"/>
    </row>
    <row r="450" spans="1:72" x14ac:dyDescent="0.2">
      <c r="A450" s="123" t="s">
        <v>505</v>
      </c>
      <c r="B450" s="124" t="s">
        <v>691</v>
      </c>
      <c r="C450" s="158">
        <v>0</v>
      </c>
      <c r="D450" s="158"/>
      <c r="E450" s="158">
        <v>0</v>
      </c>
      <c r="F450" s="158"/>
      <c r="G450" s="158">
        <v>0</v>
      </c>
      <c r="H450" s="158"/>
      <c r="I450" s="158">
        <v>0</v>
      </c>
      <c r="J450" s="158"/>
      <c r="K450" s="158">
        <v>0</v>
      </c>
      <c r="L450" s="158"/>
      <c r="M450" s="158">
        <v>0</v>
      </c>
      <c r="N450" s="158"/>
      <c r="O450" s="158">
        <v>0</v>
      </c>
      <c r="P450" s="158"/>
      <c r="Q450" s="158">
        <v>0</v>
      </c>
      <c r="R450" s="158"/>
      <c r="S450" s="158">
        <v>0</v>
      </c>
      <c r="T450" s="158"/>
      <c r="U450" s="158">
        <v>0</v>
      </c>
      <c r="V450" s="158"/>
      <c r="W450" s="158">
        <v>0</v>
      </c>
      <c r="X450" s="158"/>
      <c r="Y450" s="158">
        <v>0</v>
      </c>
      <c r="Z450" s="158"/>
      <c r="AA450" s="158">
        <v>0</v>
      </c>
      <c r="AB450" s="158"/>
      <c r="AC450" s="158">
        <v>0</v>
      </c>
      <c r="AD450" s="158"/>
      <c r="AE450" s="158">
        <v>0</v>
      </c>
      <c r="AF450" s="158"/>
      <c r="AG450" s="158">
        <v>0</v>
      </c>
      <c r="AH450" s="158"/>
      <c r="AI450" s="158">
        <v>0</v>
      </c>
      <c r="AJ450" s="158"/>
      <c r="AK450" s="158">
        <v>0</v>
      </c>
      <c r="AL450" s="158"/>
      <c r="AM450" s="158">
        <v>0</v>
      </c>
      <c r="AN450" s="158"/>
      <c r="AO450" s="158">
        <v>1400</v>
      </c>
      <c r="AP450" s="158"/>
      <c r="AQ450" s="158">
        <v>0</v>
      </c>
      <c r="AR450" s="158"/>
      <c r="AS450" s="158">
        <v>0</v>
      </c>
      <c r="AT450" s="158"/>
      <c r="AU450" s="158">
        <v>0</v>
      </c>
      <c r="AV450" s="158"/>
      <c r="AW450" s="158">
        <v>0</v>
      </c>
      <c r="AX450" s="158"/>
      <c r="AY450" s="158">
        <v>0</v>
      </c>
      <c r="AZ450" s="158"/>
      <c r="BA450" s="158">
        <v>0</v>
      </c>
      <c r="BB450" s="158"/>
      <c r="BC450" s="158">
        <v>0</v>
      </c>
      <c r="BD450" s="158"/>
      <c r="BE450" s="158">
        <v>0</v>
      </c>
      <c r="BF450" s="158"/>
      <c r="BG450" s="158">
        <v>0</v>
      </c>
      <c r="BH450" s="158"/>
      <c r="BI450" s="158">
        <v>0</v>
      </c>
      <c r="BJ450" s="158"/>
      <c r="BK450" s="158">
        <v>0</v>
      </c>
      <c r="BL450" s="158"/>
      <c r="BM450" s="158">
        <v>0</v>
      </c>
      <c r="BN450" s="158"/>
      <c r="BO450" s="158">
        <v>0</v>
      </c>
      <c r="BP450" s="158"/>
      <c r="BQ450" s="158">
        <v>0</v>
      </c>
      <c r="BR450" s="158"/>
      <c r="BS450" s="158">
        <v>0</v>
      </c>
      <c r="BT450" s="158"/>
    </row>
    <row r="451" spans="1:72" x14ac:dyDescent="0.2">
      <c r="A451" s="123" t="s">
        <v>421</v>
      </c>
      <c r="B451" s="124" t="s">
        <v>690</v>
      </c>
      <c r="C451" s="158">
        <v>0</v>
      </c>
      <c r="D451" s="158"/>
      <c r="E451" s="158">
        <v>0</v>
      </c>
      <c r="F451" s="158"/>
      <c r="G451" s="158">
        <v>0</v>
      </c>
      <c r="H451" s="158"/>
      <c r="I451" s="158">
        <v>0</v>
      </c>
      <c r="J451" s="158"/>
      <c r="K451" s="158">
        <v>0</v>
      </c>
      <c r="L451" s="158"/>
      <c r="M451" s="158">
        <v>0</v>
      </c>
      <c r="N451" s="158"/>
      <c r="O451" s="158">
        <v>0</v>
      </c>
      <c r="P451" s="158"/>
      <c r="Q451" s="158">
        <v>0</v>
      </c>
      <c r="R451" s="158"/>
      <c r="S451" s="158">
        <v>0</v>
      </c>
      <c r="T451" s="158"/>
      <c r="U451" s="158">
        <v>0</v>
      </c>
      <c r="V451" s="158"/>
      <c r="W451" s="158">
        <v>0</v>
      </c>
      <c r="X451" s="158"/>
      <c r="Y451" s="158">
        <v>1099.8499999999999</v>
      </c>
      <c r="Z451" s="158"/>
      <c r="AA451" s="158">
        <v>0</v>
      </c>
      <c r="AB451" s="158"/>
      <c r="AC451" s="158">
        <v>0</v>
      </c>
      <c r="AD451" s="158"/>
      <c r="AE451" s="158">
        <v>0</v>
      </c>
      <c r="AF451" s="158"/>
      <c r="AG451" s="158">
        <v>0</v>
      </c>
      <c r="AH451" s="158"/>
      <c r="AI451" s="158">
        <v>1567.14</v>
      </c>
      <c r="AJ451" s="158"/>
      <c r="AK451" s="158">
        <v>0</v>
      </c>
      <c r="AL451" s="158"/>
      <c r="AM451" s="158">
        <v>0</v>
      </c>
      <c r="AN451" s="158"/>
      <c r="AO451" s="158">
        <v>0</v>
      </c>
      <c r="AP451" s="158"/>
      <c r="AQ451" s="158">
        <v>0</v>
      </c>
      <c r="AR451" s="158"/>
      <c r="AS451" s="158">
        <v>600</v>
      </c>
      <c r="AT451" s="158"/>
      <c r="AU451" s="158">
        <v>0</v>
      </c>
      <c r="AV451" s="158"/>
      <c r="AW451" s="158">
        <v>0</v>
      </c>
      <c r="AX451" s="158"/>
      <c r="AY451" s="158">
        <v>0</v>
      </c>
      <c r="AZ451" s="158"/>
      <c r="BA451" s="158">
        <v>0</v>
      </c>
      <c r="BB451" s="158"/>
      <c r="BC451" s="158">
        <v>0</v>
      </c>
      <c r="BD451" s="158"/>
      <c r="BE451" s="158">
        <v>0</v>
      </c>
      <c r="BF451" s="158"/>
      <c r="BG451" s="158">
        <v>0</v>
      </c>
      <c r="BH451" s="158"/>
      <c r="BI451" s="158">
        <v>0</v>
      </c>
      <c r="BJ451" s="158"/>
      <c r="BK451" s="158">
        <v>0</v>
      </c>
      <c r="BL451" s="158"/>
      <c r="BM451" s="158">
        <v>106.41</v>
      </c>
      <c r="BN451" s="158"/>
      <c r="BO451" s="158">
        <v>0</v>
      </c>
      <c r="BP451" s="158"/>
      <c r="BQ451" s="158">
        <v>0</v>
      </c>
      <c r="BR451" s="158"/>
      <c r="BS451" s="158">
        <v>0</v>
      </c>
      <c r="BT451" s="158"/>
    </row>
    <row r="452" spans="1:72" x14ac:dyDescent="0.2">
      <c r="A452" s="123" t="s">
        <v>1077</v>
      </c>
      <c r="B452" s="124" t="s">
        <v>1423</v>
      </c>
      <c r="C452" s="158">
        <v>0</v>
      </c>
      <c r="D452" s="158"/>
      <c r="E452" s="158">
        <v>0</v>
      </c>
      <c r="F452" s="158"/>
      <c r="G452" s="158">
        <v>0</v>
      </c>
      <c r="H452" s="158"/>
      <c r="I452" s="158">
        <v>0</v>
      </c>
      <c r="J452" s="158"/>
      <c r="K452" s="158">
        <v>0</v>
      </c>
      <c r="L452" s="158"/>
      <c r="M452" s="158">
        <v>0</v>
      </c>
      <c r="N452" s="158"/>
      <c r="O452" s="158">
        <v>0</v>
      </c>
      <c r="P452" s="158"/>
      <c r="Q452" s="158">
        <v>0</v>
      </c>
      <c r="R452" s="158"/>
      <c r="S452" s="158">
        <v>0</v>
      </c>
      <c r="T452" s="158"/>
      <c r="U452" s="158">
        <v>0</v>
      </c>
      <c r="V452" s="158"/>
      <c r="W452" s="158">
        <v>158.99</v>
      </c>
      <c r="X452" s="158"/>
      <c r="Y452" s="158">
        <v>0</v>
      </c>
      <c r="Z452" s="158"/>
      <c r="AA452" s="158">
        <v>0</v>
      </c>
      <c r="AB452" s="158"/>
      <c r="AC452" s="158">
        <v>0</v>
      </c>
      <c r="AD452" s="158"/>
      <c r="AE452" s="158">
        <v>0</v>
      </c>
      <c r="AF452" s="158"/>
      <c r="AG452" s="158">
        <v>0</v>
      </c>
      <c r="AH452" s="158"/>
      <c r="AI452" s="158">
        <v>217.28</v>
      </c>
      <c r="AJ452" s="158"/>
      <c r="AK452" s="158">
        <v>0</v>
      </c>
      <c r="AL452" s="158"/>
      <c r="AM452" s="158">
        <v>0</v>
      </c>
      <c r="AN452" s="158"/>
      <c r="AO452" s="158">
        <v>0</v>
      </c>
      <c r="AP452" s="158"/>
      <c r="AQ452" s="158">
        <v>0</v>
      </c>
      <c r="AR452" s="158"/>
      <c r="AS452" s="158">
        <v>0</v>
      </c>
      <c r="AT452" s="158"/>
      <c r="AU452" s="158">
        <v>0</v>
      </c>
      <c r="AV452" s="158"/>
      <c r="AW452" s="158">
        <v>0</v>
      </c>
      <c r="AX452" s="158"/>
      <c r="AY452" s="158">
        <v>0</v>
      </c>
      <c r="AZ452" s="158"/>
      <c r="BA452" s="158">
        <v>0</v>
      </c>
      <c r="BB452" s="158"/>
      <c r="BC452" s="158">
        <v>0</v>
      </c>
      <c r="BD452" s="158"/>
      <c r="BE452" s="158">
        <v>0</v>
      </c>
      <c r="BF452" s="158"/>
      <c r="BG452" s="158">
        <v>0</v>
      </c>
      <c r="BH452" s="158"/>
      <c r="BI452" s="158">
        <v>0</v>
      </c>
      <c r="BJ452" s="158"/>
      <c r="BK452" s="158">
        <v>245.88</v>
      </c>
      <c r="BL452" s="158"/>
      <c r="BM452" s="158">
        <v>0</v>
      </c>
      <c r="BN452" s="158"/>
      <c r="BO452" s="158">
        <v>0</v>
      </c>
      <c r="BP452" s="158"/>
      <c r="BQ452" s="158">
        <v>0</v>
      </c>
      <c r="BR452" s="158"/>
      <c r="BS452" s="158">
        <v>0</v>
      </c>
      <c r="BT452" s="158"/>
    </row>
    <row r="453" spans="1:72" x14ac:dyDescent="0.2">
      <c r="A453" s="123" t="s">
        <v>422</v>
      </c>
      <c r="B453" s="124" t="s">
        <v>689</v>
      </c>
      <c r="C453" s="158">
        <v>0</v>
      </c>
      <c r="D453" s="158"/>
      <c r="E453" s="158">
        <v>0</v>
      </c>
      <c r="F453" s="158"/>
      <c r="G453" s="158">
        <v>0</v>
      </c>
      <c r="H453" s="158"/>
      <c r="I453" s="158">
        <v>0</v>
      </c>
      <c r="J453" s="158"/>
      <c r="K453" s="158">
        <v>0</v>
      </c>
      <c r="L453" s="158"/>
      <c r="M453" s="158">
        <v>0</v>
      </c>
      <c r="N453" s="158"/>
      <c r="O453" s="158">
        <v>769.34</v>
      </c>
      <c r="P453" s="158"/>
      <c r="Q453" s="158">
        <v>0</v>
      </c>
      <c r="R453" s="158"/>
      <c r="S453" s="158">
        <v>0</v>
      </c>
      <c r="T453" s="158"/>
      <c r="U453" s="158">
        <v>676.08</v>
      </c>
      <c r="V453" s="158"/>
      <c r="W453" s="158">
        <v>0</v>
      </c>
      <c r="X453" s="158"/>
      <c r="Y453" s="158">
        <v>0</v>
      </c>
      <c r="Z453" s="158"/>
      <c r="AA453" s="158">
        <v>0</v>
      </c>
      <c r="AB453" s="158"/>
      <c r="AC453" s="158">
        <v>0</v>
      </c>
      <c r="AD453" s="158"/>
      <c r="AE453" s="158">
        <v>0</v>
      </c>
      <c r="AF453" s="158"/>
      <c r="AG453" s="158">
        <v>7300.74</v>
      </c>
      <c r="AH453" s="158"/>
      <c r="AI453" s="158">
        <v>0</v>
      </c>
      <c r="AJ453" s="158"/>
      <c r="AK453" s="158">
        <v>1065.78</v>
      </c>
      <c r="AL453" s="158"/>
      <c r="AM453" s="158">
        <v>0</v>
      </c>
      <c r="AN453" s="158"/>
      <c r="AO453" s="158">
        <v>0</v>
      </c>
      <c r="AP453" s="158"/>
      <c r="AQ453" s="158">
        <v>306.69</v>
      </c>
      <c r="AR453" s="158"/>
      <c r="AS453" s="158">
        <v>96.28</v>
      </c>
      <c r="AT453" s="158"/>
      <c r="AU453" s="158">
        <v>0</v>
      </c>
      <c r="AV453" s="158"/>
      <c r="AW453" s="158">
        <v>0</v>
      </c>
      <c r="AX453" s="158"/>
      <c r="AY453" s="158">
        <v>0</v>
      </c>
      <c r="AZ453" s="158"/>
      <c r="BA453" s="158">
        <v>0</v>
      </c>
      <c r="BB453" s="158"/>
      <c r="BC453" s="158">
        <v>0</v>
      </c>
      <c r="BD453" s="158"/>
      <c r="BE453" s="158">
        <v>652.07000000000005</v>
      </c>
      <c r="BF453" s="158"/>
      <c r="BG453" s="158">
        <v>0</v>
      </c>
      <c r="BH453" s="158"/>
      <c r="BI453" s="158">
        <v>0</v>
      </c>
      <c r="BJ453" s="158"/>
      <c r="BK453" s="158">
        <v>0</v>
      </c>
      <c r="BL453" s="158"/>
      <c r="BM453" s="158">
        <v>0</v>
      </c>
      <c r="BN453" s="158"/>
      <c r="BO453" s="158">
        <v>1036.57</v>
      </c>
      <c r="BP453" s="158"/>
      <c r="BQ453" s="158">
        <v>0</v>
      </c>
      <c r="BR453" s="158"/>
      <c r="BS453" s="158">
        <v>0</v>
      </c>
      <c r="BT453" s="158"/>
    </row>
    <row r="454" spans="1:72" x14ac:dyDescent="0.2">
      <c r="A454" s="123" t="s">
        <v>1072</v>
      </c>
      <c r="B454" s="124" t="s">
        <v>1424</v>
      </c>
      <c r="C454" s="158">
        <v>0</v>
      </c>
      <c r="D454" s="158"/>
      <c r="E454" s="158">
        <v>0</v>
      </c>
      <c r="F454" s="158"/>
      <c r="G454" s="158">
        <v>0</v>
      </c>
      <c r="H454" s="158"/>
      <c r="I454" s="158">
        <v>0</v>
      </c>
      <c r="J454" s="158"/>
      <c r="K454" s="158">
        <v>0</v>
      </c>
      <c r="L454" s="158"/>
      <c r="M454" s="158">
        <v>0</v>
      </c>
      <c r="N454" s="158"/>
      <c r="O454" s="158">
        <v>0</v>
      </c>
      <c r="P454" s="158"/>
      <c r="Q454" s="158">
        <v>0</v>
      </c>
      <c r="R454" s="158"/>
      <c r="S454" s="158">
        <v>0</v>
      </c>
      <c r="T454" s="158"/>
      <c r="U454" s="158">
        <v>0</v>
      </c>
      <c r="V454" s="158"/>
      <c r="W454" s="158">
        <v>0</v>
      </c>
      <c r="X454" s="158"/>
      <c r="Y454" s="158">
        <v>0</v>
      </c>
      <c r="Z454" s="158"/>
      <c r="AA454" s="158">
        <v>0</v>
      </c>
      <c r="AB454" s="158"/>
      <c r="AC454" s="158">
        <v>821.25</v>
      </c>
      <c r="AD454" s="158"/>
      <c r="AE454" s="158">
        <v>0</v>
      </c>
      <c r="AF454" s="158"/>
      <c r="AG454" s="158">
        <v>0</v>
      </c>
      <c r="AH454" s="158"/>
      <c r="AI454" s="158">
        <v>0</v>
      </c>
      <c r="AJ454" s="158"/>
      <c r="AK454" s="158">
        <v>0</v>
      </c>
      <c r="AL454" s="158"/>
      <c r="AM454" s="158">
        <v>0</v>
      </c>
      <c r="AN454" s="158"/>
      <c r="AO454" s="158">
        <v>0</v>
      </c>
      <c r="AP454" s="158"/>
      <c r="AQ454" s="158">
        <v>0</v>
      </c>
      <c r="AR454" s="158"/>
      <c r="AS454" s="158">
        <v>0</v>
      </c>
      <c r="AT454" s="158"/>
      <c r="AU454" s="158">
        <v>0</v>
      </c>
      <c r="AV454" s="158"/>
      <c r="AW454" s="158">
        <v>0</v>
      </c>
      <c r="AX454" s="158"/>
      <c r="AY454" s="158">
        <v>0</v>
      </c>
      <c r="AZ454" s="158"/>
      <c r="BA454" s="158">
        <v>0</v>
      </c>
      <c r="BB454" s="158"/>
      <c r="BC454" s="158">
        <v>0</v>
      </c>
      <c r="BD454" s="158"/>
      <c r="BE454" s="158">
        <v>0</v>
      </c>
      <c r="BF454" s="158"/>
      <c r="BG454" s="158">
        <v>0</v>
      </c>
      <c r="BH454" s="158"/>
      <c r="BI454" s="158">
        <v>244.9</v>
      </c>
      <c r="BJ454" s="158"/>
      <c r="BK454" s="158">
        <v>0</v>
      </c>
      <c r="BL454" s="158"/>
      <c r="BM454" s="158">
        <v>0</v>
      </c>
      <c r="BN454" s="158"/>
      <c r="BO454" s="158">
        <v>0</v>
      </c>
      <c r="BP454" s="158"/>
      <c r="BQ454" s="158">
        <v>0</v>
      </c>
      <c r="BR454" s="158"/>
      <c r="BS454" s="158">
        <v>0</v>
      </c>
      <c r="BT454" s="158"/>
    </row>
    <row r="455" spans="1:72" x14ac:dyDescent="0.2">
      <c r="A455" s="123" t="s">
        <v>688</v>
      </c>
      <c r="B455" s="124" t="s">
        <v>687</v>
      </c>
      <c r="C455" s="158">
        <v>0</v>
      </c>
      <c r="D455" s="158"/>
      <c r="E455" s="158">
        <v>0</v>
      </c>
      <c r="F455" s="158"/>
      <c r="G455" s="158">
        <v>0</v>
      </c>
      <c r="H455" s="158"/>
      <c r="I455" s="158">
        <v>0</v>
      </c>
      <c r="J455" s="158"/>
      <c r="K455" s="158">
        <v>0</v>
      </c>
      <c r="L455" s="158"/>
      <c r="M455" s="158">
        <v>0</v>
      </c>
      <c r="N455" s="158"/>
      <c r="O455" s="158">
        <v>0</v>
      </c>
      <c r="P455" s="158"/>
      <c r="Q455" s="158">
        <v>0</v>
      </c>
      <c r="R455" s="158"/>
      <c r="S455" s="158">
        <v>0</v>
      </c>
      <c r="T455" s="158"/>
      <c r="U455" s="158">
        <v>591.77</v>
      </c>
      <c r="V455" s="158"/>
      <c r="W455" s="158">
        <v>0</v>
      </c>
      <c r="X455" s="158"/>
      <c r="Y455" s="158">
        <v>0</v>
      </c>
      <c r="Z455" s="158"/>
      <c r="AA455" s="158">
        <v>0</v>
      </c>
      <c r="AB455" s="158"/>
      <c r="AC455" s="158">
        <v>0</v>
      </c>
      <c r="AD455" s="158"/>
      <c r="AE455" s="158">
        <v>0</v>
      </c>
      <c r="AF455" s="158"/>
      <c r="AG455" s="158">
        <v>0</v>
      </c>
      <c r="AH455" s="158"/>
      <c r="AI455" s="158">
        <v>0</v>
      </c>
      <c r="AJ455" s="158"/>
      <c r="AK455" s="158">
        <v>0</v>
      </c>
      <c r="AL455" s="158"/>
      <c r="AM455" s="158">
        <v>0</v>
      </c>
      <c r="AN455" s="158"/>
      <c r="AO455" s="158">
        <v>0</v>
      </c>
      <c r="AP455" s="158"/>
      <c r="AQ455" s="158">
        <v>0</v>
      </c>
      <c r="AR455" s="158"/>
      <c r="AS455" s="158">
        <v>0</v>
      </c>
      <c r="AT455" s="158"/>
      <c r="AU455" s="158">
        <v>0</v>
      </c>
      <c r="AV455" s="158"/>
      <c r="AW455" s="158">
        <v>0</v>
      </c>
      <c r="AX455" s="158"/>
      <c r="AY455" s="158">
        <v>0</v>
      </c>
      <c r="AZ455" s="158"/>
      <c r="BA455" s="158">
        <v>0</v>
      </c>
      <c r="BB455" s="158"/>
      <c r="BC455" s="158">
        <v>0</v>
      </c>
      <c r="BD455" s="158"/>
      <c r="BE455" s="158">
        <v>0</v>
      </c>
      <c r="BF455" s="158"/>
      <c r="BG455" s="158">
        <v>0</v>
      </c>
      <c r="BH455" s="158"/>
      <c r="BI455" s="158">
        <v>0</v>
      </c>
      <c r="BJ455" s="158"/>
      <c r="BK455" s="158">
        <v>0</v>
      </c>
      <c r="BL455" s="158"/>
      <c r="BM455" s="158">
        <v>536.14</v>
      </c>
      <c r="BN455" s="158"/>
      <c r="BO455" s="158">
        <v>0</v>
      </c>
      <c r="BP455" s="158"/>
      <c r="BQ455" s="158">
        <v>0</v>
      </c>
      <c r="BR455" s="158"/>
      <c r="BS455" s="158">
        <v>0</v>
      </c>
      <c r="BT455" s="158"/>
    </row>
    <row r="456" spans="1:72" x14ac:dyDescent="0.2">
      <c r="A456" s="123" t="s">
        <v>423</v>
      </c>
      <c r="B456" s="124" t="s">
        <v>686</v>
      </c>
      <c r="C456" s="158">
        <v>0</v>
      </c>
      <c r="D456" s="158"/>
      <c r="E456" s="158">
        <v>0</v>
      </c>
      <c r="F456" s="158"/>
      <c r="G456" s="158">
        <v>0</v>
      </c>
      <c r="H456" s="158"/>
      <c r="I456" s="158">
        <v>0</v>
      </c>
      <c r="J456" s="158"/>
      <c r="K456" s="158">
        <v>2697.02</v>
      </c>
      <c r="L456" s="158"/>
      <c r="M456" s="158">
        <v>29.44</v>
      </c>
      <c r="N456" s="158"/>
      <c r="O456" s="158">
        <v>650</v>
      </c>
      <c r="P456" s="158"/>
      <c r="Q456" s="158">
        <v>0</v>
      </c>
      <c r="R456" s="158"/>
      <c r="S456" s="158">
        <v>324.57</v>
      </c>
      <c r="T456" s="158"/>
      <c r="U456" s="158">
        <v>0</v>
      </c>
      <c r="V456" s="158"/>
      <c r="W456" s="158">
        <v>12017.66</v>
      </c>
      <c r="X456" s="158"/>
      <c r="Y456" s="158">
        <v>0</v>
      </c>
      <c r="Z456" s="158"/>
      <c r="AA456" s="158">
        <v>117.21</v>
      </c>
      <c r="AB456" s="158"/>
      <c r="AC456" s="158">
        <v>0</v>
      </c>
      <c r="AD456" s="158"/>
      <c r="AE456" s="158">
        <v>0</v>
      </c>
      <c r="AF456" s="158"/>
      <c r="AG456" s="158">
        <v>210.19</v>
      </c>
      <c r="AH456" s="158"/>
      <c r="AI456" s="158">
        <v>0</v>
      </c>
      <c r="AJ456" s="158"/>
      <c r="AK456" s="158">
        <v>400</v>
      </c>
      <c r="AL456" s="158"/>
      <c r="AM456" s="158">
        <v>0</v>
      </c>
      <c r="AN456" s="158"/>
      <c r="AO456" s="158">
        <v>0</v>
      </c>
      <c r="AP456" s="158"/>
      <c r="AQ456" s="158">
        <v>0</v>
      </c>
      <c r="AR456" s="158"/>
      <c r="AS456" s="158">
        <v>0</v>
      </c>
      <c r="AT456" s="158"/>
      <c r="AU456" s="158">
        <v>97.46</v>
      </c>
      <c r="AV456" s="158"/>
      <c r="AW456" s="158">
        <v>0</v>
      </c>
      <c r="AX456" s="158"/>
      <c r="AY456" s="158">
        <v>0</v>
      </c>
      <c r="AZ456" s="158"/>
      <c r="BA456" s="158">
        <v>0</v>
      </c>
      <c r="BB456" s="158"/>
      <c r="BC456" s="158">
        <v>-244</v>
      </c>
      <c r="BD456" s="158"/>
      <c r="BE456" s="158">
        <v>955.06</v>
      </c>
      <c r="BF456" s="158"/>
      <c r="BG456" s="158">
        <v>65.77</v>
      </c>
      <c r="BH456" s="158"/>
      <c r="BI456" s="158">
        <v>469.23</v>
      </c>
      <c r="BJ456" s="158"/>
      <c r="BK456" s="158">
        <v>282.60000000000002</v>
      </c>
      <c r="BL456" s="158"/>
      <c r="BM456" s="158">
        <v>0</v>
      </c>
      <c r="BN456" s="158"/>
      <c r="BO456" s="158">
        <v>0</v>
      </c>
      <c r="BP456" s="158"/>
      <c r="BQ456" s="158">
        <v>0</v>
      </c>
      <c r="BR456" s="158"/>
      <c r="BS456" s="158">
        <v>0</v>
      </c>
      <c r="BT456" s="158"/>
    </row>
    <row r="457" spans="1:72" x14ac:dyDescent="0.2">
      <c r="A457" s="123" t="s">
        <v>555</v>
      </c>
      <c r="B457" s="124" t="s">
        <v>685</v>
      </c>
      <c r="C457" s="158">
        <v>0</v>
      </c>
      <c r="D457" s="158"/>
      <c r="E457" s="158">
        <v>0</v>
      </c>
      <c r="F457" s="158"/>
      <c r="G457" s="158">
        <v>0</v>
      </c>
      <c r="H457" s="158"/>
      <c r="I457" s="158">
        <v>0</v>
      </c>
      <c r="J457" s="158"/>
      <c r="K457" s="158">
        <v>0</v>
      </c>
      <c r="L457" s="158"/>
      <c r="M457" s="158">
        <v>605.03</v>
      </c>
      <c r="N457" s="158"/>
      <c r="O457" s="158">
        <v>173.31</v>
      </c>
      <c r="P457" s="158"/>
      <c r="Q457" s="158">
        <v>0</v>
      </c>
      <c r="R457" s="158"/>
      <c r="S457" s="158">
        <v>0</v>
      </c>
      <c r="T457" s="158"/>
      <c r="U457" s="158">
        <v>0</v>
      </c>
      <c r="V457" s="158"/>
      <c r="W457" s="158">
        <v>0</v>
      </c>
      <c r="X457" s="158"/>
      <c r="Y457" s="158">
        <v>0</v>
      </c>
      <c r="Z457" s="158"/>
      <c r="AA457" s="158">
        <v>0</v>
      </c>
      <c r="AB457" s="158"/>
      <c r="AC457" s="158">
        <v>0</v>
      </c>
      <c r="AD457" s="158"/>
      <c r="AE457" s="158">
        <v>0</v>
      </c>
      <c r="AF457" s="158"/>
      <c r="AG457" s="158">
        <v>0</v>
      </c>
      <c r="AH457" s="158"/>
      <c r="AI457" s="158">
        <v>0</v>
      </c>
      <c r="AJ457" s="158"/>
      <c r="AK457" s="158">
        <v>0</v>
      </c>
      <c r="AL457" s="158"/>
      <c r="AM457" s="158">
        <v>0</v>
      </c>
      <c r="AN457" s="158"/>
      <c r="AO457" s="158">
        <v>0</v>
      </c>
      <c r="AP457" s="158"/>
      <c r="AQ457" s="158">
        <v>0</v>
      </c>
      <c r="AR457" s="158"/>
      <c r="AS457" s="158">
        <v>0</v>
      </c>
      <c r="AT457" s="158"/>
      <c r="AU457" s="158">
        <v>100.62</v>
      </c>
      <c r="AV457" s="158"/>
      <c r="AW457" s="158">
        <v>0</v>
      </c>
      <c r="AX457" s="158"/>
      <c r="AY457" s="158">
        <v>0</v>
      </c>
      <c r="AZ457" s="158"/>
      <c r="BA457" s="158">
        <v>0</v>
      </c>
      <c r="BB457" s="158"/>
      <c r="BC457" s="158">
        <v>0</v>
      </c>
      <c r="BD457" s="158"/>
      <c r="BE457" s="158">
        <v>0</v>
      </c>
      <c r="BF457" s="158"/>
      <c r="BG457" s="158">
        <v>114.39</v>
      </c>
      <c r="BH457" s="158"/>
      <c r="BI457" s="158">
        <v>176.28</v>
      </c>
      <c r="BJ457" s="158"/>
      <c r="BK457" s="158">
        <v>281.33999999999997</v>
      </c>
      <c r="BL457" s="158"/>
      <c r="BM457" s="158">
        <v>0</v>
      </c>
      <c r="BN457" s="158"/>
      <c r="BO457" s="158">
        <v>0</v>
      </c>
      <c r="BP457" s="158"/>
      <c r="BQ457" s="158">
        <v>0</v>
      </c>
      <c r="BR457" s="158"/>
      <c r="BS457" s="158">
        <v>0</v>
      </c>
      <c r="BT457" s="158"/>
    </row>
    <row r="458" spans="1:72" x14ac:dyDescent="0.2">
      <c r="A458" s="123" t="s">
        <v>1067</v>
      </c>
      <c r="B458" s="124" t="s">
        <v>1425</v>
      </c>
      <c r="C458" s="158">
        <v>0</v>
      </c>
      <c r="D458" s="158"/>
      <c r="E458" s="158">
        <v>0</v>
      </c>
      <c r="F458" s="158"/>
      <c r="G458" s="158">
        <v>0</v>
      </c>
      <c r="H458" s="158"/>
      <c r="I458" s="158">
        <v>0</v>
      </c>
      <c r="J458" s="158"/>
      <c r="K458" s="158">
        <v>235</v>
      </c>
      <c r="L458" s="158"/>
      <c r="M458" s="158">
        <v>0</v>
      </c>
      <c r="N458" s="158"/>
      <c r="O458" s="158">
        <v>0</v>
      </c>
      <c r="P458" s="158"/>
      <c r="Q458" s="158">
        <v>0</v>
      </c>
      <c r="R458" s="158"/>
      <c r="S458" s="158">
        <v>0</v>
      </c>
      <c r="T458" s="158"/>
      <c r="U458" s="158">
        <v>0</v>
      </c>
      <c r="V458" s="158"/>
      <c r="W458" s="158">
        <v>0</v>
      </c>
      <c r="X458" s="158"/>
      <c r="Y458" s="158">
        <v>48.24</v>
      </c>
      <c r="Z458" s="158"/>
      <c r="AA458" s="158">
        <v>0</v>
      </c>
      <c r="AB458" s="158"/>
      <c r="AC458" s="158">
        <v>0</v>
      </c>
      <c r="AD458" s="158"/>
      <c r="AE458" s="158">
        <v>0</v>
      </c>
      <c r="AF458" s="158"/>
      <c r="AG458" s="158">
        <v>0</v>
      </c>
      <c r="AH458" s="158"/>
      <c r="AI458" s="158">
        <v>0</v>
      </c>
      <c r="AJ458" s="158"/>
      <c r="AK458" s="158">
        <v>0</v>
      </c>
      <c r="AL458" s="158"/>
      <c r="AM458" s="158">
        <v>0</v>
      </c>
      <c r="AN458" s="158"/>
      <c r="AO458" s="158">
        <v>0</v>
      </c>
      <c r="AP458" s="158"/>
      <c r="AQ458" s="158">
        <v>0</v>
      </c>
      <c r="AR458" s="158"/>
      <c r="AS458" s="158">
        <v>0</v>
      </c>
      <c r="AT458" s="158"/>
      <c r="AU458" s="158">
        <v>0</v>
      </c>
      <c r="AV458" s="158"/>
      <c r="AW458" s="158">
        <v>0</v>
      </c>
      <c r="AX458" s="158"/>
      <c r="AY458" s="158">
        <v>0</v>
      </c>
      <c r="AZ458" s="158"/>
      <c r="BA458" s="158">
        <v>0</v>
      </c>
      <c r="BB458" s="158"/>
      <c r="BC458" s="158">
        <v>0</v>
      </c>
      <c r="BD458" s="158"/>
      <c r="BE458" s="158">
        <v>0</v>
      </c>
      <c r="BF458" s="158"/>
      <c r="BG458" s="158">
        <v>0</v>
      </c>
      <c r="BH458" s="158"/>
      <c r="BI458" s="158">
        <v>0</v>
      </c>
      <c r="BJ458" s="158"/>
      <c r="BK458" s="158">
        <v>0</v>
      </c>
      <c r="BL458" s="158"/>
      <c r="BM458" s="158">
        <v>0</v>
      </c>
      <c r="BN458" s="158"/>
      <c r="BO458" s="158">
        <v>0</v>
      </c>
      <c r="BP458" s="158"/>
      <c r="BQ458" s="158">
        <v>0</v>
      </c>
      <c r="BR458" s="158"/>
      <c r="BS458" s="158">
        <v>0</v>
      </c>
      <c r="BT458" s="158"/>
    </row>
    <row r="459" spans="1:72" x14ac:dyDescent="0.2">
      <c r="A459" s="123" t="s">
        <v>424</v>
      </c>
      <c r="B459" s="124" t="s">
        <v>684</v>
      </c>
      <c r="C459" s="158">
        <v>225</v>
      </c>
      <c r="D459" s="158"/>
      <c r="E459" s="158">
        <v>0</v>
      </c>
      <c r="F459" s="158"/>
      <c r="G459" s="158">
        <v>225</v>
      </c>
      <c r="H459" s="158"/>
      <c r="I459" s="158">
        <v>652.44000000000005</v>
      </c>
      <c r="J459" s="158"/>
      <c r="K459" s="158">
        <v>0</v>
      </c>
      <c r="L459" s="158"/>
      <c r="M459" s="158">
        <v>0</v>
      </c>
      <c r="N459" s="158"/>
      <c r="O459" s="158">
        <v>0</v>
      </c>
      <c r="P459" s="158"/>
      <c r="Q459" s="158">
        <v>0</v>
      </c>
      <c r="R459" s="158"/>
      <c r="S459" s="158">
        <v>0</v>
      </c>
      <c r="T459" s="158"/>
      <c r="U459" s="158">
        <v>0</v>
      </c>
      <c r="V459" s="158"/>
      <c r="W459" s="158">
        <v>0</v>
      </c>
      <c r="X459" s="158"/>
      <c r="Y459" s="158">
        <v>0</v>
      </c>
      <c r="Z459" s="158"/>
      <c r="AA459" s="158">
        <v>0</v>
      </c>
      <c r="AB459" s="158"/>
      <c r="AC459" s="158">
        <v>0</v>
      </c>
      <c r="AD459" s="158"/>
      <c r="AE459" s="158">
        <v>0</v>
      </c>
      <c r="AF459" s="158"/>
      <c r="AG459" s="158">
        <v>460.5</v>
      </c>
      <c r="AH459" s="158"/>
      <c r="AI459" s="158">
        <v>0</v>
      </c>
      <c r="AJ459" s="158"/>
      <c r="AK459" s="158">
        <v>0</v>
      </c>
      <c r="AL459" s="158"/>
      <c r="AM459" s="158">
        <v>0</v>
      </c>
      <c r="AN459" s="158"/>
      <c r="AO459" s="158">
        <v>0</v>
      </c>
      <c r="AP459" s="158"/>
      <c r="AQ459" s="158">
        <v>0</v>
      </c>
      <c r="AR459" s="158"/>
      <c r="AS459" s="158">
        <v>0</v>
      </c>
      <c r="AT459" s="158"/>
      <c r="AU459" s="158">
        <v>0</v>
      </c>
      <c r="AV459" s="158"/>
      <c r="AW459" s="158">
        <v>0</v>
      </c>
      <c r="AX459" s="158"/>
      <c r="AY459" s="158">
        <v>0</v>
      </c>
      <c r="AZ459" s="158"/>
      <c r="BA459" s="158">
        <v>0</v>
      </c>
      <c r="BB459" s="158"/>
      <c r="BC459" s="158">
        <v>0</v>
      </c>
      <c r="BD459" s="158"/>
      <c r="BE459" s="158">
        <v>906.83</v>
      </c>
      <c r="BF459" s="158"/>
      <c r="BG459" s="158">
        <v>0</v>
      </c>
      <c r="BH459" s="158"/>
      <c r="BI459" s="158">
        <v>0</v>
      </c>
      <c r="BJ459" s="158"/>
      <c r="BK459" s="158">
        <v>0</v>
      </c>
      <c r="BL459" s="158"/>
      <c r="BM459" s="158">
        <v>0</v>
      </c>
      <c r="BN459" s="158"/>
      <c r="BO459" s="158">
        <v>0</v>
      </c>
      <c r="BP459" s="158"/>
      <c r="BQ459" s="158">
        <v>0</v>
      </c>
      <c r="BR459" s="158"/>
      <c r="BS459" s="158">
        <v>0</v>
      </c>
      <c r="BT459" s="158"/>
    </row>
    <row r="460" spans="1:72" x14ac:dyDescent="0.2">
      <c r="A460" s="123" t="s">
        <v>506</v>
      </c>
      <c r="B460" s="124" t="s">
        <v>683</v>
      </c>
      <c r="C460" s="158">
        <v>0</v>
      </c>
      <c r="D460" s="158"/>
      <c r="E460" s="158">
        <v>0</v>
      </c>
      <c r="F460" s="158"/>
      <c r="G460" s="158">
        <v>0</v>
      </c>
      <c r="H460" s="158"/>
      <c r="I460" s="158">
        <v>0</v>
      </c>
      <c r="J460" s="158"/>
      <c r="K460" s="158">
        <v>3045</v>
      </c>
      <c r="L460" s="158"/>
      <c r="M460" s="158">
        <v>0</v>
      </c>
      <c r="N460" s="158"/>
      <c r="O460" s="158">
        <v>0</v>
      </c>
      <c r="P460" s="158"/>
      <c r="Q460" s="158">
        <v>0</v>
      </c>
      <c r="R460" s="158"/>
      <c r="S460" s="158">
        <v>0</v>
      </c>
      <c r="T460" s="158"/>
      <c r="U460" s="158">
        <v>0</v>
      </c>
      <c r="V460" s="158"/>
      <c r="W460" s="158">
        <v>0</v>
      </c>
      <c r="X460" s="158"/>
      <c r="Y460" s="158">
        <v>0</v>
      </c>
      <c r="Z460" s="158"/>
      <c r="AA460" s="158">
        <v>0</v>
      </c>
      <c r="AB460" s="158"/>
      <c r="AC460" s="158">
        <v>0</v>
      </c>
      <c r="AD460" s="158"/>
      <c r="AE460" s="158">
        <v>0</v>
      </c>
      <c r="AF460" s="158"/>
      <c r="AG460" s="158">
        <v>0</v>
      </c>
      <c r="AH460" s="158"/>
      <c r="AI460" s="158">
        <v>0</v>
      </c>
      <c r="AJ460" s="158"/>
      <c r="AK460" s="158">
        <v>0</v>
      </c>
      <c r="AL460" s="158"/>
      <c r="AM460" s="158">
        <v>0</v>
      </c>
      <c r="AN460" s="158"/>
      <c r="AO460" s="158">
        <v>5153.63</v>
      </c>
      <c r="AP460" s="158"/>
      <c r="AQ460" s="158">
        <v>0</v>
      </c>
      <c r="AR460" s="158"/>
      <c r="AS460" s="158">
        <v>0</v>
      </c>
      <c r="AT460" s="158"/>
      <c r="AU460" s="158">
        <v>527.70000000000005</v>
      </c>
      <c r="AV460" s="158"/>
      <c r="AW460" s="158">
        <v>0</v>
      </c>
      <c r="AX460" s="158"/>
      <c r="AY460" s="158">
        <v>0</v>
      </c>
      <c r="AZ460" s="158"/>
      <c r="BA460" s="158">
        <v>0</v>
      </c>
      <c r="BB460" s="158"/>
      <c r="BC460" s="158">
        <v>3222.36</v>
      </c>
      <c r="BD460" s="158"/>
      <c r="BE460" s="158">
        <v>0</v>
      </c>
      <c r="BF460" s="158"/>
      <c r="BG460" s="158">
        <v>0</v>
      </c>
      <c r="BH460" s="158"/>
      <c r="BI460" s="158">
        <v>0</v>
      </c>
      <c r="BJ460" s="158"/>
      <c r="BK460" s="158">
        <v>0</v>
      </c>
      <c r="BL460" s="158"/>
      <c r="BM460" s="158">
        <v>-444.06</v>
      </c>
      <c r="BN460" s="158"/>
      <c r="BO460" s="158">
        <v>0</v>
      </c>
      <c r="BP460" s="158"/>
      <c r="BQ460" s="158">
        <v>-10000</v>
      </c>
      <c r="BR460" s="158"/>
      <c r="BS460" s="158">
        <v>0</v>
      </c>
      <c r="BT460" s="158"/>
    </row>
    <row r="461" spans="1:72" x14ac:dyDescent="0.2">
      <c r="A461" s="123" t="s">
        <v>641</v>
      </c>
      <c r="B461" s="124" t="s">
        <v>682</v>
      </c>
      <c r="C461" s="158">
        <v>0</v>
      </c>
      <c r="D461" s="158"/>
      <c r="E461" s="158">
        <v>0</v>
      </c>
      <c r="F461" s="158"/>
      <c r="G461" s="158">
        <v>0</v>
      </c>
      <c r="H461" s="158"/>
      <c r="I461" s="158">
        <v>0</v>
      </c>
      <c r="J461" s="158"/>
      <c r="K461" s="158">
        <v>0</v>
      </c>
      <c r="L461" s="158"/>
      <c r="M461" s="158">
        <v>0</v>
      </c>
      <c r="N461" s="158"/>
      <c r="O461" s="158">
        <v>0</v>
      </c>
      <c r="P461" s="158"/>
      <c r="Q461" s="158">
        <v>0</v>
      </c>
      <c r="R461" s="158"/>
      <c r="S461" s="158">
        <v>0</v>
      </c>
      <c r="T461" s="158"/>
      <c r="U461" s="158">
        <v>0</v>
      </c>
      <c r="V461" s="158"/>
      <c r="W461" s="158">
        <v>0</v>
      </c>
      <c r="X461" s="158"/>
      <c r="Y461" s="158">
        <v>0</v>
      </c>
      <c r="Z461" s="158"/>
      <c r="AA461" s="158">
        <v>0</v>
      </c>
      <c r="AB461" s="158"/>
      <c r="AC461" s="158">
        <v>93.49</v>
      </c>
      <c r="AD461" s="158"/>
      <c r="AE461" s="158">
        <v>0</v>
      </c>
      <c r="AF461" s="158"/>
      <c r="AG461" s="158">
        <v>0</v>
      </c>
      <c r="AH461" s="158"/>
      <c r="AI461" s="158">
        <v>0</v>
      </c>
      <c r="AJ461" s="158"/>
      <c r="AK461" s="158">
        <v>0</v>
      </c>
      <c r="AL461" s="158"/>
      <c r="AM461" s="158">
        <v>0</v>
      </c>
      <c r="AN461" s="158"/>
      <c r="AO461" s="158">
        <v>0</v>
      </c>
      <c r="AP461" s="158"/>
      <c r="AQ461" s="158">
        <v>0</v>
      </c>
      <c r="AR461" s="158"/>
      <c r="AS461" s="158">
        <v>0</v>
      </c>
      <c r="AT461" s="158"/>
      <c r="AU461" s="158">
        <v>0</v>
      </c>
      <c r="AV461" s="158"/>
      <c r="AW461" s="158">
        <v>0</v>
      </c>
      <c r="AX461" s="158"/>
      <c r="AY461" s="158">
        <v>0</v>
      </c>
      <c r="AZ461" s="158"/>
      <c r="BA461" s="158">
        <v>0</v>
      </c>
      <c r="BB461" s="158"/>
      <c r="BC461" s="158">
        <v>0</v>
      </c>
      <c r="BD461" s="158"/>
      <c r="BE461" s="158">
        <v>0</v>
      </c>
      <c r="BF461" s="158"/>
      <c r="BG461" s="158">
        <v>0</v>
      </c>
      <c r="BH461" s="158"/>
      <c r="BI461" s="158">
        <v>0</v>
      </c>
      <c r="BJ461" s="158"/>
      <c r="BK461" s="158">
        <v>0</v>
      </c>
      <c r="BL461" s="158"/>
      <c r="BM461" s="158">
        <v>0</v>
      </c>
      <c r="BN461" s="158"/>
      <c r="BO461" s="158">
        <v>0</v>
      </c>
      <c r="BP461" s="158"/>
      <c r="BQ461" s="158">
        <v>0</v>
      </c>
      <c r="BR461" s="158"/>
      <c r="BS461" s="158">
        <v>0</v>
      </c>
      <c r="BT461" s="158"/>
    </row>
    <row r="462" spans="1:72" x14ac:dyDescent="0.2">
      <c r="A462" s="123" t="s">
        <v>425</v>
      </c>
      <c r="B462" s="124" t="s">
        <v>681</v>
      </c>
      <c r="C462" s="158">
        <v>11511.46</v>
      </c>
      <c r="D462" s="158">
        <f>SUM(C462:C463)</f>
        <v>89974.06</v>
      </c>
      <c r="E462" s="158">
        <v>4282.26</v>
      </c>
      <c r="F462" s="158">
        <f>SUM(E462:E463)</f>
        <v>117413.20999999999</v>
      </c>
      <c r="G462" s="158">
        <v>10805.83</v>
      </c>
      <c r="H462" s="158">
        <f>SUM(G462:G463)</f>
        <v>85572.930000000008</v>
      </c>
      <c r="I462" s="158">
        <v>10941.69</v>
      </c>
      <c r="J462" s="158">
        <f>SUM(I462:I463)</f>
        <v>115509.47</v>
      </c>
      <c r="K462" s="158">
        <v>28715.72</v>
      </c>
      <c r="L462" s="158">
        <f>SUM(K462:K463)</f>
        <v>181875.72</v>
      </c>
      <c r="M462" s="158">
        <v>18561.16</v>
      </c>
      <c r="N462" s="158">
        <f>SUM(M462:M465)</f>
        <v>133397.79999999999</v>
      </c>
      <c r="O462" s="158">
        <v>5783.92</v>
      </c>
      <c r="P462" s="158">
        <f>SUM(O462:O463)</f>
        <v>54573.919999999998</v>
      </c>
      <c r="Q462" s="158">
        <v>4782.08</v>
      </c>
      <c r="R462" s="158">
        <f>SUM(Q462:Q463)</f>
        <v>121166.73</v>
      </c>
      <c r="S462" s="158">
        <v>3388.03</v>
      </c>
      <c r="T462" s="158">
        <f>SUM(S462:S463)</f>
        <v>112709.55</v>
      </c>
      <c r="U462" s="158">
        <v>2823.75</v>
      </c>
      <c r="V462" s="158">
        <f>SUM(U462:U463)</f>
        <v>67696.679999999993</v>
      </c>
      <c r="W462" s="158">
        <v>3163.99</v>
      </c>
      <c r="X462" s="158">
        <f>SUM(W462:W463)</f>
        <v>63874.32</v>
      </c>
      <c r="Y462" s="158">
        <v>3961.7</v>
      </c>
      <c r="Z462" s="158">
        <f>SUM(Y462:Y463)</f>
        <v>128801.47</v>
      </c>
      <c r="AA462" s="158">
        <v>23732.17</v>
      </c>
      <c r="AB462" s="158">
        <f>SUM(AA462:AA463)</f>
        <v>102312.31</v>
      </c>
      <c r="AC462" s="158">
        <v>1546.82</v>
      </c>
      <c r="AD462" s="158">
        <f>SUM(AC462:AC463)</f>
        <v>44894.559999999998</v>
      </c>
      <c r="AE462" s="158">
        <v>13141.21</v>
      </c>
      <c r="AF462" s="158">
        <f>SUM(AE462:AE463)</f>
        <v>145979.97</v>
      </c>
      <c r="AG462" s="158">
        <v>23020.92</v>
      </c>
      <c r="AH462" s="158">
        <f>SUM(AG462:AG463)</f>
        <v>88765.18</v>
      </c>
      <c r="AI462" s="158">
        <v>1767.29</v>
      </c>
      <c r="AJ462" s="158">
        <f>SUM(AI462:AI463)</f>
        <v>48953.79</v>
      </c>
      <c r="AK462" s="158">
        <v>3437.1</v>
      </c>
      <c r="AL462" s="158">
        <f>SUM(AK462:AK463)</f>
        <v>107218.6</v>
      </c>
      <c r="AM462" s="158">
        <v>4526.25</v>
      </c>
      <c r="AN462" s="158">
        <f>SUM(AM462:AM463)</f>
        <v>110276.87</v>
      </c>
      <c r="AO462" s="158">
        <v>9605.27</v>
      </c>
      <c r="AP462" s="158">
        <f>SUM(AO462:AO463)</f>
        <v>112544.17</v>
      </c>
      <c r="AQ462" s="158">
        <v>6505</v>
      </c>
      <c r="AR462" s="158">
        <f>SUM(AQ462:AQ463)</f>
        <v>219935</v>
      </c>
      <c r="AS462" s="158">
        <v>21201.68</v>
      </c>
      <c r="AT462" s="158">
        <f>AS462+AS463</f>
        <v>106894.68</v>
      </c>
      <c r="AU462" s="158">
        <v>38557.06</v>
      </c>
      <c r="AV462" s="158"/>
      <c r="AW462" s="158">
        <v>3880</v>
      </c>
      <c r="AX462" s="158">
        <f>SUM(AW462:AW463)</f>
        <v>103071.21</v>
      </c>
      <c r="AY462" s="158">
        <v>5539.16</v>
      </c>
      <c r="AZ462" s="158">
        <f>SUM(AY462:AY463)</f>
        <v>127028.77</v>
      </c>
      <c r="BA462" s="158">
        <v>2812.5</v>
      </c>
      <c r="BB462" s="158">
        <f>SUM(BA462:BA463)</f>
        <v>107468.25</v>
      </c>
      <c r="BC462" s="158">
        <v>5065.8500000000004</v>
      </c>
      <c r="BD462" s="158">
        <f>SUM(BC462:BC463)</f>
        <v>142489.85</v>
      </c>
      <c r="BE462" s="158">
        <v>5650</v>
      </c>
      <c r="BF462" s="158">
        <f>SUM(BE462:BE463)</f>
        <v>162128.49</v>
      </c>
      <c r="BG462" s="158">
        <v>4837.95</v>
      </c>
      <c r="BH462" s="158">
        <f>SUM(BG462:BG463)</f>
        <v>105083.95</v>
      </c>
      <c r="BI462" s="158">
        <v>6943.4</v>
      </c>
      <c r="BJ462" s="158">
        <f>SUM(BI462:BI463)</f>
        <v>129815.4</v>
      </c>
      <c r="BK462" s="158">
        <v>9268.75</v>
      </c>
      <c r="BL462" s="158">
        <f>SUM(BK462:BK463)</f>
        <v>78720.98</v>
      </c>
      <c r="BM462" s="158">
        <v>2908.71</v>
      </c>
      <c r="BN462" s="158">
        <f>SUM(BM462:BM463)</f>
        <v>94003.71</v>
      </c>
      <c r="BO462" s="158">
        <v>3400.82</v>
      </c>
      <c r="BP462" s="158">
        <f>SUM(BO462:BO463)</f>
        <v>85866.280000000013</v>
      </c>
      <c r="BQ462" s="158">
        <v>3431.25</v>
      </c>
      <c r="BR462" s="158">
        <f>SUM(BQ462:BQ463)</f>
        <v>88522.78</v>
      </c>
      <c r="BS462" s="158">
        <v>3323.75</v>
      </c>
      <c r="BT462" s="158">
        <f>SUM(BS462:BS463)</f>
        <v>116608.23</v>
      </c>
    </row>
    <row r="463" spans="1:72" x14ac:dyDescent="0.2">
      <c r="A463" s="123" t="s">
        <v>426</v>
      </c>
      <c r="B463" s="124" t="s">
        <v>680</v>
      </c>
      <c r="C463" s="158">
        <v>78462.600000000006</v>
      </c>
      <c r="D463" s="158"/>
      <c r="E463" s="158">
        <v>113130.95</v>
      </c>
      <c r="F463" s="158"/>
      <c r="G463" s="158">
        <v>74767.100000000006</v>
      </c>
      <c r="H463" s="158"/>
      <c r="I463" s="158">
        <v>104567.78</v>
      </c>
      <c r="J463" s="158"/>
      <c r="K463" s="158">
        <v>153160</v>
      </c>
      <c r="L463" s="158"/>
      <c r="M463" s="158">
        <v>114836.64</v>
      </c>
      <c r="N463" s="158"/>
      <c r="O463" s="158">
        <v>48790</v>
      </c>
      <c r="P463" s="158"/>
      <c r="Q463" s="158">
        <v>116384.65</v>
      </c>
      <c r="R463" s="158"/>
      <c r="S463" s="158">
        <v>109321.52</v>
      </c>
      <c r="T463" s="158"/>
      <c r="U463" s="158">
        <v>64872.93</v>
      </c>
      <c r="V463" s="158"/>
      <c r="W463" s="158">
        <v>60710.33</v>
      </c>
      <c r="X463" s="158"/>
      <c r="Y463" s="158">
        <v>124839.77</v>
      </c>
      <c r="Z463" s="158"/>
      <c r="AA463" s="158">
        <v>78580.14</v>
      </c>
      <c r="AB463" s="158"/>
      <c r="AC463" s="158">
        <v>43347.74</v>
      </c>
      <c r="AD463" s="158"/>
      <c r="AE463" s="158">
        <v>132838.76</v>
      </c>
      <c r="AF463" s="158"/>
      <c r="AG463" s="158">
        <v>65744.259999999995</v>
      </c>
      <c r="AH463" s="158"/>
      <c r="AI463" s="158">
        <v>47186.5</v>
      </c>
      <c r="AJ463" s="158"/>
      <c r="AK463" s="158">
        <v>103781.5</v>
      </c>
      <c r="AL463" s="158"/>
      <c r="AM463" s="158">
        <v>105750.62</v>
      </c>
      <c r="AN463" s="158"/>
      <c r="AO463" s="158">
        <v>102938.9</v>
      </c>
      <c r="AP463" s="158"/>
      <c r="AQ463" s="158">
        <v>213430</v>
      </c>
      <c r="AR463" s="158"/>
      <c r="AS463" s="158">
        <v>85693</v>
      </c>
      <c r="AT463" s="158"/>
      <c r="AU463" s="158">
        <v>79321.31</v>
      </c>
      <c r="AV463" s="158">
        <f>SUM(AU462:AU463)</f>
        <v>117878.37</v>
      </c>
      <c r="AW463" s="158">
        <v>99191.21</v>
      </c>
      <c r="AX463" s="158"/>
      <c r="AY463" s="158">
        <v>121489.61</v>
      </c>
      <c r="AZ463" s="158"/>
      <c r="BA463" s="158">
        <v>104655.75</v>
      </c>
      <c r="BB463" s="158"/>
      <c r="BC463" s="158">
        <v>137424</v>
      </c>
      <c r="BD463" s="158"/>
      <c r="BE463" s="158">
        <v>156478.49</v>
      </c>
      <c r="BF463" s="158"/>
      <c r="BG463" s="158">
        <v>100246</v>
      </c>
      <c r="BH463" s="158"/>
      <c r="BI463" s="158">
        <v>122872</v>
      </c>
      <c r="BJ463" s="158"/>
      <c r="BK463" s="158">
        <v>69452.23</v>
      </c>
      <c r="BL463" s="158"/>
      <c r="BM463" s="158">
        <v>91095</v>
      </c>
      <c r="BN463" s="158"/>
      <c r="BO463" s="158">
        <v>82465.460000000006</v>
      </c>
      <c r="BP463" s="158"/>
      <c r="BQ463" s="158">
        <v>85091.53</v>
      </c>
      <c r="BR463" s="158"/>
      <c r="BS463" s="158">
        <v>113284.48</v>
      </c>
      <c r="BT463" s="158"/>
    </row>
    <row r="464" spans="1:72" x14ac:dyDescent="0.2">
      <c r="A464" s="123" t="s">
        <v>1426</v>
      </c>
      <c r="B464" s="124" t="s">
        <v>1427</v>
      </c>
      <c r="C464" s="158">
        <v>0</v>
      </c>
      <c r="D464" s="158"/>
      <c r="E464" s="158">
        <v>0</v>
      </c>
      <c r="F464" s="158"/>
      <c r="G464" s="158">
        <v>0</v>
      </c>
      <c r="H464" s="158"/>
      <c r="I464" s="158">
        <v>-87597.7</v>
      </c>
      <c r="J464" s="158"/>
      <c r="K464" s="158">
        <v>0</v>
      </c>
      <c r="L464" s="158"/>
      <c r="M464" s="158">
        <v>0</v>
      </c>
      <c r="N464" s="158"/>
      <c r="O464" s="158">
        <v>0</v>
      </c>
      <c r="P464" s="158"/>
      <c r="Q464" s="158">
        <v>0</v>
      </c>
      <c r="R464" s="158"/>
      <c r="S464" s="158">
        <v>0</v>
      </c>
      <c r="T464" s="158"/>
      <c r="U464" s="158">
        <v>0</v>
      </c>
      <c r="V464" s="158"/>
      <c r="W464" s="158">
        <v>0</v>
      </c>
      <c r="X464" s="158"/>
      <c r="Y464" s="158">
        <v>0</v>
      </c>
      <c r="Z464" s="158"/>
      <c r="AA464" s="158">
        <v>0</v>
      </c>
      <c r="AB464" s="158"/>
      <c r="AC464" s="158">
        <v>0</v>
      </c>
      <c r="AD464" s="158"/>
      <c r="AE464" s="158">
        <v>0</v>
      </c>
      <c r="AF464" s="158"/>
      <c r="AG464" s="158">
        <v>0</v>
      </c>
      <c r="AH464" s="158"/>
      <c r="AI464" s="158">
        <v>0</v>
      </c>
      <c r="AJ464" s="158"/>
      <c r="AK464" s="158">
        <v>0</v>
      </c>
      <c r="AL464" s="158"/>
      <c r="AM464" s="158">
        <v>0</v>
      </c>
      <c r="AN464" s="158"/>
      <c r="AO464" s="158">
        <v>0</v>
      </c>
      <c r="AP464" s="158"/>
      <c r="AQ464" s="158">
        <v>0</v>
      </c>
      <c r="AR464" s="158"/>
      <c r="AS464" s="158">
        <v>0</v>
      </c>
      <c r="AT464" s="158"/>
      <c r="AU464" s="158">
        <v>0</v>
      </c>
      <c r="AV464" s="158"/>
      <c r="AW464" s="158">
        <v>0</v>
      </c>
      <c r="AX464" s="158"/>
      <c r="AY464" s="158">
        <v>0</v>
      </c>
      <c r="AZ464" s="158"/>
      <c r="BA464" s="158">
        <v>0</v>
      </c>
      <c r="BB464" s="158"/>
      <c r="BC464" s="158">
        <v>0</v>
      </c>
      <c r="BD464" s="158"/>
      <c r="BE464" s="158">
        <v>0</v>
      </c>
      <c r="BF464" s="158"/>
      <c r="BG464" s="158">
        <v>0</v>
      </c>
      <c r="BH464" s="158"/>
      <c r="BI464" s="158">
        <v>0</v>
      </c>
      <c r="BJ464" s="158"/>
      <c r="BK464" s="158">
        <v>0</v>
      </c>
      <c r="BL464" s="158"/>
      <c r="BM464" s="158">
        <v>0</v>
      </c>
      <c r="BN464" s="158"/>
      <c r="BO464" s="158">
        <v>0</v>
      </c>
      <c r="BP464" s="158"/>
      <c r="BQ464" s="158">
        <v>0</v>
      </c>
      <c r="BR464" s="158"/>
      <c r="BS464" s="158">
        <v>0</v>
      </c>
      <c r="BT464" s="158"/>
    </row>
    <row r="465" spans="1:73" x14ac:dyDescent="0.2">
      <c r="A465" s="123" t="s">
        <v>679</v>
      </c>
      <c r="B465" s="124" t="s">
        <v>678</v>
      </c>
      <c r="C465" s="158">
        <v>0</v>
      </c>
      <c r="D465" s="158"/>
      <c r="E465" s="158">
        <v>0</v>
      </c>
      <c r="F465" s="158"/>
      <c r="G465" s="158">
        <v>0</v>
      </c>
      <c r="H465" s="158"/>
      <c r="I465" s="158">
        <v>0</v>
      </c>
      <c r="J465" s="158"/>
      <c r="K465" s="158">
        <v>0</v>
      </c>
      <c r="L465" s="158"/>
      <c r="M465" s="158">
        <v>0</v>
      </c>
      <c r="N465" s="158"/>
      <c r="O465" s="158">
        <v>0</v>
      </c>
      <c r="P465" s="158"/>
      <c r="Q465" s="158">
        <v>0</v>
      </c>
      <c r="R465" s="158"/>
      <c r="S465" s="158">
        <v>0</v>
      </c>
      <c r="T465" s="158"/>
      <c r="U465" s="158">
        <v>0</v>
      </c>
      <c r="V465" s="158"/>
      <c r="W465" s="158">
        <v>0</v>
      </c>
      <c r="X465" s="158"/>
      <c r="Y465" s="158">
        <v>0</v>
      </c>
      <c r="Z465" s="158"/>
      <c r="AA465" s="158">
        <v>0</v>
      </c>
      <c r="AB465" s="158"/>
      <c r="AC465" s="158">
        <v>0</v>
      </c>
      <c r="AD465" s="158"/>
      <c r="AE465" s="158">
        <v>0</v>
      </c>
      <c r="AF465" s="158"/>
      <c r="AG465" s="158">
        <v>0</v>
      </c>
      <c r="AH465" s="158"/>
      <c r="AI465" s="158">
        <v>0</v>
      </c>
      <c r="AJ465" s="158"/>
      <c r="AK465" s="158">
        <v>0</v>
      </c>
      <c r="AL465" s="158"/>
      <c r="AM465" s="158">
        <v>24667.05</v>
      </c>
      <c r="AN465" s="158"/>
      <c r="AO465" s="158">
        <v>0</v>
      </c>
      <c r="AP465" s="158"/>
      <c r="AQ465" s="158">
        <v>0</v>
      </c>
      <c r="AR465" s="158"/>
      <c r="AS465" s="158">
        <v>0</v>
      </c>
      <c r="AT465" s="158"/>
      <c r="AU465" s="158">
        <v>0</v>
      </c>
      <c r="AV465" s="158"/>
      <c r="AW465" s="158">
        <v>0</v>
      </c>
      <c r="AX465" s="158"/>
      <c r="AY465" s="158">
        <v>0</v>
      </c>
      <c r="AZ465" s="158"/>
      <c r="BA465" s="158">
        <v>0</v>
      </c>
      <c r="BB465" s="158"/>
      <c r="BC465" s="158">
        <v>0</v>
      </c>
      <c r="BD465" s="158"/>
      <c r="BE465" s="158">
        <v>0</v>
      </c>
      <c r="BF465" s="158"/>
      <c r="BG465" s="158">
        <v>0</v>
      </c>
      <c r="BH465" s="158"/>
      <c r="BI465" s="158">
        <v>0</v>
      </c>
      <c r="BJ465" s="158"/>
      <c r="BK465" s="158">
        <v>0</v>
      </c>
      <c r="BL465" s="158"/>
      <c r="BM465" s="158">
        <v>0</v>
      </c>
      <c r="BN465" s="158"/>
      <c r="BO465" s="158">
        <v>0</v>
      </c>
      <c r="BP465" s="158"/>
      <c r="BQ465" s="158">
        <v>0</v>
      </c>
      <c r="BR465" s="158"/>
      <c r="BS465" s="158">
        <v>0</v>
      </c>
      <c r="BT465" s="158"/>
    </row>
    <row r="466" spans="1:73" x14ac:dyDescent="0.2">
      <c r="A466" s="123" t="s">
        <v>427</v>
      </c>
      <c r="B466" s="124" t="s">
        <v>677</v>
      </c>
      <c r="C466" s="158">
        <v>7042.6</v>
      </c>
      <c r="D466" s="158"/>
      <c r="E466" s="158">
        <v>15.96</v>
      </c>
      <c r="F466" s="158"/>
      <c r="G466" s="158">
        <v>6069.45</v>
      </c>
      <c r="H466" s="158"/>
      <c r="I466" s="158">
        <v>33179.42</v>
      </c>
      <c r="J466" s="158"/>
      <c r="K466" s="158">
        <v>7448.35</v>
      </c>
      <c r="L466" s="158"/>
      <c r="M466" s="158">
        <v>6921.41</v>
      </c>
      <c r="N466" s="158"/>
      <c r="O466" s="158">
        <v>9289.86</v>
      </c>
      <c r="P466" s="158"/>
      <c r="Q466" s="158">
        <v>21102.5</v>
      </c>
      <c r="R466" s="158"/>
      <c r="S466" s="158">
        <v>0</v>
      </c>
      <c r="T466" s="158"/>
      <c r="U466" s="158">
        <v>8455.35</v>
      </c>
      <c r="V466" s="158"/>
      <c r="W466" s="158">
        <v>0</v>
      </c>
      <c r="X466" s="158"/>
      <c r="Y466" s="158">
        <v>6587.94</v>
      </c>
      <c r="Z466" s="158"/>
      <c r="AA466" s="158">
        <v>9061.31</v>
      </c>
      <c r="AB466" s="158"/>
      <c r="AC466" s="158">
        <v>0</v>
      </c>
      <c r="AD466" s="158"/>
      <c r="AE466" s="158">
        <v>4641.41</v>
      </c>
      <c r="AF466" s="158"/>
      <c r="AG466" s="158">
        <v>8955.7099999999991</v>
      </c>
      <c r="AH466" s="158"/>
      <c r="AI466" s="158">
        <v>3125</v>
      </c>
      <c r="AJ466" s="158"/>
      <c r="AK466" s="158">
        <v>13440</v>
      </c>
      <c r="AL466" s="158"/>
      <c r="AM466" s="158">
        <v>11921</v>
      </c>
      <c r="AN466" s="158"/>
      <c r="AO466" s="158">
        <v>0</v>
      </c>
      <c r="AP466" s="158"/>
      <c r="AQ466" s="158">
        <v>31528.15</v>
      </c>
      <c r="AR466" s="158"/>
      <c r="AS466" s="158">
        <v>10398.68</v>
      </c>
      <c r="AT466" s="158"/>
      <c r="AU466" s="158">
        <v>3671.36</v>
      </c>
      <c r="AV466" s="158"/>
      <c r="AW466" s="158">
        <v>0</v>
      </c>
      <c r="AX466" s="158"/>
      <c r="AY466" s="158">
        <v>17684.34</v>
      </c>
      <c r="AZ466" s="158"/>
      <c r="BA466" s="158">
        <v>0</v>
      </c>
      <c r="BB466" s="158"/>
      <c r="BC466" s="158">
        <v>23478.11</v>
      </c>
      <c r="BD466" s="158"/>
      <c r="BE466" s="158">
        <v>22454.47</v>
      </c>
      <c r="BF466" s="158"/>
      <c r="BG466" s="158">
        <v>14843.18</v>
      </c>
      <c r="BH466" s="158"/>
      <c r="BI466" s="158">
        <v>0</v>
      </c>
      <c r="BJ466" s="158"/>
      <c r="BK466" s="158">
        <v>2432.21</v>
      </c>
      <c r="BL466" s="158"/>
      <c r="BM466" s="158">
        <v>109.21</v>
      </c>
      <c r="BN466" s="158"/>
      <c r="BO466" s="158">
        <v>13176</v>
      </c>
      <c r="BP466" s="158"/>
      <c r="BQ466" s="158">
        <v>14546.05</v>
      </c>
      <c r="BR466" s="158"/>
      <c r="BS466" s="158">
        <v>15234.76</v>
      </c>
      <c r="BT466" s="158"/>
    </row>
    <row r="467" spans="1:73" x14ac:dyDescent="0.2">
      <c r="A467" s="123" t="s">
        <v>428</v>
      </c>
      <c r="B467" s="124" t="s">
        <v>676</v>
      </c>
      <c r="C467" s="158">
        <v>2000.08</v>
      </c>
      <c r="D467" s="158"/>
      <c r="E467" s="158">
        <v>0</v>
      </c>
      <c r="F467" s="158"/>
      <c r="G467" s="158">
        <v>2683.9</v>
      </c>
      <c r="H467" s="158"/>
      <c r="I467" s="158">
        <v>7405.27</v>
      </c>
      <c r="J467" s="158"/>
      <c r="K467" s="158">
        <v>0</v>
      </c>
      <c r="L467" s="158"/>
      <c r="M467" s="158">
        <v>0</v>
      </c>
      <c r="N467" s="158"/>
      <c r="O467" s="158">
        <v>-0.38</v>
      </c>
      <c r="P467" s="158"/>
      <c r="Q467" s="158">
        <v>0</v>
      </c>
      <c r="R467" s="158"/>
      <c r="S467" s="158">
        <v>14.33</v>
      </c>
      <c r="T467" s="158"/>
      <c r="U467" s="158">
        <v>30647.1</v>
      </c>
      <c r="V467" s="158"/>
      <c r="W467" s="158">
        <v>6854.79</v>
      </c>
      <c r="X467" s="158"/>
      <c r="Y467" s="158">
        <v>0</v>
      </c>
      <c r="Z467" s="158"/>
      <c r="AA467" s="158">
        <v>1855.52</v>
      </c>
      <c r="AB467" s="158"/>
      <c r="AC467" s="158">
        <v>6199.4</v>
      </c>
      <c r="AD467" s="158"/>
      <c r="AE467" s="158">
        <v>3333.35</v>
      </c>
      <c r="AF467" s="158"/>
      <c r="AG467" s="158">
        <v>6112.67</v>
      </c>
      <c r="AH467" s="158"/>
      <c r="AI467" s="158">
        <v>0</v>
      </c>
      <c r="AJ467" s="158"/>
      <c r="AK467" s="158">
        <v>0</v>
      </c>
      <c r="AL467" s="158"/>
      <c r="AM467" s="158">
        <v>6426.95</v>
      </c>
      <c r="AN467" s="158"/>
      <c r="AO467" s="158">
        <v>8915.9</v>
      </c>
      <c r="AP467" s="158"/>
      <c r="AQ467" s="158">
        <v>10000</v>
      </c>
      <c r="AR467" s="158"/>
      <c r="AS467" s="158">
        <v>5039.63</v>
      </c>
      <c r="AT467" s="158"/>
      <c r="AU467" s="158">
        <v>548.5</v>
      </c>
      <c r="AV467" s="158"/>
      <c r="AW467" s="158">
        <v>23557.05</v>
      </c>
      <c r="AX467" s="158"/>
      <c r="AY467" s="158">
        <v>0</v>
      </c>
      <c r="AZ467" s="158"/>
      <c r="BA467" s="158">
        <v>0</v>
      </c>
      <c r="BB467" s="158"/>
      <c r="BC467" s="158">
        <v>0</v>
      </c>
      <c r="BD467" s="158"/>
      <c r="BE467" s="158">
        <v>0</v>
      </c>
      <c r="BF467" s="158"/>
      <c r="BG467" s="158">
        <v>0</v>
      </c>
      <c r="BH467" s="158"/>
      <c r="BI467" s="158">
        <v>0</v>
      </c>
      <c r="BJ467" s="158"/>
      <c r="BK467" s="158">
        <v>0</v>
      </c>
      <c r="BL467" s="158"/>
      <c r="BM467" s="158">
        <v>3979.05</v>
      </c>
      <c r="BN467" s="158"/>
      <c r="BO467" s="158">
        <v>17586.349999999999</v>
      </c>
      <c r="BP467" s="158"/>
      <c r="BQ467" s="158">
        <v>5216.5</v>
      </c>
      <c r="BR467" s="158"/>
      <c r="BS467" s="158">
        <v>10215.99</v>
      </c>
      <c r="BT467" s="158"/>
    </row>
    <row r="468" spans="1:73" x14ac:dyDescent="0.2">
      <c r="A468" s="123" t="s">
        <v>623</v>
      </c>
      <c r="B468" s="124" t="s">
        <v>675</v>
      </c>
      <c r="C468" s="158">
        <v>2652.4</v>
      </c>
      <c r="D468" s="158"/>
      <c r="E468" s="158">
        <v>0</v>
      </c>
      <c r="F468" s="158"/>
      <c r="G468" s="158">
        <v>0</v>
      </c>
      <c r="H468" s="158"/>
      <c r="I468" s="158">
        <v>8333.31</v>
      </c>
      <c r="J468" s="158"/>
      <c r="K468" s="158">
        <v>0</v>
      </c>
      <c r="L468" s="158"/>
      <c r="M468" s="158">
        <v>0</v>
      </c>
      <c r="N468" s="158"/>
      <c r="O468" s="158">
        <v>0</v>
      </c>
      <c r="P468" s="158"/>
      <c r="Q468" s="158">
        <v>0</v>
      </c>
      <c r="R468" s="158"/>
      <c r="S468" s="158">
        <v>0</v>
      </c>
      <c r="T468" s="158"/>
      <c r="U468" s="158">
        <v>0</v>
      </c>
      <c r="V468" s="158"/>
      <c r="W468" s="158">
        <v>0</v>
      </c>
      <c r="X468" s="158"/>
      <c r="Y468" s="158">
        <v>0</v>
      </c>
      <c r="Z468" s="158"/>
      <c r="AA468" s="158">
        <v>0</v>
      </c>
      <c r="AB468" s="158"/>
      <c r="AC468" s="158">
        <v>0</v>
      </c>
      <c r="AD468" s="158"/>
      <c r="AE468" s="158">
        <v>0</v>
      </c>
      <c r="AF468" s="158"/>
      <c r="AG468" s="158">
        <v>0</v>
      </c>
      <c r="AH468" s="158"/>
      <c r="AI468" s="158">
        <v>0</v>
      </c>
      <c r="AJ468" s="158"/>
      <c r="AK468" s="158">
        <v>0</v>
      </c>
      <c r="AL468" s="158"/>
      <c r="AM468" s="158">
        <v>1182.8</v>
      </c>
      <c r="AN468" s="158"/>
      <c r="AO468" s="158">
        <v>0</v>
      </c>
      <c r="AP468" s="158"/>
      <c r="AQ468" s="158">
        <v>426.5</v>
      </c>
      <c r="AR468" s="158"/>
      <c r="AS468" s="158">
        <v>0</v>
      </c>
      <c r="AT468" s="158"/>
      <c r="AU468" s="158">
        <v>0</v>
      </c>
      <c r="AV468" s="158"/>
      <c r="AW468" s="158">
        <v>0</v>
      </c>
      <c r="AX468" s="158"/>
      <c r="AY468" s="158">
        <v>0</v>
      </c>
      <c r="AZ468" s="158"/>
      <c r="BA468" s="158">
        <v>0</v>
      </c>
      <c r="BB468" s="158"/>
      <c r="BC468" s="158">
        <v>0</v>
      </c>
      <c r="BD468" s="158"/>
      <c r="BE468" s="158">
        <v>0</v>
      </c>
      <c r="BF468" s="158"/>
      <c r="BG468" s="158">
        <v>0</v>
      </c>
      <c r="BH468" s="158"/>
      <c r="BI468" s="158">
        <v>0</v>
      </c>
      <c r="BJ468" s="158"/>
      <c r="BK468" s="158">
        <v>0</v>
      </c>
      <c r="BL468" s="158"/>
      <c r="BM468" s="158">
        <v>0</v>
      </c>
      <c r="BN468" s="158"/>
      <c r="BO468" s="158">
        <v>4585.1000000000004</v>
      </c>
      <c r="BP468" s="158"/>
      <c r="BQ468" s="158">
        <v>17316.72</v>
      </c>
      <c r="BR468" s="158"/>
      <c r="BS468" s="158">
        <v>5203.3100000000004</v>
      </c>
      <c r="BT468" s="158"/>
    </row>
    <row r="469" spans="1:73" x14ac:dyDescent="0.2">
      <c r="A469" s="123" t="s">
        <v>674</v>
      </c>
      <c r="B469" s="124" t="s">
        <v>673</v>
      </c>
      <c r="C469" s="158">
        <v>0</v>
      </c>
      <c r="D469" s="158"/>
      <c r="E469" s="158">
        <v>0</v>
      </c>
      <c r="F469" s="158"/>
      <c r="G469" s="158">
        <v>0</v>
      </c>
      <c r="H469" s="158"/>
      <c r="I469" s="158">
        <v>0</v>
      </c>
      <c r="J469" s="158"/>
      <c r="K469" s="158">
        <v>0</v>
      </c>
      <c r="L469" s="158"/>
      <c r="M469" s="158">
        <v>0</v>
      </c>
      <c r="N469" s="158"/>
      <c r="O469" s="158">
        <v>0</v>
      </c>
      <c r="P469" s="158"/>
      <c r="Q469" s="158">
        <v>0</v>
      </c>
      <c r="R469" s="158"/>
      <c r="S469" s="158">
        <v>0</v>
      </c>
      <c r="T469" s="158"/>
      <c r="U469" s="158">
        <v>0</v>
      </c>
      <c r="V469" s="158"/>
      <c r="W469" s="158">
        <v>0</v>
      </c>
      <c r="X469" s="158"/>
      <c r="Y469" s="158">
        <v>0</v>
      </c>
      <c r="Z469" s="158"/>
      <c r="AA469" s="158">
        <v>0</v>
      </c>
      <c r="AB469" s="158"/>
      <c r="AC469" s="158">
        <v>0</v>
      </c>
      <c r="AD469" s="158"/>
      <c r="AE469" s="158">
        <v>0</v>
      </c>
      <c r="AF469" s="158"/>
      <c r="AG469" s="158">
        <v>0</v>
      </c>
      <c r="AH469" s="158"/>
      <c r="AI469" s="158">
        <v>0</v>
      </c>
      <c r="AJ469" s="158"/>
      <c r="AK469" s="158">
        <v>0</v>
      </c>
      <c r="AL469" s="158"/>
      <c r="AM469" s="158">
        <v>0</v>
      </c>
      <c r="AN469" s="158"/>
      <c r="AO469" s="158">
        <v>0</v>
      </c>
      <c r="AP469" s="158"/>
      <c r="AQ469" s="158">
        <v>0</v>
      </c>
      <c r="AR469" s="158"/>
      <c r="AS469" s="158">
        <v>0</v>
      </c>
      <c r="AT469" s="158"/>
      <c r="AU469" s="158">
        <v>0</v>
      </c>
      <c r="AV469" s="158"/>
      <c r="AW469" s="158">
        <v>0</v>
      </c>
      <c r="AX469" s="158"/>
      <c r="AY469" s="158">
        <v>0</v>
      </c>
      <c r="AZ469" s="158"/>
      <c r="BA469" s="158">
        <v>0</v>
      </c>
      <c r="BB469" s="158"/>
      <c r="BC469" s="158">
        <v>0</v>
      </c>
      <c r="BD469" s="158"/>
      <c r="BE469" s="158">
        <v>0</v>
      </c>
      <c r="BF469" s="158"/>
      <c r="BG469" s="158">
        <v>0</v>
      </c>
      <c r="BH469" s="158"/>
      <c r="BI469" s="158">
        <v>0</v>
      </c>
      <c r="BJ469" s="158"/>
      <c r="BK469" s="158">
        <v>0</v>
      </c>
      <c r="BL469" s="158"/>
      <c r="BM469" s="158">
        <v>0</v>
      </c>
      <c r="BN469" s="158"/>
      <c r="BO469" s="158">
        <v>407.3</v>
      </c>
      <c r="BP469" s="158"/>
      <c r="BQ469" s="158">
        <v>1016.66</v>
      </c>
      <c r="BR469" s="158"/>
      <c r="BS469" s="158">
        <v>0</v>
      </c>
      <c r="BT469" s="158"/>
    </row>
    <row r="470" spans="1:73" x14ac:dyDescent="0.2">
      <c r="A470" s="123" t="s">
        <v>645</v>
      </c>
      <c r="B470" s="124" t="s">
        <v>672</v>
      </c>
      <c r="C470" s="158">
        <v>0</v>
      </c>
      <c r="D470" s="158"/>
      <c r="E470" s="158">
        <v>347.53</v>
      </c>
      <c r="F470" s="158"/>
      <c r="G470" s="158">
        <v>0</v>
      </c>
      <c r="H470" s="158"/>
      <c r="I470" s="158">
        <v>0</v>
      </c>
      <c r="J470" s="158"/>
      <c r="K470" s="158">
        <v>0</v>
      </c>
      <c r="L470" s="158"/>
      <c r="M470" s="158">
        <v>0</v>
      </c>
      <c r="N470" s="158"/>
      <c r="O470" s="158">
        <v>0</v>
      </c>
      <c r="P470" s="158"/>
      <c r="Q470" s="158">
        <v>0</v>
      </c>
      <c r="R470" s="158"/>
      <c r="S470" s="158">
        <v>0</v>
      </c>
      <c r="T470" s="158"/>
      <c r="U470" s="158">
        <v>0</v>
      </c>
      <c r="V470" s="158"/>
      <c r="W470" s="158">
        <v>0</v>
      </c>
      <c r="X470" s="158"/>
      <c r="Y470" s="158">
        <v>0</v>
      </c>
      <c r="Z470" s="158"/>
      <c r="AA470" s="158">
        <v>0</v>
      </c>
      <c r="AB470" s="158"/>
      <c r="AC470" s="158">
        <v>0</v>
      </c>
      <c r="AD470" s="158"/>
      <c r="AE470" s="158">
        <v>0</v>
      </c>
      <c r="AF470" s="158"/>
      <c r="AG470" s="158">
        <v>0</v>
      </c>
      <c r="AH470" s="158"/>
      <c r="AI470" s="158">
        <v>0</v>
      </c>
      <c r="AJ470" s="158"/>
      <c r="AK470" s="158">
        <v>0</v>
      </c>
      <c r="AL470" s="158"/>
      <c r="AM470" s="158">
        <v>0</v>
      </c>
      <c r="AN470" s="158"/>
      <c r="AO470" s="158">
        <v>0</v>
      </c>
      <c r="AP470" s="158"/>
      <c r="AQ470" s="158">
        <v>0</v>
      </c>
      <c r="AR470" s="158"/>
      <c r="AS470" s="158">
        <v>0</v>
      </c>
      <c r="AT470" s="158"/>
      <c r="AU470" s="158">
        <v>0</v>
      </c>
      <c r="AV470" s="158"/>
      <c r="AW470" s="158">
        <v>0</v>
      </c>
      <c r="AX470" s="158"/>
      <c r="AY470" s="158">
        <v>0</v>
      </c>
      <c r="AZ470" s="158"/>
      <c r="BA470" s="158">
        <v>0</v>
      </c>
      <c r="BB470" s="158"/>
      <c r="BC470" s="158">
        <v>0</v>
      </c>
      <c r="BD470" s="158"/>
      <c r="BE470" s="158">
        <v>0</v>
      </c>
      <c r="BF470" s="158"/>
      <c r="BG470" s="158">
        <v>0</v>
      </c>
      <c r="BH470" s="158"/>
      <c r="BI470" s="158">
        <v>0</v>
      </c>
      <c r="BJ470" s="158"/>
      <c r="BK470" s="158">
        <v>0</v>
      </c>
      <c r="BL470" s="158"/>
      <c r="BM470" s="158">
        <v>0</v>
      </c>
      <c r="BN470" s="158"/>
      <c r="BO470" s="158">
        <v>0</v>
      </c>
      <c r="BP470" s="158"/>
      <c r="BQ470" s="158">
        <v>0</v>
      </c>
      <c r="BR470" s="158"/>
      <c r="BS470" s="158">
        <v>0</v>
      </c>
      <c r="BT470" s="158"/>
    </row>
    <row r="471" spans="1:73" x14ac:dyDescent="0.2">
      <c r="A471" s="123" t="s">
        <v>671</v>
      </c>
      <c r="B471" s="124" t="s">
        <v>670</v>
      </c>
      <c r="C471" s="158">
        <v>0</v>
      </c>
      <c r="D471" s="158"/>
      <c r="E471" s="158">
        <v>0</v>
      </c>
      <c r="F471" s="158"/>
      <c r="G471" s="158">
        <v>0</v>
      </c>
      <c r="H471" s="158"/>
      <c r="I471" s="158">
        <v>0</v>
      </c>
      <c r="J471" s="158"/>
      <c r="K471" s="158">
        <v>0</v>
      </c>
      <c r="L471" s="158"/>
      <c r="M471" s="158">
        <v>0</v>
      </c>
      <c r="N471" s="158"/>
      <c r="O471" s="158">
        <v>0</v>
      </c>
      <c r="P471" s="158"/>
      <c r="Q471" s="158">
        <v>0</v>
      </c>
      <c r="R471" s="158"/>
      <c r="S471" s="158">
        <v>0</v>
      </c>
      <c r="T471" s="158"/>
      <c r="U471" s="158">
        <v>0</v>
      </c>
      <c r="V471" s="158"/>
      <c r="W471" s="158">
        <v>0</v>
      </c>
      <c r="X471" s="158"/>
      <c r="Y471" s="158">
        <v>0</v>
      </c>
      <c r="Z471" s="158"/>
      <c r="AA471" s="158">
        <v>0</v>
      </c>
      <c r="AB471" s="158"/>
      <c r="AC471" s="158">
        <v>0</v>
      </c>
      <c r="AD471" s="158"/>
      <c r="AE471" s="158">
        <v>0</v>
      </c>
      <c r="AF471" s="158"/>
      <c r="AG471" s="158">
        <v>0</v>
      </c>
      <c r="AH471" s="158"/>
      <c r="AI471" s="158">
        <v>0</v>
      </c>
      <c r="AJ471" s="158"/>
      <c r="AK471" s="158">
        <v>0</v>
      </c>
      <c r="AL471" s="158"/>
      <c r="AM471" s="158">
        <v>0</v>
      </c>
      <c r="AN471" s="158"/>
      <c r="AO471" s="158">
        <v>0</v>
      </c>
      <c r="AP471" s="158"/>
      <c r="AQ471" s="158">
        <v>0</v>
      </c>
      <c r="AR471" s="158"/>
      <c r="AS471" s="158">
        <v>0</v>
      </c>
      <c r="AT471" s="158"/>
      <c r="AU471" s="158">
        <v>0</v>
      </c>
      <c r="AV471" s="158"/>
      <c r="AW471" s="158">
        <v>0</v>
      </c>
      <c r="AX471" s="158"/>
      <c r="AY471" s="158">
        <v>0</v>
      </c>
      <c r="AZ471" s="158"/>
      <c r="BA471" s="158">
        <v>0</v>
      </c>
      <c r="BB471" s="158"/>
      <c r="BC471" s="158">
        <v>0</v>
      </c>
      <c r="BD471" s="158"/>
      <c r="BE471" s="158">
        <v>0</v>
      </c>
      <c r="BF471" s="158"/>
      <c r="BG471" s="158">
        <v>0</v>
      </c>
      <c r="BH471" s="158"/>
      <c r="BI471" s="158">
        <v>0</v>
      </c>
      <c r="BJ471" s="158"/>
      <c r="BK471" s="158">
        <v>0</v>
      </c>
      <c r="BL471" s="158"/>
      <c r="BM471" s="158">
        <v>0</v>
      </c>
      <c r="BN471" s="158"/>
      <c r="BO471" s="158">
        <v>749.2</v>
      </c>
      <c r="BP471" s="158"/>
      <c r="BQ471" s="158">
        <v>0</v>
      </c>
      <c r="BR471" s="158"/>
      <c r="BS471" s="158">
        <v>0</v>
      </c>
      <c r="BT471" s="158"/>
    </row>
    <row r="472" spans="1:73" x14ac:dyDescent="0.2">
      <c r="A472" s="123" t="s">
        <v>556</v>
      </c>
      <c r="B472" s="124" t="s">
        <v>669</v>
      </c>
      <c r="C472" s="158">
        <v>11554.45</v>
      </c>
      <c r="D472" s="158"/>
      <c r="E472" s="158">
        <v>0</v>
      </c>
      <c r="F472" s="158"/>
      <c r="G472" s="158">
        <v>11902.1</v>
      </c>
      <c r="H472" s="158"/>
      <c r="I472" s="158">
        <v>0</v>
      </c>
      <c r="J472" s="158"/>
      <c r="K472" s="158">
        <v>0</v>
      </c>
      <c r="L472" s="158"/>
      <c r="M472" s="158">
        <v>0</v>
      </c>
      <c r="N472" s="158"/>
      <c r="O472" s="158">
        <v>0</v>
      </c>
      <c r="P472" s="158"/>
      <c r="Q472" s="158">
        <v>7508.57</v>
      </c>
      <c r="R472" s="158"/>
      <c r="S472" s="158">
        <v>0</v>
      </c>
      <c r="T472" s="158"/>
      <c r="U472" s="158">
        <v>28489.66</v>
      </c>
      <c r="V472" s="158"/>
      <c r="W472" s="158">
        <v>0</v>
      </c>
      <c r="X472" s="158"/>
      <c r="Y472" s="158">
        <v>16955.25</v>
      </c>
      <c r="Z472" s="158"/>
      <c r="AA472" s="158">
        <v>8193.15</v>
      </c>
      <c r="AB472" s="158"/>
      <c r="AC472" s="158">
        <v>0</v>
      </c>
      <c r="AD472" s="158"/>
      <c r="AE472" s="158">
        <v>13264.76</v>
      </c>
      <c r="AF472" s="158"/>
      <c r="AG472" s="158">
        <v>8193.15</v>
      </c>
      <c r="AH472" s="158"/>
      <c r="AI472" s="158">
        <v>0</v>
      </c>
      <c r="AJ472" s="158"/>
      <c r="AK472" s="158">
        <v>0</v>
      </c>
      <c r="AL472" s="158"/>
      <c r="AM472" s="158">
        <v>0</v>
      </c>
      <c r="AN472" s="158"/>
      <c r="AO472" s="158">
        <v>16196.12</v>
      </c>
      <c r="AP472" s="158"/>
      <c r="AQ472" s="158">
        <v>0</v>
      </c>
      <c r="AR472" s="158"/>
      <c r="AS472" s="158">
        <v>0</v>
      </c>
      <c r="AT472" s="158"/>
      <c r="AU472" s="158">
        <v>16774</v>
      </c>
      <c r="AV472" s="158"/>
      <c r="AW472" s="158">
        <v>0</v>
      </c>
      <c r="AX472" s="158"/>
      <c r="AY472" s="158">
        <v>0</v>
      </c>
      <c r="AZ472" s="158"/>
      <c r="BA472" s="158">
        <v>0</v>
      </c>
      <c r="BB472" s="158"/>
      <c r="BC472" s="158">
        <v>0</v>
      </c>
      <c r="BD472" s="158"/>
      <c r="BE472" s="158">
        <v>0</v>
      </c>
      <c r="BF472" s="158"/>
      <c r="BG472" s="158">
        <v>0</v>
      </c>
      <c r="BH472" s="158"/>
      <c r="BI472" s="158">
        <v>0</v>
      </c>
      <c r="BJ472" s="158"/>
      <c r="BK472" s="158">
        <v>0</v>
      </c>
      <c r="BL472" s="158"/>
      <c r="BM472" s="158">
        <v>0</v>
      </c>
      <c r="BN472" s="158"/>
      <c r="BO472" s="158">
        <v>0</v>
      </c>
      <c r="BP472" s="158"/>
      <c r="BQ472" s="158">
        <v>0</v>
      </c>
      <c r="BR472" s="158"/>
      <c r="BS472" s="158">
        <v>0</v>
      </c>
      <c r="BT472" s="158"/>
    </row>
    <row r="473" spans="1:73" x14ac:dyDescent="0.2">
      <c r="A473" s="123" t="s">
        <v>507</v>
      </c>
      <c r="B473" s="124" t="s">
        <v>668</v>
      </c>
      <c r="C473" s="158">
        <v>0</v>
      </c>
      <c r="D473" s="158"/>
      <c r="E473" s="158">
        <v>0</v>
      </c>
      <c r="F473" s="158"/>
      <c r="G473" s="158">
        <v>0</v>
      </c>
      <c r="H473" s="158"/>
      <c r="I473" s="158">
        <v>0</v>
      </c>
      <c r="J473" s="158"/>
      <c r="K473" s="158">
        <v>0</v>
      </c>
      <c r="L473" s="158"/>
      <c r="M473" s="158">
        <v>0</v>
      </c>
      <c r="N473" s="158"/>
      <c r="O473" s="158">
        <v>0</v>
      </c>
      <c r="P473" s="158"/>
      <c r="Q473" s="158">
        <v>0</v>
      </c>
      <c r="R473" s="158"/>
      <c r="S473" s="158">
        <v>0</v>
      </c>
      <c r="T473" s="158"/>
      <c r="U473" s="158">
        <v>1243.9000000000001</v>
      </c>
      <c r="V473" s="158"/>
      <c r="W473" s="158">
        <v>0</v>
      </c>
      <c r="X473" s="158"/>
      <c r="Y473" s="158">
        <v>0</v>
      </c>
      <c r="Z473" s="158"/>
      <c r="AA473" s="158">
        <v>0</v>
      </c>
      <c r="AB473" s="158"/>
      <c r="AC473" s="158">
        <v>0</v>
      </c>
      <c r="AD473" s="158"/>
      <c r="AE473" s="158">
        <v>0</v>
      </c>
      <c r="AF473" s="158"/>
      <c r="AG473" s="158">
        <v>0</v>
      </c>
      <c r="AH473" s="158"/>
      <c r="AI473" s="158">
        <v>0</v>
      </c>
      <c r="AJ473" s="158"/>
      <c r="AK473" s="158">
        <v>0</v>
      </c>
      <c r="AL473" s="158"/>
      <c r="AM473" s="158">
        <v>1126.4000000000001</v>
      </c>
      <c r="AN473" s="158"/>
      <c r="AO473" s="158">
        <v>0</v>
      </c>
      <c r="AP473" s="158"/>
      <c r="AQ473" s="158">
        <v>0</v>
      </c>
      <c r="AR473" s="158"/>
      <c r="AS473" s="158">
        <v>0</v>
      </c>
      <c r="AT473" s="158"/>
      <c r="AU473" s="158">
        <v>0</v>
      </c>
      <c r="AV473" s="158"/>
      <c r="AW473" s="158">
        <v>0</v>
      </c>
      <c r="AX473" s="158"/>
      <c r="AY473" s="158">
        <v>1679.75</v>
      </c>
      <c r="AZ473" s="158"/>
      <c r="BA473" s="158">
        <v>1273.46</v>
      </c>
      <c r="BB473" s="158"/>
      <c r="BC473" s="158">
        <v>1243.32</v>
      </c>
      <c r="BD473" s="158"/>
      <c r="BE473" s="158">
        <v>1241.95</v>
      </c>
      <c r="BF473" s="158"/>
      <c r="BG473" s="158">
        <v>1267.28</v>
      </c>
      <c r="BH473" s="158"/>
      <c r="BI473" s="158">
        <v>1482.7</v>
      </c>
      <c r="BJ473" s="158"/>
      <c r="BK473" s="158">
        <v>0</v>
      </c>
      <c r="BL473" s="158"/>
      <c r="BM473" s="158">
        <v>0</v>
      </c>
      <c r="BN473" s="158"/>
      <c r="BO473" s="158">
        <v>0</v>
      </c>
      <c r="BP473" s="158"/>
      <c r="BQ473" s="158">
        <v>0</v>
      </c>
      <c r="BR473" s="158"/>
      <c r="BS473" s="158">
        <v>0</v>
      </c>
      <c r="BT473" s="158"/>
    </row>
    <row r="474" spans="1:73" x14ac:dyDescent="0.2">
      <c r="A474" s="123" t="s">
        <v>606</v>
      </c>
      <c r="B474" s="124" t="s">
        <v>667</v>
      </c>
      <c r="C474" s="158">
        <v>0</v>
      </c>
      <c r="D474" s="158"/>
      <c r="E474" s="158">
        <v>0</v>
      </c>
      <c r="F474" s="158"/>
      <c r="G474" s="158">
        <v>0</v>
      </c>
      <c r="H474" s="158"/>
      <c r="I474" s="158">
        <v>0</v>
      </c>
      <c r="J474" s="158"/>
      <c r="K474" s="158">
        <v>0</v>
      </c>
      <c r="L474" s="158"/>
      <c r="M474" s="158">
        <v>0</v>
      </c>
      <c r="N474" s="158"/>
      <c r="O474" s="158">
        <v>0</v>
      </c>
      <c r="P474" s="158"/>
      <c r="Q474" s="158">
        <v>2826.76</v>
      </c>
      <c r="R474" s="158"/>
      <c r="S474" s="158">
        <v>0</v>
      </c>
      <c r="T474" s="158"/>
      <c r="U474" s="158">
        <v>0</v>
      </c>
      <c r="V474" s="158"/>
      <c r="W474" s="158">
        <v>0</v>
      </c>
      <c r="X474" s="158"/>
      <c r="Y474" s="158">
        <v>0</v>
      </c>
      <c r="Z474" s="158"/>
      <c r="AA474" s="158">
        <v>0</v>
      </c>
      <c r="AB474" s="158"/>
      <c r="AC474" s="158">
        <v>0</v>
      </c>
      <c r="AD474" s="158"/>
      <c r="AE474" s="158">
        <v>0</v>
      </c>
      <c r="AF474" s="158"/>
      <c r="AG474" s="158">
        <v>0</v>
      </c>
      <c r="AH474" s="158"/>
      <c r="AI474" s="158">
        <v>0</v>
      </c>
      <c r="AJ474" s="158"/>
      <c r="AK474" s="158">
        <v>0</v>
      </c>
      <c r="AL474" s="158"/>
      <c r="AM474" s="158">
        <v>47090.559999999998</v>
      </c>
      <c r="AN474" s="158"/>
      <c r="AO474" s="158">
        <v>0</v>
      </c>
      <c r="AP474" s="158"/>
      <c r="AQ474" s="158">
        <v>14711.63</v>
      </c>
      <c r="AR474" s="158"/>
      <c r="AS474" s="158">
        <v>0</v>
      </c>
      <c r="AT474" s="158"/>
      <c r="AU474" s="158">
        <v>0</v>
      </c>
      <c r="AV474" s="158"/>
      <c r="AW474" s="158">
        <v>0</v>
      </c>
      <c r="AX474" s="158"/>
      <c r="AY474" s="158">
        <v>0</v>
      </c>
      <c r="AZ474" s="158"/>
      <c r="BA474" s="158">
        <v>0</v>
      </c>
      <c r="BB474" s="158"/>
      <c r="BC474" s="158">
        <v>0</v>
      </c>
      <c r="BD474" s="158"/>
      <c r="BE474" s="158">
        <v>0</v>
      </c>
      <c r="BF474" s="158"/>
      <c r="BG474" s="158">
        <v>0</v>
      </c>
      <c r="BH474" s="158"/>
      <c r="BI474" s="158">
        <v>0</v>
      </c>
      <c r="BJ474" s="158"/>
      <c r="BK474" s="158">
        <v>0</v>
      </c>
      <c r="BL474" s="158"/>
      <c r="BM474" s="158">
        <v>0</v>
      </c>
      <c r="BN474" s="158"/>
      <c r="BO474" s="158">
        <v>47450.96</v>
      </c>
      <c r="BP474" s="158"/>
      <c r="BQ474" s="158">
        <v>6884.36</v>
      </c>
      <c r="BR474" s="158"/>
      <c r="BS474" s="158">
        <v>33264.53</v>
      </c>
      <c r="BT474" s="158"/>
    </row>
    <row r="475" spans="1:73" x14ac:dyDescent="0.2">
      <c r="A475" s="123" t="s">
        <v>508</v>
      </c>
      <c r="B475" s="124" t="s">
        <v>666</v>
      </c>
      <c r="C475" s="158">
        <v>0</v>
      </c>
      <c r="D475" s="158"/>
      <c r="E475" s="158">
        <v>0</v>
      </c>
      <c r="F475" s="158"/>
      <c r="G475" s="158">
        <v>0</v>
      </c>
      <c r="H475" s="158"/>
      <c r="I475" s="158">
        <v>0</v>
      </c>
      <c r="J475" s="158"/>
      <c r="K475" s="158">
        <v>0</v>
      </c>
      <c r="L475" s="158"/>
      <c r="M475" s="158">
        <v>0</v>
      </c>
      <c r="N475" s="158"/>
      <c r="O475" s="158">
        <v>0</v>
      </c>
      <c r="P475" s="158"/>
      <c r="Q475" s="158">
        <v>6843</v>
      </c>
      <c r="R475" s="158"/>
      <c r="S475" s="158">
        <v>0</v>
      </c>
      <c r="T475" s="158"/>
      <c r="U475" s="158">
        <v>0</v>
      </c>
      <c r="V475" s="158"/>
      <c r="W475" s="158">
        <v>0</v>
      </c>
      <c r="X475" s="158"/>
      <c r="Y475" s="158">
        <v>30594.45</v>
      </c>
      <c r="Z475" s="158"/>
      <c r="AA475" s="158">
        <v>0</v>
      </c>
      <c r="AB475" s="158"/>
      <c r="AC475" s="158">
        <v>0</v>
      </c>
      <c r="AD475" s="158"/>
      <c r="AE475" s="158">
        <v>0</v>
      </c>
      <c r="AF475" s="158"/>
      <c r="AG475" s="158">
        <v>0</v>
      </c>
      <c r="AH475" s="158"/>
      <c r="AI475" s="158">
        <v>0</v>
      </c>
      <c r="AJ475" s="158"/>
      <c r="AK475" s="158">
        <v>0</v>
      </c>
      <c r="AL475" s="158"/>
      <c r="AM475" s="158">
        <v>1041.56</v>
      </c>
      <c r="AN475" s="158"/>
      <c r="AO475" s="158">
        <v>0</v>
      </c>
      <c r="AP475" s="158"/>
      <c r="AQ475" s="158">
        <v>0</v>
      </c>
      <c r="AR475" s="158"/>
      <c r="AS475" s="158">
        <v>0</v>
      </c>
      <c r="AT475" s="158"/>
      <c r="AU475" s="158">
        <v>0</v>
      </c>
      <c r="AV475" s="158"/>
      <c r="AW475" s="158">
        <v>0</v>
      </c>
      <c r="AX475" s="158"/>
      <c r="AY475" s="158">
        <v>0</v>
      </c>
      <c r="AZ475" s="158"/>
      <c r="BA475" s="158">
        <v>0</v>
      </c>
      <c r="BB475" s="158"/>
      <c r="BC475" s="158">
        <v>0</v>
      </c>
      <c r="BD475" s="158"/>
      <c r="BE475" s="158">
        <v>0</v>
      </c>
      <c r="BF475" s="158"/>
      <c r="BG475" s="158">
        <v>0</v>
      </c>
      <c r="BH475" s="158"/>
      <c r="BI475" s="158">
        <v>0</v>
      </c>
      <c r="BJ475" s="158"/>
      <c r="BK475" s="158">
        <v>0</v>
      </c>
      <c r="BL475" s="158"/>
      <c r="BM475" s="158">
        <v>0</v>
      </c>
      <c r="BN475" s="158"/>
      <c r="BO475" s="158">
        <v>1041.73</v>
      </c>
      <c r="BP475" s="158"/>
      <c r="BQ475" s="158">
        <v>1041.72</v>
      </c>
      <c r="BR475" s="158"/>
      <c r="BS475" s="158">
        <v>1041.6600000000001</v>
      </c>
      <c r="BT475" s="158"/>
    </row>
    <row r="476" spans="1:73" x14ac:dyDescent="0.2">
      <c r="A476" s="123" t="s">
        <v>509</v>
      </c>
      <c r="B476" s="124" t="s">
        <v>665</v>
      </c>
      <c r="C476" s="158">
        <v>0</v>
      </c>
      <c r="D476" s="158"/>
      <c r="E476" s="158">
        <v>0</v>
      </c>
      <c r="F476" s="158"/>
      <c r="G476" s="158">
        <v>0</v>
      </c>
      <c r="H476" s="158"/>
      <c r="I476" s="158">
        <v>14919.22</v>
      </c>
      <c r="J476" s="158"/>
      <c r="K476" s="158">
        <v>0</v>
      </c>
      <c r="L476" s="158"/>
      <c r="M476" s="158">
        <v>0</v>
      </c>
      <c r="N476" s="158"/>
      <c r="O476" s="158">
        <v>0</v>
      </c>
      <c r="P476" s="158"/>
      <c r="Q476" s="158">
        <v>0</v>
      </c>
      <c r="R476" s="158"/>
      <c r="S476" s="158">
        <v>0</v>
      </c>
      <c r="T476" s="158"/>
      <c r="U476" s="158">
        <v>0</v>
      </c>
      <c r="V476" s="158"/>
      <c r="W476" s="158">
        <v>0</v>
      </c>
      <c r="X476" s="158"/>
      <c r="Y476" s="158">
        <v>0</v>
      </c>
      <c r="Z476" s="158"/>
      <c r="AA476" s="158">
        <v>0</v>
      </c>
      <c r="AB476" s="158"/>
      <c r="AC476" s="158">
        <v>0</v>
      </c>
      <c r="AD476" s="158"/>
      <c r="AE476" s="158">
        <v>0</v>
      </c>
      <c r="AF476" s="158"/>
      <c r="AG476" s="158">
        <v>0</v>
      </c>
      <c r="AH476" s="158"/>
      <c r="AI476" s="158">
        <v>0</v>
      </c>
      <c r="AJ476" s="158"/>
      <c r="AK476" s="158">
        <v>0</v>
      </c>
      <c r="AL476" s="158"/>
      <c r="AM476" s="158">
        <v>0</v>
      </c>
      <c r="AN476" s="158"/>
      <c r="AO476" s="158">
        <v>0</v>
      </c>
      <c r="AP476" s="158"/>
      <c r="AQ476" s="158">
        <v>0</v>
      </c>
      <c r="AR476" s="158"/>
      <c r="AS476" s="158">
        <v>0</v>
      </c>
      <c r="AT476" s="158"/>
      <c r="AU476" s="158">
        <v>0</v>
      </c>
      <c r="AV476" s="158"/>
      <c r="AW476" s="158">
        <v>21329.97</v>
      </c>
      <c r="AX476" s="158"/>
      <c r="AY476" s="158">
        <v>0</v>
      </c>
      <c r="AZ476" s="158"/>
      <c r="BA476" s="158">
        <v>29108</v>
      </c>
      <c r="BB476" s="158"/>
      <c r="BC476" s="158">
        <v>0</v>
      </c>
      <c r="BD476" s="158"/>
      <c r="BE476" s="158">
        <v>86406.01</v>
      </c>
      <c r="BF476" s="158"/>
      <c r="BG476" s="158">
        <v>42351.35</v>
      </c>
      <c r="BH476" s="158"/>
      <c r="BI476" s="158">
        <v>42203.86</v>
      </c>
      <c r="BJ476" s="158"/>
      <c r="BK476" s="158">
        <v>0</v>
      </c>
      <c r="BL476" s="158"/>
      <c r="BM476" s="158">
        <v>0</v>
      </c>
      <c r="BN476" s="158"/>
      <c r="BO476" s="158">
        <v>0</v>
      </c>
      <c r="BP476" s="158"/>
      <c r="BQ476" s="158">
        <v>0</v>
      </c>
      <c r="BR476" s="158"/>
      <c r="BS476" s="158">
        <v>0</v>
      </c>
      <c r="BT476" s="158"/>
    </row>
    <row r="477" spans="1:73" x14ac:dyDescent="0.2">
      <c r="A477" s="123" t="s">
        <v>429</v>
      </c>
      <c r="B477" s="124" t="s">
        <v>664</v>
      </c>
      <c r="C477" s="158">
        <v>0</v>
      </c>
      <c r="D477" s="158"/>
      <c r="E477" s="158">
        <v>0</v>
      </c>
      <c r="F477" s="158"/>
      <c r="G477" s="158">
        <v>0</v>
      </c>
      <c r="H477" s="158"/>
      <c r="I477" s="158">
        <v>0</v>
      </c>
      <c r="J477" s="158"/>
      <c r="K477" s="158">
        <v>0</v>
      </c>
      <c r="L477" s="158"/>
      <c r="M477" s="158">
        <v>0</v>
      </c>
      <c r="N477" s="158"/>
      <c r="O477" s="158">
        <v>0</v>
      </c>
      <c r="P477" s="158"/>
      <c r="Q477" s="158">
        <v>0</v>
      </c>
      <c r="R477" s="158"/>
      <c r="S477" s="158">
        <v>0</v>
      </c>
      <c r="T477" s="158"/>
      <c r="U477" s="158">
        <v>39013.61</v>
      </c>
      <c r="V477" s="158"/>
      <c r="W477" s="158">
        <v>0</v>
      </c>
      <c r="X477" s="158"/>
      <c r="Y477" s="158">
        <v>0</v>
      </c>
      <c r="Z477" s="158"/>
      <c r="AA477" s="158">
        <v>0</v>
      </c>
      <c r="AB477" s="158"/>
      <c r="AC477" s="158">
        <v>0</v>
      </c>
      <c r="AD477" s="158"/>
      <c r="AE477" s="158">
        <v>0</v>
      </c>
      <c r="AF477" s="158"/>
      <c r="AG477" s="158">
        <v>0</v>
      </c>
      <c r="AH477" s="158"/>
      <c r="AI477" s="158">
        <v>0</v>
      </c>
      <c r="AJ477" s="158"/>
      <c r="AK477" s="158">
        <v>0</v>
      </c>
      <c r="AL477" s="158"/>
      <c r="AM477" s="158">
        <v>0</v>
      </c>
      <c r="AN477" s="158"/>
      <c r="AO477" s="158">
        <v>0</v>
      </c>
      <c r="AP477" s="158"/>
      <c r="AQ477" s="158">
        <v>0</v>
      </c>
      <c r="AR477" s="158"/>
      <c r="AS477" s="158">
        <v>0</v>
      </c>
      <c r="AT477" s="158"/>
      <c r="AU477" s="158">
        <v>0</v>
      </c>
      <c r="AV477" s="158"/>
      <c r="AW477" s="158">
        <v>0</v>
      </c>
      <c r="AX477" s="158"/>
      <c r="AY477" s="158">
        <v>27998.75</v>
      </c>
      <c r="AZ477" s="158"/>
      <c r="BA477" s="158">
        <v>0</v>
      </c>
      <c r="BB477" s="158"/>
      <c r="BC477" s="158">
        <v>0</v>
      </c>
      <c r="BD477" s="158"/>
      <c r="BE477" s="158">
        <v>0</v>
      </c>
      <c r="BF477" s="158"/>
      <c r="BG477" s="158">
        <v>0</v>
      </c>
      <c r="BH477" s="158"/>
      <c r="BI477" s="158">
        <v>0</v>
      </c>
      <c r="BJ477" s="158"/>
      <c r="BK477" s="158">
        <v>0</v>
      </c>
      <c r="BL477" s="158"/>
      <c r="BM477" s="158">
        <v>0</v>
      </c>
      <c r="BN477" s="158"/>
      <c r="BO477" s="158">
        <v>0</v>
      </c>
      <c r="BP477" s="158"/>
      <c r="BQ477" s="158">
        <v>0</v>
      </c>
      <c r="BR477" s="158"/>
      <c r="BS477" s="158">
        <v>0</v>
      </c>
      <c r="BT477" s="158"/>
    </row>
    <row r="478" spans="1:73" x14ac:dyDescent="0.2">
      <c r="A478" s="123" t="s">
        <v>663</v>
      </c>
      <c r="B478" s="124" t="s">
        <v>662</v>
      </c>
      <c r="C478" s="162">
        <v>0</v>
      </c>
      <c r="D478" s="162"/>
      <c r="E478" s="162">
        <v>0</v>
      </c>
      <c r="F478" s="162"/>
      <c r="G478" s="162">
        <v>0</v>
      </c>
      <c r="H478" s="162"/>
      <c r="I478" s="162">
        <v>2518.7800000000002</v>
      </c>
      <c r="J478" s="162"/>
      <c r="K478" s="162">
        <v>0</v>
      </c>
      <c r="L478" s="162"/>
      <c r="M478" s="162">
        <v>0</v>
      </c>
      <c r="N478" s="162"/>
      <c r="O478" s="162">
        <v>0</v>
      </c>
      <c r="P478" s="162"/>
      <c r="Q478" s="162">
        <v>1239.94</v>
      </c>
      <c r="R478" s="162"/>
      <c r="S478" s="162">
        <v>0</v>
      </c>
      <c r="T478" s="162"/>
      <c r="U478" s="162">
        <v>0</v>
      </c>
      <c r="V478" s="162"/>
      <c r="W478" s="162">
        <v>0</v>
      </c>
      <c r="X478" s="162"/>
      <c r="Y478" s="162">
        <v>0</v>
      </c>
      <c r="Z478" s="162"/>
      <c r="AA478" s="162">
        <v>0</v>
      </c>
      <c r="AB478" s="162"/>
      <c r="AC478" s="162">
        <v>0</v>
      </c>
      <c r="AD478" s="162"/>
      <c r="AE478" s="162">
        <v>0</v>
      </c>
      <c r="AF478" s="162"/>
      <c r="AG478" s="162">
        <v>0</v>
      </c>
      <c r="AH478" s="162"/>
      <c r="AI478" s="162">
        <v>0</v>
      </c>
      <c r="AJ478" s="162"/>
      <c r="AK478" s="162">
        <v>0</v>
      </c>
      <c r="AL478" s="162"/>
      <c r="AM478" s="162">
        <v>0</v>
      </c>
      <c r="AN478" s="162"/>
      <c r="AO478" s="162">
        <v>0</v>
      </c>
      <c r="AP478" s="162"/>
      <c r="AQ478" s="162">
        <v>2741.35</v>
      </c>
      <c r="AR478" s="162"/>
      <c r="AS478" s="162">
        <v>0</v>
      </c>
      <c r="AT478" s="162"/>
      <c r="AU478" s="162">
        <v>0</v>
      </c>
      <c r="AV478" s="162"/>
      <c r="AW478" s="162">
        <v>0</v>
      </c>
      <c r="AX478" s="162"/>
      <c r="AY478" s="162">
        <v>0</v>
      </c>
      <c r="AZ478" s="162"/>
      <c r="BA478" s="162">
        <v>0</v>
      </c>
      <c r="BB478" s="162"/>
      <c r="BC478" s="162">
        <v>0</v>
      </c>
      <c r="BD478" s="162"/>
      <c r="BE478" s="162">
        <v>0</v>
      </c>
      <c r="BF478" s="162"/>
      <c r="BG478" s="162">
        <v>0</v>
      </c>
      <c r="BH478" s="162"/>
      <c r="BI478" s="162">
        <v>0</v>
      </c>
      <c r="BJ478" s="162"/>
      <c r="BK478" s="162">
        <v>2759.55</v>
      </c>
      <c r="BL478" s="162"/>
      <c r="BM478" s="162">
        <v>0</v>
      </c>
      <c r="BN478" s="162"/>
      <c r="BO478" s="162">
        <v>1093.96</v>
      </c>
      <c r="BP478" s="162"/>
      <c r="BQ478" s="162">
        <v>1093.99</v>
      </c>
      <c r="BR478" s="162"/>
      <c r="BS478" s="162">
        <v>1109.1500000000001</v>
      </c>
      <c r="BT478" s="162"/>
    </row>
    <row r="479" spans="1:73" x14ac:dyDescent="0.2">
      <c r="A479" s="123"/>
      <c r="B479" s="124" t="s">
        <v>1043</v>
      </c>
      <c r="C479" s="158">
        <f>SUM(C251:C478)</f>
        <v>756694.48999999964</v>
      </c>
      <c r="D479" s="158">
        <f>SUM(D251:D478)</f>
        <v>756694.49</v>
      </c>
      <c r="E479" s="158">
        <f t="shared" ref="E479:BT479" si="3">SUM(E251:E478)</f>
        <v>605367.87</v>
      </c>
      <c r="F479" s="158">
        <f t="shared" si="3"/>
        <v>605367.87</v>
      </c>
      <c r="G479" s="158">
        <f t="shared" si="3"/>
        <v>512370.14000000007</v>
      </c>
      <c r="H479" s="158">
        <f t="shared" si="3"/>
        <v>512370.14</v>
      </c>
      <c r="I479" s="158">
        <f t="shared" si="3"/>
        <v>393864.71000000014</v>
      </c>
      <c r="J479" s="158">
        <f t="shared" si="3"/>
        <v>393864.70999999996</v>
      </c>
      <c r="K479" s="158">
        <f t="shared" si="3"/>
        <v>1874697.7100000004</v>
      </c>
      <c r="L479" s="158">
        <f t="shared" si="3"/>
        <v>1874697.71</v>
      </c>
      <c r="M479" s="158">
        <f t="shared" si="3"/>
        <v>574184.9</v>
      </c>
      <c r="N479" s="158">
        <f t="shared" si="3"/>
        <v>574184.89999999991</v>
      </c>
      <c r="O479" s="158">
        <f t="shared" si="3"/>
        <v>350987.82000000012</v>
      </c>
      <c r="P479" s="158">
        <f t="shared" si="3"/>
        <v>350988.2</v>
      </c>
      <c r="Q479" s="158">
        <f t="shared" si="3"/>
        <v>390157.39000000013</v>
      </c>
      <c r="R479" s="158">
        <f t="shared" si="3"/>
        <v>390157.38999999996</v>
      </c>
      <c r="S479" s="158">
        <f t="shared" si="3"/>
        <v>461382.0500000001</v>
      </c>
      <c r="T479" s="158">
        <f t="shared" si="3"/>
        <v>461382.05000000005</v>
      </c>
      <c r="U479" s="158">
        <f t="shared" si="3"/>
        <v>452116.10999999987</v>
      </c>
      <c r="V479" s="158">
        <f t="shared" si="3"/>
        <v>452116.11</v>
      </c>
      <c r="W479" s="158">
        <f t="shared" si="3"/>
        <v>359384.06</v>
      </c>
      <c r="X479" s="158">
        <f t="shared" si="3"/>
        <v>359384.06</v>
      </c>
      <c r="Y479" s="158">
        <f t="shared" si="3"/>
        <v>428745.38000000006</v>
      </c>
      <c r="Z479" s="158">
        <f t="shared" si="3"/>
        <v>428745.38</v>
      </c>
      <c r="AA479" s="158">
        <f t="shared" si="3"/>
        <v>667704.38000000012</v>
      </c>
      <c r="AB479" s="158">
        <f t="shared" si="3"/>
        <v>667704.38000000012</v>
      </c>
      <c r="AC479" s="158">
        <f t="shared" si="3"/>
        <v>291717.87</v>
      </c>
      <c r="AD479" s="158">
        <f t="shared" si="3"/>
        <v>291717.87</v>
      </c>
      <c r="AE479" s="158">
        <f t="shared" si="3"/>
        <v>1014238.7100000001</v>
      </c>
      <c r="AF479" s="158">
        <f t="shared" si="3"/>
        <v>1014238.7100000001</v>
      </c>
      <c r="AG479" s="158">
        <f t="shared" si="3"/>
        <v>396023.31000000006</v>
      </c>
      <c r="AH479" s="158">
        <f t="shared" si="3"/>
        <v>396023.30999999994</v>
      </c>
      <c r="AI479" s="158">
        <f t="shared" si="3"/>
        <v>254341.86000000004</v>
      </c>
      <c r="AJ479" s="158">
        <f t="shared" si="3"/>
        <v>254341.86000000002</v>
      </c>
      <c r="AK479" s="158">
        <f t="shared" si="3"/>
        <v>461262.43999999994</v>
      </c>
      <c r="AL479" s="158">
        <f t="shared" si="3"/>
        <v>461262.44000000006</v>
      </c>
      <c r="AM479" s="158">
        <f t="shared" si="3"/>
        <v>645883.30000000005</v>
      </c>
      <c r="AN479" s="158">
        <f t="shared" si="3"/>
        <v>645883.30000000005</v>
      </c>
      <c r="AO479" s="158">
        <f t="shared" si="3"/>
        <v>442005.47</v>
      </c>
      <c r="AP479" s="158">
        <f t="shared" si="3"/>
        <v>442005.47</v>
      </c>
      <c r="AQ479" s="158">
        <f t="shared" si="3"/>
        <v>540469.9800000001</v>
      </c>
      <c r="AR479" s="158">
        <f t="shared" si="3"/>
        <v>540469.98</v>
      </c>
      <c r="AS479" s="158">
        <f t="shared" si="3"/>
        <v>716546.38000000012</v>
      </c>
      <c r="AT479" s="158">
        <f t="shared" si="3"/>
        <v>716546.37999999989</v>
      </c>
      <c r="AU479" s="158">
        <f t="shared" si="3"/>
        <v>618950.71000000008</v>
      </c>
      <c r="AV479" s="158">
        <f t="shared" si="3"/>
        <v>618950.71</v>
      </c>
      <c r="AW479" s="158">
        <f t="shared" si="3"/>
        <v>345619.94999999995</v>
      </c>
      <c r="AX479" s="158">
        <f t="shared" si="3"/>
        <v>345619.95</v>
      </c>
      <c r="AY479" s="158">
        <f t="shared" si="3"/>
        <v>423710.20000000007</v>
      </c>
      <c r="AZ479" s="158">
        <f t="shared" si="3"/>
        <v>423710.2</v>
      </c>
      <c r="BA479" s="158">
        <f t="shared" si="3"/>
        <v>382876.36000000004</v>
      </c>
      <c r="BB479" s="158">
        <f t="shared" si="3"/>
        <v>382876.36</v>
      </c>
      <c r="BC479" s="158">
        <f t="shared" si="3"/>
        <v>456105.00999999983</v>
      </c>
      <c r="BD479" s="158">
        <f t="shared" si="3"/>
        <v>456105.01000000013</v>
      </c>
      <c r="BE479" s="158">
        <f t="shared" si="3"/>
        <v>617640.75999999978</v>
      </c>
      <c r="BF479" s="158">
        <f t="shared" si="3"/>
        <v>617640.76</v>
      </c>
      <c r="BG479" s="158">
        <f t="shared" si="3"/>
        <v>346726.03000000009</v>
      </c>
      <c r="BH479" s="158">
        <f t="shared" si="3"/>
        <v>346726.02999999997</v>
      </c>
      <c r="BI479" s="158">
        <f t="shared" si="3"/>
        <v>472213.83000000013</v>
      </c>
      <c r="BJ479" s="158">
        <f t="shared" si="3"/>
        <v>472213.82999999996</v>
      </c>
      <c r="BK479" s="158">
        <f t="shared" si="3"/>
        <v>432640.95000000007</v>
      </c>
      <c r="BL479" s="158">
        <f t="shared" si="3"/>
        <v>432640.9499999999</v>
      </c>
      <c r="BM479" s="158">
        <f t="shared" si="3"/>
        <v>330983.55000000005</v>
      </c>
      <c r="BN479" s="158">
        <f t="shared" si="3"/>
        <v>330983.55</v>
      </c>
      <c r="BO479" s="158">
        <f t="shared" si="3"/>
        <v>473095.37000000011</v>
      </c>
      <c r="BP479" s="158">
        <f t="shared" si="3"/>
        <v>473095.37</v>
      </c>
      <c r="BQ479" s="158">
        <f t="shared" si="3"/>
        <v>430084.08</v>
      </c>
      <c r="BR479" s="158">
        <f t="shared" si="3"/>
        <v>430084.07999999996</v>
      </c>
      <c r="BS479" s="158">
        <f t="shared" si="3"/>
        <v>429249.14999999997</v>
      </c>
      <c r="BT479" s="158">
        <f t="shared" si="3"/>
        <v>429249.14999999997</v>
      </c>
      <c r="BU479" s="169">
        <f>BS479-BT479</f>
        <v>0</v>
      </c>
    </row>
    <row r="480" spans="1:73" x14ac:dyDescent="0.2">
      <c r="A480" s="123" t="s">
        <v>661</v>
      </c>
      <c r="B480" s="124" t="s">
        <v>660</v>
      </c>
      <c r="C480" s="156">
        <v>-318323.92</v>
      </c>
      <c r="D480" s="156">
        <f>D249-D479</f>
        <v>-318323.92</v>
      </c>
      <c r="E480" s="156">
        <v>-184743.4</v>
      </c>
      <c r="F480" s="156">
        <f>F249-F479</f>
        <v>-184743.40000000002</v>
      </c>
      <c r="G480" s="156">
        <v>-72951.53</v>
      </c>
      <c r="H480" s="156">
        <f>H249-H479</f>
        <v>-72951.530000000028</v>
      </c>
      <c r="I480" s="156">
        <v>66092.2</v>
      </c>
      <c r="J480" s="156">
        <f>J249-J479</f>
        <v>66092.200000000012</v>
      </c>
      <c r="K480" s="156">
        <v>-747800.88</v>
      </c>
      <c r="L480" s="156">
        <f>L249-L479</f>
        <v>-747800.88000000012</v>
      </c>
      <c r="M480" s="156">
        <v>-191340.57</v>
      </c>
      <c r="N480" s="156">
        <f>N249-N479</f>
        <v>-191340.56999999995</v>
      </c>
      <c r="O480" s="156">
        <v>-35020.97</v>
      </c>
      <c r="P480" s="156">
        <f>P249-P479</f>
        <v>-35021.349999999977</v>
      </c>
      <c r="Q480" s="156">
        <v>-79184.08</v>
      </c>
      <c r="R480" s="156">
        <f>R249-R479</f>
        <v>-79184.079999999958</v>
      </c>
      <c r="S480" s="156">
        <v>-46167.25</v>
      </c>
      <c r="T480" s="156">
        <f>T249-T479</f>
        <v>-46167.250000000058</v>
      </c>
      <c r="U480" s="156">
        <v>42877.55</v>
      </c>
      <c r="V480" s="156">
        <f>V249-V479</f>
        <v>42877.549999999988</v>
      </c>
      <c r="W480" s="156">
        <v>-53645.08</v>
      </c>
      <c r="X480" s="156">
        <f>X249-X479</f>
        <v>-53645.080000000016</v>
      </c>
      <c r="Y480" s="156">
        <v>-23184.83</v>
      </c>
      <c r="Z480" s="156">
        <f>Z249-Z479</f>
        <v>-23184.830000000016</v>
      </c>
      <c r="AA480" s="156">
        <v>-223790.22</v>
      </c>
      <c r="AB480" s="156">
        <f>AB249-AB479</f>
        <v>-223790.2200000002</v>
      </c>
      <c r="AC480" s="156">
        <v>-28400.400000000001</v>
      </c>
      <c r="AD480" s="156">
        <f>AD249-AD479</f>
        <v>-28400.400000000023</v>
      </c>
      <c r="AE480" s="156">
        <v>-332486.28999999998</v>
      </c>
      <c r="AF480" s="156">
        <f>AF249-AF479</f>
        <v>-332486.29000000004</v>
      </c>
      <c r="AG480" s="156">
        <v>26243.96</v>
      </c>
      <c r="AH480" s="156">
        <f>AH249-AH479</f>
        <v>26243.960000000079</v>
      </c>
      <c r="AI480" s="156">
        <v>-36438.550000000003</v>
      </c>
      <c r="AJ480" s="156">
        <f>AJ249-AJ479</f>
        <v>-36438.550000000017</v>
      </c>
      <c r="AK480" s="156">
        <v>-78610.83</v>
      </c>
      <c r="AL480" s="156">
        <f>AL249-AL479</f>
        <v>-78610.830000000016</v>
      </c>
      <c r="AM480" s="156">
        <v>19749.96</v>
      </c>
      <c r="AN480" s="156">
        <f>AN249-AN479</f>
        <v>19749.959999999963</v>
      </c>
      <c r="AO480" s="156">
        <v>-56449.17</v>
      </c>
      <c r="AP480" s="156">
        <f>AP249-AP479</f>
        <v>-56449.169999999925</v>
      </c>
      <c r="AQ480" s="156">
        <v>-104717.14</v>
      </c>
      <c r="AR480" s="156">
        <f>AR249-AR479</f>
        <v>-104717.13999999996</v>
      </c>
      <c r="AS480" s="156">
        <v>-310174.45</v>
      </c>
      <c r="AT480" s="156">
        <f>AT249-AT479</f>
        <v>-310174.44999999995</v>
      </c>
      <c r="AU480" s="156">
        <v>121775.89</v>
      </c>
      <c r="AV480" s="156">
        <f>AV249-AV479</f>
        <v>121775.89000000013</v>
      </c>
      <c r="AW480" s="156">
        <v>-53569.89</v>
      </c>
      <c r="AX480" s="156">
        <f>AX249-AX479</f>
        <v>-53569.890000000014</v>
      </c>
      <c r="AY480" s="156">
        <v>5582.01</v>
      </c>
      <c r="AZ480" s="156"/>
      <c r="BA480" s="156">
        <v>33490.43</v>
      </c>
      <c r="BB480" s="156">
        <f>BB249-BB479</f>
        <v>33490.429999999993</v>
      </c>
      <c r="BC480" s="156">
        <v>-125922.44</v>
      </c>
      <c r="BD480" s="156">
        <f>BD249-BD479</f>
        <v>-125922.44000000018</v>
      </c>
      <c r="BE480" s="156">
        <v>-70473.8</v>
      </c>
      <c r="BF480" s="156">
        <f>BF249-BF479</f>
        <v>-70473.800000000047</v>
      </c>
      <c r="BG480" s="156">
        <v>-93345.03</v>
      </c>
      <c r="BH480" s="156">
        <f>BH249-BH479</f>
        <v>-93345.02999999997</v>
      </c>
      <c r="BI480" s="156">
        <v>-95890.74</v>
      </c>
      <c r="BJ480" s="156">
        <f>BJ249-BJ479</f>
        <v>-95890.739999999991</v>
      </c>
      <c r="BK480" s="156">
        <v>87434.62</v>
      </c>
      <c r="BL480" s="156">
        <f>BL249-BL479</f>
        <v>87434.620000000054</v>
      </c>
      <c r="BM480" s="156">
        <v>121143.27</v>
      </c>
      <c r="BN480" s="156">
        <f>BN249-BN479</f>
        <v>121143.26999999996</v>
      </c>
      <c r="BO480" s="156">
        <v>5744.89</v>
      </c>
      <c r="BP480" s="156">
        <f>BP249-BP479</f>
        <v>5744.8899999999558</v>
      </c>
      <c r="BQ480" s="156">
        <v>13708.65</v>
      </c>
      <c r="BR480" s="156">
        <f>BR249-BR479</f>
        <v>13708.650000000023</v>
      </c>
      <c r="BS480" s="156">
        <v>-31567.91</v>
      </c>
      <c r="BT480" s="156">
        <f>BT249-BT479</f>
        <v>-31567.909999999974</v>
      </c>
    </row>
    <row r="481" spans="1:72" x14ac:dyDescent="0.2">
      <c r="A481" s="116"/>
      <c r="B481" s="116"/>
      <c r="C481" s="163">
        <f>C249-C479</f>
        <v>-318323.91999999969</v>
      </c>
      <c r="D481" s="163"/>
      <c r="E481" s="163">
        <f t="shared" ref="E481:BS481" si="4">E249-E479</f>
        <v>-184743.40000000002</v>
      </c>
      <c r="F481" s="163"/>
      <c r="G481" s="163">
        <f t="shared" si="4"/>
        <v>-72951.530000000086</v>
      </c>
      <c r="H481" s="163"/>
      <c r="I481" s="163">
        <f t="shared" si="4"/>
        <v>66092.199999999779</v>
      </c>
      <c r="J481" s="163"/>
      <c r="K481" s="163">
        <f t="shared" si="4"/>
        <v>-747800.88000000035</v>
      </c>
      <c r="L481" s="163"/>
      <c r="M481" s="163">
        <f t="shared" si="4"/>
        <v>-191340.57000000007</v>
      </c>
      <c r="N481" s="163"/>
      <c r="O481" s="163">
        <f t="shared" si="4"/>
        <v>-35020.970000000088</v>
      </c>
      <c r="P481" s="163"/>
      <c r="Q481" s="163">
        <f t="shared" si="4"/>
        <v>-79184.080000000075</v>
      </c>
      <c r="R481" s="163"/>
      <c r="S481" s="163">
        <f t="shared" si="4"/>
        <v>-46167.250000000116</v>
      </c>
      <c r="T481" s="163"/>
      <c r="U481" s="163">
        <f t="shared" si="4"/>
        <v>42877.550000000105</v>
      </c>
      <c r="V481" s="163"/>
      <c r="W481" s="163">
        <f t="shared" si="4"/>
        <v>-53645.080000000016</v>
      </c>
      <c r="X481" s="163"/>
      <c r="Y481" s="163">
        <f t="shared" si="4"/>
        <v>-23184.830000000075</v>
      </c>
      <c r="Z481" s="163"/>
      <c r="AA481" s="163">
        <f t="shared" si="4"/>
        <v>-223790.22000000015</v>
      </c>
      <c r="AB481" s="163"/>
      <c r="AC481" s="163">
        <f t="shared" si="4"/>
        <v>-28400.400000000023</v>
      </c>
      <c r="AD481" s="163"/>
      <c r="AE481" s="163">
        <f t="shared" si="4"/>
        <v>-332486.29000000004</v>
      </c>
      <c r="AF481" s="163"/>
      <c r="AG481" s="163">
        <f t="shared" si="4"/>
        <v>26243.959999999963</v>
      </c>
      <c r="AH481" s="163"/>
      <c r="AI481" s="163">
        <f t="shared" si="4"/>
        <v>-36438.550000000047</v>
      </c>
      <c r="AJ481" s="163"/>
      <c r="AK481" s="163">
        <f t="shared" si="4"/>
        <v>-78610.8299999999</v>
      </c>
      <c r="AL481" s="163"/>
      <c r="AM481" s="163">
        <f t="shared" si="4"/>
        <v>19749.960000000079</v>
      </c>
      <c r="AN481" s="163"/>
      <c r="AO481" s="163">
        <f t="shared" si="4"/>
        <v>-56449.169999999925</v>
      </c>
      <c r="AP481" s="163"/>
      <c r="AQ481" s="163">
        <f t="shared" si="4"/>
        <v>-104717.14000000007</v>
      </c>
      <c r="AR481" s="163"/>
      <c r="AS481" s="163">
        <f t="shared" si="4"/>
        <v>-310174.45000000024</v>
      </c>
      <c r="AT481" s="163"/>
      <c r="AU481" s="163">
        <f t="shared" si="4"/>
        <v>121775.89000000001</v>
      </c>
      <c r="AV481" s="163"/>
      <c r="AW481" s="163">
        <f t="shared" si="4"/>
        <v>-53569.889999999898</v>
      </c>
      <c r="AX481" s="163"/>
      <c r="AY481" s="163">
        <f t="shared" si="4"/>
        <v>5582.0099999999511</v>
      </c>
      <c r="AZ481" s="163"/>
      <c r="BA481" s="163">
        <f t="shared" si="4"/>
        <v>33490.429999999935</v>
      </c>
      <c r="BB481" s="163"/>
      <c r="BC481" s="163">
        <f t="shared" si="4"/>
        <v>-125922.43999999994</v>
      </c>
      <c r="BD481" s="163"/>
      <c r="BE481" s="163">
        <f t="shared" si="4"/>
        <v>-70473.79999999993</v>
      </c>
      <c r="BF481" s="163"/>
      <c r="BG481" s="163">
        <f t="shared" si="4"/>
        <v>-93345.030000000057</v>
      </c>
      <c r="BH481" s="163"/>
      <c r="BI481" s="163">
        <f t="shared" si="4"/>
        <v>-95890.740000000107</v>
      </c>
      <c r="BJ481" s="163"/>
      <c r="BK481" s="163">
        <f t="shared" si="4"/>
        <v>87434.619999999821</v>
      </c>
      <c r="BL481" s="163"/>
      <c r="BM481" s="163">
        <f t="shared" si="4"/>
        <v>121143.2699999999</v>
      </c>
      <c r="BN481" s="163"/>
      <c r="BO481" s="163">
        <f t="shared" si="4"/>
        <v>5744.8899999998976</v>
      </c>
      <c r="BP481" s="163"/>
      <c r="BQ481" s="163">
        <f t="shared" si="4"/>
        <v>13708.649999999965</v>
      </c>
      <c r="BR481" s="163"/>
      <c r="BS481" s="163">
        <f t="shared" si="4"/>
        <v>-31567.909999999916</v>
      </c>
      <c r="BT481" s="163"/>
    </row>
    <row r="482" spans="1:72" x14ac:dyDescent="0.2">
      <c r="A482" s="116"/>
      <c r="B482" s="116"/>
      <c r="C482" s="163">
        <f>C480-C481</f>
        <v>0</v>
      </c>
      <c r="D482" s="163"/>
      <c r="E482" s="163">
        <f t="shared" ref="E482:BS482" si="5">E480-E481</f>
        <v>0</v>
      </c>
      <c r="F482" s="163"/>
      <c r="G482" s="163">
        <f t="shared" si="5"/>
        <v>0</v>
      </c>
      <c r="H482" s="163"/>
      <c r="I482" s="163">
        <f t="shared" si="5"/>
        <v>2.1827872842550278E-10</v>
      </c>
      <c r="J482" s="163"/>
      <c r="K482" s="163">
        <f t="shared" si="5"/>
        <v>0</v>
      </c>
      <c r="L482" s="163"/>
      <c r="M482" s="163">
        <f t="shared" si="5"/>
        <v>0</v>
      </c>
      <c r="N482" s="163"/>
      <c r="O482" s="163">
        <f t="shared" si="5"/>
        <v>8.7311491370201111E-11</v>
      </c>
      <c r="P482" s="163"/>
      <c r="Q482" s="163">
        <f t="shared" si="5"/>
        <v>0</v>
      </c>
      <c r="R482" s="163"/>
      <c r="S482" s="163">
        <f t="shared" si="5"/>
        <v>1.1641532182693481E-10</v>
      </c>
      <c r="T482" s="163"/>
      <c r="U482" s="163">
        <f t="shared" si="5"/>
        <v>-1.0186340659856796E-10</v>
      </c>
      <c r="V482" s="163"/>
      <c r="W482" s="163">
        <f t="shared" si="5"/>
        <v>0</v>
      </c>
      <c r="X482" s="163"/>
      <c r="Y482" s="163">
        <f t="shared" si="5"/>
        <v>7.2759576141834259E-11</v>
      </c>
      <c r="Z482" s="163"/>
      <c r="AA482" s="163">
        <f t="shared" si="5"/>
        <v>0</v>
      </c>
      <c r="AB482" s="163"/>
      <c r="AC482" s="163">
        <f t="shared" si="5"/>
        <v>0</v>
      </c>
      <c r="AD482" s="163"/>
      <c r="AE482" s="163">
        <f t="shared" si="5"/>
        <v>0</v>
      </c>
      <c r="AF482" s="163"/>
      <c r="AG482" s="163">
        <f t="shared" si="5"/>
        <v>3.637978807091713E-11</v>
      </c>
      <c r="AH482" s="163"/>
      <c r="AI482" s="163">
        <f t="shared" si="5"/>
        <v>0</v>
      </c>
      <c r="AJ482" s="163"/>
      <c r="AK482" s="163">
        <f t="shared" si="5"/>
        <v>0</v>
      </c>
      <c r="AL482" s="163"/>
      <c r="AM482" s="163">
        <f t="shared" si="5"/>
        <v>-8.0035533756017685E-11</v>
      </c>
      <c r="AN482" s="163"/>
      <c r="AO482" s="163">
        <f t="shared" si="5"/>
        <v>-7.2759576141834259E-11</v>
      </c>
      <c r="AP482" s="163"/>
      <c r="AQ482" s="163">
        <f t="shared" si="5"/>
        <v>0</v>
      </c>
      <c r="AR482" s="163"/>
      <c r="AS482" s="163">
        <f t="shared" si="5"/>
        <v>0</v>
      </c>
      <c r="AT482" s="163"/>
      <c r="AU482" s="163">
        <f t="shared" si="5"/>
        <v>0</v>
      </c>
      <c r="AV482" s="163"/>
      <c r="AW482" s="163">
        <f t="shared" si="5"/>
        <v>-1.0186340659856796E-10</v>
      </c>
      <c r="AX482" s="163"/>
      <c r="AY482" s="163">
        <f t="shared" si="5"/>
        <v>4.9112713895738125E-11</v>
      </c>
      <c r="AZ482" s="163"/>
      <c r="BA482" s="163">
        <f t="shared" si="5"/>
        <v>6.5483618527650833E-11</v>
      </c>
      <c r="BB482" s="163"/>
      <c r="BC482" s="163">
        <f t="shared" si="5"/>
        <v>0</v>
      </c>
      <c r="BD482" s="163"/>
      <c r="BE482" s="163">
        <f t="shared" si="5"/>
        <v>0</v>
      </c>
      <c r="BF482" s="163"/>
      <c r="BG482" s="163">
        <f t="shared" si="5"/>
        <v>0</v>
      </c>
      <c r="BH482" s="163"/>
      <c r="BI482" s="163">
        <f t="shared" si="5"/>
        <v>0</v>
      </c>
      <c r="BJ482" s="163"/>
      <c r="BK482" s="163">
        <f t="shared" si="5"/>
        <v>1.7462298274040222E-10</v>
      </c>
      <c r="BL482" s="163"/>
      <c r="BM482" s="163">
        <f t="shared" si="5"/>
        <v>0</v>
      </c>
      <c r="BN482" s="163"/>
      <c r="BO482" s="163">
        <f t="shared" si="5"/>
        <v>1.0277290130034089E-10</v>
      </c>
      <c r="BP482" s="163"/>
      <c r="BQ482" s="163">
        <f t="shared" si="5"/>
        <v>3.4560798667371273E-11</v>
      </c>
      <c r="BR482" s="163"/>
      <c r="BS482" s="163">
        <f t="shared" si="5"/>
        <v>-8.3673512563109398E-11</v>
      </c>
      <c r="BT482" s="163"/>
    </row>
    <row r="483" spans="1:72" x14ac:dyDescent="0.2">
      <c r="BL483" s="168">
        <f>BK479-BL479</f>
        <v>0</v>
      </c>
    </row>
    <row r="484" spans="1:72" x14ac:dyDescent="0.2">
      <c r="X484" s="168">
        <f>X479-W479</f>
        <v>0</v>
      </c>
      <c r="AN484" s="168">
        <f>AN480-AM480</f>
        <v>-3.637978807091713E-11</v>
      </c>
      <c r="AZ484" s="168"/>
    </row>
  </sheetData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L276"/>
  <sheetViews>
    <sheetView topLeftCell="AA148" workbookViewId="0">
      <selection activeCell="V275" sqref="V275"/>
    </sheetView>
  </sheetViews>
  <sheetFormatPr defaultColWidth="9.140625" defaultRowHeight="12.75" x14ac:dyDescent="0.2"/>
  <cols>
    <col min="1" max="1" width="11.42578125" style="116" customWidth="1"/>
    <col min="2" max="2" width="37.140625" style="116" customWidth="1"/>
    <col min="3" max="38" width="12.85546875" style="116" customWidth="1"/>
    <col min="39" max="16384" width="9.140625" style="116"/>
  </cols>
  <sheetData>
    <row r="1" spans="1:38" ht="15" customHeight="1" x14ac:dyDescent="0.2">
      <c r="A1" s="172" t="s">
        <v>1378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  <c r="AL1" s="172"/>
    </row>
    <row r="2" spans="1:38" ht="15.75" customHeight="1" x14ac:dyDescent="0.2">
      <c r="A2" s="173" t="s">
        <v>939</v>
      </c>
      <c r="B2" s="173"/>
      <c r="C2" s="173"/>
      <c r="D2" s="173"/>
      <c r="E2" s="173"/>
      <c r="F2" s="173"/>
      <c r="G2" s="173"/>
      <c r="H2" s="173"/>
      <c r="I2" s="173"/>
      <c r="J2" s="173"/>
      <c r="K2" s="173"/>
      <c r="L2" s="173"/>
      <c r="M2" s="173"/>
      <c r="N2" s="173"/>
      <c r="O2" s="173"/>
      <c r="P2" s="173"/>
      <c r="Q2" s="173"/>
      <c r="R2" s="173"/>
      <c r="S2" s="173"/>
      <c r="T2" s="173"/>
      <c r="U2" s="173"/>
      <c r="V2" s="173"/>
      <c r="W2" s="173"/>
      <c r="X2" s="173"/>
      <c r="Y2" s="173"/>
      <c r="Z2" s="173"/>
      <c r="AA2" s="173"/>
      <c r="AB2" s="173"/>
      <c r="AC2" s="173"/>
      <c r="AD2" s="173"/>
      <c r="AE2" s="173"/>
      <c r="AF2" s="173"/>
      <c r="AG2" s="173"/>
      <c r="AH2" s="173"/>
      <c r="AI2" s="173"/>
      <c r="AJ2" s="173"/>
      <c r="AK2" s="173"/>
      <c r="AL2" s="173"/>
    </row>
    <row r="3" spans="1:38" ht="15" customHeight="1" x14ac:dyDescent="0.2">
      <c r="A3" s="172" t="s">
        <v>1379</v>
      </c>
      <c r="B3" s="172"/>
      <c r="C3" s="172"/>
      <c r="D3" s="172"/>
      <c r="E3" s="172"/>
      <c r="F3" s="172"/>
      <c r="G3" s="172"/>
      <c r="H3" s="172"/>
      <c r="I3" s="172"/>
      <c r="J3" s="172"/>
      <c r="K3" s="172"/>
      <c r="L3" s="172"/>
      <c r="M3" s="172"/>
      <c r="N3" s="172"/>
      <c r="O3" s="172"/>
      <c r="P3" s="172"/>
      <c r="Q3" s="172"/>
      <c r="R3" s="172"/>
      <c r="S3" s="172"/>
      <c r="T3" s="172"/>
      <c r="U3" s="172"/>
      <c r="V3" s="172"/>
      <c r="W3" s="172"/>
      <c r="X3" s="172"/>
      <c r="Y3" s="172"/>
      <c r="Z3" s="172"/>
      <c r="AA3" s="172"/>
      <c r="AB3" s="172"/>
      <c r="AC3" s="172"/>
      <c r="AD3" s="172"/>
      <c r="AE3" s="172"/>
      <c r="AF3" s="172"/>
      <c r="AG3" s="172"/>
      <c r="AH3" s="172"/>
      <c r="AI3" s="172"/>
      <c r="AJ3" s="172"/>
      <c r="AK3" s="172"/>
      <c r="AL3" s="172"/>
    </row>
    <row r="4" spans="1:38" ht="15" customHeight="1" x14ac:dyDescent="0.2">
      <c r="A4" s="172" t="s">
        <v>938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172"/>
      <c r="AH4" s="172"/>
      <c r="AI4" s="172"/>
      <c r="AJ4" s="172"/>
      <c r="AK4" s="172"/>
      <c r="AL4" s="172"/>
    </row>
    <row r="5" spans="1:38" s="117" customFormat="1" ht="15" customHeight="1" x14ac:dyDescent="0.2">
      <c r="A5" s="118"/>
      <c r="B5" s="119"/>
      <c r="C5" s="118" t="s">
        <v>937</v>
      </c>
      <c r="D5" s="118" t="s">
        <v>936</v>
      </c>
      <c r="E5" s="118" t="s">
        <v>935</v>
      </c>
      <c r="F5" s="118" t="s">
        <v>934</v>
      </c>
      <c r="G5" s="118" t="s">
        <v>933</v>
      </c>
      <c r="H5" s="118" t="s">
        <v>932</v>
      </c>
      <c r="I5" s="118" t="s">
        <v>931</v>
      </c>
      <c r="J5" s="118" t="s">
        <v>930</v>
      </c>
      <c r="K5" s="118" t="s">
        <v>929</v>
      </c>
      <c r="L5" s="118" t="s">
        <v>928</v>
      </c>
      <c r="M5" s="118" t="s">
        <v>927</v>
      </c>
      <c r="N5" s="118" t="s">
        <v>926</v>
      </c>
      <c r="O5" s="118" t="s">
        <v>925</v>
      </c>
      <c r="P5" s="118" t="s">
        <v>924</v>
      </c>
      <c r="Q5" s="118" t="s">
        <v>923</v>
      </c>
      <c r="R5" s="118" t="s">
        <v>922</v>
      </c>
      <c r="S5" s="118" t="s">
        <v>921</v>
      </c>
      <c r="T5" s="118" t="s">
        <v>920</v>
      </c>
      <c r="U5" s="118" t="s">
        <v>919</v>
      </c>
      <c r="V5" s="118" t="s">
        <v>918</v>
      </c>
      <c r="W5" s="118" t="s">
        <v>917</v>
      </c>
      <c r="X5" s="118" t="s">
        <v>916</v>
      </c>
      <c r="Y5" s="118" t="s">
        <v>915</v>
      </c>
      <c r="Z5" s="118" t="s">
        <v>914</v>
      </c>
      <c r="AA5" s="118" t="s">
        <v>913</v>
      </c>
      <c r="AB5" s="118" t="s">
        <v>912</v>
      </c>
      <c r="AC5" s="118" t="s">
        <v>911</v>
      </c>
      <c r="AD5" s="118" t="s">
        <v>910</v>
      </c>
      <c r="AE5" s="118" t="s">
        <v>909</v>
      </c>
      <c r="AF5" s="118" t="s">
        <v>908</v>
      </c>
      <c r="AG5" s="118" t="s">
        <v>907</v>
      </c>
      <c r="AH5" s="118" t="s">
        <v>906</v>
      </c>
      <c r="AI5" s="118" t="s">
        <v>905</v>
      </c>
      <c r="AJ5" s="118" t="s">
        <v>904</v>
      </c>
      <c r="AK5" s="118" t="s">
        <v>903</v>
      </c>
      <c r="AL5" s="118" t="s">
        <v>1044</v>
      </c>
    </row>
    <row r="6" spans="1:38" s="117" customFormat="1" ht="15" customHeight="1" x14ac:dyDescent="0.2">
      <c r="A6" s="123" t="s">
        <v>286</v>
      </c>
      <c r="B6" s="124" t="s">
        <v>902</v>
      </c>
      <c r="C6" s="151">
        <v>23228.36</v>
      </c>
      <c r="D6" s="151">
        <v>16317.89</v>
      </c>
      <c r="E6" s="151">
        <v>14762.64</v>
      </c>
      <c r="F6" s="151">
        <v>15775.31</v>
      </c>
      <c r="G6" s="151">
        <v>21115.52</v>
      </c>
      <c r="H6" s="151">
        <v>56196.25</v>
      </c>
      <c r="I6" s="151">
        <v>15353.85</v>
      </c>
      <c r="J6" s="151">
        <v>14145.9</v>
      </c>
      <c r="K6" s="151">
        <v>5010.9799999999996</v>
      </c>
      <c r="L6" s="151">
        <v>-8527.75</v>
      </c>
      <c r="M6" s="151">
        <v>31345.95</v>
      </c>
      <c r="N6" s="151">
        <v>-9470</v>
      </c>
      <c r="O6" s="151">
        <v>7852.16</v>
      </c>
      <c r="P6" s="151">
        <v>7654.7</v>
      </c>
      <c r="Q6" s="151">
        <v>21227.37</v>
      </c>
      <c r="R6" s="151">
        <v>-29978.32</v>
      </c>
      <c r="S6" s="151">
        <v>7946.98</v>
      </c>
      <c r="T6" s="151">
        <v>32083.37</v>
      </c>
      <c r="U6" s="151">
        <v>78749.62</v>
      </c>
      <c r="V6" s="151">
        <v>12067.1</v>
      </c>
      <c r="W6" s="151">
        <v>3623.24</v>
      </c>
      <c r="X6" s="151">
        <v>20750.23</v>
      </c>
      <c r="Y6" s="151">
        <v>6482.82</v>
      </c>
      <c r="Z6" s="151">
        <v>4852</v>
      </c>
      <c r="AA6" s="151">
        <v>-16633.099999999999</v>
      </c>
      <c r="AB6" s="151">
        <v>1544.01</v>
      </c>
      <c r="AC6" s="151">
        <v>18984.52</v>
      </c>
      <c r="AD6" s="151">
        <v>1688.95</v>
      </c>
      <c r="AE6" s="151">
        <v>7989.18</v>
      </c>
      <c r="AF6" s="151">
        <v>10808.21</v>
      </c>
      <c r="AG6" s="151">
        <v>19062.650000000001</v>
      </c>
      <c r="AH6" s="151">
        <v>22986.54</v>
      </c>
      <c r="AI6" s="151">
        <v>14623.94</v>
      </c>
      <c r="AJ6" s="151">
        <v>16073.79</v>
      </c>
      <c r="AK6" s="151">
        <v>20814.64</v>
      </c>
      <c r="AL6" s="151">
        <v>486509.5</v>
      </c>
    </row>
    <row r="7" spans="1:38" s="117" customFormat="1" ht="15" customHeight="1" x14ac:dyDescent="0.2">
      <c r="A7" s="123" t="s">
        <v>287</v>
      </c>
      <c r="B7" s="124" t="s">
        <v>901</v>
      </c>
      <c r="C7" s="151">
        <v>351422.64</v>
      </c>
      <c r="D7" s="151">
        <v>391034.17</v>
      </c>
      <c r="E7" s="151">
        <v>319841.36</v>
      </c>
      <c r="F7" s="151">
        <v>388240.04</v>
      </c>
      <c r="G7" s="151">
        <v>216143.45</v>
      </c>
      <c r="H7" s="151">
        <v>353956.11</v>
      </c>
      <c r="I7" s="151">
        <v>295190.15000000002</v>
      </c>
      <c r="J7" s="151">
        <v>294512.09999999998</v>
      </c>
      <c r="K7" s="151">
        <v>354857.64</v>
      </c>
      <c r="L7" s="151">
        <v>402710.48</v>
      </c>
      <c r="M7" s="151">
        <v>269342.05</v>
      </c>
      <c r="N7" s="151">
        <v>341290</v>
      </c>
      <c r="O7" s="151">
        <v>333574.03999999998</v>
      </c>
      <c r="P7" s="151">
        <v>208509.63</v>
      </c>
      <c r="Q7" s="151">
        <v>339972.82</v>
      </c>
      <c r="R7" s="151">
        <v>311844.32</v>
      </c>
      <c r="S7" s="151">
        <v>189754.02</v>
      </c>
      <c r="T7" s="151">
        <v>247280.16</v>
      </c>
      <c r="U7" s="151">
        <v>615143.54</v>
      </c>
      <c r="V7" s="151">
        <v>347457.9</v>
      </c>
      <c r="W7" s="151">
        <v>398020.84</v>
      </c>
      <c r="X7" s="151">
        <v>345300.85</v>
      </c>
      <c r="Y7" s="151">
        <v>137268</v>
      </c>
      <c r="Z7" s="151">
        <v>272103</v>
      </c>
      <c r="AA7" s="151">
        <v>334083.77</v>
      </c>
      <c r="AB7" s="151">
        <v>301758.74</v>
      </c>
      <c r="AC7" s="151">
        <v>286306.74</v>
      </c>
      <c r="AD7" s="151">
        <v>113131</v>
      </c>
      <c r="AE7" s="151">
        <v>198101.59</v>
      </c>
      <c r="AF7" s="151">
        <v>170378.91</v>
      </c>
      <c r="AG7" s="151">
        <v>408151.74</v>
      </c>
      <c r="AH7" s="151">
        <v>227007.87</v>
      </c>
      <c r="AI7" s="151">
        <v>346887.6</v>
      </c>
      <c r="AJ7" s="151">
        <v>355782.41</v>
      </c>
      <c r="AK7" s="151">
        <v>342236.39</v>
      </c>
      <c r="AL7" s="151">
        <v>10808596.07</v>
      </c>
    </row>
    <row r="8" spans="1:38" s="117" customFormat="1" ht="15" customHeight="1" x14ac:dyDescent="0.2">
      <c r="A8" s="123" t="s">
        <v>288</v>
      </c>
      <c r="B8" s="124" t="s">
        <v>900</v>
      </c>
      <c r="C8" s="151">
        <v>76684</v>
      </c>
      <c r="D8" s="151">
        <v>23537.94</v>
      </c>
      <c r="E8" s="151">
        <v>111051</v>
      </c>
      <c r="F8" s="151">
        <v>58588.88</v>
      </c>
      <c r="G8" s="151">
        <v>0</v>
      </c>
      <c r="H8" s="151">
        <v>19823.099999999999</v>
      </c>
      <c r="I8" s="151">
        <v>11306</v>
      </c>
      <c r="J8" s="151">
        <v>11996</v>
      </c>
      <c r="K8" s="151">
        <v>47996</v>
      </c>
      <c r="L8" s="151">
        <v>77980.42</v>
      </c>
      <c r="M8" s="151">
        <v>24757</v>
      </c>
      <c r="N8" s="151">
        <v>57170</v>
      </c>
      <c r="O8" s="151">
        <v>102108.84</v>
      </c>
      <c r="P8" s="151">
        <v>46337.67</v>
      </c>
      <c r="Q8" s="151">
        <v>330607.69</v>
      </c>
      <c r="R8" s="151">
        <v>104635</v>
      </c>
      <c r="S8" s="151">
        <v>20971</v>
      </c>
      <c r="T8" s="151">
        <v>121670.47</v>
      </c>
      <c r="U8" s="151">
        <v>39330</v>
      </c>
      <c r="V8" s="151">
        <v>31555</v>
      </c>
      <c r="W8" s="151">
        <v>34759</v>
      </c>
      <c r="X8" s="151">
        <v>50465.77</v>
      </c>
      <c r="Y8" s="151">
        <v>0</v>
      </c>
      <c r="Z8" s="151">
        <v>12303</v>
      </c>
      <c r="AA8" s="151">
        <v>85605.05</v>
      </c>
      <c r="AB8" s="151">
        <v>105687.25</v>
      </c>
      <c r="AC8" s="151">
        <v>31587.74</v>
      </c>
      <c r="AD8" s="151">
        <v>37677</v>
      </c>
      <c r="AE8" s="151">
        <v>49139.23</v>
      </c>
      <c r="AF8" s="151">
        <v>196000.88</v>
      </c>
      <c r="AG8" s="151">
        <v>94186.1</v>
      </c>
      <c r="AH8" s="151">
        <v>6872.27</v>
      </c>
      <c r="AI8" s="151">
        <v>120258</v>
      </c>
      <c r="AJ8" s="151">
        <v>77307</v>
      </c>
      <c r="AK8" s="151">
        <v>45960.81</v>
      </c>
      <c r="AL8" s="151">
        <v>2265915.11</v>
      </c>
    </row>
    <row r="9" spans="1:38" s="117" customFormat="1" ht="15" customHeight="1" x14ac:dyDescent="0.2">
      <c r="A9" s="123" t="s">
        <v>494</v>
      </c>
      <c r="B9" s="124" t="s">
        <v>899</v>
      </c>
      <c r="C9" s="151">
        <v>0</v>
      </c>
      <c r="D9" s="151">
        <v>0</v>
      </c>
      <c r="E9" s="151">
        <v>0</v>
      </c>
      <c r="F9" s="151">
        <v>0</v>
      </c>
      <c r="G9" s="151">
        <v>900961</v>
      </c>
      <c r="H9" s="151">
        <v>0</v>
      </c>
      <c r="I9" s="151">
        <v>0</v>
      </c>
      <c r="J9" s="151">
        <v>0</v>
      </c>
      <c r="K9" s="151">
        <v>0</v>
      </c>
      <c r="L9" s="151">
        <v>0</v>
      </c>
      <c r="M9" s="151">
        <v>0</v>
      </c>
      <c r="N9" s="151">
        <v>0</v>
      </c>
      <c r="O9" s="151">
        <v>0</v>
      </c>
      <c r="P9" s="151">
        <v>0</v>
      </c>
      <c r="Q9" s="151">
        <v>0</v>
      </c>
      <c r="R9" s="151">
        <v>0</v>
      </c>
      <c r="S9" s="151">
        <v>0</v>
      </c>
      <c r="T9" s="151">
        <v>0</v>
      </c>
      <c r="U9" s="151">
        <v>0</v>
      </c>
      <c r="V9" s="151">
        <v>0</v>
      </c>
      <c r="W9" s="151">
        <v>0</v>
      </c>
      <c r="X9" s="151">
        <v>0</v>
      </c>
      <c r="Y9" s="151">
        <v>579366</v>
      </c>
      <c r="Z9" s="151">
        <v>0</v>
      </c>
      <c r="AA9" s="151">
        <v>0</v>
      </c>
      <c r="AB9" s="151">
        <v>0</v>
      </c>
      <c r="AC9" s="151">
        <v>0</v>
      </c>
      <c r="AD9" s="151">
        <v>403969</v>
      </c>
      <c r="AE9" s="151">
        <v>0</v>
      </c>
      <c r="AF9" s="151">
        <v>0</v>
      </c>
      <c r="AG9" s="151">
        <v>0</v>
      </c>
      <c r="AH9" s="151">
        <v>0</v>
      </c>
      <c r="AI9" s="151">
        <v>0</v>
      </c>
      <c r="AJ9" s="151">
        <v>0</v>
      </c>
      <c r="AK9" s="151">
        <v>0</v>
      </c>
      <c r="AL9" s="151">
        <v>1884296</v>
      </c>
    </row>
    <row r="10" spans="1:38" s="117" customFormat="1" ht="15" customHeight="1" x14ac:dyDescent="0.2">
      <c r="A10" s="123" t="s">
        <v>289</v>
      </c>
      <c r="B10" s="124" t="s">
        <v>898</v>
      </c>
      <c r="C10" s="151">
        <v>-9977</v>
      </c>
      <c r="D10" s="151">
        <v>-1591</v>
      </c>
      <c r="E10" s="151">
        <v>-9375</v>
      </c>
      <c r="F10" s="151">
        <v>12363</v>
      </c>
      <c r="G10" s="151">
        <v>0</v>
      </c>
      <c r="H10" s="151">
        <v>-20371</v>
      </c>
      <c r="I10" s="151">
        <v>-937</v>
      </c>
      <c r="J10" s="151">
        <v>-8886</v>
      </c>
      <c r="K10" s="151">
        <v>-3996</v>
      </c>
      <c r="L10" s="151">
        <v>19609</v>
      </c>
      <c r="M10" s="151">
        <v>-10891</v>
      </c>
      <c r="N10" s="151">
        <v>12570</v>
      </c>
      <c r="O10" s="151">
        <v>16193</v>
      </c>
      <c r="P10" s="151">
        <v>-6731</v>
      </c>
      <c r="Q10" s="151">
        <v>10479</v>
      </c>
      <c r="R10" s="151">
        <v>38086</v>
      </c>
      <c r="S10" s="151">
        <v>-3309</v>
      </c>
      <c r="T10" s="151">
        <v>-6959</v>
      </c>
      <c r="U10" s="151">
        <v>-18483</v>
      </c>
      <c r="V10" s="151">
        <v>-6484</v>
      </c>
      <c r="W10" s="151">
        <v>8282</v>
      </c>
      <c r="X10" s="151">
        <v>8711</v>
      </c>
      <c r="Y10" s="151">
        <v>-2352</v>
      </c>
      <c r="Z10" s="151">
        <v>1161</v>
      </c>
      <c r="AA10" s="151">
        <v>23682</v>
      </c>
      <c r="AB10" s="151">
        <v>18687</v>
      </c>
      <c r="AC10" s="151">
        <v>7170</v>
      </c>
      <c r="AD10" s="151">
        <v>1573</v>
      </c>
      <c r="AE10" s="151">
        <v>-6384</v>
      </c>
      <c r="AF10" s="151">
        <v>2563</v>
      </c>
      <c r="AG10" s="151">
        <v>14440</v>
      </c>
      <c r="AH10" s="151">
        <v>-5417</v>
      </c>
      <c r="AI10" s="151">
        <v>16367</v>
      </c>
      <c r="AJ10" s="151">
        <v>28189</v>
      </c>
      <c r="AK10" s="151">
        <v>-4030</v>
      </c>
      <c r="AL10" s="151">
        <v>113952</v>
      </c>
    </row>
    <row r="11" spans="1:38" s="117" customFormat="1" ht="15" customHeight="1" x14ac:dyDescent="0.2">
      <c r="A11" s="123" t="s">
        <v>1370</v>
      </c>
      <c r="B11" s="124" t="s">
        <v>1380</v>
      </c>
      <c r="C11" s="151">
        <v>0</v>
      </c>
      <c r="D11" s="151">
        <v>0</v>
      </c>
      <c r="E11" s="151">
        <v>0</v>
      </c>
      <c r="F11" s="151">
        <v>0</v>
      </c>
      <c r="G11" s="151">
        <v>0</v>
      </c>
      <c r="H11" s="151">
        <v>0</v>
      </c>
      <c r="I11" s="151">
        <v>0</v>
      </c>
      <c r="J11" s="151">
        <v>0</v>
      </c>
      <c r="K11" s="151">
        <v>0</v>
      </c>
      <c r="L11" s="151">
        <v>0</v>
      </c>
      <c r="M11" s="151">
        <v>7</v>
      </c>
      <c r="N11" s="151">
        <v>0</v>
      </c>
      <c r="O11" s="151">
        <v>0</v>
      </c>
      <c r="P11" s="151">
        <v>0</v>
      </c>
      <c r="Q11" s="151">
        <v>0</v>
      </c>
      <c r="R11" s="151">
        <v>0</v>
      </c>
      <c r="S11" s="151">
        <v>0</v>
      </c>
      <c r="T11" s="151">
        <v>0</v>
      </c>
      <c r="U11" s="151">
        <v>0</v>
      </c>
      <c r="V11" s="151">
        <v>0</v>
      </c>
      <c r="W11" s="151">
        <v>0</v>
      </c>
      <c r="X11" s="151">
        <v>0</v>
      </c>
      <c r="Y11" s="151">
        <v>0</v>
      </c>
      <c r="Z11" s="151">
        <v>0</v>
      </c>
      <c r="AA11" s="151">
        <v>0</v>
      </c>
      <c r="AB11" s="151">
        <v>0</v>
      </c>
      <c r="AC11" s="151">
        <v>0</v>
      </c>
      <c r="AD11" s="151">
        <v>0</v>
      </c>
      <c r="AE11" s="151">
        <v>0</v>
      </c>
      <c r="AF11" s="151">
        <v>0</v>
      </c>
      <c r="AG11" s="151">
        <v>0</v>
      </c>
      <c r="AH11" s="151">
        <v>0</v>
      </c>
      <c r="AI11" s="151">
        <v>0</v>
      </c>
      <c r="AJ11" s="151">
        <v>0</v>
      </c>
      <c r="AK11" s="151">
        <v>0</v>
      </c>
      <c r="AL11" s="151">
        <v>7</v>
      </c>
    </row>
    <row r="12" spans="1:38" s="117" customFormat="1" ht="15" customHeight="1" x14ac:dyDescent="0.2">
      <c r="A12" s="123" t="s">
        <v>290</v>
      </c>
      <c r="B12" s="124" t="s">
        <v>897</v>
      </c>
      <c r="C12" s="151">
        <v>-13251.36</v>
      </c>
      <c r="D12" s="151">
        <v>-14726.89</v>
      </c>
      <c r="E12" s="151">
        <v>-5387.64</v>
      </c>
      <c r="F12" s="151">
        <v>-28138.31</v>
      </c>
      <c r="G12" s="151">
        <v>-24919.52</v>
      </c>
      <c r="H12" s="151">
        <v>-35825.25</v>
      </c>
      <c r="I12" s="151">
        <v>-14416.85</v>
      </c>
      <c r="J12" s="151">
        <v>-5259.9</v>
      </c>
      <c r="K12" s="151">
        <v>-1014.98</v>
      </c>
      <c r="L12" s="151">
        <v>-11081.25</v>
      </c>
      <c r="M12" s="151">
        <v>-20454.95</v>
      </c>
      <c r="N12" s="151">
        <v>-3100</v>
      </c>
      <c r="O12" s="151">
        <v>-24045.16</v>
      </c>
      <c r="P12" s="151">
        <v>-923.7</v>
      </c>
      <c r="Q12" s="151">
        <v>-31706.37</v>
      </c>
      <c r="R12" s="151">
        <v>-8107.68</v>
      </c>
      <c r="S12" s="151">
        <v>-4637.9799999999996</v>
      </c>
      <c r="T12" s="151">
        <v>-25124.37</v>
      </c>
      <c r="U12" s="151">
        <v>-60266.62</v>
      </c>
      <c r="V12" s="151">
        <v>-5583.1</v>
      </c>
      <c r="W12" s="151">
        <v>-11905.24</v>
      </c>
      <c r="X12" s="151">
        <v>-29832.400000000001</v>
      </c>
      <c r="Y12" s="151">
        <v>-5120.82</v>
      </c>
      <c r="Z12" s="151">
        <v>-6013</v>
      </c>
      <c r="AA12" s="151">
        <v>-7048.9</v>
      </c>
      <c r="AB12" s="151">
        <v>-20231.009999999998</v>
      </c>
      <c r="AC12" s="151">
        <v>-26154.52</v>
      </c>
      <c r="AD12" s="151">
        <v>-20240.95</v>
      </c>
      <c r="AE12" s="151">
        <v>-1605.18</v>
      </c>
      <c r="AF12" s="151">
        <v>-13371.21</v>
      </c>
      <c r="AG12" s="151">
        <v>-33502.65</v>
      </c>
      <c r="AH12" s="151">
        <v>-17569.54</v>
      </c>
      <c r="AI12" s="151">
        <v>-30990.94</v>
      </c>
      <c r="AJ12" s="151">
        <v>-44262.79</v>
      </c>
      <c r="AK12" s="151">
        <v>-16784.64</v>
      </c>
      <c r="AL12" s="151">
        <v>-622605.67000000004</v>
      </c>
    </row>
    <row r="13" spans="1:38" s="117" customFormat="1" ht="15" customHeight="1" x14ac:dyDescent="0.2">
      <c r="A13" s="123" t="s">
        <v>495</v>
      </c>
      <c r="B13" s="124" t="s">
        <v>896</v>
      </c>
      <c r="C13" s="151">
        <v>0</v>
      </c>
      <c r="D13" s="151">
        <v>0</v>
      </c>
      <c r="E13" s="151">
        <v>0</v>
      </c>
      <c r="F13" s="151">
        <v>0</v>
      </c>
      <c r="G13" s="151">
        <v>0</v>
      </c>
      <c r="H13" s="151">
        <v>-438.2</v>
      </c>
      <c r="I13" s="151">
        <v>0</v>
      </c>
      <c r="J13" s="151">
        <v>0</v>
      </c>
      <c r="K13" s="151">
        <v>0</v>
      </c>
      <c r="L13" s="151">
        <v>0</v>
      </c>
      <c r="M13" s="151">
        <v>0</v>
      </c>
      <c r="N13" s="151">
        <v>0</v>
      </c>
      <c r="O13" s="151">
        <v>0</v>
      </c>
      <c r="P13" s="151">
        <v>0</v>
      </c>
      <c r="Q13" s="151">
        <v>-289</v>
      </c>
      <c r="R13" s="151">
        <v>0</v>
      </c>
      <c r="S13" s="151">
        <v>0</v>
      </c>
      <c r="T13" s="151">
        <v>-411</v>
      </c>
      <c r="U13" s="151">
        <v>-2661.8</v>
      </c>
      <c r="V13" s="151">
        <v>0</v>
      </c>
      <c r="W13" s="151">
        <v>0</v>
      </c>
      <c r="X13" s="151">
        <v>0</v>
      </c>
      <c r="Y13" s="151">
        <v>0</v>
      </c>
      <c r="Z13" s="151">
        <v>0</v>
      </c>
      <c r="AA13" s="151">
        <v>0</v>
      </c>
      <c r="AB13" s="151">
        <v>0</v>
      </c>
      <c r="AC13" s="151">
        <v>0</v>
      </c>
      <c r="AD13" s="151">
        <v>-2668</v>
      </c>
      <c r="AE13" s="151">
        <v>0</v>
      </c>
      <c r="AF13" s="151">
        <v>0</v>
      </c>
      <c r="AG13" s="151">
        <v>-980</v>
      </c>
      <c r="AH13" s="151">
        <v>-609.67999999999995</v>
      </c>
      <c r="AI13" s="151">
        <v>0</v>
      </c>
      <c r="AJ13" s="151">
        <v>0</v>
      </c>
      <c r="AK13" s="151">
        <v>0</v>
      </c>
      <c r="AL13" s="151">
        <v>-8057.68</v>
      </c>
    </row>
    <row r="14" spans="1:38" s="117" customFormat="1" ht="15" customHeight="1" x14ac:dyDescent="0.2">
      <c r="A14" s="123" t="s">
        <v>534</v>
      </c>
      <c r="B14" s="124" t="s">
        <v>895</v>
      </c>
      <c r="C14" s="151">
        <v>0</v>
      </c>
      <c r="D14" s="151">
        <v>0</v>
      </c>
      <c r="E14" s="151">
        <v>0</v>
      </c>
      <c r="F14" s="151">
        <v>0</v>
      </c>
      <c r="G14" s="151">
        <v>0</v>
      </c>
      <c r="H14" s="151">
        <v>0</v>
      </c>
      <c r="I14" s="151">
        <v>0</v>
      </c>
      <c r="J14" s="151">
        <v>0</v>
      </c>
      <c r="K14" s="151">
        <v>0</v>
      </c>
      <c r="L14" s="151">
        <v>0</v>
      </c>
      <c r="M14" s="151">
        <v>0</v>
      </c>
      <c r="N14" s="151">
        <v>0</v>
      </c>
      <c r="O14" s="151">
        <v>0</v>
      </c>
      <c r="P14" s="151">
        <v>0</v>
      </c>
      <c r="Q14" s="151">
        <v>0</v>
      </c>
      <c r="R14" s="151">
        <v>0</v>
      </c>
      <c r="S14" s="151">
        <v>0</v>
      </c>
      <c r="T14" s="151">
        <v>0</v>
      </c>
      <c r="U14" s="151">
        <v>0</v>
      </c>
      <c r="V14" s="151">
        <v>0</v>
      </c>
      <c r="W14" s="151">
        <v>0</v>
      </c>
      <c r="X14" s="151">
        <v>0</v>
      </c>
      <c r="Y14" s="151">
        <v>0</v>
      </c>
      <c r="Z14" s="151">
        <v>0</v>
      </c>
      <c r="AA14" s="151">
        <v>0</v>
      </c>
      <c r="AB14" s="151">
        <v>0</v>
      </c>
      <c r="AC14" s="151">
        <v>0</v>
      </c>
      <c r="AD14" s="151">
        <v>0</v>
      </c>
      <c r="AE14" s="151">
        <v>0</v>
      </c>
      <c r="AF14" s="151">
        <v>0</v>
      </c>
      <c r="AG14" s="151">
        <v>0</v>
      </c>
      <c r="AH14" s="151">
        <v>0</v>
      </c>
      <c r="AI14" s="151">
        <v>0</v>
      </c>
      <c r="AJ14" s="151">
        <v>50.32</v>
      </c>
      <c r="AK14" s="151">
        <v>0</v>
      </c>
      <c r="AL14" s="151">
        <v>50.32</v>
      </c>
    </row>
    <row r="15" spans="1:38" s="117" customFormat="1" ht="15" customHeight="1" x14ac:dyDescent="0.2">
      <c r="A15" s="123" t="s">
        <v>291</v>
      </c>
      <c r="B15" s="124" t="s">
        <v>894</v>
      </c>
      <c r="C15" s="151">
        <v>-500</v>
      </c>
      <c r="D15" s="151">
        <v>0</v>
      </c>
      <c r="E15" s="151">
        <v>-250</v>
      </c>
      <c r="F15" s="151">
        <v>0</v>
      </c>
      <c r="G15" s="151">
        <v>0</v>
      </c>
      <c r="H15" s="151">
        <v>0</v>
      </c>
      <c r="I15" s="151">
        <v>0</v>
      </c>
      <c r="J15" s="151">
        <v>0</v>
      </c>
      <c r="K15" s="151">
        <v>0</v>
      </c>
      <c r="L15" s="151">
        <v>0</v>
      </c>
      <c r="M15" s="151">
        <v>0</v>
      </c>
      <c r="N15" s="151">
        <v>0</v>
      </c>
      <c r="O15" s="151">
        <v>0</v>
      </c>
      <c r="P15" s="151">
        <v>0</v>
      </c>
      <c r="Q15" s="151">
        <v>0</v>
      </c>
      <c r="R15" s="151">
        <v>0</v>
      </c>
      <c r="S15" s="151">
        <v>0</v>
      </c>
      <c r="T15" s="151">
        <v>0</v>
      </c>
      <c r="U15" s="151">
        <v>0</v>
      </c>
      <c r="V15" s="151">
        <v>0</v>
      </c>
      <c r="W15" s="151">
        <v>-200</v>
      </c>
      <c r="X15" s="151">
        <v>0</v>
      </c>
      <c r="Y15" s="151">
        <v>0</v>
      </c>
      <c r="Z15" s="151">
        <v>0</v>
      </c>
      <c r="AA15" s="151">
        <v>0</v>
      </c>
      <c r="AB15" s="151">
        <v>0</v>
      </c>
      <c r="AC15" s="151">
        <v>0</v>
      </c>
      <c r="AD15" s="151">
        <v>0</v>
      </c>
      <c r="AE15" s="151">
        <v>0</v>
      </c>
      <c r="AF15" s="151">
        <v>0</v>
      </c>
      <c r="AG15" s="151">
        <v>0</v>
      </c>
      <c r="AH15" s="151">
        <v>0</v>
      </c>
      <c r="AI15" s="151">
        <v>0</v>
      </c>
      <c r="AJ15" s="151">
        <v>0</v>
      </c>
      <c r="AK15" s="151">
        <v>0</v>
      </c>
      <c r="AL15" s="151">
        <v>-950</v>
      </c>
    </row>
    <row r="16" spans="1:38" s="117" customFormat="1" ht="15" customHeight="1" x14ac:dyDescent="0.2">
      <c r="A16" s="123" t="s">
        <v>535</v>
      </c>
      <c r="B16" s="124" t="s">
        <v>893</v>
      </c>
      <c r="C16" s="151">
        <v>0</v>
      </c>
      <c r="D16" s="151">
        <v>0</v>
      </c>
      <c r="E16" s="151">
        <v>0</v>
      </c>
      <c r="F16" s="151">
        <v>0</v>
      </c>
      <c r="G16" s="151">
        <v>0</v>
      </c>
      <c r="H16" s="151">
        <v>0</v>
      </c>
      <c r="I16" s="151">
        <v>0</v>
      </c>
      <c r="J16" s="151">
        <v>0</v>
      </c>
      <c r="K16" s="151">
        <v>0</v>
      </c>
      <c r="L16" s="151">
        <v>0</v>
      </c>
      <c r="M16" s="151">
        <v>0</v>
      </c>
      <c r="N16" s="151">
        <v>0</v>
      </c>
      <c r="O16" s="151">
        <v>0</v>
      </c>
      <c r="P16" s="151">
        <v>0</v>
      </c>
      <c r="Q16" s="151">
        <v>212.66</v>
      </c>
      <c r="R16" s="151">
        <v>0</v>
      </c>
      <c r="S16" s="151">
        <v>0</v>
      </c>
      <c r="T16" s="151">
        <v>0</v>
      </c>
      <c r="U16" s="151">
        <v>0</v>
      </c>
      <c r="V16" s="151">
        <v>0</v>
      </c>
      <c r="W16" s="151">
        <v>0</v>
      </c>
      <c r="X16" s="151">
        <v>0</v>
      </c>
      <c r="Y16" s="151">
        <v>0</v>
      </c>
      <c r="Z16" s="151">
        <v>0</v>
      </c>
      <c r="AA16" s="151">
        <v>0</v>
      </c>
      <c r="AB16" s="151">
        <v>0</v>
      </c>
      <c r="AC16" s="151">
        <v>0</v>
      </c>
      <c r="AD16" s="151">
        <v>213.19</v>
      </c>
      <c r="AE16" s="151">
        <v>0</v>
      </c>
      <c r="AF16" s="151">
        <v>0</v>
      </c>
      <c r="AG16" s="151">
        <v>0</v>
      </c>
      <c r="AH16" s="151">
        <v>0</v>
      </c>
      <c r="AI16" s="151">
        <v>0</v>
      </c>
      <c r="AJ16" s="151">
        <v>0</v>
      </c>
      <c r="AK16" s="151">
        <v>0</v>
      </c>
      <c r="AL16" s="151">
        <v>425.85</v>
      </c>
    </row>
    <row r="17" spans="1:38" s="117" customFormat="1" ht="15" customHeight="1" x14ac:dyDescent="0.2">
      <c r="A17" s="123" t="s">
        <v>292</v>
      </c>
      <c r="B17" s="124" t="s">
        <v>892</v>
      </c>
      <c r="C17" s="151">
        <v>154.1</v>
      </c>
      <c r="D17" s="151">
        <v>0</v>
      </c>
      <c r="E17" s="151">
        <v>278.2</v>
      </c>
      <c r="F17" s="151">
        <v>323.60000000000002</v>
      </c>
      <c r="G17" s="151">
        <v>155.85</v>
      </c>
      <c r="H17" s="151">
        <v>761.8</v>
      </c>
      <c r="I17" s="151">
        <v>265.35000000000002</v>
      </c>
      <c r="J17" s="151">
        <v>8.65</v>
      </c>
      <c r="K17" s="151">
        <v>0</v>
      </c>
      <c r="L17" s="151">
        <v>530</v>
      </c>
      <c r="M17" s="151">
        <v>0</v>
      </c>
      <c r="N17" s="151">
        <v>556.15</v>
      </c>
      <c r="O17" s="151">
        <v>156.6</v>
      </c>
      <c r="P17" s="151">
        <v>226.35</v>
      </c>
      <c r="Q17" s="151">
        <v>2413.0700000000002</v>
      </c>
      <c r="R17" s="151">
        <v>101.35</v>
      </c>
      <c r="S17" s="151">
        <v>0</v>
      </c>
      <c r="T17" s="151">
        <v>1812.02</v>
      </c>
      <c r="U17" s="151">
        <v>1456.24</v>
      </c>
      <c r="V17" s="151">
        <v>291.95</v>
      </c>
      <c r="W17" s="151">
        <v>251.41</v>
      </c>
      <c r="X17" s="151">
        <v>174.85</v>
      </c>
      <c r="Y17" s="151">
        <v>285.45</v>
      </c>
      <c r="Z17" s="151">
        <v>331.7</v>
      </c>
      <c r="AA17" s="151">
        <v>348.05</v>
      </c>
      <c r="AB17" s="151">
        <v>974.95</v>
      </c>
      <c r="AC17" s="151">
        <v>2952.6</v>
      </c>
      <c r="AD17" s="151">
        <v>999.25</v>
      </c>
      <c r="AE17" s="151">
        <v>111.8</v>
      </c>
      <c r="AF17" s="151">
        <v>1005.89</v>
      </c>
      <c r="AG17" s="151">
        <v>821.85</v>
      </c>
      <c r="AH17" s="151">
        <v>2435</v>
      </c>
      <c r="AI17" s="151">
        <v>624.41999999999996</v>
      </c>
      <c r="AJ17" s="151">
        <v>600.45000000000005</v>
      </c>
      <c r="AK17" s="151">
        <v>47.45</v>
      </c>
      <c r="AL17" s="151">
        <v>21456.400000000001</v>
      </c>
    </row>
    <row r="18" spans="1:38" s="117" customFormat="1" ht="15" customHeight="1" x14ac:dyDescent="0.2">
      <c r="A18" s="123" t="s">
        <v>293</v>
      </c>
      <c r="B18" s="124" t="s">
        <v>891</v>
      </c>
      <c r="C18" s="151">
        <v>179</v>
      </c>
      <c r="D18" s="151">
        <v>0</v>
      </c>
      <c r="E18" s="151">
        <v>224</v>
      </c>
      <c r="F18" s="151">
        <v>380</v>
      </c>
      <c r="G18" s="151">
        <v>360</v>
      </c>
      <c r="H18" s="151">
        <v>977.05</v>
      </c>
      <c r="I18" s="151">
        <v>100</v>
      </c>
      <c r="J18" s="151">
        <v>30</v>
      </c>
      <c r="K18" s="151">
        <v>0</v>
      </c>
      <c r="L18" s="151">
        <v>320</v>
      </c>
      <c r="M18" s="151">
        <v>0</v>
      </c>
      <c r="N18" s="151">
        <v>264</v>
      </c>
      <c r="O18" s="151">
        <v>232</v>
      </c>
      <c r="P18" s="151">
        <v>0</v>
      </c>
      <c r="Q18" s="151">
        <v>1573.3</v>
      </c>
      <c r="R18" s="151">
        <v>90</v>
      </c>
      <c r="S18" s="151">
        <v>0</v>
      </c>
      <c r="T18" s="151">
        <v>388.85</v>
      </c>
      <c r="U18" s="151">
        <v>600</v>
      </c>
      <c r="V18" s="151">
        <v>35</v>
      </c>
      <c r="W18" s="151">
        <v>210</v>
      </c>
      <c r="X18" s="151">
        <v>250</v>
      </c>
      <c r="Y18" s="151">
        <v>30</v>
      </c>
      <c r="Z18" s="151">
        <v>0</v>
      </c>
      <c r="AA18" s="151">
        <v>270</v>
      </c>
      <c r="AB18" s="151">
        <v>54</v>
      </c>
      <c r="AC18" s="151">
        <v>3043.6</v>
      </c>
      <c r="AD18" s="151">
        <v>1184</v>
      </c>
      <c r="AE18" s="151">
        <v>287</v>
      </c>
      <c r="AF18" s="151">
        <v>1334</v>
      </c>
      <c r="AG18" s="151">
        <v>450</v>
      </c>
      <c r="AH18" s="151">
        <v>2122</v>
      </c>
      <c r="AI18" s="151">
        <v>510</v>
      </c>
      <c r="AJ18" s="151">
        <v>0</v>
      </c>
      <c r="AK18" s="151">
        <v>0</v>
      </c>
      <c r="AL18" s="151">
        <v>15497.8</v>
      </c>
    </row>
    <row r="19" spans="1:38" s="117" customFormat="1" ht="15" customHeight="1" x14ac:dyDescent="0.2">
      <c r="A19" s="123" t="s">
        <v>294</v>
      </c>
      <c r="B19" s="124" t="s">
        <v>890</v>
      </c>
      <c r="C19" s="151">
        <v>0</v>
      </c>
      <c r="D19" s="151">
        <v>0</v>
      </c>
      <c r="E19" s="151">
        <v>0</v>
      </c>
      <c r="F19" s="151">
        <v>0</v>
      </c>
      <c r="G19" s="151">
        <v>0</v>
      </c>
      <c r="H19" s="151">
        <v>0</v>
      </c>
      <c r="I19" s="151">
        <v>0</v>
      </c>
      <c r="J19" s="151">
        <v>0</v>
      </c>
      <c r="K19" s="151">
        <v>0</v>
      </c>
      <c r="L19" s="151">
        <v>0</v>
      </c>
      <c r="M19" s="151">
        <v>0</v>
      </c>
      <c r="N19" s="151">
        <v>0</v>
      </c>
      <c r="O19" s="151">
        <v>0</v>
      </c>
      <c r="P19" s="151">
        <v>0</v>
      </c>
      <c r="Q19" s="151">
        <v>0</v>
      </c>
      <c r="R19" s="151">
        <v>0</v>
      </c>
      <c r="S19" s="151">
        <v>0</v>
      </c>
      <c r="T19" s="151">
        <v>0</v>
      </c>
      <c r="U19" s="151">
        <v>0</v>
      </c>
      <c r="V19" s="151">
        <v>0</v>
      </c>
      <c r="W19" s="151">
        <v>0</v>
      </c>
      <c r="X19" s="151">
        <v>0</v>
      </c>
      <c r="Y19" s="151">
        <v>50</v>
      </c>
      <c r="Z19" s="151">
        <v>0</v>
      </c>
      <c r="AA19" s="151">
        <v>0</v>
      </c>
      <c r="AB19" s="151">
        <v>0</v>
      </c>
      <c r="AC19" s="151">
        <v>0</v>
      </c>
      <c r="AD19" s="151">
        <v>0</v>
      </c>
      <c r="AE19" s="151">
        <v>0</v>
      </c>
      <c r="AF19" s="151">
        <v>25</v>
      </c>
      <c r="AG19" s="151">
        <v>0</v>
      </c>
      <c r="AH19" s="151">
        <v>0</v>
      </c>
      <c r="AI19" s="151">
        <v>25</v>
      </c>
      <c r="AJ19" s="151">
        <v>0</v>
      </c>
      <c r="AK19" s="151">
        <v>0</v>
      </c>
      <c r="AL19" s="151">
        <v>100</v>
      </c>
    </row>
    <row r="20" spans="1:38" s="117" customFormat="1" ht="15" customHeight="1" x14ac:dyDescent="0.2">
      <c r="A20" s="123" t="s">
        <v>295</v>
      </c>
      <c r="B20" s="124" t="s">
        <v>889</v>
      </c>
      <c r="C20" s="151">
        <v>-257.31</v>
      </c>
      <c r="D20" s="151">
        <v>0</v>
      </c>
      <c r="E20" s="151">
        <v>479.34</v>
      </c>
      <c r="F20" s="151">
        <v>490</v>
      </c>
      <c r="G20" s="151">
        <v>90</v>
      </c>
      <c r="H20" s="151">
        <v>45</v>
      </c>
      <c r="I20" s="151">
        <v>243</v>
      </c>
      <c r="J20" s="151">
        <v>121</v>
      </c>
      <c r="K20" s="151">
        <v>0</v>
      </c>
      <c r="L20" s="151">
        <v>62</v>
      </c>
      <c r="M20" s="151">
        <v>0</v>
      </c>
      <c r="N20" s="151">
        <v>50</v>
      </c>
      <c r="O20" s="151">
        <v>125</v>
      </c>
      <c r="P20" s="151">
        <v>38</v>
      </c>
      <c r="Q20" s="151">
        <v>0</v>
      </c>
      <c r="R20" s="151">
        <v>75</v>
      </c>
      <c r="S20" s="151">
        <v>16</v>
      </c>
      <c r="T20" s="151">
        <v>0</v>
      </c>
      <c r="U20" s="151">
        <v>175</v>
      </c>
      <c r="V20" s="151">
        <v>0</v>
      </c>
      <c r="W20" s="151">
        <v>189</v>
      </c>
      <c r="X20" s="151">
        <v>137</v>
      </c>
      <c r="Y20" s="151">
        <v>119</v>
      </c>
      <c r="Z20" s="151">
        <v>65</v>
      </c>
      <c r="AA20" s="151">
        <v>40</v>
      </c>
      <c r="AB20" s="151">
        <v>80</v>
      </c>
      <c r="AC20" s="151">
        <v>50</v>
      </c>
      <c r="AD20" s="151">
        <v>500</v>
      </c>
      <c r="AE20" s="151">
        <v>160</v>
      </c>
      <c r="AF20" s="151">
        <v>235</v>
      </c>
      <c r="AG20" s="151">
        <v>227</v>
      </c>
      <c r="AH20" s="151">
        <v>0</v>
      </c>
      <c r="AI20" s="151">
        <v>332</v>
      </c>
      <c r="AJ20" s="151">
        <v>480</v>
      </c>
      <c r="AK20" s="151">
        <v>381</v>
      </c>
      <c r="AL20" s="151">
        <v>4747.03</v>
      </c>
    </row>
    <row r="21" spans="1:38" s="117" customFormat="1" ht="15" customHeight="1" x14ac:dyDescent="0.2">
      <c r="A21" s="123" t="s">
        <v>536</v>
      </c>
      <c r="B21" s="124" t="s">
        <v>888</v>
      </c>
      <c r="C21" s="151">
        <v>70</v>
      </c>
      <c r="D21" s="151">
        <v>0</v>
      </c>
      <c r="E21" s="151">
        <v>35</v>
      </c>
      <c r="F21" s="151">
        <v>35</v>
      </c>
      <c r="G21" s="151">
        <v>0</v>
      </c>
      <c r="H21" s="151">
        <v>70</v>
      </c>
      <c r="I21" s="151">
        <v>35</v>
      </c>
      <c r="J21" s="151">
        <v>0</v>
      </c>
      <c r="K21" s="151">
        <v>0</v>
      </c>
      <c r="L21" s="151">
        <v>35</v>
      </c>
      <c r="M21" s="151">
        <v>70</v>
      </c>
      <c r="N21" s="151">
        <v>105</v>
      </c>
      <c r="O21" s="151">
        <v>0</v>
      </c>
      <c r="P21" s="151">
        <v>70</v>
      </c>
      <c r="Q21" s="151">
        <v>70</v>
      </c>
      <c r="R21" s="151">
        <v>0</v>
      </c>
      <c r="S21" s="151">
        <v>0</v>
      </c>
      <c r="T21" s="151">
        <v>35</v>
      </c>
      <c r="U21" s="151">
        <v>140</v>
      </c>
      <c r="V21" s="151">
        <v>0</v>
      </c>
      <c r="W21" s="151">
        <v>0</v>
      </c>
      <c r="X21" s="151">
        <v>25</v>
      </c>
      <c r="Y21" s="151">
        <v>175</v>
      </c>
      <c r="Z21" s="151">
        <v>35</v>
      </c>
      <c r="AA21" s="151">
        <v>35</v>
      </c>
      <c r="AB21" s="151">
        <v>245</v>
      </c>
      <c r="AC21" s="151">
        <v>70</v>
      </c>
      <c r="AD21" s="151">
        <v>0</v>
      </c>
      <c r="AE21" s="151">
        <v>0</v>
      </c>
      <c r="AF21" s="151">
        <v>70</v>
      </c>
      <c r="AG21" s="151">
        <v>140</v>
      </c>
      <c r="AH21" s="151">
        <v>140</v>
      </c>
      <c r="AI21" s="151">
        <v>35</v>
      </c>
      <c r="AJ21" s="151">
        <v>105</v>
      </c>
      <c r="AK21" s="151">
        <v>35</v>
      </c>
      <c r="AL21" s="151">
        <v>1880</v>
      </c>
    </row>
    <row r="22" spans="1:38" s="117" customFormat="1" ht="15" customHeight="1" x14ac:dyDescent="0.2">
      <c r="A22" s="123" t="s">
        <v>887</v>
      </c>
      <c r="B22" s="124" t="s">
        <v>886</v>
      </c>
      <c r="C22" s="151">
        <v>0</v>
      </c>
      <c r="D22" s="151">
        <v>0</v>
      </c>
      <c r="E22" s="151">
        <v>0</v>
      </c>
      <c r="F22" s="151">
        <v>0</v>
      </c>
      <c r="G22" s="151">
        <v>0</v>
      </c>
      <c r="H22" s="151">
        <v>0</v>
      </c>
      <c r="I22" s="151">
        <v>0</v>
      </c>
      <c r="J22" s="151">
        <v>0</v>
      </c>
      <c r="K22" s="151">
        <v>0</v>
      </c>
      <c r="L22" s="151">
        <v>0</v>
      </c>
      <c r="M22" s="151">
        <v>0</v>
      </c>
      <c r="N22" s="151">
        <v>0</v>
      </c>
      <c r="O22" s="151">
        <v>0</v>
      </c>
      <c r="P22" s="151">
        <v>0</v>
      </c>
      <c r="Q22" s="151">
        <v>0</v>
      </c>
      <c r="R22" s="151">
        <v>0</v>
      </c>
      <c r="S22" s="151">
        <v>0</v>
      </c>
      <c r="T22" s="151">
        <v>450</v>
      </c>
      <c r="U22" s="151">
        <v>0</v>
      </c>
      <c r="V22" s="151">
        <v>0</v>
      </c>
      <c r="W22" s="151">
        <v>0</v>
      </c>
      <c r="X22" s="151">
        <v>0</v>
      </c>
      <c r="Y22" s="151">
        <v>0</v>
      </c>
      <c r="Z22" s="151">
        <v>0</v>
      </c>
      <c r="AA22" s="151">
        <v>0</v>
      </c>
      <c r="AB22" s="151">
        <v>0</v>
      </c>
      <c r="AC22" s="151">
        <v>0</v>
      </c>
      <c r="AD22" s="151">
        <v>0</v>
      </c>
      <c r="AE22" s="151">
        <v>60</v>
      </c>
      <c r="AF22" s="151">
        <v>0</v>
      </c>
      <c r="AG22" s="151">
        <v>525.66999999999996</v>
      </c>
      <c r="AH22" s="151">
        <v>0</v>
      </c>
      <c r="AI22" s="151">
        <v>0</v>
      </c>
      <c r="AJ22" s="151">
        <v>0</v>
      </c>
      <c r="AK22" s="151">
        <v>0</v>
      </c>
      <c r="AL22" s="151">
        <v>1035.67</v>
      </c>
    </row>
    <row r="23" spans="1:38" s="117" customFormat="1" ht="15" customHeight="1" x14ac:dyDescent="0.2">
      <c r="A23" s="123" t="s">
        <v>1353</v>
      </c>
      <c r="B23" s="124" t="s">
        <v>1381</v>
      </c>
      <c r="C23" s="151">
        <v>0</v>
      </c>
      <c r="D23" s="151">
        <v>0</v>
      </c>
      <c r="E23" s="151">
        <v>0</v>
      </c>
      <c r="F23" s="151">
        <v>0</v>
      </c>
      <c r="G23" s="151">
        <v>705</v>
      </c>
      <c r="H23" s="151">
        <v>0</v>
      </c>
      <c r="I23" s="151">
        <v>0</v>
      </c>
      <c r="J23" s="151">
        <v>0</v>
      </c>
      <c r="K23" s="151">
        <v>0</v>
      </c>
      <c r="L23" s="151">
        <v>0</v>
      </c>
      <c r="M23" s="151">
        <v>0</v>
      </c>
      <c r="N23" s="151">
        <v>0</v>
      </c>
      <c r="O23" s="151">
        <v>0</v>
      </c>
      <c r="P23" s="151">
        <v>0</v>
      </c>
      <c r="Q23" s="151">
        <v>0</v>
      </c>
      <c r="R23" s="151">
        <v>0</v>
      </c>
      <c r="S23" s="151">
        <v>0</v>
      </c>
      <c r="T23" s="151">
        <v>0</v>
      </c>
      <c r="U23" s="151">
        <v>0</v>
      </c>
      <c r="V23" s="151">
        <v>0</v>
      </c>
      <c r="W23" s="151">
        <v>0</v>
      </c>
      <c r="X23" s="151">
        <v>0</v>
      </c>
      <c r="Y23" s="151">
        <v>0</v>
      </c>
      <c r="Z23" s="151">
        <v>0</v>
      </c>
      <c r="AA23" s="151">
        <v>0</v>
      </c>
      <c r="AB23" s="151">
        <v>0</v>
      </c>
      <c r="AC23" s="151">
        <v>0</v>
      </c>
      <c r="AD23" s="151">
        <v>0</v>
      </c>
      <c r="AE23" s="151">
        <v>0</v>
      </c>
      <c r="AF23" s="151">
        <v>0</v>
      </c>
      <c r="AG23" s="151">
        <v>0</v>
      </c>
      <c r="AH23" s="151">
        <v>0</v>
      </c>
      <c r="AI23" s="151">
        <v>0</v>
      </c>
      <c r="AJ23" s="151">
        <v>0</v>
      </c>
      <c r="AK23" s="151">
        <v>0</v>
      </c>
      <c r="AL23" s="151">
        <v>705</v>
      </c>
    </row>
    <row r="24" spans="1:38" s="117" customFormat="1" ht="15" customHeight="1" x14ac:dyDescent="0.2">
      <c r="A24" s="123" t="s">
        <v>1351</v>
      </c>
      <c r="B24" s="124" t="s">
        <v>1382</v>
      </c>
      <c r="C24" s="151">
        <v>0</v>
      </c>
      <c r="D24" s="151">
        <v>0</v>
      </c>
      <c r="E24" s="151">
        <v>0</v>
      </c>
      <c r="F24" s="151">
        <v>0</v>
      </c>
      <c r="G24" s="151">
        <v>0</v>
      </c>
      <c r="H24" s="151">
        <v>0</v>
      </c>
      <c r="I24" s="151">
        <v>0</v>
      </c>
      <c r="J24" s="151">
        <v>0</v>
      </c>
      <c r="K24" s="151">
        <v>0</v>
      </c>
      <c r="L24" s="151">
        <v>0</v>
      </c>
      <c r="M24" s="151">
        <v>0</v>
      </c>
      <c r="N24" s="151">
        <v>0</v>
      </c>
      <c r="O24" s="151">
        <v>0</v>
      </c>
      <c r="P24" s="151">
        <v>0</v>
      </c>
      <c r="Q24" s="151">
        <v>0</v>
      </c>
      <c r="R24" s="151">
        <v>0</v>
      </c>
      <c r="S24" s="151">
        <v>0</v>
      </c>
      <c r="T24" s="151">
        <v>0</v>
      </c>
      <c r="U24" s="151">
        <v>0</v>
      </c>
      <c r="V24" s="151">
        <v>0</v>
      </c>
      <c r="W24" s="151">
        <v>0</v>
      </c>
      <c r="X24" s="151">
        <v>7.41</v>
      </c>
      <c r="Y24" s="151">
        <v>0</v>
      </c>
      <c r="Z24" s="151">
        <v>0</v>
      </c>
      <c r="AA24" s="151">
        <v>0</v>
      </c>
      <c r="AB24" s="151">
        <v>0</v>
      </c>
      <c r="AC24" s="151">
        <v>0</v>
      </c>
      <c r="AD24" s="151">
        <v>0</v>
      </c>
      <c r="AE24" s="151">
        <v>0</v>
      </c>
      <c r="AF24" s="151">
        <v>0</v>
      </c>
      <c r="AG24" s="151">
        <v>0</v>
      </c>
      <c r="AH24" s="151">
        <v>0</v>
      </c>
      <c r="AI24" s="151">
        <v>0</v>
      </c>
      <c r="AJ24" s="151">
        <v>0</v>
      </c>
      <c r="AK24" s="151">
        <v>0</v>
      </c>
      <c r="AL24" s="151">
        <v>7.41</v>
      </c>
    </row>
    <row r="25" spans="1:38" s="117" customFormat="1" ht="15" customHeight="1" x14ac:dyDescent="0.2">
      <c r="A25" s="123" t="s">
        <v>296</v>
      </c>
      <c r="B25" s="124" t="s">
        <v>885</v>
      </c>
      <c r="C25" s="151">
        <v>350</v>
      </c>
      <c r="D25" s="151">
        <v>0</v>
      </c>
      <c r="E25" s="151">
        <v>325</v>
      </c>
      <c r="F25" s="151">
        <v>250</v>
      </c>
      <c r="G25" s="151">
        <v>0</v>
      </c>
      <c r="H25" s="151">
        <v>150</v>
      </c>
      <c r="I25" s="151">
        <v>250</v>
      </c>
      <c r="J25" s="151">
        <v>50</v>
      </c>
      <c r="K25" s="151">
        <v>120</v>
      </c>
      <c r="L25" s="151">
        <v>250</v>
      </c>
      <c r="M25" s="151">
        <v>160</v>
      </c>
      <c r="N25" s="151">
        <v>0</v>
      </c>
      <c r="O25" s="151">
        <v>125</v>
      </c>
      <c r="P25" s="151">
        <v>120</v>
      </c>
      <c r="Q25" s="151">
        <v>675</v>
      </c>
      <c r="R25" s="151">
        <v>125</v>
      </c>
      <c r="S25" s="151">
        <v>160</v>
      </c>
      <c r="T25" s="151">
        <v>640</v>
      </c>
      <c r="U25" s="151">
        <v>150</v>
      </c>
      <c r="V25" s="151">
        <v>125</v>
      </c>
      <c r="W25" s="151">
        <v>175</v>
      </c>
      <c r="X25" s="151">
        <v>476</v>
      </c>
      <c r="Y25" s="151">
        <v>0</v>
      </c>
      <c r="Z25" s="151">
        <v>120</v>
      </c>
      <c r="AA25" s="151">
        <v>0</v>
      </c>
      <c r="AB25" s="151">
        <v>266</v>
      </c>
      <c r="AC25" s="151">
        <v>700</v>
      </c>
      <c r="AD25" s="151">
        <v>75</v>
      </c>
      <c r="AE25" s="151">
        <v>125</v>
      </c>
      <c r="AF25" s="151">
        <v>315</v>
      </c>
      <c r="AG25" s="151">
        <v>225</v>
      </c>
      <c r="AH25" s="151">
        <v>0</v>
      </c>
      <c r="AI25" s="151">
        <v>225</v>
      </c>
      <c r="AJ25" s="151">
        <v>300</v>
      </c>
      <c r="AK25" s="151">
        <v>200</v>
      </c>
      <c r="AL25" s="151">
        <v>7227</v>
      </c>
    </row>
    <row r="26" spans="1:38" s="117" customFormat="1" ht="15" customHeight="1" x14ac:dyDescent="0.2">
      <c r="A26" s="123" t="s">
        <v>297</v>
      </c>
      <c r="B26" s="124" t="s">
        <v>884</v>
      </c>
      <c r="C26" s="151">
        <v>4290.68</v>
      </c>
      <c r="D26" s="151">
        <v>2575.36</v>
      </c>
      <c r="E26" s="151">
        <v>4044.04</v>
      </c>
      <c r="F26" s="151">
        <v>4230.16</v>
      </c>
      <c r="G26" s="151">
        <v>5949.52</v>
      </c>
      <c r="H26" s="151">
        <v>3257.28</v>
      </c>
      <c r="I26" s="151">
        <v>3130.12</v>
      </c>
      <c r="J26" s="151">
        <v>3115.84</v>
      </c>
      <c r="K26" s="151">
        <v>7684.97</v>
      </c>
      <c r="L26" s="151">
        <v>4089.48</v>
      </c>
      <c r="M26" s="151">
        <v>4403.08</v>
      </c>
      <c r="N26" s="151">
        <v>4282.6000000000004</v>
      </c>
      <c r="O26" s="151">
        <v>4889.84</v>
      </c>
      <c r="P26" s="151">
        <v>3478.96</v>
      </c>
      <c r="Q26" s="151">
        <v>0</v>
      </c>
      <c r="R26" s="151">
        <v>2760.52</v>
      </c>
      <c r="S26" s="151">
        <v>3070.32</v>
      </c>
      <c r="T26" s="151">
        <v>0</v>
      </c>
      <c r="U26" s="151">
        <v>5814.76</v>
      </c>
      <c r="V26" s="151">
        <v>3203.56</v>
      </c>
      <c r="W26" s="151">
        <v>0</v>
      </c>
      <c r="X26" s="151">
        <v>4473.8</v>
      </c>
      <c r="Y26" s="151">
        <v>4563.5600000000004</v>
      </c>
      <c r="Z26" s="151">
        <v>3286.52</v>
      </c>
      <c r="AA26" s="151">
        <v>4532.28</v>
      </c>
      <c r="AB26" s="151">
        <v>5396.09</v>
      </c>
      <c r="AC26" s="151">
        <v>0</v>
      </c>
      <c r="AD26" s="151">
        <v>3166.84</v>
      </c>
      <c r="AE26" s="151">
        <v>2930.88</v>
      </c>
      <c r="AF26" s="151">
        <v>0</v>
      </c>
      <c r="AG26" s="151">
        <v>5718.35</v>
      </c>
      <c r="AH26" s="151">
        <v>0</v>
      </c>
      <c r="AI26" s="151">
        <v>3588.08</v>
      </c>
      <c r="AJ26" s="151">
        <v>3815.56</v>
      </c>
      <c r="AK26" s="151">
        <v>3494.08</v>
      </c>
      <c r="AL26" s="151">
        <v>119237.13</v>
      </c>
    </row>
    <row r="27" spans="1:38" s="117" customFormat="1" ht="15" customHeight="1" x14ac:dyDescent="0.2">
      <c r="A27" s="123" t="s">
        <v>298</v>
      </c>
      <c r="B27" s="124" t="s">
        <v>883</v>
      </c>
      <c r="C27" s="151">
        <v>489.2</v>
      </c>
      <c r="D27" s="151">
        <v>0</v>
      </c>
      <c r="E27" s="151">
        <v>0</v>
      </c>
      <c r="F27" s="151">
        <v>1986.32</v>
      </c>
      <c r="G27" s="151">
        <v>0</v>
      </c>
      <c r="H27" s="151">
        <v>0</v>
      </c>
      <c r="I27" s="151">
        <v>165.27</v>
      </c>
      <c r="J27" s="151">
        <v>0</v>
      </c>
      <c r="K27" s="151">
        <v>0</v>
      </c>
      <c r="L27" s="151">
        <v>0</v>
      </c>
      <c r="M27" s="151">
        <v>0</v>
      </c>
      <c r="N27" s="151">
        <v>0</v>
      </c>
      <c r="O27" s="151">
        <v>0</v>
      </c>
      <c r="P27" s="151">
        <v>0</v>
      </c>
      <c r="Q27" s="151">
        <v>0</v>
      </c>
      <c r="R27" s="151">
        <v>419.25</v>
      </c>
      <c r="S27" s="151">
        <v>0</v>
      </c>
      <c r="T27" s="151">
        <v>1250</v>
      </c>
      <c r="U27" s="151">
        <v>0</v>
      </c>
      <c r="V27" s="151">
        <v>0</v>
      </c>
      <c r="W27" s="151">
        <v>0</v>
      </c>
      <c r="X27" s="151">
        <v>0</v>
      </c>
      <c r="Y27" s="151">
        <v>0</v>
      </c>
      <c r="Z27" s="151">
        <v>0</v>
      </c>
      <c r="AA27" s="151">
        <v>0</v>
      </c>
      <c r="AB27" s="151">
        <v>346.31</v>
      </c>
      <c r="AC27" s="151">
        <v>0</v>
      </c>
      <c r="AD27" s="151">
        <v>702.85</v>
      </c>
      <c r="AE27" s="151">
        <v>0</v>
      </c>
      <c r="AF27" s="151">
        <v>885.96</v>
      </c>
      <c r="AG27" s="151">
        <v>0</v>
      </c>
      <c r="AH27" s="151">
        <v>0</v>
      </c>
      <c r="AI27" s="151">
        <v>911.61</v>
      </c>
      <c r="AJ27" s="151">
        <v>0</v>
      </c>
      <c r="AK27" s="151">
        <v>0</v>
      </c>
      <c r="AL27" s="151">
        <v>7156.77</v>
      </c>
    </row>
    <row r="28" spans="1:38" s="117" customFormat="1" ht="15" customHeight="1" x14ac:dyDescent="0.2">
      <c r="A28" s="123" t="s">
        <v>537</v>
      </c>
      <c r="B28" s="124" t="s">
        <v>882</v>
      </c>
      <c r="C28" s="151">
        <v>0</v>
      </c>
      <c r="D28" s="151">
        <v>0</v>
      </c>
      <c r="E28" s="151">
        <v>0</v>
      </c>
      <c r="F28" s="151">
        <v>0</v>
      </c>
      <c r="G28" s="151">
        <v>0</v>
      </c>
      <c r="H28" s="151">
        <v>0</v>
      </c>
      <c r="I28" s="151">
        <v>0</v>
      </c>
      <c r="J28" s="151">
        <v>0</v>
      </c>
      <c r="K28" s="151">
        <v>0</v>
      </c>
      <c r="L28" s="151">
        <v>0</v>
      </c>
      <c r="M28" s="151">
        <v>0</v>
      </c>
      <c r="N28" s="151">
        <v>0</v>
      </c>
      <c r="O28" s="151">
        <v>0</v>
      </c>
      <c r="P28" s="151">
        <v>0</v>
      </c>
      <c r="Q28" s="151">
        <v>0</v>
      </c>
      <c r="R28" s="151">
        <v>0</v>
      </c>
      <c r="S28" s="151">
        <v>0</v>
      </c>
      <c r="T28" s="151">
        <v>0</v>
      </c>
      <c r="U28" s="151">
        <v>0</v>
      </c>
      <c r="V28" s="151">
        <v>65</v>
      </c>
      <c r="W28" s="151">
        <v>0</v>
      </c>
      <c r="X28" s="151">
        <v>0</v>
      </c>
      <c r="Y28" s="151">
        <v>0</v>
      </c>
      <c r="Z28" s="151">
        <v>0</v>
      </c>
      <c r="AA28" s="151">
        <v>30</v>
      </c>
      <c r="AB28" s="151">
        <v>0</v>
      </c>
      <c r="AC28" s="151">
        <v>0</v>
      </c>
      <c r="AD28" s="151">
        <v>0</v>
      </c>
      <c r="AE28" s="151">
        <v>0</v>
      </c>
      <c r="AF28" s="151">
        <v>0</v>
      </c>
      <c r="AG28" s="151">
        <v>0</v>
      </c>
      <c r="AH28" s="151">
        <v>0</v>
      </c>
      <c r="AI28" s="151">
        <v>0</v>
      </c>
      <c r="AJ28" s="151">
        <v>454.5</v>
      </c>
      <c r="AK28" s="151">
        <v>0</v>
      </c>
      <c r="AL28" s="151">
        <v>549.5</v>
      </c>
    </row>
    <row r="29" spans="1:38" s="117" customFormat="1" ht="15" customHeight="1" x14ac:dyDescent="0.2">
      <c r="A29" s="123" t="s">
        <v>538</v>
      </c>
      <c r="B29" s="124" t="s">
        <v>881</v>
      </c>
      <c r="C29" s="151">
        <v>0</v>
      </c>
      <c r="D29" s="151">
        <v>0</v>
      </c>
      <c r="E29" s="151">
        <v>0</v>
      </c>
      <c r="F29" s="151">
        <v>0</v>
      </c>
      <c r="G29" s="151">
        <v>0</v>
      </c>
      <c r="H29" s="151">
        <v>0</v>
      </c>
      <c r="I29" s="151">
        <v>0</v>
      </c>
      <c r="J29" s="151">
        <v>0</v>
      </c>
      <c r="K29" s="151">
        <v>0</v>
      </c>
      <c r="L29" s="151">
        <v>0</v>
      </c>
      <c r="M29" s="151">
        <v>0</v>
      </c>
      <c r="N29" s="151">
        <v>0</v>
      </c>
      <c r="O29" s="151">
        <v>0</v>
      </c>
      <c r="P29" s="151">
        <v>0</v>
      </c>
      <c r="Q29" s="151">
        <v>0</v>
      </c>
      <c r="R29" s="151">
        <v>0</v>
      </c>
      <c r="S29" s="151">
        <v>159.74</v>
      </c>
      <c r="T29" s="151">
        <v>0</v>
      </c>
      <c r="U29" s="151">
        <v>0</v>
      </c>
      <c r="V29" s="151">
        <v>0</v>
      </c>
      <c r="W29" s="151">
        <v>0</v>
      </c>
      <c r="X29" s="151">
        <v>0</v>
      </c>
      <c r="Y29" s="151">
        <v>0</v>
      </c>
      <c r="Z29" s="151">
        <v>0</v>
      </c>
      <c r="AA29" s="151">
        <v>53.25</v>
      </c>
      <c r="AB29" s="151">
        <v>0</v>
      </c>
      <c r="AC29" s="151">
        <v>0</v>
      </c>
      <c r="AD29" s="151">
        <v>32.85</v>
      </c>
      <c r="AE29" s="151">
        <v>0</v>
      </c>
      <c r="AF29" s="151">
        <v>0</v>
      </c>
      <c r="AG29" s="151">
        <v>0</v>
      </c>
      <c r="AH29" s="151">
        <v>0</v>
      </c>
      <c r="AI29" s="151">
        <v>0</v>
      </c>
      <c r="AJ29" s="151">
        <v>0</v>
      </c>
      <c r="AK29" s="151">
        <v>0</v>
      </c>
      <c r="AL29" s="151">
        <v>245.84</v>
      </c>
    </row>
    <row r="30" spans="1:38" s="117" customFormat="1" ht="15" customHeight="1" x14ac:dyDescent="0.2">
      <c r="A30" s="123" t="s">
        <v>595</v>
      </c>
      <c r="B30" s="124" t="s">
        <v>880</v>
      </c>
      <c r="C30" s="151">
        <v>666.36</v>
      </c>
      <c r="D30" s="151">
        <v>0</v>
      </c>
      <c r="E30" s="151">
        <v>841.3</v>
      </c>
      <c r="F30" s="151">
        <v>1484.7</v>
      </c>
      <c r="G30" s="151">
        <v>0</v>
      </c>
      <c r="H30" s="151">
        <v>0</v>
      </c>
      <c r="I30" s="151">
        <v>0</v>
      </c>
      <c r="J30" s="151">
        <v>0</v>
      </c>
      <c r="K30" s="151">
        <v>67.55</v>
      </c>
      <c r="L30" s="151">
        <v>29.33</v>
      </c>
      <c r="M30" s="151">
        <v>1188.74</v>
      </c>
      <c r="N30" s="151">
        <v>0</v>
      </c>
      <c r="O30" s="151">
        <v>3.45</v>
      </c>
      <c r="P30" s="151">
        <v>0</v>
      </c>
      <c r="Q30" s="151">
        <v>0</v>
      </c>
      <c r="R30" s="151">
        <v>140</v>
      </c>
      <c r="S30" s="151">
        <v>0</v>
      </c>
      <c r="T30" s="151">
        <v>306.39999999999998</v>
      </c>
      <c r="U30" s="151">
        <v>0</v>
      </c>
      <c r="V30" s="151">
        <v>88.94</v>
      </c>
      <c r="W30" s="151">
        <v>47.56</v>
      </c>
      <c r="X30" s="151">
        <v>0</v>
      </c>
      <c r="Y30" s="151">
        <v>0</v>
      </c>
      <c r="Z30" s="151">
        <v>0</v>
      </c>
      <c r="AA30" s="151">
        <v>0</v>
      </c>
      <c r="AB30" s="151">
        <v>0</v>
      </c>
      <c r="AC30" s="151">
        <v>0</v>
      </c>
      <c r="AD30" s="151">
        <v>396</v>
      </c>
      <c r="AE30" s="151">
        <v>789.47</v>
      </c>
      <c r="AF30" s="151">
        <v>1539.49</v>
      </c>
      <c r="AG30" s="151">
        <v>7662.58</v>
      </c>
      <c r="AH30" s="151">
        <v>0</v>
      </c>
      <c r="AI30" s="151">
        <v>298.49</v>
      </c>
      <c r="AJ30" s="151">
        <v>55.17</v>
      </c>
      <c r="AK30" s="151">
        <v>964.14</v>
      </c>
      <c r="AL30" s="151">
        <v>16569.669999999998</v>
      </c>
    </row>
    <row r="31" spans="1:38" s="117" customFormat="1" ht="15" customHeight="1" x14ac:dyDescent="0.2">
      <c r="A31" s="123" t="s">
        <v>299</v>
      </c>
      <c r="B31" s="124" t="s">
        <v>879</v>
      </c>
      <c r="C31" s="151">
        <v>349.1</v>
      </c>
      <c r="D31" s="151">
        <v>0</v>
      </c>
      <c r="E31" s="151">
        <v>244.5</v>
      </c>
      <c r="F31" s="151">
        <v>1056</v>
      </c>
      <c r="G31" s="151">
        <v>1518.18</v>
      </c>
      <c r="H31" s="151">
        <v>1300</v>
      </c>
      <c r="I31" s="151">
        <v>1480</v>
      </c>
      <c r="J31" s="151">
        <v>342.53</v>
      </c>
      <c r="K31" s="151">
        <v>0</v>
      </c>
      <c r="L31" s="151">
        <v>699.86</v>
      </c>
      <c r="M31" s="151">
        <v>360</v>
      </c>
      <c r="N31" s="151">
        <v>7</v>
      </c>
      <c r="O31" s="151">
        <v>160</v>
      </c>
      <c r="P31" s="151">
        <v>6.26</v>
      </c>
      <c r="Q31" s="151">
        <v>4039</v>
      </c>
      <c r="R31" s="151">
        <v>0</v>
      </c>
      <c r="S31" s="151">
        <v>30</v>
      </c>
      <c r="T31" s="151">
        <v>3467</v>
      </c>
      <c r="U31" s="151">
        <v>200</v>
      </c>
      <c r="V31" s="151">
        <v>221.69</v>
      </c>
      <c r="W31" s="151">
        <v>625.6</v>
      </c>
      <c r="X31" s="151">
        <v>314</v>
      </c>
      <c r="Y31" s="151">
        <v>537.64</v>
      </c>
      <c r="Z31" s="151">
        <v>420</v>
      </c>
      <c r="AA31" s="151">
        <v>1277.75</v>
      </c>
      <c r="AB31" s="151">
        <v>0</v>
      </c>
      <c r="AC31" s="151">
        <v>1429.06</v>
      </c>
      <c r="AD31" s="151">
        <v>1795.38</v>
      </c>
      <c r="AE31" s="151">
        <v>273</v>
      </c>
      <c r="AF31" s="151">
        <v>2586.8000000000002</v>
      </c>
      <c r="AG31" s="151">
        <v>1544.1</v>
      </c>
      <c r="AH31" s="151">
        <v>594.79999999999995</v>
      </c>
      <c r="AI31" s="151">
        <v>432.32</v>
      </c>
      <c r="AJ31" s="151">
        <v>-200</v>
      </c>
      <c r="AK31" s="151">
        <v>210</v>
      </c>
      <c r="AL31" s="151">
        <v>27321.57</v>
      </c>
    </row>
    <row r="32" spans="1:38" s="117" customFormat="1" ht="15" customHeight="1" x14ac:dyDescent="0.2">
      <c r="A32" s="123" t="s">
        <v>300</v>
      </c>
      <c r="B32" s="124" t="s">
        <v>878</v>
      </c>
      <c r="C32" s="151">
        <v>151.5</v>
      </c>
      <c r="D32" s="151">
        <v>30</v>
      </c>
      <c r="E32" s="151">
        <v>179.58</v>
      </c>
      <c r="F32" s="151">
        <v>78.66</v>
      </c>
      <c r="G32" s="151">
        <v>37.17</v>
      </c>
      <c r="H32" s="151">
        <v>0</v>
      </c>
      <c r="I32" s="151">
        <v>0</v>
      </c>
      <c r="J32" s="151">
        <v>4</v>
      </c>
      <c r="K32" s="151">
        <v>0</v>
      </c>
      <c r="L32" s="151">
        <v>50</v>
      </c>
      <c r="M32" s="151">
        <v>0</v>
      </c>
      <c r="N32" s="151">
        <v>346</v>
      </c>
      <c r="O32" s="151">
        <v>0</v>
      </c>
      <c r="P32" s="151">
        <v>0</v>
      </c>
      <c r="Q32" s="151">
        <v>0</v>
      </c>
      <c r="R32" s="151">
        <v>0</v>
      </c>
      <c r="S32" s="151">
        <v>25</v>
      </c>
      <c r="T32" s="151">
        <v>0</v>
      </c>
      <c r="U32" s="151">
        <v>0</v>
      </c>
      <c r="V32" s="151">
        <v>0</v>
      </c>
      <c r="W32" s="151">
        <v>0</v>
      </c>
      <c r="X32" s="151">
        <v>42.5</v>
      </c>
      <c r="Y32" s="151">
        <v>2026.6</v>
      </c>
      <c r="Z32" s="151">
        <v>60</v>
      </c>
      <c r="AA32" s="151">
        <v>0</v>
      </c>
      <c r="AB32" s="151">
        <v>57</v>
      </c>
      <c r="AC32" s="151">
        <v>0</v>
      </c>
      <c r="AD32" s="151">
        <v>32</v>
      </c>
      <c r="AE32" s="151">
        <v>322.7</v>
      </c>
      <c r="AF32" s="151">
        <v>54</v>
      </c>
      <c r="AG32" s="151">
        <v>0</v>
      </c>
      <c r="AH32" s="151">
        <v>0</v>
      </c>
      <c r="AI32" s="151">
        <v>979</v>
      </c>
      <c r="AJ32" s="151">
        <v>448.73</v>
      </c>
      <c r="AK32" s="151">
        <v>70</v>
      </c>
      <c r="AL32" s="151">
        <v>4994.4399999999996</v>
      </c>
    </row>
    <row r="33" spans="1:38" s="117" customFormat="1" ht="15" customHeight="1" x14ac:dyDescent="0.2">
      <c r="A33" s="123" t="s">
        <v>1339</v>
      </c>
      <c r="B33" s="124" t="s">
        <v>1383</v>
      </c>
      <c r="C33" s="151">
        <v>0</v>
      </c>
      <c r="D33" s="151">
        <v>0</v>
      </c>
      <c r="E33" s="151">
        <v>0</v>
      </c>
      <c r="F33" s="151">
        <v>0</v>
      </c>
      <c r="G33" s="151">
        <v>176.12</v>
      </c>
      <c r="H33" s="151">
        <v>0</v>
      </c>
      <c r="I33" s="151">
        <v>17.96</v>
      </c>
      <c r="J33" s="151">
        <v>0</v>
      </c>
      <c r="K33" s="151">
        <v>0</v>
      </c>
      <c r="L33" s="151">
        <v>0</v>
      </c>
      <c r="M33" s="151">
        <v>0</v>
      </c>
      <c r="N33" s="151">
        <v>0</v>
      </c>
      <c r="O33" s="151">
        <v>0</v>
      </c>
      <c r="P33" s="151">
        <v>14.1</v>
      </c>
      <c r="Q33" s="151">
        <v>0</v>
      </c>
      <c r="R33" s="151">
        <v>0</v>
      </c>
      <c r="S33" s="151">
        <v>0</v>
      </c>
      <c r="T33" s="151">
        <v>0</v>
      </c>
      <c r="U33" s="151">
        <v>0</v>
      </c>
      <c r="V33" s="151">
        <v>0</v>
      </c>
      <c r="W33" s="151">
        <v>0</v>
      </c>
      <c r="X33" s="151">
        <v>0</v>
      </c>
      <c r="Y33" s="151">
        <v>0</v>
      </c>
      <c r="Z33" s="151">
        <v>0</v>
      </c>
      <c r="AA33" s="151">
        <v>0</v>
      </c>
      <c r="AB33" s="151">
        <v>0</v>
      </c>
      <c r="AC33" s="151">
        <v>0</v>
      </c>
      <c r="AD33" s="151">
        <v>0</v>
      </c>
      <c r="AE33" s="151">
        <v>0</v>
      </c>
      <c r="AF33" s="151">
        <v>0</v>
      </c>
      <c r="AG33" s="151">
        <v>0</v>
      </c>
      <c r="AH33" s="151">
        <v>0</v>
      </c>
      <c r="AI33" s="151">
        <v>0</v>
      </c>
      <c r="AJ33" s="151">
        <v>0</v>
      </c>
      <c r="AK33" s="151">
        <v>0</v>
      </c>
      <c r="AL33" s="151">
        <v>208.18</v>
      </c>
    </row>
    <row r="34" spans="1:38" s="117" customFormat="1" ht="15" customHeight="1" x14ac:dyDescent="0.2">
      <c r="A34" s="123" t="s">
        <v>301</v>
      </c>
      <c r="B34" s="124" t="s">
        <v>877</v>
      </c>
      <c r="C34" s="151">
        <v>4151.3</v>
      </c>
      <c r="D34" s="151">
        <v>1386</v>
      </c>
      <c r="E34" s="151">
        <v>2125.29</v>
      </c>
      <c r="F34" s="151">
        <v>2524.0700000000002</v>
      </c>
      <c r="G34" s="151">
        <v>4539.54</v>
      </c>
      <c r="H34" s="151">
        <v>2626.11</v>
      </c>
      <c r="I34" s="151">
        <v>0</v>
      </c>
      <c r="J34" s="151">
        <v>793.19</v>
      </c>
      <c r="K34" s="151">
        <v>2303.64</v>
      </c>
      <c r="L34" s="151">
        <v>3199.14</v>
      </c>
      <c r="M34" s="151">
        <v>3591.11</v>
      </c>
      <c r="N34" s="151">
        <v>1441.56</v>
      </c>
      <c r="O34" s="151">
        <v>2453.0300000000002</v>
      </c>
      <c r="P34" s="151">
        <v>2648.26</v>
      </c>
      <c r="Q34" s="151">
        <v>2297.88</v>
      </c>
      <c r="R34" s="151">
        <v>1990.01</v>
      </c>
      <c r="S34" s="151">
        <v>2373.23</v>
      </c>
      <c r="T34" s="151">
        <v>2211.6799999999998</v>
      </c>
      <c r="U34" s="151">
        <v>3482.16</v>
      </c>
      <c r="V34" s="151">
        <v>2446.63</v>
      </c>
      <c r="W34" s="151">
        <v>922.02</v>
      </c>
      <c r="X34" s="151">
        <v>4366.25</v>
      </c>
      <c r="Y34" s="151">
        <v>2192.37</v>
      </c>
      <c r="Z34" s="151">
        <v>1974.08</v>
      </c>
      <c r="AA34" s="151">
        <v>3011.57</v>
      </c>
      <c r="AB34" s="151">
        <v>1345.23</v>
      </c>
      <c r="AC34" s="151">
        <v>2286.1799999999998</v>
      </c>
      <c r="AD34" s="151">
        <v>2144.12</v>
      </c>
      <c r="AE34" s="151">
        <v>904.73</v>
      </c>
      <c r="AF34" s="151">
        <v>1339.45</v>
      </c>
      <c r="AG34" s="151">
        <v>1209.08</v>
      </c>
      <c r="AH34" s="151">
        <v>270</v>
      </c>
      <c r="AI34" s="151">
        <v>1742.46</v>
      </c>
      <c r="AJ34" s="151">
        <v>3013</v>
      </c>
      <c r="AK34" s="151">
        <v>2916.02</v>
      </c>
      <c r="AL34" s="151">
        <v>78220.39</v>
      </c>
    </row>
    <row r="35" spans="1:38" s="117" customFormat="1" ht="15" customHeight="1" x14ac:dyDescent="0.2">
      <c r="A35" s="123" t="s">
        <v>302</v>
      </c>
      <c r="B35" s="124" t="s">
        <v>876</v>
      </c>
      <c r="C35" s="151">
        <v>0</v>
      </c>
      <c r="D35" s="151">
        <v>0</v>
      </c>
      <c r="E35" s="151">
        <v>0</v>
      </c>
      <c r="F35" s="151">
        <v>0</v>
      </c>
      <c r="G35" s="151">
        <v>0</v>
      </c>
      <c r="H35" s="151">
        <v>0</v>
      </c>
      <c r="I35" s="151">
        <v>0</v>
      </c>
      <c r="J35" s="151">
        <v>0</v>
      </c>
      <c r="K35" s="151">
        <v>0</v>
      </c>
      <c r="L35" s="151">
        <v>0</v>
      </c>
      <c r="M35" s="151">
        <v>0</v>
      </c>
      <c r="N35" s="151">
        <v>0</v>
      </c>
      <c r="O35" s="151">
        <v>0</v>
      </c>
      <c r="P35" s="151">
        <v>0</v>
      </c>
      <c r="Q35" s="151">
        <v>0</v>
      </c>
      <c r="R35" s="151">
        <v>0</v>
      </c>
      <c r="S35" s="151">
        <v>0</v>
      </c>
      <c r="T35" s="151">
        <v>250</v>
      </c>
      <c r="U35" s="151">
        <v>51</v>
      </c>
      <c r="V35" s="151">
        <v>0</v>
      </c>
      <c r="W35" s="151">
        <v>0</v>
      </c>
      <c r="X35" s="151">
        <v>0</v>
      </c>
      <c r="Y35" s="151">
        <v>0</v>
      </c>
      <c r="Z35" s="151">
        <v>0</v>
      </c>
      <c r="AA35" s="151">
        <v>0</v>
      </c>
      <c r="AB35" s="151">
        <v>0</v>
      </c>
      <c r="AC35" s="151">
        <v>350.93</v>
      </c>
      <c r="AD35" s="151">
        <v>0</v>
      </c>
      <c r="AE35" s="151">
        <v>120</v>
      </c>
      <c r="AF35" s="151">
        <v>0</v>
      </c>
      <c r="AG35" s="151">
        <v>0</v>
      </c>
      <c r="AH35" s="151">
        <v>0</v>
      </c>
      <c r="AI35" s="151">
        <v>410.43</v>
      </c>
      <c r="AJ35" s="151">
        <v>244</v>
      </c>
      <c r="AK35" s="151">
        <v>0</v>
      </c>
      <c r="AL35" s="151">
        <v>1426.36</v>
      </c>
    </row>
    <row r="36" spans="1:38" s="117" customFormat="1" ht="15" customHeight="1" x14ac:dyDescent="0.2">
      <c r="A36" s="123" t="s">
        <v>303</v>
      </c>
      <c r="B36" s="124" t="s">
        <v>875</v>
      </c>
      <c r="C36" s="151">
        <v>0</v>
      </c>
      <c r="D36" s="151">
        <v>0</v>
      </c>
      <c r="E36" s="151">
        <v>0</v>
      </c>
      <c r="F36" s="151">
        <v>0</v>
      </c>
      <c r="G36" s="151">
        <v>0</v>
      </c>
      <c r="H36" s="151">
        <v>0</v>
      </c>
      <c r="I36" s="151">
        <v>3334</v>
      </c>
      <c r="J36" s="151">
        <v>0</v>
      </c>
      <c r="K36" s="151">
        <v>160</v>
      </c>
      <c r="L36" s="151">
        <v>0</v>
      </c>
      <c r="M36" s="151">
        <v>0</v>
      </c>
      <c r="N36" s="151">
        <v>0</v>
      </c>
      <c r="O36" s="151">
        <v>0</v>
      </c>
      <c r="P36" s="151">
        <v>169.24</v>
      </c>
      <c r="Q36" s="151">
        <v>0</v>
      </c>
      <c r="R36" s="151">
        <v>0</v>
      </c>
      <c r="S36" s="151">
        <v>0</v>
      </c>
      <c r="T36" s="151">
        <v>600</v>
      </c>
      <c r="U36" s="151">
        <v>-295.32</v>
      </c>
      <c r="V36" s="151">
        <v>0</v>
      </c>
      <c r="W36" s="151">
        <v>0</v>
      </c>
      <c r="X36" s="151">
        <v>345.5</v>
      </c>
      <c r="Y36" s="151">
        <v>14923.88</v>
      </c>
      <c r="Z36" s="151">
        <v>0</v>
      </c>
      <c r="AA36" s="151">
        <v>0</v>
      </c>
      <c r="AB36" s="151">
        <v>0</v>
      </c>
      <c r="AC36" s="151">
        <v>0</v>
      </c>
      <c r="AD36" s="151">
        <v>152</v>
      </c>
      <c r="AE36" s="151">
        <v>0</v>
      </c>
      <c r="AF36" s="151">
        <v>265.39</v>
      </c>
      <c r="AG36" s="151">
        <v>93</v>
      </c>
      <c r="AH36" s="151">
        <v>0</v>
      </c>
      <c r="AI36" s="151">
        <v>0</v>
      </c>
      <c r="AJ36" s="151">
        <v>0</v>
      </c>
      <c r="AK36" s="151">
        <v>0</v>
      </c>
      <c r="AL36" s="151">
        <v>19747.689999999999</v>
      </c>
    </row>
    <row r="37" spans="1:38" s="117" customFormat="1" ht="15" customHeight="1" x14ac:dyDescent="0.2">
      <c r="A37" s="123" t="s">
        <v>304</v>
      </c>
      <c r="B37" s="124" t="s">
        <v>874</v>
      </c>
      <c r="C37" s="151">
        <v>170</v>
      </c>
      <c r="D37" s="151">
        <v>0</v>
      </c>
      <c r="E37" s="151">
        <v>0</v>
      </c>
      <c r="F37" s="151">
        <v>225</v>
      </c>
      <c r="G37" s="151">
        <v>65</v>
      </c>
      <c r="H37" s="151">
        <v>235</v>
      </c>
      <c r="I37" s="151">
        <v>450</v>
      </c>
      <c r="J37" s="151">
        <v>0</v>
      </c>
      <c r="K37" s="151">
        <v>0</v>
      </c>
      <c r="L37" s="151">
        <v>3035</v>
      </c>
      <c r="M37" s="151">
        <v>0</v>
      </c>
      <c r="N37" s="151">
        <v>0</v>
      </c>
      <c r="O37" s="151">
        <v>0</v>
      </c>
      <c r="P37" s="151">
        <v>0</v>
      </c>
      <c r="Q37" s="151">
        <v>180</v>
      </c>
      <c r="R37" s="151">
        <v>0</v>
      </c>
      <c r="S37" s="151">
        <v>170</v>
      </c>
      <c r="T37" s="151">
        <v>275</v>
      </c>
      <c r="U37" s="151">
        <v>0</v>
      </c>
      <c r="V37" s="151">
        <v>0</v>
      </c>
      <c r="W37" s="151">
        <v>438.43</v>
      </c>
      <c r="X37" s="151">
        <v>100</v>
      </c>
      <c r="Y37" s="151">
        <v>0</v>
      </c>
      <c r="Z37" s="151">
        <v>200</v>
      </c>
      <c r="AA37" s="151">
        <v>0</v>
      </c>
      <c r="AB37" s="151">
        <v>100</v>
      </c>
      <c r="AC37" s="151">
        <v>1280</v>
      </c>
      <c r="AD37" s="151">
        <v>550</v>
      </c>
      <c r="AE37" s="151">
        <v>50</v>
      </c>
      <c r="AF37" s="151">
        <v>225</v>
      </c>
      <c r="AG37" s="151">
        <v>0</v>
      </c>
      <c r="AH37" s="151">
        <v>818.56</v>
      </c>
      <c r="AI37" s="151">
        <v>0</v>
      </c>
      <c r="AJ37" s="151">
        <v>-150</v>
      </c>
      <c r="AK37" s="151">
        <v>0</v>
      </c>
      <c r="AL37" s="151">
        <v>8416.99</v>
      </c>
    </row>
    <row r="38" spans="1:38" s="117" customFormat="1" ht="15" customHeight="1" x14ac:dyDescent="0.2">
      <c r="A38" s="123" t="s">
        <v>1331</v>
      </c>
      <c r="B38" s="124" t="s">
        <v>1384</v>
      </c>
      <c r="C38" s="151">
        <v>0</v>
      </c>
      <c r="D38" s="151">
        <v>0</v>
      </c>
      <c r="E38" s="151">
        <v>0</v>
      </c>
      <c r="F38" s="151">
        <v>0</v>
      </c>
      <c r="G38" s="151">
        <v>0</v>
      </c>
      <c r="H38" s="151">
        <v>0</v>
      </c>
      <c r="I38" s="151">
        <v>0</v>
      </c>
      <c r="J38" s="151">
        <v>0</v>
      </c>
      <c r="K38" s="151">
        <v>0</v>
      </c>
      <c r="L38" s="151">
        <v>0</v>
      </c>
      <c r="M38" s="151">
        <v>0</v>
      </c>
      <c r="N38" s="151">
        <v>0</v>
      </c>
      <c r="O38" s="151">
        <v>0</v>
      </c>
      <c r="P38" s="151">
        <v>0</v>
      </c>
      <c r="Q38" s="151">
        <v>0</v>
      </c>
      <c r="R38" s="151">
        <v>0</v>
      </c>
      <c r="S38" s="151">
        <v>0</v>
      </c>
      <c r="T38" s="151">
        <v>0</v>
      </c>
      <c r="U38" s="151">
        <v>0</v>
      </c>
      <c r="V38" s="151">
        <v>0</v>
      </c>
      <c r="W38" s="151">
        <v>0</v>
      </c>
      <c r="X38" s="151">
        <v>0</v>
      </c>
      <c r="Y38" s="151">
        <v>0</v>
      </c>
      <c r="Z38" s="151">
        <v>0</v>
      </c>
      <c r="AA38" s="151">
        <v>0</v>
      </c>
      <c r="AB38" s="151">
        <v>0</v>
      </c>
      <c r="AC38" s="151">
        <v>0</v>
      </c>
      <c r="AD38" s="151">
        <v>0</v>
      </c>
      <c r="AE38" s="151">
        <v>0</v>
      </c>
      <c r="AF38" s="151">
        <v>0</v>
      </c>
      <c r="AG38" s="151">
        <v>0</v>
      </c>
      <c r="AH38" s="151">
        <v>212476</v>
      </c>
      <c r="AI38" s="151">
        <v>0</v>
      </c>
      <c r="AJ38" s="151">
        <v>0</v>
      </c>
      <c r="AK38" s="151">
        <v>0</v>
      </c>
      <c r="AL38" s="151">
        <v>212476</v>
      </c>
    </row>
    <row r="39" spans="1:38" s="117" customFormat="1" ht="15" customHeight="1" x14ac:dyDescent="0.2">
      <c r="A39" s="123" t="s">
        <v>305</v>
      </c>
      <c r="B39" s="124" t="s">
        <v>873</v>
      </c>
      <c r="C39" s="151">
        <v>0</v>
      </c>
      <c r="D39" s="151">
        <v>0</v>
      </c>
      <c r="E39" s="151">
        <v>0</v>
      </c>
      <c r="F39" s="151">
        <v>42.81</v>
      </c>
      <c r="G39" s="151">
        <v>0</v>
      </c>
      <c r="H39" s="151">
        <v>-4.0999999999999996</v>
      </c>
      <c r="I39" s="151">
        <v>0</v>
      </c>
      <c r="J39" s="151">
        <v>0</v>
      </c>
      <c r="K39" s="151">
        <v>0</v>
      </c>
      <c r="L39" s="151">
        <v>0</v>
      </c>
      <c r="M39" s="151">
        <v>0</v>
      </c>
      <c r="N39" s="151">
        <v>48.24</v>
      </c>
      <c r="O39" s="151">
        <v>0</v>
      </c>
      <c r="P39" s="151">
        <v>0</v>
      </c>
      <c r="Q39" s="151">
        <v>0</v>
      </c>
      <c r="R39" s="151">
        <v>0</v>
      </c>
      <c r="S39" s="151">
        <v>0</v>
      </c>
      <c r="T39" s="151">
        <v>117.03</v>
      </c>
      <c r="U39" s="151">
        <v>10.52</v>
      </c>
      <c r="V39" s="151">
        <v>0</v>
      </c>
      <c r="W39" s="151">
        <v>4.96</v>
      </c>
      <c r="X39" s="151">
        <v>0</v>
      </c>
      <c r="Y39" s="151">
        <v>0</v>
      </c>
      <c r="Z39" s="151">
        <v>28.76</v>
      </c>
      <c r="AA39" s="151">
        <v>5.49</v>
      </c>
      <c r="AB39" s="151">
        <v>39.31</v>
      </c>
      <c r="AC39" s="151">
        <v>5.93</v>
      </c>
      <c r="AD39" s="151">
        <v>33.840000000000003</v>
      </c>
      <c r="AE39" s="151">
        <v>5.6</v>
      </c>
      <c r="AF39" s="151">
        <v>62.32</v>
      </c>
      <c r="AG39" s="151">
        <v>53.06</v>
      </c>
      <c r="AH39" s="151">
        <v>0</v>
      </c>
      <c r="AI39" s="151">
        <v>5.15</v>
      </c>
      <c r="AJ39" s="151">
        <v>5.0199999999999996</v>
      </c>
      <c r="AK39" s="151">
        <v>40.43</v>
      </c>
      <c r="AL39" s="151">
        <v>504.37</v>
      </c>
    </row>
    <row r="40" spans="1:38" s="117" customFormat="1" ht="15" customHeight="1" x14ac:dyDescent="0.2">
      <c r="A40" s="123" t="s">
        <v>1326</v>
      </c>
      <c r="B40" s="124" t="s">
        <v>1385</v>
      </c>
      <c r="C40" s="151">
        <v>0</v>
      </c>
      <c r="D40" s="151">
        <v>0</v>
      </c>
      <c r="E40" s="151">
        <v>0</v>
      </c>
      <c r="F40" s="151">
        <v>16.36</v>
      </c>
      <c r="G40" s="151">
        <v>0</v>
      </c>
      <c r="H40" s="151">
        <v>0</v>
      </c>
      <c r="I40" s="151">
        <v>0</v>
      </c>
      <c r="J40" s="151">
        <v>0</v>
      </c>
      <c r="K40" s="151">
        <v>0</v>
      </c>
      <c r="L40" s="151">
        <v>0</v>
      </c>
      <c r="M40" s="151">
        <v>0</v>
      </c>
      <c r="N40" s="151">
        <v>0</v>
      </c>
      <c r="O40" s="151">
        <v>0</v>
      </c>
      <c r="P40" s="151">
        <v>0</v>
      </c>
      <c r="Q40" s="151">
        <v>0</v>
      </c>
      <c r="R40" s="151">
        <v>0</v>
      </c>
      <c r="S40" s="151">
        <v>0</v>
      </c>
      <c r="T40" s="151">
        <v>0</v>
      </c>
      <c r="U40" s="151">
        <v>0</v>
      </c>
      <c r="V40" s="151">
        <v>0</v>
      </c>
      <c r="W40" s="151">
        <v>0</v>
      </c>
      <c r="X40" s="151">
        <v>0</v>
      </c>
      <c r="Y40" s="151">
        <v>37.520000000000003</v>
      </c>
      <c r="Z40" s="151">
        <v>0</v>
      </c>
      <c r="AA40" s="151">
        <v>0</v>
      </c>
      <c r="AB40" s="151">
        <v>0</v>
      </c>
      <c r="AC40" s="151">
        <v>48.81</v>
      </c>
      <c r="AD40" s="151">
        <v>0</v>
      </c>
      <c r="AE40" s="151">
        <v>0</v>
      </c>
      <c r="AF40" s="151">
        <v>0</v>
      </c>
      <c r="AG40" s="151">
        <v>0</v>
      </c>
      <c r="AH40" s="151">
        <v>0</v>
      </c>
      <c r="AI40" s="151">
        <v>0</v>
      </c>
      <c r="AJ40" s="151">
        <v>0</v>
      </c>
      <c r="AK40" s="151">
        <v>0</v>
      </c>
      <c r="AL40" s="151">
        <v>102.69</v>
      </c>
    </row>
    <row r="41" spans="1:38" s="117" customFormat="1" ht="15" customHeight="1" x14ac:dyDescent="0.2">
      <c r="A41" s="123" t="s">
        <v>872</v>
      </c>
      <c r="B41" s="124" t="s">
        <v>871</v>
      </c>
      <c r="C41" s="151">
        <v>0</v>
      </c>
      <c r="D41" s="151">
        <v>0</v>
      </c>
      <c r="E41" s="151">
        <v>0</v>
      </c>
      <c r="F41" s="151">
        <v>0</v>
      </c>
      <c r="G41" s="151">
        <v>0</v>
      </c>
      <c r="H41" s="151">
        <v>0</v>
      </c>
      <c r="I41" s="151">
        <v>0</v>
      </c>
      <c r="J41" s="151">
        <v>0</v>
      </c>
      <c r="K41" s="151">
        <v>0</v>
      </c>
      <c r="L41" s="151">
        <v>0</v>
      </c>
      <c r="M41" s="151">
        <v>0</v>
      </c>
      <c r="N41" s="151">
        <v>0</v>
      </c>
      <c r="O41" s="151">
        <v>0</v>
      </c>
      <c r="P41" s="151">
        <v>0</v>
      </c>
      <c r="Q41" s="151">
        <v>0</v>
      </c>
      <c r="R41" s="151">
        <v>0</v>
      </c>
      <c r="S41" s="151">
        <v>0</v>
      </c>
      <c r="T41" s="151">
        <v>0</v>
      </c>
      <c r="U41" s="151">
        <v>0</v>
      </c>
      <c r="V41" s="151">
        <v>0</v>
      </c>
      <c r="W41" s="151">
        <v>0</v>
      </c>
      <c r="X41" s="151">
        <v>0</v>
      </c>
      <c r="Y41" s="151">
        <v>0</v>
      </c>
      <c r="Z41" s="151">
        <v>0</v>
      </c>
      <c r="AA41" s="151">
        <v>0</v>
      </c>
      <c r="AB41" s="151">
        <v>0</v>
      </c>
      <c r="AC41" s="151">
        <v>0</v>
      </c>
      <c r="AD41" s="151">
        <v>0</v>
      </c>
      <c r="AE41" s="151">
        <v>0</v>
      </c>
      <c r="AF41" s="151">
        <v>0</v>
      </c>
      <c r="AG41" s="151">
        <v>0</v>
      </c>
      <c r="AH41" s="151">
        <v>0</v>
      </c>
      <c r="AI41" s="151">
        <v>707.53</v>
      </c>
      <c r="AJ41" s="151">
        <v>690.32</v>
      </c>
      <c r="AK41" s="151">
        <v>506.18</v>
      </c>
      <c r="AL41" s="151">
        <v>1904.03</v>
      </c>
    </row>
    <row r="42" spans="1:38" s="117" customFormat="1" ht="15" customHeight="1" x14ac:dyDescent="0.2">
      <c r="A42" s="123" t="s">
        <v>306</v>
      </c>
      <c r="B42" s="124" t="s">
        <v>870</v>
      </c>
      <c r="C42" s="152">
        <v>0</v>
      </c>
      <c r="D42" s="152">
        <v>2061</v>
      </c>
      <c r="E42" s="152">
        <v>0</v>
      </c>
      <c r="F42" s="152">
        <v>5.31</v>
      </c>
      <c r="G42" s="152">
        <v>0</v>
      </c>
      <c r="H42" s="152">
        <v>85.18</v>
      </c>
      <c r="I42" s="152">
        <v>0</v>
      </c>
      <c r="J42" s="152">
        <v>0</v>
      </c>
      <c r="K42" s="152">
        <v>2025</v>
      </c>
      <c r="L42" s="152">
        <v>2002.95</v>
      </c>
      <c r="M42" s="152">
        <v>1860</v>
      </c>
      <c r="N42" s="152">
        <v>0</v>
      </c>
      <c r="O42" s="152">
        <v>86.36</v>
      </c>
      <c r="P42" s="152">
        <v>1699</v>
      </c>
      <c r="Q42" s="152">
        <v>0</v>
      </c>
      <c r="R42" s="152">
        <v>86.82</v>
      </c>
      <c r="S42" s="152">
        <v>1174</v>
      </c>
      <c r="T42" s="152">
        <v>2309</v>
      </c>
      <c r="U42" s="152">
        <v>2037.16</v>
      </c>
      <c r="V42" s="152">
        <v>65.63</v>
      </c>
      <c r="W42" s="152">
        <v>309.02</v>
      </c>
      <c r="X42" s="152">
        <v>264.17</v>
      </c>
      <c r="Y42" s="152">
        <v>141.58000000000001</v>
      </c>
      <c r="Z42" s="152">
        <v>1123</v>
      </c>
      <c r="AA42" s="152">
        <v>0</v>
      </c>
      <c r="AB42" s="152">
        <v>16.91</v>
      </c>
      <c r="AC42" s="152">
        <v>70.98</v>
      </c>
      <c r="AD42" s="152">
        <v>59.64</v>
      </c>
      <c r="AE42" s="152">
        <v>0</v>
      </c>
      <c r="AF42" s="152">
        <v>0</v>
      </c>
      <c r="AG42" s="152">
        <v>48.04</v>
      </c>
      <c r="AH42" s="152">
        <v>0</v>
      </c>
      <c r="AI42" s="152">
        <v>868.17</v>
      </c>
      <c r="AJ42" s="152">
        <v>791.25</v>
      </c>
      <c r="AK42" s="152">
        <v>619.74</v>
      </c>
      <c r="AL42" s="152">
        <v>19809.91</v>
      </c>
    </row>
    <row r="43" spans="1:38" s="117" customFormat="1" ht="15" customHeight="1" x14ac:dyDescent="0.2">
      <c r="A43" s="123"/>
      <c r="B43" s="124"/>
      <c r="C43" s="122">
        <f t="shared" ref="C43:AL43" si="0">SUM(C6:C42)</f>
        <v>438370.56999999995</v>
      </c>
      <c r="D43" s="122">
        <f t="shared" si="0"/>
        <v>420624.47</v>
      </c>
      <c r="E43" s="122">
        <f t="shared" si="0"/>
        <v>439418.61</v>
      </c>
      <c r="F43" s="122">
        <f t="shared" si="0"/>
        <v>459956.90999999992</v>
      </c>
      <c r="G43" s="122">
        <f t="shared" si="0"/>
        <v>1126896.83</v>
      </c>
      <c r="H43" s="122">
        <f t="shared" si="0"/>
        <v>382844.32999999996</v>
      </c>
      <c r="I43" s="122">
        <f t="shared" si="0"/>
        <v>315966.85000000003</v>
      </c>
      <c r="J43" s="122">
        <f t="shared" si="0"/>
        <v>310973.31000000006</v>
      </c>
      <c r="K43" s="122">
        <f t="shared" si="0"/>
        <v>415214.8</v>
      </c>
      <c r="L43" s="122">
        <f t="shared" si="0"/>
        <v>494993.66</v>
      </c>
      <c r="M43" s="122">
        <f t="shared" si="0"/>
        <v>305738.98</v>
      </c>
      <c r="N43" s="122">
        <f t="shared" si="0"/>
        <v>405560.55</v>
      </c>
      <c r="O43" s="122">
        <f t="shared" si="0"/>
        <v>443914.16</v>
      </c>
      <c r="P43" s="122">
        <f t="shared" si="0"/>
        <v>263317.46999999997</v>
      </c>
      <c r="Q43" s="122">
        <f t="shared" si="0"/>
        <v>681752.42</v>
      </c>
      <c r="R43" s="122">
        <f t="shared" si="0"/>
        <v>422267.27</v>
      </c>
      <c r="S43" s="122">
        <f t="shared" si="0"/>
        <v>217903.31</v>
      </c>
      <c r="T43" s="122">
        <f t="shared" si="0"/>
        <v>382651.61000000004</v>
      </c>
      <c r="U43" s="122">
        <f t="shared" si="0"/>
        <v>665633.26000000013</v>
      </c>
      <c r="V43" s="122">
        <f t="shared" si="0"/>
        <v>385556.30000000005</v>
      </c>
      <c r="W43" s="122">
        <f t="shared" si="0"/>
        <v>435752.84</v>
      </c>
      <c r="X43" s="122">
        <f t="shared" si="0"/>
        <v>406371.92999999988</v>
      </c>
      <c r="Y43" s="122">
        <f t="shared" si="0"/>
        <v>740726.60000000009</v>
      </c>
      <c r="Z43" s="122">
        <f t="shared" si="0"/>
        <v>292050.06000000006</v>
      </c>
      <c r="AA43" s="122">
        <f t="shared" si="0"/>
        <v>429292.21</v>
      </c>
      <c r="AB43" s="122">
        <f t="shared" si="0"/>
        <v>416366.79</v>
      </c>
      <c r="AC43" s="122">
        <f t="shared" si="0"/>
        <v>330182.56999999989</v>
      </c>
      <c r="AD43" s="122">
        <f t="shared" si="0"/>
        <v>547166.95999999985</v>
      </c>
      <c r="AE43" s="122">
        <f t="shared" si="0"/>
        <v>253381.00000000003</v>
      </c>
      <c r="AF43" s="122">
        <f t="shared" si="0"/>
        <v>376323.09</v>
      </c>
      <c r="AG43" s="122">
        <f t="shared" si="0"/>
        <v>520075.56999999989</v>
      </c>
      <c r="AH43" s="122">
        <f t="shared" si="0"/>
        <v>452126.81999999995</v>
      </c>
      <c r="AI43" s="122">
        <f t="shared" si="0"/>
        <v>478840.26</v>
      </c>
      <c r="AJ43" s="122">
        <f t="shared" si="0"/>
        <v>443792.73</v>
      </c>
      <c r="AK43" s="122">
        <f t="shared" si="0"/>
        <v>397681.24000000005</v>
      </c>
      <c r="AL43" s="122">
        <f t="shared" si="0"/>
        <v>15499686.339999998</v>
      </c>
    </row>
    <row r="44" spans="1:38" s="117" customFormat="1" ht="15" customHeight="1" x14ac:dyDescent="0.2">
      <c r="A44" s="123"/>
      <c r="B44" s="124"/>
      <c r="C44" s="125"/>
      <c r="D44" s="125"/>
      <c r="E44" s="125"/>
      <c r="F44" s="125"/>
      <c r="G44" s="125"/>
      <c r="H44" s="125"/>
      <c r="I44" s="125"/>
      <c r="J44" s="125"/>
      <c r="K44" s="125"/>
      <c r="L44" s="125"/>
      <c r="M44" s="125"/>
      <c r="N44" s="125"/>
      <c r="O44" s="125"/>
      <c r="P44" s="125"/>
      <c r="Q44" s="125"/>
      <c r="R44" s="125"/>
      <c r="S44" s="125"/>
      <c r="T44" s="125"/>
      <c r="U44" s="125"/>
      <c r="V44" s="125"/>
      <c r="W44" s="125"/>
      <c r="X44" s="125"/>
      <c r="Y44" s="125"/>
      <c r="Z44" s="125"/>
      <c r="AA44" s="125"/>
      <c r="AB44" s="125"/>
      <c r="AC44" s="125"/>
      <c r="AD44" s="125"/>
      <c r="AE44" s="125"/>
      <c r="AF44" s="125"/>
      <c r="AG44" s="125"/>
      <c r="AH44" s="125"/>
      <c r="AI44" s="125"/>
      <c r="AJ44" s="125"/>
      <c r="AK44" s="125"/>
      <c r="AL44" s="125"/>
    </row>
    <row r="45" spans="1:38" s="117" customFormat="1" ht="15" customHeight="1" x14ac:dyDescent="0.2">
      <c r="A45" s="123" t="s">
        <v>539</v>
      </c>
      <c r="B45" s="124" t="s">
        <v>869</v>
      </c>
      <c r="C45" s="151">
        <v>10269.049999999999</v>
      </c>
      <c r="D45" s="151">
        <v>18163.669999999998</v>
      </c>
      <c r="E45" s="151">
        <v>10166.35</v>
      </c>
      <c r="F45" s="151">
        <v>19920.53</v>
      </c>
      <c r="G45" s="151">
        <v>22522.5</v>
      </c>
      <c r="H45" s="151">
        <v>18796.41</v>
      </c>
      <c r="I45" s="151">
        <v>21872.98</v>
      </c>
      <c r="J45" s="151">
        <v>11731.23</v>
      </c>
      <c r="K45" s="151">
        <v>19210.62</v>
      </c>
      <c r="L45" s="151">
        <v>21216.959999999999</v>
      </c>
      <c r="M45" s="151">
        <v>17243.939999999999</v>
      </c>
      <c r="N45" s="151">
        <v>19270.150000000001</v>
      </c>
      <c r="O45" s="151">
        <v>20232.419999999998</v>
      </c>
      <c r="P45" s="151">
        <v>15941.84</v>
      </c>
      <c r="Q45" s="151">
        <v>31023.919999999998</v>
      </c>
      <c r="R45" s="151">
        <v>19262.150000000001</v>
      </c>
      <c r="S45" s="151">
        <v>12753.49</v>
      </c>
      <c r="T45" s="151">
        <v>22820.639999999999</v>
      </c>
      <c r="U45" s="151">
        <v>15237.52</v>
      </c>
      <c r="V45" s="151">
        <v>11574.79</v>
      </c>
      <c r="W45" s="151">
        <v>11118.09</v>
      </c>
      <c r="X45" s="151">
        <v>10902.23</v>
      </c>
      <c r="Y45" s="151">
        <v>23273.59</v>
      </c>
      <c r="Z45" s="151">
        <v>18476.87</v>
      </c>
      <c r="AA45" s="151">
        <v>14149.04</v>
      </c>
      <c r="AB45" s="151">
        <v>19524.09</v>
      </c>
      <c r="AC45" s="151">
        <v>21346.5</v>
      </c>
      <c r="AD45" s="151">
        <v>17726.490000000002</v>
      </c>
      <c r="AE45" s="151">
        <v>10135.56</v>
      </c>
      <c r="AF45" s="151">
        <v>10683.62</v>
      </c>
      <c r="AG45" s="151">
        <v>23459.95</v>
      </c>
      <c r="AH45" s="151">
        <v>6516.54</v>
      </c>
      <c r="AI45" s="151">
        <v>21686.35</v>
      </c>
      <c r="AJ45" s="151">
        <v>17979.189999999999</v>
      </c>
      <c r="AK45" s="151">
        <v>12149.31</v>
      </c>
      <c r="AL45" s="151">
        <v>598358.57999999996</v>
      </c>
    </row>
    <row r="46" spans="1:38" s="117" customFormat="1" ht="15" customHeight="1" x14ac:dyDescent="0.2">
      <c r="A46" s="123" t="s">
        <v>307</v>
      </c>
      <c r="B46" s="124" t="s">
        <v>868</v>
      </c>
      <c r="C46" s="151">
        <v>0</v>
      </c>
      <c r="D46" s="151">
        <v>0</v>
      </c>
      <c r="E46" s="151">
        <v>0</v>
      </c>
      <c r="F46" s="151">
        <v>0</v>
      </c>
      <c r="G46" s="151">
        <v>2125.73</v>
      </c>
      <c r="H46" s="151">
        <v>0</v>
      </c>
      <c r="I46" s="151">
        <v>0</v>
      </c>
      <c r="J46" s="151">
        <v>0.88</v>
      </c>
      <c r="K46" s="151">
        <v>0</v>
      </c>
      <c r="L46" s="151">
        <v>0</v>
      </c>
      <c r="M46" s="151">
        <v>0</v>
      </c>
      <c r="N46" s="151">
        <v>0</v>
      </c>
      <c r="O46" s="151">
        <v>0</v>
      </c>
      <c r="P46" s="151">
        <v>283.64999999999998</v>
      </c>
      <c r="Q46" s="151">
        <v>0</v>
      </c>
      <c r="R46" s="151">
        <v>0</v>
      </c>
      <c r="S46" s="151">
        <v>222.89</v>
      </c>
      <c r="T46" s="151">
        <v>0</v>
      </c>
      <c r="U46" s="151">
        <v>0</v>
      </c>
      <c r="V46" s="151">
        <v>0</v>
      </c>
      <c r="W46" s="151">
        <v>1633.34</v>
      </c>
      <c r="X46" s="151">
        <v>1294.6099999999999</v>
      </c>
      <c r="Y46" s="151">
        <v>0</v>
      </c>
      <c r="Z46" s="151">
        <v>0</v>
      </c>
      <c r="AA46" s="151">
        <v>-5.68</v>
      </c>
      <c r="AB46" s="151">
        <v>0</v>
      </c>
      <c r="AC46" s="151">
        <v>0</v>
      </c>
      <c r="AD46" s="151">
        <v>0</v>
      </c>
      <c r="AE46" s="151">
        <v>0</v>
      </c>
      <c r="AF46" s="151">
        <v>0</v>
      </c>
      <c r="AG46" s="151">
        <v>99.01</v>
      </c>
      <c r="AH46" s="151">
        <v>0</v>
      </c>
      <c r="AI46" s="151">
        <v>827.93</v>
      </c>
      <c r="AJ46" s="151">
        <v>218.66</v>
      </c>
      <c r="AK46" s="151">
        <v>0</v>
      </c>
      <c r="AL46" s="151">
        <v>6701.02</v>
      </c>
    </row>
    <row r="47" spans="1:38" s="117" customFormat="1" ht="15" customHeight="1" x14ac:dyDescent="0.2">
      <c r="A47" s="123" t="s">
        <v>308</v>
      </c>
      <c r="B47" s="124" t="s">
        <v>867</v>
      </c>
      <c r="C47" s="151">
        <v>28578.23</v>
      </c>
      <c r="D47" s="151">
        <v>15154.66</v>
      </c>
      <c r="E47" s="151">
        <v>8480.2000000000007</v>
      </c>
      <c r="F47" s="151">
        <v>13214.31</v>
      </c>
      <c r="G47" s="151">
        <v>21186.43</v>
      </c>
      <c r="H47" s="151">
        <v>12440.58</v>
      </c>
      <c r="I47" s="151">
        <v>7512.84</v>
      </c>
      <c r="J47" s="151">
        <v>12690.68</v>
      </c>
      <c r="K47" s="151">
        <v>16073.11</v>
      </c>
      <c r="L47" s="151">
        <v>12147.8</v>
      </c>
      <c r="M47" s="151">
        <v>10238.4</v>
      </c>
      <c r="N47" s="151">
        <v>11469.11</v>
      </c>
      <c r="O47" s="151">
        <v>4184.8</v>
      </c>
      <c r="P47" s="151">
        <v>8000.88</v>
      </c>
      <c r="Q47" s="151">
        <v>13444.87</v>
      </c>
      <c r="R47" s="151">
        <v>11013.06</v>
      </c>
      <c r="S47" s="151">
        <v>5574.25</v>
      </c>
      <c r="T47" s="151">
        <v>10350.82</v>
      </c>
      <c r="U47" s="151">
        <v>18781.75</v>
      </c>
      <c r="V47" s="151">
        <v>9168.2199999999993</v>
      </c>
      <c r="W47" s="151">
        <v>17410.900000000001</v>
      </c>
      <c r="X47" s="151">
        <v>8039.17</v>
      </c>
      <c r="Y47" s="151">
        <v>12280.91</v>
      </c>
      <c r="Z47" s="151">
        <v>4866.58</v>
      </c>
      <c r="AA47" s="151">
        <v>17547.38</v>
      </c>
      <c r="AB47" s="151">
        <v>8351.39</v>
      </c>
      <c r="AC47" s="151">
        <v>10237.89</v>
      </c>
      <c r="AD47" s="151">
        <v>12673.34</v>
      </c>
      <c r="AE47" s="151">
        <v>1075.22</v>
      </c>
      <c r="AF47" s="151">
        <v>6873.55</v>
      </c>
      <c r="AG47" s="151">
        <v>12310.6</v>
      </c>
      <c r="AH47" s="151">
        <v>3251.91</v>
      </c>
      <c r="AI47" s="151">
        <v>11361.37</v>
      </c>
      <c r="AJ47" s="151">
        <v>10797.31</v>
      </c>
      <c r="AK47" s="151">
        <v>6481.4</v>
      </c>
      <c r="AL47" s="151">
        <v>393263.92</v>
      </c>
    </row>
    <row r="48" spans="1:38" s="117" customFormat="1" ht="15" customHeight="1" x14ac:dyDescent="0.2">
      <c r="A48" s="123" t="s">
        <v>540</v>
      </c>
      <c r="B48" s="124" t="s">
        <v>866</v>
      </c>
      <c r="C48" s="151">
        <v>0</v>
      </c>
      <c r="D48" s="151">
        <v>0</v>
      </c>
      <c r="E48" s="151">
        <v>0</v>
      </c>
      <c r="F48" s="151">
        <v>0</v>
      </c>
      <c r="G48" s="151">
        <v>0</v>
      </c>
      <c r="H48" s="151">
        <v>0</v>
      </c>
      <c r="I48" s="151">
        <v>0</v>
      </c>
      <c r="J48" s="151">
        <v>0</v>
      </c>
      <c r="K48" s="151">
        <v>0</v>
      </c>
      <c r="L48" s="151">
        <v>0</v>
      </c>
      <c r="M48" s="151">
        <v>-120.56</v>
      </c>
      <c r="N48" s="151">
        <v>0</v>
      </c>
      <c r="O48" s="151">
        <v>0</v>
      </c>
      <c r="P48" s="151">
        <v>0</v>
      </c>
      <c r="Q48" s="151">
        <v>17.79</v>
      </c>
      <c r="R48" s="151">
        <v>0</v>
      </c>
      <c r="S48" s="151">
        <v>0</v>
      </c>
      <c r="T48" s="151">
        <v>0</v>
      </c>
      <c r="U48" s="151">
        <v>0</v>
      </c>
      <c r="V48" s="151">
        <v>-134.43</v>
      </c>
      <c r="W48" s="151">
        <v>0</v>
      </c>
      <c r="X48" s="151">
        <v>0</v>
      </c>
      <c r="Y48" s="151">
        <v>-315.01</v>
      </c>
      <c r="Z48" s="151">
        <v>0</v>
      </c>
      <c r="AA48" s="151">
        <v>0</v>
      </c>
      <c r="AB48" s="151">
        <v>-3.74</v>
      </c>
      <c r="AC48" s="151">
        <v>0</v>
      </c>
      <c r="AD48" s="151">
        <v>0</v>
      </c>
      <c r="AE48" s="151">
        <v>532.77</v>
      </c>
      <c r="AF48" s="151">
        <v>1205.43</v>
      </c>
      <c r="AG48" s="151">
        <v>0</v>
      </c>
      <c r="AH48" s="151">
        <v>0</v>
      </c>
      <c r="AI48" s="151">
        <v>0</v>
      </c>
      <c r="AJ48" s="151">
        <v>0</v>
      </c>
      <c r="AK48" s="151">
        <v>0</v>
      </c>
      <c r="AL48" s="151">
        <v>1182.25</v>
      </c>
    </row>
    <row r="49" spans="1:38" s="117" customFormat="1" ht="15" customHeight="1" x14ac:dyDescent="0.2">
      <c r="A49" s="123" t="s">
        <v>309</v>
      </c>
      <c r="B49" s="124" t="s">
        <v>865</v>
      </c>
      <c r="C49" s="151">
        <v>2.17</v>
      </c>
      <c r="D49" s="151">
        <v>0</v>
      </c>
      <c r="E49" s="151">
        <v>2.17</v>
      </c>
      <c r="F49" s="151">
        <v>10.42</v>
      </c>
      <c r="G49" s="151">
        <v>2544.75</v>
      </c>
      <c r="H49" s="151">
        <v>1.35</v>
      </c>
      <c r="I49" s="151">
        <v>666</v>
      </c>
      <c r="J49" s="151">
        <v>-10.56</v>
      </c>
      <c r="K49" s="151">
        <v>0</v>
      </c>
      <c r="L49" s="151">
        <v>-10.57</v>
      </c>
      <c r="M49" s="151">
        <v>0</v>
      </c>
      <c r="N49" s="151">
        <v>-29.4</v>
      </c>
      <c r="O49" s="151">
        <v>-50.09</v>
      </c>
      <c r="P49" s="151">
        <v>-126.35</v>
      </c>
      <c r="Q49" s="151">
        <v>0</v>
      </c>
      <c r="R49" s="151">
        <v>4.05</v>
      </c>
      <c r="S49" s="151">
        <v>29.02</v>
      </c>
      <c r="T49" s="151">
        <v>1149.78</v>
      </c>
      <c r="U49" s="151">
        <v>-56.4</v>
      </c>
      <c r="V49" s="151">
        <v>13.67</v>
      </c>
      <c r="W49" s="151">
        <v>1831.16</v>
      </c>
      <c r="X49" s="151">
        <v>80.680000000000007</v>
      </c>
      <c r="Y49" s="151">
        <v>0</v>
      </c>
      <c r="Z49" s="151">
        <v>2.02</v>
      </c>
      <c r="AA49" s="151">
        <v>20.18</v>
      </c>
      <c r="AB49" s="151">
        <v>0</v>
      </c>
      <c r="AC49" s="151">
        <v>1080.22</v>
      </c>
      <c r="AD49" s="151">
        <v>-2.4</v>
      </c>
      <c r="AE49" s="151">
        <v>0</v>
      </c>
      <c r="AF49" s="151">
        <v>0</v>
      </c>
      <c r="AG49" s="151">
        <v>-2.74</v>
      </c>
      <c r="AH49" s="151">
        <v>765.78</v>
      </c>
      <c r="AI49" s="151">
        <v>-6.18</v>
      </c>
      <c r="AJ49" s="151">
        <v>-3.7</v>
      </c>
      <c r="AK49" s="151">
        <v>2.09</v>
      </c>
      <c r="AL49" s="151">
        <v>7907.12</v>
      </c>
    </row>
    <row r="50" spans="1:38" s="117" customFormat="1" ht="15" customHeight="1" x14ac:dyDescent="0.2">
      <c r="A50" s="123" t="s">
        <v>310</v>
      </c>
      <c r="B50" s="124" t="s">
        <v>864</v>
      </c>
      <c r="C50" s="151">
        <v>0</v>
      </c>
      <c r="D50" s="151">
        <v>0</v>
      </c>
      <c r="E50" s="151">
        <v>0</v>
      </c>
      <c r="F50" s="151">
        <v>0</v>
      </c>
      <c r="G50" s="151">
        <v>0</v>
      </c>
      <c r="H50" s="151">
        <v>0</v>
      </c>
      <c r="I50" s="151">
        <v>0</v>
      </c>
      <c r="J50" s="151">
        <v>0</v>
      </c>
      <c r="K50" s="151">
        <v>0</v>
      </c>
      <c r="L50" s="151">
        <v>0</v>
      </c>
      <c r="M50" s="151">
        <v>0</v>
      </c>
      <c r="N50" s="151">
        <v>0</v>
      </c>
      <c r="O50" s="151">
        <v>0</v>
      </c>
      <c r="P50" s="151">
        <v>0</v>
      </c>
      <c r="Q50" s="151">
        <v>0</v>
      </c>
      <c r="R50" s="151">
        <v>0</v>
      </c>
      <c r="S50" s="151">
        <v>0</v>
      </c>
      <c r="T50" s="151">
        <v>0</v>
      </c>
      <c r="U50" s="151">
        <v>0</v>
      </c>
      <c r="V50" s="151">
        <v>0</v>
      </c>
      <c r="W50" s="151">
        <v>0</v>
      </c>
      <c r="X50" s="151">
        <v>0</v>
      </c>
      <c r="Y50" s="151">
        <v>1249.6199999999999</v>
      </c>
      <c r="Z50" s="151">
        <v>0</v>
      </c>
      <c r="AA50" s="151">
        <v>0</v>
      </c>
      <c r="AB50" s="151">
        <v>2249.7800000000002</v>
      </c>
      <c r="AC50" s="151">
        <v>0</v>
      </c>
      <c r="AD50" s="151">
        <v>0</v>
      </c>
      <c r="AE50" s="151">
        <v>0</v>
      </c>
      <c r="AF50" s="151">
        <v>0</v>
      </c>
      <c r="AG50" s="151">
        <v>0</v>
      </c>
      <c r="AH50" s="151">
        <v>0</v>
      </c>
      <c r="AI50" s="151">
        <v>-0.01</v>
      </c>
      <c r="AJ50" s="151">
        <v>0</v>
      </c>
      <c r="AK50" s="151">
        <v>0</v>
      </c>
      <c r="AL50" s="151">
        <v>3499.39</v>
      </c>
    </row>
    <row r="51" spans="1:38" s="117" customFormat="1" ht="15" customHeight="1" x14ac:dyDescent="0.2">
      <c r="A51" s="123" t="s">
        <v>311</v>
      </c>
      <c r="B51" s="124" t="s">
        <v>863</v>
      </c>
      <c r="C51" s="151">
        <v>0</v>
      </c>
      <c r="D51" s="151">
        <v>0</v>
      </c>
      <c r="E51" s="151">
        <v>0</v>
      </c>
      <c r="F51" s="151">
        <v>0</v>
      </c>
      <c r="G51" s="151">
        <v>1224.48</v>
      </c>
      <c r="H51" s="151">
        <v>0</v>
      </c>
      <c r="I51" s="151">
        <v>0</v>
      </c>
      <c r="J51" s="151">
        <v>0</v>
      </c>
      <c r="K51" s="151">
        <v>0</v>
      </c>
      <c r="L51" s="151">
        <v>0</v>
      </c>
      <c r="M51" s="151">
        <v>0</v>
      </c>
      <c r="N51" s="151">
        <v>0</v>
      </c>
      <c r="O51" s="151">
        <v>0</v>
      </c>
      <c r="P51" s="151">
        <v>0</v>
      </c>
      <c r="Q51" s="151">
        <v>0</v>
      </c>
      <c r="R51" s="151">
        <v>0</v>
      </c>
      <c r="S51" s="151">
        <v>0</v>
      </c>
      <c r="T51" s="151">
        <v>0</v>
      </c>
      <c r="U51" s="151">
        <v>0</v>
      </c>
      <c r="V51" s="151">
        <v>0</v>
      </c>
      <c r="W51" s="151">
        <v>741.89</v>
      </c>
      <c r="X51" s="151">
        <v>727.49</v>
      </c>
      <c r="Y51" s="151">
        <v>0</v>
      </c>
      <c r="Z51" s="151">
        <v>0</v>
      </c>
      <c r="AA51" s="151">
        <v>0</v>
      </c>
      <c r="AB51" s="151">
        <v>0</v>
      </c>
      <c r="AC51" s="151">
        <v>0</v>
      </c>
      <c r="AD51" s="151">
        <v>0</v>
      </c>
      <c r="AE51" s="151">
        <v>0</v>
      </c>
      <c r="AF51" s="151">
        <v>0</v>
      </c>
      <c r="AG51" s="151">
        <v>0</v>
      </c>
      <c r="AH51" s="151">
        <v>0</v>
      </c>
      <c r="AI51" s="151">
        <v>0</v>
      </c>
      <c r="AJ51" s="151">
        <v>0</v>
      </c>
      <c r="AK51" s="151">
        <v>0.01</v>
      </c>
      <c r="AL51" s="151">
        <v>2693.87</v>
      </c>
    </row>
    <row r="52" spans="1:38" s="117" customFormat="1" ht="15" customHeight="1" x14ac:dyDescent="0.2">
      <c r="A52" s="123" t="s">
        <v>496</v>
      </c>
      <c r="B52" s="124" t="s">
        <v>862</v>
      </c>
      <c r="C52" s="151">
        <v>13008.28</v>
      </c>
      <c r="D52" s="151">
        <v>21404.44</v>
      </c>
      <c r="E52" s="151">
        <v>12879.44</v>
      </c>
      <c r="F52" s="151">
        <v>21434.41</v>
      </c>
      <c r="G52" s="151">
        <v>12122.35</v>
      </c>
      <c r="H52" s="151">
        <v>21627.23</v>
      </c>
      <c r="I52" s="151">
        <v>20510.86</v>
      </c>
      <c r="J52" s="151">
        <v>11943.79</v>
      </c>
      <c r="K52" s="151">
        <v>24874.89</v>
      </c>
      <c r="L52" s="151">
        <v>24434.75</v>
      </c>
      <c r="M52" s="151">
        <v>22811.63</v>
      </c>
      <c r="N52" s="151">
        <v>12611.85</v>
      </c>
      <c r="O52" s="151">
        <v>10177.66</v>
      </c>
      <c r="P52" s="151">
        <v>12954.23</v>
      </c>
      <c r="Q52" s="151">
        <v>23057.63</v>
      </c>
      <c r="R52" s="151">
        <v>13277.4</v>
      </c>
      <c r="S52" s="151">
        <v>10363.379999999999</v>
      </c>
      <c r="T52" s="151">
        <v>23008.01</v>
      </c>
      <c r="U52" s="151">
        <v>14295.25</v>
      </c>
      <c r="V52" s="151">
        <v>13429.56</v>
      </c>
      <c r="W52" s="151">
        <v>7344.71</v>
      </c>
      <c r="X52" s="151">
        <v>7202.06</v>
      </c>
      <c r="Y52" s="151">
        <v>12371.24</v>
      </c>
      <c r="Z52" s="151">
        <v>22943.74</v>
      </c>
      <c r="AA52" s="151">
        <v>10177.66</v>
      </c>
      <c r="AB52" s="151">
        <v>22272.92</v>
      </c>
      <c r="AC52" s="151">
        <v>22995.73</v>
      </c>
      <c r="AD52" s="151">
        <v>19705.03</v>
      </c>
      <c r="AE52" s="151">
        <v>13190.63</v>
      </c>
      <c r="AF52" s="151">
        <v>13903.61</v>
      </c>
      <c r="AG52" s="151">
        <v>20961.57</v>
      </c>
      <c r="AH52" s="151">
        <v>8613.44</v>
      </c>
      <c r="AI52" s="151">
        <v>13540.31</v>
      </c>
      <c r="AJ52" s="151">
        <v>21004.94</v>
      </c>
      <c r="AK52" s="151">
        <v>9159.92</v>
      </c>
      <c r="AL52" s="151">
        <v>565614.55000000005</v>
      </c>
    </row>
    <row r="53" spans="1:38" s="117" customFormat="1" ht="15" customHeight="1" x14ac:dyDescent="0.2">
      <c r="A53" s="123" t="s">
        <v>312</v>
      </c>
      <c r="B53" s="124" t="s">
        <v>861</v>
      </c>
      <c r="C53" s="151">
        <v>7681.82</v>
      </c>
      <c r="D53" s="151">
        <v>0</v>
      </c>
      <c r="E53" s="151">
        <v>7605.71</v>
      </c>
      <c r="F53" s="151">
        <v>4669.3</v>
      </c>
      <c r="G53" s="151">
        <v>39305.879999999997</v>
      </c>
      <c r="H53" s="151">
        <v>0</v>
      </c>
      <c r="I53" s="151">
        <v>0</v>
      </c>
      <c r="J53" s="151">
        <v>8574.1299999999992</v>
      </c>
      <c r="K53" s="151">
        <v>0</v>
      </c>
      <c r="L53" s="151">
        <v>0</v>
      </c>
      <c r="M53" s="151">
        <v>0</v>
      </c>
      <c r="N53" s="151">
        <v>6891.29</v>
      </c>
      <c r="O53" s="151">
        <v>9003.66</v>
      </c>
      <c r="P53" s="151">
        <v>7690.34</v>
      </c>
      <c r="Q53" s="151">
        <v>21047.81</v>
      </c>
      <c r="R53" s="151">
        <v>6956.34</v>
      </c>
      <c r="S53" s="151">
        <v>6152.29</v>
      </c>
      <c r="T53" s="151">
        <v>14984.71</v>
      </c>
      <c r="U53" s="151">
        <v>18319.37</v>
      </c>
      <c r="V53" s="151">
        <v>7990.45</v>
      </c>
      <c r="W53" s="151">
        <v>12024.2</v>
      </c>
      <c r="X53" s="151">
        <v>13004.12</v>
      </c>
      <c r="Y53" s="151">
        <v>7509.64</v>
      </c>
      <c r="Z53" s="151">
        <v>0</v>
      </c>
      <c r="AA53" s="151">
        <v>9742.1</v>
      </c>
      <c r="AB53" s="151">
        <v>0</v>
      </c>
      <c r="AC53" s="151">
        <v>14102.33</v>
      </c>
      <c r="AD53" s="151">
        <v>12498.29</v>
      </c>
      <c r="AE53" s="151">
        <v>1044.19</v>
      </c>
      <c r="AF53" s="151">
        <v>19786.7</v>
      </c>
      <c r="AG53" s="151">
        <v>4249.7299999999996</v>
      </c>
      <c r="AH53" s="151">
        <v>4686.3599999999997</v>
      </c>
      <c r="AI53" s="151">
        <v>7094.13</v>
      </c>
      <c r="AJ53" s="151">
        <v>0</v>
      </c>
      <c r="AK53" s="151">
        <v>8960.7800000000007</v>
      </c>
      <c r="AL53" s="151">
        <v>281575.67</v>
      </c>
    </row>
    <row r="54" spans="1:38" s="117" customFormat="1" ht="15" customHeight="1" x14ac:dyDescent="0.2">
      <c r="A54" s="123" t="s">
        <v>607</v>
      </c>
      <c r="B54" s="124" t="s">
        <v>860</v>
      </c>
      <c r="C54" s="151">
        <v>0</v>
      </c>
      <c r="D54" s="151">
        <v>0</v>
      </c>
      <c r="E54" s="151">
        <v>0</v>
      </c>
      <c r="F54" s="151">
        <v>0</v>
      </c>
      <c r="G54" s="151">
        <v>0</v>
      </c>
      <c r="H54" s="151">
        <v>0</v>
      </c>
      <c r="I54" s="151">
        <v>0</v>
      </c>
      <c r="J54" s="151">
        <v>0</v>
      </c>
      <c r="K54" s="151">
        <v>0</v>
      </c>
      <c r="L54" s="151">
        <v>0</v>
      </c>
      <c r="M54" s="151">
        <v>0</v>
      </c>
      <c r="N54" s="151">
        <v>0</v>
      </c>
      <c r="O54" s="151">
        <v>0</v>
      </c>
      <c r="P54" s="151">
        <v>320.11</v>
      </c>
      <c r="Q54" s="151">
        <v>0</v>
      </c>
      <c r="R54" s="151">
        <v>0</v>
      </c>
      <c r="S54" s="151">
        <v>22.81</v>
      </c>
      <c r="T54" s="151">
        <v>15.83</v>
      </c>
      <c r="U54" s="151">
        <v>9.08</v>
      </c>
      <c r="V54" s="151">
        <v>0</v>
      </c>
      <c r="W54" s="151">
        <v>0</v>
      </c>
      <c r="X54" s="151">
        <v>0</v>
      </c>
      <c r="Y54" s="151">
        <v>0</v>
      </c>
      <c r="Z54" s="151">
        <v>0</v>
      </c>
      <c r="AA54" s="151">
        <v>276.31</v>
      </c>
      <c r="AB54" s="151">
        <v>0</v>
      </c>
      <c r="AC54" s="151">
        <v>0</v>
      </c>
      <c r="AD54" s="151">
        <v>0</v>
      </c>
      <c r="AE54" s="151">
        <v>689.57</v>
      </c>
      <c r="AF54" s="151">
        <v>0</v>
      </c>
      <c r="AG54" s="151">
        <v>0</v>
      </c>
      <c r="AH54" s="151">
        <v>474.41</v>
      </c>
      <c r="AI54" s="151">
        <v>0</v>
      </c>
      <c r="AJ54" s="151">
        <v>-274.38</v>
      </c>
      <c r="AK54" s="151">
        <v>-93.44</v>
      </c>
      <c r="AL54" s="151">
        <v>1440.3</v>
      </c>
    </row>
    <row r="55" spans="1:38" s="117" customFormat="1" ht="15" customHeight="1" x14ac:dyDescent="0.2">
      <c r="A55" s="123" t="s">
        <v>649</v>
      </c>
      <c r="B55" s="124" t="s">
        <v>859</v>
      </c>
      <c r="C55" s="151">
        <v>0</v>
      </c>
      <c r="D55" s="151">
        <v>0</v>
      </c>
      <c r="E55" s="151">
        <v>0</v>
      </c>
      <c r="F55" s="151">
        <v>0</v>
      </c>
      <c r="G55" s="151">
        <v>0</v>
      </c>
      <c r="H55" s="151">
        <v>0</v>
      </c>
      <c r="I55" s="151">
        <v>0</v>
      </c>
      <c r="J55" s="151">
        <v>0</v>
      </c>
      <c r="K55" s="151">
        <v>-71.03</v>
      </c>
      <c r="L55" s="151">
        <v>0</v>
      </c>
      <c r="M55" s="151">
        <v>0</v>
      </c>
      <c r="N55" s="151">
        <v>0</v>
      </c>
      <c r="O55" s="151">
        <v>0</v>
      </c>
      <c r="P55" s="151">
        <v>0</v>
      </c>
      <c r="Q55" s="151">
        <v>0</v>
      </c>
      <c r="R55" s="151">
        <v>0</v>
      </c>
      <c r="S55" s="151">
        <v>0</v>
      </c>
      <c r="T55" s="151">
        <v>0</v>
      </c>
      <c r="U55" s="151">
        <v>0</v>
      </c>
      <c r="V55" s="151">
        <v>0</v>
      </c>
      <c r="W55" s="151">
        <v>0</v>
      </c>
      <c r="X55" s="151">
        <v>0</v>
      </c>
      <c r="Y55" s="151">
        <v>0</v>
      </c>
      <c r="Z55" s="151">
        <v>142.08000000000001</v>
      </c>
      <c r="AA55" s="151">
        <v>0</v>
      </c>
      <c r="AB55" s="151">
        <v>0</v>
      </c>
      <c r="AC55" s="151">
        <v>0</v>
      </c>
      <c r="AD55" s="151">
        <v>0</v>
      </c>
      <c r="AE55" s="151">
        <v>0</v>
      </c>
      <c r="AF55" s="151">
        <v>0</v>
      </c>
      <c r="AG55" s="151">
        <v>0</v>
      </c>
      <c r="AH55" s="151">
        <v>0</v>
      </c>
      <c r="AI55" s="151">
        <v>0</v>
      </c>
      <c r="AJ55" s="151">
        <v>0</v>
      </c>
      <c r="AK55" s="151">
        <v>0</v>
      </c>
      <c r="AL55" s="151">
        <v>71.05</v>
      </c>
    </row>
    <row r="56" spans="1:38" s="117" customFormat="1" ht="15" customHeight="1" x14ac:dyDescent="0.2">
      <c r="A56" s="123" t="s">
        <v>858</v>
      </c>
      <c r="B56" s="124" t="s">
        <v>857</v>
      </c>
      <c r="C56" s="151">
        <v>0</v>
      </c>
      <c r="D56" s="151">
        <v>0</v>
      </c>
      <c r="E56" s="151">
        <v>0</v>
      </c>
      <c r="F56" s="151">
        <v>2088.2800000000002</v>
      </c>
      <c r="G56" s="151">
        <v>0</v>
      </c>
      <c r="H56" s="151">
        <v>0</v>
      </c>
      <c r="I56" s="151">
        <v>0</v>
      </c>
      <c r="J56" s="151">
        <v>0</v>
      </c>
      <c r="K56" s="151">
        <v>12780.09</v>
      </c>
      <c r="L56" s="151">
        <v>0</v>
      </c>
      <c r="M56" s="151">
        <v>0</v>
      </c>
      <c r="N56" s="151">
        <v>0</v>
      </c>
      <c r="O56" s="151">
        <v>0</v>
      </c>
      <c r="P56" s="151">
        <v>0</v>
      </c>
      <c r="Q56" s="151">
        <v>0</v>
      </c>
      <c r="R56" s="151">
        <v>0</v>
      </c>
      <c r="S56" s="151">
        <v>0</v>
      </c>
      <c r="T56" s="151">
        <v>0</v>
      </c>
      <c r="U56" s="151">
        <v>0</v>
      </c>
      <c r="V56" s="151">
        <v>0</v>
      </c>
      <c r="W56" s="151">
        <v>0</v>
      </c>
      <c r="X56" s="151">
        <v>0</v>
      </c>
      <c r="Y56" s="151">
        <v>0</v>
      </c>
      <c r="Z56" s="151">
        <v>0</v>
      </c>
      <c r="AA56" s="151">
        <v>0</v>
      </c>
      <c r="AB56" s="151">
        <v>0</v>
      </c>
      <c r="AC56" s="151">
        <v>0</v>
      </c>
      <c r="AD56" s="151">
        <v>0</v>
      </c>
      <c r="AE56" s="151">
        <v>0</v>
      </c>
      <c r="AF56" s="151">
        <v>0</v>
      </c>
      <c r="AG56" s="151">
        <v>2831.25</v>
      </c>
      <c r="AH56" s="151">
        <v>0</v>
      </c>
      <c r="AI56" s="151">
        <v>0</v>
      </c>
      <c r="AJ56" s="151">
        <v>0</v>
      </c>
      <c r="AK56" s="151">
        <v>0</v>
      </c>
      <c r="AL56" s="151">
        <v>17699.62</v>
      </c>
    </row>
    <row r="57" spans="1:38" s="117" customFormat="1" ht="15" customHeight="1" x14ac:dyDescent="0.2">
      <c r="A57" s="123" t="s">
        <v>856</v>
      </c>
      <c r="B57" s="124" t="s">
        <v>855</v>
      </c>
      <c r="C57" s="151">
        <v>0</v>
      </c>
      <c r="D57" s="151">
        <v>0</v>
      </c>
      <c r="E57" s="151">
        <v>0</v>
      </c>
      <c r="F57" s="151">
        <v>0</v>
      </c>
      <c r="G57" s="151">
        <v>0</v>
      </c>
      <c r="H57" s="151">
        <v>0</v>
      </c>
      <c r="I57" s="151">
        <v>0</v>
      </c>
      <c r="J57" s="151">
        <v>0</v>
      </c>
      <c r="K57" s="151">
        <v>0</v>
      </c>
      <c r="L57" s="151">
        <v>0</v>
      </c>
      <c r="M57" s="151">
        <v>0</v>
      </c>
      <c r="N57" s="151">
        <v>0</v>
      </c>
      <c r="O57" s="151">
        <v>0</v>
      </c>
      <c r="P57" s="151">
        <v>0</v>
      </c>
      <c r="Q57" s="151">
        <v>0</v>
      </c>
      <c r="R57" s="151">
        <v>0</v>
      </c>
      <c r="S57" s="151">
        <v>0</v>
      </c>
      <c r="T57" s="151">
        <v>0</v>
      </c>
      <c r="U57" s="151">
        <v>0</v>
      </c>
      <c r="V57" s="151">
        <v>0</v>
      </c>
      <c r="W57" s="151">
        <v>0</v>
      </c>
      <c r="X57" s="151">
        <v>0</v>
      </c>
      <c r="Y57" s="151">
        <v>0</v>
      </c>
      <c r="Z57" s="151">
        <v>0</v>
      </c>
      <c r="AA57" s="151">
        <v>0</v>
      </c>
      <c r="AB57" s="151">
        <v>-38.56</v>
      </c>
      <c r="AC57" s="151">
        <v>0</v>
      </c>
      <c r="AD57" s="151">
        <v>0</v>
      </c>
      <c r="AE57" s="151">
        <v>0</v>
      </c>
      <c r="AF57" s="151">
        <v>0</v>
      </c>
      <c r="AG57" s="151">
        <v>0</v>
      </c>
      <c r="AH57" s="151">
        <v>0</v>
      </c>
      <c r="AI57" s="151">
        <v>0</v>
      </c>
      <c r="AJ57" s="151">
        <v>0</v>
      </c>
      <c r="AK57" s="151">
        <v>0</v>
      </c>
      <c r="AL57" s="151">
        <v>-38.56</v>
      </c>
    </row>
    <row r="58" spans="1:38" s="117" customFormat="1" ht="15" customHeight="1" x14ac:dyDescent="0.2">
      <c r="A58" s="123" t="s">
        <v>313</v>
      </c>
      <c r="B58" s="124" t="s">
        <v>854</v>
      </c>
      <c r="C58" s="151">
        <v>1406</v>
      </c>
      <c r="D58" s="151">
        <v>2598</v>
      </c>
      <c r="E58" s="151">
        <v>2362</v>
      </c>
      <c r="F58" s="151">
        <v>458</v>
      </c>
      <c r="G58" s="151">
        <v>4649.6000000000004</v>
      </c>
      <c r="H58" s="151">
        <v>3065</v>
      </c>
      <c r="I58" s="151">
        <v>1472.33</v>
      </c>
      <c r="J58" s="151">
        <v>2645</v>
      </c>
      <c r="K58" s="151">
        <v>1057</v>
      </c>
      <c r="L58" s="151">
        <v>3030</v>
      </c>
      <c r="M58" s="151">
        <v>-1263</v>
      </c>
      <c r="N58" s="151">
        <v>2552</v>
      </c>
      <c r="O58" s="151">
        <v>670</v>
      </c>
      <c r="P58" s="151">
        <v>1963</v>
      </c>
      <c r="Q58" s="151">
        <v>4117</v>
      </c>
      <c r="R58" s="151">
        <v>2624</v>
      </c>
      <c r="S58" s="151">
        <v>2100</v>
      </c>
      <c r="T58" s="151">
        <v>5442</v>
      </c>
      <c r="U58" s="151">
        <v>7139</v>
      </c>
      <c r="V58" s="151">
        <v>2258</v>
      </c>
      <c r="W58" s="151">
        <v>2268.35</v>
      </c>
      <c r="X58" s="151">
        <v>1790.39</v>
      </c>
      <c r="Y58" s="151">
        <v>-113</v>
      </c>
      <c r="Z58" s="151">
        <v>2076</v>
      </c>
      <c r="AA58" s="151">
        <v>2868</v>
      </c>
      <c r="AB58" s="151">
        <v>3660.84</v>
      </c>
      <c r="AC58" s="151">
        <v>3443.84</v>
      </c>
      <c r="AD58" s="151">
        <v>3518.5</v>
      </c>
      <c r="AE58" s="151">
        <v>1431.26</v>
      </c>
      <c r="AF58" s="151">
        <v>1523.31</v>
      </c>
      <c r="AG58" s="151">
        <v>-538</v>
      </c>
      <c r="AH58" s="151">
        <v>1214.2</v>
      </c>
      <c r="AI58" s="151">
        <v>2822</v>
      </c>
      <c r="AJ58" s="151">
        <v>1133</v>
      </c>
      <c r="AK58" s="151">
        <v>709</v>
      </c>
      <c r="AL58" s="151">
        <v>78152.62</v>
      </c>
    </row>
    <row r="59" spans="1:38" s="117" customFormat="1" ht="15" customHeight="1" x14ac:dyDescent="0.2">
      <c r="A59" s="123" t="s">
        <v>314</v>
      </c>
      <c r="B59" s="124" t="s">
        <v>853</v>
      </c>
      <c r="C59" s="151">
        <v>1543</v>
      </c>
      <c r="D59" s="151">
        <v>2734</v>
      </c>
      <c r="E59" s="151">
        <v>2335</v>
      </c>
      <c r="F59" s="151">
        <v>427</v>
      </c>
      <c r="G59" s="151">
        <v>4748.59</v>
      </c>
      <c r="H59" s="151">
        <v>1999</v>
      </c>
      <c r="I59" s="151">
        <v>2347.25</v>
      </c>
      <c r="J59" s="151">
        <v>1977</v>
      </c>
      <c r="K59" s="151">
        <v>3854</v>
      </c>
      <c r="L59" s="151">
        <v>3048</v>
      </c>
      <c r="M59" s="151">
        <v>2641</v>
      </c>
      <c r="N59" s="151">
        <v>3022</v>
      </c>
      <c r="O59" s="151">
        <v>491</v>
      </c>
      <c r="P59" s="151">
        <v>2047</v>
      </c>
      <c r="Q59" s="151">
        <v>2826</v>
      </c>
      <c r="R59" s="151">
        <v>2084</v>
      </c>
      <c r="S59" s="151">
        <v>1827</v>
      </c>
      <c r="T59" s="151">
        <v>4800</v>
      </c>
      <c r="U59" s="151">
        <v>5247</v>
      </c>
      <c r="V59" s="151">
        <v>1703</v>
      </c>
      <c r="W59" s="151">
        <v>1833.56</v>
      </c>
      <c r="X59" s="151">
        <v>1687.2</v>
      </c>
      <c r="Y59" s="151">
        <v>4901</v>
      </c>
      <c r="Z59" s="151">
        <v>1471</v>
      </c>
      <c r="AA59" s="151">
        <v>1788</v>
      </c>
      <c r="AB59" s="151">
        <v>3024.73</v>
      </c>
      <c r="AC59" s="151">
        <v>3804.63</v>
      </c>
      <c r="AD59" s="151">
        <v>2048</v>
      </c>
      <c r="AE59" s="151">
        <v>1941.57</v>
      </c>
      <c r="AF59" s="151">
        <v>2383.5700000000002</v>
      </c>
      <c r="AG59" s="151">
        <v>-801</v>
      </c>
      <c r="AH59" s="151">
        <v>1094.47</v>
      </c>
      <c r="AI59" s="151">
        <v>2084</v>
      </c>
      <c r="AJ59" s="151">
        <v>569</v>
      </c>
      <c r="AK59" s="151">
        <v>479</v>
      </c>
      <c r="AL59" s="151">
        <v>80009.570000000007</v>
      </c>
    </row>
    <row r="60" spans="1:38" s="117" customFormat="1" ht="15" customHeight="1" x14ac:dyDescent="0.2">
      <c r="A60" s="123" t="s">
        <v>1386</v>
      </c>
      <c r="B60" s="124" t="s">
        <v>1387</v>
      </c>
      <c r="C60" s="151">
        <v>0</v>
      </c>
      <c r="D60" s="151">
        <v>0</v>
      </c>
      <c r="E60" s="151">
        <v>0</v>
      </c>
      <c r="F60" s="151">
        <v>0</v>
      </c>
      <c r="G60" s="151">
        <v>0</v>
      </c>
      <c r="H60" s="151">
        <v>0</v>
      </c>
      <c r="I60" s="151">
        <v>0</v>
      </c>
      <c r="J60" s="151">
        <v>0</v>
      </c>
      <c r="K60" s="151">
        <v>0</v>
      </c>
      <c r="L60" s="151">
        <v>0</v>
      </c>
      <c r="M60" s="151">
        <v>0</v>
      </c>
      <c r="N60" s="151">
        <v>0</v>
      </c>
      <c r="O60" s="151">
        <v>0</v>
      </c>
      <c r="P60" s="151">
        <v>0</v>
      </c>
      <c r="Q60" s="151">
        <v>77.349999999999994</v>
      </c>
      <c r="R60" s="151">
        <v>0</v>
      </c>
      <c r="S60" s="151">
        <v>0</v>
      </c>
      <c r="T60" s="151">
        <v>0</v>
      </c>
      <c r="U60" s="151">
        <v>0</v>
      </c>
      <c r="V60" s="151">
        <v>0</v>
      </c>
      <c r="W60" s="151">
        <v>0</v>
      </c>
      <c r="X60" s="151">
        <v>0</v>
      </c>
      <c r="Y60" s="151">
        <v>0</v>
      </c>
      <c r="Z60" s="151">
        <v>0</v>
      </c>
      <c r="AA60" s="151">
        <v>0</v>
      </c>
      <c r="AB60" s="151">
        <v>0</v>
      </c>
      <c r="AC60" s="151">
        <v>0</v>
      </c>
      <c r="AD60" s="151">
        <v>0</v>
      </c>
      <c r="AE60" s="151">
        <v>0</v>
      </c>
      <c r="AF60" s="151">
        <v>0</v>
      </c>
      <c r="AG60" s="151">
        <v>0</v>
      </c>
      <c r="AH60" s="151">
        <v>0</v>
      </c>
      <c r="AI60" s="151">
        <v>0</v>
      </c>
      <c r="AJ60" s="151">
        <v>0</v>
      </c>
      <c r="AK60" s="151">
        <v>0</v>
      </c>
      <c r="AL60" s="151">
        <v>77.349999999999994</v>
      </c>
    </row>
    <row r="61" spans="1:38" s="117" customFormat="1" ht="15" customHeight="1" x14ac:dyDescent="0.2">
      <c r="A61" s="123" t="s">
        <v>315</v>
      </c>
      <c r="B61" s="124" t="s">
        <v>852</v>
      </c>
      <c r="C61" s="151">
        <v>-254.74</v>
      </c>
      <c r="D61" s="151">
        <v>-346.69</v>
      </c>
      <c r="E61" s="151">
        <v>-298.13</v>
      </c>
      <c r="F61" s="151">
        <v>-384.74</v>
      </c>
      <c r="G61" s="151">
        <v>-618.33000000000004</v>
      </c>
      <c r="H61" s="151">
        <v>-12.74</v>
      </c>
      <c r="I61" s="151">
        <v>-253.67</v>
      </c>
      <c r="J61" s="151">
        <v>-248.63</v>
      </c>
      <c r="K61" s="151">
        <v>-370.82</v>
      </c>
      <c r="L61" s="151">
        <v>319.77</v>
      </c>
      <c r="M61" s="151">
        <v>-393.22</v>
      </c>
      <c r="N61" s="151">
        <v>-276.95999999999998</v>
      </c>
      <c r="O61" s="151">
        <v>-317</v>
      </c>
      <c r="P61" s="151">
        <v>-199.91</v>
      </c>
      <c r="Q61" s="151">
        <v>-486.32</v>
      </c>
      <c r="R61" s="151">
        <v>-348.23</v>
      </c>
      <c r="S61" s="151">
        <v>-190.03</v>
      </c>
      <c r="T61" s="151">
        <v>-374.9</v>
      </c>
      <c r="U61" s="151">
        <v>-385.04</v>
      </c>
      <c r="V61" s="151">
        <v>-206.47</v>
      </c>
      <c r="W61" s="151">
        <v>-276.05</v>
      </c>
      <c r="X61" s="151">
        <v>-220.69</v>
      </c>
      <c r="Y61" s="151">
        <v>-529.64</v>
      </c>
      <c r="Z61" s="151">
        <v>-238.62</v>
      </c>
      <c r="AA61" s="151">
        <v>-451.1</v>
      </c>
      <c r="AB61" s="151">
        <v>-289.68</v>
      </c>
      <c r="AC61" s="151">
        <v>-347.4</v>
      </c>
      <c r="AD61" s="151">
        <v>-362.03</v>
      </c>
      <c r="AE61" s="151">
        <v>-193.83</v>
      </c>
      <c r="AF61" s="151">
        <v>-199.31</v>
      </c>
      <c r="AG61" s="151">
        <v>-436.87</v>
      </c>
      <c r="AH61" s="151">
        <v>-176.39</v>
      </c>
      <c r="AI61" s="151">
        <v>-344.75</v>
      </c>
      <c r="AJ61" s="151">
        <v>-323.95</v>
      </c>
      <c r="AK61" s="151">
        <v>-389.7</v>
      </c>
      <c r="AL61" s="151">
        <v>-10426.81</v>
      </c>
    </row>
    <row r="62" spans="1:38" s="117" customFormat="1" ht="15" customHeight="1" x14ac:dyDescent="0.2">
      <c r="A62" s="123" t="s">
        <v>316</v>
      </c>
      <c r="B62" s="124" t="s">
        <v>851</v>
      </c>
      <c r="C62" s="151">
        <v>-287.61</v>
      </c>
      <c r="D62" s="151">
        <v>-345.55</v>
      </c>
      <c r="E62" s="151">
        <v>-287.60000000000002</v>
      </c>
      <c r="F62" s="151">
        <v>-358.94</v>
      </c>
      <c r="G62" s="151">
        <v>-410.43</v>
      </c>
      <c r="H62" s="151">
        <v>-189.04</v>
      </c>
      <c r="I62" s="151">
        <v>-342.62</v>
      </c>
      <c r="J62" s="151">
        <v>-249.57</v>
      </c>
      <c r="K62" s="151">
        <v>-515.77</v>
      </c>
      <c r="L62" s="151">
        <v>314.3</v>
      </c>
      <c r="M62" s="151">
        <v>-360.89</v>
      </c>
      <c r="N62" s="151">
        <v>-371.9</v>
      </c>
      <c r="O62" s="151">
        <v>-237.03</v>
      </c>
      <c r="P62" s="151">
        <v>-250.72</v>
      </c>
      <c r="Q62" s="151">
        <v>-334.92</v>
      </c>
      <c r="R62" s="151">
        <v>-282.64</v>
      </c>
      <c r="S62" s="151">
        <v>-232.52</v>
      </c>
      <c r="T62" s="151">
        <v>-453.34</v>
      </c>
      <c r="U62" s="151">
        <v>-422.87</v>
      </c>
      <c r="V62" s="151">
        <v>-287.17</v>
      </c>
      <c r="W62" s="151">
        <v>-237.87</v>
      </c>
      <c r="X62" s="151">
        <v>-202.93</v>
      </c>
      <c r="Y62" s="151">
        <v>-410.36</v>
      </c>
      <c r="Z62" s="151">
        <v>-361.78</v>
      </c>
      <c r="AA62" s="151">
        <v>-219</v>
      </c>
      <c r="AB62" s="151">
        <v>-422.2</v>
      </c>
      <c r="AC62" s="151">
        <v>-511.32</v>
      </c>
      <c r="AD62" s="151">
        <v>-445.35</v>
      </c>
      <c r="AE62" s="151">
        <v>-262.68</v>
      </c>
      <c r="AF62" s="151">
        <v>-381.14</v>
      </c>
      <c r="AG62" s="151">
        <v>-282.95999999999998</v>
      </c>
      <c r="AH62" s="151">
        <v>-377.68</v>
      </c>
      <c r="AI62" s="151">
        <v>-282.64999999999998</v>
      </c>
      <c r="AJ62" s="151">
        <v>-377.55</v>
      </c>
      <c r="AK62" s="151">
        <v>-252.73</v>
      </c>
      <c r="AL62" s="151">
        <v>-10935.03</v>
      </c>
    </row>
    <row r="63" spans="1:38" s="117" customFormat="1" ht="15" customHeight="1" x14ac:dyDescent="0.2">
      <c r="A63" s="123" t="s">
        <v>317</v>
      </c>
      <c r="B63" s="124" t="s">
        <v>850</v>
      </c>
      <c r="C63" s="151">
        <v>0</v>
      </c>
      <c r="D63" s="151">
        <v>-42.03</v>
      </c>
      <c r="E63" s="151">
        <v>0</v>
      </c>
      <c r="F63" s="151">
        <v>0</v>
      </c>
      <c r="G63" s="151">
        <v>0</v>
      </c>
      <c r="H63" s="151">
        <v>0</v>
      </c>
      <c r="I63" s="151">
        <v>0</v>
      </c>
      <c r="J63" s="151">
        <v>0</v>
      </c>
      <c r="K63" s="151">
        <v>0</v>
      </c>
      <c r="L63" s="151">
        <v>0</v>
      </c>
      <c r="M63" s="151">
        <v>0</v>
      </c>
      <c r="N63" s="151">
        <v>0</v>
      </c>
      <c r="O63" s="151">
        <v>0</v>
      </c>
      <c r="P63" s="151">
        <v>0</v>
      </c>
      <c r="Q63" s="151">
        <v>0</v>
      </c>
      <c r="R63" s="151">
        <v>0</v>
      </c>
      <c r="S63" s="151">
        <v>0</v>
      </c>
      <c r="T63" s="151">
        <v>0</v>
      </c>
      <c r="U63" s="151">
        <v>0</v>
      </c>
      <c r="V63" s="151">
        <v>0</v>
      </c>
      <c r="W63" s="151">
        <v>0</v>
      </c>
      <c r="X63" s="151">
        <v>0</v>
      </c>
      <c r="Y63" s="151">
        <v>0</v>
      </c>
      <c r="Z63" s="151">
        <v>0</v>
      </c>
      <c r="AA63" s="151">
        <v>0</v>
      </c>
      <c r="AB63" s="151">
        <v>0</v>
      </c>
      <c r="AC63" s="151">
        <v>0</v>
      </c>
      <c r="AD63" s="151">
        <v>0</v>
      </c>
      <c r="AE63" s="151">
        <v>0</v>
      </c>
      <c r="AF63" s="151">
        <v>0</v>
      </c>
      <c r="AG63" s="151">
        <v>0</v>
      </c>
      <c r="AH63" s="151">
        <v>0</v>
      </c>
      <c r="AI63" s="151">
        <v>-285.42</v>
      </c>
      <c r="AJ63" s="151">
        <v>0</v>
      </c>
      <c r="AK63" s="151">
        <v>0</v>
      </c>
      <c r="AL63" s="151">
        <v>-327.45</v>
      </c>
    </row>
    <row r="64" spans="1:38" s="117" customFormat="1" ht="15" customHeight="1" x14ac:dyDescent="0.2">
      <c r="A64" s="123" t="s">
        <v>318</v>
      </c>
      <c r="B64" s="124" t="s">
        <v>849</v>
      </c>
      <c r="C64" s="151">
        <v>0</v>
      </c>
      <c r="D64" s="151">
        <v>0</v>
      </c>
      <c r="E64" s="151">
        <v>0</v>
      </c>
      <c r="F64" s="151">
        <v>0</v>
      </c>
      <c r="G64" s="151">
        <v>0</v>
      </c>
      <c r="H64" s="151">
        <v>0</v>
      </c>
      <c r="I64" s="151">
        <v>0</v>
      </c>
      <c r="J64" s="151">
        <v>0</v>
      </c>
      <c r="K64" s="151">
        <v>0</v>
      </c>
      <c r="L64" s="151">
        <v>0</v>
      </c>
      <c r="M64" s="151">
        <v>0</v>
      </c>
      <c r="N64" s="151">
        <v>0</v>
      </c>
      <c r="O64" s="151">
        <v>0</v>
      </c>
      <c r="P64" s="151">
        <v>-114.2</v>
      </c>
      <c r="Q64" s="151">
        <v>0</v>
      </c>
      <c r="R64" s="151">
        <v>0</v>
      </c>
      <c r="S64" s="151">
        <v>-89.74</v>
      </c>
      <c r="T64" s="151">
        <v>0</v>
      </c>
      <c r="U64" s="151">
        <v>0</v>
      </c>
      <c r="V64" s="151">
        <v>0</v>
      </c>
      <c r="W64" s="151">
        <v>0</v>
      </c>
      <c r="X64" s="151">
        <v>0</v>
      </c>
      <c r="Y64" s="151">
        <v>0</v>
      </c>
      <c r="Z64" s="151">
        <v>0</v>
      </c>
      <c r="AA64" s="151">
        <v>0</v>
      </c>
      <c r="AB64" s="151">
        <v>0</v>
      </c>
      <c r="AC64" s="151">
        <v>0</v>
      </c>
      <c r="AD64" s="151">
        <v>44.93</v>
      </c>
      <c r="AE64" s="151">
        <v>0</v>
      </c>
      <c r="AF64" s="151">
        <v>0</v>
      </c>
      <c r="AG64" s="151">
        <v>13.27</v>
      </c>
      <c r="AH64" s="151">
        <v>39.15</v>
      </c>
      <c r="AI64" s="151">
        <v>0</v>
      </c>
      <c r="AJ64" s="151">
        <v>0</v>
      </c>
      <c r="AK64" s="151">
        <v>0</v>
      </c>
      <c r="AL64" s="151">
        <v>-106.59</v>
      </c>
    </row>
    <row r="65" spans="1:38" s="117" customFormat="1" ht="15" customHeight="1" x14ac:dyDescent="0.2">
      <c r="A65" s="123" t="s">
        <v>848</v>
      </c>
      <c r="B65" s="124" t="s">
        <v>847</v>
      </c>
      <c r="C65" s="151">
        <v>0</v>
      </c>
      <c r="D65" s="151">
        <v>0</v>
      </c>
      <c r="E65" s="151">
        <v>0</v>
      </c>
      <c r="F65" s="151">
        <v>0</v>
      </c>
      <c r="G65" s="151">
        <v>0</v>
      </c>
      <c r="H65" s="151">
        <v>0</v>
      </c>
      <c r="I65" s="151">
        <v>0</v>
      </c>
      <c r="J65" s="151">
        <v>0</v>
      </c>
      <c r="K65" s="151">
        <v>0</v>
      </c>
      <c r="L65" s="151">
        <v>0</v>
      </c>
      <c r="M65" s="151">
        <v>0</v>
      </c>
      <c r="N65" s="151">
        <v>0</v>
      </c>
      <c r="O65" s="151">
        <v>0</v>
      </c>
      <c r="P65" s="151">
        <v>0</v>
      </c>
      <c r="Q65" s="151">
        <v>0</v>
      </c>
      <c r="R65" s="151">
        <v>0</v>
      </c>
      <c r="S65" s="151">
        <v>0</v>
      </c>
      <c r="T65" s="151">
        <v>0</v>
      </c>
      <c r="U65" s="151">
        <v>0</v>
      </c>
      <c r="V65" s="151">
        <v>0</v>
      </c>
      <c r="W65" s="151">
        <v>0</v>
      </c>
      <c r="X65" s="151">
        <v>0</v>
      </c>
      <c r="Y65" s="151">
        <v>0</v>
      </c>
      <c r="Z65" s="151">
        <v>0</v>
      </c>
      <c r="AA65" s="151">
        <v>0</v>
      </c>
      <c r="AB65" s="151">
        <v>0</v>
      </c>
      <c r="AC65" s="151">
        <v>4310</v>
      </c>
      <c r="AD65" s="151">
        <v>0</v>
      </c>
      <c r="AE65" s="151">
        <v>0</v>
      </c>
      <c r="AF65" s="151">
        <v>0</v>
      </c>
      <c r="AG65" s="151">
        <v>0</v>
      </c>
      <c r="AH65" s="151">
        <v>0</v>
      </c>
      <c r="AI65" s="151">
        <v>0</v>
      </c>
      <c r="AJ65" s="151">
        <v>0</v>
      </c>
      <c r="AK65" s="151">
        <v>0</v>
      </c>
      <c r="AL65" s="151">
        <v>4310</v>
      </c>
    </row>
    <row r="66" spans="1:38" s="117" customFormat="1" ht="15" customHeight="1" x14ac:dyDescent="0.2">
      <c r="A66" s="123" t="s">
        <v>319</v>
      </c>
      <c r="B66" s="124" t="s">
        <v>846</v>
      </c>
      <c r="C66" s="151">
        <v>22.77</v>
      </c>
      <c r="D66" s="151">
        <v>35.770000000000003</v>
      </c>
      <c r="E66" s="151">
        <v>22.79</v>
      </c>
      <c r="F66" s="151">
        <v>60.71</v>
      </c>
      <c r="G66" s="151">
        <v>77.44</v>
      </c>
      <c r="H66" s="151">
        <v>57.34</v>
      </c>
      <c r="I66" s="151">
        <v>26.62</v>
      </c>
      <c r="J66" s="151">
        <v>21.06</v>
      </c>
      <c r="K66" s="151">
        <v>28.3</v>
      </c>
      <c r="L66" s="151">
        <v>85.81</v>
      </c>
      <c r="M66" s="151">
        <v>0</v>
      </c>
      <c r="N66" s="151">
        <v>52.25</v>
      </c>
      <c r="O66" s="151">
        <v>34.270000000000003</v>
      </c>
      <c r="P66" s="151">
        <v>18.22</v>
      </c>
      <c r="Q66" s="151">
        <v>133.1</v>
      </c>
      <c r="R66" s="151">
        <v>64.319999999999993</v>
      </c>
      <c r="S66" s="151">
        <v>14.3</v>
      </c>
      <c r="T66" s="151">
        <v>69.53</v>
      </c>
      <c r="U66" s="151">
        <v>72.540000000000006</v>
      </c>
      <c r="V66" s="151">
        <v>59.96</v>
      </c>
      <c r="W66" s="151">
        <v>39.06</v>
      </c>
      <c r="X66" s="151">
        <v>50.46</v>
      </c>
      <c r="Y66" s="151">
        <v>99.08</v>
      </c>
      <c r="Z66" s="151">
        <v>103.23</v>
      </c>
      <c r="AA66" s="151">
        <v>49.57</v>
      </c>
      <c r="AB66" s="151">
        <v>120.46</v>
      </c>
      <c r="AC66" s="151">
        <v>9.18</v>
      </c>
      <c r="AD66" s="151">
        <v>45.97</v>
      </c>
      <c r="AE66" s="151">
        <v>40.06</v>
      </c>
      <c r="AF66" s="151">
        <v>81.11</v>
      </c>
      <c r="AG66" s="151">
        <v>13.73</v>
      </c>
      <c r="AH66" s="151">
        <v>5.43</v>
      </c>
      <c r="AI66" s="151">
        <v>52.86</v>
      </c>
      <c r="AJ66" s="151">
        <v>47.06</v>
      </c>
      <c r="AK66" s="151">
        <v>56.9</v>
      </c>
      <c r="AL66" s="151">
        <v>1771.26</v>
      </c>
    </row>
    <row r="67" spans="1:38" s="117" customFormat="1" ht="15" customHeight="1" x14ac:dyDescent="0.2">
      <c r="A67" s="123" t="s">
        <v>1301</v>
      </c>
      <c r="B67" s="124" t="s">
        <v>1388</v>
      </c>
      <c r="C67" s="151">
        <v>183.05</v>
      </c>
      <c r="D67" s="151">
        <v>109.83</v>
      </c>
      <c r="E67" s="151">
        <v>146.44</v>
      </c>
      <c r="F67" s="151">
        <v>183.05</v>
      </c>
      <c r="G67" s="151">
        <v>219.65</v>
      </c>
      <c r="H67" s="151">
        <v>109.83</v>
      </c>
      <c r="I67" s="151">
        <v>109.83</v>
      </c>
      <c r="J67" s="151">
        <v>183.05</v>
      </c>
      <c r="K67" s="151">
        <v>146.44</v>
      </c>
      <c r="L67" s="151">
        <v>109.83</v>
      </c>
      <c r="M67" s="151">
        <v>109.83</v>
      </c>
      <c r="N67" s="151">
        <v>146.44</v>
      </c>
      <c r="O67" s="151">
        <v>109.83</v>
      </c>
      <c r="P67" s="151">
        <v>146.44</v>
      </c>
      <c r="Q67" s="151">
        <v>146.44</v>
      </c>
      <c r="R67" s="151">
        <v>146.44</v>
      </c>
      <c r="S67" s="151">
        <v>146.44</v>
      </c>
      <c r="T67" s="151">
        <v>146.44</v>
      </c>
      <c r="U67" s="151">
        <v>219.65</v>
      </c>
      <c r="V67" s="151">
        <v>146.44</v>
      </c>
      <c r="W67" s="151">
        <v>183.05</v>
      </c>
      <c r="X67" s="151">
        <v>146.44</v>
      </c>
      <c r="Y67" s="151">
        <v>146.44</v>
      </c>
      <c r="Z67" s="151">
        <v>109.83</v>
      </c>
      <c r="AA67" s="151">
        <v>183.05</v>
      </c>
      <c r="AB67" s="151">
        <v>146.44</v>
      </c>
      <c r="AC67" s="151">
        <v>146.44</v>
      </c>
      <c r="AD67" s="151">
        <v>146.44</v>
      </c>
      <c r="AE67" s="151">
        <v>109.83</v>
      </c>
      <c r="AF67" s="151">
        <v>183.05</v>
      </c>
      <c r="AG67" s="151">
        <v>183.05</v>
      </c>
      <c r="AH67" s="151">
        <v>146.44</v>
      </c>
      <c r="AI67" s="151">
        <v>146.44</v>
      </c>
      <c r="AJ67" s="151">
        <v>109.83</v>
      </c>
      <c r="AK67" s="151">
        <v>146.44</v>
      </c>
      <c r="AL67" s="151">
        <v>5198.6000000000004</v>
      </c>
    </row>
    <row r="68" spans="1:38" s="117" customFormat="1" ht="15" customHeight="1" x14ac:dyDescent="0.2">
      <c r="A68" s="123" t="s">
        <v>1389</v>
      </c>
      <c r="B68" s="124" t="s">
        <v>845</v>
      </c>
      <c r="C68" s="151">
        <v>0</v>
      </c>
      <c r="D68" s="151">
        <v>0</v>
      </c>
      <c r="E68" s="151">
        <v>0</v>
      </c>
      <c r="F68" s="151">
        <v>0</v>
      </c>
      <c r="G68" s="151">
        <v>4036.01</v>
      </c>
      <c r="H68" s="151">
        <v>0</v>
      </c>
      <c r="I68" s="151">
        <v>0</v>
      </c>
      <c r="J68" s="151">
        <v>0</v>
      </c>
      <c r="K68" s="151">
        <v>0</v>
      </c>
      <c r="L68" s="151">
        <v>0</v>
      </c>
      <c r="M68" s="151">
        <v>0</v>
      </c>
      <c r="N68" s="151">
        <v>0</v>
      </c>
      <c r="O68" s="151">
        <v>0</v>
      </c>
      <c r="P68" s="151">
        <v>0</v>
      </c>
      <c r="Q68" s="151">
        <v>0</v>
      </c>
      <c r="R68" s="151">
        <v>0</v>
      </c>
      <c r="S68" s="151">
        <v>0</v>
      </c>
      <c r="T68" s="151">
        <v>0</v>
      </c>
      <c r="U68" s="151">
        <v>0</v>
      </c>
      <c r="V68" s="151">
        <v>0</v>
      </c>
      <c r="W68" s="151">
        <v>0</v>
      </c>
      <c r="X68" s="151">
        <v>1174.98</v>
      </c>
      <c r="Y68" s="151">
        <v>0</v>
      </c>
      <c r="Z68" s="151">
        <v>0</v>
      </c>
      <c r="AA68" s="151">
        <v>0</v>
      </c>
      <c r="AB68" s="151">
        <v>0</v>
      </c>
      <c r="AC68" s="151">
        <v>0</v>
      </c>
      <c r="AD68" s="151">
        <v>0</v>
      </c>
      <c r="AE68" s="151">
        <v>0</v>
      </c>
      <c r="AF68" s="151">
        <v>0</v>
      </c>
      <c r="AG68" s="151">
        <v>0</v>
      </c>
      <c r="AH68" s="151">
        <v>0</v>
      </c>
      <c r="AI68" s="151">
        <v>0</v>
      </c>
      <c r="AJ68" s="151">
        <v>0</v>
      </c>
      <c r="AK68" s="151">
        <v>0</v>
      </c>
      <c r="AL68" s="151">
        <v>5210.99</v>
      </c>
    </row>
    <row r="69" spans="1:38" s="117" customFormat="1" ht="15" customHeight="1" x14ac:dyDescent="0.2">
      <c r="A69" s="123" t="s">
        <v>320</v>
      </c>
      <c r="B69" s="124" t="s">
        <v>845</v>
      </c>
      <c r="C69" s="151">
        <v>0</v>
      </c>
      <c r="D69" s="151">
        <v>0</v>
      </c>
      <c r="E69" s="151">
        <v>0</v>
      </c>
      <c r="F69" s="151">
        <v>0</v>
      </c>
      <c r="G69" s="151">
        <v>4167.6899999999996</v>
      </c>
      <c r="H69" s="151">
        <v>0</v>
      </c>
      <c r="I69" s="151">
        <v>0</v>
      </c>
      <c r="J69" s="151">
        <v>0</v>
      </c>
      <c r="K69" s="151">
        <v>0</v>
      </c>
      <c r="L69" s="151">
        <v>0</v>
      </c>
      <c r="M69" s="151">
        <v>0</v>
      </c>
      <c r="N69" s="151">
        <v>0</v>
      </c>
      <c r="O69" s="151">
        <v>0</v>
      </c>
      <c r="P69" s="151">
        <v>0</v>
      </c>
      <c r="Q69" s="151">
        <v>0</v>
      </c>
      <c r="R69" s="151">
        <v>0</v>
      </c>
      <c r="S69" s="151">
        <v>0</v>
      </c>
      <c r="T69" s="151">
        <v>0</v>
      </c>
      <c r="U69" s="151">
        <v>490.88</v>
      </c>
      <c r="V69" s="151">
        <v>0</v>
      </c>
      <c r="W69" s="151">
        <v>0</v>
      </c>
      <c r="X69" s="151">
        <v>5502.28</v>
      </c>
      <c r="Y69" s="151">
        <v>0</v>
      </c>
      <c r="Z69" s="151">
        <v>0</v>
      </c>
      <c r="AA69" s="151">
        <v>0</v>
      </c>
      <c r="AB69" s="151">
        <v>0</v>
      </c>
      <c r="AC69" s="151">
        <v>0</v>
      </c>
      <c r="AD69" s="151">
        <v>0</v>
      </c>
      <c r="AE69" s="151">
        <v>0</v>
      </c>
      <c r="AF69" s="151">
        <v>0</v>
      </c>
      <c r="AG69" s="151">
        <v>0</v>
      </c>
      <c r="AH69" s="151">
        <v>0</v>
      </c>
      <c r="AI69" s="151">
        <v>0</v>
      </c>
      <c r="AJ69" s="151">
        <v>0</v>
      </c>
      <c r="AK69" s="151">
        <v>0</v>
      </c>
      <c r="AL69" s="151">
        <v>10160.85</v>
      </c>
    </row>
    <row r="70" spans="1:38" s="117" customFormat="1" ht="15" customHeight="1" x14ac:dyDescent="0.2">
      <c r="A70" s="123" t="s">
        <v>1390</v>
      </c>
      <c r="B70" s="124" t="s">
        <v>1391</v>
      </c>
      <c r="C70" s="151">
        <v>16663.09</v>
      </c>
      <c r="D70" s="151">
        <v>15405.99</v>
      </c>
      <c r="E70" s="151">
        <v>11095.48</v>
      </c>
      <c r="F70" s="151">
        <v>18017.71</v>
      </c>
      <c r="G70" s="151">
        <v>30038.29</v>
      </c>
      <c r="H70" s="151">
        <v>15401.49</v>
      </c>
      <c r="I70" s="151">
        <v>15090.6</v>
      </c>
      <c r="J70" s="151">
        <v>13540.26</v>
      </c>
      <c r="K70" s="151">
        <v>20346.59</v>
      </c>
      <c r="L70" s="151">
        <v>16165.01</v>
      </c>
      <c r="M70" s="151">
        <v>13739.76</v>
      </c>
      <c r="N70" s="151">
        <v>15313.28</v>
      </c>
      <c r="O70" s="151">
        <v>12892.85</v>
      </c>
      <c r="P70" s="151">
        <v>12606.45</v>
      </c>
      <c r="Q70" s="151">
        <v>25961.42</v>
      </c>
      <c r="R70" s="151">
        <v>15273.87</v>
      </c>
      <c r="S70" s="151">
        <v>9890.16</v>
      </c>
      <c r="T70" s="151">
        <v>20669.830000000002</v>
      </c>
      <c r="U70" s="151">
        <v>20294.849999999999</v>
      </c>
      <c r="V70" s="151">
        <v>12652.96</v>
      </c>
      <c r="W70" s="151">
        <v>15418.88</v>
      </c>
      <c r="X70" s="151">
        <v>12213.42</v>
      </c>
      <c r="Y70" s="151">
        <v>17257.03</v>
      </c>
      <c r="Z70" s="151">
        <v>12957.65</v>
      </c>
      <c r="AA70" s="151">
        <v>15629.28</v>
      </c>
      <c r="AB70" s="151">
        <v>16055.77</v>
      </c>
      <c r="AC70" s="151">
        <v>21101.5</v>
      </c>
      <c r="AD70" s="151">
        <v>17552.330000000002</v>
      </c>
      <c r="AE70" s="151">
        <v>7930.7</v>
      </c>
      <c r="AF70" s="151">
        <v>15681.67</v>
      </c>
      <c r="AG70" s="151">
        <v>18626.099999999999</v>
      </c>
      <c r="AH70" s="151">
        <v>7752.85</v>
      </c>
      <c r="AI70" s="151">
        <v>16200.59</v>
      </c>
      <c r="AJ70" s="151">
        <v>14810.82</v>
      </c>
      <c r="AK70" s="151">
        <v>11168.15</v>
      </c>
      <c r="AL70" s="151">
        <v>551416.68000000005</v>
      </c>
    </row>
    <row r="71" spans="1:38" s="117" customFormat="1" ht="15" customHeight="1" x14ac:dyDescent="0.2">
      <c r="A71" s="123" t="s">
        <v>321</v>
      </c>
      <c r="B71" s="124" t="s">
        <v>844</v>
      </c>
      <c r="C71" s="151">
        <v>213.92</v>
      </c>
      <c r="D71" s="151">
        <v>150</v>
      </c>
      <c r="E71" s="151">
        <v>213.94</v>
      </c>
      <c r="F71" s="151">
        <v>0</v>
      </c>
      <c r="G71" s="151">
        <v>195.97</v>
      </c>
      <c r="H71" s="151">
        <v>0</v>
      </c>
      <c r="I71" s="151">
        <v>0</v>
      </c>
      <c r="J71" s="151">
        <v>0</v>
      </c>
      <c r="K71" s="151">
        <v>0</v>
      </c>
      <c r="L71" s="151">
        <v>0</v>
      </c>
      <c r="M71" s="151">
        <v>0</v>
      </c>
      <c r="N71" s="151">
        <v>23.53</v>
      </c>
      <c r="O71" s="151">
        <v>0</v>
      </c>
      <c r="P71" s="151">
        <v>0</v>
      </c>
      <c r="Q71" s="151">
        <v>0</v>
      </c>
      <c r="R71" s="151">
        <v>0</v>
      </c>
      <c r="S71" s="151">
        <v>0</v>
      </c>
      <c r="T71" s="151">
        <v>310.70999999999998</v>
      </c>
      <c r="U71" s="151">
        <v>0</v>
      </c>
      <c r="V71" s="151">
        <v>0</v>
      </c>
      <c r="W71" s="151">
        <v>98.41</v>
      </c>
      <c r="X71" s="151">
        <v>117.55</v>
      </c>
      <c r="Y71" s="151">
        <v>0</v>
      </c>
      <c r="Z71" s="151">
        <v>0</v>
      </c>
      <c r="AA71" s="151">
        <v>0</v>
      </c>
      <c r="AB71" s="151">
        <v>0</v>
      </c>
      <c r="AC71" s="151">
        <v>0</v>
      </c>
      <c r="AD71" s="151">
        <v>0</v>
      </c>
      <c r="AE71" s="151">
        <v>0</v>
      </c>
      <c r="AF71" s="151">
        <v>0</v>
      </c>
      <c r="AG71" s="151">
        <v>0</v>
      </c>
      <c r="AH71" s="151">
        <v>0</v>
      </c>
      <c r="AI71" s="151">
        <v>391.17</v>
      </c>
      <c r="AJ71" s="151">
        <v>0</v>
      </c>
      <c r="AK71" s="151">
        <v>0</v>
      </c>
      <c r="AL71" s="151">
        <v>1715.2</v>
      </c>
    </row>
    <row r="72" spans="1:38" s="117" customFormat="1" ht="15" customHeight="1" x14ac:dyDescent="0.2">
      <c r="A72" s="123" t="s">
        <v>843</v>
      </c>
      <c r="B72" s="124" t="s">
        <v>842</v>
      </c>
      <c r="C72" s="151">
        <v>0</v>
      </c>
      <c r="D72" s="151">
        <v>0</v>
      </c>
      <c r="E72" s="151">
        <v>0</v>
      </c>
      <c r="F72" s="151">
        <v>0</v>
      </c>
      <c r="G72" s="151">
        <v>0</v>
      </c>
      <c r="H72" s="151">
        <v>0</v>
      </c>
      <c r="I72" s="151">
        <v>0</v>
      </c>
      <c r="J72" s="151">
        <v>0</v>
      </c>
      <c r="K72" s="151">
        <v>0</v>
      </c>
      <c r="L72" s="151">
        <v>0</v>
      </c>
      <c r="M72" s="151">
        <v>0</v>
      </c>
      <c r="N72" s="151">
        <v>0</v>
      </c>
      <c r="O72" s="151">
        <v>0</v>
      </c>
      <c r="P72" s="151">
        <v>0</v>
      </c>
      <c r="Q72" s="151">
        <v>0</v>
      </c>
      <c r="R72" s="151">
        <v>0</v>
      </c>
      <c r="S72" s="151">
        <v>0</v>
      </c>
      <c r="T72" s="151">
        <v>0</v>
      </c>
      <c r="U72" s="151">
        <v>0</v>
      </c>
      <c r="V72" s="151">
        <v>0</v>
      </c>
      <c r="W72" s="151">
        <v>0</v>
      </c>
      <c r="X72" s="151">
        <v>0</v>
      </c>
      <c r="Y72" s="151">
        <v>0</v>
      </c>
      <c r="Z72" s="151">
        <v>0</v>
      </c>
      <c r="AA72" s="151">
        <v>0</v>
      </c>
      <c r="AB72" s="151">
        <v>0</v>
      </c>
      <c r="AC72" s="151">
        <v>73.48</v>
      </c>
      <c r="AD72" s="151">
        <v>0</v>
      </c>
      <c r="AE72" s="151">
        <v>0</v>
      </c>
      <c r="AF72" s="151">
        <v>0</v>
      </c>
      <c r="AG72" s="151">
        <v>0</v>
      </c>
      <c r="AH72" s="151">
        <v>0</v>
      </c>
      <c r="AI72" s="151">
        <v>0</v>
      </c>
      <c r="AJ72" s="151">
        <v>0</v>
      </c>
      <c r="AK72" s="151">
        <v>0</v>
      </c>
      <c r="AL72" s="151">
        <v>73.48</v>
      </c>
    </row>
    <row r="73" spans="1:38" s="117" customFormat="1" ht="15" customHeight="1" x14ac:dyDescent="0.2">
      <c r="A73" s="123" t="s">
        <v>564</v>
      </c>
      <c r="B73" s="124" t="s">
        <v>841</v>
      </c>
      <c r="C73" s="151">
        <v>0</v>
      </c>
      <c r="D73" s="151">
        <v>0</v>
      </c>
      <c r="E73" s="151">
        <v>0</v>
      </c>
      <c r="F73" s="151">
        <v>0</v>
      </c>
      <c r="G73" s="151">
        <v>0</v>
      </c>
      <c r="H73" s="151">
        <v>0</v>
      </c>
      <c r="I73" s="151">
        <v>0</v>
      </c>
      <c r="J73" s="151">
        <v>0</v>
      </c>
      <c r="K73" s="151">
        <v>0</v>
      </c>
      <c r="L73" s="151">
        <v>0</v>
      </c>
      <c r="M73" s="151">
        <v>0</v>
      </c>
      <c r="N73" s="151">
        <v>0</v>
      </c>
      <c r="O73" s="151">
        <v>0</v>
      </c>
      <c r="P73" s="151">
        <v>0</v>
      </c>
      <c r="Q73" s="151">
        <v>0</v>
      </c>
      <c r="R73" s="151">
        <v>0</v>
      </c>
      <c r="S73" s="151">
        <v>0</v>
      </c>
      <c r="T73" s="151">
        <v>0</v>
      </c>
      <c r="U73" s="151">
        <v>0</v>
      </c>
      <c r="V73" s="151">
        <v>0</v>
      </c>
      <c r="W73" s="151">
        <v>0</v>
      </c>
      <c r="X73" s="151">
        <v>0</v>
      </c>
      <c r="Y73" s="151">
        <v>135.41999999999999</v>
      </c>
      <c r="Z73" s="151">
        <v>0</v>
      </c>
      <c r="AA73" s="151">
        <v>0</v>
      </c>
      <c r="AB73" s="151">
        <v>0</v>
      </c>
      <c r="AC73" s="151">
        <v>0</v>
      </c>
      <c r="AD73" s="151">
        <v>0</v>
      </c>
      <c r="AE73" s="151">
        <v>56.96</v>
      </c>
      <c r="AF73" s="151">
        <v>56.96</v>
      </c>
      <c r="AG73" s="151">
        <v>0</v>
      </c>
      <c r="AH73" s="151">
        <v>0</v>
      </c>
      <c r="AI73" s="151">
        <v>0</v>
      </c>
      <c r="AJ73" s="151">
        <v>0</v>
      </c>
      <c r="AK73" s="151">
        <v>0</v>
      </c>
      <c r="AL73" s="151">
        <v>249.34</v>
      </c>
    </row>
    <row r="74" spans="1:38" s="117" customFormat="1" ht="15" customHeight="1" x14ac:dyDescent="0.2">
      <c r="A74" s="123" t="s">
        <v>497</v>
      </c>
      <c r="B74" s="124" t="s">
        <v>840</v>
      </c>
      <c r="C74" s="151">
        <v>0</v>
      </c>
      <c r="D74" s="151">
        <v>0</v>
      </c>
      <c r="E74" s="151">
        <v>0</v>
      </c>
      <c r="F74" s="151">
        <v>0</v>
      </c>
      <c r="G74" s="151">
        <v>0</v>
      </c>
      <c r="H74" s="151">
        <v>0</v>
      </c>
      <c r="I74" s="151">
        <v>0</v>
      </c>
      <c r="J74" s="151">
        <v>0</v>
      </c>
      <c r="K74" s="151">
        <v>0</v>
      </c>
      <c r="L74" s="151">
        <v>0</v>
      </c>
      <c r="M74" s="151">
        <v>1405.07</v>
      </c>
      <c r="N74" s="151">
        <v>0</v>
      </c>
      <c r="O74" s="151">
        <v>0</v>
      </c>
      <c r="P74" s="151">
        <v>0</v>
      </c>
      <c r="Q74" s="151">
        <v>0</v>
      </c>
      <c r="R74" s="151">
        <v>0</v>
      </c>
      <c r="S74" s="151">
        <v>0</v>
      </c>
      <c r="T74" s="151">
        <v>0</v>
      </c>
      <c r="U74" s="151">
        <v>0</v>
      </c>
      <c r="V74" s="151">
        <v>0</v>
      </c>
      <c r="W74" s="151">
        <v>0</v>
      </c>
      <c r="X74" s="151">
        <v>0</v>
      </c>
      <c r="Y74" s="151">
        <v>0</v>
      </c>
      <c r="Z74" s="151">
        <v>0</v>
      </c>
      <c r="AA74" s="151">
        <v>0</v>
      </c>
      <c r="AB74" s="151">
        <v>0</v>
      </c>
      <c r="AC74" s="151">
        <v>0</v>
      </c>
      <c r="AD74" s="151">
        <v>287.22000000000003</v>
      </c>
      <c r="AE74" s="151">
        <v>0</v>
      </c>
      <c r="AF74" s="151">
        <v>0</v>
      </c>
      <c r="AG74" s="151">
        <v>0</v>
      </c>
      <c r="AH74" s="151">
        <v>0</v>
      </c>
      <c r="AI74" s="151">
        <v>0</v>
      </c>
      <c r="AJ74" s="151">
        <v>0</v>
      </c>
      <c r="AK74" s="151">
        <v>0</v>
      </c>
      <c r="AL74" s="151">
        <v>1692.29</v>
      </c>
    </row>
    <row r="75" spans="1:38" s="117" customFormat="1" ht="15" customHeight="1" x14ac:dyDescent="0.2">
      <c r="A75" s="123" t="s">
        <v>322</v>
      </c>
      <c r="B75" s="124" t="s">
        <v>839</v>
      </c>
      <c r="C75" s="151">
        <v>1030.1199999999999</v>
      </c>
      <c r="D75" s="151">
        <v>4049.17</v>
      </c>
      <c r="E75" s="151">
        <v>3053.12</v>
      </c>
      <c r="F75" s="151">
        <v>1383.01</v>
      </c>
      <c r="G75" s="151">
        <v>2431.9</v>
      </c>
      <c r="H75" s="151">
        <v>2144.92</v>
      </c>
      <c r="I75" s="151">
        <v>710.38</v>
      </c>
      <c r="J75" s="151">
        <v>1675.18</v>
      </c>
      <c r="K75" s="151">
        <v>3632.31</v>
      </c>
      <c r="L75" s="151">
        <v>1670.33</v>
      </c>
      <c r="M75" s="151">
        <v>1640.83</v>
      </c>
      <c r="N75" s="151">
        <v>715.38</v>
      </c>
      <c r="O75" s="151">
        <v>3322.17</v>
      </c>
      <c r="P75" s="151">
        <v>2105.02</v>
      </c>
      <c r="Q75" s="151">
        <v>543.38</v>
      </c>
      <c r="R75" s="151">
        <v>2491.88</v>
      </c>
      <c r="S75" s="151">
        <v>1666.73</v>
      </c>
      <c r="T75" s="151">
        <v>838.66</v>
      </c>
      <c r="U75" s="151">
        <v>2643.15</v>
      </c>
      <c r="V75" s="151">
        <v>2919.25</v>
      </c>
      <c r="W75" s="151">
        <v>2138.33</v>
      </c>
      <c r="X75" s="151">
        <v>1519.92</v>
      </c>
      <c r="Y75" s="151">
        <v>396.77</v>
      </c>
      <c r="Z75" s="151">
        <v>371.27</v>
      </c>
      <c r="AA75" s="151">
        <v>1417.84</v>
      </c>
      <c r="AB75" s="151">
        <v>1114.44</v>
      </c>
      <c r="AC75" s="151">
        <v>615.89</v>
      </c>
      <c r="AD75" s="151">
        <v>1495.11</v>
      </c>
      <c r="AE75" s="151">
        <v>744.58</v>
      </c>
      <c r="AF75" s="151">
        <v>410.81</v>
      </c>
      <c r="AG75" s="151">
        <v>1180.99</v>
      </c>
      <c r="AH75" s="151">
        <v>727.51</v>
      </c>
      <c r="AI75" s="151">
        <v>4012.72</v>
      </c>
      <c r="AJ75" s="151">
        <v>1421.59</v>
      </c>
      <c r="AK75" s="151">
        <v>2702.56</v>
      </c>
      <c r="AL75" s="151">
        <v>60937.22</v>
      </c>
    </row>
    <row r="76" spans="1:38" s="117" customFormat="1" ht="15" customHeight="1" x14ac:dyDescent="0.2">
      <c r="A76" s="123" t="s">
        <v>323</v>
      </c>
      <c r="B76" s="124" t="s">
        <v>838</v>
      </c>
      <c r="C76" s="151">
        <v>0</v>
      </c>
      <c r="D76" s="151">
        <v>0</v>
      </c>
      <c r="E76" s="151">
        <v>0</v>
      </c>
      <c r="F76" s="151">
        <v>0</v>
      </c>
      <c r="G76" s="151">
        <v>0</v>
      </c>
      <c r="H76" s="151">
        <v>0</v>
      </c>
      <c r="I76" s="151">
        <v>1219</v>
      </c>
      <c r="J76" s="151">
        <v>0</v>
      </c>
      <c r="K76" s="151">
        <v>1625.91</v>
      </c>
      <c r="L76" s="151">
        <v>0</v>
      </c>
      <c r="M76" s="151">
        <v>0</v>
      </c>
      <c r="N76" s="151">
        <v>0</v>
      </c>
      <c r="O76" s="151">
        <v>0</v>
      </c>
      <c r="P76" s="151">
        <v>0</v>
      </c>
      <c r="Q76" s="151">
        <v>0</v>
      </c>
      <c r="R76" s="151">
        <v>0</v>
      </c>
      <c r="S76" s="151">
        <v>0</v>
      </c>
      <c r="T76" s="151">
        <v>0</v>
      </c>
      <c r="U76" s="151">
        <v>0</v>
      </c>
      <c r="V76" s="151">
        <v>0</v>
      </c>
      <c r="W76" s="151">
        <v>0</v>
      </c>
      <c r="X76" s="151">
        <v>0</v>
      </c>
      <c r="Y76" s="151">
        <v>1425</v>
      </c>
      <c r="Z76" s="151">
        <v>0</v>
      </c>
      <c r="AA76" s="151">
        <v>0</v>
      </c>
      <c r="AB76" s="151">
        <v>0</v>
      </c>
      <c r="AC76" s="151">
        <v>567</v>
      </c>
      <c r="AD76" s="151">
        <v>0</v>
      </c>
      <c r="AE76" s="151">
        <v>1000</v>
      </c>
      <c r="AF76" s="151">
        <v>800</v>
      </c>
      <c r="AG76" s="151">
        <v>0</v>
      </c>
      <c r="AH76" s="151">
        <v>403.94</v>
      </c>
      <c r="AI76" s="151">
        <v>0</v>
      </c>
      <c r="AJ76" s="151">
        <v>0</v>
      </c>
      <c r="AK76" s="151">
        <v>0</v>
      </c>
      <c r="AL76" s="151">
        <v>7040.85</v>
      </c>
    </row>
    <row r="77" spans="1:38" s="117" customFormat="1" ht="15" customHeight="1" x14ac:dyDescent="0.2">
      <c r="A77" s="123" t="s">
        <v>324</v>
      </c>
      <c r="B77" s="124" t="s">
        <v>837</v>
      </c>
      <c r="C77" s="151">
        <v>2447.9</v>
      </c>
      <c r="D77" s="151">
        <v>0</v>
      </c>
      <c r="E77" s="151">
        <v>2447.9</v>
      </c>
      <c r="F77" s="151">
        <v>2447.9</v>
      </c>
      <c r="G77" s="151">
        <v>0</v>
      </c>
      <c r="H77" s="151">
        <v>2447.9</v>
      </c>
      <c r="I77" s="151">
        <v>0</v>
      </c>
      <c r="J77" s="151">
        <v>2447.9</v>
      </c>
      <c r="K77" s="151">
        <v>648.76</v>
      </c>
      <c r="L77" s="151">
        <v>2447.9</v>
      </c>
      <c r="M77" s="151">
        <v>0</v>
      </c>
      <c r="N77" s="151">
        <v>2447.9</v>
      </c>
      <c r="O77" s="151">
        <v>2447.9</v>
      </c>
      <c r="P77" s="151">
        <v>0</v>
      </c>
      <c r="Q77" s="151">
        <v>0</v>
      </c>
      <c r="R77" s="151">
        <v>2447.9</v>
      </c>
      <c r="S77" s="151">
        <v>0</v>
      </c>
      <c r="T77" s="151">
        <v>0</v>
      </c>
      <c r="U77" s="151">
        <v>2447.9</v>
      </c>
      <c r="V77" s="151">
        <v>2447.9</v>
      </c>
      <c r="W77" s="151">
        <v>2447.9</v>
      </c>
      <c r="X77" s="151">
        <v>2447.9</v>
      </c>
      <c r="Y77" s="151">
        <v>0</v>
      </c>
      <c r="Z77" s="151">
        <v>0</v>
      </c>
      <c r="AA77" s="151">
        <v>2447.9</v>
      </c>
      <c r="AB77" s="151">
        <v>0</v>
      </c>
      <c r="AC77" s="151">
        <v>0</v>
      </c>
      <c r="AD77" s="151">
        <v>0</v>
      </c>
      <c r="AE77" s="151">
        <v>2447.9</v>
      </c>
      <c r="AF77" s="151">
        <v>0</v>
      </c>
      <c r="AG77" s="151">
        <v>2447.9</v>
      </c>
      <c r="AH77" s="151">
        <v>0</v>
      </c>
      <c r="AI77" s="151">
        <v>2447.9</v>
      </c>
      <c r="AJ77" s="151">
        <v>2447.9</v>
      </c>
      <c r="AK77" s="151">
        <v>2447.9</v>
      </c>
      <c r="AL77" s="151">
        <v>47158.86</v>
      </c>
    </row>
    <row r="78" spans="1:38" s="117" customFormat="1" ht="15" customHeight="1" x14ac:dyDescent="0.2">
      <c r="A78" s="123" t="s">
        <v>325</v>
      </c>
      <c r="B78" s="124" t="s">
        <v>836</v>
      </c>
      <c r="C78" s="151">
        <v>37.99</v>
      </c>
      <c r="D78" s="151">
        <v>2150.5</v>
      </c>
      <c r="E78" s="151">
        <v>49.42</v>
      </c>
      <c r="F78" s="151">
        <v>26.73</v>
      </c>
      <c r="G78" s="151">
        <v>191.48</v>
      </c>
      <c r="H78" s="151">
        <v>0</v>
      </c>
      <c r="I78" s="151">
        <v>92.64</v>
      </c>
      <c r="J78" s="151">
        <v>640.12</v>
      </c>
      <c r="K78" s="151">
        <v>149.38</v>
      </c>
      <c r="L78" s="151">
        <v>20.99</v>
      </c>
      <c r="M78" s="151">
        <v>323.64999999999998</v>
      </c>
      <c r="N78" s="151">
        <v>204.61</v>
      </c>
      <c r="O78" s="151">
        <v>144.19</v>
      </c>
      <c r="P78" s="151">
        <v>0</v>
      </c>
      <c r="Q78" s="151">
        <v>435</v>
      </c>
      <c r="R78" s="151">
        <v>7.41</v>
      </c>
      <c r="S78" s="151">
        <v>0</v>
      </c>
      <c r="T78" s="151">
        <v>1508.89</v>
      </c>
      <c r="U78" s="151">
        <v>449.97</v>
      </c>
      <c r="V78" s="151">
        <v>85.42</v>
      </c>
      <c r="W78" s="151">
        <v>430</v>
      </c>
      <c r="X78" s="151">
        <v>38.47</v>
      </c>
      <c r="Y78" s="151">
        <v>130</v>
      </c>
      <c r="Z78" s="151">
        <v>602.39</v>
      </c>
      <c r="AA78" s="151">
        <v>0</v>
      </c>
      <c r="AB78" s="151">
        <v>0</v>
      </c>
      <c r="AC78" s="151">
        <v>437.98</v>
      </c>
      <c r="AD78" s="151">
        <v>1477.73</v>
      </c>
      <c r="AE78" s="151">
        <v>1262.93</v>
      </c>
      <c r="AF78" s="151">
        <v>635.69000000000005</v>
      </c>
      <c r="AG78" s="151">
        <v>1492.84</v>
      </c>
      <c r="AH78" s="151">
        <v>669.65</v>
      </c>
      <c r="AI78" s="151">
        <v>534.5</v>
      </c>
      <c r="AJ78" s="151">
        <v>0</v>
      </c>
      <c r="AK78" s="151">
        <v>464</v>
      </c>
      <c r="AL78" s="151">
        <v>14694.57</v>
      </c>
    </row>
    <row r="79" spans="1:38" s="117" customFormat="1" ht="15" customHeight="1" x14ac:dyDescent="0.2">
      <c r="A79" s="123" t="s">
        <v>326</v>
      </c>
      <c r="B79" s="124" t="s">
        <v>835</v>
      </c>
      <c r="C79" s="151">
        <v>282.76</v>
      </c>
      <c r="D79" s="151">
        <v>329.26</v>
      </c>
      <c r="E79" s="151">
        <v>103.65</v>
      </c>
      <c r="F79" s="151">
        <v>65.02</v>
      </c>
      <c r="G79" s="151">
        <v>284.58</v>
      </c>
      <c r="H79" s="151">
        <v>75.569999999999993</v>
      </c>
      <c r="I79" s="151">
        <v>82.7</v>
      </c>
      <c r="J79" s="151">
        <v>104.1</v>
      </c>
      <c r="K79" s="151">
        <v>147.33000000000001</v>
      </c>
      <c r="L79" s="151">
        <v>0</v>
      </c>
      <c r="M79" s="151">
        <v>553.4</v>
      </c>
      <c r="N79" s="151">
        <v>42.8</v>
      </c>
      <c r="O79" s="151">
        <v>0</v>
      </c>
      <c r="P79" s="151">
        <v>487.67</v>
      </c>
      <c r="Q79" s="151">
        <v>112.29</v>
      </c>
      <c r="R79" s="151">
        <v>267.82</v>
      </c>
      <c r="S79" s="151">
        <v>85.01</v>
      </c>
      <c r="T79" s="151">
        <v>21.2</v>
      </c>
      <c r="U79" s="151">
        <v>528.48</v>
      </c>
      <c r="V79" s="151">
        <v>0</v>
      </c>
      <c r="W79" s="151">
        <v>160.33000000000001</v>
      </c>
      <c r="X79" s="151">
        <v>87.31</v>
      </c>
      <c r="Y79" s="151">
        <v>475.02</v>
      </c>
      <c r="Z79" s="151">
        <v>264.99</v>
      </c>
      <c r="AA79" s="151">
        <v>0</v>
      </c>
      <c r="AB79" s="151">
        <v>207.19</v>
      </c>
      <c r="AC79" s="151">
        <v>0</v>
      </c>
      <c r="AD79" s="151">
        <v>325.51</v>
      </c>
      <c r="AE79" s="151">
        <v>63.96</v>
      </c>
      <c r="AF79" s="151">
        <v>186.32</v>
      </c>
      <c r="AG79" s="151">
        <v>411.18</v>
      </c>
      <c r="AH79" s="151">
        <v>0</v>
      </c>
      <c r="AI79" s="151">
        <v>422.07</v>
      </c>
      <c r="AJ79" s="151">
        <v>31</v>
      </c>
      <c r="AK79" s="151">
        <v>0</v>
      </c>
      <c r="AL79" s="151">
        <v>6208.52</v>
      </c>
    </row>
    <row r="80" spans="1:38" s="117" customFormat="1" ht="15" customHeight="1" x14ac:dyDescent="0.2">
      <c r="A80" s="123" t="s">
        <v>327</v>
      </c>
      <c r="B80" s="124" t="s">
        <v>834</v>
      </c>
      <c r="C80" s="151">
        <v>1614.35</v>
      </c>
      <c r="D80" s="151">
        <v>411.73</v>
      </c>
      <c r="E80" s="151">
        <v>889.41</v>
      </c>
      <c r="F80" s="151">
        <v>405.61</v>
      </c>
      <c r="G80" s="151">
        <v>553.97</v>
      </c>
      <c r="H80" s="151">
        <v>960.32</v>
      </c>
      <c r="I80" s="151">
        <v>317.86</v>
      </c>
      <c r="J80" s="151">
        <v>185.33</v>
      </c>
      <c r="K80" s="151">
        <v>899.52</v>
      </c>
      <c r="L80" s="151">
        <v>151.9</v>
      </c>
      <c r="M80" s="151">
        <v>2074.41</v>
      </c>
      <c r="N80" s="151">
        <v>327.68</v>
      </c>
      <c r="O80" s="151">
        <v>206.97</v>
      </c>
      <c r="P80" s="151">
        <v>849.15</v>
      </c>
      <c r="Q80" s="151">
        <v>1668.11</v>
      </c>
      <c r="R80" s="151">
        <v>751.66</v>
      </c>
      <c r="S80" s="151">
        <v>610.70000000000005</v>
      </c>
      <c r="T80" s="151">
        <v>755.36</v>
      </c>
      <c r="U80" s="151">
        <v>620.61</v>
      </c>
      <c r="V80" s="151">
        <v>-415.46</v>
      </c>
      <c r="W80" s="151">
        <v>132.80000000000001</v>
      </c>
      <c r="X80" s="151">
        <v>258.44</v>
      </c>
      <c r="Y80" s="151">
        <v>1129.4000000000001</v>
      </c>
      <c r="Z80" s="151">
        <v>802.84</v>
      </c>
      <c r="AA80" s="151">
        <v>152.53</v>
      </c>
      <c r="AB80" s="151">
        <v>300.19</v>
      </c>
      <c r="AC80" s="151">
        <v>892.55</v>
      </c>
      <c r="AD80" s="151">
        <v>1381.23</v>
      </c>
      <c r="AE80" s="151">
        <v>95.66</v>
      </c>
      <c r="AF80" s="151">
        <v>747.22</v>
      </c>
      <c r="AG80" s="151">
        <v>-1024.29</v>
      </c>
      <c r="AH80" s="151">
        <v>341.57</v>
      </c>
      <c r="AI80" s="151">
        <v>568.99</v>
      </c>
      <c r="AJ80" s="151">
        <v>740.89</v>
      </c>
      <c r="AK80" s="151">
        <v>437.38</v>
      </c>
      <c r="AL80" s="151">
        <v>20796.59</v>
      </c>
    </row>
    <row r="81" spans="1:38" s="117" customFormat="1" ht="15" customHeight="1" x14ac:dyDescent="0.2">
      <c r="A81" s="123" t="s">
        <v>328</v>
      </c>
      <c r="B81" s="124" t="s">
        <v>833</v>
      </c>
      <c r="C81" s="151">
        <v>277.54000000000002</v>
      </c>
      <c r="D81" s="151">
        <v>253.35</v>
      </c>
      <c r="E81" s="151">
        <v>13.33</v>
      </c>
      <c r="F81" s="151">
        <v>21.16</v>
      </c>
      <c r="G81" s="151">
        <v>248.62</v>
      </c>
      <c r="H81" s="151">
        <v>74.040000000000006</v>
      </c>
      <c r="I81" s="151">
        <v>367.11</v>
      </c>
      <c r="J81" s="151">
        <v>101.99</v>
      </c>
      <c r="K81" s="151">
        <v>83.34</v>
      </c>
      <c r="L81" s="151">
        <v>147.01</v>
      </c>
      <c r="M81" s="151">
        <v>686.87</v>
      </c>
      <c r="N81" s="151">
        <v>99.84</v>
      </c>
      <c r="O81" s="151">
        <v>0</v>
      </c>
      <c r="P81" s="151">
        <v>191.64</v>
      </c>
      <c r="Q81" s="151">
        <v>0</v>
      </c>
      <c r="R81" s="151">
        <v>0</v>
      </c>
      <c r="S81" s="151">
        <v>250.04</v>
      </c>
      <c r="T81" s="151">
        <v>0</v>
      </c>
      <c r="U81" s="151">
        <v>562.57000000000005</v>
      </c>
      <c r="V81" s="151">
        <v>3.18</v>
      </c>
      <c r="W81" s="151">
        <v>47.06</v>
      </c>
      <c r="X81" s="151">
        <v>64.989999999999995</v>
      </c>
      <c r="Y81" s="151">
        <v>126.04</v>
      </c>
      <c r="Z81" s="151">
        <v>257.55</v>
      </c>
      <c r="AA81" s="151">
        <v>156.51</v>
      </c>
      <c r="AB81" s="151">
        <v>0</v>
      </c>
      <c r="AC81" s="151">
        <v>497.94</v>
      </c>
      <c r="AD81" s="151">
        <v>1945.22</v>
      </c>
      <c r="AE81" s="151">
        <v>170.27</v>
      </c>
      <c r="AF81" s="151">
        <v>403.5</v>
      </c>
      <c r="AG81" s="151">
        <v>85.42</v>
      </c>
      <c r="AH81" s="151">
        <v>244.74</v>
      </c>
      <c r="AI81" s="151">
        <v>115.31</v>
      </c>
      <c r="AJ81" s="151">
        <v>1083.71</v>
      </c>
      <c r="AK81" s="151">
        <v>43.24</v>
      </c>
      <c r="AL81" s="151">
        <v>8623.1299999999992</v>
      </c>
    </row>
    <row r="82" spans="1:38" s="117" customFormat="1" ht="15" customHeight="1" x14ac:dyDescent="0.2">
      <c r="A82" s="123" t="s">
        <v>329</v>
      </c>
      <c r="B82" s="124" t="s">
        <v>832</v>
      </c>
      <c r="C82" s="151">
        <v>0</v>
      </c>
      <c r="D82" s="151">
        <v>0</v>
      </c>
      <c r="E82" s="151">
        <v>0</v>
      </c>
      <c r="F82" s="151">
        <v>116.98</v>
      </c>
      <c r="G82" s="151">
        <v>608.97</v>
      </c>
      <c r="H82" s="151">
        <v>0</v>
      </c>
      <c r="I82" s="151">
        <v>0</v>
      </c>
      <c r="J82" s="151">
        <v>161.38</v>
      </c>
      <c r="K82" s="151">
        <v>0</v>
      </c>
      <c r="L82" s="151">
        <v>0</v>
      </c>
      <c r="M82" s="151">
        <v>224.61</v>
      </c>
      <c r="N82" s="151">
        <v>0</v>
      </c>
      <c r="O82" s="151">
        <v>20.37</v>
      </c>
      <c r="P82" s="151">
        <v>0</v>
      </c>
      <c r="Q82" s="151">
        <v>0</v>
      </c>
      <c r="R82" s="151">
        <v>0</v>
      </c>
      <c r="S82" s="151">
        <v>0</v>
      </c>
      <c r="T82" s="151">
        <v>1607.09</v>
      </c>
      <c r="U82" s="151">
        <v>443.74</v>
      </c>
      <c r="V82" s="151">
        <v>116.55</v>
      </c>
      <c r="W82" s="151">
        <v>300</v>
      </c>
      <c r="X82" s="151">
        <v>300</v>
      </c>
      <c r="Y82" s="151">
        <v>0</v>
      </c>
      <c r="Z82" s="151">
        <v>529.47</v>
      </c>
      <c r="AA82" s="151">
        <v>0</v>
      </c>
      <c r="AB82" s="151">
        <v>0</v>
      </c>
      <c r="AC82" s="151">
        <v>423.58</v>
      </c>
      <c r="AD82" s="151">
        <v>459.05</v>
      </c>
      <c r="AE82" s="151">
        <v>274.27</v>
      </c>
      <c r="AF82" s="151">
        <v>351.87</v>
      </c>
      <c r="AG82" s="151">
        <v>0</v>
      </c>
      <c r="AH82" s="151">
        <v>355.28</v>
      </c>
      <c r="AI82" s="151">
        <v>0</v>
      </c>
      <c r="AJ82" s="151">
        <v>451.06</v>
      </c>
      <c r="AK82" s="151">
        <v>12.69</v>
      </c>
      <c r="AL82" s="151">
        <v>6756.96</v>
      </c>
    </row>
    <row r="83" spans="1:38" s="117" customFormat="1" ht="15" customHeight="1" x14ac:dyDescent="0.2">
      <c r="A83" s="123" t="s">
        <v>330</v>
      </c>
      <c r="B83" s="124" t="s">
        <v>831</v>
      </c>
      <c r="C83" s="151">
        <v>870.9</v>
      </c>
      <c r="D83" s="151">
        <v>550</v>
      </c>
      <c r="E83" s="151">
        <v>178.5</v>
      </c>
      <c r="F83" s="151">
        <v>0</v>
      </c>
      <c r="G83" s="151">
        <v>0</v>
      </c>
      <c r="H83" s="151">
        <v>928.42</v>
      </c>
      <c r="I83" s="151">
        <v>0</v>
      </c>
      <c r="J83" s="151">
        <v>180</v>
      </c>
      <c r="K83" s="151">
        <v>0</v>
      </c>
      <c r="L83" s="151">
        <v>23.91</v>
      </c>
      <c r="M83" s="151">
        <v>629.22</v>
      </c>
      <c r="N83" s="151">
        <v>338</v>
      </c>
      <c r="O83" s="151">
        <v>0</v>
      </c>
      <c r="P83" s="151">
        <v>69.58</v>
      </c>
      <c r="Q83" s="151">
        <v>174.08</v>
      </c>
      <c r="R83" s="151">
        <v>869.1</v>
      </c>
      <c r="S83" s="151">
        <v>0</v>
      </c>
      <c r="T83" s="151">
        <v>866.52</v>
      </c>
      <c r="U83" s="151">
        <v>430</v>
      </c>
      <c r="V83" s="151">
        <v>0</v>
      </c>
      <c r="W83" s="151">
        <v>0</v>
      </c>
      <c r="X83" s="151">
        <v>0</v>
      </c>
      <c r="Y83" s="151">
        <v>3450</v>
      </c>
      <c r="Z83" s="151">
        <v>-437.5</v>
      </c>
      <c r="AA83" s="151">
        <v>360</v>
      </c>
      <c r="AB83" s="151">
        <v>17.989999999999998</v>
      </c>
      <c r="AC83" s="151">
        <v>220</v>
      </c>
      <c r="AD83" s="151">
        <v>7242.71</v>
      </c>
      <c r="AE83" s="151">
        <v>561.20000000000005</v>
      </c>
      <c r="AF83" s="151">
        <v>865.88</v>
      </c>
      <c r="AG83" s="151">
        <v>180</v>
      </c>
      <c r="AH83" s="151">
        <v>169.5</v>
      </c>
      <c r="AI83" s="151">
        <v>0</v>
      </c>
      <c r="AJ83" s="151">
        <v>2517.84</v>
      </c>
      <c r="AK83" s="151">
        <v>222</v>
      </c>
      <c r="AL83" s="151">
        <v>21477.85</v>
      </c>
    </row>
    <row r="84" spans="1:38" s="117" customFormat="1" ht="15" customHeight="1" x14ac:dyDescent="0.2">
      <c r="A84" s="123" t="s">
        <v>331</v>
      </c>
      <c r="B84" s="124" t="s">
        <v>830</v>
      </c>
      <c r="C84" s="151">
        <v>0</v>
      </c>
      <c r="D84" s="151">
        <v>0</v>
      </c>
      <c r="E84" s="151">
        <v>55</v>
      </c>
      <c r="F84" s="151">
        <v>366.96</v>
      </c>
      <c r="G84" s="151">
        <v>225.86</v>
      </c>
      <c r="H84" s="151">
        <v>150</v>
      </c>
      <c r="I84" s="151">
        <v>0</v>
      </c>
      <c r="J84" s="151">
        <v>86.52</v>
      </c>
      <c r="K84" s="151">
        <v>525</v>
      </c>
      <c r="L84" s="151">
        <v>0</v>
      </c>
      <c r="M84" s="151">
        <v>0</v>
      </c>
      <c r="N84" s="151">
        <v>0</v>
      </c>
      <c r="O84" s="151">
        <v>159.5</v>
      </c>
      <c r="P84" s="151">
        <v>0</v>
      </c>
      <c r="Q84" s="151">
        <v>400.6</v>
      </c>
      <c r="R84" s="151">
        <v>175</v>
      </c>
      <c r="S84" s="151">
        <v>150</v>
      </c>
      <c r="T84" s="151">
        <v>0</v>
      </c>
      <c r="U84" s="151">
        <v>-170</v>
      </c>
      <c r="V84" s="151">
        <v>0</v>
      </c>
      <c r="W84" s="151">
        <v>1320</v>
      </c>
      <c r="X84" s="151">
        <v>0</v>
      </c>
      <c r="Y84" s="151">
        <v>73.08</v>
      </c>
      <c r="Z84" s="151">
        <v>0</v>
      </c>
      <c r="AA84" s="151">
        <v>0</v>
      </c>
      <c r="AB84" s="151">
        <v>0</v>
      </c>
      <c r="AC84" s="151">
        <v>150</v>
      </c>
      <c r="AD84" s="151">
        <v>1302.4000000000001</v>
      </c>
      <c r="AE84" s="151">
        <v>37.94</v>
      </c>
      <c r="AF84" s="151">
        <v>0</v>
      </c>
      <c r="AG84" s="151">
        <v>0</v>
      </c>
      <c r="AH84" s="151">
        <v>1671.31</v>
      </c>
      <c r="AI84" s="151">
        <v>290</v>
      </c>
      <c r="AJ84" s="151">
        <v>306.62</v>
      </c>
      <c r="AK84" s="151">
        <v>245</v>
      </c>
      <c r="AL84" s="151">
        <v>7520.79</v>
      </c>
    </row>
    <row r="85" spans="1:38" s="117" customFormat="1" ht="15" customHeight="1" x14ac:dyDescent="0.2">
      <c r="A85" s="123" t="s">
        <v>332</v>
      </c>
      <c r="B85" s="124" t="s">
        <v>829</v>
      </c>
      <c r="C85" s="151">
        <v>237.29</v>
      </c>
      <c r="D85" s="151">
        <v>639.86</v>
      </c>
      <c r="E85" s="151">
        <v>250.47</v>
      </c>
      <c r="F85" s="151">
        <v>117.39</v>
      </c>
      <c r="G85" s="151">
        <v>761.9</v>
      </c>
      <c r="H85" s="151">
        <v>156.79</v>
      </c>
      <c r="I85" s="151">
        <v>0</v>
      </c>
      <c r="J85" s="151">
        <v>412.67</v>
      </c>
      <c r="K85" s="151">
        <v>1769.42</v>
      </c>
      <c r="L85" s="151">
        <v>0</v>
      </c>
      <c r="M85" s="151">
        <v>0</v>
      </c>
      <c r="N85" s="151">
        <v>0</v>
      </c>
      <c r="O85" s="151">
        <v>0</v>
      </c>
      <c r="P85" s="151">
        <v>441.38</v>
      </c>
      <c r="Q85" s="151">
        <v>165</v>
      </c>
      <c r="R85" s="151">
        <v>0</v>
      </c>
      <c r="S85" s="151">
        <v>0</v>
      </c>
      <c r="T85" s="151">
        <v>0</v>
      </c>
      <c r="U85" s="151">
        <v>0</v>
      </c>
      <c r="V85" s="151">
        <v>0</v>
      </c>
      <c r="W85" s="151">
        <v>170.94</v>
      </c>
      <c r="X85" s="151">
        <v>170.94</v>
      </c>
      <c r="Y85" s="151">
        <v>0</v>
      </c>
      <c r="Z85" s="151">
        <v>0</v>
      </c>
      <c r="AA85" s="151">
        <v>706.25</v>
      </c>
      <c r="AB85" s="151">
        <v>1475.54</v>
      </c>
      <c r="AC85" s="151">
        <v>148.34</v>
      </c>
      <c r="AD85" s="151">
        <v>0</v>
      </c>
      <c r="AE85" s="151">
        <v>0</v>
      </c>
      <c r="AF85" s="151">
        <v>220</v>
      </c>
      <c r="AG85" s="151">
        <v>26.31</v>
      </c>
      <c r="AH85" s="151">
        <v>0</v>
      </c>
      <c r="AI85" s="151">
        <v>0</v>
      </c>
      <c r="AJ85" s="151">
        <v>940.42</v>
      </c>
      <c r="AK85" s="151">
        <v>270</v>
      </c>
      <c r="AL85" s="151">
        <v>9080.91</v>
      </c>
    </row>
    <row r="86" spans="1:38" s="117" customFormat="1" ht="15" customHeight="1" x14ac:dyDescent="0.2">
      <c r="A86" s="123" t="s">
        <v>333</v>
      </c>
      <c r="B86" s="124" t="s">
        <v>828</v>
      </c>
      <c r="C86" s="151">
        <v>86.56</v>
      </c>
      <c r="D86" s="151">
        <v>55.4</v>
      </c>
      <c r="E86" s="151">
        <v>267.38</v>
      </c>
      <c r="F86" s="151">
        <v>240.62</v>
      </c>
      <c r="G86" s="151">
        <v>147.15</v>
      </c>
      <c r="H86" s="151">
        <v>205.81</v>
      </c>
      <c r="I86" s="151">
        <v>56.58</v>
      </c>
      <c r="J86" s="151">
        <v>193.41</v>
      </c>
      <c r="K86" s="151">
        <v>73.69</v>
      </c>
      <c r="L86" s="151">
        <v>316.26</v>
      </c>
      <c r="M86" s="151">
        <v>39.96</v>
      </c>
      <c r="N86" s="151">
        <v>361.21</v>
      </c>
      <c r="O86" s="151">
        <v>78.61</v>
      </c>
      <c r="P86" s="151">
        <v>-139.88</v>
      </c>
      <c r="Q86" s="151">
        <v>2378.87</v>
      </c>
      <c r="R86" s="151">
        <v>33.770000000000003</v>
      </c>
      <c r="S86" s="151">
        <v>236.79</v>
      </c>
      <c r="T86" s="151">
        <v>1799.35</v>
      </c>
      <c r="U86" s="151">
        <v>293.33</v>
      </c>
      <c r="V86" s="151">
        <v>146.13</v>
      </c>
      <c r="W86" s="151">
        <v>519.49</v>
      </c>
      <c r="X86" s="151">
        <v>414.28</v>
      </c>
      <c r="Y86" s="151">
        <v>161.66</v>
      </c>
      <c r="Z86" s="151">
        <v>429.16</v>
      </c>
      <c r="AA86" s="151">
        <v>280.75</v>
      </c>
      <c r="AB86" s="151">
        <v>64.400000000000006</v>
      </c>
      <c r="AC86" s="151">
        <v>226.44</v>
      </c>
      <c r="AD86" s="151">
        <v>909.23</v>
      </c>
      <c r="AE86" s="151">
        <v>172.63</v>
      </c>
      <c r="AF86" s="151">
        <v>-64.59</v>
      </c>
      <c r="AG86" s="151">
        <v>88.52</v>
      </c>
      <c r="AH86" s="151">
        <v>875.02</v>
      </c>
      <c r="AI86" s="151">
        <v>776.61</v>
      </c>
      <c r="AJ86" s="151">
        <v>141.47</v>
      </c>
      <c r="AK86" s="151">
        <v>276.37</v>
      </c>
      <c r="AL86" s="151">
        <v>12142.44</v>
      </c>
    </row>
    <row r="87" spans="1:38" s="117" customFormat="1" ht="15" customHeight="1" x14ac:dyDescent="0.2">
      <c r="A87" s="123" t="s">
        <v>334</v>
      </c>
      <c r="B87" s="124" t="s">
        <v>827</v>
      </c>
      <c r="C87" s="151">
        <v>0</v>
      </c>
      <c r="D87" s="151">
        <v>0</v>
      </c>
      <c r="E87" s="151">
        <v>0</v>
      </c>
      <c r="F87" s="151">
        <v>5.0599999999999996</v>
      </c>
      <c r="G87" s="151">
        <v>1275.1400000000001</v>
      </c>
      <c r="H87" s="151">
        <v>0</v>
      </c>
      <c r="I87" s="151">
        <v>0</v>
      </c>
      <c r="J87" s="151">
        <v>0</v>
      </c>
      <c r="K87" s="151">
        <v>0</v>
      </c>
      <c r="L87" s="151">
        <v>0</v>
      </c>
      <c r="M87" s="151">
        <v>613.26</v>
      </c>
      <c r="N87" s="151">
        <v>0</v>
      </c>
      <c r="O87" s="151">
        <v>0</v>
      </c>
      <c r="P87" s="151">
        <v>0</v>
      </c>
      <c r="Q87" s="151">
        <v>0</v>
      </c>
      <c r="R87" s="151">
        <v>0</v>
      </c>
      <c r="S87" s="151">
        <v>0</v>
      </c>
      <c r="T87" s="151">
        <v>0</v>
      </c>
      <c r="U87" s="151">
        <v>0</v>
      </c>
      <c r="V87" s="151">
        <v>1089.4000000000001</v>
      </c>
      <c r="W87" s="151">
        <v>0</v>
      </c>
      <c r="X87" s="151">
        <v>0</v>
      </c>
      <c r="Y87" s="151">
        <v>0</v>
      </c>
      <c r="Z87" s="151">
        <v>0</v>
      </c>
      <c r="AA87" s="151">
        <v>0</v>
      </c>
      <c r="AB87" s="151">
        <v>0</v>
      </c>
      <c r="AC87" s="151">
        <v>0</v>
      </c>
      <c r="AD87" s="151">
        <v>0</v>
      </c>
      <c r="AE87" s="151">
        <v>0</v>
      </c>
      <c r="AF87" s="151">
        <v>0</v>
      </c>
      <c r="AG87" s="151">
        <v>71.88</v>
      </c>
      <c r="AH87" s="151">
        <v>0</v>
      </c>
      <c r="AI87" s="151">
        <v>0</v>
      </c>
      <c r="AJ87" s="151">
        <v>78.39</v>
      </c>
      <c r="AK87" s="151">
        <v>0</v>
      </c>
      <c r="AL87" s="151">
        <v>3133.13</v>
      </c>
    </row>
    <row r="88" spans="1:38" s="117" customFormat="1" ht="15" customHeight="1" x14ac:dyDescent="0.2">
      <c r="A88" s="123" t="s">
        <v>541</v>
      </c>
      <c r="B88" s="124" t="s">
        <v>826</v>
      </c>
      <c r="C88" s="151">
        <v>0</v>
      </c>
      <c r="D88" s="151">
        <v>801</v>
      </c>
      <c r="E88" s="151">
        <v>0</v>
      </c>
      <c r="F88" s="151">
        <v>0</v>
      </c>
      <c r="G88" s="151">
        <v>0</v>
      </c>
      <c r="H88" s="151">
        <v>0</v>
      </c>
      <c r="I88" s="151">
        <v>0</v>
      </c>
      <c r="J88" s="151">
        <v>0</v>
      </c>
      <c r="K88" s="151">
        <v>0</v>
      </c>
      <c r="L88" s="151">
        <v>0</v>
      </c>
      <c r="M88" s="151">
        <v>433.55</v>
      </c>
      <c r="N88" s="151">
        <v>0</v>
      </c>
      <c r="O88" s="151">
        <v>0</v>
      </c>
      <c r="P88" s="151">
        <v>0</v>
      </c>
      <c r="Q88" s="151">
        <v>115.89</v>
      </c>
      <c r="R88" s="151">
        <v>0</v>
      </c>
      <c r="S88" s="151">
        <v>0</v>
      </c>
      <c r="T88" s="151">
        <v>0</v>
      </c>
      <c r="U88" s="151">
        <v>1130</v>
      </c>
      <c r="V88" s="151">
        <v>0</v>
      </c>
      <c r="W88" s="151">
        <v>0</v>
      </c>
      <c r="X88" s="151">
        <v>0</v>
      </c>
      <c r="Y88" s="151">
        <v>0</v>
      </c>
      <c r="Z88" s="151">
        <v>0</v>
      </c>
      <c r="AA88" s="151">
        <v>0</v>
      </c>
      <c r="AB88" s="151">
        <v>0</v>
      </c>
      <c r="AC88" s="151">
        <v>0</v>
      </c>
      <c r="AD88" s="151">
        <v>75</v>
      </c>
      <c r="AE88" s="151">
        <v>0</v>
      </c>
      <c r="AF88" s="151">
        <v>0</v>
      </c>
      <c r="AG88" s="151">
        <v>0</v>
      </c>
      <c r="AH88" s="151">
        <v>0</v>
      </c>
      <c r="AI88" s="151">
        <v>0</v>
      </c>
      <c r="AJ88" s="151">
        <v>10879.59</v>
      </c>
      <c r="AK88" s="151">
        <v>0</v>
      </c>
      <c r="AL88" s="151">
        <v>13435.03</v>
      </c>
    </row>
    <row r="89" spans="1:38" s="117" customFormat="1" ht="15" customHeight="1" x14ac:dyDescent="0.2">
      <c r="A89" s="123" t="s">
        <v>1279</v>
      </c>
      <c r="B89" s="124" t="s">
        <v>1392</v>
      </c>
      <c r="C89" s="151">
        <v>0</v>
      </c>
      <c r="D89" s="151">
        <v>13.72</v>
      </c>
      <c r="E89" s="151">
        <v>0</v>
      </c>
      <c r="F89" s="151">
        <v>0</v>
      </c>
      <c r="G89" s="151">
        <v>0</v>
      </c>
      <c r="H89" s="151">
        <v>0</v>
      </c>
      <c r="I89" s="151">
        <v>0</v>
      </c>
      <c r="J89" s="151">
        <v>0</v>
      </c>
      <c r="K89" s="151">
        <v>0</v>
      </c>
      <c r="L89" s="151">
        <v>0</v>
      </c>
      <c r="M89" s="151">
        <v>0</v>
      </c>
      <c r="N89" s="151">
        <v>169.61</v>
      </c>
      <c r="O89" s="151">
        <v>0</v>
      </c>
      <c r="P89" s="151">
        <v>0</v>
      </c>
      <c r="Q89" s="151">
        <v>55</v>
      </c>
      <c r="R89" s="151">
        <v>22.69</v>
      </c>
      <c r="S89" s="151">
        <v>0</v>
      </c>
      <c r="T89" s="151">
        <v>0</v>
      </c>
      <c r="U89" s="151">
        <v>0</v>
      </c>
      <c r="V89" s="151">
        <v>0</v>
      </c>
      <c r="W89" s="151">
        <v>0</v>
      </c>
      <c r="X89" s="151">
        <v>0</v>
      </c>
      <c r="Y89" s="151">
        <v>0</v>
      </c>
      <c r="Z89" s="151">
        <v>0</v>
      </c>
      <c r="AA89" s="151">
        <v>0</v>
      </c>
      <c r="AB89" s="151">
        <v>0</v>
      </c>
      <c r="AC89" s="151">
        <v>0</v>
      </c>
      <c r="AD89" s="151">
        <v>0</v>
      </c>
      <c r="AE89" s="151">
        <v>0</v>
      </c>
      <c r="AF89" s="151">
        <v>662.47</v>
      </c>
      <c r="AG89" s="151">
        <v>19.18</v>
      </c>
      <c r="AH89" s="151">
        <v>0</v>
      </c>
      <c r="AI89" s="151">
        <v>0</v>
      </c>
      <c r="AJ89" s="151">
        <v>0</v>
      </c>
      <c r="AK89" s="151">
        <v>0</v>
      </c>
      <c r="AL89" s="151">
        <v>942.67</v>
      </c>
    </row>
    <row r="90" spans="1:38" s="117" customFormat="1" ht="15" customHeight="1" x14ac:dyDescent="0.2">
      <c r="A90" s="123" t="s">
        <v>335</v>
      </c>
      <c r="B90" s="124" t="s">
        <v>825</v>
      </c>
      <c r="C90" s="151">
        <v>107.98</v>
      </c>
      <c r="D90" s="151">
        <v>1616.82</v>
      </c>
      <c r="E90" s="151">
        <v>254.01</v>
      </c>
      <c r="F90" s="151">
        <v>1456.42</v>
      </c>
      <c r="G90" s="151">
        <v>1181.3900000000001</v>
      </c>
      <c r="H90" s="151">
        <v>337.45</v>
      </c>
      <c r="I90" s="151">
        <v>847.86</v>
      </c>
      <c r="J90" s="151">
        <v>209.7</v>
      </c>
      <c r="K90" s="151">
        <v>1198.82</v>
      </c>
      <c r="L90" s="151">
        <v>657.55</v>
      </c>
      <c r="M90" s="151">
        <v>1155.44</v>
      </c>
      <c r="N90" s="151">
        <v>463</v>
      </c>
      <c r="O90" s="151">
        <v>1080.6300000000001</v>
      </c>
      <c r="P90" s="151">
        <v>474</v>
      </c>
      <c r="Q90" s="151">
        <v>187.77</v>
      </c>
      <c r="R90" s="151">
        <v>123.75</v>
      </c>
      <c r="S90" s="151">
        <v>1549.46</v>
      </c>
      <c r="T90" s="151">
        <v>502.41</v>
      </c>
      <c r="U90" s="151">
        <v>1457.21</v>
      </c>
      <c r="V90" s="151">
        <v>617.92999999999995</v>
      </c>
      <c r="W90" s="151">
        <v>676.72</v>
      </c>
      <c r="X90" s="151">
        <v>857.36</v>
      </c>
      <c r="Y90" s="151">
        <v>53.91</v>
      </c>
      <c r="Z90" s="151">
        <v>403.29</v>
      </c>
      <c r="AA90" s="151">
        <v>913.44</v>
      </c>
      <c r="AB90" s="151">
        <v>2341.4699999999998</v>
      </c>
      <c r="AC90" s="151">
        <v>930.72</v>
      </c>
      <c r="AD90" s="151">
        <v>0</v>
      </c>
      <c r="AE90" s="151">
        <v>528.04</v>
      </c>
      <c r="AF90" s="151">
        <v>554.71</v>
      </c>
      <c r="AG90" s="151">
        <v>411.32</v>
      </c>
      <c r="AH90" s="151">
        <v>437.94</v>
      </c>
      <c r="AI90" s="151">
        <v>2157.88</v>
      </c>
      <c r="AJ90" s="151">
        <v>0</v>
      </c>
      <c r="AK90" s="151">
        <v>656.56</v>
      </c>
      <c r="AL90" s="151">
        <v>26402.959999999999</v>
      </c>
    </row>
    <row r="91" spans="1:38" s="117" customFormat="1" ht="15" customHeight="1" x14ac:dyDescent="0.2">
      <c r="A91" s="123" t="s">
        <v>336</v>
      </c>
      <c r="B91" s="124" t="s">
        <v>824</v>
      </c>
      <c r="C91" s="151">
        <v>0</v>
      </c>
      <c r="D91" s="151">
        <v>0</v>
      </c>
      <c r="E91" s="151">
        <v>0</v>
      </c>
      <c r="F91" s="151">
        <v>0</v>
      </c>
      <c r="G91" s="151">
        <v>0</v>
      </c>
      <c r="H91" s="151">
        <v>-600</v>
      </c>
      <c r="I91" s="151">
        <v>0</v>
      </c>
      <c r="J91" s="151">
        <v>0</v>
      </c>
      <c r="K91" s="151">
        <v>0</v>
      </c>
      <c r="L91" s="151">
        <v>0</v>
      </c>
      <c r="M91" s="151">
        <v>0</v>
      </c>
      <c r="N91" s="151">
        <v>0</v>
      </c>
      <c r="O91" s="151">
        <v>0</v>
      </c>
      <c r="P91" s="151">
        <v>0</v>
      </c>
      <c r="Q91" s="151">
        <v>0</v>
      </c>
      <c r="R91" s="151">
        <v>0</v>
      </c>
      <c r="S91" s="151">
        <v>0</v>
      </c>
      <c r="T91" s="151">
        <v>-615</v>
      </c>
      <c r="U91" s="151">
        <v>0</v>
      </c>
      <c r="V91" s="151">
        <v>0</v>
      </c>
      <c r="W91" s="151">
        <v>0</v>
      </c>
      <c r="X91" s="151">
        <v>0</v>
      </c>
      <c r="Y91" s="151">
        <v>0</v>
      </c>
      <c r="Z91" s="151">
        <v>0</v>
      </c>
      <c r="AA91" s="151">
        <v>0</v>
      </c>
      <c r="AB91" s="151">
        <v>12.98</v>
      </c>
      <c r="AC91" s="151">
        <v>0</v>
      </c>
      <c r="AD91" s="151">
        <v>0</v>
      </c>
      <c r="AE91" s="151">
        <v>0</v>
      </c>
      <c r="AF91" s="151">
        <v>0</v>
      </c>
      <c r="AG91" s="151">
        <v>87.04</v>
      </c>
      <c r="AH91" s="151">
        <v>0</v>
      </c>
      <c r="AI91" s="151">
        <v>548.04999999999995</v>
      </c>
      <c r="AJ91" s="151">
        <v>-2680</v>
      </c>
      <c r="AK91" s="151">
        <v>0</v>
      </c>
      <c r="AL91" s="151">
        <v>-3246.93</v>
      </c>
    </row>
    <row r="92" spans="1:38" s="117" customFormat="1" ht="15" customHeight="1" x14ac:dyDescent="0.2">
      <c r="A92" s="123" t="s">
        <v>1275</v>
      </c>
      <c r="B92" s="124" t="s">
        <v>1393</v>
      </c>
      <c r="C92" s="151">
        <v>0</v>
      </c>
      <c r="D92" s="151">
        <v>0</v>
      </c>
      <c r="E92" s="151">
        <v>0</v>
      </c>
      <c r="F92" s="151">
        <v>0</v>
      </c>
      <c r="G92" s="151">
        <v>0</v>
      </c>
      <c r="H92" s="151">
        <v>0</v>
      </c>
      <c r="I92" s="151">
        <v>0</v>
      </c>
      <c r="J92" s="151">
        <v>0</v>
      </c>
      <c r="K92" s="151">
        <v>606.36</v>
      </c>
      <c r="L92" s="151">
        <v>0</v>
      </c>
      <c r="M92" s="151">
        <v>0</v>
      </c>
      <c r="N92" s="151">
        <v>0</v>
      </c>
      <c r="O92" s="151">
        <v>0</v>
      </c>
      <c r="P92" s="151">
        <v>0</v>
      </c>
      <c r="Q92" s="151">
        <v>0</v>
      </c>
      <c r="R92" s="151">
        <v>0</v>
      </c>
      <c r="S92" s="151">
        <v>0</v>
      </c>
      <c r="T92" s="151">
        <v>0</v>
      </c>
      <c r="U92" s="151">
        <v>0</v>
      </c>
      <c r="V92" s="151">
        <v>-54.4</v>
      </c>
      <c r="W92" s="151">
        <v>0</v>
      </c>
      <c r="X92" s="151">
        <v>0</v>
      </c>
      <c r="Y92" s="151">
        <v>0</v>
      </c>
      <c r="Z92" s="151">
        <v>0</v>
      </c>
      <c r="AA92" s="151">
        <v>0</v>
      </c>
      <c r="AB92" s="151">
        <v>0</v>
      </c>
      <c r="AC92" s="151">
        <v>0</v>
      </c>
      <c r="AD92" s="151">
        <v>272.83999999999997</v>
      </c>
      <c r="AE92" s="151">
        <v>0</v>
      </c>
      <c r="AF92" s="151">
        <v>0</v>
      </c>
      <c r="AG92" s="151">
        <v>0</v>
      </c>
      <c r="AH92" s="151">
        <v>0</v>
      </c>
      <c r="AI92" s="151">
        <v>0</v>
      </c>
      <c r="AJ92" s="151">
        <v>0</v>
      </c>
      <c r="AK92" s="151">
        <v>0</v>
      </c>
      <c r="AL92" s="151">
        <v>824.8</v>
      </c>
    </row>
    <row r="93" spans="1:38" s="117" customFormat="1" ht="15" customHeight="1" x14ac:dyDescent="0.2">
      <c r="A93" s="123" t="s">
        <v>1273</v>
      </c>
      <c r="B93" s="124" t="s">
        <v>1394</v>
      </c>
      <c r="C93" s="151">
        <v>0</v>
      </c>
      <c r="D93" s="151">
        <v>0</v>
      </c>
      <c r="E93" s="151">
        <v>0</v>
      </c>
      <c r="F93" s="151">
        <v>0</v>
      </c>
      <c r="G93" s="151">
        <v>0</v>
      </c>
      <c r="H93" s="151">
        <v>0</v>
      </c>
      <c r="I93" s="151">
        <v>0</v>
      </c>
      <c r="J93" s="151">
        <v>0</v>
      </c>
      <c r="K93" s="151">
        <v>0</v>
      </c>
      <c r="L93" s="151">
        <v>0</v>
      </c>
      <c r="M93" s="151">
        <v>0</v>
      </c>
      <c r="N93" s="151">
        <v>0</v>
      </c>
      <c r="O93" s="151">
        <v>0</v>
      </c>
      <c r="P93" s="151">
        <v>0</v>
      </c>
      <c r="Q93" s="151">
        <v>790</v>
      </c>
      <c r="R93" s="151">
        <v>0</v>
      </c>
      <c r="S93" s="151">
        <v>0</v>
      </c>
      <c r="T93" s="151">
        <v>0</v>
      </c>
      <c r="U93" s="151">
        <v>0</v>
      </c>
      <c r="V93" s="151">
        <v>0</v>
      </c>
      <c r="W93" s="151">
        <v>0</v>
      </c>
      <c r="X93" s="151">
        <v>0</v>
      </c>
      <c r="Y93" s="151">
        <v>0</v>
      </c>
      <c r="Z93" s="151">
        <v>0</v>
      </c>
      <c r="AA93" s="151">
        <v>0</v>
      </c>
      <c r="AB93" s="151">
        <v>0</v>
      </c>
      <c r="AC93" s="151">
        <v>0</v>
      </c>
      <c r="AD93" s="151">
        <v>0</v>
      </c>
      <c r="AE93" s="151">
        <v>0</v>
      </c>
      <c r="AF93" s="151">
        <v>0</v>
      </c>
      <c r="AG93" s="151">
        <v>0</v>
      </c>
      <c r="AH93" s="151">
        <v>0</v>
      </c>
      <c r="AI93" s="151">
        <v>0</v>
      </c>
      <c r="AJ93" s="151">
        <v>0</v>
      </c>
      <c r="AK93" s="151">
        <v>0</v>
      </c>
      <c r="AL93" s="151">
        <v>790</v>
      </c>
    </row>
    <row r="94" spans="1:38" s="117" customFormat="1" ht="15" customHeight="1" x14ac:dyDescent="0.2">
      <c r="A94" s="123" t="s">
        <v>498</v>
      </c>
      <c r="B94" s="124" t="s">
        <v>823</v>
      </c>
      <c r="C94" s="151">
        <v>580</v>
      </c>
      <c r="D94" s="151">
        <v>0</v>
      </c>
      <c r="E94" s="151">
        <v>0</v>
      </c>
      <c r="F94" s="151">
        <v>0</v>
      </c>
      <c r="G94" s="151">
        <v>0</v>
      </c>
      <c r="H94" s="151">
        <v>0</v>
      </c>
      <c r="I94" s="151">
        <v>0</v>
      </c>
      <c r="J94" s="151">
        <v>375</v>
      </c>
      <c r="K94" s="151">
        <v>0</v>
      </c>
      <c r="L94" s="151">
        <v>0</v>
      </c>
      <c r="M94" s="151">
        <v>0</v>
      </c>
      <c r="N94" s="151">
        <v>0</v>
      </c>
      <c r="O94" s="151">
        <v>0</v>
      </c>
      <c r="P94" s="151">
        <v>0</v>
      </c>
      <c r="Q94" s="151">
        <v>0</v>
      </c>
      <c r="R94" s="151">
        <v>1025</v>
      </c>
      <c r="S94" s="151">
        <v>80</v>
      </c>
      <c r="T94" s="151">
        <v>0</v>
      </c>
      <c r="U94" s="151">
        <v>0</v>
      </c>
      <c r="V94" s="151">
        <v>0</v>
      </c>
      <c r="W94" s="151">
        <v>0</v>
      </c>
      <c r="X94" s="151">
        <v>0</v>
      </c>
      <c r="Y94" s="151">
        <v>0</v>
      </c>
      <c r="Z94" s="151">
        <v>0</v>
      </c>
      <c r="AA94" s="151">
        <v>285</v>
      </c>
      <c r="AB94" s="151">
        <v>0</v>
      </c>
      <c r="AC94" s="151">
        <v>0</v>
      </c>
      <c r="AD94" s="151">
        <v>0</v>
      </c>
      <c r="AE94" s="151">
        <v>0</v>
      </c>
      <c r="AF94" s="151">
        <v>0</v>
      </c>
      <c r="AG94" s="151">
        <v>0</v>
      </c>
      <c r="AH94" s="151">
        <v>0</v>
      </c>
      <c r="AI94" s="151">
        <v>0</v>
      </c>
      <c r="AJ94" s="151">
        <v>0</v>
      </c>
      <c r="AK94" s="151">
        <v>0</v>
      </c>
      <c r="AL94" s="151">
        <v>2345</v>
      </c>
    </row>
    <row r="95" spans="1:38" s="117" customFormat="1" ht="15" customHeight="1" x14ac:dyDescent="0.2">
      <c r="A95" s="123" t="s">
        <v>337</v>
      </c>
      <c r="B95" s="124" t="s">
        <v>822</v>
      </c>
      <c r="C95" s="151">
        <v>0</v>
      </c>
      <c r="D95" s="151">
        <v>0</v>
      </c>
      <c r="E95" s="151">
        <v>0</v>
      </c>
      <c r="F95" s="151">
        <v>0</v>
      </c>
      <c r="G95" s="151">
        <v>35.520000000000003</v>
      </c>
      <c r="H95" s="151">
        <v>-27.42</v>
      </c>
      <c r="I95" s="151">
        <v>47.19</v>
      </c>
      <c r="J95" s="151">
        <v>94.04</v>
      </c>
      <c r="K95" s="151">
        <v>889.05</v>
      </c>
      <c r="L95" s="151">
        <v>43.18</v>
      </c>
      <c r="M95" s="151">
        <v>0</v>
      </c>
      <c r="N95" s="151">
        <v>0</v>
      </c>
      <c r="O95" s="151">
        <v>29.51</v>
      </c>
      <c r="P95" s="151">
        <v>23.5</v>
      </c>
      <c r="Q95" s="151">
        <v>157.53</v>
      </c>
      <c r="R95" s="151">
        <v>975.41</v>
      </c>
      <c r="S95" s="151">
        <v>95.15</v>
      </c>
      <c r="T95" s="151">
        <v>160.93</v>
      </c>
      <c r="U95" s="151">
        <v>2400</v>
      </c>
      <c r="V95" s="151">
        <v>1533.6</v>
      </c>
      <c r="W95" s="151">
        <v>2.4</v>
      </c>
      <c r="X95" s="151">
        <v>0</v>
      </c>
      <c r="Y95" s="151">
        <v>128.38</v>
      </c>
      <c r="Z95" s="151">
        <v>0</v>
      </c>
      <c r="AA95" s="151">
        <v>457.57</v>
      </c>
      <c r="AB95" s="151">
        <v>131.19999999999999</v>
      </c>
      <c r="AC95" s="151">
        <v>12.71</v>
      </c>
      <c r="AD95" s="151">
        <v>990.07</v>
      </c>
      <c r="AE95" s="151">
        <v>871.75</v>
      </c>
      <c r="AF95" s="151">
        <v>1481.5</v>
      </c>
      <c r="AG95" s="151">
        <v>2058.88</v>
      </c>
      <c r="AH95" s="151">
        <v>25.44</v>
      </c>
      <c r="AI95" s="151">
        <v>242.87</v>
      </c>
      <c r="AJ95" s="151">
        <v>20.420000000000002</v>
      </c>
      <c r="AK95" s="151">
        <v>0</v>
      </c>
      <c r="AL95" s="151">
        <v>12880.38</v>
      </c>
    </row>
    <row r="96" spans="1:38" s="117" customFormat="1" ht="15" customHeight="1" x14ac:dyDescent="0.2">
      <c r="A96" s="123" t="s">
        <v>338</v>
      </c>
      <c r="B96" s="124" t="s">
        <v>821</v>
      </c>
      <c r="C96" s="151">
        <v>0</v>
      </c>
      <c r="D96" s="151">
        <v>0</v>
      </c>
      <c r="E96" s="151">
        <v>0</v>
      </c>
      <c r="F96" s="151">
        <v>0</v>
      </c>
      <c r="G96" s="151">
        <v>24.37</v>
      </c>
      <c r="H96" s="151">
        <v>0</v>
      </c>
      <c r="I96" s="151">
        <v>0</v>
      </c>
      <c r="J96" s="151">
        <v>0</v>
      </c>
      <c r="K96" s="151">
        <v>0</v>
      </c>
      <c r="L96" s="151">
        <v>0</v>
      </c>
      <c r="M96" s="151">
        <v>0</v>
      </c>
      <c r="N96" s="151">
        <v>5.53</v>
      </c>
      <c r="O96" s="151">
        <v>0</v>
      </c>
      <c r="P96" s="151">
        <v>0</v>
      </c>
      <c r="Q96" s="151">
        <v>0</v>
      </c>
      <c r="R96" s="151">
        <v>0</v>
      </c>
      <c r="S96" s="151">
        <v>0</v>
      </c>
      <c r="T96" s="151">
        <v>0</v>
      </c>
      <c r="U96" s="151">
        <v>181.01</v>
      </c>
      <c r="V96" s="151">
        <v>0</v>
      </c>
      <c r="W96" s="151">
        <v>0</v>
      </c>
      <c r="X96" s="151">
        <v>0</v>
      </c>
      <c r="Y96" s="151">
        <v>57.66</v>
      </c>
      <c r="Z96" s="151">
        <v>0</v>
      </c>
      <c r="AA96" s="151">
        <v>0</v>
      </c>
      <c r="AB96" s="151">
        <v>0</v>
      </c>
      <c r="AC96" s="151">
        <v>86.83</v>
      </c>
      <c r="AD96" s="151">
        <v>0</v>
      </c>
      <c r="AE96" s="151">
        <v>0</v>
      </c>
      <c r="AF96" s="151">
        <v>0</v>
      </c>
      <c r="AG96" s="151">
        <v>0</v>
      </c>
      <c r="AH96" s="151">
        <v>0</v>
      </c>
      <c r="AI96" s="151">
        <v>0</v>
      </c>
      <c r="AJ96" s="151">
        <v>0</v>
      </c>
      <c r="AK96" s="151">
        <v>0</v>
      </c>
      <c r="AL96" s="151">
        <v>355.4</v>
      </c>
    </row>
    <row r="97" spans="1:38" s="117" customFormat="1" ht="15" customHeight="1" x14ac:dyDescent="0.2">
      <c r="A97" s="123" t="s">
        <v>339</v>
      </c>
      <c r="B97" s="124" t="s">
        <v>820</v>
      </c>
      <c r="C97" s="151">
        <v>667.42</v>
      </c>
      <c r="D97" s="151">
        <v>568.97</v>
      </c>
      <c r="E97" s="151">
        <v>505.64</v>
      </c>
      <c r="F97" s="151">
        <v>300.85000000000002</v>
      </c>
      <c r="G97" s="151">
        <v>546.91999999999996</v>
      </c>
      <c r="H97" s="151">
        <v>758.5</v>
      </c>
      <c r="I97" s="151">
        <v>1274.48</v>
      </c>
      <c r="J97" s="151">
        <v>557.01</v>
      </c>
      <c r="K97" s="151">
        <v>1143.1199999999999</v>
      </c>
      <c r="L97" s="151">
        <v>430.49</v>
      </c>
      <c r="M97" s="151">
        <v>1748.7</v>
      </c>
      <c r="N97" s="151">
        <v>986.79</v>
      </c>
      <c r="O97" s="151">
        <v>1209.76</v>
      </c>
      <c r="P97" s="151">
        <v>742.12</v>
      </c>
      <c r="Q97" s="151">
        <v>299.01</v>
      </c>
      <c r="R97" s="151">
        <v>786.52</v>
      </c>
      <c r="S97" s="151">
        <v>605.44000000000005</v>
      </c>
      <c r="T97" s="151">
        <v>205.86</v>
      </c>
      <c r="U97" s="151">
        <v>580.12</v>
      </c>
      <c r="V97" s="151">
        <v>224.83</v>
      </c>
      <c r="W97" s="151">
        <v>656.05</v>
      </c>
      <c r="X97" s="151">
        <v>750.85</v>
      </c>
      <c r="Y97" s="151">
        <v>758.89</v>
      </c>
      <c r="Z97" s="151">
        <v>483.16</v>
      </c>
      <c r="AA97" s="151">
        <v>536.98</v>
      </c>
      <c r="AB97" s="151">
        <v>634.69000000000005</v>
      </c>
      <c r="AC97" s="151">
        <v>540.66</v>
      </c>
      <c r="AD97" s="151">
        <v>920.5</v>
      </c>
      <c r="AE97" s="151">
        <v>651.17999999999995</v>
      </c>
      <c r="AF97" s="151">
        <v>401.26</v>
      </c>
      <c r="AG97" s="151">
        <v>420.96</v>
      </c>
      <c r="AH97" s="151">
        <v>169.32</v>
      </c>
      <c r="AI97" s="151">
        <v>658.21</v>
      </c>
      <c r="AJ97" s="151">
        <v>442.43</v>
      </c>
      <c r="AK97" s="151">
        <v>489.42</v>
      </c>
      <c r="AL97" s="151">
        <v>22657.11</v>
      </c>
    </row>
    <row r="98" spans="1:38" s="117" customFormat="1" ht="15" customHeight="1" x14ac:dyDescent="0.2">
      <c r="A98" s="123" t="s">
        <v>340</v>
      </c>
      <c r="B98" s="124" t="s">
        <v>819</v>
      </c>
      <c r="C98" s="151">
        <v>19.079999999999998</v>
      </c>
      <c r="D98" s="151">
        <v>67.94</v>
      </c>
      <c r="E98" s="151">
        <v>0</v>
      </c>
      <c r="F98" s="151">
        <v>0</v>
      </c>
      <c r="G98" s="151">
        <v>65.55</v>
      </c>
      <c r="H98" s="151">
        <v>940.33</v>
      </c>
      <c r="I98" s="151">
        <v>35.700000000000003</v>
      </c>
      <c r="J98" s="151">
        <v>507.92</v>
      </c>
      <c r="K98" s="151">
        <v>10.76</v>
      </c>
      <c r="L98" s="151">
        <v>35.03</v>
      </c>
      <c r="M98" s="151">
        <v>73.099999999999994</v>
      </c>
      <c r="N98" s="151">
        <v>23.85</v>
      </c>
      <c r="O98" s="151">
        <v>0</v>
      </c>
      <c r="P98" s="151">
        <v>4.41</v>
      </c>
      <c r="Q98" s="151">
        <v>34.950000000000003</v>
      </c>
      <c r="R98" s="151">
        <v>247.64</v>
      </c>
      <c r="S98" s="151">
        <v>2.2000000000000002</v>
      </c>
      <c r="T98" s="151">
        <v>15.85</v>
      </c>
      <c r="U98" s="151">
        <v>132.09</v>
      </c>
      <c r="V98" s="151">
        <v>145.58000000000001</v>
      </c>
      <c r="W98" s="151">
        <v>0</v>
      </c>
      <c r="X98" s="151">
        <v>96.02</v>
      </c>
      <c r="Y98" s="151">
        <v>-169.64</v>
      </c>
      <c r="Z98" s="151">
        <v>0</v>
      </c>
      <c r="AA98" s="151">
        <v>90.06</v>
      </c>
      <c r="AB98" s="151">
        <v>16.350000000000001</v>
      </c>
      <c r="AC98" s="151">
        <v>32.06</v>
      </c>
      <c r="AD98" s="151">
        <v>592.70000000000005</v>
      </c>
      <c r="AE98" s="151">
        <v>0</v>
      </c>
      <c r="AF98" s="151">
        <v>451.44</v>
      </c>
      <c r="AG98" s="151">
        <v>298.91000000000003</v>
      </c>
      <c r="AH98" s="151">
        <v>349.11</v>
      </c>
      <c r="AI98" s="151">
        <v>321.05</v>
      </c>
      <c r="AJ98" s="151">
        <v>0</v>
      </c>
      <c r="AK98" s="151">
        <v>66.95</v>
      </c>
      <c r="AL98" s="151">
        <v>4506.99</v>
      </c>
    </row>
    <row r="99" spans="1:38" s="117" customFormat="1" ht="15" customHeight="1" x14ac:dyDescent="0.2">
      <c r="A99" s="123" t="s">
        <v>341</v>
      </c>
      <c r="B99" s="124" t="s">
        <v>818</v>
      </c>
      <c r="C99" s="151">
        <v>225.67</v>
      </c>
      <c r="D99" s="151">
        <v>524.16</v>
      </c>
      <c r="E99" s="151">
        <v>37.35</v>
      </c>
      <c r="F99" s="151">
        <v>0</v>
      </c>
      <c r="G99" s="151">
        <v>0</v>
      </c>
      <c r="H99" s="151">
        <v>0</v>
      </c>
      <c r="I99" s="151">
        <v>177.2</v>
      </c>
      <c r="J99" s="151">
        <v>0</v>
      </c>
      <c r="K99" s="151">
        <v>145.21</v>
      </c>
      <c r="L99" s="151">
        <v>0</v>
      </c>
      <c r="M99" s="151">
        <v>144.69999999999999</v>
      </c>
      <c r="N99" s="151">
        <v>0</v>
      </c>
      <c r="O99" s="151">
        <v>10.02</v>
      </c>
      <c r="P99" s="151">
        <v>345.96</v>
      </c>
      <c r="Q99" s="151">
        <v>0</v>
      </c>
      <c r="R99" s="151">
        <v>0</v>
      </c>
      <c r="S99" s="151">
        <v>0</v>
      </c>
      <c r="T99" s="151">
        <v>0</v>
      </c>
      <c r="U99" s="151">
        <v>67.94</v>
      </c>
      <c r="V99" s="151">
        <v>47.08</v>
      </c>
      <c r="W99" s="151">
        <v>0</v>
      </c>
      <c r="X99" s="151">
        <v>0</v>
      </c>
      <c r="Y99" s="151">
        <v>42.06</v>
      </c>
      <c r="Z99" s="151">
        <v>194.32</v>
      </c>
      <c r="AA99" s="151">
        <v>38.840000000000003</v>
      </c>
      <c r="AB99" s="151">
        <v>6.31</v>
      </c>
      <c r="AC99" s="151">
        <v>0</v>
      </c>
      <c r="AD99" s="151">
        <v>0</v>
      </c>
      <c r="AE99" s="151">
        <v>0</v>
      </c>
      <c r="AF99" s="151">
        <v>0</v>
      </c>
      <c r="AG99" s="151">
        <v>0</v>
      </c>
      <c r="AH99" s="151">
        <v>241.11</v>
      </c>
      <c r="AI99" s="151">
        <v>0</v>
      </c>
      <c r="AJ99" s="151">
        <v>-2.4700000000000002</v>
      </c>
      <c r="AK99" s="151">
        <v>7.97</v>
      </c>
      <c r="AL99" s="151">
        <v>2253.4299999999998</v>
      </c>
    </row>
    <row r="100" spans="1:38" s="117" customFormat="1" ht="15" customHeight="1" x14ac:dyDescent="0.2">
      <c r="A100" s="123" t="s">
        <v>342</v>
      </c>
      <c r="B100" s="124" t="s">
        <v>817</v>
      </c>
      <c r="C100" s="151">
        <v>112.35</v>
      </c>
      <c r="D100" s="151">
        <v>156.86000000000001</v>
      </c>
      <c r="E100" s="151">
        <v>0</v>
      </c>
      <c r="F100" s="151">
        <v>14.97</v>
      </c>
      <c r="G100" s="151">
        <v>0</v>
      </c>
      <c r="H100" s="151">
        <v>266.32</v>
      </c>
      <c r="I100" s="151">
        <v>42.25</v>
      </c>
      <c r="J100" s="151">
        <v>126.96</v>
      </c>
      <c r="K100" s="151">
        <v>100.32</v>
      </c>
      <c r="L100" s="151">
        <v>53.94</v>
      </c>
      <c r="M100" s="151">
        <v>586.95000000000005</v>
      </c>
      <c r="N100" s="151">
        <v>0</v>
      </c>
      <c r="O100" s="151">
        <v>44.54</v>
      </c>
      <c r="P100" s="151">
        <v>43.63</v>
      </c>
      <c r="Q100" s="151">
        <v>0</v>
      </c>
      <c r="R100" s="151">
        <v>43.4</v>
      </c>
      <c r="S100" s="151">
        <v>0</v>
      </c>
      <c r="T100" s="151">
        <v>14.82</v>
      </c>
      <c r="U100" s="151">
        <v>8.1999999999999993</v>
      </c>
      <c r="V100" s="151">
        <v>3.71</v>
      </c>
      <c r="W100" s="151">
        <v>0</v>
      </c>
      <c r="X100" s="151">
        <v>10.210000000000001</v>
      </c>
      <c r="Y100" s="151">
        <v>121.84</v>
      </c>
      <c r="Z100" s="151">
        <v>44.54</v>
      </c>
      <c r="AA100" s="151">
        <v>24.14</v>
      </c>
      <c r="AB100" s="151">
        <v>0</v>
      </c>
      <c r="AC100" s="151">
        <v>112.3</v>
      </c>
      <c r="AD100" s="151">
        <v>89.71</v>
      </c>
      <c r="AE100" s="151">
        <v>0</v>
      </c>
      <c r="AF100" s="151">
        <v>0</v>
      </c>
      <c r="AG100" s="151">
        <v>153.94999999999999</v>
      </c>
      <c r="AH100" s="151">
        <v>210.74</v>
      </c>
      <c r="AI100" s="151">
        <v>18.43</v>
      </c>
      <c r="AJ100" s="151">
        <v>2.4700000000000002</v>
      </c>
      <c r="AK100" s="151">
        <v>0</v>
      </c>
      <c r="AL100" s="151">
        <v>2407.5500000000002</v>
      </c>
    </row>
    <row r="101" spans="1:38" s="117" customFormat="1" ht="15" customHeight="1" x14ac:dyDescent="0.2">
      <c r="A101" s="123" t="s">
        <v>499</v>
      </c>
      <c r="B101" s="124" t="s">
        <v>816</v>
      </c>
      <c r="C101" s="151">
        <v>0</v>
      </c>
      <c r="D101" s="151">
        <v>0</v>
      </c>
      <c r="E101" s="151">
        <v>0</v>
      </c>
      <c r="F101" s="151">
        <v>0</v>
      </c>
      <c r="G101" s="151">
        <v>-166</v>
      </c>
      <c r="H101" s="151">
        <v>1947.75</v>
      </c>
      <c r="I101" s="151">
        <v>0</v>
      </c>
      <c r="J101" s="151">
        <v>0</v>
      </c>
      <c r="K101" s="151">
        <v>0</v>
      </c>
      <c r="L101" s="151">
        <v>1232</v>
      </c>
      <c r="M101" s="151">
        <v>0</v>
      </c>
      <c r="N101" s="151">
        <v>0</v>
      </c>
      <c r="O101" s="151">
        <v>600</v>
      </c>
      <c r="P101" s="151">
        <v>448.21</v>
      </c>
      <c r="Q101" s="151">
        <v>0</v>
      </c>
      <c r="R101" s="151">
        <v>0</v>
      </c>
      <c r="S101" s="151">
        <v>0</v>
      </c>
      <c r="T101" s="151">
        <v>0</v>
      </c>
      <c r="U101" s="151">
        <v>0</v>
      </c>
      <c r="V101" s="151">
        <v>0</v>
      </c>
      <c r="W101" s="151">
        <v>0</v>
      </c>
      <c r="X101" s="151">
        <v>0</v>
      </c>
      <c r="Y101" s="151">
        <v>0</v>
      </c>
      <c r="Z101" s="151">
        <v>0</v>
      </c>
      <c r="AA101" s="151">
        <v>288.75</v>
      </c>
      <c r="AB101" s="151">
        <v>0</v>
      </c>
      <c r="AC101" s="151">
        <v>0</v>
      </c>
      <c r="AD101" s="151">
        <v>0</v>
      </c>
      <c r="AE101" s="151">
        <v>200</v>
      </c>
      <c r="AF101" s="151">
        <v>200</v>
      </c>
      <c r="AG101" s="151">
        <v>546.86</v>
      </c>
      <c r="AH101" s="151">
        <v>0</v>
      </c>
      <c r="AI101" s="151">
        <v>0</v>
      </c>
      <c r="AJ101" s="151">
        <v>288.75</v>
      </c>
      <c r="AK101" s="151">
        <v>0</v>
      </c>
      <c r="AL101" s="151">
        <v>5586.32</v>
      </c>
    </row>
    <row r="102" spans="1:38" s="117" customFormat="1" ht="15" customHeight="1" x14ac:dyDescent="0.2">
      <c r="A102" s="123" t="s">
        <v>343</v>
      </c>
      <c r="B102" s="124" t="s">
        <v>815</v>
      </c>
      <c r="C102" s="151">
        <v>196.32</v>
      </c>
      <c r="D102" s="151">
        <v>88.53</v>
      </c>
      <c r="E102" s="151">
        <v>121.88</v>
      </c>
      <c r="F102" s="151">
        <v>0</v>
      </c>
      <c r="G102" s="151">
        <v>0</v>
      </c>
      <c r="H102" s="151">
        <v>58.09</v>
      </c>
      <c r="I102" s="151">
        <v>45.39</v>
      </c>
      <c r="J102" s="151">
        <v>9.2200000000000006</v>
      </c>
      <c r="K102" s="151">
        <v>6.77</v>
      </c>
      <c r="L102" s="151">
        <v>36.369999999999997</v>
      </c>
      <c r="M102" s="151">
        <v>0</v>
      </c>
      <c r="N102" s="151">
        <v>5.3</v>
      </c>
      <c r="O102" s="151">
        <v>0</v>
      </c>
      <c r="P102" s="151">
        <v>11.63</v>
      </c>
      <c r="Q102" s="151">
        <v>16.59</v>
      </c>
      <c r="R102" s="151">
        <v>0</v>
      </c>
      <c r="S102" s="151">
        <v>0</v>
      </c>
      <c r="T102" s="151">
        <v>0</v>
      </c>
      <c r="U102" s="151">
        <v>0</v>
      </c>
      <c r="V102" s="151">
        <v>0</v>
      </c>
      <c r="W102" s="151">
        <v>6.99</v>
      </c>
      <c r="X102" s="151">
        <v>0</v>
      </c>
      <c r="Y102" s="151">
        <v>20.99</v>
      </c>
      <c r="Z102" s="151">
        <v>18.89</v>
      </c>
      <c r="AA102" s="151">
        <v>30.17</v>
      </c>
      <c r="AB102" s="151">
        <v>30.81</v>
      </c>
      <c r="AC102" s="151">
        <v>65</v>
      </c>
      <c r="AD102" s="151">
        <v>9.76</v>
      </c>
      <c r="AE102" s="151">
        <v>200.39</v>
      </c>
      <c r="AF102" s="151">
        <v>200.39</v>
      </c>
      <c r="AG102" s="151">
        <v>97.54</v>
      </c>
      <c r="AH102" s="151">
        <v>0</v>
      </c>
      <c r="AI102" s="151">
        <v>55.09</v>
      </c>
      <c r="AJ102" s="151">
        <v>-10.52</v>
      </c>
      <c r="AK102" s="151">
        <v>75.28</v>
      </c>
      <c r="AL102" s="151">
        <v>1396.87</v>
      </c>
    </row>
    <row r="103" spans="1:38" s="117" customFormat="1" ht="15" customHeight="1" x14ac:dyDescent="0.2">
      <c r="A103" s="123" t="s">
        <v>344</v>
      </c>
      <c r="B103" s="124" t="s">
        <v>814</v>
      </c>
      <c r="C103" s="151">
        <v>4208.05</v>
      </c>
      <c r="D103" s="151">
        <v>19477.330000000002</v>
      </c>
      <c r="E103" s="151">
        <v>4014.15</v>
      </c>
      <c r="F103" s="151">
        <v>5370.96</v>
      </c>
      <c r="G103" s="151">
        <v>9081.25</v>
      </c>
      <c r="H103" s="151">
        <v>4500</v>
      </c>
      <c r="I103" s="151">
        <v>8656.84</v>
      </c>
      <c r="J103" s="151">
        <v>6625</v>
      </c>
      <c r="K103" s="151">
        <v>9206.7999999999993</v>
      </c>
      <c r="L103" s="151">
        <v>4489.55</v>
      </c>
      <c r="M103" s="151">
        <v>5185.37</v>
      </c>
      <c r="N103" s="151">
        <v>4609.6400000000003</v>
      </c>
      <c r="O103" s="151">
        <v>4543.3</v>
      </c>
      <c r="P103" s="151">
        <v>6532.5</v>
      </c>
      <c r="Q103" s="151">
        <v>6576.25</v>
      </c>
      <c r="R103" s="151">
        <v>4340.8</v>
      </c>
      <c r="S103" s="151">
        <v>6223.3</v>
      </c>
      <c r="T103" s="151">
        <v>7612.5</v>
      </c>
      <c r="U103" s="151">
        <v>6000</v>
      </c>
      <c r="V103" s="151">
        <v>10196.36</v>
      </c>
      <c r="W103" s="151">
        <v>6055.8</v>
      </c>
      <c r="X103" s="151">
        <v>6500</v>
      </c>
      <c r="Y103" s="151">
        <v>5773.3</v>
      </c>
      <c r="Z103" s="151">
        <v>6226.02</v>
      </c>
      <c r="AA103" s="151">
        <v>3813.3</v>
      </c>
      <c r="AB103" s="151">
        <v>3169.6</v>
      </c>
      <c r="AC103" s="151">
        <v>8445</v>
      </c>
      <c r="AD103" s="151">
        <v>6371.44</v>
      </c>
      <c r="AE103" s="151">
        <v>2225</v>
      </c>
      <c r="AF103" s="151">
        <v>2225</v>
      </c>
      <c r="AG103" s="151">
        <v>4775</v>
      </c>
      <c r="AH103" s="151">
        <v>5395</v>
      </c>
      <c r="AI103" s="151">
        <v>4640.8</v>
      </c>
      <c r="AJ103" s="151">
        <v>5545</v>
      </c>
      <c r="AK103" s="151">
        <v>4376.25</v>
      </c>
      <c r="AL103" s="151">
        <v>212986.46</v>
      </c>
    </row>
    <row r="104" spans="1:38" s="117" customFormat="1" ht="15" customHeight="1" x14ac:dyDescent="0.2">
      <c r="A104" s="123" t="s">
        <v>345</v>
      </c>
      <c r="B104" s="124" t="s">
        <v>813</v>
      </c>
      <c r="C104" s="151">
        <v>3286.61</v>
      </c>
      <c r="D104" s="151">
        <v>5098.6899999999996</v>
      </c>
      <c r="E104" s="151">
        <v>3466.5</v>
      </c>
      <c r="F104" s="151">
        <v>0</v>
      </c>
      <c r="G104" s="151">
        <v>5573.23</v>
      </c>
      <c r="H104" s="151">
        <v>2640.61</v>
      </c>
      <c r="I104" s="151">
        <v>2456.36</v>
      </c>
      <c r="J104" s="151">
        <v>2410.5300000000002</v>
      </c>
      <c r="K104" s="151">
        <v>2373.2399999999998</v>
      </c>
      <c r="L104" s="151">
        <v>4876.83</v>
      </c>
      <c r="M104" s="151">
        <v>4008.66</v>
      </c>
      <c r="N104" s="151">
        <v>3743.61</v>
      </c>
      <c r="O104" s="151">
        <v>0</v>
      </c>
      <c r="P104" s="151">
        <v>772.08</v>
      </c>
      <c r="Q104" s="151">
        <v>11423.36</v>
      </c>
      <c r="R104" s="151">
        <v>295</v>
      </c>
      <c r="S104" s="151">
        <v>472.41</v>
      </c>
      <c r="T104" s="151">
        <v>4179.92</v>
      </c>
      <c r="U104" s="151">
        <v>9243.74</v>
      </c>
      <c r="V104" s="151">
        <v>2695.98</v>
      </c>
      <c r="W104" s="151">
        <v>1518.4</v>
      </c>
      <c r="X104" s="151">
        <v>2653.45</v>
      </c>
      <c r="Y104" s="151">
        <v>5665.03</v>
      </c>
      <c r="Z104" s="151">
        <v>2481.09</v>
      </c>
      <c r="AA104" s="151">
        <v>250</v>
      </c>
      <c r="AB104" s="151">
        <v>1138.5</v>
      </c>
      <c r="AC104" s="151">
        <v>8602.01</v>
      </c>
      <c r="AD104" s="151">
        <v>10727.75</v>
      </c>
      <c r="AE104" s="151">
        <v>2934.1</v>
      </c>
      <c r="AF104" s="151">
        <v>3400.91</v>
      </c>
      <c r="AG104" s="151">
        <v>0</v>
      </c>
      <c r="AH104" s="151">
        <v>3314.08</v>
      </c>
      <c r="AI104" s="151">
        <v>-198.05</v>
      </c>
      <c r="AJ104" s="151">
        <v>0</v>
      </c>
      <c r="AK104" s="151">
        <v>500</v>
      </c>
      <c r="AL104" s="151">
        <v>112004.63</v>
      </c>
    </row>
    <row r="105" spans="1:38" s="117" customFormat="1" ht="15" customHeight="1" x14ac:dyDescent="0.2">
      <c r="A105" s="123" t="s">
        <v>1258</v>
      </c>
      <c r="B105" s="124" t="s">
        <v>1395</v>
      </c>
      <c r="C105" s="151">
        <v>0</v>
      </c>
      <c r="D105" s="151">
        <v>1092</v>
      </c>
      <c r="E105" s="151">
        <v>0</v>
      </c>
      <c r="F105" s="151">
        <v>600</v>
      </c>
      <c r="G105" s="151">
        <v>680</v>
      </c>
      <c r="H105" s="151">
        <v>1127.8800000000001</v>
      </c>
      <c r="I105" s="151">
        <v>590</v>
      </c>
      <c r="J105" s="151">
        <v>690</v>
      </c>
      <c r="K105" s="151">
        <v>1765.5</v>
      </c>
      <c r="L105" s="151">
        <v>2107</v>
      </c>
      <c r="M105" s="151">
        <v>2455</v>
      </c>
      <c r="N105" s="151">
        <v>1557</v>
      </c>
      <c r="O105" s="151">
        <v>300</v>
      </c>
      <c r="P105" s="151">
        <v>675</v>
      </c>
      <c r="Q105" s="151">
        <v>450</v>
      </c>
      <c r="R105" s="151">
        <v>600</v>
      </c>
      <c r="S105" s="151">
        <v>675</v>
      </c>
      <c r="T105" s="151">
        <v>3420</v>
      </c>
      <c r="U105" s="151">
        <v>1990</v>
      </c>
      <c r="V105" s="151">
        <v>1866</v>
      </c>
      <c r="W105" s="151">
        <v>0</v>
      </c>
      <c r="X105" s="151">
        <v>0</v>
      </c>
      <c r="Y105" s="151">
        <v>694</v>
      </c>
      <c r="Z105" s="151">
        <v>4498</v>
      </c>
      <c r="AA105" s="151">
        <v>600</v>
      </c>
      <c r="AB105" s="151">
        <v>0</v>
      </c>
      <c r="AC105" s="151">
        <v>1086</v>
      </c>
      <c r="AD105" s="151">
        <v>2098.75</v>
      </c>
      <c r="AE105" s="151">
        <v>0</v>
      </c>
      <c r="AF105" s="151">
        <v>0</v>
      </c>
      <c r="AG105" s="151">
        <v>600</v>
      </c>
      <c r="AH105" s="151">
        <v>864.5</v>
      </c>
      <c r="AI105" s="151">
        <v>900</v>
      </c>
      <c r="AJ105" s="151">
        <v>300</v>
      </c>
      <c r="AK105" s="151">
        <v>300</v>
      </c>
      <c r="AL105" s="151">
        <v>34581.629999999997</v>
      </c>
    </row>
    <row r="106" spans="1:38" s="117" customFormat="1" ht="15" customHeight="1" x14ac:dyDescent="0.2">
      <c r="A106" s="123" t="s">
        <v>1256</v>
      </c>
      <c r="B106" s="124" t="s">
        <v>1396</v>
      </c>
      <c r="C106" s="151">
        <v>0</v>
      </c>
      <c r="D106" s="151">
        <v>0</v>
      </c>
      <c r="E106" s="151">
        <v>0</v>
      </c>
      <c r="F106" s="151">
        <v>0</v>
      </c>
      <c r="G106" s="151">
        <v>0</v>
      </c>
      <c r="H106" s="151">
        <v>0</v>
      </c>
      <c r="I106" s="151">
        <v>0</v>
      </c>
      <c r="J106" s="151">
        <v>0</v>
      </c>
      <c r="K106" s="151">
        <v>0</v>
      </c>
      <c r="L106" s="151">
        <v>0</v>
      </c>
      <c r="M106" s="151">
        <v>0</v>
      </c>
      <c r="N106" s="151">
        <v>0</v>
      </c>
      <c r="O106" s="151">
        <v>0</v>
      </c>
      <c r="P106" s="151">
        <v>0</v>
      </c>
      <c r="Q106" s="151">
        <v>0</v>
      </c>
      <c r="R106" s="151">
        <v>0</v>
      </c>
      <c r="S106" s="151">
        <v>0</v>
      </c>
      <c r="T106" s="151">
        <v>0</v>
      </c>
      <c r="U106" s="151">
        <v>418.1</v>
      </c>
      <c r="V106" s="151">
        <v>0</v>
      </c>
      <c r="W106" s="151">
        <v>0</v>
      </c>
      <c r="X106" s="151">
        <v>0</v>
      </c>
      <c r="Y106" s="151">
        <v>0</v>
      </c>
      <c r="Z106" s="151">
        <v>0</v>
      </c>
      <c r="AA106" s="151">
        <v>0</v>
      </c>
      <c r="AB106" s="151">
        <v>0</v>
      </c>
      <c r="AC106" s="151">
        <v>0</v>
      </c>
      <c r="AD106" s="151">
        <v>0</v>
      </c>
      <c r="AE106" s="151">
        <v>0</v>
      </c>
      <c r="AF106" s="151">
        <v>0</v>
      </c>
      <c r="AG106" s="151">
        <v>0</v>
      </c>
      <c r="AH106" s="151">
        <v>0</v>
      </c>
      <c r="AI106" s="151">
        <v>0</v>
      </c>
      <c r="AJ106" s="151">
        <v>0</v>
      </c>
      <c r="AK106" s="151">
        <v>0</v>
      </c>
      <c r="AL106" s="151">
        <v>418.1</v>
      </c>
    </row>
    <row r="107" spans="1:38" s="117" customFormat="1" ht="15" customHeight="1" x14ac:dyDescent="0.2">
      <c r="A107" s="123" t="s">
        <v>346</v>
      </c>
      <c r="B107" s="124" t="s">
        <v>812</v>
      </c>
      <c r="C107" s="151">
        <v>2152.7600000000002</v>
      </c>
      <c r="D107" s="151">
        <v>3251.92</v>
      </c>
      <c r="E107" s="151">
        <v>2188.25</v>
      </c>
      <c r="F107" s="151">
        <v>1559.61</v>
      </c>
      <c r="G107" s="151">
        <v>2809.1</v>
      </c>
      <c r="H107" s="151">
        <v>848.65</v>
      </c>
      <c r="I107" s="151">
        <v>2227.8000000000002</v>
      </c>
      <c r="J107" s="151">
        <v>2241.5300000000002</v>
      </c>
      <c r="K107" s="151">
        <v>1013.2</v>
      </c>
      <c r="L107" s="151">
        <v>2159.56</v>
      </c>
      <c r="M107" s="151">
        <v>360.62</v>
      </c>
      <c r="N107" s="151">
        <v>1685.41</v>
      </c>
      <c r="O107" s="151">
        <v>1792.99</v>
      </c>
      <c r="P107" s="151">
        <v>2228.06</v>
      </c>
      <c r="Q107" s="151">
        <v>0</v>
      </c>
      <c r="R107" s="151">
        <v>1928.13</v>
      </c>
      <c r="S107" s="151">
        <v>1667.33</v>
      </c>
      <c r="T107" s="151">
        <v>0</v>
      </c>
      <c r="U107" s="151">
        <v>5531.6</v>
      </c>
      <c r="V107" s="151">
        <v>1985.28</v>
      </c>
      <c r="W107" s="151">
        <v>2444.14</v>
      </c>
      <c r="X107" s="151">
        <v>0</v>
      </c>
      <c r="Y107" s="151">
        <v>2982.22</v>
      </c>
      <c r="Z107" s="151">
        <v>1121.3</v>
      </c>
      <c r="AA107" s="151">
        <v>2537.12</v>
      </c>
      <c r="AB107" s="151">
        <v>1638.9</v>
      </c>
      <c r="AC107" s="151">
        <v>0</v>
      </c>
      <c r="AD107" s="151">
        <v>0</v>
      </c>
      <c r="AE107" s="151">
        <v>1636.76</v>
      </c>
      <c r="AF107" s="151">
        <v>1573.4</v>
      </c>
      <c r="AG107" s="151">
        <v>4475.04</v>
      </c>
      <c r="AH107" s="151">
        <v>0</v>
      </c>
      <c r="AI107" s="151">
        <v>1895.15</v>
      </c>
      <c r="AJ107" s="151">
        <v>2990.3</v>
      </c>
      <c r="AK107" s="151">
        <v>2194.3000000000002</v>
      </c>
      <c r="AL107" s="151">
        <v>63120.43</v>
      </c>
    </row>
    <row r="108" spans="1:38" s="117" customFormat="1" ht="15" customHeight="1" x14ac:dyDescent="0.2">
      <c r="A108" s="123" t="s">
        <v>347</v>
      </c>
      <c r="B108" s="124" t="s">
        <v>811</v>
      </c>
      <c r="C108" s="151">
        <v>1445.88</v>
      </c>
      <c r="D108" s="151">
        <v>5552.74</v>
      </c>
      <c r="E108" s="151">
        <v>710.94</v>
      </c>
      <c r="F108" s="151">
        <v>0</v>
      </c>
      <c r="G108" s="151">
        <v>1486.94</v>
      </c>
      <c r="H108" s="151">
        <v>1958.32</v>
      </c>
      <c r="I108" s="151">
        <v>1525.84</v>
      </c>
      <c r="J108" s="151">
        <v>73.95</v>
      </c>
      <c r="K108" s="151">
        <v>279.60000000000002</v>
      </c>
      <c r="L108" s="151">
        <v>1638.48</v>
      </c>
      <c r="M108" s="151">
        <v>1488.21</v>
      </c>
      <c r="N108" s="151">
        <v>1255</v>
      </c>
      <c r="O108" s="151">
        <v>4234.33</v>
      </c>
      <c r="P108" s="151">
        <v>1889.13</v>
      </c>
      <c r="Q108" s="151">
        <v>6393.38</v>
      </c>
      <c r="R108" s="151">
        <v>1059.33</v>
      </c>
      <c r="S108" s="151">
        <v>1743.63</v>
      </c>
      <c r="T108" s="151">
        <v>614.79999999999995</v>
      </c>
      <c r="U108" s="151">
        <v>1733.97</v>
      </c>
      <c r="V108" s="151">
        <v>1291.3399999999999</v>
      </c>
      <c r="W108" s="151">
        <v>336.96</v>
      </c>
      <c r="X108" s="151">
        <v>1917.96</v>
      </c>
      <c r="Y108" s="151">
        <v>2769.77</v>
      </c>
      <c r="Z108" s="151">
        <v>3143.18</v>
      </c>
      <c r="AA108" s="151">
        <v>4850</v>
      </c>
      <c r="AB108" s="151">
        <v>957</v>
      </c>
      <c r="AC108" s="151">
        <v>4019.43</v>
      </c>
      <c r="AD108" s="151">
        <v>-1750</v>
      </c>
      <c r="AE108" s="151">
        <v>23.92</v>
      </c>
      <c r="AF108" s="151">
        <v>0</v>
      </c>
      <c r="AG108" s="151">
        <v>4235.63</v>
      </c>
      <c r="AH108" s="151">
        <v>2094.56</v>
      </c>
      <c r="AI108" s="151">
        <v>600</v>
      </c>
      <c r="AJ108" s="151">
        <v>2589</v>
      </c>
      <c r="AK108" s="151">
        <v>2525</v>
      </c>
      <c r="AL108" s="151">
        <v>64688.22</v>
      </c>
    </row>
    <row r="109" spans="1:38" s="117" customFormat="1" ht="15" customHeight="1" x14ac:dyDescent="0.2">
      <c r="A109" s="123" t="s">
        <v>348</v>
      </c>
      <c r="B109" s="124" t="s">
        <v>810</v>
      </c>
      <c r="C109" s="151">
        <v>0</v>
      </c>
      <c r="D109" s="151">
        <v>0</v>
      </c>
      <c r="E109" s="151">
        <v>0</v>
      </c>
      <c r="F109" s="151">
        <v>0</v>
      </c>
      <c r="G109" s="151">
        <v>0</v>
      </c>
      <c r="H109" s="151">
        <v>0</v>
      </c>
      <c r="I109" s="151">
        <v>0</v>
      </c>
      <c r="J109" s="151">
        <v>0</v>
      </c>
      <c r="K109" s="151">
        <v>0</v>
      </c>
      <c r="L109" s="151">
        <v>583.79999999999995</v>
      </c>
      <c r="M109" s="151">
        <v>0</v>
      </c>
      <c r="N109" s="151">
        <v>0</v>
      </c>
      <c r="O109" s="151">
        <v>3943.5</v>
      </c>
      <c r="P109" s="151">
        <v>0</v>
      </c>
      <c r="Q109" s="151">
        <v>0</v>
      </c>
      <c r="R109" s="151">
        <v>0</v>
      </c>
      <c r="S109" s="151">
        <v>0</v>
      </c>
      <c r="T109" s="151">
        <v>0</v>
      </c>
      <c r="U109" s="151">
        <v>1151.7</v>
      </c>
      <c r="V109" s="151">
        <v>1165.1300000000001</v>
      </c>
      <c r="W109" s="151">
        <v>2122.44</v>
      </c>
      <c r="X109" s="151">
        <v>0</v>
      </c>
      <c r="Y109" s="151">
        <v>0</v>
      </c>
      <c r="Z109" s="151">
        <v>0</v>
      </c>
      <c r="AA109" s="151">
        <v>0</v>
      </c>
      <c r="AB109" s="151">
        <v>0</v>
      </c>
      <c r="AC109" s="151">
        <v>0</v>
      </c>
      <c r="AD109" s="151">
        <v>0</v>
      </c>
      <c r="AE109" s="151">
        <v>11074</v>
      </c>
      <c r="AF109" s="151">
        <v>11074</v>
      </c>
      <c r="AG109" s="151">
        <v>0</v>
      </c>
      <c r="AH109" s="151">
        <v>125</v>
      </c>
      <c r="AI109" s="151">
        <v>0</v>
      </c>
      <c r="AJ109" s="151">
        <v>270</v>
      </c>
      <c r="AK109" s="151">
        <v>4302</v>
      </c>
      <c r="AL109" s="151">
        <v>35811.57</v>
      </c>
    </row>
    <row r="110" spans="1:38" s="117" customFormat="1" ht="15" customHeight="1" x14ac:dyDescent="0.2">
      <c r="A110" s="123" t="s">
        <v>563</v>
      </c>
      <c r="B110" s="124" t="s">
        <v>809</v>
      </c>
      <c r="C110" s="151">
        <v>0</v>
      </c>
      <c r="D110" s="151">
        <v>0</v>
      </c>
      <c r="E110" s="151">
        <v>0</v>
      </c>
      <c r="F110" s="151">
        <v>0</v>
      </c>
      <c r="G110" s="151">
        <v>0</v>
      </c>
      <c r="H110" s="151">
        <v>0</v>
      </c>
      <c r="I110" s="151">
        <v>0</v>
      </c>
      <c r="J110" s="151">
        <v>1744.5</v>
      </c>
      <c r="K110" s="151">
        <v>0</v>
      </c>
      <c r="L110" s="151">
        <v>0</v>
      </c>
      <c r="M110" s="151">
        <v>0</v>
      </c>
      <c r="N110" s="151">
        <v>130</v>
      </c>
      <c r="O110" s="151">
        <v>0</v>
      </c>
      <c r="P110" s="151">
        <v>0</v>
      </c>
      <c r="Q110" s="151">
        <v>0</v>
      </c>
      <c r="R110" s="151">
        <v>0</v>
      </c>
      <c r="S110" s="151">
        <v>0</v>
      </c>
      <c r="T110" s="151">
        <v>0</v>
      </c>
      <c r="U110" s="151">
        <v>0</v>
      </c>
      <c r="V110" s="151">
        <v>0</v>
      </c>
      <c r="W110" s="151">
        <v>0</v>
      </c>
      <c r="X110" s="151">
        <v>0</v>
      </c>
      <c r="Y110" s="151">
        <v>0</v>
      </c>
      <c r="Z110" s="151">
        <v>309</v>
      </c>
      <c r="AA110" s="151">
        <v>0</v>
      </c>
      <c r="AB110" s="151">
        <v>0</v>
      </c>
      <c r="AC110" s="151">
        <v>0</v>
      </c>
      <c r="AD110" s="151">
        <v>0</v>
      </c>
      <c r="AE110" s="151">
        <v>0</v>
      </c>
      <c r="AF110" s="151">
        <v>0</v>
      </c>
      <c r="AG110" s="151">
        <v>0</v>
      </c>
      <c r="AH110" s="151">
        <v>0</v>
      </c>
      <c r="AI110" s="151">
        <v>0</v>
      </c>
      <c r="AJ110" s="151">
        <v>0</v>
      </c>
      <c r="AK110" s="151">
        <v>0</v>
      </c>
      <c r="AL110" s="151">
        <v>2183.5</v>
      </c>
    </row>
    <row r="111" spans="1:38" s="117" customFormat="1" ht="15" customHeight="1" x14ac:dyDescent="0.2">
      <c r="A111" s="123" t="s">
        <v>1397</v>
      </c>
      <c r="B111" s="124" t="s">
        <v>1398</v>
      </c>
      <c r="C111" s="151">
        <v>0</v>
      </c>
      <c r="D111" s="151">
        <v>0</v>
      </c>
      <c r="E111" s="151">
        <v>0</v>
      </c>
      <c r="F111" s="151">
        <v>0</v>
      </c>
      <c r="G111" s="151">
        <v>0</v>
      </c>
      <c r="H111" s="151">
        <v>0</v>
      </c>
      <c r="I111" s="151">
        <v>0</v>
      </c>
      <c r="J111" s="151">
        <v>0</v>
      </c>
      <c r="K111" s="151">
        <v>0</v>
      </c>
      <c r="L111" s="151">
        <v>0</v>
      </c>
      <c r="M111" s="151">
        <v>0</v>
      </c>
      <c r="N111" s="151">
        <v>0</v>
      </c>
      <c r="O111" s="151">
        <v>0</v>
      </c>
      <c r="P111" s="151">
        <v>0</v>
      </c>
      <c r="Q111" s="151">
        <v>0</v>
      </c>
      <c r="R111" s="151">
        <v>0</v>
      </c>
      <c r="S111" s="151">
        <v>0</v>
      </c>
      <c r="T111" s="151">
        <v>0</v>
      </c>
      <c r="U111" s="151">
        <v>0</v>
      </c>
      <c r="V111" s="151">
        <v>0</v>
      </c>
      <c r="W111" s="151">
        <v>0</v>
      </c>
      <c r="X111" s="151">
        <v>0</v>
      </c>
      <c r="Y111" s="151">
        <v>3179.99</v>
      </c>
      <c r="Z111" s="151">
        <v>0</v>
      </c>
      <c r="AA111" s="151">
        <v>0</v>
      </c>
      <c r="AB111" s="151">
        <v>0</v>
      </c>
      <c r="AC111" s="151">
        <v>0</v>
      </c>
      <c r="AD111" s="151">
        <v>0</v>
      </c>
      <c r="AE111" s="151">
        <v>0</v>
      </c>
      <c r="AF111" s="151">
        <v>0</v>
      </c>
      <c r="AG111" s="151">
        <v>0</v>
      </c>
      <c r="AH111" s="151">
        <v>0</v>
      </c>
      <c r="AI111" s="151">
        <v>0</v>
      </c>
      <c r="AJ111" s="151">
        <v>0</v>
      </c>
      <c r="AK111" s="151">
        <v>0</v>
      </c>
      <c r="AL111" s="151">
        <v>3179.99</v>
      </c>
    </row>
    <row r="112" spans="1:38" s="117" customFormat="1" ht="15" customHeight="1" x14ac:dyDescent="0.2">
      <c r="A112" s="123" t="s">
        <v>349</v>
      </c>
      <c r="B112" s="124" t="s">
        <v>808</v>
      </c>
      <c r="C112" s="151">
        <v>738</v>
      </c>
      <c r="D112" s="151">
        <v>1079.6099999999999</v>
      </c>
      <c r="E112" s="151">
        <v>2447</v>
      </c>
      <c r="F112" s="151">
        <v>1918</v>
      </c>
      <c r="G112" s="151">
        <v>2811</v>
      </c>
      <c r="H112" s="151">
        <v>1705</v>
      </c>
      <c r="I112" s="151">
        <v>650</v>
      </c>
      <c r="J112" s="151">
        <v>1360.1</v>
      </c>
      <c r="K112" s="151">
        <v>667.8</v>
      </c>
      <c r="L112" s="151">
        <v>10963.74</v>
      </c>
      <c r="M112" s="151">
        <v>1002.5</v>
      </c>
      <c r="N112" s="151">
        <v>1297</v>
      </c>
      <c r="O112" s="151">
        <v>1885</v>
      </c>
      <c r="P112" s="151">
        <v>612.15</v>
      </c>
      <c r="Q112" s="151">
        <v>1004.5</v>
      </c>
      <c r="R112" s="151">
        <v>1427</v>
      </c>
      <c r="S112" s="151">
        <v>1036.1500000000001</v>
      </c>
      <c r="T112" s="151">
        <v>6254</v>
      </c>
      <c r="U112" s="151">
        <v>1155</v>
      </c>
      <c r="V112" s="151">
        <v>579.38</v>
      </c>
      <c r="W112" s="151">
        <v>710</v>
      </c>
      <c r="X112" s="151">
        <v>454</v>
      </c>
      <c r="Y112" s="151">
        <v>4744</v>
      </c>
      <c r="Z112" s="151">
        <v>1127.05</v>
      </c>
      <c r="AA112" s="151">
        <v>640</v>
      </c>
      <c r="AB112" s="151">
        <v>700</v>
      </c>
      <c r="AC112" s="151">
        <v>2640</v>
      </c>
      <c r="AD112" s="151">
        <v>2700</v>
      </c>
      <c r="AE112" s="151">
        <v>2155</v>
      </c>
      <c r="AF112" s="151">
        <v>2055</v>
      </c>
      <c r="AG112" s="151">
        <v>800</v>
      </c>
      <c r="AH112" s="151">
        <v>2085.4299999999998</v>
      </c>
      <c r="AI112" s="151">
        <v>2636</v>
      </c>
      <c r="AJ112" s="151">
        <v>515</v>
      </c>
      <c r="AK112" s="151">
        <v>502</v>
      </c>
      <c r="AL112" s="151">
        <v>65056.41</v>
      </c>
    </row>
    <row r="113" spans="1:38" s="117" customFormat="1" ht="15" customHeight="1" x14ac:dyDescent="0.2">
      <c r="A113" s="123" t="s">
        <v>1249</v>
      </c>
      <c r="B113" s="124" t="s">
        <v>1399</v>
      </c>
      <c r="C113" s="151">
        <v>0</v>
      </c>
      <c r="D113" s="151">
        <v>0</v>
      </c>
      <c r="E113" s="151">
        <v>0</v>
      </c>
      <c r="F113" s="151">
        <v>0</v>
      </c>
      <c r="G113" s="151">
        <v>0</v>
      </c>
      <c r="H113" s="151">
        <v>0</v>
      </c>
      <c r="I113" s="151">
        <v>0</v>
      </c>
      <c r="J113" s="151">
        <v>0</v>
      </c>
      <c r="K113" s="151">
        <v>0</v>
      </c>
      <c r="L113" s="151">
        <v>0</v>
      </c>
      <c r="M113" s="151">
        <v>0</v>
      </c>
      <c r="N113" s="151">
        <v>0</v>
      </c>
      <c r="O113" s="151">
        <v>0</v>
      </c>
      <c r="P113" s="151">
        <v>0</v>
      </c>
      <c r="Q113" s="151">
        <v>0</v>
      </c>
      <c r="R113" s="151">
        <v>0</v>
      </c>
      <c r="S113" s="151">
        <v>0</v>
      </c>
      <c r="T113" s="151">
        <v>0</v>
      </c>
      <c r="U113" s="151">
        <v>0</v>
      </c>
      <c r="V113" s="151">
        <v>0</v>
      </c>
      <c r="W113" s="151">
        <v>0</v>
      </c>
      <c r="X113" s="151">
        <v>0</v>
      </c>
      <c r="Y113" s="151">
        <v>0</v>
      </c>
      <c r="Z113" s="151">
        <v>0</v>
      </c>
      <c r="AA113" s="151">
        <v>0</v>
      </c>
      <c r="AB113" s="151">
        <v>0</v>
      </c>
      <c r="AC113" s="151">
        <v>0</v>
      </c>
      <c r="AD113" s="151">
        <v>0</v>
      </c>
      <c r="AE113" s="151">
        <v>0</v>
      </c>
      <c r="AF113" s="151">
        <v>48.23</v>
      </c>
      <c r="AG113" s="151">
        <v>0</v>
      </c>
      <c r="AH113" s="151">
        <v>0</v>
      </c>
      <c r="AI113" s="151">
        <v>0</v>
      </c>
      <c r="AJ113" s="151">
        <v>0</v>
      </c>
      <c r="AK113" s="151">
        <v>0</v>
      </c>
      <c r="AL113" s="151">
        <v>48.23</v>
      </c>
    </row>
    <row r="114" spans="1:38" s="117" customFormat="1" ht="15" customHeight="1" x14ac:dyDescent="0.2">
      <c r="A114" s="123" t="s">
        <v>1247</v>
      </c>
      <c r="B114" s="124" t="s">
        <v>1400</v>
      </c>
      <c r="C114" s="151">
        <v>0</v>
      </c>
      <c r="D114" s="151">
        <v>0</v>
      </c>
      <c r="E114" s="151">
        <v>0</v>
      </c>
      <c r="F114" s="151">
        <v>0</v>
      </c>
      <c r="G114" s="151">
        <v>0</v>
      </c>
      <c r="H114" s="151">
        <v>0</v>
      </c>
      <c r="I114" s="151">
        <v>0</v>
      </c>
      <c r="J114" s="151">
        <v>0</v>
      </c>
      <c r="K114" s="151">
        <v>0</v>
      </c>
      <c r="L114" s="151">
        <v>0</v>
      </c>
      <c r="M114" s="151">
        <v>0</v>
      </c>
      <c r="N114" s="151">
        <v>0</v>
      </c>
      <c r="O114" s="151">
        <v>0</v>
      </c>
      <c r="P114" s="151">
        <v>839.47</v>
      </c>
      <c r="Q114" s="151">
        <v>0</v>
      </c>
      <c r="R114" s="151">
        <v>0</v>
      </c>
      <c r="S114" s="151">
        <v>0</v>
      </c>
      <c r="T114" s="151">
        <v>0</v>
      </c>
      <c r="U114" s="151">
        <v>0</v>
      </c>
      <c r="V114" s="151">
        <v>-325</v>
      </c>
      <c r="W114" s="151">
        <v>0</v>
      </c>
      <c r="X114" s="151">
        <v>0</v>
      </c>
      <c r="Y114" s="151">
        <v>0</v>
      </c>
      <c r="Z114" s="151">
        <v>0</v>
      </c>
      <c r="AA114" s="151">
        <v>0</v>
      </c>
      <c r="AB114" s="151">
        <v>0</v>
      </c>
      <c r="AC114" s="151">
        <v>0</v>
      </c>
      <c r="AD114" s="151">
        <v>0</v>
      </c>
      <c r="AE114" s="151">
        <v>0</v>
      </c>
      <c r="AF114" s="151">
        <v>0</v>
      </c>
      <c r="AG114" s="151">
        <v>0</v>
      </c>
      <c r="AH114" s="151">
        <v>0</v>
      </c>
      <c r="AI114" s="151">
        <v>0</v>
      </c>
      <c r="AJ114" s="151">
        <v>0</v>
      </c>
      <c r="AK114" s="151">
        <v>0</v>
      </c>
      <c r="AL114" s="151">
        <v>514.47</v>
      </c>
    </row>
    <row r="115" spans="1:38" s="117" customFormat="1" ht="15" customHeight="1" x14ac:dyDescent="0.2">
      <c r="A115" s="123" t="s">
        <v>542</v>
      </c>
      <c r="B115" s="124" t="s">
        <v>807</v>
      </c>
      <c r="C115" s="151">
        <v>0</v>
      </c>
      <c r="D115" s="151">
        <v>0</v>
      </c>
      <c r="E115" s="151">
        <v>0</v>
      </c>
      <c r="F115" s="151">
        <v>0</v>
      </c>
      <c r="G115" s="151">
        <v>810.92</v>
      </c>
      <c r="H115" s="151">
        <v>0</v>
      </c>
      <c r="I115" s="151">
        <v>0</v>
      </c>
      <c r="J115" s="151">
        <v>0</v>
      </c>
      <c r="K115" s="151">
        <v>0</v>
      </c>
      <c r="L115" s="151">
        <v>0</v>
      </c>
      <c r="M115" s="151">
        <v>0</v>
      </c>
      <c r="N115" s="151">
        <v>218</v>
      </c>
      <c r="O115" s="151">
        <v>0</v>
      </c>
      <c r="P115" s="151">
        <v>0</v>
      </c>
      <c r="Q115" s="151">
        <v>0</v>
      </c>
      <c r="R115" s="151">
        <v>1457.35</v>
      </c>
      <c r="S115" s="151">
        <v>255</v>
      </c>
      <c r="T115" s="151">
        <v>0</v>
      </c>
      <c r="U115" s="151">
        <v>0</v>
      </c>
      <c r="V115" s="151">
        <v>0</v>
      </c>
      <c r="W115" s="151">
        <v>0</v>
      </c>
      <c r="X115" s="151">
        <v>0</v>
      </c>
      <c r="Y115" s="151">
        <v>0</v>
      </c>
      <c r="Z115" s="151">
        <v>0</v>
      </c>
      <c r="AA115" s="151">
        <v>0</v>
      </c>
      <c r="AB115" s="151">
        <v>0</v>
      </c>
      <c r="AC115" s="151">
        <v>0</v>
      </c>
      <c r="AD115" s="151">
        <v>0</v>
      </c>
      <c r="AE115" s="151">
        <v>0</v>
      </c>
      <c r="AF115" s="151">
        <v>0</v>
      </c>
      <c r="AG115" s="151">
        <v>0</v>
      </c>
      <c r="AH115" s="151">
        <v>0</v>
      </c>
      <c r="AI115" s="151">
        <v>0</v>
      </c>
      <c r="AJ115" s="151">
        <v>0</v>
      </c>
      <c r="AK115" s="151">
        <v>0</v>
      </c>
      <c r="AL115" s="151">
        <v>2741.27</v>
      </c>
    </row>
    <row r="116" spans="1:38" s="117" customFormat="1" ht="15" customHeight="1" x14ac:dyDescent="0.2">
      <c r="A116" s="123" t="s">
        <v>562</v>
      </c>
      <c r="B116" s="124" t="s">
        <v>806</v>
      </c>
      <c r="C116" s="151">
        <v>299</v>
      </c>
      <c r="D116" s="151">
        <v>0</v>
      </c>
      <c r="E116" s="151">
        <v>0</v>
      </c>
      <c r="F116" s="151">
        <v>0</v>
      </c>
      <c r="G116" s="151">
        <v>0</v>
      </c>
      <c r="H116" s="151">
        <v>0</v>
      </c>
      <c r="I116" s="151">
        <v>0</v>
      </c>
      <c r="J116" s="151">
        <v>0</v>
      </c>
      <c r="K116" s="151">
        <v>0</v>
      </c>
      <c r="L116" s="151">
        <v>0</v>
      </c>
      <c r="M116" s="151">
        <v>0</v>
      </c>
      <c r="N116" s="151">
        <v>0</v>
      </c>
      <c r="O116" s="151">
        <v>0</v>
      </c>
      <c r="P116" s="151">
        <v>685</v>
      </c>
      <c r="Q116" s="151">
        <v>0</v>
      </c>
      <c r="R116" s="151">
        <v>0</v>
      </c>
      <c r="S116" s="151">
        <v>0</v>
      </c>
      <c r="T116" s="151">
        <v>0</v>
      </c>
      <c r="U116" s="151">
        <v>0</v>
      </c>
      <c r="V116" s="151">
        <v>0</v>
      </c>
      <c r="W116" s="151">
        <v>0</v>
      </c>
      <c r="X116" s="151">
        <v>0</v>
      </c>
      <c r="Y116" s="151">
        <v>609.42999999999995</v>
      </c>
      <c r="Z116" s="151">
        <v>0</v>
      </c>
      <c r="AA116" s="151">
        <v>0</v>
      </c>
      <c r="AB116" s="151">
        <v>0</v>
      </c>
      <c r="AC116" s="151">
        <v>0</v>
      </c>
      <c r="AD116" s="151">
        <v>0</v>
      </c>
      <c r="AE116" s="151">
        <v>0</v>
      </c>
      <c r="AF116" s="151">
        <v>0</v>
      </c>
      <c r="AG116" s="151">
        <v>0</v>
      </c>
      <c r="AH116" s="151">
        <v>0</v>
      </c>
      <c r="AI116" s="151">
        <v>52.58</v>
      </c>
      <c r="AJ116" s="151">
        <v>0</v>
      </c>
      <c r="AK116" s="151">
        <v>0</v>
      </c>
      <c r="AL116" s="151">
        <v>1646.01</v>
      </c>
    </row>
    <row r="117" spans="1:38" s="117" customFormat="1" ht="15" customHeight="1" x14ac:dyDescent="0.2">
      <c r="A117" s="123" t="s">
        <v>543</v>
      </c>
      <c r="B117" s="124" t="s">
        <v>805</v>
      </c>
      <c r="C117" s="151">
        <v>0</v>
      </c>
      <c r="D117" s="151">
        <v>0</v>
      </c>
      <c r="E117" s="151">
        <v>0</v>
      </c>
      <c r="F117" s="151">
        <v>0</v>
      </c>
      <c r="G117" s="151">
        <v>0</v>
      </c>
      <c r="H117" s="151">
        <v>0</v>
      </c>
      <c r="I117" s="151">
        <v>0</v>
      </c>
      <c r="J117" s="151">
        <v>0</v>
      </c>
      <c r="K117" s="151">
        <v>0</v>
      </c>
      <c r="L117" s="151">
        <v>0</v>
      </c>
      <c r="M117" s="151">
        <v>0</v>
      </c>
      <c r="N117" s="151">
        <v>0</v>
      </c>
      <c r="O117" s="151">
        <v>0</v>
      </c>
      <c r="P117" s="151">
        <v>0</v>
      </c>
      <c r="Q117" s="151">
        <v>4144.5</v>
      </c>
      <c r="R117" s="151">
        <v>0</v>
      </c>
      <c r="S117" s="151">
        <v>0</v>
      </c>
      <c r="T117" s="151">
        <v>0</v>
      </c>
      <c r="U117" s="151">
        <v>0</v>
      </c>
      <c r="V117" s="151">
        <v>0</v>
      </c>
      <c r="W117" s="151">
        <v>0</v>
      </c>
      <c r="X117" s="151">
        <v>0</v>
      </c>
      <c r="Y117" s="151">
        <v>0</v>
      </c>
      <c r="Z117" s="151">
        <v>0</v>
      </c>
      <c r="AA117" s="151">
        <v>0</v>
      </c>
      <c r="AB117" s="151">
        <v>0</v>
      </c>
      <c r="AC117" s="151">
        <v>0</v>
      </c>
      <c r="AD117" s="151">
        <v>0</v>
      </c>
      <c r="AE117" s="151">
        <v>0</v>
      </c>
      <c r="AF117" s="151">
        <v>0</v>
      </c>
      <c r="AG117" s="151">
        <v>0</v>
      </c>
      <c r="AH117" s="151">
        <v>0</v>
      </c>
      <c r="AI117" s="151">
        <v>0</v>
      </c>
      <c r="AJ117" s="151">
        <v>0</v>
      </c>
      <c r="AK117" s="151">
        <v>0</v>
      </c>
      <c r="AL117" s="151">
        <v>4144.5</v>
      </c>
    </row>
    <row r="118" spans="1:38" s="117" customFormat="1" ht="15" customHeight="1" x14ac:dyDescent="0.2">
      <c r="A118" s="123" t="s">
        <v>544</v>
      </c>
      <c r="B118" s="124" t="s">
        <v>804</v>
      </c>
      <c r="C118" s="151">
        <v>0</v>
      </c>
      <c r="D118" s="151">
        <v>0</v>
      </c>
      <c r="E118" s="151">
        <v>0</v>
      </c>
      <c r="F118" s="151">
        <v>0</v>
      </c>
      <c r="G118" s="151">
        <v>0</v>
      </c>
      <c r="H118" s="151">
        <v>0</v>
      </c>
      <c r="I118" s="151">
        <v>0</v>
      </c>
      <c r="J118" s="151">
        <v>0</v>
      </c>
      <c r="K118" s="151">
        <v>0</v>
      </c>
      <c r="L118" s="151">
        <v>0</v>
      </c>
      <c r="M118" s="151">
        <v>0</v>
      </c>
      <c r="N118" s="151">
        <v>0</v>
      </c>
      <c r="O118" s="151">
        <v>0</v>
      </c>
      <c r="P118" s="151">
        <v>0</v>
      </c>
      <c r="Q118" s="151">
        <v>464.07</v>
      </c>
      <c r="R118" s="151">
        <v>871.5</v>
      </c>
      <c r="S118" s="151">
        <v>0</v>
      </c>
      <c r="T118" s="151">
        <v>0</v>
      </c>
      <c r="U118" s="151">
        <v>0</v>
      </c>
      <c r="V118" s="151">
        <v>0</v>
      </c>
      <c r="W118" s="151">
        <v>0</v>
      </c>
      <c r="X118" s="151">
        <v>0</v>
      </c>
      <c r="Y118" s="151">
        <v>2243.85</v>
      </c>
      <c r="Z118" s="151">
        <v>0</v>
      </c>
      <c r="AA118" s="151">
        <v>0</v>
      </c>
      <c r="AB118" s="151">
        <v>0</v>
      </c>
      <c r="AC118" s="151">
        <v>626.59</v>
      </c>
      <c r="AD118" s="151">
        <v>139.91999999999999</v>
      </c>
      <c r="AE118" s="151">
        <v>9516.9599999999991</v>
      </c>
      <c r="AF118" s="151">
        <v>9516.9599999999991</v>
      </c>
      <c r="AG118" s="151">
        <v>0</v>
      </c>
      <c r="AH118" s="151">
        <v>92.16</v>
      </c>
      <c r="AI118" s="151">
        <v>0</v>
      </c>
      <c r="AJ118" s="151">
        <v>0</v>
      </c>
      <c r="AK118" s="151">
        <v>0</v>
      </c>
      <c r="AL118" s="151">
        <v>23472.01</v>
      </c>
    </row>
    <row r="119" spans="1:38" s="117" customFormat="1" ht="15" customHeight="1" x14ac:dyDescent="0.2">
      <c r="A119" s="123" t="s">
        <v>350</v>
      </c>
      <c r="B119" s="124" t="s">
        <v>803</v>
      </c>
      <c r="C119" s="151">
        <v>1627</v>
      </c>
      <c r="D119" s="151">
        <v>392.74</v>
      </c>
      <c r="E119" s="151">
        <v>1075</v>
      </c>
      <c r="F119" s="151">
        <v>2821.63</v>
      </c>
      <c r="G119" s="151">
        <v>3850</v>
      </c>
      <c r="H119" s="151">
        <v>457.81</v>
      </c>
      <c r="I119" s="151">
        <v>400</v>
      </c>
      <c r="J119" s="151">
        <v>200</v>
      </c>
      <c r="K119" s="151">
        <v>0</v>
      </c>
      <c r="L119" s="151">
        <v>0</v>
      </c>
      <c r="M119" s="151">
        <v>636</v>
      </c>
      <c r="N119" s="151">
        <v>400</v>
      </c>
      <c r="O119" s="151">
        <v>0</v>
      </c>
      <c r="P119" s="151">
        <v>466.4</v>
      </c>
      <c r="Q119" s="151">
        <v>0</v>
      </c>
      <c r="R119" s="151">
        <v>0</v>
      </c>
      <c r="S119" s="151">
        <v>402.8</v>
      </c>
      <c r="T119" s="151">
        <v>1060</v>
      </c>
      <c r="U119" s="151">
        <v>2799.72</v>
      </c>
      <c r="V119" s="151">
        <v>1850</v>
      </c>
      <c r="W119" s="151">
        <v>200</v>
      </c>
      <c r="X119" s="151">
        <v>1128.96</v>
      </c>
      <c r="Y119" s="151">
        <v>1850</v>
      </c>
      <c r="Z119" s="151">
        <v>0</v>
      </c>
      <c r="AA119" s="151">
        <v>0</v>
      </c>
      <c r="AB119" s="151">
        <v>0</v>
      </c>
      <c r="AC119" s="151">
        <v>1140.0999999999999</v>
      </c>
      <c r="AD119" s="151">
        <v>2518.9</v>
      </c>
      <c r="AE119" s="151">
        <v>1475</v>
      </c>
      <c r="AF119" s="151">
        <v>1675</v>
      </c>
      <c r="AG119" s="151">
        <v>0</v>
      </c>
      <c r="AH119" s="151">
        <v>0</v>
      </c>
      <c r="AI119" s="151">
        <v>2250</v>
      </c>
      <c r="AJ119" s="151">
        <v>2800</v>
      </c>
      <c r="AK119" s="151">
        <v>0</v>
      </c>
      <c r="AL119" s="151">
        <v>33477.06</v>
      </c>
    </row>
    <row r="120" spans="1:38" s="117" customFormat="1" ht="15" customHeight="1" x14ac:dyDescent="0.2">
      <c r="A120" s="123" t="s">
        <v>351</v>
      </c>
      <c r="B120" s="124" t="s">
        <v>802</v>
      </c>
      <c r="C120" s="151">
        <v>0</v>
      </c>
      <c r="D120" s="151">
        <v>0</v>
      </c>
      <c r="E120" s="151">
        <v>0</v>
      </c>
      <c r="F120" s="151">
        <v>0</v>
      </c>
      <c r="G120" s="151">
        <v>0</v>
      </c>
      <c r="H120" s="151">
        <v>0</v>
      </c>
      <c r="I120" s="151">
        <v>0</v>
      </c>
      <c r="J120" s="151">
        <v>0</v>
      </c>
      <c r="K120" s="151">
        <v>0</v>
      </c>
      <c r="L120" s="151">
        <v>225</v>
      </c>
      <c r="M120" s="151">
        <v>0</v>
      </c>
      <c r="N120" s="151">
        <v>345</v>
      </c>
      <c r="O120" s="151">
        <v>0</v>
      </c>
      <c r="P120" s="151">
        <v>0</v>
      </c>
      <c r="Q120" s="151">
        <v>497.3</v>
      </c>
      <c r="R120" s="151">
        <v>0</v>
      </c>
      <c r="S120" s="151">
        <v>0</v>
      </c>
      <c r="T120" s="151">
        <v>2195.8000000000002</v>
      </c>
      <c r="U120" s="151">
        <v>260</v>
      </c>
      <c r="V120" s="151">
        <v>7.98</v>
      </c>
      <c r="W120" s="151">
        <v>225</v>
      </c>
      <c r="X120" s="151">
        <v>0</v>
      </c>
      <c r="Y120" s="151">
        <v>100</v>
      </c>
      <c r="Z120" s="151">
        <v>0</v>
      </c>
      <c r="AA120" s="151">
        <v>0</v>
      </c>
      <c r="AB120" s="151">
        <v>0</v>
      </c>
      <c r="AC120" s="151">
        <v>745.26</v>
      </c>
      <c r="AD120" s="151">
        <v>101.9</v>
      </c>
      <c r="AE120" s="151">
        <v>154.19999999999999</v>
      </c>
      <c r="AF120" s="151">
        <v>164.3</v>
      </c>
      <c r="AG120" s="151">
        <v>118.95</v>
      </c>
      <c r="AH120" s="151">
        <v>1733.74</v>
      </c>
      <c r="AI120" s="151">
        <v>120</v>
      </c>
      <c r="AJ120" s="151">
        <v>0</v>
      </c>
      <c r="AK120" s="151">
        <v>0</v>
      </c>
      <c r="AL120" s="151">
        <v>6994.43</v>
      </c>
    </row>
    <row r="121" spans="1:38" s="117" customFormat="1" ht="15" customHeight="1" x14ac:dyDescent="0.2">
      <c r="A121" s="123" t="s">
        <v>352</v>
      </c>
      <c r="B121" s="124" t="s">
        <v>801</v>
      </c>
      <c r="C121" s="151">
        <v>621.44000000000005</v>
      </c>
      <c r="D121" s="151">
        <v>335.77</v>
      </c>
      <c r="E121" s="151">
        <v>285.29000000000002</v>
      </c>
      <c r="F121" s="151">
        <v>596.45000000000005</v>
      </c>
      <c r="G121" s="151">
        <v>1531.94</v>
      </c>
      <c r="H121" s="151">
        <v>1896.22</v>
      </c>
      <c r="I121" s="151">
        <v>0</v>
      </c>
      <c r="J121" s="151">
        <v>0</v>
      </c>
      <c r="K121" s="151">
        <v>710.19</v>
      </c>
      <c r="L121" s="151">
        <v>206.4</v>
      </c>
      <c r="M121" s="151">
        <v>147.32</v>
      </c>
      <c r="N121" s="151">
        <v>0</v>
      </c>
      <c r="O121" s="151">
        <v>480.89</v>
      </c>
      <c r="P121" s="151">
        <v>275.07</v>
      </c>
      <c r="Q121" s="151">
        <v>3700</v>
      </c>
      <c r="R121" s="151">
        <v>425.43</v>
      </c>
      <c r="S121" s="151">
        <v>26.19</v>
      </c>
      <c r="T121" s="151">
        <v>4363.09</v>
      </c>
      <c r="U121" s="151">
        <v>1808.18</v>
      </c>
      <c r="V121" s="151">
        <v>196.56</v>
      </c>
      <c r="W121" s="151">
        <v>217.53</v>
      </c>
      <c r="X121" s="151">
        <v>667.92</v>
      </c>
      <c r="Y121" s="151">
        <v>133.74</v>
      </c>
      <c r="Z121" s="151">
        <v>0</v>
      </c>
      <c r="AA121" s="151">
        <v>267.27</v>
      </c>
      <c r="AB121" s="151">
        <v>1525</v>
      </c>
      <c r="AC121" s="151">
        <v>1024.74</v>
      </c>
      <c r="AD121" s="151">
        <v>6164.35</v>
      </c>
      <c r="AE121" s="151">
        <v>1775</v>
      </c>
      <c r="AF121" s="151">
        <v>2725</v>
      </c>
      <c r="AG121" s="151">
        <v>4213</v>
      </c>
      <c r="AH121" s="151">
        <v>3313.63</v>
      </c>
      <c r="AI121" s="151">
        <v>1495.44</v>
      </c>
      <c r="AJ121" s="151">
        <v>561.95000000000005</v>
      </c>
      <c r="AK121" s="151">
        <v>281.87</v>
      </c>
      <c r="AL121" s="151">
        <v>41972.87</v>
      </c>
    </row>
    <row r="122" spans="1:38" s="117" customFormat="1" ht="15" customHeight="1" x14ac:dyDescent="0.2">
      <c r="A122" s="123" t="s">
        <v>353</v>
      </c>
      <c r="B122" s="124" t="s">
        <v>800</v>
      </c>
      <c r="C122" s="151">
        <v>0</v>
      </c>
      <c r="D122" s="151">
        <v>0</v>
      </c>
      <c r="E122" s="151">
        <v>0</v>
      </c>
      <c r="F122" s="151">
        <v>0</v>
      </c>
      <c r="G122" s="151">
        <v>0</v>
      </c>
      <c r="H122" s="151">
        <v>0</v>
      </c>
      <c r="I122" s="151">
        <v>0</v>
      </c>
      <c r="J122" s="151">
        <v>0</v>
      </c>
      <c r="K122" s="151">
        <v>0</v>
      </c>
      <c r="L122" s="151">
        <v>0</v>
      </c>
      <c r="M122" s="151">
        <v>0</v>
      </c>
      <c r="N122" s="151">
        <v>0</v>
      </c>
      <c r="O122" s="151">
        <v>0</v>
      </c>
      <c r="P122" s="151">
        <v>0</v>
      </c>
      <c r="Q122" s="151">
        <v>2067</v>
      </c>
      <c r="R122" s="151">
        <v>0</v>
      </c>
      <c r="S122" s="151">
        <v>0</v>
      </c>
      <c r="T122" s="151">
        <v>0</v>
      </c>
      <c r="U122" s="151">
        <v>0</v>
      </c>
      <c r="V122" s="151">
        <v>0</v>
      </c>
      <c r="W122" s="151">
        <v>219</v>
      </c>
      <c r="X122" s="151">
        <v>0</v>
      </c>
      <c r="Y122" s="151">
        <v>0</v>
      </c>
      <c r="Z122" s="151">
        <v>0</v>
      </c>
      <c r="AA122" s="151">
        <v>0</v>
      </c>
      <c r="AB122" s="151">
        <v>0</v>
      </c>
      <c r="AC122" s="151">
        <v>125</v>
      </c>
      <c r="AD122" s="151">
        <v>386.9</v>
      </c>
      <c r="AE122" s="151">
        <v>200</v>
      </c>
      <c r="AF122" s="151">
        <v>400</v>
      </c>
      <c r="AG122" s="151">
        <v>0</v>
      </c>
      <c r="AH122" s="151">
        <v>1810</v>
      </c>
      <c r="AI122" s="151">
        <v>0</v>
      </c>
      <c r="AJ122" s="151">
        <v>0</v>
      </c>
      <c r="AK122" s="151">
        <v>0</v>
      </c>
      <c r="AL122" s="151">
        <v>5207.8999999999996</v>
      </c>
    </row>
    <row r="123" spans="1:38" s="117" customFormat="1" ht="15" customHeight="1" x14ac:dyDescent="0.2">
      <c r="A123" s="123" t="s">
        <v>354</v>
      </c>
      <c r="B123" s="124" t="s">
        <v>799</v>
      </c>
      <c r="C123" s="151">
        <v>0</v>
      </c>
      <c r="D123" s="151">
        <v>0</v>
      </c>
      <c r="E123" s="151">
        <v>0</v>
      </c>
      <c r="F123" s="151">
        <v>0</v>
      </c>
      <c r="G123" s="151">
        <v>0</v>
      </c>
      <c r="H123" s="151">
        <v>0</v>
      </c>
      <c r="I123" s="151">
        <v>0</v>
      </c>
      <c r="J123" s="151">
        <v>0</v>
      </c>
      <c r="K123" s="151">
        <v>0</v>
      </c>
      <c r="L123" s="151">
        <v>0</v>
      </c>
      <c r="M123" s="151">
        <v>0</v>
      </c>
      <c r="N123" s="151">
        <v>0</v>
      </c>
      <c r="O123" s="151">
        <v>0</v>
      </c>
      <c r="P123" s="151">
        <v>0</v>
      </c>
      <c r="Q123" s="151">
        <v>0</v>
      </c>
      <c r="R123" s="151">
        <v>0</v>
      </c>
      <c r="S123" s="151">
        <v>0</v>
      </c>
      <c r="T123" s="151">
        <v>250</v>
      </c>
      <c r="U123" s="151">
        <v>0</v>
      </c>
      <c r="V123" s="151">
        <v>0</v>
      </c>
      <c r="W123" s="151">
        <v>0</v>
      </c>
      <c r="X123" s="151">
        <v>0</v>
      </c>
      <c r="Y123" s="151">
        <v>0</v>
      </c>
      <c r="Z123" s="151">
        <v>0</v>
      </c>
      <c r="AA123" s="151">
        <v>0</v>
      </c>
      <c r="AB123" s="151">
        <v>0</v>
      </c>
      <c r="AC123" s="151">
        <v>0</v>
      </c>
      <c r="AD123" s="151">
        <v>0</v>
      </c>
      <c r="AE123" s="151">
        <v>0</v>
      </c>
      <c r="AF123" s="151">
        <v>0</v>
      </c>
      <c r="AG123" s="151">
        <v>0</v>
      </c>
      <c r="AH123" s="151">
        <v>0</v>
      </c>
      <c r="AI123" s="151">
        <v>0</v>
      </c>
      <c r="AJ123" s="151">
        <v>0</v>
      </c>
      <c r="AK123" s="151">
        <v>0</v>
      </c>
      <c r="AL123" s="151">
        <v>250</v>
      </c>
    </row>
    <row r="124" spans="1:38" s="117" customFormat="1" ht="15" customHeight="1" x14ac:dyDescent="0.2">
      <c r="A124" s="123" t="s">
        <v>798</v>
      </c>
      <c r="B124" s="124" t="s">
        <v>797</v>
      </c>
      <c r="C124" s="151">
        <v>0</v>
      </c>
      <c r="D124" s="151">
        <v>0</v>
      </c>
      <c r="E124" s="151">
        <v>0</v>
      </c>
      <c r="F124" s="151">
        <v>0</v>
      </c>
      <c r="G124" s="151">
        <v>0</v>
      </c>
      <c r="H124" s="151">
        <v>0</v>
      </c>
      <c r="I124" s="151">
        <v>0</v>
      </c>
      <c r="J124" s="151">
        <v>0</v>
      </c>
      <c r="K124" s="151">
        <v>0</v>
      </c>
      <c r="L124" s="151">
        <v>0</v>
      </c>
      <c r="M124" s="151">
        <v>0</v>
      </c>
      <c r="N124" s="151">
        <v>0</v>
      </c>
      <c r="O124" s="151">
        <v>0</v>
      </c>
      <c r="P124" s="151">
        <v>0</v>
      </c>
      <c r="Q124" s="151">
        <v>0</v>
      </c>
      <c r="R124" s="151">
        <v>0</v>
      </c>
      <c r="S124" s="151">
        <v>0</v>
      </c>
      <c r="T124" s="151">
        <v>175</v>
      </c>
      <c r="U124" s="151">
        <v>0</v>
      </c>
      <c r="V124" s="151">
        <v>0</v>
      </c>
      <c r="W124" s="151">
        <v>0</v>
      </c>
      <c r="X124" s="151">
        <v>0</v>
      </c>
      <c r="Y124" s="151">
        <v>0</v>
      </c>
      <c r="Z124" s="151">
        <v>0</v>
      </c>
      <c r="AA124" s="151">
        <v>0</v>
      </c>
      <c r="AB124" s="151">
        <v>0</v>
      </c>
      <c r="AC124" s="151">
        <v>0</v>
      </c>
      <c r="AD124" s="151">
        <v>0</v>
      </c>
      <c r="AE124" s="151">
        <v>0</v>
      </c>
      <c r="AF124" s="151">
        <v>0</v>
      </c>
      <c r="AG124" s="151">
        <v>0</v>
      </c>
      <c r="AH124" s="151">
        <v>0</v>
      </c>
      <c r="AI124" s="151">
        <v>0</v>
      </c>
      <c r="AJ124" s="151">
        <v>0</v>
      </c>
      <c r="AK124" s="151">
        <v>0</v>
      </c>
      <c r="AL124" s="151">
        <v>175</v>
      </c>
    </row>
    <row r="125" spans="1:38" s="117" customFormat="1" ht="15" customHeight="1" x14ac:dyDescent="0.2">
      <c r="A125" s="123" t="s">
        <v>355</v>
      </c>
      <c r="B125" s="124" t="s">
        <v>796</v>
      </c>
      <c r="C125" s="151">
        <v>7541.08</v>
      </c>
      <c r="D125" s="151">
        <v>7032.17</v>
      </c>
      <c r="E125" s="151">
        <v>7450.11</v>
      </c>
      <c r="F125" s="151">
        <v>12464.98</v>
      </c>
      <c r="G125" s="151">
        <v>15584.65</v>
      </c>
      <c r="H125" s="151">
        <v>18719.650000000001</v>
      </c>
      <c r="I125" s="151">
        <v>12144.15</v>
      </c>
      <c r="J125" s="151">
        <v>9869.18</v>
      </c>
      <c r="K125" s="151">
        <v>8439.85</v>
      </c>
      <c r="L125" s="151">
        <v>7518.79</v>
      </c>
      <c r="M125" s="151">
        <v>7488.76</v>
      </c>
      <c r="N125" s="151">
        <v>10900</v>
      </c>
      <c r="O125" s="151">
        <v>8780.9500000000007</v>
      </c>
      <c r="P125" s="151">
        <v>6347.98</v>
      </c>
      <c r="Q125" s="151">
        <v>6167.31</v>
      </c>
      <c r="R125" s="151">
        <v>11167.38</v>
      </c>
      <c r="S125" s="151">
        <v>5552.44</v>
      </c>
      <c r="T125" s="151">
        <v>4776.6000000000004</v>
      </c>
      <c r="U125" s="151">
        <v>11656.09</v>
      </c>
      <c r="V125" s="151">
        <v>5765.65</v>
      </c>
      <c r="W125" s="151">
        <v>5737.38</v>
      </c>
      <c r="X125" s="151">
        <v>8982.9500000000007</v>
      </c>
      <c r="Y125" s="151">
        <v>13738.45</v>
      </c>
      <c r="Z125" s="151">
        <v>6649.09</v>
      </c>
      <c r="AA125" s="151">
        <v>13291.72</v>
      </c>
      <c r="AB125" s="151">
        <v>4553.6499999999996</v>
      </c>
      <c r="AC125" s="151">
        <v>6968.57</v>
      </c>
      <c r="AD125" s="151">
        <v>5959.56</v>
      </c>
      <c r="AE125" s="151">
        <v>8873.9699999999993</v>
      </c>
      <c r="AF125" s="151">
        <v>7130.72</v>
      </c>
      <c r="AG125" s="151">
        <v>14882.46</v>
      </c>
      <c r="AH125" s="151">
        <v>4055.24</v>
      </c>
      <c r="AI125" s="151">
        <v>8244.98</v>
      </c>
      <c r="AJ125" s="151">
        <v>9477.44</v>
      </c>
      <c r="AK125" s="151">
        <v>10141.049999999999</v>
      </c>
      <c r="AL125" s="151">
        <v>314055</v>
      </c>
    </row>
    <row r="126" spans="1:38" s="117" customFormat="1" ht="15" customHeight="1" x14ac:dyDescent="0.2">
      <c r="A126" s="123" t="s">
        <v>561</v>
      </c>
      <c r="B126" s="124" t="s">
        <v>795</v>
      </c>
      <c r="C126" s="151">
        <v>0</v>
      </c>
      <c r="D126" s="151">
        <v>145.04</v>
      </c>
      <c r="E126" s="151">
        <v>801.29</v>
      </c>
      <c r="F126" s="151">
        <v>0</v>
      </c>
      <c r="G126" s="151">
        <v>0</v>
      </c>
      <c r="H126" s="151">
        <v>0</v>
      </c>
      <c r="I126" s="151">
        <v>634.52</v>
      </c>
      <c r="J126" s="151">
        <v>0</v>
      </c>
      <c r="K126" s="151">
        <v>120.2</v>
      </c>
      <c r="L126" s="151">
        <v>0</v>
      </c>
      <c r="M126" s="151">
        <v>0</v>
      </c>
      <c r="N126" s="151">
        <v>0</v>
      </c>
      <c r="O126" s="151">
        <v>0</v>
      </c>
      <c r="P126" s="151">
        <v>0</v>
      </c>
      <c r="Q126" s="151">
        <v>0</v>
      </c>
      <c r="R126" s="151">
        <v>594.79</v>
      </c>
      <c r="S126" s="151">
        <v>0</v>
      </c>
      <c r="T126" s="151">
        <v>0</v>
      </c>
      <c r="U126" s="151">
        <v>0</v>
      </c>
      <c r="V126" s="151">
        <v>0</v>
      </c>
      <c r="W126" s="151">
        <v>0</v>
      </c>
      <c r="X126" s="151">
        <v>0</v>
      </c>
      <c r="Y126" s="151">
        <v>15480.05</v>
      </c>
      <c r="Z126" s="151">
        <v>0</v>
      </c>
      <c r="AA126" s="151">
        <v>0</v>
      </c>
      <c r="AB126" s="151">
        <v>0</v>
      </c>
      <c r="AC126" s="151">
        <v>0</v>
      </c>
      <c r="AD126" s="151">
        <v>0</v>
      </c>
      <c r="AE126" s="151">
        <v>0</v>
      </c>
      <c r="AF126" s="151">
        <v>0</v>
      </c>
      <c r="AG126" s="151">
        <v>5307.62</v>
      </c>
      <c r="AH126" s="151">
        <v>0</v>
      </c>
      <c r="AI126" s="151">
        <v>0</v>
      </c>
      <c r="AJ126" s="151">
        <v>0</v>
      </c>
      <c r="AK126" s="151">
        <v>0</v>
      </c>
      <c r="AL126" s="151">
        <v>23083.51</v>
      </c>
    </row>
    <row r="127" spans="1:38" s="117" customFormat="1" ht="15" customHeight="1" x14ac:dyDescent="0.2">
      <c r="A127" s="123" t="s">
        <v>356</v>
      </c>
      <c r="B127" s="124" t="s">
        <v>794</v>
      </c>
      <c r="C127" s="151">
        <v>14505.71</v>
      </c>
      <c r="D127" s="151">
        <v>16714.900000000001</v>
      </c>
      <c r="E127" s="151">
        <v>9857.26</v>
      </c>
      <c r="F127" s="151">
        <v>3312.9</v>
      </c>
      <c r="G127" s="151">
        <v>24104.45</v>
      </c>
      <c r="H127" s="151">
        <v>-14634.69</v>
      </c>
      <c r="I127" s="151">
        <v>17259.990000000002</v>
      </c>
      <c r="J127" s="151">
        <v>6076.19</v>
      </c>
      <c r="K127" s="151">
        <v>27806.66</v>
      </c>
      <c r="L127" s="151">
        <v>2629.4</v>
      </c>
      <c r="M127" s="151">
        <v>16378.11</v>
      </c>
      <c r="N127" s="151">
        <v>8474.67</v>
      </c>
      <c r="O127" s="151">
        <v>830.47</v>
      </c>
      <c r="P127" s="151">
        <v>24188.32</v>
      </c>
      <c r="Q127" s="151">
        <v>30823.7</v>
      </c>
      <c r="R127" s="151">
        <v>3014.11</v>
      </c>
      <c r="S127" s="151">
        <v>20117.73</v>
      </c>
      <c r="T127" s="151">
        <v>37385.050000000003</v>
      </c>
      <c r="U127" s="151">
        <v>9203.67</v>
      </c>
      <c r="V127" s="151">
        <v>7780.04</v>
      </c>
      <c r="W127" s="151">
        <v>8009.52</v>
      </c>
      <c r="X127" s="151">
        <v>8206.36</v>
      </c>
      <c r="Y127" s="151">
        <v>14153.21</v>
      </c>
      <c r="Z127" s="151">
        <v>19634.12</v>
      </c>
      <c r="AA127" s="151">
        <v>3788.59</v>
      </c>
      <c r="AB127" s="151">
        <v>12293.45</v>
      </c>
      <c r="AC127" s="151">
        <v>18557.86</v>
      </c>
      <c r="AD127" s="151">
        <v>9698.4699999999993</v>
      </c>
      <c r="AE127" s="151">
        <v>20626.28</v>
      </c>
      <c r="AF127" s="151">
        <v>19268.3</v>
      </c>
      <c r="AG127" s="151">
        <v>1812.46</v>
      </c>
      <c r="AH127" s="151">
        <v>10846.82</v>
      </c>
      <c r="AI127" s="151">
        <v>1637.82</v>
      </c>
      <c r="AJ127" s="151">
        <v>2240.17</v>
      </c>
      <c r="AK127" s="151">
        <v>1077.72</v>
      </c>
      <c r="AL127" s="151">
        <v>417679.79</v>
      </c>
    </row>
    <row r="128" spans="1:38" s="117" customFormat="1" ht="15" customHeight="1" x14ac:dyDescent="0.2">
      <c r="A128" s="123" t="s">
        <v>357</v>
      </c>
      <c r="B128" s="124" t="s">
        <v>793</v>
      </c>
      <c r="C128" s="151">
        <v>2136.0100000000002</v>
      </c>
      <c r="D128" s="151">
        <v>2436.59</v>
      </c>
      <c r="E128" s="151">
        <v>1713.23</v>
      </c>
      <c r="F128" s="151">
        <v>1723.06</v>
      </c>
      <c r="G128" s="151">
        <v>1664.18</v>
      </c>
      <c r="H128" s="151">
        <v>2384.65</v>
      </c>
      <c r="I128" s="151">
        <v>882.29</v>
      </c>
      <c r="J128" s="151">
        <v>2626.87</v>
      </c>
      <c r="K128" s="151">
        <v>3438.1</v>
      </c>
      <c r="L128" s="151">
        <v>1141.44</v>
      </c>
      <c r="M128" s="151">
        <v>2360.44</v>
      </c>
      <c r="N128" s="151">
        <v>1344.95</v>
      </c>
      <c r="O128" s="151">
        <v>2029.18</v>
      </c>
      <c r="P128" s="151">
        <v>2050.89</v>
      </c>
      <c r="Q128" s="151">
        <v>3205.14</v>
      </c>
      <c r="R128" s="151">
        <v>2453.83</v>
      </c>
      <c r="S128" s="151">
        <v>2566.6999999999998</v>
      </c>
      <c r="T128" s="151">
        <v>1720.77</v>
      </c>
      <c r="U128" s="151">
        <v>2749.15</v>
      </c>
      <c r="V128" s="151">
        <v>1858.57</v>
      </c>
      <c r="W128" s="151">
        <v>1888.77</v>
      </c>
      <c r="X128" s="151">
        <v>1916.74</v>
      </c>
      <c r="Y128" s="151">
        <v>1302.2</v>
      </c>
      <c r="Z128" s="151">
        <v>2942.55</v>
      </c>
      <c r="AA128" s="151">
        <v>1542.31</v>
      </c>
      <c r="AB128" s="151">
        <v>2182.71</v>
      </c>
      <c r="AC128" s="151">
        <v>711.19</v>
      </c>
      <c r="AD128" s="151">
        <v>2518.6799999999998</v>
      </c>
      <c r="AE128" s="151">
        <v>1143.5</v>
      </c>
      <c r="AF128" s="151">
        <v>983.32</v>
      </c>
      <c r="AG128" s="151">
        <v>1548.42</v>
      </c>
      <c r="AH128" s="151">
        <v>2177.2199999999998</v>
      </c>
      <c r="AI128" s="151">
        <v>1846.22</v>
      </c>
      <c r="AJ128" s="151">
        <v>1974.94</v>
      </c>
      <c r="AK128" s="151">
        <v>1341.2</v>
      </c>
      <c r="AL128" s="151">
        <v>68506.009999999995</v>
      </c>
    </row>
    <row r="129" spans="1:38" s="117" customFormat="1" ht="15" customHeight="1" x14ac:dyDescent="0.2">
      <c r="A129" s="123" t="s">
        <v>358</v>
      </c>
      <c r="B129" s="124" t="s">
        <v>792</v>
      </c>
      <c r="C129" s="151">
        <v>191.74</v>
      </c>
      <c r="D129" s="151">
        <v>321.92</v>
      </c>
      <c r="E129" s="151">
        <v>291.7</v>
      </c>
      <c r="F129" s="151">
        <v>467.44</v>
      </c>
      <c r="G129" s="151">
        <v>643.94000000000005</v>
      </c>
      <c r="H129" s="151">
        <v>477.97</v>
      </c>
      <c r="I129" s="151">
        <v>287.83999999999997</v>
      </c>
      <c r="J129" s="151">
        <v>698.33</v>
      </c>
      <c r="K129" s="151">
        <v>419.92</v>
      </c>
      <c r="L129" s="151">
        <v>781.37</v>
      </c>
      <c r="M129" s="151">
        <v>619.26</v>
      </c>
      <c r="N129" s="151">
        <v>363.07</v>
      </c>
      <c r="O129" s="151">
        <v>258.41000000000003</v>
      </c>
      <c r="P129" s="151">
        <v>277.49</v>
      </c>
      <c r="Q129" s="151">
        <v>568.52</v>
      </c>
      <c r="R129" s="151">
        <v>339.26</v>
      </c>
      <c r="S129" s="151">
        <v>277.47000000000003</v>
      </c>
      <c r="T129" s="151">
        <v>336.85</v>
      </c>
      <c r="U129" s="151">
        <v>467.75</v>
      </c>
      <c r="V129" s="151">
        <v>568.91</v>
      </c>
      <c r="W129" s="151">
        <v>305.22000000000003</v>
      </c>
      <c r="X129" s="151">
        <v>220.42</v>
      </c>
      <c r="Y129" s="151">
        <v>878.41</v>
      </c>
      <c r="Z129" s="151">
        <v>381.92</v>
      </c>
      <c r="AA129" s="151">
        <v>258.41000000000003</v>
      </c>
      <c r="AB129" s="151">
        <v>323.52999999999997</v>
      </c>
      <c r="AC129" s="151">
        <v>286.02</v>
      </c>
      <c r="AD129" s="151">
        <v>305.67</v>
      </c>
      <c r="AE129" s="151">
        <v>71.97</v>
      </c>
      <c r="AF129" s="151">
        <v>71.959999999999994</v>
      </c>
      <c r="AG129" s="151">
        <v>1638.3</v>
      </c>
      <c r="AH129" s="151">
        <v>275.12</v>
      </c>
      <c r="AI129" s="151">
        <v>369.26</v>
      </c>
      <c r="AJ129" s="151">
        <v>459.92</v>
      </c>
      <c r="AK129" s="151">
        <v>238.04</v>
      </c>
      <c r="AL129" s="151">
        <v>14743.33</v>
      </c>
    </row>
    <row r="130" spans="1:38" s="117" customFormat="1" ht="15" customHeight="1" x14ac:dyDescent="0.2">
      <c r="A130" s="123" t="s">
        <v>359</v>
      </c>
      <c r="B130" s="124" t="s">
        <v>791</v>
      </c>
      <c r="C130" s="151">
        <v>1808.87</v>
      </c>
      <c r="D130" s="151">
        <v>356.48</v>
      </c>
      <c r="E130" s="151">
        <v>786.17</v>
      </c>
      <c r="F130" s="151">
        <v>576.69000000000005</v>
      </c>
      <c r="G130" s="151">
        <v>1039.06</v>
      </c>
      <c r="H130" s="151">
        <v>761.38</v>
      </c>
      <c r="I130" s="151">
        <v>524.75</v>
      </c>
      <c r="J130" s="151">
        <v>525.78</v>
      </c>
      <c r="K130" s="151">
        <v>327.72</v>
      </c>
      <c r="L130" s="151">
        <v>776.21</v>
      </c>
      <c r="M130" s="151">
        <v>1045.33</v>
      </c>
      <c r="N130" s="151">
        <v>841.34</v>
      </c>
      <c r="O130" s="151">
        <v>671.01</v>
      </c>
      <c r="P130" s="151">
        <v>1527.02</v>
      </c>
      <c r="Q130" s="151">
        <v>771.96</v>
      </c>
      <c r="R130" s="151">
        <v>1072.27</v>
      </c>
      <c r="S130" s="151">
        <v>1169.08</v>
      </c>
      <c r="T130" s="151">
        <v>477.14</v>
      </c>
      <c r="U130" s="151">
        <v>277.5</v>
      </c>
      <c r="V130" s="151">
        <v>1044.6400000000001</v>
      </c>
      <c r="W130" s="151">
        <v>362.19</v>
      </c>
      <c r="X130" s="151">
        <v>528.75</v>
      </c>
      <c r="Y130" s="151">
        <v>789.6</v>
      </c>
      <c r="Z130" s="151">
        <v>814.03</v>
      </c>
      <c r="AA130" s="151">
        <v>699.24</v>
      </c>
      <c r="AB130" s="151">
        <v>787.53</v>
      </c>
      <c r="AC130" s="151">
        <v>880.72</v>
      </c>
      <c r="AD130" s="151">
        <v>1130.93</v>
      </c>
      <c r="AE130" s="151">
        <v>549.89</v>
      </c>
      <c r="AF130" s="151">
        <v>566.47</v>
      </c>
      <c r="AG130" s="151">
        <v>597.66999999999996</v>
      </c>
      <c r="AH130" s="151">
        <v>680.67</v>
      </c>
      <c r="AI130" s="151">
        <v>1284.77</v>
      </c>
      <c r="AJ130" s="151">
        <v>899.96</v>
      </c>
      <c r="AK130" s="151">
        <v>621.74</v>
      </c>
      <c r="AL130" s="151">
        <v>27574.560000000001</v>
      </c>
    </row>
    <row r="131" spans="1:38" s="117" customFormat="1" ht="15" customHeight="1" x14ac:dyDescent="0.2">
      <c r="A131" s="123" t="s">
        <v>360</v>
      </c>
      <c r="B131" s="124" t="s">
        <v>790</v>
      </c>
      <c r="C131" s="151">
        <v>441.64</v>
      </c>
      <c r="D131" s="151">
        <v>0</v>
      </c>
      <c r="E131" s="151">
        <v>482.34</v>
      </c>
      <c r="F131" s="151">
        <v>0</v>
      </c>
      <c r="G131" s="151">
        <v>424.5</v>
      </c>
      <c r="H131" s="151">
        <v>0</v>
      </c>
      <c r="I131" s="151">
        <v>587.25</v>
      </c>
      <c r="J131" s="151">
        <v>243.68</v>
      </c>
      <c r="K131" s="151">
        <v>862.49</v>
      </c>
      <c r="L131" s="151">
        <v>55.65</v>
      </c>
      <c r="M131" s="151">
        <v>471.18</v>
      </c>
      <c r="N131" s="151">
        <v>658.02</v>
      </c>
      <c r="O131" s="151">
        <v>0</v>
      </c>
      <c r="P131" s="151">
        <v>179.47</v>
      </c>
      <c r="Q131" s="151">
        <v>0</v>
      </c>
      <c r="R131" s="151">
        <v>362.39</v>
      </c>
      <c r="S131" s="151">
        <v>549.35</v>
      </c>
      <c r="T131" s="151">
        <v>146.72999999999999</v>
      </c>
      <c r="U131" s="151">
        <v>0</v>
      </c>
      <c r="V131" s="151">
        <v>643.54999999999995</v>
      </c>
      <c r="W131" s="151">
        <v>0</v>
      </c>
      <c r="X131" s="151">
        <v>511.59</v>
      </c>
      <c r="Y131" s="151">
        <v>52.46</v>
      </c>
      <c r="Z131" s="151">
        <v>350.4</v>
      </c>
      <c r="AA131" s="151">
        <v>0</v>
      </c>
      <c r="AB131" s="151">
        <v>0</v>
      </c>
      <c r="AC131" s="151">
        <v>0</v>
      </c>
      <c r="AD131" s="151">
        <v>0</v>
      </c>
      <c r="AE131" s="151">
        <v>0</v>
      </c>
      <c r="AF131" s="151">
        <v>0</v>
      </c>
      <c r="AG131" s="151">
        <v>442.39</v>
      </c>
      <c r="AH131" s="151">
        <v>0</v>
      </c>
      <c r="AI131" s="151">
        <v>74.91</v>
      </c>
      <c r="AJ131" s="151">
        <v>392.25</v>
      </c>
      <c r="AK131" s="151">
        <v>262.27999999999997</v>
      </c>
      <c r="AL131" s="151">
        <v>8194.52</v>
      </c>
    </row>
    <row r="132" spans="1:38" s="117" customFormat="1" ht="15" customHeight="1" x14ac:dyDescent="0.2">
      <c r="A132" s="123" t="s">
        <v>361</v>
      </c>
      <c r="B132" s="124" t="s">
        <v>789</v>
      </c>
      <c r="C132" s="151">
        <v>497.52</v>
      </c>
      <c r="D132" s="151">
        <v>591.21</v>
      </c>
      <c r="E132" s="151">
        <v>563.46</v>
      </c>
      <c r="F132" s="151">
        <v>734.16</v>
      </c>
      <c r="G132" s="151">
        <v>803.64</v>
      </c>
      <c r="H132" s="151">
        <v>1240.4000000000001</v>
      </c>
      <c r="I132" s="151">
        <v>416.36</v>
      </c>
      <c r="J132" s="151">
        <v>483.24</v>
      </c>
      <c r="K132" s="151">
        <v>58.49</v>
      </c>
      <c r="L132" s="151">
        <v>385.51</v>
      </c>
      <c r="M132" s="151">
        <v>572.12</v>
      </c>
      <c r="N132" s="151">
        <v>44</v>
      </c>
      <c r="O132" s="151">
        <v>299.02</v>
      </c>
      <c r="P132" s="151">
        <v>47.8</v>
      </c>
      <c r="Q132" s="151">
        <v>994.84</v>
      </c>
      <c r="R132" s="151">
        <v>290.60000000000002</v>
      </c>
      <c r="S132" s="151">
        <v>155.99</v>
      </c>
      <c r="T132" s="151">
        <v>846.68</v>
      </c>
      <c r="U132" s="151">
        <v>2077.29</v>
      </c>
      <c r="V132" s="151">
        <v>159.49</v>
      </c>
      <c r="W132" s="151">
        <v>483.84</v>
      </c>
      <c r="X132" s="151">
        <v>827.64</v>
      </c>
      <c r="Y132" s="151">
        <v>85.07</v>
      </c>
      <c r="Z132" s="151">
        <v>98.69</v>
      </c>
      <c r="AA132" s="151">
        <v>241.28</v>
      </c>
      <c r="AB132" s="151">
        <v>792.47</v>
      </c>
      <c r="AC132" s="151">
        <v>1020.15</v>
      </c>
      <c r="AD132" s="151">
        <v>1554.51</v>
      </c>
      <c r="AE132" s="151">
        <v>80.83</v>
      </c>
      <c r="AF132" s="151">
        <v>255.08</v>
      </c>
      <c r="AG132" s="151">
        <v>1919.29</v>
      </c>
      <c r="AH132" s="151">
        <v>1550.83</v>
      </c>
      <c r="AI132" s="151">
        <v>633.91</v>
      </c>
      <c r="AJ132" s="151">
        <v>908.58</v>
      </c>
      <c r="AK132" s="151">
        <v>1410.09</v>
      </c>
      <c r="AL132" s="151">
        <v>23124.080000000002</v>
      </c>
    </row>
    <row r="133" spans="1:38" s="117" customFormat="1" ht="15" customHeight="1" x14ac:dyDescent="0.2">
      <c r="A133" s="123" t="s">
        <v>500</v>
      </c>
      <c r="B133" s="124" t="s">
        <v>788</v>
      </c>
      <c r="C133" s="151">
        <v>335</v>
      </c>
      <c r="D133" s="151">
        <v>0</v>
      </c>
      <c r="E133" s="151">
        <v>335</v>
      </c>
      <c r="F133" s="151">
        <v>0</v>
      </c>
      <c r="G133" s="151">
        <v>-164</v>
      </c>
      <c r="H133" s="151">
        <v>0</v>
      </c>
      <c r="I133" s="151">
        <v>0</v>
      </c>
      <c r="J133" s="151">
        <v>0</v>
      </c>
      <c r="K133" s="151">
        <v>0</v>
      </c>
      <c r="L133" s="151">
        <v>0</v>
      </c>
      <c r="M133" s="151">
        <v>0</v>
      </c>
      <c r="N133" s="151">
        <v>0</v>
      </c>
      <c r="O133" s="151">
        <v>0</v>
      </c>
      <c r="P133" s="151">
        <v>-72.900000000000006</v>
      </c>
      <c r="Q133" s="151">
        <v>0</v>
      </c>
      <c r="R133" s="151">
        <v>0</v>
      </c>
      <c r="S133" s="151">
        <v>-123.05</v>
      </c>
      <c r="T133" s="151">
        <v>-166.33</v>
      </c>
      <c r="U133" s="151">
        <v>0</v>
      </c>
      <c r="V133" s="151">
        <v>0</v>
      </c>
      <c r="W133" s="151">
        <v>0</v>
      </c>
      <c r="X133" s="151">
        <v>0</v>
      </c>
      <c r="Y133" s="151">
        <v>34</v>
      </c>
      <c r="Z133" s="151">
        <v>0</v>
      </c>
      <c r="AA133" s="151">
        <v>0</v>
      </c>
      <c r="AB133" s="151">
        <v>0</v>
      </c>
      <c r="AC133" s="151">
        <v>0</v>
      </c>
      <c r="AD133" s="151">
        <v>-1471</v>
      </c>
      <c r="AE133" s="151">
        <v>0</v>
      </c>
      <c r="AF133" s="151">
        <v>0</v>
      </c>
      <c r="AG133" s="151">
        <v>0</v>
      </c>
      <c r="AH133" s="151">
        <v>0</v>
      </c>
      <c r="AI133" s="151">
        <v>0</v>
      </c>
      <c r="AJ133" s="151">
        <v>0</v>
      </c>
      <c r="AK133" s="151">
        <v>0</v>
      </c>
      <c r="AL133" s="151">
        <v>-1293.28</v>
      </c>
    </row>
    <row r="134" spans="1:38" s="117" customFormat="1" ht="15" customHeight="1" x14ac:dyDescent="0.2">
      <c r="A134" s="123" t="s">
        <v>1221</v>
      </c>
      <c r="B134" s="124" t="s">
        <v>1401</v>
      </c>
      <c r="C134" s="151">
        <v>0</v>
      </c>
      <c r="D134" s="151">
        <v>0</v>
      </c>
      <c r="E134" s="151">
        <v>0</v>
      </c>
      <c r="F134" s="151">
        <v>116.46</v>
      </c>
      <c r="G134" s="151">
        <v>135</v>
      </c>
      <c r="H134" s="151">
        <v>0</v>
      </c>
      <c r="I134" s="151">
        <v>0</v>
      </c>
      <c r="J134" s="151">
        <v>0</v>
      </c>
      <c r="K134" s="151">
        <v>0</v>
      </c>
      <c r="L134" s="151">
        <v>116.46</v>
      </c>
      <c r="M134" s="151">
        <v>0</v>
      </c>
      <c r="N134" s="151">
        <v>116.47</v>
      </c>
      <c r="O134" s="151">
        <v>116.46</v>
      </c>
      <c r="P134" s="151">
        <v>0</v>
      </c>
      <c r="Q134" s="151">
        <v>0</v>
      </c>
      <c r="R134" s="151">
        <v>116.47</v>
      </c>
      <c r="S134" s="151">
        <v>0</v>
      </c>
      <c r="T134" s="151">
        <v>0</v>
      </c>
      <c r="U134" s="151">
        <v>73.03</v>
      </c>
      <c r="V134" s="151">
        <v>134.44</v>
      </c>
      <c r="W134" s="151">
        <v>0</v>
      </c>
      <c r="X134" s="151">
        <v>0</v>
      </c>
      <c r="Y134" s="151">
        <v>116.47</v>
      </c>
      <c r="Z134" s="151">
        <v>0</v>
      </c>
      <c r="AA134" s="151">
        <v>116.47</v>
      </c>
      <c r="AB134" s="151">
        <v>0</v>
      </c>
      <c r="AC134" s="151">
        <v>0</v>
      </c>
      <c r="AD134" s="151">
        <v>0</v>
      </c>
      <c r="AE134" s="151">
        <v>0</v>
      </c>
      <c r="AF134" s="151">
        <v>0</v>
      </c>
      <c r="AG134" s="151">
        <v>116.47</v>
      </c>
      <c r="AH134" s="151">
        <v>0</v>
      </c>
      <c r="AI134" s="151">
        <v>116.47</v>
      </c>
      <c r="AJ134" s="151">
        <v>116.47</v>
      </c>
      <c r="AK134" s="151">
        <v>159.44999999999999</v>
      </c>
      <c r="AL134" s="151">
        <v>1666.59</v>
      </c>
    </row>
    <row r="135" spans="1:38" s="117" customFormat="1" ht="15" customHeight="1" x14ac:dyDescent="0.2">
      <c r="A135" s="123" t="s">
        <v>620</v>
      </c>
      <c r="B135" s="124" t="s">
        <v>787</v>
      </c>
      <c r="C135" s="151">
        <v>29.99</v>
      </c>
      <c r="D135" s="151">
        <v>29.99</v>
      </c>
      <c r="E135" s="151">
        <v>29.99</v>
      </c>
      <c r="F135" s="151">
        <v>74.45</v>
      </c>
      <c r="G135" s="151">
        <v>29.99</v>
      </c>
      <c r="H135" s="151">
        <v>29.99</v>
      </c>
      <c r="I135" s="151">
        <v>29.99</v>
      </c>
      <c r="J135" s="151">
        <v>29.99</v>
      </c>
      <c r="K135" s="151">
        <v>29.99</v>
      </c>
      <c r="L135" s="151">
        <v>29.99</v>
      </c>
      <c r="M135" s="151">
        <v>29.99</v>
      </c>
      <c r="N135" s="151">
        <v>29.99</v>
      </c>
      <c r="O135" s="151">
        <v>29.99</v>
      </c>
      <c r="P135" s="151">
        <v>29.99</v>
      </c>
      <c r="Q135" s="151">
        <v>29.99</v>
      </c>
      <c r="R135" s="151">
        <v>187.13</v>
      </c>
      <c r="S135" s="151">
        <v>29.99</v>
      </c>
      <c r="T135" s="151">
        <v>29.99</v>
      </c>
      <c r="U135" s="151">
        <v>29.99</v>
      </c>
      <c r="V135" s="151">
        <v>29.99</v>
      </c>
      <c r="W135" s="151">
        <v>29.99</v>
      </c>
      <c r="X135" s="151">
        <v>29.99</v>
      </c>
      <c r="Y135" s="151">
        <v>29.99</v>
      </c>
      <c r="Z135" s="151">
        <v>29.99</v>
      </c>
      <c r="AA135" s="151">
        <v>29.99</v>
      </c>
      <c r="AB135" s="151">
        <v>244.19</v>
      </c>
      <c r="AC135" s="151">
        <v>167.12</v>
      </c>
      <c r="AD135" s="151">
        <v>29.99</v>
      </c>
      <c r="AE135" s="151">
        <v>29.99</v>
      </c>
      <c r="AF135" s="151">
        <v>29.99</v>
      </c>
      <c r="AG135" s="151">
        <v>2129.44</v>
      </c>
      <c r="AH135" s="151">
        <v>30</v>
      </c>
      <c r="AI135" s="151">
        <v>261.88</v>
      </c>
      <c r="AJ135" s="151">
        <v>30</v>
      </c>
      <c r="AK135" s="151">
        <v>30</v>
      </c>
      <c r="AL135" s="151">
        <v>3933.95</v>
      </c>
    </row>
    <row r="136" spans="1:38" s="117" customFormat="1" ht="15" customHeight="1" x14ac:dyDescent="0.2">
      <c r="A136" s="123" t="s">
        <v>362</v>
      </c>
      <c r="B136" s="124" t="s">
        <v>778</v>
      </c>
      <c r="C136" s="151">
        <v>1109.78</v>
      </c>
      <c r="D136" s="151">
        <v>0</v>
      </c>
      <c r="E136" s="151">
        <v>1109.75</v>
      </c>
      <c r="F136" s="151">
        <v>1209.08</v>
      </c>
      <c r="G136" s="151">
        <v>0</v>
      </c>
      <c r="H136" s="151">
        <v>1167.55</v>
      </c>
      <c r="I136" s="151">
        <v>3595.72</v>
      </c>
      <c r="J136" s="151">
        <v>1109.71</v>
      </c>
      <c r="K136" s="151">
        <v>0</v>
      </c>
      <c r="L136" s="151">
        <v>1109.7</v>
      </c>
      <c r="M136" s="151">
        <v>0</v>
      </c>
      <c r="N136" s="151">
        <v>1109.71</v>
      </c>
      <c r="O136" s="151">
        <v>1209.05</v>
      </c>
      <c r="P136" s="151">
        <v>0</v>
      </c>
      <c r="Q136" s="151">
        <v>5770</v>
      </c>
      <c r="R136" s="151">
        <v>1209.06</v>
      </c>
      <c r="S136" s="151">
        <v>0</v>
      </c>
      <c r="T136" s="151">
        <v>0</v>
      </c>
      <c r="U136" s="151">
        <v>2495.77</v>
      </c>
      <c r="V136" s="151">
        <v>1109.69</v>
      </c>
      <c r="W136" s="151">
        <v>1109.68</v>
      </c>
      <c r="X136" s="151">
        <v>1109.69</v>
      </c>
      <c r="Y136" s="151">
        <v>0</v>
      </c>
      <c r="Z136" s="151">
        <v>0</v>
      </c>
      <c r="AA136" s="151">
        <v>1209.05</v>
      </c>
      <c r="AB136" s="151">
        <v>135</v>
      </c>
      <c r="AC136" s="151">
        <v>88.39</v>
      </c>
      <c r="AD136" s="151">
        <v>0</v>
      </c>
      <c r="AE136" s="151">
        <v>1109.6600000000001</v>
      </c>
      <c r="AF136" s="151">
        <v>0</v>
      </c>
      <c r="AG136" s="151">
        <v>1209.01</v>
      </c>
      <c r="AH136" s="151">
        <v>0</v>
      </c>
      <c r="AI136" s="151">
        <v>1209.01</v>
      </c>
      <c r="AJ136" s="151">
        <v>1481.46</v>
      </c>
      <c r="AK136" s="151">
        <v>1209.02</v>
      </c>
      <c r="AL136" s="151">
        <v>33184.54</v>
      </c>
    </row>
    <row r="137" spans="1:38" s="117" customFormat="1" ht="15" customHeight="1" x14ac:dyDescent="0.2">
      <c r="A137" s="123" t="s">
        <v>545</v>
      </c>
      <c r="B137" s="124" t="s">
        <v>786</v>
      </c>
      <c r="C137" s="151">
        <v>0</v>
      </c>
      <c r="D137" s="151">
        <v>0</v>
      </c>
      <c r="E137" s="151">
        <v>0</v>
      </c>
      <c r="F137" s="151">
        <v>0</v>
      </c>
      <c r="G137" s="151">
        <v>0</v>
      </c>
      <c r="H137" s="151">
        <v>0</v>
      </c>
      <c r="I137" s="151">
        <v>0</v>
      </c>
      <c r="J137" s="151">
        <v>0</v>
      </c>
      <c r="K137" s="151">
        <v>0</v>
      </c>
      <c r="L137" s="151">
        <v>0</v>
      </c>
      <c r="M137" s="151">
        <v>0</v>
      </c>
      <c r="N137" s="151">
        <v>0</v>
      </c>
      <c r="O137" s="151">
        <v>0</v>
      </c>
      <c r="P137" s="151">
        <v>0</v>
      </c>
      <c r="Q137" s="151">
        <v>190.66</v>
      </c>
      <c r="R137" s="151">
        <v>0</v>
      </c>
      <c r="S137" s="151">
        <v>0</v>
      </c>
      <c r="T137" s="151">
        <v>0</v>
      </c>
      <c r="U137" s="151">
        <v>0</v>
      </c>
      <c r="V137" s="151">
        <v>0</v>
      </c>
      <c r="W137" s="151">
        <v>0</v>
      </c>
      <c r="X137" s="151">
        <v>0</v>
      </c>
      <c r="Y137" s="151">
        <v>0</v>
      </c>
      <c r="Z137" s="151">
        <v>0</v>
      </c>
      <c r="AA137" s="151">
        <v>0</v>
      </c>
      <c r="AB137" s="151">
        <v>0</v>
      </c>
      <c r="AC137" s="151">
        <v>0</v>
      </c>
      <c r="AD137" s="151">
        <v>0</v>
      </c>
      <c r="AE137" s="151">
        <v>0</v>
      </c>
      <c r="AF137" s="151">
        <v>0</v>
      </c>
      <c r="AG137" s="151">
        <v>0</v>
      </c>
      <c r="AH137" s="151">
        <v>0</v>
      </c>
      <c r="AI137" s="151">
        <v>0</v>
      </c>
      <c r="AJ137" s="151">
        <v>0</v>
      </c>
      <c r="AK137" s="151">
        <v>0</v>
      </c>
      <c r="AL137" s="151">
        <v>190.66</v>
      </c>
    </row>
    <row r="138" spans="1:38" s="117" customFormat="1" ht="15" customHeight="1" x14ac:dyDescent="0.2">
      <c r="A138" s="123" t="s">
        <v>363</v>
      </c>
      <c r="B138" s="124" t="s">
        <v>785</v>
      </c>
      <c r="C138" s="151">
        <v>0</v>
      </c>
      <c r="D138" s="151">
        <v>0</v>
      </c>
      <c r="E138" s="151">
        <v>0</v>
      </c>
      <c r="F138" s="151">
        <v>0</v>
      </c>
      <c r="G138" s="151">
        <v>0</v>
      </c>
      <c r="H138" s="151">
        <v>0</v>
      </c>
      <c r="I138" s="151">
        <v>0</v>
      </c>
      <c r="J138" s="151">
        <v>1217.3399999999999</v>
      </c>
      <c r="K138" s="151">
        <v>0</v>
      </c>
      <c r="L138" s="151">
        <v>0</v>
      </c>
      <c r="M138" s="151">
        <v>0</v>
      </c>
      <c r="N138" s="151">
        <v>0</v>
      </c>
      <c r="O138" s="151">
        <v>0</v>
      </c>
      <c r="P138" s="151">
        <v>0</v>
      </c>
      <c r="Q138" s="151">
        <v>0</v>
      </c>
      <c r="R138" s="151">
        <v>0</v>
      </c>
      <c r="S138" s="151">
        <v>0</v>
      </c>
      <c r="T138" s="151">
        <v>0</v>
      </c>
      <c r="U138" s="151">
        <v>0</v>
      </c>
      <c r="V138" s="151">
        <v>0</v>
      </c>
      <c r="W138" s="151">
        <v>0</v>
      </c>
      <c r="X138" s="151">
        <v>0</v>
      </c>
      <c r="Y138" s="151">
        <v>0</v>
      </c>
      <c r="Z138" s="151">
        <v>0</v>
      </c>
      <c r="AA138" s="151">
        <v>0</v>
      </c>
      <c r="AB138" s="151">
        <v>0</v>
      </c>
      <c r="AC138" s="151">
        <v>116.32</v>
      </c>
      <c r="AD138" s="151">
        <v>0</v>
      </c>
      <c r="AE138" s="151">
        <v>0</v>
      </c>
      <c r="AF138" s="151">
        <v>0</v>
      </c>
      <c r="AG138" s="151">
        <v>0</v>
      </c>
      <c r="AH138" s="151">
        <v>0</v>
      </c>
      <c r="AI138" s="151">
        <v>0</v>
      </c>
      <c r="AJ138" s="151">
        <v>0</v>
      </c>
      <c r="AK138" s="151">
        <v>0</v>
      </c>
      <c r="AL138" s="151">
        <v>1333.66</v>
      </c>
    </row>
    <row r="139" spans="1:38" s="117" customFormat="1" ht="15" customHeight="1" x14ac:dyDescent="0.2">
      <c r="A139" s="123" t="s">
        <v>364</v>
      </c>
      <c r="B139" s="124" t="s">
        <v>784</v>
      </c>
      <c r="C139" s="151">
        <v>0</v>
      </c>
      <c r="D139" s="151">
        <v>0</v>
      </c>
      <c r="E139" s="151">
        <v>0</v>
      </c>
      <c r="F139" s="151">
        <v>0</v>
      </c>
      <c r="G139" s="151">
        <v>0</v>
      </c>
      <c r="H139" s="151">
        <v>0</v>
      </c>
      <c r="I139" s="151">
        <v>0</v>
      </c>
      <c r="J139" s="151">
        <v>0</v>
      </c>
      <c r="K139" s="151">
        <v>0</v>
      </c>
      <c r="L139" s="151">
        <v>0</v>
      </c>
      <c r="M139" s="151">
        <v>0</v>
      </c>
      <c r="N139" s="151">
        <v>0</v>
      </c>
      <c r="O139" s="151">
        <v>0</v>
      </c>
      <c r="P139" s="151">
        <v>0</v>
      </c>
      <c r="Q139" s="151">
        <v>0</v>
      </c>
      <c r="R139" s="151">
        <v>0</v>
      </c>
      <c r="S139" s="151">
        <v>0</v>
      </c>
      <c r="T139" s="151">
        <v>0</v>
      </c>
      <c r="U139" s="151">
        <v>0</v>
      </c>
      <c r="V139" s="151">
        <v>0</v>
      </c>
      <c r="W139" s="151">
        <v>0</v>
      </c>
      <c r="X139" s="151">
        <v>0</v>
      </c>
      <c r="Y139" s="151">
        <v>0</v>
      </c>
      <c r="Z139" s="151">
        <v>0</v>
      </c>
      <c r="AA139" s="151">
        <v>0</v>
      </c>
      <c r="AB139" s="151">
        <v>0</v>
      </c>
      <c r="AC139" s="151">
        <v>250</v>
      </c>
      <c r="AD139" s="151">
        <v>0</v>
      </c>
      <c r="AE139" s="151">
        <v>0</v>
      </c>
      <c r="AF139" s="151">
        <v>0</v>
      </c>
      <c r="AG139" s="151">
        <v>0</v>
      </c>
      <c r="AH139" s="151">
        <v>0</v>
      </c>
      <c r="AI139" s="151">
        <v>0</v>
      </c>
      <c r="AJ139" s="151">
        <v>0</v>
      </c>
      <c r="AK139" s="151">
        <v>0</v>
      </c>
      <c r="AL139" s="151">
        <v>250</v>
      </c>
    </row>
    <row r="140" spans="1:38" s="117" customFormat="1" ht="15" customHeight="1" x14ac:dyDescent="0.2">
      <c r="A140" s="123" t="s">
        <v>1215</v>
      </c>
      <c r="B140" s="124" t="s">
        <v>1402</v>
      </c>
      <c r="C140" s="151">
        <v>0</v>
      </c>
      <c r="D140" s="151">
        <v>0</v>
      </c>
      <c r="E140" s="151">
        <v>0</v>
      </c>
      <c r="F140" s="151">
        <v>0</v>
      </c>
      <c r="G140" s="151">
        <v>0</v>
      </c>
      <c r="H140" s="151">
        <v>0</v>
      </c>
      <c r="I140" s="151">
        <v>0</v>
      </c>
      <c r="J140" s="151">
        <v>0</v>
      </c>
      <c r="K140" s="151">
        <v>0</v>
      </c>
      <c r="L140" s="151">
        <v>0</v>
      </c>
      <c r="M140" s="151">
        <v>0</v>
      </c>
      <c r="N140" s="151">
        <v>0</v>
      </c>
      <c r="O140" s="151">
        <v>0</v>
      </c>
      <c r="P140" s="151">
        <v>0</v>
      </c>
      <c r="Q140" s="151">
        <v>0</v>
      </c>
      <c r="R140" s="151">
        <v>0</v>
      </c>
      <c r="S140" s="151">
        <v>0</v>
      </c>
      <c r="T140" s="151">
        <v>0</v>
      </c>
      <c r="U140" s="151">
        <v>0</v>
      </c>
      <c r="V140" s="151">
        <v>0</v>
      </c>
      <c r="W140" s="151">
        <v>0</v>
      </c>
      <c r="X140" s="151">
        <v>0</v>
      </c>
      <c r="Y140" s="151">
        <v>0</v>
      </c>
      <c r="Z140" s="151">
        <v>0</v>
      </c>
      <c r="AA140" s="151">
        <v>0</v>
      </c>
      <c r="AB140" s="151">
        <v>0</v>
      </c>
      <c r="AC140" s="151">
        <v>0</v>
      </c>
      <c r="AD140" s="151">
        <v>0</v>
      </c>
      <c r="AE140" s="151">
        <v>0</v>
      </c>
      <c r="AF140" s="151">
        <v>0</v>
      </c>
      <c r="AG140" s="151">
        <v>0</v>
      </c>
      <c r="AH140" s="151">
        <v>0</v>
      </c>
      <c r="AI140" s="151">
        <v>0</v>
      </c>
      <c r="AJ140" s="151">
        <v>-31.62</v>
      </c>
      <c r="AK140" s="151">
        <v>0</v>
      </c>
      <c r="AL140" s="151">
        <v>-31.62</v>
      </c>
    </row>
    <row r="141" spans="1:38" s="117" customFormat="1" ht="15" customHeight="1" x14ac:dyDescent="0.2">
      <c r="A141" s="123" t="s">
        <v>546</v>
      </c>
      <c r="B141" s="124" t="s">
        <v>783</v>
      </c>
      <c r="C141" s="151">
        <v>0</v>
      </c>
      <c r="D141" s="151">
        <v>0</v>
      </c>
      <c r="E141" s="151">
        <v>0</v>
      </c>
      <c r="F141" s="151">
        <v>0</v>
      </c>
      <c r="G141" s="151">
        <v>0</v>
      </c>
      <c r="H141" s="151">
        <v>0</v>
      </c>
      <c r="I141" s="151">
        <v>702.24</v>
      </c>
      <c r="J141" s="151">
        <v>250</v>
      </c>
      <c r="K141" s="151">
        <v>0</v>
      </c>
      <c r="L141" s="151">
        <v>0</v>
      </c>
      <c r="M141" s="151">
        <v>0</v>
      </c>
      <c r="N141" s="151">
        <v>0</v>
      </c>
      <c r="O141" s="151">
        <v>0</v>
      </c>
      <c r="P141" s="151">
        <v>0</v>
      </c>
      <c r="Q141" s="151">
        <v>250</v>
      </c>
      <c r="R141" s="151">
        <v>100</v>
      </c>
      <c r="S141" s="151">
        <v>0</v>
      </c>
      <c r="T141" s="151">
        <v>0</v>
      </c>
      <c r="U141" s="151">
        <v>0</v>
      </c>
      <c r="V141" s="151">
        <v>0</v>
      </c>
      <c r="W141" s="151">
        <v>0</v>
      </c>
      <c r="X141" s="151">
        <v>550</v>
      </c>
      <c r="Y141" s="151">
        <v>0</v>
      </c>
      <c r="Z141" s="151">
        <v>0</v>
      </c>
      <c r="AA141" s="151">
        <v>0</v>
      </c>
      <c r="AB141" s="151">
        <v>738.32</v>
      </c>
      <c r="AC141" s="151">
        <v>0</v>
      </c>
      <c r="AD141" s="151">
        <v>0</v>
      </c>
      <c r="AE141" s="151">
        <v>0</v>
      </c>
      <c r="AF141" s="151">
        <v>0</v>
      </c>
      <c r="AG141" s="151">
        <v>0</v>
      </c>
      <c r="AH141" s="151">
        <v>0</v>
      </c>
      <c r="AI141" s="151">
        <v>200</v>
      </c>
      <c r="AJ141" s="151">
        <v>0</v>
      </c>
      <c r="AK141" s="151">
        <v>200</v>
      </c>
      <c r="AL141" s="151">
        <v>2990.56</v>
      </c>
    </row>
    <row r="142" spans="1:38" s="117" customFormat="1" ht="15" customHeight="1" x14ac:dyDescent="0.2">
      <c r="A142" s="123" t="s">
        <v>547</v>
      </c>
      <c r="B142" s="124" t="s">
        <v>782</v>
      </c>
      <c r="C142" s="151">
        <v>0</v>
      </c>
      <c r="D142" s="151">
        <v>0</v>
      </c>
      <c r="E142" s="151">
        <v>0</v>
      </c>
      <c r="F142" s="151">
        <v>0</v>
      </c>
      <c r="G142" s="151">
        <v>0</v>
      </c>
      <c r="H142" s="151">
        <v>0</v>
      </c>
      <c r="I142" s="151">
        <v>0</v>
      </c>
      <c r="J142" s="151">
        <v>0</v>
      </c>
      <c r="K142" s="151">
        <v>0</v>
      </c>
      <c r="L142" s="151">
        <v>0</v>
      </c>
      <c r="M142" s="151">
        <v>0</v>
      </c>
      <c r="N142" s="151">
        <v>0</v>
      </c>
      <c r="O142" s="151">
        <v>0</v>
      </c>
      <c r="P142" s="151">
        <v>38.200000000000003</v>
      </c>
      <c r="Q142" s="151">
        <v>8.99</v>
      </c>
      <c r="R142" s="151">
        <v>0</v>
      </c>
      <c r="S142" s="151">
        <v>0</v>
      </c>
      <c r="T142" s="151">
        <v>0</v>
      </c>
      <c r="U142" s="151">
        <v>67.290000000000006</v>
      </c>
      <c r="V142" s="151">
        <v>0</v>
      </c>
      <c r="W142" s="151">
        <v>0</v>
      </c>
      <c r="X142" s="151">
        <v>0</v>
      </c>
      <c r="Y142" s="151">
        <v>0</v>
      </c>
      <c r="Z142" s="151">
        <v>0</v>
      </c>
      <c r="AA142" s="151">
        <v>0</v>
      </c>
      <c r="AB142" s="151">
        <v>0</v>
      </c>
      <c r="AC142" s="151">
        <v>0</v>
      </c>
      <c r="AD142" s="151">
        <v>0</v>
      </c>
      <c r="AE142" s="151">
        <v>0</v>
      </c>
      <c r="AF142" s="151">
        <v>0</v>
      </c>
      <c r="AG142" s="151">
        <v>0</v>
      </c>
      <c r="AH142" s="151">
        <v>0</v>
      </c>
      <c r="AI142" s="151">
        <v>0</v>
      </c>
      <c r="AJ142" s="151">
        <v>80.98</v>
      </c>
      <c r="AK142" s="151">
        <v>0</v>
      </c>
      <c r="AL142" s="151">
        <v>195.46</v>
      </c>
    </row>
    <row r="143" spans="1:38" s="117" customFormat="1" ht="15" customHeight="1" x14ac:dyDescent="0.2">
      <c r="A143" s="123" t="s">
        <v>365</v>
      </c>
      <c r="B143" s="124" t="s">
        <v>780</v>
      </c>
      <c r="C143" s="151">
        <v>59.75</v>
      </c>
      <c r="D143" s="151">
        <v>0</v>
      </c>
      <c r="E143" s="151">
        <v>59.75</v>
      </c>
      <c r="F143" s="151">
        <v>0</v>
      </c>
      <c r="G143" s="151">
        <v>0</v>
      </c>
      <c r="H143" s="151">
        <v>0</v>
      </c>
      <c r="I143" s="151">
        <v>0</v>
      </c>
      <c r="J143" s="151">
        <v>0</v>
      </c>
      <c r="K143" s="151">
        <v>0</v>
      </c>
      <c r="L143" s="151">
        <v>0</v>
      </c>
      <c r="M143" s="151">
        <v>0</v>
      </c>
      <c r="N143" s="151">
        <v>0</v>
      </c>
      <c r="O143" s="151">
        <v>0</v>
      </c>
      <c r="P143" s="151">
        <v>0</v>
      </c>
      <c r="Q143" s="151">
        <v>0</v>
      </c>
      <c r="R143" s="151">
        <v>0</v>
      </c>
      <c r="S143" s="151">
        <v>0</v>
      </c>
      <c r="T143" s="151">
        <v>0</v>
      </c>
      <c r="U143" s="151">
        <v>0</v>
      </c>
      <c r="V143" s="151">
        <v>0</v>
      </c>
      <c r="W143" s="151">
        <v>0</v>
      </c>
      <c r="X143" s="151">
        <v>90</v>
      </c>
      <c r="Y143" s="151">
        <v>0</v>
      </c>
      <c r="Z143" s="151">
        <v>0</v>
      </c>
      <c r="AA143" s="151">
        <v>0</v>
      </c>
      <c r="AB143" s="151">
        <v>0</v>
      </c>
      <c r="AC143" s="151">
        <v>-43.66</v>
      </c>
      <c r="AD143" s="151">
        <v>0</v>
      </c>
      <c r="AE143" s="151">
        <v>0</v>
      </c>
      <c r="AF143" s="151">
        <v>0</v>
      </c>
      <c r="AG143" s="151">
        <v>0</v>
      </c>
      <c r="AH143" s="151">
        <v>0</v>
      </c>
      <c r="AI143" s="151">
        <v>0</v>
      </c>
      <c r="AJ143" s="151">
        <v>92.48</v>
      </c>
      <c r="AK143" s="151">
        <v>0</v>
      </c>
      <c r="AL143" s="151">
        <v>258.32</v>
      </c>
    </row>
    <row r="144" spans="1:38" s="117" customFormat="1" ht="15" customHeight="1" x14ac:dyDescent="0.2">
      <c r="A144" s="123" t="s">
        <v>779</v>
      </c>
      <c r="B144" s="124" t="s">
        <v>778</v>
      </c>
      <c r="C144" s="151">
        <v>0</v>
      </c>
      <c r="D144" s="151">
        <v>0</v>
      </c>
      <c r="E144" s="151">
        <v>0</v>
      </c>
      <c r="F144" s="151">
        <v>0</v>
      </c>
      <c r="G144" s="151">
        <v>0</v>
      </c>
      <c r="H144" s="151">
        <v>0</v>
      </c>
      <c r="I144" s="151">
        <v>499</v>
      </c>
      <c r="J144" s="151">
        <v>0</v>
      </c>
      <c r="K144" s="151">
        <v>0</v>
      </c>
      <c r="L144" s="151">
        <v>0</v>
      </c>
      <c r="M144" s="151">
        <v>0</v>
      </c>
      <c r="N144" s="151">
        <v>0</v>
      </c>
      <c r="O144" s="151">
        <v>0</v>
      </c>
      <c r="P144" s="151">
        <v>0</v>
      </c>
      <c r="Q144" s="151">
        <v>0</v>
      </c>
      <c r="R144" s="151">
        <v>0</v>
      </c>
      <c r="S144" s="151">
        <v>0</v>
      </c>
      <c r="T144" s="151">
        <v>0</v>
      </c>
      <c r="U144" s="151">
        <v>0</v>
      </c>
      <c r="V144" s="151">
        <v>0</v>
      </c>
      <c r="W144" s="151">
        <v>0</v>
      </c>
      <c r="X144" s="151">
        <v>0</v>
      </c>
      <c r="Y144" s="151">
        <v>0</v>
      </c>
      <c r="Z144" s="151">
        <v>0</v>
      </c>
      <c r="AA144" s="151">
        <v>0</v>
      </c>
      <c r="AB144" s="151">
        <v>0</v>
      </c>
      <c r="AC144" s="151">
        <v>0</v>
      </c>
      <c r="AD144" s="151">
        <v>0</v>
      </c>
      <c r="AE144" s="151">
        <v>0</v>
      </c>
      <c r="AF144" s="151">
        <v>0</v>
      </c>
      <c r="AG144" s="151">
        <v>0</v>
      </c>
      <c r="AH144" s="151">
        <v>0</v>
      </c>
      <c r="AI144" s="151">
        <v>0</v>
      </c>
      <c r="AJ144" s="151">
        <v>0</v>
      </c>
      <c r="AK144" s="151">
        <v>0</v>
      </c>
      <c r="AL144" s="151">
        <v>499</v>
      </c>
    </row>
    <row r="145" spans="1:38" s="117" customFormat="1" ht="15" customHeight="1" x14ac:dyDescent="0.2">
      <c r="A145" s="123" t="s">
        <v>777</v>
      </c>
      <c r="B145" s="124" t="s">
        <v>776</v>
      </c>
      <c r="C145" s="151">
        <v>0</v>
      </c>
      <c r="D145" s="151">
        <v>0</v>
      </c>
      <c r="E145" s="151">
        <v>0</v>
      </c>
      <c r="F145" s="151">
        <v>0</v>
      </c>
      <c r="G145" s="151">
        <v>0</v>
      </c>
      <c r="H145" s="151">
        <v>0</v>
      </c>
      <c r="I145" s="151">
        <v>0</v>
      </c>
      <c r="J145" s="151">
        <v>0</v>
      </c>
      <c r="K145" s="151">
        <v>0</v>
      </c>
      <c r="L145" s="151">
        <v>0</v>
      </c>
      <c r="M145" s="151">
        <v>0</v>
      </c>
      <c r="N145" s="151">
        <v>0</v>
      </c>
      <c r="O145" s="151">
        <v>0</v>
      </c>
      <c r="P145" s="151">
        <v>0</v>
      </c>
      <c r="Q145" s="151">
        <v>0</v>
      </c>
      <c r="R145" s="151">
        <v>0</v>
      </c>
      <c r="S145" s="151">
        <v>0</v>
      </c>
      <c r="T145" s="151">
        <v>0</v>
      </c>
      <c r="U145" s="151">
        <v>0</v>
      </c>
      <c r="V145" s="151">
        <v>0</v>
      </c>
      <c r="W145" s="151">
        <v>0</v>
      </c>
      <c r="X145" s="151">
        <v>0</v>
      </c>
      <c r="Y145" s="151">
        <v>0</v>
      </c>
      <c r="Z145" s="151">
        <v>0</v>
      </c>
      <c r="AA145" s="151">
        <v>0</v>
      </c>
      <c r="AB145" s="151">
        <v>0</v>
      </c>
      <c r="AC145" s="151">
        <v>43.75</v>
      </c>
      <c r="AD145" s="151">
        <v>0</v>
      </c>
      <c r="AE145" s="151">
        <v>0</v>
      </c>
      <c r="AF145" s="151">
        <v>0</v>
      </c>
      <c r="AG145" s="151">
        <v>0</v>
      </c>
      <c r="AH145" s="151">
        <v>147</v>
      </c>
      <c r="AI145" s="151">
        <v>0</v>
      </c>
      <c r="AJ145" s="151">
        <v>0</v>
      </c>
      <c r="AK145" s="151">
        <v>0</v>
      </c>
      <c r="AL145" s="151">
        <v>190.75</v>
      </c>
    </row>
    <row r="146" spans="1:38" s="117" customFormat="1" ht="15" customHeight="1" x14ac:dyDescent="0.2">
      <c r="A146" s="123" t="s">
        <v>1403</v>
      </c>
      <c r="B146" s="124" t="s">
        <v>1404</v>
      </c>
      <c r="C146" s="151">
        <v>0</v>
      </c>
      <c r="D146" s="151">
        <v>0</v>
      </c>
      <c r="E146" s="151">
        <v>0</v>
      </c>
      <c r="F146" s="151">
        <v>0</v>
      </c>
      <c r="G146" s="151">
        <v>0</v>
      </c>
      <c r="H146" s="151">
        <v>0</v>
      </c>
      <c r="I146" s="151">
        <v>0</v>
      </c>
      <c r="J146" s="151">
        <v>0</v>
      </c>
      <c r="K146" s="151">
        <v>0</v>
      </c>
      <c r="L146" s="151">
        <v>0</v>
      </c>
      <c r="M146" s="151">
        <v>0</v>
      </c>
      <c r="N146" s="151">
        <v>0</v>
      </c>
      <c r="O146" s="151">
        <v>0</v>
      </c>
      <c r="P146" s="151">
        <v>0</v>
      </c>
      <c r="Q146" s="151">
        <v>0</v>
      </c>
      <c r="R146" s="151">
        <v>0</v>
      </c>
      <c r="S146" s="151">
        <v>0</v>
      </c>
      <c r="T146" s="151">
        <v>0</v>
      </c>
      <c r="U146" s="151">
        <v>0</v>
      </c>
      <c r="V146" s="151">
        <v>0</v>
      </c>
      <c r="W146" s="151">
        <v>0</v>
      </c>
      <c r="X146" s="151">
        <v>0</v>
      </c>
      <c r="Y146" s="151">
        <v>0</v>
      </c>
      <c r="Z146" s="151">
        <v>0</v>
      </c>
      <c r="AA146" s="151">
        <v>0</v>
      </c>
      <c r="AB146" s="151">
        <v>31.33</v>
      </c>
      <c r="AC146" s="151">
        <v>400</v>
      </c>
      <c r="AD146" s="151">
        <v>0</v>
      </c>
      <c r="AE146" s="151">
        <v>0</v>
      </c>
      <c r="AF146" s="151">
        <v>0</v>
      </c>
      <c r="AG146" s="151">
        <v>0</v>
      </c>
      <c r="AH146" s="151">
        <v>0</v>
      </c>
      <c r="AI146" s="151">
        <v>0</v>
      </c>
      <c r="AJ146" s="151">
        <v>0</v>
      </c>
      <c r="AK146" s="151">
        <v>0</v>
      </c>
      <c r="AL146" s="151">
        <v>431.33</v>
      </c>
    </row>
    <row r="147" spans="1:38" s="117" customFormat="1" ht="15" customHeight="1" x14ac:dyDescent="0.2">
      <c r="A147" s="123" t="s">
        <v>366</v>
      </c>
      <c r="B147" s="124" t="s">
        <v>775</v>
      </c>
      <c r="C147" s="151">
        <v>375</v>
      </c>
      <c r="D147" s="151">
        <v>477</v>
      </c>
      <c r="E147" s="151">
        <v>300</v>
      </c>
      <c r="F147" s="151">
        <v>375</v>
      </c>
      <c r="G147" s="151">
        <v>450</v>
      </c>
      <c r="H147" s="151">
        <v>300</v>
      </c>
      <c r="I147" s="151">
        <v>375</v>
      </c>
      <c r="J147" s="151">
        <v>375</v>
      </c>
      <c r="K147" s="151">
        <v>397.5</v>
      </c>
      <c r="L147" s="151">
        <v>375</v>
      </c>
      <c r="M147" s="151">
        <v>556.5</v>
      </c>
      <c r="N147" s="151">
        <v>150</v>
      </c>
      <c r="O147" s="151">
        <v>375</v>
      </c>
      <c r="P147" s="151">
        <v>397.5</v>
      </c>
      <c r="Q147" s="151">
        <v>300</v>
      </c>
      <c r="R147" s="151">
        <v>375</v>
      </c>
      <c r="S147" s="151">
        <v>397.5</v>
      </c>
      <c r="T147" s="151">
        <v>318</v>
      </c>
      <c r="U147" s="151">
        <v>296.25</v>
      </c>
      <c r="V147" s="151">
        <v>375</v>
      </c>
      <c r="W147" s="151">
        <v>375</v>
      </c>
      <c r="X147" s="151">
        <v>450</v>
      </c>
      <c r="Y147" s="151">
        <v>450</v>
      </c>
      <c r="Z147" s="151">
        <v>477</v>
      </c>
      <c r="AA147" s="151">
        <v>375</v>
      </c>
      <c r="AB147" s="151">
        <v>225</v>
      </c>
      <c r="AC147" s="151">
        <v>492</v>
      </c>
      <c r="AD147" s="151">
        <v>318.75</v>
      </c>
      <c r="AE147" s="151">
        <v>375</v>
      </c>
      <c r="AF147" s="151">
        <v>375</v>
      </c>
      <c r="AG147" s="151">
        <v>300</v>
      </c>
      <c r="AH147" s="151">
        <v>205</v>
      </c>
      <c r="AI147" s="151">
        <v>375</v>
      </c>
      <c r="AJ147" s="151">
        <v>450</v>
      </c>
      <c r="AK147" s="151">
        <v>375</v>
      </c>
      <c r="AL147" s="151">
        <v>12958</v>
      </c>
    </row>
    <row r="148" spans="1:38" s="117" customFormat="1" ht="15" customHeight="1" x14ac:dyDescent="0.2">
      <c r="A148" s="123" t="s">
        <v>367</v>
      </c>
      <c r="B148" s="124" t="s">
        <v>774</v>
      </c>
      <c r="C148" s="151">
        <v>90</v>
      </c>
      <c r="D148" s="151">
        <v>40</v>
      </c>
      <c r="E148" s="151">
        <v>440.5</v>
      </c>
      <c r="F148" s="151">
        <v>165</v>
      </c>
      <c r="G148" s="151">
        <v>150</v>
      </c>
      <c r="H148" s="151">
        <v>191.5</v>
      </c>
      <c r="I148" s="151">
        <v>45.5</v>
      </c>
      <c r="J148" s="151">
        <v>60</v>
      </c>
      <c r="K148" s="151">
        <v>140</v>
      </c>
      <c r="L148" s="151">
        <v>128</v>
      </c>
      <c r="M148" s="151">
        <v>144.5</v>
      </c>
      <c r="N148" s="151">
        <v>0</v>
      </c>
      <c r="O148" s="151">
        <v>100</v>
      </c>
      <c r="P148" s="151">
        <v>100</v>
      </c>
      <c r="Q148" s="151">
        <v>395.5</v>
      </c>
      <c r="R148" s="151">
        <v>131</v>
      </c>
      <c r="S148" s="151">
        <v>80</v>
      </c>
      <c r="T148" s="151">
        <v>248</v>
      </c>
      <c r="U148" s="151">
        <v>205.5</v>
      </c>
      <c r="V148" s="151">
        <v>40</v>
      </c>
      <c r="W148" s="151">
        <v>235</v>
      </c>
      <c r="X148" s="151">
        <v>275</v>
      </c>
      <c r="Y148" s="151">
        <v>11.5</v>
      </c>
      <c r="Z148" s="151">
        <v>5.5</v>
      </c>
      <c r="AA148" s="151">
        <v>45.5</v>
      </c>
      <c r="AB148" s="151">
        <v>153</v>
      </c>
      <c r="AC148" s="151">
        <v>751.5</v>
      </c>
      <c r="AD148" s="151">
        <v>217</v>
      </c>
      <c r="AE148" s="151">
        <v>120</v>
      </c>
      <c r="AF148" s="151">
        <v>319.5</v>
      </c>
      <c r="AG148" s="151">
        <v>320</v>
      </c>
      <c r="AH148" s="151">
        <v>624</v>
      </c>
      <c r="AI148" s="151">
        <v>246</v>
      </c>
      <c r="AJ148" s="151">
        <v>142.5</v>
      </c>
      <c r="AK148" s="151">
        <v>130.5</v>
      </c>
      <c r="AL148" s="151">
        <v>6491.5</v>
      </c>
    </row>
    <row r="149" spans="1:38" s="117" customFormat="1" ht="15" customHeight="1" x14ac:dyDescent="0.2">
      <c r="A149" s="123" t="s">
        <v>368</v>
      </c>
      <c r="B149" s="124" t="s">
        <v>773</v>
      </c>
      <c r="C149" s="151">
        <v>0</v>
      </c>
      <c r="D149" s="151">
        <v>0</v>
      </c>
      <c r="E149" s="151">
        <v>0</v>
      </c>
      <c r="F149" s="151">
        <v>3316.14</v>
      </c>
      <c r="G149" s="151">
        <v>492.64</v>
      </c>
      <c r="H149" s="151">
        <v>0</v>
      </c>
      <c r="I149" s="151">
        <v>0</v>
      </c>
      <c r="J149" s="151">
        <v>0</v>
      </c>
      <c r="K149" s="151">
        <v>0</v>
      </c>
      <c r="L149" s="151">
        <v>1523.8</v>
      </c>
      <c r="M149" s="151">
        <v>800.74</v>
      </c>
      <c r="N149" s="151">
        <v>0</v>
      </c>
      <c r="O149" s="151">
        <v>832.11</v>
      </c>
      <c r="P149" s="151">
        <v>0</v>
      </c>
      <c r="Q149" s="151">
        <v>0</v>
      </c>
      <c r="R149" s="151">
        <v>0</v>
      </c>
      <c r="S149" s="151">
        <v>0</v>
      </c>
      <c r="T149" s="151">
        <v>880.1</v>
      </c>
      <c r="U149" s="151">
        <v>1029.68</v>
      </c>
      <c r="V149" s="151">
        <v>0</v>
      </c>
      <c r="W149" s="151">
        <v>0</v>
      </c>
      <c r="X149" s="151">
        <v>0</v>
      </c>
      <c r="Y149" s="151">
        <v>0</v>
      </c>
      <c r="Z149" s="151">
        <v>288.13</v>
      </c>
      <c r="AA149" s="151">
        <v>1653.9</v>
      </c>
      <c r="AB149" s="151">
        <v>482.03</v>
      </c>
      <c r="AC149" s="151">
        <v>74.08</v>
      </c>
      <c r="AD149" s="151">
        <v>2299.5500000000002</v>
      </c>
      <c r="AE149" s="151">
        <v>495.15</v>
      </c>
      <c r="AF149" s="151">
        <v>-992.67</v>
      </c>
      <c r="AG149" s="151">
        <v>5183.7700000000004</v>
      </c>
      <c r="AH149" s="151">
        <v>7893.84</v>
      </c>
      <c r="AI149" s="151">
        <v>831.09</v>
      </c>
      <c r="AJ149" s="151">
        <v>0</v>
      </c>
      <c r="AK149" s="151">
        <v>530.03</v>
      </c>
      <c r="AL149" s="151">
        <v>27614.11</v>
      </c>
    </row>
    <row r="150" spans="1:38" s="117" customFormat="1" ht="15" customHeight="1" x14ac:dyDescent="0.2">
      <c r="A150" s="123" t="s">
        <v>369</v>
      </c>
      <c r="B150" s="124" t="s">
        <v>772</v>
      </c>
      <c r="C150" s="151">
        <v>0</v>
      </c>
      <c r="D150" s="151">
        <v>273.87</v>
      </c>
      <c r="E150" s="151">
        <v>0</v>
      </c>
      <c r="F150" s="151">
        <v>0</v>
      </c>
      <c r="G150" s="151">
        <v>533</v>
      </c>
      <c r="H150" s="151">
        <v>577</v>
      </c>
      <c r="I150" s="151">
        <v>0</v>
      </c>
      <c r="J150" s="151">
        <v>0</v>
      </c>
      <c r="K150" s="151">
        <v>0</v>
      </c>
      <c r="L150" s="151">
        <v>4</v>
      </c>
      <c r="M150" s="151">
        <v>0</v>
      </c>
      <c r="N150" s="151">
        <v>11.5</v>
      </c>
      <c r="O150" s="151">
        <v>984.71</v>
      </c>
      <c r="P150" s="151">
        <v>0</v>
      </c>
      <c r="Q150" s="151">
        <v>12337.46</v>
      </c>
      <c r="R150" s="151">
        <v>0</v>
      </c>
      <c r="S150" s="151">
        <v>0</v>
      </c>
      <c r="T150" s="151">
        <v>0</v>
      </c>
      <c r="U150" s="151">
        <v>467.81</v>
      </c>
      <c r="V150" s="151">
        <v>0</v>
      </c>
      <c r="W150" s="151">
        <v>0</v>
      </c>
      <c r="X150" s="151">
        <v>0</v>
      </c>
      <c r="Y150" s="151">
        <v>6349.95</v>
      </c>
      <c r="Z150" s="151">
        <v>-248.58</v>
      </c>
      <c r="AA150" s="151">
        <v>697</v>
      </c>
      <c r="AB150" s="151">
        <v>810.15</v>
      </c>
      <c r="AC150" s="151">
        <v>0</v>
      </c>
      <c r="AD150" s="151">
        <v>1730.16</v>
      </c>
      <c r="AE150" s="151">
        <v>-50</v>
      </c>
      <c r="AF150" s="151">
        <v>0</v>
      </c>
      <c r="AG150" s="151">
        <v>0</v>
      </c>
      <c r="AH150" s="151">
        <v>46.65</v>
      </c>
      <c r="AI150" s="151">
        <v>0</v>
      </c>
      <c r="AJ150" s="151">
        <v>4</v>
      </c>
      <c r="AK150" s="151">
        <v>31</v>
      </c>
      <c r="AL150" s="151">
        <v>24559.68</v>
      </c>
    </row>
    <row r="151" spans="1:38" s="117" customFormat="1" ht="15" customHeight="1" x14ac:dyDescent="0.2">
      <c r="A151" s="123" t="s">
        <v>370</v>
      </c>
      <c r="B151" s="124" t="s">
        <v>771</v>
      </c>
      <c r="C151" s="151">
        <v>0</v>
      </c>
      <c r="D151" s="151">
        <v>0</v>
      </c>
      <c r="E151" s="151">
        <v>0</v>
      </c>
      <c r="F151" s="151">
        <v>3802.91</v>
      </c>
      <c r="G151" s="151">
        <v>1451.74</v>
      </c>
      <c r="H151" s="151">
        <v>48.2</v>
      </c>
      <c r="I151" s="151">
        <v>0</v>
      </c>
      <c r="J151" s="151">
        <v>0</v>
      </c>
      <c r="K151" s="151">
        <v>0</v>
      </c>
      <c r="L151" s="151">
        <v>3306.59</v>
      </c>
      <c r="M151" s="151">
        <v>0</v>
      </c>
      <c r="N151" s="151">
        <v>0</v>
      </c>
      <c r="O151" s="151">
        <v>101.73</v>
      </c>
      <c r="P151" s="151">
        <v>0</v>
      </c>
      <c r="Q151" s="151">
        <v>2579.9699999999998</v>
      </c>
      <c r="R151" s="151">
        <v>0</v>
      </c>
      <c r="S151" s="151">
        <v>0</v>
      </c>
      <c r="T151" s="151">
        <v>2466.12</v>
      </c>
      <c r="U151" s="151">
        <v>144.61000000000001</v>
      </c>
      <c r="V151" s="151">
        <v>29.75</v>
      </c>
      <c r="W151" s="151">
        <v>0</v>
      </c>
      <c r="X151" s="151">
        <v>0</v>
      </c>
      <c r="Y151" s="151">
        <v>757.22</v>
      </c>
      <c r="Z151" s="151">
        <v>-34.549999999999997</v>
      </c>
      <c r="AA151" s="151">
        <v>0</v>
      </c>
      <c r="AB151" s="151">
        <v>91.4</v>
      </c>
      <c r="AC151" s="151">
        <v>1242.07</v>
      </c>
      <c r="AD151" s="151">
        <v>1093.6600000000001</v>
      </c>
      <c r="AE151" s="151">
        <v>317</v>
      </c>
      <c r="AF151" s="151">
        <v>2508.46</v>
      </c>
      <c r="AG151" s="151">
        <v>494.11</v>
      </c>
      <c r="AH151" s="151">
        <v>2472.35</v>
      </c>
      <c r="AI151" s="151">
        <v>351.45</v>
      </c>
      <c r="AJ151" s="151">
        <v>954.4</v>
      </c>
      <c r="AK151" s="151">
        <v>0</v>
      </c>
      <c r="AL151" s="151">
        <v>24179.19</v>
      </c>
    </row>
    <row r="152" spans="1:38" s="117" customFormat="1" ht="15" customHeight="1" x14ac:dyDescent="0.2">
      <c r="A152" s="123" t="s">
        <v>371</v>
      </c>
      <c r="B152" s="124" t="s">
        <v>770</v>
      </c>
      <c r="C152" s="151">
        <v>182</v>
      </c>
      <c r="D152" s="151">
        <v>39.96</v>
      </c>
      <c r="E152" s="151">
        <v>180.74</v>
      </c>
      <c r="F152" s="151">
        <v>0</v>
      </c>
      <c r="G152" s="151">
        <v>0</v>
      </c>
      <c r="H152" s="151">
        <v>132.13999999999999</v>
      </c>
      <c r="I152" s="151">
        <v>0</v>
      </c>
      <c r="J152" s="151">
        <v>20.11</v>
      </c>
      <c r="K152" s="151">
        <v>39.96</v>
      </c>
      <c r="L152" s="151">
        <v>10</v>
      </c>
      <c r="M152" s="151">
        <v>39.96</v>
      </c>
      <c r="N152" s="151">
        <v>288.37</v>
      </c>
      <c r="O152" s="151">
        <v>274.76</v>
      </c>
      <c r="P152" s="151">
        <v>66.34</v>
      </c>
      <c r="Q152" s="151">
        <v>0</v>
      </c>
      <c r="R152" s="151">
        <v>53.22</v>
      </c>
      <c r="S152" s="151">
        <v>71.44</v>
      </c>
      <c r="T152" s="151">
        <v>89.12</v>
      </c>
      <c r="U152" s="151">
        <v>123.27</v>
      </c>
      <c r="V152" s="151">
        <v>0</v>
      </c>
      <c r="W152" s="151">
        <v>169.47</v>
      </c>
      <c r="X152" s="151">
        <v>89.72</v>
      </c>
      <c r="Y152" s="151">
        <v>21.08</v>
      </c>
      <c r="Z152" s="151">
        <v>39.96</v>
      </c>
      <c r="AA152" s="151">
        <v>560.44000000000005</v>
      </c>
      <c r="AB152" s="151">
        <v>0</v>
      </c>
      <c r="AC152" s="151">
        <v>613.98</v>
      </c>
      <c r="AD152" s="151">
        <v>0</v>
      </c>
      <c r="AE152" s="151">
        <v>627.1</v>
      </c>
      <c r="AF152" s="151">
        <v>687.51</v>
      </c>
      <c r="AG152" s="151">
        <v>0</v>
      </c>
      <c r="AH152" s="151">
        <v>85.15</v>
      </c>
      <c r="AI152" s="151">
        <v>55</v>
      </c>
      <c r="AJ152" s="151">
        <v>55</v>
      </c>
      <c r="AK152" s="151">
        <v>347</v>
      </c>
      <c r="AL152" s="151">
        <v>4962.8</v>
      </c>
    </row>
    <row r="153" spans="1:38" s="117" customFormat="1" ht="15" customHeight="1" x14ac:dyDescent="0.2">
      <c r="A153" s="123" t="s">
        <v>372</v>
      </c>
      <c r="B153" s="124" t="s">
        <v>769</v>
      </c>
      <c r="C153" s="151">
        <v>447.19</v>
      </c>
      <c r="D153" s="151">
        <v>29.19</v>
      </c>
      <c r="E153" s="151">
        <v>323.67</v>
      </c>
      <c r="F153" s="151">
        <v>93.49</v>
      </c>
      <c r="G153" s="151">
        <v>-0.05</v>
      </c>
      <c r="H153" s="151">
        <v>622.20000000000005</v>
      </c>
      <c r="I153" s="151">
        <v>27.77</v>
      </c>
      <c r="J153" s="151">
        <v>68.17</v>
      </c>
      <c r="K153" s="151">
        <v>50.41</v>
      </c>
      <c r="L153" s="151">
        <v>772.08</v>
      </c>
      <c r="M153" s="151">
        <v>59.18</v>
      </c>
      <c r="N153" s="151">
        <v>95.54</v>
      </c>
      <c r="O153" s="151">
        <v>536.75</v>
      </c>
      <c r="P153" s="151">
        <v>86.05</v>
      </c>
      <c r="Q153" s="151">
        <v>43.78</v>
      </c>
      <c r="R153" s="151">
        <v>36.35</v>
      </c>
      <c r="S153" s="151">
        <v>59.48</v>
      </c>
      <c r="T153" s="151">
        <v>135.74</v>
      </c>
      <c r="U153" s="151">
        <v>634.51</v>
      </c>
      <c r="V153" s="151">
        <v>39.270000000000003</v>
      </c>
      <c r="W153" s="151">
        <v>553.4</v>
      </c>
      <c r="X153" s="151">
        <v>1381.32</v>
      </c>
      <c r="Y153" s="151">
        <v>50.95</v>
      </c>
      <c r="Z153" s="151">
        <v>125.1</v>
      </c>
      <c r="AA153" s="151">
        <v>506.65</v>
      </c>
      <c r="AB153" s="151">
        <v>121.97</v>
      </c>
      <c r="AC153" s="151">
        <v>592.95000000000005</v>
      </c>
      <c r="AD153" s="151">
        <v>158.58000000000001</v>
      </c>
      <c r="AE153" s="151">
        <v>563.04999999999995</v>
      </c>
      <c r="AF153" s="151">
        <v>503</v>
      </c>
      <c r="AG153" s="151">
        <v>97.73</v>
      </c>
      <c r="AH153" s="151">
        <v>-0.35</v>
      </c>
      <c r="AI153" s="151">
        <v>658.88</v>
      </c>
      <c r="AJ153" s="151">
        <v>746.16</v>
      </c>
      <c r="AK153" s="151">
        <v>972.51</v>
      </c>
      <c r="AL153" s="151">
        <v>11192.67</v>
      </c>
    </row>
    <row r="154" spans="1:38" s="117" customFormat="1" ht="15" customHeight="1" x14ac:dyDescent="0.2">
      <c r="A154" s="123" t="s">
        <v>548</v>
      </c>
      <c r="B154" s="124" t="s">
        <v>768</v>
      </c>
      <c r="C154" s="151">
        <v>43.96</v>
      </c>
      <c r="D154" s="151">
        <v>0</v>
      </c>
      <c r="E154" s="151">
        <v>62.24</v>
      </c>
      <c r="F154" s="151">
        <v>0</v>
      </c>
      <c r="G154" s="151">
        <v>0</v>
      </c>
      <c r="H154" s="151">
        <v>0</v>
      </c>
      <c r="I154" s="151">
        <v>0</v>
      </c>
      <c r="J154" s="151">
        <v>0</v>
      </c>
      <c r="K154" s="151">
        <v>100</v>
      </c>
      <c r="L154" s="151">
        <v>0</v>
      </c>
      <c r="M154" s="151">
        <v>0</v>
      </c>
      <c r="N154" s="151">
        <v>0</v>
      </c>
      <c r="O154" s="151">
        <v>0</v>
      </c>
      <c r="P154" s="151">
        <v>0</v>
      </c>
      <c r="Q154" s="151">
        <v>0</v>
      </c>
      <c r="R154" s="151">
        <v>0</v>
      </c>
      <c r="S154" s="151">
        <v>0</v>
      </c>
      <c r="T154" s="151">
        <v>0</v>
      </c>
      <c r="U154" s="151">
        <v>23.94</v>
      </c>
      <c r="V154" s="151">
        <v>55.95</v>
      </c>
      <c r="W154" s="151">
        <v>0</v>
      </c>
      <c r="X154" s="151">
        <v>0</v>
      </c>
      <c r="Y154" s="151">
        <v>0</v>
      </c>
      <c r="Z154" s="151">
        <v>0</v>
      </c>
      <c r="AA154" s="151">
        <v>0</v>
      </c>
      <c r="AB154" s="151">
        <v>0</v>
      </c>
      <c r="AC154" s="151">
        <v>0</v>
      </c>
      <c r="AD154" s="151">
        <v>0</v>
      </c>
      <c r="AE154" s="151">
        <v>0</v>
      </c>
      <c r="AF154" s="151">
        <v>0</v>
      </c>
      <c r="AG154" s="151">
        <v>0</v>
      </c>
      <c r="AH154" s="151">
        <v>0</v>
      </c>
      <c r="AI154" s="151">
        <v>0</v>
      </c>
      <c r="AJ154" s="151">
        <v>0</v>
      </c>
      <c r="AK154" s="151">
        <v>0</v>
      </c>
      <c r="AL154" s="151">
        <v>286.08999999999997</v>
      </c>
    </row>
    <row r="155" spans="1:38" s="117" customFormat="1" ht="15" customHeight="1" x14ac:dyDescent="0.2">
      <c r="A155" s="123" t="s">
        <v>549</v>
      </c>
      <c r="B155" s="124" t="s">
        <v>767</v>
      </c>
      <c r="C155" s="151">
        <v>15</v>
      </c>
      <c r="D155" s="151">
        <v>0</v>
      </c>
      <c r="E155" s="151">
        <v>0</v>
      </c>
      <c r="F155" s="151">
        <v>0</v>
      </c>
      <c r="G155" s="151">
        <v>0</v>
      </c>
      <c r="H155" s="151">
        <v>0</v>
      </c>
      <c r="I155" s="151">
        <v>0</v>
      </c>
      <c r="J155" s="151">
        <v>0</v>
      </c>
      <c r="K155" s="151">
        <v>0</v>
      </c>
      <c r="L155" s="151">
        <v>0</v>
      </c>
      <c r="M155" s="151">
        <v>0</v>
      </c>
      <c r="N155" s="151">
        <v>0</v>
      </c>
      <c r="O155" s="151">
        <v>0</v>
      </c>
      <c r="P155" s="151">
        <v>0</v>
      </c>
      <c r="Q155" s="151">
        <v>0</v>
      </c>
      <c r="R155" s="151">
        <v>0</v>
      </c>
      <c r="S155" s="151">
        <v>0</v>
      </c>
      <c r="T155" s="151">
        <v>0</v>
      </c>
      <c r="U155" s="151">
        <v>0</v>
      </c>
      <c r="V155" s="151">
        <v>0</v>
      </c>
      <c r="W155" s="151">
        <v>0</v>
      </c>
      <c r="X155" s="151">
        <v>0</v>
      </c>
      <c r="Y155" s="151">
        <v>0</v>
      </c>
      <c r="Z155" s="151">
        <v>0</v>
      </c>
      <c r="AA155" s="151">
        <v>0</v>
      </c>
      <c r="AB155" s="151">
        <v>0</v>
      </c>
      <c r="AC155" s="151">
        <v>0</v>
      </c>
      <c r="AD155" s="151">
        <v>0</v>
      </c>
      <c r="AE155" s="151">
        <v>0</v>
      </c>
      <c r="AF155" s="151">
        <v>0</v>
      </c>
      <c r="AG155" s="151">
        <v>0</v>
      </c>
      <c r="AH155" s="151">
        <v>15</v>
      </c>
      <c r="AI155" s="151">
        <v>0</v>
      </c>
      <c r="AJ155" s="151">
        <v>11.04</v>
      </c>
      <c r="AK155" s="151">
        <v>0</v>
      </c>
      <c r="AL155" s="151">
        <v>41.04</v>
      </c>
    </row>
    <row r="156" spans="1:38" s="117" customFormat="1" ht="15" customHeight="1" x14ac:dyDescent="0.2">
      <c r="A156" s="123" t="s">
        <v>766</v>
      </c>
      <c r="B156" s="124" t="s">
        <v>765</v>
      </c>
      <c r="C156" s="151">
        <v>0</v>
      </c>
      <c r="D156" s="151">
        <v>0</v>
      </c>
      <c r="E156" s="151">
        <v>0</v>
      </c>
      <c r="F156" s="151">
        <v>0</v>
      </c>
      <c r="G156" s="151">
        <v>0</v>
      </c>
      <c r="H156" s="151">
        <v>0</v>
      </c>
      <c r="I156" s="151">
        <v>0</v>
      </c>
      <c r="J156" s="151">
        <v>3182.88</v>
      </c>
      <c r="K156" s="151">
        <v>0</v>
      </c>
      <c r="L156" s="151">
        <v>0</v>
      </c>
      <c r="M156" s="151">
        <v>0</v>
      </c>
      <c r="N156" s="151">
        <v>0</v>
      </c>
      <c r="O156" s="151">
        <v>0</v>
      </c>
      <c r="P156" s="151">
        <v>0</v>
      </c>
      <c r="Q156" s="151">
        <v>0</v>
      </c>
      <c r="R156" s="151">
        <v>0</v>
      </c>
      <c r="S156" s="151">
        <v>0</v>
      </c>
      <c r="T156" s="151">
        <v>0</v>
      </c>
      <c r="U156" s="151">
        <v>0</v>
      </c>
      <c r="V156" s="151">
        <v>0</v>
      </c>
      <c r="W156" s="151">
        <v>0</v>
      </c>
      <c r="X156" s="151">
        <v>0</v>
      </c>
      <c r="Y156" s="151">
        <v>0</v>
      </c>
      <c r="Z156" s="151">
        <v>0</v>
      </c>
      <c r="AA156" s="151">
        <v>0</v>
      </c>
      <c r="AB156" s="151">
        <v>0</v>
      </c>
      <c r="AC156" s="151">
        <v>0</v>
      </c>
      <c r="AD156" s="151">
        <v>0</v>
      </c>
      <c r="AE156" s="151">
        <v>0</v>
      </c>
      <c r="AF156" s="151">
        <v>0</v>
      </c>
      <c r="AG156" s="151">
        <v>0</v>
      </c>
      <c r="AH156" s="151">
        <v>0</v>
      </c>
      <c r="AI156" s="151">
        <v>0</v>
      </c>
      <c r="AJ156" s="151">
        <v>0</v>
      </c>
      <c r="AK156" s="151">
        <v>0</v>
      </c>
      <c r="AL156" s="151">
        <v>3182.88</v>
      </c>
    </row>
    <row r="157" spans="1:38" s="117" customFormat="1" ht="15" customHeight="1" x14ac:dyDescent="0.2">
      <c r="A157" s="123" t="s">
        <v>373</v>
      </c>
      <c r="B157" s="124" t="s">
        <v>764</v>
      </c>
      <c r="C157" s="151">
        <v>15.96</v>
      </c>
      <c r="D157" s="151">
        <v>161.96</v>
      </c>
      <c r="E157" s="151">
        <v>15.96</v>
      </c>
      <c r="F157" s="151">
        <v>15.96</v>
      </c>
      <c r="G157" s="151">
        <v>938.86</v>
      </c>
      <c r="H157" s="151">
        <v>5562.84</v>
      </c>
      <c r="I157" s="151">
        <v>849.31</v>
      </c>
      <c r="J157" s="151">
        <v>1574.3</v>
      </c>
      <c r="K157" s="151">
        <v>15.96</v>
      </c>
      <c r="L157" s="151">
        <v>2041.81</v>
      </c>
      <c r="M157" s="151">
        <v>109.71</v>
      </c>
      <c r="N157" s="151">
        <v>1963.86</v>
      </c>
      <c r="O157" s="151">
        <v>15.96</v>
      </c>
      <c r="P157" s="151">
        <v>280.13</v>
      </c>
      <c r="Q157" s="151">
        <v>15.96</v>
      </c>
      <c r="R157" s="151">
        <v>65.959999999999994</v>
      </c>
      <c r="S157" s="151">
        <v>341.29</v>
      </c>
      <c r="T157" s="151">
        <v>61.96</v>
      </c>
      <c r="U157" s="151">
        <v>2456.61</v>
      </c>
      <c r="V157" s="151">
        <v>1788.56</v>
      </c>
      <c r="W157" s="151">
        <v>687.61</v>
      </c>
      <c r="X157" s="151">
        <v>680.11</v>
      </c>
      <c r="Y157" s="151">
        <v>2214.71</v>
      </c>
      <c r="Z157" s="151">
        <v>15.96</v>
      </c>
      <c r="AA157" s="151">
        <v>115.96</v>
      </c>
      <c r="AB157" s="151">
        <v>15.96</v>
      </c>
      <c r="AC157" s="151">
        <v>2440.96</v>
      </c>
      <c r="AD157" s="151">
        <v>15.96</v>
      </c>
      <c r="AE157" s="151">
        <v>4164.21</v>
      </c>
      <c r="AF157" s="151">
        <v>4388.46</v>
      </c>
      <c r="AG157" s="151">
        <v>15.96</v>
      </c>
      <c r="AH157" s="151">
        <v>2390.9499999999998</v>
      </c>
      <c r="AI157" s="151">
        <v>66.95</v>
      </c>
      <c r="AJ157" s="151">
        <v>65.95</v>
      </c>
      <c r="AK157" s="151">
        <v>15.95</v>
      </c>
      <c r="AL157" s="151">
        <v>35588.58</v>
      </c>
    </row>
    <row r="158" spans="1:38" s="117" customFormat="1" ht="15" customHeight="1" x14ac:dyDescent="0.2">
      <c r="A158" s="123" t="s">
        <v>374</v>
      </c>
      <c r="B158" s="124" t="s">
        <v>763</v>
      </c>
      <c r="C158" s="151">
        <v>0</v>
      </c>
      <c r="D158" s="151">
        <v>0</v>
      </c>
      <c r="E158" s="151">
        <v>0</v>
      </c>
      <c r="F158" s="151">
        <v>0</v>
      </c>
      <c r="G158" s="151">
        <v>0</v>
      </c>
      <c r="H158" s="151">
        <v>0</v>
      </c>
      <c r="I158" s="151">
        <v>0</v>
      </c>
      <c r="J158" s="151">
        <v>0</v>
      </c>
      <c r="K158" s="151">
        <v>5.25</v>
      </c>
      <c r="L158" s="151">
        <v>0</v>
      </c>
      <c r="M158" s="151">
        <v>0</v>
      </c>
      <c r="N158" s="151">
        <v>0</v>
      </c>
      <c r="O158" s="151">
        <v>0</v>
      </c>
      <c r="P158" s="151">
        <v>0</v>
      </c>
      <c r="Q158" s="151">
        <v>-792.82</v>
      </c>
      <c r="R158" s="151">
        <v>0</v>
      </c>
      <c r="S158" s="151">
        <v>0</v>
      </c>
      <c r="T158" s="151">
        <v>0</v>
      </c>
      <c r="U158" s="151">
        <v>0</v>
      </c>
      <c r="V158" s="151">
        <v>0</v>
      </c>
      <c r="W158" s="151">
        <v>0</v>
      </c>
      <c r="X158" s="151">
        <v>0</v>
      </c>
      <c r="Y158" s="151">
        <v>0</v>
      </c>
      <c r="Z158" s="151">
        <v>0</v>
      </c>
      <c r="AA158" s="151">
        <v>0</v>
      </c>
      <c r="AB158" s="151">
        <v>0</v>
      </c>
      <c r="AC158" s="151">
        <v>0</v>
      </c>
      <c r="AD158" s="151">
        <v>0</v>
      </c>
      <c r="AE158" s="151">
        <v>0</v>
      </c>
      <c r="AF158" s="151">
        <v>0</v>
      </c>
      <c r="AG158" s="151">
        <v>0</v>
      </c>
      <c r="AH158" s="151">
        <v>20</v>
      </c>
      <c r="AI158" s="151">
        <v>211</v>
      </c>
      <c r="AJ158" s="151">
        <v>0</v>
      </c>
      <c r="AK158" s="151">
        <v>0</v>
      </c>
      <c r="AL158" s="151">
        <v>-556.57000000000005</v>
      </c>
    </row>
    <row r="159" spans="1:38" s="117" customFormat="1" ht="15" customHeight="1" x14ac:dyDescent="0.2">
      <c r="A159" s="123" t="s">
        <v>375</v>
      </c>
      <c r="B159" s="124" t="s">
        <v>762</v>
      </c>
      <c r="C159" s="151">
        <v>49</v>
      </c>
      <c r="D159" s="151">
        <v>0</v>
      </c>
      <c r="E159" s="151">
        <v>49</v>
      </c>
      <c r="F159" s="151">
        <v>49</v>
      </c>
      <c r="G159" s="151">
        <v>55.59</v>
      </c>
      <c r="H159" s="151">
        <v>16.45</v>
      </c>
      <c r="I159" s="151">
        <v>30.8</v>
      </c>
      <c r="J159" s="151">
        <v>0</v>
      </c>
      <c r="K159" s="151">
        <v>107.8</v>
      </c>
      <c r="L159" s="151">
        <v>0</v>
      </c>
      <c r="M159" s="151">
        <v>137.19999999999999</v>
      </c>
      <c r="N159" s="151">
        <v>0</v>
      </c>
      <c r="O159" s="151">
        <v>49</v>
      </c>
      <c r="P159" s="151">
        <v>58</v>
      </c>
      <c r="Q159" s="151">
        <v>19.600000000000001</v>
      </c>
      <c r="R159" s="151">
        <v>49</v>
      </c>
      <c r="S159" s="151">
        <v>30.58</v>
      </c>
      <c r="T159" s="151">
        <v>0</v>
      </c>
      <c r="U159" s="151">
        <v>11.56</v>
      </c>
      <c r="V159" s="151">
        <v>0</v>
      </c>
      <c r="W159" s="151">
        <v>0</v>
      </c>
      <c r="X159" s="151">
        <v>12.78</v>
      </c>
      <c r="Y159" s="151">
        <v>0</v>
      </c>
      <c r="Z159" s="151">
        <v>0</v>
      </c>
      <c r="AA159" s="151">
        <v>0</v>
      </c>
      <c r="AB159" s="151">
        <v>29.4</v>
      </c>
      <c r="AC159" s="151">
        <v>0</v>
      </c>
      <c r="AD159" s="151">
        <v>93.88</v>
      </c>
      <c r="AE159" s="151">
        <v>20.95</v>
      </c>
      <c r="AF159" s="151">
        <v>19.600000000000001</v>
      </c>
      <c r="AG159" s="151">
        <v>7</v>
      </c>
      <c r="AH159" s="151">
        <v>9.99</v>
      </c>
      <c r="AI159" s="151">
        <v>0</v>
      </c>
      <c r="AJ159" s="151">
        <v>19.600000000000001</v>
      </c>
      <c r="AK159" s="151">
        <v>0</v>
      </c>
      <c r="AL159" s="151">
        <v>925.78</v>
      </c>
    </row>
    <row r="160" spans="1:38" s="117" customFormat="1" ht="15" customHeight="1" x14ac:dyDescent="0.2">
      <c r="A160" s="123" t="s">
        <v>376</v>
      </c>
      <c r="B160" s="124" t="s">
        <v>761</v>
      </c>
      <c r="C160" s="151">
        <v>9.5399999999999991</v>
      </c>
      <c r="D160" s="151">
        <v>32.92</v>
      </c>
      <c r="E160" s="151">
        <v>25.08</v>
      </c>
      <c r="F160" s="151">
        <v>9.33</v>
      </c>
      <c r="G160" s="151">
        <v>32.799999999999997</v>
      </c>
      <c r="H160" s="151">
        <v>9.33</v>
      </c>
      <c r="I160" s="151">
        <v>18.7</v>
      </c>
      <c r="J160" s="151">
        <v>29.13</v>
      </c>
      <c r="K160" s="151">
        <v>18.920000000000002</v>
      </c>
      <c r="L160" s="151">
        <v>24.94</v>
      </c>
      <c r="M160" s="151">
        <v>9.33</v>
      </c>
      <c r="N160" s="151">
        <v>11.18</v>
      </c>
      <c r="O160" s="151">
        <v>10.46</v>
      </c>
      <c r="P160" s="151">
        <v>18.77</v>
      </c>
      <c r="Q160" s="151">
        <v>25.14</v>
      </c>
      <c r="R160" s="151">
        <v>20.16</v>
      </c>
      <c r="S160" s="151">
        <v>9.33</v>
      </c>
      <c r="T160" s="151">
        <v>25.08</v>
      </c>
      <c r="U160" s="151">
        <v>9.33</v>
      </c>
      <c r="V160" s="151">
        <v>18.329999999999998</v>
      </c>
      <c r="W160" s="151">
        <v>9.33</v>
      </c>
      <c r="X160" s="151">
        <v>13.32</v>
      </c>
      <c r="Y160" s="151">
        <v>29.15</v>
      </c>
      <c r="Z160" s="151">
        <v>32.85</v>
      </c>
      <c r="AA160" s="151">
        <v>9.33</v>
      </c>
      <c r="AB160" s="151">
        <v>249.29</v>
      </c>
      <c r="AC160" s="151">
        <v>9.4700000000000006</v>
      </c>
      <c r="AD160" s="151">
        <v>90.68</v>
      </c>
      <c r="AE160" s="151">
        <v>0</v>
      </c>
      <c r="AF160" s="151">
        <v>9.33</v>
      </c>
      <c r="AG160" s="151">
        <v>25.24</v>
      </c>
      <c r="AH160" s="151">
        <v>29.59</v>
      </c>
      <c r="AI160" s="151">
        <v>13.32</v>
      </c>
      <c r="AJ160" s="151">
        <v>13.32</v>
      </c>
      <c r="AK160" s="151">
        <v>29.06</v>
      </c>
      <c r="AL160" s="151">
        <v>931.08</v>
      </c>
    </row>
    <row r="161" spans="1:38" s="117" customFormat="1" ht="15" customHeight="1" x14ac:dyDescent="0.2">
      <c r="A161" s="123" t="s">
        <v>377</v>
      </c>
      <c r="B161" s="124" t="s">
        <v>760</v>
      </c>
      <c r="C161" s="151">
        <v>34.880000000000003</v>
      </c>
      <c r="D161" s="151">
        <v>34.880000000000003</v>
      </c>
      <c r="E161" s="151">
        <v>119.88</v>
      </c>
      <c r="F161" s="151">
        <v>34.880000000000003</v>
      </c>
      <c r="G161" s="151">
        <v>34.869999999999997</v>
      </c>
      <c r="H161" s="151">
        <v>34.880000000000003</v>
      </c>
      <c r="I161" s="151">
        <v>34.880000000000003</v>
      </c>
      <c r="J161" s="151">
        <v>34.880000000000003</v>
      </c>
      <c r="K161" s="151">
        <v>81.88</v>
      </c>
      <c r="L161" s="151">
        <v>34.869999999999997</v>
      </c>
      <c r="M161" s="151">
        <v>34.880000000000003</v>
      </c>
      <c r="N161" s="151">
        <v>34.880000000000003</v>
      </c>
      <c r="O161" s="151">
        <v>34.880000000000003</v>
      </c>
      <c r="P161" s="151">
        <v>34.880000000000003</v>
      </c>
      <c r="Q161" s="151">
        <v>34.869999999999997</v>
      </c>
      <c r="R161" s="151">
        <v>109.93</v>
      </c>
      <c r="S161" s="151">
        <v>34.880000000000003</v>
      </c>
      <c r="T161" s="151">
        <v>34.880000000000003</v>
      </c>
      <c r="U161" s="151">
        <v>34.880000000000003</v>
      </c>
      <c r="V161" s="151">
        <v>99.54</v>
      </c>
      <c r="W161" s="151">
        <v>34.880000000000003</v>
      </c>
      <c r="X161" s="151">
        <v>34.880000000000003</v>
      </c>
      <c r="Y161" s="151">
        <v>34.880000000000003</v>
      </c>
      <c r="Z161" s="151">
        <v>81.87</v>
      </c>
      <c r="AA161" s="151">
        <v>34.880000000000003</v>
      </c>
      <c r="AB161" s="151">
        <v>34.880000000000003</v>
      </c>
      <c r="AC161" s="151">
        <v>34.880000000000003</v>
      </c>
      <c r="AD161" s="151">
        <v>34.880000000000003</v>
      </c>
      <c r="AE161" s="151">
        <v>34.880000000000003</v>
      </c>
      <c r="AF161" s="151">
        <v>34.880000000000003</v>
      </c>
      <c r="AG161" s="151">
        <v>34.880000000000003</v>
      </c>
      <c r="AH161" s="151">
        <v>34.880000000000003</v>
      </c>
      <c r="AI161" s="151">
        <v>81.88</v>
      </c>
      <c r="AJ161" s="151">
        <v>34.880000000000003</v>
      </c>
      <c r="AK161" s="151">
        <v>34.880000000000003</v>
      </c>
      <c r="AL161" s="151">
        <v>1586.47</v>
      </c>
    </row>
    <row r="162" spans="1:38" s="117" customFormat="1" ht="15" customHeight="1" x14ac:dyDescent="0.2">
      <c r="A162" s="123" t="s">
        <v>1193</v>
      </c>
      <c r="B162" s="124" t="s">
        <v>776</v>
      </c>
      <c r="C162" s="151">
        <v>0</v>
      </c>
      <c r="D162" s="151">
        <v>0</v>
      </c>
      <c r="E162" s="151">
        <v>0</v>
      </c>
      <c r="F162" s="151">
        <v>0</v>
      </c>
      <c r="G162" s="151">
        <v>0</v>
      </c>
      <c r="H162" s="151">
        <v>0</v>
      </c>
      <c r="I162" s="151">
        <v>0</v>
      </c>
      <c r="J162" s="151">
        <v>0</v>
      </c>
      <c r="K162" s="151">
        <v>35.99</v>
      </c>
      <c r="L162" s="151">
        <v>0</v>
      </c>
      <c r="M162" s="151">
        <v>0</v>
      </c>
      <c r="N162" s="151">
        <v>0</v>
      </c>
      <c r="O162" s="151">
        <v>0</v>
      </c>
      <c r="P162" s="151">
        <v>0</v>
      </c>
      <c r="Q162" s="151">
        <v>0</v>
      </c>
      <c r="R162" s="151">
        <v>0</v>
      </c>
      <c r="S162" s="151">
        <v>0</v>
      </c>
      <c r="T162" s="151">
        <v>0</v>
      </c>
      <c r="U162" s="151">
        <v>0</v>
      </c>
      <c r="V162" s="151">
        <v>0</v>
      </c>
      <c r="W162" s="151">
        <v>0</v>
      </c>
      <c r="X162" s="151">
        <v>54.05</v>
      </c>
      <c r="Y162" s="151">
        <v>0</v>
      </c>
      <c r="Z162" s="151">
        <v>0</v>
      </c>
      <c r="AA162" s="151">
        <v>0</v>
      </c>
      <c r="AB162" s="151">
        <v>0</v>
      </c>
      <c r="AC162" s="151">
        <v>0</v>
      </c>
      <c r="AD162" s="151">
        <v>0</v>
      </c>
      <c r="AE162" s="151">
        <v>0</v>
      </c>
      <c r="AF162" s="151">
        <v>0</v>
      </c>
      <c r="AG162" s="151">
        <v>0</v>
      </c>
      <c r="AH162" s="151">
        <v>0</v>
      </c>
      <c r="AI162" s="151">
        <v>0</v>
      </c>
      <c r="AJ162" s="151">
        <v>0</v>
      </c>
      <c r="AK162" s="151">
        <v>0</v>
      </c>
      <c r="AL162" s="151">
        <v>90.04</v>
      </c>
    </row>
    <row r="163" spans="1:38" s="117" customFormat="1" ht="15" customHeight="1" x14ac:dyDescent="0.2">
      <c r="A163" s="123" t="s">
        <v>642</v>
      </c>
      <c r="B163" s="124" t="s">
        <v>759</v>
      </c>
      <c r="C163" s="151">
        <v>0</v>
      </c>
      <c r="D163" s="151">
        <v>0</v>
      </c>
      <c r="E163" s="151">
        <v>0</v>
      </c>
      <c r="F163" s="151">
        <v>0</v>
      </c>
      <c r="G163" s="151">
        <v>0</v>
      </c>
      <c r="H163" s="151">
        <v>0</v>
      </c>
      <c r="I163" s="151">
        <v>0</v>
      </c>
      <c r="J163" s="151">
        <v>0</v>
      </c>
      <c r="K163" s="151">
        <v>0</v>
      </c>
      <c r="L163" s="151">
        <v>0</v>
      </c>
      <c r="M163" s="151">
        <v>0</v>
      </c>
      <c r="N163" s="151">
        <v>0</v>
      </c>
      <c r="O163" s="151">
        <v>0</v>
      </c>
      <c r="P163" s="151">
        <v>0</v>
      </c>
      <c r="Q163" s="151">
        <v>0</v>
      </c>
      <c r="R163" s="151">
        <v>0</v>
      </c>
      <c r="S163" s="151">
        <v>0</v>
      </c>
      <c r="T163" s="151">
        <v>0</v>
      </c>
      <c r="U163" s="151">
        <v>3454.02</v>
      </c>
      <c r="V163" s="151">
        <v>0</v>
      </c>
      <c r="W163" s="151">
        <v>0</v>
      </c>
      <c r="X163" s="151">
        <v>0</v>
      </c>
      <c r="Y163" s="151">
        <v>0</v>
      </c>
      <c r="Z163" s="151">
        <v>0</v>
      </c>
      <c r="AA163" s="151">
        <v>0</v>
      </c>
      <c r="AB163" s="151">
        <v>0</v>
      </c>
      <c r="AC163" s="151">
        <v>0</v>
      </c>
      <c r="AD163" s="151">
        <v>0</v>
      </c>
      <c r="AE163" s="151">
        <v>0</v>
      </c>
      <c r="AF163" s="151">
        <v>0</v>
      </c>
      <c r="AG163" s="151">
        <v>0</v>
      </c>
      <c r="AH163" s="151">
        <v>0</v>
      </c>
      <c r="AI163" s="151">
        <v>0</v>
      </c>
      <c r="AJ163" s="151">
        <v>0</v>
      </c>
      <c r="AK163" s="151">
        <v>0</v>
      </c>
      <c r="AL163" s="151">
        <v>3454.02</v>
      </c>
    </row>
    <row r="164" spans="1:38" s="117" customFormat="1" ht="15" customHeight="1" x14ac:dyDescent="0.2">
      <c r="A164" s="123" t="s">
        <v>550</v>
      </c>
      <c r="B164" s="124" t="s">
        <v>758</v>
      </c>
      <c r="C164" s="151">
        <v>0</v>
      </c>
      <c r="D164" s="151">
        <v>0</v>
      </c>
      <c r="E164" s="151">
        <v>0</v>
      </c>
      <c r="F164" s="151">
        <v>299</v>
      </c>
      <c r="G164" s="151">
        <v>0</v>
      </c>
      <c r="H164" s="151">
        <v>0</v>
      </c>
      <c r="I164" s="151">
        <v>0</v>
      </c>
      <c r="J164" s="151">
        <v>0</v>
      </c>
      <c r="K164" s="151">
        <v>0</v>
      </c>
      <c r="L164" s="151">
        <v>0</v>
      </c>
      <c r="M164" s="151">
        <v>0</v>
      </c>
      <c r="N164" s="151">
        <v>0</v>
      </c>
      <c r="O164" s="151">
        <v>0</v>
      </c>
      <c r="P164" s="151">
        <v>0</v>
      </c>
      <c r="Q164" s="151">
        <v>-174</v>
      </c>
      <c r="R164" s="151">
        <v>0</v>
      </c>
      <c r="S164" s="151">
        <v>0</v>
      </c>
      <c r="T164" s="151">
        <v>0</v>
      </c>
      <c r="U164" s="151">
        <v>0</v>
      </c>
      <c r="V164" s="151">
        <v>462</v>
      </c>
      <c r="W164" s="151">
        <v>0</v>
      </c>
      <c r="X164" s="151">
        <v>0</v>
      </c>
      <c r="Y164" s="151">
        <v>217.3</v>
      </c>
      <c r="Z164" s="151">
        <v>0</v>
      </c>
      <c r="AA164" s="151">
        <v>0</v>
      </c>
      <c r="AB164" s="151">
        <v>0</v>
      </c>
      <c r="AC164" s="151">
        <v>0</v>
      </c>
      <c r="AD164" s="151">
        <v>0</v>
      </c>
      <c r="AE164" s="151">
        <v>0</v>
      </c>
      <c r="AF164" s="151">
        <v>0</v>
      </c>
      <c r="AG164" s="151">
        <v>0</v>
      </c>
      <c r="AH164" s="151">
        <v>330</v>
      </c>
      <c r="AI164" s="151">
        <v>0</v>
      </c>
      <c r="AJ164" s="151">
        <v>0</v>
      </c>
      <c r="AK164" s="151">
        <v>0</v>
      </c>
      <c r="AL164" s="151">
        <v>1134.3</v>
      </c>
    </row>
    <row r="165" spans="1:38" s="117" customFormat="1" ht="15" customHeight="1" x14ac:dyDescent="0.2">
      <c r="A165" s="123" t="s">
        <v>378</v>
      </c>
      <c r="B165" s="124" t="s">
        <v>757</v>
      </c>
      <c r="C165" s="151">
        <v>54.32</v>
      </c>
      <c r="D165" s="151">
        <v>58.82</v>
      </c>
      <c r="E165" s="151">
        <v>54.32</v>
      </c>
      <c r="F165" s="151">
        <v>58.82</v>
      </c>
      <c r="G165" s="151">
        <v>50.82</v>
      </c>
      <c r="H165" s="151">
        <v>58.82</v>
      </c>
      <c r="I165" s="151">
        <v>58.82</v>
      </c>
      <c r="J165" s="151">
        <v>54.32</v>
      </c>
      <c r="K165" s="151">
        <v>11.82</v>
      </c>
      <c r="L165" s="151">
        <v>11.82</v>
      </c>
      <c r="M165" s="151">
        <v>91.52</v>
      </c>
      <c r="N165" s="151">
        <v>58.82</v>
      </c>
      <c r="O165" s="151">
        <v>11.82</v>
      </c>
      <c r="P165" s="151">
        <v>58.82</v>
      </c>
      <c r="Q165" s="151">
        <v>11.82</v>
      </c>
      <c r="R165" s="151">
        <v>11.82</v>
      </c>
      <c r="S165" s="151">
        <v>41.57</v>
      </c>
      <c r="T165" s="151">
        <v>58.82</v>
      </c>
      <c r="U165" s="151">
        <v>67.28</v>
      </c>
      <c r="V165" s="151">
        <v>76.069999999999993</v>
      </c>
      <c r="W165" s="151">
        <v>98.07</v>
      </c>
      <c r="X165" s="151">
        <v>44.07</v>
      </c>
      <c r="Y165" s="151">
        <v>58.82</v>
      </c>
      <c r="Z165" s="151">
        <v>11.82</v>
      </c>
      <c r="AA165" s="151">
        <v>11.82</v>
      </c>
      <c r="AB165" s="151">
        <v>58.82</v>
      </c>
      <c r="AC165" s="151">
        <v>58.82</v>
      </c>
      <c r="AD165" s="151">
        <v>58.99</v>
      </c>
      <c r="AE165" s="151">
        <v>81.819999999999993</v>
      </c>
      <c r="AF165" s="151">
        <v>11.82</v>
      </c>
      <c r="AG165" s="151">
        <v>11.82</v>
      </c>
      <c r="AH165" s="151">
        <v>41.57</v>
      </c>
      <c r="AI165" s="151">
        <v>11.82</v>
      </c>
      <c r="AJ165" s="151">
        <v>11.82</v>
      </c>
      <c r="AK165" s="151">
        <v>11.82</v>
      </c>
      <c r="AL165" s="151">
        <v>1544.78</v>
      </c>
    </row>
    <row r="166" spans="1:38" s="117" customFormat="1" ht="15" customHeight="1" x14ac:dyDescent="0.2">
      <c r="A166" s="123" t="s">
        <v>379</v>
      </c>
      <c r="B166" s="124" t="s">
        <v>756</v>
      </c>
      <c r="C166" s="151">
        <v>0</v>
      </c>
      <c r="D166" s="151">
        <v>0</v>
      </c>
      <c r="E166" s="151">
        <v>0</v>
      </c>
      <c r="F166" s="151">
        <v>0</v>
      </c>
      <c r="G166" s="151">
        <v>0</v>
      </c>
      <c r="H166" s="151">
        <v>0</v>
      </c>
      <c r="I166" s="151">
        <v>0</v>
      </c>
      <c r="J166" s="151">
        <v>0</v>
      </c>
      <c r="K166" s="151">
        <v>0</v>
      </c>
      <c r="L166" s="151">
        <v>0</v>
      </c>
      <c r="M166" s="151">
        <v>0</v>
      </c>
      <c r="N166" s="151">
        <v>0</v>
      </c>
      <c r="O166" s="151">
        <v>-66</v>
      </c>
      <c r="P166" s="151">
        <v>0</v>
      </c>
      <c r="Q166" s="151">
        <v>0</v>
      </c>
      <c r="R166" s="151">
        <v>0</v>
      </c>
      <c r="S166" s="151">
        <v>0</v>
      </c>
      <c r="T166" s="151">
        <v>0</v>
      </c>
      <c r="U166" s="151">
        <v>0</v>
      </c>
      <c r="V166" s="151">
        <v>0</v>
      </c>
      <c r="W166" s="151">
        <v>0</v>
      </c>
      <c r="X166" s="151">
        <v>0</v>
      </c>
      <c r="Y166" s="151">
        <v>0</v>
      </c>
      <c r="Z166" s="151">
        <v>0</v>
      </c>
      <c r="AA166" s="151">
        <v>0</v>
      </c>
      <c r="AB166" s="151">
        <v>0</v>
      </c>
      <c r="AC166" s="151">
        <v>0</v>
      </c>
      <c r="AD166" s="151">
        <v>0</v>
      </c>
      <c r="AE166" s="151">
        <v>0</v>
      </c>
      <c r="AF166" s="151">
        <v>0</v>
      </c>
      <c r="AG166" s="151">
        <v>0</v>
      </c>
      <c r="AH166" s="151">
        <v>0</v>
      </c>
      <c r="AI166" s="151">
        <v>0</v>
      </c>
      <c r="AJ166" s="151">
        <v>0</v>
      </c>
      <c r="AK166" s="151">
        <v>0</v>
      </c>
      <c r="AL166" s="151">
        <v>-66</v>
      </c>
    </row>
    <row r="167" spans="1:38" s="117" customFormat="1" ht="15" customHeight="1" x14ac:dyDescent="0.2">
      <c r="A167" s="123" t="s">
        <v>1405</v>
      </c>
      <c r="B167" s="124" t="s">
        <v>1406</v>
      </c>
      <c r="C167" s="151">
        <v>610.84</v>
      </c>
      <c r="D167" s="151">
        <v>610.83000000000004</v>
      </c>
      <c r="E167" s="151">
        <v>610.84</v>
      </c>
      <c r="F167" s="151">
        <v>610.83000000000004</v>
      </c>
      <c r="G167" s="151">
        <v>610.84</v>
      </c>
      <c r="H167" s="151">
        <v>610.83000000000004</v>
      </c>
      <c r="I167" s="151">
        <v>610.83000000000004</v>
      </c>
      <c r="J167" s="151">
        <v>610.83000000000004</v>
      </c>
      <c r="K167" s="151">
        <v>610.83000000000004</v>
      </c>
      <c r="L167" s="151">
        <v>610.83000000000004</v>
      </c>
      <c r="M167" s="151">
        <v>610.83000000000004</v>
      </c>
      <c r="N167" s="151">
        <v>610.83000000000004</v>
      </c>
      <c r="O167" s="151">
        <v>610.83000000000004</v>
      </c>
      <c r="P167" s="151">
        <v>610.83000000000004</v>
      </c>
      <c r="Q167" s="151">
        <v>610.83000000000004</v>
      </c>
      <c r="R167" s="151">
        <v>610.83000000000004</v>
      </c>
      <c r="S167" s="151">
        <v>610.83000000000004</v>
      </c>
      <c r="T167" s="151">
        <v>610.83000000000004</v>
      </c>
      <c r="U167" s="151">
        <v>610.84</v>
      </c>
      <c r="V167" s="151">
        <v>610.83000000000004</v>
      </c>
      <c r="W167" s="151">
        <v>610.83000000000004</v>
      </c>
      <c r="X167" s="151">
        <v>610.83000000000004</v>
      </c>
      <c r="Y167" s="151">
        <v>610.83000000000004</v>
      </c>
      <c r="Z167" s="151">
        <v>610.83000000000004</v>
      </c>
      <c r="AA167" s="151">
        <v>610.83000000000004</v>
      </c>
      <c r="AB167" s="151">
        <v>610.83000000000004</v>
      </c>
      <c r="AC167" s="151">
        <v>610.83000000000004</v>
      </c>
      <c r="AD167" s="151">
        <v>610.83000000000004</v>
      </c>
      <c r="AE167" s="151">
        <v>610.83000000000004</v>
      </c>
      <c r="AF167" s="151">
        <v>610.83000000000004</v>
      </c>
      <c r="AG167" s="151">
        <v>610.83000000000004</v>
      </c>
      <c r="AH167" s="151">
        <v>610.83000000000004</v>
      </c>
      <c r="AI167" s="151">
        <v>610.83000000000004</v>
      </c>
      <c r="AJ167" s="151">
        <v>610.83000000000004</v>
      </c>
      <c r="AK167" s="151">
        <v>610.83000000000004</v>
      </c>
      <c r="AL167" s="151">
        <v>21379.09</v>
      </c>
    </row>
    <row r="168" spans="1:38" s="117" customFormat="1" ht="15" customHeight="1" x14ac:dyDescent="0.2">
      <c r="A168" s="123" t="s">
        <v>380</v>
      </c>
      <c r="B168" s="124" t="s">
        <v>755</v>
      </c>
      <c r="C168" s="151">
        <v>5737.6</v>
      </c>
      <c r="D168" s="151">
        <v>6515.6</v>
      </c>
      <c r="E168" s="151">
        <v>5632.85</v>
      </c>
      <c r="F168" s="151">
        <v>5653.62</v>
      </c>
      <c r="G168" s="151">
        <v>11793.81</v>
      </c>
      <c r="H168" s="151">
        <v>5537.52</v>
      </c>
      <c r="I168" s="151">
        <v>5618.05</v>
      </c>
      <c r="J168" s="151">
        <v>4465.1499999999996</v>
      </c>
      <c r="K168" s="151">
        <v>5591.9</v>
      </c>
      <c r="L168" s="151">
        <v>5863.39</v>
      </c>
      <c r="M168" s="151">
        <v>4541.3999999999996</v>
      </c>
      <c r="N168" s="151">
        <v>5613.6</v>
      </c>
      <c r="O168" s="151">
        <v>5631.15</v>
      </c>
      <c r="P168" s="151">
        <v>4494.6000000000004</v>
      </c>
      <c r="Q168" s="151">
        <v>7325.17</v>
      </c>
      <c r="R168" s="151">
        <v>5671.17</v>
      </c>
      <c r="S168" s="151">
        <v>3616.35</v>
      </c>
      <c r="T168" s="151">
        <v>5890.5</v>
      </c>
      <c r="U168" s="151">
        <v>8524.39</v>
      </c>
      <c r="V168" s="151">
        <v>5130.59</v>
      </c>
      <c r="W168" s="151">
        <v>7221.17</v>
      </c>
      <c r="X168" s="151">
        <v>5651.67</v>
      </c>
      <c r="Y168" s="151">
        <v>6063.43</v>
      </c>
      <c r="Z168" s="151">
        <v>4219.55</v>
      </c>
      <c r="AA168" s="151">
        <v>5629.2</v>
      </c>
      <c r="AB168" s="151">
        <v>6316.17</v>
      </c>
      <c r="AC168" s="151">
        <v>6659.76</v>
      </c>
      <c r="AD168" s="151">
        <v>6665.85</v>
      </c>
      <c r="AE168" s="151">
        <v>5151.6099999999997</v>
      </c>
      <c r="AF168" s="151">
        <v>5424.2</v>
      </c>
      <c r="AG168" s="151">
        <v>6266.41</v>
      </c>
      <c r="AH168" s="151">
        <v>4161.3500000000004</v>
      </c>
      <c r="AI168" s="151">
        <v>5786.31</v>
      </c>
      <c r="AJ168" s="151">
        <v>6101.5</v>
      </c>
      <c r="AK168" s="151">
        <v>5067.17</v>
      </c>
      <c r="AL168" s="151">
        <v>205233.76</v>
      </c>
    </row>
    <row r="169" spans="1:38" s="117" customFormat="1" ht="15" customHeight="1" x14ac:dyDescent="0.2">
      <c r="A169" s="123" t="s">
        <v>381</v>
      </c>
      <c r="B169" s="124" t="s">
        <v>754</v>
      </c>
      <c r="C169" s="151">
        <v>0</v>
      </c>
      <c r="D169" s="151">
        <v>0</v>
      </c>
      <c r="E169" s="151">
        <v>0</v>
      </c>
      <c r="F169" s="151">
        <v>0</v>
      </c>
      <c r="G169" s="151">
        <v>0</v>
      </c>
      <c r="H169" s="151">
        <v>0</v>
      </c>
      <c r="I169" s="151">
        <v>0</v>
      </c>
      <c r="J169" s="151">
        <v>0</v>
      </c>
      <c r="K169" s="151">
        <v>0</v>
      </c>
      <c r="L169" s="151">
        <v>0</v>
      </c>
      <c r="M169" s="151">
        <v>0</v>
      </c>
      <c r="N169" s="151">
        <v>0</v>
      </c>
      <c r="O169" s="151">
        <v>-60</v>
      </c>
      <c r="P169" s="151">
        <v>0</v>
      </c>
      <c r="Q169" s="151">
        <v>0</v>
      </c>
      <c r="R169" s="151">
        <v>0</v>
      </c>
      <c r="S169" s="151">
        <v>0</v>
      </c>
      <c r="T169" s="151">
        <v>0</v>
      </c>
      <c r="U169" s="151">
        <v>0</v>
      </c>
      <c r="V169" s="151">
        <v>0</v>
      </c>
      <c r="W169" s="151">
        <v>0</v>
      </c>
      <c r="X169" s="151">
        <v>0</v>
      </c>
      <c r="Y169" s="151">
        <v>0</v>
      </c>
      <c r="Z169" s="151">
        <v>0</v>
      </c>
      <c r="AA169" s="151">
        <v>0</v>
      </c>
      <c r="AB169" s="151">
        <v>0</v>
      </c>
      <c r="AC169" s="151">
        <v>0</v>
      </c>
      <c r="AD169" s="151">
        <v>0</v>
      </c>
      <c r="AE169" s="151">
        <v>0</v>
      </c>
      <c r="AF169" s="151">
        <v>0</v>
      </c>
      <c r="AG169" s="151">
        <v>0</v>
      </c>
      <c r="AH169" s="151">
        <v>0</v>
      </c>
      <c r="AI169" s="151">
        <v>0</v>
      </c>
      <c r="AJ169" s="151">
        <v>0</v>
      </c>
      <c r="AK169" s="151">
        <v>0</v>
      </c>
      <c r="AL169" s="151">
        <v>-60</v>
      </c>
    </row>
    <row r="170" spans="1:38" s="117" customFormat="1" ht="15" customHeight="1" x14ac:dyDescent="0.2">
      <c r="A170" s="123" t="s">
        <v>647</v>
      </c>
      <c r="B170" s="124" t="s">
        <v>753</v>
      </c>
      <c r="C170" s="151">
        <v>0</v>
      </c>
      <c r="D170" s="151">
        <v>30.73</v>
      </c>
      <c r="E170" s="151">
        <v>0</v>
      </c>
      <c r="F170" s="151">
        <v>0</v>
      </c>
      <c r="G170" s="151">
        <v>0</v>
      </c>
      <c r="H170" s="151">
        <v>0</v>
      </c>
      <c r="I170" s="151">
        <v>0</v>
      </c>
      <c r="J170" s="151">
        <v>0</v>
      </c>
      <c r="K170" s="151">
        <v>0.01</v>
      </c>
      <c r="L170" s="151">
        <v>0</v>
      </c>
      <c r="M170" s="151">
        <v>0</v>
      </c>
      <c r="N170" s="151">
        <v>0</v>
      </c>
      <c r="O170" s="151">
        <v>0</v>
      </c>
      <c r="P170" s="151">
        <v>0</v>
      </c>
      <c r="Q170" s="151">
        <v>0</v>
      </c>
      <c r="R170" s="151">
        <v>0</v>
      </c>
      <c r="S170" s="151">
        <v>0</v>
      </c>
      <c r="T170" s="151">
        <v>0</v>
      </c>
      <c r="U170" s="151">
        <v>0</v>
      </c>
      <c r="V170" s="151">
        <v>0</v>
      </c>
      <c r="W170" s="151">
        <v>0</v>
      </c>
      <c r="X170" s="151">
        <v>0</v>
      </c>
      <c r="Y170" s="151">
        <v>0</v>
      </c>
      <c r="Z170" s="151">
        <v>0</v>
      </c>
      <c r="AA170" s="151">
        <v>0</v>
      </c>
      <c r="AB170" s="151">
        <v>0</v>
      </c>
      <c r="AC170" s="151">
        <v>0</v>
      </c>
      <c r="AD170" s="151">
        <v>0</v>
      </c>
      <c r="AE170" s="151">
        <v>0</v>
      </c>
      <c r="AF170" s="151">
        <v>0</v>
      </c>
      <c r="AG170" s="151">
        <v>0</v>
      </c>
      <c r="AH170" s="151">
        <v>0</v>
      </c>
      <c r="AI170" s="151">
        <v>0</v>
      </c>
      <c r="AJ170" s="151">
        <v>0</v>
      </c>
      <c r="AK170" s="151">
        <v>0</v>
      </c>
      <c r="AL170" s="151">
        <v>30.74</v>
      </c>
    </row>
    <row r="171" spans="1:38" s="117" customFormat="1" ht="15" customHeight="1" x14ac:dyDescent="0.2">
      <c r="A171" s="123" t="s">
        <v>382</v>
      </c>
      <c r="B171" s="124" t="s">
        <v>752</v>
      </c>
      <c r="C171" s="151">
        <v>0</v>
      </c>
      <c r="D171" s="151">
        <v>0</v>
      </c>
      <c r="E171" s="151">
        <v>0</v>
      </c>
      <c r="F171" s="151">
        <v>0</v>
      </c>
      <c r="G171" s="151">
        <v>605.14</v>
      </c>
      <c r="H171" s="151">
        <v>0</v>
      </c>
      <c r="I171" s="151">
        <v>344.09</v>
      </c>
      <c r="J171" s="151">
        <v>160.31</v>
      </c>
      <c r="K171" s="151">
        <v>0</v>
      </c>
      <c r="L171" s="151">
        <v>0</v>
      </c>
      <c r="M171" s="151">
        <v>0</v>
      </c>
      <c r="N171" s="151">
        <v>0</v>
      </c>
      <c r="O171" s="151">
        <v>0</v>
      </c>
      <c r="P171" s="151">
        <v>0</v>
      </c>
      <c r="Q171" s="151">
        <v>0</v>
      </c>
      <c r="R171" s="151">
        <v>0</v>
      </c>
      <c r="S171" s="151">
        <v>196.06</v>
      </c>
      <c r="T171" s="151">
        <v>449.33</v>
      </c>
      <c r="U171" s="151">
        <v>1039.24</v>
      </c>
      <c r="V171" s="151">
        <v>0</v>
      </c>
      <c r="W171" s="151">
        <v>828.22</v>
      </c>
      <c r="X171" s="151">
        <v>25.55</v>
      </c>
      <c r="Y171" s="151">
        <v>0</v>
      </c>
      <c r="Z171" s="151">
        <v>0</v>
      </c>
      <c r="AA171" s="151">
        <v>0</v>
      </c>
      <c r="AB171" s="151">
        <v>0</v>
      </c>
      <c r="AC171" s="151">
        <v>364.55</v>
      </c>
      <c r="AD171" s="151">
        <v>205.64</v>
      </c>
      <c r="AE171" s="151">
        <v>0</v>
      </c>
      <c r="AF171" s="151">
        <v>0</v>
      </c>
      <c r="AG171" s="151">
        <v>-115.05</v>
      </c>
      <c r="AH171" s="151">
        <v>0</v>
      </c>
      <c r="AI171" s="151">
        <v>0</v>
      </c>
      <c r="AJ171" s="151">
        <v>-538.55999999999995</v>
      </c>
      <c r="AK171" s="151">
        <v>0</v>
      </c>
      <c r="AL171" s="151">
        <v>3564.52</v>
      </c>
    </row>
    <row r="172" spans="1:38" s="117" customFormat="1" ht="15" customHeight="1" x14ac:dyDescent="0.2">
      <c r="A172" s="123" t="s">
        <v>559</v>
      </c>
      <c r="B172" s="124" t="s">
        <v>751</v>
      </c>
      <c r="C172" s="151">
        <v>423.77</v>
      </c>
      <c r="D172" s="151">
        <v>388.07</v>
      </c>
      <c r="E172" s="151">
        <v>223.53</v>
      </c>
      <c r="F172" s="151">
        <v>80.349999999999994</v>
      </c>
      <c r="G172" s="151">
        <v>0</v>
      </c>
      <c r="H172" s="151">
        <v>61.49</v>
      </c>
      <c r="I172" s="151">
        <v>0</v>
      </c>
      <c r="J172" s="151">
        <v>0</v>
      </c>
      <c r="K172" s="151">
        <v>0</v>
      </c>
      <c r="L172" s="151">
        <v>69.650000000000006</v>
      </c>
      <c r="M172" s="151">
        <v>90.18</v>
      </c>
      <c r="N172" s="151">
        <v>0</v>
      </c>
      <c r="O172" s="151">
        <v>495.41</v>
      </c>
      <c r="P172" s="151">
        <v>0</v>
      </c>
      <c r="Q172" s="151">
        <v>0</v>
      </c>
      <c r="R172" s="151">
        <v>513.05999999999995</v>
      </c>
      <c r="S172" s="151">
        <v>0</v>
      </c>
      <c r="T172" s="151">
        <v>0</v>
      </c>
      <c r="U172" s="151">
        <v>0</v>
      </c>
      <c r="V172" s="151">
        <v>52.98</v>
      </c>
      <c r="W172" s="151">
        <v>0</v>
      </c>
      <c r="X172" s="151">
        <v>0</v>
      </c>
      <c r="Y172" s="151">
        <v>483.92</v>
      </c>
      <c r="Z172" s="151">
        <v>453.31</v>
      </c>
      <c r="AA172" s="151">
        <v>195.99</v>
      </c>
      <c r="AB172" s="151">
        <v>115.1</v>
      </c>
      <c r="AC172" s="151">
        <v>0</v>
      </c>
      <c r="AD172" s="151">
        <v>0</v>
      </c>
      <c r="AE172" s="151">
        <v>113.96</v>
      </c>
      <c r="AF172" s="151">
        <v>120.11</v>
      </c>
      <c r="AG172" s="151">
        <v>348.66</v>
      </c>
      <c r="AH172" s="151">
        <v>148.27000000000001</v>
      </c>
      <c r="AI172" s="151">
        <v>428.29</v>
      </c>
      <c r="AJ172" s="151">
        <v>738.07</v>
      </c>
      <c r="AK172" s="151">
        <v>411.8</v>
      </c>
      <c r="AL172" s="151">
        <v>5955.97</v>
      </c>
    </row>
    <row r="173" spans="1:38" s="117" customFormat="1" ht="15" customHeight="1" x14ac:dyDescent="0.2">
      <c r="A173" s="123" t="s">
        <v>383</v>
      </c>
      <c r="B173" s="124" t="s">
        <v>750</v>
      </c>
      <c r="C173" s="151">
        <v>-3423.32</v>
      </c>
      <c r="D173" s="151">
        <v>99.7</v>
      </c>
      <c r="E173" s="151">
        <v>-3346.32</v>
      </c>
      <c r="F173" s="151">
        <v>-5897.31</v>
      </c>
      <c r="G173" s="151">
        <v>-3091.23</v>
      </c>
      <c r="H173" s="151">
        <v>-3183.23</v>
      </c>
      <c r="I173" s="151">
        <v>-1635.26</v>
      </c>
      <c r="J173" s="151">
        <v>-1777.68</v>
      </c>
      <c r="K173" s="151">
        <v>-3224.19</v>
      </c>
      <c r="L173" s="151">
        <v>-7263.01</v>
      </c>
      <c r="M173" s="151">
        <v>-4124.1899999999996</v>
      </c>
      <c r="N173" s="151">
        <v>-3865.16</v>
      </c>
      <c r="O173" s="151">
        <v>-3347.66</v>
      </c>
      <c r="P173" s="151">
        <v>-2041.06</v>
      </c>
      <c r="Q173" s="151">
        <v>-6087.99</v>
      </c>
      <c r="R173" s="151">
        <v>-2583.71</v>
      </c>
      <c r="S173" s="151">
        <v>-1583.51</v>
      </c>
      <c r="T173" s="151">
        <v>-1115.19</v>
      </c>
      <c r="U173" s="151">
        <v>-2105.29</v>
      </c>
      <c r="V173" s="151">
        <v>-2657.82</v>
      </c>
      <c r="W173" s="151">
        <v>-3971.34</v>
      </c>
      <c r="X173" s="151">
        <v>-2588.65</v>
      </c>
      <c r="Y173" s="151">
        <v>-3576.6</v>
      </c>
      <c r="Z173" s="151">
        <v>-2720.03</v>
      </c>
      <c r="AA173" s="151">
        <v>-2051.58</v>
      </c>
      <c r="AB173" s="151">
        <v>-4271.55</v>
      </c>
      <c r="AC173" s="151">
        <v>-5307.6</v>
      </c>
      <c r="AD173" s="151">
        <v>-2358.4699999999998</v>
      </c>
      <c r="AE173" s="151">
        <v>-3179.77</v>
      </c>
      <c r="AF173" s="151">
        <v>-3150.17</v>
      </c>
      <c r="AG173" s="151">
        <v>-4395.34</v>
      </c>
      <c r="AH173" s="151">
        <v>-1580.15</v>
      </c>
      <c r="AI173" s="151">
        <v>-3497.1</v>
      </c>
      <c r="AJ173" s="151">
        <v>-2312.1799999999998</v>
      </c>
      <c r="AK173" s="151">
        <v>-2244.98</v>
      </c>
      <c r="AL173" s="151">
        <v>-109458.94</v>
      </c>
    </row>
    <row r="174" spans="1:38" s="117" customFormat="1" ht="15" customHeight="1" x14ac:dyDescent="0.2">
      <c r="A174" s="123" t="s">
        <v>1176</v>
      </c>
      <c r="B174" s="124" t="s">
        <v>1407</v>
      </c>
      <c r="C174" s="151">
        <v>0</v>
      </c>
      <c r="D174" s="151">
        <v>0</v>
      </c>
      <c r="E174" s="151">
        <v>0</v>
      </c>
      <c r="F174" s="151">
        <v>0</v>
      </c>
      <c r="G174" s="151">
        <v>69</v>
      </c>
      <c r="H174" s="151">
        <v>0</v>
      </c>
      <c r="I174" s="151">
        <v>0</v>
      </c>
      <c r="J174" s="151">
        <v>0</v>
      </c>
      <c r="K174" s="151">
        <v>0</v>
      </c>
      <c r="L174" s="151">
        <v>0</v>
      </c>
      <c r="M174" s="151">
        <v>0</v>
      </c>
      <c r="N174" s="151">
        <v>0</v>
      </c>
      <c r="O174" s="151">
        <v>0</v>
      </c>
      <c r="P174" s="151">
        <v>250</v>
      </c>
      <c r="Q174" s="151">
        <v>0</v>
      </c>
      <c r="R174" s="151">
        <v>0</v>
      </c>
      <c r="S174" s="151">
        <v>250</v>
      </c>
      <c r="T174" s="151">
        <v>47.39</v>
      </c>
      <c r="U174" s="151">
        <v>0</v>
      </c>
      <c r="V174" s="151">
        <v>-45.51</v>
      </c>
      <c r="W174" s="151">
        <v>69</v>
      </c>
      <c r="X174" s="151">
        <v>69</v>
      </c>
      <c r="Y174" s="151">
        <v>0</v>
      </c>
      <c r="Z174" s="151">
        <v>0</v>
      </c>
      <c r="AA174" s="151">
        <v>0</v>
      </c>
      <c r="AB174" s="151">
        <v>0</v>
      </c>
      <c r="AC174" s="151">
        <v>0</v>
      </c>
      <c r="AD174" s="151">
        <v>0</v>
      </c>
      <c r="AE174" s="151">
        <v>0</v>
      </c>
      <c r="AF174" s="151">
        <v>0</v>
      </c>
      <c r="AG174" s="151">
        <v>0</v>
      </c>
      <c r="AH174" s="151">
        <v>0</v>
      </c>
      <c r="AI174" s="151">
        <v>0</v>
      </c>
      <c r="AJ174" s="151">
        <v>0</v>
      </c>
      <c r="AK174" s="151">
        <v>0</v>
      </c>
      <c r="AL174" s="151">
        <v>708.88</v>
      </c>
    </row>
    <row r="175" spans="1:38" s="117" customFormat="1" ht="15" customHeight="1" x14ac:dyDescent="0.2">
      <c r="A175" s="123" t="s">
        <v>1408</v>
      </c>
      <c r="B175" s="124" t="s">
        <v>749</v>
      </c>
      <c r="C175" s="151">
        <v>0</v>
      </c>
      <c r="D175" s="151">
        <v>0</v>
      </c>
      <c r="E175" s="151">
        <v>0</v>
      </c>
      <c r="F175" s="151">
        <v>0</v>
      </c>
      <c r="G175" s="151">
        <v>14.27</v>
      </c>
      <c r="H175" s="151">
        <v>0</v>
      </c>
      <c r="I175" s="151">
        <v>0</v>
      </c>
      <c r="J175" s="151">
        <v>0</v>
      </c>
      <c r="K175" s="151">
        <v>0</v>
      </c>
      <c r="L175" s="151">
        <v>0</v>
      </c>
      <c r="M175" s="151">
        <v>0</v>
      </c>
      <c r="N175" s="151">
        <v>0</v>
      </c>
      <c r="O175" s="151">
        <v>0</v>
      </c>
      <c r="P175" s="151">
        <v>0</v>
      </c>
      <c r="Q175" s="151">
        <v>0</v>
      </c>
      <c r="R175" s="151">
        <v>0</v>
      </c>
      <c r="S175" s="151">
        <v>0</v>
      </c>
      <c r="T175" s="151">
        <v>0</v>
      </c>
      <c r="U175" s="151">
        <v>0</v>
      </c>
      <c r="V175" s="151">
        <v>0</v>
      </c>
      <c r="W175" s="151">
        <v>0</v>
      </c>
      <c r="X175" s="151">
        <v>0</v>
      </c>
      <c r="Y175" s="151">
        <v>0</v>
      </c>
      <c r="Z175" s="151">
        <v>0</v>
      </c>
      <c r="AA175" s="151">
        <v>0</v>
      </c>
      <c r="AB175" s="151">
        <v>0</v>
      </c>
      <c r="AC175" s="151">
        <v>0</v>
      </c>
      <c r="AD175" s="151">
        <v>0</v>
      </c>
      <c r="AE175" s="151">
        <v>0</v>
      </c>
      <c r="AF175" s="151">
        <v>0</v>
      </c>
      <c r="AG175" s="151">
        <v>0</v>
      </c>
      <c r="AH175" s="151">
        <v>0</v>
      </c>
      <c r="AI175" s="151">
        <v>0</v>
      </c>
      <c r="AJ175" s="151">
        <v>0</v>
      </c>
      <c r="AK175" s="151">
        <v>0</v>
      </c>
      <c r="AL175" s="151">
        <v>14.27</v>
      </c>
    </row>
    <row r="176" spans="1:38" s="117" customFormat="1" ht="15" customHeight="1" x14ac:dyDescent="0.2">
      <c r="A176" s="123" t="s">
        <v>384</v>
      </c>
      <c r="B176" s="124" t="s">
        <v>749</v>
      </c>
      <c r="C176" s="151">
        <v>82.37</v>
      </c>
      <c r="D176" s="151">
        <v>87.55</v>
      </c>
      <c r="E176" s="151">
        <v>82</v>
      </c>
      <c r="F176" s="151">
        <v>82.37</v>
      </c>
      <c r="G176" s="151">
        <v>157.9</v>
      </c>
      <c r="H176" s="151">
        <v>81.63</v>
      </c>
      <c r="I176" s="151">
        <v>74.599999999999994</v>
      </c>
      <c r="J176" s="151">
        <v>74.599999999999994</v>
      </c>
      <c r="K176" s="151">
        <v>82</v>
      </c>
      <c r="L176" s="151">
        <v>83.48</v>
      </c>
      <c r="M176" s="151">
        <v>74.599999999999994</v>
      </c>
      <c r="N176" s="151">
        <v>201.48</v>
      </c>
      <c r="O176" s="151">
        <v>82</v>
      </c>
      <c r="P176" s="151">
        <v>74.599999999999994</v>
      </c>
      <c r="Q176" s="151">
        <v>93.84</v>
      </c>
      <c r="R176" s="151">
        <v>82.37</v>
      </c>
      <c r="S176" s="151">
        <v>68.680000000000007</v>
      </c>
      <c r="T176" s="151">
        <v>338.74</v>
      </c>
      <c r="U176" s="151">
        <v>101.61</v>
      </c>
      <c r="V176" s="151">
        <v>33.67</v>
      </c>
      <c r="W176" s="151">
        <v>433.11</v>
      </c>
      <c r="X176" s="151">
        <v>82.37</v>
      </c>
      <c r="Y176" s="151">
        <v>39.96</v>
      </c>
      <c r="Z176" s="151">
        <v>72.75</v>
      </c>
      <c r="AA176" s="151">
        <v>82</v>
      </c>
      <c r="AB176" s="151">
        <v>78.3</v>
      </c>
      <c r="AC176" s="151">
        <v>80.52</v>
      </c>
      <c r="AD176" s="151">
        <v>170.15</v>
      </c>
      <c r="AE176" s="151">
        <v>73.86</v>
      </c>
      <c r="AF176" s="151">
        <v>27.38</v>
      </c>
      <c r="AG176" s="151">
        <v>86.44</v>
      </c>
      <c r="AH176" s="151">
        <v>67.2</v>
      </c>
      <c r="AI176" s="151">
        <v>178.11</v>
      </c>
      <c r="AJ176" s="151">
        <v>85.33</v>
      </c>
      <c r="AK176" s="151">
        <v>78.3</v>
      </c>
      <c r="AL176" s="151">
        <v>3675.87</v>
      </c>
    </row>
    <row r="177" spans="1:38" s="117" customFormat="1" ht="15" customHeight="1" x14ac:dyDescent="0.2">
      <c r="A177" s="123" t="s">
        <v>624</v>
      </c>
      <c r="B177" s="124" t="s">
        <v>748</v>
      </c>
      <c r="C177" s="151">
        <v>95</v>
      </c>
      <c r="D177" s="151">
        <v>0</v>
      </c>
      <c r="E177" s="151">
        <v>0</v>
      </c>
      <c r="F177" s="151">
        <v>0</v>
      </c>
      <c r="G177" s="151">
        <v>0</v>
      </c>
      <c r="H177" s="151">
        <v>0</v>
      </c>
      <c r="I177" s="151">
        <v>0</v>
      </c>
      <c r="J177" s="151">
        <v>0</v>
      </c>
      <c r="K177" s="151">
        <v>0</v>
      </c>
      <c r="L177" s="151">
        <v>0</v>
      </c>
      <c r="M177" s="151">
        <v>0</v>
      </c>
      <c r="N177" s="151">
        <v>0</v>
      </c>
      <c r="O177" s="151">
        <v>0</v>
      </c>
      <c r="P177" s="151">
        <v>0</v>
      </c>
      <c r="Q177" s="151">
        <v>0</v>
      </c>
      <c r="R177" s="151">
        <v>0</v>
      </c>
      <c r="S177" s="151">
        <v>0</v>
      </c>
      <c r="T177" s="151">
        <v>0</v>
      </c>
      <c r="U177" s="151">
        <v>0</v>
      </c>
      <c r="V177" s="151">
        <v>0</v>
      </c>
      <c r="W177" s="151">
        <v>0</v>
      </c>
      <c r="X177" s="151">
        <v>0</v>
      </c>
      <c r="Y177" s="151">
        <v>0</v>
      </c>
      <c r="Z177" s="151">
        <v>0</v>
      </c>
      <c r="AA177" s="151">
        <v>0</v>
      </c>
      <c r="AB177" s="151">
        <v>0</v>
      </c>
      <c r="AC177" s="151">
        <v>95</v>
      </c>
      <c r="AD177" s="151">
        <v>0</v>
      </c>
      <c r="AE177" s="151">
        <v>0</v>
      </c>
      <c r="AF177" s="151">
        <v>0</v>
      </c>
      <c r="AG177" s="151">
        <v>0</v>
      </c>
      <c r="AH177" s="151">
        <v>0</v>
      </c>
      <c r="AI177" s="151">
        <v>0</v>
      </c>
      <c r="AJ177" s="151">
        <v>0</v>
      </c>
      <c r="AK177" s="151">
        <v>0</v>
      </c>
      <c r="AL177" s="151">
        <v>190</v>
      </c>
    </row>
    <row r="178" spans="1:38" s="117" customFormat="1" ht="15" customHeight="1" x14ac:dyDescent="0.2">
      <c r="A178" s="123" t="s">
        <v>385</v>
      </c>
      <c r="B178" s="124" t="s">
        <v>747</v>
      </c>
      <c r="C178" s="151">
        <v>37.369999999999997</v>
      </c>
      <c r="D178" s="151">
        <v>42.55</v>
      </c>
      <c r="E178" s="151">
        <v>37</v>
      </c>
      <c r="F178" s="151">
        <v>37.369999999999997</v>
      </c>
      <c r="G178" s="151">
        <v>197.9</v>
      </c>
      <c r="H178" s="151">
        <v>36.630000000000003</v>
      </c>
      <c r="I178" s="151">
        <v>29.6</v>
      </c>
      <c r="J178" s="151">
        <v>29.6</v>
      </c>
      <c r="K178" s="151">
        <v>37</v>
      </c>
      <c r="L178" s="151">
        <v>233.48</v>
      </c>
      <c r="M178" s="151">
        <v>29.6</v>
      </c>
      <c r="N178" s="151">
        <v>172</v>
      </c>
      <c r="O178" s="151">
        <v>37</v>
      </c>
      <c r="P178" s="151">
        <v>49.76</v>
      </c>
      <c r="Q178" s="151">
        <v>62.17</v>
      </c>
      <c r="R178" s="151">
        <v>37.369999999999997</v>
      </c>
      <c r="S178" s="151">
        <v>23.68</v>
      </c>
      <c r="T178" s="151">
        <v>37.74</v>
      </c>
      <c r="U178" s="151">
        <v>56.61</v>
      </c>
      <c r="V178" s="151">
        <v>33.67</v>
      </c>
      <c r="W178" s="151">
        <v>38.11</v>
      </c>
      <c r="X178" s="151">
        <v>37.369999999999997</v>
      </c>
      <c r="Y178" s="151">
        <v>39.96</v>
      </c>
      <c r="Z178" s="151">
        <v>27.75</v>
      </c>
      <c r="AA178" s="151">
        <v>37</v>
      </c>
      <c r="AB178" s="151">
        <v>33.299999999999997</v>
      </c>
      <c r="AC178" s="151">
        <v>35.520000000000003</v>
      </c>
      <c r="AD178" s="151">
        <v>57.73</v>
      </c>
      <c r="AE178" s="151">
        <v>40.71</v>
      </c>
      <c r="AF178" s="151">
        <v>42.19</v>
      </c>
      <c r="AG178" s="151">
        <v>41.44</v>
      </c>
      <c r="AH178" s="151">
        <v>22.2</v>
      </c>
      <c r="AI178" s="151">
        <v>38.11</v>
      </c>
      <c r="AJ178" s="151">
        <v>40.33</v>
      </c>
      <c r="AK178" s="151">
        <v>33.299999999999997</v>
      </c>
      <c r="AL178" s="151">
        <v>1823.12</v>
      </c>
    </row>
    <row r="179" spans="1:38" s="117" customFormat="1" ht="15" customHeight="1" x14ac:dyDescent="0.2">
      <c r="A179" s="123" t="s">
        <v>1169</v>
      </c>
      <c r="B179" s="124" t="s">
        <v>1409</v>
      </c>
      <c r="C179" s="151">
        <v>80</v>
      </c>
      <c r="D179" s="151">
        <v>80</v>
      </c>
      <c r="E179" s="151">
        <v>80</v>
      </c>
      <c r="F179" s="151">
        <v>80</v>
      </c>
      <c r="G179" s="151">
        <v>80</v>
      </c>
      <c r="H179" s="151">
        <v>80</v>
      </c>
      <c r="I179" s="151">
        <v>80</v>
      </c>
      <c r="J179" s="151">
        <v>80</v>
      </c>
      <c r="K179" s="151">
        <v>80</v>
      </c>
      <c r="L179" s="151">
        <v>80</v>
      </c>
      <c r="M179" s="151">
        <v>80</v>
      </c>
      <c r="N179" s="151">
        <v>80</v>
      </c>
      <c r="O179" s="151">
        <v>80</v>
      </c>
      <c r="P179" s="151">
        <v>80</v>
      </c>
      <c r="Q179" s="151">
        <v>80</v>
      </c>
      <c r="R179" s="151">
        <v>80</v>
      </c>
      <c r="S179" s="151">
        <v>80</v>
      </c>
      <c r="T179" s="151">
        <v>80</v>
      </c>
      <c r="U179" s="151">
        <v>80</v>
      </c>
      <c r="V179" s="151">
        <v>80</v>
      </c>
      <c r="W179" s="151">
        <v>80</v>
      </c>
      <c r="X179" s="151">
        <v>80</v>
      </c>
      <c r="Y179" s="151">
        <v>80</v>
      </c>
      <c r="Z179" s="151">
        <v>80</v>
      </c>
      <c r="AA179" s="151">
        <v>80</v>
      </c>
      <c r="AB179" s="151">
        <v>80</v>
      </c>
      <c r="AC179" s="151">
        <v>80</v>
      </c>
      <c r="AD179" s="151">
        <v>80</v>
      </c>
      <c r="AE179" s="151">
        <v>80</v>
      </c>
      <c r="AF179" s="151">
        <v>80</v>
      </c>
      <c r="AG179" s="151">
        <v>80</v>
      </c>
      <c r="AH179" s="151">
        <v>80</v>
      </c>
      <c r="AI179" s="151">
        <v>80</v>
      </c>
      <c r="AJ179" s="151">
        <v>80</v>
      </c>
      <c r="AK179" s="151">
        <v>80</v>
      </c>
      <c r="AL179" s="151">
        <v>2800</v>
      </c>
    </row>
    <row r="180" spans="1:38" s="117" customFormat="1" ht="15" customHeight="1" x14ac:dyDescent="0.2">
      <c r="A180" s="123" t="s">
        <v>1410</v>
      </c>
      <c r="B180" s="124" t="s">
        <v>745</v>
      </c>
      <c r="C180" s="151">
        <v>0</v>
      </c>
      <c r="D180" s="151">
        <v>0</v>
      </c>
      <c r="E180" s="151">
        <v>0</v>
      </c>
      <c r="F180" s="151">
        <v>0</v>
      </c>
      <c r="G180" s="151">
        <v>35.39</v>
      </c>
      <c r="H180" s="151">
        <v>0</v>
      </c>
      <c r="I180" s="151">
        <v>0</v>
      </c>
      <c r="J180" s="151">
        <v>0</v>
      </c>
      <c r="K180" s="151">
        <v>0</v>
      </c>
      <c r="L180" s="151">
        <v>0</v>
      </c>
      <c r="M180" s="151">
        <v>129.12</v>
      </c>
      <c r="N180" s="151">
        <v>102.49</v>
      </c>
      <c r="O180" s="151">
        <v>0</v>
      </c>
      <c r="P180" s="151">
        <v>0</v>
      </c>
      <c r="Q180" s="151">
        <v>0</v>
      </c>
      <c r="R180" s="151">
        <v>0</v>
      </c>
      <c r="S180" s="151">
        <v>0</v>
      </c>
      <c r="T180" s="151">
        <v>0</v>
      </c>
      <c r="U180" s="151">
        <v>0</v>
      </c>
      <c r="V180" s="151">
        <v>0</v>
      </c>
      <c r="W180" s="151">
        <v>0</v>
      </c>
      <c r="X180" s="151">
        <v>0</v>
      </c>
      <c r="Y180" s="151">
        <v>22.5</v>
      </c>
      <c r="Z180" s="151">
        <v>0</v>
      </c>
      <c r="AA180" s="151">
        <v>0</v>
      </c>
      <c r="AB180" s="151">
        <v>0</v>
      </c>
      <c r="AC180" s="151">
        <v>0</v>
      </c>
      <c r="AD180" s="151">
        <v>265.07</v>
      </c>
      <c r="AE180" s="151">
        <v>0</v>
      </c>
      <c r="AF180" s="151">
        <v>0</v>
      </c>
      <c r="AG180" s="151">
        <v>0</v>
      </c>
      <c r="AH180" s="151">
        <v>0</v>
      </c>
      <c r="AI180" s="151">
        <v>0</v>
      </c>
      <c r="AJ180" s="151">
        <v>0</v>
      </c>
      <c r="AK180" s="151">
        <v>0</v>
      </c>
      <c r="AL180" s="151">
        <v>554.57000000000005</v>
      </c>
    </row>
    <row r="181" spans="1:38" s="117" customFormat="1" ht="15" customHeight="1" x14ac:dyDescent="0.2">
      <c r="A181" s="123" t="s">
        <v>594</v>
      </c>
      <c r="B181" s="124" t="s">
        <v>746</v>
      </c>
      <c r="C181" s="151">
        <v>0</v>
      </c>
      <c r="D181" s="151">
        <v>0</v>
      </c>
      <c r="E181" s="151">
        <v>0</v>
      </c>
      <c r="F181" s="151">
        <v>0</v>
      </c>
      <c r="G181" s="151">
        <v>0</v>
      </c>
      <c r="H181" s="151">
        <v>26.77</v>
      </c>
      <c r="I181" s="151">
        <v>0</v>
      </c>
      <c r="J181" s="151">
        <v>38.5</v>
      </c>
      <c r="K181" s="151">
        <v>0</v>
      </c>
      <c r="L181" s="151">
        <v>143.30000000000001</v>
      </c>
      <c r="M181" s="151">
        <v>0</v>
      </c>
      <c r="N181" s="151">
        <v>0</v>
      </c>
      <c r="O181" s="151">
        <v>0</v>
      </c>
      <c r="P181" s="151">
        <v>0</v>
      </c>
      <c r="Q181" s="151">
        <v>0</v>
      </c>
      <c r="R181" s="151">
        <v>0</v>
      </c>
      <c r="S181" s="151">
        <v>0</v>
      </c>
      <c r="T181" s="151">
        <v>0</v>
      </c>
      <c r="U181" s="151">
        <v>14.14</v>
      </c>
      <c r="V181" s="151">
        <v>0</v>
      </c>
      <c r="W181" s="151">
        <v>0</v>
      </c>
      <c r="X181" s="151">
        <v>0</v>
      </c>
      <c r="Y181" s="151">
        <v>0</v>
      </c>
      <c r="Z181" s="151">
        <v>156.94999999999999</v>
      </c>
      <c r="AA181" s="151">
        <v>0</v>
      </c>
      <c r="AB181" s="151">
        <v>0</v>
      </c>
      <c r="AC181" s="151">
        <v>85.34</v>
      </c>
      <c r="AD181" s="151">
        <v>0</v>
      </c>
      <c r="AE181" s="151">
        <v>0</v>
      </c>
      <c r="AF181" s="151">
        <v>0</v>
      </c>
      <c r="AG181" s="151">
        <v>0</v>
      </c>
      <c r="AH181" s="151">
        <v>0</v>
      </c>
      <c r="AI181" s="151">
        <v>0</v>
      </c>
      <c r="AJ181" s="151">
        <v>0</v>
      </c>
      <c r="AK181" s="151">
        <v>0</v>
      </c>
      <c r="AL181" s="151">
        <v>465</v>
      </c>
    </row>
    <row r="182" spans="1:38" s="117" customFormat="1" ht="15" customHeight="1" x14ac:dyDescent="0.2">
      <c r="A182" s="123" t="s">
        <v>386</v>
      </c>
      <c r="B182" s="124" t="s">
        <v>745</v>
      </c>
      <c r="C182" s="151">
        <v>240.74</v>
      </c>
      <c r="D182" s="151">
        <v>606.23</v>
      </c>
      <c r="E182" s="151">
        <v>129.74</v>
      </c>
      <c r="F182" s="151">
        <v>129.74</v>
      </c>
      <c r="G182" s="151">
        <v>826.87</v>
      </c>
      <c r="H182" s="151">
        <v>129.72999999999999</v>
      </c>
      <c r="I182" s="151">
        <v>199.22</v>
      </c>
      <c r="J182" s="151">
        <v>89</v>
      </c>
      <c r="K182" s="151">
        <v>520.66</v>
      </c>
      <c r="L182" s="151">
        <v>129.74</v>
      </c>
      <c r="M182" s="151">
        <v>40.32</v>
      </c>
      <c r="N182" s="151">
        <v>243.53</v>
      </c>
      <c r="O182" s="151">
        <v>88.94</v>
      </c>
      <c r="P182" s="151">
        <v>54.36</v>
      </c>
      <c r="Q182" s="151">
        <v>249.75</v>
      </c>
      <c r="R182" s="151">
        <v>129.72999999999999</v>
      </c>
      <c r="S182" s="151">
        <v>110.27</v>
      </c>
      <c r="T182" s="151">
        <v>209.04</v>
      </c>
      <c r="U182" s="151">
        <v>186.38</v>
      </c>
      <c r="V182" s="151">
        <v>256.25</v>
      </c>
      <c r="W182" s="151">
        <v>348.46</v>
      </c>
      <c r="X182" s="151">
        <v>318.58999999999997</v>
      </c>
      <c r="Y182" s="151">
        <v>305.56</v>
      </c>
      <c r="Z182" s="151">
        <v>70.48</v>
      </c>
      <c r="AA182" s="151">
        <v>167.82</v>
      </c>
      <c r="AB182" s="151">
        <v>199.68</v>
      </c>
      <c r="AC182" s="151">
        <v>378.02</v>
      </c>
      <c r="AD182" s="151">
        <v>177.58</v>
      </c>
      <c r="AE182" s="151">
        <v>251.35</v>
      </c>
      <c r="AF182" s="151">
        <v>218.78</v>
      </c>
      <c r="AG182" s="151">
        <v>145.27000000000001</v>
      </c>
      <c r="AH182" s="151">
        <v>202.3</v>
      </c>
      <c r="AI182" s="151">
        <v>89</v>
      </c>
      <c r="AJ182" s="151">
        <v>89</v>
      </c>
      <c r="AK182" s="151">
        <v>95.87</v>
      </c>
      <c r="AL182" s="151">
        <v>7628</v>
      </c>
    </row>
    <row r="183" spans="1:38" s="117" customFormat="1" ht="15" customHeight="1" x14ac:dyDescent="0.2">
      <c r="A183" s="123" t="s">
        <v>744</v>
      </c>
      <c r="B183" s="124" t="s">
        <v>743</v>
      </c>
      <c r="C183" s="151">
        <v>0</v>
      </c>
      <c r="D183" s="151">
        <v>0</v>
      </c>
      <c r="E183" s="151">
        <v>0</v>
      </c>
      <c r="F183" s="151">
        <v>0</v>
      </c>
      <c r="G183" s="151">
        <v>0</v>
      </c>
      <c r="H183" s="151">
        <v>0</v>
      </c>
      <c r="I183" s="151">
        <v>0</v>
      </c>
      <c r="J183" s="151">
        <v>0</v>
      </c>
      <c r="K183" s="151">
        <v>0</v>
      </c>
      <c r="L183" s="151">
        <v>0</v>
      </c>
      <c r="M183" s="151">
        <v>0</v>
      </c>
      <c r="N183" s="151">
        <v>0</v>
      </c>
      <c r="O183" s="151">
        <v>0</v>
      </c>
      <c r="P183" s="151">
        <v>0</v>
      </c>
      <c r="Q183" s="151">
        <v>0</v>
      </c>
      <c r="R183" s="151">
        <v>0</v>
      </c>
      <c r="S183" s="151">
        <v>0</v>
      </c>
      <c r="T183" s="151">
        <v>0</v>
      </c>
      <c r="U183" s="151">
        <v>0</v>
      </c>
      <c r="V183" s="151">
        <v>0</v>
      </c>
      <c r="W183" s="151">
        <v>0</v>
      </c>
      <c r="X183" s="151">
        <v>0</v>
      </c>
      <c r="Y183" s="151">
        <v>0</v>
      </c>
      <c r="Z183" s="151">
        <v>0</v>
      </c>
      <c r="AA183" s="151">
        <v>0</v>
      </c>
      <c r="AB183" s="151">
        <v>0</v>
      </c>
      <c r="AC183" s="151">
        <v>0</v>
      </c>
      <c r="AD183" s="151">
        <v>0</v>
      </c>
      <c r="AE183" s="151">
        <v>0</v>
      </c>
      <c r="AF183" s="151">
        <v>0</v>
      </c>
      <c r="AG183" s="151">
        <v>0</v>
      </c>
      <c r="AH183" s="151">
        <v>302</v>
      </c>
      <c r="AI183" s="151">
        <v>0</v>
      </c>
      <c r="AJ183" s="151">
        <v>0</v>
      </c>
      <c r="AK183" s="151">
        <v>0</v>
      </c>
      <c r="AL183" s="151">
        <v>302</v>
      </c>
    </row>
    <row r="184" spans="1:38" s="117" customFormat="1" ht="15" customHeight="1" x14ac:dyDescent="0.2">
      <c r="A184" s="123" t="s">
        <v>387</v>
      </c>
      <c r="B184" s="124" t="s">
        <v>742</v>
      </c>
      <c r="C184" s="151">
        <v>490.09</v>
      </c>
      <c r="D184" s="151">
        <v>2654.47</v>
      </c>
      <c r="E184" s="151">
        <v>405.43</v>
      </c>
      <c r="F184" s="151">
        <v>219.91</v>
      </c>
      <c r="G184" s="151">
        <v>552.11</v>
      </c>
      <c r="H184" s="151">
        <v>146.19999999999999</v>
      </c>
      <c r="I184" s="151">
        <v>747.72</v>
      </c>
      <c r="J184" s="151">
        <v>258.95999999999998</v>
      </c>
      <c r="K184" s="151">
        <v>1427.44</v>
      </c>
      <c r="L184" s="151">
        <v>258.33999999999997</v>
      </c>
      <c r="M184" s="151">
        <v>600</v>
      </c>
      <c r="N184" s="151">
        <v>585.86</v>
      </c>
      <c r="O184" s="151">
        <v>395.17</v>
      </c>
      <c r="P184" s="151">
        <v>409.4</v>
      </c>
      <c r="Q184" s="151">
        <v>833</v>
      </c>
      <c r="R184" s="151">
        <v>26.31</v>
      </c>
      <c r="S184" s="151">
        <v>372.76</v>
      </c>
      <c r="T184" s="151">
        <v>10.7</v>
      </c>
      <c r="U184" s="151">
        <v>0</v>
      </c>
      <c r="V184" s="151">
        <v>237.52</v>
      </c>
      <c r="W184" s="151">
        <v>509.23</v>
      </c>
      <c r="X184" s="151">
        <v>1127.44</v>
      </c>
      <c r="Y184" s="151">
        <v>780.67</v>
      </c>
      <c r="Z184" s="151">
        <v>0</v>
      </c>
      <c r="AA184" s="151">
        <v>394.98</v>
      </c>
      <c r="AB184" s="151">
        <v>450.47</v>
      </c>
      <c r="AC184" s="151">
        <v>580.49</v>
      </c>
      <c r="AD184" s="151">
        <v>654.69000000000005</v>
      </c>
      <c r="AE184" s="151">
        <v>386.44</v>
      </c>
      <c r="AF184" s="151">
        <v>42.73</v>
      </c>
      <c r="AG184" s="151">
        <v>1275.18</v>
      </c>
      <c r="AH184" s="151">
        <v>1183.48</v>
      </c>
      <c r="AI184" s="151">
        <v>152.35</v>
      </c>
      <c r="AJ184" s="151">
        <v>422.12</v>
      </c>
      <c r="AK184" s="151">
        <v>443.54</v>
      </c>
      <c r="AL184" s="151">
        <v>19035.2</v>
      </c>
    </row>
    <row r="185" spans="1:38" s="117" customFormat="1" ht="15" customHeight="1" x14ac:dyDescent="0.2">
      <c r="A185" s="123" t="s">
        <v>551</v>
      </c>
      <c r="B185" s="124" t="s">
        <v>741</v>
      </c>
      <c r="C185" s="151">
        <v>16</v>
      </c>
      <c r="D185" s="151">
        <v>9</v>
      </c>
      <c r="E185" s="151">
        <v>16</v>
      </c>
      <c r="F185" s="151">
        <v>8</v>
      </c>
      <c r="G185" s="151">
        <v>0</v>
      </c>
      <c r="H185" s="151">
        <v>0</v>
      </c>
      <c r="I185" s="151">
        <v>8</v>
      </c>
      <c r="J185" s="151">
        <v>0</v>
      </c>
      <c r="K185" s="151">
        <v>37.729999999999997</v>
      </c>
      <c r="L185" s="151">
        <v>0</v>
      </c>
      <c r="M185" s="151">
        <v>0</v>
      </c>
      <c r="N185" s="151">
        <v>16</v>
      </c>
      <c r="O185" s="151">
        <v>0</v>
      </c>
      <c r="P185" s="151">
        <v>0</v>
      </c>
      <c r="Q185" s="151">
        <v>0</v>
      </c>
      <c r="R185" s="151">
        <v>0</v>
      </c>
      <c r="S185" s="151">
        <v>0</v>
      </c>
      <c r="T185" s="151">
        <v>0</v>
      </c>
      <c r="U185" s="151">
        <v>0</v>
      </c>
      <c r="V185" s="151">
        <v>9</v>
      </c>
      <c r="W185" s="151">
        <v>0</v>
      </c>
      <c r="X185" s="151">
        <v>0</v>
      </c>
      <c r="Y185" s="151">
        <v>0</v>
      </c>
      <c r="Z185" s="151">
        <v>0</v>
      </c>
      <c r="AA185" s="151">
        <v>0</v>
      </c>
      <c r="AB185" s="151">
        <v>427.46</v>
      </c>
      <c r="AC185" s="151">
        <v>4</v>
      </c>
      <c r="AD185" s="151">
        <v>14.8</v>
      </c>
      <c r="AE185" s="151">
        <v>26</v>
      </c>
      <c r="AF185" s="151">
        <v>7</v>
      </c>
      <c r="AG185" s="151">
        <v>10</v>
      </c>
      <c r="AH185" s="151">
        <v>0</v>
      </c>
      <c r="AI185" s="151">
        <v>4</v>
      </c>
      <c r="AJ185" s="151">
        <v>0</v>
      </c>
      <c r="AK185" s="151">
        <v>0</v>
      </c>
      <c r="AL185" s="151">
        <v>612.99</v>
      </c>
    </row>
    <row r="186" spans="1:38" s="117" customFormat="1" ht="15" customHeight="1" x14ac:dyDescent="0.2">
      <c r="A186" s="123" t="s">
        <v>388</v>
      </c>
      <c r="B186" s="124" t="s">
        <v>735</v>
      </c>
      <c r="C186" s="151">
        <v>0</v>
      </c>
      <c r="D186" s="151">
        <v>0</v>
      </c>
      <c r="E186" s="151">
        <v>0</v>
      </c>
      <c r="F186" s="151">
        <v>335</v>
      </c>
      <c r="G186" s="151">
        <v>0</v>
      </c>
      <c r="H186" s="151">
        <v>0</v>
      </c>
      <c r="I186" s="151">
        <v>0</v>
      </c>
      <c r="J186" s="151">
        <v>0</v>
      </c>
      <c r="K186" s="151">
        <v>0</v>
      </c>
      <c r="L186" s="151">
        <v>0</v>
      </c>
      <c r="M186" s="151">
        <v>0</v>
      </c>
      <c r="N186" s="151">
        <v>0</v>
      </c>
      <c r="O186" s="151">
        <v>0</v>
      </c>
      <c r="P186" s="151">
        <v>0</v>
      </c>
      <c r="Q186" s="151">
        <v>0</v>
      </c>
      <c r="R186" s="151">
        <v>0</v>
      </c>
      <c r="S186" s="151">
        <v>0</v>
      </c>
      <c r="T186" s="151">
        <v>0</v>
      </c>
      <c r="U186" s="151">
        <v>0</v>
      </c>
      <c r="V186" s="151">
        <v>0</v>
      </c>
      <c r="W186" s="151">
        <v>0</v>
      </c>
      <c r="X186" s="151">
        <v>0</v>
      </c>
      <c r="Y186" s="151">
        <v>0</v>
      </c>
      <c r="Z186" s="151">
        <v>0</v>
      </c>
      <c r="AA186" s="151">
        <v>335</v>
      </c>
      <c r="AB186" s="151">
        <v>0</v>
      </c>
      <c r="AC186" s="151">
        <v>0</v>
      </c>
      <c r="AD186" s="151">
        <v>0</v>
      </c>
      <c r="AE186" s="151">
        <v>0</v>
      </c>
      <c r="AF186" s="151">
        <v>0</v>
      </c>
      <c r="AG186" s="151">
        <v>0</v>
      </c>
      <c r="AH186" s="151">
        <v>0</v>
      </c>
      <c r="AI186" s="151">
        <v>0</v>
      </c>
      <c r="AJ186" s="151">
        <v>-25.07</v>
      </c>
      <c r="AK186" s="151">
        <v>335</v>
      </c>
      <c r="AL186" s="151">
        <v>979.93</v>
      </c>
    </row>
    <row r="187" spans="1:38" s="117" customFormat="1" ht="15" customHeight="1" x14ac:dyDescent="0.2">
      <c r="A187" s="123" t="s">
        <v>1411</v>
      </c>
      <c r="B187" s="124" t="s">
        <v>1412</v>
      </c>
      <c r="C187" s="151">
        <v>0</v>
      </c>
      <c r="D187" s="151">
        <v>0</v>
      </c>
      <c r="E187" s="151">
        <v>0</v>
      </c>
      <c r="F187" s="151">
        <v>0</v>
      </c>
      <c r="G187" s="151">
        <v>0</v>
      </c>
      <c r="H187" s="151">
        <v>0</v>
      </c>
      <c r="I187" s="151">
        <v>0</v>
      </c>
      <c r="J187" s="151">
        <v>0</v>
      </c>
      <c r="K187" s="151">
        <v>0</v>
      </c>
      <c r="L187" s="151">
        <v>0</v>
      </c>
      <c r="M187" s="151">
        <v>0</v>
      </c>
      <c r="N187" s="151">
        <v>0</v>
      </c>
      <c r="O187" s="151">
        <v>0</v>
      </c>
      <c r="P187" s="151">
        <v>0</v>
      </c>
      <c r="Q187" s="151">
        <v>0</v>
      </c>
      <c r="R187" s="151">
        <v>0</v>
      </c>
      <c r="S187" s="151">
        <v>0</v>
      </c>
      <c r="T187" s="151">
        <v>0</v>
      </c>
      <c r="U187" s="151">
        <v>0</v>
      </c>
      <c r="V187" s="151">
        <v>0</v>
      </c>
      <c r="W187" s="151">
        <v>0</v>
      </c>
      <c r="X187" s="151">
        <v>0</v>
      </c>
      <c r="Y187" s="151">
        <v>0</v>
      </c>
      <c r="Z187" s="151">
        <v>0</v>
      </c>
      <c r="AA187" s="151">
        <v>0</v>
      </c>
      <c r="AB187" s="151">
        <v>0</v>
      </c>
      <c r="AC187" s="151">
        <v>4.62</v>
      </c>
      <c r="AD187" s="151">
        <v>0</v>
      </c>
      <c r="AE187" s="151">
        <v>0</v>
      </c>
      <c r="AF187" s="151">
        <v>0</v>
      </c>
      <c r="AG187" s="151">
        <v>0</v>
      </c>
      <c r="AH187" s="151">
        <v>0</v>
      </c>
      <c r="AI187" s="151">
        <v>0</v>
      </c>
      <c r="AJ187" s="151">
        <v>0</v>
      </c>
      <c r="AK187" s="151">
        <v>0</v>
      </c>
      <c r="AL187" s="151">
        <v>4.62</v>
      </c>
    </row>
    <row r="188" spans="1:38" s="117" customFormat="1" ht="15" customHeight="1" x14ac:dyDescent="0.2">
      <c r="A188" s="123" t="s">
        <v>389</v>
      </c>
      <c r="B188" s="124" t="s">
        <v>740</v>
      </c>
      <c r="C188" s="151">
        <v>283.20999999999998</v>
      </c>
      <c r="D188" s="151">
        <v>513.62</v>
      </c>
      <c r="E188" s="151">
        <v>378.07</v>
      </c>
      <c r="F188" s="151">
        <v>63.46</v>
      </c>
      <c r="G188" s="151">
        <v>158.82</v>
      </c>
      <c r="H188" s="151">
        <v>230.36</v>
      </c>
      <c r="I188" s="151">
        <v>263.95999999999998</v>
      </c>
      <c r="J188" s="151">
        <v>499.12</v>
      </c>
      <c r="K188" s="151">
        <v>167.51</v>
      </c>
      <c r="L188" s="151">
        <v>261.24</v>
      </c>
      <c r="M188" s="151">
        <v>476.89</v>
      </c>
      <c r="N188" s="151">
        <v>309.18</v>
      </c>
      <c r="O188" s="151">
        <v>151.84</v>
      </c>
      <c r="P188" s="151">
        <v>672.51</v>
      </c>
      <c r="Q188" s="151">
        <v>217.53</v>
      </c>
      <c r="R188" s="151">
        <v>87.24</v>
      </c>
      <c r="S188" s="151">
        <v>134.09</v>
      </c>
      <c r="T188" s="151">
        <v>775.03</v>
      </c>
      <c r="U188" s="151">
        <v>502.73</v>
      </c>
      <c r="V188" s="151">
        <v>71</v>
      </c>
      <c r="W188" s="151">
        <v>96.85</v>
      </c>
      <c r="X188" s="151">
        <v>278.56</v>
      </c>
      <c r="Y188" s="151">
        <v>170.14</v>
      </c>
      <c r="Z188" s="151">
        <v>106.72</v>
      </c>
      <c r="AA188" s="151">
        <v>449.03</v>
      </c>
      <c r="AB188" s="151">
        <v>201.12</v>
      </c>
      <c r="AC188" s="151">
        <v>826.05</v>
      </c>
      <c r="AD188" s="151">
        <v>311.27</v>
      </c>
      <c r="AE188" s="151">
        <v>241.95</v>
      </c>
      <c r="AF188" s="151">
        <v>233.56</v>
      </c>
      <c r="AG188" s="151">
        <v>260.43</v>
      </c>
      <c r="AH188" s="151">
        <v>156.4</v>
      </c>
      <c r="AI188" s="151">
        <v>28.28</v>
      </c>
      <c r="AJ188" s="151">
        <v>177.64</v>
      </c>
      <c r="AK188" s="151">
        <v>581.74</v>
      </c>
      <c r="AL188" s="151">
        <v>10337.15</v>
      </c>
    </row>
    <row r="189" spans="1:38" s="117" customFormat="1" ht="15" customHeight="1" x14ac:dyDescent="0.2">
      <c r="A189" s="123" t="s">
        <v>390</v>
      </c>
      <c r="B189" s="124" t="s">
        <v>739</v>
      </c>
      <c r="C189" s="151">
        <v>10700.01</v>
      </c>
      <c r="D189" s="151">
        <v>10074.99</v>
      </c>
      <c r="E189" s="151">
        <v>10700.01</v>
      </c>
      <c r="F189" s="151">
        <v>2468.6</v>
      </c>
      <c r="G189" s="151">
        <v>11574.99</v>
      </c>
      <c r="H189" s="151">
        <v>10700.01</v>
      </c>
      <c r="I189" s="151">
        <v>10700.01</v>
      </c>
      <c r="J189" s="151">
        <v>183.32</v>
      </c>
      <c r="K189" s="151">
        <v>10074.99</v>
      </c>
      <c r="L189" s="151">
        <v>2468.5700000000002</v>
      </c>
      <c r="M189" s="151">
        <v>10074.99</v>
      </c>
      <c r="N189" s="151">
        <v>2468.5700000000002</v>
      </c>
      <c r="O189" s="151">
        <v>10700.01</v>
      </c>
      <c r="P189" s="151">
        <v>10074.99</v>
      </c>
      <c r="Q189" s="151">
        <v>12200.02</v>
      </c>
      <c r="R189" s="151">
        <v>10700.01</v>
      </c>
      <c r="S189" s="151">
        <v>10074.99</v>
      </c>
      <c r="T189" s="151">
        <v>2264.1799999999998</v>
      </c>
      <c r="U189" s="151">
        <v>2468.5700000000002</v>
      </c>
      <c r="V189" s="151">
        <v>10700.01</v>
      </c>
      <c r="W189" s="151">
        <v>-1066.68</v>
      </c>
      <c r="X189" s="151">
        <v>10700.01</v>
      </c>
      <c r="Y189" s="151">
        <v>12200.01</v>
      </c>
      <c r="Z189" s="151">
        <v>1963.74</v>
      </c>
      <c r="AA189" s="151">
        <v>2468.6</v>
      </c>
      <c r="AB189" s="151">
        <v>-441.7</v>
      </c>
      <c r="AC189" s="151">
        <v>2468.5700000000002</v>
      </c>
      <c r="AD189" s="151">
        <v>-117.05</v>
      </c>
      <c r="AE189" s="151">
        <v>2468.5700000000002</v>
      </c>
      <c r="AF189" s="151">
        <v>2398.6999999999998</v>
      </c>
      <c r="AG189" s="151">
        <v>2468.6</v>
      </c>
      <c r="AH189" s="151">
        <v>10700.01</v>
      </c>
      <c r="AI189" s="151">
        <v>2468.6</v>
      </c>
      <c r="AJ189" s="151">
        <v>2468.6</v>
      </c>
      <c r="AK189" s="151">
        <v>2468.6</v>
      </c>
      <c r="AL189" s="151">
        <v>214989.02</v>
      </c>
    </row>
    <row r="190" spans="1:38" s="117" customFormat="1" ht="15" customHeight="1" x14ac:dyDescent="0.2">
      <c r="A190" s="123" t="s">
        <v>391</v>
      </c>
      <c r="B190" s="124" t="s">
        <v>738</v>
      </c>
      <c r="C190" s="151">
        <v>8954.66</v>
      </c>
      <c r="D190" s="151">
        <v>6824.84</v>
      </c>
      <c r="E190" s="151">
        <v>9332.25</v>
      </c>
      <c r="F190" s="151">
        <v>652.37</v>
      </c>
      <c r="G190" s="151">
        <v>27812.080000000002</v>
      </c>
      <c r="H190" s="151">
        <v>7202.62</v>
      </c>
      <c r="I190" s="151">
        <v>5401.45</v>
      </c>
      <c r="J190" s="151">
        <v>372.27</v>
      </c>
      <c r="K190" s="151">
        <v>6137.15</v>
      </c>
      <c r="L190" s="151">
        <v>722.27</v>
      </c>
      <c r="M190" s="151">
        <v>5102.5200000000004</v>
      </c>
      <c r="N190" s="151">
        <v>582.27</v>
      </c>
      <c r="O190" s="151">
        <v>9186.1</v>
      </c>
      <c r="P190" s="151">
        <v>4299.8599999999997</v>
      </c>
      <c r="Q190" s="151">
        <v>15160.41</v>
      </c>
      <c r="R190" s="151">
        <v>8195.51</v>
      </c>
      <c r="S190" s="151">
        <v>3622.77</v>
      </c>
      <c r="T190" s="151">
        <v>3101</v>
      </c>
      <c r="U190" s="151">
        <v>4004.27</v>
      </c>
      <c r="V190" s="151">
        <v>7010.8</v>
      </c>
      <c r="W190" s="151">
        <v>582.27</v>
      </c>
      <c r="X190" s="151">
        <v>8835.4</v>
      </c>
      <c r="Y190" s="151">
        <v>26715.599999999999</v>
      </c>
      <c r="Z190" s="151">
        <v>1728.7</v>
      </c>
      <c r="AA190" s="151">
        <v>672.27</v>
      </c>
      <c r="AB190" s="151">
        <v>396.27</v>
      </c>
      <c r="AC190" s="151">
        <v>4440.2700000000004</v>
      </c>
      <c r="AD190" s="151">
        <v>3602.97</v>
      </c>
      <c r="AE190" s="151">
        <v>626.28</v>
      </c>
      <c r="AF190" s="151">
        <v>1852.28</v>
      </c>
      <c r="AG190" s="151">
        <v>852.28</v>
      </c>
      <c r="AH190" s="151">
        <v>6679.75</v>
      </c>
      <c r="AI190" s="151">
        <v>968.55</v>
      </c>
      <c r="AJ190" s="151">
        <v>1251.25</v>
      </c>
      <c r="AK190" s="151">
        <v>2198.63</v>
      </c>
      <c r="AL190" s="151">
        <v>195080.24</v>
      </c>
    </row>
    <row r="191" spans="1:38" s="117" customFormat="1" ht="15" customHeight="1" x14ac:dyDescent="0.2">
      <c r="A191" s="123" t="s">
        <v>737</v>
      </c>
      <c r="B191" s="124" t="s">
        <v>736</v>
      </c>
      <c r="C191" s="151">
        <v>0</v>
      </c>
      <c r="D191" s="151">
        <v>0</v>
      </c>
      <c r="E191" s="151">
        <v>0</v>
      </c>
      <c r="F191" s="151">
        <v>0</v>
      </c>
      <c r="G191" s="151">
        <v>0</v>
      </c>
      <c r="H191" s="151">
        <v>0</v>
      </c>
      <c r="I191" s="151">
        <v>0</v>
      </c>
      <c r="J191" s="151">
        <v>0</v>
      </c>
      <c r="K191" s="151">
        <v>0</v>
      </c>
      <c r="L191" s="151">
        <v>0</v>
      </c>
      <c r="M191" s="151">
        <v>0</v>
      </c>
      <c r="N191" s="151">
        <v>0</v>
      </c>
      <c r="O191" s="151">
        <v>0</v>
      </c>
      <c r="P191" s="151">
        <v>0</v>
      </c>
      <c r="Q191" s="151">
        <v>326</v>
      </c>
      <c r="R191" s="151">
        <v>0</v>
      </c>
      <c r="S191" s="151">
        <v>0</v>
      </c>
      <c r="T191" s="151">
        <v>0</v>
      </c>
      <c r="U191" s="151">
        <v>0</v>
      </c>
      <c r="V191" s="151">
        <v>0</v>
      </c>
      <c r="W191" s="151">
        <v>0</v>
      </c>
      <c r="X191" s="151">
        <v>0</v>
      </c>
      <c r="Y191" s="151">
        <v>0</v>
      </c>
      <c r="Z191" s="151">
        <v>0</v>
      </c>
      <c r="AA191" s="151">
        <v>0</v>
      </c>
      <c r="AB191" s="151">
        <v>0</v>
      </c>
      <c r="AC191" s="151">
        <v>0</v>
      </c>
      <c r="AD191" s="151">
        <v>0</v>
      </c>
      <c r="AE191" s="151">
        <v>0</v>
      </c>
      <c r="AF191" s="151">
        <v>0</v>
      </c>
      <c r="AG191" s="151">
        <v>0</v>
      </c>
      <c r="AH191" s="151">
        <v>0</v>
      </c>
      <c r="AI191" s="151">
        <v>0</v>
      </c>
      <c r="AJ191" s="151">
        <v>0</v>
      </c>
      <c r="AK191" s="151">
        <v>0</v>
      </c>
      <c r="AL191" s="151">
        <v>326</v>
      </c>
    </row>
    <row r="192" spans="1:38" s="117" customFormat="1" ht="15" customHeight="1" x14ac:dyDescent="0.2">
      <c r="A192" s="123" t="s">
        <v>552</v>
      </c>
      <c r="B192" s="124" t="s">
        <v>735</v>
      </c>
      <c r="C192" s="151">
        <v>0</v>
      </c>
      <c r="D192" s="151">
        <v>0</v>
      </c>
      <c r="E192" s="151">
        <v>0</v>
      </c>
      <c r="F192" s="151">
        <v>0</v>
      </c>
      <c r="G192" s="151">
        <v>0</v>
      </c>
      <c r="H192" s="151">
        <v>335</v>
      </c>
      <c r="I192" s="151">
        <v>0</v>
      </c>
      <c r="J192" s="151">
        <v>0</v>
      </c>
      <c r="K192" s="151">
        <v>0</v>
      </c>
      <c r="L192" s="151">
        <v>0</v>
      </c>
      <c r="M192" s="151">
        <v>0</v>
      </c>
      <c r="N192" s="151">
        <v>0</v>
      </c>
      <c r="O192" s="151">
        <v>335</v>
      </c>
      <c r="P192" s="151">
        <v>0</v>
      </c>
      <c r="Q192" s="151">
        <v>425</v>
      </c>
      <c r="R192" s="151">
        <v>335</v>
      </c>
      <c r="S192" s="151">
        <v>0</v>
      </c>
      <c r="T192" s="151">
        <v>0</v>
      </c>
      <c r="U192" s="151">
        <v>0</v>
      </c>
      <c r="V192" s="151">
        <v>0</v>
      </c>
      <c r="W192" s="151">
        <v>0</v>
      </c>
      <c r="X192" s="151">
        <v>335</v>
      </c>
      <c r="Y192" s="151">
        <v>0</v>
      </c>
      <c r="Z192" s="151">
        <v>0</v>
      </c>
      <c r="AA192" s="151">
        <v>0</v>
      </c>
      <c r="AB192" s="151">
        <v>0</v>
      </c>
      <c r="AC192" s="151">
        <v>0</v>
      </c>
      <c r="AD192" s="151">
        <v>0</v>
      </c>
      <c r="AE192" s="151">
        <v>315</v>
      </c>
      <c r="AF192" s="151">
        <v>315</v>
      </c>
      <c r="AG192" s="151">
        <v>375</v>
      </c>
      <c r="AH192" s="151">
        <v>0</v>
      </c>
      <c r="AI192" s="151">
        <v>335</v>
      </c>
      <c r="AJ192" s="151">
        <v>360.07</v>
      </c>
      <c r="AK192" s="151">
        <v>0</v>
      </c>
      <c r="AL192" s="151">
        <v>3465.07</v>
      </c>
    </row>
    <row r="193" spans="1:38" s="117" customFormat="1" ht="15" customHeight="1" x14ac:dyDescent="0.2">
      <c r="A193" s="123" t="s">
        <v>392</v>
      </c>
      <c r="B193" s="124" t="s">
        <v>734</v>
      </c>
      <c r="C193" s="151">
        <v>40.56</v>
      </c>
      <c r="D193" s="151">
        <v>15.56</v>
      </c>
      <c r="E193" s="151">
        <v>40.56</v>
      </c>
      <c r="F193" s="151">
        <v>40.56</v>
      </c>
      <c r="G193" s="151">
        <v>40.56</v>
      </c>
      <c r="H193" s="151">
        <v>196.56</v>
      </c>
      <c r="I193" s="151">
        <v>40.56</v>
      </c>
      <c r="J193" s="151">
        <v>355.56</v>
      </c>
      <c r="K193" s="151">
        <v>15.56</v>
      </c>
      <c r="L193" s="151">
        <v>40.56</v>
      </c>
      <c r="M193" s="151">
        <v>15.56</v>
      </c>
      <c r="N193" s="151">
        <v>375.56</v>
      </c>
      <c r="O193" s="151">
        <v>40.56</v>
      </c>
      <c r="P193" s="151">
        <v>15.56</v>
      </c>
      <c r="Q193" s="151">
        <v>40.56</v>
      </c>
      <c r="R193" s="151">
        <v>40.56</v>
      </c>
      <c r="S193" s="151">
        <v>15.56</v>
      </c>
      <c r="T193" s="151">
        <v>15.56</v>
      </c>
      <c r="U193" s="151">
        <v>40.56</v>
      </c>
      <c r="V193" s="151">
        <v>700.56</v>
      </c>
      <c r="W193" s="151">
        <v>40.56</v>
      </c>
      <c r="X193" s="151">
        <v>40.56</v>
      </c>
      <c r="Y193" s="151">
        <v>740.56</v>
      </c>
      <c r="Z193" s="151">
        <v>15.55</v>
      </c>
      <c r="AA193" s="151">
        <v>40.549999999999997</v>
      </c>
      <c r="AB193" s="151">
        <v>15.55</v>
      </c>
      <c r="AC193" s="151">
        <v>40.549999999999997</v>
      </c>
      <c r="AD193" s="151">
        <v>40.549999999999997</v>
      </c>
      <c r="AE193" s="151">
        <v>40.549999999999997</v>
      </c>
      <c r="AF193" s="151">
        <v>40.549999999999997</v>
      </c>
      <c r="AG193" s="151">
        <v>40.549999999999997</v>
      </c>
      <c r="AH193" s="151">
        <v>40.549999999999997</v>
      </c>
      <c r="AI193" s="151">
        <v>40.549999999999997</v>
      </c>
      <c r="AJ193" s="151">
        <v>40.549999999999997</v>
      </c>
      <c r="AK193" s="151">
        <v>40.549999999999997</v>
      </c>
      <c r="AL193" s="151">
        <v>3385.48</v>
      </c>
    </row>
    <row r="194" spans="1:38" s="117" customFormat="1" ht="15" customHeight="1" x14ac:dyDescent="0.2">
      <c r="A194" s="123" t="s">
        <v>393</v>
      </c>
      <c r="B194" s="124" t="s">
        <v>733</v>
      </c>
      <c r="C194" s="151">
        <v>4208.3500000000004</v>
      </c>
      <c r="D194" s="151">
        <v>0</v>
      </c>
      <c r="E194" s="151">
        <v>4166.6499999999996</v>
      </c>
      <c r="F194" s="151">
        <v>4208.3500000000004</v>
      </c>
      <c r="G194" s="151">
        <v>7083.35</v>
      </c>
      <c r="H194" s="151">
        <v>4125</v>
      </c>
      <c r="I194" s="151">
        <v>3333.35</v>
      </c>
      <c r="J194" s="151">
        <v>3333.35</v>
      </c>
      <c r="K194" s="151">
        <v>0</v>
      </c>
      <c r="L194" s="151">
        <v>4333.3500000000004</v>
      </c>
      <c r="M194" s="151">
        <v>0</v>
      </c>
      <c r="N194" s="151">
        <v>4166.6499999999996</v>
      </c>
      <c r="O194" s="151">
        <v>4166.6499999999996</v>
      </c>
      <c r="P194" s="151">
        <v>0</v>
      </c>
      <c r="Q194" s="151">
        <v>5500</v>
      </c>
      <c r="R194" s="151">
        <v>4208.3500000000004</v>
      </c>
      <c r="S194" s="151">
        <v>0</v>
      </c>
      <c r="T194" s="151">
        <v>0</v>
      </c>
      <c r="U194" s="151">
        <v>6375</v>
      </c>
      <c r="V194" s="151">
        <v>3791.65</v>
      </c>
      <c r="W194" s="151">
        <v>4291.6499999999996</v>
      </c>
      <c r="X194" s="151">
        <v>4208.3500000000004</v>
      </c>
      <c r="Y194" s="151">
        <v>4500</v>
      </c>
      <c r="Z194" s="151">
        <v>0</v>
      </c>
      <c r="AA194" s="151">
        <v>4166.6499999999996</v>
      </c>
      <c r="AB194" s="151">
        <v>3750</v>
      </c>
      <c r="AC194" s="151">
        <v>4000</v>
      </c>
      <c r="AD194" s="151">
        <v>5000</v>
      </c>
      <c r="AE194" s="151">
        <v>3083.35</v>
      </c>
      <c r="AF194" s="151">
        <v>3250</v>
      </c>
      <c r="AG194" s="151">
        <v>4666.6499999999996</v>
      </c>
      <c r="AH194" s="151">
        <v>2500</v>
      </c>
      <c r="AI194" s="151">
        <v>4291.6499999999996</v>
      </c>
      <c r="AJ194" s="151">
        <v>4541.6499999999996</v>
      </c>
      <c r="AK194" s="151">
        <v>3750</v>
      </c>
      <c r="AL194" s="151">
        <v>119000</v>
      </c>
    </row>
    <row r="195" spans="1:38" s="117" customFormat="1" ht="15" customHeight="1" x14ac:dyDescent="0.2">
      <c r="A195" s="123" t="s">
        <v>394</v>
      </c>
      <c r="B195" s="124" t="s">
        <v>732</v>
      </c>
      <c r="C195" s="151">
        <v>5260.4</v>
      </c>
      <c r="D195" s="151">
        <v>0</v>
      </c>
      <c r="E195" s="151">
        <v>5208.3500000000004</v>
      </c>
      <c r="F195" s="151">
        <v>5260.4</v>
      </c>
      <c r="G195" s="151">
        <v>0</v>
      </c>
      <c r="H195" s="151">
        <v>5156.25</v>
      </c>
      <c r="I195" s="151">
        <v>4166.6499999999996</v>
      </c>
      <c r="J195" s="151">
        <v>0</v>
      </c>
      <c r="K195" s="151">
        <v>0</v>
      </c>
      <c r="L195" s="151">
        <v>5416.65</v>
      </c>
      <c r="M195" s="151">
        <v>0</v>
      </c>
      <c r="N195" s="151">
        <v>5208.3500000000004</v>
      </c>
      <c r="O195" s="151">
        <v>5208.3500000000004</v>
      </c>
      <c r="P195" s="151">
        <v>0</v>
      </c>
      <c r="Q195" s="151">
        <v>6875</v>
      </c>
      <c r="R195" s="151">
        <v>5260.4</v>
      </c>
      <c r="S195" s="151">
        <v>0</v>
      </c>
      <c r="T195" s="151">
        <v>0</v>
      </c>
      <c r="U195" s="151">
        <v>7968.75</v>
      </c>
      <c r="V195" s="151">
        <v>4739.6000000000004</v>
      </c>
      <c r="W195" s="151">
        <v>0</v>
      </c>
      <c r="X195" s="151">
        <v>5260.4</v>
      </c>
      <c r="Y195" s="151">
        <v>0</v>
      </c>
      <c r="Z195" s="151">
        <v>0</v>
      </c>
      <c r="AA195" s="151">
        <v>5208.3500000000004</v>
      </c>
      <c r="AB195" s="151">
        <v>0</v>
      </c>
      <c r="AC195" s="151">
        <v>5000</v>
      </c>
      <c r="AD195" s="151">
        <v>0</v>
      </c>
      <c r="AE195" s="151">
        <v>3854.15</v>
      </c>
      <c r="AF195" s="151">
        <v>4062.5</v>
      </c>
      <c r="AG195" s="151">
        <v>5833.35</v>
      </c>
      <c r="AH195" s="151">
        <v>3125</v>
      </c>
      <c r="AI195" s="151">
        <v>5364.6</v>
      </c>
      <c r="AJ195" s="151">
        <v>5677.1</v>
      </c>
      <c r="AK195" s="151">
        <v>4687.5</v>
      </c>
      <c r="AL195" s="151">
        <v>113802.1</v>
      </c>
    </row>
    <row r="196" spans="1:38" s="117" customFormat="1" ht="15" customHeight="1" x14ac:dyDescent="0.2">
      <c r="A196" s="123" t="s">
        <v>395</v>
      </c>
      <c r="B196" s="124" t="s">
        <v>731</v>
      </c>
      <c r="C196" s="151">
        <v>19818.29</v>
      </c>
      <c r="D196" s="151">
        <v>25204.82</v>
      </c>
      <c r="E196" s="151">
        <v>19741.91</v>
      </c>
      <c r="F196" s="151">
        <v>22325.47</v>
      </c>
      <c r="G196" s="151">
        <v>40482.300000000003</v>
      </c>
      <c r="H196" s="151">
        <v>19034.900000000001</v>
      </c>
      <c r="I196" s="151">
        <v>15632.57</v>
      </c>
      <c r="J196" s="151">
        <v>15494.73</v>
      </c>
      <c r="K196" s="151">
        <v>28913.35</v>
      </c>
      <c r="L196" s="151">
        <v>19540.63</v>
      </c>
      <c r="M196" s="151">
        <v>21625.78</v>
      </c>
      <c r="N196" s="151">
        <v>18124.45</v>
      </c>
      <c r="O196" s="151">
        <v>20079.88</v>
      </c>
      <c r="P196" s="151">
        <v>16990.689999999999</v>
      </c>
      <c r="Q196" s="151">
        <v>21288.66</v>
      </c>
      <c r="R196" s="151">
        <v>19135.71</v>
      </c>
      <c r="S196" s="151">
        <v>13029.02</v>
      </c>
      <c r="T196" s="151">
        <v>20461.310000000001</v>
      </c>
      <c r="U196" s="151">
        <v>26769.39</v>
      </c>
      <c r="V196" s="151">
        <v>17303.86</v>
      </c>
      <c r="W196" s="151">
        <v>23910.86</v>
      </c>
      <c r="X196" s="151">
        <v>20375.38</v>
      </c>
      <c r="Y196" s="151">
        <v>29060.77</v>
      </c>
      <c r="Z196" s="151">
        <v>17442.97</v>
      </c>
      <c r="AA196" s="151">
        <v>19247.060000000001</v>
      </c>
      <c r="AB196" s="151">
        <v>20936.39</v>
      </c>
      <c r="AC196" s="151">
        <v>9954.0499999999993</v>
      </c>
      <c r="AD196" s="151">
        <v>29395.62</v>
      </c>
      <c r="AE196" s="151">
        <v>10127.77</v>
      </c>
      <c r="AF196" s="151">
        <v>16866.689999999999</v>
      </c>
      <c r="AG196" s="151">
        <v>20706.73</v>
      </c>
      <c r="AH196" s="151">
        <v>13894.77</v>
      </c>
      <c r="AI196" s="151">
        <v>21043.9</v>
      </c>
      <c r="AJ196" s="151">
        <v>19869.189999999999</v>
      </c>
      <c r="AK196" s="151">
        <v>19907.63</v>
      </c>
      <c r="AL196" s="151">
        <v>713737.5</v>
      </c>
    </row>
    <row r="197" spans="1:38" s="117" customFormat="1" ht="15" customHeight="1" x14ac:dyDescent="0.2">
      <c r="A197" s="123" t="s">
        <v>396</v>
      </c>
      <c r="B197" s="124" t="s">
        <v>730</v>
      </c>
      <c r="C197" s="151">
        <v>8525.66</v>
      </c>
      <c r="D197" s="151">
        <v>10249.18</v>
      </c>
      <c r="E197" s="151">
        <v>8278.41</v>
      </c>
      <c r="F197" s="151">
        <v>8249.02</v>
      </c>
      <c r="G197" s="151">
        <v>16012.15</v>
      </c>
      <c r="H197" s="151">
        <v>9840.82</v>
      </c>
      <c r="I197" s="151">
        <v>6961.02</v>
      </c>
      <c r="J197" s="151">
        <v>8945.2099999999991</v>
      </c>
      <c r="K197" s="151">
        <v>9890.9500000000007</v>
      </c>
      <c r="L197" s="151">
        <v>8750.18</v>
      </c>
      <c r="M197" s="151">
        <v>6856.55</v>
      </c>
      <c r="N197" s="151">
        <v>9447.7000000000007</v>
      </c>
      <c r="O197" s="151">
        <v>8253.3799999999992</v>
      </c>
      <c r="P197" s="151">
        <v>6608.86</v>
      </c>
      <c r="Q197" s="151">
        <v>14555.24</v>
      </c>
      <c r="R197" s="151">
        <v>8268.76</v>
      </c>
      <c r="S197" s="151">
        <v>5596.27</v>
      </c>
      <c r="T197" s="151">
        <v>10883.07</v>
      </c>
      <c r="U197" s="151">
        <v>13705.03</v>
      </c>
      <c r="V197" s="151">
        <v>7763.81</v>
      </c>
      <c r="W197" s="151">
        <v>10122.23</v>
      </c>
      <c r="X197" s="151">
        <v>9241.86</v>
      </c>
      <c r="Y197" s="151">
        <v>10907.46</v>
      </c>
      <c r="Z197" s="151">
        <v>7335.56</v>
      </c>
      <c r="AA197" s="151">
        <v>9890.84</v>
      </c>
      <c r="AB197" s="151">
        <v>9734.91</v>
      </c>
      <c r="AC197" s="151">
        <v>14096.25</v>
      </c>
      <c r="AD197" s="151">
        <v>10663.89</v>
      </c>
      <c r="AE197" s="151">
        <v>7254.23</v>
      </c>
      <c r="AF197" s="151">
        <v>8868.24</v>
      </c>
      <c r="AG197" s="151">
        <v>9623.9500000000007</v>
      </c>
      <c r="AH197" s="151">
        <v>7038.35</v>
      </c>
      <c r="AI197" s="151">
        <v>8762.17</v>
      </c>
      <c r="AJ197" s="151">
        <v>9288.9699999999993</v>
      </c>
      <c r="AK197" s="151">
        <v>7804.26</v>
      </c>
      <c r="AL197" s="151">
        <v>328274.44</v>
      </c>
    </row>
    <row r="198" spans="1:38" s="117" customFormat="1" ht="15" customHeight="1" x14ac:dyDescent="0.2">
      <c r="A198" s="123" t="s">
        <v>397</v>
      </c>
      <c r="B198" s="124" t="s">
        <v>729</v>
      </c>
      <c r="C198" s="151">
        <v>1743.3</v>
      </c>
      <c r="D198" s="151">
        <v>2528.15</v>
      </c>
      <c r="E198" s="151">
        <v>1654.56</v>
      </c>
      <c r="F198" s="151">
        <v>1978.75</v>
      </c>
      <c r="G198" s="151">
        <v>3334.58</v>
      </c>
      <c r="H198" s="151">
        <v>1910.42</v>
      </c>
      <c r="I198" s="151">
        <v>1674.17</v>
      </c>
      <c r="J198" s="151">
        <v>1557.92</v>
      </c>
      <c r="K198" s="151">
        <v>3385.26</v>
      </c>
      <c r="L198" s="151">
        <v>1980</v>
      </c>
      <c r="M198" s="151">
        <v>2603.8200000000002</v>
      </c>
      <c r="N198" s="151">
        <v>1972.17</v>
      </c>
      <c r="O198" s="151">
        <v>1849.17</v>
      </c>
      <c r="P198" s="151">
        <v>2125.33</v>
      </c>
      <c r="Q198" s="151">
        <v>2987.08</v>
      </c>
      <c r="R198" s="151">
        <v>2019.56</v>
      </c>
      <c r="S198" s="151">
        <v>1683.19</v>
      </c>
      <c r="T198" s="151">
        <v>2943.35</v>
      </c>
      <c r="U198" s="151">
        <v>2318.75</v>
      </c>
      <c r="V198" s="151">
        <v>1712.08</v>
      </c>
      <c r="W198" s="151">
        <v>1676.67</v>
      </c>
      <c r="X198" s="151">
        <v>1520.42</v>
      </c>
      <c r="Y198" s="151">
        <v>1939.58</v>
      </c>
      <c r="Z198" s="151">
        <v>2198.8000000000002</v>
      </c>
      <c r="AA198" s="151">
        <v>1715.85</v>
      </c>
      <c r="AB198" s="151">
        <v>621.66999999999996</v>
      </c>
      <c r="AC198" s="151">
        <v>2494.58</v>
      </c>
      <c r="AD198" s="151">
        <v>2503.79</v>
      </c>
      <c r="AE198" s="151">
        <v>1349.17</v>
      </c>
      <c r="AF198" s="151">
        <v>1605</v>
      </c>
      <c r="AG198" s="151">
        <v>2181.25</v>
      </c>
      <c r="AH198" s="151">
        <v>1101.67</v>
      </c>
      <c r="AI198" s="151">
        <v>1846.95</v>
      </c>
      <c r="AJ198" s="151">
        <v>1696.61</v>
      </c>
      <c r="AK198" s="151">
        <v>1529.58</v>
      </c>
      <c r="AL198" s="151">
        <v>69943.199999999997</v>
      </c>
    </row>
    <row r="199" spans="1:38" s="117" customFormat="1" ht="15" customHeight="1" x14ac:dyDescent="0.2">
      <c r="A199" s="123" t="s">
        <v>398</v>
      </c>
      <c r="B199" s="124" t="s">
        <v>728</v>
      </c>
      <c r="C199" s="151">
        <v>13403.49</v>
      </c>
      <c r="D199" s="151">
        <v>48665.440000000002</v>
      </c>
      <c r="E199" s="151">
        <v>6904.64</v>
      </c>
      <c r="F199" s="151">
        <v>10953.68</v>
      </c>
      <c r="G199" s="151">
        <v>9324.9500000000007</v>
      </c>
      <c r="H199" s="151">
        <v>1653.04</v>
      </c>
      <c r="I199" s="151">
        <v>9519.94</v>
      </c>
      <c r="J199" s="151">
        <v>4015.75</v>
      </c>
      <c r="K199" s="151">
        <v>33323.25</v>
      </c>
      <c r="L199" s="151">
        <v>19191.95</v>
      </c>
      <c r="M199" s="151">
        <v>28382.6</v>
      </c>
      <c r="N199" s="151">
        <v>11380.05</v>
      </c>
      <c r="O199" s="151">
        <v>8067.76</v>
      </c>
      <c r="P199" s="151">
        <v>22051.74</v>
      </c>
      <c r="Q199" s="151">
        <v>5760.93</v>
      </c>
      <c r="R199" s="151">
        <v>10736.62</v>
      </c>
      <c r="S199" s="151">
        <v>20626.55</v>
      </c>
      <c r="T199" s="151">
        <v>44697.4</v>
      </c>
      <c r="U199" s="151">
        <v>27388.09</v>
      </c>
      <c r="V199" s="151">
        <v>7812.3</v>
      </c>
      <c r="W199" s="151">
        <v>3485.05</v>
      </c>
      <c r="X199" s="151">
        <v>2661.71</v>
      </c>
      <c r="Y199" s="151">
        <v>19146.349999999999</v>
      </c>
      <c r="Z199" s="151">
        <v>42115</v>
      </c>
      <c r="AA199" s="151">
        <v>11927.79</v>
      </c>
      <c r="AB199" s="151">
        <v>24134.86</v>
      </c>
      <c r="AC199" s="151">
        <v>14814.8</v>
      </c>
      <c r="AD199" s="151">
        <v>13529.35</v>
      </c>
      <c r="AE199" s="151">
        <v>13736.35</v>
      </c>
      <c r="AF199" s="151">
        <v>31505.35</v>
      </c>
      <c r="AG199" s="151">
        <v>11229.73</v>
      </c>
      <c r="AH199" s="151">
        <v>18635.349999999999</v>
      </c>
      <c r="AI199" s="151">
        <v>6791.64</v>
      </c>
      <c r="AJ199" s="151">
        <v>8493</v>
      </c>
      <c r="AK199" s="151">
        <v>6250.88</v>
      </c>
      <c r="AL199" s="151">
        <v>572317.38</v>
      </c>
    </row>
    <row r="200" spans="1:38" s="117" customFormat="1" ht="15" customHeight="1" x14ac:dyDescent="0.2">
      <c r="A200" s="123" t="s">
        <v>399</v>
      </c>
      <c r="B200" s="124" t="s">
        <v>727</v>
      </c>
      <c r="C200" s="151">
        <v>2888.75</v>
      </c>
      <c r="D200" s="151">
        <v>0</v>
      </c>
      <c r="E200" s="151">
        <v>2975.4</v>
      </c>
      <c r="F200" s="151">
        <v>9807.51</v>
      </c>
      <c r="G200" s="151">
        <v>26536.95</v>
      </c>
      <c r="H200" s="151">
        <v>24850.7</v>
      </c>
      <c r="I200" s="151">
        <v>0</v>
      </c>
      <c r="J200" s="151">
        <v>3134.82</v>
      </c>
      <c r="K200" s="151">
        <v>0</v>
      </c>
      <c r="L200" s="151">
        <v>-779.08</v>
      </c>
      <c r="M200" s="151">
        <v>0</v>
      </c>
      <c r="N200" s="151">
        <v>1836.18</v>
      </c>
      <c r="O200" s="151">
        <v>5462.1</v>
      </c>
      <c r="P200" s="151">
        <v>0</v>
      </c>
      <c r="Q200" s="151">
        <v>22000.01</v>
      </c>
      <c r="R200" s="151">
        <v>5546.03</v>
      </c>
      <c r="S200" s="151">
        <v>0</v>
      </c>
      <c r="T200" s="151">
        <v>0</v>
      </c>
      <c r="U200" s="151">
        <v>0</v>
      </c>
      <c r="V200" s="151">
        <v>1685.38</v>
      </c>
      <c r="W200" s="151">
        <v>8471.15</v>
      </c>
      <c r="X200" s="151">
        <v>14574.98</v>
      </c>
      <c r="Y200" s="151">
        <v>10057.57</v>
      </c>
      <c r="Z200" s="151">
        <v>0</v>
      </c>
      <c r="AA200" s="151">
        <v>7542.9</v>
      </c>
      <c r="AB200" s="151">
        <v>0</v>
      </c>
      <c r="AC200" s="151">
        <v>0</v>
      </c>
      <c r="AD200" s="151">
        <v>19331</v>
      </c>
      <c r="AE200" s="151">
        <v>0</v>
      </c>
      <c r="AF200" s="151">
        <v>0</v>
      </c>
      <c r="AG200" s="151">
        <v>11069.88</v>
      </c>
      <c r="AH200" s="151">
        <v>0</v>
      </c>
      <c r="AI200" s="151">
        <v>13930.96</v>
      </c>
      <c r="AJ200" s="151">
        <v>15025.95</v>
      </c>
      <c r="AK200" s="151">
        <v>12406.78</v>
      </c>
      <c r="AL200" s="151">
        <v>218355.92</v>
      </c>
    </row>
    <row r="201" spans="1:38" s="117" customFormat="1" ht="15" customHeight="1" x14ac:dyDescent="0.2">
      <c r="A201" s="123" t="s">
        <v>400</v>
      </c>
      <c r="B201" s="124" t="s">
        <v>726</v>
      </c>
      <c r="C201" s="151">
        <v>-97.43</v>
      </c>
      <c r="D201" s="151">
        <v>0</v>
      </c>
      <c r="E201" s="151">
        <v>0</v>
      </c>
      <c r="F201" s="151">
        <v>-0.08</v>
      </c>
      <c r="G201" s="151">
        <v>0</v>
      </c>
      <c r="H201" s="151">
        <v>134.16999999999999</v>
      </c>
      <c r="I201" s="151">
        <v>8.3800000000000008</v>
      </c>
      <c r="J201" s="151">
        <v>242.39</v>
      </c>
      <c r="K201" s="151">
        <v>0</v>
      </c>
      <c r="L201" s="151">
        <v>322.97000000000003</v>
      </c>
      <c r="M201" s="151">
        <v>0</v>
      </c>
      <c r="N201" s="151">
        <v>323.98</v>
      </c>
      <c r="O201" s="151">
        <v>-20.010000000000002</v>
      </c>
      <c r="P201" s="151">
        <v>0</v>
      </c>
      <c r="Q201" s="151">
        <v>0.14000000000000001</v>
      </c>
      <c r="R201" s="151">
        <v>1212.0899999999999</v>
      </c>
      <c r="S201" s="151">
        <v>0</v>
      </c>
      <c r="T201" s="151">
        <v>0</v>
      </c>
      <c r="U201" s="151">
        <v>692.34</v>
      </c>
      <c r="V201" s="151">
        <v>409.06</v>
      </c>
      <c r="W201" s="151">
        <v>1519.12</v>
      </c>
      <c r="X201" s="151">
        <v>-103</v>
      </c>
      <c r="Y201" s="151">
        <v>469.18</v>
      </c>
      <c r="Z201" s="151">
        <v>0</v>
      </c>
      <c r="AA201" s="151">
        <v>-10.9</v>
      </c>
      <c r="AB201" s="151">
        <v>0</v>
      </c>
      <c r="AC201" s="151">
        <v>1175.6500000000001</v>
      </c>
      <c r="AD201" s="151">
        <v>80.010000000000005</v>
      </c>
      <c r="AE201" s="151">
        <v>0</v>
      </c>
      <c r="AF201" s="151">
        <v>0</v>
      </c>
      <c r="AG201" s="151">
        <v>0</v>
      </c>
      <c r="AH201" s="151">
        <v>61.52</v>
      </c>
      <c r="AI201" s="151">
        <v>-1233.82</v>
      </c>
      <c r="AJ201" s="151">
        <v>0.11</v>
      </c>
      <c r="AK201" s="151">
        <v>-0.14000000000000001</v>
      </c>
      <c r="AL201" s="151">
        <v>5185.7299999999996</v>
      </c>
    </row>
    <row r="202" spans="1:38" s="117" customFormat="1" ht="15" customHeight="1" x14ac:dyDescent="0.2">
      <c r="A202" s="123" t="s">
        <v>401</v>
      </c>
      <c r="B202" s="124" t="s">
        <v>725</v>
      </c>
      <c r="C202" s="151">
        <v>0</v>
      </c>
      <c r="D202" s="151">
        <v>0</v>
      </c>
      <c r="E202" s="151">
        <v>0</v>
      </c>
      <c r="F202" s="151">
        <v>0</v>
      </c>
      <c r="G202" s="151">
        <v>0</v>
      </c>
      <c r="H202" s="151">
        <v>0</v>
      </c>
      <c r="I202" s="151">
        <v>0</v>
      </c>
      <c r="J202" s="151">
        <v>0</v>
      </c>
      <c r="K202" s="151">
        <v>0</v>
      </c>
      <c r="L202" s="151">
        <v>0</v>
      </c>
      <c r="M202" s="151">
        <v>0</v>
      </c>
      <c r="N202" s="151">
        <v>0</v>
      </c>
      <c r="O202" s="151">
        <v>0</v>
      </c>
      <c r="P202" s="151">
        <v>0</v>
      </c>
      <c r="Q202" s="151">
        <v>7554.15</v>
      </c>
      <c r="R202" s="151">
        <v>0</v>
      </c>
      <c r="S202" s="151">
        <v>0</v>
      </c>
      <c r="T202" s="151">
        <v>0</v>
      </c>
      <c r="U202" s="151">
        <v>0</v>
      </c>
      <c r="V202" s="151">
        <v>0</v>
      </c>
      <c r="W202" s="151">
        <v>0</v>
      </c>
      <c r="X202" s="151">
        <v>0</v>
      </c>
      <c r="Y202" s="151">
        <v>0</v>
      </c>
      <c r="Z202" s="151">
        <v>0</v>
      </c>
      <c r="AA202" s="151">
        <v>0</v>
      </c>
      <c r="AB202" s="151">
        <v>0</v>
      </c>
      <c r="AC202" s="151">
        <v>0</v>
      </c>
      <c r="AD202" s="151">
        <v>0</v>
      </c>
      <c r="AE202" s="151">
        <v>0</v>
      </c>
      <c r="AF202" s="151">
        <v>0</v>
      </c>
      <c r="AG202" s="151">
        <v>0</v>
      </c>
      <c r="AH202" s="151">
        <v>6774.15</v>
      </c>
      <c r="AI202" s="151">
        <v>0</v>
      </c>
      <c r="AJ202" s="151">
        <v>0</v>
      </c>
      <c r="AK202" s="151">
        <v>0</v>
      </c>
      <c r="AL202" s="151">
        <v>14328.3</v>
      </c>
    </row>
    <row r="203" spans="1:38" s="117" customFormat="1" ht="15" customHeight="1" x14ac:dyDescent="0.2">
      <c r="A203" s="123" t="s">
        <v>402</v>
      </c>
      <c r="B203" s="124" t="s">
        <v>724</v>
      </c>
      <c r="C203" s="151">
        <v>0</v>
      </c>
      <c r="D203" s="151">
        <v>0</v>
      </c>
      <c r="E203" s="151">
        <v>0</v>
      </c>
      <c r="F203" s="151">
        <v>70357.8</v>
      </c>
      <c r="G203" s="151">
        <v>0</v>
      </c>
      <c r="H203" s="151">
        <v>0</v>
      </c>
      <c r="I203" s="151">
        <v>0</v>
      </c>
      <c r="J203" s="151">
        <v>57940.83</v>
      </c>
      <c r="K203" s="151">
        <v>0</v>
      </c>
      <c r="L203" s="151">
        <v>87093.38</v>
      </c>
      <c r="M203" s="151">
        <v>0</v>
      </c>
      <c r="N203" s="151">
        <v>76484.44</v>
      </c>
      <c r="O203" s="151">
        <v>0</v>
      </c>
      <c r="P203" s="151">
        <v>0</v>
      </c>
      <c r="Q203" s="151">
        <v>0</v>
      </c>
      <c r="R203" s="151">
        <v>0</v>
      </c>
      <c r="S203" s="151">
        <v>0</v>
      </c>
      <c r="T203" s="151">
        <v>38561.629999999997</v>
      </c>
      <c r="U203" s="151">
        <v>136189.21</v>
      </c>
      <c r="V203" s="151">
        <v>0</v>
      </c>
      <c r="W203" s="151">
        <v>0</v>
      </c>
      <c r="X203" s="151">
        <v>0</v>
      </c>
      <c r="Y203" s="151">
        <v>0</v>
      </c>
      <c r="Z203" s="151">
        <v>26847.03</v>
      </c>
      <c r="AA203" s="151">
        <v>67291.38</v>
      </c>
      <c r="AB203" s="151">
        <v>0</v>
      </c>
      <c r="AC203" s="151">
        <v>23018.86</v>
      </c>
      <c r="AD203" s="151">
        <v>0</v>
      </c>
      <c r="AE203" s="151">
        <v>14694.26</v>
      </c>
      <c r="AF203" s="151">
        <v>68054.47</v>
      </c>
      <c r="AG203" s="151">
        <v>120031.97</v>
      </c>
      <c r="AH203" s="151">
        <v>47301.98</v>
      </c>
      <c r="AI203" s="151">
        <v>90761.42</v>
      </c>
      <c r="AJ203" s="151">
        <v>94451.8</v>
      </c>
      <c r="AK203" s="151">
        <v>80847.75</v>
      </c>
      <c r="AL203" s="151">
        <v>1099928.21</v>
      </c>
    </row>
    <row r="204" spans="1:38" s="117" customFormat="1" ht="15" customHeight="1" x14ac:dyDescent="0.2">
      <c r="A204" s="123" t="s">
        <v>403</v>
      </c>
      <c r="B204" s="124" t="s">
        <v>723</v>
      </c>
      <c r="C204" s="151">
        <v>133224.62</v>
      </c>
      <c r="D204" s="151">
        <v>88867.3</v>
      </c>
      <c r="E204" s="151">
        <v>142202.92000000001</v>
      </c>
      <c r="F204" s="151">
        <v>0</v>
      </c>
      <c r="G204" s="151">
        <v>0</v>
      </c>
      <c r="H204" s="151">
        <v>60669.58</v>
      </c>
      <c r="I204" s="151">
        <v>81765.38</v>
      </c>
      <c r="J204" s="151">
        <v>0</v>
      </c>
      <c r="K204" s="151">
        <v>47884.639999999999</v>
      </c>
      <c r="L204" s="151">
        <v>0</v>
      </c>
      <c r="M204" s="151">
        <v>44582.25</v>
      </c>
      <c r="N204" s="151">
        <v>0</v>
      </c>
      <c r="O204" s="151">
        <v>94918.54</v>
      </c>
      <c r="P204" s="151">
        <v>28070.31</v>
      </c>
      <c r="Q204" s="151">
        <v>45236.34</v>
      </c>
      <c r="R204" s="151">
        <v>68497.919999999998</v>
      </c>
      <c r="S204" s="151">
        <v>21465.53</v>
      </c>
      <c r="T204" s="151">
        <v>0</v>
      </c>
      <c r="U204" s="151">
        <v>0</v>
      </c>
      <c r="V204" s="151">
        <v>111175.77</v>
      </c>
      <c r="W204" s="151">
        <v>74542.100000000006</v>
      </c>
      <c r="X204" s="151">
        <v>91004.37</v>
      </c>
      <c r="Y204" s="151">
        <v>0</v>
      </c>
      <c r="Z204" s="151">
        <v>0</v>
      </c>
      <c r="AA204" s="151">
        <v>0</v>
      </c>
      <c r="AB204" s="151">
        <v>56236.76</v>
      </c>
      <c r="AC204" s="151">
        <v>0</v>
      </c>
      <c r="AD204" s="151">
        <v>57049.31</v>
      </c>
      <c r="AE204" s="151">
        <v>0</v>
      </c>
      <c r="AF204" s="151">
        <v>0</v>
      </c>
      <c r="AG204" s="151">
        <v>0</v>
      </c>
      <c r="AH204" s="151">
        <v>0</v>
      </c>
      <c r="AI204" s="151">
        <v>0</v>
      </c>
      <c r="AJ204" s="151">
        <v>0</v>
      </c>
      <c r="AK204" s="151">
        <v>0</v>
      </c>
      <c r="AL204" s="151">
        <v>1247393.6399999999</v>
      </c>
    </row>
    <row r="205" spans="1:38" s="117" customFormat="1" ht="15" customHeight="1" x14ac:dyDescent="0.2">
      <c r="A205" s="123" t="s">
        <v>501</v>
      </c>
      <c r="B205" s="124" t="s">
        <v>722</v>
      </c>
      <c r="C205" s="151">
        <v>0</v>
      </c>
      <c r="D205" s="151">
        <v>0</v>
      </c>
      <c r="E205" s="151">
        <v>0</v>
      </c>
      <c r="F205" s="151">
        <v>0</v>
      </c>
      <c r="G205" s="151">
        <v>442256.36</v>
      </c>
      <c r="H205" s="151">
        <v>0</v>
      </c>
      <c r="I205" s="151">
        <v>0</v>
      </c>
      <c r="J205" s="151">
        <v>0</v>
      </c>
      <c r="K205" s="151">
        <v>0</v>
      </c>
      <c r="L205" s="151">
        <v>0</v>
      </c>
      <c r="M205" s="151">
        <v>0</v>
      </c>
      <c r="N205" s="151">
        <v>0</v>
      </c>
      <c r="O205" s="151">
        <v>0</v>
      </c>
      <c r="P205" s="151">
        <v>0</v>
      </c>
      <c r="Q205" s="151">
        <v>195488.45</v>
      </c>
      <c r="R205" s="151">
        <v>0</v>
      </c>
      <c r="S205" s="151">
        <v>0</v>
      </c>
      <c r="T205" s="151">
        <v>0</v>
      </c>
      <c r="U205" s="151">
        <v>0</v>
      </c>
      <c r="V205" s="151">
        <v>0</v>
      </c>
      <c r="W205" s="151">
        <v>0</v>
      </c>
      <c r="X205" s="151">
        <v>0</v>
      </c>
      <c r="Y205" s="151">
        <v>152652.5</v>
      </c>
      <c r="Z205" s="151">
        <v>0</v>
      </c>
      <c r="AA205" s="151">
        <v>0</v>
      </c>
      <c r="AB205" s="151">
        <v>0</v>
      </c>
      <c r="AC205" s="151">
        <v>0</v>
      </c>
      <c r="AD205" s="151">
        <v>0</v>
      </c>
      <c r="AE205" s="151">
        <v>0</v>
      </c>
      <c r="AF205" s="151">
        <v>0</v>
      </c>
      <c r="AG205" s="151">
        <v>0</v>
      </c>
      <c r="AH205" s="151">
        <v>0</v>
      </c>
      <c r="AI205" s="151">
        <v>0</v>
      </c>
      <c r="AJ205" s="151">
        <v>0</v>
      </c>
      <c r="AK205" s="151">
        <v>0</v>
      </c>
      <c r="AL205" s="151">
        <v>790397.31</v>
      </c>
    </row>
    <row r="206" spans="1:38" s="117" customFormat="1" ht="15" customHeight="1" x14ac:dyDescent="0.2">
      <c r="A206" s="123" t="s">
        <v>404</v>
      </c>
      <c r="B206" s="124" t="s">
        <v>721</v>
      </c>
      <c r="C206" s="151">
        <v>294.52999999999997</v>
      </c>
      <c r="D206" s="151">
        <v>220.89</v>
      </c>
      <c r="E206" s="151">
        <v>588.63</v>
      </c>
      <c r="F206" s="151">
        <v>489.01</v>
      </c>
      <c r="G206" s="151">
        <v>696.79</v>
      </c>
      <c r="H206" s="151">
        <v>517.54999999999995</v>
      </c>
      <c r="I206" s="151">
        <v>494.96</v>
      </c>
      <c r="J206" s="151">
        <v>116.17</v>
      </c>
      <c r="K206" s="151">
        <v>234.6</v>
      </c>
      <c r="L206" s="151">
        <v>678.99</v>
      </c>
      <c r="M206" s="151">
        <v>201.29</v>
      </c>
      <c r="N206" s="151">
        <v>558.78</v>
      </c>
      <c r="O206" s="151">
        <v>686.96</v>
      </c>
      <c r="P206" s="151">
        <v>176.97</v>
      </c>
      <c r="Q206" s="151">
        <v>728.36</v>
      </c>
      <c r="R206" s="151">
        <v>626.96</v>
      </c>
      <c r="S206" s="151">
        <v>186.29</v>
      </c>
      <c r="T206" s="151">
        <v>444.97</v>
      </c>
      <c r="U206" s="151">
        <v>496.34</v>
      </c>
      <c r="V206" s="151">
        <v>535.39</v>
      </c>
      <c r="W206" s="151">
        <v>683.62</v>
      </c>
      <c r="X206" s="151">
        <v>513.78</v>
      </c>
      <c r="Y206" s="151">
        <v>348.62</v>
      </c>
      <c r="Z206" s="151">
        <v>178.27</v>
      </c>
      <c r="AA206" s="151">
        <v>698.78</v>
      </c>
      <c r="AB206" s="151">
        <v>-57.96</v>
      </c>
      <c r="AC206" s="151">
        <v>581.69000000000005</v>
      </c>
      <c r="AD206" s="151">
        <v>235.23</v>
      </c>
      <c r="AE206" s="151">
        <v>426.65</v>
      </c>
      <c r="AF206" s="151">
        <v>452.07</v>
      </c>
      <c r="AG206" s="151">
        <v>655.34</v>
      </c>
      <c r="AH206" s="151">
        <v>482.5</v>
      </c>
      <c r="AI206" s="151">
        <v>702.7</v>
      </c>
      <c r="AJ206" s="151">
        <v>604.66999999999996</v>
      </c>
      <c r="AK206" s="151">
        <v>568.05999999999995</v>
      </c>
      <c r="AL206" s="151">
        <v>16048.45</v>
      </c>
    </row>
    <row r="207" spans="1:38" s="117" customFormat="1" ht="15" customHeight="1" x14ac:dyDescent="0.2">
      <c r="A207" s="123" t="s">
        <v>720</v>
      </c>
      <c r="B207" s="124" t="s">
        <v>719</v>
      </c>
      <c r="C207" s="151">
        <v>0</v>
      </c>
      <c r="D207" s="151">
        <v>0</v>
      </c>
      <c r="E207" s="151">
        <v>0</v>
      </c>
      <c r="F207" s="151">
        <v>0</v>
      </c>
      <c r="G207" s="151">
        <v>0</v>
      </c>
      <c r="H207" s="151">
        <v>0</v>
      </c>
      <c r="I207" s="151">
        <v>0</v>
      </c>
      <c r="J207" s="151">
        <v>0</v>
      </c>
      <c r="K207" s="151">
        <v>0</v>
      </c>
      <c r="L207" s="151">
        <v>0</v>
      </c>
      <c r="M207" s="151">
        <v>0</v>
      </c>
      <c r="N207" s="151">
        <v>1485.3</v>
      </c>
      <c r="O207" s="151">
        <v>0</v>
      </c>
      <c r="P207" s="151">
        <v>0</v>
      </c>
      <c r="Q207" s="151">
        <v>0</v>
      </c>
      <c r="R207" s="151">
        <v>0</v>
      </c>
      <c r="S207" s="151">
        <v>0</v>
      </c>
      <c r="T207" s="151">
        <v>1291.3800000000001</v>
      </c>
      <c r="U207" s="151">
        <v>0</v>
      </c>
      <c r="V207" s="151">
        <v>0</v>
      </c>
      <c r="W207" s="151">
        <v>0</v>
      </c>
      <c r="X207" s="151">
        <v>0</v>
      </c>
      <c r="Y207" s="151">
        <v>0</v>
      </c>
      <c r="Z207" s="151">
        <v>1234.71</v>
      </c>
      <c r="AA207" s="151">
        <v>0</v>
      </c>
      <c r="AB207" s="151">
        <v>0</v>
      </c>
      <c r="AC207" s="151">
        <v>0</v>
      </c>
      <c r="AD207" s="151">
        <v>0</v>
      </c>
      <c r="AE207" s="151">
        <v>0</v>
      </c>
      <c r="AF207" s="151">
        <v>0</v>
      </c>
      <c r="AG207" s="151">
        <v>0</v>
      </c>
      <c r="AH207" s="151">
        <v>0</v>
      </c>
      <c r="AI207" s="151">
        <v>0</v>
      </c>
      <c r="AJ207" s="151">
        <v>0</v>
      </c>
      <c r="AK207" s="151">
        <v>0</v>
      </c>
      <c r="AL207" s="151">
        <v>4011.39</v>
      </c>
    </row>
    <row r="208" spans="1:38" s="117" customFormat="1" ht="15" customHeight="1" x14ac:dyDescent="0.2">
      <c r="A208" s="123" t="s">
        <v>646</v>
      </c>
      <c r="B208" s="124" t="s">
        <v>718</v>
      </c>
      <c r="C208" s="151">
        <v>0</v>
      </c>
      <c r="D208" s="151">
        <v>0</v>
      </c>
      <c r="E208" s="151">
        <v>0</v>
      </c>
      <c r="F208" s="151">
        <v>0</v>
      </c>
      <c r="G208" s="151">
        <v>0</v>
      </c>
      <c r="H208" s="151">
        <v>0</v>
      </c>
      <c r="I208" s="151">
        <v>0</v>
      </c>
      <c r="J208" s="151">
        <v>0</v>
      </c>
      <c r="K208" s="151">
        <v>0</v>
      </c>
      <c r="L208" s="151">
        <v>0</v>
      </c>
      <c r="M208" s="151">
        <v>0</v>
      </c>
      <c r="N208" s="151">
        <v>0</v>
      </c>
      <c r="O208" s="151">
        <v>0</v>
      </c>
      <c r="P208" s="151">
        <v>0</v>
      </c>
      <c r="Q208" s="151">
        <v>0</v>
      </c>
      <c r="R208" s="151">
        <v>0</v>
      </c>
      <c r="S208" s="151">
        <v>0</v>
      </c>
      <c r="T208" s="151">
        <v>1547.8</v>
      </c>
      <c r="U208" s="151">
        <v>0</v>
      </c>
      <c r="V208" s="151">
        <v>0</v>
      </c>
      <c r="W208" s="151">
        <v>0</v>
      </c>
      <c r="X208" s="151">
        <v>0</v>
      </c>
      <c r="Y208" s="151">
        <v>0</v>
      </c>
      <c r="Z208" s="151">
        <v>0</v>
      </c>
      <c r="AA208" s="151">
        <v>0</v>
      </c>
      <c r="AB208" s="151">
        <v>0</v>
      </c>
      <c r="AC208" s="151">
        <v>0</v>
      </c>
      <c r="AD208" s="151">
        <v>0</v>
      </c>
      <c r="AE208" s="151">
        <v>0</v>
      </c>
      <c r="AF208" s="151">
        <v>0</v>
      </c>
      <c r="AG208" s="151">
        <v>0</v>
      </c>
      <c r="AH208" s="151">
        <v>0</v>
      </c>
      <c r="AI208" s="151">
        <v>0</v>
      </c>
      <c r="AJ208" s="151">
        <v>0</v>
      </c>
      <c r="AK208" s="151">
        <v>0</v>
      </c>
      <c r="AL208" s="151">
        <v>1547.8</v>
      </c>
    </row>
    <row r="209" spans="1:38" s="117" customFormat="1" ht="15" customHeight="1" x14ac:dyDescent="0.2">
      <c r="A209" s="123" t="s">
        <v>558</v>
      </c>
      <c r="B209" s="124" t="s">
        <v>717</v>
      </c>
      <c r="C209" s="151">
        <v>0</v>
      </c>
      <c r="D209" s="151">
        <v>0</v>
      </c>
      <c r="E209" s="151">
        <v>0</v>
      </c>
      <c r="F209" s="151">
        <v>0</v>
      </c>
      <c r="G209" s="151">
        <v>0</v>
      </c>
      <c r="H209" s="151">
        <v>0</v>
      </c>
      <c r="I209" s="151">
        <v>0</v>
      </c>
      <c r="J209" s="151">
        <v>0</v>
      </c>
      <c r="K209" s="151">
        <v>0</v>
      </c>
      <c r="L209" s="151">
        <v>0</v>
      </c>
      <c r="M209" s="151">
        <v>0</v>
      </c>
      <c r="N209" s="151">
        <v>0</v>
      </c>
      <c r="O209" s="151">
        <v>0</v>
      </c>
      <c r="P209" s="151">
        <v>0</v>
      </c>
      <c r="Q209" s="151">
        <v>0</v>
      </c>
      <c r="R209" s="151">
        <v>0</v>
      </c>
      <c r="S209" s="151">
        <v>0</v>
      </c>
      <c r="T209" s="151">
        <v>3086.47</v>
      </c>
      <c r="U209" s="151">
        <v>0</v>
      </c>
      <c r="V209" s="151">
        <v>0</v>
      </c>
      <c r="W209" s="151">
        <v>0</v>
      </c>
      <c r="X209" s="151">
        <v>0</v>
      </c>
      <c r="Y209" s="151">
        <v>17940.759999999998</v>
      </c>
      <c r="Z209" s="151">
        <v>0</v>
      </c>
      <c r="AA209" s="151">
        <v>0</v>
      </c>
      <c r="AB209" s="151">
        <v>0</v>
      </c>
      <c r="AC209" s="151">
        <v>0</v>
      </c>
      <c r="AD209" s="151">
        <v>8913.85</v>
      </c>
      <c r="AE209" s="151">
        <v>0</v>
      </c>
      <c r="AF209" s="151">
        <v>0</v>
      </c>
      <c r="AG209" s="151">
        <v>0</v>
      </c>
      <c r="AH209" s="151">
        <v>0</v>
      </c>
      <c r="AI209" s="151">
        <v>0</v>
      </c>
      <c r="AJ209" s="151">
        <v>0</v>
      </c>
      <c r="AK209" s="151">
        <v>0</v>
      </c>
      <c r="AL209" s="151">
        <v>29941.08</v>
      </c>
    </row>
    <row r="210" spans="1:38" s="117" customFormat="1" ht="15" customHeight="1" x14ac:dyDescent="0.2">
      <c r="A210" s="123" t="s">
        <v>405</v>
      </c>
      <c r="B210" s="124" t="s">
        <v>716</v>
      </c>
      <c r="C210" s="151">
        <v>288968.59000000003</v>
      </c>
      <c r="D210" s="151">
        <v>108257.32</v>
      </c>
      <c r="E210" s="151">
        <v>82347.539999999994</v>
      </c>
      <c r="F210" s="151">
        <v>28328.68</v>
      </c>
      <c r="G210" s="151">
        <v>836001.46</v>
      </c>
      <c r="H210" s="151">
        <v>141738.16</v>
      </c>
      <c r="I210" s="151">
        <v>3396</v>
      </c>
      <c r="J210" s="151">
        <v>4815.47</v>
      </c>
      <c r="K210" s="151">
        <v>16023.65</v>
      </c>
      <c r="L210" s="151">
        <v>11221.66</v>
      </c>
      <c r="M210" s="151">
        <v>25392.13</v>
      </c>
      <c r="N210" s="151">
        <v>4587.25</v>
      </c>
      <c r="O210" s="151">
        <v>259559.98</v>
      </c>
      <c r="P210" s="151">
        <v>19154.45</v>
      </c>
      <c r="Q210" s="151">
        <v>250663.67</v>
      </c>
      <c r="R210" s="151">
        <v>2545</v>
      </c>
      <c r="S210" s="151">
        <v>6114.75</v>
      </c>
      <c r="T210" s="151">
        <v>0</v>
      </c>
      <c r="U210" s="151">
        <v>17003.34</v>
      </c>
      <c r="V210" s="151">
        <v>3993.55</v>
      </c>
      <c r="W210" s="151">
        <v>8451.2000000000007</v>
      </c>
      <c r="X210" s="151">
        <v>300895.03999999998</v>
      </c>
      <c r="Y210" s="151">
        <v>3775</v>
      </c>
      <c r="Z210" s="151">
        <v>0</v>
      </c>
      <c r="AA210" s="151">
        <v>1250</v>
      </c>
      <c r="AB210" s="151">
        <v>11048.45</v>
      </c>
      <c r="AC210" s="151">
        <v>1200</v>
      </c>
      <c r="AD210" s="151">
        <v>1500</v>
      </c>
      <c r="AE210" s="151">
        <v>925</v>
      </c>
      <c r="AF210" s="151">
        <v>975</v>
      </c>
      <c r="AG210" s="151">
        <v>1400</v>
      </c>
      <c r="AH210" s="151">
        <v>4295</v>
      </c>
      <c r="AI210" s="151">
        <v>11314.12</v>
      </c>
      <c r="AJ210" s="151">
        <v>11817.9</v>
      </c>
      <c r="AK210" s="151">
        <v>11166.4</v>
      </c>
      <c r="AL210" s="151">
        <v>2480125.7599999998</v>
      </c>
    </row>
    <row r="211" spans="1:38" s="117" customFormat="1" ht="15" customHeight="1" x14ac:dyDescent="0.2">
      <c r="A211" s="123" t="s">
        <v>406</v>
      </c>
      <c r="B211" s="124" t="s">
        <v>715</v>
      </c>
      <c r="C211" s="151">
        <v>4761.8900000000003</v>
      </c>
      <c r="D211" s="151">
        <v>2824.11</v>
      </c>
      <c r="E211" s="151">
        <v>1575.24</v>
      </c>
      <c r="F211" s="151">
        <v>3975.91</v>
      </c>
      <c r="G211" s="151">
        <v>4722.1000000000004</v>
      </c>
      <c r="H211" s="151">
        <v>3009.17</v>
      </c>
      <c r="I211" s="151">
        <v>717.75</v>
      </c>
      <c r="J211" s="151">
        <v>1278.76</v>
      </c>
      <c r="K211" s="151">
        <v>3171.72</v>
      </c>
      <c r="L211" s="151">
        <v>1958.54</v>
      </c>
      <c r="M211" s="151">
        <v>1141.4000000000001</v>
      </c>
      <c r="N211" s="151">
        <v>0</v>
      </c>
      <c r="O211" s="151">
        <v>1806.25</v>
      </c>
      <c r="P211" s="151">
        <v>1039.77</v>
      </c>
      <c r="Q211" s="151">
        <v>6445.56</v>
      </c>
      <c r="R211" s="151">
        <v>2544.1999999999998</v>
      </c>
      <c r="S211" s="151">
        <v>1992.87</v>
      </c>
      <c r="T211" s="151">
        <v>6318.31</v>
      </c>
      <c r="U211" s="151">
        <v>4353.32</v>
      </c>
      <c r="V211" s="151">
        <v>1202.45</v>
      </c>
      <c r="W211" s="151">
        <v>822.14</v>
      </c>
      <c r="X211" s="151">
        <v>4581.6499999999996</v>
      </c>
      <c r="Y211" s="151">
        <v>0</v>
      </c>
      <c r="Z211" s="151">
        <v>1044.8599999999999</v>
      </c>
      <c r="AA211" s="151">
        <v>1786.41</v>
      </c>
      <c r="AB211" s="151">
        <v>2415.8000000000002</v>
      </c>
      <c r="AC211" s="151">
        <v>3460.29</v>
      </c>
      <c r="AD211" s="151">
        <v>8725.16</v>
      </c>
      <c r="AE211" s="151">
        <v>2059.1999999999998</v>
      </c>
      <c r="AF211" s="151">
        <v>5353.71</v>
      </c>
      <c r="AG211" s="151">
        <v>5902.17</v>
      </c>
      <c r="AH211" s="151">
        <v>1646</v>
      </c>
      <c r="AI211" s="151">
        <v>4555.88</v>
      </c>
      <c r="AJ211" s="151">
        <v>2541.52</v>
      </c>
      <c r="AK211" s="151">
        <v>1645.75</v>
      </c>
      <c r="AL211" s="151">
        <v>101379.86</v>
      </c>
    </row>
    <row r="212" spans="1:38" s="117" customFormat="1" ht="15" customHeight="1" x14ac:dyDescent="0.2">
      <c r="A212" s="123" t="s">
        <v>407</v>
      </c>
      <c r="B212" s="124" t="s">
        <v>714</v>
      </c>
      <c r="C212" s="151">
        <v>0</v>
      </c>
      <c r="D212" s="151">
        <v>3453.09</v>
      </c>
      <c r="E212" s="151">
        <v>0</v>
      </c>
      <c r="F212" s="151">
        <v>1566.51</v>
      </c>
      <c r="G212" s="151">
        <v>648.52</v>
      </c>
      <c r="H212" s="151">
        <v>1021.04</v>
      </c>
      <c r="I212" s="151">
        <v>244.4</v>
      </c>
      <c r="J212" s="151">
        <v>0</v>
      </c>
      <c r="K212" s="151">
        <v>2169.81</v>
      </c>
      <c r="L212" s="151">
        <v>1258</v>
      </c>
      <c r="M212" s="151">
        <v>5128.76</v>
      </c>
      <c r="N212" s="151">
        <v>0</v>
      </c>
      <c r="O212" s="151">
        <v>2111.6</v>
      </c>
      <c r="P212" s="151">
        <v>1300.3599999999999</v>
      </c>
      <c r="Q212" s="151">
        <v>101.51</v>
      </c>
      <c r="R212" s="151">
        <v>741.14</v>
      </c>
      <c r="S212" s="151">
        <v>2474.7199999999998</v>
      </c>
      <c r="T212" s="151">
        <v>833.92</v>
      </c>
      <c r="U212" s="151">
        <v>1025.45</v>
      </c>
      <c r="V212" s="151">
        <v>0</v>
      </c>
      <c r="W212" s="151">
        <v>0</v>
      </c>
      <c r="X212" s="151">
        <v>2120.25</v>
      </c>
      <c r="Y212" s="151">
        <v>0</v>
      </c>
      <c r="Z212" s="151">
        <v>623.12</v>
      </c>
      <c r="AA212" s="151">
        <v>0</v>
      </c>
      <c r="AB212" s="151">
        <v>1319.31</v>
      </c>
      <c r="AC212" s="151">
        <v>6354.52</v>
      </c>
      <c r="AD212" s="151">
        <v>3601.18</v>
      </c>
      <c r="AE212" s="151">
        <v>0</v>
      </c>
      <c r="AF212" s="151">
        <v>635.24</v>
      </c>
      <c r="AG212" s="151">
        <v>4247.38</v>
      </c>
      <c r="AH212" s="151">
        <v>0</v>
      </c>
      <c r="AI212" s="151">
        <v>-255</v>
      </c>
      <c r="AJ212" s="151">
        <v>0</v>
      </c>
      <c r="AK212" s="151">
        <v>0</v>
      </c>
      <c r="AL212" s="151">
        <v>42724.83</v>
      </c>
    </row>
    <row r="213" spans="1:38" s="117" customFormat="1" ht="15" customHeight="1" x14ac:dyDescent="0.2">
      <c r="A213" s="123" t="s">
        <v>408</v>
      </c>
      <c r="B213" s="124" t="s">
        <v>713</v>
      </c>
      <c r="C213" s="151">
        <v>0</v>
      </c>
      <c r="D213" s="151">
        <v>0</v>
      </c>
      <c r="E213" s="151">
        <v>0</v>
      </c>
      <c r="F213" s="151">
        <v>0</v>
      </c>
      <c r="G213" s="151">
        <v>0</v>
      </c>
      <c r="H213" s="151">
        <v>569.04999999999995</v>
      </c>
      <c r="I213" s="151">
        <v>0</v>
      </c>
      <c r="J213" s="151">
        <v>0</v>
      </c>
      <c r="K213" s="151">
        <v>0</v>
      </c>
      <c r="L213" s="151">
        <v>0</v>
      </c>
      <c r="M213" s="151">
        <v>0</v>
      </c>
      <c r="N213" s="151">
        <v>0</v>
      </c>
      <c r="O213" s="151">
        <v>0</v>
      </c>
      <c r="P213" s="151">
        <v>603.19000000000005</v>
      </c>
      <c r="Q213" s="151">
        <v>0</v>
      </c>
      <c r="R213" s="151">
        <v>0</v>
      </c>
      <c r="S213" s="151">
        <v>603.20000000000005</v>
      </c>
      <c r="T213" s="151">
        <v>0</v>
      </c>
      <c r="U213" s="151">
        <v>0</v>
      </c>
      <c r="V213" s="151">
        <v>0</v>
      </c>
      <c r="W213" s="151">
        <v>0</v>
      </c>
      <c r="X213" s="151">
        <v>0</v>
      </c>
      <c r="Y213" s="151">
        <v>0</v>
      </c>
      <c r="Z213" s="151">
        <v>0</v>
      </c>
      <c r="AA213" s="151">
        <v>0</v>
      </c>
      <c r="AB213" s="151">
        <v>0</v>
      </c>
      <c r="AC213" s="151">
        <v>0</v>
      </c>
      <c r="AD213" s="151">
        <v>51.41</v>
      </c>
      <c r="AE213" s="151">
        <v>0</v>
      </c>
      <c r="AF213" s="151">
        <v>953.33</v>
      </c>
      <c r="AG213" s="151">
        <v>619.73</v>
      </c>
      <c r="AH213" s="151">
        <v>0</v>
      </c>
      <c r="AI213" s="151">
        <v>0</v>
      </c>
      <c r="AJ213" s="151">
        <v>59.17</v>
      </c>
      <c r="AK213" s="151">
        <v>0</v>
      </c>
      <c r="AL213" s="151">
        <v>3459.08</v>
      </c>
    </row>
    <row r="214" spans="1:38" s="117" customFormat="1" ht="15" customHeight="1" x14ac:dyDescent="0.2">
      <c r="A214" s="123" t="s">
        <v>409</v>
      </c>
      <c r="B214" s="124" t="s">
        <v>712</v>
      </c>
      <c r="C214" s="151">
        <v>1514.57</v>
      </c>
      <c r="D214" s="151">
        <v>3803.7</v>
      </c>
      <c r="E214" s="151">
        <v>1397.65</v>
      </c>
      <c r="F214" s="151">
        <v>316.94</v>
      </c>
      <c r="G214" s="151">
        <v>0</v>
      </c>
      <c r="H214" s="151">
        <v>0</v>
      </c>
      <c r="I214" s="151">
        <v>761.06</v>
      </c>
      <c r="J214" s="151">
        <v>0</v>
      </c>
      <c r="K214" s="151">
        <v>6775.09</v>
      </c>
      <c r="L214" s="151">
        <v>0</v>
      </c>
      <c r="M214" s="151">
        <v>2510.35</v>
      </c>
      <c r="N214" s="151">
        <v>0</v>
      </c>
      <c r="O214" s="151">
        <v>869.58</v>
      </c>
      <c r="P214" s="151">
        <v>772.8</v>
      </c>
      <c r="Q214" s="151">
        <v>0</v>
      </c>
      <c r="R214" s="151">
        <v>0</v>
      </c>
      <c r="S214" s="151">
        <v>1931.53</v>
      </c>
      <c r="T214" s="151">
        <v>0</v>
      </c>
      <c r="U214" s="151">
        <v>1083.19</v>
      </c>
      <c r="V214" s="151">
        <v>1453.43</v>
      </c>
      <c r="W214" s="151">
        <v>0</v>
      </c>
      <c r="X214" s="151">
        <v>0</v>
      </c>
      <c r="Y214" s="151">
        <v>0</v>
      </c>
      <c r="Z214" s="151">
        <v>0</v>
      </c>
      <c r="AA214" s="151">
        <v>372.06</v>
      </c>
      <c r="AB214" s="151">
        <v>0</v>
      </c>
      <c r="AC214" s="151">
        <v>0</v>
      </c>
      <c r="AD214" s="151">
        <v>0</v>
      </c>
      <c r="AE214" s="151">
        <v>0</v>
      </c>
      <c r="AF214" s="151">
        <v>0</v>
      </c>
      <c r="AG214" s="151">
        <v>0</v>
      </c>
      <c r="AH214" s="151">
        <v>0</v>
      </c>
      <c r="AI214" s="151">
        <v>0</v>
      </c>
      <c r="AJ214" s="151">
        <v>608.16</v>
      </c>
      <c r="AK214" s="151">
        <v>0</v>
      </c>
      <c r="AL214" s="151">
        <v>24170.11</v>
      </c>
    </row>
    <row r="215" spans="1:38" s="117" customFormat="1" ht="15" customHeight="1" x14ac:dyDescent="0.2">
      <c r="A215" s="123" t="s">
        <v>410</v>
      </c>
      <c r="B215" s="124" t="s">
        <v>711</v>
      </c>
      <c r="C215" s="151">
        <v>1145.57</v>
      </c>
      <c r="D215" s="151">
        <v>2625.86</v>
      </c>
      <c r="E215" s="151">
        <v>1629.05</v>
      </c>
      <c r="F215" s="151">
        <v>1687.96</v>
      </c>
      <c r="G215" s="151">
        <v>1584.92</v>
      </c>
      <c r="H215" s="151">
        <v>3681.15</v>
      </c>
      <c r="I215" s="151">
        <v>3039.77</v>
      </c>
      <c r="J215" s="151">
        <v>1080.78</v>
      </c>
      <c r="K215" s="151">
        <v>893.01</v>
      </c>
      <c r="L215" s="151">
        <v>0</v>
      </c>
      <c r="M215" s="151">
        <v>6944.75</v>
      </c>
      <c r="N215" s="151">
        <v>5333.5</v>
      </c>
      <c r="O215" s="151">
        <v>1739.96</v>
      </c>
      <c r="P215" s="151">
        <v>1954.87</v>
      </c>
      <c r="Q215" s="151">
        <v>0</v>
      </c>
      <c r="R215" s="151">
        <v>0</v>
      </c>
      <c r="S215" s="151">
        <v>5182.1099999999997</v>
      </c>
      <c r="T215" s="151">
        <v>193.81</v>
      </c>
      <c r="U215" s="151">
        <v>7451.7</v>
      </c>
      <c r="V215" s="151">
        <v>0</v>
      </c>
      <c r="W215" s="151">
        <v>0</v>
      </c>
      <c r="X215" s="151">
        <v>310.68</v>
      </c>
      <c r="Y215" s="151">
        <v>225</v>
      </c>
      <c r="Z215" s="151">
        <v>3373.03</v>
      </c>
      <c r="AA215" s="151">
        <v>0</v>
      </c>
      <c r="AB215" s="151">
        <v>0</v>
      </c>
      <c r="AC215" s="151">
        <v>315</v>
      </c>
      <c r="AD215" s="151">
        <v>2711.48</v>
      </c>
      <c r="AE215" s="151">
        <v>0</v>
      </c>
      <c r="AF215" s="151">
        <v>0</v>
      </c>
      <c r="AG215" s="151">
        <v>1966.34</v>
      </c>
      <c r="AH215" s="151">
        <v>940</v>
      </c>
      <c r="AI215" s="151">
        <v>2199.13</v>
      </c>
      <c r="AJ215" s="151">
        <v>1214.21</v>
      </c>
      <c r="AK215" s="151">
        <v>2960.66</v>
      </c>
      <c r="AL215" s="151">
        <v>62384.3</v>
      </c>
    </row>
    <row r="216" spans="1:38" s="117" customFormat="1" ht="15" customHeight="1" x14ac:dyDescent="0.2">
      <c r="A216" s="123" t="s">
        <v>411</v>
      </c>
      <c r="B216" s="124" t="s">
        <v>710</v>
      </c>
      <c r="C216" s="151">
        <v>0</v>
      </c>
      <c r="D216" s="151">
        <v>0</v>
      </c>
      <c r="E216" s="151">
        <v>0</v>
      </c>
      <c r="F216" s="151">
        <v>0</v>
      </c>
      <c r="G216" s="151">
        <v>649.11</v>
      </c>
      <c r="H216" s="151">
        <v>628.36</v>
      </c>
      <c r="I216" s="151">
        <v>0</v>
      </c>
      <c r="J216" s="151">
        <v>0</v>
      </c>
      <c r="K216" s="151">
        <v>566.99</v>
      </c>
      <c r="L216" s="151">
        <v>0</v>
      </c>
      <c r="M216" s="151">
        <v>0</v>
      </c>
      <c r="N216" s="151">
        <v>0</v>
      </c>
      <c r="O216" s="151">
        <v>0</v>
      </c>
      <c r="P216" s="151">
        <v>1206.3800000000001</v>
      </c>
      <c r="Q216" s="151">
        <v>0</v>
      </c>
      <c r="R216" s="151">
        <v>1206.3800000000001</v>
      </c>
      <c r="S216" s="151">
        <v>603.20000000000005</v>
      </c>
      <c r="T216" s="151">
        <v>755.76</v>
      </c>
      <c r="U216" s="151">
        <v>0</v>
      </c>
      <c r="V216" s="151">
        <v>0</v>
      </c>
      <c r="W216" s="151">
        <v>0</v>
      </c>
      <c r="X216" s="151">
        <v>0</v>
      </c>
      <c r="Y216" s="151">
        <v>990.18</v>
      </c>
      <c r="Z216" s="151">
        <v>2412.7800000000002</v>
      </c>
      <c r="AA216" s="151">
        <v>0</v>
      </c>
      <c r="AB216" s="151">
        <v>0</v>
      </c>
      <c r="AC216" s="151">
        <v>0</v>
      </c>
      <c r="AD216" s="151">
        <v>1105.68</v>
      </c>
      <c r="AE216" s="151">
        <v>0</v>
      </c>
      <c r="AF216" s="151">
        <v>1288.1199999999999</v>
      </c>
      <c r="AG216" s="151">
        <v>1251.6500000000001</v>
      </c>
      <c r="AH216" s="151">
        <v>0</v>
      </c>
      <c r="AI216" s="151">
        <v>0</v>
      </c>
      <c r="AJ216" s="151">
        <v>0</v>
      </c>
      <c r="AK216" s="151">
        <v>631.34</v>
      </c>
      <c r="AL216" s="151">
        <v>13295.93</v>
      </c>
    </row>
    <row r="217" spans="1:38" s="117" customFormat="1" ht="15" customHeight="1" x14ac:dyDescent="0.2">
      <c r="A217" s="123" t="s">
        <v>412</v>
      </c>
      <c r="B217" s="124" t="s">
        <v>709</v>
      </c>
      <c r="C217" s="151">
        <v>385.86</v>
      </c>
      <c r="D217" s="151">
        <v>0</v>
      </c>
      <c r="E217" s="151">
        <v>0</v>
      </c>
      <c r="F217" s="151">
        <v>0</v>
      </c>
      <c r="G217" s="151">
        <v>552.46</v>
      </c>
      <c r="H217" s="151">
        <v>236.93</v>
      </c>
      <c r="I217" s="151">
        <v>0</v>
      </c>
      <c r="J217" s="151">
        <v>0</v>
      </c>
      <c r="K217" s="151">
        <v>487.08</v>
      </c>
      <c r="L217" s="151">
        <v>201.33</v>
      </c>
      <c r="M217" s="151">
        <v>160.02000000000001</v>
      </c>
      <c r="N217" s="151">
        <v>0</v>
      </c>
      <c r="O217" s="151">
        <v>99.28</v>
      </c>
      <c r="P217" s="151">
        <v>0</v>
      </c>
      <c r="Q217" s="151">
        <v>212.52</v>
      </c>
      <c r="R217" s="151">
        <v>115.82</v>
      </c>
      <c r="S217" s="151">
        <v>0</v>
      </c>
      <c r="T217" s="151">
        <v>322.10000000000002</v>
      </c>
      <c r="U217" s="151">
        <v>694.72</v>
      </c>
      <c r="V217" s="151">
        <v>0</v>
      </c>
      <c r="W217" s="151">
        <v>0</v>
      </c>
      <c r="X217" s="151">
        <v>120.08</v>
      </c>
      <c r="Y217" s="151">
        <v>0</v>
      </c>
      <c r="Z217" s="151">
        <v>0</v>
      </c>
      <c r="AA217" s="151">
        <v>0</v>
      </c>
      <c r="AB217" s="151">
        <v>0</v>
      </c>
      <c r="AC217" s="151">
        <v>850.83</v>
      </c>
      <c r="AD217" s="151">
        <v>352.66</v>
      </c>
      <c r="AE217" s="151">
        <v>227.44</v>
      </c>
      <c r="AF217" s="151">
        <v>207.76</v>
      </c>
      <c r="AG217" s="151">
        <v>151.72999999999999</v>
      </c>
      <c r="AH217" s="151">
        <v>240.57</v>
      </c>
      <c r="AI217" s="151">
        <v>235.97</v>
      </c>
      <c r="AJ217" s="151">
        <v>137.81</v>
      </c>
      <c r="AK217" s="151">
        <v>163.83000000000001</v>
      </c>
      <c r="AL217" s="151">
        <v>6156.8</v>
      </c>
    </row>
    <row r="218" spans="1:38" s="117" customFormat="1" ht="15" customHeight="1" x14ac:dyDescent="0.2">
      <c r="A218" s="123" t="s">
        <v>553</v>
      </c>
      <c r="B218" s="124" t="s">
        <v>708</v>
      </c>
      <c r="C218" s="151">
        <v>0</v>
      </c>
      <c r="D218" s="151">
        <v>0</v>
      </c>
      <c r="E218" s="151">
        <v>0</v>
      </c>
      <c r="F218" s="151">
        <v>0</v>
      </c>
      <c r="G218" s="151">
        <v>0</v>
      </c>
      <c r="H218" s="151">
        <v>0</v>
      </c>
      <c r="I218" s="151">
        <v>0</v>
      </c>
      <c r="J218" s="151">
        <v>0</v>
      </c>
      <c r="K218" s="151">
        <v>0</v>
      </c>
      <c r="L218" s="151">
        <v>0</v>
      </c>
      <c r="M218" s="151">
        <v>0</v>
      </c>
      <c r="N218" s="151">
        <v>0</v>
      </c>
      <c r="O218" s="151">
        <v>0</v>
      </c>
      <c r="P218" s="151">
        <v>0</v>
      </c>
      <c r="Q218" s="151">
        <v>0</v>
      </c>
      <c r="R218" s="151">
        <v>0</v>
      </c>
      <c r="S218" s="151">
        <v>0</v>
      </c>
      <c r="T218" s="151">
        <v>703.89</v>
      </c>
      <c r="U218" s="151">
        <v>0</v>
      </c>
      <c r="V218" s="151">
        <v>0</v>
      </c>
      <c r="W218" s="151">
        <v>0</v>
      </c>
      <c r="X218" s="151">
        <v>0</v>
      </c>
      <c r="Y218" s="151">
        <v>0</v>
      </c>
      <c r="Z218" s="151">
        <v>0</v>
      </c>
      <c r="AA218" s="151">
        <v>0</v>
      </c>
      <c r="AB218" s="151">
        <v>0</v>
      </c>
      <c r="AC218" s="151">
        <v>10403.1</v>
      </c>
      <c r="AD218" s="151">
        <v>0</v>
      </c>
      <c r="AE218" s="151">
        <v>0</v>
      </c>
      <c r="AF218" s="151">
        <v>4061.71</v>
      </c>
      <c r="AG218" s="151">
        <v>0</v>
      </c>
      <c r="AH218" s="151">
        <v>4497.3500000000004</v>
      </c>
      <c r="AI218" s="151">
        <v>0</v>
      </c>
      <c r="AJ218" s="151">
        <v>0</v>
      </c>
      <c r="AK218" s="151">
        <v>0</v>
      </c>
      <c r="AL218" s="151">
        <v>19666.05</v>
      </c>
    </row>
    <row r="219" spans="1:38" s="117" customFormat="1" ht="15" customHeight="1" x14ac:dyDescent="0.2">
      <c r="A219" s="123" t="s">
        <v>1124</v>
      </c>
      <c r="B219" s="124" t="s">
        <v>1413</v>
      </c>
      <c r="C219" s="151">
        <v>0</v>
      </c>
      <c r="D219" s="151">
        <v>0</v>
      </c>
      <c r="E219" s="151">
        <v>0</v>
      </c>
      <c r="F219" s="151">
        <v>344.9</v>
      </c>
      <c r="G219" s="151">
        <v>0</v>
      </c>
      <c r="H219" s="151">
        <v>0</v>
      </c>
      <c r="I219" s="151">
        <v>0</v>
      </c>
      <c r="J219" s="151">
        <v>344.9</v>
      </c>
      <c r="K219" s="151">
        <v>0</v>
      </c>
      <c r="L219" s="151">
        <v>0</v>
      </c>
      <c r="M219" s="151">
        <v>754.79</v>
      </c>
      <c r="N219" s="151">
        <v>0</v>
      </c>
      <c r="O219" s="151">
        <v>0</v>
      </c>
      <c r="P219" s="151">
        <v>0</v>
      </c>
      <c r="Q219" s="151">
        <v>0</v>
      </c>
      <c r="R219" s="151">
        <v>0</v>
      </c>
      <c r="S219" s="151">
        <v>0</v>
      </c>
      <c r="T219" s="151">
        <v>270.88</v>
      </c>
      <c r="U219" s="151">
        <v>0</v>
      </c>
      <c r="V219" s="151">
        <v>0</v>
      </c>
      <c r="W219" s="151">
        <v>0</v>
      </c>
      <c r="X219" s="151">
        <v>0</v>
      </c>
      <c r="Y219" s="151">
        <v>349.1</v>
      </c>
      <c r="Z219" s="151">
        <v>0</v>
      </c>
      <c r="AA219" s="151">
        <v>344.9</v>
      </c>
      <c r="AB219" s="151">
        <v>0</v>
      </c>
      <c r="AC219" s="151">
        <v>0</v>
      </c>
      <c r="AD219" s="151">
        <v>0</v>
      </c>
      <c r="AE219" s="151">
        <v>0</v>
      </c>
      <c r="AF219" s="151">
        <v>0</v>
      </c>
      <c r="AG219" s="151">
        <v>0</v>
      </c>
      <c r="AH219" s="151">
        <v>0</v>
      </c>
      <c r="AI219" s="151">
        <v>0</v>
      </c>
      <c r="AJ219" s="151">
        <v>0</v>
      </c>
      <c r="AK219" s="151">
        <v>345.14</v>
      </c>
      <c r="AL219" s="151">
        <v>2754.61</v>
      </c>
    </row>
    <row r="220" spans="1:38" s="117" customFormat="1" ht="15" customHeight="1" x14ac:dyDescent="0.2">
      <c r="A220" s="123" t="s">
        <v>413</v>
      </c>
      <c r="B220" s="124" t="s">
        <v>707</v>
      </c>
      <c r="C220" s="151">
        <v>284.12</v>
      </c>
      <c r="D220" s="151">
        <v>306.64999999999998</v>
      </c>
      <c r="E220" s="151">
        <v>281.66000000000003</v>
      </c>
      <c r="F220" s="151">
        <v>0</v>
      </c>
      <c r="G220" s="151">
        <v>0</v>
      </c>
      <c r="H220" s="151">
        <v>291</v>
      </c>
      <c r="I220" s="151">
        <v>373.42</v>
      </c>
      <c r="J220" s="151">
        <v>56.08</v>
      </c>
      <c r="K220" s="151">
        <v>688.91</v>
      </c>
      <c r="L220" s="151">
        <v>0</v>
      </c>
      <c r="M220" s="151">
        <v>352.42</v>
      </c>
      <c r="N220" s="151">
        <v>0</v>
      </c>
      <c r="O220" s="151">
        <v>236.08</v>
      </c>
      <c r="P220" s="151">
        <v>422.04</v>
      </c>
      <c r="Q220" s="151">
        <v>0</v>
      </c>
      <c r="R220" s="151">
        <v>0</v>
      </c>
      <c r="S220" s="151">
        <v>191.81</v>
      </c>
      <c r="T220" s="151">
        <v>77.95</v>
      </c>
      <c r="U220" s="151">
        <v>0</v>
      </c>
      <c r="V220" s="151">
        <v>429.68</v>
      </c>
      <c r="W220" s="151">
        <v>0</v>
      </c>
      <c r="X220" s="151">
        <v>0</v>
      </c>
      <c r="Y220" s="151">
        <v>1853.24</v>
      </c>
      <c r="Z220" s="151">
        <v>0</v>
      </c>
      <c r="AA220" s="151">
        <v>0</v>
      </c>
      <c r="AB220" s="151">
        <v>0</v>
      </c>
      <c r="AC220" s="151">
        <v>243.91</v>
      </c>
      <c r="AD220" s="151">
        <v>712.6</v>
      </c>
      <c r="AE220" s="151">
        <v>0</v>
      </c>
      <c r="AF220" s="151">
        <v>0</v>
      </c>
      <c r="AG220" s="151">
        <v>0</v>
      </c>
      <c r="AH220" s="151">
        <v>135.91999999999999</v>
      </c>
      <c r="AI220" s="151">
        <v>172.01</v>
      </c>
      <c r="AJ220" s="151">
        <v>0</v>
      </c>
      <c r="AK220" s="151">
        <v>286.12</v>
      </c>
      <c r="AL220" s="151">
        <v>7395.62</v>
      </c>
    </row>
    <row r="221" spans="1:38" s="117" customFormat="1" ht="15" customHeight="1" x14ac:dyDescent="0.2">
      <c r="A221" s="123" t="s">
        <v>1121</v>
      </c>
      <c r="B221" s="124" t="s">
        <v>1414</v>
      </c>
      <c r="C221" s="151">
        <v>0</v>
      </c>
      <c r="D221" s="151">
        <v>0</v>
      </c>
      <c r="E221" s="151">
        <v>-2863</v>
      </c>
      <c r="F221" s="151">
        <v>-4330</v>
      </c>
      <c r="G221" s="151">
        <v>-9230</v>
      </c>
      <c r="H221" s="151">
        <v>0</v>
      </c>
      <c r="I221" s="151">
        <v>-20731</v>
      </c>
      <c r="J221" s="151">
        <v>0</v>
      </c>
      <c r="K221" s="151">
        <v>0</v>
      </c>
      <c r="L221" s="151">
        <v>-28417.56</v>
      </c>
      <c r="M221" s="151">
        <v>-11870</v>
      </c>
      <c r="N221" s="151">
        <v>-24500</v>
      </c>
      <c r="O221" s="151">
        <v>0</v>
      </c>
      <c r="P221" s="151">
        <v>0</v>
      </c>
      <c r="Q221" s="151">
        <v>0</v>
      </c>
      <c r="R221" s="151">
        <v>0</v>
      </c>
      <c r="S221" s="151">
        <v>-2940</v>
      </c>
      <c r="T221" s="151">
        <v>0</v>
      </c>
      <c r="U221" s="151">
        <v>-11045</v>
      </c>
      <c r="V221" s="151">
        <v>0</v>
      </c>
      <c r="W221" s="151">
        <v>0</v>
      </c>
      <c r="X221" s="151">
        <v>-28934</v>
      </c>
      <c r="Y221" s="151">
        <v>-16814</v>
      </c>
      <c r="Z221" s="151">
        <v>-31473.919999999998</v>
      </c>
      <c r="AA221" s="151">
        <v>-14315</v>
      </c>
      <c r="AB221" s="151">
        <v>-6049.07</v>
      </c>
      <c r="AC221" s="151">
        <v>-4482</v>
      </c>
      <c r="AD221" s="151">
        <v>-3590.82</v>
      </c>
      <c r="AE221" s="151">
        <v>-11739.67</v>
      </c>
      <c r="AF221" s="151">
        <v>-16012</v>
      </c>
      <c r="AG221" s="151">
        <v>-20026.900000000001</v>
      </c>
      <c r="AH221" s="151">
        <v>0</v>
      </c>
      <c r="AI221" s="151">
        <v>0</v>
      </c>
      <c r="AJ221" s="151">
        <v>-4044.09</v>
      </c>
      <c r="AK221" s="151">
        <v>-9948.8799999999992</v>
      </c>
      <c r="AL221" s="151">
        <v>-283356.90999999997</v>
      </c>
    </row>
    <row r="222" spans="1:38" s="117" customFormat="1" ht="15" customHeight="1" x14ac:dyDescent="0.2">
      <c r="A222" s="123" t="s">
        <v>1119</v>
      </c>
      <c r="B222" s="124" t="s">
        <v>1415</v>
      </c>
      <c r="C222" s="151">
        <v>0</v>
      </c>
      <c r="D222" s="151">
        <v>0</v>
      </c>
      <c r="E222" s="151">
        <v>0</v>
      </c>
      <c r="F222" s="151">
        <v>0</v>
      </c>
      <c r="G222" s="151">
        <v>274</v>
      </c>
      <c r="H222" s="151">
        <v>0</v>
      </c>
      <c r="I222" s="151">
        <v>0</v>
      </c>
      <c r="J222" s="151">
        <v>0</v>
      </c>
      <c r="K222" s="151">
        <v>0</v>
      </c>
      <c r="L222" s="151">
        <v>0</v>
      </c>
      <c r="M222" s="151">
        <v>0</v>
      </c>
      <c r="N222" s="151">
        <v>0</v>
      </c>
      <c r="O222" s="151">
        <v>0</v>
      </c>
      <c r="P222" s="151">
        <v>0</v>
      </c>
      <c r="Q222" s="151">
        <v>0</v>
      </c>
      <c r="R222" s="151">
        <v>0</v>
      </c>
      <c r="S222" s="151">
        <v>0</v>
      </c>
      <c r="T222" s="151">
        <v>225</v>
      </c>
      <c r="U222" s="151">
        <v>0</v>
      </c>
      <c r="V222" s="151">
        <v>246</v>
      </c>
      <c r="W222" s="151">
        <v>0</v>
      </c>
      <c r="X222" s="151">
        <v>0</v>
      </c>
      <c r="Y222" s="151">
        <v>981</v>
      </c>
      <c r="Z222" s="151">
        <v>0</v>
      </c>
      <c r="AA222" s="151">
        <v>0</v>
      </c>
      <c r="AB222" s="151">
        <v>0</v>
      </c>
      <c r="AC222" s="151">
        <v>0</v>
      </c>
      <c r="AD222" s="151">
        <v>0</v>
      </c>
      <c r="AE222" s="151">
        <v>0</v>
      </c>
      <c r="AF222" s="151">
        <v>0</v>
      </c>
      <c r="AG222" s="151">
        <v>0</v>
      </c>
      <c r="AH222" s="151">
        <v>0</v>
      </c>
      <c r="AI222" s="151">
        <v>0</v>
      </c>
      <c r="AJ222" s="151">
        <v>0</v>
      </c>
      <c r="AK222" s="151">
        <v>0</v>
      </c>
      <c r="AL222" s="151">
        <v>1726</v>
      </c>
    </row>
    <row r="223" spans="1:38" s="117" customFormat="1" ht="15" customHeight="1" x14ac:dyDescent="0.2">
      <c r="A223" s="123" t="s">
        <v>414</v>
      </c>
      <c r="B223" s="124" t="s">
        <v>706</v>
      </c>
      <c r="C223" s="151">
        <v>0</v>
      </c>
      <c r="D223" s="151">
        <v>-2781.34</v>
      </c>
      <c r="E223" s="151">
        <v>0</v>
      </c>
      <c r="F223" s="151">
        <v>0</v>
      </c>
      <c r="G223" s="151">
        <v>0</v>
      </c>
      <c r="H223" s="151">
        <v>0</v>
      </c>
      <c r="I223" s="151">
        <v>0</v>
      </c>
      <c r="J223" s="151">
        <v>6700</v>
      </c>
      <c r="K223" s="151">
        <v>0</v>
      </c>
      <c r="L223" s="151">
        <v>0</v>
      </c>
      <c r="M223" s="151">
        <v>0</v>
      </c>
      <c r="N223" s="151">
        <v>0</v>
      </c>
      <c r="O223" s="151">
        <v>0</v>
      </c>
      <c r="P223" s="151">
        <v>0</v>
      </c>
      <c r="Q223" s="151">
        <v>0</v>
      </c>
      <c r="R223" s="151">
        <v>0</v>
      </c>
      <c r="S223" s="151">
        <v>2275</v>
      </c>
      <c r="T223" s="151">
        <v>0</v>
      </c>
      <c r="U223" s="151">
        <v>0</v>
      </c>
      <c r="V223" s="151">
        <v>0</v>
      </c>
      <c r="W223" s="151">
        <v>0</v>
      </c>
      <c r="X223" s="151">
        <v>-3875</v>
      </c>
      <c r="Y223" s="151">
        <v>4830</v>
      </c>
      <c r="Z223" s="151">
        <v>0</v>
      </c>
      <c r="AA223" s="151">
        <v>0</v>
      </c>
      <c r="AB223" s="151">
        <v>0</v>
      </c>
      <c r="AC223" s="151">
        <v>2700</v>
      </c>
      <c r="AD223" s="151">
        <v>5724</v>
      </c>
      <c r="AE223" s="151">
        <v>0</v>
      </c>
      <c r="AF223" s="151">
        <v>0</v>
      </c>
      <c r="AG223" s="151">
        <v>0</v>
      </c>
      <c r="AH223" s="151">
        <v>1300</v>
      </c>
      <c r="AI223" s="151">
        <v>0</v>
      </c>
      <c r="AJ223" s="151">
        <v>0</v>
      </c>
      <c r="AK223" s="151">
        <v>0</v>
      </c>
      <c r="AL223" s="151">
        <v>16872.66</v>
      </c>
    </row>
    <row r="224" spans="1:38" s="117" customFormat="1" ht="15" customHeight="1" x14ac:dyDescent="0.2">
      <c r="A224" s="123" t="s">
        <v>502</v>
      </c>
      <c r="B224" s="124" t="s">
        <v>705</v>
      </c>
      <c r="C224" s="151">
        <v>0</v>
      </c>
      <c r="D224" s="151">
        <v>0</v>
      </c>
      <c r="E224" s="151">
        <v>0</v>
      </c>
      <c r="F224" s="151">
        <v>0</v>
      </c>
      <c r="G224" s="151">
        <v>0</v>
      </c>
      <c r="H224" s="151">
        <v>0</v>
      </c>
      <c r="I224" s="151">
        <v>0</v>
      </c>
      <c r="J224" s="151">
        <v>0</v>
      </c>
      <c r="K224" s="151">
        <v>0</v>
      </c>
      <c r="L224" s="151">
        <v>0</v>
      </c>
      <c r="M224" s="151">
        <v>0</v>
      </c>
      <c r="N224" s="151">
        <v>0</v>
      </c>
      <c r="O224" s="151">
        <v>0</v>
      </c>
      <c r="P224" s="151">
        <v>0</v>
      </c>
      <c r="Q224" s="151">
        <v>0</v>
      </c>
      <c r="R224" s="151">
        <v>0</v>
      </c>
      <c r="S224" s="151">
        <v>0</v>
      </c>
      <c r="T224" s="151">
        <v>0</v>
      </c>
      <c r="U224" s="151">
        <v>0</v>
      </c>
      <c r="V224" s="151">
        <v>0</v>
      </c>
      <c r="W224" s="151">
        <v>0</v>
      </c>
      <c r="X224" s="151">
        <v>0</v>
      </c>
      <c r="Y224" s="151">
        <v>0</v>
      </c>
      <c r="Z224" s="151">
        <v>0</v>
      </c>
      <c r="AA224" s="151">
        <v>0</v>
      </c>
      <c r="AB224" s="151">
        <v>0</v>
      </c>
      <c r="AC224" s="151">
        <v>0</v>
      </c>
      <c r="AD224" s="151">
        <v>0</v>
      </c>
      <c r="AE224" s="151">
        <v>0</v>
      </c>
      <c r="AF224" s="151">
        <v>0</v>
      </c>
      <c r="AG224" s="151">
        <v>450</v>
      </c>
      <c r="AH224" s="151">
        <v>0</v>
      </c>
      <c r="AI224" s="151">
        <v>0</v>
      </c>
      <c r="AJ224" s="151">
        <v>0</v>
      </c>
      <c r="AK224" s="151">
        <v>0</v>
      </c>
      <c r="AL224" s="151">
        <v>450</v>
      </c>
    </row>
    <row r="225" spans="1:38" s="117" customFormat="1" ht="15" customHeight="1" x14ac:dyDescent="0.2">
      <c r="A225" s="123" t="s">
        <v>554</v>
      </c>
      <c r="B225" s="124" t="s">
        <v>704</v>
      </c>
      <c r="C225" s="151">
        <v>0</v>
      </c>
      <c r="D225" s="151">
        <v>0</v>
      </c>
      <c r="E225" s="151">
        <v>0</v>
      </c>
      <c r="F225" s="151">
        <v>0</v>
      </c>
      <c r="G225" s="151">
        <v>203.29</v>
      </c>
      <c r="H225" s="151">
        <v>0</v>
      </c>
      <c r="I225" s="151">
        <v>409.9</v>
      </c>
      <c r="J225" s="151">
        <v>0</v>
      </c>
      <c r="K225" s="151">
        <v>0</v>
      </c>
      <c r="L225" s="151">
        <v>0</v>
      </c>
      <c r="M225" s="151">
        <v>0</v>
      </c>
      <c r="N225" s="151">
        <v>0</v>
      </c>
      <c r="O225" s="151">
        <v>0</v>
      </c>
      <c r="P225" s="151">
        <v>0</v>
      </c>
      <c r="Q225" s="151">
        <v>0</v>
      </c>
      <c r="R225" s="151">
        <v>0</v>
      </c>
      <c r="S225" s="151">
        <v>0</v>
      </c>
      <c r="T225" s="151">
        <v>0</v>
      </c>
      <c r="U225" s="151">
        <v>0</v>
      </c>
      <c r="V225" s="151">
        <v>0</v>
      </c>
      <c r="W225" s="151">
        <v>0</v>
      </c>
      <c r="X225" s="151">
        <v>0</v>
      </c>
      <c r="Y225" s="151">
        <v>0</v>
      </c>
      <c r="Z225" s="151">
        <v>0</v>
      </c>
      <c r="AA225" s="151">
        <v>0</v>
      </c>
      <c r="AB225" s="151">
        <v>0</v>
      </c>
      <c r="AC225" s="151">
        <v>0</v>
      </c>
      <c r="AD225" s="151">
        <v>0</v>
      </c>
      <c r="AE225" s="151">
        <v>0</v>
      </c>
      <c r="AF225" s="151">
        <v>0</v>
      </c>
      <c r="AG225" s="151">
        <v>0</v>
      </c>
      <c r="AH225" s="151">
        <v>0</v>
      </c>
      <c r="AI225" s="151">
        <v>0</v>
      </c>
      <c r="AJ225" s="151">
        <v>0</v>
      </c>
      <c r="AK225" s="151">
        <v>0</v>
      </c>
      <c r="AL225" s="151">
        <v>613.19000000000005</v>
      </c>
    </row>
    <row r="226" spans="1:38" s="117" customFormat="1" ht="15" customHeight="1" x14ac:dyDescent="0.2">
      <c r="A226" s="123" t="s">
        <v>1114</v>
      </c>
      <c r="B226" s="124" t="s">
        <v>1416</v>
      </c>
      <c r="C226" s="151">
        <v>0</v>
      </c>
      <c r="D226" s="151">
        <v>0</v>
      </c>
      <c r="E226" s="151">
        <v>0</v>
      </c>
      <c r="F226" s="151">
        <v>0</v>
      </c>
      <c r="G226" s="151">
        <v>0</v>
      </c>
      <c r="H226" s="151">
        <v>0</v>
      </c>
      <c r="I226" s="151">
        <v>0</v>
      </c>
      <c r="J226" s="151">
        <v>0</v>
      </c>
      <c r="K226" s="151">
        <v>0</v>
      </c>
      <c r="L226" s="151">
        <v>0</v>
      </c>
      <c r="M226" s="151">
        <v>0</v>
      </c>
      <c r="N226" s="151">
        <v>0</v>
      </c>
      <c r="O226" s="151">
        <v>3950</v>
      </c>
      <c r="P226" s="151">
        <v>0</v>
      </c>
      <c r="Q226" s="151">
        <v>0</v>
      </c>
      <c r="R226" s="151">
        <v>0</v>
      </c>
      <c r="S226" s="151">
        <v>0</v>
      </c>
      <c r="T226" s="151">
        <v>0</v>
      </c>
      <c r="U226" s="151">
        <v>0</v>
      </c>
      <c r="V226" s="151">
        <v>0</v>
      </c>
      <c r="W226" s="151">
        <v>0</v>
      </c>
      <c r="X226" s="151">
        <v>28934</v>
      </c>
      <c r="Y226" s="151">
        <v>5535</v>
      </c>
      <c r="Z226" s="151">
        <v>0</v>
      </c>
      <c r="AA226" s="151">
        <v>0</v>
      </c>
      <c r="AB226" s="151">
        <v>0</v>
      </c>
      <c r="AC226" s="151">
        <v>0</v>
      </c>
      <c r="AD226" s="151">
        <v>0</v>
      </c>
      <c r="AE226" s="151">
        <v>0</v>
      </c>
      <c r="AF226" s="151">
        <v>0</v>
      </c>
      <c r="AG226" s="151">
        <v>0</v>
      </c>
      <c r="AH226" s="151">
        <v>0</v>
      </c>
      <c r="AI226" s="151">
        <v>0</v>
      </c>
      <c r="AJ226" s="151">
        <v>0</v>
      </c>
      <c r="AK226" s="151">
        <v>0</v>
      </c>
      <c r="AL226" s="151">
        <v>38419</v>
      </c>
    </row>
    <row r="227" spans="1:38" s="117" customFormat="1" ht="15" customHeight="1" x14ac:dyDescent="0.2">
      <c r="A227" s="123" t="s">
        <v>1112</v>
      </c>
      <c r="B227" s="124" t="s">
        <v>1417</v>
      </c>
      <c r="C227" s="151">
        <v>0</v>
      </c>
      <c r="D227" s="151">
        <v>0</v>
      </c>
      <c r="E227" s="151">
        <v>0</v>
      </c>
      <c r="F227" s="151">
        <v>0</v>
      </c>
      <c r="G227" s="151">
        <v>0</v>
      </c>
      <c r="H227" s="151">
        <v>0</v>
      </c>
      <c r="I227" s="151">
        <v>0</v>
      </c>
      <c r="J227" s="151">
        <v>0</v>
      </c>
      <c r="K227" s="151">
        <v>0</v>
      </c>
      <c r="L227" s="151">
        <v>0</v>
      </c>
      <c r="M227" s="151">
        <v>0</v>
      </c>
      <c r="N227" s="151">
        <v>0</v>
      </c>
      <c r="O227" s="151">
        <v>0</v>
      </c>
      <c r="P227" s="151">
        <v>0</v>
      </c>
      <c r="Q227" s="151">
        <v>0</v>
      </c>
      <c r="R227" s="151">
        <v>0</v>
      </c>
      <c r="S227" s="151">
        <v>0</v>
      </c>
      <c r="T227" s="151">
        <v>625</v>
      </c>
      <c r="U227" s="151">
        <v>0</v>
      </c>
      <c r="V227" s="151">
        <v>0</v>
      </c>
      <c r="W227" s="151">
        <v>0</v>
      </c>
      <c r="X227" s="151">
        <v>0</v>
      </c>
      <c r="Y227" s="151">
        <v>0</v>
      </c>
      <c r="Z227" s="151">
        <v>0</v>
      </c>
      <c r="AA227" s="151">
        <v>0</v>
      </c>
      <c r="AB227" s="151">
        <v>0</v>
      </c>
      <c r="AC227" s="151">
        <v>0</v>
      </c>
      <c r="AD227" s="151">
        <v>0</v>
      </c>
      <c r="AE227" s="151">
        <v>0</v>
      </c>
      <c r="AF227" s="151">
        <v>0</v>
      </c>
      <c r="AG227" s="151">
        <v>0</v>
      </c>
      <c r="AH227" s="151">
        <v>0</v>
      </c>
      <c r="AI227" s="151">
        <v>0</v>
      </c>
      <c r="AJ227" s="151">
        <v>0</v>
      </c>
      <c r="AK227" s="151">
        <v>0</v>
      </c>
      <c r="AL227" s="151">
        <v>625</v>
      </c>
    </row>
    <row r="228" spans="1:38" s="117" customFormat="1" ht="15" customHeight="1" x14ac:dyDescent="0.2">
      <c r="A228" s="123" t="s">
        <v>415</v>
      </c>
      <c r="B228" s="124" t="s">
        <v>703</v>
      </c>
      <c r="C228" s="151">
        <v>0</v>
      </c>
      <c r="D228" s="151">
        <v>0</v>
      </c>
      <c r="E228" s="151">
        <v>0</v>
      </c>
      <c r="F228" s="151">
        <v>0</v>
      </c>
      <c r="G228" s="151">
        <v>0</v>
      </c>
      <c r="H228" s="151">
        <v>0</v>
      </c>
      <c r="I228" s="151">
        <v>14675</v>
      </c>
      <c r="J228" s="151">
        <v>231.71</v>
      </c>
      <c r="K228" s="151">
        <v>1008</v>
      </c>
      <c r="L228" s="151">
        <v>0</v>
      </c>
      <c r="M228" s="151">
        <v>0</v>
      </c>
      <c r="N228" s="151">
        <v>0</v>
      </c>
      <c r="O228" s="151">
        <v>0</v>
      </c>
      <c r="P228" s="151">
        <v>0</v>
      </c>
      <c r="Q228" s="151">
        <v>0</v>
      </c>
      <c r="R228" s="151">
        <v>0</v>
      </c>
      <c r="S228" s="151">
        <v>0</v>
      </c>
      <c r="T228" s="151">
        <v>0</v>
      </c>
      <c r="U228" s="151">
        <v>0</v>
      </c>
      <c r="V228" s="151">
        <v>-1400</v>
      </c>
      <c r="W228" s="151">
        <v>0</v>
      </c>
      <c r="X228" s="151">
        <v>1132.3</v>
      </c>
      <c r="Y228" s="151">
        <v>0</v>
      </c>
      <c r="Z228" s="151">
        <v>0</v>
      </c>
      <c r="AA228" s="151">
        <v>0</v>
      </c>
      <c r="AB228" s="151">
        <v>861.27</v>
      </c>
      <c r="AC228" s="151">
        <v>0</v>
      </c>
      <c r="AD228" s="151">
        <v>0</v>
      </c>
      <c r="AE228" s="151">
        <v>0</v>
      </c>
      <c r="AF228" s="151">
        <v>0</v>
      </c>
      <c r="AG228" s="151">
        <v>0</v>
      </c>
      <c r="AH228" s="151">
        <v>0</v>
      </c>
      <c r="AI228" s="151">
        <v>0</v>
      </c>
      <c r="AJ228" s="151">
        <v>0</v>
      </c>
      <c r="AK228" s="151">
        <v>0</v>
      </c>
      <c r="AL228" s="151">
        <v>16508.28</v>
      </c>
    </row>
    <row r="229" spans="1:38" s="117" customFormat="1" ht="15" customHeight="1" x14ac:dyDescent="0.2">
      <c r="A229" s="123" t="s">
        <v>503</v>
      </c>
      <c r="B229" s="124" t="s">
        <v>702</v>
      </c>
      <c r="C229" s="151">
        <v>0</v>
      </c>
      <c r="D229" s="151">
        <v>-1233.3599999999999</v>
      </c>
      <c r="E229" s="151">
        <v>0</v>
      </c>
      <c r="F229" s="151">
        <v>0</v>
      </c>
      <c r="G229" s="151">
        <v>1127.81</v>
      </c>
      <c r="H229" s="151">
        <v>0</v>
      </c>
      <c r="I229" s="151">
        <v>317</v>
      </c>
      <c r="J229" s="151">
        <v>0</v>
      </c>
      <c r="K229" s="151">
        <v>0</v>
      </c>
      <c r="L229" s="151">
        <v>0</v>
      </c>
      <c r="M229" s="151">
        <v>0</v>
      </c>
      <c r="N229" s="151">
        <v>0</v>
      </c>
      <c r="O229" s="151">
        <v>0</v>
      </c>
      <c r="P229" s="151">
        <v>0</v>
      </c>
      <c r="Q229" s="151">
        <v>0</v>
      </c>
      <c r="R229" s="151">
        <v>0</v>
      </c>
      <c r="S229" s="151">
        <v>0</v>
      </c>
      <c r="T229" s="151">
        <v>0</v>
      </c>
      <c r="U229" s="151">
        <v>0</v>
      </c>
      <c r="V229" s="151">
        <v>0</v>
      </c>
      <c r="W229" s="151">
        <v>0</v>
      </c>
      <c r="X229" s="151">
        <v>0</v>
      </c>
      <c r="Y229" s="151">
        <v>0</v>
      </c>
      <c r="Z229" s="151">
        <v>0</v>
      </c>
      <c r="AA229" s="151">
        <v>0</v>
      </c>
      <c r="AB229" s="151">
        <v>0</v>
      </c>
      <c r="AC229" s="151">
        <v>0</v>
      </c>
      <c r="AD229" s="151">
        <v>0</v>
      </c>
      <c r="AE229" s="151">
        <v>-0.33</v>
      </c>
      <c r="AF229" s="151">
        <v>0</v>
      </c>
      <c r="AG229" s="151">
        <v>0</v>
      </c>
      <c r="AH229" s="151">
        <v>0</v>
      </c>
      <c r="AI229" s="151">
        <v>0</v>
      </c>
      <c r="AJ229" s="151">
        <v>0</v>
      </c>
      <c r="AK229" s="151">
        <v>0</v>
      </c>
      <c r="AL229" s="151">
        <v>211.12</v>
      </c>
    </row>
    <row r="230" spans="1:38" s="117" customFormat="1" ht="15" customHeight="1" x14ac:dyDescent="0.2">
      <c r="A230" s="123" t="s">
        <v>416</v>
      </c>
      <c r="B230" s="124" t="s">
        <v>701</v>
      </c>
      <c r="C230" s="151">
        <v>0</v>
      </c>
      <c r="D230" s="151">
        <v>0</v>
      </c>
      <c r="E230" s="151">
        <v>0</v>
      </c>
      <c r="F230" s="151">
        <v>0</v>
      </c>
      <c r="G230" s="151">
        <v>0</v>
      </c>
      <c r="H230" s="151">
        <v>0</v>
      </c>
      <c r="I230" s="151">
        <v>0</v>
      </c>
      <c r="J230" s="151">
        <v>0</v>
      </c>
      <c r="K230" s="151">
        <v>0</v>
      </c>
      <c r="L230" s="151">
        <v>0</v>
      </c>
      <c r="M230" s="151">
        <v>0</v>
      </c>
      <c r="N230" s="151">
        <v>0</v>
      </c>
      <c r="O230" s="151">
        <v>0</v>
      </c>
      <c r="P230" s="151">
        <v>0</v>
      </c>
      <c r="Q230" s="151">
        <v>0</v>
      </c>
      <c r="R230" s="151">
        <v>0</v>
      </c>
      <c r="S230" s="151">
        <v>2940</v>
      </c>
      <c r="T230" s="151">
        <v>0</v>
      </c>
      <c r="U230" s="151">
        <v>0</v>
      </c>
      <c r="V230" s="151">
        <v>0</v>
      </c>
      <c r="W230" s="151">
        <v>0</v>
      </c>
      <c r="X230" s="151">
        <v>0</v>
      </c>
      <c r="Y230" s="151">
        <v>-218</v>
      </c>
      <c r="Z230" s="151">
        <v>0</v>
      </c>
      <c r="AA230" s="151">
        <v>0</v>
      </c>
      <c r="AB230" s="151">
        <v>0</v>
      </c>
      <c r="AC230" s="151">
        <v>1500</v>
      </c>
      <c r="AD230" s="151">
        <v>2400</v>
      </c>
      <c r="AE230" s="151">
        <v>848</v>
      </c>
      <c r="AF230" s="151">
        <v>0</v>
      </c>
      <c r="AG230" s="151">
        <v>0</v>
      </c>
      <c r="AH230" s="151">
        <v>0</v>
      </c>
      <c r="AI230" s="151">
        <v>0</v>
      </c>
      <c r="AJ230" s="151">
        <v>0</v>
      </c>
      <c r="AK230" s="151">
        <v>0</v>
      </c>
      <c r="AL230" s="151">
        <v>7470</v>
      </c>
    </row>
    <row r="231" spans="1:38" s="117" customFormat="1" ht="15" customHeight="1" x14ac:dyDescent="0.2">
      <c r="A231" s="123" t="s">
        <v>417</v>
      </c>
      <c r="B231" s="124" t="s">
        <v>700</v>
      </c>
      <c r="C231" s="151">
        <v>0</v>
      </c>
      <c r="D231" s="151">
        <v>13207.86</v>
      </c>
      <c r="E231" s="151">
        <v>0</v>
      </c>
      <c r="F231" s="151">
        <v>0</v>
      </c>
      <c r="G231" s="151">
        <v>910.88</v>
      </c>
      <c r="H231" s="151">
        <v>0</v>
      </c>
      <c r="I231" s="151">
        <v>0</v>
      </c>
      <c r="J231" s="151">
        <v>0</v>
      </c>
      <c r="K231" s="151">
        <v>1477.27</v>
      </c>
      <c r="L231" s="151">
        <v>692.82</v>
      </c>
      <c r="M231" s="151">
        <v>0</v>
      </c>
      <c r="N231" s="151">
        <v>0</v>
      </c>
      <c r="O231" s="151">
        <v>671.06</v>
      </c>
      <c r="P231" s="151">
        <v>0</v>
      </c>
      <c r="Q231" s="151">
        <v>0</v>
      </c>
      <c r="R231" s="151">
        <v>2774.8</v>
      </c>
      <c r="S231" s="151">
        <v>0</v>
      </c>
      <c r="T231" s="151">
        <v>190.8</v>
      </c>
      <c r="U231" s="151">
        <v>558.75</v>
      </c>
      <c r="V231" s="151">
        <v>1849.96</v>
      </c>
      <c r="W231" s="151">
        <v>440</v>
      </c>
      <c r="X231" s="151">
        <v>673.94</v>
      </c>
      <c r="Y231" s="151">
        <v>0</v>
      </c>
      <c r="Z231" s="151">
        <v>0</v>
      </c>
      <c r="AA231" s="151">
        <v>495.88</v>
      </c>
      <c r="AB231" s="151">
        <v>0</v>
      </c>
      <c r="AC231" s="151">
        <v>0</v>
      </c>
      <c r="AD231" s="151">
        <v>0</v>
      </c>
      <c r="AE231" s="151">
        <v>0</v>
      </c>
      <c r="AF231" s="151">
        <v>0</v>
      </c>
      <c r="AG231" s="151">
        <v>0</v>
      </c>
      <c r="AH231" s="151">
        <v>0</v>
      </c>
      <c r="AI231" s="151">
        <v>275.39999999999998</v>
      </c>
      <c r="AJ231" s="151">
        <v>872.95</v>
      </c>
      <c r="AK231" s="151">
        <v>-42</v>
      </c>
      <c r="AL231" s="151">
        <v>25050.37</v>
      </c>
    </row>
    <row r="232" spans="1:38" s="117" customFormat="1" ht="15" customHeight="1" x14ac:dyDescent="0.2">
      <c r="A232" s="123" t="s">
        <v>1104</v>
      </c>
      <c r="B232" s="124" t="s">
        <v>1418</v>
      </c>
      <c r="C232" s="151">
        <v>0</v>
      </c>
      <c r="D232" s="151">
        <v>0</v>
      </c>
      <c r="E232" s="151">
        <v>0</v>
      </c>
      <c r="F232" s="151">
        <v>0</v>
      </c>
      <c r="G232" s="151">
        <v>0</v>
      </c>
      <c r="H232" s="151">
        <v>0</v>
      </c>
      <c r="I232" s="151">
        <v>0</v>
      </c>
      <c r="J232" s="151">
        <v>0</v>
      </c>
      <c r="K232" s="151">
        <v>0</v>
      </c>
      <c r="L232" s="151">
        <v>0</v>
      </c>
      <c r="M232" s="151">
        <v>0</v>
      </c>
      <c r="N232" s="151">
        <v>0</v>
      </c>
      <c r="O232" s="151">
        <v>0</v>
      </c>
      <c r="P232" s="151">
        <v>0</v>
      </c>
      <c r="Q232" s="151">
        <v>0</v>
      </c>
      <c r="R232" s="151">
        <v>0</v>
      </c>
      <c r="S232" s="151">
        <v>0</v>
      </c>
      <c r="T232" s="151">
        <v>0</v>
      </c>
      <c r="U232" s="151">
        <v>0</v>
      </c>
      <c r="V232" s="151">
        <v>0</v>
      </c>
      <c r="W232" s="151">
        <v>0</v>
      </c>
      <c r="X232" s="151">
        <v>0</v>
      </c>
      <c r="Y232" s="151">
        <v>0</v>
      </c>
      <c r="Z232" s="151">
        <v>0</v>
      </c>
      <c r="AA232" s="151">
        <v>0</v>
      </c>
      <c r="AB232" s="151">
        <v>0</v>
      </c>
      <c r="AC232" s="151">
        <v>1200</v>
      </c>
      <c r="AD232" s="151">
        <v>0</v>
      </c>
      <c r="AE232" s="151">
        <v>0</v>
      </c>
      <c r="AF232" s="151">
        <v>0</v>
      </c>
      <c r="AG232" s="151">
        <v>0</v>
      </c>
      <c r="AH232" s="151">
        <v>0</v>
      </c>
      <c r="AI232" s="151">
        <v>0</v>
      </c>
      <c r="AJ232" s="151">
        <v>0</v>
      </c>
      <c r="AK232" s="151">
        <v>0</v>
      </c>
      <c r="AL232" s="151">
        <v>1200</v>
      </c>
    </row>
    <row r="233" spans="1:38" s="117" customFormat="1" ht="15" customHeight="1" x14ac:dyDescent="0.2">
      <c r="A233" s="123" t="s">
        <v>1102</v>
      </c>
      <c r="B233" s="124" t="s">
        <v>1419</v>
      </c>
      <c r="C233" s="151">
        <v>0</v>
      </c>
      <c r="D233" s="151">
        <v>0</v>
      </c>
      <c r="E233" s="151">
        <v>0</v>
      </c>
      <c r="F233" s="151">
        <v>0</v>
      </c>
      <c r="G233" s="151">
        <v>0</v>
      </c>
      <c r="H233" s="151">
        <v>0</v>
      </c>
      <c r="I233" s="151">
        <v>0</v>
      </c>
      <c r="J233" s="151">
        <v>0</v>
      </c>
      <c r="K233" s="151">
        <v>0</v>
      </c>
      <c r="L233" s="151">
        <v>0</v>
      </c>
      <c r="M233" s="151">
        <v>0</v>
      </c>
      <c r="N233" s="151">
        <v>0</v>
      </c>
      <c r="O233" s="151">
        <v>0</v>
      </c>
      <c r="P233" s="151">
        <v>0</v>
      </c>
      <c r="Q233" s="151">
        <v>0</v>
      </c>
      <c r="R233" s="151">
        <v>0</v>
      </c>
      <c r="S233" s="151">
        <v>0</v>
      </c>
      <c r="T233" s="151">
        <v>0</v>
      </c>
      <c r="U233" s="151">
        <v>0</v>
      </c>
      <c r="V233" s="151">
        <v>0</v>
      </c>
      <c r="W233" s="151">
        <v>104.18</v>
      </c>
      <c r="X233" s="151">
        <v>0</v>
      </c>
      <c r="Y233" s="151">
        <v>0</v>
      </c>
      <c r="Z233" s="151">
        <v>0</v>
      </c>
      <c r="AA233" s="151">
        <v>0</v>
      </c>
      <c r="AB233" s="151">
        <v>0</v>
      </c>
      <c r="AC233" s="151">
        <v>0</v>
      </c>
      <c r="AD233" s="151">
        <v>0</v>
      </c>
      <c r="AE233" s="151">
        <v>0</v>
      </c>
      <c r="AF233" s="151">
        <v>0</v>
      </c>
      <c r="AG233" s="151">
        <v>0</v>
      </c>
      <c r="AH233" s="151">
        <v>0</v>
      </c>
      <c r="AI233" s="151">
        <v>0</v>
      </c>
      <c r="AJ233" s="151">
        <v>0</v>
      </c>
      <c r="AK233" s="151">
        <v>0</v>
      </c>
      <c r="AL233" s="151">
        <v>104.18</v>
      </c>
    </row>
    <row r="234" spans="1:38" s="117" customFormat="1" ht="15" customHeight="1" x14ac:dyDescent="0.2">
      <c r="A234" s="123" t="s">
        <v>593</v>
      </c>
      <c r="B234" s="124" t="s">
        <v>699</v>
      </c>
      <c r="C234" s="151">
        <v>0</v>
      </c>
      <c r="D234" s="151">
        <v>0</v>
      </c>
      <c r="E234" s="151">
        <v>0</v>
      </c>
      <c r="F234" s="151">
        <v>0</v>
      </c>
      <c r="G234" s="151">
        <v>0</v>
      </c>
      <c r="H234" s="151">
        <v>203.84</v>
      </c>
      <c r="I234" s="151">
        <v>0</v>
      </c>
      <c r="J234" s="151">
        <v>0</v>
      </c>
      <c r="K234" s="151">
        <v>0</v>
      </c>
      <c r="L234" s="151">
        <v>0</v>
      </c>
      <c r="M234" s="151">
        <v>0</v>
      </c>
      <c r="N234" s="151">
        <v>0</v>
      </c>
      <c r="O234" s="151">
        <v>0</v>
      </c>
      <c r="P234" s="151">
        <v>0</v>
      </c>
      <c r="Q234" s="151">
        <v>0</v>
      </c>
      <c r="R234" s="151">
        <v>0</v>
      </c>
      <c r="S234" s="151">
        <v>0</v>
      </c>
      <c r="T234" s="151">
        <v>0</v>
      </c>
      <c r="U234" s="151">
        <v>0</v>
      </c>
      <c r="V234" s="151">
        <v>0</v>
      </c>
      <c r="W234" s="151">
        <v>0</v>
      </c>
      <c r="X234" s="151">
        <v>0</v>
      </c>
      <c r="Y234" s="151">
        <v>0</v>
      </c>
      <c r="Z234" s="151">
        <v>0</v>
      </c>
      <c r="AA234" s="151">
        <v>0</v>
      </c>
      <c r="AB234" s="151">
        <v>0</v>
      </c>
      <c r="AC234" s="151">
        <v>0</v>
      </c>
      <c r="AD234" s="151">
        <v>0</v>
      </c>
      <c r="AE234" s="151">
        <v>0</v>
      </c>
      <c r="AF234" s="151">
        <v>0</v>
      </c>
      <c r="AG234" s="151">
        <v>0</v>
      </c>
      <c r="AH234" s="151">
        <v>0</v>
      </c>
      <c r="AI234" s="151">
        <v>0</v>
      </c>
      <c r="AJ234" s="151">
        <v>0</v>
      </c>
      <c r="AK234" s="151">
        <v>0</v>
      </c>
      <c r="AL234" s="151">
        <v>203.84</v>
      </c>
    </row>
    <row r="235" spans="1:38" s="117" customFormat="1" ht="15" customHeight="1" x14ac:dyDescent="0.2">
      <c r="A235" s="123" t="s">
        <v>418</v>
      </c>
      <c r="B235" s="124" t="s">
        <v>698</v>
      </c>
      <c r="C235" s="151">
        <v>0</v>
      </c>
      <c r="D235" s="151">
        <v>0</v>
      </c>
      <c r="E235" s="151">
        <v>0</v>
      </c>
      <c r="F235" s="151">
        <v>0</v>
      </c>
      <c r="G235" s="151">
        <v>9775</v>
      </c>
      <c r="H235" s="151">
        <v>0</v>
      </c>
      <c r="I235" s="151">
        <v>0</v>
      </c>
      <c r="J235" s="151">
        <v>0</v>
      </c>
      <c r="K235" s="151">
        <v>200</v>
      </c>
      <c r="L235" s="151">
        <v>0</v>
      </c>
      <c r="M235" s="151">
        <v>0</v>
      </c>
      <c r="N235" s="151">
        <v>0</v>
      </c>
      <c r="O235" s="151">
        <v>0</v>
      </c>
      <c r="P235" s="151">
        <v>0</v>
      </c>
      <c r="Q235" s="151">
        <v>1220.4000000000001</v>
      </c>
      <c r="R235" s="151">
        <v>0</v>
      </c>
      <c r="S235" s="151">
        <v>0</v>
      </c>
      <c r="T235" s="151">
        <v>0</v>
      </c>
      <c r="U235" s="151">
        <v>0</v>
      </c>
      <c r="V235" s="151">
        <v>0</v>
      </c>
      <c r="W235" s="151">
        <v>0</v>
      </c>
      <c r="X235" s="151">
        <v>0</v>
      </c>
      <c r="Y235" s="151">
        <v>0</v>
      </c>
      <c r="Z235" s="151">
        <v>428.75</v>
      </c>
      <c r="AA235" s="151">
        <v>0</v>
      </c>
      <c r="AB235" s="151">
        <v>1219.78</v>
      </c>
      <c r="AC235" s="151">
        <v>2817.24</v>
      </c>
      <c r="AD235" s="151">
        <v>0</v>
      </c>
      <c r="AE235" s="151">
        <v>0</v>
      </c>
      <c r="AF235" s="151">
        <v>0</v>
      </c>
      <c r="AG235" s="151">
        <v>0</v>
      </c>
      <c r="AH235" s="151">
        <v>260.06</v>
      </c>
      <c r="AI235" s="151">
        <v>0</v>
      </c>
      <c r="AJ235" s="151">
        <v>0</v>
      </c>
      <c r="AK235" s="151">
        <v>498.3</v>
      </c>
      <c r="AL235" s="151">
        <v>16419.53</v>
      </c>
    </row>
    <row r="236" spans="1:38" s="117" customFormat="1" ht="15" customHeight="1" x14ac:dyDescent="0.2">
      <c r="A236" s="123" t="s">
        <v>697</v>
      </c>
      <c r="B236" s="124" t="s">
        <v>696</v>
      </c>
      <c r="C236" s="151">
        <v>370.5</v>
      </c>
      <c r="D236" s="151">
        <v>0</v>
      </c>
      <c r="E236" s="151">
        <v>452.77</v>
      </c>
      <c r="F236" s="151">
        <v>0</v>
      </c>
      <c r="G236" s="151">
        <v>0</v>
      </c>
      <c r="H236" s="151">
        <v>0</v>
      </c>
      <c r="I236" s="151">
        <v>0</v>
      </c>
      <c r="J236" s="151">
        <v>0</v>
      </c>
      <c r="K236" s="151">
        <v>0</v>
      </c>
      <c r="L236" s="151">
        <v>0</v>
      </c>
      <c r="M236" s="151">
        <v>0</v>
      </c>
      <c r="N236" s="151">
        <v>0</v>
      </c>
      <c r="O236" s="151">
        <v>0</v>
      </c>
      <c r="P236" s="151">
        <v>0</v>
      </c>
      <c r="Q236" s="151">
        <v>0</v>
      </c>
      <c r="R236" s="151">
        <v>0</v>
      </c>
      <c r="S236" s="151">
        <v>0</v>
      </c>
      <c r="T236" s="151">
        <v>0</v>
      </c>
      <c r="U236" s="151">
        <v>0</v>
      </c>
      <c r="V236" s="151">
        <v>0</v>
      </c>
      <c r="W236" s="151">
        <v>0</v>
      </c>
      <c r="X236" s="151">
        <v>0</v>
      </c>
      <c r="Y236" s="151">
        <v>0</v>
      </c>
      <c r="Z236" s="151">
        <v>0</v>
      </c>
      <c r="AA236" s="151">
        <v>0</v>
      </c>
      <c r="AB236" s="151">
        <v>0</v>
      </c>
      <c r="AC236" s="151">
        <v>155.82</v>
      </c>
      <c r="AD236" s="151">
        <v>0</v>
      </c>
      <c r="AE236" s="151">
        <v>0</v>
      </c>
      <c r="AF236" s="151">
        <v>0</v>
      </c>
      <c r="AG236" s="151">
        <v>0</v>
      </c>
      <c r="AH236" s="151">
        <v>0</v>
      </c>
      <c r="AI236" s="151">
        <v>0</v>
      </c>
      <c r="AJ236" s="151">
        <v>0</v>
      </c>
      <c r="AK236" s="151">
        <v>0</v>
      </c>
      <c r="AL236" s="151">
        <v>979.09</v>
      </c>
    </row>
    <row r="237" spans="1:38" s="117" customFormat="1" ht="15" customHeight="1" x14ac:dyDescent="0.2">
      <c r="A237" s="123" t="s">
        <v>1095</v>
      </c>
      <c r="B237" s="124" t="s">
        <v>1420</v>
      </c>
      <c r="C237" s="151">
        <v>0</v>
      </c>
      <c r="D237" s="151">
        <v>0</v>
      </c>
      <c r="E237" s="151">
        <v>0</v>
      </c>
      <c r="F237" s="151">
        <v>0</v>
      </c>
      <c r="G237" s="151">
        <v>0</v>
      </c>
      <c r="H237" s="151">
        <v>0</v>
      </c>
      <c r="I237" s="151">
        <v>0</v>
      </c>
      <c r="J237" s="151">
        <v>0</v>
      </c>
      <c r="K237" s="151">
        <v>0</v>
      </c>
      <c r="L237" s="151">
        <v>0</v>
      </c>
      <c r="M237" s="151">
        <v>0</v>
      </c>
      <c r="N237" s="151">
        <v>0</v>
      </c>
      <c r="O237" s="151">
        <v>0</v>
      </c>
      <c r="P237" s="151">
        <v>0</v>
      </c>
      <c r="Q237" s="151">
        <v>0</v>
      </c>
      <c r="R237" s="151">
        <v>0</v>
      </c>
      <c r="S237" s="151">
        <v>0</v>
      </c>
      <c r="T237" s="151">
        <v>0</v>
      </c>
      <c r="U237" s="151">
        <v>0</v>
      </c>
      <c r="V237" s="151">
        <v>0</v>
      </c>
      <c r="W237" s="151">
        <v>0</v>
      </c>
      <c r="X237" s="151">
        <v>0</v>
      </c>
      <c r="Y237" s="151">
        <v>0</v>
      </c>
      <c r="Z237" s="151">
        <v>0</v>
      </c>
      <c r="AA237" s="151">
        <v>0</v>
      </c>
      <c r="AB237" s="151">
        <v>0</v>
      </c>
      <c r="AC237" s="151">
        <v>0</v>
      </c>
      <c r="AD237" s="151">
        <v>0</v>
      </c>
      <c r="AE237" s="151">
        <v>0</v>
      </c>
      <c r="AF237" s="151">
        <v>0</v>
      </c>
      <c r="AG237" s="151">
        <v>-298</v>
      </c>
      <c r="AH237" s="151">
        <v>0</v>
      </c>
      <c r="AI237" s="151">
        <v>0</v>
      </c>
      <c r="AJ237" s="151">
        <v>0</v>
      </c>
      <c r="AK237" s="151">
        <v>0</v>
      </c>
      <c r="AL237" s="151">
        <v>-298</v>
      </c>
    </row>
    <row r="238" spans="1:38" s="117" customFormat="1" ht="15" customHeight="1" x14ac:dyDescent="0.2">
      <c r="A238" s="123" t="s">
        <v>419</v>
      </c>
      <c r="B238" s="124" t="s">
        <v>695</v>
      </c>
      <c r="C238" s="151">
        <v>0</v>
      </c>
      <c r="D238" s="151">
        <v>0</v>
      </c>
      <c r="E238" s="151">
        <v>0</v>
      </c>
      <c r="F238" s="151">
        <v>384.7</v>
      </c>
      <c r="G238" s="151">
        <v>-402.68</v>
      </c>
      <c r="H238" s="151">
        <v>14811.98</v>
      </c>
      <c r="I238" s="151">
        <v>76.45</v>
      </c>
      <c r="J238" s="151">
        <v>0</v>
      </c>
      <c r="K238" s="151">
        <v>0</v>
      </c>
      <c r="L238" s="151">
        <v>0</v>
      </c>
      <c r="M238" s="151">
        <v>126.53</v>
      </c>
      <c r="N238" s="151">
        <v>835</v>
      </c>
      <c r="O238" s="151">
        <v>0</v>
      </c>
      <c r="P238" s="151">
        <v>0</v>
      </c>
      <c r="Q238" s="151">
        <v>0</v>
      </c>
      <c r="R238" s="151">
        <v>0</v>
      </c>
      <c r="S238" s="151">
        <v>0</v>
      </c>
      <c r="T238" s="151">
        <v>0</v>
      </c>
      <c r="U238" s="151">
        <v>0</v>
      </c>
      <c r="V238" s="151">
        <v>0</v>
      </c>
      <c r="W238" s="151">
        <v>910.88</v>
      </c>
      <c r="X238" s="151">
        <v>1418.2</v>
      </c>
      <c r="Y238" s="151">
        <v>0</v>
      </c>
      <c r="Z238" s="151">
        <v>0</v>
      </c>
      <c r="AA238" s="151">
        <v>0</v>
      </c>
      <c r="AB238" s="151">
        <v>0</v>
      </c>
      <c r="AC238" s="151">
        <v>0</v>
      </c>
      <c r="AD238" s="151">
        <v>0</v>
      </c>
      <c r="AE238" s="151">
        <v>4297.5</v>
      </c>
      <c r="AF238" s="151">
        <v>0</v>
      </c>
      <c r="AG238" s="151">
        <v>0</v>
      </c>
      <c r="AH238" s="151">
        <v>0</v>
      </c>
      <c r="AI238" s="151">
        <v>0</v>
      </c>
      <c r="AJ238" s="151">
        <v>0</v>
      </c>
      <c r="AK238" s="151">
        <v>0</v>
      </c>
      <c r="AL238" s="151">
        <v>22458.560000000001</v>
      </c>
    </row>
    <row r="239" spans="1:38" s="117" customFormat="1" ht="15" customHeight="1" x14ac:dyDescent="0.2">
      <c r="A239" s="123" t="s">
        <v>504</v>
      </c>
      <c r="B239" s="124" t="s">
        <v>694</v>
      </c>
      <c r="C239" s="151">
        <v>0</v>
      </c>
      <c r="D239" s="151">
        <v>0</v>
      </c>
      <c r="E239" s="151">
        <v>0</v>
      </c>
      <c r="F239" s="151">
        <v>0</v>
      </c>
      <c r="G239" s="151">
        <v>160.37</v>
      </c>
      <c r="H239" s="151">
        <v>0</v>
      </c>
      <c r="I239" s="151">
        <v>188.91</v>
      </c>
      <c r="J239" s="151">
        <v>0</v>
      </c>
      <c r="K239" s="151">
        <v>87.7</v>
      </c>
      <c r="L239" s="151">
        <v>0</v>
      </c>
      <c r="M239" s="151">
        <v>142.46</v>
      </c>
      <c r="N239" s="151">
        <v>0</v>
      </c>
      <c r="O239" s="151">
        <v>809.69</v>
      </c>
      <c r="P239" s="151">
        <v>0</v>
      </c>
      <c r="Q239" s="151">
        <v>0</v>
      </c>
      <c r="R239" s="151">
        <v>0</v>
      </c>
      <c r="S239" s="151">
        <v>191.55</v>
      </c>
      <c r="T239" s="151">
        <v>0</v>
      </c>
      <c r="U239" s="151">
        <v>0</v>
      </c>
      <c r="V239" s="151">
        <v>0</v>
      </c>
      <c r="W239" s="151">
        <v>0</v>
      </c>
      <c r="X239" s="151">
        <v>345.2</v>
      </c>
      <c r="Y239" s="151">
        <v>0</v>
      </c>
      <c r="Z239" s="151">
        <v>0</v>
      </c>
      <c r="AA239" s="151">
        <v>637.20000000000005</v>
      </c>
      <c r="AB239" s="151">
        <v>154.6</v>
      </c>
      <c r="AC239" s="151">
        <v>0</v>
      </c>
      <c r="AD239" s="151">
        <v>0</v>
      </c>
      <c r="AE239" s="151">
        <v>0</v>
      </c>
      <c r="AF239" s="151">
        <v>0</v>
      </c>
      <c r="AG239" s="151">
        <v>0</v>
      </c>
      <c r="AH239" s="151">
        <v>0</v>
      </c>
      <c r="AI239" s="151">
        <v>0</v>
      </c>
      <c r="AJ239" s="151">
        <v>0</v>
      </c>
      <c r="AK239" s="151">
        <v>0</v>
      </c>
      <c r="AL239" s="151">
        <v>2717.68</v>
      </c>
    </row>
    <row r="240" spans="1:38" s="117" customFormat="1" ht="15" customHeight="1" x14ac:dyDescent="0.2">
      <c r="A240" s="123" t="s">
        <v>557</v>
      </c>
      <c r="B240" s="124" t="s">
        <v>693</v>
      </c>
      <c r="C240" s="151">
        <v>0</v>
      </c>
      <c r="D240" s="151">
        <v>480.7</v>
      </c>
      <c r="E240" s="151">
        <v>0</v>
      </c>
      <c r="F240" s="151">
        <v>0</v>
      </c>
      <c r="G240" s="151">
        <v>0</v>
      </c>
      <c r="H240" s="151">
        <v>0</v>
      </c>
      <c r="I240" s="151">
        <v>6182.78</v>
      </c>
      <c r="J240" s="151">
        <v>0</v>
      </c>
      <c r="K240" s="151">
        <v>0</v>
      </c>
      <c r="L240" s="151">
        <v>0</v>
      </c>
      <c r="M240" s="151">
        <v>0</v>
      </c>
      <c r="N240" s="151">
        <v>1316</v>
      </c>
      <c r="O240" s="151">
        <v>0</v>
      </c>
      <c r="P240" s="151">
        <v>0</v>
      </c>
      <c r="Q240" s="151">
        <v>0</v>
      </c>
      <c r="R240" s="151">
        <v>0</v>
      </c>
      <c r="S240" s="151">
        <v>800</v>
      </c>
      <c r="T240" s="151">
        <v>0</v>
      </c>
      <c r="U240" s="151">
        <v>0</v>
      </c>
      <c r="V240" s="151">
        <v>0</v>
      </c>
      <c r="W240" s="151">
        <v>-340</v>
      </c>
      <c r="X240" s="151">
        <v>0</v>
      </c>
      <c r="Y240" s="151">
        <v>7279.03</v>
      </c>
      <c r="Z240" s="151">
        <v>0</v>
      </c>
      <c r="AA240" s="151">
        <v>0</v>
      </c>
      <c r="AB240" s="151">
        <v>0</v>
      </c>
      <c r="AC240" s="151">
        <v>0</v>
      </c>
      <c r="AD240" s="151">
        <v>0</v>
      </c>
      <c r="AE240" s="151">
        <v>5200</v>
      </c>
      <c r="AF240" s="151">
        <v>6112</v>
      </c>
      <c r="AG240" s="151">
        <v>0</v>
      </c>
      <c r="AH240" s="151">
        <v>0</v>
      </c>
      <c r="AI240" s="151">
        <v>0</v>
      </c>
      <c r="AJ240" s="151">
        <v>0</v>
      </c>
      <c r="AK240" s="151">
        <v>-232</v>
      </c>
      <c r="AL240" s="151">
        <v>26798.51</v>
      </c>
    </row>
    <row r="241" spans="1:38" s="117" customFormat="1" ht="15" customHeight="1" x14ac:dyDescent="0.2">
      <c r="A241" s="123" t="s">
        <v>420</v>
      </c>
      <c r="B241" s="124" t="s">
        <v>692</v>
      </c>
      <c r="C241" s="151">
        <v>0</v>
      </c>
      <c r="D241" s="151">
        <v>0</v>
      </c>
      <c r="E241" s="151">
        <v>0</v>
      </c>
      <c r="F241" s="151">
        <v>0</v>
      </c>
      <c r="G241" s="151">
        <v>1609.52</v>
      </c>
      <c r="H241" s="151">
        <v>0</v>
      </c>
      <c r="I241" s="151">
        <v>0</v>
      </c>
      <c r="J241" s="151">
        <v>0</v>
      </c>
      <c r="K241" s="151">
        <v>0</v>
      </c>
      <c r="L241" s="151">
        <v>0</v>
      </c>
      <c r="M241" s="151">
        <v>487.58</v>
      </c>
      <c r="N241" s="151">
        <v>0</v>
      </c>
      <c r="O241" s="151">
        <v>0</v>
      </c>
      <c r="P241" s="151">
        <v>0</v>
      </c>
      <c r="Q241" s="151">
        <v>0</v>
      </c>
      <c r="R241" s="151">
        <v>0</v>
      </c>
      <c r="S241" s="151">
        <v>159.69</v>
      </c>
      <c r="T241" s="151">
        <v>0</v>
      </c>
      <c r="U241" s="151">
        <v>0</v>
      </c>
      <c r="V241" s="151">
        <v>0</v>
      </c>
      <c r="W241" s="151">
        <v>1330.71</v>
      </c>
      <c r="X241" s="151">
        <v>1075</v>
      </c>
      <c r="Y241" s="151">
        <v>5030</v>
      </c>
      <c r="Z241" s="151">
        <v>0</v>
      </c>
      <c r="AA241" s="151">
        <v>0</v>
      </c>
      <c r="AB241" s="151">
        <v>0</v>
      </c>
      <c r="AC241" s="151">
        <v>0</v>
      </c>
      <c r="AD241" s="151">
        <v>2294.5300000000002</v>
      </c>
      <c r="AE241" s="151">
        <v>0</v>
      </c>
      <c r="AF241" s="151">
        <v>0</v>
      </c>
      <c r="AG241" s="151">
        <v>5336</v>
      </c>
      <c r="AH241" s="151">
        <v>0</v>
      </c>
      <c r="AI241" s="151">
        <v>0</v>
      </c>
      <c r="AJ241" s="151">
        <v>0</v>
      </c>
      <c r="AK241" s="151">
        <v>0</v>
      </c>
      <c r="AL241" s="151">
        <v>17323.03</v>
      </c>
    </row>
    <row r="242" spans="1:38" s="117" customFormat="1" ht="15" customHeight="1" x14ac:dyDescent="0.2">
      <c r="A242" s="123" t="s">
        <v>1087</v>
      </c>
      <c r="B242" s="124" t="s">
        <v>1421</v>
      </c>
      <c r="C242" s="151">
        <v>0</v>
      </c>
      <c r="D242" s="151">
        <v>0</v>
      </c>
      <c r="E242" s="151">
        <v>2863</v>
      </c>
      <c r="F242" s="151">
        <v>0</v>
      </c>
      <c r="G242" s="151">
        <v>0</v>
      </c>
      <c r="H242" s="151">
        <v>0</v>
      </c>
      <c r="I242" s="151">
        <v>0</v>
      </c>
      <c r="J242" s="151">
        <v>0</v>
      </c>
      <c r="K242" s="151">
        <v>0</v>
      </c>
      <c r="L242" s="151">
        <v>0</v>
      </c>
      <c r="M242" s="151">
        <v>0</v>
      </c>
      <c r="N242" s="151">
        <v>0</v>
      </c>
      <c r="O242" s="151">
        <v>0</v>
      </c>
      <c r="P242" s="151">
        <v>0</v>
      </c>
      <c r="Q242" s="151">
        <v>0</v>
      </c>
      <c r="R242" s="151">
        <v>0</v>
      </c>
      <c r="S242" s="151">
        <v>0</v>
      </c>
      <c r="T242" s="151">
        <v>1370</v>
      </c>
      <c r="U242" s="151">
        <v>0</v>
      </c>
      <c r="V242" s="151">
        <v>0</v>
      </c>
      <c r="W242" s="151">
        <v>0</v>
      </c>
      <c r="X242" s="151">
        <v>0</v>
      </c>
      <c r="Y242" s="151">
        <v>0</v>
      </c>
      <c r="Z242" s="151">
        <v>0</v>
      </c>
      <c r="AA242" s="151">
        <v>3870</v>
      </c>
      <c r="AB242" s="151">
        <v>0</v>
      </c>
      <c r="AC242" s="151">
        <v>650</v>
      </c>
      <c r="AD242" s="151">
        <v>0</v>
      </c>
      <c r="AE242" s="151">
        <v>0</v>
      </c>
      <c r="AF242" s="151">
        <v>0</v>
      </c>
      <c r="AG242" s="151">
        <v>0</v>
      </c>
      <c r="AH242" s="151">
        <v>0</v>
      </c>
      <c r="AI242" s="151">
        <v>0</v>
      </c>
      <c r="AJ242" s="151">
        <v>0</v>
      </c>
      <c r="AK242" s="151">
        <v>0</v>
      </c>
      <c r="AL242" s="151">
        <v>8753</v>
      </c>
    </row>
    <row r="243" spans="1:38" s="117" customFormat="1" ht="15" customHeight="1" x14ac:dyDescent="0.2">
      <c r="A243" s="123" t="s">
        <v>1085</v>
      </c>
      <c r="B243" s="124" t="s">
        <v>1422</v>
      </c>
      <c r="C243" s="151">
        <v>0</v>
      </c>
      <c r="D243" s="151">
        <v>0</v>
      </c>
      <c r="E243" s="151">
        <v>0</v>
      </c>
      <c r="F243" s="151">
        <v>0</v>
      </c>
      <c r="G243" s="151">
        <v>0</v>
      </c>
      <c r="H243" s="151">
        <v>0</v>
      </c>
      <c r="I243" s="151">
        <v>0</v>
      </c>
      <c r="J243" s="151">
        <v>0</v>
      </c>
      <c r="K243" s="151">
        <v>0</v>
      </c>
      <c r="L243" s="151">
        <v>0</v>
      </c>
      <c r="M243" s="151">
        <v>0</v>
      </c>
      <c r="N243" s="151">
        <v>0</v>
      </c>
      <c r="O243" s="151">
        <v>0</v>
      </c>
      <c r="P243" s="151">
        <v>117.39</v>
      </c>
      <c r="Q243" s="151">
        <v>0</v>
      </c>
      <c r="R243" s="151">
        <v>2152</v>
      </c>
      <c r="S243" s="151">
        <v>0</v>
      </c>
      <c r="T243" s="151">
        <v>0</v>
      </c>
      <c r="U243" s="151">
        <v>0</v>
      </c>
      <c r="V243" s="151">
        <v>0</v>
      </c>
      <c r="W243" s="151">
        <v>0</v>
      </c>
      <c r="X243" s="151">
        <v>0</v>
      </c>
      <c r="Y243" s="151">
        <v>0</v>
      </c>
      <c r="Z243" s="151">
        <v>0</v>
      </c>
      <c r="AA243" s="151">
        <v>0</v>
      </c>
      <c r="AB243" s="151">
        <v>0</v>
      </c>
      <c r="AC243" s="151">
        <v>0</v>
      </c>
      <c r="AD243" s="151">
        <v>0</v>
      </c>
      <c r="AE243" s="151">
        <v>0</v>
      </c>
      <c r="AF243" s="151">
        <v>0</v>
      </c>
      <c r="AG243" s="151">
        <v>5515</v>
      </c>
      <c r="AH243" s="151">
        <v>0</v>
      </c>
      <c r="AI243" s="151">
        <v>0</v>
      </c>
      <c r="AJ243" s="151">
        <v>1004.4</v>
      </c>
      <c r="AK243" s="151">
        <v>0</v>
      </c>
      <c r="AL243" s="151">
        <v>8788.7900000000009</v>
      </c>
    </row>
    <row r="244" spans="1:38" s="117" customFormat="1" ht="15" customHeight="1" x14ac:dyDescent="0.2">
      <c r="A244" s="123" t="s">
        <v>505</v>
      </c>
      <c r="B244" s="124" t="s">
        <v>691</v>
      </c>
      <c r="C244" s="151">
        <v>0</v>
      </c>
      <c r="D244" s="151">
        <v>0</v>
      </c>
      <c r="E244" s="151">
        <v>0</v>
      </c>
      <c r="F244" s="151">
        <v>0</v>
      </c>
      <c r="G244" s="151">
        <v>0</v>
      </c>
      <c r="H244" s="151">
        <v>0</v>
      </c>
      <c r="I244" s="151">
        <v>0</v>
      </c>
      <c r="J244" s="151">
        <v>0</v>
      </c>
      <c r="K244" s="151">
        <v>0</v>
      </c>
      <c r="L244" s="151">
        <v>0</v>
      </c>
      <c r="M244" s="151">
        <v>0</v>
      </c>
      <c r="N244" s="151">
        <v>0</v>
      </c>
      <c r="O244" s="151">
        <v>0</v>
      </c>
      <c r="P244" s="151">
        <v>0</v>
      </c>
      <c r="Q244" s="151">
        <v>0</v>
      </c>
      <c r="R244" s="151">
        <v>0</v>
      </c>
      <c r="S244" s="151">
        <v>0</v>
      </c>
      <c r="T244" s="151">
        <v>0</v>
      </c>
      <c r="U244" s="151">
        <v>0</v>
      </c>
      <c r="V244" s="151">
        <v>1400</v>
      </c>
      <c r="W244" s="151">
        <v>0</v>
      </c>
      <c r="X244" s="151">
        <v>0</v>
      </c>
      <c r="Y244" s="151">
        <v>0</v>
      </c>
      <c r="Z244" s="151">
        <v>0</v>
      </c>
      <c r="AA244" s="151">
        <v>0</v>
      </c>
      <c r="AB244" s="151">
        <v>0</v>
      </c>
      <c r="AC244" s="151">
        <v>0</v>
      </c>
      <c r="AD244" s="151">
        <v>0</v>
      </c>
      <c r="AE244" s="151">
        <v>0</v>
      </c>
      <c r="AF244" s="151">
        <v>0</v>
      </c>
      <c r="AG244" s="151">
        <v>0</v>
      </c>
      <c r="AH244" s="151">
        <v>0</v>
      </c>
      <c r="AI244" s="151">
        <v>0</v>
      </c>
      <c r="AJ244" s="151">
        <v>0</v>
      </c>
      <c r="AK244" s="151">
        <v>0</v>
      </c>
      <c r="AL244" s="151">
        <v>1400</v>
      </c>
    </row>
    <row r="245" spans="1:38" s="117" customFormat="1" ht="15" customHeight="1" x14ac:dyDescent="0.2">
      <c r="A245" s="123" t="s">
        <v>421</v>
      </c>
      <c r="B245" s="124" t="s">
        <v>690</v>
      </c>
      <c r="C245" s="151">
        <v>0</v>
      </c>
      <c r="D245" s="151">
        <v>0</v>
      </c>
      <c r="E245" s="151">
        <v>0</v>
      </c>
      <c r="F245" s="151">
        <v>0</v>
      </c>
      <c r="G245" s="151">
        <v>0</v>
      </c>
      <c r="H245" s="151">
        <v>0</v>
      </c>
      <c r="I245" s="151">
        <v>0</v>
      </c>
      <c r="J245" s="151">
        <v>0</v>
      </c>
      <c r="K245" s="151">
        <v>0</v>
      </c>
      <c r="L245" s="151">
        <v>0</v>
      </c>
      <c r="M245" s="151">
        <v>0</v>
      </c>
      <c r="N245" s="151">
        <v>1099.8499999999999</v>
      </c>
      <c r="O245" s="151">
        <v>0</v>
      </c>
      <c r="P245" s="151">
        <v>0</v>
      </c>
      <c r="Q245" s="151">
        <v>0</v>
      </c>
      <c r="R245" s="151">
        <v>0</v>
      </c>
      <c r="S245" s="151">
        <v>1567.14</v>
      </c>
      <c r="T245" s="151">
        <v>0</v>
      </c>
      <c r="U245" s="151">
        <v>0</v>
      </c>
      <c r="V245" s="151">
        <v>0</v>
      </c>
      <c r="W245" s="151">
        <v>0</v>
      </c>
      <c r="X245" s="151">
        <v>600</v>
      </c>
      <c r="Y245" s="151">
        <v>0</v>
      </c>
      <c r="Z245" s="151">
        <v>0</v>
      </c>
      <c r="AA245" s="151">
        <v>0</v>
      </c>
      <c r="AB245" s="151">
        <v>0</v>
      </c>
      <c r="AC245" s="151">
        <v>0</v>
      </c>
      <c r="AD245" s="151">
        <v>0</v>
      </c>
      <c r="AE245" s="151">
        <v>0</v>
      </c>
      <c r="AF245" s="151">
        <v>0</v>
      </c>
      <c r="AG245" s="151">
        <v>0</v>
      </c>
      <c r="AH245" s="151">
        <v>106.41</v>
      </c>
      <c r="AI245" s="151">
        <v>0</v>
      </c>
      <c r="AJ245" s="151">
        <v>0</v>
      </c>
      <c r="AK245" s="151">
        <v>0</v>
      </c>
      <c r="AL245" s="151">
        <v>3373.4</v>
      </c>
    </row>
    <row r="246" spans="1:38" s="117" customFormat="1" ht="15" customHeight="1" x14ac:dyDescent="0.2">
      <c r="A246" s="123" t="s">
        <v>1077</v>
      </c>
      <c r="B246" s="124" t="s">
        <v>1423</v>
      </c>
      <c r="C246" s="151">
        <v>0</v>
      </c>
      <c r="D246" s="151">
        <v>0</v>
      </c>
      <c r="E246" s="151">
        <v>0</v>
      </c>
      <c r="F246" s="151">
        <v>0</v>
      </c>
      <c r="G246" s="151">
        <v>0</v>
      </c>
      <c r="H246" s="151">
        <v>0</v>
      </c>
      <c r="I246" s="151">
        <v>0</v>
      </c>
      <c r="J246" s="151">
        <v>0</v>
      </c>
      <c r="K246" s="151">
        <v>0</v>
      </c>
      <c r="L246" s="151">
        <v>0</v>
      </c>
      <c r="M246" s="151">
        <v>158.99</v>
      </c>
      <c r="N246" s="151">
        <v>0</v>
      </c>
      <c r="O246" s="151">
        <v>0</v>
      </c>
      <c r="P246" s="151">
        <v>0</v>
      </c>
      <c r="Q246" s="151">
        <v>0</v>
      </c>
      <c r="R246" s="151">
        <v>0</v>
      </c>
      <c r="S246" s="151">
        <v>217.28</v>
      </c>
      <c r="T246" s="151">
        <v>0</v>
      </c>
      <c r="U246" s="151">
        <v>0</v>
      </c>
      <c r="V246" s="151">
        <v>0</v>
      </c>
      <c r="W246" s="151">
        <v>0</v>
      </c>
      <c r="X246" s="151">
        <v>0</v>
      </c>
      <c r="Y246" s="151">
        <v>0</v>
      </c>
      <c r="Z246" s="151">
        <v>0</v>
      </c>
      <c r="AA246" s="151">
        <v>0</v>
      </c>
      <c r="AB246" s="151">
        <v>0</v>
      </c>
      <c r="AC246" s="151">
        <v>0</v>
      </c>
      <c r="AD246" s="151">
        <v>0</v>
      </c>
      <c r="AE246" s="151">
        <v>0</v>
      </c>
      <c r="AF246" s="151">
        <v>0</v>
      </c>
      <c r="AG246" s="151">
        <v>245.88</v>
      </c>
      <c r="AH246" s="151">
        <v>0</v>
      </c>
      <c r="AI246" s="151">
        <v>0</v>
      </c>
      <c r="AJ246" s="151">
        <v>0</v>
      </c>
      <c r="AK246" s="151">
        <v>0</v>
      </c>
      <c r="AL246" s="151">
        <v>622.15</v>
      </c>
    </row>
    <row r="247" spans="1:38" s="117" customFormat="1" ht="15" customHeight="1" x14ac:dyDescent="0.2">
      <c r="A247" s="123" t="s">
        <v>422</v>
      </c>
      <c r="B247" s="124" t="s">
        <v>689</v>
      </c>
      <c r="C247" s="151">
        <v>0</v>
      </c>
      <c r="D247" s="151">
        <v>0</v>
      </c>
      <c r="E247" s="151">
        <v>0</v>
      </c>
      <c r="F247" s="151">
        <v>0</v>
      </c>
      <c r="G247" s="151">
        <v>0</v>
      </c>
      <c r="H247" s="151">
        <v>0</v>
      </c>
      <c r="I247" s="151">
        <v>769.34</v>
      </c>
      <c r="J247" s="151">
        <v>0</v>
      </c>
      <c r="K247" s="151">
        <v>0</v>
      </c>
      <c r="L247" s="151">
        <v>676.08</v>
      </c>
      <c r="M247" s="151">
        <v>0</v>
      </c>
      <c r="N247" s="151">
        <v>0</v>
      </c>
      <c r="O247" s="151">
        <v>0</v>
      </c>
      <c r="P247" s="151">
        <v>0</v>
      </c>
      <c r="Q247" s="151">
        <v>0</v>
      </c>
      <c r="R247" s="151">
        <v>7300.74</v>
      </c>
      <c r="S247" s="151">
        <v>0</v>
      </c>
      <c r="T247" s="151">
        <v>1065.78</v>
      </c>
      <c r="U247" s="151">
        <v>0</v>
      </c>
      <c r="V247" s="151">
        <v>0</v>
      </c>
      <c r="W247" s="151">
        <v>306.69</v>
      </c>
      <c r="X247" s="151">
        <v>96.28</v>
      </c>
      <c r="Y247" s="151">
        <v>0</v>
      </c>
      <c r="Z247" s="151">
        <v>0</v>
      </c>
      <c r="AA247" s="151">
        <v>0</v>
      </c>
      <c r="AB247" s="151">
        <v>0</v>
      </c>
      <c r="AC247" s="151">
        <v>0</v>
      </c>
      <c r="AD247" s="151">
        <v>652.07000000000005</v>
      </c>
      <c r="AE247" s="151">
        <v>0</v>
      </c>
      <c r="AF247" s="151">
        <v>0</v>
      </c>
      <c r="AG247" s="151">
        <v>0</v>
      </c>
      <c r="AH247" s="151">
        <v>0</v>
      </c>
      <c r="AI247" s="151">
        <v>1036.57</v>
      </c>
      <c r="AJ247" s="151">
        <v>0</v>
      </c>
      <c r="AK247" s="151">
        <v>0</v>
      </c>
      <c r="AL247" s="151">
        <v>11903.55</v>
      </c>
    </row>
    <row r="248" spans="1:38" s="117" customFormat="1" ht="15" customHeight="1" x14ac:dyDescent="0.2">
      <c r="A248" s="123" t="s">
        <v>1072</v>
      </c>
      <c r="B248" s="124" t="s">
        <v>1424</v>
      </c>
      <c r="C248" s="151">
        <v>0</v>
      </c>
      <c r="D248" s="151">
        <v>0</v>
      </c>
      <c r="E248" s="151">
        <v>0</v>
      </c>
      <c r="F248" s="151">
        <v>0</v>
      </c>
      <c r="G248" s="151">
        <v>0</v>
      </c>
      <c r="H248" s="151">
        <v>0</v>
      </c>
      <c r="I248" s="151">
        <v>0</v>
      </c>
      <c r="J248" s="151">
        <v>0</v>
      </c>
      <c r="K248" s="151">
        <v>0</v>
      </c>
      <c r="L248" s="151">
        <v>0</v>
      </c>
      <c r="M248" s="151">
        <v>0</v>
      </c>
      <c r="N248" s="151">
        <v>0</v>
      </c>
      <c r="O248" s="151">
        <v>0</v>
      </c>
      <c r="P248" s="151">
        <v>821.25</v>
      </c>
      <c r="Q248" s="151">
        <v>0</v>
      </c>
      <c r="R248" s="151">
        <v>0</v>
      </c>
      <c r="S248" s="151">
        <v>0</v>
      </c>
      <c r="T248" s="151">
        <v>0</v>
      </c>
      <c r="U248" s="151">
        <v>0</v>
      </c>
      <c r="V248" s="151">
        <v>0</v>
      </c>
      <c r="W248" s="151">
        <v>0</v>
      </c>
      <c r="X248" s="151">
        <v>0</v>
      </c>
      <c r="Y248" s="151">
        <v>0</v>
      </c>
      <c r="Z248" s="151">
        <v>0</v>
      </c>
      <c r="AA248" s="151">
        <v>0</v>
      </c>
      <c r="AB248" s="151">
        <v>0</v>
      </c>
      <c r="AC248" s="151">
        <v>0</v>
      </c>
      <c r="AD248" s="151">
        <v>0</v>
      </c>
      <c r="AE248" s="151">
        <v>0</v>
      </c>
      <c r="AF248" s="151">
        <v>244.9</v>
      </c>
      <c r="AG248" s="151">
        <v>0</v>
      </c>
      <c r="AH248" s="151">
        <v>0</v>
      </c>
      <c r="AI248" s="151">
        <v>0</v>
      </c>
      <c r="AJ248" s="151">
        <v>0</v>
      </c>
      <c r="AK248" s="151">
        <v>0</v>
      </c>
      <c r="AL248" s="151">
        <v>1066.1500000000001</v>
      </c>
    </row>
    <row r="249" spans="1:38" s="117" customFormat="1" ht="15" customHeight="1" x14ac:dyDescent="0.2">
      <c r="A249" s="123" t="s">
        <v>688</v>
      </c>
      <c r="B249" s="124" t="s">
        <v>687</v>
      </c>
      <c r="C249" s="151">
        <v>0</v>
      </c>
      <c r="D249" s="151">
        <v>0</v>
      </c>
      <c r="E249" s="151">
        <v>0</v>
      </c>
      <c r="F249" s="151">
        <v>0</v>
      </c>
      <c r="G249" s="151">
        <v>0</v>
      </c>
      <c r="H249" s="151">
        <v>0</v>
      </c>
      <c r="I249" s="151">
        <v>0</v>
      </c>
      <c r="J249" s="151">
        <v>0</v>
      </c>
      <c r="K249" s="151">
        <v>0</v>
      </c>
      <c r="L249" s="151">
        <v>591.77</v>
      </c>
      <c r="M249" s="151">
        <v>0</v>
      </c>
      <c r="N249" s="151">
        <v>0</v>
      </c>
      <c r="O249" s="151">
        <v>0</v>
      </c>
      <c r="P249" s="151">
        <v>0</v>
      </c>
      <c r="Q249" s="151">
        <v>0</v>
      </c>
      <c r="R249" s="151">
        <v>0</v>
      </c>
      <c r="S249" s="151">
        <v>0</v>
      </c>
      <c r="T249" s="151">
        <v>0</v>
      </c>
      <c r="U249" s="151">
        <v>0</v>
      </c>
      <c r="V249" s="151">
        <v>0</v>
      </c>
      <c r="W249" s="151">
        <v>0</v>
      </c>
      <c r="X249" s="151">
        <v>0</v>
      </c>
      <c r="Y249" s="151">
        <v>0</v>
      </c>
      <c r="Z249" s="151">
        <v>0</v>
      </c>
      <c r="AA249" s="151">
        <v>0</v>
      </c>
      <c r="AB249" s="151">
        <v>0</v>
      </c>
      <c r="AC249" s="151">
        <v>0</v>
      </c>
      <c r="AD249" s="151">
        <v>0</v>
      </c>
      <c r="AE249" s="151">
        <v>0</v>
      </c>
      <c r="AF249" s="151">
        <v>0</v>
      </c>
      <c r="AG249" s="151">
        <v>0</v>
      </c>
      <c r="AH249" s="151">
        <v>536.14</v>
      </c>
      <c r="AI249" s="151">
        <v>0</v>
      </c>
      <c r="AJ249" s="151">
        <v>0</v>
      </c>
      <c r="AK249" s="151">
        <v>0</v>
      </c>
      <c r="AL249" s="151">
        <v>1127.9100000000001</v>
      </c>
    </row>
    <row r="250" spans="1:38" s="117" customFormat="1" ht="15" customHeight="1" x14ac:dyDescent="0.2">
      <c r="A250" s="123" t="s">
        <v>423</v>
      </c>
      <c r="B250" s="124" t="s">
        <v>686</v>
      </c>
      <c r="C250" s="151">
        <v>0</v>
      </c>
      <c r="D250" s="151">
        <v>0</v>
      </c>
      <c r="E250" s="151">
        <v>0</v>
      </c>
      <c r="F250" s="151">
        <v>0</v>
      </c>
      <c r="G250" s="151">
        <v>2697.02</v>
      </c>
      <c r="H250" s="151">
        <v>29.44</v>
      </c>
      <c r="I250" s="151">
        <v>650</v>
      </c>
      <c r="J250" s="151">
        <v>0</v>
      </c>
      <c r="K250" s="151">
        <v>324.57</v>
      </c>
      <c r="L250" s="151">
        <v>0</v>
      </c>
      <c r="M250" s="151">
        <v>12017.66</v>
      </c>
      <c r="N250" s="151">
        <v>0</v>
      </c>
      <c r="O250" s="151">
        <v>117.21</v>
      </c>
      <c r="P250" s="151">
        <v>0</v>
      </c>
      <c r="Q250" s="151">
        <v>0</v>
      </c>
      <c r="R250" s="151">
        <v>210.19</v>
      </c>
      <c r="S250" s="151">
        <v>0</v>
      </c>
      <c r="T250" s="151">
        <v>400</v>
      </c>
      <c r="U250" s="151">
        <v>0</v>
      </c>
      <c r="V250" s="151">
        <v>0</v>
      </c>
      <c r="W250" s="151">
        <v>0</v>
      </c>
      <c r="X250" s="151">
        <v>0</v>
      </c>
      <c r="Y250" s="151">
        <v>97.46</v>
      </c>
      <c r="Z250" s="151">
        <v>0</v>
      </c>
      <c r="AA250" s="151">
        <v>0</v>
      </c>
      <c r="AB250" s="151">
        <v>0</v>
      </c>
      <c r="AC250" s="151">
        <v>-244</v>
      </c>
      <c r="AD250" s="151">
        <v>955.06</v>
      </c>
      <c r="AE250" s="151">
        <v>65.77</v>
      </c>
      <c r="AF250" s="151">
        <v>469.23</v>
      </c>
      <c r="AG250" s="151">
        <v>282.60000000000002</v>
      </c>
      <c r="AH250" s="151">
        <v>0</v>
      </c>
      <c r="AI250" s="151">
        <v>0</v>
      </c>
      <c r="AJ250" s="151">
        <v>0</v>
      </c>
      <c r="AK250" s="151">
        <v>0</v>
      </c>
      <c r="AL250" s="151">
        <v>18072.21</v>
      </c>
    </row>
    <row r="251" spans="1:38" s="117" customFormat="1" ht="15" customHeight="1" x14ac:dyDescent="0.2">
      <c r="A251" s="123" t="s">
        <v>555</v>
      </c>
      <c r="B251" s="124" t="s">
        <v>685</v>
      </c>
      <c r="C251" s="151">
        <v>0</v>
      </c>
      <c r="D251" s="151">
        <v>0</v>
      </c>
      <c r="E251" s="151">
        <v>0</v>
      </c>
      <c r="F251" s="151">
        <v>0</v>
      </c>
      <c r="G251" s="151">
        <v>0</v>
      </c>
      <c r="H251" s="151">
        <v>605.03</v>
      </c>
      <c r="I251" s="151">
        <v>173.31</v>
      </c>
      <c r="J251" s="151">
        <v>0</v>
      </c>
      <c r="K251" s="151">
        <v>0</v>
      </c>
      <c r="L251" s="151">
        <v>0</v>
      </c>
      <c r="M251" s="151">
        <v>0</v>
      </c>
      <c r="N251" s="151">
        <v>0</v>
      </c>
      <c r="O251" s="151">
        <v>0</v>
      </c>
      <c r="P251" s="151">
        <v>0</v>
      </c>
      <c r="Q251" s="151">
        <v>0</v>
      </c>
      <c r="R251" s="151">
        <v>0</v>
      </c>
      <c r="S251" s="151">
        <v>0</v>
      </c>
      <c r="T251" s="151">
        <v>0</v>
      </c>
      <c r="U251" s="151">
        <v>0</v>
      </c>
      <c r="V251" s="151">
        <v>0</v>
      </c>
      <c r="W251" s="151">
        <v>0</v>
      </c>
      <c r="X251" s="151">
        <v>0</v>
      </c>
      <c r="Y251" s="151">
        <v>100.62</v>
      </c>
      <c r="Z251" s="151">
        <v>0</v>
      </c>
      <c r="AA251" s="151">
        <v>0</v>
      </c>
      <c r="AB251" s="151">
        <v>0</v>
      </c>
      <c r="AC251" s="151">
        <v>0</v>
      </c>
      <c r="AD251" s="151">
        <v>0</v>
      </c>
      <c r="AE251" s="151">
        <v>114.39</v>
      </c>
      <c r="AF251" s="151">
        <v>176.28</v>
      </c>
      <c r="AG251" s="151">
        <v>281.33999999999997</v>
      </c>
      <c r="AH251" s="151">
        <v>0</v>
      </c>
      <c r="AI251" s="151">
        <v>0</v>
      </c>
      <c r="AJ251" s="151">
        <v>0</v>
      </c>
      <c r="AK251" s="151">
        <v>0</v>
      </c>
      <c r="AL251" s="151">
        <v>1450.97</v>
      </c>
    </row>
    <row r="252" spans="1:38" s="117" customFormat="1" ht="15" customHeight="1" x14ac:dyDescent="0.2">
      <c r="A252" s="123" t="s">
        <v>1067</v>
      </c>
      <c r="B252" s="124" t="s">
        <v>1425</v>
      </c>
      <c r="C252" s="151">
        <v>0</v>
      </c>
      <c r="D252" s="151">
        <v>0</v>
      </c>
      <c r="E252" s="151">
        <v>0</v>
      </c>
      <c r="F252" s="151">
        <v>0</v>
      </c>
      <c r="G252" s="151">
        <v>235</v>
      </c>
      <c r="H252" s="151">
        <v>0</v>
      </c>
      <c r="I252" s="151">
        <v>0</v>
      </c>
      <c r="J252" s="151">
        <v>0</v>
      </c>
      <c r="K252" s="151">
        <v>0</v>
      </c>
      <c r="L252" s="151">
        <v>0</v>
      </c>
      <c r="M252" s="151">
        <v>0</v>
      </c>
      <c r="N252" s="151">
        <v>48.24</v>
      </c>
      <c r="O252" s="151">
        <v>0</v>
      </c>
      <c r="P252" s="151">
        <v>0</v>
      </c>
      <c r="Q252" s="151">
        <v>0</v>
      </c>
      <c r="R252" s="151">
        <v>0</v>
      </c>
      <c r="S252" s="151">
        <v>0</v>
      </c>
      <c r="T252" s="151">
        <v>0</v>
      </c>
      <c r="U252" s="151">
        <v>0</v>
      </c>
      <c r="V252" s="151">
        <v>0</v>
      </c>
      <c r="W252" s="151">
        <v>0</v>
      </c>
      <c r="X252" s="151">
        <v>0</v>
      </c>
      <c r="Y252" s="151">
        <v>0</v>
      </c>
      <c r="Z252" s="151">
        <v>0</v>
      </c>
      <c r="AA252" s="151">
        <v>0</v>
      </c>
      <c r="AB252" s="151">
        <v>0</v>
      </c>
      <c r="AC252" s="151">
        <v>0</v>
      </c>
      <c r="AD252" s="151">
        <v>0</v>
      </c>
      <c r="AE252" s="151">
        <v>0</v>
      </c>
      <c r="AF252" s="151">
        <v>0</v>
      </c>
      <c r="AG252" s="151">
        <v>0</v>
      </c>
      <c r="AH252" s="151">
        <v>0</v>
      </c>
      <c r="AI252" s="151">
        <v>0</v>
      </c>
      <c r="AJ252" s="151">
        <v>0</v>
      </c>
      <c r="AK252" s="151">
        <v>0</v>
      </c>
      <c r="AL252" s="151">
        <v>283.24</v>
      </c>
    </row>
    <row r="253" spans="1:38" s="117" customFormat="1" ht="15" customHeight="1" x14ac:dyDescent="0.2">
      <c r="A253" s="123" t="s">
        <v>424</v>
      </c>
      <c r="B253" s="124" t="s">
        <v>684</v>
      </c>
      <c r="C253" s="151">
        <v>225</v>
      </c>
      <c r="D253" s="151">
        <v>0</v>
      </c>
      <c r="E253" s="151">
        <v>225</v>
      </c>
      <c r="F253" s="151">
        <v>652.44000000000005</v>
      </c>
      <c r="G253" s="151">
        <v>0</v>
      </c>
      <c r="H253" s="151">
        <v>0</v>
      </c>
      <c r="I253" s="151">
        <v>0</v>
      </c>
      <c r="J253" s="151">
        <v>0</v>
      </c>
      <c r="K253" s="151">
        <v>0</v>
      </c>
      <c r="L253" s="151">
        <v>0</v>
      </c>
      <c r="M253" s="151">
        <v>0</v>
      </c>
      <c r="N253" s="151">
        <v>0</v>
      </c>
      <c r="O253" s="151">
        <v>0</v>
      </c>
      <c r="P253" s="151">
        <v>0</v>
      </c>
      <c r="Q253" s="151">
        <v>0</v>
      </c>
      <c r="R253" s="151">
        <v>460.5</v>
      </c>
      <c r="S253" s="151">
        <v>0</v>
      </c>
      <c r="T253" s="151">
        <v>0</v>
      </c>
      <c r="U253" s="151">
        <v>0</v>
      </c>
      <c r="V253" s="151">
        <v>0</v>
      </c>
      <c r="W253" s="151">
        <v>0</v>
      </c>
      <c r="X253" s="151">
        <v>0</v>
      </c>
      <c r="Y253" s="151">
        <v>0</v>
      </c>
      <c r="Z253" s="151">
        <v>0</v>
      </c>
      <c r="AA253" s="151">
        <v>0</v>
      </c>
      <c r="AB253" s="151">
        <v>0</v>
      </c>
      <c r="AC253" s="151">
        <v>0</v>
      </c>
      <c r="AD253" s="151">
        <v>906.83</v>
      </c>
      <c r="AE253" s="151">
        <v>0</v>
      </c>
      <c r="AF253" s="151">
        <v>0</v>
      </c>
      <c r="AG253" s="151">
        <v>0</v>
      </c>
      <c r="AH253" s="151">
        <v>0</v>
      </c>
      <c r="AI253" s="151">
        <v>0</v>
      </c>
      <c r="AJ253" s="151">
        <v>0</v>
      </c>
      <c r="AK253" s="151">
        <v>0</v>
      </c>
      <c r="AL253" s="151">
        <v>2469.77</v>
      </c>
    </row>
    <row r="254" spans="1:38" s="117" customFormat="1" ht="15" customHeight="1" x14ac:dyDescent="0.2">
      <c r="A254" s="123" t="s">
        <v>506</v>
      </c>
      <c r="B254" s="124" t="s">
        <v>683</v>
      </c>
      <c r="C254" s="151">
        <v>0</v>
      </c>
      <c r="D254" s="151">
        <v>0</v>
      </c>
      <c r="E254" s="151">
        <v>0</v>
      </c>
      <c r="F254" s="151">
        <v>0</v>
      </c>
      <c r="G254" s="151">
        <v>3045</v>
      </c>
      <c r="H254" s="151">
        <v>0</v>
      </c>
      <c r="I254" s="151">
        <v>0</v>
      </c>
      <c r="J254" s="151">
        <v>0</v>
      </c>
      <c r="K254" s="151">
        <v>0</v>
      </c>
      <c r="L254" s="151">
        <v>0</v>
      </c>
      <c r="M254" s="151">
        <v>0</v>
      </c>
      <c r="N254" s="151">
        <v>0</v>
      </c>
      <c r="O254" s="151">
        <v>0</v>
      </c>
      <c r="P254" s="151">
        <v>0</v>
      </c>
      <c r="Q254" s="151">
        <v>0</v>
      </c>
      <c r="R254" s="151">
        <v>0</v>
      </c>
      <c r="S254" s="151">
        <v>0</v>
      </c>
      <c r="T254" s="151">
        <v>0</v>
      </c>
      <c r="U254" s="151">
        <v>0</v>
      </c>
      <c r="V254" s="151">
        <v>5153.63</v>
      </c>
      <c r="W254" s="151">
        <v>0</v>
      </c>
      <c r="X254" s="151">
        <v>0</v>
      </c>
      <c r="Y254" s="151">
        <v>527.70000000000005</v>
      </c>
      <c r="Z254" s="151">
        <v>0</v>
      </c>
      <c r="AA254" s="151">
        <v>0</v>
      </c>
      <c r="AB254" s="151">
        <v>0</v>
      </c>
      <c r="AC254" s="151">
        <v>3222.36</v>
      </c>
      <c r="AD254" s="151">
        <v>0</v>
      </c>
      <c r="AE254" s="151">
        <v>0</v>
      </c>
      <c r="AF254" s="151">
        <v>0</v>
      </c>
      <c r="AG254" s="151">
        <v>0</v>
      </c>
      <c r="AH254" s="151">
        <v>-444.06</v>
      </c>
      <c r="AI254" s="151">
        <v>0</v>
      </c>
      <c r="AJ254" s="151">
        <v>-10000</v>
      </c>
      <c r="AK254" s="151">
        <v>0</v>
      </c>
      <c r="AL254" s="151">
        <v>1504.63</v>
      </c>
    </row>
    <row r="255" spans="1:38" s="117" customFormat="1" ht="15" customHeight="1" x14ac:dyDescent="0.2">
      <c r="A255" s="123" t="s">
        <v>641</v>
      </c>
      <c r="B255" s="124" t="s">
        <v>682</v>
      </c>
      <c r="C255" s="151">
        <v>0</v>
      </c>
      <c r="D255" s="151">
        <v>0</v>
      </c>
      <c r="E255" s="151">
        <v>0</v>
      </c>
      <c r="F255" s="151">
        <v>0</v>
      </c>
      <c r="G255" s="151">
        <v>0</v>
      </c>
      <c r="H255" s="151">
        <v>0</v>
      </c>
      <c r="I255" s="151">
        <v>0</v>
      </c>
      <c r="J255" s="151">
        <v>0</v>
      </c>
      <c r="K255" s="151">
        <v>0</v>
      </c>
      <c r="L255" s="151">
        <v>0</v>
      </c>
      <c r="M255" s="151">
        <v>0</v>
      </c>
      <c r="N255" s="151">
        <v>0</v>
      </c>
      <c r="O255" s="151">
        <v>0</v>
      </c>
      <c r="P255" s="151">
        <v>93.49</v>
      </c>
      <c r="Q255" s="151">
        <v>0</v>
      </c>
      <c r="R255" s="151">
        <v>0</v>
      </c>
      <c r="S255" s="151">
        <v>0</v>
      </c>
      <c r="T255" s="151">
        <v>0</v>
      </c>
      <c r="U255" s="151">
        <v>0</v>
      </c>
      <c r="V255" s="151">
        <v>0</v>
      </c>
      <c r="W255" s="151">
        <v>0</v>
      </c>
      <c r="X255" s="151">
        <v>0</v>
      </c>
      <c r="Y255" s="151">
        <v>0</v>
      </c>
      <c r="Z255" s="151">
        <v>0</v>
      </c>
      <c r="AA255" s="151">
        <v>0</v>
      </c>
      <c r="AB255" s="151">
        <v>0</v>
      </c>
      <c r="AC255" s="151">
        <v>0</v>
      </c>
      <c r="AD255" s="151">
        <v>0</v>
      </c>
      <c r="AE255" s="151">
        <v>0</v>
      </c>
      <c r="AF255" s="151">
        <v>0</v>
      </c>
      <c r="AG255" s="151">
        <v>0</v>
      </c>
      <c r="AH255" s="151">
        <v>0</v>
      </c>
      <c r="AI255" s="151">
        <v>0</v>
      </c>
      <c r="AJ255" s="151">
        <v>0</v>
      </c>
      <c r="AK255" s="151">
        <v>0</v>
      </c>
      <c r="AL255" s="151">
        <v>93.49</v>
      </c>
    </row>
    <row r="256" spans="1:38" s="117" customFormat="1" ht="15" customHeight="1" x14ac:dyDescent="0.2">
      <c r="A256" s="123" t="s">
        <v>425</v>
      </c>
      <c r="B256" s="124" t="s">
        <v>681</v>
      </c>
      <c r="C256" s="151">
        <v>11511.46</v>
      </c>
      <c r="D256" s="151">
        <v>4282.26</v>
      </c>
      <c r="E256" s="151">
        <v>10805.83</v>
      </c>
      <c r="F256" s="151">
        <v>10941.69</v>
      </c>
      <c r="G256" s="151">
        <v>28715.72</v>
      </c>
      <c r="H256" s="151">
        <v>18561.16</v>
      </c>
      <c r="I256" s="151">
        <v>5783.92</v>
      </c>
      <c r="J256" s="151">
        <v>4782.08</v>
      </c>
      <c r="K256" s="151">
        <v>3388.03</v>
      </c>
      <c r="L256" s="151">
        <v>2823.75</v>
      </c>
      <c r="M256" s="151">
        <v>3163.99</v>
      </c>
      <c r="N256" s="151">
        <v>3961.7</v>
      </c>
      <c r="O256" s="151">
        <v>23732.17</v>
      </c>
      <c r="P256" s="151">
        <v>1546.82</v>
      </c>
      <c r="Q256" s="151">
        <v>13141.21</v>
      </c>
      <c r="R256" s="151">
        <v>23020.92</v>
      </c>
      <c r="S256" s="151">
        <v>1767.29</v>
      </c>
      <c r="T256" s="151">
        <v>3437.1</v>
      </c>
      <c r="U256" s="151">
        <v>4526.25</v>
      </c>
      <c r="V256" s="151">
        <v>9605.27</v>
      </c>
      <c r="W256" s="151">
        <v>6505</v>
      </c>
      <c r="X256" s="151">
        <v>21201.68</v>
      </c>
      <c r="Y256" s="151">
        <v>38557.06</v>
      </c>
      <c r="Z256" s="151">
        <v>3880</v>
      </c>
      <c r="AA256" s="151">
        <v>5539.16</v>
      </c>
      <c r="AB256" s="151">
        <v>2812.5</v>
      </c>
      <c r="AC256" s="151">
        <v>5065.8500000000004</v>
      </c>
      <c r="AD256" s="151">
        <v>5650</v>
      </c>
      <c r="AE256" s="151">
        <v>4837.95</v>
      </c>
      <c r="AF256" s="151">
        <v>6943.4</v>
      </c>
      <c r="AG256" s="151">
        <v>9268.75</v>
      </c>
      <c r="AH256" s="151">
        <v>2908.71</v>
      </c>
      <c r="AI256" s="151">
        <v>3400.82</v>
      </c>
      <c r="AJ256" s="151">
        <v>3431.25</v>
      </c>
      <c r="AK256" s="151">
        <v>3323.75</v>
      </c>
      <c r="AL256" s="151">
        <v>312824.5</v>
      </c>
    </row>
    <row r="257" spans="1:38" s="117" customFormat="1" ht="15" customHeight="1" x14ac:dyDescent="0.2">
      <c r="A257" s="123" t="s">
        <v>426</v>
      </c>
      <c r="B257" s="124" t="s">
        <v>680</v>
      </c>
      <c r="C257" s="151">
        <v>78462.600000000006</v>
      </c>
      <c r="D257" s="151">
        <v>113130.95</v>
      </c>
      <c r="E257" s="151">
        <v>74767.100000000006</v>
      </c>
      <c r="F257" s="151">
        <v>104567.78</v>
      </c>
      <c r="G257" s="151">
        <v>153160</v>
      </c>
      <c r="H257" s="151">
        <v>114836.64</v>
      </c>
      <c r="I257" s="151">
        <v>48790</v>
      </c>
      <c r="J257" s="151">
        <v>116384.65</v>
      </c>
      <c r="K257" s="151">
        <v>109321.52</v>
      </c>
      <c r="L257" s="151">
        <v>64872.93</v>
      </c>
      <c r="M257" s="151">
        <v>60710.33</v>
      </c>
      <c r="N257" s="151">
        <v>124839.77</v>
      </c>
      <c r="O257" s="151">
        <v>78580.14</v>
      </c>
      <c r="P257" s="151">
        <v>43347.74</v>
      </c>
      <c r="Q257" s="151">
        <v>132838.76</v>
      </c>
      <c r="R257" s="151">
        <v>65744.259999999995</v>
      </c>
      <c r="S257" s="151">
        <v>47186.5</v>
      </c>
      <c r="T257" s="151">
        <v>103781.5</v>
      </c>
      <c r="U257" s="151">
        <v>105750.62</v>
      </c>
      <c r="V257" s="151">
        <v>102938.9</v>
      </c>
      <c r="W257" s="151">
        <v>213430</v>
      </c>
      <c r="X257" s="151">
        <v>85693</v>
      </c>
      <c r="Y257" s="151">
        <v>79321.31</v>
      </c>
      <c r="Z257" s="151">
        <v>99191.21</v>
      </c>
      <c r="AA257" s="151">
        <v>121489.61</v>
      </c>
      <c r="AB257" s="151">
        <v>104655.75</v>
      </c>
      <c r="AC257" s="151">
        <v>137424</v>
      </c>
      <c r="AD257" s="151">
        <v>156478.49</v>
      </c>
      <c r="AE257" s="151">
        <v>100246</v>
      </c>
      <c r="AF257" s="151">
        <v>122872</v>
      </c>
      <c r="AG257" s="151">
        <v>69452.23</v>
      </c>
      <c r="AH257" s="151">
        <v>91095</v>
      </c>
      <c r="AI257" s="151">
        <v>82465.460000000006</v>
      </c>
      <c r="AJ257" s="151">
        <v>85091.53</v>
      </c>
      <c r="AK257" s="151">
        <v>113284.48</v>
      </c>
      <c r="AL257" s="151">
        <v>3506202.76</v>
      </c>
    </row>
    <row r="258" spans="1:38" s="117" customFormat="1" ht="15" customHeight="1" x14ac:dyDescent="0.2">
      <c r="A258" s="123" t="s">
        <v>1426</v>
      </c>
      <c r="B258" s="124" t="s">
        <v>1427</v>
      </c>
      <c r="C258" s="151">
        <v>0</v>
      </c>
      <c r="D258" s="151">
        <v>0</v>
      </c>
      <c r="E258" s="151">
        <v>0</v>
      </c>
      <c r="F258" s="151">
        <v>-87597.7</v>
      </c>
      <c r="G258" s="151">
        <v>0</v>
      </c>
      <c r="H258" s="151">
        <v>0</v>
      </c>
      <c r="I258" s="151">
        <v>0</v>
      </c>
      <c r="J258" s="151">
        <v>0</v>
      </c>
      <c r="K258" s="151">
        <v>0</v>
      </c>
      <c r="L258" s="151">
        <v>0</v>
      </c>
      <c r="M258" s="151">
        <v>0</v>
      </c>
      <c r="N258" s="151">
        <v>0</v>
      </c>
      <c r="O258" s="151">
        <v>0</v>
      </c>
      <c r="P258" s="151">
        <v>0</v>
      </c>
      <c r="Q258" s="151">
        <v>0</v>
      </c>
      <c r="R258" s="151">
        <v>0</v>
      </c>
      <c r="S258" s="151">
        <v>0</v>
      </c>
      <c r="T258" s="151">
        <v>0</v>
      </c>
      <c r="U258" s="151">
        <v>0</v>
      </c>
      <c r="V258" s="151">
        <v>0</v>
      </c>
      <c r="W258" s="151">
        <v>0</v>
      </c>
      <c r="X258" s="151">
        <v>0</v>
      </c>
      <c r="Y258" s="151">
        <v>0</v>
      </c>
      <c r="Z258" s="151">
        <v>0</v>
      </c>
      <c r="AA258" s="151">
        <v>0</v>
      </c>
      <c r="AB258" s="151">
        <v>0</v>
      </c>
      <c r="AC258" s="151">
        <v>0</v>
      </c>
      <c r="AD258" s="151">
        <v>0</v>
      </c>
      <c r="AE258" s="151">
        <v>0</v>
      </c>
      <c r="AF258" s="151">
        <v>0</v>
      </c>
      <c r="AG258" s="151">
        <v>0</v>
      </c>
      <c r="AH258" s="151">
        <v>0</v>
      </c>
      <c r="AI258" s="151">
        <v>0</v>
      </c>
      <c r="AJ258" s="151">
        <v>0</v>
      </c>
      <c r="AK258" s="151">
        <v>0</v>
      </c>
      <c r="AL258" s="151">
        <v>-87597.7</v>
      </c>
    </row>
    <row r="259" spans="1:38" s="117" customFormat="1" ht="15" customHeight="1" x14ac:dyDescent="0.2">
      <c r="A259" s="123" t="s">
        <v>679</v>
      </c>
      <c r="B259" s="124" t="s">
        <v>678</v>
      </c>
      <c r="C259" s="151">
        <v>0</v>
      </c>
      <c r="D259" s="151">
        <v>0</v>
      </c>
      <c r="E259" s="151">
        <v>0</v>
      </c>
      <c r="F259" s="151">
        <v>0</v>
      </c>
      <c r="G259" s="151">
        <v>0</v>
      </c>
      <c r="H259" s="151">
        <v>0</v>
      </c>
      <c r="I259" s="151">
        <v>0</v>
      </c>
      <c r="J259" s="151">
        <v>0</v>
      </c>
      <c r="K259" s="151">
        <v>0</v>
      </c>
      <c r="L259" s="151">
        <v>0</v>
      </c>
      <c r="M259" s="151">
        <v>0</v>
      </c>
      <c r="N259" s="151">
        <v>0</v>
      </c>
      <c r="O259" s="151">
        <v>0</v>
      </c>
      <c r="P259" s="151">
        <v>0</v>
      </c>
      <c r="Q259" s="151">
        <v>0</v>
      </c>
      <c r="R259" s="151">
        <v>0</v>
      </c>
      <c r="S259" s="151">
        <v>0</v>
      </c>
      <c r="T259" s="151">
        <v>0</v>
      </c>
      <c r="U259" s="151">
        <v>24667.05</v>
      </c>
      <c r="V259" s="151">
        <v>0</v>
      </c>
      <c r="W259" s="151">
        <v>0</v>
      </c>
      <c r="X259" s="151">
        <v>0</v>
      </c>
      <c r="Y259" s="151">
        <v>0</v>
      </c>
      <c r="Z259" s="151">
        <v>0</v>
      </c>
      <c r="AA259" s="151">
        <v>0</v>
      </c>
      <c r="AB259" s="151">
        <v>0</v>
      </c>
      <c r="AC259" s="151">
        <v>0</v>
      </c>
      <c r="AD259" s="151">
        <v>0</v>
      </c>
      <c r="AE259" s="151">
        <v>0</v>
      </c>
      <c r="AF259" s="151">
        <v>0</v>
      </c>
      <c r="AG259" s="151">
        <v>0</v>
      </c>
      <c r="AH259" s="151">
        <v>0</v>
      </c>
      <c r="AI259" s="151">
        <v>0</v>
      </c>
      <c r="AJ259" s="151">
        <v>0</v>
      </c>
      <c r="AK259" s="151">
        <v>0</v>
      </c>
      <c r="AL259" s="151">
        <v>24667.05</v>
      </c>
    </row>
    <row r="260" spans="1:38" s="117" customFormat="1" ht="15" customHeight="1" x14ac:dyDescent="0.2">
      <c r="A260" s="123" t="s">
        <v>427</v>
      </c>
      <c r="B260" s="124" t="s">
        <v>677</v>
      </c>
      <c r="C260" s="151">
        <v>7042.6</v>
      </c>
      <c r="D260" s="151">
        <v>15.96</v>
      </c>
      <c r="E260" s="151">
        <v>6069.45</v>
      </c>
      <c r="F260" s="151">
        <v>33179.42</v>
      </c>
      <c r="G260" s="151">
        <v>7448.35</v>
      </c>
      <c r="H260" s="151">
        <v>6921.41</v>
      </c>
      <c r="I260" s="151">
        <v>9289.86</v>
      </c>
      <c r="J260" s="151">
        <v>21102.5</v>
      </c>
      <c r="K260" s="151">
        <v>0</v>
      </c>
      <c r="L260" s="151">
        <v>8455.35</v>
      </c>
      <c r="M260" s="151">
        <v>0</v>
      </c>
      <c r="N260" s="151">
        <v>6587.94</v>
      </c>
      <c r="O260" s="151">
        <v>9061.31</v>
      </c>
      <c r="P260" s="151">
        <v>0</v>
      </c>
      <c r="Q260" s="151">
        <v>4641.41</v>
      </c>
      <c r="R260" s="151">
        <v>8955.7099999999991</v>
      </c>
      <c r="S260" s="151">
        <v>3125</v>
      </c>
      <c r="T260" s="151">
        <v>13440</v>
      </c>
      <c r="U260" s="151">
        <v>11921</v>
      </c>
      <c r="V260" s="151">
        <v>0</v>
      </c>
      <c r="W260" s="151">
        <v>31528.15</v>
      </c>
      <c r="X260" s="151">
        <v>10398.68</v>
      </c>
      <c r="Y260" s="151">
        <v>3671.36</v>
      </c>
      <c r="Z260" s="151">
        <v>0</v>
      </c>
      <c r="AA260" s="151">
        <v>17684.34</v>
      </c>
      <c r="AB260" s="151">
        <v>0</v>
      </c>
      <c r="AC260" s="151">
        <v>23478.11</v>
      </c>
      <c r="AD260" s="151">
        <v>22454.47</v>
      </c>
      <c r="AE260" s="151">
        <v>14843.18</v>
      </c>
      <c r="AF260" s="151">
        <v>0</v>
      </c>
      <c r="AG260" s="151">
        <v>2432.21</v>
      </c>
      <c r="AH260" s="151">
        <v>109.21</v>
      </c>
      <c r="AI260" s="151">
        <v>13176</v>
      </c>
      <c r="AJ260" s="151">
        <v>14546.05</v>
      </c>
      <c r="AK260" s="151">
        <v>15234.76</v>
      </c>
      <c r="AL260" s="151">
        <v>326813.78999999998</v>
      </c>
    </row>
    <row r="261" spans="1:38" s="117" customFormat="1" ht="15" customHeight="1" x14ac:dyDescent="0.2">
      <c r="A261" s="123" t="s">
        <v>428</v>
      </c>
      <c r="B261" s="124" t="s">
        <v>676</v>
      </c>
      <c r="C261" s="151">
        <v>2000.08</v>
      </c>
      <c r="D261" s="151">
        <v>0</v>
      </c>
      <c r="E261" s="151">
        <v>2683.9</v>
      </c>
      <c r="F261" s="151">
        <v>7405.27</v>
      </c>
      <c r="G261" s="151">
        <v>0</v>
      </c>
      <c r="H261" s="151">
        <v>0</v>
      </c>
      <c r="I261" s="151">
        <v>-0.38</v>
      </c>
      <c r="J261" s="151">
        <v>0</v>
      </c>
      <c r="K261" s="151">
        <v>14.33</v>
      </c>
      <c r="L261" s="151">
        <v>30647.1</v>
      </c>
      <c r="M261" s="151">
        <v>6854.79</v>
      </c>
      <c r="N261" s="151">
        <v>0</v>
      </c>
      <c r="O261" s="151">
        <v>1855.52</v>
      </c>
      <c r="P261" s="151">
        <v>6199.4</v>
      </c>
      <c r="Q261" s="151">
        <v>3333.35</v>
      </c>
      <c r="R261" s="151">
        <v>6112.67</v>
      </c>
      <c r="S261" s="151">
        <v>0</v>
      </c>
      <c r="T261" s="151">
        <v>0</v>
      </c>
      <c r="U261" s="151">
        <v>6426.95</v>
      </c>
      <c r="V261" s="151">
        <v>8915.9</v>
      </c>
      <c r="W261" s="151">
        <v>10000</v>
      </c>
      <c r="X261" s="151">
        <v>5039.63</v>
      </c>
      <c r="Y261" s="151">
        <v>548.5</v>
      </c>
      <c r="Z261" s="151">
        <v>23557.05</v>
      </c>
      <c r="AA261" s="151">
        <v>0</v>
      </c>
      <c r="AB261" s="151">
        <v>0</v>
      </c>
      <c r="AC261" s="151">
        <v>0</v>
      </c>
      <c r="AD261" s="151">
        <v>0</v>
      </c>
      <c r="AE261" s="151">
        <v>0</v>
      </c>
      <c r="AF261" s="151">
        <v>0</v>
      </c>
      <c r="AG261" s="151">
        <v>0</v>
      </c>
      <c r="AH261" s="151">
        <v>3979.05</v>
      </c>
      <c r="AI261" s="151">
        <v>17586.349999999999</v>
      </c>
      <c r="AJ261" s="151">
        <v>5216.5</v>
      </c>
      <c r="AK261" s="151">
        <v>10215.99</v>
      </c>
      <c r="AL261" s="151">
        <v>158591.95000000001</v>
      </c>
    </row>
    <row r="262" spans="1:38" s="117" customFormat="1" ht="15" customHeight="1" x14ac:dyDescent="0.2">
      <c r="A262" s="123" t="s">
        <v>623</v>
      </c>
      <c r="B262" s="124" t="s">
        <v>675</v>
      </c>
      <c r="C262" s="151">
        <v>2652.4</v>
      </c>
      <c r="D262" s="151">
        <v>0</v>
      </c>
      <c r="E262" s="151">
        <v>0</v>
      </c>
      <c r="F262" s="151">
        <v>8333.31</v>
      </c>
      <c r="G262" s="151">
        <v>0</v>
      </c>
      <c r="H262" s="151">
        <v>0</v>
      </c>
      <c r="I262" s="151">
        <v>0</v>
      </c>
      <c r="J262" s="151">
        <v>0</v>
      </c>
      <c r="K262" s="151">
        <v>0</v>
      </c>
      <c r="L262" s="151">
        <v>0</v>
      </c>
      <c r="M262" s="151">
        <v>0</v>
      </c>
      <c r="N262" s="151">
        <v>0</v>
      </c>
      <c r="O262" s="151">
        <v>0</v>
      </c>
      <c r="P262" s="151">
        <v>0</v>
      </c>
      <c r="Q262" s="151">
        <v>0</v>
      </c>
      <c r="R262" s="151">
        <v>0</v>
      </c>
      <c r="S262" s="151">
        <v>0</v>
      </c>
      <c r="T262" s="151">
        <v>0</v>
      </c>
      <c r="U262" s="151">
        <v>1182.8</v>
      </c>
      <c r="V262" s="151">
        <v>0</v>
      </c>
      <c r="W262" s="151">
        <v>426.5</v>
      </c>
      <c r="X262" s="151">
        <v>0</v>
      </c>
      <c r="Y262" s="151">
        <v>0</v>
      </c>
      <c r="Z262" s="151">
        <v>0</v>
      </c>
      <c r="AA262" s="151">
        <v>0</v>
      </c>
      <c r="AB262" s="151">
        <v>0</v>
      </c>
      <c r="AC262" s="151">
        <v>0</v>
      </c>
      <c r="AD262" s="151">
        <v>0</v>
      </c>
      <c r="AE262" s="151">
        <v>0</v>
      </c>
      <c r="AF262" s="151">
        <v>0</v>
      </c>
      <c r="AG262" s="151">
        <v>0</v>
      </c>
      <c r="AH262" s="151">
        <v>0</v>
      </c>
      <c r="AI262" s="151">
        <v>4585.1000000000004</v>
      </c>
      <c r="AJ262" s="151">
        <v>17316.72</v>
      </c>
      <c r="AK262" s="151">
        <v>5203.3100000000004</v>
      </c>
      <c r="AL262" s="151">
        <v>39700.14</v>
      </c>
    </row>
    <row r="263" spans="1:38" s="117" customFormat="1" ht="15" customHeight="1" x14ac:dyDescent="0.2">
      <c r="A263" s="123" t="s">
        <v>674</v>
      </c>
      <c r="B263" s="124" t="s">
        <v>673</v>
      </c>
      <c r="C263" s="151">
        <v>0</v>
      </c>
      <c r="D263" s="151">
        <v>0</v>
      </c>
      <c r="E263" s="151">
        <v>0</v>
      </c>
      <c r="F263" s="151">
        <v>0</v>
      </c>
      <c r="G263" s="151">
        <v>0</v>
      </c>
      <c r="H263" s="151">
        <v>0</v>
      </c>
      <c r="I263" s="151">
        <v>0</v>
      </c>
      <c r="J263" s="151">
        <v>0</v>
      </c>
      <c r="K263" s="151">
        <v>0</v>
      </c>
      <c r="L263" s="151">
        <v>0</v>
      </c>
      <c r="M263" s="151">
        <v>0</v>
      </c>
      <c r="N263" s="151">
        <v>0</v>
      </c>
      <c r="O263" s="151">
        <v>0</v>
      </c>
      <c r="P263" s="151">
        <v>0</v>
      </c>
      <c r="Q263" s="151">
        <v>0</v>
      </c>
      <c r="R263" s="151">
        <v>0</v>
      </c>
      <c r="S263" s="151">
        <v>0</v>
      </c>
      <c r="T263" s="151">
        <v>0</v>
      </c>
      <c r="U263" s="151">
        <v>0</v>
      </c>
      <c r="V263" s="151">
        <v>0</v>
      </c>
      <c r="W263" s="151">
        <v>0</v>
      </c>
      <c r="X263" s="151">
        <v>0</v>
      </c>
      <c r="Y263" s="151">
        <v>0</v>
      </c>
      <c r="Z263" s="151">
        <v>0</v>
      </c>
      <c r="AA263" s="151">
        <v>0</v>
      </c>
      <c r="AB263" s="151">
        <v>0</v>
      </c>
      <c r="AC263" s="151">
        <v>0</v>
      </c>
      <c r="AD263" s="151">
        <v>0</v>
      </c>
      <c r="AE263" s="151">
        <v>0</v>
      </c>
      <c r="AF263" s="151">
        <v>0</v>
      </c>
      <c r="AG263" s="151">
        <v>0</v>
      </c>
      <c r="AH263" s="151">
        <v>0</v>
      </c>
      <c r="AI263" s="151">
        <v>407.3</v>
      </c>
      <c r="AJ263" s="151">
        <v>1016.66</v>
      </c>
      <c r="AK263" s="151">
        <v>0</v>
      </c>
      <c r="AL263" s="151">
        <v>1423.96</v>
      </c>
    </row>
    <row r="264" spans="1:38" s="117" customFormat="1" ht="15" customHeight="1" x14ac:dyDescent="0.2">
      <c r="A264" s="123" t="s">
        <v>645</v>
      </c>
      <c r="B264" s="124" t="s">
        <v>672</v>
      </c>
      <c r="C264" s="151">
        <v>0</v>
      </c>
      <c r="D264" s="151">
        <v>347.53</v>
      </c>
      <c r="E264" s="151">
        <v>0</v>
      </c>
      <c r="F264" s="151">
        <v>0</v>
      </c>
      <c r="G264" s="151">
        <v>0</v>
      </c>
      <c r="H264" s="151">
        <v>0</v>
      </c>
      <c r="I264" s="151">
        <v>0</v>
      </c>
      <c r="J264" s="151">
        <v>0</v>
      </c>
      <c r="K264" s="151">
        <v>0</v>
      </c>
      <c r="L264" s="151">
        <v>0</v>
      </c>
      <c r="M264" s="151">
        <v>0</v>
      </c>
      <c r="N264" s="151">
        <v>0</v>
      </c>
      <c r="O264" s="151">
        <v>0</v>
      </c>
      <c r="P264" s="151">
        <v>0</v>
      </c>
      <c r="Q264" s="151">
        <v>0</v>
      </c>
      <c r="R264" s="151">
        <v>0</v>
      </c>
      <c r="S264" s="151">
        <v>0</v>
      </c>
      <c r="T264" s="151">
        <v>0</v>
      </c>
      <c r="U264" s="151">
        <v>0</v>
      </c>
      <c r="V264" s="151">
        <v>0</v>
      </c>
      <c r="W264" s="151">
        <v>0</v>
      </c>
      <c r="X264" s="151">
        <v>0</v>
      </c>
      <c r="Y264" s="151">
        <v>0</v>
      </c>
      <c r="Z264" s="151">
        <v>0</v>
      </c>
      <c r="AA264" s="151">
        <v>0</v>
      </c>
      <c r="AB264" s="151">
        <v>0</v>
      </c>
      <c r="AC264" s="151">
        <v>0</v>
      </c>
      <c r="AD264" s="151">
        <v>0</v>
      </c>
      <c r="AE264" s="151">
        <v>0</v>
      </c>
      <c r="AF264" s="151">
        <v>0</v>
      </c>
      <c r="AG264" s="151">
        <v>0</v>
      </c>
      <c r="AH264" s="151">
        <v>0</v>
      </c>
      <c r="AI264" s="151">
        <v>0</v>
      </c>
      <c r="AJ264" s="151">
        <v>0</v>
      </c>
      <c r="AK264" s="151">
        <v>0</v>
      </c>
      <c r="AL264" s="151">
        <v>347.53</v>
      </c>
    </row>
    <row r="265" spans="1:38" s="117" customFormat="1" ht="15" customHeight="1" x14ac:dyDescent="0.2">
      <c r="A265" s="123" t="s">
        <v>671</v>
      </c>
      <c r="B265" s="124" t="s">
        <v>670</v>
      </c>
      <c r="C265" s="151">
        <v>0</v>
      </c>
      <c r="D265" s="151">
        <v>0</v>
      </c>
      <c r="E265" s="151">
        <v>0</v>
      </c>
      <c r="F265" s="151">
        <v>0</v>
      </c>
      <c r="G265" s="151">
        <v>0</v>
      </c>
      <c r="H265" s="151">
        <v>0</v>
      </c>
      <c r="I265" s="151">
        <v>0</v>
      </c>
      <c r="J265" s="151">
        <v>0</v>
      </c>
      <c r="K265" s="151">
        <v>0</v>
      </c>
      <c r="L265" s="151">
        <v>0</v>
      </c>
      <c r="M265" s="151">
        <v>0</v>
      </c>
      <c r="N265" s="151">
        <v>0</v>
      </c>
      <c r="O265" s="151">
        <v>0</v>
      </c>
      <c r="P265" s="151">
        <v>0</v>
      </c>
      <c r="Q265" s="151">
        <v>0</v>
      </c>
      <c r="R265" s="151">
        <v>0</v>
      </c>
      <c r="S265" s="151">
        <v>0</v>
      </c>
      <c r="T265" s="151">
        <v>0</v>
      </c>
      <c r="U265" s="151">
        <v>0</v>
      </c>
      <c r="V265" s="151">
        <v>0</v>
      </c>
      <c r="W265" s="151">
        <v>0</v>
      </c>
      <c r="X265" s="151">
        <v>0</v>
      </c>
      <c r="Y265" s="151">
        <v>0</v>
      </c>
      <c r="Z265" s="151">
        <v>0</v>
      </c>
      <c r="AA265" s="151">
        <v>0</v>
      </c>
      <c r="AB265" s="151">
        <v>0</v>
      </c>
      <c r="AC265" s="151">
        <v>0</v>
      </c>
      <c r="AD265" s="151">
        <v>0</v>
      </c>
      <c r="AE265" s="151">
        <v>0</v>
      </c>
      <c r="AF265" s="151">
        <v>0</v>
      </c>
      <c r="AG265" s="151">
        <v>0</v>
      </c>
      <c r="AH265" s="151">
        <v>0</v>
      </c>
      <c r="AI265" s="151">
        <v>749.2</v>
      </c>
      <c r="AJ265" s="151">
        <v>0</v>
      </c>
      <c r="AK265" s="151">
        <v>0</v>
      </c>
      <c r="AL265" s="151">
        <v>749.2</v>
      </c>
    </row>
    <row r="266" spans="1:38" s="117" customFormat="1" ht="15" customHeight="1" x14ac:dyDescent="0.2">
      <c r="A266" s="123" t="s">
        <v>556</v>
      </c>
      <c r="B266" s="124" t="s">
        <v>669</v>
      </c>
      <c r="C266" s="151">
        <v>11554.45</v>
      </c>
      <c r="D266" s="151">
        <v>0</v>
      </c>
      <c r="E266" s="151">
        <v>11902.1</v>
      </c>
      <c r="F266" s="151">
        <v>0</v>
      </c>
      <c r="G266" s="151">
        <v>0</v>
      </c>
      <c r="H266" s="151">
        <v>0</v>
      </c>
      <c r="I266" s="151">
        <v>0</v>
      </c>
      <c r="J266" s="151">
        <v>7508.57</v>
      </c>
      <c r="K266" s="151">
        <v>0</v>
      </c>
      <c r="L266" s="151">
        <v>28489.66</v>
      </c>
      <c r="M266" s="151">
        <v>0</v>
      </c>
      <c r="N266" s="151">
        <v>16955.25</v>
      </c>
      <c r="O266" s="151">
        <v>8193.15</v>
      </c>
      <c r="P266" s="151">
        <v>0</v>
      </c>
      <c r="Q266" s="151">
        <v>13264.76</v>
      </c>
      <c r="R266" s="151">
        <v>8193.15</v>
      </c>
      <c r="S266" s="151">
        <v>0</v>
      </c>
      <c r="T266" s="151">
        <v>0</v>
      </c>
      <c r="U266" s="151">
        <v>0</v>
      </c>
      <c r="V266" s="151">
        <v>16196.12</v>
      </c>
      <c r="W266" s="151">
        <v>0</v>
      </c>
      <c r="X266" s="151">
        <v>0</v>
      </c>
      <c r="Y266" s="151">
        <v>16774</v>
      </c>
      <c r="Z266" s="151">
        <v>0</v>
      </c>
      <c r="AA266" s="151">
        <v>0</v>
      </c>
      <c r="AB266" s="151">
        <v>0</v>
      </c>
      <c r="AC266" s="151">
        <v>0</v>
      </c>
      <c r="AD266" s="151">
        <v>0</v>
      </c>
      <c r="AE266" s="151">
        <v>0</v>
      </c>
      <c r="AF266" s="151">
        <v>0</v>
      </c>
      <c r="AG266" s="151">
        <v>0</v>
      </c>
      <c r="AH266" s="151">
        <v>0</v>
      </c>
      <c r="AI266" s="151">
        <v>0</v>
      </c>
      <c r="AJ266" s="151">
        <v>0</v>
      </c>
      <c r="AK266" s="151">
        <v>0</v>
      </c>
      <c r="AL266" s="151">
        <v>139031.21</v>
      </c>
    </row>
    <row r="267" spans="1:38" s="117" customFormat="1" ht="15" customHeight="1" x14ac:dyDescent="0.2">
      <c r="A267" s="123" t="s">
        <v>507</v>
      </c>
      <c r="B267" s="124" t="s">
        <v>668</v>
      </c>
      <c r="C267" s="151">
        <v>0</v>
      </c>
      <c r="D267" s="151">
        <v>0</v>
      </c>
      <c r="E267" s="151">
        <v>0</v>
      </c>
      <c r="F267" s="151">
        <v>0</v>
      </c>
      <c r="G267" s="151">
        <v>0</v>
      </c>
      <c r="H267" s="151">
        <v>0</v>
      </c>
      <c r="I267" s="151">
        <v>0</v>
      </c>
      <c r="J267" s="151">
        <v>0</v>
      </c>
      <c r="K267" s="151">
        <v>0</v>
      </c>
      <c r="L267" s="151">
        <v>1243.9000000000001</v>
      </c>
      <c r="M267" s="151">
        <v>0</v>
      </c>
      <c r="N267" s="151">
        <v>0</v>
      </c>
      <c r="O267" s="151">
        <v>0</v>
      </c>
      <c r="P267" s="151">
        <v>0</v>
      </c>
      <c r="Q267" s="151">
        <v>0</v>
      </c>
      <c r="R267" s="151">
        <v>0</v>
      </c>
      <c r="S267" s="151">
        <v>0</v>
      </c>
      <c r="T267" s="151">
        <v>0</v>
      </c>
      <c r="U267" s="151">
        <v>1126.4000000000001</v>
      </c>
      <c r="V267" s="151">
        <v>0</v>
      </c>
      <c r="W267" s="151">
        <v>0</v>
      </c>
      <c r="X267" s="151">
        <v>0</v>
      </c>
      <c r="Y267" s="151">
        <v>0</v>
      </c>
      <c r="Z267" s="151">
        <v>0</v>
      </c>
      <c r="AA267" s="151">
        <v>1679.75</v>
      </c>
      <c r="AB267" s="151">
        <v>1273.46</v>
      </c>
      <c r="AC267" s="151">
        <v>1243.32</v>
      </c>
      <c r="AD267" s="151">
        <v>1241.95</v>
      </c>
      <c r="AE267" s="151">
        <v>1267.28</v>
      </c>
      <c r="AF267" s="151">
        <v>1482.7</v>
      </c>
      <c r="AG267" s="151">
        <v>0</v>
      </c>
      <c r="AH267" s="151">
        <v>0</v>
      </c>
      <c r="AI267" s="151">
        <v>0</v>
      </c>
      <c r="AJ267" s="151">
        <v>0</v>
      </c>
      <c r="AK267" s="151">
        <v>0</v>
      </c>
      <c r="AL267" s="151">
        <v>10558.76</v>
      </c>
    </row>
    <row r="268" spans="1:38" s="117" customFormat="1" ht="15" customHeight="1" x14ac:dyDescent="0.2">
      <c r="A268" s="123" t="s">
        <v>606</v>
      </c>
      <c r="B268" s="124" t="s">
        <v>667</v>
      </c>
      <c r="C268" s="151">
        <v>0</v>
      </c>
      <c r="D268" s="151">
        <v>0</v>
      </c>
      <c r="E268" s="151">
        <v>0</v>
      </c>
      <c r="F268" s="151">
        <v>0</v>
      </c>
      <c r="G268" s="151">
        <v>0</v>
      </c>
      <c r="H268" s="151">
        <v>0</v>
      </c>
      <c r="I268" s="151">
        <v>0</v>
      </c>
      <c r="J268" s="151">
        <v>2826.76</v>
      </c>
      <c r="K268" s="151">
        <v>0</v>
      </c>
      <c r="L268" s="151">
        <v>0</v>
      </c>
      <c r="M268" s="151">
        <v>0</v>
      </c>
      <c r="N268" s="151">
        <v>0</v>
      </c>
      <c r="O268" s="151">
        <v>0</v>
      </c>
      <c r="P268" s="151">
        <v>0</v>
      </c>
      <c r="Q268" s="151">
        <v>0</v>
      </c>
      <c r="R268" s="151">
        <v>0</v>
      </c>
      <c r="S268" s="151">
        <v>0</v>
      </c>
      <c r="T268" s="151">
        <v>0</v>
      </c>
      <c r="U268" s="151">
        <v>47090.559999999998</v>
      </c>
      <c r="V268" s="151">
        <v>0</v>
      </c>
      <c r="W268" s="151">
        <v>14711.63</v>
      </c>
      <c r="X268" s="151">
        <v>0</v>
      </c>
      <c r="Y268" s="151">
        <v>0</v>
      </c>
      <c r="Z268" s="151">
        <v>0</v>
      </c>
      <c r="AA268" s="151">
        <v>0</v>
      </c>
      <c r="AB268" s="151">
        <v>0</v>
      </c>
      <c r="AC268" s="151">
        <v>0</v>
      </c>
      <c r="AD268" s="151">
        <v>0</v>
      </c>
      <c r="AE268" s="151">
        <v>0</v>
      </c>
      <c r="AF268" s="151">
        <v>0</v>
      </c>
      <c r="AG268" s="151">
        <v>0</v>
      </c>
      <c r="AH268" s="151">
        <v>0</v>
      </c>
      <c r="AI268" s="151">
        <v>47450.96</v>
      </c>
      <c r="AJ268" s="151">
        <v>6884.36</v>
      </c>
      <c r="AK268" s="151">
        <v>33264.53</v>
      </c>
      <c r="AL268" s="151">
        <v>152228.79999999999</v>
      </c>
    </row>
    <row r="269" spans="1:38" s="117" customFormat="1" ht="15" customHeight="1" x14ac:dyDescent="0.2">
      <c r="A269" s="123" t="s">
        <v>508</v>
      </c>
      <c r="B269" s="124" t="s">
        <v>666</v>
      </c>
      <c r="C269" s="151">
        <v>0</v>
      </c>
      <c r="D269" s="151">
        <v>0</v>
      </c>
      <c r="E269" s="151">
        <v>0</v>
      </c>
      <c r="F269" s="151">
        <v>0</v>
      </c>
      <c r="G269" s="151">
        <v>0</v>
      </c>
      <c r="H269" s="151">
        <v>0</v>
      </c>
      <c r="I269" s="151">
        <v>0</v>
      </c>
      <c r="J269" s="151">
        <v>6843</v>
      </c>
      <c r="K269" s="151">
        <v>0</v>
      </c>
      <c r="L269" s="151">
        <v>0</v>
      </c>
      <c r="M269" s="151">
        <v>0</v>
      </c>
      <c r="N269" s="151">
        <v>30594.45</v>
      </c>
      <c r="O269" s="151">
        <v>0</v>
      </c>
      <c r="P269" s="151">
        <v>0</v>
      </c>
      <c r="Q269" s="151">
        <v>0</v>
      </c>
      <c r="R269" s="151">
        <v>0</v>
      </c>
      <c r="S269" s="151">
        <v>0</v>
      </c>
      <c r="T269" s="151">
        <v>0</v>
      </c>
      <c r="U269" s="151">
        <v>1041.56</v>
      </c>
      <c r="V269" s="151">
        <v>0</v>
      </c>
      <c r="W269" s="151">
        <v>0</v>
      </c>
      <c r="X269" s="151">
        <v>0</v>
      </c>
      <c r="Y269" s="151">
        <v>0</v>
      </c>
      <c r="Z269" s="151">
        <v>0</v>
      </c>
      <c r="AA269" s="151">
        <v>0</v>
      </c>
      <c r="AB269" s="151">
        <v>0</v>
      </c>
      <c r="AC269" s="151">
        <v>0</v>
      </c>
      <c r="AD269" s="151">
        <v>0</v>
      </c>
      <c r="AE269" s="151">
        <v>0</v>
      </c>
      <c r="AF269" s="151">
        <v>0</v>
      </c>
      <c r="AG269" s="151">
        <v>0</v>
      </c>
      <c r="AH269" s="151">
        <v>0</v>
      </c>
      <c r="AI269" s="151">
        <v>1041.73</v>
      </c>
      <c r="AJ269" s="151">
        <v>1041.72</v>
      </c>
      <c r="AK269" s="151">
        <v>1041.6600000000001</v>
      </c>
      <c r="AL269" s="151">
        <v>41604.120000000003</v>
      </c>
    </row>
    <row r="270" spans="1:38" s="117" customFormat="1" ht="15" customHeight="1" x14ac:dyDescent="0.2">
      <c r="A270" s="123" t="s">
        <v>509</v>
      </c>
      <c r="B270" s="124" t="s">
        <v>665</v>
      </c>
      <c r="C270" s="151">
        <v>0</v>
      </c>
      <c r="D270" s="151">
        <v>0</v>
      </c>
      <c r="E270" s="151">
        <v>0</v>
      </c>
      <c r="F270" s="151">
        <v>14919.22</v>
      </c>
      <c r="G270" s="151">
        <v>0</v>
      </c>
      <c r="H270" s="151">
        <v>0</v>
      </c>
      <c r="I270" s="151">
        <v>0</v>
      </c>
      <c r="J270" s="151">
        <v>0</v>
      </c>
      <c r="K270" s="151">
        <v>0</v>
      </c>
      <c r="L270" s="151">
        <v>0</v>
      </c>
      <c r="M270" s="151">
        <v>0</v>
      </c>
      <c r="N270" s="151">
        <v>0</v>
      </c>
      <c r="O270" s="151">
        <v>0</v>
      </c>
      <c r="P270" s="151">
        <v>0</v>
      </c>
      <c r="Q270" s="151">
        <v>0</v>
      </c>
      <c r="R270" s="151">
        <v>0</v>
      </c>
      <c r="S270" s="151">
        <v>0</v>
      </c>
      <c r="T270" s="151">
        <v>0</v>
      </c>
      <c r="U270" s="151">
        <v>0</v>
      </c>
      <c r="V270" s="151">
        <v>0</v>
      </c>
      <c r="W270" s="151">
        <v>0</v>
      </c>
      <c r="X270" s="151">
        <v>0</v>
      </c>
      <c r="Y270" s="151">
        <v>0</v>
      </c>
      <c r="Z270" s="151">
        <v>21329.97</v>
      </c>
      <c r="AA270" s="151">
        <v>0</v>
      </c>
      <c r="AB270" s="151">
        <v>29108</v>
      </c>
      <c r="AC270" s="151">
        <v>0</v>
      </c>
      <c r="AD270" s="151">
        <v>86406.01</v>
      </c>
      <c r="AE270" s="151">
        <v>42351.35</v>
      </c>
      <c r="AF270" s="151">
        <v>42203.86</v>
      </c>
      <c r="AG270" s="151">
        <v>0</v>
      </c>
      <c r="AH270" s="151">
        <v>0</v>
      </c>
      <c r="AI270" s="151">
        <v>0</v>
      </c>
      <c r="AJ270" s="151">
        <v>0</v>
      </c>
      <c r="AK270" s="151">
        <v>0</v>
      </c>
      <c r="AL270" s="151">
        <v>236318.41</v>
      </c>
    </row>
    <row r="271" spans="1:38" s="117" customFormat="1" ht="15" customHeight="1" x14ac:dyDescent="0.2">
      <c r="A271" s="123" t="s">
        <v>429</v>
      </c>
      <c r="B271" s="124" t="s">
        <v>664</v>
      </c>
      <c r="C271" s="151">
        <v>0</v>
      </c>
      <c r="D271" s="151">
        <v>0</v>
      </c>
      <c r="E271" s="151">
        <v>0</v>
      </c>
      <c r="F271" s="151">
        <v>0</v>
      </c>
      <c r="G271" s="151">
        <v>0</v>
      </c>
      <c r="H271" s="151">
        <v>0</v>
      </c>
      <c r="I271" s="151">
        <v>0</v>
      </c>
      <c r="J271" s="151">
        <v>0</v>
      </c>
      <c r="K271" s="151">
        <v>0</v>
      </c>
      <c r="L271" s="151">
        <v>39013.61</v>
      </c>
      <c r="M271" s="151">
        <v>0</v>
      </c>
      <c r="N271" s="151">
        <v>0</v>
      </c>
      <c r="O271" s="151">
        <v>0</v>
      </c>
      <c r="P271" s="151">
        <v>0</v>
      </c>
      <c r="Q271" s="151">
        <v>0</v>
      </c>
      <c r="R271" s="151">
        <v>0</v>
      </c>
      <c r="S271" s="151">
        <v>0</v>
      </c>
      <c r="T271" s="151">
        <v>0</v>
      </c>
      <c r="U271" s="151">
        <v>0</v>
      </c>
      <c r="V271" s="151">
        <v>0</v>
      </c>
      <c r="W271" s="151">
        <v>0</v>
      </c>
      <c r="X271" s="151">
        <v>0</v>
      </c>
      <c r="Y271" s="151">
        <v>0</v>
      </c>
      <c r="Z271" s="151">
        <v>0</v>
      </c>
      <c r="AA271" s="151">
        <v>27998.75</v>
      </c>
      <c r="AB271" s="151">
        <v>0</v>
      </c>
      <c r="AC271" s="151">
        <v>0</v>
      </c>
      <c r="AD271" s="151">
        <v>0</v>
      </c>
      <c r="AE271" s="151">
        <v>0</v>
      </c>
      <c r="AF271" s="151">
        <v>0</v>
      </c>
      <c r="AG271" s="151">
        <v>0</v>
      </c>
      <c r="AH271" s="151">
        <v>0</v>
      </c>
      <c r="AI271" s="151">
        <v>0</v>
      </c>
      <c r="AJ271" s="151">
        <v>0</v>
      </c>
      <c r="AK271" s="151">
        <v>0</v>
      </c>
      <c r="AL271" s="151">
        <v>67012.36</v>
      </c>
    </row>
    <row r="272" spans="1:38" s="117" customFormat="1" ht="15" customHeight="1" x14ac:dyDescent="0.2">
      <c r="A272" s="123" t="s">
        <v>663</v>
      </c>
      <c r="B272" s="124" t="s">
        <v>662</v>
      </c>
      <c r="C272" s="152">
        <v>0</v>
      </c>
      <c r="D272" s="152">
        <v>0</v>
      </c>
      <c r="E272" s="152">
        <v>0</v>
      </c>
      <c r="F272" s="152">
        <v>2518.7800000000002</v>
      </c>
      <c r="G272" s="152">
        <v>0</v>
      </c>
      <c r="H272" s="152">
        <v>0</v>
      </c>
      <c r="I272" s="152">
        <v>0</v>
      </c>
      <c r="J272" s="152">
        <v>1239.94</v>
      </c>
      <c r="K272" s="152">
        <v>0</v>
      </c>
      <c r="L272" s="152">
        <v>0</v>
      </c>
      <c r="M272" s="152">
        <v>0</v>
      </c>
      <c r="N272" s="152">
        <v>0</v>
      </c>
      <c r="O272" s="152">
        <v>0</v>
      </c>
      <c r="P272" s="152">
        <v>0</v>
      </c>
      <c r="Q272" s="152">
        <v>0</v>
      </c>
      <c r="R272" s="152">
        <v>0</v>
      </c>
      <c r="S272" s="152">
        <v>0</v>
      </c>
      <c r="T272" s="152">
        <v>0</v>
      </c>
      <c r="U272" s="152">
        <v>0</v>
      </c>
      <c r="V272" s="152">
        <v>0</v>
      </c>
      <c r="W272" s="152">
        <v>2741.35</v>
      </c>
      <c r="X272" s="152">
        <v>0</v>
      </c>
      <c r="Y272" s="152">
        <v>0</v>
      </c>
      <c r="Z272" s="152">
        <v>0</v>
      </c>
      <c r="AA272" s="152">
        <v>0</v>
      </c>
      <c r="AB272" s="152">
        <v>0</v>
      </c>
      <c r="AC272" s="152">
        <v>0</v>
      </c>
      <c r="AD272" s="152">
        <v>0</v>
      </c>
      <c r="AE272" s="152">
        <v>0</v>
      </c>
      <c r="AF272" s="152">
        <v>0</v>
      </c>
      <c r="AG272" s="152">
        <v>2759.55</v>
      </c>
      <c r="AH272" s="152">
        <v>0</v>
      </c>
      <c r="AI272" s="152">
        <v>1093.96</v>
      </c>
      <c r="AJ272" s="152">
        <v>1093.99</v>
      </c>
      <c r="AK272" s="152">
        <v>1109.1500000000001</v>
      </c>
      <c r="AL272" s="152">
        <v>12556.72</v>
      </c>
    </row>
    <row r="273" spans="1:38" s="117" customFormat="1" ht="15" customHeight="1" x14ac:dyDescent="0.2">
      <c r="A273" s="123"/>
      <c r="B273" s="124" t="s">
        <v>1043</v>
      </c>
      <c r="C273" s="151">
        <f>SUM(C45:C272)</f>
        <v>756694.48999999964</v>
      </c>
      <c r="D273" s="151">
        <f t="shared" ref="D273:AL273" si="1">SUM(D45:D272)</f>
        <v>605367.87</v>
      </c>
      <c r="E273" s="151">
        <f t="shared" si="1"/>
        <v>512370.14000000007</v>
      </c>
      <c r="F273" s="151">
        <f t="shared" si="1"/>
        <v>393864.71000000014</v>
      </c>
      <c r="G273" s="151">
        <f t="shared" si="1"/>
        <v>1874697.7100000004</v>
      </c>
      <c r="H273" s="151">
        <f t="shared" si="1"/>
        <v>574184.9</v>
      </c>
      <c r="I273" s="151">
        <f t="shared" si="1"/>
        <v>350987.82000000012</v>
      </c>
      <c r="J273" s="151">
        <f t="shared" si="1"/>
        <v>390157.39000000013</v>
      </c>
      <c r="K273" s="151">
        <f t="shared" si="1"/>
        <v>461382.0500000001</v>
      </c>
      <c r="L273" s="151">
        <f t="shared" si="1"/>
        <v>452116.10999999987</v>
      </c>
      <c r="M273" s="151">
        <f t="shared" si="1"/>
        <v>359384.06</v>
      </c>
      <c r="N273" s="151">
        <f t="shared" si="1"/>
        <v>428745.38000000006</v>
      </c>
      <c r="O273" s="151">
        <f t="shared" si="1"/>
        <v>667704.38000000012</v>
      </c>
      <c r="P273" s="151">
        <f t="shared" si="1"/>
        <v>291717.87</v>
      </c>
      <c r="Q273" s="151">
        <f t="shared" si="1"/>
        <v>1014238.7100000001</v>
      </c>
      <c r="R273" s="151">
        <f t="shared" si="1"/>
        <v>396023.31000000006</v>
      </c>
      <c r="S273" s="151">
        <f t="shared" si="1"/>
        <v>254341.86000000004</v>
      </c>
      <c r="T273" s="151">
        <f t="shared" si="1"/>
        <v>461262.43999999994</v>
      </c>
      <c r="U273" s="151">
        <f t="shared" si="1"/>
        <v>645883.30000000005</v>
      </c>
      <c r="V273" s="151">
        <f t="shared" si="1"/>
        <v>442005.47</v>
      </c>
      <c r="W273" s="151">
        <f t="shared" si="1"/>
        <v>540469.9800000001</v>
      </c>
      <c r="X273" s="151">
        <f t="shared" si="1"/>
        <v>716546.38000000012</v>
      </c>
      <c r="Y273" s="151">
        <f t="shared" si="1"/>
        <v>618950.71000000008</v>
      </c>
      <c r="Z273" s="151">
        <f t="shared" si="1"/>
        <v>345619.94999999995</v>
      </c>
      <c r="AA273" s="151">
        <f t="shared" si="1"/>
        <v>423710.20000000007</v>
      </c>
      <c r="AB273" s="151">
        <f t="shared" si="1"/>
        <v>382876.36000000004</v>
      </c>
      <c r="AC273" s="151">
        <f t="shared" si="1"/>
        <v>456105.00999999983</v>
      </c>
      <c r="AD273" s="151">
        <f t="shared" si="1"/>
        <v>617640.75999999978</v>
      </c>
      <c r="AE273" s="151">
        <f t="shared" si="1"/>
        <v>346726.03000000009</v>
      </c>
      <c r="AF273" s="151">
        <f t="shared" si="1"/>
        <v>472213.83000000013</v>
      </c>
      <c r="AG273" s="151">
        <f t="shared" si="1"/>
        <v>432640.95000000007</v>
      </c>
      <c r="AH273" s="151">
        <f t="shared" si="1"/>
        <v>330983.55000000005</v>
      </c>
      <c r="AI273" s="151">
        <f t="shared" si="1"/>
        <v>473095.37000000011</v>
      </c>
      <c r="AJ273" s="151">
        <f t="shared" si="1"/>
        <v>430084.08</v>
      </c>
      <c r="AK273" s="151">
        <f t="shared" si="1"/>
        <v>429249.14999999997</v>
      </c>
      <c r="AL273" s="151">
        <f t="shared" si="1"/>
        <v>18350042.280000001</v>
      </c>
    </row>
    <row r="274" spans="1:38" s="117" customFormat="1" ht="15" customHeight="1" x14ac:dyDescent="0.2">
      <c r="A274" s="123" t="s">
        <v>661</v>
      </c>
      <c r="B274" s="124" t="s">
        <v>660</v>
      </c>
      <c r="C274" s="122">
        <v>-318323.92</v>
      </c>
      <c r="D274" s="122">
        <v>-184743.4</v>
      </c>
      <c r="E274" s="122">
        <v>-72951.53</v>
      </c>
      <c r="F274" s="122">
        <v>66092.2</v>
      </c>
      <c r="G274" s="122">
        <v>-747800.88</v>
      </c>
      <c r="H274" s="122">
        <v>-191340.57</v>
      </c>
      <c r="I274" s="122">
        <v>-35020.97</v>
      </c>
      <c r="J274" s="122">
        <v>-79184.08</v>
      </c>
      <c r="K274" s="122">
        <v>-46167.25</v>
      </c>
      <c r="L274" s="122">
        <v>42877.55</v>
      </c>
      <c r="M274" s="122">
        <v>-53645.08</v>
      </c>
      <c r="N274" s="122">
        <v>-23184.83</v>
      </c>
      <c r="O274" s="122">
        <v>-223790.22</v>
      </c>
      <c r="P274" s="122">
        <v>-28400.400000000001</v>
      </c>
      <c r="Q274" s="122">
        <v>-332486.28999999998</v>
      </c>
      <c r="R274" s="122">
        <v>26243.96</v>
      </c>
      <c r="S274" s="122">
        <v>-36438.550000000003</v>
      </c>
      <c r="T274" s="122">
        <v>-78610.83</v>
      </c>
      <c r="U274" s="122">
        <v>19749.96</v>
      </c>
      <c r="V274" s="122">
        <v>-56449.17</v>
      </c>
      <c r="W274" s="122">
        <v>-104717.14</v>
      </c>
      <c r="X274" s="122">
        <v>-310174.45</v>
      </c>
      <c r="Y274" s="122">
        <v>121775.89</v>
      </c>
      <c r="Z274" s="122">
        <v>-53569.89</v>
      </c>
      <c r="AA274" s="122">
        <v>5582.01</v>
      </c>
      <c r="AB274" s="122">
        <v>33490.43</v>
      </c>
      <c r="AC274" s="122">
        <v>-125922.44</v>
      </c>
      <c r="AD274" s="122">
        <v>-70473.8</v>
      </c>
      <c r="AE274" s="122">
        <v>-93345.03</v>
      </c>
      <c r="AF274" s="122">
        <v>-95890.74</v>
      </c>
      <c r="AG274" s="122">
        <v>87434.62</v>
      </c>
      <c r="AH274" s="122">
        <v>121143.27</v>
      </c>
      <c r="AI274" s="122">
        <v>5744.89</v>
      </c>
      <c r="AJ274" s="122">
        <v>13708.65</v>
      </c>
      <c r="AK274" s="122">
        <v>-31567.91</v>
      </c>
      <c r="AL274" s="122">
        <v>-2850355.94</v>
      </c>
    </row>
    <row r="275" spans="1:38" x14ac:dyDescent="0.2">
      <c r="C275" s="153">
        <f>C43-C273</f>
        <v>-318323.91999999969</v>
      </c>
      <c r="D275" s="153">
        <f t="shared" ref="D275:AL275" si="2">D43-D273</f>
        <v>-184743.40000000002</v>
      </c>
      <c r="E275" s="153">
        <f t="shared" si="2"/>
        <v>-72951.530000000086</v>
      </c>
      <c r="F275" s="153">
        <f t="shared" si="2"/>
        <v>66092.199999999779</v>
      </c>
      <c r="G275" s="153">
        <f t="shared" si="2"/>
        <v>-747800.88000000035</v>
      </c>
      <c r="H275" s="153">
        <f t="shared" si="2"/>
        <v>-191340.57000000007</v>
      </c>
      <c r="I275" s="153">
        <f t="shared" si="2"/>
        <v>-35020.970000000088</v>
      </c>
      <c r="J275" s="153">
        <f t="shared" si="2"/>
        <v>-79184.080000000075</v>
      </c>
      <c r="K275" s="153">
        <f t="shared" si="2"/>
        <v>-46167.250000000116</v>
      </c>
      <c r="L275" s="153">
        <f t="shared" si="2"/>
        <v>42877.550000000105</v>
      </c>
      <c r="M275" s="153">
        <f t="shared" si="2"/>
        <v>-53645.080000000016</v>
      </c>
      <c r="N275" s="153">
        <f t="shared" si="2"/>
        <v>-23184.830000000075</v>
      </c>
      <c r="O275" s="153">
        <f t="shared" si="2"/>
        <v>-223790.22000000015</v>
      </c>
      <c r="P275" s="153">
        <f t="shared" si="2"/>
        <v>-28400.400000000023</v>
      </c>
      <c r="Q275" s="153">
        <f t="shared" si="2"/>
        <v>-332486.29000000004</v>
      </c>
      <c r="R275" s="153">
        <f t="shared" si="2"/>
        <v>26243.959999999963</v>
      </c>
      <c r="S275" s="153">
        <f t="shared" si="2"/>
        <v>-36438.550000000047</v>
      </c>
      <c r="T275" s="153">
        <f t="shared" si="2"/>
        <v>-78610.8299999999</v>
      </c>
      <c r="U275" s="153">
        <f t="shared" si="2"/>
        <v>19749.960000000079</v>
      </c>
      <c r="V275" s="153">
        <f t="shared" si="2"/>
        <v>-56449.169999999925</v>
      </c>
      <c r="W275" s="153">
        <f t="shared" si="2"/>
        <v>-104717.14000000007</v>
      </c>
      <c r="X275" s="153">
        <f t="shared" si="2"/>
        <v>-310174.45000000024</v>
      </c>
      <c r="Y275" s="153">
        <f t="shared" si="2"/>
        <v>121775.89000000001</v>
      </c>
      <c r="Z275" s="153">
        <f t="shared" si="2"/>
        <v>-53569.889999999898</v>
      </c>
      <c r="AA275" s="153">
        <f t="shared" si="2"/>
        <v>5582.0099999999511</v>
      </c>
      <c r="AB275" s="153">
        <f t="shared" si="2"/>
        <v>33490.429999999935</v>
      </c>
      <c r="AC275" s="153">
        <f t="shared" si="2"/>
        <v>-125922.43999999994</v>
      </c>
      <c r="AD275" s="153">
        <f t="shared" si="2"/>
        <v>-70473.79999999993</v>
      </c>
      <c r="AE275" s="153">
        <f t="shared" si="2"/>
        <v>-93345.030000000057</v>
      </c>
      <c r="AF275" s="153">
        <f t="shared" si="2"/>
        <v>-95890.740000000107</v>
      </c>
      <c r="AG275" s="153">
        <f t="shared" si="2"/>
        <v>87434.619999999821</v>
      </c>
      <c r="AH275" s="153">
        <f t="shared" si="2"/>
        <v>121143.2699999999</v>
      </c>
      <c r="AI275" s="153">
        <f t="shared" si="2"/>
        <v>5744.8899999998976</v>
      </c>
      <c r="AJ275" s="153">
        <f t="shared" si="2"/>
        <v>13708.649999999965</v>
      </c>
      <c r="AK275" s="153">
        <f t="shared" si="2"/>
        <v>-31567.909999999916</v>
      </c>
      <c r="AL275" s="153">
        <f t="shared" si="2"/>
        <v>-2850355.9400000032</v>
      </c>
    </row>
    <row r="276" spans="1:38" x14ac:dyDescent="0.2">
      <c r="C276" s="153">
        <f>C274-C275</f>
        <v>0</v>
      </c>
      <c r="D276" s="153">
        <f t="shared" ref="D276:AL276" si="3">D274-D275</f>
        <v>0</v>
      </c>
      <c r="E276" s="153">
        <f t="shared" si="3"/>
        <v>0</v>
      </c>
      <c r="F276" s="153">
        <f t="shared" si="3"/>
        <v>2.1827872842550278E-10</v>
      </c>
      <c r="G276" s="153">
        <f t="shared" si="3"/>
        <v>0</v>
      </c>
      <c r="H276" s="153">
        <f t="shared" si="3"/>
        <v>0</v>
      </c>
      <c r="I276" s="153">
        <f t="shared" si="3"/>
        <v>8.7311491370201111E-11</v>
      </c>
      <c r="J276" s="153">
        <f t="shared" si="3"/>
        <v>0</v>
      </c>
      <c r="K276" s="153">
        <f t="shared" si="3"/>
        <v>1.1641532182693481E-10</v>
      </c>
      <c r="L276" s="153">
        <f t="shared" si="3"/>
        <v>-1.0186340659856796E-10</v>
      </c>
      <c r="M276" s="153">
        <f t="shared" si="3"/>
        <v>0</v>
      </c>
      <c r="N276" s="153">
        <f t="shared" si="3"/>
        <v>7.2759576141834259E-11</v>
      </c>
      <c r="O276" s="153">
        <f t="shared" si="3"/>
        <v>0</v>
      </c>
      <c r="P276" s="153">
        <f t="shared" si="3"/>
        <v>0</v>
      </c>
      <c r="Q276" s="153">
        <f t="shared" si="3"/>
        <v>0</v>
      </c>
      <c r="R276" s="153">
        <f t="shared" si="3"/>
        <v>3.637978807091713E-11</v>
      </c>
      <c r="S276" s="153">
        <f t="shared" si="3"/>
        <v>0</v>
      </c>
      <c r="T276" s="153">
        <f t="shared" si="3"/>
        <v>0</v>
      </c>
      <c r="U276" s="153">
        <f t="shared" si="3"/>
        <v>-8.0035533756017685E-11</v>
      </c>
      <c r="V276" s="153">
        <f t="shared" si="3"/>
        <v>-7.2759576141834259E-11</v>
      </c>
      <c r="W276" s="153">
        <f t="shared" si="3"/>
        <v>0</v>
      </c>
      <c r="X276" s="153">
        <f t="shared" si="3"/>
        <v>0</v>
      </c>
      <c r="Y276" s="153">
        <f t="shared" si="3"/>
        <v>0</v>
      </c>
      <c r="Z276" s="153">
        <f t="shared" si="3"/>
        <v>-1.0186340659856796E-10</v>
      </c>
      <c r="AA276" s="153">
        <f t="shared" si="3"/>
        <v>4.9112713895738125E-11</v>
      </c>
      <c r="AB276" s="153">
        <f t="shared" si="3"/>
        <v>6.5483618527650833E-11</v>
      </c>
      <c r="AC276" s="153">
        <f t="shared" si="3"/>
        <v>0</v>
      </c>
      <c r="AD276" s="153">
        <f t="shared" si="3"/>
        <v>0</v>
      </c>
      <c r="AE276" s="153">
        <f t="shared" si="3"/>
        <v>0</v>
      </c>
      <c r="AF276" s="153">
        <f t="shared" si="3"/>
        <v>0</v>
      </c>
      <c r="AG276" s="153">
        <f t="shared" si="3"/>
        <v>1.7462298274040222E-10</v>
      </c>
      <c r="AH276" s="153">
        <f t="shared" si="3"/>
        <v>0</v>
      </c>
      <c r="AI276" s="153">
        <f t="shared" si="3"/>
        <v>1.0277290130034089E-10</v>
      </c>
      <c r="AJ276" s="153">
        <f t="shared" si="3"/>
        <v>3.4560798667371273E-11</v>
      </c>
      <c r="AK276" s="153">
        <f t="shared" si="3"/>
        <v>-8.3673512563109398E-11</v>
      </c>
      <c r="AL276" s="153">
        <f t="shared" si="3"/>
        <v>0</v>
      </c>
    </row>
  </sheetData>
  <mergeCells count="4">
    <mergeCell ref="A1:AL1"/>
    <mergeCell ref="A2:AL2"/>
    <mergeCell ref="A3:AL3"/>
    <mergeCell ref="A4:AL4"/>
  </mergeCells>
  <pageMargins left="0.7" right="0.7" top="0.7" bottom="0.7" header="0.5" footer="0.5"/>
  <pageSetup fitToHeight="990" orientation="landscape" useFirstPageNumber="1"/>
  <headerFooter alignWithMargins="0">
    <oddHeader>&amp;R&amp;B&amp;D &amp;T</oddHeader>
    <oddFooter>&amp;C&amp;B Page &amp;P of &amp;N</oddFooter>
  </headerFooter>
  <rowBreaks count="1" manualBreakCount="1">
    <brk id="27" max="16383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L505"/>
  <sheetViews>
    <sheetView workbookViewId="0">
      <pane xSplit="2" ySplit="5" topLeftCell="Q499" activePane="bottomRight" state="frozen"/>
      <selection pane="topRight" activeCell="C1" sqref="C1"/>
      <selection pane="bottomLeft" activeCell="A6" sqref="A6"/>
      <selection pane="bottomRight" activeCell="A500" sqref="A500"/>
    </sheetView>
  </sheetViews>
  <sheetFormatPr defaultColWidth="9.140625" defaultRowHeight="12.75" x14ac:dyDescent="0.2"/>
  <cols>
    <col min="1" max="1" width="11.42578125" style="116" customWidth="1"/>
    <col min="2" max="2" width="37.140625" style="116" customWidth="1"/>
    <col min="3" max="3" width="12.85546875" style="166" customWidth="1"/>
    <col min="4" max="4" width="12.85546875" style="116" customWidth="1"/>
    <col min="5" max="5" width="12.85546875" style="166" customWidth="1"/>
    <col min="6" max="6" width="12.85546875" style="116" customWidth="1"/>
    <col min="7" max="9" width="12.85546875" style="166" customWidth="1"/>
    <col min="10" max="12" width="12.85546875" style="116" customWidth="1"/>
    <col min="13" max="15" width="12.85546875" style="166" customWidth="1"/>
    <col min="16" max="16" width="12.85546875" style="116" customWidth="1"/>
    <col min="17" max="19" width="12.85546875" style="166" customWidth="1"/>
    <col min="20" max="23" width="12.85546875" style="116" customWidth="1"/>
    <col min="24" max="24" width="12.85546875" style="166" customWidth="1"/>
    <col min="25" max="30" width="12.85546875" style="116" customWidth="1"/>
    <col min="31" max="32" width="12.85546875" style="166" customWidth="1"/>
    <col min="33" max="34" width="12.85546875" style="116" customWidth="1"/>
    <col min="35" max="37" width="12.85546875" style="166" customWidth="1"/>
    <col min="38" max="38" width="12.85546875" style="116" customWidth="1"/>
    <col min="39" max="16384" width="9.140625" style="116"/>
  </cols>
  <sheetData>
    <row r="1" spans="1:38" ht="15" customHeight="1" x14ac:dyDescent="0.2">
      <c r="A1" s="172" t="s">
        <v>1378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  <c r="AL1" s="172"/>
    </row>
    <row r="2" spans="1:38" ht="15.75" customHeight="1" x14ac:dyDescent="0.2">
      <c r="A2" s="173" t="s">
        <v>1377</v>
      </c>
      <c r="B2" s="173"/>
      <c r="C2" s="173"/>
      <c r="D2" s="173"/>
      <c r="E2" s="173"/>
      <c r="F2" s="173"/>
      <c r="G2" s="173"/>
      <c r="H2" s="173"/>
      <c r="I2" s="173"/>
      <c r="J2" s="173"/>
      <c r="K2" s="173"/>
      <c r="L2" s="173"/>
      <c r="M2" s="173"/>
      <c r="N2" s="173"/>
      <c r="O2" s="173"/>
      <c r="P2" s="173"/>
      <c r="Q2" s="173"/>
      <c r="R2" s="173"/>
      <c r="S2" s="173"/>
      <c r="T2" s="173"/>
      <c r="U2" s="173"/>
      <c r="V2" s="173"/>
      <c r="W2" s="173"/>
      <c r="X2" s="173"/>
      <c r="Y2" s="173"/>
      <c r="Z2" s="173"/>
      <c r="AA2" s="173"/>
      <c r="AB2" s="173"/>
      <c r="AC2" s="173"/>
      <c r="AD2" s="173"/>
      <c r="AE2" s="173"/>
      <c r="AF2" s="173"/>
      <c r="AG2" s="173"/>
      <c r="AH2" s="173"/>
      <c r="AI2" s="173"/>
      <c r="AJ2" s="173"/>
      <c r="AK2" s="173"/>
      <c r="AL2" s="173"/>
    </row>
    <row r="3" spans="1:38" ht="15" customHeight="1" x14ac:dyDescent="0.2">
      <c r="A3" s="172" t="s">
        <v>1428</v>
      </c>
      <c r="B3" s="172"/>
      <c r="C3" s="172"/>
      <c r="D3" s="172"/>
      <c r="E3" s="172"/>
      <c r="F3" s="172"/>
      <c r="G3" s="172"/>
      <c r="H3" s="172"/>
      <c r="I3" s="172"/>
      <c r="J3" s="172"/>
      <c r="K3" s="172"/>
      <c r="L3" s="172"/>
      <c r="M3" s="172"/>
      <c r="N3" s="172"/>
      <c r="O3" s="172"/>
      <c r="P3" s="172"/>
      <c r="Q3" s="172"/>
      <c r="R3" s="172"/>
      <c r="S3" s="172"/>
      <c r="T3" s="172"/>
      <c r="U3" s="172"/>
      <c r="V3" s="172"/>
      <c r="W3" s="172"/>
      <c r="X3" s="172"/>
      <c r="Y3" s="172"/>
      <c r="Z3" s="172"/>
      <c r="AA3" s="172"/>
      <c r="AB3" s="172"/>
      <c r="AC3" s="172"/>
      <c r="AD3" s="172"/>
      <c r="AE3" s="172"/>
      <c r="AF3" s="172"/>
      <c r="AG3" s="172"/>
      <c r="AH3" s="172"/>
      <c r="AI3" s="172"/>
      <c r="AJ3" s="172"/>
      <c r="AK3" s="172"/>
      <c r="AL3" s="172"/>
    </row>
    <row r="4" spans="1:38" ht="15" customHeight="1" x14ac:dyDescent="0.2">
      <c r="A4" s="172" t="s">
        <v>1376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172"/>
      <c r="AH4" s="172"/>
      <c r="AI4" s="172"/>
      <c r="AJ4" s="172"/>
      <c r="AK4" s="172"/>
      <c r="AL4" s="172"/>
    </row>
    <row r="5" spans="1:38" s="117" customFormat="1" ht="15" customHeight="1" x14ac:dyDescent="0.2">
      <c r="A5" s="118"/>
      <c r="B5" s="119"/>
      <c r="C5" s="160" t="s">
        <v>937</v>
      </c>
      <c r="D5" s="118" t="s">
        <v>936</v>
      </c>
      <c r="E5" s="160" t="s">
        <v>935</v>
      </c>
      <c r="F5" s="118" t="s">
        <v>934</v>
      </c>
      <c r="G5" s="160" t="s">
        <v>933</v>
      </c>
      <c r="H5" s="160" t="s">
        <v>932</v>
      </c>
      <c r="I5" s="160" t="s">
        <v>931</v>
      </c>
      <c r="J5" s="118" t="s">
        <v>930</v>
      </c>
      <c r="K5" s="118" t="s">
        <v>929</v>
      </c>
      <c r="L5" s="118" t="s">
        <v>928</v>
      </c>
      <c r="M5" s="160" t="s">
        <v>927</v>
      </c>
      <c r="N5" s="160" t="s">
        <v>926</v>
      </c>
      <c r="O5" s="160" t="s">
        <v>925</v>
      </c>
      <c r="P5" s="118" t="s">
        <v>924</v>
      </c>
      <c r="Q5" s="160" t="s">
        <v>923</v>
      </c>
      <c r="R5" s="160" t="s">
        <v>922</v>
      </c>
      <c r="S5" s="160" t="s">
        <v>921</v>
      </c>
      <c r="T5" s="118" t="s">
        <v>920</v>
      </c>
      <c r="U5" s="118" t="s">
        <v>919</v>
      </c>
      <c r="V5" s="118" t="s">
        <v>918</v>
      </c>
      <c r="W5" s="118" t="s">
        <v>917</v>
      </c>
      <c r="X5" s="160" t="s">
        <v>916</v>
      </c>
      <c r="Y5" s="118" t="s">
        <v>915</v>
      </c>
      <c r="Z5" s="118" t="s">
        <v>914</v>
      </c>
      <c r="AA5" s="118" t="s">
        <v>913</v>
      </c>
      <c r="AB5" s="118" t="s">
        <v>912</v>
      </c>
      <c r="AC5" s="118" t="s">
        <v>911</v>
      </c>
      <c r="AD5" s="118" t="s">
        <v>910</v>
      </c>
      <c r="AE5" s="160" t="s">
        <v>909</v>
      </c>
      <c r="AF5" s="160" t="s">
        <v>908</v>
      </c>
      <c r="AG5" s="118" t="s">
        <v>907</v>
      </c>
      <c r="AH5" s="118" t="s">
        <v>906</v>
      </c>
      <c r="AI5" s="160" t="s">
        <v>905</v>
      </c>
      <c r="AJ5" s="160" t="s">
        <v>904</v>
      </c>
      <c r="AK5" s="160" t="s">
        <v>903</v>
      </c>
      <c r="AL5" s="118" t="s">
        <v>1044</v>
      </c>
    </row>
    <row r="6" spans="1:38" s="117" customFormat="1" ht="15" customHeight="1" x14ac:dyDescent="0.2">
      <c r="A6" s="120" t="s">
        <v>106</v>
      </c>
      <c r="B6" s="121" t="s">
        <v>107</v>
      </c>
      <c r="C6" s="156">
        <v>339565.14</v>
      </c>
      <c r="D6" s="122">
        <v>253313.36</v>
      </c>
      <c r="E6" s="156">
        <v>378228.31</v>
      </c>
      <c r="F6" s="122">
        <v>303610.19</v>
      </c>
      <c r="G6" s="156">
        <v>731780.48</v>
      </c>
      <c r="H6" s="156">
        <v>344059.44</v>
      </c>
      <c r="I6" s="156">
        <v>198574.5</v>
      </c>
      <c r="J6" s="122">
        <v>197852.06</v>
      </c>
      <c r="K6" s="122">
        <v>277364.96000000002</v>
      </c>
      <c r="L6" s="122">
        <v>414838.52</v>
      </c>
      <c r="M6" s="156">
        <v>254462.9</v>
      </c>
      <c r="N6" s="156">
        <v>265678.53999999998</v>
      </c>
      <c r="O6" s="156">
        <v>356158.19</v>
      </c>
      <c r="P6" s="122">
        <v>132634.62</v>
      </c>
      <c r="Q6" s="156">
        <v>547621.30000000005</v>
      </c>
      <c r="R6" s="156">
        <v>372638.4</v>
      </c>
      <c r="S6" s="156">
        <v>122643.76</v>
      </c>
      <c r="T6" s="122">
        <v>124684.76</v>
      </c>
      <c r="U6" s="122">
        <v>453941.04</v>
      </c>
      <c r="V6" s="122">
        <v>307931.25</v>
      </c>
      <c r="W6" s="122">
        <v>374926.51</v>
      </c>
      <c r="X6" s="156">
        <v>312138.68</v>
      </c>
      <c r="Y6" s="122">
        <v>668495.11</v>
      </c>
      <c r="Z6" s="122">
        <v>101849.60000000001</v>
      </c>
      <c r="AA6" s="122">
        <v>365742.75</v>
      </c>
      <c r="AB6" s="122">
        <v>311171.08</v>
      </c>
      <c r="AC6" s="122">
        <v>99582.18</v>
      </c>
      <c r="AD6" s="122">
        <v>480272.08</v>
      </c>
      <c r="AE6" s="156">
        <v>148505.32</v>
      </c>
      <c r="AF6" s="156">
        <v>153113.01</v>
      </c>
      <c r="AG6" s="122">
        <v>327882.63</v>
      </c>
      <c r="AH6" s="122">
        <v>509137.42</v>
      </c>
      <c r="AI6" s="156">
        <v>421095.98</v>
      </c>
      <c r="AJ6" s="156">
        <v>279641.84999999998</v>
      </c>
      <c r="AK6" s="156">
        <v>241752.95</v>
      </c>
      <c r="AL6" s="122">
        <v>11172888.869999999</v>
      </c>
    </row>
    <row r="7" spans="1:38" s="117" customFormat="1" ht="15" customHeight="1" x14ac:dyDescent="0.2">
      <c r="A7" s="123" t="s">
        <v>108</v>
      </c>
      <c r="B7" s="124" t="s">
        <v>109</v>
      </c>
      <c r="C7" s="157">
        <v>300</v>
      </c>
      <c r="D7" s="125">
        <v>300</v>
      </c>
      <c r="E7" s="157">
        <v>300</v>
      </c>
      <c r="F7" s="125">
        <v>300</v>
      </c>
      <c r="G7" s="157">
        <v>500</v>
      </c>
      <c r="H7" s="157">
        <v>300</v>
      </c>
      <c r="I7" s="157">
        <v>300</v>
      </c>
      <c r="J7" s="125">
        <v>300</v>
      </c>
      <c r="K7" s="125">
        <v>300</v>
      </c>
      <c r="L7" s="125">
        <v>300</v>
      </c>
      <c r="M7" s="157">
        <v>300</v>
      </c>
      <c r="N7" s="157">
        <v>300</v>
      </c>
      <c r="O7" s="157">
        <v>300</v>
      </c>
      <c r="P7" s="125">
        <v>300</v>
      </c>
      <c r="Q7" s="157">
        <v>300</v>
      </c>
      <c r="R7" s="157">
        <v>300</v>
      </c>
      <c r="S7" s="157">
        <v>300</v>
      </c>
      <c r="T7" s="125">
        <v>500</v>
      </c>
      <c r="U7" s="125">
        <v>300</v>
      </c>
      <c r="V7" s="125">
        <v>300</v>
      </c>
      <c r="W7" s="125">
        <v>300</v>
      </c>
      <c r="X7" s="157">
        <v>300</v>
      </c>
      <c r="Y7" s="125">
        <v>299.95999999999998</v>
      </c>
      <c r="Z7" s="125">
        <v>300</v>
      </c>
      <c r="AA7" s="125">
        <v>300</v>
      </c>
      <c r="AB7" s="125">
        <v>500</v>
      </c>
      <c r="AC7" s="125">
        <v>300</v>
      </c>
      <c r="AD7" s="125">
        <v>300</v>
      </c>
      <c r="AE7" s="157">
        <v>300</v>
      </c>
      <c r="AF7" s="157">
        <v>300</v>
      </c>
      <c r="AG7" s="125">
        <v>300</v>
      </c>
      <c r="AH7" s="125">
        <v>500</v>
      </c>
      <c r="AI7" s="157">
        <v>300</v>
      </c>
      <c r="AJ7" s="157">
        <v>300</v>
      </c>
      <c r="AK7" s="157">
        <v>300</v>
      </c>
      <c r="AL7" s="125">
        <v>11299.96</v>
      </c>
    </row>
    <row r="8" spans="1:38" s="117" customFormat="1" ht="15" customHeight="1" x14ac:dyDescent="0.2">
      <c r="A8" s="123" t="s">
        <v>110</v>
      </c>
      <c r="B8" s="124" t="s">
        <v>111</v>
      </c>
      <c r="C8" s="157">
        <v>57531.38</v>
      </c>
      <c r="D8" s="125">
        <v>55425.87</v>
      </c>
      <c r="E8" s="157">
        <v>59262.66</v>
      </c>
      <c r="F8" s="125">
        <v>51095.74</v>
      </c>
      <c r="G8" s="157">
        <v>67498.740000000005</v>
      </c>
      <c r="H8" s="157">
        <v>50647.56</v>
      </c>
      <c r="I8" s="157">
        <v>47705.26</v>
      </c>
      <c r="J8" s="125">
        <v>36484.22</v>
      </c>
      <c r="K8" s="125">
        <v>48033.15</v>
      </c>
      <c r="L8" s="125">
        <v>66079.92</v>
      </c>
      <c r="M8" s="157">
        <v>38084.67</v>
      </c>
      <c r="N8" s="157">
        <v>57559.41</v>
      </c>
      <c r="O8" s="157">
        <v>64091.28</v>
      </c>
      <c r="P8" s="125">
        <v>41526.86</v>
      </c>
      <c r="Q8" s="157">
        <v>83600</v>
      </c>
      <c r="R8" s="157">
        <v>60873.16</v>
      </c>
      <c r="S8" s="157">
        <v>33102.239999999998</v>
      </c>
      <c r="T8" s="125">
        <v>51102.45</v>
      </c>
      <c r="U8" s="125">
        <v>82709.62</v>
      </c>
      <c r="V8" s="125">
        <v>51563.31</v>
      </c>
      <c r="W8" s="125">
        <v>59576.32</v>
      </c>
      <c r="X8" s="157">
        <v>65635.73</v>
      </c>
      <c r="Y8" s="125">
        <v>37088.269999999997</v>
      </c>
      <c r="Z8" s="125">
        <v>35717.949999999997</v>
      </c>
      <c r="AA8" s="125">
        <v>65756.820000000007</v>
      </c>
      <c r="AB8" s="125">
        <v>46907.96</v>
      </c>
      <c r="AC8" s="125">
        <v>71215.23</v>
      </c>
      <c r="AD8" s="125">
        <v>42568.639999999999</v>
      </c>
      <c r="AE8" s="157">
        <v>41784.39</v>
      </c>
      <c r="AF8" s="157">
        <v>45791.89</v>
      </c>
      <c r="AG8" s="125">
        <v>65089.66</v>
      </c>
      <c r="AH8" s="125">
        <v>40840.68</v>
      </c>
      <c r="AI8" s="157">
        <v>61883.51</v>
      </c>
      <c r="AJ8" s="157">
        <v>58912.84</v>
      </c>
      <c r="AK8" s="157">
        <v>50758.94</v>
      </c>
      <c r="AL8" s="125">
        <v>1893506.33</v>
      </c>
    </row>
    <row r="9" spans="1:38" s="117" customFormat="1" ht="15" customHeight="1" x14ac:dyDescent="0.2">
      <c r="A9" s="123" t="s">
        <v>1429</v>
      </c>
      <c r="B9" s="124" t="s">
        <v>1430</v>
      </c>
      <c r="C9" s="157">
        <v>0</v>
      </c>
      <c r="D9" s="125">
        <v>60.04</v>
      </c>
      <c r="E9" s="157">
        <v>0</v>
      </c>
      <c r="F9" s="125">
        <v>0</v>
      </c>
      <c r="G9" s="157">
        <v>0</v>
      </c>
      <c r="H9" s="157">
        <v>0</v>
      </c>
      <c r="I9" s="157">
        <v>0</v>
      </c>
      <c r="J9" s="125">
        <v>0</v>
      </c>
      <c r="K9" s="125">
        <v>60.04</v>
      </c>
      <c r="L9" s="125">
        <v>0</v>
      </c>
      <c r="M9" s="157">
        <v>60.04</v>
      </c>
      <c r="N9" s="157">
        <v>0</v>
      </c>
      <c r="O9" s="157">
        <v>0</v>
      </c>
      <c r="P9" s="125">
        <v>60.04</v>
      </c>
      <c r="Q9" s="157">
        <v>0</v>
      </c>
      <c r="R9" s="157">
        <v>0</v>
      </c>
      <c r="S9" s="157">
        <v>60.04</v>
      </c>
      <c r="T9" s="125">
        <v>60.04</v>
      </c>
      <c r="U9" s="125">
        <v>0</v>
      </c>
      <c r="V9" s="125">
        <v>0</v>
      </c>
      <c r="W9" s="125">
        <v>0</v>
      </c>
      <c r="X9" s="157">
        <v>0</v>
      </c>
      <c r="Y9" s="125">
        <v>0</v>
      </c>
      <c r="Z9" s="125">
        <v>60.04</v>
      </c>
      <c r="AA9" s="125">
        <v>0</v>
      </c>
      <c r="AB9" s="125">
        <v>0</v>
      </c>
      <c r="AC9" s="125">
        <v>0</v>
      </c>
      <c r="AD9" s="125">
        <v>0</v>
      </c>
      <c r="AE9" s="157">
        <v>0</v>
      </c>
      <c r="AF9" s="157">
        <v>0</v>
      </c>
      <c r="AG9" s="125">
        <v>0</v>
      </c>
      <c r="AH9" s="125">
        <v>0</v>
      </c>
      <c r="AI9" s="157">
        <v>0</v>
      </c>
      <c r="AJ9" s="157">
        <v>0</v>
      </c>
      <c r="AK9" s="157">
        <v>0</v>
      </c>
      <c r="AL9" s="125">
        <v>420.28</v>
      </c>
    </row>
    <row r="10" spans="1:38" s="117" customFormat="1" ht="15" customHeight="1" x14ac:dyDescent="0.2">
      <c r="A10" s="123" t="s">
        <v>112</v>
      </c>
      <c r="B10" s="124" t="s">
        <v>113</v>
      </c>
      <c r="C10" s="157">
        <v>32</v>
      </c>
      <c r="D10" s="125">
        <v>2879.1</v>
      </c>
      <c r="E10" s="157">
        <v>22.4</v>
      </c>
      <c r="F10" s="125">
        <v>226.22</v>
      </c>
      <c r="G10" s="157">
        <v>0</v>
      </c>
      <c r="H10" s="157">
        <v>1768.2</v>
      </c>
      <c r="I10" s="157">
        <v>35.75</v>
      </c>
      <c r="J10" s="125">
        <v>0</v>
      </c>
      <c r="K10" s="125">
        <v>0</v>
      </c>
      <c r="L10" s="125">
        <v>1182.2</v>
      </c>
      <c r="M10" s="157">
        <v>892.48</v>
      </c>
      <c r="N10" s="157">
        <v>275.5</v>
      </c>
      <c r="O10" s="157">
        <v>1169.71</v>
      </c>
      <c r="P10" s="125">
        <v>1290.4000000000001</v>
      </c>
      <c r="Q10" s="157">
        <v>39839.22</v>
      </c>
      <c r="R10" s="157">
        <v>818.88</v>
      </c>
      <c r="S10" s="157">
        <v>0</v>
      </c>
      <c r="T10" s="125">
        <v>5351.55</v>
      </c>
      <c r="U10" s="125">
        <v>7244.16</v>
      </c>
      <c r="V10" s="125">
        <v>69.87</v>
      </c>
      <c r="W10" s="125">
        <v>8098.32</v>
      </c>
      <c r="X10" s="157">
        <v>6044.87</v>
      </c>
      <c r="Y10" s="125">
        <v>14464.87</v>
      </c>
      <c r="Z10" s="125">
        <v>6249</v>
      </c>
      <c r="AA10" s="125">
        <v>1371.15</v>
      </c>
      <c r="AB10" s="125">
        <v>5982.12</v>
      </c>
      <c r="AC10" s="125">
        <v>11610.97</v>
      </c>
      <c r="AD10" s="125">
        <v>10774.21</v>
      </c>
      <c r="AE10" s="157">
        <v>401.81</v>
      </c>
      <c r="AF10" s="157">
        <v>1402.91</v>
      </c>
      <c r="AG10" s="125">
        <v>3036.99</v>
      </c>
      <c r="AH10" s="125">
        <v>6002.99</v>
      </c>
      <c r="AI10" s="157">
        <v>65.84</v>
      </c>
      <c r="AJ10" s="157">
        <v>1670.03</v>
      </c>
      <c r="AK10" s="157">
        <v>0</v>
      </c>
      <c r="AL10" s="125">
        <v>140273.72</v>
      </c>
    </row>
    <row r="11" spans="1:38" s="117" customFormat="1" ht="15" customHeight="1" x14ac:dyDescent="0.2">
      <c r="A11" s="123" t="s">
        <v>114</v>
      </c>
      <c r="B11" s="124" t="s">
        <v>115</v>
      </c>
      <c r="C11" s="157">
        <v>0</v>
      </c>
      <c r="D11" s="125">
        <v>0.33</v>
      </c>
      <c r="E11" s="157">
        <v>0</v>
      </c>
      <c r="F11" s="125">
        <v>0</v>
      </c>
      <c r="G11" s="157">
        <v>179438</v>
      </c>
      <c r="H11" s="157">
        <v>0</v>
      </c>
      <c r="I11" s="157">
        <v>0</v>
      </c>
      <c r="J11" s="125">
        <v>0</v>
      </c>
      <c r="K11" s="125">
        <v>0</v>
      </c>
      <c r="L11" s="125">
        <v>364.42</v>
      </c>
      <c r="M11" s="157">
        <v>0</v>
      </c>
      <c r="N11" s="157">
        <v>184</v>
      </c>
      <c r="O11" s="157">
        <v>0</v>
      </c>
      <c r="P11" s="125">
        <v>0</v>
      </c>
      <c r="Q11" s="157">
        <v>20966</v>
      </c>
      <c r="R11" s="157">
        <v>0</v>
      </c>
      <c r="S11" s="157">
        <v>0</v>
      </c>
      <c r="T11" s="125">
        <v>3646.63</v>
      </c>
      <c r="U11" s="125">
        <v>23.1</v>
      </c>
      <c r="V11" s="125">
        <v>0</v>
      </c>
      <c r="W11" s="125">
        <v>0</v>
      </c>
      <c r="X11" s="157">
        <v>1360.19</v>
      </c>
      <c r="Y11" s="125">
        <v>0</v>
      </c>
      <c r="Z11" s="125">
        <v>7968</v>
      </c>
      <c r="AA11" s="125">
        <v>1</v>
      </c>
      <c r="AB11" s="125">
        <v>0</v>
      </c>
      <c r="AC11" s="125">
        <v>0</v>
      </c>
      <c r="AD11" s="125">
        <v>1512</v>
      </c>
      <c r="AE11" s="157">
        <v>1199.23</v>
      </c>
      <c r="AF11" s="157">
        <v>2266.88</v>
      </c>
      <c r="AG11" s="125">
        <v>2956.74</v>
      </c>
      <c r="AH11" s="125">
        <v>0</v>
      </c>
      <c r="AI11" s="157">
        <v>1630</v>
      </c>
      <c r="AJ11" s="157">
        <v>0</v>
      </c>
      <c r="AK11" s="157">
        <v>0</v>
      </c>
      <c r="AL11" s="125">
        <v>223516.52</v>
      </c>
    </row>
    <row r="12" spans="1:38" s="117" customFormat="1" ht="15" customHeight="1" x14ac:dyDescent="0.2">
      <c r="A12" s="123" t="s">
        <v>116</v>
      </c>
      <c r="B12" s="124" t="s">
        <v>117</v>
      </c>
      <c r="C12" s="157">
        <v>0</v>
      </c>
      <c r="D12" s="125">
        <v>0</v>
      </c>
      <c r="E12" s="157">
        <v>0</v>
      </c>
      <c r="F12" s="125">
        <v>0</v>
      </c>
      <c r="G12" s="157">
        <v>0</v>
      </c>
      <c r="H12" s="157">
        <v>0</v>
      </c>
      <c r="I12" s="157">
        <v>0</v>
      </c>
      <c r="J12" s="125">
        <v>0</v>
      </c>
      <c r="K12" s="125">
        <v>0</v>
      </c>
      <c r="L12" s="125">
        <v>0</v>
      </c>
      <c r="M12" s="157">
        <v>0</v>
      </c>
      <c r="N12" s="157">
        <v>0</v>
      </c>
      <c r="O12" s="157">
        <v>0</v>
      </c>
      <c r="P12" s="125">
        <v>0</v>
      </c>
      <c r="Q12" s="157">
        <v>-8922.0400000000009</v>
      </c>
      <c r="R12" s="157">
        <v>0</v>
      </c>
      <c r="S12" s="157">
        <v>0</v>
      </c>
      <c r="T12" s="125">
        <v>0</v>
      </c>
      <c r="U12" s="125">
        <v>0</v>
      </c>
      <c r="V12" s="125">
        <v>0</v>
      </c>
      <c r="W12" s="125">
        <v>0</v>
      </c>
      <c r="X12" s="157">
        <v>0</v>
      </c>
      <c r="Y12" s="125">
        <v>0</v>
      </c>
      <c r="Z12" s="125">
        <v>-1235.6400000000001</v>
      </c>
      <c r="AA12" s="125">
        <v>0</v>
      </c>
      <c r="AB12" s="125">
        <v>0</v>
      </c>
      <c r="AC12" s="125">
        <v>0</v>
      </c>
      <c r="AD12" s="125">
        <v>0</v>
      </c>
      <c r="AE12" s="157">
        <v>0</v>
      </c>
      <c r="AF12" s="157">
        <v>0</v>
      </c>
      <c r="AG12" s="125">
        <v>0</v>
      </c>
      <c r="AH12" s="125">
        <v>0</v>
      </c>
      <c r="AI12" s="157">
        <v>0</v>
      </c>
      <c r="AJ12" s="157">
        <v>0</v>
      </c>
      <c r="AK12" s="157">
        <v>0</v>
      </c>
      <c r="AL12" s="125">
        <v>-10157.68</v>
      </c>
    </row>
    <row r="13" spans="1:38" s="117" customFormat="1" ht="15" customHeight="1" x14ac:dyDescent="0.2">
      <c r="A13" s="123" t="s">
        <v>430</v>
      </c>
      <c r="B13" s="124" t="s">
        <v>431</v>
      </c>
      <c r="C13" s="157">
        <v>0</v>
      </c>
      <c r="D13" s="125">
        <v>0</v>
      </c>
      <c r="E13" s="157">
        <v>0</v>
      </c>
      <c r="F13" s="125">
        <v>0</v>
      </c>
      <c r="G13" s="157">
        <v>91858</v>
      </c>
      <c r="H13" s="157">
        <v>0</v>
      </c>
      <c r="I13" s="157">
        <v>0</v>
      </c>
      <c r="J13" s="125">
        <v>0</v>
      </c>
      <c r="K13" s="125">
        <v>0</v>
      </c>
      <c r="L13" s="125">
        <v>0</v>
      </c>
      <c r="M13" s="157">
        <v>4969</v>
      </c>
      <c r="N13" s="157">
        <v>0</v>
      </c>
      <c r="O13" s="157">
        <v>0</v>
      </c>
      <c r="P13" s="125">
        <v>0</v>
      </c>
      <c r="Q13" s="157">
        <v>0</v>
      </c>
      <c r="R13" s="157">
        <v>0</v>
      </c>
      <c r="S13" s="157">
        <v>0</v>
      </c>
      <c r="T13" s="125">
        <v>0</v>
      </c>
      <c r="U13" s="125">
        <v>0</v>
      </c>
      <c r="V13" s="125">
        <v>0</v>
      </c>
      <c r="W13" s="125">
        <v>0</v>
      </c>
      <c r="X13" s="157">
        <v>0</v>
      </c>
      <c r="Y13" s="125">
        <v>807</v>
      </c>
      <c r="Z13" s="125">
        <v>0</v>
      </c>
      <c r="AA13" s="125">
        <v>0</v>
      </c>
      <c r="AB13" s="125">
        <v>0</v>
      </c>
      <c r="AC13" s="125">
        <v>0</v>
      </c>
      <c r="AD13" s="125">
        <v>0</v>
      </c>
      <c r="AE13" s="157">
        <v>0</v>
      </c>
      <c r="AF13" s="157">
        <v>0</v>
      </c>
      <c r="AG13" s="125">
        <v>0</v>
      </c>
      <c r="AH13" s="125">
        <v>0</v>
      </c>
      <c r="AI13" s="157">
        <v>0</v>
      </c>
      <c r="AJ13" s="157">
        <v>0</v>
      </c>
      <c r="AK13" s="157">
        <v>0</v>
      </c>
      <c r="AL13" s="125">
        <v>97634</v>
      </c>
    </row>
    <row r="14" spans="1:38" s="117" customFormat="1" ht="15" customHeight="1" x14ac:dyDescent="0.2">
      <c r="A14" s="123" t="s">
        <v>432</v>
      </c>
      <c r="B14" s="124" t="s">
        <v>433</v>
      </c>
      <c r="C14" s="157">
        <v>0</v>
      </c>
      <c r="D14" s="125">
        <v>0</v>
      </c>
      <c r="E14" s="157">
        <v>0</v>
      </c>
      <c r="F14" s="125">
        <v>0</v>
      </c>
      <c r="G14" s="157">
        <v>0</v>
      </c>
      <c r="H14" s="157">
        <v>0</v>
      </c>
      <c r="I14" s="157">
        <v>0</v>
      </c>
      <c r="J14" s="125">
        <v>0</v>
      </c>
      <c r="K14" s="125">
        <v>0</v>
      </c>
      <c r="L14" s="125">
        <v>0</v>
      </c>
      <c r="M14" s="157">
        <v>0</v>
      </c>
      <c r="N14" s="157">
        <v>0</v>
      </c>
      <c r="O14" s="157">
        <v>0</v>
      </c>
      <c r="P14" s="125">
        <v>0</v>
      </c>
      <c r="Q14" s="157">
        <v>0</v>
      </c>
      <c r="R14" s="157">
        <v>0</v>
      </c>
      <c r="S14" s="157">
        <v>0</v>
      </c>
      <c r="T14" s="125">
        <v>0</v>
      </c>
      <c r="U14" s="125">
        <v>0</v>
      </c>
      <c r="V14" s="125">
        <v>0</v>
      </c>
      <c r="W14" s="125">
        <v>0</v>
      </c>
      <c r="X14" s="157">
        <v>0</v>
      </c>
      <c r="Y14" s="125">
        <v>1956</v>
      </c>
      <c r="Z14" s="125">
        <v>0</v>
      </c>
      <c r="AA14" s="125">
        <v>0</v>
      </c>
      <c r="AB14" s="125">
        <v>0</v>
      </c>
      <c r="AC14" s="125">
        <v>0</v>
      </c>
      <c r="AD14" s="125">
        <v>6765</v>
      </c>
      <c r="AE14" s="157">
        <v>0</v>
      </c>
      <c r="AF14" s="157">
        <v>0</v>
      </c>
      <c r="AG14" s="125">
        <v>0</v>
      </c>
      <c r="AH14" s="125">
        <v>0</v>
      </c>
      <c r="AI14" s="157">
        <v>0</v>
      </c>
      <c r="AJ14" s="157">
        <v>0</v>
      </c>
      <c r="AK14" s="157">
        <v>0</v>
      </c>
      <c r="AL14" s="125">
        <v>8721</v>
      </c>
    </row>
    <row r="15" spans="1:38" s="117" customFormat="1" ht="15" customHeight="1" x14ac:dyDescent="0.2">
      <c r="A15" s="123" t="s">
        <v>118</v>
      </c>
      <c r="B15" s="124" t="s">
        <v>119</v>
      </c>
      <c r="C15" s="157">
        <v>0</v>
      </c>
      <c r="D15" s="125">
        <v>0</v>
      </c>
      <c r="E15" s="157">
        <v>0</v>
      </c>
      <c r="F15" s="125">
        <v>3409.5</v>
      </c>
      <c r="G15" s="157">
        <v>0</v>
      </c>
      <c r="H15" s="157">
        <v>958</v>
      </c>
      <c r="I15" s="157">
        <v>0</v>
      </c>
      <c r="J15" s="125">
        <v>3291.58</v>
      </c>
      <c r="K15" s="125">
        <v>0</v>
      </c>
      <c r="L15" s="125">
        <v>3444.36</v>
      </c>
      <c r="M15" s="157">
        <v>0</v>
      </c>
      <c r="N15" s="157">
        <v>6306.37</v>
      </c>
      <c r="O15" s="157">
        <v>0</v>
      </c>
      <c r="P15" s="125">
        <v>0</v>
      </c>
      <c r="Q15" s="157">
        <v>297.58</v>
      </c>
      <c r="R15" s="157">
        <v>0</v>
      </c>
      <c r="S15" s="157">
        <v>0</v>
      </c>
      <c r="T15" s="125">
        <v>4971.18</v>
      </c>
      <c r="U15" s="125">
        <v>4788.78</v>
      </c>
      <c r="V15" s="125">
        <v>0</v>
      </c>
      <c r="W15" s="125">
        <v>3767.43</v>
      </c>
      <c r="X15" s="157">
        <v>0</v>
      </c>
      <c r="Y15" s="125">
        <v>0</v>
      </c>
      <c r="Z15" s="125">
        <v>3469.7</v>
      </c>
      <c r="AA15" s="125">
        <v>3565.95</v>
      </c>
      <c r="AB15" s="125">
        <v>4217.91</v>
      </c>
      <c r="AC15" s="125">
        <v>3968.5</v>
      </c>
      <c r="AD15" s="125">
        <v>4067</v>
      </c>
      <c r="AE15" s="157">
        <v>2650.5</v>
      </c>
      <c r="AF15" s="157">
        <v>2965</v>
      </c>
      <c r="AG15" s="125">
        <v>15729.69</v>
      </c>
      <c r="AH15" s="125">
        <v>2701.23</v>
      </c>
      <c r="AI15" s="157">
        <v>4791</v>
      </c>
      <c r="AJ15" s="157">
        <v>3415.02</v>
      </c>
      <c r="AK15" s="157">
        <v>2971</v>
      </c>
      <c r="AL15" s="125">
        <v>85747.28</v>
      </c>
    </row>
    <row r="16" spans="1:38" s="117" customFormat="1" ht="15" customHeight="1" x14ac:dyDescent="0.2">
      <c r="A16" s="123" t="s">
        <v>592</v>
      </c>
      <c r="B16" s="124" t="s">
        <v>591</v>
      </c>
      <c r="C16" s="157">
        <v>0</v>
      </c>
      <c r="D16" s="125">
        <v>0</v>
      </c>
      <c r="E16" s="157">
        <v>0</v>
      </c>
      <c r="F16" s="125">
        <v>0</v>
      </c>
      <c r="G16" s="157">
        <v>0</v>
      </c>
      <c r="H16" s="157">
        <v>0</v>
      </c>
      <c r="I16" s="157">
        <v>0</v>
      </c>
      <c r="J16" s="125">
        <v>0</v>
      </c>
      <c r="K16" s="125">
        <v>0</v>
      </c>
      <c r="L16" s="125">
        <v>0</v>
      </c>
      <c r="M16" s="157">
        <v>0</v>
      </c>
      <c r="N16" s="157">
        <v>0</v>
      </c>
      <c r="O16" s="157">
        <v>0</v>
      </c>
      <c r="P16" s="125">
        <v>14113.19</v>
      </c>
      <c r="Q16" s="157">
        <v>0</v>
      </c>
      <c r="R16" s="157">
        <v>0</v>
      </c>
      <c r="S16" s="157">
        <v>0</v>
      </c>
      <c r="T16" s="125">
        <v>0</v>
      </c>
      <c r="U16" s="125">
        <v>0</v>
      </c>
      <c r="V16" s="125">
        <v>14749.13</v>
      </c>
      <c r="W16" s="125">
        <v>0</v>
      </c>
      <c r="X16" s="157">
        <v>0</v>
      </c>
      <c r="Y16" s="125">
        <v>11573.41</v>
      </c>
      <c r="Z16" s="125">
        <v>0</v>
      </c>
      <c r="AA16" s="125">
        <v>0</v>
      </c>
      <c r="AB16" s="125">
        <v>0</v>
      </c>
      <c r="AC16" s="125">
        <v>0</v>
      </c>
      <c r="AD16" s="125">
        <v>0</v>
      </c>
      <c r="AE16" s="157">
        <v>0</v>
      </c>
      <c r="AF16" s="157">
        <v>0</v>
      </c>
      <c r="AG16" s="125">
        <v>0</v>
      </c>
      <c r="AH16" s="125">
        <v>0</v>
      </c>
      <c r="AI16" s="157">
        <v>0</v>
      </c>
      <c r="AJ16" s="157">
        <v>0</v>
      </c>
      <c r="AK16" s="157">
        <v>0</v>
      </c>
      <c r="AL16" s="125">
        <v>40435.730000000003</v>
      </c>
    </row>
    <row r="17" spans="1:38" s="117" customFormat="1" ht="15" customHeight="1" x14ac:dyDescent="0.2">
      <c r="A17" s="123" t="s">
        <v>120</v>
      </c>
      <c r="B17" s="124" t="s">
        <v>121</v>
      </c>
      <c r="C17" s="157">
        <v>0</v>
      </c>
      <c r="D17" s="125">
        <v>-273.87</v>
      </c>
      <c r="E17" s="157">
        <v>0</v>
      </c>
      <c r="F17" s="125">
        <v>0</v>
      </c>
      <c r="G17" s="157">
        <v>-2914.74</v>
      </c>
      <c r="H17" s="157">
        <v>-577</v>
      </c>
      <c r="I17" s="157">
        <v>0</v>
      </c>
      <c r="J17" s="125">
        <v>0</v>
      </c>
      <c r="K17" s="125">
        <v>0</v>
      </c>
      <c r="L17" s="125">
        <v>-4</v>
      </c>
      <c r="M17" s="157">
        <v>0</v>
      </c>
      <c r="N17" s="157">
        <v>-11.5</v>
      </c>
      <c r="O17" s="157">
        <v>-984.71</v>
      </c>
      <c r="P17" s="125">
        <v>0</v>
      </c>
      <c r="Q17" s="157">
        <v>-14917.43</v>
      </c>
      <c r="R17" s="157">
        <v>0</v>
      </c>
      <c r="S17" s="157">
        <v>0</v>
      </c>
      <c r="T17" s="125">
        <v>-280.95</v>
      </c>
      <c r="U17" s="125">
        <v>-467.81</v>
      </c>
      <c r="V17" s="125">
        <v>-29.75</v>
      </c>
      <c r="W17" s="125">
        <v>0</v>
      </c>
      <c r="X17" s="157">
        <v>0</v>
      </c>
      <c r="Y17" s="125">
        <v>-8758.35</v>
      </c>
      <c r="Z17" s="125">
        <v>0</v>
      </c>
      <c r="AA17" s="125">
        <v>-697</v>
      </c>
      <c r="AB17" s="125">
        <v>-854.3</v>
      </c>
      <c r="AC17" s="125">
        <v>0</v>
      </c>
      <c r="AD17" s="125">
        <v>-1752.16</v>
      </c>
      <c r="AE17" s="157">
        <v>0</v>
      </c>
      <c r="AF17" s="157">
        <v>0</v>
      </c>
      <c r="AG17" s="125">
        <v>0</v>
      </c>
      <c r="AH17" s="125">
        <v>-2747.88</v>
      </c>
      <c r="AI17" s="157">
        <v>0</v>
      </c>
      <c r="AJ17" s="157">
        <v>-958.4</v>
      </c>
      <c r="AK17" s="157">
        <v>-31</v>
      </c>
      <c r="AL17" s="125">
        <v>-36260.85</v>
      </c>
    </row>
    <row r="18" spans="1:38" s="117" customFormat="1" ht="15" customHeight="1" x14ac:dyDescent="0.2">
      <c r="A18" s="123" t="s">
        <v>122</v>
      </c>
      <c r="B18" s="124" t="s">
        <v>123</v>
      </c>
      <c r="C18" s="157">
        <v>11812.82</v>
      </c>
      <c r="D18" s="125">
        <v>14225.82</v>
      </c>
      <c r="E18" s="157">
        <v>11466.73</v>
      </c>
      <c r="F18" s="125">
        <v>10783.72</v>
      </c>
      <c r="G18" s="157">
        <v>22294.07</v>
      </c>
      <c r="H18" s="157">
        <v>13654.07</v>
      </c>
      <c r="I18" s="157">
        <v>9622.42</v>
      </c>
      <c r="J18" s="125">
        <v>11851.55</v>
      </c>
      <c r="K18" s="125">
        <v>13724.21</v>
      </c>
      <c r="L18" s="125">
        <v>11466.76</v>
      </c>
      <c r="M18" s="157">
        <v>9476.08</v>
      </c>
      <c r="N18" s="157">
        <v>12449.67</v>
      </c>
      <c r="O18" s="157">
        <v>11431.69</v>
      </c>
      <c r="P18" s="125">
        <v>9129.35</v>
      </c>
      <c r="Q18" s="157">
        <v>20254.259999999998</v>
      </c>
      <c r="R18" s="157">
        <v>11453.23</v>
      </c>
      <c r="S18" s="157">
        <v>7711.71</v>
      </c>
      <c r="T18" s="125">
        <v>14446.5</v>
      </c>
      <c r="U18" s="125">
        <v>18076.75</v>
      </c>
      <c r="V18" s="125">
        <v>10746.11</v>
      </c>
      <c r="W18" s="125">
        <v>13353.44</v>
      </c>
      <c r="X18" s="157">
        <v>12815.53</v>
      </c>
      <c r="Y18" s="125">
        <v>15147.19</v>
      </c>
      <c r="Z18" s="125">
        <v>9649.43</v>
      </c>
      <c r="AA18" s="125">
        <v>13059.58</v>
      </c>
      <c r="AB18" s="125">
        <v>12929.36</v>
      </c>
      <c r="AC18" s="125">
        <v>21650.560000000001</v>
      </c>
      <c r="AD18" s="125">
        <v>14030.95</v>
      </c>
      <c r="AE18" s="157">
        <v>9516.67</v>
      </c>
      <c r="AF18" s="157">
        <v>11734.16</v>
      </c>
      <c r="AG18" s="125">
        <v>12600.34</v>
      </c>
      <c r="AH18" s="125">
        <v>9730.6</v>
      </c>
      <c r="AI18" s="157">
        <v>11460.6</v>
      </c>
      <c r="AJ18" s="157">
        <v>12187.85</v>
      </c>
      <c r="AK18" s="157">
        <v>10233.459999999999</v>
      </c>
      <c r="AL18" s="125">
        <v>446177.24</v>
      </c>
    </row>
    <row r="19" spans="1:38" s="117" customFormat="1" ht="15" customHeight="1" x14ac:dyDescent="0.2">
      <c r="A19" s="123" t="s">
        <v>124</v>
      </c>
      <c r="B19" s="124" t="s">
        <v>125</v>
      </c>
      <c r="C19" s="157">
        <v>16083.23</v>
      </c>
      <c r="D19" s="125">
        <v>38894.25</v>
      </c>
      <c r="E19" s="157">
        <v>8263.16</v>
      </c>
      <c r="F19" s="125">
        <v>12961.59</v>
      </c>
      <c r="G19" s="157">
        <v>43034.25</v>
      </c>
      <c r="H19" s="157">
        <v>1983.66</v>
      </c>
      <c r="I19" s="157">
        <v>11423.82</v>
      </c>
      <c r="J19" s="125">
        <v>4818.8599999999997</v>
      </c>
      <c r="K19" s="125">
        <v>32613.69</v>
      </c>
      <c r="L19" s="125">
        <v>23030.33</v>
      </c>
      <c r="M19" s="157">
        <v>26850.57</v>
      </c>
      <c r="N19" s="157">
        <v>13656.06</v>
      </c>
      <c r="O19" s="157">
        <v>9709.91</v>
      </c>
      <c r="P19" s="125">
        <v>20420.5</v>
      </c>
      <c r="Q19" s="157">
        <v>15663.12</v>
      </c>
      <c r="R19" s="157">
        <v>12676.07</v>
      </c>
      <c r="S19" s="157">
        <v>19451.87</v>
      </c>
      <c r="T19" s="125">
        <v>41390.959999999999</v>
      </c>
      <c r="U19" s="125">
        <v>32665.34</v>
      </c>
      <c r="V19" s="125">
        <v>9374.7199999999993</v>
      </c>
      <c r="W19" s="125">
        <v>14347.49</v>
      </c>
      <c r="X19" s="157">
        <v>20684</v>
      </c>
      <c r="Y19" s="125">
        <v>22975.59</v>
      </c>
      <c r="Z19" s="125">
        <v>39890.550000000003</v>
      </c>
      <c r="AA19" s="125">
        <v>14282.25</v>
      </c>
      <c r="AB19" s="125">
        <v>0</v>
      </c>
      <c r="AC19" s="125">
        <v>17761.77</v>
      </c>
      <c r="AD19" s="125">
        <v>16235.48</v>
      </c>
      <c r="AE19" s="157">
        <v>16483.61</v>
      </c>
      <c r="AF19" s="157">
        <v>37806.51</v>
      </c>
      <c r="AG19" s="125">
        <v>13426.22</v>
      </c>
      <c r="AH19" s="125">
        <v>22362.240000000002</v>
      </c>
      <c r="AI19" s="157">
        <v>7912.92</v>
      </c>
      <c r="AJ19" s="157">
        <v>10050.39</v>
      </c>
      <c r="AK19" s="157">
        <v>7513.78</v>
      </c>
      <c r="AL19" s="125">
        <v>656698.76</v>
      </c>
    </row>
    <row r="20" spans="1:38" s="117" customFormat="1" ht="15" customHeight="1" x14ac:dyDescent="0.2">
      <c r="A20" s="123" t="s">
        <v>954</v>
      </c>
      <c r="B20" s="124" t="s">
        <v>1042</v>
      </c>
      <c r="C20" s="157">
        <v>0</v>
      </c>
      <c r="D20" s="125">
        <v>0</v>
      </c>
      <c r="E20" s="157">
        <v>0</v>
      </c>
      <c r="F20" s="125">
        <v>0</v>
      </c>
      <c r="G20" s="157">
        <v>0</v>
      </c>
      <c r="H20" s="157">
        <v>0</v>
      </c>
      <c r="I20" s="157">
        <v>0</v>
      </c>
      <c r="J20" s="125">
        <v>0</v>
      </c>
      <c r="K20" s="125">
        <v>0</v>
      </c>
      <c r="L20" s="125">
        <v>0</v>
      </c>
      <c r="M20" s="157">
        <v>-0.04</v>
      </c>
      <c r="N20" s="157">
        <v>0</v>
      </c>
      <c r="O20" s="157">
        <v>0</v>
      </c>
      <c r="P20" s="125">
        <v>6583.31</v>
      </c>
      <c r="Q20" s="157">
        <v>0</v>
      </c>
      <c r="R20" s="157">
        <v>0</v>
      </c>
      <c r="S20" s="157">
        <v>0</v>
      </c>
      <c r="T20" s="125">
        <v>0</v>
      </c>
      <c r="U20" s="125">
        <v>0</v>
      </c>
      <c r="V20" s="125">
        <v>0</v>
      </c>
      <c r="W20" s="125">
        <v>0</v>
      </c>
      <c r="X20" s="157">
        <v>0</v>
      </c>
      <c r="Y20" s="125">
        <v>0</v>
      </c>
      <c r="Z20" s="125">
        <v>0</v>
      </c>
      <c r="AA20" s="125">
        <v>0</v>
      </c>
      <c r="AB20" s="125">
        <v>0</v>
      </c>
      <c r="AC20" s="125">
        <v>0</v>
      </c>
      <c r="AD20" s="125">
        <v>0</v>
      </c>
      <c r="AE20" s="157">
        <v>0</v>
      </c>
      <c r="AF20" s="157">
        <v>0</v>
      </c>
      <c r="AG20" s="125">
        <v>0</v>
      </c>
      <c r="AH20" s="125">
        <v>0</v>
      </c>
      <c r="AI20" s="157">
        <v>0</v>
      </c>
      <c r="AJ20" s="157">
        <v>0</v>
      </c>
      <c r="AK20" s="157">
        <v>0</v>
      </c>
      <c r="AL20" s="125">
        <v>6583.27</v>
      </c>
    </row>
    <row r="21" spans="1:38" s="117" customFormat="1" ht="15" customHeight="1" x14ac:dyDescent="0.2">
      <c r="A21" s="123" t="s">
        <v>126</v>
      </c>
      <c r="B21" s="124" t="s">
        <v>127</v>
      </c>
      <c r="C21" s="157">
        <v>0</v>
      </c>
      <c r="D21" s="125">
        <v>0</v>
      </c>
      <c r="E21" s="157">
        <v>0</v>
      </c>
      <c r="F21" s="125">
        <v>0</v>
      </c>
      <c r="G21" s="157">
        <v>3244.66</v>
      </c>
      <c r="H21" s="157">
        <v>2310</v>
      </c>
      <c r="I21" s="157">
        <v>499.92</v>
      </c>
      <c r="J21" s="125">
        <v>4051.81</v>
      </c>
      <c r="K21" s="125">
        <v>0</v>
      </c>
      <c r="L21" s="125">
        <v>1620.56</v>
      </c>
      <c r="M21" s="157">
        <v>0</v>
      </c>
      <c r="N21" s="157">
        <v>3116.74</v>
      </c>
      <c r="O21" s="157">
        <v>0</v>
      </c>
      <c r="P21" s="125">
        <v>0</v>
      </c>
      <c r="Q21" s="157">
        <v>0</v>
      </c>
      <c r="R21" s="157">
        <v>0</v>
      </c>
      <c r="S21" s="157">
        <v>0</v>
      </c>
      <c r="T21" s="125">
        <v>0</v>
      </c>
      <c r="U21" s="125">
        <v>478.01</v>
      </c>
      <c r="V21" s="125">
        <v>1063.58</v>
      </c>
      <c r="W21" s="125">
        <v>1746.41</v>
      </c>
      <c r="X21" s="157">
        <v>1950.11</v>
      </c>
      <c r="Y21" s="125">
        <v>585.59</v>
      </c>
      <c r="Z21" s="125">
        <v>0</v>
      </c>
      <c r="AA21" s="125">
        <v>0</v>
      </c>
      <c r="AB21" s="125">
        <v>0</v>
      </c>
      <c r="AC21" s="125">
        <v>0.04</v>
      </c>
      <c r="AD21" s="125">
        <v>0</v>
      </c>
      <c r="AE21" s="157">
        <v>1726.69</v>
      </c>
      <c r="AF21" s="157">
        <v>1819.93</v>
      </c>
      <c r="AG21" s="125">
        <v>0</v>
      </c>
      <c r="AH21" s="125">
        <v>1900</v>
      </c>
      <c r="AI21" s="157">
        <v>0</v>
      </c>
      <c r="AJ21" s="157">
        <v>0</v>
      </c>
      <c r="AK21" s="157">
        <v>0</v>
      </c>
      <c r="AL21" s="125">
        <v>26114.05</v>
      </c>
    </row>
    <row r="22" spans="1:38" s="117" customFormat="1" ht="15" customHeight="1" x14ac:dyDescent="0.2">
      <c r="A22" s="123" t="s">
        <v>434</v>
      </c>
      <c r="B22" s="124" t="s">
        <v>435</v>
      </c>
      <c r="C22" s="157">
        <v>0</v>
      </c>
      <c r="D22" s="125">
        <v>0</v>
      </c>
      <c r="E22" s="157">
        <v>0</v>
      </c>
      <c r="F22" s="125">
        <v>0</v>
      </c>
      <c r="G22" s="157">
        <v>34509.39</v>
      </c>
      <c r="H22" s="157">
        <v>0</v>
      </c>
      <c r="I22" s="157">
        <v>0</v>
      </c>
      <c r="J22" s="125">
        <v>8335.89</v>
      </c>
      <c r="K22" s="125">
        <v>0</v>
      </c>
      <c r="L22" s="125">
        <v>13890.34</v>
      </c>
      <c r="M22" s="157">
        <v>0</v>
      </c>
      <c r="N22" s="157">
        <v>0</v>
      </c>
      <c r="O22" s="157">
        <v>0</v>
      </c>
      <c r="P22" s="125">
        <v>0</v>
      </c>
      <c r="Q22" s="157">
        <v>0</v>
      </c>
      <c r="R22" s="157">
        <v>0</v>
      </c>
      <c r="S22" s="157">
        <v>0</v>
      </c>
      <c r="T22" s="125">
        <v>0</v>
      </c>
      <c r="U22" s="125">
        <v>0</v>
      </c>
      <c r="V22" s="125">
        <v>0</v>
      </c>
      <c r="W22" s="125">
        <v>5730.89</v>
      </c>
      <c r="X22" s="157">
        <v>0</v>
      </c>
      <c r="Y22" s="125">
        <v>0</v>
      </c>
      <c r="Z22" s="125">
        <v>0</v>
      </c>
      <c r="AA22" s="125">
        <v>0</v>
      </c>
      <c r="AB22" s="125">
        <v>5841.53</v>
      </c>
      <c r="AC22" s="125">
        <v>0</v>
      </c>
      <c r="AD22" s="125">
        <v>5348.31</v>
      </c>
      <c r="AE22" s="157">
        <v>0</v>
      </c>
      <c r="AF22" s="157">
        <v>0</v>
      </c>
      <c r="AG22" s="125">
        <v>0</v>
      </c>
      <c r="AH22" s="125">
        <v>0</v>
      </c>
      <c r="AI22" s="157">
        <v>6015.91</v>
      </c>
      <c r="AJ22" s="157">
        <v>0</v>
      </c>
      <c r="AK22" s="157">
        <v>19917.939999999999</v>
      </c>
      <c r="AL22" s="125">
        <v>99590.2</v>
      </c>
    </row>
    <row r="23" spans="1:38" s="117" customFormat="1" ht="15" customHeight="1" x14ac:dyDescent="0.2">
      <c r="A23" s="123" t="s">
        <v>128</v>
      </c>
      <c r="B23" s="124" t="s">
        <v>129</v>
      </c>
      <c r="C23" s="157">
        <v>2440.6999999999998</v>
      </c>
      <c r="D23" s="125">
        <v>3539.85</v>
      </c>
      <c r="E23" s="157">
        <v>4504.6400000000003</v>
      </c>
      <c r="F23" s="125">
        <v>4457.75</v>
      </c>
      <c r="G23" s="157">
        <v>4667.42</v>
      </c>
      <c r="H23" s="157">
        <v>2674.58</v>
      </c>
      <c r="I23" s="157">
        <v>2343.7600000000002</v>
      </c>
      <c r="J23" s="125">
        <v>4627.4799999999996</v>
      </c>
      <c r="K23" s="125">
        <v>4738.74</v>
      </c>
      <c r="L23" s="125">
        <v>2772.32</v>
      </c>
      <c r="M23" s="157">
        <v>4941.5200000000004</v>
      </c>
      <c r="N23" s="157">
        <v>4860.3100000000004</v>
      </c>
      <c r="O23" s="157">
        <v>3924.91</v>
      </c>
      <c r="P23" s="125">
        <v>2975.67</v>
      </c>
      <c r="Q23" s="157">
        <v>4181.92</v>
      </c>
      <c r="R23" s="157">
        <v>3598.65</v>
      </c>
      <c r="S23" s="157">
        <v>2356.81</v>
      </c>
      <c r="T23" s="125">
        <v>4120.28</v>
      </c>
      <c r="U23" s="125">
        <v>4345.09</v>
      </c>
      <c r="V23" s="125">
        <v>107482.91</v>
      </c>
      <c r="W23" s="125">
        <v>2347.2600000000002</v>
      </c>
      <c r="X23" s="157">
        <v>2128.58</v>
      </c>
      <c r="Y23" s="125">
        <v>425711.45</v>
      </c>
      <c r="Z23" s="125">
        <v>3077.33</v>
      </c>
      <c r="AA23" s="125">
        <v>2402.15</v>
      </c>
      <c r="AB23" s="125">
        <v>870.37</v>
      </c>
      <c r="AC23" s="125">
        <v>3491.4</v>
      </c>
      <c r="AD23" s="125">
        <v>3504.56</v>
      </c>
      <c r="AE23" s="157">
        <v>1888.85</v>
      </c>
      <c r="AF23" s="157">
        <v>2246.96</v>
      </c>
      <c r="AG23" s="125">
        <v>3053.75</v>
      </c>
      <c r="AH23" s="125">
        <v>1542.33</v>
      </c>
      <c r="AI23" s="157">
        <v>3836.36</v>
      </c>
      <c r="AJ23" s="157">
        <v>2375.33</v>
      </c>
      <c r="AK23" s="157">
        <v>2141.42</v>
      </c>
      <c r="AL23" s="125">
        <v>640173.41</v>
      </c>
    </row>
    <row r="24" spans="1:38" s="117" customFormat="1" ht="15" customHeight="1" x14ac:dyDescent="0.2">
      <c r="A24" s="123" t="s">
        <v>130</v>
      </c>
      <c r="B24" s="124" t="s">
        <v>131</v>
      </c>
      <c r="C24" s="157">
        <v>0</v>
      </c>
      <c r="D24" s="125">
        <v>31308.81</v>
      </c>
      <c r="E24" s="157">
        <v>0</v>
      </c>
      <c r="F24" s="125">
        <v>0</v>
      </c>
      <c r="G24" s="157">
        <v>0</v>
      </c>
      <c r="H24" s="157">
        <v>0</v>
      </c>
      <c r="I24" s="157">
        <v>0</v>
      </c>
      <c r="J24" s="125">
        <v>267776.39</v>
      </c>
      <c r="K24" s="125">
        <v>50232.04</v>
      </c>
      <c r="L24" s="125">
        <v>256406.84</v>
      </c>
      <c r="M24" s="157">
        <v>0</v>
      </c>
      <c r="N24" s="157">
        <v>148856.35</v>
      </c>
      <c r="O24" s="157">
        <v>0</v>
      </c>
      <c r="P24" s="125">
        <v>0</v>
      </c>
      <c r="Q24" s="157">
        <v>0</v>
      </c>
      <c r="R24" s="157">
        <v>0</v>
      </c>
      <c r="S24" s="157">
        <v>0</v>
      </c>
      <c r="T24" s="125">
        <v>0</v>
      </c>
      <c r="U24" s="125">
        <v>287436.78999999998</v>
      </c>
      <c r="V24" s="125">
        <v>0</v>
      </c>
      <c r="W24" s="125">
        <v>301695.59999999998</v>
      </c>
      <c r="X24" s="157">
        <v>0</v>
      </c>
      <c r="Y24" s="125">
        <v>0</v>
      </c>
      <c r="Z24" s="125">
        <v>116031.84</v>
      </c>
      <c r="AA24" s="125">
        <v>110685.69</v>
      </c>
      <c r="AB24" s="125">
        <v>79005.440000000002</v>
      </c>
      <c r="AC24" s="125">
        <v>163104.46</v>
      </c>
      <c r="AD24" s="125">
        <v>0</v>
      </c>
      <c r="AE24" s="157">
        <v>240703.59</v>
      </c>
      <c r="AF24" s="157">
        <v>230360.63</v>
      </c>
      <c r="AG24" s="125">
        <v>0</v>
      </c>
      <c r="AH24" s="125">
        <v>0</v>
      </c>
      <c r="AI24" s="157">
        <v>206903.89</v>
      </c>
      <c r="AJ24" s="157">
        <v>201851.03</v>
      </c>
      <c r="AK24" s="157">
        <v>186543.11</v>
      </c>
      <c r="AL24" s="125">
        <v>2878902.5</v>
      </c>
    </row>
    <row r="25" spans="1:38" s="117" customFormat="1" ht="15" customHeight="1" x14ac:dyDescent="0.2">
      <c r="A25" s="123" t="s">
        <v>132</v>
      </c>
      <c r="B25" s="124" t="s">
        <v>133</v>
      </c>
      <c r="C25" s="157">
        <v>0</v>
      </c>
      <c r="D25" s="125">
        <v>0</v>
      </c>
      <c r="E25" s="157">
        <v>0</v>
      </c>
      <c r="F25" s="125">
        <v>0</v>
      </c>
      <c r="G25" s="157">
        <v>0</v>
      </c>
      <c r="H25" s="157">
        <v>0</v>
      </c>
      <c r="I25" s="157">
        <v>0</v>
      </c>
      <c r="J25" s="125">
        <v>-167772.99</v>
      </c>
      <c r="K25" s="125">
        <v>0</v>
      </c>
      <c r="L25" s="125">
        <v>0</v>
      </c>
      <c r="M25" s="157">
        <v>0</v>
      </c>
      <c r="N25" s="157">
        <v>0</v>
      </c>
      <c r="O25" s="157">
        <v>0</v>
      </c>
      <c r="P25" s="125">
        <v>0</v>
      </c>
      <c r="Q25" s="157">
        <v>0</v>
      </c>
      <c r="R25" s="157">
        <v>0</v>
      </c>
      <c r="S25" s="157">
        <v>0</v>
      </c>
      <c r="T25" s="125">
        <v>0</v>
      </c>
      <c r="U25" s="125">
        <v>0</v>
      </c>
      <c r="V25" s="125">
        <v>0</v>
      </c>
      <c r="W25" s="125">
        <v>0</v>
      </c>
      <c r="X25" s="157">
        <v>0</v>
      </c>
      <c r="Y25" s="125">
        <v>0</v>
      </c>
      <c r="Z25" s="125">
        <v>-28518</v>
      </c>
      <c r="AA25" s="125">
        <v>0</v>
      </c>
      <c r="AB25" s="125">
        <v>-79005.440000000002</v>
      </c>
      <c r="AC25" s="125">
        <v>-163104.46</v>
      </c>
      <c r="AD25" s="125">
        <v>0</v>
      </c>
      <c r="AE25" s="157">
        <v>0</v>
      </c>
      <c r="AF25" s="157">
        <v>-132548</v>
      </c>
      <c r="AG25" s="125">
        <v>0</v>
      </c>
      <c r="AH25" s="125">
        <v>0</v>
      </c>
      <c r="AI25" s="157">
        <v>0</v>
      </c>
      <c r="AJ25" s="157">
        <v>0</v>
      </c>
      <c r="AK25" s="157">
        <v>0</v>
      </c>
      <c r="AL25" s="125">
        <v>-570948.89</v>
      </c>
    </row>
    <row r="26" spans="1:38" s="117" customFormat="1" ht="15" customHeight="1" x14ac:dyDescent="0.2">
      <c r="A26" s="123" t="s">
        <v>134</v>
      </c>
      <c r="B26" s="124" t="s">
        <v>135</v>
      </c>
      <c r="C26" s="157">
        <v>75756</v>
      </c>
      <c r="D26" s="125">
        <v>65281.95</v>
      </c>
      <c r="E26" s="157">
        <v>75003</v>
      </c>
      <c r="F26" s="125">
        <v>149.32</v>
      </c>
      <c r="G26" s="157">
        <v>-7095.28</v>
      </c>
      <c r="H26" s="157">
        <v>74338.179999999993</v>
      </c>
      <c r="I26" s="157">
        <v>60012</v>
      </c>
      <c r="J26" s="125">
        <v>80000</v>
      </c>
      <c r="K26" s="125">
        <v>136352.51999999999</v>
      </c>
      <c r="L26" s="125">
        <v>248223.7</v>
      </c>
      <c r="M26" s="157">
        <v>100072.36</v>
      </c>
      <c r="N26" s="157">
        <v>-1146.6199999999999</v>
      </c>
      <c r="O26" s="157">
        <v>75110.36</v>
      </c>
      <c r="P26" s="125">
        <v>211832.83</v>
      </c>
      <c r="Q26" s="157">
        <v>138600</v>
      </c>
      <c r="R26" s="157">
        <v>75836.820000000007</v>
      </c>
      <c r="S26" s="157">
        <v>152914.01</v>
      </c>
      <c r="T26" s="125">
        <v>117560</v>
      </c>
      <c r="U26" s="125">
        <v>309888.2</v>
      </c>
      <c r="V26" s="125">
        <v>68250</v>
      </c>
      <c r="W26" s="125">
        <v>0</v>
      </c>
      <c r="X26" s="157">
        <v>245111.55</v>
      </c>
      <c r="Y26" s="125">
        <v>162179.1</v>
      </c>
      <c r="Z26" s="125">
        <v>22689</v>
      </c>
      <c r="AA26" s="125">
        <v>100352.41</v>
      </c>
      <c r="AB26" s="125">
        <v>1327.95</v>
      </c>
      <c r="AC26" s="125">
        <v>98667.64</v>
      </c>
      <c r="AD26" s="125">
        <v>409.51</v>
      </c>
      <c r="AE26" s="157">
        <v>2546.4</v>
      </c>
      <c r="AF26" s="157">
        <v>282241.36</v>
      </c>
      <c r="AG26" s="125">
        <v>1345.93</v>
      </c>
      <c r="AH26" s="125">
        <v>63000</v>
      </c>
      <c r="AI26" s="157">
        <v>180542.71</v>
      </c>
      <c r="AJ26" s="157">
        <v>111053.4</v>
      </c>
      <c r="AK26" s="157">
        <v>136443.44</v>
      </c>
      <c r="AL26" s="125">
        <v>3464849.75</v>
      </c>
    </row>
    <row r="27" spans="1:38" s="117" customFormat="1" ht="15" customHeight="1" x14ac:dyDescent="0.2">
      <c r="A27" s="123" t="s">
        <v>136</v>
      </c>
      <c r="B27" s="124" t="s">
        <v>137</v>
      </c>
      <c r="C27" s="157">
        <v>9460</v>
      </c>
      <c r="D27" s="125">
        <v>623240</v>
      </c>
      <c r="E27" s="157">
        <v>8332</v>
      </c>
      <c r="F27" s="125">
        <v>303000</v>
      </c>
      <c r="G27" s="157">
        <v>756093.03</v>
      </c>
      <c r="H27" s="157">
        <v>12952.5</v>
      </c>
      <c r="I27" s="157">
        <v>8132</v>
      </c>
      <c r="J27" s="125">
        <v>161666.99</v>
      </c>
      <c r="K27" s="125">
        <v>647262.56999999995</v>
      </c>
      <c r="L27" s="125">
        <v>197600</v>
      </c>
      <c r="M27" s="157">
        <v>482808.48</v>
      </c>
      <c r="N27" s="157">
        <v>324955.15000000002</v>
      </c>
      <c r="O27" s="157">
        <v>13625</v>
      </c>
      <c r="P27" s="125">
        <v>355118</v>
      </c>
      <c r="Q27" s="157">
        <v>12084</v>
      </c>
      <c r="R27" s="157">
        <v>13087.9</v>
      </c>
      <c r="S27" s="157">
        <v>267834</v>
      </c>
      <c r="T27" s="125">
        <v>573828</v>
      </c>
      <c r="U27" s="125">
        <v>275400</v>
      </c>
      <c r="V27" s="125">
        <v>7584</v>
      </c>
      <c r="W27" s="125">
        <v>309000</v>
      </c>
      <c r="X27" s="157">
        <v>12246.25</v>
      </c>
      <c r="Y27" s="125">
        <v>15840</v>
      </c>
      <c r="Z27" s="125">
        <v>284328</v>
      </c>
      <c r="AA27" s="125">
        <v>315000.94</v>
      </c>
      <c r="AB27" s="125">
        <v>299735.33</v>
      </c>
      <c r="AC27" s="125">
        <v>347185</v>
      </c>
      <c r="AD27" s="125">
        <v>499694</v>
      </c>
      <c r="AE27" s="157">
        <v>291291.96000000002</v>
      </c>
      <c r="AF27" s="157">
        <v>295658.82</v>
      </c>
      <c r="AG27" s="125">
        <v>344400</v>
      </c>
      <c r="AH27" s="125">
        <v>5000</v>
      </c>
      <c r="AI27" s="157">
        <v>177675</v>
      </c>
      <c r="AJ27" s="157">
        <v>193475</v>
      </c>
      <c r="AK27" s="157">
        <v>139500</v>
      </c>
      <c r="AL27" s="125">
        <v>8584093.9199999999</v>
      </c>
    </row>
    <row r="28" spans="1:38" s="117" customFormat="1" ht="15" customHeight="1" x14ac:dyDescent="0.2">
      <c r="A28" s="123" t="s">
        <v>138</v>
      </c>
      <c r="B28" s="124" t="s">
        <v>139</v>
      </c>
      <c r="C28" s="157">
        <v>0</v>
      </c>
      <c r="D28" s="125">
        <v>-310909.31</v>
      </c>
      <c r="E28" s="157">
        <v>0</v>
      </c>
      <c r="F28" s="125">
        <v>-80274.58</v>
      </c>
      <c r="G28" s="157">
        <v>-423526.08</v>
      </c>
      <c r="H28" s="157">
        <v>0</v>
      </c>
      <c r="I28" s="157">
        <v>0</v>
      </c>
      <c r="J28" s="125">
        <v>-25977.19</v>
      </c>
      <c r="K28" s="125">
        <v>-415768.91</v>
      </c>
      <c r="L28" s="125">
        <v>-112993.9</v>
      </c>
      <c r="M28" s="157">
        <v>-237766.98</v>
      </c>
      <c r="N28" s="157">
        <v>-125134.59</v>
      </c>
      <c r="O28" s="157">
        <v>0</v>
      </c>
      <c r="P28" s="125">
        <v>-224656.79</v>
      </c>
      <c r="Q28" s="157">
        <v>0</v>
      </c>
      <c r="R28" s="157">
        <v>0</v>
      </c>
      <c r="S28" s="157">
        <v>-193224.22</v>
      </c>
      <c r="T28" s="125">
        <v>-224212.46</v>
      </c>
      <c r="U28" s="125">
        <v>-109711.15</v>
      </c>
      <c r="V28" s="125">
        <v>0</v>
      </c>
      <c r="W28" s="125">
        <v>-55283.67</v>
      </c>
      <c r="X28" s="157">
        <v>-5263.14</v>
      </c>
      <c r="Y28" s="125">
        <v>0</v>
      </c>
      <c r="Z28" s="125">
        <v>-135011.65</v>
      </c>
      <c r="AA28" s="125">
        <v>-219163.26</v>
      </c>
      <c r="AB28" s="125">
        <v>-127410.46</v>
      </c>
      <c r="AC28" s="125">
        <v>-122268.3</v>
      </c>
      <c r="AD28" s="125">
        <v>-165651.60999999999</v>
      </c>
      <c r="AE28" s="157">
        <v>-93898.25</v>
      </c>
      <c r="AF28" s="157">
        <v>-233641.04</v>
      </c>
      <c r="AG28" s="125">
        <v>-134433.09</v>
      </c>
      <c r="AH28" s="125">
        <v>0</v>
      </c>
      <c r="AI28" s="157">
        <v>-101691.14</v>
      </c>
      <c r="AJ28" s="157">
        <v>-69792.27</v>
      </c>
      <c r="AK28" s="157">
        <v>-43014.05</v>
      </c>
      <c r="AL28" s="125">
        <v>-3990678.09</v>
      </c>
    </row>
    <row r="29" spans="1:38" s="117" customFormat="1" ht="15" customHeight="1" x14ac:dyDescent="0.2">
      <c r="A29" s="123" t="s">
        <v>436</v>
      </c>
      <c r="B29" s="124" t="s">
        <v>437</v>
      </c>
      <c r="C29" s="157">
        <v>0</v>
      </c>
      <c r="D29" s="125">
        <v>0</v>
      </c>
      <c r="E29" s="157">
        <v>0</v>
      </c>
      <c r="F29" s="125">
        <v>-100</v>
      </c>
      <c r="G29" s="157">
        <v>0</v>
      </c>
      <c r="H29" s="157">
        <v>0</v>
      </c>
      <c r="I29" s="157">
        <v>0</v>
      </c>
      <c r="J29" s="125">
        <v>26859.74</v>
      </c>
      <c r="K29" s="125">
        <v>0</v>
      </c>
      <c r="L29" s="125">
        <v>237509.18</v>
      </c>
      <c r="M29" s="157">
        <v>0</v>
      </c>
      <c r="N29" s="157">
        <v>0</v>
      </c>
      <c r="O29" s="157">
        <v>0</v>
      </c>
      <c r="P29" s="125">
        <v>0</v>
      </c>
      <c r="Q29" s="157">
        <v>0</v>
      </c>
      <c r="R29" s="157">
        <v>0</v>
      </c>
      <c r="S29" s="157">
        <v>0</v>
      </c>
      <c r="T29" s="125">
        <v>0</v>
      </c>
      <c r="U29" s="125">
        <v>0</v>
      </c>
      <c r="V29" s="125">
        <v>0</v>
      </c>
      <c r="W29" s="125">
        <v>106584.29</v>
      </c>
      <c r="X29" s="157">
        <v>0</v>
      </c>
      <c r="Y29" s="125">
        <v>0</v>
      </c>
      <c r="Z29" s="125">
        <v>0</v>
      </c>
      <c r="AA29" s="125">
        <v>0</v>
      </c>
      <c r="AB29" s="125">
        <v>0</v>
      </c>
      <c r="AC29" s="125">
        <v>69421.62</v>
      </c>
      <c r="AD29" s="125">
        <v>9777.44</v>
      </c>
      <c r="AE29" s="157">
        <v>0</v>
      </c>
      <c r="AF29" s="157">
        <v>0</v>
      </c>
      <c r="AG29" s="125">
        <v>56175.62</v>
      </c>
      <c r="AH29" s="125">
        <v>0</v>
      </c>
      <c r="AI29" s="157">
        <v>0</v>
      </c>
      <c r="AJ29" s="157">
        <v>4867.38</v>
      </c>
      <c r="AK29" s="157">
        <v>90515.13</v>
      </c>
      <c r="AL29" s="125">
        <v>601610.4</v>
      </c>
    </row>
    <row r="30" spans="1:38" s="117" customFormat="1" ht="15" customHeight="1" x14ac:dyDescent="0.2">
      <c r="A30" s="123" t="s">
        <v>953</v>
      </c>
      <c r="B30" s="124" t="s">
        <v>1041</v>
      </c>
      <c r="C30" s="157">
        <v>0</v>
      </c>
      <c r="D30" s="125">
        <v>0</v>
      </c>
      <c r="E30" s="157">
        <v>0</v>
      </c>
      <c r="F30" s="125">
        <v>100</v>
      </c>
      <c r="G30" s="157">
        <v>0</v>
      </c>
      <c r="H30" s="157">
        <v>0</v>
      </c>
      <c r="I30" s="157">
        <v>0</v>
      </c>
      <c r="J30" s="125">
        <v>0</v>
      </c>
      <c r="K30" s="125">
        <v>0</v>
      </c>
      <c r="L30" s="125">
        <v>0</v>
      </c>
      <c r="M30" s="157">
        <v>0</v>
      </c>
      <c r="N30" s="157">
        <v>0</v>
      </c>
      <c r="O30" s="157">
        <v>0</v>
      </c>
      <c r="P30" s="125">
        <v>0</v>
      </c>
      <c r="Q30" s="157">
        <v>0</v>
      </c>
      <c r="R30" s="157">
        <v>0</v>
      </c>
      <c r="S30" s="157">
        <v>0</v>
      </c>
      <c r="T30" s="125">
        <v>0</v>
      </c>
      <c r="U30" s="125">
        <v>0</v>
      </c>
      <c r="V30" s="125">
        <v>0</v>
      </c>
      <c r="W30" s="125">
        <v>0</v>
      </c>
      <c r="X30" s="157">
        <v>0</v>
      </c>
      <c r="Y30" s="125">
        <v>0</v>
      </c>
      <c r="Z30" s="125">
        <v>0</v>
      </c>
      <c r="AA30" s="125">
        <v>0</v>
      </c>
      <c r="AB30" s="125">
        <v>0</v>
      </c>
      <c r="AC30" s="125">
        <v>0</v>
      </c>
      <c r="AD30" s="125">
        <v>0</v>
      </c>
      <c r="AE30" s="157">
        <v>0</v>
      </c>
      <c r="AF30" s="157">
        <v>0</v>
      </c>
      <c r="AG30" s="125">
        <v>373.93</v>
      </c>
      <c r="AH30" s="125">
        <v>0</v>
      </c>
      <c r="AI30" s="157">
        <v>0</v>
      </c>
      <c r="AJ30" s="157">
        <v>0</v>
      </c>
      <c r="AK30" s="157">
        <v>0</v>
      </c>
      <c r="AL30" s="125">
        <v>473.93</v>
      </c>
    </row>
    <row r="31" spans="1:38" s="117" customFormat="1" ht="15" customHeight="1" x14ac:dyDescent="0.2">
      <c r="A31" s="123" t="s">
        <v>510</v>
      </c>
      <c r="B31" s="124" t="s">
        <v>511</v>
      </c>
      <c r="C31" s="157">
        <v>0</v>
      </c>
      <c r="D31" s="125">
        <v>0</v>
      </c>
      <c r="E31" s="157">
        <v>0</v>
      </c>
      <c r="F31" s="125">
        <v>0</v>
      </c>
      <c r="G31" s="157">
        <v>0</v>
      </c>
      <c r="H31" s="157">
        <v>0</v>
      </c>
      <c r="I31" s="157">
        <v>0</v>
      </c>
      <c r="J31" s="125">
        <v>-26859.74</v>
      </c>
      <c r="K31" s="125">
        <v>0</v>
      </c>
      <c r="L31" s="125">
        <v>0</v>
      </c>
      <c r="M31" s="157">
        <v>0</v>
      </c>
      <c r="N31" s="157">
        <v>0</v>
      </c>
      <c r="O31" s="157">
        <v>0</v>
      </c>
      <c r="P31" s="125">
        <v>0</v>
      </c>
      <c r="Q31" s="157">
        <v>0</v>
      </c>
      <c r="R31" s="157">
        <v>0</v>
      </c>
      <c r="S31" s="157">
        <v>0</v>
      </c>
      <c r="T31" s="125">
        <v>0</v>
      </c>
      <c r="U31" s="125">
        <v>0</v>
      </c>
      <c r="V31" s="125">
        <v>0</v>
      </c>
      <c r="W31" s="125">
        <v>-91460.95</v>
      </c>
      <c r="X31" s="157">
        <v>0</v>
      </c>
      <c r="Y31" s="125">
        <v>0</v>
      </c>
      <c r="Z31" s="125">
        <v>0</v>
      </c>
      <c r="AA31" s="125">
        <v>0</v>
      </c>
      <c r="AB31" s="125">
        <v>0</v>
      </c>
      <c r="AC31" s="125">
        <v>0</v>
      </c>
      <c r="AD31" s="125">
        <v>0</v>
      </c>
      <c r="AE31" s="157">
        <v>0</v>
      </c>
      <c r="AF31" s="157">
        <v>0</v>
      </c>
      <c r="AG31" s="125">
        <v>-55453.7</v>
      </c>
      <c r="AH31" s="125">
        <v>0</v>
      </c>
      <c r="AI31" s="157">
        <v>0</v>
      </c>
      <c r="AJ31" s="157">
        <v>-4867.38</v>
      </c>
      <c r="AK31" s="157">
        <v>-90515.13</v>
      </c>
      <c r="AL31" s="125">
        <v>-269156.90000000002</v>
      </c>
    </row>
    <row r="32" spans="1:38" s="117" customFormat="1" ht="15" customHeight="1" x14ac:dyDescent="0.2">
      <c r="A32" s="123" t="s">
        <v>952</v>
      </c>
      <c r="B32" s="124" t="s">
        <v>1040</v>
      </c>
      <c r="C32" s="157">
        <v>0</v>
      </c>
      <c r="D32" s="125">
        <v>0</v>
      </c>
      <c r="E32" s="157">
        <v>0</v>
      </c>
      <c r="F32" s="125">
        <v>0</v>
      </c>
      <c r="G32" s="157">
        <v>0</v>
      </c>
      <c r="H32" s="157">
        <v>0</v>
      </c>
      <c r="I32" s="157">
        <v>0</v>
      </c>
      <c r="J32" s="125">
        <v>0</v>
      </c>
      <c r="K32" s="125">
        <v>0</v>
      </c>
      <c r="L32" s="125">
        <v>0</v>
      </c>
      <c r="M32" s="157">
        <v>0</v>
      </c>
      <c r="N32" s="157">
        <v>0</v>
      </c>
      <c r="O32" s="157">
        <v>0</v>
      </c>
      <c r="P32" s="125">
        <v>0</v>
      </c>
      <c r="Q32" s="157">
        <v>0</v>
      </c>
      <c r="R32" s="157">
        <v>0</v>
      </c>
      <c r="S32" s="157">
        <v>0</v>
      </c>
      <c r="T32" s="125">
        <v>0</v>
      </c>
      <c r="U32" s="125">
        <v>0</v>
      </c>
      <c r="V32" s="125">
        <v>0</v>
      </c>
      <c r="W32" s="125">
        <v>0</v>
      </c>
      <c r="X32" s="157">
        <v>0</v>
      </c>
      <c r="Y32" s="125">
        <v>0</v>
      </c>
      <c r="Z32" s="125">
        <v>0</v>
      </c>
      <c r="AA32" s="125">
        <v>0</v>
      </c>
      <c r="AB32" s="125">
        <v>0</v>
      </c>
      <c r="AC32" s="125">
        <v>6244.98</v>
      </c>
      <c r="AD32" s="125">
        <v>0</v>
      </c>
      <c r="AE32" s="157">
        <v>0</v>
      </c>
      <c r="AF32" s="157">
        <v>0</v>
      </c>
      <c r="AG32" s="125">
        <v>0</v>
      </c>
      <c r="AH32" s="125">
        <v>33538.9</v>
      </c>
      <c r="AI32" s="157">
        <v>0</v>
      </c>
      <c r="AJ32" s="157">
        <v>0</v>
      </c>
      <c r="AK32" s="157">
        <v>0</v>
      </c>
      <c r="AL32" s="125">
        <v>39783.879999999997</v>
      </c>
    </row>
    <row r="33" spans="1:38" s="117" customFormat="1" ht="15" customHeight="1" x14ac:dyDescent="0.2">
      <c r="A33" s="123" t="s">
        <v>619</v>
      </c>
      <c r="B33" s="124" t="s">
        <v>618</v>
      </c>
      <c r="C33" s="157">
        <v>201248.8</v>
      </c>
      <c r="D33" s="125">
        <v>0</v>
      </c>
      <c r="E33" s="157">
        <v>235725</v>
      </c>
      <c r="F33" s="125">
        <v>0</v>
      </c>
      <c r="G33" s="157">
        <v>0</v>
      </c>
      <c r="H33" s="157">
        <v>0</v>
      </c>
      <c r="I33" s="157">
        <v>0</v>
      </c>
      <c r="J33" s="125">
        <v>0</v>
      </c>
      <c r="K33" s="125">
        <v>0</v>
      </c>
      <c r="L33" s="125">
        <v>0</v>
      </c>
      <c r="M33" s="157">
        <v>0</v>
      </c>
      <c r="N33" s="157">
        <v>0</v>
      </c>
      <c r="O33" s="157">
        <v>246822.39999999999</v>
      </c>
      <c r="P33" s="125">
        <v>0</v>
      </c>
      <c r="Q33" s="157">
        <v>0</v>
      </c>
      <c r="R33" s="157">
        <v>132361.45000000001</v>
      </c>
      <c r="S33" s="157">
        <v>0</v>
      </c>
      <c r="T33" s="125">
        <v>0</v>
      </c>
      <c r="U33" s="125">
        <v>0</v>
      </c>
      <c r="V33" s="125">
        <v>214029</v>
      </c>
      <c r="W33" s="125">
        <v>0</v>
      </c>
      <c r="X33" s="157">
        <v>0</v>
      </c>
      <c r="Y33" s="125">
        <v>0</v>
      </c>
      <c r="Z33" s="125">
        <v>0</v>
      </c>
      <c r="AA33" s="125">
        <v>0</v>
      </c>
      <c r="AB33" s="125">
        <v>0</v>
      </c>
      <c r="AC33" s="125">
        <v>0</v>
      </c>
      <c r="AD33" s="125">
        <v>0</v>
      </c>
      <c r="AE33" s="157">
        <v>0</v>
      </c>
      <c r="AF33" s="157">
        <v>0</v>
      </c>
      <c r="AG33" s="125">
        <v>0</v>
      </c>
      <c r="AH33" s="125">
        <v>0</v>
      </c>
      <c r="AI33" s="157">
        <v>0</v>
      </c>
      <c r="AJ33" s="157">
        <v>0</v>
      </c>
      <c r="AK33" s="157">
        <v>0</v>
      </c>
      <c r="AL33" s="125">
        <v>1030186.65</v>
      </c>
    </row>
    <row r="34" spans="1:38" s="117" customFormat="1" ht="15" customHeight="1" x14ac:dyDescent="0.2">
      <c r="A34" s="123" t="s">
        <v>617</v>
      </c>
      <c r="B34" s="124" t="s">
        <v>616</v>
      </c>
      <c r="C34" s="157">
        <v>-195674.99</v>
      </c>
      <c r="D34" s="125">
        <v>0</v>
      </c>
      <c r="E34" s="157">
        <v>-220179.3</v>
      </c>
      <c r="F34" s="125">
        <v>0</v>
      </c>
      <c r="G34" s="157">
        <v>0</v>
      </c>
      <c r="H34" s="157">
        <v>0</v>
      </c>
      <c r="I34" s="157">
        <v>0</v>
      </c>
      <c r="J34" s="125">
        <v>0</v>
      </c>
      <c r="K34" s="125">
        <v>0</v>
      </c>
      <c r="L34" s="125">
        <v>0</v>
      </c>
      <c r="M34" s="157">
        <v>0</v>
      </c>
      <c r="N34" s="157">
        <v>0</v>
      </c>
      <c r="O34" s="157">
        <v>-231316.88</v>
      </c>
      <c r="P34" s="125">
        <v>0</v>
      </c>
      <c r="Q34" s="157">
        <v>0</v>
      </c>
      <c r="R34" s="157">
        <v>-121828.45</v>
      </c>
      <c r="S34" s="157">
        <v>0</v>
      </c>
      <c r="T34" s="125">
        <v>0</v>
      </c>
      <c r="U34" s="125">
        <v>0</v>
      </c>
      <c r="V34" s="125">
        <v>-193940.33</v>
      </c>
      <c r="W34" s="125">
        <v>0</v>
      </c>
      <c r="X34" s="157">
        <v>0</v>
      </c>
      <c r="Y34" s="125">
        <v>0</v>
      </c>
      <c r="Z34" s="125">
        <v>0</v>
      </c>
      <c r="AA34" s="125">
        <v>0</v>
      </c>
      <c r="AB34" s="125">
        <v>0</v>
      </c>
      <c r="AC34" s="125">
        <v>0</v>
      </c>
      <c r="AD34" s="125">
        <v>0</v>
      </c>
      <c r="AE34" s="157">
        <v>0</v>
      </c>
      <c r="AF34" s="157">
        <v>0</v>
      </c>
      <c r="AG34" s="125">
        <v>0</v>
      </c>
      <c r="AH34" s="125">
        <v>0</v>
      </c>
      <c r="AI34" s="157">
        <v>0</v>
      </c>
      <c r="AJ34" s="157">
        <v>0</v>
      </c>
      <c r="AK34" s="157">
        <v>0</v>
      </c>
      <c r="AL34" s="125">
        <v>-962939.95</v>
      </c>
    </row>
    <row r="35" spans="1:38" s="117" customFormat="1" ht="15" customHeight="1" x14ac:dyDescent="0.2">
      <c r="A35" s="123" t="s">
        <v>590</v>
      </c>
      <c r="B35" s="124" t="s">
        <v>589</v>
      </c>
      <c r="C35" s="157">
        <v>0</v>
      </c>
      <c r="D35" s="125">
        <v>0</v>
      </c>
      <c r="E35" s="157">
        <v>0</v>
      </c>
      <c r="F35" s="125">
        <v>0</v>
      </c>
      <c r="G35" s="157">
        <v>0</v>
      </c>
      <c r="H35" s="157">
        <v>0</v>
      </c>
      <c r="I35" s="157">
        <v>0</v>
      </c>
      <c r="J35" s="125">
        <v>0</v>
      </c>
      <c r="K35" s="125">
        <v>0</v>
      </c>
      <c r="L35" s="125">
        <v>0</v>
      </c>
      <c r="M35" s="157">
        <v>0</v>
      </c>
      <c r="N35" s="157">
        <v>0</v>
      </c>
      <c r="O35" s="157">
        <v>0</v>
      </c>
      <c r="P35" s="125">
        <v>0</v>
      </c>
      <c r="Q35" s="157">
        <v>0</v>
      </c>
      <c r="R35" s="157">
        <v>0</v>
      </c>
      <c r="S35" s="157">
        <v>0</v>
      </c>
      <c r="T35" s="125">
        <v>0</v>
      </c>
      <c r="U35" s="125">
        <v>0</v>
      </c>
      <c r="V35" s="125">
        <v>0</v>
      </c>
      <c r="W35" s="125">
        <v>0</v>
      </c>
      <c r="X35" s="157">
        <v>0</v>
      </c>
      <c r="Y35" s="125">
        <v>0</v>
      </c>
      <c r="Z35" s="125">
        <v>0</v>
      </c>
      <c r="AA35" s="125">
        <v>0</v>
      </c>
      <c r="AB35" s="125">
        <v>0</v>
      </c>
      <c r="AC35" s="125">
        <v>0</v>
      </c>
      <c r="AD35" s="125">
        <v>225965</v>
      </c>
      <c r="AE35" s="157">
        <v>0</v>
      </c>
      <c r="AF35" s="157">
        <v>0</v>
      </c>
      <c r="AG35" s="125">
        <v>0</v>
      </c>
      <c r="AH35" s="125">
        <v>0</v>
      </c>
      <c r="AI35" s="157">
        <v>0</v>
      </c>
      <c r="AJ35" s="157">
        <v>0</v>
      </c>
      <c r="AK35" s="157">
        <v>0</v>
      </c>
      <c r="AL35" s="125">
        <v>225965</v>
      </c>
    </row>
    <row r="36" spans="1:38" s="117" customFormat="1" ht="15" customHeight="1" x14ac:dyDescent="0.2">
      <c r="A36" s="123" t="s">
        <v>140</v>
      </c>
      <c r="B36" s="124" t="s">
        <v>141</v>
      </c>
      <c r="C36" s="157">
        <v>17057.88</v>
      </c>
      <c r="D36" s="125">
        <v>29862.68</v>
      </c>
      <c r="E36" s="157">
        <v>15175.1</v>
      </c>
      <c r="F36" s="125">
        <v>47660.17</v>
      </c>
      <c r="G36" s="157">
        <v>0</v>
      </c>
      <c r="H36" s="157">
        <v>13256.33</v>
      </c>
      <c r="I36" s="157">
        <v>5711.97</v>
      </c>
      <c r="J36" s="125">
        <v>9207.25</v>
      </c>
      <c r="K36" s="125">
        <v>19993.95</v>
      </c>
      <c r="L36" s="125">
        <v>36816.33</v>
      </c>
      <c r="M36" s="157">
        <v>17029.560000000001</v>
      </c>
      <c r="N36" s="157">
        <v>39164.25</v>
      </c>
      <c r="O36" s="157">
        <v>15095.57</v>
      </c>
      <c r="P36" s="125">
        <v>13231.05</v>
      </c>
      <c r="Q36" s="157">
        <v>43609.7</v>
      </c>
      <c r="R36" s="157">
        <v>10196.719999999999</v>
      </c>
      <c r="S36" s="157">
        <v>13550.48</v>
      </c>
      <c r="T36" s="125">
        <v>37428.559999999998</v>
      </c>
      <c r="U36" s="125">
        <v>60676</v>
      </c>
      <c r="V36" s="125">
        <v>15724.32</v>
      </c>
      <c r="W36" s="125">
        <v>64177.51</v>
      </c>
      <c r="X36" s="157">
        <v>8999.84</v>
      </c>
      <c r="Y36" s="125">
        <v>-21.08</v>
      </c>
      <c r="Z36" s="125">
        <v>96874</v>
      </c>
      <c r="AA36" s="125">
        <v>-391.02</v>
      </c>
      <c r="AB36" s="125">
        <v>25392.16</v>
      </c>
      <c r="AC36" s="125">
        <v>-339.64</v>
      </c>
      <c r="AD36" s="125">
        <v>-13775.98</v>
      </c>
      <c r="AE36" s="157">
        <v>73468.039999999994</v>
      </c>
      <c r="AF36" s="157">
        <v>83506.45</v>
      </c>
      <c r="AG36" s="125">
        <v>4362.76</v>
      </c>
      <c r="AH36" s="125">
        <v>0</v>
      </c>
      <c r="AI36" s="157">
        <v>43000</v>
      </c>
      <c r="AJ36" s="157">
        <v>0</v>
      </c>
      <c r="AK36" s="157">
        <v>36606</v>
      </c>
      <c r="AL36" s="125">
        <v>882306.91</v>
      </c>
    </row>
    <row r="37" spans="1:38" s="117" customFormat="1" ht="15" customHeight="1" x14ac:dyDescent="0.2">
      <c r="A37" s="123" t="s">
        <v>142</v>
      </c>
      <c r="B37" s="124" t="s">
        <v>143</v>
      </c>
      <c r="C37" s="157">
        <v>22014.400000000001</v>
      </c>
      <c r="D37" s="125">
        <v>19466.12</v>
      </c>
      <c r="E37" s="157">
        <v>17649</v>
      </c>
      <c r="F37" s="125">
        <v>374473.55</v>
      </c>
      <c r="G37" s="157">
        <v>28721.08</v>
      </c>
      <c r="H37" s="157">
        <v>26500</v>
      </c>
      <c r="I37" s="157">
        <v>7615.96</v>
      </c>
      <c r="J37" s="125">
        <v>134417.95000000001</v>
      </c>
      <c r="K37" s="125">
        <v>13329.3</v>
      </c>
      <c r="L37" s="125">
        <v>226930</v>
      </c>
      <c r="M37" s="157">
        <v>11353.04</v>
      </c>
      <c r="N37" s="157">
        <v>242150.65</v>
      </c>
      <c r="O37" s="157">
        <v>12500</v>
      </c>
      <c r="P37" s="125">
        <v>8820.7000000000007</v>
      </c>
      <c r="Q37" s="157">
        <v>32820.519999999997</v>
      </c>
      <c r="R37" s="157">
        <v>14976.65</v>
      </c>
      <c r="S37" s="157">
        <v>8250.6200000000008</v>
      </c>
      <c r="T37" s="125">
        <v>1059248</v>
      </c>
      <c r="U37" s="125">
        <v>283993.61</v>
      </c>
      <c r="V37" s="125">
        <v>19696.84</v>
      </c>
      <c r="W37" s="125">
        <v>156000.47</v>
      </c>
      <c r="X37" s="157">
        <v>17000</v>
      </c>
      <c r="Y37" s="125">
        <v>40398.550000000003</v>
      </c>
      <c r="Z37" s="125">
        <v>1082541</v>
      </c>
      <c r="AA37" s="125">
        <v>403843.02</v>
      </c>
      <c r="AB37" s="125">
        <v>498582.41</v>
      </c>
      <c r="AC37" s="125">
        <v>357971.53</v>
      </c>
      <c r="AD37" s="125">
        <v>687357.23</v>
      </c>
      <c r="AE37" s="157">
        <v>292954.89</v>
      </c>
      <c r="AF37" s="157">
        <v>740459.38</v>
      </c>
      <c r="AG37" s="125">
        <v>436727.43</v>
      </c>
      <c r="AH37" s="125">
        <v>14908.28</v>
      </c>
      <c r="AI37" s="157">
        <v>256046</v>
      </c>
      <c r="AJ37" s="157">
        <v>348192</v>
      </c>
      <c r="AK37" s="157">
        <v>223753</v>
      </c>
      <c r="AL37" s="125">
        <v>8121663.1799999997</v>
      </c>
    </row>
    <row r="38" spans="1:38" s="117" customFormat="1" ht="15" customHeight="1" x14ac:dyDescent="0.2">
      <c r="A38" s="123" t="s">
        <v>144</v>
      </c>
      <c r="B38" s="124" t="s">
        <v>145</v>
      </c>
      <c r="C38" s="157">
        <v>0</v>
      </c>
      <c r="D38" s="125">
        <v>0</v>
      </c>
      <c r="E38" s="157">
        <v>0</v>
      </c>
      <c r="F38" s="125">
        <v>-407466.44</v>
      </c>
      <c r="G38" s="157">
        <v>0</v>
      </c>
      <c r="H38" s="157">
        <v>0</v>
      </c>
      <c r="I38" s="157">
        <v>0</v>
      </c>
      <c r="J38" s="125">
        <v>-132440.84</v>
      </c>
      <c r="K38" s="125">
        <v>0</v>
      </c>
      <c r="L38" s="125">
        <v>-239415.08</v>
      </c>
      <c r="M38" s="157">
        <v>0</v>
      </c>
      <c r="N38" s="157">
        <v>-268816.49</v>
      </c>
      <c r="O38" s="157">
        <v>-15609.05</v>
      </c>
      <c r="P38" s="125">
        <v>0</v>
      </c>
      <c r="Q38" s="157">
        <v>0</v>
      </c>
      <c r="R38" s="157">
        <v>-23400.01</v>
      </c>
      <c r="S38" s="157">
        <v>0</v>
      </c>
      <c r="T38" s="125">
        <v>-1053003.57</v>
      </c>
      <c r="U38" s="125">
        <v>-313605.69</v>
      </c>
      <c r="V38" s="125">
        <v>0</v>
      </c>
      <c r="W38" s="125">
        <v>-210582.06</v>
      </c>
      <c r="X38" s="157">
        <v>0</v>
      </c>
      <c r="Y38" s="125">
        <v>0</v>
      </c>
      <c r="Z38" s="125">
        <v>-1137147.06</v>
      </c>
      <c r="AA38" s="125">
        <v>-397635.78</v>
      </c>
      <c r="AB38" s="125">
        <v>-509993.76</v>
      </c>
      <c r="AC38" s="125">
        <v>-340406.58</v>
      </c>
      <c r="AD38" s="125">
        <v>-616050.39</v>
      </c>
      <c r="AE38" s="157">
        <v>-352147.19</v>
      </c>
      <c r="AF38" s="157">
        <v>-789957.68</v>
      </c>
      <c r="AG38" s="125">
        <v>-436325.92</v>
      </c>
      <c r="AH38" s="125">
        <v>0</v>
      </c>
      <c r="AI38" s="157">
        <v>-294923.83</v>
      </c>
      <c r="AJ38" s="157">
        <v>-333433.26</v>
      </c>
      <c r="AK38" s="157">
        <v>-255370.37</v>
      </c>
      <c r="AL38" s="125">
        <v>-8127731.0499999998</v>
      </c>
    </row>
    <row r="39" spans="1:38" s="117" customFormat="1" ht="15" customHeight="1" x14ac:dyDescent="0.2">
      <c r="A39" s="123" t="s">
        <v>146</v>
      </c>
      <c r="B39" s="124" t="s">
        <v>147</v>
      </c>
      <c r="C39" s="157">
        <v>3370.52</v>
      </c>
      <c r="D39" s="125">
        <v>8118</v>
      </c>
      <c r="E39" s="157">
        <v>3271.76</v>
      </c>
      <c r="F39" s="125">
        <v>23923.87</v>
      </c>
      <c r="G39" s="157">
        <v>6361</v>
      </c>
      <c r="H39" s="157">
        <v>5474.14</v>
      </c>
      <c r="I39" s="157">
        <v>3912.75</v>
      </c>
      <c r="J39" s="125">
        <v>4798.74</v>
      </c>
      <c r="K39" s="125">
        <v>6869.08</v>
      </c>
      <c r="L39" s="125">
        <v>20359.939999999999</v>
      </c>
      <c r="M39" s="157">
        <v>5407.24</v>
      </c>
      <c r="N39" s="157">
        <v>37298.870000000003</v>
      </c>
      <c r="O39" s="157">
        <v>1922.58</v>
      </c>
      <c r="P39" s="125">
        <v>5209.68</v>
      </c>
      <c r="Q39" s="157">
        <v>5779.08</v>
      </c>
      <c r="R39" s="157">
        <v>7526.93</v>
      </c>
      <c r="S39" s="157">
        <v>4400.68</v>
      </c>
      <c r="T39" s="125">
        <v>13600</v>
      </c>
      <c r="U39" s="125">
        <v>28824</v>
      </c>
      <c r="V39" s="125">
        <v>3066.18</v>
      </c>
      <c r="W39" s="125">
        <v>16068.66</v>
      </c>
      <c r="X39" s="157">
        <v>0</v>
      </c>
      <c r="Y39" s="125">
        <v>0</v>
      </c>
      <c r="Z39" s="125">
        <v>3536</v>
      </c>
      <c r="AA39" s="125">
        <v>0</v>
      </c>
      <c r="AB39" s="125">
        <v>29474.63</v>
      </c>
      <c r="AC39" s="125">
        <v>19</v>
      </c>
      <c r="AD39" s="125">
        <v>-12922.37</v>
      </c>
      <c r="AE39" s="157">
        <v>1000</v>
      </c>
      <c r="AF39" s="157">
        <v>1000</v>
      </c>
      <c r="AG39" s="125">
        <v>27565.1</v>
      </c>
      <c r="AH39" s="125">
        <v>4164.6000000000004</v>
      </c>
      <c r="AI39" s="157">
        <v>7355</v>
      </c>
      <c r="AJ39" s="157">
        <v>0</v>
      </c>
      <c r="AK39" s="157">
        <v>23000</v>
      </c>
      <c r="AL39" s="125">
        <v>299755.65999999997</v>
      </c>
    </row>
    <row r="40" spans="1:38" s="117" customFormat="1" ht="15" customHeight="1" x14ac:dyDescent="0.2">
      <c r="A40" s="123" t="s">
        <v>148</v>
      </c>
      <c r="B40" s="124" t="s">
        <v>149</v>
      </c>
      <c r="C40" s="157">
        <v>6741.04</v>
      </c>
      <c r="D40" s="125">
        <v>4059</v>
      </c>
      <c r="E40" s="157">
        <v>6543.52</v>
      </c>
      <c r="F40" s="125">
        <v>203579.66</v>
      </c>
      <c r="G40" s="157">
        <v>12722</v>
      </c>
      <c r="H40" s="157">
        <v>11000</v>
      </c>
      <c r="I40" s="157">
        <v>5490.72</v>
      </c>
      <c r="J40" s="125">
        <v>187727.38</v>
      </c>
      <c r="K40" s="125">
        <v>3434.54</v>
      </c>
      <c r="L40" s="125">
        <v>166995</v>
      </c>
      <c r="M40" s="157">
        <v>2703.62</v>
      </c>
      <c r="N40" s="157">
        <v>231344.71</v>
      </c>
      <c r="O40" s="157">
        <v>12000</v>
      </c>
      <c r="P40" s="125">
        <v>2604.84</v>
      </c>
      <c r="Q40" s="157">
        <v>11558.16</v>
      </c>
      <c r="R40" s="157">
        <v>10726.6</v>
      </c>
      <c r="S40" s="157">
        <v>2200.34</v>
      </c>
      <c r="T40" s="125">
        <v>275210</v>
      </c>
      <c r="U40" s="125">
        <v>252532.82</v>
      </c>
      <c r="V40" s="125">
        <v>6132.36</v>
      </c>
      <c r="W40" s="125">
        <v>192332.38</v>
      </c>
      <c r="X40" s="157">
        <v>11250</v>
      </c>
      <c r="Y40" s="125">
        <v>23703.25</v>
      </c>
      <c r="Z40" s="125">
        <v>217496</v>
      </c>
      <c r="AA40" s="125">
        <v>285203.21000000002</v>
      </c>
      <c r="AB40" s="125">
        <v>255141.09</v>
      </c>
      <c r="AC40" s="125">
        <v>297168.32</v>
      </c>
      <c r="AD40" s="125">
        <v>376914.63</v>
      </c>
      <c r="AE40" s="157">
        <v>194778.63</v>
      </c>
      <c r="AF40" s="157">
        <v>234568.13</v>
      </c>
      <c r="AG40" s="125">
        <v>295102.90999999997</v>
      </c>
      <c r="AH40" s="125">
        <v>5552.8</v>
      </c>
      <c r="AI40" s="157">
        <v>165813.75</v>
      </c>
      <c r="AJ40" s="157">
        <v>182222</v>
      </c>
      <c r="AK40" s="157">
        <v>119626</v>
      </c>
      <c r="AL40" s="125">
        <v>4272179.41</v>
      </c>
    </row>
    <row r="41" spans="1:38" s="117" customFormat="1" ht="15" customHeight="1" x14ac:dyDescent="0.2">
      <c r="A41" s="123" t="s">
        <v>150</v>
      </c>
      <c r="B41" s="124" t="s">
        <v>151</v>
      </c>
      <c r="C41" s="157">
        <v>0</v>
      </c>
      <c r="D41" s="125">
        <v>0</v>
      </c>
      <c r="E41" s="157">
        <v>0</v>
      </c>
      <c r="F41" s="125">
        <v>-213255</v>
      </c>
      <c r="G41" s="157">
        <v>0</v>
      </c>
      <c r="H41" s="157">
        <v>0</v>
      </c>
      <c r="I41" s="157">
        <v>0</v>
      </c>
      <c r="J41" s="125">
        <v>-177029</v>
      </c>
      <c r="K41" s="125">
        <v>0</v>
      </c>
      <c r="L41" s="125">
        <v>-167357</v>
      </c>
      <c r="M41" s="157">
        <v>0</v>
      </c>
      <c r="N41" s="157">
        <v>-255202.46</v>
      </c>
      <c r="O41" s="157">
        <v>-7500</v>
      </c>
      <c r="P41" s="125">
        <v>0</v>
      </c>
      <c r="Q41" s="157">
        <v>0</v>
      </c>
      <c r="R41" s="157">
        <v>-10000</v>
      </c>
      <c r="S41" s="157">
        <v>0</v>
      </c>
      <c r="T41" s="125">
        <v>-273423</v>
      </c>
      <c r="U41" s="125">
        <v>-253775</v>
      </c>
      <c r="V41" s="125">
        <v>0</v>
      </c>
      <c r="W41" s="125">
        <v>-185783</v>
      </c>
      <c r="X41" s="157">
        <v>0</v>
      </c>
      <c r="Y41" s="125">
        <v>0</v>
      </c>
      <c r="Z41" s="125">
        <v>-208813</v>
      </c>
      <c r="AA41" s="125">
        <v>-279869</v>
      </c>
      <c r="AB41" s="125">
        <v>-271099.21999999997</v>
      </c>
      <c r="AC41" s="125">
        <v>-272893</v>
      </c>
      <c r="AD41" s="125">
        <v>-344701</v>
      </c>
      <c r="AE41" s="157">
        <v>-180940</v>
      </c>
      <c r="AF41" s="157">
        <v>-221269</v>
      </c>
      <c r="AG41" s="125">
        <v>-304013.94</v>
      </c>
      <c r="AH41" s="125">
        <v>0</v>
      </c>
      <c r="AI41" s="157">
        <v>-149030</v>
      </c>
      <c r="AJ41" s="157">
        <v>-153349</v>
      </c>
      <c r="AK41" s="157">
        <v>-129280</v>
      </c>
      <c r="AL41" s="125">
        <v>-4058581.62</v>
      </c>
    </row>
    <row r="42" spans="1:38" s="117" customFormat="1" ht="15" customHeight="1" x14ac:dyDescent="0.2">
      <c r="A42" s="123" t="s">
        <v>438</v>
      </c>
      <c r="B42" s="124" t="s">
        <v>439</v>
      </c>
      <c r="C42" s="157">
        <v>0</v>
      </c>
      <c r="D42" s="125">
        <v>0</v>
      </c>
      <c r="E42" s="157">
        <v>0</v>
      </c>
      <c r="F42" s="125">
        <v>0</v>
      </c>
      <c r="G42" s="157">
        <v>0</v>
      </c>
      <c r="H42" s="157">
        <v>0</v>
      </c>
      <c r="I42" s="157">
        <v>0</v>
      </c>
      <c r="J42" s="125">
        <v>843.84</v>
      </c>
      <c r="K42" s="125">
        <v>0</v>
      </c>
      <c r="L42" s="125">
        <v>20211.400000000001</v>
      </c>
      <c r="M42" s="157">
        <v>0</v>
      </c>
      <c r="N42" s="157">
        <v>0</v>
      </c>
      <c r="O42" s="157">
        <v>0</v>
      </c>
      <c r="P42" s="125">
        <v>0</v>
      </c>
      <c r="Q42" s="157">
        <v>0</v>
      </c>
      <c r="R42" s="157">
        <v>0</v>
      </c>
      <c r="S42" s="157">
        <v>0</v>
      </c>
      <c r="T42" s="125">
        <v>0</v>
      </c>
      <c r="U42" s="125">
        <v>38275</v>
      </c>
      <c r="V42" s="125">
        <v>0</v>
      </c>
      <c r="W42" s="125">
        <v>7005.35</v>
      </c>
      <c r="X42" s="157">
        <v>0</v>
      </c>
      <c r="Y42" s="125">
        <v>0</v>
      </c>
      <c r="Z42" s="125">
        <v>0</v>
      </c>
      <c r="AA42" s="125">
        <v>0</v>
      </c>
      <c r="AB42" s="125">
        <v>27339.51</v>
      </c>
      <c r="AC42" s="125">
        <v>0</v>
      </c>
      <c r="AD42" s="125">
        <v>19576.62</v>
      </c>
      <c r="AE42" s="157">
        <v>0</v>
      </c>
      <c r="AF42" s="157">
        <v>0</v>
      </c>
      <c r="AG42" s="125">
        <v>0</v>
      </c>
      <c r="AH42" s="125">
        <v>0</v>
      </c>
      <c r="AI42" s="157">
        <v>-1255.07</v>
      </c>
      <c r="AJ42" s="157">
        <v>23692.57</v>
      </c>
      <c r="AK42" s="157">
        <v>25756.33</v>
      </c>
      <c r="AL42" s="125">
        <v>161445.54999999999</v>
      </c>
    </row>
    <row r="43" spans="1:38" s="117" customFormat="1" ht="15" customHeight="1" x14ac:dyDescent="0.2">
      <c r="A43" s="123" t="s">
        <v>440</v>
      </c>
      <c r="B43" s="124" t="s">
        <v>441</v>
      </c>
      <c r="C43" s="157">
        <v>0</v>
      </c>
      <c r="D43" s="125">
        <v>0</v>
      </c>
      <c r="E43" s="157">
        <v>0</v>
      </c>
      <c r="F43" s="125">
        <v>0</v>
      </c>
      <c r="G43" s="157">
        <v>0</v>
      </c>
      <c r="H43" s="157">
        <v>0</v>
      </c>
      <c r="I43" s="157">
        <v>0</v>
      </c>
      <c r="J43" s="125">
        <v>75599.600000000006</v>
      </c>
      <c r="K43" s="125">
        <v>0</v>
      </c>
      <c r="L43" s="125">
        <v>155800</v>
      </c>
      <c r="M43" s="157">
        <v>0</v>
      </c>
      <c r="N43" s="157">
        <v>0</v>
      </c>
      <c r="O43" s="157">
        <v>0</v>
      </c>
      <c r="P43" s="125">
        <v>0</v>
      </c>
      <c r="Q43" s="157">
        <v>0</v>
      </c>
      <c r="R43" s="157">
        <v>0</v>
      </c>
      <c r="S43" s="157">
        <v>0</v>
      </c>
      <c r="T43" s="125">
        <v>0</v>
      </c>
      <c r="U43" s="125">
        <v>231836.98</v>
      </c>
      <c r="V43" s="125">
        <v>0</v>
      </c>
      <c r="W43" s="125">
        <v>120161.47</v>
      </c>
      <c r="X43" s="157">
        <v>0</v>
      </c>
      <c r="Y43" s="125">
        <v>0</v>
      </c>
      <c r="Z43" s="125">
        <v>0</v>
      </c>
      <c r="AA43" s="125">
        <v>0</v>
      </c>
      <c r="AB43" s="125">
        <v>238486.1</v>
      </c>
      <c r="AC43" s="125">
        <v>0</v>
      </c>
      <c r="AD43" s="125">
        <v>213990.68</v>
      </c>
      <c r="AE43" s="157">
        <v>0</v>
      </c>
      <c r="AF43" s="157">
        <v>0</v>
      </c>
      <c r="AG43" s="125">
        <v>0</v>
      </c>
      <c r="AH43" s="125">
        <v>0</v>
      </c>
      <c r="AI43" s="157">
        <v>150204</v>
      </c>
      <c r="AJ43" s="157">
        <v>129000</v>
      </c>
      <c r="AK43" s="157">
        <v>131750</v>
      </c>
      <c r="AL43" s="125">
        <v>1446828.83</v>
      </c>
    </row>
    <row r="44" spans="1:38" s="117" customFormat="1" ht="15" customHeight="1" x14ac:dyDescent="0.2">
      <c r="A44" s="123" t="s">
        <v>442</v>
      </c>
      <c r="B44" s="124" t="s">
        <v>443</v>
      </c>
      <c r="C44" s="157">
        <v>0</v>
      </c>
      <c r="D44" s="125">
        <v>0</v>
      </c>
      <c r="E44" s="157">
        <v>0</v>
      </c>
      <c r="F44" s="125">
        <v>0</v>
      </c>
      <c r="G44" s="157">
        <v>0</v>
      </c>
      <c r="H44" s="157">
        <v>0</v>
      </c>
      <c r="I44" s="157">
        <v>0</v>
      </c>
      <c r="J44" s="125">
        <v>-75517.539999999994</v>
      </c>
      <c r="K44" s="125">
        <v>0</v>
      </c>
      <c r="L44" s="125">
        <v>-157091.32999999999</v>
      </c>
      <c r="M44" s="157">
        <v>0</v>
      </c>
      <c r="N44" s="157">
        <v>0</v>
      </c>
      <c r="O44" s="157">
        <v>0</v>
      </c>
      <c r="P44" s="125">
        <v>0</v>
      </c>
      <c r="Q44" s="157">
        <v>0</v>
      </c>
      <c r="R44" s="157">
        <v>0</v>
      </c>
      <c r="S44" s="157">
        <v>0</v>
      </c>
      <c r="T44" s="125">
        <v>0</v>
      </c>
      <c r="U44" s="125">
        <v>-225332.06</v>
      </c>
      <c r="V44" s="125">
        <v>0</v>
      </c>
      <c r="W44" s="125">
        <v>-116494.64</v>
      </c>
      <c r="X44" s="157">
        <v>0</v>
      </c>
      <c r="Y44" s="125">
        <v>0</v>
      </c>
      <c r="Z44" s="125">
        <v>0</v>
      </c>
      <c r="AA44" s="125">
        <v>0</v>
      </c>
      <c r="AB44" s="125">
        <v>-247648.07</v>
      </c>
      <c r="AC44" s="125">
        <v>0</v>
      </c>
      <c r="AD44" s="125">
        <v>-217142.79</v>
      </c>
      <c r="AE44" s="157">
        <v>0</v>
      </c>
      <c r="AF44" s="157">
        <v>0</v>
      </c>
      <c r="AG44" s="125">
        <v>0</v>
      </c>
      <c r="AH44" s="125">
        <v>0</v>
      </c>
      <c r="AI44" s="157">
        <v>-123136.64</v>
      </c>
      <c r="AJ44" s="157">
        <v>-128218.47</v>
      </c>
      <c r="AK44" s="157">
        <v>-147346.96</v>
      </c>
      <c r="AL44" s="125">
        <v>-1437928.5</v>
      </c>
    </row>
    <row r="45" spans="1:38" s="117" customFormat="1" ht="15" customHeight="1" x14ac:dyDescent="0.2">
      <c r="A45" s="123" t="s">
        <v>444</v>
      </c>
      <c r="B45" s="124" t="s">
        <v>445</v>
      </c>
      <c r="C45" s="157">
        <v>0</v>
      </c>
      <c r="D45" s="125">
        <v>0</v>
      </c>
      <c r="E45" s="157">
        <v>0</v>
      </c>
      <c r="F45" s="125">
        <v>0</v>
      </c>
      <c r="G45" s="157">
        <v>1.25</v>
      </c>
      <c r="H45" s="157">
        <v>0</v>
      </c>
      <c r="I45" s="157">
        <v>0</v>
      </c>
      <c r="J45" s="125">
        <v>0</v>
      </c>
      <c r="K45" s="125">
        <v>0</v>
      </c>
      <c r="L45" s="125">
        <v>0</v>
      </c>
      <c r="M45" s="157">
        <v>0</v>
      </c>
      <c r="N45" s="157">
        <v>0</v>
      </c>
      <c r="O45" s="157">
        <v>0</v>
      </c>
      <c r="P45" s="125">
        <v>0</v>
      </c>
      <c r="Q45" s="157">
        <v>0</v>
      </c>
      <c r="R45" s="157">
        <v>0</v>
      </c>
      <c r="S45" s="157">
        <v>0</v>
      </c>
      <c r="T45" s="125">
        <v>0</v>
      </c>
      <c r="U45" s="125">
        <v>0</v>
      </c>
      <c r="V45" s="125">
        <v>0</v>
      </c>
      <c r="W45" s="125">
        <v>0</v>
      </c>
      <c r="X45" s="157">
        <v>0</v>
      </c>
      <c r="Y45" s="125">
        <v>0</v>
      </c>
      <c r="Z45" s="125">
        <v>0</v>
      </c>
      <c r="AA45" s="125">
        <v>0</v>
      </c>
      <c r="AB45" s="125">
        <v>0</v>
      </c>
      <c r="AC45" s="125">
        <v>0</v>
      </c>
      <c r="AD45" s="125">
        <v>0</v>
      </c>
      <c r="AE45" s="157">
        <v>0</v>
      </c>
      <c r="AF45" s="157">
        <v>0</v>
      </c>
      <c r="AG45" s="125">
        <v>0</v>
      </c>
      <c r="AH45" s="125">
        <v>0</v>
      </c>
      <c r="AI45" s="157">
        <v>0</v>
      </c>
      <c r="AJ45" s="157">
        <v>0</v>
      </c>
      <c r="AK45" s="157">
        <v>0</v>
      </c>
      <c r="AL45" s="125">
        <v>1.25</v>
      </c>
    </row>
    <row r="46" spans="1:38" s="117" customFormat="1" ht="15" customHeight="1" x14ac:dyDescent="0.2">
      <c r="A46" s="123" t="s">
        <v>446</v>
      </c>
      <c r="B46" s="124" t="s">
        <v>447</v>
      </c>
      <c r="C46" s="157">
        <v>0</v>
      </c>
      <c r="D46" s="125">
        <v>0</v>
      </c>
      <c r="E46" s="157">
        <v>0</v>
      </c>
      <c r="F46" s="125">
        <v>0</v>
      </c>
      <c r="G46" s="157">
        <v>1800</v>
      </c>
      <c r="H46" s="157">
        <v>0</v>
      </c>
      <c r="I46" s="157">
        <v>0</v>
      </c>
      <c r="J46" s="125">
        <v>0</v>
      </c>
      <c r="K46" s="125">
        <v>0</v>
      </c>
      <c r="L46" s="125">
        <v>0</v>
      </c>
      <c r="M46" s="157">
        <v>0</v>
      </c>
      <c r="N46" s="157">
        <v>0</v>
      </c>
      <c r="O46" s="157">
        <v>0</v>
      </c>
      <c r="P46" s="125">
        <v>0</v>
      </c>
      <c r="Q46" s="157">
        <v>0</v>
      </c>
      <c r="R46" s="157">
        <v>0</v>
      </c>
      <c r="S46" s="157">
        <v>0</v>
      </c>
      <c r="T46" s="125">
        <v>0</v>
      </c>
      <c r="U46" s="125">
        <v>0</v>
      </c>
      <c r="V46" s="125">
        <v>0</v>
      </c>
      <c r="W46" s="125">
        <v>0</v>
      </c>
      <c r="X46" s="157">
        <v>0</v>
      </c>
      <c r="Y46" s="125">
        <v>0</v>
      </c>
      <c r="Z46" s="125">
        <v>0</v>
      </c>
      <c r="AA46" s="125">
        <v>0</v>
      </c>
      <c r="AB46" s="125">
        <v>0</v>
      </c>
      <c r="AC46" s="125">
        <v>0</v>
      </c>
      <c r="AD46" s="125">
        <v>0</v>
      </c>
      <c r="AE46" s="157">
        <v>0</v>
      </c>
      <c r="AF46" s="157">
        <v>0</v>
      </c>
      <c r="AG46" s="125">
        <v>0</v>
      </c>
      <c r="AH46" s="125">
        <v>0</v>
      </c>
      <c r="AI46" s="157">
        <v>0</v>
      </c>
      <c r="AJ46" s="157">
        <v>0</v>
      </c>
      <c r="AK46" s="157">
        <v>0</v>
      </c>
      <c r="AL46" s="125">
        <v>1800</v>
      </c>
    </row>
    <row r="47" spans="1:38" s="117" customFormat="1" ht="15" customHeight="1" x14ac:dyDescent="0.2">
      <c r="A47" s="123" t="s">
        <v>448</v>
      </c>
      <c r="B47" s="124" t="s">
        <v>449</v>
      </c>
      <c r="C47" s="157">
        <v>0</v>
      </c>
      <c r="D47" s="125">
        <v>0</v>
      </c>
      <c r="E47" s="157">
        <v>0</v>
      </c>
      <c r="F47" s="125">
        <v>0</v>
      </c>
      <c r="G47" s="157">
        <v>-1801.25</v>
      </c>
      <c r="H47" s="157">
        <v>0</v>
      </c>
      <c r="I47" s="157">
        <v>0</v>
      </c>
      <c r="J47" s="125">
        <v>0</v>
      </c>
      <c r="K47" s="125">
        <v>0</v>
      </c>
      <c r="L47" s="125">
        <v>0</v>
      </c>
      <c r="M47" s="157">
        <v>0</v>
      </c>
      <c r="N47" s="157">
        <v>0</v>
      </c>
      <c r="O47" s="157">
        <v>0</v>
      </c>
      <c r="P47" s="125">
        <v>0</v>
      </c>
      <c r="Q47" s="157">
        <v>0</v>
      </c>
      <c r="R47" s="157">
        <v>0</v>
      </c>
      <c r="S47" s="157">
        <v>0</v>
      </c>
      <c r="T47" s="125">
        <v>0</v>
      </c>
      <c r="U47" s="125">
        <v>0</v>
      </c>
      <c r="V47" s="125">
        <v>0</v>
      </c>
      <c r="W47" s="125">
        <v>0</v>
      </c>
      <c r="X47" s="157">
        <v>0</v>
      </c>
      <c r="Y47" s="125">
        <v>0</v>
      </c>
      <c r="Z47" s="125">
        <v>0</v>
      </c>
      <c r="AA47" s="125">
        <v>0</v>
      </c>
      <c r="AB47" s="125">
        <v>0</v>
      </c>
      <c r="AC47" s="125">
        <v>0</v>
      </c>
      <c r="AD47" s="125">
        <v>0</v>
      </c>
      <c r="AE47" s="157">
        <v>0</v>
      </c>
      <c r="AF47" s="157">
        <v>0</v>
      </c>
      <c r="AG47" s="125">
        <v>0</v>
      </c>
      <c r="AH47" s="125">
        <v>0</v>
      </c>
      <c r="AI47" s="157">
        <v>0</v>
      </c>
      <c r="AJ47" s="157">
        <v>0</v>
      </c>
      <c r="AK47" s="157">
        <v>0</v>
      </c>
      <c r="AL47" s="125">
        <v>-1801.25</v>
      </c>
    </row>
    <row r="48" spans="1:38" s="117" customFormat="1" ht="15" customHeight="1" x14ac:dyDescent="0.2">
      <c r="A48" s="123" t="s">
        <v>450</v>
      </c>
      <c r="B48" s="124" t="s">
        <v>451</v>
      </c>
      <c r="C48" s="157">
        <v>0</v>
      </c>
      <c r="D48" s="125">
        <v>0</v>
      </c>
      <c r="E48" s="157">
        <v>0</v>
      </c>
      <c r="F48" s="125">
        <v>0</v>
      </c>
      <c r="G48" s="157">
        <v>0</v>
      </c>
      <c r="H48" s="157">
        <v>0</v>
      </c>
      <c r="I48" s="157">
        <v>0</v>
      </c>
      <c r="J48" s="125">
        <v>0</v>
      </c>
      <c r="K48" s="125">
        <v>0</v>
      </c>
      <c r="L48" s="125">
        <v>-336427.09</v>
      </c>
      <c r="M48" s="157">
        <v>0</v>
      </c>
      <c r="N48" s="157">
        <v>0</v>
      </c>
      <c r="O48" s="157">
        <v>0</v>
      </c>
      <c r="P48" s="125">
        <v>0</v>
      </c>
      <c r="Q48" s="157">
        <v>0</v>
      </c>
      <c r="R48" s="157">
        <v>0</v>
      </c>
      <c r="S48" s="157">
        <v>0</v>
      </c>
      <c r="T48" s="125">
        <v>0</v>
      </c>
      <c r="U48" s="125">
        <v>-626028</v>
      </c>
      <c r="V48" s="125">
        <v>0</v>
      </c>
      <c r="W48" s="125">
        <v>0</v>
      </c>
      <c r="X48" s="157">
        <v>0</v>
      </c>
      <c r="Y48" s="125">
        <v>0</v>
      </c>
      <c r="Z48" s="125">
        <v>0</v>
      </c>
      <c r="AA48" s="125">
        <v>0</v>
      </c>
      <c r="AB48" s="125">
        <v>0</v>
      </c>
      <c r="AC48" s="125">
        <v>0</v>
      </c>
      <c r="AD48" s="125">
        <v>0</v>
      </c>
      <c r="AE48" s="157">
        <v>0</v>
      </c>
      <c r="AF48" s="157">
        <v>0</v>
      </c>
      <c r="AG48" s="125">
        <v>0</v>
      </c>
      <c r="AH48" s="125">
        <v>0</v>
      </c>
      <c r="AI48" s="157">
        <v>0</v>
      </c>
      <c r="AJ48" s="157">
        <v>-288145.99</v>
      </c>
      <c r="AK48" s="157">
        <v>0</v>
      </c>
      <c r="AL48" s="125">
        <v>-1250601.08</v>
      </c>
    </row>
    <row r="49" spans="1:38" s="117" customFormat="1" ht="15" customHeight="1" x14ac:dyDescent="0.2">
      <c r="A49" s="123" t="s">
        <v>512</v>
      </c>
      <c r="B49" s="124" t="s">
        <v>513</v>
      </c>
      <c r="C49" s="157">
        <v>0</v>
      </c>
      <c r="D49" s="125">
        <v>0</v>
      </c>
      <c r="E49" s="157">
        <v>0</v>
      </c>
      <c r="F49" s="125">
        <v>566391.4</v>
      </c>
      <c r="G49" s="157">
        <v>0</v>
      </c>
      <c r="H49" s="157">
        <v>0</v>
      </c>
      <c r="I49" s="157">
        <v>0</v>
      </c>
      <c r="J49" s="125">
        <v>0</v>
      </c>
      <c r="K49" s="125">
        <v>0</v>
      </c>
      <c r="L49" s="125">
        <v>507866.02</v>
      </c>
      <c r="M49" s="157">
        <v>0</v>
      </c>
      <c r="N49" s="157">
        <v>0</v>
      </c>
      <c r="O49" s="157">
        <v>0</v>
      </c>
      <c r="P49" s="125">
        <v>0</v>
      </c>
      <c r="Q49" s="157">
        <v>0</v>
      </c>
      <c r="R49" s="157">
        <v>0</v>
      </c>
      <c r="S49" s="157">
        <v>0</v>
      </c>
      <c r="T49" s="125">
        <v>0</v>
      </c>
      <c r="U49" s="125">
        <v>626028</v>
      </c>
      <c r="V49" s="125">
        <v>0</v>
      </c>
      <c r="W49" s="125">
        <v>0</v>
      </c>
      <c r="X49" s="157">
        <v>0</v>
      </c>
      <c r="Y49" s="125">
        <v>0</v>
      </c>
      <c r="Z49" s="125">
        <v>0</v>
      </c>
      <c r="AA49" s="125">
        <v>0</v>
      </c>
      <c r="AB49" s="125">
        <v>0</v>
      </c>
      <c r="AC49" s="125">
        <v>0</v>
      </c>
      <c r="AD49" s="125">
        <v>37385.699999999997</v>
      </c>
      <c r="AE49" s="157">
        <v>0</v>
      </c>
      <c r="AF49" s="157">
        <v>0</v>
      </c>
      <c r="AG49" s="125">
        <v>0</v>
      </c>
      <c r="AH49" s="125">
        <v>0</v>
      </c>
      <c r="AI49" s="157">
        <v>0</v>
      </c>
      <c r="AJ49" s="157">
        <v>402452</v>
      </c>
      <c r="AK49" s="157">
        <v>134254</v>
      </c>
      <c r="AL49" s="125">
        <v>2274377.12</v>
      </c>
    </row>
    <row r="50" spans="1:38" s="117" customFormat="1" ht="15" customHeight="1" x14ac:dyDescent="0.2">
      <c r="A50" s="123" t="s">
        <v>514</v>
      </c>
      <c r="B50" s="124" t="s">
        <v>515</v>
      </c>
      <c r="C50" s="157">
        <v>0</v>
      </c>
      <c r="D50" s="125">
        <v>0</v>
      </c>
      <c r="E50" s="157">
        <v>0</v>
      </c>
      <c r="F50" s="125">
        <v>0</v>
      </c>
      <c r="G50" s="157">
        <v>0</v>
      </c>
      <c r="H50" s="157">
        <v>0</v>
      </c>
      <c r="I50" s="157">
        <v>0</v>
      </c>
      <c r="J50" s="125">
        <v>0</v>
      </c>
      <c r="K50" s="125">
        <v>0</v>
      </c>
      <c r="L50" s="125">
        <v>-171438.93</v>
      </c>
      <c r="M50" s="157">
        <v>0</v>
      </c>
      <c r="N50" s="157">
        <v>0</v>
      </c>
      <c r="O50" s="157">
        <v>0</v>
      </c>
      <c r="P50" s="125">
        <v>0</v>
      </c>
      <c r="Q50" s="157">
        <v>0</v>
      </c>
      <c r="R50" s="157">
        <v>0</v>
      </c>
      <c r="S50" s="157">
        <v>0</v>
      </c>
      <c r="T50" s="125">
        <v>0</v>
      </c>
      <c r="U50" s="125">
        <v>0</v>
      </c>
      <c r="V50" s="125">
        <v>0</v>
      </c>
      <c r="W50" s="125">
        <v>0</v>
      </c>
      <c r="X50" s="157">
        <v>0</v>
      </c>
      <c r="Y50" s="125">
        <v>0</v>
      </c>
      <c r="Z50" s="125">
        <v>0</v>
      </c>
      <c r="AA50" s="125">
        <v>0</v>
      </c>
      <c r="AB50" s="125">
        <v>0</v>
      </c>
      <c r="AC50" s="125">
        <v>0</v>
      </c>
      <c r="AD50" s="125">
        <v>-37385.699999999997</v>
      </c>
      <c r="AE50" s="157">
        <v>0</v>
      </c>
      <c r="AF50" s="157">
        <v>0</v>
      </c>
      <c r="AG50" s="125">
        <v>0</v>
      </c>
      <c r="AH50" s="125">
        <v>0</v>
      </c>
      <c r="AI50" s="157">
        <v>0</v>
      </c>
      <c r="AJ50" s="157">
        <v>-114306.01</v>
      </c>
      <c r="AK50" s="157">
        <v>-134254</v>
      </c>
      <c r="AL50" s="125">
        <v>-457384.64</v>
      </c>
    </row>
    <row r="51" spans="1:38" s="117" customFormat="1" ht="15" customHeight="1" x14ac:dyDescent="0.2">
      <c r="A51" s="123" t="s">
        <v>452</v>
      </c>
      <c r="B51" s="124" t="s">
        <v>453</v>
      </c>
      <c r="C51" s="157">
        <v>0</v>
      </c>
      <c r="D51" s="125">
        <v>0</v>
      </c>
      <c r="E51" s="157">
        <v>0</v>
      </c>
      <c r="F51" s="125">
        <v>0</v>
      </c>
      <c r="G51" s="157">
        <v>6389</v>
      </c>
      <c r="H51" s="157">
        <v>0</v>
      </c>
      <c r="I51" s="157">
        <v>0</v>
      </c>
      <c r="J51" s="125">
        <v>0</v>
      </c>
      <c r="K51" s="125">
        <v>0</v>
      </c>
      <c r="L51" s="125">
        <v>0</v>
      </c>
      <c r="M51" s="157">
        <v>0</v>
      </c>
      <c r="N51" s="157">
        <v>0</v>
      </c>
      <c r="O51" s="157">
        <v>0</v>
      </c>
      <c r="P51" s="125">
        <v>0</v>
      </c>
      <c r="Q51" s="157">
        <v>0</v>
      </c>
      <c r="R51" s="157">
        <v>0</v>
      </c>
      <c r="S51" s="157">
        <v>0</v>
      </c>
      <c r="T51" s="125">
        <v>0</v>
      </c>
      <c r="U51" s="125">
        <v>0</v>
      </c>
      <c r="V51" s="125">
        <v>0</v>
      </c>
      <c r="W51" s="125">
        <v>0</v>
      </c>
      <c r="X51" s="157">
        <v>0</v>
      </c>
      <c r="Y51" s="125">
        <v>0</v>
      </c>
      <c r="Z51" s="125">
        <v>0</v>
      </c>
      <c r="AA51" s="125">
        <v>0</v>
      </c>
      <c r="AB51" s="125">
        <v>0</v>
      </c>
      <c r="AC51" s="125">
        <v>0</v>
      </c>
      <c r="AD51" s="125">
        <v>0</v>
      </c>
      <c r="AE51" s="157">
        <v>0</v>
      </c>
      <c r="AF51" s="157">
        <v>0</v>
      </c>
      <c r="AG51" s="125">
        <v>0</v>
      </c>
      <c r="AH51" s="125">
        <v>0</v>
      </c>
      <c r="AI51" s="157">
        <v>0</v>
      </c>
      <c r="AJ51" s="157">
        <v>0</v>
      </c>
      <c r="AK51" s="157">
        <v>0</v>
      </c>
      <c r="AL51" s="125">
        <v>6389</v>
      </c>
    </row>
    <row r="52" spans="1:38" s="117" customFormat="1" ht="15" customHeight="1" x14ac:dyDescent="0.2">
      <c r="A52" s="123" t="s">
        <v>152</v>
      </c>
      <c r="B52" s="124" t="s">
        <v>153</v>
      </c>
      <c r="C52" s="157">
        <v>749491.36</v>
      </c>
      <c r="D52" s="125">
        <v>1324724.1399999999</v>
      </c>
      <c r="E52" s="157">
        <v>667744</v>
      </c>
      <c r="F52" s="125">
        <v>578132</v>
      </c>
      <c r="G52" s="157">
        <v>1879000</v>
      </c>
      <c r="H52" s="157">
        <v>6063</v>
      </c>
      <c r="I52" s="157">
        <v>208760</v>
      </c>
      <c r="J52" s="125">
        <v>392991</v>
      </c>
      <c r="K52" s="125">
        <v>714855</v>
      </c>
      <c r="L52" s="125">
        <v>1228734.01</v>
      </c>
      <c r="M52" s="157">
        <v>769214</v>
      </c>
      <c r="N52" s="157">
        <v>0</v>
      </c>
      <c r="O52" s="157">
        <v>400612</v>
      </c>
      <c r="P52" s="125">
        <v>214886</v>
      </c>
      <c r="Q52" s="157">
        <v>2044951</v>
      </c>
      <c r="R52" s="157">
        <v>210935.75</v>
      </c>
      <c r="S52" s="157">
        <v>413494</v>
      </c>
      <c r="T52" s="125">
        <v>965229</v>
      </c>
      <c r="U52" s="125">
        <v>0</v>
      </c>
      <c r="V52" s="125">
        <v>0</v>
      </c>
      <c r="W52" s="125">
        <v>1947185</v>
      </c>
      <c r="X52" s="157">
        <v>652531</v>
      </c>
      <c r="Y52" s="125">
        <v>0</v>
      </c>
      <c r="Z52" s="125">
        <v>1220137</v>
      </c>
      <c r="AA52" s="125">
        <v>654265</v>
      </c>
      <c r="AB52" s="125">
        <v>954767</v>
      </c>
      <c r="AC52" s="125">
        <v>827264</v>
      </c>
      <c r="AD52" s="125">
        <v>2137417</v>
      </c>
      <c r="AE52" s="157">
        <v>764647</v>
      </c>
      <c r="AF52" s="157">
        <v>784640</v>
      </c>
      <c r="AG52" s="125">
        <v>921411</v>
      </c>
      <c r="AH52" s="125">
        <v>1212590.76</v>
      </c>
      <c r="AI52" s="157">
        <v>685537</v>
      </c>
      <c r="AJ52" s="157">
        <v>901718.85</v>
      </c>
      <c r="AK52" s="157">
        <v>776885.92</v>
      </c>
      <c r="AL52" s="125">
        <v>27210812.789999999</v>
      </c>
    </row>
    <row r="53" spans="1:38" s="117" customFormat="1" ht="15" customHeight="1" x14ac:dyDescent="0.2">
      <c r="A53" s="123" t="s">
        <v>154</v>
      </c>
      <c r="B53" s="124" t="s">
        <v>155</v>
      </c>
      <c r="C53" s="157">
        <v>0</v>
      </c>
      <c r="D53" s="125">
        <v>0</v>
      </c>
      <c r="E53" s="157">
        <v>0</v>
      </c>
      <c r="F53" s="125">
        <v>0</v>
      </c>
      <c r="G53" s="157">
        <v>0</v>
      </c>
      <c r="H53" s="157">
        <v>3300</v>
      </c>
      <c r="I53" s="157">
        <v>0</v>
      </c>
      <c r="J53" s="125">
        <v>0</v>
      </c>
      <c r="K53" s="125">
        <v>0</v>
      </c>
      <c r="L53" s="125">
        <v>0</v>
      </c>
      <c r="M53" s="157">
        <v>10000</v>
      </c>
      <c r="N53" s="157">
        <v>2855</v>
      </c>
      <c r="O53" s="157">
        <v>0</v>
      </c>
      <c r="P53" s="125">
        <v>8500</v>
      </c>
      <c r="Q53" s="157">
        <v>0</v>
      </c>
      <c r="R53" s="157">
        <v>5000</v>
      </c>
      <c r="S53" s="157">
        <v>4500</v>
      </c>
      <c r="T53" s="125">
        <v>0</v>
      </c>
      <c r="U53" s="125">
        <v>0</v>
      </c>
      <c r="V53" s="125">
        <v>0</v>
      </c>
      <c r="W53" s="125">
        <v>87565</v>
      </c>
      <c r="X53" s="157">
        <v>1710</v>
      </c>
      <c r="Y53" s="125">
        <v>0</v>
      </c>
      <c r="Z53" s="125">
        <v>0</v>
      </c>
      <c r="AA53" s="125">
        <v>0</v>
      </c>
      <c r="AB53" s="125">
        <v>0</v>
      </c>
      <c r="AC53" s="125">
        <v>0</v>
      </c>
      <c r="AD53" s="125">
        <v>0</v>
      </c>
      <c r="AE53" s="157">
        <v>0</v>
      </c>
      <c r="AF53" s="157">
        <v>0</v>
      </c>
      <c r="AG53" s="125">
        <v>4925</v>
      </c>
      <c r="AH53" s="125">
        <v>0</v>
      </c>
      <c r="AI53" s="157">
        <v>0</v>
      </c>
      <c r="AJ53" s="157">
        <v>0</v>
      </c>
      <c r="AK53" s="157">
        <v>0</v>
      </c>
      <c r="AL53" s="125">
        <v>128355</v>
      </c>
    </row>
    <row r="54" spans="1:38" s="117" customFormat="1" ht="15" customHeight="1" x14ac:dyDescent="0.2">
      <c r="A54" s="123" t="s">
        <v>605</v>
      </c>
      <c r="B54" s="124" t="s">
        <v>604</v>
      </c>
      <c r="C54" s="157">
        <v>0</v>
      </c>
      <c r="D54" s="125">
        <v>61500</v>
      </c>
      <c r="E54" s="157">
        <v>8330</v>
      </c>
      <c r="F54" s="125">
        <v>6100</v>
      </c>
      <c r="G54" s="157">
        <v>0</v>
      </c>
      <c r="H54" s="157">
        <v>34000</v>
      </c>
      <c r="I54" s="157">
        <v>0</v>
      </c>
      <c r="J54" s="125">
        <v>0</v>
      </c>
      <c r="K54" s="125">
        <v>4537</v>
      </c>
      <c r="L54" s="125">
        <v>0</v>
      </c>
      <c r="M54" s="157">
        <v>6950</v>
      </c>
      <c r="N54" s="157">
        <v>0</v>
      </c>
      <c r="O54" s="157">
        <v>0</v>
      </c>
      <c r="P54" s="125">
        <v>7193</v>
      </c>
      <c r="Q54" s="157">
        <v>0</v>
      </c>
      <c r="R54" s="157">
        <v>5400</v>
      </c>
      <c r="S54" s="157">
        <v>0</v>
      </c>
      <c r="T54" s="125">
        <v>19643</v>
      </c>
      <c r="U54" s="125">
        <v>0</v>
      </c>
      <c r="V54" s="125">
        <v>1850</v>
      </c>
      <c r="W54" s="125">
        <v>0</v>
      </c>
      <c r="X54" s="157">
        <v>0</v>
      </c>
      <c r="Y54" s="125">
        <v>0</v>
      </c>
      <c r="Z54" s="125">
        <v>0</v>
      </c>
      <c r="AA54" s="125">
        <v>0</v>
      </c>
      <c r="AB54" s="125">
        <v>0</v>
      </c>
      <c r="AC54" s="125">
        <v>0</v>
      </c>
      <c r="AD54" s="125">
        <v>10533</v>
      </c>
      <c r="AE54" s="157">
        <v>0</v>
      </c>
      <c r="AF54" s="157">
        <v>0</v>
      </c>
      <c r="AG54" s="125">
        <v>36042</v>
      </c>
      <c r="AH54" s="125">
        <v>49400</v>
      </c>
      <c r="AI54" s="157">
        <v>43000</v>
      </c>
      <c r="AJ54" s="157">
        <v>0</v>
      </c>
      <c r="AK54" s="157">
        <v>0</v>
      </c>
      <c r="AL54" s="125">
        <v>294478</v>
      </c>
    </row>
    <row r="55" spans="1:38" s="117" customFormat="1" ht="15" customHeight="1" x14ac:dyDescent="0.2">
      <c r="A55" s="123" t="s">
        <v>454</v>
      </c>
      <c r="B55" s="124" t="s">
        <v>455</v>
      </c>
      <c r="C55" s="157">
        <v>2761</v>
      </c>
      <c r="D55" s="125">
        <v>0</v>
      </c>
      <c r="E55" s="157">
        <v>6444</v>
      </c>
      <c r="F55" s="125">
        <v>0</v>
      </c>
      <c r="G55" s="157">
        <v>2500</v>
      </c>
      <c r="H55" s="157">
        <v>0</v>
      </c>
      <c r="I55" s="157">
        <v>0</v>
      </c>
      <c r="J55" s="125">
        <v>0</v>
      </c>
      <c r="K55" s="125">
        <v>0</v>
      </c>
      <c r="L55" s="125">
        <v>0</v>
      </c>
      <c r="M55" s="157">
        <v>5250</v>
      </c>
      <c r="N55" s="157">
        <v>0</v>
      </c>
      <c r="O55" s="157">
        <v>0</v>
      </c>
      <c r="P55" s="125">
        <v>0</v>
      </c>
      <c r="Q55" s="157">
        <v>0</v>
      </c>
      <c r="R55" s="157">
        <v>7706.7</v>
      </c>
      <c r="S55" s="157">
        <v>1147</v>
      </c>
      <c r="T55" s="125">
        <v>0</v>
      </c>
      <c r="U55" s="125">
        <v>0</v>
      </c>
      <c r="V55" s="125">
        <v>0</v>
      </c>
      <c r="W55" s="125">
        <v>0</v>
      </c>
      <c r="X55" s="157">
        <v>0</v>
      </c>
      <c r="Y55" s="125">
        <v>0</v>
      </c>
      <c r="Z55" s="125">
        <v>0</v>
      </c>
      <c r="AA55" s="125">
        <v>0</v>
      </c>
      <c r="AB55" s="125">
        <v>0</v>
      </c>
      <c r="AC55" s="125">
        <v>0</v>
      </c>
      <c r="AD55" s="125">
        <v>6466.36</v>
      </c>
      <c r="AE55" s="157">
        <v>0</v>
      </c>
      <c r="AF55" s="157">
        <v>0</v>
      </c>
      <c r="AG55" s="125">
        <v>0</v>
      </c>
      <c r="AH55" s="125">
        <v>0</v>
      </c>
      <c r="AI55" s="157">
        <v>0</v>
      </c>
      <c r="AJ55" s="157">
        <v>0</v>
      </c>
      <c r="AK55" s="157">
        <v>0</v>
      </c>
      <c r="AL55" s="125">
        <v>32275.06</v>
      </c>
    </row>
    <row r="56" spans="1:38" s="117" customFormat="1" ht="15" customHeight="1" x14ac:dyDescent="0.2">
      <c r="A56" s="123" t="s">
        <v>156</v>
      </c>
      <c r="B56" s="124" t="s">
        <v>157</v>
      </c>
      <c r="C56" s="157">
        <v>0</v>
      </c>
      <c r="D56" s="125">
        <v>8847</v>
      </c>
      <c r="E56" s="157">
        <v>4450</v>
      </c>
      <c r="F56" s="125">
        <v>0</v>
      </c>
      <c r="G56" s="157">
        <v>39869</v>
      </c>
      <c r="H56" s="157">
        <v>374697.5</v>
      </c>
      <c r="I56" s="157">
        <v>0</v>
      </c>
      <c r="J56" s="125">
        <v>8000</v>
      </c>
      <c r="K56" s="125">
        <v>583997</v>
      </c>
      <c r="L56" s="125">
        <v>18735.57</v>
      </c>
      <c r="M56" s="157">
        <v>454039</v>
      </c>
      <c r="N56" s="157">
        <v>14500</v>
      </c>
      <c r="O56" s="157">
        <v>9817</v>
      </c>
      <c r="P56" s="125">
        <v>23393</v>
      </c>
      <c r="Q56" s="157">
        <v>2900</v>
      </c>
      <c r="R56" s="157">
        <v>0</v>
      </c>
      <c r="S56" s="157">
        <v>261471</v>
      </c>
      <c r="T56" s="125">
        <v>0</v>
      </c>
      <c r="U56" s="125">
        <v>0</v>
      </c>
      <c r="V56" s="125">
        <v>2450</v>
      </c>
      <c r="W56" s="125">
        <v>56500</v>
      </c>
      <c r="X56" s="157">
        <v>422777</v>
      </c>
      <c r="Y56" s="125">
        <v>22396</v>
      </c>
      <c r="Z56" s="125">
        <v>0</v>
      </c>
      <c r="AA56" s="125">
        <v>0</v>
      </c>
      <c r="AB56" s="125">
        <v>671432</v>
      </c>
      <c r="AC56" s="125">
        <v>0</v>
      </c>
      <c r="AD56" s="125">
        <v>0</v>
      </c>
      <c r="AE56" s="157">
        <v>0</v>
      </c>
      <c r="AF56" s="157">
        <v>0</v>
      </c>
      <c r="AG56" s="125">
        <v>0</v>
      </c>
      <c r="AH56" s="125">
        <v>200000</v>
      </c>
      <c r="AI56" s="157">
        <v>0</v>
      </c>
      <c r="AJ56" s="157">
        <v>0</v>
      </c>
      <c r="AK56" s="157">
        <v>0</v>
      </c>
      <c r="AL56" s="125">
        <v>3180271.07</v>
      </c>
    </row>
    <row r="57" spans="1:38" s="117" customFormat="1" ht="15" customHeight="1" x14ac:dyDescent="0.2">
      <c r="A57" s="123" t="s">
        <v>1039</v>
      </c>
      <c r="B57" s="124" t="s">
        <v>1038</v>
      </c>
      <c r="C57" s="157">
        <v>0</v>
      </c>
      <c r="D57" s="125">
        <v>0</v>
      </c>
      <c r="E57" s="157">
        <v>0</v>
      </c>
      <c r="F57" s="125">
        <v>0</v>
      </c>
      <c r="G57" s="157">
        <v>0</v>
      </c>
      <c r="H57" s="157">
        <v>0</v>
      </c>
      <c r="I57" s="157">
        <v>0</v>
      </c>
      <c r="J57" s="125">
        <v>0</v>
      </c>
      <c r="K57" s="125">
        <v>0</v>
      </c>
      <c r="L57" s="125">
        <v>0</v>
      </c>
      <c r="M57" s="157">
        <v>16700</v>
      </c>
      <c r="N57" s="157">
        <v>0</v>
      </c>
      <c r="O57" s="157">
        <v>0</v>
      </c>
      <c r="P57" s="125">
        <v>0</v>
      </c>
      <c r="Q57" s="157">
        <v>0</v>
      </c>
      <c r="R57" s="157">
        <v>0</v>
      </c>
      <c r="S57" s="157">
        <v>0</v>
      </c>
      <c r="T57" s="125">
        <v>0</v>
      </c>
      <c r="U57" s="125">
        <v>0</v>
      </c>
      <c r="V57" s="125">
        <v>0</v>
      </c>
      <c r="W57" s="125">
        <v>0</v>
      </c>
      <c r="X57" s="157">
        <v>0</v>
      </c>
      <c r="Y57" s="125">
        <v>0</v>
      </c>
      <c r="Z57" s="125">
        <v>0</v>
      </c>
      <c r="AA57" s="125">
        <v>0</v>
      </c>
      <c r="AB57" s="125">
        <v>0</v>
      </c>
      <c r="AC57" s="125">
        <v>0</v>
      </c>
      <c r="AD57" s="125">
        <v>0</v>
      </c>
      <c r="AE57" s="157">
        <v>0</v>
      </c>
      <c r="AF57" s="157">
        <v>0</v>
      </c>
      <c r="AG57" s="125">
        <v>5275</v>
      </c>
      <c r="AH57" s="125">
        <v>0</v>
      </c>
      <c r="AI57" s="157">
        <v>8500</v>
      </c>
      <c r="AJ57" s="157">
        <v>0</v>
      </c>
      <c r="AK57" s="157">
        <v>0</v>
      </c>
      <c r="AL57" s="125">
        <v>30475</v>
      </c>
    </row>
    <row r="58" spans="1:38" s="117" customFormat="1" ht="15" customHeight="1" x14ac:dyDescent="0.2">
      <c r="A58" s="123" t="s">
        <v>588</v>
      </c>
      <c r="B58" s="124" t="s">
        <v>587</v>
      </c>
      <c r="C58" s="157">
        <v>0</v>
      </c>
      <c r="D58" s="125">
        <v>692046</v>
      </c>
      <c r="E58" s="157">
        <v>1320</v>
      </c>
      <c r="F58" s="125">
        <v>0</v>
      </c>
      <c r="G58" s="157">
        <v>0</v>
      </c>
      <c r="H58" s="157">
        <v>0</v>
      </c>
      <c r="I58" s="157">
        <v>0</v>
      </c>
      <c r="J58" s="125">
        <v>0</v>
      </c>
      <c r="K58" s="125">
        <v>0</v>
      </c>
      <c r="L58" s="125">
        <v>0</v>
      </c>
      <c r="M58" s="157">
        <v>0</v>
      </c>
      <c r="N58" s="157">
        <v>379209</v>
      </c>
      <c r="O58" s="157">
        <v>2096</v>
      </c>
      <c r="P58" s="125">
        <v>0</v>
      </c>
      <c r="Q58" s="157">
        <v>0</v>
      </c>
      <c r="R58" s="157">
        <v>0</v>
      </c>
      <c r="S58" s="157">
        <v>0</v>
      </c>
      <c r="T58" s="125">
        <v>1053484</v>
      </c>
      <c r="U58" s="125">
        <v>0</v>
      </c>
      <c r="V58" s="125">
        <v>0</v>
      </c>
      <c r="W58" s="125">
        <v>0</v>
      </c>
      <c r="X58" s="157">
        <v>0</v>
      </c>
      <c r="Y58" s="125">
        <v>30203</v>
      </c>
      <c r="Z58" s="125">
        <v>0</v>
      </c>
      <c r="AA58" s="125">
        <v>0</v>
      </c>
      <c r="AB58" s="125">
        <v>0</v>
      </c>
      <c r="AC58" s="125">
        <v>0</v>
      </c>
      <c r="AD58" s="125">
        <v>0</v>
      </c>
      <c r="AE58" s="157">
        <v>0</v>
      </c>
      <c r="AF58" s="157">
        <v>0</v>
      </c>
      <c r="AG58" s="125">
        <v>0</v>
      </c>
      <c r="AH58" s="125">
        <v>0</v>
      </c>
      <c r="AI58" s="157">
        <v>0</v>
      </c>
      <c r="AJ58" s="157">
        <v>0</v>
      </c>
      <c r="AK58" s="157">
        <v>0</v>
      </c>
      <c r="AL58" s="125">
        <v>2158358</v>
      </c>
    </row>
    <row r="59" spans="1:38" s="117" customFormat="1" ht="15" customHeight="1" x14ac:dyDescent="0.2">
      <c r="A59" s="123" t="s">
        <v>456</v>
      </c>
      <c r="B59" s="124" t="s">
        <v>457</v>
      </c>
      <c r="C59" s="157">
        <v>513552.2</v>
      </c>
      <c r="D59" s="125">
        <v>2679.68</v>
      </c>
      <c r="E59" s="157">
        <v>300510.2</v>
      </c>
      <c r="F59" s="125">
        <v>0</v>
      </c>
      <c r="G59" s="157">
        <v>28024.94</v>
      </c>
      <c r="H59" s="157">
        <v>0</v>
      </c>
      <c r="I59" s="157">
        <v>265970.18</v>
      </c>
      <c r="J59" s="125">
        <v>339121</v>
      </c>
      <c r="K59" s="125">
        <v>3950</v>
      </c>
      <c r="L59" s="125">
        <v>20650</v>
      </c>
      <c r="M59" s="157">
        <v>2600</v>
      </c>
      <c r="N59" s="157">
        <v>0</v>
      </c>
      <c r="O59" s="157">
        <v>566393</v>
      </c>
      <c r="P59" s="125">
        <v>418996</v>
      </c>
      <c r="Q59" s="157">
        <v>1226511</v>
      </c>
      <c r="R59" s="157">
        <v>552733</v>
      </c>
      <c r="S59" s="157">
        <v>0</v>
      </c>
      <c r="T59" s="125">
        <v>0</v>
      </c>
      <c r="U59" s="125">
        <v>15929.84</v>
      </c>
      <c r="V59" s="125">
        <v>546036</v>
      </c>
      <c r="W59" s="125">
        <v>0</v>
      </c>
      <c r="X59" s="157">
        <v>0</v>
      </c>
      <c r="Y59" s="125">
        <v>0</v>
      </c>
      <c r="Z59" s="125">
        <v>325406</v>
      </c>
      <c r="AA59" s="125">
        <v>318144</v>
      </c>
      <c r="AB59" s="125">
        <v>0</v>
      </c>
      <c r="AC59" s="125">
        <v>690632</v>
      </c>
      <c r="AD59" s="125">
        <v>597254</v>
      </c>
      <c r="AE59" s="157">
        <v>147933</v>
      </c>
      <c r="AF59" s="157">
        <v>386515</v>
      </c>
      <c r="AG59" s="125">
        <v>0</v>
      </c>
      <c r="AH59" s="125">
        <v>733300</v>
      </c>
      <c r="AI59" s="157">
        <v>8400</v>
      </c>
      <c r="AJ59" s="157">
        <v>30391</v>
      </c>
      <c r="AK59" s="157">
        <v>71552</v>
      </c>
      <c r="AL59" s="125">
        <v>8113184.04</v>
      </c>
    </row>
    <row r="60" spans="1:38" s="117" customFormat="1" ht="15" customHeight="1" x14ac:dyDescent="0.2">
      <c r="A60" s="123" t="s">
        <v>158</v>
      </c>
      <c r="B60" s="124" t="s">
        <v>159</v>
      </c>
      <c r="C60" s="157">
        <v>28002.9</v>
      </c>
      <c r="D60" s="125">
        <v>3148.68</v>
      </c>
      <c r="E60" s="157">
        <v>26232</v>
      </c>
      <c r="F60" s="125">
        <v>0</v>
      </c>
      <c r="G60" s="157">
        <v>42446</v>
      </c>
      <c r="H60" s="157">
        <v>6946165.7000000002</v>
      </c>
      <c r="I60" s="157">
        <v>0</v>
      </c>
      <c r="J60" s="125">
        <v>14252.45</v>
      </c>
      <c r="K60" s="125">
        <v>0</v>
      </c>
      <c r="L60" s="125">
        <v>0</v>
      </c>
      <c r="M60" s="157">
        <v>0</v>
      </c>
      <c r="N60" s="157">
        <v>0</v>
      </c>
      <c r="O60" s="157">
        <v>0</v>
      </c>
      <c r="P60" s="125">
        <v>0</v>
      </c>
      <c r="Q60" s="157">
        <v>0</v>
      </c>
      <c r="R60" s="157">
        <v>0</v>
      </c>
      <c r="S60" s="157">
        <v>0</v>
      </c>
      <c r="T60" s="125">
        <v>0</v>
      </c>
      <c r="U60" s="125">
        <v>0</v>
      </c>
      <c r="V60" s="125">
        <v>5622207.21</v>
      </c>
      <c r="W60" s="125">
        <v>0</v>
      </c>
      <c r="X60" s="157">
        <v>25475</v>
      </c>
      <c r="Y60" s="125">
        <v>92145.38</v>
      </c>
      <c r="Z60" s="125">
        <v>0</v>
      </c>
      <c r="AA60" s="125">
        <v>62580</v>
      </c>
      <c r="AB60" s="125">
        <v>0</v>
      </c>
      <c r="AC60" s="125">
        <v>0</v>
      </c>
      <c r="AD60" s="125">
        <v>7457.39</v>
      </c>
      <c r="AE60" s="157">
        <v>20250</v>
      </c>
      <c r="AF60" s="157">
        <v>26850</v>
      </c>
      <c r="AG60" s="125">
        <v>0</v>
      </c>
      <c r="AH60" s="125">
        <v>72850</v>
      </c>
      <c r="AI60" s="157">
        <v>5586.5</v>
      </c>
      <c r="AJ60" s="157">
        <v>0</v>
      </c>
      <c r="AK60" s="157">
        <v>0</v>
      </c>
      <c r="AL60" s="125">
        <v>12995649.210000001</v>
      </c>
    </row>
    <row r="61" spans="1:38" s="117" customFormat="1" ht="15" customHeight="1" x14ac:dyDescent="0.2">
      <c r="A61" s="123" t="s">
        <v>586</v>
      </c>
      <c r="B61" s="124" t="s">
        <v>585</v>
      </c>
      <c r="C61" s="157">
        <v>0</v>
      </c>
      <c r="D61" s="125">
        <v>0</v>
      </c>
      <c r="E61" s="157">
        <v>0</v>
      </c>
      <c r="F61" s="125">
        <v>0</v>
      </c>
      <c r="G61" s="157">
        <v>0</v>
      </c>
      <c r="H61" s="157">
        <v>0</v>
      </c>
      <c r="I61" s="157">
        <v>0</v>
      </c>
      <c r="J61" s="125">
        <v>0</v>
      </c>
      <c r="K61" s="125">
        <v>0</v>
      </c>
      <c r="L61" s="125">
        <v>0</v>
      </c>
      <c r="M61" s="157">
        <v>0</v>
      </c>
      <c r="N61" s="157">
        <v>0</v>
      </c>
      <c r="O61" s="157">
        <v>0</v>
      </c>
      <c r="P61" s="125">
        <v>0</v>
      </c>
      <c r="Q61" s="157">
        <v>0</v>
      </c>
      <c r="R61" s="157">
        <v>0</v>
      </c>
      <c r="S61" s="157">
        <v>0</v>
      </c>
      <c r="T61" s="125">
        <v>0</v>
      </c>
      <c r="U61" s="125">
        <v>0</v>
      </c>
      <c r="V61" s="125">
        <v>6905</v>
      </c>
      <c r="W61" s="125">
        <v>0</v>
      </c>
      <c r="X61" s="157">
        <v>0</v>
      </c>
      <c r="Y61" s="125">
        <v>8150</v>
      </c>
      <c r="Z61" s="125">
        <v>0</v>
      </c>
      <c r="AA61" s="125">
        <v>0</v>
      </c>
      <c r="AB61" s="125">
        <v>0</v>
      </c>
      <c r="AC61" s="125">
        <v>0</v>
      </c>
      <c r="AD61" s="125">
        <v>0</v>
      </c>
      <c r="AE61" s="157">
        <v>0</v>
      </c>
      <c r="AF61" s="157">
        <v>2748</v>
      </c>
      <c r="AG61" s="125">
        <v>0</v>
      </c>
      <c r="AH61" s="125">
        <v>0</v>
      </c>
      <c r="AI61" s="157">
        <v>0</v>
      </c>
      <c r="AJ61" s="157">
        <v>0</v>
      </c>
      <c r="AK61" s="157">
        <v>0</v>
      </c>
      <c r="AL61" s="125">
        <v>17803</v>
      </c>
    </row>
    <row r="62" spans="1:38" s="117" customFormat="1" ht="15" customHeight="1" x14ac:dyDescent="0.2">
      <c r="A62" s="123" t="s">
        <v>584</v>
      </c>
      <c r="B62" s="124" t="s">
        <v>583</v>
      </c>
      <c r="C62" s="157">
        <v>0</v>
      </c>
      <c r="D62" s="125">
        <v>0</v>
      </c>
      <c r="E62" s="157">
        <v>0</v>
      </c>
      <c r="F62" s="125">
        <v>0</v>
      </c>
      <c r="G62" s="157">
        <v>0</v>
      </c>
      <c r="H62" s="157">
        <v>0</v>
      </c>
      <c r="I62" s="157">
        <v>0</v>
      </c>
      <c r="J62" s="125">
        <v>0</v>
      </c>
      <c r="K62" s="125">
        <v>0</v>
      </c>
      <c r="L62" s="125">
        <v>0</v>
      </c>
      <c r="M62" s="157">
        <v>0</v>
      </c>
      <c r="N62" s="157">
        <v>0</v>
      </c>
      <c r="O62" s="157">
        <v>0</v>
      </c>
      <c r="P62" s="125">
        <v>0</v>
      </c>
      <c r="Q62" s="157">
        <v>0</v>
      </c>
      <c r="R62" s="157">
        <v>0</v>
      </c>
      <c r="S62" s="157">
        <v>0</v>
      </c>
      <c r="T62" s="125">
        <v>0</v>
      </c>
      <c r="U62" s="125">
        <v>0</v>
      </c>
      <c r="V62" s="125">
        <v>600</v>
      </c>
      <c r="W62" s="125">
        <v>0</v>
      </c>
      <c r="X62" s="157">
        <v>0</v>
      </c>
      <c r="Y62" s="125">
        <v>8125</v>
      </c>
      <c r="Z62" s="125">
        <v>0</v>
      </c>
      <c r="AA62" s="125">
        <v>0</v>
      </c>
      <c r="AB62" s="125">
        <v>0</v>
      </c>
      <c r="AC62" s="125">
        <v>0</v>
      </c>
      <c r="AD62" s="125">
        <v>0</v>
      </c>
      <c r="AE62" s="157">
        <v>0</v>
      </c>
      <c r="AF62" s="157">
        <v>0</v>
      </c>
      <c r="AG62" s="125">
        <v>0</v>
      </c>
      <c r="AH62" s="125">
        <v>0</v>
      </c>
      <c r="AI62" s="157">
        <v>0</v>
      </c>
      <c r="AJ62" s="157">
        <v>0</v>
      </c>
      <c r="AK62" s="157">
        <v>0</v>
      </c>
      <c r="AL62" s="125">
        <v>8725</v>
      </c>
    </row>
    <row r="63" spans="1:38" s="117" customFormat="1" ht="15" customHeight="1" x14ac:dyDescent="0.2">
      <c r="A63" s="123" t="s">
        <v>603</v>
      </c>
      <c r="B63" s="124" t="s">
        <v>602</v>
      </c>
      <c r="C63" s="157">
        <v>0</v>
      </c>
      <c r="D63" s="125">
        <v>15625</v>
      </c>
      <c r="E63" s="157">
        <v>40552</v>
      </c>
      <c r="F63" s="125">
        <v>0</v>
      </c>
      <c r="G63" s="157">
        <v>0</v>
      </c>
      <c r="H63" s="157">
        <v>27850</v>
      </c>
      <c r="I63" s="157">
        <v>1259.5</v>
      </c>
      <c r="J63" s="125">
        <v>0</v>
      </c>
      <c r="K63" s="125">
        <v>37913</v>
      </c>
      <c r="L63" s="125">
        <v>11023.8</v>
      </c>
      <c r="M63" s="157">
        <v>3779.79</v>
      </c>
      <c r="N63" s="157">
        <v>0</v>
      </c>
      <c r="O63" s="157">
        <v>18047.86</v>
      </c>
      <c r="P63" s="125">
        <v>0</v>
      </c>
      <c r="Q63" s="157">
        <v>0</v>
      </c>
      <c r="R63" s="157">
        <v>29736.89</v>
      </c>
      <c r="S63" s="157">
        <v>0</v>
      </c>
      <c r="T63" s="125">
        <v>0</v>
      </c>
      <c r="U63" s="125">
        <v>0</v>
      </c>
      <c r="V63" s="125">
        <v>0</v>
      </c>
      <c r="W63" s="125">
        <v>0</v>
      </c>
      <c r="X63" s="157">
        <v>0</v>
      </c>
      <c r="Y63" s="125">
        <v>0</v>
      </c>
      <c r="Z63" s="125">
        <v>0</v>
      </c>
      <c r="AA63" s="125">
        <v>0</v>
      </c>
      <c r="AB63" s="125">
        <v>0</v>
      </c>
      <c r="AC63" s="125">
        <v>0</v>
      </c>
      <c r="AD63" s="125">
        <v>0</v>
      </c>
      <c r="AE63" s="157">
        <v>0</v>
      </c>
      <c r="AF63" s="157">
        <v>0</v>
      </c>
      <c r="AG63" s="125">
        <v>0</v>
      </c>
      <c r="AH63" s="125">
        <v>0</v>
      </c>
      <c r="AI63" s="157">
        <v>0</v>
      </c>
      <c r="AJ63" s="157">
        <v>0.28999999999999998</v>
      </c>
      <c r="AK63" s="157">
        <v>0</v>
      </c>
      <c r="AL63" s="125">
        <v>185788.13</v>
      </c>
    </row>
    <row r="64" spans="1:38" s="117" customFormat="1" ht="15" customHeight="1" x14ac:dyDescent="0.2">
      <c r="A64" s="123" t="s">
        <v>638</v>
      </c>
      <c r="B64" s="124" t="s">
        <v>637</v>
      </c>
      <c r="C64" s="157">
        <v>0</v>
      </c>
      <c r="D64" s="125">
        <v>0</v>
      </c>
      <c r="E64" s="157">
        <v>444</v>
      </c>
      <c r="F64" s="125">
        <v>0</v>
      </c>
      <c r="G64" s="157">
        <v>0</v>
      </c>
      <c r="H64" s="157">
        <v>0</v>
      </c>
      <c r="I64" s="157">
        <v>0</v>
      </c>
      <c r="J64" s="125">
        <v>0</v>
      </c>
      <c r="K64" s="125">
        <v>0</v>
      </c>
      <c r="L64" s="125">
        <v>0</v>
      </c>
      <c r="M64" s="157">
        <v>0</v>
      </c>
      <c r="N64" s="157">
        <v>304.45</v>
      </c>
      <c r="O64" s="157">
        <v>0</v>
      </c>
      <c r="P64" s="125">
        <v>0</v>
      </c>
      <c r="Q64" s="157">
        <v>0</v>
      </c>
      <c r="R64" s="157">
        <v>0</v>
      </c>
      <c r="S64" s="157">
        <v>0</v>
      </c>
      <c r="T64" s="125">
        <v>0</v>
      </c>
      <c r="U64" s="125">
        <v>0</v>
      </c>
      <c r="V64" s="125">
        <v>0</v>
      </c>
      <c r="W64" s="125">
        <v>0</v>
      </c>
      <c r="X64" s="157">
        <v>0</v>
      </c>
      <c r="Y64" s="125">
        <v>0</v>
      </c>
      <c r="Z64" s="125">
        <v>0</v>
      </c>
      <c r="AA64" s="125">
        <v>0</v>
      </c>
      <c r="AB64" s="125">
        <v>0</v>
      </c>
      <c r="AC64" s="125">
        <v>0</v>
      </c>
      <c r="AD64" s="125">
        <v>0</v>
      </c>
      <c r="AE64" s="157">
        <v>0</v>
      </c>
      <c r="AF64" s="157">
        <v>0</v>
      </c>
      <c r="AG64" s="125">
        <v>0</v>
      </c>
      <c r="AH64" s="125">
        <v>0</v>
      </c>
      <c r="AI64" s="157">
        <v>0</v>
      </c>
      <c r="AJ64" s="157">
        <v>0</v>
      </c>
      <c r="AK64" s="157">
        <v>0</v>
      </c>
      <c r="AL64" s="125">
        <v>748.45</v>
      </c>
    </row>
    <row r="65" spans="1:38" s="117" customFormat="1" ht="15" customHeight="1" x14ac:dyDescent="0.2">
      <c r="A65" s="123" t="s">
        <v>516</v>
      </c>
      <c r="B65" s="124" t="s">
        <v>517</v>
      </c>
      <c r="C65" s="157">
        <v>0</v>
      </c>
      <c r="D65" s="125">
        <v>3438</v>
      </c>
      <c r="E65" s="157">
        <v>0</v>
      </c>
      <c r="F65" s="125">
        <v>0</v>
      </c>
      <c r="G65" s="157">
        <v>0</v>
      </c>
      <c r="H65" s="157">
        <v>10855</v>
      </c>
      <c r="I65" s="157">
        <v>0</v>
      </c>
      <c r="J65" s="125">
        <v>0</v>
      </c>
      <c r="K65" s="125">
        <v>0</v>
      </c>
      <c r="L65" s="125">
        <v>0</v>
      </c>
      <c r="M65" s="157">
        <v>0</v>
      </c>
      <c r="N65" s="157">
        <v>0</v>
      </c>
      <c r="O65" s="157">
        <v>0</v>
      </c>
      <c r="P65" s="125">
        <v>0</v>
      </c>
      <c r="Q65" s="157">
        <v>23400</v>
      </c>
      <c r="R65" s="157">
        <v>0</v>
      </c>
      <c r="S65" s="157">
        <v>0</v>
      </c>
      <c r="T65" s="125">
        <v>0</v>
      </c>
      <c r="U65" s="125">
        <v>0</v>
      </c>
      <c r="V65" s="125">
        <v>8740.7000000000007</v>
      </c>
      <c r="W65" s="125">
        <v>0</v>
      </c>
      <c r="X65" s="157">
        <v>0</v>
      </c>
      <c r="Y65" s="125">
        <v>0</v>
      </c>
      <c r="Z65" s="125">
        <v>0</v>
      </c>
      <c r="AA65" s="125">
        <v>0</v>
      </c>
      <c r="AB65" s="125">
        <v>0</v>
      </c>
      <c r="AC65" s="125">
        <v>0</v>
      </c>
      <c r="AD65" s="125">
        <v>0</v>
      </c>
      <c r="AE65" s="157">
        <v>0</v>
      </c>
      <c r="AF65" s="157">
        <v>0</v>
      </c>
      <c r="AG65" s="125">
        <v>0</v>
      </c>
      <c r="AH65" s="125">
        <v>0</v>
      </c>
      <c r="AI65" s="157">
        <v>0</v>
      </c>
      <c r="AJ65" s="157">
        <v>0</v>
      </c>
      <c r="AK65" s="157">
        <v>0</v>
      </c>
      <c r="AL65" s="125">
        <v>46433.7</v>
      </c>
    </row>
    <row r="66" spans="1:38" s="117" customFormat="1" ht="15" customHeight="1" x14ac:dyDescent="0.2">
      <c r="A66" s="123" t="s">
        <v>601</v>
      </c>
      <c r="B66" s="124" t="s">
        <v>600</v>
      </c>
      <c r="C66" s="157">
        <v>8996.16</v>
      </c>
      <c r="D66" s="125">
        <v>0</v>
      </c>
      <c r="E66" s="157">
        <v>13528.74</v>
      </c>
      <c r="F66" s="125">
        <v>4736.9399999999996</v>
      </c>
      <c r="G66" s="157">
        <v>0</v>
      </c>
      <c r="H66" s="157">
        <v>4849.4399999999996</v>
      </c>
      <c r="I66" s="157">
        <v>0</v>
      </c>
      <c r="J66" s="125">
        <v>4160</v>
      </c>
      <c r="K66" s="125">
        <v>1800</v>
      </c>
      <c r="L66" s="125">
        <v>6957</v>
      </c>
      <c r="M66" s="157">
        <v>27368</v>
      </c>
      <c r="N66" s="157">
        <v>10000</v>
      </c>
      <c r="O66" s="157">
        <v>0</v>
      </c>
      <c r="P66" s="125">
        <v>0</v>
      </c>
      <c r="Q66" s="157">
        <v>0</v>
      </c>
      <c r="R66" s="157">
        <v>0</v>
      </c>
      <c r="S66" s="157">
        <v>0</v>
      </c>
      <c r="T66" s="125">
        <v>0</v>
      </c>
      <c r="U66" s="125">
        <v>0</v>
      </c>
      <c r="V66" s="125">
        <v>7310</v>
      </c>
      <c r="W66" s="125">
        <v>0</v>
      </c>
      <c r="X66" s="157">
        <v>0</v>
      </c>
      <c r="Y66" s="125">
        <v>0</v>
      </c>
      <c r="Z66" s="125">
        <v>2930</v>
      </c>
      <c r="AA66" s="125">
        <v>0</v>
      </c>
      <c r="AB66" s="125">
        <v>0</v>
      </c>
      <c r="AC66" s="125">
        <v>0</v>
      </c>
      <c r="AD66" s="125">
        <v>0</v>
      </c>
      <c r="AE66" s="157">
        <v>6539.67</v>
      </c>
      <c r="AF66" s="157">
        <v>0</v>
      </c>
      <c r="AG66" s="125">
        <v>8200</v>
      </c>
      <c r="AH66" s="125">
        <v>0</v>
      </c>
      <c r="AI66" s="157">
        <v>4100</v>
      </c>
      <c r="AJ66" s="157">
        <v>0</v>
      </c>
      <c r="AK66" s="157">
        <v>2579</v>
      </c>
      <c r="AL66" s="125">
        <v>114054.95</v>
      </c>
    </row>
    <row r="67" spans="1:38" s="117" customFormat="1" ht="15" customHeight="1" x14ac:dyDescent="0.2">
      <c r="A67" s="123" t="s">
        <v>622</v>
      </c>
      <c r="B67" s="124" t="s">
        <v>621</v>
      </c>
      <c r="C67" s="157">
        <v>0</v>
      </c>
      <c r="D67" s="125">
        <v>0</v>
      </c>
      <c r="E67" s="157">
        <v>0</v>
      </c>
      <c r="F67" s="125">
        <v>0</v>
      </c>
      <c r="G67" s="157">
        <v>0</v>
      </c>
      <c r="H67" s="157">
        <v>0</v>
      </c>
      <c r="I67" s="157">
        <v>0</v>
      </c>
      <c r="J67" s="125">
        <v>0</v>
      </c>
      <c r="K67" s="125">
        <v>0</v>
      </c>
      <c r="L67" s="125">
        <v>0</v>
      </c>
      <c r="M67" s="157">
        <v>0</v>
      </c>
      <c r="N67" s="157">
        <v>0</v>
      </c>
      <c r="O67" s="157">
        <v>0</v>
      </c>
      <c r="P67" s="125">
        <v>0</v>
      </c>
      <c r="Q67" s="157">
        <v>0</v>
      </c>
      <c r="R67" s="157">
        <v>10627</v>
      </c>
      <c r="S67" s="157">
        <v>8749</v>
      </c>
      <c r="T67" s="125">
        <v>0</v>
      </c>
      <c r="U67" s="125">
        <v>0</v>
      </c>
      <c r="V67" s="125">
        <v>0</v>
      </c>
      <c r="W67" s="125">
        <v>0</v>
      </c>
      <c r="X67" s="157">
        <v>0</v>
      </c>
      <c r="Y67" s="125">
        <v>0</v>
      </c>
      <c r="Z67" s="125">
        <v>0</v>
      </c>
      <c r="AA67" s="125">
        <v>0</v>
      </c>
      <c r="AB67" s="125">
        <v>0</v>
      </c>
      <c r="AC67" s="125">
        <v>0</v>
      </c>
      <c r="AD67" s="125">
        <v>0</v>
      </c>
      <c r="AE67" s="157">
        <v>0</v>
      </c>
      <c r="AF67" s="157">
        <v>0</v>
      </c>
      <c r="AG67" s="125">
        <v>0</v>
      </c>
      <c r="AH67" s="125">
        <v>0</v>
      </c>
      <c r="AI67" s="157">
        <v>0</v>
      </c>
      <c r="AJ67" s="157">
        <v>0</v>
      </c>
      <c r="AK67" s="157">
        <v>0</v>
      </c>
      <c r="AL67" s="125">
        <v>19376</v>
      </c>
    </row>
    <row r="68" spans="1:38" s="117" customFormat="1" ht="15" customHeight="1" x14ac:dyDescent="0.2">
      <c r="A68" s="123" t="s">
        <v>160</v>
      </c>
      <c r="B68" s="124" t="s">
        <v>161</v>
      </c>
      <c r="C68" s="157">
        <v>0</v>
      </c>
      <c r="D68" s="125">
        <v>0</v>
      </c>
      <c r="E68" s="157">
        <v>0</v>
      </c>
      <c r="F68" s="125">
        <v>0</v>
      </c>
      <c r="G68" s="157">
        <v>0</v>
      </c>
      <c r="H68" s="157">
        <v>2923</v>
      </c>
      <c r="I68" s="157">
        <v>0</v>
      </c>
      <c r="J68" s="125">
        <v>0</v>
      </c>
      <c r="K68" s="125">
        <v>0</v>
      </c>
      <c r="L68" s="125">
        <v>0</v>
      </c>
      <c r="M68" s="157">
        <v>0</v>
      </c>
      <c r="N68" s="157">
        <v>0</v>
      </c>
      <c r="O68" s="157">
        <v>12286</v>
      </c>
      <c r="P68" s="125">
        <v>0</v>
      </c>
      <c r="Q68" s="157">
        <v>0</v>
      </c>
      <c r="R68" s="157">
        <v>0</v>
      </c>
      <c r="S68" s="157">
        <v>0</v>
      </c>
      <c r="T68" s="125">
        <v>0</v>
      </c>
      <c r="U68" s="125">
        <v>0</v>
      </c>
      <c r="V68" s="125">
        <v>0</v>
      </c>
      <c r="W68" s="125">
        <v>0</v>
      </c>
      <c r="X68" s="157">
        <v>4634</v>
      </c>
      <c r="Y68" s="125">
        <v>0</v>
      </c>
      <c r="Z68" s="125">
        <v>0</v>
      </c>
      <c r="AA68" s="125">
        <v>0</v>
      </c>
      <c r="AB68" s="125">
        <v>0</v>
      </c>
      <c r="AC68" s="125">
        <v>0</v>
      </c>
      <c r="AD68" s="125">
        <v>0</v>
      </c>
      <c r="AE68" s="157">
        <v>0</v>
      </c>
      <c r="AF68" s="157">
        <v>0</v>
      </c>
      <c r="AG68" s="125">
        <v>0</v>
      </c>
      <c r="AH68" s="125">
        <v>0</v>
      </c>
      <c r="AI68" s="157">
        <v>0</v>
      </c>
      <c r="AJ68" s="157">
        <v>0</v>
      </c>
      <c r="AK68" s="157">
        <v>0</v>
      </c>
      <c r="AL68" s="125">
        <v>19843</v>
      </c>
    </row>
    <row r="69" spans="1:38" s="117" customFormat="1" ht="15" customHeight="1" x14ac:dyDescent="0.2">
      <c r="A69" s="123" t="s">
        <v>458</v>
      </c>
      <c r="B69" s="124" t="s">
        <v>459</v>
      </c>
      <c r="C69" s="157">
        <v>0</v>
      </c>
      <c r="D69" s="125">
        <v>0</v>
      </c>
      <c r="E69" s="157">
        <v>0</v>
      </c>
      <c r="F69" s="125">
        <v>0</v>
      </c>
      <c r="G69" s="157">
        <v>6690</v>
      </c>
      <c r="H69" s="157">
        <v>0</v>
      </c>
      <c r="I69" s="157">
        <v>0</v>
      </c>
      <c r="J69" s="125">
        <v>0</v>
      </c>
      <c r="K69" s="125">
        <v>0</v>
      </c>
      <c r="L69" s="125">
        <v>0</v>
      </c>
      <c r="M69" s="157">
        <v>5337</v>
      </c>
      <c r="N69" s="157">
        <v>0</v>
      </c>
      <c r="O69" s="157">
        <v>0</v>
      </c>
      <c r="P69" s="125">
        <v>1378</v>
      </c>
      <c r="Q69" s="157">
        <v>0</v>
      </c>
      <c r="R69" s="157">
        <v>0</v>
      </c>
      <c r="S69" s="157">
        <v>0</v>
      </c>
      <c r="T69" s="125">
        <v>0</v>
      </c>
      <c r="U69" s="125">
        <v>0</v>
      </c>
      <c r="V69" s="125">
        <v>11173</v>
      </c>
      <c r="W69" s="125">
        <v>0</v>
      </c>
      <c r="X69" s="157">
        <v>0</v>
      </c>
      <c r="Y69" s="125">
        <v>0</v>
      </c>
      <c r="Z69" s="125">
        <v>0</v>
      </c>
      <c r="AA69" s="125">
        <v>0</v>
      </c>
      <c r="AB69" s="125">
        <v>0</v>
      </c>
      <c r="AC69" s="125">
        <v>0</v>
      </c>
      <c r="AD69" s="125">
        <v>0</v>
      </c>
      <c r="AE69" s="157">
        <v>0</v>
      </c>
      <c r="AF69" s="157">
        <v>0</v>
      </c>
      <c r="AG69" s="125">
        <v>0</v>
      </c>
      <c r="AH69" s="125">
        <v>0</v>
      </c>
      <c r="AI69" s="157">
        <v>0</v>
      </c>
      <c r="AJ69" s="157">
        <v>0</v>
      </c>
      <c r="AK69" s="157">
        <v>0</v>
      </c>
      <c r="AL69" s="125">
        <v>24578</v>
      </c>
    </row>
    <row r="70" spans="1:38" s="117" customFormat="1" ht="15" customHeight="1" x14ac:dyDescent="0.2">
      <c r="A70" s="123" t="s">
        <v>162</v>
      </c>
      <c r="B70" s="124" t="s">
        <v>163</v>
      </c>
      <c r="C70" s="157">
        <v>0</v>
      </c>
      <c r="D70" s="125">
        <v>0</v>
      </c>
      <c r="E70" s="157">
        <v>0</v>
      </c>
      <c r="F70" s="125">
        <v>16635.34</v>
      </c>
      <c r="G70" s="157">
        <v>0</v>
      </c>
      <c r="H70" s="157">
        <v>12600</v>
      </c>
      <c r="I70" s="157">
        <v>14675</v>
      </c>
      <c r="J70" s="125">
        <v>0</v>
      </c>
      <c r="K70" s="125">
        <v>0</v>
      </c>
      <c r="L70" s="125">
        <v>0</v>
      </c>
      <c r="M70" s="157">
        <v>0</v>
      </c>
      <c r="N70" s="157">
        <v>38435</v>
      </c>
      <c r="O70" s="157">
        <v>13024</v>
      </c>
      <c r="P70" s="125">
        <v>0</v>
      </c>
      <c r="Q70" s="157">
        <v>8401</v>
      </c>
      <c r="R70" s="157">
        <v>24932</v>
      </c>
      <c r="S70" s="157">
        <v>0</v>
      </c>
      <c r="T70" s="125">
        <v>0</v>
      </c>
      <c r="U70" s="125">
        <v>0</v>
      </c>
      <c r="V70" s="125">
        <v>0</v>
      </c>
      <c r="W70" s="125">
        <v>0</v>
      </c>
      <c r="X70" s="157">
        <v>2987</v>
      </c>
      <c r="Y70" s="125">
        <v>0</v>
      </c>
      <c r="Z70" s="125">
        <v>0</v>
      </c>
      <c r="AA70" s="125">
        <v>0</v>
      </c>
      <c r="AB70" s="125">
        <v>20360</v>
      </c>
      <c r="AC70" s="125">
        <v>0</v>
      </c>
      <c r="AD70" s="125">
        <v>0</v>
      </c>
      <c r="AE70" s="157">
        <v>0</v>
      </c>
      <c r="AF70" s="157">
        <v>5643</v>
      </c>
      <c r="AG70" s="125">
        <v>11950</v>
      </c>
      <c r="AH70" s="125">
        <v>0</v>
      </c>
      <c r="AI70" s="157">
        <v>0</v>
      </c>
      <c r="AJ70" s="157">
        <v>0</v>
      </c>
      <c r="AK70" s="157">
        <v>0</v>
      </c>
      <c r="AL70" s="125">
        <v>169642.34</v>
      </c>
    </row>
    <row r="71" spans="1:38" s="117" customFormat="1" ht="15" customHeight="1" x14ac:dyDescent="0.2">
      <c r="A71" s="123" t="s">
        <v>599</v>
      </c>
      <c r="B71" s="124" t="s">
        <v>598</v>
      </c>
      <c r="C71" s="157">
        <v>0</v>
      </c>
      <c r="D71" s="125">
        <v>0</v>
      </c>
      <c r="E71" s="157">
        <v>0</v>
      </c>
      <c r="F71" s="125">
        <v>0</v>
      </c>
      <c r="G71" s="157">
        <v>0</v>
      </c>
      <c r="H71" s="157">
        <v>3000</v>
      </c>
      <c r="I71" s="157">
        <v>3694.1</v>
      </c>
      <c r="J71" s="125">
        <v>0</v>
      </c>
      <c r="K71" s="125">
        <v>0</v>
      </c>
      <c r="L71" s="125">
        <v>0</v>
      </c>
      <c r="M71" s="157">
        <v>0</v>
      </c>
      <c r="N71" s="157">
        <v>1918</v>
      </c>
      <c r="O71" s="157">
        <v>2554</v>
      </c>
      <c r="P71" s="125">
        <v>0</v>
      </c>
      <c r="Q71" s="157">
        <v>0</v>
      </c>
      <c r="R71" s="157">
        <v>0</v>
      </c>
      <c r="S71" s="157">
        <v>0</v>
      </c>
      <c r="T71" s="125">
        <v>0</v>
      </c>
      <c r="U71" s="125">
        <v>0</v>
      </c>
      <c r="V71" s="125">
        <v>0</v>
      </c>
      <c r="W71" s="125">
        <v>0</v>
      </c>
      <c r="X71" s="157">
        <v>0</v>
      </c>
      <c r="Y71" s="125">
        <v>0</v>
      </c>
      <c r="Z71" s="125">
        <v>0</v>
      </c>
      <c r="AA71" s="125">
        <v>0</v>
      </c>
      <c r="AB71" s="125">
        <v>0</v>
      </c>
      <c r="AC71" s="125">
        <v>3694</v>
      </c>
      <c r="AD71" s="125">
        <v>0</v>
      </c>
      <c r="AE71" s="157">
        <v>0</v>
      </c>
      <c r="AF71" s="157">
        <v>0</v>
      </c>
      <c r="AG71" s="125">
        <v>0</v>
      </c>
      <c r="AH71" s="125">
        <v>0</v>
      </c>
      <c r="AI71" s="157">
        <v>0</v>
      </c>
      <c r="AJ71" s="157">
        <v>0</v>
      </c>
      <c r="AK71" s="157">
        <v>0</v>
      </c>
      <c r="AL71" s="125">
        <v>14860.1</v>
      </c>
    </row>
    <row r="72" spans="1:38" s="117" customFormat="1" ht="15" customHeight="1" x14ac:dyDescent="0.2">
      <c r="A72" s="123" t="s">
        <v>582</v>
      </c>
      <c r="B72" s="124" t="s">
        <v>581</v>
      </c>
      <c r="C72" s="157">
        <v>0</v>
      </c>
      <c r="D72" s="125">
        <v>0</v>
      </c>
      <c r="E72" s="157">
        <v>0</v>
      </c>
      <c r="F72" s="125">
        <v>0</v>
      </c>
      <c r="G72" s="157">
        <v>0</v>
      </c>
      <c r="H72" s="157">
        <v>0</v>
      </c>
      <c r="I72" s="157">
        <v>0</v>
      </c>
      <c r="J72" s="125">
        <v>0</v>
      </c>
      <c r="K72" s="125">
        <v>0</v>
      </c>
      <c r="L72" s="125">
        <v>0</v>
      </c>
      <c r="M72" s="157">
        <v>0</v>
      </c>
      <c r="N72" s="157">
        <v>0</v>
      </c>
      <c r="O72" s="157">
        <v>0</v>
      </c>
      <c r="P72" s="125">
        <v>2987</v>
      </c>
      <c r="Q72" s="157">
        <v>0</v>
      </c>
      <c r="R72" s="157">
        <v>0</v>
      </c>
      <c r="S72" s="157">
        <v>0</v>
      </c>
      <c r="T72" s="125">
        <v>0</v>
      </c>
      <c r="U72" s="125">
        <v>0</v>
      </c>
      <c r="V72" s="125">
        <v>0</v>
      </c>
      <c r="W72" s="125">
        <v>0</v>
      </c>
      <c r="X72" s="157">
        <v>0</v>
      </c>
      <c r="Y72" s="125">
        <v>1850</v>
      </c>
      <c r="Z72" s="125">
        <v>7609</v>
      </c>
      <c r="AA72" s="125">
        <v>0</v>
      </c>
      <c r="AB72" s="125">
        <v>0</v>
      </c>
      <c r="AC72" s="125">
        <v>0</v>
      </c>
      <c r="AD72" s="125">
        <v>0</v>
      </c>
      <c r="AE72" s="157">
        <v>0</v>
      </c>
      <c r="AF72" s="157">
        <v>0</v>
      </c>
      <c r="AG72" s="125">
        <v>0</v>
      </c>
      <c r="AH72" s="125">
        <v>0</v>
      </c>
      <c r="AI72" s="157">
        <v>0</v>
      </c>
      <c r="AJ72" s="157">
        <v>0</v>
      </c>
      <c r="AK72" s="157">
        <v>6456</v>
      </c>
      <c r="AL72" s="125">
        <v>18902</v>
      </c>
    </row>
    <row r="73" spans="1:38" s="117" customFormat="1" ht="15" customHeight="1" x14ac:dyDescent="0.2">
      <c r="A73" s="123" t="s">
        <v>580</v>
      </c>
      <c r="B73" s="124" t="s">
        <v>579</v>
      </c>
      <c r="C73" s="157">
        <v>13573.91</v>
      </c>
      <c r="D73" s="125">
        <v>3179</v>
      </c>
      <c r="E73" s="157">
        <v>11285.7</v>
      </c>
      <c r="F73" s="125">
        <v>0</v>
      </c>
      <c r="G73" s="157">
        <v>0</v>
      </c>
      <c r="H73" s="157">
        <v>0</v>
      </c>
      <c r="I73" s="157">
        <v>1400</v>
      </c>
      <c r="J73" s="125">
        <v>0</v>
      </c>
      <c r="K73" s="125">
        <v>0</v>
      </c>
      <c r="L73" s="125">
        <v>6265.87</v>
      </c>
      <c r="M73" s="157">
        <v>0</v>
      </c>
      <c r="N73" s="157">
        <v>0</v>
      </c>
      <c r="O73" s="157">
        <v>0</v>
      </c>
      <c r="P73" s="125">
        <v>0</v>
      </c>
      <c r="Q73" s="157">
        <v>0</v>
      </c>
      <c r="R73" s="157">
        <v>0</v>
      </c>
      <c r="S73" s="157">
        <v>0</v>
      </c>
      <c r="T73" s="125">
        <v>0</v>
      </c>
      <c r="U73" s="125">
        <v>12221.23</v>
      </c>
      <c r="V73" s="125">
        <v>12904.65</v>
      </c>
      <c r="W73" s="125">
        <v>0</v>
      </c>
      <c r="X73" s="157">
        <v>0</v>
      </c>
      <c r="Y73" s="125">
        <v>5365.64</v>
      </c>
      <c r="Z73" s="125">
        <v>0</v>
      </c>
      <c r="AA73" s="125">
        <v>0</v>
      </c>
      <c r="AB73" s="125">
        <v>0</v>
      </c>
      <c r="AC73" s="125">
        <v>0</v>
      </c>
      <c r="AD73" s="125">
        <v>0</v>
      </c>
      <c r="AE73" s="157">
        <v>0</v>
      </c>
      <c r="AF73" s="157">
        <v>0</v>
      </c>
      <c r="AG73" s="125">
        <v>12434.15</v>
      </c>
      <c r="AH73" s="125">
        <v>0</v>
      </c>
      <c r="AI73" s="157">
        <v>3452.25</v>
      </c>
      <c r="AJ73" s="157">
        <v>0</v>
      </c>
      <c r="AK73" s="157">
        <v>0</v>
      </c>
      <c r="AL73" s="125">
        <v>82082.399999999994</v>
      </c>
    </row>
    <row r="74" spans="1:38" s="117" customFormat="1" ht="15" customHeight="1" x14ac:dyDescent="0.2">
      <c r="A74" s="123" t="s">
        <v>1037</v>
      </c>
      <c r="B74" s="124" t="s">
        <v>1036</v>
      </c>
      <c r="C74" s="157">
        <v>0</v>
      </c>
      <c r="D74" s="125">
        <v>0</v>
      </c>
      <c r="E74" s="157">
        <v>0</v>
      </c>
      <c r="F74" s="125">
        <v>0</v>
      </c>
      <c r="G74" s="157">
        <v>0</v>
      </c>
      <c r="H74" s="157">
        <v>0</v>
      </c>
      <c r="I74" s="157">
        <v>0</v>
      </c>
      <c r="J74" s="125">
        <v>0</v>
      </c>
      <c r="K74" s="125">
        <v>0</v>
      </c>
      <c r="L74" s="125">
        <v>0</v>
      </c>
      <c r="M74" s="157">
        <v>7126</v>
      </c>
      <c r="N74" s="157">
        <v>0</v>
      </c>
      <c r="O74" s="157">
        <v>0</v>
      </c>
      <c r="P74" s="125">
        <v>0</v>
      </c>
      <c r="Q74" s="157">
        <v>0</v>
      </c>
      <c r="R74" s="157">
        <v>0</v>
      </c>
      <c r="S74" s="157">
        <v>0</v>
      </c>
      <c r="T74" s="125">
        <v>0</v>
      </c>
      <c r="U74" s="125">
        <v>0</v>
      </c>
      <c r="V74" s="125">
        <v>0</v>
      </c>
      <c r="W74" s="125">
        <v>0</v>
      </c>
      <c r="X74" s="157">
        <v>0</v>
      </c>
      <c r="Y74" s="125">
        <v>0</v>
      </c>
      <c r="Z74" s="125">
        <v>0</v>
      </c>
      <c r="AA74" s="125">
        <v>0</v>
      </c>
      <c r="AB74" s="125">
        <v>0</v>
      </c>
      <c r="AC74" s="125">
        <v>0</v>
      </c>
      <c r="AD74" s="125">
        <v>0</v>
      </c>
      <c r="AE74" s="157">
        <v>0</v>
      </c>
      <c r="AF74" s="157">
        <v>0</v>
      </c>
      <c r="AG74" s="125">
        <v>0</v>
      </c>
      <c r="AH74" s="125">
        <v>0</v>
      </c>
      <c r="AI74" s="157">
        <v>0</v>
      </c>
      <c r="AJ74" s="157">
        <v>0</v>
      </c>
      <c r="AK74" s="157">
        <v>0</v>
      </c>
      <c r="AL74" s="125">
        <v>7126</v>
      </c>
    </row>
    <row r="75" spans="1:38" s="117" customFormat="1" ht="15" customHeight="1" x14ac:dyDescent="0.2">
      <c r="A75" s="123" t="s">
        <v>578</v>
      </c>
      <c r="B75" s="124" t="s">
        <v>577</v>
      </c>
      <c r="C75" s="157">
        <v>18500</v>
      </c>
      <c r="D75" s="125">
        <v>0</v>
      </c>
      <c r="E75" s="157">
        <v>0</v>
      </c>
      <c r="F75" s="125">
        <v>0</v>
      </c>
      <c r="G75" s="157">
        <v>0</v>
      </c>
      <c r="H75" s="157">
        <v>25214.99</v>
      </c>
      <c r="I75" s="157">
        <v>0</v>
      </c>
      <c r="J75" s="125">
        <v>0</v>
      </c>
      <c r="K75" s="125">
        <v>0</v>
      </c>
      <c r="L75" s="125">
        <v>0</v>
      </c>
      <c r="M75" s="157">
        <v>20000</v>
      </c>
      <c r="N75" s="157">
        <v>2350</v>
      </c>
      <c r="O75" s="157">
        <v>0</v>
      </c>
      <c r="P75" s="125">
        <v>12000</v>
      </c>
      <c r="Q75" s="157">
        <v>0</v>
      </c>
      <c r="R75" s="157">
        <v>27875</v>
      </c>
      <c r="S75" s="157">
        <v>0</v>
      </c>
      <c r="T75" s="125">
        <v>0</v>
      </c>
      <c r="U75" s="125">
        <v>0</v>
      </c>
      <c r="V75" s="125">
        <v>0</v>
      </c>
      <c r="W75" s="125">
        <v>0</v>
      </c>
      <c r="X75" s="157">
        <v>0</v>
      </c>
      <c r="Y75" s="125">
        <v>1100</v>
      </c>
      <c r="Z75" s="125">
        <v>0</v>
      </c>
      <c r="AA75" s="125">
        <v>0</v>
      </c>
      <c r="AB75" s="125">
        <v>0</v>
      </c>
      <c r="AC75" s="125">
        <v>0</v>
      </c>
      <c r="AD75" s="125">
        <v>0</v>
      </c>
      <c r="AE75" s="157">
        <v>0</v>
      </c>
      <c r="AF75" s="157">
        <v>0</v>
      </c>
      <c r="AG75" s="125">
        <v>0</v>
      </c>
      <c r="AH75" s="125">
        <v>0</v>
      </c>
      <c r="AI75" s="157">
        <v>0</v>
      </c>
      <c r="AJ75" s="157">
        <v>0</v>
      </c>
      <c r="AK75" s="157">
        <v>0</v>
      </c>
      <c r="AL75" s="125">
        <v>107039.99</v>
      </c>
    </row>
    <row r="76" spans="1:38" s="117" customFormat="1" ht="15" customHeight="1" x14ac:dyDescent="0.2">
      <c r="A76" s="123" t="s">
        <v>164</v>
      </c>
      <c r="B76" s="124" t="s">
        <v>165</v>
      </c>
      <c r="C76" s="157">
        <v>0</v>
      </c>
      <c r="D76" s="125">
        <v>10196</v>
      </c>
      <c r="E76" s="157">
        <v>3800</v>
      </c>
      <c r="F76" s="125">
        <v>8050</v>
      </c>
      <c r="G76" s="157">
        <v>95215</v>
      </c>
      <c r="H76" s="157">
        <v>7587.45</v>
      </c>
      <c r="I76" s="157">
        <v>15177.88</v>
      </c>
      <c r="J76" s="125">
        <v>0</v>
      </c>
      <c r="K76" s="125">
        <v>3500</v>
      </c>
      <c r="L76" s="125">
        <v>0</v>
      </c>
      <c r="M76" s="157">
        <v>12835</v>
      </c>
      <c r="N76" s="157">
        <v>16324</v>
      </c>
      <c r="O76" s="157">
        <v>19329</v>
      </c>
      <c r="P76" s="125">
        <v>7775</v>
      </c>
      <c r="Q76" s="157">
        <v>5000</v>
      </c>
      <c r="R76" s="157">
        <v>5920</v>
      </c>
      <c r="S76" s="157">
        <v>11080</v>
      </c>
      <c r="T76" s="125">
        <v>0</v>
      </c>
      <c r="U76" s="125">
        <v>6600</v>
      </c>
      <c r="V76" s="125">
        <v>7154.28</v>
      </c>
      <c r="W76" s="125">
        <v>14800</v>
      </c>
      <c r="X76" s="157">
        <v>14971.39</v>
      </c>
      <c r="Y76" s="125">
        <v>35476</v>
      </c>
      <c r="Z76" s="125">
        <v>15838.92</v>
      </c>
      <c r="AA76" s="125">
        <v>5000</v>
      </c>
      <c r="AB76" s="125">
        <v>0</v>
      </c>
      <c r="AC76" s="125">
        <v>10929.13</v>
      </c>
      <c r="AD76" s="125">
        <v>25031</v>
      </c>
      <c r="AE76" s="157">
        <v>5118.6000000000004</v>
      </c>
      <c r="AF76" s="157">
        <v>14714.4</v>
      </c>
      <c r="AG76" s="125">
        <v>13247</v>
      </c>
      <c r="AH76" s="125">
        <v>11673</v>
      </c>
      <c r="AI76" s="157">
        <v>6165</v>
      </c>
      <c r="AJ76" s="157">
        <v>3150</v>
      </c>
      <c r="AK76" s="157">
        <v>3800</v>
      </c>
      <c r="AL76" s="125">
        <v>415458.05</v>
      </c>
    </row>
    <row r="77" spans="1:38" s="117" customFormat="1" ht="15" customHeight="1" x14ac:dyDescent="0.2">
      <c r="A77" s="123" t="s">
        <v>576</v>
      </c>
      <c r="B77" s="124" t="s">
        <v>575</v>
      </c>
      <c r="C77" s="157">
        <v>0</v>
      </c>
      <c r="D77" s="125">
        <v>2455</v>
      </c>
      <c r="E77" s="157">
        <v>0</v>
      </c>
      <c r="F77" s="125">
        <v>0</v>
      </c>
      <c r="G77" s="157">
        <v>0</v>
      </c>
      <c r="H77" s="157">
        <v>0</v>
      </c>
      <c r="I77" s="157">
        <v>0</v>
      </c>
      <c r="J77" s="125">
        <v>0</v>
      </c>
      <c r="K77" s="125">
        <v>0</v>
      </c>
      <c r="L77" s="125">
        <v>0</v>
      </c>
      <c r="M77" s="157">
        <v>0</v>
      </c>
      <c r="N77" s="157">
        <v>1425</v>
      </c>
      <c r="O77" s="157">
        <v>0</v>
      </c>
      <c r="P77" s="125">
        <v>0</v>
      </c>
      <c r="Q77" s="157">
        <v>0</v>
      </c>
      <c r="R77" s="157">
        <v>0</v>
      </c>
      <c r="S77" s="157">
        <v>4009</v>
      </c>
      <c r="T77" s="125">
        <v>0</v>
      </c>
      <c r="U77" s="125">
        <v>0</v>
      </c>
      <c r="V77" s="125">
        <v>13728</v>
      </c>
      <c r="W77" s="125">
        <v>0</v>
      </c>
      <c r="X77" s="157">
        <v>0</v>
      </c>
      <c r="Y77" s="125">
        <v>11750</v>
      </c>
      <c r="Z77" s="125">
        <v>0</v>
      </c>
      <c r="AA77" s="125">
        <v>0</v>
      </c>
      <c r="AB77" s="125">
        <v>0</v>
      </c>
      <c r="AC77" s="125">
        <v>38140.839999999997</v>
      </c>
      <c r="AD77" s="125">
        <v>0</v>
      </c>
      <c r="AE77" s="157">
        <v>0</v>
      </c>
      <c r="AF77" s="157">
        <v>0</v>
      </c>
      <c r="AG77" s="125">
        <v>0</v>
      </c>
      <c r="AH77" s="125">
        <v>0</v>
      </c>
      <c r="AI77" s="157">
        <v>0</v>
      </c>
      <c r="AJ77" s="157">
        <v>0</v>
      </c>
      <c r="AK77" s="157">
        <v>0</v>
      </c>
      <c r="AL77" s="125">
        <v>71507.839999999997</v>
      </c>
    </row>
    <row r="78" spans="1:38" s="117" customFormat="1" ht="15" customHeight="1" x14ac:dyDescent="0.2">
      <c r="A78" s="123" t="s">
        <v>460</v>
      </c>
      <c r="B78" s="124" t="s">
        <v>461</v>
      </c>
      <c r="C78" s="157">
        <v>0</v>
      </c>
      <c r="D78" s="125">
        <v>0</v>
      </c>
      <c r="E78" s="157">
        <v>0</v>
      </c>
      <c r="F78" s="125">
        <v>0</v>
      </c>
      <c r="G78" s="157">
        <v>20500</v>
      </c>
      <c r="H78" s="157">
        <v>0</v>
      </c>
      <c r="I78" s="157">
        <v>0</v>
      </c>
      <c r="J78" s="125">
        <v>0</v>
      </c>
      <c r="K78" s="125">
        <v>0</v>
      </c>
      <c r="L78" s="125">
        <v>0</v>
      </c>
      <c r="M78" s="157">
        <v>0</v>
      </c>
      <c r="N78" s="157">
        <v>0</v>
      </c>
      <c r="O78" s="157">
        <v>0</v>
      </c>
      <c r="P78" s="125">
        <v>0</v>
      </c>
      <c r="Q78" s="157">
        <v>0</v>
      </c>
      <c r="R78" s="157">
        <v>3250</v>
      </c>
      <c r="S78" s="157">
        <v>0</v>
      </c>
      <c r="T78" s="125">
        <v>0</v>
      </c>
      <c r="U78" s="125">
        <v>0</v>
      </c>
      <c r="V78" s="125">
        <v>0</v>
      </c>
      <c r="W78" s="125">
        <v>0</v>
      </c>
      <c r="X78" s="157">
        <v>0</v>
      </c>
      <c r="Y78" s="125">
        <v>0</v>
      </c>
      <c r="Z78" s="125">
        <v>0</v>
      </c>
      <c r="AA78" s="125">
        <v>0</v>
      </c>
      <c r="AB78" s="125">
        <v>0</v>
      </c>
      <c r="AC78" s="125">
        <v>36347.83</v>
      </c>
      <c r="AD78" s="125">
        <v>0</v>
      </c>
      <c r="AE78" s="157">
        <v>0</v>
      </c>
      <c r="AF78" s="157">
        <v>0</v>
      </c>
      <c r="AG78" s="125">
        <v>0</v>
      </c>
      <c r="AH78" s="125">
        <v>0</v>
      </c>
      <c r="AI78" s="157">
        <v>0</v>
      </c>
      <c r="AJ78" s="157">
        <v>0</v>
      </c>
      <c r="AK78" s="157">
        <v>0</v>
      </c>
      <c r="AL78" s="125">
        <v>60097.83</v>
      </c>
    </row>
    <row r="79" spans="1:38" s="117" customFormat="1" ht="15" customHeight="1" x14ac:dyDescent="0.2">
      <c r="A79" s="123" t="s">
        <v>574</v>
      </c>
      <c r="B79" s="124" t="s">
        <v>573</v>
      </c>
      <c r="C79" s="157">
        <v>0</v>
      </c>
      <c r="D79" s="125">
        <v>0</v>
      </c>
      <c r="E79" s="157">
        <v>6244.04</v>
      </c>
      <c r="F79" s="125">
        <v>0</v>
      </c>
      <c r="G79" s="157">
        <v>0</v>
      </c>
      <c r="H79" s="157">
        <v>0</v>
      </c>
      <c r="I79" s="157">
        <v>85136.33</v>
      </c>
      <c r="J79" s="125">
        <v>0</v>
      </c>
      <c r="K79" s="125">
        <v>0</v>
      </c>
      <c r="L79" s="125">
        <v>0</v>
      </c>
      <c r="M79" s="157">
        <v>74212</v>
      </c>
      <c r="N79" s="157">
        <v>0</v>
      </c>
      <c r="O79" s="157">
        <v>0</v>
      </c>
      <c r="P79" s="125">
        <v>0</v>
      </c>
      <c r="Q79" s="157">
        <v>0</v>
      </c>
      <c r="R79" s="157">
        <v>0</v>
      </c>
      <c r="S79" s="157">
        <v>0</v>
      </c>
      <c r="T79" s="125">
        <v>0</v>
      </c>
      <c r="U79" s="125">
        <v>0</v>
      </c>
      <c r="V79" s="125">
        <v>16250</v>
      </c>
      <c r="W79" s="125">
        <v>0</v>
      </c>
      <c r="X79" s="157">
        <v>0</v>
      </c>
      <c r="Y79" s="125">
        <v>1295</v>
      </c>
      <c r="Z79" s="125">
        <v>0</v>
      </c>
      <c r="AA79" s="125">
        <v>0</v>
      </c>
      <c r="AB79" s="125">
        <v>0</v>
      </c>
      <c r="AC79" s="125">
        <v>0</v>
      </c>
      <c r="AD79" s="125">
        <v>0</v>
      </c>
      <c r="AE79" s="157">
        <v>0</v>
      </c>
      <c r="AF79" s="157">
        <v>0</v>
      </c>
      <c r="AG79" s="125">
        <v>0</v>
      </c>
      <c r="AH79" s="125">
        <v>0</v>
      </c>
      <c r="AI79" s="157">
        <v>66100.02</v>
      </c>
      <c r="AJ79" s="157">
        <v>0</v>
      </c>
      <c r="AK79" s="157">
        <v>58524.26</v>
      </c>
      <c r="AL79" s="125">
        <v>307761.65000000002</v>
      </c>
    </row>
    <row r="80" spans="1:38" s="117" customFormat="1" ht="15" customHeight="1" x14ac:dyDescent="0.2">
      <c r="A80" s="123" t="s">
        <v>166</v>
      </c>
      <c r="B80" s="124" t="s">
        <v>167</v>
      </c>
      <c r="C80" s="157">
        <v>0</v>
      </c>
      <c r="D80" s="125">
        <v>0</v>
      </c>
      <c r="E80" s="157">
        <v>0</v>
      </c>
      <c r="F80" s="125">
        <v>0</v>
      </c>
      <c r="G80" s="157">
        <v>0</v>
      </c>
      <c r="H80" s="157">
        <v>0</v>
      </c>
      <c r="I80" s="157">
        <v>0</v>
      </c>
      <c r="J80" s="125">
        <v>12048.15</v>
      </c>
      <c r="K80" s="125">
        <v>0</v>
      </c>
      <c r="L80" s="125">
        <v>0</v>
      </c>
      <c r="M80" s="157">
        <v>0</v>
      </c>
      <c r="N80" s="157">
        <v>0</v>
      </c>
      <c r="O80" s="157">
        <v>0</v>
      </c>
      <c r="P80" s="125">
        <v>0</v>
      </c>
      <c r="Q80" s="157">
        <v>0</v>
      </c>
      <c r="R80" s="157">
        <v>0</v>
      </c>
      <c r="S80" s="157">
        <v>0</v>
      </c>
      <c r="T80" s="125">
        <v>0</v>
      </c>
      <c r="U80" s="125">
        <v>0</v>
      </c>
      <c r="V80" s="125">
        <v>0</v>
      </c>
      <c r="W80" s="125">
        <v>0</v>
      </c>
      <c r="X80" s="157">
        <v>26346.43</v>
      </c>
      <c r="Y80" s="125">
        <v>0</v>
      </c>
      <c r="Z80" s="125">
        <v>0</v>
      </c>
      <c r="AA80" s="125">
        <v>0</v>
      </c>
      <c r="AB80" s="125">
        <v>0</v>
      </c>
      <c r="AC80" s="125">
        <v>0</v>
      </c>
      <c r="AD80" s="125">
        <v>0</v>
      </c>
      <c r="AE80" s="157">
        <v>0</v>
      </c>
      <c r="AF80" s="157">
        <v>0</v>
      </c>
      <c r="AG80" s="125">
        <v>0</v>
      </c>
      <c r="AH80" s="125">
        <v>0</v>
      </c>
      <c r="AI80" s="157">
        <v>0</v>
      </c>
      <c r="AJ80" s="157">
        <v>0</v>
      </c>
      <c r="AK80" s="157">
        <v>0</v>
      </c>
      <c r="AL80" s="125">
        <v>38394.58</v>
      </c>
    </row>
    <row r="81" spans="1:38" s="117" customFormat="1" ht="15" customHeight="1" x14ac:dyDescent="0.2">
      <c r="A81" s="123" t="s">
        <v>462</v>
      </c>
      <c r="B81" s="124" t="s">
        <v>463</v>
      </c>
      <c r="C81" s="157">
        <v>0</v>
      </c>
      <c r="D81" s="125">
        <v>3732</v>
      </c>
      <c r="E81" s="157">
        <v>11848</v>
      </c>
      <c r="F81" s="125">
        <v>0</v>
      </c>
      <c r="G81" s="157">
        <v>43438</v>
      </c>
      <c r="H81" s="157">
        <v>0</v>
      </c>
      <c r="I81" s="157">
        <v>7210.06</v>
      </c>
      <c r="J81" s="125">
        <v>0</v>
      </c>
      <c r="K81" s="125">
        <v>13204</v>
      </c>
      <c r="L81" s="125">
        <v>0</v>
      </c>
      <c r="M81" s="157">
        <v>2600.5500000000002</v>
      </c>
      <c r="N81" s="157">
        <v>0</v>
      </c>
      <c r="O81" s="157">
        <v>0</v>
      </c>
      <c r="P81" s="125">
        <v>10887</v>
      </c>
      <c r="Q81" s="157">
        <v>0</v>
      </c>
      <c r="R81" s="157">
        <v>0</v>
      </c>
      <c r="S81" s="157">
        <v>0</v>
      </c>
      <c r="T81" s="125">
        <v>0</v>
      </c>
      <c r="U81" s="125">
        <v>3395</v>
      </c>
      <c r="V81" s="125">
        <v>2606.7800000000002</v>
      </c>
      <c r="W81" s="125">
        <v>0</v>
      </c>
      <c r="X81" s="157">
        <v>0</v>
      </c>
      <c r="Y81" s="125">
        <v>6959</v>
      </c>
      <c r="Z81" s="125">
        <v>0</v>
      </c>
      <c r="AA81" s="125">
        <v>0</v>
      </c>
      <c r="AB81" s="125">
        <v>0</v>
      </c>
      <c r="AC81" s="125">
        <v>0</v>
      </c>
      <c r="AD81" s="125">
        <v>12799</v>
      </c>
      <c r="AE81" s="157">
        <v>0</v>
      </c>
      <c r="AF81" s="157">
        <v>0</v>
      </c>
      <c r="AG81" s="125">
        <v>0</v>
      </c>
      <c r="AH81" s="125">
        <v>3255</v>
      </c>
      <c r="AI81" s="157">
        <v>0</v>
      </c>
      <c r="AJ81" s="157">
        <v>0</v>
      </c>
      <c r="AK81" s="157">
        <v>0</v>
      </c>
      <c r="AL81" s="125">
        <v>121934.39</v>
      </c>
    </row>
    <row r="82" spans="1:38" s="117" customFormat="1" ht="15" customHeight="1" x14ac:dyDescent="0.2">
      <c r="A82" s="123" t="s">
        <v>636</v>
      </c>
      <c r="B82" s="124" t="s">
        <v>635</v>
      </c>
      <c r="C82" s="157">
        <v>1275</v>
      </c>
      <c r="D82" s="125">
        <v>0</v>
      </c>
      <c r="E82" s="157">
        <v>0</v>
      </c>
      <c r="F82" s="125">
        <v>0</v>
      </c>
      <c r="G82" s="157">
        <v>0</v>
      </c>
      <c r="H82" s="157">
        <v>0</v>
      </c>
      <c r="I82" s="157">
        <v>1200</v>
      </c>
      <c r="J82" s="125">
        <v>0</v>
      </c>
      <c r="K82" s="125">
        <v>5050</v>
      </c>
      <c r="L82" s="125">
        <v>0</v>
      </c>
      <c r="M82" s="157">
        <v>0</v>
      </c>
      <c r="N82" s="157">
        <v>0</v>
      </c>
      <c r="O82" s="157">
        <v>0</v>
      </c>
      <c r="P82" s="125">
        <v>2885</v>
      </c>
      <c r="Q82" s="157">
        <v>0</v>
      </c>
      <c r="R82" s="157">
        <v>0</v>
      </c>
      <c r="S82" s="157">
        <v>0</v>
      </c>
      <c r="T82" s="125">
        <v>0</v>
      </c>
      <c r="U82" s="125">
        <v>0</v>
      </c>
      <c r="V82" s="125">
        <v>24690</v>
      </c>
      <c r="W82" s="125">
        <v>0</v>
      </c>
      <c r="X82" s="157">
        <v>0</v>
      </c>
      <c r="Y82" s="125">
        <v>0</v>
      </c>
      <c r="Z82" s="125">
        <v>0</v>
      </c>
      <c r="AA82" s="125">
        <v>0</v>
      </c>
      <c r="AB82" s="125">
        <v>0</v>
      </c>
      <c r="AC82" s="125">
        <v>0</v>
      </c>
      <c r="AD82" s="125">
        <v>20090</v>
      </c>
      <c r="AE82" s="157">
        <v>0</v>
      </c>
      <c r="AF82" s="157">
        <v>0</v>
      </c>
      <c r="AG82" s="125">
        <v>0</v>
      </c>
      <c r="AH82" s="125">
        <v>0</v>
      </c>
      <c r="AI82" s="157">
        <v>0</v>
      </c>
      <c r="AJ82" s="157">
        <v>0</v>
      </c>
      <c r="AK82" s="157">
        <v>0</v>
      </c>
      <c r="AL82" s="125">
        <v>55190</v>
      </c>
    </row>
    <row r="83" spans="1:38" s="117" customFormat="1" ht="15" customHeight="1" x14ac:dyDescent="0.2">
      <c r="A83" s="123" t="s">
        <v>168</v>
      </c>
      <c r="B83" s="124" t="s">
        <v>169</v>
      </c>
      <c r="C83" s="157">
        <v>34545.08</v>
      </c>
      <c r="D83" s="125">
        <v>11150</v>
      </c>
      <c r="E83" s="157">
        <v>31476</v>
      </c>
      <c r="F83" s="125">
        <v>5360</v>
      </c>
      <c r="G83" s="157">
        <v>10563</v>
      </c>
      <c r="H83" s="157">
        <v>0</v>
      </c>
      <c r="I83" s="157">
        <v>18099.11</v>
      </c>
      <c r="J83" s="125">
        <v>6575.43</v>
      </c>
      <c r="K83" s="125">
        <v>39000</v>
      </c>
      <c r="L83" s="125">
        <v>0</v>
      </c>
      <c r="M83" s="157">
        <v>52070</v>
      </c>
      <c r="N83" s="157">
        <v>10000</v>
      </c>
      <c r="O83" s="157">
        <v>41542</v>
      </c>
      <c r="P83" s="125">
        <v>28460</v>
      </c>
      <c r="Q83" s="157">
        <v>12516</v>
      </c>
      <c r="R83" s="157">
        <v>41003</v>
      </c>
      <c r="S83" s="157">
        <v>34335</v>
      </c>
      <c r="T83" s="125">
        <v>0</v>
      </c>
      <c r="U83" s="125">
        <v>3800</v>
      </c>
      <c r="V83" s="125">
        <v>41208</v>
      </c>
      <c r="W83" s="125">
        <v>3122</v>
      </c>
      <c r="X83" s="157">
        <v>10222</v>
      </c>
      <c r="Y83" s="125">
        <v>66239.789999999994</v>
      </c>
      <c r="Z83" s="125">
        <v>26760</v>
      </c>
      <c r="AA83" s="125">
        <v>6714</v>
      </c>
      <c r="AB83" s="125">
        <v>29928</v>
      </c>
      <c r="AC83" s="125">
        <v>4482</v>
      </c>
      <c r="AD83" s="125">
        <v>10897.51</v>
      </c>
      <c r="AE83" s="157">
        <v>17100.669999999998</v>
      </c>
      <c r="AF83" s="157">
        <v>11735</v>
      </c>
      <c r="AG83" s="125">
        <v>7800</v>
      </c>
      <c r="AH83" s="125">
        <v>0</v>
      </c>
      <c r="AI83" s="157">
        <v>0</v>
      </c>
      <c r="AJ83" s="157">
        <v>0</v>
      </c>
      <c r="AK83" s="157">
        <v>2683</v>
      </c>
      <c r="AL83" s="125">
        <v>619386.59</v>
      </c>
    </row>
    <row r="84" spans="1:38" s="117" customFormat="1" ht="15" customHeight="1" x14ac:dyDescent="0.2">
      <c r="A84" s="123" t="s">
        <v>597</v>
      </c>
      <c r="B84" s="124" t="s">
        <v>596</v>
      </c>
      <c r="C84" s="157">
        <v>0</v>
      </c>
      <c r="D84" s="125">
        <v>0</v>
      </c>
      <c r="E84" s="157">
        <v>0</v>
      </c>
      <c r="F84" s="125">
        <v>0</v>
      </c>
      <c r="G84" s="157">
        <v>0</v>
      </c>
      <c r="H84" s="157">
        <v>12413.78</v>
      </c>
      <c r="I84" s="157">
        <v>0</v>
      </c>
      <c r="J84" s="125">
        <v>0</v>
      </c>
      <c r="K84" s="125">
        <v>0</v>
      </c>
      <c r="L84" s="125">
        <v>0</v>
      </c>
      <c r="M84" s="157">
        <v>0</v>
      </c>
      <c r="N84" s="157">
        <v>0</v>
      </c>
      <c r="O84" s="157">
        <v>15896.47</v>
      </c>
      <c r="P84" s="125">
        <v>0</v>
      </c>
      <c r="Q84" s="157">
        <v>0</v>
      </c>
      <c r="R84" s="157">
        <v>0</v>
      </c>
      <c r="S84" s="157">
        <v>0</v>
      </c>
      <c r="T84" s="125">
        <v>0</v>
      </c>
      <c r="U84" s="125">
        <v>0</v>
      </c>
      <c r="V84" s="125">
        <v>0</v>
      </c>
      <c r="W84" s="125">
        <v>0</v>
      </c>
      <c r="X84" s="157">
        <v>0</v>
      </c>
      <c r="Y84" s="125">
        <v>0</v>
      </c>
      <c r="Z84" s="125">
        <v>0</v>
      </c>
      <c r="AA84" s="125">
        <v>0</v>
      </c>
      <c r="AB84" s="125">
        <v>0</v>
      </c>
      <c r="AC84" s="125">
        <v>0</v>
      </c>
      <c r="AD84" s="125">
        <v>0</v>
      </c>
      <c r="AE84" s="157">
        <v>0</v>
      </c>
      <c r="AF84" s="157">
        <v>0</v>
      </c>
      <c r="AG84" s="125">
        <v>0</v>
      </c>
      <c r="AH84" s="125">
        <v>0</v>
      </c>
      <c r="AI84" s="157">
        <v>0</v>
      </c>
      <c r="AJ84" s="157">
        <v>0</v>
      </c>
      <c r="AK84" s="157">
        <v>0</v>
      </c>
      <c r="AL84" s="125">
        <v>28310.25</v>
      </c>
    </row>
    <row r="85" spans="1:38" s="117" customFormat="1" ht="15" customHeight="1" x14ac:dyDescent="0.2">
      <c r="A85" s="123" t="s">
        <v>634</v>
      </c>
      <c r="B85" s="124" t="s">
        <v>633</v>
      </c>
      <c r="C85" s="157">
        <v>3475</v>
      </c>
      <c r="D85" s="125">
        <v>0</v>
      </c>
      <c r="E85" s="157">
        <v>0</v>
      </c>
      <c r="F85" s="125">
        <v>0</v>
      </c>
      <c r="G85" s="157">
        <v>0</v>
      </c>
      <c r="H85" s="157">
        <v>0</v>
      </c>
      <c r="I85" s="157">
        <v>0</v>
      </c>
      <c r="J85" s="125">
        <v>0</v>
      </c>
      <c r="K85" s="125">
        <v>0</v>
      </c>
      <c r="L85" s="125">
        <v>0</v>
      </c>
      <c r="M85" s="157">
        <v>0</v>
      </c>
      <c r="N85" s="157">
        <v>0</v>
      </c>
      <c r="O85" s="157">
        <v>0</v>
      </c>
      <c r="P85" s="125">
        <v>0</v>
      </c>
      <c r="Q85" s="157">
        <v>0</v>
      </c>
      <c r="R85" s="157">
        <v>0</v>
      </c>
      <c r="S85" s="157">
        <v>0</v>
      </c>
      <c r="T85" s="125">
        <v>0</v>
      </c>
      <c r="U85" s="125">
        <v>0</v>
      </c>
      <c r="V85" s="125">
        <v>0</v>
      </c>
      <c r="W85" s="125">
        <v>0</v>
      </c>
      <c r="X85" s="157">
        <v>0</v>
      </c>
      <c r="Y85" s="125">
        <v>0</v>
      </c>
      <c r="Z85" s="125">
        <v>0</v>
      </c>
      <c r="AA85" s="125">
        <v>0</v>
      </c>
      <c r="AB85" s="125">
        <v>0</v>
      </c>
      <c r="AC85" s="125">
        <v>0</v>
      </c>
      <c r="AD85" s="125">
        <v>0</v>
      </c>
      <c r="AE85" s="157">
        <v>0</v>
      </c>
      <c r="AF85" s="157">
        <v>3930</v>
      </c>
      <c r="AG85" s="125">
        <v>3198</v>
      </c>
      <c r="AH85" s="125">
        <v>0</v>
      </c>
      <c r="AI85" s="157">
        <v>0</v>
      </c>
      <c r="AJ85" s="157">
        <v>0</v>
      </c>
      <c r="AK85" s="157">
        <v>0</v>
      </c>
      <c r="AL85" s="125">
        <v>10603</v>
      </c>
    </row>
    <row r="86" spans="1:38" s="117" customFormat="1" ht="15" customHeight="1" x14ac:dyDescent="0.2">
      <c r="A86" s="123" t="s">
        <v>572</v>
      </c>
      <c r="B86" s="124" t="s">
        <v>571</v>
      </c>
      <c r="C86" s="157">
        <v>0</v>
      </c>
      <c r="D86" s="125">
        <v>0</v>
      </c>
      <c r="E86" s="157">
        <v>10685</v>
      </c>
      <c r="F86" s="125">
        <v>0</v>
      </c>
      <c r="G86" s="157">
        <v>0</v>
      </c>
      <c r="H86" s="157">
        <v>0</v>
      </c>
      <c r="I86" s="157">
        <v>6732</v>
      </c>
      <c r="J86" s="125">
        <v>0</v>
      </c>
      <c r="K86" s="125">
        <v>0</v>
      </c>
      <c r="L86" s="125">
        <v>0</v>
      </c>
      <c r="M86" s="157">
        <v>0</v>
      </c>
      <c r="N86" s="157">
        <v>0</v>
      </c>
      <c r="O86" s="157">
        <v>0</v>
      </c>
      <c r="P86" s="125">
        <v>0</v>
      </c>
      <c r="Q86" s="157">
        <v>0</v>
      </c>
      <c r="R86" s="157">
        <v>1980</v>
      </c>
      <c r="S86" s="157">
        <v>0</v>
      </c>
      <c r="T86" s="125">
        <v>12110.1</v>
      </c>
      <c r="U86" s="125">
        <v>0</v>
      </c>
      <c r="V86" s="125">
        <v>0</v>
      </c>
      <c r="W86" s="125">
        <v>0</v>
      </c>
      <c r="X86" s="157">
        <v>0</v>
      </c>
      <c r="Y86" s="125">
        <v>70744.5</v>
      </c>
      <c r="Z86" s="125">
        <v>0</v>
      </c>
      <c r="AA86" s="125">
        <v>3870</v>
      </c>
      <c r="AB86" s="125">
        <v>5840</v>
      </c>
      <c r="AC86" s="125">
        <v>0</v>
      </c>
      <c r="AD86" s="125">
        <v>0</v>
      </c>
      <c r="AE86" s="157">
        <v>0</v>
      </c>
      <c r="AF86" s="157">
        <v>0</v>
      </c>
      <c r="AG86" s="125">
        <v>0</v>
      </c>
      <c r="AH86" s="125">
        <v>0</v>
      </c>
      <c r="AI86" s="157">
        <v>0</v>
      </c>
      <c r="AJ86" s="157">
        <v>0</v>
      </c>
      <c r="AK86" s="157">
        <v>0</v>
      </c>
      <c r="AL86" s="125">
        <v>111961.60000000001</v>
      </c>
    </row>
    <row r="87" spans="1:38" s="117" customFormat="1" ht="15" customHeight="1" x14ac:dyDescent="0.2">
      <c r="A87" s="123" t="s">
        <v>464</v>
      </c>
      <c r="B87" s="124" t="s">
        <v>465</v>
      </c>
      <c r="C87" s="157">
        <v>0</v>
      </c>
      <c r="D87" s="125">
        <v>0</v>
      </c>
      <c r="E87" s="157">
        <v>0</v>
      </c>
      <c r="F87" s="125">
        <v>0</v>
      </c>
      <c r="G87" s="157">
        <v>44112</v>
      </c>
      <c r="H87" s="157">
        <v>2800</v>
      </c>
      <c r="I87" s="157">
        <v>0</v>
      </c>
      <c r="J87" s="125">
        <v>0</v>
      </c>
      <c r="K87" s="125">
        <v>4800</v>
      </c>
      <c r="L87" s="125">
        <v>0</v>
      </c>
      <c r="M87" s="157">
        <v>0</v>
      </c>
      <c r="N87" s="157">
        <v>0</v>
      </c>
      <c r="O87" s="157">
        <v>0</v>
      </c>
      <c r="P87" s="125">
        <v>7509</v>
      </c>
      <c r="Q87" s="157">
        <v>0</v>
      </c>
      <c r="R87" s="157">
        <v>0</v>
      </c>
      <c r="S87" s="157">
        <v>22539</v>
      </c>
      <c r="T87" s="125">
        <v>9136.8700000000008</v>
      </c>
      <c r="U87" s="125">
        <v>0</v>
      </c>
      <c r="V87" s="125">
        <v>0</v>
      </c>
      <c r="W87" s="125">
        <v>0</v>
      </c>
      <c r="X87" s="157">
        <v>0</v>
      </c>
      <c r="Y87" s="125">
        <v>41119</v>
      </c>
      <c r="Z87" s="125">
        <v>0</v>
      </c>
      <c r="AA87" s="125">
        <v>0</v>
      </c>
      <c r="AB87" s="125">
        <v>0</v>
      </c>
      <c r="AC87" s="125">
        <v>0</v>
      </c>
      <c r="AD87" s="125">
        <v>3349</v>
      </c>
      <c r="AE87" s="157">
        <v>0</v>
      </c>
      <c r="AF87" s="157">
        <v>0</v>
      </c>
      <c r="AG87" s="125">
        <v>7691.48</v>
      </c>
      <c r="AH87" s="125">
        <v>0</v>
      </c>
      <c r="AI87" s="157">
        <v>0</v>
      </c>
      <c r="AJ87" s="157">
        <v>0</v>
      </c>
      <c r="AK87" s="157">
        <v>0</v>
      </c>
      <c r="AL87" s="125">
        <v>143056.35</v>
      </c>
    </row>
    <row r="88" spans="1:38" s="117" customFormat="1" ht="15" customHeight="1" x14ac:dyDescent="0.2">
      <c r="A88" s="123" t="s">
        <v>170</v>
      </c>
      <c r="B88" s="124" t="s">
        <v>171</v>
      </c>
      <c r="C88" s="157">
        <v>6085433</v>
      </c>
      <c r="D88" s="125">
        <v>8496313</v>
      </c>
      <c r="E88" s="157">
        <v>6108876</v>
      </c>
      <c r="F88" s="125">
        <v>9082400.2599999998</v>
      </c>
      <c r="G88" s="157">
        <v>13387010</v>
      </c>
      <c r="H88" s="157">
        <v>0</v>
      </c>
      <c r="I88" s="157">
        <v>4302452.7699999996</v>
      </c>
      <c r="J88" s="125">
        <v>8781458.9100000001</v>
      </c>
      <c r="K88" s="125">
        <v>9007534</v>
      </c>
      <c r="L88" s="125">
        <v>5996211.7699999996</v>
      </c>
      <c r="M88" s="157">
        <v>4447629</v>
      </c>
      <c r="N88" s="157">
        <v>7309216.6399999997</v>
      </c>
      <c r="O88" s="157">
        <v>5993627</v>
      </c>
      <c r="P88" s="125">
        <v>3804019</v>
      </c>
      <c r="Q88" s="157">
        <v>10187188</v>
      </c>
      <c r="R88" s="157">
        <v>5738651</v>
      </c>
      <c r="S88" s="157">
        <v>3842145</v>
      </c>
      <c r="T88" s="125">
        <v>7771244</v>
      </c>
      <c r="U88" s="125">
        <v>10025751.74</v>
      </c>
      <c r="V88" s="125">
        <v>3234.87</v>
      </c>
      <c r="W88" s="125">
        <v>11627780</v>
      </c>
      <c r="X88" s="157">
        <v>6849376</v>
      </c>
      <c r="Y88" s="125">
        <v>6977937</v>
      </c>
      <c r="Z88" s="125">
        <v>8043450</v>
      </c>
      <c r="AA88" s="125">
        <v>7352033.3300000001</v>
      </c>
      <c r="AB88" s="125">
        <v>7628595</v>
      </c>
      <c r="AC88" s="125">
        <v>9497252.9299999997</v>
      </c>
      <c r="AD88" s="125">
        <v>12571212</v>
      </c>
      <c r="AE88" s="157">
        <v>7612296</v>
      </c>
      <c r="AF88" s="157">
        <v>9700935</v>
      </c>
      <c r="AG88" s="125">
        <v>5437906</v>
      </c>
      <c r="AH88" s="125">
        <v>6721897.1299999999</v>
      </c>
      <c r="AI88" s="157">
        <v>7591796.46</v>
      </c>
      <c r="AJ88" s="157">
        <v>8026185.2599999998</v>
      </c>
      <c r="AK88" s="157">
        <v>7174561.75</v>
      </c>
      <c r="AL88" s="125">
        <v>253183609.81999999</v>
      </c>
    </row>
    <row r="89" spans="1:38" s="117" customFormat="1" ht="15" customHeight="1" x14ac:dyDescent="0.2">
      <c r="A89" s="123" t="s">
        <v>172</v>
      </c>
      <c r="B89" s="124" t="s">
        <v>173</v>
      </c>
      <c r="C89" s="157">
        <v>0</v>
      </c>
      <c r="D89" s="125">
        <v>0</v>
      </c>
      <c r="E89" s="157">
        <v>0</v>
      </c>
      <c r="F89" s="125">
        <v>0</v>
      </c>
      <c r="G89" s="157">
        <v>435595</v>
      </c>
      <c r="H89" s="157">
        <v>0</v>
      </c>
      <c r="I89" s="157">
        <v>0</v>
      </c>
      <c r="J89" s="125">
        <v>0</v>
      </c>
      <c r="K89" s="125">
        <v>0</v>
      </c>
      <c r="L89" s="125">
        <v>0</v>
      </c>
      <c r="M89" s="157">
        <v>0</v>
      </c>
      <c r="N89" s="157">
        <v>0</v>
      </c>
      <c r="O89" s="157">
        <v>0</v>
      </c>
      <c r="P89" s="125">
        <v>0</v>
      </c>
      <c r="Q89" s="157">
        <v>0</v>
      </c>
      <c r="R89" s="157">
        <v>0</v>
      </c>
      <c r="S89" s="157">
        <v>0</v>
      </c>
      <c r="T89" s="125">
        <v>0</v>
      </c>
      <c r="U89" s="125">
        <v>157382</v>
      </c>
      <c r="V89" s="125">
        <v>0</v>
      </c>
      <c r="W89" s="125">
        <v>0</v>
      </c>
      <c r="X89" s="157">
        <v>1890</v>
      </c>
      <c r="Y89" s="125">
        <v>3204</v>
      </c>
      <c r="Z89" s="125">
        <v>0</v>
      </c>
      <c r="AA89" s="125">
        <v>0</v>
      </c>
      <c r="AB89" s="125">
        <v>0</v>
      </c>
      <c r="AC89" s="125">
        <v>5440.97</v>
      </c>
      <c r="AD89" s="125">
        <v>0</v>
      </c>
      <c r="AE89" s="157">
        <v>0</v>
      </c>
      <c r="AF89" s="157">
        <v>0</v>
      </c>
      <c r="AG89" s="125">
        <v>0</v>
      </c>
      <c r="AH89" s="125">
        <v>0</v>
      </c>
      <c r="AI89" s="157">
        <v>0</v>
      </c>
      <c r="AJ89" s="157">
        <v>0</v>
      </c>
      <c r="AK89" s="157">
        <v>241432</v>
      </c>
      <c r="AL89" s="125">
        <v>844943.97</v>
      </c>
    </row>
    <row r="90" spans="1:38" s="117" customFormat="1" ht="15" customHeight="1" x14ac:dyDescent="0.2">
      <c r="A90" s="123" t="s">
        <v>466</v>
      </c>
      <c r="B90" s="124" t="s">
        <v>467</v>
      </c>
      <c r="C90" s="157">
        <v>0</v>
      </c>
      <c r="D90" s="125">
        <v>0</v>
      </c>
      <c r="E90" s="157">
        <v>3360</v>
      </c>
      <c r="F90" s="125">
        <v>0</v>
      </c>
      <c r="G90" s="157">
        <v>5712</v>
      </c>
      <c r="H90" s="157">
        <v>0</v>
      </c>
      <c r="I90" s="157">
        <v>0</v>
      </c>
      <c r="J90" s="125">
        <v>0</v>
      </c>
      <c r="K90" s="125">
        <v>0</v>
      </c>
      <c r="L90" s="125">
        <v>0</v>
      </c>
      <c r="M90" s="157">
        <v>2713</v>
      </c>
      <c r="N90" s="157">
        <v>0</v>
      </c>
      <c r="O90" s="157">
        <v>0</v>
      </c>
      <c r="P90" s="125">
        <v>0</v>
      </c>
      <c r="Q90" s="157">
        <v>0</v>
      </c>
      <c r="R90" s="157">
        <v>0</v>
      </c>
      <c r="S90" s="157">
        <v>0</v>
      </c>
      <c r="T90" s="125">
        <v>0</v>
      </c>
      <c r="U90" s="125">
        <v>0</v>
      </c>
      <c r="V90" s="125">
        <v>3191.8</v>
      </c>
      <c r="W90" s="125">
        <v>0</v>
      </c>
      <c r="X90" s="157">
        <v>0</v>
      </c>
      <c r="Y90" s="125">
        <v>3695</v>
      </c>
      <c r="Z90" s="125">
        <v>0</v>
      </c>
      <c r="AA90" s="125">
        <v>0</v>
      </c>
      <c r="AB90" s="125">
        <v>0</v>
      </c>
      <c r="AC90" s="125">
        <v>0</v>
      </c>
      <c r="AD90" s="125">
        <v>0</v>
      </c>
      <c r="AE90" s="157">
        <v>0</v>
      </c>
      <c r="AF90" s="157">
        <v>0</v>
      </c>
      <c r="AG90" s="125">
        <v>0</v>
      </c>
      <c r="AH90" s="125">
        <v>0</v>
      </c>
      <c r="AI90" s="157">
        <v>31577.4</v>
      </c>
      <c r="AJ90" s="157">
        <v>0</v>
      </c>
      <c r="AK90" s="157">
        <v>0</v>
      </c>
      <c r="AL90" s="125">
        <v>50249.2</v>
      </c>
    </row>
    <row r="91" spans="1:38" s="117" customFormat="1" ht="15" customHeight="1" x14ac:dyDescent="0.2">
      <c r="A91" s="123" t="s">
        <v>174</v>
      </c>
      <c r="B91" s="124" t="s">
        <v>175</v>
      </c>
      <c r="C91" s="157">
        <v>0</v>
      </c>
      <c r="D91" s="125">
        <v>0</v>
      </c>
      <c r="E91" s="157">
        <v>0</v>
      </c>
      <c r="F91" s="125">
        <v>1745.61</v>
      </c>
      <c r="G91" s="157">
        <v>0</v>
      </c>
      <c r="H91" s="157">
        <v>6071.6</v>
      </c>
      <c r="I91" s="157">
        <v>0</v>
      </c>
      <c r="J91" s="125">
        <v>0</v>
      </c>
      <c r="K91" s="125">
        <v>1052</v>
      </c>
      <c r="L91" s="125">
        <v>0</v>
      </c>
      <c r="M91" s="157">
        <v>3480</v>
      </c>
      <c r="N91" s="157">
        <v>0</v>
      </c>
      <c r="O91" s="157">
        <v>1149</v>
      </c>
      <c r="P91" s="125">
        <v>1842</v>
      </c>
      <c r="Q91" s="157">
        <v>0</v>
      </c>
      <c r="R91" s="157">
        <v>1121.54</v>
      </c>
      <c r="S91" s="157">
        <v>0</v>
      </c>
      <c r="T91" s="125">
        <v>0</v>
      </c>
      <c r="U91" s="125">
        <v>0</v>
      </c>
      <c r="V91" s="125">
        <v>0</v>
      </c>
      <c r="W91" s="125">
        <v>0</v>
      </c>
      <c r="X91" s="157">
        <v>1149</v>
      </c>
      <c r="Y91" s="125">
        <v>0</v>
      </c>
      <c r="Z91" s="125">
        <v>0</v>
      </c>
      <c r="AA91" s="125">
        <v>1628</v>
      </c>
      <c r="AB91" s="125">
        <v>0</v>
      </c>
      <c r="AC91" s="125">
        <v>0</v>
      </c>
      <c r="AD91" s="125">
        <v>0</v>
      </c>
      <c r="AE91" s="157">
        <v>0</v>
      </c>
      <c r="AF91" s="157">
        <v>0</v>
      </c>
      <c r="AG91" s="125">
        <v>7027.9</v>
      </c>
      <c r="AH91" s="125">
        <v>0</v>
      </c>
      <c r="AI91" s="157">
        <v>0</v>
      </c>
      <c r="AJ91" s="157">
        <v>0</v>
      </c>
      <c r="AK91" s="157">
        <v>0</v>
      </c>
      <c r="AL91" s="125">
        <v>26266.65</v>
      </c>
    </row>
    <row r="92" spans="1:38" s="117" customFormat="1" ht="15" customHeight="1" x14ac:dyDescent="0.2">
      <c r="A92" s="123" t="s">
        <v>644</v>
      </c>
      <c r="B92" s="124" t="s">
        <v>643</v>
      </c>
      <c r="C92" s="157">
        <v>0</v>
      </c>
      <c r="D92" s="125">
        <v>0</v>
      </c>
      <c r="E92" s="157">
        <v>0</v>
      </c>
      <c r="F92" s="125">
        <v>0</v>
      </c>
      <c r="G92" s="157">
        <v>0</v>
      </c>
      <c r="H92" s="157">
        <v>0</v>
      </c>
      <c r="I92" s="157">
        <v>0</v>
      </c>
      <c r="J92" s="125">
        <v>0</v>
      </c>
      <c r="K92" s="125">
        <v>0</v>
      </c>
      <c r="L92" s="125">
        <v>0</v>
      </c>
      <c r="M92" s="157">
        <v>0</v>
      </c>
      <c r="N92" s="157">
        <v>0</v>
      </c>
      <c r="O92" s="157">
        <v>0</v>
      </c>
      <c r="P92" s="125">
        <v>2700</v>
      </c>
      <c r="Q92" s="157">
        <v>0</v>
      </c>
      <c r="R92" s="157">
        <v>0</v>
      </c>
      <c r="S92" s="157">
        <v>0</v>
      </c>
      <c r="T92" s="125">
        <v>0</v>
      </c>
      <c r="U92" s="125">
        <v>0</v>
      </c>
      <c r="V92" s="125">
        <v>1872</v>
      </c>
      <c r="W92" s="125">
        <v>0</v>
      </c>
      <c r="X92" s="157">
        <v>0</v>
      </c>
      <c r="Y92" s="125">
        <v>0</v>
      </c>
      <c r="Z92" s="125">
        <v>0</v>
      </c>
      <c r="AA92" s="125">
        <v>0</v>
      </c>
      <c r="AB92" s="125">
        <v>0</v>
      </c>
      <c r="AC92" s="125">
        <v>0</v>
      </c>
      <c r="AD92" s="125">
        <v>0</v>
      </c>
      <c r="AE92" s="157">
        <v>0</v>
      </c>
      <c r="AF92" s="157">
        <v>0</v>
      </c>
      <c r="AG92" s="125">
        <v>0</v>
      </c>
      <c r="AH92" s="125">
        <v>0</v>
      </c>
      <c r="AI92" s="157">
        <v>0</v>
      </c>
      <c r="AJ92" s="157">
        <v>0</v>
      </c>
      <c r="AK92" s="157">
        <v>0</v>
      </c>
      <c r="AL92" s="125">
        <v>4572</v>
      </c>
    </row>
    <row r="93" spans="1:38" s="117" customFormat="1" ht="15" customHeight="1" x14ac:dyDescent="0.2">
      <c r="A93" s="123" t="s">
        <v>176</v>
      </c>
      <c r="B93" s="124" t="s">
        <v>177</v>
      </c>
      <c r="C93" s="157">
        <v>7824.82</v>
      </c>
      <c r="D93" s="125">
        <v>5464.62</v>
      </c>
      <c r="E93" s="157">
        <v>15558</v>
      </c>
      <c r="F93" s="125">
        <v>3243.75</v>
      </c>
      <c r="G93" s="157">
        <v>4931</v>
      </c>
      <c r="H93" s="157">
        <v>4918.1000000000004</v>
      </c>
      <c r="I93" s="157">
        <v>5225.2299999999996</v>
      </c>
      <c r="J93" s="125">
        <v>0</v>
      </c>
      <c r="K93" s="125">
        <v>9413</v>
      </c>
      <c r="L93" s="125">
        <v>0</v>
      </c>
      <c r="M93" s="157">
        <v>0</v>
      </c>
      <c r="N93" s="157">
        <v>5415</v>
      </c>
      <c r="O93" s="157">
        <v>7110</v>
      </c>
      <c r="P93" s="125">
        <v>5486.2</v>
      </c>
      <c r="Q93" s="157">
        <v>0</v>
      </c>
      <c r="R93" s="157">
        <v>0</v>
      </c>
      <c r="S93" s="157">
        <v>0</v>
      </c>
      <c r="T93" s="125">
        <v>0</v>
      </c>
      <c r="U93" s="125">
        <v>6404</v>
      </c>
      <c r="V93" s="125">
        <v>0</v>
      </c>
      <c r="W93" s="125">
        <v>0</v>
      </c>
      <c r="X93" s="157">
        <v>3840</v>
      </c>
      <c r="Y93" s="125">
        <v>5700</v>
      </c>
      <c r="Z93" s="125">
        <v>3925</v>
      </c>
      <c r="AA93" s="125">
        <v>6094.62</v>
      </c>
      <c r="AB93" s="125">
        <v>3351</v>
      </c>
      <c r="AC93" s="125">
        <v>12485</v>
      </c>
      <c r="AD93" s="125">
        <v>0</v>
      </c>
      <c r="AE93" s="157">
        <v>0</v>
      </c>
      <c r="AF93" s="157">
        <v>0</v>
      </c>
      <c r="AG93" s="125">
        <v>5515</v>
      </c>
      <c r="AH93" s="125">
        <v>0</v>
      </c>
      <c r="AI93" s="157">
        <v>0</v>
      </c>
      <c r="AJ93" s="157">
        <v>8191.5</v>
      </c>
      <c r="AK93" s="157">
        <v>7265.88</v>
      </c>
      <c r="AL93" s="125">
        <v>137361.72</v>
      </c>
    </row>
    <row r="94" spans="1:38" s="117" customFormat="1" ht="15" customHeight="1" x14ac:dyDescent="0.2">
      <c r="A94" s="123" t="s">
        <v>570</v>
      </c>
      <c r="B94" s="124" t="s">
        <v>569</v>
      </c>
      <c r="C94" s="157">
        <v>0</v>
      </c>
      <c r="D94" s="125">
        <v>0</v>
      </c>
      <c r="E94" s="157">
        <v>2707</v>
      </c>
      <c r="F94" s="125">
        <v>0</v>
      </c>
      <c r="G94" s="157">
        <v>0</v>
      </c>
      <c r="H94" s="157">
        <v>6457.03</v>
      </c>
      <c r="I94" s="157">
        <v>0</v>
      </c>
      <c r="J94" s="125">
        <v>0</v>
      </c>
      <c r="K94" s="125">
        <v>0</v>
      </c>
      <c r="L94" s="125">
        <v>0</v>
      </c>
      <c r="M94" s="157">
        <v>0</v>
      </c>
      <c r="N94" s="157">
        <v>3716</v>
      </c>
      <c r="O94" s="157">
        <v>10600</v>
      </c>
      <c r="P94" s="125">
        <v>1502</v>
      </c>
      <c r="Q94" s="157">
        <v>0</v>
      </c>
      <c r="R94" s="157">
        <v>0</v>
      </c>
      <c r="S94" s="157">
        <v>0</v>
      </c>
      <c r="T94" s="125">
        <v>0</v>
      </c>
      <c r="U94" s="125">
        <v>0</v>
      </c>
      <c r="V94" s="125">
        <v>2707</v>
      </c>
      <c r="W94" s="125">
        <v>0</v>
      </c>
      <c r="X94" s="157">
        <v>0</v>
      </c>
      <c r="Y94" s="125">
        <v>6787</v>
      </c>
      <c r="Z94" s="125">
        <v>4080</v>
      </c>
      <c r="AA94" s="125">
        <v>0</v>
      </c>
      <c r="AB94" s="125">
        <v>2711.48</v>
      </c>
      <c r="AC94" s="125">
        <v>0</v>
      </c>
      <c r="AD94" s="125">
        <v>2265.65</v>
      </c>
      <c r="AE94" s="157">
        <v>0</v>
      </c>
      <c r="AF94" s="157">
        <v>0</v>
      </c>
      <c r="AG94" s="125">
        <v>0</v>
      </c>
      <c r="AH94" s="125">
        <v>0</v>
      </c>
      <c r="AI94" s="157">
        <v>9968.94</v>
      </c>
      <c r="AJ94" s="157">
        <v>0</v>
      </c>
      <c r="AK94" s="157">
        <v>0</v>
      </c>
      <c r="AL94" s="125">
        <v>53502.1</v>
      </c>
    </row>
    <row r="95" spans="1:38" s="117" customFormat="1" ht="15" customHeight="1" x14ac:dyDescent="0.2">
      <c r="A95" s="123" t="s">
        <v>178</v>
      </c>
      <c r="B95" s="124" t="s">
        <v>179</v>
      </c>
      <c r="C95" s="157">
        <v>3514</v>
      </c>
      <c r="D95" s="125">
        <v>6993.9</v>
      </c>
      <c r="E95" s="157">
        <v>3514</v>
      </c>
      <c r="F95" s="125">
        <v>3444.79</v>
      </c>
      <c r="G95" s="157">
        <v>13282.84</v>
      </c>
      <c r="H95" s="157">
        <v>9685.99</v>
      </c>
      <c r="I95" s="157">
        <v>8726.9599999999991</v>
      </c>
      <c r="J95" s="125">
        <v>0</v>
      </c>
      <c r="K95" s="125">
        <v>4858</v>
      </c>
      <c r="L95" s="125">
        <v>3444.79</v>
      </c>
      <c r="M95" s="157">
        <v>3513.9</v>
      </c>
      <c r="N95" s="157">
        <v>8725.0499999999993</v>
      </c>
      <c r="O95" s="157">
        <v>7027.9</v>
      </c>
      <c r="P95" s="125">
        <v>13114</v>
      </c>
      <c r="Q95" s="157">
        <v>3444.79</v>
      </c>
      <c r="R95" s="157">
        <v>0</v>
      </c>
      <c r="S95" s="157">
        <v>6994.9</v>
      </c>
      <c r="T95" s="125">
        <v>3444.79</v>
      </c>
      <c r="U95" s="125">
        <v>3513.9</v>
      </c>
      <c r="V95" s="125">
        <v>3962.65</v>
      </c>
      <c r="W95" s="125">
        <v>3513.9</v>
      </c>
      <c r="X95" s="157">
        <v>7593.79</v>
      </c>
      <c r="Y95" s="125">
        <v>3514</v>
      </c>
      <c r="Z95" s="125">
        <v>155895</v>
      </c>
      <c r="AA95" s="125">
        <v>3524.79</v>
      </c>
      <c r="AB95" s="125">
        <v>6994.9</v>
      </c>
      <c r="AC95" s="125">
        <v>3444.79</v>
      </c>
      <c r="AD95" s="125">
        <v>7027.9</v>
      </c>
      <c r="AE95" s="157">
        <v>3444.79</v>
      </c>
      <c r="AF95" s="157">
        <v>3444.79</v>
      </c>
      <c r="AG95" s="125">
        <v>0</v>
      </c>
      <c r="AH95" s="125">
        <v>0</v>
      </c>
      <c r="AI95" s="157">
        <v>0</v>
      </c>
      <c r="AJ95" s="157">
        <v>0</v>
      </c>
      <c r="AK95" s="157">
        <v>0</v>
      </c>
      <c r="AL95" s="125">
        <v>309605.8</v>
      </c>
    </row>
    <row r="96" spans="1:38" s="117" customFormat="1" ht="15" customHeight="1" x14ac:dyDescent="0.2">
      <c r="A96" s="123" t="s">
        <v>180</v>
      </c>
      <c r="B96" s="124" t="s">
        <v>181</v>
      </c>
      <c r="C96" s="157">
        <v>9960</v>
      </c>
      <c r="D96" s="125">
        <v>128351</v>
      </c>
      <c r="E96" s="157">
        <v>122880</v>
      </c>
      <c r="F96" s="125">
        <v>107376</v>
      </c>
      <c r="G96" s="157">
        <v>52166.94</v>
      </c>
      <c r="H96" s="157">
        <v>97125.69</v>
      </c>
      <c r="I96" s="157">
        <v>74016</v>
      </c>
      <c r="J96" s="125">
        <v>0</v>
      </c>
      <c r="K96" s="125">
        <v>306420</v>
      </c>
      <c r="L96" s="125">
        <v>2724.99</v>
      </c>
      <c r="M96" s="157">
        <v>23825</v>
      </c>
      <c r="N96" s="157">
        <v>193913.66</v>
      </c>
      <c r="O96" s="157">
        <v>298075.68</v>
      </c>
      <c r="P96" s="125">
        <v>103635</v>
      </c>
      <c r="Q96" s="157">
        <v>3922</v>
      </c>
      <c r="R96" s="157">
        <v>161122</v>
      </c>
      <c r="S96" s="157">
        <v>19498</v>
      </c>
      <c r="T96" s="125">
        <v>471341</v>
      </c>
      <c r="U96" s="125">
        <v>0</v>
      </c>
      <c r="V96" s="125">
        <v>177607.55</v>
      </c>
      <c r="W96" s="125">
        <v>545410</v>
      </c>
      <c r="X96" s="157">
        <v>300054</v>
      </c>
      <c r="Y96" s="125">
        <v>262507</v>
      </c>
      <c r="Z96" s="125">
        <v>3514</v>
      </c>
      <c r="AA96" s="125">
        <v>191654.94</v>
      </c>
      <c r="AB96" s="125">
        <v>161342.22</v>
      </c>
      <c r="AC96" s="125">
        <v>620088</v>
      </c>
      <c r="AD96" s="125">
        <v>254646</v>
      </c>
      <c r="AE96" s="157">
        <v>353325.6</v>
      </c>
      <c r="AF96" s="157">
        <v>218121.96</v>
      </c>
      <c r="AG96" s="125">
        <v>246817.68</v>
      </c>
      <c r="AH96" s="125">
        <v>351894.84</v>
      </c>
      <c r="AI96" s="157">
        <v>0</v>
      </c>
      <c r="AJ96" s="157">
        <v>0</v>
      </c>
      <c r="AK96" s="157">
        <v>7898.86</v>
      </c>
      <c r="AL96" s="125">
        <v>5871235.6100000003</v>
      </c>
    </row>
    <row r="97" spans="1:38" s="117" customFormat="1" ht="15" customHeight="1" x14ac:dyDescent="0.2">
      <c r="A97" s="123" t="s">
        <v>1035</v>
      </c>
      <c r="B97" s="124" t="s">
        <v>1034</v>
      </c>
      <c r="C97" s="157">
        <v>0</v>
      </c>
      <c r="D97" s="125">
        <v>0</v>
      </c>
      <c r="E97" s="157">
        <v>0</v>
      </c>
      <c r="F97" s="125">
        <v>148744.1</v>
      </c>
      <c r="G97" s="157">
        <v>0</v>
      </c>
      <c r="H97" s="157">
        <v>0</v>
      </c>
      <c r="I97" s="157">
        <v>0</v>
      </c>
      <c r="J97" s="125">
        <v>0</v>
      </c>
      <c r="K97" s="125">
        <v>0</v>
      </c>
      <c r="L97" s="125">
        <v>0</v>
      </c>
      <c r="M97" s="157">
        <v>0</v>
      </c>
      <c r="N97" s="157">
        <v>0</v>
      </c>
      <c r="O97" s="157">
        <v>0</v>
      </c>
      <c r="P97" s="125">
        <v>0</v>
      </c>
      <c r="Q97" s="157">
        <v>0</v>
      </c>
      <c r="R97" s="157">
        <v>0</v>
      </c>
      <c r="S97" s="157">
        <v>0</v>
      </c>
      <c r="T97" s="125">
        <v>0</v>
      </c>
      <c r="U97" s="125">
        <v>0</v>
      </c>
      <c r="V97" s="125">
        <v>0</v>
      </c>
      <c r="W97" s="125">
        <v>0</v>
      </c>
      <c r="X97" s="157">
        <v>0</v>
      </c>
      <c r="Y97" s="125">
        <v>0</v>
      </c>
      <c r="Z97" s="125">
        <v>0</v>
      </c>
      <c r="AA97" s="125">
        <v>0</v>
      </c>
      <c r="AB97" s="125">
        <v>0</v>
      </c>
      <c r="AC97" s="125">
        <v>0</v>
      </c>
      <c r="AD97" s="125">
        <v>0</v>
      </c>
      <c r="AE97" s="157">
        <v>0</v>
      </c>
      <c r="AF97" s="157">
        <v>0</v>
      </c>
      <c r="AG97" s="125">
        <v>0</v>
      </c>
      <c r="AH97" s="125">
        <v>0</v>
      </c>
      <c r="AI97" s="157">
        <v>0</v>
      </c>
      <c r="AJ97" s="157">
        <v>0</v>
      </c>
      <c r="AK97" s="157">
        <v>0</v>
      </c>
      <c r="AL97" s="125">
        <v>148744.1</v>
      </c>
    </row>
    <row r="98" spans="1:38" s="117" customFormat="1" ht="15" customHeight="1" x14ac:dyDescent="0.2">
      <c r="A98" s="123" t="s">
        <v>615</v>
      </c>
      <c r="B98" s="124" t="s">
        <v>614</v>
      </c>
      <c r="C98" s="157">
        <v>0</v>
      </c>
      <c r="D98" s="125">
        <v>0</v>
      </c>
      <c r="E98" s="157">
        <v>0</v>
      </c>
      <c r="F98" s="125">
        <v>0</v>
      </c>
      <c r="G98" s="157">
        <v>0</v>
      </c>
      <c r="H98" s="157">
        <v>0</v>
      </c>
      <c r="I98" s="157">
        <v>3689.52</v>
      </c>
      <c r="J98" s="125">
        <v>0</v>
      </c>
      <c r="K98" s="125">
        <v>0</v>
      </c>
      <c r="L98" s="125">
        <v>0</v>
      </c>
      <c r="M98" s="157">
        <v>0</v>
      </c>
      <c r="N98" s="157">
        <v>0</v>
      </c>
      <c r="O98" s="157">
        <v>5091</v>
      </c>
      <c r="P98" s="125">
        <v>0</v>
      </c>
      <c r="Q98" s="157">
        <v>0</v>
      </c>
      <c r="R98" s="157">
        <v>0</v>
      </c>
      <c r="S98" s="157">
        <v>0</v>
      </c>
      <c r="T98" s="125">
        <v>0</v>
      </c>
      <c r="U98" s="125">
        <v>0</v>
      </c>
      <c r="V98" s="125">
        <v>0</v>
      </c>
      <c r="W98" s="125">
        <v>0</v>
      </c>
      <c r="X98" s="157">
        <v>0</v>
      </c>
      <c r="Y98" s="125">
        <v>0</v>
      </c>
      <c r="Z98" s="125">
        <v>0</v>
      </c>
      <c r="AA98" s="125">
        <v>0</v>
      </c>
      <c r="AB98" s="125">
        <v>0</v>
      </c>
      <c r="AC98" s="125">
        <v>0</v>
      </c>
      <c r="AD98" s="125">
        <v>0</v>
      </c>
      <c r="AE98" s="157">
        <v>0</v>
      </c>
      <c r="AF98" s="157">
        <v>0</v>
      </c>
      <c r="AG98" s="125">
        <v>0</v>
      </c>
      <c r="AH98" s="125">
        <v>0</v>
      </c>
      <c r="AI98" s="157">
        <v>0</v>
      </c>
      <c r="AJ98" s="157">
        <v>0</v>
      </c>
      <c r="AK98" s="157">
        <v>0</v>
      </c>
      <c r="AL98" s="125">
        <v>8780.52</v>
      </c>
    </row>
    <row r="99" spans="1:38" s="117" customFormat="1" ht="15" customHeight="1" x14ac:dyDescent="0.2">
      <c r="A99" s="123" t="s">
        <v>182</v>
      </c>
      <c r="B99" s="124" t="s">
        <v>183</v>
      </c>
      <c r="C99" s="157">
        <v>0</v>
      </c>
      <c r="D99" s="125">
        <v>21193.97</v>
      </c>
      <c r="E99" s="157">
        <v>0</v>
      </c>
      <c r="F99" s="125">
        <v>0</v>
      </c>
      <c r="G99" s="157">
        <v>0</v>
      </c>
      <c r="H99" s="157">
        <v>37899.040000000001</v>
      </c>
      <c r="I99" s="157">
        <v>0</v>
      </c>
      <c r="J99" s="125">
        <v>0</v>
      </c>
      <c r="K99" s="125">
        <v>10368</v>
      </c>
      <c r="L99" s="125">
        <v>0</v>
      </c>
      <c r="M99" s="157">
        <v>0</v>
      </c>
      <c r="N99" s="157">
        <v>0</v>
      </c>
      <c r="O99" s="157">
        <v>19733</v>
      </c>
      <c r="P99" s="125">
        <v>0</v>
      </c>
      <c r="Q99" s="157">
        <v>8159.8</v>
      </c>
      <c r="R99" s="157">
        <v>0</v>
      </c>
      <c r="S99" s="157">
        <v>0</v>
      </c>
      <c r="T99" s="125">
        <v>0</v>
      </c>
      <c r="U99" s="125">
        <v>0</v>
      </c>
      <c r="V99" s="125">
        <v>0</v>
      </c>
      <c r="W99" s="125">
        <v>0</v>
      </c>
      <c r="X99" s="157">
        <v>41507</v>
      </c>
      <c r="Y99" s="125">
        <v>6859.87</v>
      </c>
      <c r="Z99" s="125">
        <v>0</v>
      </c>
      <c r="AA99" s="125">
        <v>0</v>
      </c>
      <c r="AB99" s="125">
        <v>0</v>
      </c>
      <c r="AC99" s="125">
        <v>0</v>
      </c>
      <c r="AD99" s="125">
        <v>0</v>
      </c>
      <c r="AE99" s="157">
        <v>0</v>
      </c>
      <c r="AF99" s="157">
        <v>0</v>
      </c>
      <c r="AG99" s="125">
        <v>0</v>
      </c>
      <c r="AH99" s="125">
        <v>0</v>
      </c>
      <c r="AI99" s="157">
        <v>0</v>
      </c>
      <c r="AJ99" s="157">
        <v>0</v>
      </c>
      <c r="AK99" s="157">
        <v>0</v>
      </c>
      <c r="AL99" s="125">
        <v>145720.68</v>
      </c>
    </row>
    <row r="100" spans="1:38" s="117" customFormat="1" ht="15" customHeight="1" x14ac:dyDescent="0.2">
      <c r="A100" s="123" t="s">
        <v>1033</v>
      </c>
      <c r="B100" s="124" t="s">
        <v>1032</v>
      </c>
      <c r="C100" s="157">
        <v>0</v>
      </c>
      <c r="D100" s="125">
        <v>0</v>
      </c>
      <c r="E100" s="157">
        <v>0</v>
      </c>
      <c r="F100" s="125">
        <v>0</v>
      </c>
      <c r="G100" s="157">
        <v>0</v>
      </c>
      <c r="H100" s="157">
        <v>0</v>
      </c>
      <c r="I100" s="157">
        <v>0</v>
      </c>
      <c r="J100" s="125">
        <v>3513.9</v>
      </c>
      <c r="K100" s="125">
        <v>0</v>
      </c>
      <c r="L100" s="125">
        <v>0</v>
      </c>
      <c r="M100" s="157">
        <v>0</v>
      </c>
      <c r="N100" s="157">
        <v>0</v>
      </c>
      <c r="O100" s="157">
        <v>0</v>
      </c>
      <c r="P100" s="125">
        <v>0</v>
      </c>
      <c r="Q100" s="157">
        <v>0</v>
      </c>
      <c r="R100" s="157">
        <v>0</v>
      </c>
      <c r="S100" s="157">
        <v>0</v>
      </c>
      <c r="T100" s="125">
        <v>0</v>
      </c>
      <c r="U100" s="125">
        <v>0</v>
      </c>
      <c r="V100" s="125">
        <v>0</v>
      </c>
      <c r="W100" s="125">
        <v>0</v>
      </c>
      <c r="X100" s="157">
        <v>0</v>
      </c>
      <c r="Y100" s="125">
        <v>0</v>
      </c>
      <c r="Z100" s="125">
        <v>0</v>
      </c>
      <c r="AA100" s="125">
        <v>0</v>
      </c>
      <c r="AB100" s="125">
        <v>0</v>
      </c>
      <c r="AC100" s="125">
        <v>0</v>
      </c>
      <c r="AD100" s="125">
        <v>3590.82</v>
      </c>
      <c r="AE100" s="157">
        <v>0</v>
      </c>
      <c r="AF100" s="157">
        <v>0</v>
      </c>
      <c r="AG100" s="125">
        <v>0</v>
      </c>
      <c r="AH100" s="125">
        <v>0</v>
      </c>
      <c r="AI100" s="157">
        <v>0</v>
      </c>
      <c r="AJ100" s="157">
        <v>0</v>
      </c>
      <c r="AK100" s="157">
        <v>0</v>
      </c>
      <c r="AL100" s="125">
        <v>7104.72</v>
      </c>
    </row>
    <row r="101" spans="1:38" s="117" customFormat="1" ht="15" customHeight="1" x14ac:dyDescent="0.2">
      <c r="A101" s="123" t="s">
        <v>1031</v>
      </c>
      <c r="B101" s="124" t="s">
        <v>1030</v>
      </c>
      <c r="C101" s="157">
        <v>0</v>
      </c>
      <c r="D101" s="125">
        <v>0</v>
      </c>
      <c r="E101" s="157">
        <v>0</v>
      </c>
      <c r="F101" s="125">
        <v>0</v>
      </c>
      <c r="G101" s="157">
        <v>0</v>
      </c>
      <c r="H101" s="157">
        <v>0</v>
      </c>
      <c r="I101" s="157">
        <v>0</v>
      </c>
      <c r="J101" s="125">
        <v>0</v>
      </c>
      <c r="K101" s="125">
        <v>0</v>
      </c>
      <c r="L101" s="125">
        <v>0</v>
      </c>
      <c r="M101" s="157">
        <v>0</v>
      </c>
      <c r="N101" s="157">
        <v>6762.59</v>
      </c>
      <c r="O101" s="157">
        <v>0</v>
      </c>
      <c r="P101" s="125">
        <v>0</v>
      </c>
      <c r="Q101" s="157">
        <v>0</v>
      </c>
      <c r="R101" s="157">
        <v>0</v>
      </c>
      <c r="S101" s="157">
        <v>0</v>
      </c>
      <c r="T101" s="125">
        <v>0</v>
      </c>
      <c r="U101" s="125">
        <v>18130</v>
      </c>
      <c r="V101" s="125">
        <v>0</v>
      </c>
      <c r="W101" s="125">
        <v>0</v>
      </c>
      <c r="X101" s="157">
        <v>0</v>
      </c>
      <c r="Y101" s="125">
        <v>0</v>
      </c>
      <c r="Z101" s="125">
        <v>0</v>
      </c>
      <c r="AA101" s="125">
        <v>0</v>
      </c>
      <c r="AB101" s="125">
        <v>0</v>
      </c>
      <c r="AC101" s="125">
        <v>0</v>
      </c>
      <c r="AD101" s="125">
        <v>0</v>
      </c>
      <c r="AE101" s="157">
        <v>0</v>
      </c>
      <c r="AF101" s="157">
        <v>0</v>
      </c>
      <c r="AG101" s="125">
        <v>0</v>
      </c>
      <c r="AH101" s="125">
        <v>0</v>
      </c>
      <c r="AI101" s="157">
        <v>0</v>
      </c>
      <c r="AJ101" s="157">
        <v>0</v>
      </c>
      <c r="AK101" s="157">
        <v>0</v>
      </c>
      <c r="AL101" s="125">
        <v>24892.59</v>
      </c>
    </row>
    <row r="102" spans="1:38" s="117" customFormat="1" ht="15" customHeight="1" x14ac:dyDescent="0.2">
      <c r="A102" s="123" t="s">
        <v>184</v>
      </c>
      <c r="B102" s="124" t="s">
        <v>185</v>
      </c>
      <c r="C102" s="157">
        <v>225621.46</v>
      </c>
      <c r="D102" s="125">
        <v>5326</v>
      </c>
      <c r="E102" s="157">
        <v>22977.119999999999</v>
      </c>
      <c r="F102" s="125">
        <v>3940.8</v>
      </c>
      <c r="G102" s="157">
        <v>0</v>
      </c>
      <c r="H102" s="157">
        <v>0</v>
      </c>
      <c r="I102" s="157">
        <v>0</v>
      </c>
      <c r="J102" s="125">
        <v>0</v>
      </c>
      <c r="K102" s="125">
        <v>0</v>
      </c>
      <c r="L102" s="125">
        <v>3848.7</v>
      </c>
      <c r="M102" s="157">
        <v>20039.25</v>
      </c>
      <c r="N102" s="157">
        <v>20330.13</v>
      </c>
      <c r="O102" s="157">
        <v>0</v>
      </c>
      <c r="P102" s="125">
        <v>32523.41</v>
      </c>
      <c r="Q102" s="157">
        <v>0</v>
      </c>
      <c r="R102" s="157">
        <v>62860.21</v>
      </c>
      <c r="S102" s="157">
        <v>0</v>
      </c>
      <c r="T102" s="125">
        <v>0</v>
      </c>
      <c r="U102" s="125">
        <v>0</v>
      </c>
      <c r="V102" s="125">
        <v>36854.699999999997</v>
      </c>
      <c r="W102" s="125">
        <v>0</v>
      </c>
      <c r="X102" s="157">
        <v>6436.87</v>
      </c>
      <c r="Y102" s="125">
        <v>0</v>
      </c>
      <c r="Z102" s="125">
        <v>0</v>
      </c>
      <c r="AA102" s="125">
        <v>4445</v>
      </c>
      <c r="AB102" s="125">
        <v>0</v>
      </c>
      <c r="AC102" s="125">
        <v>0</v>
      </c>
      <c r="AD102" s="125">
        <v>0</v>
      </c>
      <c r="AE102" s="157">
        <v>0</v>
      </c>
      <c r="AF102" s="157">
        <v>3560.16</v>
      </c>
      <c r="AG102" s="125">
        <v>15901.99</v>
      </c>
      <c r="AH102" s="125">
        <v>0</v>
      </c>
      <c r="AI102" s="157">
        <v>0</v>
      </c>
      <c r="AJ102" s="157">
        <v>0</v>
      </c>
      <c r="AK102" s="157">
        <v>0</v>
      </c>
      <c r="AL102" s="125">
        <v>464665.8</v>
      </c>
    </row>
    <row r="103" spans="1:38" s="117" customFormat="1" ht="15" customHeight="1" x14ac:dyDescent="0.2">
      <c r="A103" s="123" t="s">
        <v>186</v>
      </c>
      <c r="B103" s="124" t="s">
        <v>187</v>
      </c>
      <c r="C103" s="157">
        <v>0</v>
      </c>
      <c r="D103" s="125">
        <v>194313</v>
      </c>
      <c r="E103" s="157">
        <v>82784</v>
      </c>
      <c r="F103" s="125">
        <v>0</v>
      </c>
      <c r="G103" s="157">
        <v>0</v>
      </c>
      <c r="H103" s="157">
        <v>83915</v>
      </c>
      <c r="I103" s="157">
        <v>289494</v>
      </c>
      <c r="J103" s="125">
        <v>370028.23</v>
      </c>
      <c r="K103" s="125">
        <v>135395</v>
      </c>
      <c r="L103" s="125">
        <v>283099.27</v>
      </c>
      <c r="M103" s="157">
        <v>257660</v>
      </c>
      <c r="N103" s="157">
        <v>6642.32</v>
      </c>
      <c r="O103" s="157">
        <v>13157</v>
      </c>
      <c r="P103" s="125">
        <v>133471</v>
      </c>
      <c r="Q103" s="157">
        <v>740660</v>
      </c>
      <c r="R103" s="157">
        <v>107314.29</v>
      </c>
      <c r="S103" s="157">
        <v>227229</v>
      </c>
      <c r="T103" s="125">
        <v>0</v>
      </c>
      <c r="U103" s="125">
        <v>0</v>
      </c>
      <c r="V103" s="125">
        <v>216370.22</v>
      </c>
      <c r="W103" s="125">
        <v>0</v>
      </c>
      <c r="X103" s="157">
        <v>81836</v>
      </c>
      <c r="Y103" s="125">
        <v>0</v>
      </c>
      <c r="Z103" s="125">
        <v>40461</v>
      </c>
      <c r="AA103" s="125">
        <v>81564.39</v>
      </c>
      <c r="AB103" s="125">
        <v>111081</v>
      </c>
      <c r="AC103" s="125">
        <v>0</v>
      </c>
      <c r="AD103" s="125">
        <v>34010</v>
      </c>
      <c r="AE103" s="157">
        <v>126244</v>
      </c>
      <c r="AF103" s="157">
        <v>110775</v>
      </c>
      <c r="AG103" s="125">
        <v>4521</v>
      </c>
      <c r="AH103" s="125">
        <v>0</v>
      </c>
      <c r="AI103" s="157">
        <v>258683</v>
      </c>
      <c r="AJ103" s="157">
        <v>134428.63</v>
      </c>
      <c r="AK103" s="157">
        <v>0</v>
      </c>
      <c r="AL103" s="125">
        <v>4125136.35</v>
      </c>
    </row>
    <row r="104" spans="1:38" s="117" customFormat="1" ht="15" customHeight="1" x14ac:dyDescent="0.2">
      <c r="A104" s="123" t="s">
        <v>951</v>
      </c>
      <c r="B104" s="124" t="s">
        <v>1029</v>
      </c>
      <c r="C104" s="157">
        <v>0</v>
      </c>
      <c r="D104" s="125">
        <v>0</v>
      </c>
      <c r="E104" s="157">
        <v>0</v>
      </c>
      <c r="F104" s="125">
        <v>0</v>
      </c>
      <c r="G104" s="157">
        <v>0</v>
      </c>
      <c r="H104" s="157">
        <v>0</v>
      </c>
      <c r="I104" s="157">
        <v>0</v>
      </c>
      <c r="J104" s="125">
        <v>0</v>
      </c>
      <c r="K104" s="125">
        <v>0</v>
      </c>
      <c r="L104" s="125">
        <v>0</v>
      </c>
      <c r="M104" s="157">
        <v>0</v>
      </c>
      <c r="N104" s="157">
        <v>0</v>
      </c>
      <c r="O104" s="157">
        <v>0</v>
      </c>
      <c r="P104" s="125">
        <v>0</v>
      </c>
      <c r="Q104" s="157">
        <v>0</v>
      </c>
      <c r="R104" s="157">
        <v>0</v>
      </c>
      <c r="S104" s="157">
        <v>0</v>
      </c>
      <c r="T104" s="125">
        <v>0</v>
      </c>
      <c r="U104" s="125">
        <v>199954.94</v>
      </c>
      <c r="V104" s="125">
        <v>0</v>
      </c>
      <c r="W104" s="125">
        <v>0</v>
      </c>
      <c r="X104" s="157">
        <v>0</v>
      </c>
      <c r="Y104" s="125">
        <v>0</v>
      </c>
      <c r="Z104" s="125">
        <v>0</v>
      </c>
      <c r="AA104" s="125">
        <v>0</v>
      </c>
      <c r="AB104" s="125">
        <v>0</v>
      </c>
      <c r="AC104" s="125">
        <v>0</v>
      </c>
      <c r="AD104" s="125">
        <v>0</v>
      </c>
      <c r="AE104" s="157">
        <v>0</v>
      </c>
      <c r="AF104" s="157">
        <v>0</v>
      </c>
      <c r="AG104" s="125">
        <v>0</v>
      </c>
      <c r="AH104" s="125">
        <v>0</v>
      </c>
      <c r="AI104" s="157">
        <v>0</v>
      </c>
      <c r="AJ104" s="157">
        <v>0</v>
      </c>
      <c r="AK104" s="157">
        <v>0</v>
      </c>
      <c r="AL104" s="125">
        <v>199954.94</v>
      </c>
    </row>
    <row r="105" spans="1:38" s="117" customFormat="1" ht="15" customHeight="1" x14ac:dyDescent="0.2">
      <c r="A105" s="123" t="s">
        <v>659</v>
      </c>
      <c r="B105" s="124" t="s">
        <v>658</v>
      </c>
      <c r="C105" s="157">
        <v>0</v>
      </c>
      <c r="D105" s="125">
        <v>5512</v>
      </c>
      <c r="E105" s="157">
        <v>0</v>
      </c>
      <c r="F105" s="125">
        <v>0</v>
      </c>
      <c r="G105" s="157">
        <v>0</v>
      </c>
      <c r="H105" s="157">
        <v>0</v>
      </c>
      <c r="I105" s="157">
        <v>0</v>
      </c>
      <c r="J105" s="125">
        <v>0</v>
      </c>
      <c r="K105" s="125">
        <v>0</v>
      </c>
      <c r="L105" s="125">
        <v>0</v>
      </c>
      <c r="M105" s="157">
        <v>0</v>
      </c>
      <c r="N105" s="157">
        <v>0</v>
      </c>
      <c r="O105" s="157">
        <v>0</v>
      </c>
      <c r="P105" s="125">
        <v>0</v>
      </c>
      <c r="Q105" s="157">
        <v>0</v>
      </c>
      <c r="R105" s="157">
        <v>0</v>
      </c>
      <c r="S105" s="157">
        <v>0</v>
      </c>
      <c r="T105" s="125">
        <v>0</v>
      </c>
      <c r="U105" s="125">
        <v>0</v>
      </c>
      <c r="V105" s="125">
        <v>0</v>
      </c>
      <c r="W105" s="125">
        <v>0</v>
      </c>
      <c r="X105" s="157">
        <v>0</v>
      </c>
      <c r="Y105" s="125">
        <v>0</v>
      </c>
      <c r="Z105" s="125">
        <v>0</v>
      </c>
      <c r="AA105" s="125">
        <v>0</v>
      </c>
      <c r="AB105" s="125">
        <v>0</v>
      </c>
      <c r="AC105" s="125">
        <v>0</v>
      </c>
      <c r="AD105" s="125">
        <v>0</v>
      </c>
      <c r="AE105" s="157">
        <v>0</v>
      </c>
      <c r="AF105" s="157">
        <v>0</v>
      </c>
      <c r="AG105" s="125">
        <v>0</v>
      </c>
      <c r="AH105" s="125">
        <v>0</v>
      </c>
      <c r="AI105" s="157">
        <v>0</v>
      </c>
      <c r="AJ105" s="157">
        <v>0</v>
      </c>
      <c r="AK105" s="157">
        <v>0</v>
      </c>
      <c r="AL105" s="125">
        <v>5512</v>
      </c>
    </row>
    <row r="106" spans="1:38" s="117" customFormat="1" ht="15" customHeight="1" x14ac:dyDescent="0.2">
      <c r="A106" s="123" t="s">
        <v>1431</v>
      </c>
      <c r="B106" s="124" t="s">
        <v>1432</v>
      </c>
      <c r="C106" s="157">
        <v>0</v>
      </c>
      <c r="D106" s="125">
        <v>0</v>
      </c>
      <c r="E106" s="157">
        <v>0</v>
      </c>
      <c r="F106" s="125">
        <v>0</v>
      </c>
      <c r="G106" s="157">
        <v>0</v>
      </c>
      <c r="H106" s="157">
        <v>106.63</v>
      </c>
      <c r="I106" s="157">
        <v>0</v>
      </c>
      <c r="J106" s="125">
        <v>0</v>
      </c>
      <c r="K106" s="125">
        <v>0</v>
      </c>
      <c r="L106" s="125">
        <v>0</v>
      </c>
      <c r="M106" s="157">
        <v>0</v>
      </c>
      <c r="N106" s="157">
        <v>0</v>
      </c>
      <c r="O106" s="157">
        <v>0</v>
      </c>
      <c r="P106" s="125">
        <v>0</v>
      </c>
      <c r="Q106" s="157">
        <v>0</v>
      </c>
      <c r="R106" s="157">
        <v>0</v>
      </c>
      <c r="S106" s="157">
        <v>0</v>
      </c>
      <c r="T106" s="125">
        <v>0</v>
      </c>
      <c r="U106" s="125">
        <v>0</v>
      </c>
      <c r="V106" s="125">
        <v>0</v>
      </c>
      <c r="W106" s="125">
        <v>0</v>
      </c>
      <c r="X106" s="157">
        <v>0</v>
      </c>
      <c r="Y106" s="125">
        <v>0</v>
      </c>
      <c r="Z106" s="125">
        <v>0</v>
      </c>
      <c r="AA106" s="125">
        <v>0</v>
      </c>
      <c r="AB106" s="125">
        <v>0</v>
      </c>
      <c r="AC106" s="125">
        <v>0</v>
      </c>
      <c r="AD106" s="125">
        <v>0</v>
      </c>
      <c r="AE106" s="157">
        <v>0</v>
      </c>
      <c r="AF106" s="157">
        <v>0</v>
      </c>
      <c r="AG106" s="125">
        <v>0</v>
      </c>
      <c r="AH106" s="125">
        <v>0</v>
      </c>
      <c r="AI106" s="157">
        <v>0</v>
      </c>
      <c r="AJ106" s="157">
        <v>0</v>
      </c>
      <c r="AK106" s="157">
        <v>0</v>
      </c>
      <c r="AL106" s="125">
        <v>106.63</v>
      </c>
    </row>
    <row r="107" spans="1:38" s="117" customFormat="1" ht="15" customHeight="1" x14ac:dyDescent="0.2">
      <c r="A107" s="123" t="s">
        <v>188</v>
      </c>
      <c r="B107" s="124" t="s">
        <v>189</v>
      </c>
      <c r="C107" s="157">
        <v>-425740.9</v>
      </c>
      <c r="D107" s="125">
        <v>-722015.19</v>
      </c>
      <c r="E107" s="157">
        <v>-271655.67</v>
      </c>
      <c r="F107" s="125">
        <v>-2872.16</v>
      </c>
      <c r="G107" s="157">
        <v>-29389.08</v>
      </c>
      <c r="H107" s="157">
        <v>-384355.24</v>
      </c>
      <c r="I107" s="157">
        <v>-263782.18</v>
      </c>
      <c r="J107" s="125">
        <v>-154236.94</v>
      </c>
      <c r="K107" s="125">
        <v>-467408.23</v>
      </c>
      <c r="L107" s="125">
        <v>-9676.5499999999993</v>
      </c>
      <c r="M107" s="157">
        <v>-349794.74</v>
      </c>
      <c r="N107" s="157">
        <v>-333317.03999999998</v>
      </c>
      <c r="O107" s="157">
        <v>-422879.57</v>
      </c>
      <c r="P107" s="125">
        <v>-438746.49</v>
      </c>
      <c r="Q107" s="157">
        <v>-733724.61</v>
      </c>
      <c r="R107" s="157">
        <v>-559983.92000000004</v>
      </c>
      <c r="S107" s="157">
        <v>-243761.11</v>
      </c>
      <c r="T107" s="125">
        <v>-706035.28</v>
      </c>
      <c r="U107" s="125">
        <v>-5784.83</v>
      </c>
      <c r="V107" s="125">
        <v>-499938.26</v>
      </c>
      <c r="W107" s="125">
        <v>-55249</v>
      </c>
      <c r="X107" s="157">
        <v>-268890</v>
      </c>
      <c r="Y107" s="125">
        <v>-31912.16</v>
      </c>
      <c r="Z107" s="125">
        <v>-184368.76</v>
      </c>
      <c r="AA107" s="125">
        <v>-237406.61</v>
      </c>
      <c r="AB107" s="125">
        <v>-380477.16</v>
      </c>
      <c r="AC107" s="125">
        <v>-372650</v>
      </c>
      <c r="AD107" s="125">
        <v>-326856.8</v>
      </c>
      <c r="AE107" s="157">
        <v>-75798</v>
      </c>
      <c r="AF107" s="157">
        <v>-194845</v>
      </c>
      <c r="AG107" s="125">
        <v>-20965.75</v>
      </c>
      <c r="AH107" s="125">
        <v>-322154.92</v>
      </c>
      <c r="AI107" s="157">
        <v>-21779.14</v>
      </c>
      <c r="AJ107" s="157">
        <v>-12663.36</v>
      </c>
      <c r="AK107" s="157">
        <v>-25838.61</v>
      </c>
      <c r="AL107" s="125">
        <v>-9556953.2599999998</v>
      </c>
    </row>
    <row r="108" spans="1:38" s="117" customFormat="1" ht="15" customHeight="1" x14ac:dyDescent="0.2">
      <c r="A108" s="123" t="s">
        <v>190</v>
      </c>
      <c r="B108" s="124" t="s">
        <v>191</v>
      </c>
      <c r="C108" s="157">
        <v>-2360885.08</v>
      </c>
      <c r="D108" s="125">
        <v>-3076423.41</v>
      </c>
      <c r="E108" s="157">
        <v>-2699219.22</v>
      </c>
      <c r="F108" s="125">
        <v>-2232999.64</v>
      </c>
      <c r="G108" s="157">
        <v>-4244759.24</v>
      </c>
      <c r="H108" s="157">
        <v>-4078344.1</v>
      </c>
      <c r="I108" s="157">
        <v>-1929592.19</v>
      </c>
      <c r="J108" s="125">
        <v>-1978212.08</v>
      </c>
      <c r="K108" s="125">
        <v>-3525304.99</v>
      </c>
      <c r="L108" s="125">
        <v>-1045196.93</v>
      </c>
      <c r="M108" s="157">
        <v>-2238028.59</v>
      </c>
      <c r="N108" s="157">
        <v>-3510064.81</v>
      </c>
      <c r="O108" s="157">
        <v>-2274674</v>
      </c>
      <c r="P108" s="125">
        <v>-1921785.52</v>
      </c>
      <c r="Q108" s="157">
        <v>-2959416.29</v>
      </c>
      <c r="R108" s="157">
        <v>-2437581.04</v>
      </c>
      <c r="S108" s="157">
        <v>-1723788.43</v>
      </c>
      <c r="T108" s="125">
        <v>-2546720.1800000002</v>
      </c>
      <c r="U108" s="125">
        <v>-1674544.02</v>
      </c>
      <c r="V108" s="125">
        <v>-3022454.69</v>
      </c>
      <c r="W108" s="125">
        <v>-2927589</v>
      </c>
      <c r="X108" s="157">
        <v>-2338803</v>
      </c>
      <c r="Y108" s="125">
        <v>-2517551.58</v>
      </c>
      <c r="Z108" s="125">
        <v>-2279909.5499999998</v>
      </c>
      <c r="AA108" s="125">
        <v>-3151799.62</v>
      </c>
      <c r="AB108" s="125">
        <v>-2180551.42</v>
      </c>
      <c r="AC108" s="125">
        <v>-2583284</v>
      </c>
      <c r="AD108" s="125">
        <v>-3408584.8</v>
      </c>
      <c r="AE108" s="157">
        <v>-1955402</v>
      </c>
      <c r="AF108" s="157">
        <v>-2452407</v>
      </c>
      <c r="AG108" s="125">
        <v>-1394137.28</v>
      </c>
      <c r="AH108" s="125">
        <v>-1050560.71</v>
      </c>
      <c r="AI108" s="157">
        <v>-1250702.06</v>
      </c>
      <c r="AJ108" s="157">
        <v>-1322533.08</v>
      </c>
      <c r="AK108" s="157">
        <v>-1328958.3700000001</v>
      </c>
      <c r="AL108" s="125">
        <v>-83622767.920000002</v>
      </c>
    </row>
    <row r="109" spans="1:38" s="117" customFormat="1" ht="15" customHeight="1" x14ac:dyDescent="0.2">
      <c r="A109" s="123" t="s">
        <v>192</v>
      </c>
      <c r="B109" s="124" t="s">
        <v>193</v>
      </c>
      <c r="C109" s="157">
        <v>-14323.65</v>
      </c>
      <c r="D109" s="125">
        <v>-134850.16</v>
      </c>
      <c r="E109" s="157">
        <v>-130277.25</v>
      </c>
      <c r="F109" s="125">
        <v>-206144.99</v>
      </c>
      <c r="G109" s="157">
        <v>-447763.72</v>
      </c>
      <c r="H109" s="157">
        <v>-121028.91</v>
      </c>
      <c r="I109" s="157">
        <v>-77449.33</v>
      </c>
      <c r="J109" s="125">
        <v>0</v>
      </c>
      <c r="K109" s="125">
        <v>-313553.67</v>
      </c>
      <c r="L109" s="125">
        <v>-1643.43</v>
      </c>
      <c r="M109" s="157">
        <v>-25850.37</v>
      </c>
      <c r="N109" s="157">
        <v>-209346.38</v>
      </c>
      <c r="O109" s="157">
        <v>-309012.09999999998</v>
      </c>
      <c r="P109" s="125">
        <v>-119582.04</v>
      </c>
      <c r="Q109" s="157">
        <v>-2232.56</v>
      </c>
      <c r="R109" s="157">
        <v>-133650.13</v>
      </c>
      <c r="S109" s="157">
        <v>-21487.39</v>
      </c>
      <c r="T109" s="125">
        <v>-470394.71</v>
      </c>
      <c r="U109" s="125">
        <v>-166766.18</v>
      </c>
      <c r="V109" s="125">
        <v>-184080.95</v>
      </c>
      <c r="W109" s="125">
        <v>-537281</v>
      </c>
      <c r="X109" s="157">
        <v>-293242</v>
      </c>
      <c r="Y109" s="125">
        <v>-268236.98</v>
      </c>
      <c r="Z109" s="125">
        <v>-150321.51999999999</v>
      </c>
      <c r="AA109" s="125">
        <v>-196775.92</v>
      </c>
      <c r="AB109" s="125">
        <v>-156337.97</v>
      </c>
      <c r="AC109" s="125">
        <v>-564345</v>
      </c>
      <c r="AD109" s="125">
        <v>-232470.8</v>
      </c>
      <c r="AE109" s="157">
        <v>-292296</v>
      </c>
      <c r="AF109" s="157">
        <v>-180820</v>
      </c>
      <c r="AG109" s="125">
        <v>-207479.82</v>
      </c>
      <c r="AH109" s="125">
        <v>-351894.81</v>
      </c>
      <c r="AI109" s="157">
        <v>-37416.379999999997</v>
      </c>
      <c r="AJ109" s="157">
        <v>-1753.93</v>
      </c>
      <c r="AK109" s="157">
        <v>-248394.88</v>
      </c>
      <c r="AL109" s="125">
        <v>-6808504.9299999997</v>
      </c>
    </row>
    <row r="110" spans="1:38" s="117" customFormat="1" ht="15" customHeight="1" x14ac:dyDescent="0.2">
      <c r="A110" s="123" t="s">
        <v>194</v>
      </c>
      <c r="B110" s="124" t="s">
        <v>195</v>
      </c>
      <c r="C110" s="157">
        <v>-206361.64</v>
      </c>
      <c r="D110" s="125">
        <v>-208853.5</v>
      </c>
      <c r="E110" s="157">
        <v>-87571.45</v>
      </c>
      <c r="F110" s="125">
        <v>-886.68</v>
      </c>
      <c r="G110" s="157">
        <v>0</v>
      </c>
      <c r="H110" s="157">
        <v>-93259.08</v>
      </c>
      <c r="I110" s="157">
        <v>-289304</v>
      </c>
      <c r="J110" s="125">
        <v>-371166.39</v>
      </c>
      <c r="K110" s="125">
        <v>-138436.82999999999</v>
      </c>
      <c r="L110" s="125">
        <v>-285152.02</v>
      </c>
      <c r="M110" s="157">
        <v>-262159.93</v>
      </c>
      <c r="N110" s="157">
        <v>-16302.08</v>
      </c>
      <c r="O110" s="157">
        <v>-17546.46</v>
      </c>
      <c r="P110" s="125">
        <v>-145330.75</v>
      </c>
      <c r="Q110" s="157">
        <v>-742359.98</v>
      </c>
      <c r="R110" s="157">
        <v>-107525.24</v>
      </c>
      <c r="S110" s="157">
        <v>-224687.43</v>
      </c>
      <c r="T110" s="125">
        <v>0</v>
      </c>
      <c r="U110" s="125">
        <v>-218084.94</v>
      </c>
      <c r="V110" s="125">
        <v>-230185.44</v>
      </c>
      <c r="W110" s="125">
        <v>0</v>
      </c>
      <c r="X110" s="157">
        <v>-98792</v>
      </c>
      <c r="Y110" s="125">
        <v>-1306.6199999999999</v>
      </c>
      <c r="Z110" s="125">
        <v>-38215.040000000001</v>
      </c>
      <c r="AA110" s="125">
        <v>-82148.94</v>
      </c>
      <c r="AB110" s="125">
        <v>-108784.9</v>
      </c>
      <c r="AC110" s="125">
        <v>0</v>
      </c>
      <c r="AD110" s="125">
        <v>-30729.77</v>
      </c>
      <c r="AE110" s="157">
        <v>-107847</v>
      </c>
      <c r="AF110" s="157">
        <v>-93674</v>
      </c>
      <c r="AG110" s="125">
        <v>-9691.64</v>
      </c>
      <c r="AH110" s="125">
        <v>0</v>
      </c>
      <c r="AI110" s="157">
        <v>-258682.98</v>
      </c>
      <c r="AJ110" s="157">
        <v>-131846.57999999999</v>
      </c>
      <c r="AK110" s="157">
        <v>0</v>
      </c>
      <c r="AL110" s="125">
        <v>-4606893.3099999996</v>
      </c>
    </row>
    <row r="111" spans="1:38" s="117" customFormat="1" ht="15" customHeight="1" x14ac:dyDescent="0.2">
      <c r="A111" s="123" t="s">
        <v>657</v>
      </c>
      <c r="B111" s="124" t="s">
        <v>656</v>
      </c>
      <c r="C111" s="157">
        <v>0</v>
      </c>
      <c r="D111" s="125">
        <v>-1771.73</v>
      </c>
      <c r="E111" s="157">
        <v>0</v>
      </c>
      <c r="F111" s="125">
        <v>0</v>
      </c>
      <c r="G111" s="157">
        <v>0</v>
      </c>
      <c r="H111" s="157">
        <v>0</v>
      </c>
      <c r="I111" s="157">
        <v>0</v>
      </c>
      <c r="J111" s="125">
        <v>0</v>
      </c>
      <c r="K111" s="125">
        <v>0</v>
      </c>
      <c r="L111" s="125">
        <v>0</v>
      </c>
      <c r="M111" s="157">
        <v>0</v>
      </c>
      <c r="N111" s="157">
        <v>0</v>
      </c>
      <c r="O111" s="157">
        <v>0</v>
      </c>
      <c r="P111" s="125">
        <v>0</v>
      </c>
      <c r="Q111" s="157">
        <v>0</v>
      </c>
      <c r="R111" s="157">
        <v>0</v>
      </c>
      <c r="S111" s="157">
        <v>0</v>
      </c>
      <c r="T111" s="125">
        <v>0</v>
      </c>
      <c r="U111" s="125">
        <v>0</v>
      </c>
      <c r="V111" s="125">
        <v>0</v>
      </c>
      <c r="W111" s="125">
        <v>0</v>
      </c>
      <c r="X111" s="157">
        <v>0</v>
      </c>
      <c r="Y111" s="125">
        <v>0</v>
      </c>
      <c r="Z111" s="125">
        <v>0</v>
      </c>
      <c r="AA111" s="125">
        <v>0</v>
      </c>
      <c r="AB111" s="125">
        <v>0</v>
      </c>
      <c r="AC111" s="125">
        <v>0</v>
      </c>
      <c r="AD111" s="125">
        <v>0</v>
      </c>
      <c r="AE111" s="157">
        <v>0</v>
      </c>
      <c r="AF111" s="157">
        <v>0</v>
      </c>
      <c r="AG111" s="125">
        <v>0</v>
      </c>
      <c r="AH111" s="125">
        <v>0</v>
      </c>
      <c r="AI111" s="157">
        <v>0</v>
      </c>
      <c r="AJ111" s="157">
        <v>0</v>
      </c>
      <c r="AK111" s="157">
        <v>0</v>
      </c>
      <c r="AL111" s="125">
        <v>-1771.73</v>
      </c>
    </row>
    <row r="112" spans="1:38" s="117" customFormat="1" ht="15" customHeight="1" x14ac:dyDescent="0.2">
      <c r="A112" s="123" t="s">
        <v>468</v>
      </c>
      <c r="B112" s="124" t="s">
        <v>469</v>
      </c>
      <c r="C112" s="157">
        <v>0</v>
      </c>
      <c r="D112" s="125">
        <v>0</v>
      </c>
      <c r="E112" s="157">
        <v>0</v>
      </c>
      <c r="F112" s="125">
        <v>0</v>
      </c>
      <c r="G112" s="157">
        <v>10367</v>
      </c>
      <c r="H112" s="157">
        <v>0</v>
      </c>
      <c r="I112" s="157">
        <v>0</v>
      </c>
      <c r="J112" s="125">
        <v>0</v>
      </c>
      <c r="K112" s="125">
        <v>0</v>
      </c>
      <c r="L112" s="125">
        <v>0</v>
      </c>
      <c r="M112" s="157">
        <v>0</v>
      </c>
      <c r="N112" s="157">
        <v>0</v>
      </c>
      <c r="O112" s="157">
        <v>0</v>
      </c>
      <c r="P112" s="125">
        <v>0</v>
      </c>
      <c r="Q112" s="157">
        <v>17822.3</v>
      </c>
      <c r="R112" s="157">
        <v>0</v>
      </c>
      <c r="S112" s="157">
        <v>0</v>
      </c>
      <c r="T112" s="125">
        <v>0</v>
      </c>
      <c r="U112" s="125">
        <v>0</v>
      </c>
      <c r="V112" s="125">
        <v>0</v>
      </c>
      <c r="W112" s="125">
        <v>0</v>
      </c>
      <c r="X112" s="157">
        <v>0</v>
      </c>
      <c r="Y112" s="125">
        <v>0</v>
      </c>
      <c r="Z112" s="125">
        <v>0</v>
      </c>
      <c r="AA112" s="125">
        <v>0</v>
      </c>
      <c r="AB112" s="125">
        <v>0</v>
      </c>
      <c r="AC112" s="125">
        <v>0</v>
      </c>
      <c r="AD112" s="125">
        <v>0</v>
      </c>
      <c r="AE112" s="157">
        <v>0</v>
      </c>
      <c r="AF112" s="157">
        <v>0</v>
      </c>
      <c r="AG112" s="125">
        <v>0</v>
      </c>
      <c r="AH112" s="125">
        <v>0</v>
      </c>
      <c r="AI112" s="157">
        <v>0</v>
      </c>
      <c r="AJ112" s="157">
        <v>0</v>
      </c>
      <c r="AK112" s="157">
        <v>0</v>
      </c>
      <c r="AL112" s="125">
        <v>28189.3</v>
      </c>
    </row>
    <row r="113" spans="1:38" s="117" customFormat="1" ht="15" customHeight="1" x14ac:dyDescent="0.2">
      <c r="A113" s="123" t="s">
        <v>196</v>
      </c>
      <c r="B113" s="124" t="s">
        <v>197</v>
      </c>
      <c r="C113" s="157">
        <v>135786.63</v>
      </c>
      <c r="D113" s="125">
        <v>92344.72</v>
      </c>
      <c r="E113" s="157">
        <v>153219.04</v>
      </c>
      <c r="F113" s="125">
        <v>12962</v>
      </c>
      <c r="G113" s="157">
        <v>459207.3</v>
      </c>
      <c r="H113" s="157">
        <v>136358.51999999999</v>
      </c>
      <c r="I113" s="157">
        <v>114169.48</v>
      </c>
      <c r="J113" s="125">
        <v>37851</v>
      </c>
      <c r="K113" s="125">
        <v>82263.7</v>
      </c>
      <c r="L113" s="125">
        <v>8563</v>
      </c>
      <c r="M113" s="157">
        <v>57499.33</v>
      </c>
      <c r="N113" s="157">
        <v>815558</v>
      </c>
      <c r="O113" s="157">
        <v>176629.93</v>
      </c>
      <c r="P113" s="125">
        <v>48388.36</v>
      </c>
      <c r="Q113" s="157">
        <v>433933.82</v>
      </c>
      <c r="R113" s="157">
        <v>146912.03</v>
      </c>
      <c r="S113" s="157">
        <v>42663.83</v>
      </c>
      <c r="T113" s="125">
        <v>0</v>
      </c>
      <c r="U113" s="125">
        <v>13007</v>
      </c>
      <c r="V113" s="125">
        <v>107640.59</v>
      </c>
      <c r="W113" s="125">
        <v>79899.77</v>
      </c>
      <c r="X113" s="157">
        <v>135636.69</v>
      </c>
      <c r="Y113" s="125">
        <v>251633.75</v>
      </c>
      <c r="Z113" s="125">
        <v>56812.36</v>
      </c>
      <c r="AA113" s="125">
        <v>0</v>
      </c>
      <c r="AB113" s="125">
        <v>40154</v>
      </c>
      <c r="AC113" s="125">
        <v>45000</v>
      </c>
      <c r="AD113" s="125">
        <v>44996</v>
      </c>
      <c r="AE113" s="157">
        <v>33874</v>
      </c>
      <c r="AF113" s="157">
        <v>39753</v>
      </c>
      <c r="AG113" s="125">
        <v>0</v>
      </c>
      <c r="AH113" s="125">
        <v>46100</v>
      </c>
      <c r="AI113" s="157">
        <v>9705</v>
      </c>
      <c r="AJ113" s="157">
        <v>9975</v>
      </c>
      <c r="AK113" s="157">
        <v>9647</v>
      </c>
      <c r="AL113" s="125">
        <v>3878144.85</v>
      </c>
    </row>
    <row r="114" spans="1:38" s="117" customFormat="1" ht="15" customHeight="1" x14ac:dyDescent="0.2">
      <c r="A114" s="123" t="s">
        <v>198</v>
      </c>
      <c r="B114" s="124" t="s">
        <v>199</v>
      </c>
      <c r="C114" s="157">
        <v>254674.71</v>
      </c>
      <c r="D114" s="125">
        <v>218722.23</v>
      </c>
      <c r="E114" s="157">
        <v>279620.94</v>
      </c>
      <c r="F114" s="125">
        <v>0</v>
      </c>
      <c r="G114" s="157">
        <v>133229.6</v>
      </c>
      <c r="H114" s="157">
        <v>249824.24</v>
      </c>
      <c r="I114" s="157">
        <v>164793.69</v>
      </c>
      <c r="J114" s="125">
        <v>0</v>
      </c>
      <c r="K114" s="125">
        <v>164564.57999999999</v>
      </c>
      <c r="L114" s="125">
        <v>229505</v>
      </c>
      <c r="M114" s="157">
        <v>184529.15</v>
      </c>
      <c r="N114" s="157">
        <v>190326.5</v>
      </c>
      <c r="O114" s="157">
        <v>243272</v>
      </c>
      <c r="P114" s="125">
        <v>120048.05</v>
      </c>
      <c r="Q114" s="157">
        <v>45302.34</v>
      </c>
      <c r="R114" s="157">
        <v>218680.45</v>
      </c>
      <c r="S114" s="157">
        <v>128455.2</v>
      </c>
      <c r="T114" s="125">
        <v>211115.54</v>
      </c>
      <c r="U114" s="125">
        <v>0</v>
      </c>
      <c r="V114" s="125">
        <v>215382.94</v>
      </c>
      <c r="W114" s="125">
        <v>0</v>
      </c>
      <c r="X114" s="157">
        <v>338124.15</v>
      </c>
      <c r="Y114" s="125">
        <v>182451.11</v>
      </c>
      <c r="Z114" s="125">
        <v>0</v>
      </c>
      <c r="AA114" s="125">
        <v>0</v>
      </c>
      <c r="AB114" s="125">
        <v>0</v>
      </c>
      <c r="AC114" s="125">
        <v>0</v>
      </c>
      <c r="AD114" s="125">
        <v>0</v>
      </c>
      <c r="AE114" s="157">
        <v>0</v>
      </c>
      <c r="AF114" s="157">
        <v>0</v>
      </c>
      <c r="AG114" s="125">
        <v>0</v>
      </c>
      <c r="AH114" s="125">
        <v>13810.8</v>
      </c>
      <c r="AI114" s="157">
        <v>0</v>
      </c>
      <c r="AJ114" s="157">
        <v>0</v>
      </c>
      <c r="AK114" s="157">
        <v>0</v>
      </c>
      <c r="AL114" s="125">
        <v>3786433.22</v>
      </c>
    </row>
    <row r="115" spans="1:38" s="117" customFormat="1" ht="15" customHeight="1" x14ac:dyDescent="0.2">
      <c r="A115" s="123" t="s">
        <v>518</v>
      </c>
      <c r="B115" s="124" t="s">
        <v>519</v>
      </c>
      <c r="C115" s="157">
        <v>0</v>
      </c>
      <c r="D115" s="125">
        <v>31524.959999999999</v>
      </c>
      <c r="E115" s="157">
        <v>0</v>
      </c>
      <c r="F115" s="125">
        <v>292801</v>
      </c>
      <c r="G115" s="157">
        <v>0</v>
      </c>
      <c r="H115" s="157">
        <v>0</v>
      </c>
      <c r="I115" s="157">
        <v>0</v>
      </c>
      <c r="J115" s="125">
        <v>117850</v>
      </c>
      <c r="K115" s="125">
        <v>16986.7</v>
      </c>
      <c r="L115" s="125">
        <v>0</v>
      </c>
      <c r="M115" s="157">
        <v>15815.2</v>
      </c>
      <c r="N115" s="157">
        <v>0</v>
      </c>
      <c r="O115" s="157">
        <v>0</v>
      </c>
      <c r="P115" s="125">
        <v>9957.7099999999991</v>
      </c>
      <c r="Q115" s="157">
        <v>431994.05</v>
      </c>
      <c r="R115" s="157">
        <v>0</v>
      </c>
      <c r="S115" s="157">
        <v>7614.73</v>
      </c>
      <c r="T115" s="125">
        <v>0</v>
      </c>
      <c r="U115" s="125">
        <v>272414.90999999997</v>
      </c>
      <c r="V115" s="125">
        <v>0</v>
      </c>
      <c r="W115" s="125">
        <v>144812</v>
      </c>
      <c r="X115" s="157">
        <v>0</v>
      </c>
      <c r="Y115" s="125">
        <v>81318.460000000006</v>
      </c>
      <c r="Z115" s="125">
        <v>39656.36</v>
      </c>
      <c r="AA115" s="125">
        <v>118162.5</v>
      </c>
      <c r="AB115" s="125">
        <v>103658.65</v>
      </c>
      <c r="AC115" s="125">
        <v>28131</v>
      </c>
      <c r="AD115" s="125">
        <v>122940.4</v>
      </c>
      <c r="AE115" s="157">
        <v>32590.3</v>
      </c>
      <c r="AF115" s="157">
        <v>58152.78</v>
      </c>
      <c r="AG115" s="125">
        <v>264762</v>
      </c>
      <c r="AH115" s="125">
        <v>0</v>
      </c>
      <c r="AI115" s="157">
        <v>209001</v>
      </c>
      <c r="AJ115" s="157">
        <v>214614</v>
      </c>
      <c r="AK115" s="157">
        <v>205060</v>
      </c>
      <c r="AL115" s="125">
        <v>2819818.71</v>
      </c>
    </row>
    <row r="116" spans="1:38" s="117" customFormat="1" ht="15" customHeight="1" x14ac:dyDescent="0.2">
      <c r="A116" s="123" t="s">
        <v>1028</v>
      </c>
      <c r="B116" s="124" t="s">
        <v>1027</v>
      </c>
      <c r="C116" s="157">
        <v>0</v>
      </c>
      <c r="D116" s="125">
        <v>0</v>
      </c>
      <c r="E116" s="157">
        <v>0</v>
      </c>
      <c r="F116" s="125">
        <v>0</v>
      </c>
      <c r="G116" s="157">
        <v>0</v>
      </c>
      <c r="H116" s="157">
        <v>0</v>
      </c>
      <c r="I116" s="157">
        <v>0</v>
      </c>
      <c r="J116" s="125">
        <v>10000</v>
      </c>
      <c r="K116" s="125">
        <v>0</v>
      </c>
      <c r="L116" s="125">
        <v>0</v>
      </c>
      <c r="M116" s="157">
        <v>0</v>
      </c>
      <c r="N116" s="157">
        <v>0</v>
      </c>
      <c r="O116" s="157">
        <v>0</v>
      </c>
      <c r="P116" s="125">
        <v>0</v>
      </c>
      <c r="Q116" s="157">
        <v>0</v>
      </c>
      <c r="R116" s="157">
        <v>0</v>
      </c>
      <c r="S116" s="157">
        <v>0</v>
      </c>
      <c r="T116" s="125">
        <v>0</v>
      </c>
      <c r="U116" s="125">
        <v>6930</v>
      </c>
      <c r="V116" s="125">
        <v>0</v>
      </c>
      <c r="W116" s="125">
        <v>10000</v>
      </c>
      <c r="X116" s="157">
        <v>0</v>
      </c>
      <c r="Y116" s="125">
        <v>0</v>
      </c>
      <c r="Z116" s="125">
        <v>0</v>
      </c>
      <c r="AA116" s="125">
        <v>0</v>
      </c>
      <c r="AB116" s="125">
        <v>0</v>
      </c>
      <c r="AC116" s="125">
        <v>0</v>
      </c>
      <c r="AD116" s="125">
        <v>0</v>
      </c>
      <c r="AE116" s="157">
        <v>5300</v>
      </c>
      <c r="AF116" s="157">
        <v>7700</v>
      </c>
      <c r="AG116" s="125">
        <v>0</v>
      </c>
      <c r="AH116" s="125">
        <v>6930</v>
      </c>
      <c r="AI116" s="157">
        <v>6930</v>
      </c>
      <c r="AJ116" s="157">
        <v>6930</v>
      </c>
      <c r="AK116" s="157">
        <v>5100</v>
      </c>
      <c r="AL116" s="125">
        <v>65820</v>
      </c>
    </row>
    <row r="117" spans="1:38" s="117" customFormat="1" ht="15" customHeight="1" x14ac:dyDescent="0.2">
      <c r="A117" s="123" t="s">
        <v>470</v>
      </c>
      <c r="B117" s="124" t="s">
        <v>471</v>
      </c>
      <c r="C117" s="157">
        <v>0</v>
      </c>
      <c r="D117" s="125">
        <v>0</v>
      </c>
      <c r="E117" s="157">
        <v>0</v>
      </c>
      <c r="F117" s="125">
        <v>157328</v>
      </c>
      <c r="G117" s="157">
        <v>108125</v>
      </c>
      <c r="H117" s="157">
        <v>0</v>
      </c>
      <c r="I117" s="157">
        <v>0</v>
      </c>
      <c r="J117" s="125">
        <v>128913.71</v>
      </c>
      <c r="K117" s="125">
        <v>0</v>
      </c>
      <c r="L117" s="125">
        <v>0</v>
      </c>
      <c r="M117" s="157">
        <v>0</v>
      </c>
      <c r="N117" s="157">
        <v>0</v>
      </c>
      <c r="O117" s="157">
        <v>0</v>
      </c>
      <c r="P117" s="125">
        <v>0</v>
      </c>
      <c r="Q117" s="157">
        <v>0</v>
      </c>
      <c r="R117" s="157">
        <v>0</v>
      </c>
      <c r="S117" s="157">
        <v>0</v>
      </c>
      <c r="T117" s="125">
        <v>0</v>
      </c>
      <c r="U117" s="125">
        <v>95135.99</v>
      </c>
      <c r="V117" s="125">
        <v>0</v>
      </c>
      <c r="W117" s="125">
        <v>64253</v>
      </c>
      <c r="X117" s="157">
        <v>0</v>
      </c>
      <c r="Y117" s="125">
        <v>0</v>
      </c>
      <c r="Z117" s="125">
        <v>69968</v>
      </c>
      <c r="AA117" s="125">
        <v>88518.16</v>
      </c>
      <c r="AB117" s="125">
        <v>-0.05</v>
      </c>
      <c r="AC117" s="125">
        <v>81831.86</v>
      </c>
      <c r="AD117" s="125">
        <v>49800</v>
      </c>
      <c r="AE117" s="157">
        <v>90896</v>
      </c>
      <c r="AF117" s="157">
        <v>87398</v>
      </c>
      <c r="AG117" s="125">
        <v>164441</v>
      </c>
      <c r="AH117" s="125">
        <v>30987</v>
      </c>
      <c r="AI117" s="157">
        <v>61947</v>
      </c>
      <c r="AJ117" s="157">
        <v>56240.09</v>
      </c>
      <c r="AK117" s="157">
        <v>59139</v>
      </c>
      <c r="AL117" s="125">
        <v>1394921.76</v>
      </c>
    </row>
    <row r="118" spans="1:38" s="117" customFormat="1" ht="15" customHeight="1" x14ac:dyDescent="0.2">
      <c r="A118" s="123" t="s">
        <v>472</v>
      </c>
      <c r="B118" s="124" t="s">
        <v>473</v>
      </c>
      <c r="C118" s="157">
        <v>0</v>
      </c>
      <c r="D118" s="125">
        <v>0</v>
      </c>
      <c r="E118" s="157">
        <v>0</v>
      </c>
      <c r="F118" s="125">
        <v>118250.55</v>
      </c>
      <c r="G118" s="157">
        <v>105113.60000000001</v>
      </c>
      <c r="H118" s="157">
        <v>0</v>
      </c>
      <c r="I118" s="157">
        <v>0</v>
      </c>
      <c r="J118" s="125">
        <v>50239.14</v>
      </c>
      <c r="K118" s="125">
        <v>0</v>
      </c>
      <c r="L118" s="125">
        <v>0</v>
      </c>
      <c r="M118" s="157">
        <v>0</v>
      </c>
      <c r="N118" s="157">
        <v>0</v>
      </c>
      <c r="O118" s="157">
        <v>0</v>
      </c>
      <c r="P118" s="125">
        <v>0</v>
      </c>
      <c r="Q118" s="157">
        <v>0</v>
      </c>
      <c r="R118" s="157">
        <v>0</v>
      </c>
      <c r="S118" s="157">
        <v>0</v>
      </c>
      <c r="T118" s="125">
        <v>0</v>
      </c>
      <c r="U118" s="125">
        <v>0</v>
      </c>
      <c r="V118" s="125">
        <v>0</v>
      </c>
      <c r="W118" s="125">
        <v>116793.64</v>
      </c>
      <c r="X118" s="157">
        <v>0</v>
      </c>
      <c r="Y118" s="125">
        <v>0</v>
      </c>
      <c r="Z118" s="125">
        <v>41209.65</v>
      </c>
      <c r="AA118" s="125">
        <v>40301.75</v>
      </c>
      <c r="AB118" s="125">
        <v>0.17</v>
      </c>
      <c r="AC118" s="125">
        <v>50331.82</v>
      </c>
      <c r="AD118" s="125">
        <v>122870</v>
      </c>
      <c r="AE118" s="157">
        <v>30308</v>
      </c>
      <c r="AF118" s="157">
        <v>49983.5</v>
      </c>
      <c r="AG118" s="125">
        <v>80864.740000000005</v>
      </c>
      <c r="AH118" s="125">
        <v>38943.279999999999</v>
      </c>
      <c r="AI118" s="157">
        <v>0</v>
      </c>
      <c r="AJ118" s="157">
        <v>0</v>
      </c>
      <c r="AK118" s="157">
        <v>0</v>
      </c>
      <c r="AL118" s="125">
        <v>845209.84</v>
      </c>
    </row>
    <row r="119" spans="1:38" s="117" customFormat="1" ht="15" customHeight="1" x14ac:dyDescent="0.2">
      <c r="A119" s="123" t="s">
        <v>950</v>
      </c>
      <c r="B119" s="124" t="s">
        <v>1026</v>
      </c>
      <c r="C119" s="157">
        <v>0</v>
      </c>
      <c r="D119" s="125">
        <v>0</v>
      </c>
      <c r="E119" s="157">
        <v>0</v>
      </c>
      <c r="F119" s="125">
        <v>0</v>
      </c>
      <c r="G119" s="157">
        <v>0</v>
      </c>
      <c r="H119" s="157">
        <v>0</v>
      </c>
      <c r="I119" s="157">
        <v>0</v>
      </c>
      <c r="J119" s="125">
        <v>0</v>
      </c>
      <c r="K119" s="125">
        <v>0</v>
      </c>
      <c r="L119" s="125">
        <v>0</v>
      </c>
      <c r="M119" s="157">
        <v>0</v>
      </c>
      <c r="N119" s="157">
        <v>0</v>
      </c>
      <c r="O119" s="157">
        <v>0</v>
      </c>
      <c r="P119" s="125">
        <v>0</v>
      </c>
      <c r="Q119" s="157">
        <v>0</v>
      </c>
      <c r="R119" s="157">
        <v>0</v>
      </c>
      <c r="S119" s="157">
        <v>0</v>
      </c>
      <c r="T119" s="125">
        <v>0</v>
      </c>
      <c r="U119" s="125">
        <v>0</v>
      </c>
      <c r="V119" s="125">
        <v>0</v>
      </c>
      <c r="W119" s="125">
        <v>0</v>
      </c>
      <c r="X119" s="157">
        <v>0</v>
      </c>
      <c r="Y119" s="125">
        <v>0</v>
      </c>
      <c r="Z119" s="125">
        <v>0</v>
      </c>
      <c r="AA119" s="125">
        <v>0</v>
      </c>
      <c r="AB119" s="125">
        <v>0</v>
      </c>
      <c r="AC119" s="125">
        <v>0</v>
      </c>
      <c r="AD119" s="125">
        <v>0</v>
      </c>
      <c r="AE119" s="157">
        <v>0</v>
      </c>
      <c r="AF119" s="157">
        <v>0</v>
      </c>
      <c r="AG119" s="125">
        <v>0</v>
      </c>
      <c r="AH119" s="125">
        <v>0</v>
      </c>
      <c r="AI119" s="157">
        <v>0</v>
      </c>
      <c r="AJ119" s="157">
        <v>0</v>
      </c>
      <c r="AK119" s="157">
        <v>770</v>
      </c>
      <c r="AL119" s="125">
        <v>770</v>
      </c>
    </row>
    <row r="120" spans="1:38" s="117" customFormat="1" ht="15" customHeight="1" x14ac:dyDescent="0.2">
      <c r="A120" s="123" t="s">
        <v>1025</v>
      </c>
      <c r="B120" s="124" t="s">
        <v>1024</v>
      </c>
      <c r="C120" s="157">
        <v>0</v>
      </c>
      <c r="D120" s="125">
        <v>0</v>
      </c>
      <c r="E120" s="157">
        <v>0</v>
      </c>
      <c r="F120" s="125">
        <v>14802</v>
      </c>
      <c r="G120" s="157">
        <v>0</v>
      </c>
      <c r="H120" s="157">
        <v>0</v>
      </c>
      <c r="I120" s="157">
        <v>0</v>
      </c>
      <c r="J120" s="125">
        <v>0</v>
      </c>
      <c r="K120" s="125">
        <v>0</v>
      </c>
      <c r="L120" s="125">
        <v>0</v>
      </c>
      <c r="M120" s="157">
        <v>0</v>
      </c>
      <c r="N120" s="157">
        <v>0</v>
      </c>
      <c r="O120" s="157">
        <v>0</v>
      </c>
      <c r="P120" s="125">
        <v>0</v>
      </c>
      <c r="Q120" s="157">
        <v>0</v>
      </c>
      <c r="R120" s="157">
        <v>0</v>
      </c>
      <c r="S120" s="157">
        <v>0</v>
      </c>
      <c r="T120" s="125">
        <v>0</v>
      </c>
      <c r="U120" s="125">
        <v>0</v>
      </c>
      <c r="V120" s="125">
        <v>0</v>
      </c>
      <c r="W120" s="125">
        <v>0</v>
      </c>
      <c r="X120" s="157">
        <v>0</v>
      </c>
      <c r="Y120" s="125">
        <v>0</v>
      </c>
      <c r="Z120" s="125">
        <v>0</v>
      </c>
      <c r="AA120" s="125">
        <v>0</v>
      </c>
      <c r="AB120" s="125">
        <v>0</v>
      </c>
      <c r="AC120" s="125">
        <v>0</v>
      </c>
      <c r="AD120" s="125">
        <v>0</v>
      </c>
      <c r="AE120" s="157">
        <v>0</v>
      </c>
      <c r="AF120" s="157">
        <v>0</v>
      </c>
      <c r="AG120" s="125">
        <v>0</v>
      </c>
      <c r="AH120" s="125">
        <v>0</v>
      </c>
      <c r="AI120" s="157">
        <v>0</v>
      </c>
      <c r="AJ120" s="157">
        <v>0</v>
      </c>
      <c r="AK120" s="157">
        <v>0</v>
      </c>
      <c r="AL120" s="125">
        <v>14802</v>
      </c>
    </row>
    <row r="121" spans="1:38" s="117" customFormat="1" ht="15" customHeight="1" x14ac:dyDescent="0.2">
      <c r="A121" s="123" t="s">
        <v>520</v>
      </c>
      <c r="B121" s="124" t="s">
        <v>521</v>
      </c>
      <c r="C121" s="157">
        <v>-5657.78</v>
      </c>
      <c r="D121" s="125">
        <v>-1497.21</v>
      </c>
      <c r="E121" s="157">
        <v>-5107.3</v>
      </c>
      <c r="F121" s="125">
        <v>-6912</v>
      </c>
      <c r="G121" s="157">
        <v>-18258.04</v>
      </c>
      <c r="H121" s="157">
        <v>-12178.24</v>
      </c>
      <c r="I121" s="157">
        <v>-3805.65</v>
      </c>
      <c r="J121" s="125">
        <v>-36236.28</v>
      </c>
      <c r="K121" s="125">
        <v>-459.47</v>
      </c>
      <c r="L121" s="125">
        <v>-3710.96</v>
      </c>
      <c r="M121" s="157">
        <v>-958.32</v>
      </c>
      <c r="N121" s="157">
        <v>-112130.6</v>
      </c>
      <c r="O121" s="157">
        <v>-15750.5</v>
      </c>
      <c r="P121" s="125">
        <v>-806.23</v>
      </c>
      <c r="Q121" s="157">
        <v>-265037.02</v>
      </c>
      <c r="R121" s="157">
        <v>-16323.56</v>
      </c>
      <c r="S121" s="157">
        <v>-64.150000000000006</v>
      </c>
      <c r="T121" s="125">
        <v>0</v>
      </c>
      <c r="U121" s="125">
        <v>-5365</v>
      </c>
      <c r="V121" s="125">
        <v>-5125.6499999999996</v>
      </c>
      <c r="W121" s="125">
        <v>-37026.160000000003</v>
      </c>
      <c r="X121" s="157">
        <v>-11717.08</v>
      </c>
      <c r="Y121" s="125">
        <v>-27959.31</v>
      </c>
      <c r="Z121" s="125">
        <v>-40033.93</v>
      </c>
      <c r="AA121" s="125">
        <v>0</v>
      </c>
      <c r="AB121" s="125">
        <v>-29337</v>
      </c>
      <c r="AC121" s="125">
        <v>-32750</v>
      </c>
      <c r="AD121" s="125">
        <v>-33000</v>
      </c>
      <c r="AE121" s="157">
        <v>-23262.09</v>
      </c>
      <c r="AF121" s="157">
        <v>-26798.05</v>
      </c>
      <c r="AG121" s="125">
        <v>0</v>
      </c>
      <c r="AH121" s="125">
        <v>-3701.01</v>
      </c>
      <c r="AI121" s="157">
        <v>-3898.12</v>
      </c>
      <c r="AJ121" s="157">
        <v>-4156.08</v>
      </c>
      <c r="AK121" s="157">
        <v>-3107.84</v>
      </c>
      <c r="AL121" s="125">
        <v>-792130.63</v>
      </c>
    </row>
    <row r="122" spans="1:38" s="117" customFormat="1" ht="15" customHeight="1" x14ac:dyDescent="0.2">
      <c r="A122" s="123" t="s">
        <v>200</v>
      </c>
      <c r="B122" s="124" t="s">
        <v>201</v>
      </c>
      <c r="C122" s="157">
        <v>-192139.76</v>
      </c>
      <c r="D122" s="125">
        <v>-142805.95000000001</v>
      </c>
      <c r="E122" s="157">
        <v>-232041.97</v>
      </c>
      <c r="F122" s="125">
        <v>-286758</v>
      </c>
      <c r="G122" s="157">
        <v>-35189.870000000003</v>
      </c>
      <c r="H122" s="157">
        <v>-205260.39</v>
      </c>
      <c r="I122" s="157">
        <v>-141716.68</v>
      </c>
      <c r="J122" s="125">
        <v>-44389.05</v>
      </c>
      <c r="K122" s="125">
        <v>-117130.33</v>
      </c>
      <c r="L122" s="125">
        <v>-37358.07</v>
      </c>
      <c r="M122" s="157">
        <v>-158861.07</v>
      </c>
      <c r="N122" s="157">
        <v>-140147.99</v>
      </c>
      <c r="O122" s="157">
        <v>-177758.75</v>
      </c>
      <c r="P122" s="125">
        <v>-96537.97</v>
      </c>
      <c r="Q122" s="157">
        <v>-354421.49</v>
      </c>
      <c r="R122" s="157">
        <v>-185774.07</v>
      </c>
      <c r="S122" s="157">
        <v>-102533.02</v>
      </c>
      <c r="T122" s="125">
        <v>-135451.07</v>
      </c>
      <c r="U122" s="125">
        <v>-58035.040000000001</v>
      </c>
      <c r="V122" s="125">
        <v>-169470.49</v>
      </c>
      <c r="W122" s="125">
        <v>-159230.57</v>
      </c>
      <c r="X122" s="157">
        <v>-240094.12</v>
      </c>
      <c r="Y122" s="125">
        <v>-85578.37</v>
      </c>
      <c r="Z122" s="125">
        <v>-95778.59</v>
      </c>
      <c r="AA122" s="125">
        <v>-158634.1</v>
      </c>
      <c r="AB122" s="125">
        <v>-20682.04</v>
      </c>
      <c r="AC122" s="125">
        <v>-111621.38</v>
      </c>
      <c r="AD122" s="125">
        <v>-118073.96</v>
      </c>
      <c r="AE122" s="157">
        <v>-116774.73</v>
      </c>
      <c r="AF122" s="157">
        <v>-131858.26</v>
      </c>
      <c r="AG122" s="125">
        <v>-231487</v>
      </c>
      <c r="AH122" s="125">
        <v>-14247.56</v>
      </c>
      <c r="AI122" s="157">
        <v>-43511.71</v>
      </c>
      <c r="AJ122" s="157">
        <v>-42726.95</v>
      </c>
      <c r="AK122" s="157">
        <v>-39752.28</v>
      </c>
      <c r="AL122" s="125">
        <v>-4623832.6500000004</v>
      </c>
    </row>
    <row r="123" spans="1:38" s="117" customFormat="1" ht="15" customHeight="1" x14ac:dyDescent="0.2">
      <c r="A123" s="123" t="s">
        <v>949</v>
      </c>
      <c r="B123" s="124" t="s">
        <v>1023</v>
      </c>
      <c r="C123" s="157">
        <v>0</v>
      </c>
      <c r="D123" s="125">
        <v>0</v>
      </c>
      <c r="E123" s="157">
        <v>0</v>
      </c>
      <c r="F123" s="125">
        <v>-14802</v>
      </c>
      <c r="G123" s="157">
        <v>0</v>
      </c>
      <c r="H123" s="157">
        <v>0</v>
      </c>
      <c r="I123" s="157">
        <v>0</v>
      </c>
      <c r="J123" s="125">
        <v>-20185</v>
      </c>
      <c r="K123" s="125">
        <v>0</v>
      </c>
      <c r="L123" s="125">
        <v>0</v>
      </c>
      <c r="M123" s="157">
        <v>0</v>
      </c>
      <c r="N123" s="157">
        <v>-12824.13</v>
      </c>
      <c r="O123" s="157">
        <v>0</v>
      </c>
      <c r="P123" s="125">
        <v>0</v>
      </c>
      <c r="Q123" s="157">
        <v>0</v>
      </c>
      <c r="R123" s="157">
        <v>0</v>
      </c>
      <c r="S123" s="157">
        <v>0</v>
      </c>
      <c r="T123" s="125">
        <v>0</v>
      </c>
      <c r="U123" s="125">
        <v>0</v>
      </c>
      <c r="V123" s="125">
        <v>0</v>
      </c>
      <c r="W123" s="125">
        <v>0</v>
      </c>
      <c r="X123" s="157">
        <v>0</v>
      </c>
      <c r="Y123" s="125">
        <v>0</v>
      </c>
      <c r="Z123" s="125">
        <v>0</v>
      </c>
      <c r="AA123" s="125">
        <v>0</v>
      </c>
      <c r="AB123" s="125">
        <v>0</v>
      </c>
      <c r="AC123" s="125">
        <v>0</v>
      </c>
      <c r="AD123" s="125">
        <v>0</v>
      </c>
      <c r="AE123" s="157">
        <v>0</v>
      </c>
      <c r="AF123" s="157">
        <v>0</v>
      </c>
      <c r="AG123" s="125">
        <v>0</v>
      </c>
      <c r="AH123" s="125">
        <v>0</v>
      </c>
      <c r="AI123" s="157">
        <v>0</v>
      </c>
      <c r="AJ123" s="157">
        <v>0</v>
      </c>
      <c r="AK123" s="157">
        <v>0</v>
      </c>
      <c r="AL123" s="125">
        <v>-47811.13</v>
      </c>
    </row>
    <row r="124" spans="1:38" s="117" customFormat="1" ht="15" customHeight="1" x14ac:dyDescent="0.2">
      <c r="A124" s="123" t="s">
        <v>202</v>
      </c>
      <c r="B124" s="124" t="s">
        <v>203</v>
      </c>
      <c r="C124" s="157">
        <v>-1272.1400000000001</v>
      </c>
      <c r="D124" s="125">
        <v>0</v>
      </c>
      <c r="E124" s="157">
        <v>-9545.11</v>
      </c>
      <c r="F124" s="125">
        <v>-3609.11</v>
      </c>
      <c r="G124" s="157">
        <v>-1913.82</v>
      </c>
      <c r="H124" s="157">
        <v>0</v>
      </c>
      <c r="I124" s="157">
        <v>0</v>
      </c>
      <c r="J124" s="125">
        <v>0</v>
      </c>
      <c r="K124" s="125">
        <v>0</v>
      </c>
      <c r="L124" s="125">
        <v>-2073.61</v>
      </c>
      <c r="M124" s="157">
        <v>-515.66</v>
      </c>
      <c r="N124" s="157">
        <v>-310.75</v>
      </c>
      <c r="O124" s="157">
        <v>0</v>
      </c>
      <c r="P124" s="125">
        <v>-8.94</v>
      </c>
      <c r="Q124" s="157">
        <v>0</v>
      </c>
      <c r="R124" s="157">
        <v>0</v>
      </c>
      <c r="S124" s="157">
        <v>-110.35</v>
      </c>
      <c r="T124" s="125">
        <v>-1494.83</v>
      </c>
      <c r="U124" s="125">
        <v>0</v>
      </c>
      <c r="V124" s="125">
        <v>-595.73</v>
      </c>
      <c r="W124" s="125">
        <v>0</v>
      </c>
      <c r="X124" s="157">
        <v>0</v>
      </c>
      <c r="Y124" s="125">
        <v>-8341.08</v>
      </c>
      <c r="Z124" s="125">
        <v>-1668.55</v>
      </c>
      <c r="AA124" s="125">
        <v>-2230.9</v>
      </c>
      <c r="AB124" s="125">
        <v>0</v>
      </c>
      <c r="AC124" s="125">
        <v>0</v>
      </c>
      <c r="AD124" s="125">
        <v>-4428</v>
      </c>
      <c r="AE124" s="157">
        <v>0</v>
      </c>
      <c r="AF124" s="157">
        <v>0</v>
      </c>
      <c r="AG124" s="125">
        <v>-6785.26</v>
      </c>
      <c r="AH124" s="125">
        <v>0</v>
      </c>
      <c r="AI124" s="157">
        <v>-626.12</v>
      </c>
      <c r="AJ124" s="157">
        <v>0</v>
      </c>
      <c r="AK124" s="157">
        <v>-232</v>
      </c>
      <c r="AL124" s="125">
        <v>-45761.96</v>
      </c>
    </row>
    <row r="125" spans="1:38" s="117" customFormat="1" ht="15" customHeight="1" x14ac:dyDescent="0.2">
      <c r="A125" s="123" t="s">
        <v>204</v>
      </c>
      <c r="B125" s="124" t="s">
        <v>205</v>
      </c>
      <c r="C125" s="157">
        <v>0</v>
      </c>
      <c r="D125" s="125">
        <v>0</v>
      </c>
      <c r="E125" s="157">
        <v>0</v>
      </c>
      <c r="F125" s="125">
        <v>0</v>
      </c>
      <c r="G125" s="157">
        <v>0</v>
      </c>
      <c r="H125" s="157">
        <v>0</v>
      </c>
      <c r="I125" s="157">
        <v>0</v>
      </c>
      <c r="J125" s="125">
        <v>0</v>
      </c>
      <c r="K125" s="125">
        <v>0</v>
      </c>
      <c r="L125" s="125">
        <v>0</v>
      </c>
      <c r="M125" s="157">
        <v>0</v>
      </c>
      <c r="N125" s="157">
        <v>0</v>
      </c>
      <c r="O125" s="157">
        <v>0</v>
      </c>
      <c r="P125" s="125">
        <v>-11075.47</v>
      </c>
      <c r="Q125" s="157">
        <v>0</v>
      </c>
      <c r="R125" s="157">
        <v>0</v>
      </c>
      <c r="S125" s="157">
        <v>0</v>
      </c>
      <c r="T125" s="125">
        <v>0.2</v>
      </c>
      <c r="U125" s="125">
        <v>0</v>
      </c>
      <c r="V125" s="125">
        <v>0</v>
      </c>
      <c r="W125" s="125">
        <v>0</v>
      </c>
      <c r="X125" s="157">
        <v>0</v>
      </c>
      <c r="Y125" s="125">
        <v>0</v>
      </c>
      <c r="Z125" s="125">
        <v>0</v>
      </c>
      <c r="AA125" s="125">
        <v>0</v>
      </c>
      <c r="AB125" s="125">
        <v>0</v>
      </c>
      <c r="AC125" s="125">
        <v>0</v>
      </c>
      <c r="AD125" s="125">
        <v>0</v>
      </c>
      <c r="AE125" s="157">
        <v>0</v>
      </c>
      <c r="AF125" s="157">
        <v>0</v>
      </c>
      <c r="AG125" s="125">
        <v>0</v>
      </c>
      <c r="AH125" s="125">
        <v>0</v>
      </c>
      <c r="AI125" s="157">
        <v>0</v>
      </c>
      <c r="AJ125" s="157">
        <v>0</v>
      </c>
      <c r="AK125" s="157">
        <v>0</v>
      </c>
      <c r="AL125" s="125">
        <v>-11075.27</v>
      </c>
    </row>
    <row r="126" spans="1:38" s="117" customFormat="1" ht="15" customHeight="1" x14ac:dyDescent="0.2">
      <c r="A126" s="123" t="s">
        <v>206</v>
      </c>
      <c r="B126" s="124" t="s">
        <v>207</v>
      </c>
      <c r="C126" s="157">
        <v>-673.68</v>
      </c>
      <c r="D126" s="125">
        <v>-701.77</v>
      </c>
      <c r="E126" s="157">
        <v>-623.82000000000005</v>
      </c>
      <c r="F126" s="125">
        <v>-685.09</v>
      </c>
      <c r="G126" s="157">
        <v>-215</v>
      </c>
      <c r="H126" s="157">
        <v>-455.1</v>
      </c>
      <c r="I126" s="157">
        <v>-854.76</v>
      </c>
      <c r="J126" s="125">
        <v>-777.97</v>
      </c>
      <c r="K126" s="125">
        <v>0</v>
      </c>
      <c r="L126" s="125">
        <v>-565.53</v>
      </c>
      <c r="M126" s="157">
        <v>-370.22</v>
      </c>
      <c r="N126" s="157">
        <v>0</v>
      </c>
      <c r="O126" s="157">
        <v>0</v>
      </c>
      <c r="P126" s="125">
        <v>-68.84</v>
      </c>
      <c r="Q126" s="157">
        <v>0</v>
      </c>
      <c r="R126" s="157">
        <v>-188.56</v>
      </c>
      <c r="S126" s="157">
        <v>-85.32</v>
      </c>
      <c r="T126" s="125">
        <v>0</v>
      </c>
      <c r="U126" s="125">
        <v>-308.64999999999998</v>
      </c>
      <c r="V126" s="125">
        <v>0</v>
      </c>
      <c r="W126" s="125">
        <v>-503.79</v>
      </c>
      <c r="X126" s="157">
        <v>-144.31</v>
      </c>
      <c r="Y126" s="125">
        <v>-182</v>
      </c>
      <c r="Z126" s="125">
        <v>-1131.05</v>
      </c>
      <c r="AA126" s="125">
        <v>0</v>
      </c>
      <c r="AB126" s="125">
        <v>-450.13</v>
      </c>
      <c r="AC126" s="125">
        <v>0</v>
      </c>
      <c r="AD126" s="125">
        <v>-1058.68</v>
      </c>
      <c r="AE126" s="157">
        <v>0</v>
      </c>
      <c r="AF126" s="157">
        <v>0</v>
      </c>
      <c r="AG126" s="125">
        <v>-601.77</v>
      </c>
      <c r="AH126" s="125">
        <v>0</v>
      </c>
      <c r="AI126" s="157">
        <v>-554.13</v>
      </c>
      <c r="AJ126" s="157">
        <v>-889.38</v>
      </c>
      <c r="AK126" s="157">
        <v>0</v>
      </c>
      <c r="AL126" s="125">
        <v>-12089.55</v>
      </c>
    </row>
    <row r="127" spans="1:38" s="117" customFormat="1" ht="15" customHeight="1" x14ac:dyDescent="0.2">
      <c r="A127" s="123" t="s">
        <v>208</v>
      </c>
      <c r="B127" s="124" t="s">
        <v>209</v>
      </c>
      <c r="C127" s="157">
        <v>-48937.69</v>
      </c>
      <c r="D127" s="125">
        <v>-43362.76</v>
      </c>
      <c r="E127" s="157">
        <v>-25265.85</v>
      </c>
      <c r="F127" s="125">
        <v>-46204.76</v>
      </c>
      <c r="G127" s="157">
        <v>-108548.28</v>
      </c>
      <c r="H127" s="157">
        <v>-51360.09</v>
      </c>
      <c r="I127" s="157">
        <v>-46202.15</v>
      </c>
      <c r="J127" s="125">
        <v>-35520.230000000003</v>
      </c>
      <c r="K127" s="125">
        <v>-56040.62</v>
      </c>
      <c r="L127" s="125">
        <v>-47647.62</v>
      </c>
      <c r="M127" s="157">
        <v>-46733.53</v>
      </c>
      <c r="N127" s="157">
        <v>-37455.4</v>
      </c>
      <c r="O127" s="157">
        <v>-31662.33</v>
      </c>
      <c r="P127" s="125">
        <v>-39507.5</v>
      </c>
      <c r="Q127" s="157">
        <v>-75969.460000000006</v>
      </c>
      <c r="R127" s="157">
        <v>-39759.89</v>
      </c>
      <c r="S127" s="157">
        <v>-31022.11</v>
      </c>
      <c r="T127" s="125">
        <v>-64348.67</v>
      </c>
      <c r="U127" s="125">
        <v>-63216.31</v>
      </c>
      <c r="V127" s="125">
        <v>-32364.28</v>
      </c>
      <c r="W127" s="125">
        <v>-44126.06</v>
      </c>
      <c r="X127" s="157">
        <v>-35664.26</v>
      </c>
      <c r="Y127" s="125">
        <v>-41204.97</v>
      </c>
      <c r="Z127" s="125">
        <v>-35276.68</v>
      </c>
      <c r="AA127" s="125">
        <v>-40041.75</v>
      </c>
      <c r="AB127" s="125">
        <v>-44095.34</v>
      </c>
      <c r="AC127" s="125">
        <v>-61506.27</v>
      </c>
      <c r="AD127" s="125">
        <v>-43261.82</v>
      </c>
      <c r="AE127" s="157">
        <v>-16416.64</v>
      </c>
      <c r="AF127" s="157">
        <v>-46623.3</v>
      </c>
      <c r="AG127" s="125">
        <v>-41963.39</v>
      </c>
      <c r="AH127" s="125">
        <v>-23188.87</v>
      </c>
      <c r="AI127" s="157">
        <v>-58074.32</v>
      </c>
      <c r="AJ127" s="157">
        <v>-34624.949999999997</v>
      </c>
      <c r="AK127" s="157">
        <v>-23414.18</v>
      </c>
      <c r="AL127" s="125">
        <v>-1560612.33</v>
      </c>
    </row>
    <row r="128" spans="1:38" s="117" customFormat="1" ht="15" customHeight="1" x14ac:dyDescent="0.2">
      <c r="A128" s="123" t="s">
        <v>210</v>
      </c>
      <c r="B128" s="124" t="s">
        <v>211</v>
      </c>
      <c r="C128" s="157">
        <v>-4116.8100000000004</v>
      </c>
      <c r="D128" s="125">
        <v>-5561.42</v>
      </c>
      <c r="E128" s="157">
        <v>-3871.6</v>
      </c>
      <c r="F128" s="125">
        <v>-4262.33</v>
      </c>
      <c r="G128" s="157">
        <v>-22329.7</v>
      </c>
      <c r="H128" s="157">
        <v>-3718.98</v>
      </c>
      <c r="I128" s="157">
        <v>-3013.63</v>
      </c>
      <c r="J128" s="125">
        <v>-3048.85</v>
      </c>
      <c r="K128" s="125">
        <v>-5753.06</v>
      </c>
      <c r="L128" s="125">
        <v>-3942.09</v>
      </c>
      <c r="M128" s="157">
        <v>-4547.55</v>
      </c>
      <c r="N128" s="157">
        <v>-3429.13</v>
      </c>
      <c r="O128" s="157">
        <v>-4163.6899999999996</v>
      </c>
      <c r="P128" s="125">
        <v>-3417.56</v>
      </c>
      <c r="Q128" s="157">
        <v>-5754.06</v>
      </c>
      <c r="R128" s="157">
        <v>-3987.56</v>
      </c>
      <c r="S128" s="157">
        <v>-2644.93</v>
      </c>
      <c r="T128" s="125">
        <v>-3741.74</v>
      </c>
      <c r="U128" s="125">
        <v>-5887.84</v>
      </c>
      <c r="V128" s="125">
        <v>-3469.56</v>
      </c>
      <c r="W128" s="125">
        <v>-4978.62</v>
      </c>
      <c r="X128" s="157">
        <v>-4268.03</v>
      </c>
      <c r="Y128" s="125">
        <v>-7172.49</v>
      </c>
      <c r="Z128" s="125">
        <v>-3877.95</v>
      </c>
      <c r="AA128" s="125">
        <v>-3753.86</v>
      </c>
      <c r="AB128" s="125">
        <v>-4477.97</v>
      </c>
      <c r="AC128" s="125">
        <v>-1973.44</v>
      </c>
      <c r="AD128" s="125">
        <v>-5487.27</v>
      </c>
      <c r="AE128" s="157">
        <v>-1754.96</v>
      </c>
      <c r="AF128" s="157">
        <v>-3343.83</v>
      </c>
      <c r="AG128" s="125">
        <v>-4159.59</v>
      </c>
      <c r="AH128" s="125">
        <v>-3185.37</v>
      </c>
      <c r="AI128" s="157">
        <v>-4032.25</v>
      </c>
      <c r="AJ128" s="157">
        <v>-3932.91</v>
      </c>
      <c r="AK128" s="157">
        <v>-4085.15</v>
      </c>
      <c r="AL128" s="125">
        <v>-161145.78</v>
      </c>
    </row>
    <row r="129" spans="1:38" s="117" customFormat="1" ht="15" customHeight="1" x14ac:dyDescent="0.2">
      <c r="A129" s="123" t="s">
        <v>655</v>
      </c>
      <c r="B129" s="124" t="s">
        <v>654</v>
      </c>
      <c r="C129" s="157">
        <v>0</v>
      </c>
      <c r="D129" s="125">
        <v>0</v>
      </c>
      <c r="E129" s="157">
        <v>0</v>
      </c>
      <c r="F129" s="125">
        <v>0</v>
      </c>
      <c r="G129" s="157">
        <v>0</v>
      </c>
      <c r="H129" s="157">
        <v>0</v>
      </c>
      <c r="I129" s="157">
        <v>0</v>
      </c>
      <c r="J129" s="125">
        <v>0</v>
      </c>
      <c r="K129" s="125">
        <v>0.27</v>
      </c>
      <c r="L129" s="125">
        <v>0</v>
      </c>
      <c r="M129" s="157">
        <v>0</v>
      </c>
      <c r="N129" s="157">
        <v>-3564.83</v>
      </c>
      <c r="O129" s="157">
        <v>0</v>
      </c>
      <c r="P129" s="125">
        <v>0</v>
      </c>
      <c r="Q129" s="157">
        <v>0</v>
      </c>
      <c r="R129" s="157">
        <v>0</v>
      </c>
      <c r="S129" s="157">
        <v>0</v>
      </c>
      <c r="T129" s="125">
        <v>-3133.47</v>
      </c>
      <c r="U129" s="125">
        <v>0</v>
      </c>
      <c r="V129" s="125">
        <v>0</v>
      </c>
      <c r="W129" s="125">
        <v>0</v>
      </c>
      <c r="X129" s="157">
        <v>0</v>
      </c>
      <c r="Y129" s="125">
        <v>0</v>
      </c>
      <c r="Z129" s="125">
        <v>-3108.55</v>
      </c>
      <c r="AA129" s="125">
        <v>0</v>
      </c>
      <c r="AB129" s="125">
        <v>0</v>
      </c>
      <c r="AC129" s="125">
        <v>0</v>
      </c>
      <c r="AD129" s="125">
        <v>0</v>
      </c>
      <c r="AE129" s="157">
        <v>0</v>
      </c>
      <c r="AF129" s="157">
        <v>0</v>
      </c>
      <c r="AG129" s="125">
        <v>0</v>
      </c>
      <c r="AH129" s="125">
        <v>0</v>
      </c>
      <c r="AI129" s="157">
        <v>0</v>
      </c>
      <c r="AJ129" s="157">
        <v>0</v>
      </c>
      <c r="AK129" s="157">
        <v>0</v>
      </c>
      <c r="AL129" s="125">
        <v>-9806.58</v>
      </c>
    </row>
    <row r="130" spans="1:38" s="117" customFormat="1" ht="15" customHeight="1" x14ac:dyDescent="0.2">
      <c r="A130" s="123" t="s">
        <v>212</v>
      </c>
      <c r="B130" s="124" t="s">
        <v>213</v>
      </c>
      <c r="C130" s="157">
        <v>-7702.67</v>
      </c>
      <c r="D130" s="125">
        <v>-0.13</v>
      </c>
      <c r="E130" s="157">
        <v>-7141.07</v>
      </c>
      <c r="F130" s="125">
        <v>0.01</v>
      </c>
      <c r="G130" s="157">
        <v>-857.24</v>
      </c>
      <c r="H130" s="157">
        <v>-29820.83</v>
      </c>
      <c r="I130" s="157">
        <v>0</v>
      </c>
      <c r="J130" s="125">
        <v>-7492</v>
      </c>
      <c r="K130" s="125">
        <v>0</v>
      </c>
      <c r="L130" s="125">
        <v>-711</v>
      </c>
      <c r="M130" s="157">
        <v>0</v>
      </c>
      <c r="N130" s="157">
        <v>-6175.44</v>
      </c>
      <c r="O130" s="157">
        <v>0.01</v>
      </c>
      <c r="P130" s="125">
        <v>0</v>
      </c>
      <c r="Q130" s="157">
        <v>-52800</v>
      </c>
      <c r="R130" s="157">
        <v>0</v>
      </c>
      <c r="S130" s="157">
        <v>0</v>
      </c>
      <c r="T130" s="125">
        <v>0</v>
      </c>
      <c r="U130" s="125">
        <v>0</v>
      </c>
      <c r="V130" s="125">
        <v>-4889</v>
      </c>
      <c r="W130" s="125">
        <v>-1532.68</v>
      </c>
      <c r="X130" s="157">
        <v>-2278.15</v>
      </c>
      <c r="Y130" s="125">
        <v>-23673.85</v>
      </c>
      <c r="Z130" s="125">
        <v>0</v>
      </c>
      <c r="AA130" s="125">
        <v>0.01</v>
      </c>
      <c r="AB130" s="125">
        <v>0</v>
      </c>
      <c r="AC130" s="125">
        <v>-1196.43</v>
      </c>
      <c r="AD130" s="125">
        <v>-48380.99</v>
      </c>
      <c r="AE130" s="157">
        <v>-2280.88</v>
      </c>
      <c r="AF130" s="157">
        <v>-2094.46</v>
      </c>
      <c r="AG130" s="125">
        <v>-1461.42</v>
      </c>
      <c r="AH130" s="125">
        <v>0</v>
      </c>
      <c r="AI130" s="157">
        <v>0.02</v>
      </c>
      <c r="AJ130" s="157">
        <v>0</v>
      </c>
      <c r="AK130" s="157">
        <v>-0.01</v>
      </c>
      <c r="AL130" s="125">
        <v>-200488.2</v>
      </c>
    </row>
    <row r="131" spans="1:38" s="117" customFormat="1" ht="15" customHeight="1" x14ac:dyDescent="0.2">
      <c r="A131" s="123" t="s">
        <v>214</v>
      </c>
      <c r="B131" s="124" t="s">
        <v>215</v>
      </c>
      <c r="C131" s="157">
        <v>-6256.83</v>
      </c>
      <c r="D131" s="125">
        <v>-8634.42</v>
      </c>
      <c r="E131" s="157">
        <v>-4625.21</v>
      </c>
      <c r="F131" s="125">
        <v>-4213.72</v>
      </c>
      <c r="G131" s="157">
        <v>-5211.71</v>
      </c>
      <c r="H131" s="157">
        <v>-4903.22</v>
      </c>
      <c r="I131" s="157">
        <v>-3055.4</v>
      </c>
      <c r="J131" s="125">
        <v>-4147.1499999999996</v>
      </c>
      <c r="K131" s="125">
        <v>-4778.13</v>
      </c>
      <c r="L131" s="125">
        <v>-2927.84</v>
      </c>
      <c r="M131" s="157">
        <v>-2700.52</v>
      </c>
      <c r="N131" s="157">
        <v>-6377.86</v>
      </c>
      <c r="O131" s="157">
        <v>-3265</v>
      </c>
      <c r="P131" s="125">
        <v>-1876.33</v>
      </c>
      <c r="Q131" s="157">
        <v>-27529.23</v>
      </c>
      <c r="R131" s="157">
        <v>-4671.72</v>
      </c>
      <c r="S131" s="157">
        <v>-1895.53</v>
      </c>
      <c r="T131" s="125">
        <v>-3787.17</v>
      </c>
      <c r="U131" s="125">
        <v>-757.77</v>
      </c>
      <c r="V131" s="125">
        <v>-6871.6</v>
      </c>
      <c r="W131" s="125">
        <v>-5809.22</v>
      </c>
      <c r="X131" s="157">
        <v>-6699.44</v>
      </c>
      <c r="Y131" s="125">
        <v>-9837.5</v>
      </c>
      <c r="Z131" s="125">
        <v>-4219.07</v>
      </c>
      <c r="AA131" s="125">
        <v>-2877.99</v>
      </c>
      <c r="AB131" s="125">
        <v>-3684.32</v>
      </c>
      <c r="AC131" s="125">
        <v>-9134.68</v>
      </c>
      <c r="AD131" s="125">
        <v>-3629.63</v>
      </c>
      <c r="AE131" s="157">
        <v>-4906.51</v>
      </c>
      <c r="AF131" s="157">
        <v>-4841.1400000000003</v>
      </c>
      <c r="AG131" s="125">
        <v>-9043.09</v>
      </c>
      <c r="AH131" s="125">
        <v>-8821.9599999999991</v>
      </c>
      <c r="AI131" s="157">
        <v>-3732.29</v>
      </c>
      <c r="AJ131" s="157">
        <v>-3898.52</v>
      </c>
      <c r="AK131" s="157">
        <v>-2011.61</v>
      </c>
      <c r="AL131" s="125">
        <v>-191633.33</v>
      </c>
    </row>
    <row r="132" spans="1:38" s="117" customFormat="1" ht="15" customHeight="1" x14ac:dyDescent="0.2">
      <c r="A132" s="123" t="s">
        <v>216</v>
      </c>
      <c r="B132" s="124" t="s">
        <v>217</v>
      </c>
      <c r="C132" s="157">
        <v>-9659.52</v>
      </c>
      <c r="D132" s="125">
        <v>-18995.36</v>
      </c>
      <c r="E132" s="157">
        <v>-10060.040000000001</v>
      </c>
      <c r="F132" s="125">
        <v>-14182.45</v>
      </c>
      <c r="G132" s="157">
        <v>-24696.21</v>
      </c>
      <c r="H132" s="157">
        <v>-26247</v>
      </c>
      <c r="I132" s="157">
        <v>-23733.87</v>
      </c>
      <c r="J132" s="125">
        <v>-13445.12</v>
      </c>
      <c r="K132" s="125">
        <v>-11242.22</v>
      </c>
      <c r="L132" s="125">
        <v>-18156.95</v>
      </c>
      <c r="M132" s="157">
        <v>-12205.91</v>
      </c>
      <c r="N132" s="157">
        <v>-20719.64</v>
      </c>
      <c r="O132" s="157">
        <v>-14194.04</v>
      </c>
      <c r="P132" s="125">
        <v>-17360.099999999999</v>
      </c>
      <c r="Q132" s="157">
        <v>-37420.69</v>
      </c>
      <c r="R132" s="157">
        <v>-21921.7</v>
      </c>
      <c r="S132" s="157">
        <v>-9876.9</v>
      </c>
      <c r="T132" s="125">
        <v>-15715.91</v>
      </c>
      <c r="U132" s="125">
        <v>-25984.1</v>
      </c>
      <c r="V132" s="125">
        <v>-24293.4</v>
      </c>
      <c r="W132" s="125">
        <v>-15906.37</v>
      </c>
      <c r="X132" s="157">
        <v>-21061.11</v>
      </c>
      <c r="Y132" s="125">
        <v>-72250.98</v>
      </c>
      <c r="Z132" s="125">
        <v>-14548.19</v>
      </c>
      <c r="AA132" s="125">
        <v>-13739.9</v>
      </c>
      <c r="AB132" s="125">
        <v>-14812.58</v>
      </c>
      <c r="AC132" s="125">
        <v>-22023.05</v>
      </c>
      <c r="AD132" s="125">
        <v>-17687.86</v>
      </c>
      <c r="AE132" s="157">
        <v>-14537.54</v>
      </c>
      <c r="AF132" s="157">
        <v>-9740.2800000000007</v>
      </c>
      <c r="AG132" s="125">
        <v>-25684.74</v>
      </c>
      <c r="AH132" s="125">
        <v>-17084.71</v>
      </c>
      <c r="AI132" s="157">
        <v>-17396.95</v>
      </c>
      <c r="AJ132" s="157">
        <v>-15854.18</v>
      </c>
      <c r="AK132" s="157">
        <v>-15239.86</v>
      </c>
      <c r="AL132" s="125">
        <v>-677679.43</v>
      </c>
    </row>
    <row r="133" spans="1:38" s="117" customFormat="1" ht="15" customHeight="1" x14ac:dyDescent="0.2">
      <c r="A133" s="123" t="s">
        <v>218</v>
      </c>
      <c r="B133" s="124" t="s">
        <v>219</v>
      </c>
      <c r="C133" s="157">
        <v>0</v>
      </c>
      <c r="D133" s="125">
        <v>0</v>
      </c>
      <c r="E133" s="157">
        <v>0</v>
      </c>
      <c r="F133" s="125">
        <v>0</v>
      </c>
      <c r="G133" s="157">
        <v>0</v>
      </c>
      <c r="H133" s="157">
        <v>0</v>
      </c>
      <c r="I133" s="157">
        <v>0</v>
      </c>
      <c r="J133" s="125">
        <v>-17168.259999999998</v>
      </c>
      <c r="K133" s="125">
        <v>0</v>
      </c>
      <c r="L133" s="125">
        <v>-59317.55</v>
      </c>
      <c r="M133" s="157">
        <v>0</v>
      </c>
      <c r="N133" s="157">
        <v>-76245.710000000006</v>
      </c>
      <c r="O133" s="157">
        <v>0</v>
      </c>
      <c r="P133" s="125">
        <v>0</v>
      </c>
      <c r="Q133" s="157">
        <v>0</v>
      </c>
      <c r="R133" s="157">
        <v>0</v>
      </c>
      <c r="S133" s="157">
        <v>0</v>
      </c>
      <c r="T133" s="125">
        <v>-42770.53</v>
      </c>
      <c r="U133" s="125">
        <v>-92755.71</v>
      </c>
      <c r="V133" s="125">
        <v>0</v>
      </c>
      <c r="W133" s="125">
        <v>0</v>
      </c>
      <c r="X133" s="157">
        <v>0</v>
      </c>
      <c r="Y133" s="125">
        <v>0</v>
      </c>
      <c r="Z133" s="125">
        <v>-36378.78</v>
      </c>
      <c r="AA133" s="125">
        <v>-50916.87</v>
      </c>
      <c r="AB133" s="125">
        <v>0</v>
      </c>
      <c r="AC133" s="125">
        <v>-13021.04</v>
      </c>
      <c r="AD133" s="125">
        <v>0</v>
      </c>
      <c r="AE133" s="157">
        <v>-9393.75</v>
      </c>
      <c r="AF133" s="157">
        <v>-42184.09</v>
      </c>
      <c r="AG133" s="125">
        <v>-91323.83</v>
      </c>
      <c r="AH133" s="125">
        <v>0</v>
      </c>
      <c r="AI133" s="157">
        <v>-61815.82</v>
      </c>
      <c r="AJ133" s="157">
        <v>-64329.26</v>
      </c>
      <c r="AK133" s="157">
        <v>-68403.100000000006</v>
      </c>
      <c r="AL133" s="125">
        <v>-726024.3</v>
      </c>
    </row>
    <row r="134" spans="1:38" s="117" customFormat="1" ht="15" customHeight="1" x14ac:dyDescent="0.2">
      <c r="A134" s="123" t="s">
        <v>1433</v>
      </c>
      <c r="B134" s="124" t="s">
        <v>1434</v>
      </c>
      <c r="C134" s="157">
        <v>0</v>
      </c>
      <c r="D134" s="125">
        <v>0</v>
      </c>
      <c r="E134" s="157">
        <v>0</v>
      </c>
      <c r="F134" s="125">
        <v>0</v>
      </c>
      <c r="G134" s="157">
        <v>0</v>
      </c>
      <c r="H134" s="157">
        <v>0</v>
      </c>
      <c r="I134" s="157">
        <v>0</v>
      </c>
      <c r="J134" s="125">
        <v>0</v>
      </c>
      <c r="K134" s="125">
        <v>0</v>
      </c>
      <c r="L134" s="125">
        <v>0</v>
      </c>
      <c r="M134" s="157">
        <v>0</v>
      </c>
      <c r="N134" s="157">
        <v>0</v>
      </c>
      <c r="O134" s="157">
        <v>0</v>
      </c>
      <c r="P134" s="125">
        <v>0</v>
      </c>
      <c r="Q134" s="157">
        <v>0</v>
      </c>
      <c r="R134" s="157">
        <v>0</v>
      </c>
      <c r="S134" s="157">
        <v>0</v>
      </c>
      <c r="T134" s="125">
        <v>0</v>
      </c>
      <c r="U134" s="125">
        <v>0</v>
      </c>
      <c r="V134" s="125">
        <v>0</v>
      </c>
      <c r="W134" s="125">
        <v>-48715.88</v>
      </c>
      <c r="X134" s="157">
        <v>0</v>
      </c>
      <c r="Y134" s="125">
        <v>0</v>
      </c>
      <c r="Z134" s="125">
        <v>0</v>
      </c>
      <c r="AA134" s="125">
        <v>0</v>
      </c>
      <c r="AB134" s="125">
        <v>-77225</v>
      </c>
      <c r="AC134" s="125">
        <v>0</v>
      </c>
      <c r="AD134" s="125">
        <v>-87388.56</v>
      </c>
      <c r="AE134" s="157">
        <v>0</v>
      </c>
      <c r="AF134" s="157">
        <v>0</v>
      </c>
      <c r="AG134" s="125">
        <v>0</v>
      </c>
      <c r="AH134" s="125">
        <v>0</v>
      </c>
      <c r="AI134" s="157">
        <v>0</v>
      </c>
      <c r="AJ134" s="157">
        <v>0</v>
      </c>
      <c r="AK134" s="157">
        <v>0</v>
      </c>
      <c r="AL134" s="125">
        <v>-213329.44</v>
      </c>
    </row>
    <row r="135" spans="1:38" s="117" customFormat="1" ht="15" customHeight="1" x14ac:dyDescent="0.2">
      <c r="A135" s="123" t="s">
        <v>220</v>
      </c>
      <c r="B135" s="124" t="s">
        <v>221</v>
      </c>
      <c r="C135" s="157">
        <v>-126.25</v>
      </c>
      <c r="D135" s="125">
        <v>0</v>
      </c>
      <c r="E135" s="157">
        <v>-125</v>
      </c>
      <c r="F135" s="125">
        <v>-126.25</v>
      </c>
      <c r="G135" s="157">
        <v>-212.5</v>
      </c>
      <c r="H135" s="157">
        <v>-123.75</v>
      </c>
      <c r="I135" s="157">
        <v>0</v>
      </c>
      <c r="J135" s="125">
        <v>-100</v>
      </c>
      <c r="K135" s="125">
        <v>-125</v>
      </c>
      <c r="L135" s="125">
        <v>-130</v>
      </c>
      <c r="M135" s="157">
        <v>-100</v>
      </c>
      <c r="N135" s="157">
        <v>-125</v>
      </c>
      <c r="O135" s="157">
        <v>-125</v>
      </c>
      <c r="P135" s="125">
        <v>-100</v>
      </c>
      <c r="Q135" s="157">
        <v>-165</v>
      </c>
      <c r="R135" s="157">
        <v>-126.25</v>
      </c>
      <c r="S135" s="157">
        <v>-80</v>
      </c>
      <c r="T135" s="125">
        <v>-127.5</v>
      </c>
      <c r="U135" s="125">
        <v>-191.25</v>
      </c>
      <c r="V135" s="125">
        <v>-113.75</v>
      </c>
      <c r="W135" s="125">
        <v>-64.38</v>
      </c>
      <c r="X135" s="157">
        <v>-126.25</v>
      </c>
      <c r="Y135" s="125">
        <v>-135</v>
      </c>
      <c r="Z135" s="125">
        <v>-93.75</v>
      </c>
      <c r="AA135" s="125">
        <v>-125</v>
      </c>
      <c r="AB135" s="125">
        <v>-112.5</v>
      </c>
      <c r="AC135" s="125">
        <v>-120</v>
      </c>
      <c r="AD135" s="125">
        <v>-150</v>
      </c>
      <c r="AE135" s="157">
        <v>-92.5</v>
      </c>
      <c r="AF135" s="157">
        <v>-97.5</v>
      </c>
      <c r="AG135" s="125">
        <v>-140</v>
      </c>
      <c r="AH135" s="125">
        <v>-2892092</v>
      </c>
      <c r="AI135" s="157">
        <v>-128.75</v>
      </c>
      <c r="AJ135" s="157">
        <v>-136.25</v>
      </c>
      <c r="AK135" s="157">
        <v>-112.5</v>
      </c>
      <c r="AL135" s="125">
        <v>-2896048.88</v>
      </c>
    </row>
    <row r="136" spans="1:38" s="117" customFormat="1" ht="15" customHeight="1" x14ac:dyDescent="0.2">
      <c r="A136" s="123" t="s">
        <v>522</v>
      </c>
      <c r="B136" s="124" t="s">
        <v>523</v>
      </c>
      <c r="C136" s="157">
        <v>-231555.28</v>
      </c>
      <c r="D136" s="125">
        <v>0</v>
      </c>
      <c r="E136" s="157">
        <v>-237660.02</v>
      </c>
      <c r="F136" s="125">
        <v>0</v>
      </c>
      <c r="G136" s="157">
        <v>0</v>
      </c>
      <c r="H136" s="157">
        <v>0</v>
      </c>
      <c r="I136" s="157">
        <v>0</v>
      </c>
      <c r="J136" s="125">
        <v>-72618.09</v>
      </c>
      <c r="K136" s="125">
        <v>0</v>
      </c>
      <c r="L136" s="125">
        <v>-272534.03000000003</v>
      </c>
      <c r="M136" s="157">
        <v>0</v>
      </c>
      <c r="N136" s="157">
        <v>-34836.769999999997</v>
      </c>
      <c r="O136" s="157">
        <v>-164941.56</v>
      </c>
      <c r="P136" s="125">
        <v>0</v>
      </c>
      <c r="Q136" s="157">
        <v>-55629.41</v>
      </c>
      <c r="R136" s="157">
        <v>-172762.69</v>
      </c>
      <c r="S136" s="157">
        <v>0</v>
      </c>
      <c r="T136" s="125">
        <v>0</v>
      </c>
      <c r="U136" s="125">
        <v>0</v>
      </c>
      <c r="V136" s="125">
        <v>-292393.96999999997</v>
      </c>
      <c r="W136" s="125">
        <v>0</v>
      </c>
      <c r="X136" s="157">
        <v>0</v>
      </c>
      <c r="Y136" s="125">
        <v>-386333.02</v>
      </c>
      <c r="Z136" s="125">
        <v>0</v>
      </c>
      <c r="AA136" s="125">
        <v>0</v>
      </c>
      <c r="AB136" s="125">
        <v>0</v>
      </c>
      <c r="AC136" s="125">
        <v>0</v>
      </c>
      <c r="AD136" s="125">
        <v>0</v>
      </c>
      <c r="AE136" s="157">
        <v>0</v>
      </c>
      <c r="AF136" s="157">
        <v>0</v>
      </c>
      <c r="AG136" s="125">
        <v>0</v>
      </c>
      <c r="AH136" s="125">
        <v>0</v>
      </c>
      <c r="AI136" s="157">
        <v>0</v>
      </c>
      <c r="AJ136" s="157">
        <v>0</v>
      </c>
      <c r="AK136" s="157">
        <v>0</v>
      </c>
      <c r="AL136" s="125">
        <v>-1921264.84</v>
      </c>
    </row>
    <row r="137" spans="1:38" s="117" customFormat="1" ht="15" customHeight="1" x14ac:dyDescent="0.2">
      <c r="A137" s="123" t="s">
        <v>524</v>
      </c>
      <c r="B137" s="124" t="s">
        <v>525</v>
      </c>
      <c r="C137" s="157">
        <v>203825</v>
      </c>
      <c r="D137" s="125">
        <v>0</v>
      </c>
      <c r="E137" s="157">
        <v>209095</v>
      </c>
      <c r="F137" s="125">
        <v>0</v>
      </c>
      <c r="G137" s="157">
        <v>0</v>
      </c>
      <c r="H137" s="157">
        <v>0</v>
      </c>
      <c r="I137" s="157">
        <v>0</v>
      </c>
      <c r="J137" s="125">
        <v>53595</v>
      </c>
      <c r="K137" s="125">
        <v>0</v>
      </c>
      <c r="L137" s="125">
        <v>212640</v>
      </c>
      <c r="M137" s="157">
        <v>0</v>
      </c>
      <c r="N137" s="157">
        <v>0</v>
      </c>
      <c r="O137" s="157">
        <v>145278</v>
      </c>
      <c r="P137" s="125">
        <v>0</v>
      </c>
      <c r="Q137" s="157">
        <v>23794</v>
      </c>
      <c r="R137" s="157">
        <v>153099</v>
      </c>
      <c r="S137" s="157">
        <v>0</v>
      </c>
      <c r="T137" s="125">
        <v>0</v>
      </c>
      <c r="U137" s="125">
        <v>0</v>
      </c>
      <c r="V137" s="125">
        <v>256966</v>
      </c>
      <c r="W137" s="125">
        <v>0</v>
      </c>
      <c r="X137" s="157">
        <v>0</v>
      </c>
      <c r="Y137" s="125">
        <v>344367</v>
      </c>
      <c r="Z137" s="125">
        <v>0</v>
      </c>
      <c r="AA137" s="125">
        <v>0</v>
      </c>
      <c r="AB137" s="125">
        <v>0</v>
      </c>
      <c r="AC137" s="125">
        <v>0</v>
      </c>
      <c r="AD137" s="125">
        <v>0</v>
      </c>
      <c r="AE137" s="157">
        <v>0</v>
      </c>
      <c r="AF137" s="157">
        <v>0</v>
      </c>
      <c r="AG137" s="125">
        <v>0</v>
      </c>
      <c r="AH137" s="125">
        <v>0</v>
      </c>
      <c r="AI137" s="157">
        <v>0</v>
      </c>
      <c r="AJ137" s="157">
        <v>0</v>
      </c>
      <c r="AK137" s="157">
        <v>0</v>
      </c>
      <c r="AL137" s="125">
        <v>1602659</v>
      </c>
    </row>
    <row r="138" spans="1:38" s="117" customFormat="1" ht="15" customHeight="1" x14ac:dyDescent="0.2">
      <c r="A138" s="123" t="s">
        <v>222</v>
      </c>
      <c r="B138" s="124" t="s">
        <v>223</v>
      </c>
      <c r="C138" s="157">
        <v>0</v>
      </c>
      <c r="D138" s="125">
        <v>0</v>
      </c>
      <c r="E138" s="157">
        <v>0</v>
      </c>
      <c r="F138" s="125">
        <v>0</v>
      </c>
      <c r="G138" s="157">
        <v>0</v>
      </c>
      <c r="H138" s="157">
        <v>0</v>
      </c>
      <c r="I138" s="157">
        <v>0</v>
      </c>
      <c r="J138" s="125">
        <v>0</v>
      </c>
      <c r="K138" s="125">
        <v>0</v>
      </c>
      <c r="L138" s="125">
        <v>-16656.84</v>
      </c>
      <c r="M138" s="157">
        <v>0</v>
      </c>
      <c r="N138" s="157">
        <v>0</v>
      </c>
      <c r="O138" s="157">
        <v>0</v>
      </c>
      <c r="P138" s="125">
        <v>0</v>
      </c>
      <c r="Q138" s="157">
        <v>0</v>
      </c>
      <c r="R138" s="157">
        <v>0</v>
      </c>
      <c r="S138" s="157">
        <v>0</v>
      </c>
      <c r="T138" s="125">
        <v>0</v>
      </c>
      <c r="U138" s="125">
        <v>-10760.87</v>
      </c>
      <c r="V138" s="125">
        <v>0</v>
      </c>
      <c r="W138" s="125">
        <v>0</v>
      </c>
      <c r="X138" s="157">
        <v>0</v>
      </c>
      <c r="Y138" s="125">
        <v>0</v>
      </c>
      <c r="Z138" s="125">
        <v>0</v>
      </c>
      <c r="AA138" s="125">
        <v>-32333.4</v>
      </c>
      <c r="AB138" s="125">
        <v>-27553.49</v>
      </c>
      <c r="AC138" s="125">
        <v>-25974.97</v>
      </c>
      <c r="AD138" s="125">
        <v>-28256.86</v>
      </c>
      <c r="AE138" s="157">
        <v>-27622.46</v>
      </c>
      <c r="AF138" s="157">
        <v>-30017.47</v>
      </c>
      <c r="AG138" s="125">
        <v>0</v>
      </c>
      <c r="AH138" s="125">
        <v>0</v>
      </c>
      <c r="AI138" s="157">
        <v>0</v>
      </c>
      <c r="AJ138" s="157">
        <v>0</v>
      </c>
      <c r="AK138" s="157">
        <v>0</v>
      </c>
      <c r="AL138" s="125">
        <v>-199176.36</v>
      </c>
    </row>
    <row r="139" spans="1:38" s="117" customFormat="1" ht="15" customHeight="1" x14ac:dyDescent="0.2">
      <c r="A139" s="123" t="s">
        <v>224</v>
      </c>
      <c r="B139" s="124" t="s">
        <v>225</v>
      </c>
      <c r="C139" s="157">
        <v>0</v>
      </c>
      <c r="D139" s="125">
        <v>0</v>
      </c>
      <c r="E139" s="157">
        <v>0</v>
      </c>
      <c r="F139" s="125">
        <v>0</v>
      </c>
      <c r="G139" s="157">
        <v>0</v>
      </c>
      <c r="H139" s="157">
        <v>0</v>
      </c>
      <c r="I139" s="157">
        <v>0</v>
      </c>
      <c r="J139" s="125">
        <v>0</v>
      </c>
      <c r="K139" s="125">
        <v>0</v>
      </c>
      <c r="L139" s="125">
        <v>13671</v>
      </c>
      <c r="M139" s="157">
        <v>0</v>
      </c>
      <c r="N139" s="157">
        <v>0</v>
      </c>
      <c r="O139" s="157">
        <v>0</v>
      </c>
      <c r="P139" s="125">
        <v>0</v>
      </c>
      <c r="Q139" s="157">
        <v>0</v>
      </c>
      <c r="R139" s="157">
        <v>0</v>
      </c>
      <c r="S139" s="157">
        <v>0</v>
      </c>
      <c r="T139" s="125">
        <v>0</v>
      </c>
      <c r="U139" s="125">
        <v>8002</v>
      </c>
      <c r="V139" s="125">
        <v>0</v>
      </c>
      <c r="W139" s="125">
        <v>0</v>
      </c>
      <c r="X139" s="157">
        <v>0</v>
      </c>
      <c r="Y139" s="125">
        <v>0</v>
      </c>
      <c r="Z139" s="125">
        <v>0</v>
      </c>
      <c r="AA139" s="125">
        <v>28302</v>
      </c>
      <c r="AB139" s="125">
        <v>24420</v>
      </c>
      <c r="AC139" s="125">
        <v>22914.560000000001</v>
      </c>
      <c r="AD139" s="125">
        <v>25201</v>
      </c>
      <c r="AE139" s="157">
        <v>24581</v>
      </c>
      <c r="AF139" s="157">
        <v>26459</v>
      </c>
      <c r="AG139" s="125">
        <v>0</v>
      </c>
      <c r="AH139" s="125">
        <v>0</v>
      </c>
      <c r="AI139" s="157">
        <v>0</v>
      </c>
      <c r="AJ139" s="157">
        <v>0</v>
      </c>
      <c r="AK139" s="157">
        <v>0</v>
      </c>
      <c r="AL139" s="125">
        <v>173550.56</v>
      </c>
    </row>
    <row r="140" spans="1:38" s="117" customFormat="1" ht="15" customHeight="1" x14ac:dyDescent="0.2">
      <c r="A140" s="123" t="s">
        <v>613</v>
      </c>
      <c r="B140" s="124" t="s">
        <v>612</v>
      </c>
      <c r="C140" s="157">
        <v>0</v>
      </c>
      <c r="D140" s="125">
        <v>0</v>
      </c>
      <c r="E140" s="157">
        <v>0</v>
      </c>
      <c r="F140" s="125">
        <v>0</v>
      </c>
      <c r="G140" s="157">
        <v>0</v>
      </c>
      <c r="H140" s="157">
        <v>0</v>
      </c>
      <c r="I140" s="157">
        <v>0</v>
      </c>
      <c r="J140" s="125">
        <v>-2826.76</v>
      </c>
      <c r="K140" s="125">
        <v>0</v>
      </c>
      <c r="L140" s="125">
        <v>0</v>
      </c>
      <c r="M140" s="157">
        <v>0</v>
      </c>
      <c r="N140" s="157">
        <v>0</v>
      </c>
      <c r="O140" s="157">
        <v>0</v>
      </c>
      <c r="P140" s="125">
        <v>0</v>
      </c>
      <c r="Q140" s="157">
        <v>0</v>
      </c>
      <c r="R140" s="157">
        <v>0</v>
      </c>
      <c r="S140" s="157">
        <v>0</v>
      </c>
      <c r="T140" s="125">
        <v>0</v>
      </c>
      <c r="U140" s="125">
        <v>-544271.51</v>
      </c>
      <c r="V140" s="125">
        <v>0</v>
      </c>
      <c r="W140" s="125">
        <v>-161636.13</v>
      </c>
      <c r="X140" s="157">
        <v>0</v>
      </c>
      <c r="Y140" s="125">
        <v>0</v>
      </c>
      <c r="Z140" s="125">
        <v>0</v>
      </c>
      <c r="AA140" s="125">
        <v>0</v>
      </c>
      <c r="AB140" s="125">
        <v>0</v>
      </c>
      <c r="AC140" s="125">
        <v>0</v>
      </c>
      <c r="AD140" s="125">
        <v>0</v>
      </c>
      <c r="AE140" s="157">
        <v>0</v>
      </c>
      <c r="AF140" s="157">
        <v>0</v>
      </c>
      <c r="AG140" s="125">
        <v>0</v>
      </c>
      <c r="AH140" s="125">
        <v>0</v>
      </c>
      <c r="AI140" s="157">
        <v>-282002.61</v>
      </c>
      <c r="AJ140" s="157">
        <v>-133177.20000000001</v>
      </c>
      <c r="AK140" s="157">
        <v>-148364.54999999999</v>
      </c>
      <c r="AL140" s="125">
        <v>-1272278.76</v>
      </c>
    </row>
    <row r="141" spans="1:38" s="117" customFormat="1" ht="15" customHeight="1" x14ac:dyDescent="0.2">
      <c r="A141" s="123" t="s">
        <v>611</v>
      </c>
      <c r="B141" s="124" t="s">
        <v>610</v>
      </c>
      <c r="C141" s="157">
        <v>0</v>
      </c>
      <c r="D141" s="125">
        <v>0</v>
      </c>
      <c r="E141" s="157">
        <v>0</v>
      </c>
      <c r="F141" s="125">
        <v>0</v>
      </c>
      <c r="G141" s="157">
        <v>0</v>
      </c>
      <c r="H141" s="157">
        <v>0</v>
      </c>
      <c r="I141" s="157">
        <v>0</v>
      </c>
      <c r="J141" s="125">
        <v>0</v>
      </c>
      <c r="K141" s="125">
        <v>0</v>
      </c>
      <c r="L141" s="125">
        <v>0</v>
      </c>
      <c r="M141" s="157">
        <v>0</v>
      </c>
      <c r="N141" s="157">
        <v>0</v>
      </c>
      <c r="O141" s="157">
        <v>0</v>
      </c>
      <c r="P141" s="125">
        <v>0</v>
      </c>
      <c r="Q141" s="157">
        <v>0</v>
      </c>
      <c r="R141" s="157">
        <v>0</v>
      </c>
      <c r="S141" s="157">
        <v>0</v>
      </c>
      <c r="T141" s="125">
        <v>0</v>
      </c>
      <c r="U141" s="125">
        <v>413158</v>
      </c>
      <c r="V141" s="125">
        <v>0</v>
      </c>
      <c r="W141" s="125">
        <v>105109</v>
      </c>
      <c r="X141" s="157">
        <v>0</v>
      </c>
      <c r="Y141" s="125">
        <v>0</v>
      </c>
      <c r="Z141" s="125">
        <v>0</v>
      </c>
      <c r="AA141" s="125">
        <v>0</v>
      </c>
      <c r="AB141" s="125">
        <v>0</v>
      </c>
      <c r="AC141" s="125">
        <v>0</v>
      </c>
      <c r="AD141" s="125">
        <v>0</v>
      </c>
      <c r="AE141" s="157">
        <v>0</v>
      </c>
      <c r="AF141" s="157">
        <v>0</v>
      </c>
      <c r="AG141" s="125">
        <v>0</v>
      </c>
      <c r="AH141" s="125">
        <v>0</v>
      </c>
      <c r="AI141" s="157">
        <v>185392</v>
      </c>
      <c r="AJ141" s="157">
        <v>99326.88</v>
      </c>
      <c r="AK141" s="157">
        <v>98525</v>
      </c>
      <c r="AL141" s="125">
        <v>901510.88</v>
      </c>
    </row>
    <row r="142" spans="1:38" s="117" customFormat="1" ht="15" customHeight="1" x14ac:dyDescent="0.2">
      <c r="A142" s="123" t="s">
        <v>474</v>
      </c>
      <c r="B142" s="124" t="s">
        <v>475</v>
      </c>
      <c r="C142" s="157">
        <v>0</v>
      </c>
      <c r="D142" s="125">
        <v>0</v>
      </c>
      <c r="E142" s="157">
        <v>0</v>
      </c>
      <c r="F142" s="125">
        <v>0</v>
      </c>
      <c r="G142" s="157">
        <v>0</v>
      </c>
      <c r="H142" s="157">
        <v>0</v>
      </c>
      <c r="I142" s="157">
        <v>0</v>
      </c>
      <c r="J142" s="125">
        <v>-11753.74</v>
      </c>
      <c r="K142" s="125">
        <v>0</v>
      </c>
      <c r="L142" s="125">
        <v>0</v>
      </c>
      <c r="M142" s="157">
        <v>0</v>
      </c>
      <c r="N142" s="157">
        <v>-422642.41</v>
      </c>
      <c r="O142" s="157">
        <v>0</v>
      </c>
      <c r="P142" s="125">
        <v>0</v>
      </c>
      <c r="Q142" s="157">
        <v>0</v>
      </c>
      <c r="R142" s="157">
        <v>0</v>
      </c>
      <c r="S142" s="157">
        <v>0</v>
      </c>
      <c r="T142" s="125">
        <v>0</v>
      </c>
      <c r="U142" s="125">
        <v>0</v>
      </c>
      <c r="V142" s="125">
        <v>0</v>
      </c>
      <c r="W142" s="125">
        <v>0</v>
      </c>
      <c r="X142" s="157">
        <v>0</v>
      </c>
      <c r="Y142" s="125">
        <v>0</v>
      </c>
      <c r="Z142" s="125">
        <v>0</v>
      </c>
      <c r="AA142" s="125">
        <v>0</v>
      </c>
      <c r="AB142" s="125">
        <v>0</v>
      </c>
      <c r="AC142" s="125">
        <v>0</v>
      </c>
      <c r="AD142" s="125">
        <v>0</v>
      </c>
      <c r="AE142" s="157">
        <v>0</v>
      </c>
      <c r="AF142" s="157">
        <v>0</v>
      </c>
      <c r="AG142" s="125">
        <v>0</v>
      </c>
      <c r="AH142" s="125">
        <v>0</v>
      </c>
      <c r="AI142" s="157">
        <v>-14999.96</v>
      </c>
      <c r="AJ142" s="157">
        <v>-12499.99</v>
      </c>
      <c r="AK142" s="157">
        <v>-12499.99</v>
      </c>
      <c r="AL142" s="125">
        <v>-474396.09</v>
      </c>
    </row>
    <row r="143" spans="1:38" s="117" customFormat="1" ht="15" customHeight="1" x14ac:dyDescent="0.2">
      <c r="A143" s="123" t="s">
        <v>476</v>
      </c>
      <c r="B143" s="124" t="s">
        <v>477</v>
      </c>
      <c r="C143" s="157">
        <v>0</v>
      </c>
      <c r="D143" s="125">
        <v>0</v>
      </c>
      <c r="E143" s="157">
        <v>0</v>
      </c>
      <c r="F143" s="125">
        <v>0</v>
      </c>
      <c r="G143" s="157">
        <v>0</v>
      </c>
      <c r="H143" s="157">
        <v>0</v>
      </c>
      <c r="I143" s="157">
        <v>0</v>
      </c>
      <c r="J143" s="125">
        <v>4911</v>
      </c>
      <c r="K143" s="125">
        <v>0</v>
      </c>
      <c r="L143" s="125">
        <v>0</v>
      </c>
      <c r="M143" s="157">
        <v>0</v>
      </c>
      <c r="N143" s="157">
        <v>0</v>
      </c>
      <c r="O143" s="157">
        <v>0</v>
      </c>
      <c r="P143" s="125">
        <v>0</v>
      </c>
      <c r="Q143" s="157">
        <v>0</v>
      </c>
      <c r="R143" s="157">
        <v>0</v>
      </c>
      <c r="S143" s="157">
        <v>0</v>
      </c>
      <c r="T143" s="125">
        <v>0</v>
      </c>
      <c r="U143" s="125">
        <v>0</v>
      </c>
      <c r="V143" s="125">
        <v>0</v>
      </c>
      <c r="W143" s="125">
        <v>0</v>
      </c>
      <c r="X143" s="157">
        <v>0</v>
      </c>
      <c r="Y143" s="125">
        <v>0</v>
      </c>
      <c r="Z143" s="125">
        <v>0</v>
      </c>
      <c r="AA143" s="125">
        <v>0</v>
      </c>
      <c r="AB143" s="125">
        <v>0</v>
      </c>
      <c r="AC143" s="125">
        <v>0</v>
      </c>
      <c r="AD143" s="125">
        <v>0</v>
      </c>
      <c r="AE143" s="157">
        <v>0</v>
      </c>
      <c r="AF143" s="157">
        <v>0</v>
      </c>
      <c r="AG143" s="125">
        <v>0</v>
      </c>
      <c r="AH143" s="125">
        <v>0</v>
      </c>
      <c r="AI143" s="157">
        <v>12500</v>
      </c>
      <c r="AJ143" s="157">
        <v>10000</v>
      </c>
      <c r="AK143" s="157">
        <v>10000</v>
      </c>
      <c r="AL143" s="125">
        <v>37411</v>
      </c>
    </row>
    <row r="144" spans="1:38" s="117" customFormat="1" ht="15" customHeight="1" x14ac:dyDescent="0.2">
      <c r="A144" s="123" t="s">
        <v>478</v>
      </c>
      <c r="B144" s="124" t="s">
        <v>479</v>
      </c>
      <c r="C144" s="157">
        <v>0</v>
      </c>
      <c r="D144" s="125">
        <v>0</v>
      </c>
      <c r="E144" s="157">
        <v>0</v>
      </c>
      <c r="F144" s="125">
        <v>-64295</v>
      </c>
      <c r="G144" s="157">
        <v>0</v>
      </c>
      <c r="H144" s="157">
        <v>0</v>
      </c>
      <c r="I144" s="157">
        <v>0</v>
      </c>
      <c r="J144" s="125">
        <v>0</v>
      </c>
      <c r="K144" s="125">
        <v>0</v>
      </c>
      <c r="L144" s="125">
        <v>0</v>
      </c>
      <c r="M144" s="157">
        <v>0</v>
      </c>
      <c r="N144" s="157">
        <v>0</v>
      </c>
      <c r="O144" s="157">
        <v>0</v>
      </c>
      <c r="P144" s="125">
        <v>0</v>
      </c>
      <c r="Q144" s="157">
        <v>0</v>
      </c>
      <c r="R144" s="157">
        <v>0</v>
      </c>
      <c r="S144" s="157">
        <v>0</v>
      </c>
      <c r="T144" s="125">
        <v>0</v>
      </c>
      <c r="U144" s="125">
        <v>0</v>
      </c>
      <c r="V144" s="125">
        <v>0</v>
      </c>
      <c r="W144" s="125">
        <v>0</v>
      </c>
      <c r="X144" s="157">
        <v>0</v>
      </c>
      <c r="Y144" s="125">
        <v>0</v>
      </c>
      <c r="Z144" s="125">
        <v>-17823.97</v>
      </c>
      <c r="AA144" s="125">
        <v>0</v>
      </c>
      <c r="AB144" s="125">
        <v>-457388</v>
      </c>
      <c r="AC144" s="125">
        <v>0</v>
      </c>
      <c r="AD144" s="125">
        <v>-268631.93</v>
      </c>
      <c r="AE144" s="157">
        <v>-99719.1</v>
      </c>
      <c r="AF144" s="157">
        <v>-457191.43</v>
      </c>
      <c r="AG144" s="125">
        <v>0</v>
      </c>
      <c r="AH144" s="125">
        <v>0</v>
      </c>
      <c r="AI144" s="157">
        <v>0</v>
      </c>
      <c r="AJ144" s="157">
        <v>0</v>
      </c>
      <c r="AK144" s="157">
        <v>0</v>
      </c>
      <c r="AL144" s="125">
        <v>-1365049.43</v>
      </c>
    </row>
    <row r="145" spans="1:38" s="117" customFormat="1" ht="15" customHeight="1" x14ac:dyDescent="0.2">
      <c r="A145" s="123" t="s">
        <v>480</v>
      </c>
      <c r="B145" s="124" t="s">
        <v>481</v>
      </c>
      <c r="C145" s="157">
        <v>0</v>
      </c>
      <c r="D145" s="125">
        <v>0</v>
      </c>
      <c r="E145" s="157">
        <v>0</v>
      </c>
      <c r="F145" s="125">
        <v>41756</v>
      </c>
      <c r="G145" s="157">
        <v>0</v>
      </c>
      <c r="H145" s="157">
        <v>0</v>
      </c>
      <c r="I145" s="157">
        <v>0</v>
      </c>
      <c r="J145" s="125">
        <v>0</v>
      </c>
      <c r="K145" s="125">
        <v>0</v>
      </c>
      <c r="L145" s="125">
        <v>0</v>
      </c>
      <c r="M145" s="157">
        <v>0</v>
      </c>
      <c r="N145" s="157">
        <v>0</v>
      </c>
      <c r="O145" s="157">
        <v>0</v>
      </c>
      <c r="P145" s="125">
        <v>0</v>
      </c>
      <c r="Q145" s="157">
        <v>0</v>
      </c>
      <c r="R145" s="157">
        <v>0</v>
      </c>
      <c r="S145" s="157">
        <v>0</v>
      </c>
      <c r="T145" s="125">
        <v>0</v>
      </c>
      <c r="U145" s="125">
        <v>0</v>
      </c>
      <c r="V145" s="125">
        <v>0</v>
      </c>
      <c r="W145" s="125">
        <v>0</v>
      </c>
      <c r="X145" s="157">
        <v>0</v>
      </c>
      <c r="Y145" s="125">
        <v>0</v>
      </c>
      <c r="Z145" s="125">
        <v>0</v>
      </c>
      <c r="AA145" s="125">
        <v>0</v>
      </c>
      <c r="AB145" s="125">
        <v>387839</v>
      </c>
      <c r="AC145" s="125">
        <v>0</v>
      </c>
      <c r="AD145" s="125">
        <v>182226</v>
      </c>
      <c r="AE145" s="157">
        <v>57369</v>
      </c>
      <c r="AF145" s="157">
        <v>393501</v>
      </c>
      <c r="AG145" s="125">
        <v>0</v>
      </c>
      <c r="AH145" s="125">
        <v>0</v>
      </c>
      <c r="AI145" s="157">
        <v>0</v>
      </c>
      <c r="AJ145" s="157">
        <v>0</v>
      </c>
      <c r="AK145" s="157">
        <v>0</v>
      </c>
      <c r="AL145" s="125">
        <v>1062691</v>
      </c>
    </row>
    <row r="146" spans="1:38" s="117" customFormat="1" ht="15" customHeight="1" x14ac:dyDescent="0.2">
      <c r="A146" s="123" t="s">
        <v>226</v>
      </c>
      <c r="B146" s="124" t="s">
        <v>227</v>
      </c>
      <c r="C146" s="157">
        <v>0</v>
      </c>
      <c r="D146" s="125">
        <v>0</v>
      </c>
      <c r="E146" s="157">
        <v>0</v>
      </c>
      <c r="F146" s="125">
        <v>0</v>
      </c>
      <c r="G146" s="157">
        <v>0</v>
      </c>
      <c r="H146" s="157">
        <v>0</v>
      </c>
      <c r="I146" s="157">
        <v>0</v>
      </c>
      <c r="J146" s="125">
        <v>0</v>
      </c>
      <c r="K146" s="125">
        <v>0</v>
      </c>
      <c r="L146" s="125">
        <v>-545971.41</v>
      </c>
      <c r="M146" s="157">
        <v>0</v>
      </c>
      <c r="N146" s="157">
        <v>0</v>
      </c>
      <c r="O146" s="157">
        <v>0</v>
      </c>
      <c r="P146" s="125">
        <v>0</v>
      </c>
      <c r="Q146" s="157">
        <v>0</v>
      </c>
      <c r="R146" s="157">
        <v>0</v>
      </c>
      <c r="S146" s="157">
        <v>0</v>
      </c>
      <c r="T146" s="125">
        <v>0</v>
      </c>
      <c r="U146" s="125">
        <v>-15000</v>
      </c>
      <c r="V146" s="125">
        <v>0</v>
      </c>
      <c r="W146" s="125">
        <v>0</v>
      </c>
      <c r="X146" s="157">
        <v>0</v>
      </c>
      <c r="Y146" s="125">
        <v>0</v>
      </c>
      <c r="Z146" s="125">
        <v>0</v>
      </c>
      <c r="AA146" s="125">
        <v>-538893.04</v>
      </c>
      <c r="AB146" s="125">
        <v>0</v>
      </c>
      <c r="AC146" s="125">
        <v>0</v>
      </c>
      <c r="AD146" s="125">
        <v>0</v>
      </c>
      <c r="AE146" s="157">
        <v>0</v>
      </c>
      <c r="AF146" s="157">
        <v>0</v>
      </c>
      <c r="AG146" s="125">
        <v>0</v>
      </c>
      <c r="AH146" s="125">
        <v>0</v>
      </c>
      <c r="AI146" s="157">
        <v>0</v>
      </c>
      <c r="AJ146" s="157">
        <v>0</v>
      </c>
      <c r="AK146" s="157">
        <v>0</v>
      </c>
      <c r="AL146" s="125">
        <v>-1099864.45</v>
      </c>
    </row>
    <row r="147" spans="1:38" s="117" customFormat="1" ht="15" customHeight="1" x14ac:dyDescent="0.2">
      <c r="A147" s="123" t="s">
        <v>228</v>
      </c>
      <c r="B147" s="124" t="s">
        <v>229</v>
      </c>
      <c r="C147" s="157">
        <v>0</v>
      </c>
      <c r="D147" s="125">
        <v>0</v>
      </c>
      <c r="E147" s="157">
        <v>0</v>
      </c>
      <c r="F147" s="125">
        <v>0</v>
      </c>
      <c r="G147" s="157">
        <v>0</v>
      </c>
      <c r="H147" s="157">
        <v>0</v>
      </c>
      <c r="I147" s="157">
        <v>0</v>
      </c>
      <c r="J147" s="125">
        <v>0</v>
      </c>
      <c r="K147" s="125">
        <v>0</v>
      </c>
      <c r="L147" s="125">
        <v>452642</v>
      </c>
      <c r="M147" s="157">
        <v>0</v>
      </c>
      <c r="N147" s="157">
        <v>349216</v>
      </c>
      <c r="O147" s="157">
        <v>0</v>
      </c>
      <c r="P147" s="125">
        <v>0</v>
      </c>
      <c r="Q147" s="157">
        <v>0</v>
      </c>
      <c r="R147" s="157">
        <v>0</v>
      </c>
      <c r="S147" s="157">
        <v>0</v>
      </c>
      <c r="T147" s="125">
        <v>0</v>
      </c>
      <c r="U147" s="125">
        <v>12500</v>
      </c>
      <c r="V147" s="125">
        <v>0</v>
      </c>
      <c r="W147" s="125">
        <v>0</v>
      </c>
      <c r="X147" s="157">
        <v>0</v>
      </c>
      <c r="Y147" s="125">
        <v>0</v>
      </c>
      <c r="Z147" s="125">
        <v>0</v>
      </c>
      <c r="AA147" s="125">
        <v>471696</v>
      </c>
      <c r="AB147" s="125">
        <v>0</v>
      </c>
      <c r="AC147" s="125">
        <v>0</v>
      </c>
      <c r="AD147" s="125">
        <v>0</v>
      </c>
      <c r="AE147" s="157">
        <v>0</v>
      </c>
      <c r="AF147" s="157">
        <v>0</v>
      </c>
      <c r="AG147" s="125">
        <v>0</v>
      </c>
      <c r="AH147" s="125">
        <v>0</v>
      </c>
      <c r="AI147" s="157">
        <v>0</v>
      </c>
      <c r="AJ147" s="157">
        <v>0</v>
      </c>
      <c r="AK147" s="157">
        <v>0</v>
      </c>
      <c r="AL147" s="125">
        <v>1286054</v>
      </c>
    </row>
    <row r="148" spans="1:38" s="117" customFormat="1" ht="15" customHeight="1" x14ac:dyDescent="0.2">
      <c r="A148" s="123" t="s">
        <v>948</v>
      </c>
      <c r="B148" s="124" t="s">
        <v>1022</v>
      </c>
      <c r="C148" s="157">
        <v>0</v>
      </c>
      <c r="D148" s="125">
        <v>0</v>
      </c>
      <c r="E148" s="157">
        <v>0</v>
      </c>
      <c r="F148" s="125">
        <v>-51329.74</v>
      </c>
      <c r="G148" s="157">
        <v>0</v>
      </c>
      <c r="H148" s="157">
        <v>0</v>
      </c>
      <c r="I148" s="157">
        <v>0</v>
      </c>
      <c r="J148" s="125">
        <v>-24306.99</v>
      </c>
      <c r="K148" s="125">
        <v>0</v>
      </c>
      <c r="L148" s="125">
        <v>0</v>
      </c>
      <c r="M148" s="157">
        <v>0</v>
      </c>
      <c r="N148" s="157">
        <v>0</v>
      </c>
      <c r="O148" s="157">
        <v>0</v>
      </c>
      <c r="P148" s="125">
        <v>0</v>
      </c>
      <c r="Q148" s="157">
        <v>0</v>
      </c>
      <c r="R148" s="157">
        <v>0</v>
      </c>
      <c r="S148" s="157">
        <v>0</v>
      </c>
      <c r="T148" s="125">
        <v>0</v>
      </c>
      <c r="U148" s="125">
        <v>0</v>
      </c>
      <c r="V148" s="125">
        <v>0</v>
      </c>
      <c r="W148" s="125">
        <v>-41944.84</v>
      </c>
      <c r="X148" s="157">
        <v>0</v>
      </c>
      <c r="Y148" s="125">
        <v>0</v>
      </c>
      <c r="Z148" s="125">
        <v>0</v>
      </c>
      <c r="AA148" s="125">
        <v>0</v>
      </c>
      <c r="AB148" s="125">
        <v>0</v>
      </c>
      <c r="AC148" s="125">
        <v>0</v>
      </c>
      <c r="AD148" s="125">
        <v>0</v>
      </c>
      <c r="AE148" s="157">
        <v>0</v>
      </c>
      <c r="AF148" s="157">
        <v>0</v>
      </c>
      <c r="AG148" s="125">
        <v>-60022.12</v>
      </c>
      <c r="AH148" s="125">
        <v>0</v>
      </c>
      <c r="AI148" s="157">
        <v>-15495.33</v>
      </c>
      <c r="AJ148" s="157">
        <v>-15495.32</v>
      </c>
      <c r="AK148" s="157">
        <v>-15495.33</v>
      </c>
      <c r="AL148" s="125">
        <v>-224089.67</v>
      </c>
    </row>
    <row r="149" spans="1:38" s="117" customFormat="1" ht="15" customHeight="1" x14ac:dyDescent="0.2">
      <c r="A149" s="123" t="s">
        <v>947</v>
      </c>
      <c r="B149" s="124" t="s">
        <v>1021</v>
      </c>
      <c r="C149" s="157">
        <v>0</v>
      </c>
      <c r="D149" s="125">
        <v>0</v>
      </c>
      <c r="E149" s="157">
        <v>0</v>
      </c>
      <c r="F149" s="125">
        <v>45218</v>
      </c>
      <c r="G149" s="157">
        <v>0</v>
      </c>
      <c r="H149" s="157">
        <v>0</v>
      </c>
      <c r="I149" s="157">
        <v>0</v>
      </c>
      <c r="J149" s="125">
        <v>21429</v>
      </c>
      <c r="K149" s="125">
        <v>0</v>
      </c>
      <c r="L149" s="125">
        <v>0</v>
      </c>
      <c r="M149" s="157">
        <v>0</v>
      </c>
      <c r="N149" s="157">
        <v>0</v>
      </c>
      <c r="O149" s="157">
        <v>0</v>
      </c>
      <c r="P149" s="125">
        <v>0</v>
      </c>
      <c r="Q149" s="157">
        <v>0</v>
      </c>
      <c r="R149" s="157">
        <v>0</v>
      </c>
      <c r="S149" s="157">
        <v>0</v>
      </c>
      <c r="T149" s="125">
        <v>0</v>
      </c>
      <c r="U149" s="125">
        <v>0</v>
      </c>
      <c r="V149" s="125">
        <v>0</v>
      </c>
      <c r="W149" s="125">
        <v>35366</v>
      </c>
      <c r="X149" s="157">
        <v>0</v>
      </c>
      <c r="Y149" s="125">
        <v>0</v>
      </c>
      <c r="Z149" s="125">
        <v>0</v>
      </c>
      <c r="AA149" s="125">
        <v>0</v>
      </c>
      <c r="AB149" s="125">
        <v>0</v>
      </c>
      <c r="AC149" s="125">
        <v>0</v>
      </c>
      <c r="AD149" s="125">
        <v>0</v>
      </c>
      <c r="AE149" s="157">
        <v>0</v>
      </c>
      <c r="AF149" s="157">
        <v>0</v>
      </c>
      <c r="AG149" s="125">
        <v>53232</v>
      </c>
      <c r="AH149" s="125">
        <v>0</v>
      </c>
      <c r="AI149" s="157">
        <v>12815</v>
      </c>
      <c r="AJ149" s="157">
        <v>12815</v>
      </c>
      <c r="AK149" s="157">
        <v>12815</v>
      </c>
      <c r="AL149" s="125">
        <v>193690</v>
      </c>
    </row>
    <row r="150" spans="1:38" s="117" customFormat="1" ht="15" customHeight="1" x14ac:dyDescent="0.2">
      <c r="A150" s="123" t="s">
        <v>526</v>
      </c>
      <c r="B150" s="124" t="s">
        <v>527</v>
      </c>
      <c r="C150" s="157">
        <v>0</v>
      </c>
      <c r="D150" s="125">
        <v>0</v>
      </c>
      <c r="E150" s="157">
        <v>0</v>
      </c>
      <c r="F150" s="125">
        <v>-174987</v>
      </c>
      <c r="G150" s="157">
        <v>0</v>
      </c>
      <c r="H150" s="157">
        <v>0</v>
      </c>
      <c r="I150" s="157">
        <v>0</v>
      </c>
      <c r="J150" s="125">
        <v>0</v>
      </c>
      <c r="K150" s="125">
        <v>0</v>
      </c>
      <c r="L150" s="125">
        <v>0</v>
      </c>
      <c r="M150" s="157">
        <v>0</v>
      </c>
      <c r="N150" s="157">
        <v>0</v>
      </c>
      <c r="O150" s="157">
        <v>0</v>
      </c>
      <c r="P150" s="125">
        <v>0</v>
      </c>
      <c r="Q150" s="157">
        <v>0</v>
      </c>
      <c r="R150" s="157">
        <v>0</v>
      </c>
      <c r="S150" s="157">
        <v>0</v>
      </c>
      <c r="T150" s="125">
        <v>-573086.86</v>
      </c>
      <c r="U150" s="125">
        <v>0</v>
      </c>
      <c r="V150" s="125">
        <v>0</v>
      </c>
      <c r="W150" s="125">
        <v>0</v>
      </c>
      <c r="X150" s="157">
        <v>0</v>
      </c>
      <c r="Y150" s="125">
        <v>0</v>
      </c>
      <c r="Z150" s="125">
        <v>0</v>
      </c>
      <c r="AA150" s="125">
        <v>0</v>
      </c>
      <c r="AB150" s="125">
        <v>0</v>
      </c>
      <c r="AC150" s="125">
        <v>0</v>
      </c>
      <c r="AD150" s="125">
        <v>0</v>
      </c>
      <c r="AE150" s="157">
        <v>0</v>
      </c>
      <c r="AF150" s="157">
        <v>0</v>
      </c>
      <c r="AG150" s="125">
        <v>0</v>
      </c>
      <c r="AH150" s="125">
        <v>0</v>
      </c>
      <c r="AI150" s="157">
        <v>0</v>
      </c>
      <c r="AJ150" s="157">
        <v>0</v>
      </c>
      <c r="AK150" s="157">
        <v>0</v>
      </c>
      <c r="AL150" s="125">
        <v>-748073.86</v>
      </c>
    </row>
    <row r="151" spans="1:38" s="117" customFormat="1" ht="15" customHeight="1" x14ac:dyDescent="0.2">
      <c r="A151" s="123" t="s">
        <v>528</v>
      </c>
      <c r="B151" s="124" t="s">
        <v>529</v>
      </c>
      <c r="C151" s="157">
        <v>0</v>
      </c>
      <c r="D151" s="125">
        <v>0</v>
      </c>
      <c r="E151" s="157">
        <v>0</v>
      </c>
      <c r="F151" s="125">
        <v>174987</v>
      </c>
      <c r="G151" s="157">
        <v>0</v>
      </c>
      <c r="H151" s="157">
        <v>0</v>
      </c>
      <c r="I151" s="157">
        <v>0</v>
      </c>
      <c r="J151" s="125">
        <v>0</v>
      </c>
      <c r="K151" s="125">
        <v>0</v>
      </c>
      <c r="L151" s="125">
        <v>0</v>
      </c>
      <c r="M151" s="157">
        <v>0</v>
      </c>
      <c r="N151" s="157">
        <v>0</v>
      </c>
      <c r="O151" s="157">
        <v>0</v>
      </c>
      <c r="P151" s="125">
        <v>0</v>
      </c>
      <c r="Q151" s="157">
        <v>0</v>
      </c>
      <c r="R151" s="157">
        <v>0</v>
      </c>
      <c r="S151" s="157">
        <v>0</v>
      </c>
      <c r="T151" s="125">
        <v>304499.5</v>
      </c>
      <c r="U151" s="125">
        <v>0</v>
      </c>
      <c r="V151" s="125">
        <v>0</v>
      </c>
      <c r="W151" s="125">
        <v>0</v>
      </c>
      <c r="X151" s="157">
        <v>0</v>
      </c>
      <c r="Y151" s="125">
        <v>0</v>
      </c>
      <c r="Z151" s="125">
        <v>0</v>
      </c>
      <c r="AA151" s="125">
        <v>0</v>
      </c>
      <c r="AB151" s="125">
        <v>0</v>
      </c>
      <c r="AC151" s="125">
        <v>0</v>
      </c>
      <c r="AD151" s="125">
        <v>0</v>
      </c>
      <c r="AE151" s="157">
        <v>0</v>
      </c>
      <c r="AF151" s="157">
        <v>0</v>
      </c>
      <c r="AG151" s="125">
        <v>0</v>
      </c>
      <c r="AH151" s="125">
        <v>0</v>
      </c>
      <c r="AI151" s="157">
        <v>0</v>
      </c>
      <c r="AJ151" s="157">
        <v>0</v>
      </c>
      <c r="AK151" s="157">
        <v>0</v>
      </c>
      <c r="AL151" s="125">
        <v>479486.5</v>
      </c>
    </row>
    <row r="152" spans="1:38" s="117" customFormat="1" ht="15" customHeight="1" x14ac:dyDescent="0.2">
      <c r="A152" s="123" t="s">
        <v>946</v>
      </c>
      <c r="B152" s="124" t="s">
        <v>1020</v>
      </c>
      <c r="C152" s="157">
        <v>0</v>
      </c>
      <c r="D152" s="125">
        <v>0</v>
      </c>
      <c r="E152" s="157">
        <v>0</v>
      </c>
      <c r="F152" s="125">
        <v>0</v>
      </c>
      <c r="G152" s="157">
        <v>0</v>
      </c>
      <c r="H152" s="157">
        <v>0</v>
      </c>
      <c r="I152" s="157">
        <v>0</v>
      </c>
      <c r="J152" s="125">
        <v>0</v>
      </c>
      <c r="K152" s="125">
        <v>0</v>
      </c>
      <c r="L152" s="125">
        <v>0</v>
      </c>
      <c r="M152" s="157">
        <v>0</v>
      </c>
      <c r="N152" s="157">
        <v>0</v>
      </c>
      <c r="O152" s="157">
        <v>0</v>
      </c>
      <c r="P152" s="125">
        <v>0</v>
      </c>
      <c r="Q152" s="157">
        <v>0</v>
      </c>
      <c r="R152" s="157">
        <v>0</v>
      </c>
      <c r="S152" s="157">
        <v>0</v>
      </c>
      <c r="T152" s="125">
        <v>0</v>
      </c>
      <c r="U152" s="125">
        <v>-234817</v>
      </c>
      <c r="V152" s="125">
        <v>0</v>
      </c>
      <c r="W152" s="125">
        <v>0</v>
      </c>
      <c r="X152" s="157">
        <v>0</v>
      </c>
      <c r="Y152" s="125">
        <v>0</v>
      </c>
      <c r="Z152" s="125">
        <v>0</v>
      </c>
      <c r="AA152" s="125">
        <v>0</v>
      </c>
      <c r="AB152" s="125">
        <v>0</v>
      </c>
      <c r="AC152" s="125">
        <v>0</v>
      </c>
      <c r="AD152" s="125">
        <v>0</v>
      </c>
      <c r="AE152" s="157">
        <v>0</v>
      </c>
      <c r="AF152" s="157">
        <v>0</v>
      </c>
      <c r="AG152" s="125">
        <v>0</v>
      </c>
      <c r="AH152" s="125">
        <v>0</v>
      </c>
      <c r="AI152" s="157">
        <v>0</v>
      </c>
      <c r="AJ152" s="157">
        <v>0</v>
      </c>
      <c r="AK152" s="157">
        <v>0</v>
      </c>
      <c r="AL152" s="125">
        <v>-234817</v>
      </c>
    </row>
    <row r="153" spans="1:38" s="117" customFormat="1" ht="15" customHeight="1" x14ac:dyDescent="0.2">
      <c r="A153" s="123" t="s">
        <v>945</v>
      </c>
      <c r="B153" s="124" t="s">
        <v>1019</v>
      </c>
      <c r="C153" s="157">
        <v>0</v>
      </c>
      <c r="D153" s="125">
        <v>0</v>
      </c>
      <c r="E153" s="157">
        <v>0</v>
      </c>
      <c r="F153" s="125">
        <v>0</v>
      </c>
      <c r="G153" s="157">
        <v>0</v>
      </c>
      <c r="H153" s="157">
        <v>0</v>
      </c>
      <c r="I153" s="157">
        <v>0</v>
      </c>
      <c r="J153" s="125">
        <v>0</v>
      </c>
      <c r="K153" s="125">
        <v>0</v>
      </c>
      <c r="L153" s="125">
        <v>0</v>
      </c>
      <c r="M153" s="157">
        <v>0</v>
      </c>
      <c r="N153" s="157">
        <v>0</v>
      </c>
      <c r="O153" s="157">
        <v>0</v>
      </c>
      <c r="P153" s="125">
        <v>0</v>
      </c>
      <c r="Q153" s="157">
        <v>0</v>
      </c>
      <c r="R153" s="157">
        <v>0</v>
      </c>
      <c r="S153" s="157">
        <v>0</v>
      </c>
      <c r="T153" s="125">
        <v>0</v>
      </c>
      <c r="U153" s="125">
        <v>197017</v>
      </c>
      <c r="V153" s="125">
        <v>0</v>
      </c>
      <c r="W153" s="125">
        <v>0</v>
      </c>
      <c r="X153" s="157">
        <v>0</v>
      </c>
      <c r="Y153" s="125">
        <v>0</v>
      </c>
      <c r="Z153" s="125">
        <v>0</v>
      </c>
      <c r="AA153" s="125">
        <v>0</v>
      </c>
      <c r="AB153" s="125">
        <v>0</v>
      </c>
      <c r="AC153" s="125">
        <v>0</v>
      </c>
      <c r="AD153" s="125">
        <v>0</v>
      </c>
      <c r="AE153" s="157">
        <v>0</v>
      </c>
      <c r="AF153" s="157">
        <v>0</v>
      </c>
      <c r="AG153" s="125">
        <v>0</v>
      </c>
      <c r="AH153" s="125">
        <v>0</v>
      </c>
      <c r="AI153" s="157">
        <v>0</v>
      </c>
      <c r="AJ153" s="157">
        <v>0</v>
      </c>
      <c r="AK153" s="157">
        <v>0</v>
      </c>
      <c r="AL153" s="125">
        <v>197017</v>
      </c>
    </row>
    <row r="154" spans="1:38" s="117" customFormat="1" ht="15" customHeight="1" x14ac:dyDescent="0.2">
      <c r="A154" s="123" t="s">
        <v>944</v>
      </c>
      <c r="B154" s="124" t="s">
        <v>1018</v>
      </c>
      <c r="C154" s="157">
        <v>0</v>
      </c>
      <c r="D154" s="125">
        <v>0</v>
      </c>
      <c r="E154" s="157">
        <v>0</v>
      </c>
      <c r="F154" s="125">
        <v>0</v>
      </c>
      <c r="G154" s="157">
        <v>0</v>
      </c>
      <c r="H154" s="157">
        <v>0</v>
      </c>
      <c r="I154" s="157">
        <v>0</v>
      </c>
      <c r="J154" s="125">
        <v>0</v>
      </c>
      <c r="K154" s="125">
        <v>0</v>
      </c>
      <c r="L154" s="125">
        <v>0</v>
      </c>
      <c r="M154" s="157">
        <v>0</v>
      </c>
      <c r="N154" s="157">
        <v>0</v>
      </c>
      <c r="O154" s="157">
        <v>0</v>
      </c>
      <c r="P154" s="125">
        <v>0</v>
      </c>
      <c r="Q154" s="157">
        <v>0</v>
      </c>
      <c r="R154" s="157">
        <v>0</v>
      </c>
      <c r="S154" s="157">
        <v>0</v>
      </c>
      <c r="T154" s="125">
        <v>0</v>
      </c>
      <c r="U154" s="125">
        <v>-158807.07999999999</v>
      </c>
      <c r="V154" s="125">
        <v>0</v>
      </c>
      <c r="W154" s="125">
        <v>0</v>
      </c>
      <c r="X154" s="157">
        <v>0</v>
      </c>
      <c r="Y154" s="125">
        <v>0</v>
      </c>
      <c r="Z154" s="125">
        <v>0</v>
      </c>
      <c r="AA154" s="125">
        <v>0</v>
      </c>
      <c r="AB154" s="125">
        <v>0</v>
      </c>
      <c r="AC154" s="125">
        <v>0</v>
      </c>
      <c r="AD154" s="125">
        <v>0</v>
      </c>
      <c r="AE154" s="157">
        <v>0</v>
      </c>
      <c r="AF154" s="157">
        <v>0</v>
      </c>
      <c r="AG154" s="125">
        <v>0</v>
      </c>
      <c r="AH154" s="125">
        <v>0</v>
      </c>
      <c r="AI154" s="157">
        <v>0</v>
      </c>
      <c r="AJ154" s="157">
        <v>0</v>
      </c>
      <c r="AK154" s="157">
        <v>0</v>
      </c>
      <c r="AL154" s="125">
        <v>-158807.07999999999</v>
      </c>
    </row>
    <row r="155" spans="1:38" s="117" customFormat="1" ht="15" customHeight="1" x14ac:dyDescent="0.2">
      <c r="A155" s="123" t="s">
        <v>230</v>
      </c>
      <c r="B155" s="124" t="s">
        <v>231</v>
      </c>
      <c r="C155" s="157">
        <v>-60.03</v>
      </c>
      <c r="D155" s="125">
        <v>-2015.08</v>
      </c>
      <c r="E155" s="157">
        <v>-783</v>
      </c>
      <c r="F155" s="125">
        <v>-1190.07</v>
      </c>
      <c r="G155" s="157">
        <v>-156843</v>
      </c>
      <c r="H155" s="157">
        <v>-989.33</v>
      </c>
      <c r="I155" s="157">
        <v>-98</v>
      </c>
      <c r="J155" s="125">
        <v>-84.3</v>
      </c>
      <c r="K155" s="125">
        <v>-18</v>
      </c>
      <c r="L155" s="125">
        <v>-448.46</v>
      </c>
      <c r="M155" s="157">
        <v>0</v>
      </c>
      <c r="N155" s="157">
        <v>-1016.05</v>
      </c>
      <c r="O155" s="157">
        <v>-109</v>
      </c>
      <c r="P155" s="125">
        <v>0</v>
      </c>
      <c r="Q155" s="157">
        <v>-6404.66</v>
      </c>
      <c r="R155" s="157">
        <v>-2.2799999999999998</v>
      </c>
      <c r="S155" s="157">
        <v>-93</v>
      </c>
      <c r="T155" s="125">
        <v>-1261.04</v>
      </c>
      <c r="U155" s="125">
        <v>-2948.87</v>
      </c>
      <c r="V155" s="125">
        <v>-31</v>
      </c>
      <c r="W155" s="125">
        <v>-1755</v>
      </c>
      <c r="X155" s="157">
        <v>-988.85</v>
      </c>
      <c r="Y155" s="125">
        <v>-1881.08</v>
      </c>
      <c r="Z155" s="125">
        <v>-3290</v>
      </c>
      <c r="AA155" s="125">
        <v>-424</v>
      </c>
      <c r="AB155" s="125">
        <v>-1.01</v>
      </c>
      <c r="AC155" s="125">
        <v>-1408.12</v>
      </c>
      <c r="AD155" s="125">
        <v>-1829.24</v>
      </c>
      <c r="AE155" s="157">
        <v>-597.03</v>
      </c>
      <c r="AF155" s="157">
        <v>-1839.52</v>
      </c>
      <c r="AG155" s="125">
        <v>-446.29</v>
      </c>
      <c r="AH155" s="125">
        <v>-512.79</v>
      </c>
      <c r="AI155" s="157">
        <v>-9525.9699999999993</v>
      </c>
      <c r="AJ155" s="157">
        <v>-6.5</v>
      </c>
      <c r="AK155" s="157">
        <v>-3216.45</v>
      </c>
      <c r="AL155" s="125">
        <v>-202117.02</v>
      </c>
    </row>
    <row r="156" spans="1:38" s="117" customFormat="1" ht="15" customHeight="1" x14ac:dyDescent="0.2">
      <c r="A156" s="123" t="s">
        <v>530</v>
      </c>
      <c r="B156" s="124" t="s">
        <v>531</v>
      </c>
      <c r="C156" s="157">
        <v>-14991</v>
      </c>
      <c r="D156" s="125">
        <v>-139</v>
      </c>
      <c r="E156" s="157">
        <v>-20029</v>
      </c>
      <c r="F156" s="125">
        <v>-4</v>
      </c>
      <c r="G156" s="157">
        <v>0</v>
      </c>
      <c r="H156" s="157">
        <v>0</v>
      </c>
      <c r="I156" s="157">
        <v>0</v>
      </c>
      <c r="J156" s="125">
        <v>-1.3</v>
      </c>
      <c r="K156" s="125">
        <v>0</v>
      </c>
      <c r="L156" s="125">
        <v>0</v>
      </c>
      <c r="M156" s="157">
        <v>0</v>
      </c>
      <c r="N156" s="157">
        <v>0</v>
      </c>
      <c r="O156" s="157">
        <v>-588</v>
      </c>
      <c r="P156" s="125">
        <v>0</v>
      </c>
      <c r="Q156" s="157">
        <v>0</v>
      </c>
      <c r="R156" s="157">
        <v>0</v>
      </c>
      <c r="S156" s="157">
        <v>0</v>
      </c>
      <c r="T156" s="125">
        <v>0</v>
      </c>
      <c r="U156" s="125">
        <v>-196.16</v>
      </c>
      <c r="V156" s="125">
        <v>0</v>
      </c>
      <c r="W156" s="125">
        <v>-0.33</v>
      </c>
      <c r="X156" s="157">
        <v>0</v>
      </c>
      <c r="Y156" s="125">
        <v>0</v>
      </c>
      <c r="Z156" s="125">
        <v>0</v>
      </c>
      <c r="AA156" s="125">
        <v>0</v>
      </c>
      <c r="AB156" s="125">
        <v>-1281.92</v>
      </c>
      <c r="AC156" s="125">
        <v>-526.94000000000005</v>
      </c>
      <c r="AD156" s="125">
        <v>-9611</v>
      </c>
      <c r="AE156" s="157">
        <v>-26.77</v>
      </c>
      <c r="AF156" s="157">
        <v>0</v>
      </c>
      <c r="AG156" s="125">
        <v>0</v>
      </c>
      <c r="AH156" s="125">
        <v>-185.73</v>
      </c>
      <c r="AI156" s="157">
        <v>0</v>
      </c>
      <c r="AJ156" s="157">
        <v>-1093.53</v>
      </c>
      <c r="AK156" s="157">
        <v>-809</v>
      </c>
      <c r="AL156" s="125">
        <v>-49483.68</v>
      </c>
    </row>
    <row r="157" spans="1:38" s="117" customFormat="1" ht="15" customHeight="1" x14ac:dyDescent="0.2">
      <c r="A157" s="123" t="s">
        <v>232</v>
      </c>
      <c r="B157" s="124" t="s">
        <v>233</v>
      </c>
      <c r="C157" s="157">
        <v>0</v>
      </c>
      <c r="D157" s="125">
        <v>-270</v>
      </c>
      <c r="E157" s="157">
        <v>-783</v>
      </c>
      <c r="F157" s="125">
        <v>-2642.03</v>
      </c>
      <c r="G157" s="157">
        <v>0</v>
      </c>
      <c r="H157" s="157">
        <v>-930.32</v>
      </c>
      <c r="I157" s="157">
        <v>0</v>
      </c>
      <c r="J157" s="125">
        <v>0</v>
      </c>
      <c r="K157" s="125">
        <v>0</v>
      </c>
      <c r="L157" s="125">
        <v>0</v>
      </c>
      <c r="M157" s="157">
        <v>0</v>
      </c>
      <c r="N157" s="157">
        <v>0</v>
      </c>
      <c r="O157" s="157">
        <v>-270.70999999999998</v>
      </c>
      <c r="P157" s="125">
        <v>-60</v>
      </c>
      <c r="Q157" s="157">
        <v>0</v>
      </c>
      <c r="R157" s="157">
        <v>0</v>
      </c>
      <c r="S157" s="157">
        <v>-359</v>
      </c>
      <c r="T157" s="125">
        <v>-424.85</v>
      </c>
      <c r="U157" s="125">
        <v>0</v>
      </c>
      <c r="V157" s="125">
        <v>0</v>
      </c>
      <c r="W157" s="125">
        <v>-6955</v>
      </c>
      <c r="X157" s="157">
        <v>-2949</v>
      </c>
      <c r="Y157" s="125">
        <v>0</v>
      </c>
      <c r="Z157" s="125">
        <v>0</v>
      </c>
      <c r="AA157" s="125">
        <v>-253</v>
      </c>
      <c r="AB157" s="125">
        <v>0</v>
      </c>
      <c r="AC157" s="125">
        <v>-672</v>
      </c>
      <c r="AD157" s="125">
        <v>-8618</v>
      </c>
      <c r="AE157" s="157">
        <v>-4</v>
      </c>
      <c r="AF157" s="157">
        <v>-52</v>
      </c>
      <c r="AG157" s="125">
        <v>-1057.98</v>
      </c>
      <c r="AH157" s="125">
        <v>-914</v>
      </c>
      <c r="AI157" s="157">
        <v>0</v>
      </c>
      <c r="AJ157" s="157">
        <v>-4161</v>
      </c>
      <c r="AK157" s="157">
        <v>-4273</v>
      </c>
      <c r="AL157" s="125">
        <v>-35648.89</v>
      </c>
    </row>
    <row r="158" spans="1:38" s="117" customFormat="1" ht="15" customHeight="1" x14ac:dyDescent="0.2">
      <c r="A158" s="123" t="s">
        <v>532</v>
      </c>
      <c r="B158" s="124" t="s">
        <v>533</v>
      </c>
      <c r="C158" s="157">
        <v>0</v>
      </c>
      <c r="D158" s="125">
        <v>0</v>
      </c>
      <c r="E158" s="157">
        <v>0</v>
      </c>
      <c r="F158" s="125">
        <v>0</v>
      </c>
      <c r="G158" s="157">
        <v>0</v>
      </c>
      <c r="H158" s="157">
        <v>0</v>
      </c>
      <c r="I158" s="157">
        <v>0</v>
      </c>
      <c r="J158" s="125">
        <v>0</v>
      </c>
      <c r="K158" s="125">
        <v>0</v>
      </c>
      <c r="L158" s="125">
        <v>0</v>
      </c>
      <c r="M158" s="157">
        <v>0</v>
      </c>
      <c r="N158" s="157">
        <v>0</v>
      </c>
      <c r="O158" s="157">
        <v>0</v>
      </c>
      <c r="P158" s="125">
        <v>0</v>
      </c>
      <c r="Q158" s="157">
        <v>-57064</v>
      </c>
      <c r="R158" s="157">
        <v>0</v>
      </c>
      <c r="S158" s="157">
        <v>0</v>
      </c>
      <c r="T158" s="125">
        <v>0</v>
      </c>
      <c r="U158" s="125">
        <v>0</v>
      </c>
      <c r="V158" s="125">
        <v>0</v>
      </c>
      <c r="W158" s="125">
        <v>0</v>
      </c>
      <c r="X158" s="157">
        <v>0</v>
      </c>
      <c r="Y158" s="125">
        <v>0</v>
      </c>
      <c r="Z158" s="125">
        <v>0</v>
      </c>
      <c r="AA158" s="125">
        <v>0</v>
      </c>
      <c r="AB158" s="125">
        <v>0</v>
      </c>
      <c r="AC158" s="125">
        <v>0</v>
      </c>
      <c r="AD158" s="125">
        <v>-234</v>
      </c>
      <c r="AE158" s="157">
        <v>0</v>
      </c>
      <c r="AF158" s="157">
        <v>0</v>
      </c>
      <c r="AG158" s="125">
        <v>0</v>
      </c>
      <c r="AH158" s="125">
        <v>0</v>
      </c>
      <c r="AI158" s="157">
        <v>0</v>
      </c>
      <c r="AJ158" s="157">
        <v>0</v>
      </c>
      <c r="AK158" s="157">
        <v>0</v>
      </c>
      <c r="AL158" s="125">
        <v>-57298</v>
      </c>
    </row>
    <row r="159" spans="1:38" s="117" customFormat="1" ht="15" customHeight="1" x14ac:dyDescent="0.2">
      <c r="A159" s="123" t="s">
        <v>1435</v>
      </c>
      <c r="B159" s="124" t="s">
        <v>1436</v>
      </c>
      <c r="C159" s="157">
        <v>0</v>
      </c>
      <c r="D159" s="125">
        <v>0</v>
      </c>
      <c r="E159" s="157">
        <v>0</v>
      </c>
      <c r="F159" s="125">
        <v>0</v>
      </c>
      <c r="G159" s="157">
        <v>-65422</v>
      </c>
      <c r="H159" s="157">
        <v>0</v>
      </c>
      <c r="I159" s="157">
        <v>0</v>
      </c>
      <c r="J159" s="125">
        <v>0</v>
      </c>
      <c r="K159" s="125">
        <v>0</v>
      </c>
      <c r="L159" s="125">
        <v>0</v>
      </c>
      <c r="M159" s="157">
        <v>0</v>
      </c>
      <c r="N159" s="157">
        <v>0</v>
      </c>
      <c r="O159" s="157">
        <v>0</v>
      </c>
      <c r="P159" s="125">
        <v>0</v>
      </c>
      <c r="Q159" s="157">
        <v>0</v>
      </c>
      <c r="R159" s="157">
        <v>0</v>
      </c>
      <c r="S159" s="157">
        <v>0</v>
      </c>
      <c r="T159" s="125">
        <v>0</v>
      </c>
      <c r="U159" s="125">
        <v>0</v>
      </c>
      <c r="V159" s="125">
        <v>0</v>
      </c>
      <c r="W159" s="125">
        <v>0</v>
      </c>
      <c r="X159" s="157">
        <v>0</v>
      </c>
      <c r="Y159" s="125">
        <v>0</v>
      </c>
      <c r="Z159" s="125">
        <v>0</v>
      </c>
      <c r="AA159" s="125">
        <v>0</v>
      </c>
      <c r="AB159" s="125">
        <v>0</v>
      </c>
      <c r="AC159" s="125">
        <v>0</v>
      </c>
      <c r="AD159" s="125">
        <v>0</v>
      </c>
      <c r="AE159" s="157">
        <v>0</v>
      </c>
      <c r="AF159" s="157">
        <v>0</v>
      </c>
      <c r="AG159" s="125">
        <v>0</v>
      </c>
      <c r="AH159" s="125">
        <v>0</v>
      </c>
      <c r="AI159" s="157">
        <v>0</v>
      </c>
      <c r="AJ159" s="157">
        <v>0</v>
      </c>
      <c r="AK159" s="157">
        <v>0</v>
      </c>
      <c r="AL159" s="125">
        <v>-65422</v>
      </c>
    </row>
    <row r="160" spans="1:38" s="117" customFormat="1" ht="15" customHeight="1" x14ac:dyDescent="0.2">
      <c r="A160" s="123" t="s">
        <v>1017</v>
      </c>
      <c r="B160" s="124" t="s">
        <v>1016</v>
      </c>
      <c r="C160" s="157">
        <v>0</v>
      </c>
      <c r="D160" s="125">
        <v>0</v>
      </c>
      <c r="E160" s="157">
        <v>0</v>
      </c>
      <c r="F160" s="125">
        <v>0</v>
      </c>
      <c r="G160" s="157">
        <v>0</v>
      </c>
      <c r="H160" s="157">
        <v>0</v>
      </c>
      <c r="I160" s="157">
        <v>0</v>
      </c>
      <c r="J160" s="125">
        <v>0</v>
      </c>
      <c r="K160" s="125">
        <v>0</v>
      </c>
      <c r="L160" s="125">
        <v>0</v>
      </c>
      <c r="M160" s="157">
        <v>-10706.79</v>
      </c>
      <c r="N160" s="157">
        <v>0</v>
      </c>
      <c r="O160" s="157">
        <v>0</v>
      </c>
      <c r="P160" s="125">
        <v>0</v>
      </c>
      <c r="Q160" s="157">
        <v>0</v>
      </c>
      <c r="R160" s="157">
        <v>0</v>
      </c>
      <c r="S160" s="157">
        <v>0</v>
      </c>
      <c r="T160" s="125">
        <v>0</v>
      </c>
      <c r="U160" s="125">
        <v>0</v>
      </c>
      <c r="V160" s="125">
        <v>0</v>
      </c>
      <c r="W160" s="125">
        <v>0</v>
      </c>
      <c r="X160" s="157">
        <v>0</v>
      </c>
      <c r="Y160" s="125">
        <v>0</v>
      </c>
      <c r="Z160" s="125">
        <v>0</v>
      </c>
      <c r="AA160" s="125">
        <v>0</v>
      </c>
      <c r="AB160" s="125">
        <v>0</v>
      </c>
      <c r="AC160" s="125">
        <v>0</v>
      </c>
      <c r="AD160" s="125">
        <v>0</v>
      </c>
      <c r="AE160" s="157">
        <v>0</v>
      </c>
      <c r="AF160" s="157">
        <v>0</v>
      </c>
      <c r="AG160" s="125">
        <v>0</v>
      </c>
      <c r="AH160" s="125">
        <v>0</v>
      </c>
      <c r="AI160" s="157">
        <v>0</v>
      </c>
      <c r="AJ160" s="157">
        <v>0</v>
      </c>
      <c r="AK160" s="157">
        <v>0</v>
      </c>
      <c r="AL160" s="125">
        <v>-10706.79</v>
      </c>
    </row>
    <row r="161" spans="1:38" s="117" customFormat="1" ht="15" customHeight="1" x14ac:dyDescent="0.2">
      <c r="A161" s="123" t="s">
        <v>609</v>
      </c>
      <c r="B161" s="124" t="s">
        <v>608</v>
      </c>
      <c r="C161" s="157">
        <v>0</v>
      </c>
      <c r="D161" s="125">
        <v>0</v>
      </c>
      <c r="E161" s="157">
        <v>0</v>
      </c>
      <c r="F161" s="125">
        <v>0</v>
      </c>
      <c r="G161" s="157">
        <v>0</v>
      </c>
      <c r="H161" s="157">
        <v>0</v>
      </c>
      <c r="I161" s="157">
        <v>0</v>
      </c>
      <c r="J161" s="125">
        <v>0</v>
      </c>
      <c r="K161" s="125">
        <v>0</v>
      </c>
      <c r="L161" s="125">
        <v>0</v>
      </c>
      <c r="M161" s="157">
        <v>0</v>
      </c>
      <c r="N161" s="157">
        <v>0</v>
      </c>
      <c r="O161" s="157">
        <v>0</v>
      </c>
      <c r="P161" s="125">
        <v>0</v>
      </c>
      <c r="Q161" s="157">
        <v>0</v>
      </c>
      <c r="R161" s="157">
        <v>0</v>
      </c>
      <c r="S161" s="157">
        <v>0</v>
      </c>
      <c r="T161" s="125">
        <v>0</v>
      </c>
      <c r="U161" s="125">
        <v>46.45</v>
      </c>
      <c r="V161" s="125">
        <v>0</v>
      </c>
      <c r="W161" s="125">
        <v>0</v>
      </c>
      <c r="X161" s="157">
        <v>0</v>
      </c>
      <c r="Y161" s="125">
        <v>0</v>
      </c>
      <c r="Z161" s="125">
        <v>0</v>
      </c>
      <c r="AA161" s="125">
        <v>0</v>
      </c>
      <c r="AB161" s="125">
        <v>0</v>
      </c>
      <c r="AC161" s="125">
        <v>0</v>
      </c>
      <c r="AD161" s="125">
        <v>0</v>
      </c>
      <c r="AE161" s="157">
        <v>0</v>
      </c>
      <c r="AF161" s="157">
        <v>0</v>
      </c>
      <c r="AG161" s="125">
        <v>0</v>
      </c>
      <c r="AH161" s="125">
        <v>0</v>
      </c>
      <c r="AI161" s="157">
        <v>0</v>
      </c>
      <c r="AJ161" s="157">
        <v>0</v>
      </c>
      <c r="AK161" s="157">
        <v>0</v>
      </c>
      <c r="AL161" s="125">
        <v>46.45</v>
      </c>
    </row>
    <row r="162" spans="1:38" s="117" customFormat="1" ht="15" customHeight="1" x14ac:dyDescent="0.2">
      <c r="A162" s="123" t="s">
        <v>1437</v>
      </c>
      <c r="B162" s="124" t="s">
        <v>1438</v>
      </c>
      <c r="C162" s="157">
        <v>0</v>
      </c>
      <c r="D162" s="125">
        <v>0</v>
      </c>
      <c r="E162" s="157">
        <v>0</v>
      </c>
      <c r="F162" s="125">
        <v>0</v>
      </c>
      <c r="G162" s="157">
        <v>0</v>
      </c>
      <c r="H162" s="157">
        <v>0</v>
      </c>
      <c r="I162" s="157">
        <v>0</v>
      </c>
      <c r="J162" s="125">
        <v>0</v>
      </c>
      <c r="K162" s="125">
        <v>0</v>
      </c>
      <c r="L162" s="125">
        <v>0</v>
      </c>
      <c r="M162" s="157">
        <v>0</v>
      </c>
      <c r="N162" s="157">
        <v>0</v>
      </c>
      <c r="O162" s="157">
        <v>0</v>
      </c>
      <c r="P162" s="125">
        <v>0</v>
      </c>
      <c r="Q162" s="157">
        <v>0</v>
      </c>
      <c r="R162" s="157">
        <v>0</v>
      </c>
      <c r="S162" s="157">
        <v>0</v>
      </c>
      <c r="T162" s="125">
        <v>0</v>
      </c>
      <c r="U162" s="125">
        <v>0</v>
      </c>
      <c r="V162" s="125">
        <v>0</v>
      </c>
      <c r="W162" s="125">
        <v>0</v>
      </c>
      <c r="X162" s="157">
        <v>0</v>
      </c>
      <c r="Y162" s="125">
        <v>0</v>
      </c>
      <c r="Z162" s="125">
        <v>0</v>
      </c>
      <c r="AA162" s="125">
        <v>0</v>
      </c>
      <c r="AB162" s="125">
        <v>0</v>
      </c>
      <c r="AC162" s="125">
        <v>0</v>
      </c>
      <c r="AD162" s="125">
        <v>125.94</v>
      </c>
      <c r="AE162" s="157">
        <v>0</v>
      </c>
      <c r="AF162" s="157">
        <v>0</v>
      </c>
      <c r="AG162" s="125">
        <v>0</v>
      </c>
      <c r="AH162" s="125">
        <v>0</v>
      </c>
      <c r="AI162" s="157">
        <v>0</v>
      </c>
      <c r="AJ162" s="157">
        <v>0</v>
      </c>
      <c r="AK162" s="157">
        <v>0</v>
      </c>
      <c r="AL162" s="125">
        <v>125.94</v>
      </c>
    </row>
    <row r="163" spans="1:38" s="117" customFormat="1" ht="15" customHeight="1" x14ac:dyDescent="0.2">
      <c r="A163" s="123" t="s">
        <v>234</v>
      </c>
      <c r="B163" s="124" t="s">
        <v>235</v>
      </c>
      <c r="C163" s="157">
        <v>0</v>
      </c>
      <c r="D163" s="125">
        <v>0</v>
      </c>
      <c r="E163" s="157">
        <v>0</v>
      </c>
      <c r="F163" s="125">
        <v>-102.96</v>
      </c>
      <c r="G163" s="157">
        <v>0</v>
      </c>
      <c r="H163" s="157">
        <v>0</v>
      </c>
      <c r="I163" s="157">
        <v>0</v>
      </c>
      <c r="J163" s="125">
        <v>-102.96</v>
      </c>
      <c r="K163" s="125">
        <v>0</v>
      </c>
      <c r="L163" s="125">
        <v>-102.96</v>
      </c>
      <c r="M163" s="157">
        <v>0</v>
      </c>
      <c r="N163" s="157">
        <v>-102.96</v>
      </c>
      <c r="O163" s="157">
        <v>0</v>
      </c>
      <c r="P163" s="125">
        <v>0</v>
      </c>
      <c r="Q163" s="157">
        <v>0</v>
      </c>
      <c r="R163" s="157">
        <v>0</v>
      </c>
      <c r="S163" s="157">
        <v>0</v>
      </c>
      <c r="T163" s="125">
        <v>0</v>
      </c>
      <c r="U163" s="125">
        <v>-102.96</v>
      </c>
      <c r="V163" s="125">
        <v>0</v>
      </c>
      <c r="W163" s="125">
        <v>-172.98</v>
      </c>
      <c r="X163" s="157">
        <v>-38.04</v>
      </c>
      <c r="Y163" s="125">
        <v>0</v>
      </c>
      <c r="Z163" s="125">
        <v>0</v>
      </c>
      <c r="AA163" s="125">
        <v>-127.2</v>
      </c>
      <c r="AB163" s="125">
        <v>-57.22</v>
      </c>
      <c r="AC163" s="125">
        <v>0</v>
      </c>
      <c r="AD163" s="125">
        <v>0</v>
      </c>
      <c r="AE163" s="157">
        <v>-102.96</v>
      </c>
      <c r="AF163" s="157">
        <v>0</v>
      </c>
      <c r="AG163" s="125">
        <v>-125.85</v>
      </c>
      <c r="AH163" s="125">
        <v>0</v>
      </c>
      <c r="AI163" s="157">
        <v>-102.96</v>
      </c>
      <c r="AJ163" s="157">
        <v>-127.2</v>
      </c>
      <c r="AK163" s="157">
        <v>-102.96</v>
      </c>
      <c r="AL163" s="125">
        <v>-1472.17</v>
      </c>
    </row>
    <row r="164" spans="1:38" s="117" customFormat="1" ht="15" customHeight="1" x14ac:dyDescent="0.2">
      <c r="A164" s="123" t="s">
        <v>236</v>
      </c>
      <c r="B164" s="124" t="s">
        <v>237</v>
      </c>
      <c r="C164" s="157">
        <v>-1577.52</v>
      </c>
      <c r="D164" s="125">
        <v>-2888.15</v>
      </c>
      <c r="E164" s="157">
        <v>-3586.17</v>
      </c>
      <c r="F164" s="125">
        <v>-1931.11</v>
      </c>
      <c r="G164" s="157">
        <v>-4884.28</v>
      </c>
      <c r="H164" s="157">
        <v>-1814.71</v>
      </c>
      <c r="I164" s="157">
        <v>-3132.17</v>
      </c>
      <c r="J164" s="125">
        <v>-1968.14</v>
      </c>
      <c r="K164" s="125">
        <v>-6065.58</v>
      </c>
      <c r="L164" s="125">
        <v>-1676.71</v>
      </c>
      <c r="M164" s="157">
        <v>-1072.28</v>
      </c>
      <c r="N164" s="157">
        <v>-2535.67</v>
      </c>
      <c r="O164" s="157">
        <v>-1531.77</v>
      </c>
      <c r="P164" s="125">
        <v>-1590.83</v>
      </c>
      <c r="Q164" s="157">
        <v>-1519.73</v>
      </c>
      <c r="R164" s="157">
        <v>-1309.45</v>
      </c>
      <c r="S164" s="157">
        <v>-1102.93</v>
      </c>
      <c r="T164" s="125">
        <v>-1835.42</v>
      </c>
      <c r="U164" s="125">
        <v>-3907.12</v>
      </c>
      <c r="V164" s="125">
        <v>-1759.09</v>
      </c>
      <c r="W164" s="125">
        <v>-3366.62</v>
      </c>
      <c r="X164" s="157">
        <v>-2852.75</v>
      </c>
      <c r="Y164" s="125">
        <v>-4151.62</v>
      </c>
      <c r="Z164" s="125">
        <v>-1080.1199999999999</v>
      </c>
      <c r="AA164" s="125">
        <v>-1476.2</v>
      </c>
      <c r="AB164" s="125">
        <v>-1894.8</v>
      </c>
      <c r="AC164" s="125">
        <v>-3000.95</v>
      </c>
      <c r="AD164" s="125">
        <v>-1967.35</v>
      </c>
      <c r="AE164" s="157">
        <v>-2649.96</v>
      </c>
      <c r="AF164" s="157">
        <v>-2089.04</v>
      </c>
      <c r="AG164" s="125">
        <v>-4180.3</v>
      </c>
      <c r="AH164" s="125">
        <v>-2183.66</v>
      </c>
      <c r="AI164" s="157">
        <v>-1874.39</v>
      </c>
      <c r="AJ164" s="157">
        <v>-2391.73</v>
      </c>
      <c r="AK164" s="157">
        <v>-1729.35</v>
      </c>
      <c r="AL164" s="125">
        <v>-84577.67</v>
      </c>
    </row>
    <row r="165" spans="1:38" s="117" customFormat="1" ht="15" customHeight="1" x14ac:dyDescent="0.2">
      <c r="A165" s="123" t="s">
        <v>238</v>
      </c>
      <c r="B165" s="124" t="s">
        <v>239</v>
      </c>
      <c r="C165" s="157">
        <v>0</v>
      </c>
      <c r="D165" s="125">
        <v>0</v>
      </c>
      <c r="E165" s="157">
        <v>0</v>
      </c>
      <c r="F165" s="125">
        <v>-2.61</v>
      </c>
      <c r="G165" s="157">
        <v>0</v>
      </c>
      <c r="H165" s="157">
        <v>0</v>
      </c>
      <c r="I165" s="157">
        <v>0</v>
      </c>
      <c r="J165" s="125">
        <v>-1.04</v>
      </c>
      <c r="K165" s="125">
        <v>0</v>
      </c>
      <c r="L165" s="125">
        <v>-1.57</v>
      </c>
      <c r="M165" s="157">
        <v>0</v>
      </c>
      <c r="N165" s="157">
        <v>-1.04</v>
      </c>
      <c r="O165" s="157">
        <v>0</v>
      </c>
      <c r="P165" s="125">
        <v>0</v>
      </c>
      <c r="Q165" s="157">
        <v>0</v>
      </c>
      <c r="R165" s="157">
        <v>0</v>
      </c>
      <c r="S165" s="157">
        <v>0</v>
      </c>
      <c r="T165" s="125">
        <v>-2.09</v>
      </c>
      <c r="U165" s="125">
        <v>-1.83</v>
      </c>
      <c r="V165" s="125">
        <v>0</v>
      </c>
      <c r="W165" s="125">
        <v>-1.57</v>
      </c>
      <c r="X165" s="157">
        <v>0</v>
      </c>
      <c r="Y165" s="125">
        <v>0</v>
      </c>
      <c r="Z165" s="125">
        <v>-1.57</v>
      </c>
      <c r="AA165" s="125">
        <v>-2.09</v>
      </c>
      <c r="AB165" s="125">
        <v>-2.09</v>
      </c>
      <c r="AC165" s="125">
        <v>-2.09</v>
      </c>
      <c r="AD165" s="125">
        <v>-2.09</v>
      </c>
      <c r="AE165" s="157">
        <v>-0.52</v>
      </c>
      <c r="AF165" s="157">
        <v>-2.09</v>
      </c>
      <c r="AG165" s="125">
        <v>-2.09</v>
      </c>
      <c r="AH165" s="125">
        <v>0</v>
      </c>
      <c r="AI165" s="157">
        <v>-1.57</v>
      </c>
      <c r="AJ165" s="157">
        <v>-1.57</v>
      </c>
      <c r="AK165" s="157">
        <v>-2.09</v>
      </c>
      <c r="AL165" s="125">
        <v>-31.61</v>
      </c>
    </row>
    <row r="166" spans="1:38" s="117" customFormat="1" ht="15" customHeight="1" x14ac:dyDescent="0.2">
      <c r="A166" s="123" t="s">
        <v>568</v>
      </c>
      <c r="B166" s="124" t="s">
        <v>567</v>
      </c>
      <c r="C166" s="157">
        <v>0</v>
      </c>
      <c r="D166" s="125">
        <v>0</v>
      </c>
      <c r="E166" s="157">
        <v>0</v>
      </c>
      <c r="F166" s="125">
        <v>0</v>
      </c>
      <c r="G166" s="157">
        <v>0</v>
      </c>
      <c r="H166" s="157">
        <v>0</v>
      </c>
      <c r="I166" s="157">
        <v>0</v>
      </c>
      <c r="J166" s="125">
        <v>0</v>
      </c>
      <c r="K166" s="125">
        <v>0</v>
      </c>
      <c r="L166" s="125">
        <v>0</v>
      </c>
      <c r="M166" s="157">
        <v>0</v>
      </c>
      <c r="N166" s="157">
        <v>0</v>
      </c>
      <c r="O166" s="157">
        <v>0</v>
      </c>
      <c r="P166" s="125">
        <v>0</v>
      </c>
      <c r="Q166" s="157">
        <v>0</v>
      </c>
      <c r="R166" s="157">
        <v>0</v>
      </c>
      <c r="S166" s="157">
        <v>0</v>
      </c>
      <c r="T166" s="125">
        <v>0</v>
      </c>
      <c r="U166" s="125">
        <v>0</v>
      </c>
      <c r="V166" s="125">
        <v>0</v>
      </c>
      <c r="W166" s="125">
        <v>0</v>
      </c>
      <c r="X166" s="157">
        <v>0</v>
      </c>
      <c r="Y166" s="125">
        <v>0.01</v>
      </c>
      <c r="Z166" s="125">
        <v>0</v>
      </c>
      <c r="AA166" s="125">
        <v>0</v>
      </c>
      <c r="AB166" s="125">
        <v>0</v>
      </c>
      <c r="AC166" s="125">
        <v>0</v>
      </c>
      <c r="AD166" s="125">
        <v>0</v>
      </c>
      <c r="AE166" s="157">
        <v>-0.01</v>
      </c>
      <c r="AF166" s="157">
        <v>0.01</v>
      </c>
      <c r="AG166" s="125">
        <v>0</v>
      </c>
      <c r="AH166" s="125">
        <v>0</v>
      </c>
      <c r="AI166" s="157">
        <v>0</v>
      </c>
      <c r="AJ166" s="157">
        <v>0</v>
      </c>
      <c r="AK166" s="157">
        <v>0</v>
      </c>
      <c r="AL166" s="125">
        <v>0.01</v>
      </c>
    </row>
    <row r="167" spans="1:38" s="117" customFormat="1" ht="15" customHeight="1" x14ac:dyDescent="0.2">
      <c r="A167" s="123" t="s">
        <v>240</v>
      </c>
      <c r="B167" s="124" t="s">
        <v>241</v>
      </c>
      <c r="C167" s="157">
        <v>-45454</v>
      </c>
      <c r="D167" s="125">
        <v>-46344</v>
      </c>
      <c r="E167" s="157">
        <v>-42522</v>
      </c>
      <c r="F167" s="125">
        <v>-40554</v>
      </c>
      <c r="G167" s="157">
        <v>-53250.15</v>
      </c>
      <c r="H167" s="157">
        <v>-39775</v>
      </c>
      <c r="I167" s="157">
        <v>-35517</v>
      </c>
      <c r="J167" s="125">
        <v>-28755</v>
      </c>
      <c r="K167" s="125">
        <v>-41552</v>
      </c>
      <c r="L167" s="125">
        <v>-52426</v>
      </c>
      <c r="M167" s="157">
        <v>-31390</v>
      </c>
      <c r="N167" s="157">
        <v>-43394</v>
      </c>
      <c r="O167" s="157">
        <v>-48281</v>
      </c>
      <c r="P167" s="125">
        <v>-33068</v>
      </c>
      <c r="Q167" s="157">
        <v>-67676</v>
      </c>
      <c r="R167" s="157">
        <v>-46599</v>
      </c>
      <c r="S167" s="157">
        <v>-26831</v>
      </c>
      <c r="T167" s="125">
        <v>-43436</v>
      </c>
      <c r="U167" s="125">
        <v>-70970</v>
      </c>
      <c r="V167" s="125">
        <v>-39133</v>
      </c>
      <c r="W167" s="125">
        <v>-45553</v>
      </c>
      <c r="X167" s="157">
        <v>-51181</v>
      </c>
      <c r="Y167" s="125">
        <v>-27347</v>
      </c>
      <c r="Z167" s="125">
        <v>-30964</v>
      </c>
      <c r="AA167" s="125">
        <v>-51165</v>
      </c>
      <c r="AB167" s="125">
        <v>-42206</v>
      </c>
      <c r="AC167" s="125">
        <v>-59997</v>
      </c>
      <c r="AD167" s="125">
        <v>-35552</v>
      </c>
      <c r="AE167" s="157">
        <v>-33161</v>
      </c>
      <c r="AF167" s="157">
        <v>-36919</v>
      </c>
      <c r="AG167" s="125">
        <v>-50790</v>
      </c>
      <c r="AH167" s="125">
        <v>-33792</v>
      </c>
      <c r="AI167" s="157">
        <v>-48540</v>
      </c>
      <c r="AJ167" s="157">
        <v>-48138</v>
      </c>
      <c r="AK167" s="157">
        <v>-40736</v>
      </c>
      <c r="AL167" s="125">
        <v>-1512968.15</v>
      </c>
    </row>
    <row r="168" spans="1:38" s="117" customFormat="1" ht="15" customHeight="1" x14ac:dyDescent="0.2">
      <c r="A168" s="123" t="s">
        <v>482</v>
      </c>
      <c r="B168" s="124" t="s">
        <v>483</v>
      </c>
      <c r="C168" s="157">
        <v>0</v>
      </c>
      <c r="D168" s="125">
        <v>0</v>
      </c>
      <c r="E168" s="157">
        <v>0</v>
      </c>
      <c r="F168" s="125">
        <v>0</v>
      </c>
      <c r="G168" s="157">
        <v>0</v>
      </c>
      <c r="H168" s="157">
        <v>0</v>
      </c>
      <c r="I168" s="157">
        <v>0</v>
      </c>
      <c r="J168" s="125">
        <v>0</v>
      </c>
      <c r="K168" s="125">
        <v>0</v>
      </c>
      <c r="L168" s="125">
        <v>0</v>
      </c>
      <c r="M168" s="157">
        <v>0</v>
      </c>
      <c r="N168" s="157">
        <v>0</v>
      </c>
      <c r="O168" s="157">
        <v>0</v>
      </c>
      <c r="P168" s="125">
        <v>0</v>
      </c>
      <c r="Q168" s="157">
        <v>0</v>
      </c>
      <c r="R168" s="157">
        <v>0</v>
      </c>
      <c r="S168" s="157">
        <v>0</v>
      </c>
      <c r="T168" s="125">
        <v>0</v>
      </c>
      <c r="U168" s="125">
        <v>0</v>
      </c>
      <c r="V168" s="125">
        <v>0</v>
      </c>
      <c r="W168" s="125">
        <v>0</v>
      </c>
      <c r="X168" s="157">
        <v>0</v>
      </c>
      <c r="Y168" s="125">
        <v>0</v>
      </c>
      <c r="Z168" s="125">
        <v>0</v>
      </c>
      <c r="AA168" s="125">
        <v>0</v>
      </c>
      <c r="AB168" s="125">
        <v>0</v>
      </c>
      <c r="AC168" s="125">
        <v>0</v>
      </c>
      <c r="AD168" s="125">
        <v>0</v>
      </c>
      <c r="AE168" s="157">
        <v>0</v>
      </c>
      <c r="AF168" s="157">
        <v>0</v>
      </c>
      <c r="AG168" s="125">
        <v>0</v>
      </c>
      <c r="AH168" s="125">
        <v>0</v>
      </c>
      <c r="AI168" s="157">
        <v>0</v>
      </c>
      <c r="AJ168" s="157">
        <v>-300</v>
      </c>
      <c r="AK168" s="157">
        <v>0</v>
      </c>
      <c r="AL168" s="125">
        <v>-300</v>
      </c>
    </row>
    <row r="169" spans="1:38" s="117" customFormat="1" ht="15" customHeight="1" x14ac:dyDescent="0.2">
      <c r="A169" s="123" t="s">
        <v>242</v>
      </c>
      <c r="B169" s="124" t="s">
        <v>243</v>
      </c>
      <c r="C169" s="157">
        <v>-3900</v>
      </c>
      <c r="D169" s="125">
        <v>-4000</v>
      </c>
      <c r="E169" s="157">
        <v>-6650</v>
      </c>
      <c r="F169" s="125">
        <v>-3200</v>
      </c>
      <c r="G169" s="157">
        <v>0</v>
      </c>
      <c r="H169" s="157">
        <v>-1550</v>
      </c>
      <c r="I169" s="157">
        <v>-4350</v>
      </c>
      <c r="J169" s="125">
        <v>-3000</v>
      </c>
      <c r="K169" s="125">
        <v>-2800</v>
      </c>
      <c r="L169" s="125">
        <v>-3900</v>
      </c>
      <c r="M169" s="157">
        <v>-1350</v>
      </c>
      <c r="N169" s="157">
        <v>-2500</v>
      </c>
      <c r="O169" s="157">
        <v>-5550</v>
      </c>
      <c r="P169" s="125">
        <v>-4100</v>
      </c>
      <c r="Q169" s="157">
        <v>-5600</v>
      </c>
      <c r="R169" s="157">
        <v>-900</v>
      </c>
      <c r="S169" s="157">
        <v>-1700</v>
      </c>
      <c r="T169" s="125">
        <v>-5346</v>
      </c>
      <c r="U169" s="125">
        <v>-1250</v>
      </c>
      <c r="V169" s="125">
        <v>-2700</v>
      </c>
      <c r="W169" s="125">
        <v>-4800</v>
      </c>
      <c r="X169" s="157">
        <v>-4800</v>
      </c>
      <c r="Y169" s="125">
        <v>0</v>
      </c>
      <c r="Z169" s="125">
        <v>-500</v>
      </c>
      <c r="AA169" s="125">
        <v>-5100</v>
      </c>
      <c r="AB169" s="125">
        <v>-900</v>
      </c>
      <c r="AC169" s="125">
        <v>0</v>
      </c>
      <c r="AD169" s="125">
        <v>0</v>
      </c>
      <c r="AE169" s="157">
        <v>-700</v>
      </c>
      <c r="AF169" s="157">
        <v>0</v>
      </c>
      <c r="AG169" s="125">
        <v>-4800</v>
      </c>
      <c r="AH169" s="125">
        <v>0</v>
      </c>
      <c r="AI169" s="157">
        <v>-2400</v>
      </c>
      <c r="AJ169" s="157">
        <v>-2180</v>
      </c>
      <c r="AK169" s="157">
        <v>-2400</v>
      </c>
      <c r="AL169" s="125">
        <v>-92926</v>
      </c>
    </row>
    <row r="170" spans="1:38" s="117" customFormat="1" ht="15" customHeight="1" x14ac:dyDescent="0.2">
      <c r="A170" s="123" t="s">
        <v>244</v>
      </c>
      <c r="B170" s="124" t="s">
        <v>245</v>
      </c>
      <c r="C170" s="157">
        <v>-6106.99</v>
      </c>
      <c r="D170" s="125">
        <v>-2082.19</v>
      </c>
      <c r="E170" s="157">
        <v>-7262.84</v>
      </c>
      <c r="F170" s="125">
        <v>-6098.24</v>
      </c>
      <c r="G170" s="157">
        <v>-10176.36</v>
      </c>
      <c r="H170" s="157">
        <v>-6645.44</v>
      </c>
      <c r="I170" s="157">
        <v>-4912.6000000000004</v>
      </c>
      <c r="J170" s="125">
        <v>-3641.46</v>
      </c>
      <c r="K170" s="125">
        <v>-1806.15</v>
      </c>
      <c r="L170" s="125">
        <v>-8022.32</v>
      </c>
      <c r="M170" s="157">
        <v>-1118.79</v>
      </c>
      <c r="N170" s="157">
        <v>-8677.9</v>
      </c>
      <c r="O170" s="157">
        <v>-7643.44</v>
      </c>
      <c r="P170" s="125">
        <v>-1405.79</v>
      </c>
      <c r="Q170" s="157">
        <v>-7865.68</v>
      </c>
      <c r="R170" s="157">
        <v>-9222.27</v>
      </c>
      <c r="S170" s="157">
        <v>-1054.98</v>
      </c>
      <c r="T170" s="125">
        <v>-1688.85</v>
      </c>
      <c r="U170" s="125">
        <v>-8086.79</v>
      </c>
      <c r="V170" s="125">
        <v>-6912.17</v>
      </c>
      <c r="W170" s="125">
        <v>-5294.46</v>
      </c>
      <c r="X170" s="157">
        <v>-7456.63</v>
      </c>
      <c r="Y170" s="125">
        <v>-8430.89</v>
      </c>
      <c r="Z170" s="125">
        <v>-1274.24</v>
      </c>
      <c r="AA170" s="125">
        <v>-7886.79</v>
      </c>
      <c r="AB170" s="125">
        <v>-243.08</v>
      </c>
      <c r="AC170" s="125">
        <v>-7915.43</v>
      </c>
      <c r="AD170" s="125">
        <v>-4419.43</v>
      </c>
      <c r="AE170" s="157">
        <v>-5778.51</v>
      </c>
      <c r="AF170" s="157">
        <v>-5703.19</v>
      </c>
      <c r="AG170" s="125">
        <v>-7385.88</v>
      </c>
      <c r="AH170" s="125">
        <v>-2583.2199999999998</v>
      </c>
      <c r="AI170" s="157">
        <v>-7711.09</v>
      </c>
      <c r="AJ170" s="157">
        <v>-7141.52</v>
      </c>
      <c r="AK170" s="157">
        <v>-5415.99</v>
      </c>
      <c r="AL170" s="125">
        <v>-195071.6</v>
      </c>
    </row>
    <row r="171" spans="1:38" s="117" customFormat="1" ht="15" customHeight="1" x14ac:dyDescent="0.2">
      <c r="A171" s="123" t="s">
        <v>246</v>
      </c>
      <c r="B171" s="124" t="s">
        <v>247</v>
      </c>
      <c r="C171" s="157">
        <v>97</v>
      </c>
      <c r="D171" s="125">
        <v>0</v>
      </c>
      <c r="E171" s="157">
        <v>-1</v>
      </c>
      <c r="F171" s="125">
        <v>0</v>
      </c>
      <c r="G171" s="157">
        <v>-718</v>
      </c>
      <c r="H171" s="157">
        <v>412</v>
      </c>
      <c r="I171" s="157">
        <v>0</v>
      </c>
      <c r="J171" s="125">
        <v>-16</v>
      </c>
      <c r="K171" s="125">
        <v>0</v>
      </c>
      <c r="L171" s="125">
        <v>0</v>
      </c>
      <c r="M171" s="157">
        <v>-139</v>
      </c>
      <c r="N171" s="157">
        <v>-174.28</v>
      </c>
      <c r="O171" s="157">
        <v>0</v>
      </c>
      <c r="P171" s="125">
        <v>0</v>
      </c>
      <c r="Q171" s="157">
        <v>0</v>
      </c>
      <c r="R171" s="157">
        <v>0</v>
      </c>
      <c r="S171" s="157">
        <v>0</v>
      </c>
      <c r="T171" s="125">
        <v>187</v>
      </c>
      <c r="U171" s="125">
        <v>0</v>
      </c>
      <c r="V171" s="125">
        <v>-32</v>
      </c>
      <c r="W171" s="125">
        <v>400</v>
      </c>
      <c r="X171" s="157">
        <v>-1219.8800000000001</v>
      </c>
      <c r="Y171" s="125">
        <v>0</v>
      </c>
      <c r="Z171" s="125">
        <v>0</v>
      </c>
      <c r="AA171" s="125">
        <v>0</v>
      </c>
      <c r="AB171" s="125">
        <v>0</v>
      </c>
      <c r="AC171" s="125">
        <v>0.46</v>
      </c>
      <c r="AD171" s="125">
        <v>199.54</v>
      </c>
      <c r="AE171" s="157">
        <v>0</v>
      </c>
      <c r="AF171" s="157">
        <v>-1125</v>
      </c>
      <c r="AG171" s="125">
        <v>-19.03</v>
      </c>
      <c r="AH171" s="125">
        <v>0</v>
      </c>
      <c r="AI171" s="157">
        <v>-777.06</v>
      </c>
      <c r="AJ171" s="157">
        <v>-176</v>
      </c>
      <c r="AK171" s="157">
        <v>0</v>
      </c>
      <c r="AL171" s="125">
        <v>-3101.25</v>
      </c>
    </row>
    <row r="172" spans="1:38" s="117" customFormat="1" ht="15" customHeight="1" x14ac:dyDescent="0.2">
      <c r="A172" s="123" t="s">
        <v>248</v>
      </c>
      <c r="B172" s="124" t="s">
        <v>249</v>
      </c>
      <c r="C172" s="157">
        <v>-7827.5</v>
      </c>
      <c r="D172" s="125">
        <v>0</v>
      </c>
      <c r="E172" s="157">
        <v>-7750</v>
      </c>
      <c r="F172" s="125">
        <v>-7827.5</v>
      </c>
      <c r="G172" s="157">
        <v>-13175</v>
      </c>
      <c r="H172" s="157">
        <v>-7672.5</v>
      </c>
      <c r="I172" s="157">
        <v>0</v>
      </c>
      <c r="J172" s="125">
        <v>-6200</v>
      </c>
      <c r="K172" s="125">
        <v>-7750</v>
      </c>
      <c r="L172" s="125">
        <v>-8190</v>
      </c>
      <c r="M172" s="157">
        <v>-6200</v>
      </c>
      <c r="N172" s="157">
        <v>-7750</v>
      </c>
      <c r="O172" s="157">
        <v>-7750</v>
      </c>
      <c r="P172" s="125">
        <v>-6200</v>
      </c>
      <c r="Q172" s="157">
        <v>-13199.95</v>
      </c>
      <c r="R172" s="157">
        <v>-7827.5</v>
      </c>
      <c r="S172" s="157">
        <v>-4960</v>
      </c>
      <c r="T172" s="125">
        <v>-7905</v>
      </c>
      <c r="U172" s="125">
        <v>-11857.5</v>
      </c>
      <c r="V172" s="125">
        <v>-7052.5</v>
      </c>
      <c r="W172" s="125">
        <v>-3991.01</v>
      </c>
      <c r="X172" s="157">
        <v>-7827.5</v>
      </c>
      <c r="Y172" s="125">
        <v>-8370</v>
      </c>
      <c r="Z172" s="125">
        <v>-5812.5</v>
      </c>
      <c r="AA172" s="125">
        <v>-7750</v>
      </c>
      <c r="AB172" s="125">
        <v>-6975</v>
      </c>
      <c r="AC172" s="125">
        <v>-6355.87</v>
      </c>
      <c r="AD172" s="125">
        <v>-9300</v>
      </c>
      <c r="AE172" s="157">
        <v>-6274.09</v>
      </c>
      <c r="AF172" s="157">
        <v>-8720</v>
      </c>
      <c r="AG172" s="125">
        <v>-8680</v>
      </c>
      <c r="AH172" s="125">
        <v>-36946.410000000003</v>
      </c>
      <c r="AI172" s="157">
        <v>-7982.5</v>
      </c>
      <c r="AJ172" s="157">
        <v>-8447.5</v>
      </c>
      <c r="AK172" s="157">
        <v>-6975</v>
      </c>
      <c r="AL172" s="125">
        <v>-287502.33</v>
      </c>
    </row>
    <row r="173" spans="1:38" s="117" customFormat="1" ht="15" customHeight="1" x14ac:dyDescent="0.2">
      <c r="A173" s="123" t="s">
        <v>484</v>
      </c>
      <c r="B173" s="124" t="s">
        <v>485</v>
      </c>
      <c r="C173" s="157">
        <v>0</v>
      </c>
      <c r="D173" s="125">
        <v>0</v>
      </c>
      <c r="E173" s="157">
        <v>0</v>
      </c>
      <c r="F173" s="125">
        <v>0</v>
      </c>
      <c r="G173" s="157">
        <v>-784</v>
      </c>
      <c r="H173" s="157">
        <v>0</v>
      </c>
      <c r="I173" s="157">
        <v>0</v>
      </c>
      <c r="J173" s="125">
        <v>0</v>
      </c>
      <c r="K173" s="125">
        <v>0</v>
      </c>
      <c r="L173" s="125">
        <v>0</v>
      </c>
      <c r="M173" s="157">
        <v>0</v>
      </c>
      <c r="N173" s="157">
        <v>0</v>
      </c>
      <c r="O173" s="157">
        <v>0</v>
      </c>
      <c r="P173" s="125">
        <v>0</v>
      </c>
      <c r="Q173" s="157">
        <v>0</v>
      </c>
      <c r="R173" s="157">
        <v>0</v>
      </c>
      <c r="S173" s="157">
        <v>0</v>
      </c>
      <c r="T173" s="125">
        <v>0</v>
      </c>
      <c r="U173" s="125">
        <v>0</v>
      </c>
      <c r="V173" s="125">
        <v>0</v>
      </c>
      <c r="W173" s="125">
        <v>0</v>
      </c>
      <c r="X173" s="157">
        <v>0</v>
      </c>
      <c r="Y173" s="125">
        <v>-195</v>
      </c>
      <c r="Z173" s="125">
        <v>0</v>
      </c>
      <c r="AA173" s="125">
        <v>0</v>
      </c>
      <c r="AB173" s="125">
        <v>0</v>
      </c>
      <c r="AC173" s="125">
        <v>0</v>
      </c>
      <c r="AD173" s="125">
        <v>254</v>
      </c>
      <c r="AE173" s="157">
        <v>0</v>
      </c>
      <c r="AF173" s="157">
        <v>0</v>
      </c>
      <c r="AG173" s="125">
        <v>0</v>
      </c>
      <c r="AH173" s="125">
        <v>0</v>
      </c>
      <c r="AI173" s="157">
        <v>0</v>
      </c>
      <c r="AJ173" s="157">
        <v>0</v>
      </c>
      <c r="AK173" s="157">
        <v>0</v>
      </c>
      <c r="AL173" s="125">
        <v>-725</v>
      </c>
    </row>
    <row r="174" spans="1:38" s="117" customFormat="1" ht="15" customHeight="1" x14ac:dyDescent="0.2">
      <c r="A174" s="123" t="s">
        <v>250</v>
      </c>
      <c r="B174" s="124" t="s">
        <v>251</v>
      </c>
      <c r="C174" s="157">
        <v>0</v>
      </c>
      <c r="D174" s="125">
        <v>0</v>
      </c>
      <c r="E174" s="157">
        <v>0</v>
      </c>
      <c r="F174" s="125">
        <v>0</v>
      </c>
      <c r="G174" s="157">
        <v>0</v>
      </c>
      <c r="H174" s="157">
        <v>0</v>
      </c>
      <c r="I174" s="157">
        <v>0</v>
      </c>
      <c r="J174" s="125">
        <v>-11582.71</v>
      </c>
      <c r="K174" s="125">
        <v>0</v>
      </c>
      <c r="L174" s="125">
        <v>-17407.080000000002</v>
      </c>
      <c r="M174" s="157">
        <v>0</v>
      </c>
      <c r="N174" s="157">
        <v>-15271.86</v>
      </c>
      <c r="O174" s="157">
        <v>0</v>
      </c>
      <c r="P174" s="125">
        <v>0</v>
      </c>
      <c r="Q174" s="157">
        <v>0</v>
      </c>
      <c r="R174" s="157">
        <v>0</v>
      </c>
      <c r="S174" s="157">
        <v>0</v>
      </c>
      <c r="T174" s="125">
        <v>0</v>
      </c>
      <c r="U174" s="125">
        <v>-27219.7</v>
      </c>
      <c r="V174" s="125">
        <v>0</v>
      </c>
      <c r="W174" s="125">
        <v>0</v>
      </c>
      <c r="X174" s="157">
        <v>0</v>
      </c>
      <c r="Y174" s="125">
        <v>0</v>
      </c>
      <c r="Z174" s="125">
        <v>-5390.8</v>
      </c>
      <c r="AA174" s="125">
        <v>-13584.81</v>
      </c>
      <c r="AB174" s="125">
        <v>0</v>
      </c>
      <c r="AC174" s="125">
        <v>-4651.01</v>
      </c>
      <c r="AD174" s="125">
        <v>0</v>
      </c>
      <c r="AE174" s="157">
        <v>-2967.81</v>
      </c>
      <c r="AF174" s="157">
        <v>-13746.33</v>
      </c>
      <c r="AG174" s="125">
        <v>-23979.89</v>
      </c>
      <c r="AH174" s="125">
        <v>-9584.06</v>
      </c>
      <c r="AI174" s="157">
        <v>-18140.2</v>
      </c>
      <c r="AJ174" s="157">
        <v>-18877.78</v>
      </c>
      <c r="AK174" s="157">
        <v>-16157.68</v>
      </c>
      <c r="AL174" s="125">
        <v>-198561.72</v>
      </c>
    </row>
    <row r="175" spans="1:38" s="117" customFormat="1" ht="15" customHeight="1" x14ac:dyDescent="0.2">
      <c r="A175" s="123" t="s">
        <v>486</v>
      </c>
      <c r="B175" s="124" t="s">
        <v>487</v>
      </c>
      <c r="C175" s="157">
        <v>-26993.22</v>
      </c>
      <c r="D175" s="125">
        <v>-17935.52</v>
      </c>
      <c r="E175" s="157">
        <v>-28812.36</v>
      </c>
      <c r="F175" s="125">
        <v>0</v>
      </c>
      <c r="G175" s="157">
        <v>0</v>
      </c>
      <c r="H175" s="157">
        <v>-12212.7</v>
      </c>
      <c r="I175" s="157">
        <v>-16566.84</v>
      </c>
      <c r="J175" s="125">
        <v>0</v>
      </c>
      <c r="K175" s="125">
        <v>-9664.25</v>
      </c>
      <c r="L175" s="125">
        <v>0</v>
      </c>
      <c r="M175" s="157">
        <v>-8997.75</v>
      </c>
      <c r="N175" s="157">
        <v>0</v>
      </c>
      <c r="O175" s="157">
        <v>-19106.98</v>
      </c>
      <c r="P175" s="125">
        <v>-5665.25</v>
      </c>
      <c r="Q175" s="157">
        <v>0</v>
      </c>
      <c r="R175" s="157">
        <v>-13788.54</v>
      </c>
      <c r="S175" s="157">
        <v>-4332.25</v>
      </c>
      <c r="T175" s="125">
        <v>0</v>
      </c>
      <c r="U175" s="125">
        <v>0</v>
      </c>
      <c r="V175" s="125">
        <v>-22525.81</v>
      </c>
      <c r="W175" s="125">
        <v>-14877.67</v>
      </c>
      <c r="X175" s="157">
        <v>-18319.060000000001</v>
      </c>
      <c r="Y175" s="125">
        <v>0</v>
      </c>
      <c r="Z175" s="125">
        <v>0</v>
      </c>
      <c r="AA175" s="125">
        <v>0</v>
      </c>
      <c r="AB175" s="125">
        <v>-11216.91</v>
      </c>
      <c r="AC175" s="125">
        <v>0</v>
      </c>
      <c r="AD175" s="125">
        <v>-11397.91</v>
      </c>
      <c r="AE175" s="157">
        <v>0</v>
      </c>
      <c r="AF175" s="157">
        <v>0</v>
      </c>
      <c r="AG175" s="125">
        <v>0</v>
      </c>
      <c r="AH175" s="125">
        <v>0</v>
      </c>
      <c r="AI175" s="157">
        <v>0</v>
      </c>
      <c r="AJ175" s="157">
        <v>0</v>
      </c>
      <c r="AK175" s="157">
        <v>0</v>
      </c>
      <c r="AL175" s="125">
        <v>-242413.02</v>
      </c>
    </row>
    <row r="176" spans="1:38" s="117" customFormat="1" ht="15" customHeight="1" x14ac:dyDescent="0.2">
      <c r="A176" s="123" t="s">
        <v>1439</v>
      </c>
      <c r="B176" s="124" t="s">
        <v>1440</v>
      </c>
      <c r="C176" s="157">
        <v>0</v>
      </c>
      <c r="D176" s="125">
        <v>0</v>
      </c>
      <c r="E176" s="157">
        <v>0</v>
      </c>
      <c r="F176" s="125">
        <v>0</v>
      </c>
      <c r="G176" s="157">
        <v>-89607.5</v>
      </c>
      <c r="H176" s="157">
        <v>0</v>
      </c>
      <c r="I176" s="157">
        <v>0</v>
      </c>
      <c r="J176" s="125">
        <v>0</v>
      </c>
      <c r="K176" s="125">
        <v>0</v>
      </c>
      <c r="L176" s="125">
        <v>0</v>
      </c>
      <c r="M176" s="157">
        <v>0</v>
      </c>
      <c r="N176" s="157">
        <v>0</v>
      </c>
      <c r="O176" s="157">
        <v>0</v>
      </c>
      <c r="P176" s="125">
        <v>0</v>
      </c>
      <c r="Q176" s="157">
        <v>-39608.769999999997</v>
      </c>
      <c r="R176" s="157">
        <v>0</v>
      </c>
      <c r="S176" s="157">
        <v>0</v>
      </c>
      <c r="T176" s="125">
        <v>0</v>
      </c>
      <c r="U176" s="125">
        <v>0</v>
      </c>
      <c r="V176" s="125">
        <v>0</v>
      </c>
      <c r="W176" s="125">
        <v>0</v>
      </c>
      <c r="X176" s="157">
        <v>0</v>
      </c>
      <c r="Y176" s="125">
        <v>-30728.75</v>
      </c>
      <c r="Z176" s="125">
        <v>0</v>
      </c>
      <c r="AA176" s="125">
        <v>0</v>
      </c>
      <c r="AB176" s="125">
        <v>0</v>
      </c>
      <c r="AC176" s="125">
        <v>0</v>
      </c>
      <c r="AD176" s="125">
        <v>0</v>
      </c>
      <c r="AE176" s="157">
        <v>0</v>
      </c>
      <c r="AF176" s="157">
        <v>0</v>
      </c>
      <c r="AG176" s="125">
        <v>0</v>
      </c>
      <c r="AH176" s="125">
        <v>0</v>
      </c>
      <c r="AI176" s="157">
        <v>0</v>
      </c>
      <c r="AJ176" s="157">
        <v>0</v>
      </c>
      <c r="AK176" s="157">
        <v>0</v>
      </c>
      <c r="AL176" s="125">
        <v>-159945.01999999999</v>
      </c>
    </row>
    <row r="177" spans="1:38" s="117" customFormat="1" ht="15" customHeight="1" x14ac:dyDescent="0.2">
      <c r="A177" s="123" t="s">
        <v>252</v>
      </c>
      <c r="B177" s="124" t="s">
        <v>253</v>
      </c>
      <c r="C177" s="157">
        <v>-326983.11</v>
      </c>
      <c r="D177" s="125">
        <v>0</v>
      </c>
      <c r="E177" s="157">
        <v>-284405.98</v>
      </c>
      <c r="F177" s="125">
        <v>-854792.45</v>
      </c>
      <c r="G177" s="157">
        <v>-172724.57</v>
      </c>
      <c r="H177" s="157">
        <v>-396344.76</v>
      </c>
      <c r="I177" s="157">
        <v>-461901.53</v>
      </c>
      <c r="J177" s="125">
        <v>-442093.68</v>
      </c>
      <c r="K177" s="125">
        <v>0</v>
      </c>
      <c r="L177" s="125">
        <v>-133340.76999999999</v>
      </c>
      <c r="M177" s="157">
        <v>0</v>
      </c>
      <c r="N177" s="157">
        <v>-157924.17000000001</v>
      </c>
      <c r="O177" s="157">
        <v>-322133.78999999998</v>
      </c>
      <c r="P177" s="125">
        <v>0</v>
      </c>
      <c r="Q177" s="157">
        <v>-290880.82</v>
      </c>
      <c r="R177" s="157">
        <v>-329842.36</v>
      </c>
      <c r="S177" s="157">
        <v>-143565.67000000001</v>
      </c>
      <c r="T177" s="125">
        <v>-435194</v>
      </c>
      <c r="U177" s="125">
        <v>-202455.8</v>
      </c>
      <c r="V177" s="125">
        <v>0</v>
      </c>
      <c r="W177" s="125">
        <v>-420085.77</v>
      </c>
      <c r="X177" s="157">
        <v>-370206.8</v>
      </c>
      <c r="Y177" s="125">
        <v>-154773.44</v>
      </c>
      <c r="Z177" s="125">
        <v>0</v>
      </c>
      <c r="AA177" s="125">
        <v>-408769.78</v>
      </c>
      <c r="AB177" s="125">
        <v>0</v>
      </c>
      <c r="AC177" s="125">
        <v>-570620.86</v>
      </c>
      <c r="AD177" s="125">
        <v>-587966.81999999995</v>
      </c>
      <c r="AE177" s="157">
        <v>-354009.23</v>
      </c>
      <c r="AF177" s="157">
        <v>0</v>
      </c>
      <c r="AG177" s="125">
        <v>-82458.179999999993</v>
      </c>
      <c r="AH177" s="125">
        <v>0</v>
      </c>
      <c r="AI177" s="157">
        <v>-184464</v>
      </c>
      <c r="AJ177" s="157">
        <v>-218114.38</v>
      </c>
      <c r="AK177" s="157">
        <v>-184838.74</v>
      </c>
      <c r="AL177" s="125">
        <v>-8490891.4600000009</v>
      </c>
    </row>
    <row r="178" spans="1:38" s="117" customFormat="1" ht="15" customHeight="1" x14ac:dyDescent="0.2">
      <c r="A178" s="123" t="s">
        <v>254</v>
      </c>
      <c r="B178" s="124" t="s">
        <v>255</v>
      </c>
      <c r="C178" s="157">
        <v>300128.18</v>
      </c>
      <c r="D178" s="125">
        <v>0</v>
      </c>
      <c r="E178" s="157">
        <v>261234.48</v>
      </c>
      <c r="F178" s="125">
        <v>774425.45</v>
      </c>
      <c r="G178" s="157">
        <v>154763.75</v>
      </c>
      <c r="H178" s="157">
        <v>369964.78</v>
      </c>
      <c r="I178" s="157">
        <v>250615</v>
      </c>
      <c r="J178" s="125">
        <v>391277.96</v>
      </c>
      <c r="K178" s="125">
        <v>0</v>
      </c>
      <c r="L178" s="125">
        <v>112930.13</v>
      </c>
      <c r="M178" s="157">
        <v>0</v>
      </c>
      <c r="N178" s="157">
        <v>142144.82999999999</v>
      </c>
      <c r="O178" s="157">
        <v>293302.49</v>
      </c>
      <c r="P178" s="125">
        <v>0</v>
      </c>
      <c r="Q178" s="157">
        <v>273253.84000000003</v>
      </c>
      <c r="R178" s="157">
        <v>301344.43</v>
      </c>
      <c r="S178" s="157">
        <v>0</v>
      </c>
      <c r="T178" s="125">
        <v>0</v>
      </c>
      <c r="U178" s="125">
        <v>0</v>
      </c>
      <c r="V178" s="125">
        <v>0</v>
      </c>
      <c r="W178" s="125">
        <v>344035.21</v>
      </c>
      <c r="X178" s="157">
        <v>337119.79</v>
      </c>
      <c r="Y178" s="125">
        <v>141947.92000000001</v>
      </c>
      <c r="Z178" s="125">
        <v>0</v>
      </c>
      <c r="AA178" s="125">
        <v>366037.66</v>
      </c>
      <c r="AB178" s="125">
        <v>0</v>
      </c>
      <c r="AC178" s="125">
        <v>513721.08</v>
      </c>
      <c r="AD178" s="125">
        <v>533741.9</v>
      </c>
      <c r="AE178" s="157">
        <v>282803.5</v>
      </c>
      <c r="AF178" s="157">
        <v>0</v>
      </c>
      <c r="AG178" s="125">
        <v>76256.87</v>
      </c>
      <c r="AH178" s="125">
        <v>0</v>
      </c>
      <c r="AI178" s="157">
        <v>152842</v>
      </c>
      <c r="AJ178" s="157">
        <v>183026.87</v>
      </c>
      <c r="AK178" s="157">
        <v>148275.79999999999</v>
      </c>
      <c r="AL178" s="125">
        <v>6705193.9199999999</v>
      </c>
    </row>
    <row r="179" spans="1:38" s="117" customFormat="1" ht="15" customHeight="1" x14ac:dyDescent="0.2">
      <c r="A179" s="123" t="s">
        <v>256</v>
      </c>
      <c r="B179" s="124" t="s">
        <v>257</v>
      </c>
      <c r="C179" s="157">
        <v>0</v>
      </c>
      <c r="D179" s="125">
        <v>0</v>
      </c>
      <c r="E179" s="157">
        <v>-97633.35</v>
      </c>
      <c r="F179" s="125">
        <v>-213756.63</v>
      </c>
      <c r="G179" s="157">
        <v>0</v>
      </c>
      <c r="H179" s="157">
        <v>0</v>
      </c>
      <c r="I179" s="157">
        <v>0</v>
      </c>
      <c r="J179" s="125">
        <v>0</v>
      </c>
      <c r="K179" s="125">
        <v>0</v>
      </c>
      <c r="L179" s="125">
        <v>-465836.6</v>
      </c>
      <c r="M179" s="157">
        <v>-125480.64</v>
      </c>
      <c r="N179" s="157">
        <v>0</v>
      </c>
      <c r="O179" s="157">
        <v>-46261.2</v>
      </c>
      <c r="P179" s="125">
        <v>-316211.01</v>
      </c>
      <c r="Q179" s="157">
        <v>-108000.36</v>
      </c>
      <c r="R179" s="157">
        <v>-160429.93</v>
      </c>
      <c r="S179" s="157">
        <v>0</v>
      </c>
      <c r="T179" s="125">
        <v>0</v>
      </c>
      <c r="U179" s="125">
        <v>-135315.46</v>
      </c>
      <c r="V179" s="125">
        <v>-214975.18</v>
      </c>
      <c r="W179" s="125">
        <v>-144903.23000000001</v>
      </c>
      <c r="X179" s="157">
        <v>-120944.79</v>
      </c>
      <c r="Y179" s="125">
        <v>-13624.86</v>
      </c>
      <c r="Z179" s="125">
        <v>-591099.79</v>
      </c>
      <c r="AA179" s="125">
        <v>0</v>
      </c>
      <c r="AB179" s="125">
        <v>0</v>
      </c>
      <c r="AC179" s="125">
        <v>0</v>
      </c>
      <c r="AD179" s="125">
        <v>0</v>
      </c>
      <c r="AE179" s="157">
        <v>0</v>
      </c>
      <c r="AF179" s="157">
        <v>0</v>
      </c>
      <c r="AG179" s="125">
        <v>0</v>
      </c>
      <c r="AH179" s="125">
        <v>-79519.48</v>
      </c>
      <c r="AI179" s="157">
        <v>-253159.2</v>
      </c>
      <c r="AJ179" s="157">
        <v>-87736.08</v>
      </c>
      <c r="AK179" s="157">
        <v>-140969.46</v>
      </c>
      <c r="AL179" s="125">
        <v>-3315857.25</v>
      </c>
    </row>
    <row r="180" spans="1:38" s="117" customFormat="1" ht="15" customHeight="1" x14ac:dyDescent="0.2">
      <c r="A180" s="123" t="s">
        <v>258</v>
      </c>
      <c r="B180" s="124" t="s">
        <v>259</v>
      </c>
      <c r="C180" s="157">
        <v>0</v>
      </c>
      <c r="D180" s="125">
        <v>0</v>
      </c>
      <c r="E180" s="157">
        <v>56264</v>
      </c>
      <c r="F180" s="125">
        <v>103396</v>
      </c>
      <c r="G180" s="157">
        <v>0</v>
      </c>
      <c r="H180" s="157">
        <v>0</v>
      </c>
      <c r="I180" s="157">
        <v>0</v>
      </c>
      <c r="J180" s="125">
        <v>0</v>
      </c>
      <c r="K180" s="125">
        <v>0</v>
      </c>
      <c r="L180" s="125">
        <v>0</v>
      </c>
      <c r="M180" s="157">
        <v>0</v>
      </c>
      <c r="N180" s="157">
        <v>0</v>
      </c>
      <c r="O180" s="157">
        <v>41778.370000000003</v>
      </c>
      <c r="P180" s="125">
        <v>0</v>
      </c>
      <c r="Q180" s="157">
        <v>50525</v>
      </c>
      <c r="R180" s="157">
        <v>145667</v>
      </c>
      <c r="S180" s="157">
        <v>0</v>
      </c>
      <c r="T180" s="125">
        <v>0</v>
      </c>
      <c r="U180" s="125">
        <v>119856</v>
      </c>
      <c r="V180" s="125">
        <v>193429.56</v>
      </c>
      <c r="W180" s="125">
        <v>93980</v>
      </c>
      <c r="X180" s="157">
        <v>108794.01</v>
      </c>
      <c r="Y180" s="125">
        <v>12301</v>
      </c>
      <c r="Z180" s="125">
        <v>0</v>
      </c>
      <c r="AA180" s="125">
        <v>0</v>
      </c>
      <c r="AB180" s="125">
        <v>0</v>
      </c>
      <c r="AC180" s="125">
        <v>0</v>
      </c>
      <c r="AD180" s="125">
        <v>0</v>
      </c>
      <c r="AE180" s="157">
        <v>0</v>
      </c>
      <c r="AF180" s="157">
        <v>0</v>
      </c>
      <c r="AG180" s="125">
        <v>0</v>
      </c>
      <c r="AH180" s="125">
        <v>69940</v>
      </c>
      <c r="AI180" s="157">
        <v>210737.42</v>
      </c>
      <c r="AJ180" s="157">
        <v>75057.05</v>
      </c>
      <c r="AK180" s="157">
        <v>116214.65</v>
      </c>
      <c r="AL180" s="125">
        <v>1397940.06</v>
      </c>
    </row>
    <row r="181" spans="1:38" s="117" customFormat="1" ht="15" customHeight="1" x14ac:dyDescent="0.2">
      <c r="A181" s="123" t="s">
        <v>632</v>
      </c>
      <c r="B181" s="124" t="s">
        <v>631</v>
      </c>
      <c r="C181" s="157">
        <v>-73040.350000000006</v>
      </c>
      <c r="D181" s="125">
        <v>0</v>
      </c>
      <c r="E181" s="157">
        <v>0</v>
      </c>
      <c r="F181" s="125">
        <v>-200000.23</v>
      </c>
      <c r="G181" s="157">
        <v>0</v>
      </c>
      <c r="H181" s="157">
        <v>0</v>
      </c>
      <c r="I181" s="157">
        <v>0</v>
      </c>
      <c r="J181" s="125">
        <v>0</v>
      </c>
      <c r="K181" s="125">
        <v>0</v>
      </c>
      <c r="L181" s="125">
        <v>0</v>
      </c>
      <c r="M181" s="157">
        <v>0</v>
      </c>
      <c r="N181" s="157">
        <v>0</v>
      </c>
      <c r="O181" s="157">
        <v>0</v>
      </c>
      <c r="P181" s="125">
        <v>0</v>
      </c>
      <c r="Q181" s="157">
        <v>0</v>
      </c>
      <c r="R181" s="157">
        <v>0</v>
      </c>
      <c r="S181" s="157">
        <v>0</v>
      </c>
      <c r="T181" s="125">
        <v>0</v>
      </c>
      <c r="U181" s="125">
        <v>-20107.72</v>
      </c>
      <c r="V181" s="125">
        <v>0</v>
      </c>
      <c r="W181" s="125">
        <v>-6994.6</v>
      </c>
      <c r="X181" s="157">
        <v>0</v>
      </c>
      <c r="Y181" s="125">
        <v>0</v>
      </c>
      <c r="Z181" s="125">
        <v>0</v>
      </c>
      <c r="AA181" s="125">
        <v>0</v>
      </c>
      <c r="AB181" s="125">
        <v>0</v>
      </c>
      <c r="AC181" s="125">
        <v>0</v>
      </c>
      <c r="AD181" s="125">
        <v>0</v>
      </c>
      <c r="AE181" s="157">
        <v>0</v>
      </c>
      <c r="AF181" s="157">
        <v>0</v>
      </c>
      <c r="AG181" s="125">
        <v>0</v>
      </c>
      <c r="AH181" s="125">
        <v>0</v>
      </c>
      <c r="AI181" s="157">
        <v>-67760.05</v>
      </c>
      <c r="AJ181" s="157">
        <v>-283992.96000000002</v>
      </c>
      <c r="AK181" s="157">
        <v>-65589.55</v>
      </c>
      <c r="AL181" s="125">
        <v>-717485.46</v>
      </c>
    </row>
    <row r="182" spans="1:38" s="117" customFormat="1" ht="15" customHeight="1" x14ac:dyDescent="0.2">
      <c r="A182" s="123" t="s">
        <v>630</v>
      </c>
      <c r="B182" s="124" t="s">
        <v>629</v>
      </c>
      <c r="C182" s="157">
        <v>56097</v>
      </c>
      <c r="D182" s="125">
        <v>0</v>
      </c>
      <c r="E182" s="157">
        <v>0</v>
      </c>
      <c r="F182" s="125">
        <v>0</v>
      </c>
      <c r="G182" s="157">
        <v>0</v>
      </c>
      <c r="H182" s="157">
        <v>0</v>
      </c>
      <c r="I182" s="157">
        <v>0</v>
      </c>
      <c r="J182" s="125">
        <v>0</v>
      </c>
      <c r="K182" s="125">
        <v>0</v>
      </c>
      <c r="L182" s="125">
        <v>0</v>
      </c>
      <c r="M182" s="157">
        <v>0</v>
      </c>
      <c r="N182" s="157">
        <v>0</v>
      </c>
      <c r="O182" s="157">
        <v>0</v>
      </c>
      <c r="P182" s="125">
        <v>0</v>
      </c>
      <c r="Q182" s="157">
        <v>0</v>
      </c>
      <c r="R182" s="157">
        <v>0</v>
      </c>
      <c r="S182" s="157">
        <v>0</v>
      </c>
      <c r="T182" s="125">
        <v>0</v>
      </c>
      <c r="U182" s="125">
        <v>0</v>
      </c>
      <c r="V182" s="125">
        <v>0</v>
      </c>
      <c r="W182" s="125">
        <v>0</v>
      </c>
      <c r="X182" s="157">
        <v>0</v>
      </c>
      <c r="Y182" s="125">
        <v>0</v>
      </c>
      <c r="Z182" s="125">
        <v>0</v>
      </c>
      <c r="AA182" s="125">
        <v>0</v>
      </c>
      <c r="AB182" s="125">
        <v>0</v>
      </c>
      <c r="AC182" s="125">
        <v>0</v>
      </c>
      <c r="AD182" s="125">
        <v>0</v>
      </c>
      <c r="AE182" s="157">
        <v>0</v>
      </c>
      <c r="AF182" s="157">
        <v>0</v>
      </c>
      <c r="AG182" s="125">
        <v>0</v>
      </c>
      <c r="AH182" s="125">
        <v>0</v>
      </c>
      <c r="AI182" s="157">
        <v>56698.44</v>
      </c>
      <c r="AJ182" s="157">
        <v>207800</v>
      </c>
      <c r="AK182" s="157">
        <v>53324.39</v>
      </c>
      <c r="AL182" s="125">
        <v>373919.83</v>
      </c>
    </row>
    <row r="183" spans="1:38" s="117" customFormat="1" ht="15" customHeight="1" x14ac:dyDescent="0.2">
      <c r="A183" s="123" t="s">
        <v>653</v>
      </c>
      <c r="B183" s="124" t="s">
        <v>652</v>
      </c>
      <c r="C183" s="157">
        <v>0</v>
      </c>
      <c r="D183" s="125">
        <v>0</v>
      </c>
      <c r="E183" s="157">
        <v>0</v>
      </c>
      <c r="F183" s="125">
        <v>0</v>
      </c>
      <c r="G183" s="157">
        <v>0</v>
      </c>
      <c r="H183" s="157">
        <v>0</v>
      </c>
      <c r="I183" s="157">
        <v>0</v>
      </c>
      <c r="J183" s="125">
        <v>0</v>
      </c>
      <c r="K183" s="125">
        <v>0</v>
      </c>
      <c r="L183" s="125">
        <v>0</v>
      </c>
      <c r="M183" s="157">
        <v>0</v>
      </c>
      <c r="N183" s="157">
        <v>0</v>
      </c>
      <c r="O183" s="157">
        <v>0</v>
      </c>
      <c r="P183" s="125">
        <v>0</v>
      </c>
      <c r="Q183" s="157">
        <v>0</v>
      </c>
      <c r="R183" s="157">
        <v>0</v>
      </c>
      <c r="S183" s="157">
        <v>0</v>
      </c>
      <c r="T183" s="125">
        <v>0</v>
      </c>
      <c r="U183" s="125">
        <v>0</v>
      </c>
      <c r="V183" s="125">
        <v>0</v>
      </c>
      <c r="W183" s="125">
        <v>0</v>
      </c>
      <c r="X183" s="157">
        <v>0</v>
      </c>
      <c r="Y183" s="125">
        <v>0</v>
      </c>
      <c r="Z183" s="125">
        <v>0</v>
      </c>
      <c r="AA183" s="125">
        <v>0</v>
      </c>
      <c r="AB183" s="125">
        <v>0</v>
      </c>
      <c r="AC183" s="125">
        <v>0</v>
      </c>
      <c r="AD183" s="125">
        <v>0</v>
      </c>
      <c r="AE183" s="157">
        <v>0</v>
      </c>
      <c r="AF183" s="157">
        <v>0</v>
      </c>
      <c r="AG183" s="125">
        <v>0</v>
      </c>
      <c r="AH183" s="125">
        <v>0</v>
      </c>
      <c r="AI183" s="157">
        <v>-10338.959999999999</v>
      </c>
      <c r="AJ183" s="157">
        <v>0</v>
      </c>
      <c r="AK183" s="157">
        <v>0</v>
      </c>
      <c r="AL183" s="125">
        <v>-10338.959999999999</v>
      </c>
    </row>
    <row r="184" spans="1:38" s="117" customFormat="1" ht="15" customHeight="1" x14ac:dyDescent="0.2">
      <c r="A184" s="123" t="s">
        <v>943</v>
      </c>
      <c r="B184" s="124" t="s">
        <v>1015</v>
      </c>
      <c r="C184" s="157">
        <v>0</v>
      </c>
      <c r="D184" s="125">
        <v>0</v>
      </c>
      <c r="E184" s="157">
        <v>0</v>
      </c>
      <c r="F184" s="125">
        <v>0</v>
      </c>
      <c r="G184" s="157">
        <v>0</v>
      </c>
      <c r="H184" s="157">
        <v>0</v>
      </c>
      <c r="I184" s="157">
        <v>0</v>
      </c>
      <c r="J184" s="125">
        <v>0</v>
      </c>
      <c r="K184" s="125">
        <v>0</v>
      </c>
      <c r="L184" s="125">
        <v>0</v>
      </c>
      <c r="M184" s="157">
        <v>0</v>
      </c>
      <c r="N184" s="157">
        <v>0</v>
      </c>
      <c r="O184" s="157">
        <v>0</v>
      </c>
      <c r="P184" s="125">
        <v>0</v>
      </c>
      <c r="Q184" s="157">
        <v>0</v>
      </c>
      <c r="R184" s="157">
        <v>0</v>
      </c>
      <c r="S184" s="157">
        <v>0</v>
      </c>
      <c r="T184" s="125">
        <v>0</v>
      </c>
      <c r="U184" s="125">
        <v>0</v>
      </c>
      <c r="V184" s="125">
        <v>0</v>
      </c>
      <c r="W184" s="125">
        <v>0</v>
      </c>
      <c r="X184" s="157">
        <v>0</v>
      </c>
      <c r="Y184" s="125">
        <v>0</v>
      </c>
      <c r="Z184" s="125">
        <v>0</v>
      </c>
      <c r="AA184" s="125">
        <v>0</v>
      </c>
      <c r="AB184" s="125">
        <v>0</v>
      </c>
      <c r="AC184" s="125">
        <v>0</v>
      </c>
      <c r="AD184" s="125">
        <v>0</v>
      </c>
      <c r="AE184" s="157">
        <v>0</v>
      </c>
      <c r="AF184" s="157">
        <v>0</v>
      </c>
      <c r="AG184" s="125">
        <v>0</v>
      </c>
      <c r="AH184" s="125">
        <v>0</v>
      </c>
      <c r="AI184" s="157">
        <v>-5890.34</v>
      </c>
      <c r="AJ184" s="157">
        <v>-15469.52</v>
      </c>
      <c r="AK184" s="157">
        <v>0</v>
      </c>
      <c r="AL184" s="125">
        <v>-21359.86</v>
      </c>
    </row>
    <row r="185" spans="1:38" s="117" customFormat="1" ht="15" customHeight="1" x14ac:dyDescent="0.2">
      <c r="A185" s="123" t="s">
        <v>942</v>
      </c>
      <c r="B185" s="124" t="s">
        <v>1014</v>
      </c>
      <c r="C185" s="157">
        <v>0</v>
      </c>
      <c r="D185" s="125">
        <v>0</v>
      </c>
      <c r="E185" s="157">
        <v>0</v>
      </c>
      <c r="F185" s="125">
        <v>0</v>
      </c>
      <c r="G185" s="157">
        <v>0</v>
      </c>
      <c r="H185" s="157">
        <v>0</v>
      </c>
      <c r="I185" s="157">
        <v>0</v>
      </c>
      <c r="J185" s="125">
        <v>0</v>
      </c>
      <c r="K185" s="125">
        <v>0</v>
      </c>
      <c r="L185" s="125">
        <v>0</v>
      </c>
      <c r="M185" s="157">
        <v>0</v>
      </c>
      <c r="N185" s="157">
        <v>0</v>
      </c>
      <c r="O185" s="157">
        <v>0</v>
      </c>
      <c r="P185" s="125">
        <v>0</v>
      </c>
      <c r="Q185" s="157">
        <v>0</v>
      </c>
      <c r="R185" s="157">
        <v>0</v>
      </c>
      <c r="S185" s="157">
        <v>0</v>
      </c>
      <c r="T185" s="125">
        <v>0</v>
      </c>
      <c r="U185" s="125">
        <v>0</v>
      </c>
      <c r="V185" s="125">
        <v>0</v>
      </c>
      <c r="W185" s="125">
        <v>0</v>
      </c>
      <c r="X185" s="157">
        <v>0</v>
      </c>
      <c r="Y185" s="125">
        <v>0</v>
      </c>
      <c r="Z185" s="125">
        <v>0</v>
      </c>
      <c r="AA185" s="125">
        <v>0</v>
      </c>
      <c r="AB185" s="125">
        <v>0</v>
      </c>
      <c r="AC185" s="125">
        <v>0</v>
      </c>
      <c r="AD185" s="125">
        <v>0</v>
      </c>
      <c r="AE185" s="157">
        <v>0</v>
      </c>
      <c r="AF185" s="157">
        <v>0</v>
      </c>
      <c r="AG185" s="125">
        <v>0</v>
      </c>
      <c r="AH185" s="125">
        <v>0</v>
      </c>
      <c r="AI185" s="157">
        <v>4919.3900000000003</v>
      </c>
      <c r="AJ185" s="157">
        <v>13005.21</v>
      </c>
      <c r="AK185" s="157">
        <v>0</v>
      </c>
      <c r="AL185" s="125">
        <v>17924.599999999999</v>
      </c>
    </row>
    <row r="186" spans="1:38" s="117" customFormat="1" ht="15" customHeight="1" x14ac:dyDescent="0.2">
      <c r="A186" s="123" t="s">
        <v>651</v>
      </c>
      <c r="B186" s="124" t="s">
        <v>650</v>
      </c>
      <c r="C186" s="157">
        <v>0</v>
      </c>
      <c r="D186" s="125">
        <v>0</v>
      </c>
      <c r="E186" s="157">
        <v>0</v>
      </c>
      <c r="F186" s="125">
        <v>0</v>
      </c>
      <c r="G186" s="157">
        <v>0</v>
      </c>
      <c r="H186" s="157">
        <v>0</v>
      </c>
      <c r="I186" s="157">
        <v>0</v>
      </c>
      <c r="J186" s="125">
        <v>0</v>
      </c>
      <c r="K186" s="125">
        <v>0</v>
      </c>
      <c r="L186" s="125">
        <v>0</v>
      </c>
      <c r="M186" s="157">
        <v>0</v>
      </c>
      <c r="N186" s="157">
        <v>0</v>
      </c>
      <c r="O186" s="157">
        <v>0</v>
      </c>
      <c r="P186" s="125">
        <v>0</v>
      </c>
      <c r="Q186" s="157">
        <v>0</v>
      </c>
      <c r="R186" s="157">
        <v>0</v>
      </c>
      <c r="S186" s="157">
        <v>0</v>
      </c>
      <c r="T186" s="125">
        <v>0</v>
      </c>
      <c r="U186" s="125">
        <v>0</v>
      </c>
      <c r="V186" s="125">
        <v>0</v>
      </c>
      <c r="W186" s="125">
        <v>0</v>
      </c>
      <c r="X186" s="157">
        <v>0</v>
      </c>
      <c r="Y186" s="125">
        <v>0</v>
      </c>
      <c r="Z186" s="125">
        <v>0</v>
      </c>
      <c r="AA186" s="125">
        <v>0</v>
      </c>
      <c r="AB186" s="125">
        <v>0</v>
      </c>
      <c r="AC186" s="125">
        <v>0</v>
      </c>
      <c r="AD186" s="125">
        <v>0</v>
      </c>
      <c r="AE186" s="157">
        <v>0</v>
      </c>
      <c r="AF186" s="157">
        <v>0</v>
      </c>
      <c r="AG186" s="125">
        <v>0</v>
      </c>
      <c r="AH186" s="125">
        <v>0</v>
      </c>
      <c r="AI186" s="157">
        <v>-31622.400000000001</v>
      </c>
      <c r="AJ186" s="157">
        <v>0</v>
      </c>
      <c r="AK186" s="157">
        <v>-37587.300000000003</v>
      </c>
      <c r="AL186" s="125">
        <v>-69209.7</v>
      </c>
    </row>
    <row r="187" spans="1:38" s="117" customFormat="1" ht="15" customHeight="1" x14ac:dyDescent="0.2">
      <c r="A187" s="123" t="s">
        <v>260</v>
      </c>
      <c r="B187" s="124" t="s">
        <v>261</v>
      </c>
      <c r="C187" s="157">
        <v>0</v>
      </c>
      <c r="D187" s="125">
        <v>0</v>
      </c>
      <c r="E187" s="157">
        <v>0</v>
      </c>
      <c r="F187" s="125">
        <v>-4750000</v>
      </c>
      <c r="G187" s="157">
        <v>0</v>
      </c>
      <c r="H187" s="157">
        <v>0</v>
      </c>
      <c r="I187" s="157">
        <v>0</v>
      </c>
      <c r="J187" s="125">
        <v>-2121631.7400000002</v>
      </c>
      <c r="K187" s="125">
        <v>0</v>
      </c>
      <c r="L187" s="125">
        <v>-4850682.45</v>
      </c>
      <c r="M187" s="157">
        <v>0</v>
      </c>
      <c r="N187" s="157">
        <v>-2914323</v>
      </c>
      <c r="O187" s="157">
        <v>0</v>
      </c>
      <c r="P187" s="125">
        <v>0</v>
      </c>
      <c r="Q187" s="157">
        <v>-200216.65</v>
      </c>
      <c r="R187" s="157">
        <v>0</v>
      </c>
      <c r="S187" s="157">
        <v>0</v>
      </c>
      <c r="T187" s="125">
        <v>-1785880.28</v>
      </c>
      <c r="U187" s="125">
        <v>-7562244.29</v>
      </c>
      <c r="V187" s="125">
        <v>0</v>
      </c>
      <c r="W187" s="125">
        <v>0</v>
      </c>
      <c r="X187" s="157">
        <v>0</v>
      </c>
      <c r="Y187" s="125">
        <v>0</v>
      </c>
      <c r="Z187" s="125">
        <v>-1432012.22</v>
      </c>
      <c r="AA187" s="125">
        <v>-2554083.13</v>
      </c>
      <c r="AB187" s="125">
        <v>-4994363.47</v>
      </c>
      <c r="AC187" s="125">
        <v>-767583.89</v>
      </c>
      <c r="AD187" s="125">
        <v>-4639800</v>
      </c>
      <c r="AE187" s="157">
        <v>-523485.25</v>
      </c>
      <c r="AF187" s="157">
        <v>-2410840.91</v>
      </c>
      <c r="AG187" s="125">
        <v>-4747381.33</v>
      </c>
      <c r="AH187" s="125">
        <v>-2708000</v>
      </c>
      <c r="AI187" s="157">
        <v>-5028184.18</v>
      </c>
      <c r="AJ187" s="157">
        <v>-5240670.74</v>
      </c>
      <c r="AK187" s="157">
        <v>-5031596.9000000004</v>
      </c>
      <c r="AL187" s="125">
        <v>-64262980.43</v>
      </c>
    </row>
    <row r="188" spans="1:38" s="117" customFormat="1" ht="15" customHeight="1" x14ac:dyDescent="0.2">
      <c r="A188" s="123" t="s">
        <v>262</v>
      </c>
      <c r="B188" s="124" t="s">
        <v>263</v>
      </c>
      <c r="C188" s="157">
        <v>0</v>
      </c>
      <c r="D188" s="125">
        <v>0</v>
      </c>
      <c r="E188" s="157">
        <v>0</v>
      </c>
      <c r="F188" s="125">
        <v>0</v>
      </c>
      <c r="G188" s="157">
        <v>0</v>
      </c>
      <c r="H188" s="157">
        <v>0</v>
      </c>
      <c r="I188" s="157">
        <v>0</v>
      </c>
      <c r="J188" s="125">
        <v>109711.54</v>
      </c>
      <c r="K188" s="125">
        <v>0</v>
      </c>
      <c r="L188" s="125">
        <v>319121.78000000003</v>
      </c>
      <c r="M188" s="157">
        <v>0</v>
      </c>
      <c r="N188" s="157">
        <v>550324.91</v>
      </c>
      <c r="O188" s="157">
        <v>0</v>
      </c>
      <c r="P188" s="125">
        <v>0</v>
      </c>
      <c r="Q188" s="157">
        <v>200216.65</v>
      </c>
      <c r="R188" s="157">
        <v>0</v>
      </c>
      <c r="S188" s="157">
        <v>0</v>
      </c>
      <c r="T188" s="125">
        <v>359093.87</v>
      </c>
      <c r="U188" s="125">
        <v>476175.34</v>
      </c>
      <c r="V188" s="125">
        <v>0</v>
      </c>
      <c r="W188" s="125">
        <v>0</v>
      </c>
      <c r="X188" s="157">
        <v>0</v>
      </c>
      <c r="Y188" s="125">
        <v>0</v>
      </c>
      <c r="Z188" s="125">
        <v>292260.31</v>
      </c>
      <c r="AA188" s="125">
        <v>370452.3</v>
      </c>
      <c r="AB188" s="125">
        <v>4994363.47</v>
      </c>
      <c r="AC188" s="125">
        <v>87258.25</v>
      </c>
      <c r="AD188" s="125">
        <v>4639800</v>
      </c>
      <c r="AE188" s="157">
        <v>63330.28</v>
      </c>
      <c r="AF188" s="157">
        <v>278163.68</v>
      </c>
      <c r="AG188" s="125">
        <v>524481.96</v>
      </c>
      <c r="AH188" s="125">
        <v>0</v>
      </c>
      <c r="AI188" s="157">
        <v>305772.15999999997</v>
      </c>
      <c r="AJ188" s="157">
        <v>326245.8</v>
      </c>
      <c r="AK188" s="157">
        <v>312539.21999999997</v>
      </c>
      <c r="AL188" s="125">
        <v>14209311.52</v>
      </c>
    </row>
    <row r="189" spans="1:38" s="117" customFormat="1" ht="15" customHeight="1" x14ac:dyDescent="0.2">
      <c r="A189" s="123" t="s">
        <v>264</v>
      </c>
      <c r="B189" s="124" t="s">
        <v>265</v>
      </c>
      <c r="C189" s="157">
        <v>-7627000</v>
      </c>
      <c r="D189" s="125">
        <v>-5382000</v>
      </c>
      <c r="E189" s="157">
        <v>-8141000</v>
      </c>
      <c r="F189" s="125">
        <v>0</v>
      </c>
      <c r="G189" s="157">
        <v>0</v>
      </c>
      <c r="H189" s="157">
        <v>-4650000</v>
      </c>
      <c r="I189" s="157">
        <v>-4681000</v>
      </c>
      <c r="J189" s="125">
        <v>0</v>
      </c>
      <c r="K189" s="125">
        <v>-2900000</v>
      </c>
      <c r="L189" s="125">
        <v>0</v>
      </c>
      <c r="M189" s="157">
        <v>-2700000</v>
      </c>
      <c r="N189" s="157">
        <v>0</v>
      </c>
      <c r="O189" s="157">
        <v>-7275000</v>
      </c>
      <c r="P189" s="125">
        <v>-1700000</v>
      </c>
      <c r="Q189" s="157">
        <v>0</v>
      </c>
      <c r="R189" s="157">
        <v>-5250000</v>
      </c>
      <c r="S189" s="157">
        <v>-1300000</v>
      </c>
      <c r="T189" s="125">
        <v>0</v>
      </c>
      <c r="U189" s="125">
        <v>0</v>
      </c>
      <c r="V189" s="125">
        <v>-6475000</v>
      </c>
      <c r="W189" s="125">
        <v>-4201284.12</v>
      </c>
      <c r="X189" s="157">
        <v>-6975000</v>
      </c>
      <c r="Y189" s="125">
        <v>-11700000</v>
      </c>
      <c r="Z189" s="125">
        <v>0</v>
      </c>
      <c r="AA189" s="125">
        <v>0</v>
      </c>
      <c r="AB189" s="125">
        <v>77225</v>
      </c>
      <c r="AC189" s="125">
        <v>0</v>
      </c>
      <c r="AD189" s="125">
        <v>-84631.58</v>
      </c>
      <c r="AE189" s="157">
        <v>0</v>
      </c>
      <c r="AF189" s="157">
        <v>0</v>
      </c>
      <c r="AG189" s="125">
        <v>0</v>
      </c>
      <c r="AH189" s="125">
        <v>0</v>
      </c>
      <c r="AI189" s="157">
        <v>0</v>
      </c>
      <c r="AJ189" s="157">
        <v>0</v>
      </c>
      <c r="AK189" s="157">
        <v>0</v>
      </c>
      <c r="AL189" s="125">
        <v>-80964690.700000003</v>
      </c>
    </row>
    <row r="190" spans="1:38" s="117" customFormat="1" ht="15" customHeight="1" x14ac:dyDescent="0.2">
      <c r="A190" s="123" t="s">
        <v>488</v>
      </c>
      <c r="B190" s="124" t="s">
        <v>489</v>
      </c>
      <c r="C190" s="157">
        <v>0</v>
      </c>
      <c r="D190" s="125">
        <v>0</v>
      </c>
      <c r="E190" s="157">
        <v>0</v>
      </c>
      <c r="F190" s="125">
        <v>0</v>
      </c>
      <c r="G190" s="157">
        <v>0</v>
      </c>
      <c r="H190" s="157">
        <v>0</v>
      </c>
      <c r="I190" s="157">
        <v>0</v>
      </c>
      <c r="J190" s="125">
        <v>0</v>
      </c>
      <c r="K190" s="125">
        <v>0</v>
      </c>
      <c r="L190" s="125">
        <v>0</v>
      </c>
      <c r="M190" s="157">
        <v>0</v>
      </c>
      <c r="N190" s="157">
        <v>0</v>
      </c>
      <c r="O190" s="157">
        <v>0</v>
      </c>
      <c r="P190" s="125">
        <v>0</v>
      </c>
      <c r="Q190" s="157">
        <v>0</v>
      </c>
      <c r="R190" s="157">
        <v>0</v>
      </c>
      <c r="S190" s="157">
        <v>0</v>
      </c>
      <c r="T190" s="125">
        <v>0</v>
      </c>
      <c r="U190" s="125">
        <v>0</v>
      </c>
      <c r="V190" s="125">
        <v>0</v>
      </c>
      <c r="W190" s="125">
        <v>435213.26</v>
      </c>
      <c r="X190" s="157">
        <v>0</v>
      </c>
      <c r="Y190" s="125">
        <v>0</v>
      </c>
      <c r="Z190" s="125">
        <v>0</v>
      </c>
      <c r="AA190" s="125">
        <v>0</v>
      </c>
      <c r="AB190" s="125">
        <v>337859.05</v>
      </c>
      <c r="AC190" s="125">
        <v>0</v>
      </c>
      <c r="AD190" s="125">
        <v>378898.32</v>
      </c>
      <c r="AE190" s="157">
        <v>0</v>
      </c>
      <c r="AF190" s="157">
        <v>0</v>
      </c>
      <c r="AG190" s="125">
        <v>0</v>
      </c>
      <c r="AH190" s="125">
        <v>0</v>
      </c>
      <c r="AI190" s="157">
        <v>0</v>
      </c>
      <c r="AJ190" s="157">
        <v>0</v>
      </c>
      <c r="AK190" s="157">
        <v>0</v>
      </c>
      <c r="AL190" s="125">
        <v>1151970.6299999999</v>
      </c>
    </row>
    <row r="191" spans="1:38" s="117" customFormat="1" ht="15" customHeight="1" x14ac:dyDescent="0.2">
      <c r="A191" s="123" t="s">
        <v>566</v>
      </c>
      <c r="B191" s="124" t="s">
        <v>565</v>
      </c>
      <c r="C191" s="157">
        <v>0</v>
      </c>
      <c r="D191" s="125">
        <v>0</v>
      </c>
      <c r="E191" s="157">
        <v>0</v>
      </c>
      <c r="F191" s="125">
        <v>0</v>
      </c>
      <c r="G191" s="157">
        <v>0</v>
      </c>
      <c r="H191" s="157">
        <v>0</v>
      </c>
      <c r="I191" s="157">
        <v>0</v>
      </c>
      <c r="J191" s="125">
        <v>0</v>
      </c>
      <c r="K191" s="125">
        <v>0</v>
      </c>
      <c r="L191" s="125">
        <v>0</v>
      </c>
      <c r="M191" s="157">
        <v>0</v>
      </c>
      <c r="N191" s="157">
        <v>0</v>
      </c>
      <c r="O191" s="157">
        <v>0</v>
      </c>
      <c r="P191" s="125">
        <v>0</v>
      </c>
      <c r="Q191" s="157">
        <v>0</v>
      </c>
      <c r="R191" s="157">
        <v>0</v>
      </c>
      <c r="S191" s="157">
        <v>0</v>
      </c>
      <c r="T191" s="125">
        <v>0</v>
      </c>
      <c r="U191" s="125">
        <v>0</v>
      </c>
      <c r="V191" s="125">
        <v>0</v>
      </c>
      <c r="W191" s="125">
        <v>0</v>
      </c>
      <c r="X191" s="157">
        <v>0</v>
      </c>
      <c r="Y191" s="125">
        <v>0</v>
      </c>
      <c r="Z191" s="125">
        <v>0</v>
      </c>
      <c r="AA191" s="125">
        <v>0</v>
      </c>
      <c r="AB191" s="125">
        <v>-4995400</v>
      </c>
      <c r="AC191" s="125">
        <v>0</v>
      </c>
      <c r="AD191" s="125">
        <v>-4467779.8600000003</v>
      </c>
      <c r="AE191" s="157">
        <v>0</v>
      </c>
      <c r="AF191" s="157">
        <v>0</v>
      </c>
      <c r="AG191" s="125">
        <v>0</v>
      </c>
      <c r="AH191" s="125">
        <v>0</v>
      </c>
      <c r="AI191" s="157">
        <v>0</v>
      </c>
      <c r="AJ191" s="157">
        <v>0</v>
      </c>
      <c r="AK191" s="157">
        <v>0</v>
      </c>
      <c r="AL191" s="125">
        <v>-9463179.8599999994</v>
      </c>
    </row>
    <row r="192" spans="1:38" s="117" customFormat="1" ht="15" customHeight="1" x14ac:dyDescent="0.2">
      <c r="A192" s="123" t="s">
        <v>490</v>
      </c>
      <c r="B192" s="124" t="s">
        <v>491</v>
      </c>
      <c r="C192" s="157">
        <v>0</v>
      </c>
      <c r="D192" s="125">
        <v>0</v>
      </c>
      <c r="E192" s="157">
        <v>0</v>
      </c>
      <c r="F192" s="125">
        <v>0</v>
      </c>
      <c r="G192" s="157">
        <v>-26546000</v>
      </c>
      <c r="H192" s="157">
        <v>0</v>
      </c>
      <c r="I192" s="157">
        <v>0</v>
      </c>
      <c r="J192" s="125">
        <v>0</v>
      </c>
      <c r="K192" s="125">
        <v>0</v>
      </c>
      <c r="L192" s="125">
        <v>0</v>
      </c>
      <c r="M192" s="157">
        <v>0</v>
      </c>
      <c r="N192" s="157">
        <v>0</v>
      </c>
      <c r="O192" s="157">
        <v>0</v>
      </c>
      <c r="P192" s="125">
        <v>0</v>
      </c>
      <c r="Q192" s="157">
        <v>-11734000</v>
      </c>
      <c r="R192" s="157">
        <v>0</v>
      </c>
      <c r="S192" s="157">
        <v>0</v>
      </c>
      <c r="T192" s="125">
        <v>0</v>
      </c>
      <c r="U192" s="125">
        <v>0</v>
      </c>
      <c r="V192" s="125">
        <v>0</v>
      </c>
      <c r="W192" s="125">
        <v>0</v>
      </c>
      <c r="X192" s="157">
        <v>0</v>
      </c>
      <c r="Y192" s="125">
        <v>0</v>
      </c>
      <c r="Z192" s="125">
        <v>0</v>
      </c>
      <c r="AA192" s="125">
        <v>0</v>
      </c>
      <c r="AB192" s="125">
        <v>0</v>
      </c>
      <c r="AC192" s="125">
        <v>0</v>
      </c>
      <c r="AD192" s="125">
        <v>0</v>
      </c>
      <c r="AE192" s="157">
        <v>0</v>
      </c>
      <c r="AF192" s="157">
        <v>0</v>
      </c>
      <c r="AG192" s="125">
        <v>0</v>
      </c>
      <c r="AH192" s="125">
        <v>0</v>
      </c>
      <c r="AI192" s="157">
        <v>0</v>
      </c>
      <c r="AJ192" s="157">
        <v>0</v>
      </c>
      <c r="AK192" s="157">
        <v>0</v>
      </c>
      <c r="AL192" s="125">
        <v>-38280000</v>
      </c>
    </row>
    <row r="193" spans="1:38" s="117" customFormat="1" ht="15" customHeight="1" x14ac:dyDescent="0.2">
      <c r="A193" s="123" t="s">
        <v>266</v>
      </c>
      <c r="B193" s="124" t="s">
        <v>267</v>
      </c>
      <c r="C193" s="157">
        <v>-995673.03</v>
      </c>
      <c r="D193" s="125">
        <v>0</v>
      </c>
      <c r="E193" s="157">
        <v>-870016.36</v>
      </c>
      <c r="F193" s="125">
        <v>-1950000</v>
      </c>
      <c r="G193" s="157">
        <v>-506357.94</v>
      </c>
      <c r="H193" s="157">
        <v>-987046.54</v>
      </c>
      <c r="I193" s="157">
        <v>-1114784.5900000001</v>
      </c>
      <c r="J193" s="125">
        <v>-1288083</v>
      </c>
      <c r="K193" s="125">
        <v>0</v>
      </c>
      <c r="L193" s="125">
        <v>-540003.13</v>
      </c>
      <c r="M193" s="157">
        <v>-850658</v>
      </c>
      <c r="N193" s="157">
        <v>-1416580</v>
      </c>
      <c r="O193" s="157">
        <v>-967133.48</v>
      </c>
      <c r="P193" s="125">
        <v>0</v>
      </c>
      <c r="Q193" s="157">
        <v>-606000</v>
      </c>
      <c r="R193" s="157">
        <v>-1010743.73</v>
      </c>
      <c r="S193" s="157">
        <v>-750000</v>
      </c>
      <c r="T193" s="125">
        <v>-630000</v>
      </c>
      <c r="U193" s="125">
        <v>-655000</v>
      </c>
      <c r="V193" s="125">
        <v>0</v>
      </c>
      <c r="W193" s="125">
        <v>-2000000</v>
      </c>
      <c r="X193" s="157">
        <v>-1109077.8700000001</v>
      </c>
      <c r="Y193" s="125">
        <v>-481523.96</v>
      </c>
      <c r="Z193" s="125">
        <v>-1395565</v>
      </c>
      <c r="AA193" s="125">
        <v>-1185660.4099999999</v>
      </c>
      <c r="AB193" s="125">
        <v>0</v>
      </c>
      <c r="AC193" s="125">
        <v>-1457500</v>
      </c>
      <c r="AD193" s="125">
        <v>-1500000</v>
      </c>
      <c r="AE193" s="157">
        <v>-890590</v>
      </c>
      <c r="AF193" s="157">
        <v>0</v>
      </c>
      <c r="AG193" s="125">
        <v>-240965</v>
      </c>
      <c r="AH193" s="125">
        <v>0</v>
      </c>
      <c r="AI193" s="157">
        <v>-790560</v>
      </c>
      <c r="AJ193" s="157">
        <v>-922871</v>
      </c>
      <c r="AK193" s="157">
        <v>-914080</v>
      </c>
      <c r="AL193" s="125">
        <v>-28026473.039999999</v>
      </c>
    </row>
    <row r="194" spans="1:38" s="117" customFormat="1" ht="15" customHeight="1" x14ac:dyDescent="0.2">
      <c r="A194" s="123" t="s">
        <v>268</v>
      </c>
      <c r="B194" s="124" t="s">
        <v>269</v>
      </c>
      <c r="C194" s="157">
        <v>150559.82</v>
      </c>
      <c r="D194" s="125">
        <v>0</v>
      </c>
      <c r="E194" s="157">
        <v>141684.21</v>
      </c>
      <c r="F194" s="125">
        <v>180430.55</v>
      </c>
      <c r="G194" s="157">
        <v>59457.25</v>
      </c>
      <c r="H194" s="157">
        <v>156476.88</v>
      </c>
      <c r="I194" s="157">
        <v>0</v>
      </c>
      <c r="J194" s="125">
        <v>21933.040000000001</v>
      </c>
      <c r="K194" s="125">
        <v>0</v>
      </c>
      <c r="L194" s="125">
        <v>32683</v>
      </c>
      <c r="M194" s="157">
        <v>315700</v>
      </c>
      <c r="N194" s="157">
        <v>273499.17</v>
      </c>
      <c r="O194" s="157">
        <v>125525.96</v>
      </c>
      <c r="P194" s="125">
        <v>0</v>
      </c>
      <c r="Q194" s="157">
        <v>59946.5</v>
      </c>
      <c r="R194" s="157">
        <v>178944.58</v>
      </c>
      <c r="S194" s="157">
        <v>0</v>
      </c>
      <c r="T194" s="125">
        <v>0</v>
      </c>
      <c r="U194" s="125">
        <v>0</v>
      </c>
      <c r="V194" s="125">
        <v>0</v>
      </c>
      <c r="W194" s="125">
        <v>108310.79</v>
      </c>
      <c r="X194" s="157">
        <v>143256.21</v>
      </c>
      <c r="Y194" s="125">
        <v>87461.3</v>
      </c>
      <c r="Z194" s="125">
        <v>159950</v>
      </c>
      <c r="AA194" s="125">
        <v>124600.34</v>
      </c>
      <c r="AB194" s="125">
        <v>0</v>
      </c>
      <c r="AC194" s="125">
        <v>44988.92</v>
      </c>
      <c r="AD194" s="125">
        <v>152731.1</v>
      </c>
      <c r="AE194" s="157">
        <v>0</v>
      </c>
      <c r="AF194" s="157">
        <v>0</v>
      </c>
      <c r="AG194" s="125">
        <v>95032.52</v>
      </c>
      <c r="AH194" s="125">
        <v>0</v>
      </c>
      <c r="AI194" s="157">
        <v>0</v>
      </c>
      <c r="AJ194" s="157">
        <v>50108.13</v>
      </c>
      <c r="AK194" s="157">
        <v>0</v>
      </c>
      <c r="AL194" s="125">
        <v>2663280.27</v>
      </c>
    </row>
    <row r="195" spans="1:38" s="117" customFormat="1" ht="15" customHeight="1" x14ac:dyDescent="0.2">
      <c r="A195" s="123" t="s">
        <v>270</v>
      </c>
      <c r="B195" s="124" t="s">
        <v>271</v>
      </c>
      <c r="C195" s="157">
        <v>0</v>
      </c>
      <c r="D195" s="125">
        <v>-799866</v>
      </c>
      <c r="E195" s="157">
        <v>-185018</v>
      </c>
      <c r="F195" s="125">
        <v>-500000</v>
      </c>
      <c r="G195" s="157">
        <v>-1214999.6599999999</v>
      </c>
      <c r="H195" s="157">
        <v>0</v>
      </c>
      <c r="I195" s="157">
        <v>0</v>
      </c>
      <c r="J195" s="125">
        <v>0</v>
      </c>
      <c r="K195" s="125">
        <v>0</v>
      </c>
      <c r="L195" s="125">
        <v>-1730664</v>
      </c>
      <c r="M195" s="157">
        <v>-1626219.16</v>
      </c>
      <c r="N195" s="157">
        <v>0</v>
      </c>
      <c r="O195" s="157">
        <v>-547757.47</v>
      </c>
      <c r="P195" s="125">
        <v>-743930</v>
      </c>
      <c r="Q195" s="157">
        <v>-200000</v>
      </c>
      <c r="R195" s="157">
        <v>-415685</v>
      </c>
      <c r="S195" s="157">
        <v>-651100</v>
      </c>
      <c r="T195" s="125">
        <v>-1466700</v>
      </c>
      <c r="U195" s="125">
        <v>-720000</v>
      </c>
      <c r="V195" s="125">
        <v>-1298853.8</v>
      </c>
      <c r="W195" s="125">
        <v>-1200000</v>
      </c>
      <c r="X195" s="157">
        <v>-729897</v>
      </c>
      <c r="Y195" s="125">
        <v>-675474</v>
      </c>
      <c r="Z195" s="125">
        <v>-1350000</v>
      </c>
      <c r="AA195" s="125">
        <v>0</v>
      </c>
      <c r="AB195" s="125">
        <v>0</v>
      </c>
      <c r="AC195" s="125">
        <v>0</v>
      </c>
      <c r="AD195" s="125">
        <v>0</v>
      </c>
      <c r="AE195" s="157">
        <v>0</v>
      </c>
      <c r="AF195" s="157">
        <v>0</v>
      </c>
      <c r="AG195" s="125">
        <v>0</v>
      </c>
      <c r="AH195" s="125">
        <v>-250000</v>
      </c>
      <c r="AI195" s="157">
        <v>-1115609</v>
      </c>
      <c r="AJ195" s="157">
        <v>-500000</v>
      </c>
      <c r="AK195" s="157">
        <v>-767000</v>
      </c>
      <c r="AL195" s="125">
        <v>-18688773.09</v>
      </c>
    </row>
    <row r="196" spans="1:38" s="117" customFormat="1" ht="15" customHeight="1" x14ac:dyDescent="0.2">
      <c r="A196" s="123" t="s">
        <v>272</v>
      </c>
      <c r="B196" s="124" t="s">
        <v>273</v>
      </c>
      <c r="C196" s="157">
        <v>0</v>
      </c>
      <c r="D196" s="125">
        <v>548558</v>
      </c>
      <c r="E196" s="157">
        <v>23984</v>
      </c>
      <c r="F196" s="125">
        <v>55684</v>
      </c>
      <c r="G196" s="157">
        <v>270000</v>
      </c>
      <c r="H196" s="157">
        <v>0</v>
      </c>
      <c r="I196" s="157">
        <v>0</v>
      </c>
      <c r="J196" s="125">
        <v>0</v>
      </c>
      <c r="K196" s="125">
        <v>0</v>
      </c>
      <c r="L196" s="125">
        <v>0</v>
      </c>
      <c r="M196" s="157">
        <v>241423</v>
      </c>
      <c r="N196" s="157">
        <v>0</v>
      </c>
      <c r="O196" s="157">
        <v>102439.23</v>
      </c>
      <c r="P196" s="125">
        <v>0</v>
      </c>
      <c r="Q196" s="157">
        <v>0</v>
      </c>
      <c r="R196" s="157">
        <v>48925</v>
      </c>
      <c r="S196" s="157">
        <v>82600</v>
      </c>
      <c r="T196" s="125">
        <v>304500.5</v>
      </c>
      <c r="U196" s="125">
        <v>334383</v>
      </c>
      <c r="V196" s="125">
        <v>228943.54</v>
      </c>
      <c r="W196" s="125">
        <v>0</v>
      </c>
      <c r="X196" s="157">
        <v>125141.99</v>
      </c>
      <c r="Y196" s="125">
        <v>148915</v>
      </c>
      <c r="Z196" s="125">
        <v>0</v>
      </c>
      <c r="AA196" s="125">
        <v>0</v>
      </c>
      <c r="AB196" s="125">
        <v>0</v>
      </c>
      <c r="AC196" s="125">
        <v>0</v>
      </c>
      <c r="AD196" s="125">
        <v>0</v>
      </c>
      <c r="AE196" s="157">
        <v>0</v>
      </c>
      <c r="AF196" s="157">
        <v>0</v>
      </c>
      <c r="AG196" s="125">
        <v>0</v>
      </c>
      <c r="AH196" s="125">
        <v>11256</v>
      </c>
      <c r="AI196" s="157">
        <v>60426.62</v>
      </c>
      <c r="AJ196" s="157">
        <v>187010.14</v>
      </c>
      <c r="AK196" s="157">
        <v>153599.35</v>
      </c>
      <c r="AL196" s="125">
        <v>2927789.37</v>
      </c>
    </row>
    <row r="197" spans="1:38" s="117" customFormat="1" ht="15" customHeight="1" x14ac:dyDescent="0.2">
      <c r="A197" s="123" t="s">
        <v>628</v>
      </c>
      <c r="B197" s="124" t="s">
        <v>627</v>
      </c>
      <c r="C197" s="157">
        <v>-184479</v>
      </c>
      <c r="D197" s="125">
        <v>0</v>
      </c>
      <c r="E197" s="157">
        <v>0</v>
      </c>
      <c r="F197" s="125">
        <v>-500000</v>
      </c>
      <c r="G197" s="157">
        <v>0</v>
      </c>
      <c r="H197" s="157">
        <v>0</v>
      </c>
      <c r="I197" s="157">
        <v>0</v>
      </c>
      <c r="J197" s="125">
        <v>0</v>
      </c>
      <c r="K197" s="125">
        <v>-1118184</v>
      </c>
      <c r="L197" s="125">
        <v>0</v>
      </c>
      <c r="M197" s="157">
        <v>0</v>
      </c>
      <c r="N197" s="157">
        <v>0</v>
      </c>
      <c r="O197" s="157">
        <v>0</v>
      </c>
      <c r="P197" s="125">
        <v>-1043350</v>
      </c>
      <c r="Q197" s="157">
        <v>0</v>
      </c>
      <c r="R197" s="157">
        <v>0</v>
      </c>
      <c r="S197" s="157">
        <v>0</v>
      </c>
      <c r="T197" s="125">
        <v>0</v>
      </c>
      <c r="U197" s="125">
        <v>-283875.38</v>
      </c>
      <c r="V197" s="125">
        <v>0</v>
      </c>
      <c r="W197" s="125">
        <v>-102365</v>
      </c>
      <c r="X197" s="157">
        <v>0</v>
      </c>
      <c r="Y197" s="125">
        <v>0</v>
      </c>
      <c r="Z197" s="125">
        <v>0</v>
      </c>
      <c r="AA197" s="125">
        <v>0</v>
      </c>
      <c r="AB197" s="125">
        <v>0</v>
      </c>
      <c r="AC197" s="125">
        <v>0</v>
      </c>
      <c r="AD197" s="125">
        <v>0</v>
      </c>
      <c r="AE197" s="157">
        <v>0</v>
      </c>
      <c r="AF197" s="157">
        <v>0</v>
      </c>
      <c r="AG197" s="125">
        <v>0</v>
      </c>
      <c r="AH197" s="125">
        <v>-3871798</v>
      </c>
      <c r="AI197" s="157">
        <v>-382501</v>
      </c>
      <c r="AJ197" s="157">
        <v>-1039000</v>
      </c>
      <c r="AK197" s="157">
        <v>-317435</v>
      </c>
      <c r="AL197" s="125">
        <v>-8842987.3800000008</v>
      </c>
    </row>
    <row r="198" spans="1:38" s="117" customFormat="1" ht="15" customHeight="1" x14ac:dyDescent="0.2">
      <c r="A198" s="123" t="s">
        <v>626</v>
      </c>
      <c r="B198" s="124" t="s">
        <v>625</v>
      </c>
      <c r="C198" s="157">
        <v>25335</v>
      </c>
      <c r="D198" s="125">
        <v>0</v>
      </c>
      <c r="E198" s="157">
        <v>0</v>
      </c>
      <c r="F198" s="125">
        <v>0</v>
      </c>
      <c r="G198" s="157">
        <v>0</v>
      </c>
      <c r="H198" s="157">
        <v>0</v>
      </c>
      <c r="I198" s="157">
        <v>0</v>
      </c>
      <c r="J198" s="125">
        <v>0</v>
      </c>
      <c r="K198" s="125">
        <v>844067</v>
      </c>
      <c r="L198" s="125">
        <v>0</v>
      </c>
      <c r="M198" s="157">
        <v>0</v>
      </c>
      <c r="N198" s="157">
        <v>0</v>
      </c>
      <c r="O198" s="157">
        <v>0</v>
      </c>
      <c r="P198" s="125">
        <v>170900</v>
      </c>
      <c r="Q198" s="157">
        <v>0</v>
      </c>
      <c r="R198" s="157">
        <v>0</v>
      </c>
      <c r="S198" s="157">
        <v>0</v>
      </c>
      <c r="T198" s="125">
        <v>0</v>
      </c>
      <c r="U198" s="125">
        <v>0</v>
      </c>
      <c r="V198" s="125">
        <v>0</v>
      </c>
      <c r="W198" s="125">
        <v>0</v>
      </c>
      <c r="X198" s="157">
        <v>0</v>
      </c>
      <c r="Y198" s="125">
        <v>0</v>
      </c>
      <c r="Z198" s="125">
        <v>0</v>
      </c>
      <c r="AA198" s="125">
        <v>0</v>
      </c>
      <c r="AB198" s="125">
        <v>0</v>
      </c>
      <c r="AC198" s="125">
        <v>0</v>
      </c>
      <c r="AD198" s="125">
        <v>0</v>
      </c>
      <c r="AE198" s="157">
        <v>0</v>
      </c>
      <c r="AF198" s="157">
        <v>0</v>
      </c>
      <c r="AG198" s="125">
        <v>0</v>
      </c>
      <c r="AH198" s="125">
        <v>0</v>
      </c>
      <c r="AI198" s="157">
        <v>107394.57</v>
      </c>
      <c r="AJ198" s="157">
        <v>0</v>
      </c>
      <c r="AK198" s="157">
        <v>17412.61</v>
      </c>
      <c r="AL198" s="125">
        <v>1165109.18</v>
      </c>
    </row>
    <row r="199" spans="1:38" s="117" customFormat="1" ht="15" customHeight="1" x14ac:dyDescent="0.2">
      <c r="A199" s="123" t="s">
        <v>1013</v>
      </c>
      <c r="B199" s="124" t="s">
        <v>1012</v>
      </c>
      <c r="C199" s="157">
        <v>0</v>
      </c>
      <c r="D199" s="125">
        <v>0</v>
      </c>
      <c r="E199" s="157">
        <v>0</v>
      </c>
      <c r="F199" s="125">
        <v>0</v>
      </c>
      <c r="G199" s="157">
        <v>0</v>
      </c>
      <c r="H199" s="157">
        <v>0</v>
      </c>
      <c r="I199" s="157">
        <v>0</v>
      </c>
      <c r="J199" s="125">
        <v>0</v>
      </c>
      <c r="K199" s="125">
        <v>0</v>
      </c>
      <c r="L199" s="125">
        <v>0</v>
      </c>
      <c r="M199" s="157">
        <v>0</v>
      </c>
      <c r="N199" s="157">
        <v>0</v>
      </c>
      <c r="O199" s="157">
        <v>0</v>
      </c>
      <c r="P199" s="125">
        <v>0</v>
      </c>
      <c r="Q199" s="157">
        <v>0</v>
      </c>
      <c r="R199" s="157">
        <v>0</v>
      </c>
      <c r="S199" s="157">
        <v>0</v>
      </c>
      <c r="T199" s="125">
        <v>0</v>
      </c>
      <c r="U199" s="125">
        <v>0</v>
      </c>
      <c r="V199" s="125">
        <v>0</v>
      </c>
      <c r="W199" s="125">
        <v>0</v>
      </c>
      <c r="X199" s="157">
        <v>0</v>
      </c>
      <c r="Y199" s="125">
        <v>0</v>
      </c>
      <c r="Z199" s="125">
        <v>0</v>
      </c>
      <c r="AA199" s="125">
        <v>0</v>
      </c>
      <c r="AB199" s="125">
        <v>0</v>
      </c>
      <c r="AC199" s="125">
        <v>0</v>
      </c>
      <c r="AD199" s="125">
        <v>0</v>
      </c>
      <c r="AE199" s="157">
        <v>0</v>
      </c>
      <c r="AF199" s="157">
        <v>0</v>
      </c>
      <c r="AG199" s="125">
        <v>0</v>
      </c>
      <c r="AH199" s="125">
        <v>0</v>
      </c>
      <c r="AI199" s="157">
        <v>-106369</v>
      </c>
      <c r="AJ199" s="157">
        <v>-272500</v>
      </c>
      <c r="AK199" s="157">
        <v>0</v>
      </c>
      <c r="AL199" s="125">
        <v>-378869</v>
      </c>
    </row>
    <row r="200" spans="1:38" s="117" customFormat="1" ht="15" customHeight="1" x14ac:dyDescent="0.2">
      <c r="A200" s="123" t="s">
        <v>941</v>
      </c>
      <c r="B200" s="124" t="s">
        <v>1011</v>
      </c>
      <c r="C200" s="157">
        <v>0</v>
      </c>
      <c r="D200" s="125">
        <v>0</v>
      </c>
      <c r="E200" s="157">
        <v>0</v>
      </c>
      <c r="F200" s="125">
        <v>0</v>
      </c>
      <c r="G200" s="157">
        <v>0</v>
      </c>
      <c r="H200" s="157">
        <v>0</v>
      </c>
      <c r="I200" s="157">
        <v>0</v>
      </c>
      <c r="J200" s="125">
        <v>0</v>
      </c>
      <c r="K200" s="125">
        <v>0</v>
      </c>
      <c r="L200" s="125">
        <v>0</v>
      </c>
      <c r="M200" s="157">
        <v>0</v>
      </c>
      <c r="N200" s="157">
        <v>0</v>
      </c>
      <c r="O200" s="157">
        <v>0</v>
      </c>
      <c r="P200" s="125">
        <v>0</v>
      </c>
      <c r="Q200" s="157">
        <v>0</v>
      </c>
      <c r="R200" s="157">
        <v>0</v>
      </c>
      <c r="S200" s="157">
        <v>0</v>
      </c>
      <c r="T200" s="125">
        <v>0</v>
      </c>
      <c r="U200" s="125">
        <v>0</v>
      </c>
      <c r="V200" s="125">
        <v>0</v>
      </c>
      <c r="W200" s="125">
        <v>0</v>
      </c>
      <c r="X200" s="157">
        <v>0</v>
      </c>
      <c r="Y200" s="125">
        <v>0</v>
      </c>
      <c r="Z200" s="125">
        <v>0</v>
      </c>
      <c r="AA200" s="125">
        <v>0</v>
      </c>
      <c r="AB200" s="125">
        <v>0</v>
      </c>
      <c r="AC200" s="125">
        <v>0</v>
      </c>
      <c r="AD200" s="125">
        <v>0</v>
      </c>
      <c r="AE200" s="157">
        <v>0</v>
      </c>
      <c r="AF200" s="157">
        <v>0</v>
      </c>
      <c r="AG200" s="125">
        <v>0</v>
      </c>
      <c r="AH200" s="125">
        <v>0</v>
      </c>
      <c r="AI200" s="157">
        <v>11280.61</v>
      </c>
      <c r="AJ200" s="157">
        <v>28492.79</v>
      </c>
      <c r="AK200" s="157">
        <v>0</v>
      </c>
      <c r="AL200" s="125">
        <v>39773.4</v>
      </c>
    </row>
    <row r="201" spans="1:38" s="117" customFormat="1" ht="15" customHeight="1" x14ac:dyDescent="0.2">
      <c r="A201" s="123" t="s">
        <v>1010</v>
      </c>
      <c r="B201" s="124" t="s">
        <v>1009</v>
      </c>
      <c r="C201" s="157">
        <v>0</v>
      </c>
      <c r="D201" s="125">
        <v>0</v>
      </c>
      <c r="E201" s="157">
        <v>0</v>
      </c>
      <c r="F201" s="125">
        <v>0</v>
      </c>
      <c r="G201" s="157">
        <v>0</v>
      </c>
      <c r="H201" s="157">
        <v>0</v>
      </c>
      <c r="I201" s="157">
        <v>0</v>
      </c>
      <c r="J201" s="125">
        <v>0</v>
      </c>
      <c r="K201" s="125">
        <v>0</v>
      </c>
      <c r="L201" s="125">
        <v>0</v>
      </c>
      <c r="M201" s="157">
        <v>0</v>
      </c>
      <c r="N201" s="157">
        <v>0</v>
      </c>
      <c r="O201" s="157">
        <v>0</v>
      </c>
      <c r="P201" s="125">
        <v>0</v>
      </c>
      <c r="Q201" s="157">
        <v>0</v>
      </c>
      <c r="R201" s="157">
        <v>0</v>
      </c>
      <c r="S201" s="157">
        <v>0</v>
      </c>
      <c r="T201" s="125">
        <v>0</v>
      </c>
      <c r="U201" s="125">
        <v>0</v>
      </c>
      <c r="V201" s="125">
        <v>0</v>
      </c>
      <c r="W201" s="125">
        <v>0</v>
      </c>
      <c r="X201" s="157">
        <v>0</v>
      </c>
      <c r="Y201" s="125">
        <v>0</v>
      </c>
      <c r="Z201" s="125">
        <v>0</v>
      </c>
      <c r="AA201" s="125">
        <v>0</v>
      </c>
      <c r="AB201" s="125">
        <v>0</v>
      </c>
      <c r="AC201" s="125">
        <v>0</v>
      </c>
      <c r="AD201" s="125">
        <v>0</v>
      </c>
      <c r="AE201" s="157">
        <v>0</v>
      </c>
      <c r="AF201" s="157">
        <v>0</v>
      </c>
      <c r="AG201" s="125">
        <v>0</v>
      </c>
      <c r="AH201" s="125">
        <v>0</v>
      </c>
      <c r="AI201" s="157">
        <v>-179808</v>
      </c>
      <c r="AJ201" s="157">
        <v>0</v>
      </c>
      <c r="AK201" s="157">
        <v>0</v>
      </c>
      <c r="AL201" s="125">
        <v>-179808</v>
      </c>
    </row>
    <row r="202" spans="1:38" s="117" customFormat="1" ht="15" customHeight="1" x14ac:dyDescent="0.2">
      <c r="A202" s="123" t="s">
        <v>1008</v>
      </c>
      <c r="B202" s="124" t="s">
        <v>1007</v>
      </c>
      <c r="C202" s="157">
        <v>0</v>
      </c>
      <c r="D202" s="125">
        <v>0</v>
      </c>
      <c r="E202" s="157">
        <v>0</v>
      </c>
      <c r="F202" s="125">
        <v>-471943.26</v>
      </c>
      <c r="G202" s="157">
        <v>0</v>
      </c>
      <c r="H202" s="157">
        <v>0</v>
      </c>
      <c r="I202" s="157">
        <v>0</v>
      </c>
      <c r="J202" s="125">
        <v>0</v>
      </c>
      <c r="K202" s="125">
        <v>0</v>
      </c>
      <c r="L202" s="125">
        <v>0</v>
      </c>
      <c r="M202" s="157">
        <v>0</v>
      </c>
      <c r="N202" s="157">
        <v>0</v>
      </c>
      <c r="O202" s="157">
        <v>0</v>
      </c>
      <c r="P202" s="125">
        <v>0</v>
      </c>
      <c r="Q202" s="157">
        <v>0</v>
      </c>
      <c r="R202" s="157">
        <v>0</v>
      </c>
      <c r="S202" s="157">
        <v>0</v>
      </c>
      <c r="T202" s="125">
        <v>0</v>
      </c>
      <c r="U202" s="125">
        <v>0</v>
      </c>
      <c r="V202" s="125">
        <v>0</v>
      </c>
      <c r="W202" s="125">
        <v>0</v>
      </c>
      <c r="X202" s="157">
        <v>0</v>
      </c>
      <c r="Y202" s="125">
        <v>0</v>
      </c>
      <c r="Z202" s="125">
        <v>0</v>
      </c>
      <c r="AA202" s="125">
        <v>0</v>
      </c>
      <c r="AB202" s="125">
        <v>0</v>
      </c>
      <c r="AC202" s="125">
        <v>0</v>
      </c>
      <c r="AD202" s="125">
        <v>0</v>
      </c>
      <c r="AE202" s="157">
        <v>0</v>
      </c>
      <c r="AF202" s="157">
        <v>0</v>
      </c>
      <c r="AG202" s="125">
        <v>0</v>
      </c>
      <c r="AH202" s="125">
        <v>0</v>
      </c>
      <c r="AI202" s="157">
        <v>0</v>
      </c>
      <c r="AJ202" s="157">
        <v>0</v>
      </c>
      <c r="AK202" s="157">
        <v>0</v>
      </c>
      <c r="AL202" s="125">
        <v>-471943.26</v>
      </c>
    </row>
    <row r="203" spans="1:38" s="117" customFormat="1" ht="15" customHeight="1" x14ac:dyDescent="0.2">
      <c r="A203" s="123" t="s">
        <v>274</v>
      </c>
      <c r="B203" s="124" t="s">
        <v>275</v>
      </c>
      <c r="C203" s="157">
        <v>102.57</v>
      </c>
      <c r="D203" s="125">
        <v>451.12</v>
      </c>
      <c r="E203" s="157">
        <v>8215.1299999999992</v>
      </c>
      <c r="F203" s="125">
        <v>217.75</v>
      </c>
      <c r="G203" s="157">
        <v>-416.76</v>
      </c>
      <c r="H203" s="157">
        <v>373.56</v>
      </c>
      <c r="I203" s="157">
        <v>3082.44</v>
      </c>
      <c r="J203" s="125">
        <v>226.27</v>
      </c>
      <c r="K203" s="125">
        <v>297.64</v>
      </c>
      <c r="L203" s="125">
        <v>46.29</v>
      </c>
      <c r="M203" s="157">
        <v>152</v>
      </c>
      <c r="N203" s="157">
        <v>279.08</v>
      </c>
      <c r="O203" s="157">
        <v>-42019.02</v>
      </c>
      <c r="P203" s="125">
        <v>16284</v>
      </c>
      <c r="Q203" s="157">
        <v>-294943.84000000003</v>
      </c>
      <c r="R203" s="157">
        <v>167.28</v>
      </c>
      <c r="S203" s="157">
        <v>323.88</v>
      </c>
      <c r="T203" s="125">
        <v>245</v>
      </c>
      <c r="U203" s="125">
        <v>91.53</v>
      </c>
      <c r="V203" s="125">
        <v>-5568.07</v>
      </c>
      <c r="W203" s="125">
        <v>246</v>
      </c>
      <c r="X203" s="157">
        <v>133.25</v>
      </c>
      <c r="Y203" s="125">
        <v>-22469.47</v>
      </c>
      <c r="Z203" s="125">
        <v>253.78</v>
      </c>
      <c r="AA203" s="125">
        <v>193.52</v>
      </c>
      <c r="AB203" s="125">
        <v>29406</v>
      </c>
      <c r="AC203" s="125">
        <v>304.36</v>
      </c>
      <c r="AD203" s="125">
        <v>228</v>
      </c>
      <c r="AE203" s="157">
        <v>218.22</v>
      </c>
      <c r="AF203" s="157">
        <v>240</v>
      </c>
      <c r="AG203" s="125">
        <v>-320.19</v>
      </c>
      <c r="AH203" s="125">
        <v>24</v>
      </c>
      <c r="AI203" s="157">
        <v>55.15</v>
      </c>
      <c r="AJ203" s="157">
        <v>53.76</v>
      </c>
      <c r="AK203" s="157">
        <v>80.42</v>
      </c>
      <c r="AL203" s="125">
        <v>-303745.34999999998</v>
      </c>
    </row>
    <row r="204" spans="1:38" s="117" customFormat="1" ht="15" customHeight="1" x14ac:dyDescent="0.2">
      <c r="A204" s="123" t="s">
        <v>276</v>
      </c>
      <c r="B204" s="124" t="s">
        <v>277</v>
      </c>
      <c r="C204" s="157">
        <v>6114501.9000000004</v>
      </c>
      <c r="D204" s="125">
        <v>-463869.33</v>
      </c>
      <c r="E204" s="157">
        <v>7211696.8099999996</v>
      </c>
      <c r="F204" s="125">
        <v>0</v>
      </c>
      <c r="G204" s="157">
        <v>21811559.68</v>
      </c>
      <c r="H204" s="157">
        <v>2775170.41</v>
      </c>
      <c r="I204" s="157">
        <v>3591388.94</v>
      </c>
      <c r="J204" s="125">
        <v>0</v>
      </c>
      <c r="K204" s="125">
        <v>-708623.91</v>
      </c>
      <c r="L204" s="125">
        <v>560630.19999999995</v>
      </c>
      <c r="M204" s="157">
        <v>2152964.17</v>
      </c>
      <c r="N204" s="157">
        <v>5.75</v>
      </c>
      <c r="O204" s="157">
        <v>6506166.9800000004</v>
      </c>
      <c r="P204" s="125">
        <v>1318733.49</v>
      </c>
      <c r="Q204" s="157">
        <v>5727144.8200000003</v>
      </c>
      <c r="R204" s="157">
        <v>4305209.1100000003</v>
      </c>
      <c r="S204" s="157">
        <v>756781.87</v>
      </c>
      <c r="T204" s="125">
        <v>23</v>
      </c>
      <c r="U204" s="125">
        <v>275438</v>
      </c>
      <c r="V204" s="125">
        <v>5485096.21</v>
      </c>
      <c r="W204" s="125">
        <v>113857</v>
      </c>
      <c r="X204" s="157">
        <v>5220117.3600000003</v>
      </c>
      <c r="Y204" s="125">
        <v>8642165.9700000007</v>
      </c>
      <c r="Z204" s="125">
        <v>0</v>
      </c>
      <c r="AA204" s="125">
        <v>955304</v>
      </c>
      <c r="AB204" s="125">
        <v>714307</v>
      </c>
      <c r="AC204" s="125">
        <v>0</v>
      </c>
      <c r="AD204" s="125">
        <v>350915</v>
      </c>
      <c r="AE204" s="157">
        <v>0</v>
      </c>
      <c r="AF204" s="157">
        <v>200031</v>
      </c>
      <c r="AG204" s="125">
        <v>770985</v>
      </c>
      <c r="AH204" s="125">
        <v>1546607.74</v>
      </c>
      <c r="AI204" s="157">
        <v>123595</v>
      </c>
      <c r="AJ204" s="157">
        <v>66218</v>
      </c>
      <c r="AK204" s="157">
        <v>73384.800000000003</v>
      </c>
      <c r="AL204" s="125">
        <v>86197505.969999999</v>
      </c>
    </row>
    <row r="205" spans="1:38" s="117" customFormat="1" ht="15" customHeight="1" x14ac:dyDescent="0.2">
      <c r="A205" s="123" t="s">
        <v>1006</v>
      </c>
      <c r="B205" s="124" t="s">
        <v>1005</v>
      </c>
      <c r="C205" s="157">
        <v>0</v>
      </c>
      <c r="D205" s="125">
        <v>0</v>
      </c>
      <c r="E205" s="157">
        <v>0</v>
      </c>
      <c r="F205" s="125">
        <v>0</v>
      </c>
      <c r="G205" s="157">
        <v>3045.48</v>
      </c>
      <c r="H205" s="157">
        <v>0</v>
      </c>
      <c r="I205" s="157">
        <v>0</v>
      </c>
      <c r="J205" s="125">
        <v>0</v>
      </c>
      <c r="K205" s="125">
        <v>0</v>
      </c>
      <c r="L205" s="125">
        <v>0</v>
      </c>
      <c r="M205" s="157">
        <v>0</v>
      </c>
      <c r="N205" s="157">
        <v>0</v>
      </c>
      <c r="O205" s="157">
        <v>0</v>
      </c>
      <c r="P205" s="125">
        <v>0</v>
      </c>
      <c r="Q205" s="157">
        <v>0</v>
      </c>
      <c r="R205" s="157">
        <v>0</v>
      </c>
      <c r="S205" s="157">
        <v>0</v>
      </c>
      <c r="T205" s="125">
        <v>0</v>
      </c>
      <c r="U205" s="125">
        <v>0</v>
      </c>
      <c r="V205" s="125">
        <v>0</v>
      </c>
      <c r="W205" s="125">
        <v>0</v>
      </c>
      <c r="X205" s="157">
        <v>0</v>
      </c>
      <c r="Y205" s="125">
        <v>0</v>
      </c>
      <c r="Z205" s="125">
        <v>0</v>
      </c>
      <c r="AA205" s="125">
        <v>0</v>
      </c>
      <c r="AB205" s="125">
        <v>-169500</v>
      </c>
      <c r="AC205" s="125">
        <v>0</v>
      </c>
      <c r="AD205" s="125">
        <v>0</v>
      </c>
      <c r="AE205" s="157">
        <v>0</v>
      </c>
      <c r="AF205" s="157">
        <v>0</v>
      </c>
      <c r="AG205" s="125">
        <v>0</v>
      </c>
      <c r="AH205" s="125">
        <v>0</v>
      </c>
      <c r="AI205" s="157">
        <v>0</v>
      </c>
      <c r="AJ205" s="157">
        <v>0</v>
      </c>
      <c r="AK205" s="157">
        <v>0</v>
      </c>
      <c r="AL205" s="125">
        <v>-166454.51999999999</v>
      </c>
    </row>
    <row r="206" spans="1:38" s="117" customFormat="1" ht="15" customHeight="1" x14ac:dyDescent="0.2">
      <c r="A206" s="123" t="s">
        <v>278</v>
      </c>
      <c r="B206" s="124" t="s">
        <v>279</v>
      </c>
      <c r="C206" s="157">
        <v>-2199655.12</v>
      </c>
      <c r="D206" s="125">
        <v>46900.1</v>
      </c>
      <c r="E206" s="157">
        <v>694204.86</v>
      </c>
      <c r="F206" s="125">
        <v>-547563.4</v>
      </c>
      <c r="G206" s="157">
        <v>-7919275.6299999999</v>
      </c>
      <c r="H206" s="157">
        <v>3174588.58</v>
      </c>
      <c r="I206" s="157">
        <v>-667429.72</v>
      </c>
      <c r="J206" s="125">
        <v>1805233.33</v>
      </c>
      <c r="K206" s="125">
        <v>2958272.39</v>
      </c>
      <c r="L206" s="125">
        <v>464532.6</v>
      </c>
      <c r="M206" s="157">
        <v>-1014409</v>
      </c>
      <c r="N206" s="157">
        <v>2784737.03</v>
      </c>
      <c r="O206" s="157">
        <v>-3630836.06</v>
      </c>
      <c r="P206" s="125">
        <v>-478895.92</v>
      </c>
      <c r="Q206" s="157">
        <v>-1918452.37</v>
      </c>
      <c r="R206" s="157">
        <v>1330400.69</v>
      </c>
      <c r="S206" s="157">
        <v>1535728.67</v>
      </c>
      <c r="T206" s="125">
        <v>-2740433</v>
      </c>
      <c r="U206" s="125">
        <v>911453.46</v>
      </c>
      <c r="V206" s="125">
        <v>2808576.44</v>
      </c>
      <c r="W206" s="125">
        <v>-2989041.3</v>
      </c>
      <c r="X206" s="157">
        <v>1338839.17</v>
      </c>
      <c r="Y206" s="125">
        <v>-221975.19</v>
      </c>
      <c r="Z206" s="125">
        <v>-3548648.6</v>
      </c>
      <c r="AA206" s="125">
        <v>-3462550.14</v>
      </c>
      <c r="AB206" s="125">
        <v>1861253</v>
      </c>
      <c r="AC206" s="125">
        <v>-6986510.9500000002</v>
      </c>
      <c r="AD206" s="125">
        <v>-7681698</v>
      </c>
      <c r="AE206" s="157">
        <v>-6031007</v>
      </c>
      <c r="AF206" s="157">
        <v>-7277319</v>
      </c>
      <c r="AG206" s="125">
        <v>-2164667.1800000002</v>
      </c>
      <c r="AH206" s="125">
        <v>216351</v>
      </c>
      <c r="AI206" s="157">
        <v>538952.86</v>
      </c>
      <c r="AJ206" s="157">
        <v>587040.12</v>
      </c>
      <c r="AK206" s="157">
        <v>810754.77</v>
      </c>
      <c r="AL206" s="125">
        <v>-37612548.509999998</v>
      </c>
    </row>
    <row r="207" spans="1:38" s="117" customFormat="1" ht="15" customHeight="1" x14ac:dyDescent="0.2">
      <c r="A207" s="123" t="s">
        <v>280</v>
      </c>
      <c r="B207" s="124" t="s">
        <v>281</v>
      </c>
      <c r="C207" s="157">
        <v>490948.12</v>
      </c>
      <c r="D207" s="125">
        <v>0</v>
      </c>
      <c r="E207" s="157">
        <v>715222.14</v>
      </c>
      <c r="F207" s="125">
        <v>4639</v>
      </c>
      <c r="G207" s="157">
        <v>919231.85</v>
      </c>
      <c r="H207" s="157">
        <v>-3652500.64</v>
      </c>
      <c r="I207" s="157">
        <v>0</v>
      </c>
      <c r="J207" s="125">
        <v>546</v>
      </c>
      <c r="K207" s="125">
        <v>389089.99</v>
      </c>
      <c r="L207" s="125">
        <v>72771.8</v>
      </c>
      <c r="M207" s="157">
        <v>0</v>
      </c>
      <c r="N207" s="157">
        <v>59619</v>
      </c>
      <c r="O207" s="157">
        <v>666913</v>
      </c>
      <c r="P207" s="125">
        <v>23998</v>
      </c>
      <c r="Q207" s="157">
        <v>54641</v>
      </c>
      <c r="R207" s="157">
        <v>262676</v>
      </c>
      <c r="S207" s="157">
        <v>37455.879999999997</v>
      </c>
      <c r="T207" s="125">
        <v>0</v>
      </c>
      <c r="U207" s="125">
        <v>172149</v>
      </c>
      <c r="V207" s="125">
        <v>-2770907</v>
      </c>
      <c r="W207" s="125">
        <v>28464</v>
      </c>
      <c r="X207" s="157">
        <v>181867</v>
      </c>
      <c r="Y207" s="125">
        <v>378295</v>
      </c>
      <c r="Z207" s="125">
        <v>14545</v>
      </c>
      <c r="AA207" s="125">
        <v>106144</v>
      </c>
      <c r="AB207" s="125">
        <v>116562</v>
      </c>
      <c r="AC207" s="125">
        <v>0</v>
      </c>
      <c r="AD207" s="125">
        <v>63176</v>
      </c>
      <c r="AE207" s="157">
        <v>8969</v>
      </c>
      <c r="AF207" s="157">
        <v>68554</v>
      </c>
      <c r="AG207" s="125">
        <v>94318</v>
      </c>
      <c r="AH207" s="125">
        <v>16471.82</v>
      </c>
      <c r="AI207" s="157">
        <v>77248</v>
      </c>
      <c r="AJ207" s="157">
        <v>41390</v>
      </c>
      <c r="AK207" s="157">
        <v>20385</v>
      </c>
      <c r="AL207" s="125">
        <v>-1337118.04</v>
      </c>
    </row>
    <row r="208" spans="1:38" s="117" customFormat="1" ht="15" customHeight="1" x14ac:dyDescent="0.2">
      <c r="A208" s="123" t="s">
        <v>282</v>
      </c>
      <c r="B208" s="124" t="s">
        <v>283</v>
      </c>
      <c r="C208" s="157">
        <v>-1148144</v>
      </c>
      <c r="D208" s="125">
        <v>-1885059</v>
      </c>
      <c r="E208" s="157">
        <v>-4290697</v>
      </c>
      <c r="F208" s="125">
        <v>0</v>
      </c>
      <c r="G208" s="157">
        <v>0</v>
      </c>
      <c r="H208" s="157">
        <v>-496565.34</v>
      </c>
      <c r="I208" s="157">
        <v>-2.2799999999999998</v>
      </c>
      <c r="J208" s="125">
        <v>-6829695.1100000003</v>
      </c>
      <c r="K208" s="125">
        <v>-6950172.5199999996</v>
      </c>
      <c r="L208" s="125">
        <v>-1336748.28</v>
      </c>
      <c r="M208" s="157">
        <v>-377904</v>
      </c>
      <c r="N208" s="157">
        <v>-4585493</v>
      </c>
      <c r="O208" s="157">
        <v>0</v>
      </c>
      <c r="P208" s="125">
        <v>0</v>
      </c>
      <c r="Q208" s="157">
        <v>-1772339</v>
      </c>
      <c r="R208" s="157">
        <v>-3534850</v>
      </c>
      <c r="S208" s="157">
        <v>-2637246.5499999998</v>
      </c>
      <c r="T208" s="125">
        <v>-782620</v>
      </c>
      <c r="U208" s="125">
        <v>-2324244</v>
      </c>
      <c r="V208" s="125">
        <v>-1295232</v>
      </c>
      <c r="W208" s="125">
        <v>-2277793</v>
      </c>
      <c r="X208" s="157">
        <v>-4528070.8499999996</v>
      </c>
      <c r="Y208" s="125">
        <v>-1973302</v>
      </c>
      <c r="Z208" s="125">
        <v>0</v>
      </c>
      <c r="AA208" s="125">
        <v>0</v>
      </c>
      <c r="AB208" s="125">
        <v>-5173130</v>
      </c>
      <c r="AC208" s="125">
        <v>0</v>
      </c>
      <c r="AD208" s="125">
        <v>0</v>
      </c>
      <c r="AE208" s="157">
        <v>-2750</v>
      </c>
      <c r="AF208" s="157">
        <v>-19701</v>
      </c>
      <c r="AG208" s="125">
        <v>0</v>
      </c>
      <c r="AH208" s="125">
        <v>0</v>
      </c>
      <c r="AI208" s="157">
        <v>-1595768</v>
      </c>
      <c r="AJ208" s="157">
        <v>-1727512</v>
      </c>
      <c r="AK208" s="157">
        <v>-1954924</v>
      </c>
      <c r="AL208" s="125">
        <v>-59499962.93</v>
      </c>
    </row>
    <row r="209" spans="1:38" s="117" customFormat="1" ht="15" customHeight="1" x14ac:dyDescent="0.2">
      <c r="A209" s="123" t="s">
        <v>1004</v>
      </c>
      <c r="B209" s="124" t="s">
        <v>1003</v>
      </c>
      <c r="C209" s="157">
        <v>0</v>
      </c>
      <c r="D209" s="125">
        <v>0</v>
      </c>
      <c r="E209" s="157">
        <v>0</v>
      </c>
      <c r="F209" s="125">
        <v>0</v>
      </c>
      <c r="G209" s="157">
        <v>0</v>
      </c>
      <c r="H209" s="157">
        <v>0</v>
      </c>
      <c r="I209" s="157">
        <v>0</v>
      </c>
      <c r="J209" s="125">
        <v>0</v>
      </c>
      <c r="K209" s="125">
        <v>0</v>
      </c>
      <c r="L209" s="125">
        <v>0</v>
      </c>
      <c r="M209" s="157">
        <v>0</v>
      </c>
      <c r="N209" s="157">
        <v>0</v>
      </c>
      <c r="O209" s="157">
        <v>0</v>
      </c>
      <c r="P209" s="125">
        <v>0</v>
      </c>
      <c r="Q209" s="157">
        <v>0</v>
      </c>
      <c r="R209" s="157">
        <v>0</v>
      </c>
      <c r="S209" s="157">
        <v>0</v>
      </c>
      <c r="T209" s="125">
        <v>0</v>
      </c>
      <c r="U209" s="125">
        <v>0</v>
      </c>
      <c r="V209" s="125">
        <v>0</v>
      </c>
      <c r="W209" s="125">
        <v>0</v>
      </c>
      <c r="X209" s="157">
        <v>0</v>
      </c>
      <c r="Y209" s="125">
        <v>0</v>
      </c>
      <c r="Z209" s="125">
        <v>0</v>
      </c>
      <c r="AA209" s="125">
        <v>0</v>
      </c>
      <c r="AB209" s="125">
        <v>0</v>
      </c>
      <c r="AC209" s="125">
        <v>0</v>
      </c>
      <c r="AD209" s="125">
        <v>0</v>
      </c>
      <c r="AE209" s="157">
        <v>0</v>
      </c>
      <c r="AF209" s="157">
        <v>0</v>
      </c>
      <c r="AG209" s="125">
        <v>0</v>
      </c>
      <c r="AH209" s="125">
        <v>14727</v>
      </c>
      <c r="AI209" s="157">
        <v>0</v>
      </c>
      <c r="AJ209" s="157">
        <v>0</v>
      </c>
      <c r="AK209" s="157">
        <v>0</v>
      </c>
      <c r="AL209" s="125">
        <v>14727</v>
      </c>
    </row>
    <row r="210" spans="1:38" s="117" customFormat="1" ht="15" customHeight="1" x14ac:dyDescent="0.2">
      <c r="A210" s="123" t="s">
        <v>940</v>
      </c>
      <c r="B210" s="124" t="s">
        <v>1002</v>
      </c>
      <c r="C210" s="157">
        <v>0</v>
      </c>
      <c r="D210" s="125">
        <v>0</v>
      </c>
      <c r="E210" s="157">
        <v>0</v>
      </c>
      <c r="F210" s="125">
        <v>0</v>
      </c>
      <c r="G210" s="157">
        <v>0</v>
      </c>
      <c r="H210" s="157">
        <v>0</v>
      </c>
      <c r="I210" s="157">
        <v>0</v>
      </c>
      <c r="J210" s="125">
        <v>0</v>
      </c>
      <c r="K210" s="125">
        <v>0</v>
      </c>
      <c r="L210" s="125">
        <v>0</v>
      </c>
      <c r="M210" s="157">
        <v>0</v>
      </c>
      <c r="N210" s="157">
        <v>0</v>
      </c>
      <c r="O210" s="157">
        <v>0</v>
      </c>
      <c r="P210" s="125">
        <v>0</v>
      </c>
      <c r="Q210" s="157">
        <v>0</v>
      </c>
      <c r="R210" s="157">
        <v>0</v>
      </c>
      <c r="S210" s="157">
        <v>0</v>
      </c>
      <c r="T210" s="125">
        <v>0</v>
      </c>
      <c r="U210" s="125">
        <v>0</v>
      </c>
      <c r="V210" s="125">
        <v>0</v>
      </c>
      <c r="W210" s="125">
        <v>0</v>
      </c>
      <c r="X210" s="157">
        <v>0</v>
      </c>
      <c r="Y210" s="125">
        <v>0</v>
      </c>
      <c r="Z210" s="125">
        <v>0</v>
      </c>
      <c r="AA210" s="125">
        <v>0</v>
      </c>
      <c r="AB210" s="125">
        <v>0</v>
      </c>
      <c r="AC210" s="125">
        <v>0</v>
      </c>
      <c r="AD210" s="125">
        <v>0</v>
      </c>
      <c r="AE210" s="157">
        <v>0</v>
      </c>
      <c r="AF210" s="157">
        <v>0</v>
      </c>
      <c r="AG210" s="125">
        <v>0</v>
      </c>
      <c r="AH210" s="125">
        <v>1287.1199999999999</v>
      </c>
      <c r="AI210" s="157">
        <v>0</v>
      </c>
      <c r="AJ210" s="157">
        <v>0</v>
      </c>
      <c r="AK210" s="157">
        <v>0</v>
      </c>
      <c r="AL210" s="125">
        <v>1287.1199999999999</v>
      </c>
    </row>
    <row r="211" spans="1:38" s="117" customFormat="1" ht="15" customHeight="1" x14ac:dyDescent="0.2">
      <c r="A211" s="123" t="s">
        <v>492</v>
      </c>
      <c r="B211" s="124" t="s">
        <v>493</v>
      </c>
      <c r="C211" s="157">
        <v>0</v>
      </c>
      <c r="D211" s="125">
        <v>0</v>
      </c>
      <c r="E211" s="157">
        <v>0</v>
      </c>
      <c r="F211" s="125">
        <v>10000</v>
      </c>
      <c r="G211" s="157">
        <v>10000</v>
      </c>
      <c r="H211" s="157">
        <v>0</v>
      </c>
      <c r="I211" s="157">
        <v>0</v>
      </c>
      <c r="J211" s="125">
        <v>20000</v>
      </c>
      <c r="K211" s="125">
        <v>0</v>
      </c>
      <c r="L211" s="125">
        <v>10000</v>
      </c>
      <c r="M211" s="157">
        <v>0</v>
      </c>
      <c r="N211" s="157">
        <v>0</v>
      </c>
      <c r="O211" s="157">
        <v>0</v>
      </c>
      <c r="P211" s="125">
        <v>0</v>
      </c>
      <c r="Q211" s="157">
        <v>10000</v>
      </c>
      <c r="R211" s="157">
        <v>0</v>
      </c>
      <c r="S211" s="157">
        <v>0</v>
      </c>
      <c r="T211" s="125">
        <v>0</v>
      </c>
      <c r="U211" s="125">
        <v>50019</v>
      </c>
      <c r="V211" s="125">
        <v>0</v>
      </c>
      <c r="W211" s="125">
        <v>76659</v>
      </c>
      <c r="X211" s="157">
        <v>0</v>
      </c>
      <c r="Y211" s="125">
        <v>0</v>
      </c>
      <c r="Z211" s="125">
        <v>10000</v>
      </c>
      <c r="AA211" s="125">
        <v>10000</v>
      </c>
      <c r="AB211" s="125">
        <v>10000</v>
      </c>
      <c r="AC211" s="125">
        <v>18687</v>
      </c>
      <c r="AD211" s="125">
        <v>20000</v>
      </c>
      <c r="AE211" s="157">
        <v>10000</v>
      </c>
      <c r="AF211" s="157">
        <v>10000</v>
      </c>
      <c r="AG211" s="125">
        <v>10000</v>
      </c>
      <c r="AH211" s="125">
        <v>0</v>
      </c>
      <c r="AI211" s="157">
        <v>11591</v>
      </c>
      <c r="AJ211" s="157">
        <v>12190</v>
      </c>
      <c r="AK211" s="157">
        <v>10784</v>
      </c>
      <c r="AL211" s="125">
        <v>319930</v>
      </c>
    </row>
    <row r="212" spans="1:38" s="117" customFormat="1" ht="15" customHeight="1" x14ac:dyDescent="0.2">
      <c r="A212" s="123" t="s">
        <v>284</v>
      </c>
      <c r="B212" s="124" t="s">
        <v>285</v>
      </c>
      <c r="C212" s="157">
        <v>-0.06</v>
      </c>
      <c r="D212" s="125">
        <v>0</v>
      </c>
      <c r="E212" s="157">
        <v>0.01</v>
      </c>
      <c r="F212" s="125">
        <v>0</v>
      </c>
      <c r="G212" s="157">
        <v>0</v>
      </c>
      <c r="H212" s="157">
        <v>0</v>
      </c>
      <c r="I212" s="157">
        <v>0</v>
      </c>
      <c r="J212" s="125">
        <v>0</v>
      </c>
      <c r="K212" s="125">
        <v>0</v>
      </c>
      <c r="L212" s="125">
        <v>0</v>
      </c>
      <c r="M212" s="157">
        <v>0</v>
      </c>
      <c r="N212" s="157">
        <v>0</v>
      </c>
      <c r="O212" s="157">
        <v>0</v>
      </c>
      <c r="P212" s="125">
        <v>0</v>
      </c>
      <c r="Q212" s="157">
        <v>0</v>
      </c>
      <c r="R212" s="157">
        <v>0</v>
      </c>
      <c r="S212" s="157">
        <v>0</v>
      </c>
      <c r="T212" s="125">
        <v>0</v>
      </c>
      <c r="U212" s="125">
        <v>0</v>
      </c>
      <c r="V212" s="125">
        <v>0</v>
      </c>
      <c r="W212" s="125">
        <v>0</v>
      </c>
      <c r="X212" s="157">
        <v>0</v>
      </c>
      <c r="Y212" s="125">
        <v>0</v>
      </c>
      <c r="Z212" s="125">
        <v>0</v>
      </c>
      <c r="AA212" s="125">
        <v>0</v>
      </c>
      <c r="AB212" s="125">
        <v>0</v>
      </c>
      <c r="AC212" s="125">
        <v>0</v>
      </c>
      <c r="AD212" s="125">
        <v>0</v>
      </c>
      <c r="AE212" s="157">
        <v>0</v>
      </c>
      <c r="AF212" s="157">
        <v>0</v>
      </c>
      <c r="AG212" s="125">
        <v>0</v>
      </c>
      <c r="AH212" s="125">
        <v>0</v>
      </c>
      <c r="AI212" s="157">
        <v>0</v>
      </c>
      <c r="AJ212" s="157">
        <v>0</v>
      </c>
      <c r="AK212" s="157">
        <v>0</v>
      </c>
      <c r="AL212" s="125">
        <v>-0.05</v>
      </c>
    </row>
    <row r="213" spans="1:38" s="117" customFormat="1" ht="15" customHeight="1" x14ac:dyDescent="0.2">
      <c r="A213" s="123" t="s">
        <v>286</v>
      </c>
      <c r="B213" s="124" t="s">
        <v>1375</v>
      </c>
      <c r="C213" s="157">
        <v>-33998.839999999997</v>
      </c>
      <c r="D213" s="125">
        <v>-32821.279999999999</v>
      </c>
      <c r="E213" s="157">
        <v>-20189.560000000001</v>
      </c>
      <c r="F213" s="125">
        <v>-48294.74</v>
      </c>
      <c r="G213" s="157">
        <v>-35972.92</v>
      </c>
      <c r="H213" s="157">
        <v>-135403.01</v>
      </c>
      <c r="I213" s="157">
        <v>-34199.11</v>
      </c>
      <c r="J213" s="125">
        <v>-29235.8</v>
      </c>
      <c r="K213" s="125">
        <v>-4767.41</v>
      </c>
      <c r="L213" s="125">
        <v>12833.81</v>
      </c>
      <c r="M213" s="157">
        <v>-46104.44</v>
      </c>
      <c r="N213" s="157">
        <v>17043.25</v>
      </c>
      <c r="O213" s="157">
        <v>-20035.66</v>
      </c>
      <c r="P213" s="125">
        <v>-20803.27</v>
      </c>
      <c r="Q213" s="157">
        <v>-31540.2</v>
      </c>
      <c r="R213" s="157">
        <v>73536.62</v>
      </c>
      <c r="S213" s="157">
        <v>-16340.2</v>
      </c>
      <c r="T213" s="125">
        <v>-59765.64</v>
      </c>
      <c r="U213" s="125">
        <v>-228607.28</v>
      </c>
      <c r="V213" s="125">
        <v>-22084.77</v>
      </c>
      <c r="W213" s="125">
        <v>-17964.349999999999</v>
      </c>
      <c r="X213" s="157">
        <v>-29679.759999999998</v>
      </c>
      <c r="Y213" s="125">
        <v>-26208.82</v>
      </c>
      <c r="Z213" s="125">
        <v>-21175.5</v>
      </c>
      <c r="AA213" s="125">
        <v>40633.07</v>
      </c>
      <c r="AB213" s="125">
        <v>-17300.689999999999</v>
      </c>
      <c r="AC213" s="125">
        <v>-32260.63</v>
      </c>
      <c r="AD213" s="125">
        <v>-1614.75</v>
      </c>
      <c r="AE213" s="157">
        <v>-19880.2</v>
      </c>
      <c r="AF213" s="157">
        <v>-12721.99</v>
      </c>
      <c r="AG213" s="125">
        <v>-56907.5</v>
      </c>
      <c r="AH213" s="125">
        <v>-51248.66</v>
      </c>
      <c r="AI213" s="157">
        <v>-27973.69</v>
      </c>
      <c r="AJ213" s="157">
        <v>-20546.97</v>
      </c>
      <c r="AK213" s="157">
        <v>-65779.03</v>
      </c>
      <c r="AL213" s="125">
        <v>-1077379.92</v>
      </c>
    </row>
    <row r="214" spans="1:38" s="117" customFormat="1" ht="15" customHeight="1" x14ac:dyDescent="0.2">
      <c r="A214" s="123" t="s">
        <v>287</v>
      </c>
      <c r="B214" s="124" t="s">
        <v>1374</v>
      </c>
      <c r="C214" s="157">
        <v>-843649.16</v>
      </c>
      <c r="D214" s="125">
        <v>-946197.67</v>
      </c>
      <c r="E214" s="157">
        <v>-768443.44</v>
      </c>
      <c r="F214" s="125">
        <v>-918543.19</v>
      </c>
      <c r="G214" s="157">
        <v>-539118.05000000005</v>
      </c>
      <c r="H214" s="157">
        <v>-845457.34</v>
      </c>
      <c r="I214" s="157">
        <v>-711219.89</v>
      </c>
      <c r="J214" s="125">
        <v>-702106.33</v>
      </c>
      <c r="K214" s="125">
        <v>-848687.96</v>
      </c>
      <c r="L214" s="125">
        <v>-952501.54</v>
      </c>
      <c r="M214" s="157">
        <v>-660860.56000000006</v>
      </c>
      <c r="N214" s="157">
        <v>-798163.31</v>
      </c>
      <c r="O214" s="157">
        <v>-786747.38</v>
      </c>
      <c r="P214" s="125">
        <v>-489778.93</v>
      </c>
      <c r="Q214" s="157">
        <v>-815586.62</v>
      </c>
      <c r="R214" s="157">
        <v>-738747.62</v>
      </c>
      <c r="S214" s="157">
        <v>-450983.8</v>
      </c>
      <c r="T214" s="125">
        <v>-618935.42000000004</v>
      </c>
      <c r="U214" s="125">
        <v>-1440359.78</v>
      </c>
      <c r="V214" s="125">
        <v>-827038.23</v>
      </c>
      <c r="W214" s="125">
        <v>-949097.4</v>
      </c>
      <c r="X214" s="157">
        <v>-846244.8</v>
      </c>
      <c r="Y214" s="125">
        <v>-332103</v>
      </c>
      <c r="Z214" s="125">
        <v>-640945.94999999995</v>
      </c>
      <c r="AA214" s="125">
        <v>-783607.67</v>
      </c>
      <c r="AB214" s="125">
        <v>-723367.12</v>
      </c>
      <c r="AC214" s="125">
        <v>-687443.53</v>
      </c>
      <c r="AD214" s="125">
        <v>-283281.2</v>
      </c>
      <c r="AE214" s="157">
        <v>-470157.76</v>
      </c>
      <c r="AF214" s="157">
        <v>-420349.13</v>
      </c>
      <c r="AG214" s="125">
        <v>-972094.1</v>
      </c>
      <c r="AH214" s="125">
        <v>-549601.75</v>
      </c>
      <c r="AI214" s="157">
        <v>-829658.85</v>
      </c>
      <c r="AJ214" s="157">
        <v>-846765.59</v>
      </c>
      <c r="AK214" s="157">
        <v>-788661.84</v>
      </c>
      <c r="AL214" s="125">
        <v>-25826505.91</v>
      </c>
    </row>
    <row r="215" spans="1:38" s="117" customFormat="1" ht="15" customHeight="1" x14ac:dyDescent="0.2">
      <c r="A215" s="123" t="s">
        <v>288</v>
      </c>
      <c r="B215" s="124" t="s">
        <v>1373</v>
      </c>
      <c r="C215" s="157">
        <v>-194180</v>
      </c>
      <c r="D215" s="125">
        <v>-58518.33</v>
      </c>
      <c r="E215" s="157">
        <v>-269683</v>
      </c>
      <c r="F215" s="125">
        <v>-140052.29999999999</v>
      </c>
      <c r="G215" s="157">
        <v>0</v>
      </c>
      <c r="H215" s="157">
        <v>-40906.78</v>
      </c>
      <c r="I215" s="157">
        <v>-25392</v>
      </c>
      <c r="J215" s="125">
        <v>-30214.87</v>
      </c>
      <c r="K215" s="125">
        <v>-112655.25</v>
      </c>
      <c r="L215" s="125">
        <v>-192718.42</v>
      </c>
      <c r="M215" s="157">
        <v>-65025</v>
      </c>
      <c r="N215" s="157">
        <v>-144438.94</v>
      </c>
      <c r="O215" s="157">
        <v>-245040</v>
      </c>
      <c r="P215" s="125">
        <v>-112751</v>
      </c>
      <c r="Q215" s="157">
        <v>-799437.06</v>
      </c>
      <c r="R215" s="157">
        <v>-255762</v>
      </c>
      <c r="S215" s="157">
        <v>-50546</v>
      </c>
      <c r="T215" s="125">
        <v>-283691.94</v>
      </c>
      <c r="U215" s="125">
        <v>-91261.1</v>
      </c>
      <c r="V215" s="125">
        <v>-79318</v>
      </c>
      <c r="W215" s="125">
        <v>-76451.33</v>
      </c>
      <c r="X215" s="157">
        <v>-122101.29</v>
      </c>
      <c r="Y215" s="125">
        <v>0</v>
      </c>
      <c r="Z215" s="125">
        <v>-30147.55</v>
      </c>
      <c r="AA215" s="125">
        <v>-209845.12</v>
      </c>
      <c r="AB215" s="125">
        <v>-252560.19</v>
      </c>
      <c r="AC215" s="125">
        <v>-91645.84</v>
      </c>
      <c r="AD215" s="125">
        <v>-84141</v>
      </c>
      <c r="AE215" s="157">
        <v>-117840.04</v>
      </c>
      <c r="AF215" s="157">
        <v>-468651.88</v>
      </c>
      <c r="AG215" s="125">
        <v>-220738.77</v>
      </c>
      <c r="AH215" s="125">
        <v>-15110.27</v>
      </c>
      <c r="AI215" s="157">
        <v>-291654</v>
      </c>
      <c r="AJ215" s="157">
        <v>-198728.64</v>
      </c>
      <c r="AK215" s="157">
        <v>-119567.84</v>
      </c>
      <c r="AL215" s="125">
        <v>-5490775.75</v>
      </c>
    </row>
    <row r="216" spans="1:38" s="117" customFormat="1" ht="15" customHeight="1" x14ac:dyDescent="0.2">
      <c r="A216" s="123" t="s">
        <v>494</v>
      </c>
      <c r="B216" s="124" t="s">
        <v>1372</v>
      </c>
      <c r="C216" s="157">
        <v>0</v>
      </c>
      <c r="D216" s="125">
        <v>325</v>
      </c>
      <c r="E216" s="157">
        <v>0</v>
      </c>
      <c r="F216" s="125">
        <v>0</v>
      </c>
      <c r="G216" s="157">
        <v>-2153635</v>
      </c>
      <c r="H216" s="157">
        <v>0</v>
      </c>
      <c r="I216" s="157">
        <v>0</v>
      </c>
      <c r="J216" s="125">
        <v>0</v>
      </c>
      <c r="K216" s="125">
        <v>0</v>
      </c>
      <c r="L216" s="125">
        <v>0</v>
      </c>
      <c r="M216" s="157">
        <v>0</v>
      </c>
      <c r="N216" s="157">
        <v>0</v>
      </c>
      <c r="O216" s="157">
        <v>0</v>
      </c>
      <c r="P216" s="125">
        <v>0</v>
      </c>
      <c r="Q216" s="157">
        <v>0</v>
      </c>
      <c r="R216" s="157">
        <v>0</v>
      </c>
      <c r="S216" s="157">
        <v>0</v>
      </c>
      <c r="T216" s="125">
        <v>0</v>
      </c>
      <c r="U216" s="125">
        <v>0</v>
      </c>
      <c r="V216" s="125">
        <v>0</v>
      </c>
      <c r="W216" s="125">
        <v>0</v>
      </c>
      <c r="X216" s="157">
        <v>0</v>
      </c>
      <c r="Y216" s="125">
        <v>-1373917</v>
      </c>
      <c r="Z216" s="125">
        <v>0</v>
      </c>
      <c r="AA216" s="125">
        <v>0</v>
      </c>
      <c r="AB216" s="125">
        <v>0</v>
      </c>
      <c r="AC216" s="125">
        <v>0</v>
      </c>
      <c r="AD216" s="125">
        <v>-967387</v>
      </c>
      <c r="AE216" s="157">
        <v>0</v>
      </c>
      <c r="AF216" s="157">
        <v>0</v>
      </c>
      <c r="AG216" s="125">
        <v>0</v>
      </c>
      <c r="AH216" s="125">
        <v>0</v>
      </c>
      <c r="AI216" s="157">
        <v>0</v>
      </c>
      <c r="AJ216" s="157">
        <v>0</v>
      </c>
      <c r="AK216" s="157">
        <v>0</v>
      </c>
      <c r="AL216" s="125">
        <v>-4494614</v>
      </c>
    </row>
    <row r="217" spans="1:38" s="117" customFormat="1" ht="15" customHeight="1" x14ac:dyDescent="0.2">
      <c r="A217" s="123" t="s">
        <v>289</v>
      </c>
      <c r="B217" s="124" t="s">
        <v>1371</v>
      </c>
      <c r="C217" s="157">
        <v>14644</v>
      </c>
      <c r="D217" s="125">
        <v>3296</v>
      </c>
      <c r="E217" s="157">
        <v>9640</v>
      </c>
      <c r="F217" s="125">
        <v>-27247</v>
      </c>
      <c r="G217" s="157">
        <v>0</v>
      </c>
      <c r="H217" s="157">
        <v>47387</v>
      </c>
      <c r="I217" s="157">
        <v>5674</v>
      </c>
      <c r="J217" s="125">
        <v>14309</v>
      </c>
      <c r="K217" s="125">
        <v>-9</v>
      </c>
      <c r="L217" s="125">
        <v>-51488</v>
      </c>
      <c r="M217" s="157">
        <v>19039</v>
      </c>
      <c r="N217" s="157">
        <v>-35017</v>
      </c>
      <c r="O217" s="157">
        <v>-43816</v>
      </c>
      <c r="P217" s="125">
        <v>13372</v>
      </c>
      <c r="Q217" s="157">
        <v>-20005</v>
      </c>
      <c r="R217" s="157">
        <v>-94292</v>
      </c>
      <c r="S217" s="157">
        <v>2458</v>
      </c>
      <c r="T217" s="125">
        <v>19512</v>
      </c>
      <c r="U217" s="125">
        <v>51099</v>
      </c>
      <c r="V217" s="125">
        <v>7753</v>
      </c>
      <c r="W217" s="125">
        <v>-8773.15</v>
      </c>
      <c r="X217" s="157">
        <v>-20266</v>
      </c>
      <c r="Y217" s="125">
        <v>5153</v>
      </c>
      <c r="Z217" s="125">
        <v>-1984</v>
      </c>
      <c r="AA217" s="125">
        <v>-62544</v>
      </c>
      <c r="AB217" s="125">
        <v>-29687</v>
      </c>
      <c r="AC217" s="125">
        <v>-13672</v>
      </c>
      <c r="AD217" s="125">
        <v>-2520</v>
      </c>
      <c r="AE217" s="157">
        <v>10954</v>
      </c>
      <c r="AF217" s="157">
        <v>-5291</v>
      </c>
      <c r="AG217" s="125">
        <v>-29134</v>
      </c>
      <c r="AH217" s="125">
        <v>11381</v>
      </c>
      <c r="AI217" s="157">
        <v>-32083</v>
      </c>
      <c r="AJ217" s="157">
        <v>-70763.61</v>
      </c>
      <c r="AK217" s="157">
        <v>3896.45</v>
      </c>
      <c r="AL217" s="125">
        <v>-309024.31</v>
      </c>
    </row>
    <row r="218" spans="1:38" s="117" customFormat="1" ht="15" customHeight="1" x14ac:dyDescent="0.2">
      <c r="A218" s="123" t="s">
        <v>1370</v>
      </c>
      <c r="B218" s="124" t="s">
        <v>1369</v>
      </c>
      <c r="C218" s="157">
        <v>0</v>
      </c>
      <c r="D218" s="125">
        <v>0</v>
      </c>
      <c r="E218" s="157">
        <v>0</v>
      </c>
      <c r="F218" s="125">
        <v>0</v>
      </c>
      <c r="G218" s="157">
        <v>0</v>
      </c>
      <c r="H218" s="157">
        <v>0</v>
      </c>
      <c r="I218" s="157">
        <v>0</v>
      </c>
      <c r="J218" s="125">
        <v>0</v>
      </c>
      <c r="K218" s="125">
        <v>0</v>
      </c>
      <c r="L218" s="125">
        <v>0</v>
      </c>
      <c r="M218" s="157">
        <v>-7</v>
      </c>
      <c r="N218" s="157">
        <v>0</v>
      </c>
      <c r="O218" s="157">
        <v>0</v>
      </c>
      <c r="P218" s="125">
        <v>0</v>
      </c>
      <c r="Q218" s="157">
        <v>0</v>
      </c>
      <c r="R218" s="157">
        <v>-250</v>
      </c>
      <c r="S218" s="157">
        <v>0</v>
      </c>
      <c r="T218" s="125">
        <v>0</v>
      </c>
      <c r="U218" s="125">
        <v>0</v>
      </c>
      <c r="V218" s="125">
        <v>0</v>
      </c>
      <c r="W218" s="125">
        <v>0</v>
      </c>
      <c r="X218" s="157">
        <v>0</v>
      </c>
      <c r="Y218" s="125">
        <v>79.11</v>
      </c>
      <c r="Z218" s="125">
        <v>0</v>
      </c>
      <c r="AA218" s="125">
        <v>0</v>
      </c>
      <c r="AB218" s="125">
        <v>0</v>
      </c>
      <c r="AC218" s="125">
        <v>614</v>
      </c>
      <c r="AD218" s="125">
        <v>3777</v>
      </c>
      <c r="AE218" s="157">
        <v>0</v>
      </c>
      <c r="AF218" s="157">
        <v>0</v>
      </c>
      <c r="AG218" s="125">
        <v>0</v>
      </c>
      <c r="AH218" s="125">
        <v>182</v>
      </c>
      <c r="AI218" s="157">
        <v>0</v>
      </c>
      <c r="AJ218" s="157">
        <v>0</v>
      </c>
      <c r="AK218" s="157">
        <v>0</v>
      </c>
      <c r="AL218" s="125">
        <v>4395.1099999999997</v>
      </c>
    </row>
    <row r="219" spans="1:38" s="117" customFormat="1" ht="15" customHeight="1" x14ac:dyDescent="0.2">
      <c r="A219" s="123" t="s">
        <v>290</v>
      </c>
      <c r="B219" s="124" t="s">
        <v>1368</v>
      </c>
      <c r="C219" s="157">
        <v>19354.84</v>
      </c>
      <c r="D219" s="125">
        <v>29525.279999999999</v>
      </c>
      <c r="E219" s="157">
        <v>10549.56</v>
      </c>
      <c r="F219" s="125">
        <v>75541.740000000005</v>
      </c>
      <c r="G219" s="157">
        <v>47314.92</v>
      </c>
      <c r="H219" s="157">
        <v>88066.68</v>
      </c>
      <c r="I219" s="157">
        <v>28525.11</v>
      </c>
      <c r="J219" s="125">
        <v>14926.8</v>
      </c>
      <c r="K219" s="125">
        <v>4776.41</v>
      </c>
      <c r="L219" s="125">
        <v>38654.19</v>
      </c>
      <c r="M219" s="157">
        <v>27668.67</v>
      </c>
      <c r="N219" s="157">
        <v>17973.75</v>
      </c>
      <c r="O219" s="157">
        <v>63851.66</v>
      </c>
      <c r="P219" s="125">
        <v>7431.27</v>
      </c>
      <c r="Q219" s="157">
        <v>51545.2</v>
      </c>
      <c r="R219" s="157">
        <v>20755.38</v>
      </c>
      <c r="S219" s="157">
        <v>13882.2</v>
      </c>
      <c r="T219" s="125">
        <v>40253.64</v>
      </c>
      <c r="U219" s="125">
        <v>177508.28</v>
      </c>
      <c r="V219" s="125">
        <v>14331.77</v>
      </c>
      <c r="W219" s="125">
        <v>27669.5</v>
      </c>
      <c r="X219" s="157">
        <v>50316.93</v>
      </c>
      <c r="Y219" s="125">
        <v>22241.82</v>
      </c>
      <c r="Z219" s="125">
        <v>23159.5</v>
      </c>
      <c r="AA219" s="125">
        <v>21910.93</v>
      </c>
      <c r="AB219" s="125">
        <v>46987.69</v>
      </c>
      <c r="AC219" s="125">
        <v>45932.63</v>
      </c>
      <c r="AD219" s="125">
        <v>36572.75</v>
      </c>
      <c r="AE219" s="157">
        <v>8926.2000000000007</v>
      </c>
      <c r="AF219" s="157">
        <v>18012.990000000002</v>
      </c>
      <c r="AG219" s="125">
        <v>86041.5</v>
      </c>
      <c r="AH219" s="125">
        <v>39867.660000000003</v>
      </c>
      <c r="AI219" s="157">
        <v>60056.69</v>
      </c>
      <c r="AJ219" s="157">
        <v>91310.58</v>
      </c>
      <c r="AK219" s="157">
        <v>61882.58</v>
      </c>
      <c r="AL219" s="125">
        <v>1433327.3</v>
      </c>
    </row>
    <row r="220" spans="1:38" s="117" customFormat="1" ht="15" customHeight="1" x14ac:dyDescent="0.2">
      <c r="A220" s="123" t="s">
        <v>495</v>
      </c>
      <c r="B220" s="124" t="s">
        <v>1367</v>
      </c>
      <c r="C220" s="157">
        <v>0</v>
      </c>
      <c r="D220" s="125">
        <v>0</v>
      </c>
      <c r="E220" s="157">
        <v>0</v>
      </c>
      <c r="F220" s="125">
        <v>0</v>
      </c>
      <c r="G220" s="157">
        <v>3399.43</v>
      </c>
      <c r="H220" s="157">
        <v>438.2</v>
      </c>
      <c r="I220" s="157">
        <v>0</v>
      </c>
      <c r="J220" s="125">
        <v>0</v>
      </c>
      <c r="K220" s="125">
        <v>0</v>
      </c>
      <c r="L220" s="125">
        <v>0</v>
      </c>
      <c r="M220" s="157">
        <v>0</v>
      </c>
      <c r="N220" s="157">
        <v>0</v>
      </c>
      <c r="O220" s="157">
        <v>419.1</v>
      </c>
      <c r="P220" s="125">
        <v>0</v>
      </c>
      <c r="Q220" s="157">
        <v>6418.75</v>
      </c>
      <c r="R220" s="157">
        <v>0</v>
      </c>
      <c r="S220" s="157">
        <v>0</v>
      </c>
      <c r="T220" s="125">
        <v>411</v>
      </c>
      <c r="U220" s="125">
        <v>7172.51</v>
      </c>
      <c r="V220" s="125">
        <v>0</v>
      </c>
      <c r="W220" s="125">
        <v>0</v>
      </c>
      <c r="X220" s="157">
        <v>0</v>
      </c>
      <c r="Y220" s="125">
        <v>0</v>
      </c>
      <c r="Z220" s="125">
        <v>0</v>
      </c>
      <c r="AA220" s="125">
        <v>0</v>
      </c>
      <c r="AB220" s="125">
        <v>0</v>
      </c>
      <c r="AC220" s="125">
        <v>0</v>
      </c>
      <c r="AD220" s="125">
        <v>3125.39</v>
      </c>
      <c r="AE220" s="157">
        <v>0</v>
      </c>
      <c r="AF220" s="157">
        <v>0</v>
      </c>
      <c r="AG220" s="125">
        <v>980</v>
      </c>
      <c r="AH220" s="125">
        <v>750.81</v>
      </c>
      <c r="AI220" s="157">
        <v>0</v>
      </c>
      <c r="AJ220" s="157">
        <v>254.84</v>
      </c>
      <c r="AK220" s="157">
        <v>923</v>
      </c>
      <c r="AL220" s="125">
        <v>24293.03</v>
      </c>
    </row>
    <row r="221" spans="1:38" s="117" customFormat="1" ht="15" customHeight="1" x14ac:dyDescent="0.2">
      <c r="A221" s="123" t="s">
        <v>534</v>
      </c>
      <c r="B221" s="124" t="s">
        <v>1366</v>
      </c>
      <c r="C221" s="157">
        <v>0</v>
      </c>
      <c r="D221" s="125">
        <v>0</v>
      </c>
      <c r="E221" s="157">
        <v>0</v>
      </c>
      <c r="F221" s="125">
        <v>1313</v>
      </c>
      <c r="G221" s="157">
        <v>0</v>
      </c>
      <c r="H221" s="157">
        <v>0</v>
      </c>
      <c r="I221" s="157">
        <v>0</v>
      </c>
      <c r="J221" s="125">
        <v>0</v>
      </c>
      <c r="K221" s="125">
        <v>0</v>
      </c>
      <c r="L221" s="125">
        <v>0</v>
      </c>
      <c r="M221" s="157">
        <v>0</v>
      </c>
      <c r="N221" s="157">
        <v>0</v>
      </c>
      <c r="O221" s="157">
        <v>0</v>
      </c>
      <c r="P221" s="125">
        <v>0</v>
      </c>
      <c r="Q221" s="157">
        <v>891</v>
      </c>
      <c r="R221" s="157">
        <v>0</v>
      </c>
      <c r="S221" s="157">
        <v>0</v>
      </c>
      <c r="T221" s="125">
        <v>0</v>
      </c>
      <c r="U221" s="125">
        <v>480</v>
      </c>
      <c r="V221" s="125">
        <v>0</v>
      </c>
      <c r="W221" s="125">
        <v>0</v>
      </c>
      <c r="X221" s="157">
        <v>0</v>
      </c>
      <c r="Y221" s="125">
        <v>0</v>
      </c>
      <c r="Z221" s="125">
        <v>0</v>
      </c>
      <c r="AA221" s="125">
        <v>0</v>
      </c>
      <c r="AB221" s="125">
        <v>0</v>
      </c>
      <c r="AC221" s="125">
        <v>0</v>
      </c>
      <c r="AD221" s="125">
        <v>0</v>
      </c>
      <c r="AE221" s="157">
        <v>0</v>
      </c>
      <c r="AF221" s="157">
        <v>0</v>
      </c>
      <c r="AG221" s="125">
        <v>0</v>
      </c>
      <c r="AH221" s="125">
        <v>0</v>
      </c>
      <c r="AI221" s="157">
        <v>0</v>
      </c>
      <c r="AJ221" s="157">
        <v>189.68</v>
      </c>
      <c r="AK221" s="157">
        <v>880</v>
      </c>
      <c r="AL221" s="125">
        <v>3753.68</v>
      </c>
    </row>
    <row r="222" spans="1:38" s="117" customFormat="1" ht="15" customHeight="1" x14ac:dyDescent="0.2">
      <c r="A222" s="123" t="s">
        <v>291</v>
      </c>
      <c r="B222" s="124" t="s">
        <v>1365</v>
      </c>
      <c r="C222" s="157">
        <v>1000</v>
      </c>
      <c r="D222" s="125">
        <v>0</v>
      </c>
      <c r="E222" s="157">
        <v>250</v>
      </c>
      <c r="F222" s="125">
        <v>0</v>
      </c>
      <c r="G222" s="157">
        <v>0</v>
      </c>
      <c r="H222" s="157">
        <v>0</v>
      </c>
      <c r="I222" s="157">
        <v>0</v>
      </c>
      <c r="J222" s="125">
        <v>0</v>
      </c>
      <c r="K222" s="125">
        <v>0</v>
      </c>
      <c r="L222" s="125">
        <v>0</v>
      </c>
      <c r="M222" s="157">
        <v>0</v>
      </c>
      <c r="N222" s="157">
        <v>0</v>
      </c>
      <c r="O222" s="157">
        <v>0</v>
      </c>
      <c r="P222" s="125">
        <v>0</v>
      </c>
      <c r="Q222" s="157">
        <v>0</v>
      </c>
      <c r="R222" s="157">
        <v>0</v>
      </c>
      <c r="S222" s="157">
        <v>0</v>
      </c>
      <c r="T222" s="125">
        <v>0</v>
      </c>
      <c r="U222" s="125">
        <v>500</v>
      </c>
      <c r="V222" s="125">
        <v>0</v>
      </c>
      <c r="W222" s="125">
        <v>450</v>
      </c>
      <c r="X222" s="157">
        <v>250</v>
      </c>
      <c r="Y222" s="125">
        <v>0</v>
      </c>
      <c r="Z222" s="125">
        <v>0</v>
      </c>
      <c r="AA222" s="125">
        <v>0</v>
      </c>
      <c r="AB222" s="125">
        <v>0</v>
      </c>
      <c r="AC222" s="125">
        <v>0</v>
      </c>
      <c r="AD222" s="125">
        <v>0</v>
      </c>
      <c r="AE222" s="157">
        <v>0</v>
      </c>
      <c r="AF222" s="157">
        <v>0</v>
      </c>
      <c r="AG222" s="125">
        <v>0</v>
      </c>
      <c r="AH222" s="125">
        <v>0</v>
      </c>
      <c r="AI222" s="157">
        <v>0</v>
      </c>
      <c r="AJ222" s="157">
        <v>0</v>
      </c>
      <c r="AK222" s="157">
        <v>0</v>
      </c>
      <c r="AL222" s="125">
        <v>2450</v>
      </c>
    </row>
    <row r="223" spans="1:38" s="117" customFormat="1" ht="15" customHeight="1" x14ac:dyDescent="0.2">
      <c r="A223" s="123" t="s">
        <v>535</v>
      </c>
      <c r="B223" s="124" t="s">
        <v>1364</v>
      </c>
      <c r="C223" s="157">
        <v>0</v>
      </c>
      <c r="D223" s="125">
        <v>0</v>
      </c>
      <c r="E223" s="157">
        <v>0</v>
      </c>
      <c r="F223" s="125">
        <v>0</v>
      </c>
      <c r="G223" s="157">
        <v>0</v>
      </c>
      <c r="H223" s="157">
        <v>0</v>
      </c>
      <c r="I223" s="157">
        <v>0</v>
      </c>
      <c r="J223" s="125">
        <v>0</v>
      </c>
      <c r="K223" s="125">
        <v>0</v>
      </c>
      <c r="L223" s="125">
        <v>0</v>
      </c>
      <c r="M223" s="157">
        <v>0</v>
      </c>
      <c r="N223" s="157">
        <v>0</v>
      </c>
      <c r="O223" s="157">
        <v>0</v>
      </c>
      <c r="P223" s="125">
        <v>0</v>
      </c>
      <c r="Q223" s="157">
        <v>-409.1</v>
      </c>
      <c r="R223" s="157">
        <v>0</v>
      </c>
      <c r="S223" s="157">
        <v>0</v>
      </c>
      <c r="T223" s="125">
        <v>0</v>
      </c>
      <c r="U223" s="125">
        <v>0</v>
      </c>
      <c r="V223" s="125">
        <v>0</v>
      </c>
      <c r="W223" s="125">
        <v>0</v>
      </c>
      <c r="X223" s="157">
        <v>0</v>
      </c>
      <c r="Y223" s="125">
        <v>0</v>
      </c>
      <c r="Z223" s="125">
        <v>0</v>
      </c>
      <c r="AA223" s="125">
        <v>0</v>
      </c>
      <c r="AB223" s="125">
        <v>0</v>
      </c>
      <c r="AC223" s="125">
        <v>0</v>
      </c>
      <c r="AD223" s="125">
        <v>-213.19</v>
      </c>
      <c r="AE223" s="157">
        <v>0</v>
      </c>
      <c r="AF223" s="157">
        <v>0</v>
      </c>
      <c r="AG223" s="125">
        <v>0</v>
      </c>
      <c r="AH223" s="125">
        <v>0</v>
      </c>
      <c r="AI223" s="157">
        <v>0</v>
      </c>
      <c r="AJ223" s="157">
        <v>0</v>
      </c>
      <c r="AK223" s="157">
        <v>0</v>
      </c>
      <c r="AL223" s="125">
        <v>-622.29</v>
      </c>
    </row>
    <row r="224" spans="1:38" s="117" customFormat="1" ht="15" customHeight="1" x14ac:dyDescent="0.2">
      <c r="A224" s="123" t="s">
        <v>292</v>
      </c>
      <c r="B224" s="124" t="s">
        <v>1363</v>
      </c>
      <c r="C224" s="157">
        <v>-230.6</v>
      </c>
      <c r="D224" s="125">
        <v>0</v>
      </c>
      <c r="E224" s="157">
        <v>-720.55</v>
      </c>
      <c r="F224" s="125">
        <v>-507.7</v>
      </c>
      <c r="G224" s="157">
        <v>-553.46</v>
      </c>
      <c r="H224" s="157">
        <v>-1447.9</v>
      </c>
      <c r="I224" s="157">
        <v>-883.2</v>
      </c>
      <c r="J224" s="125">
        <v>-243.3</v>
      </c>
      <c r="K224" s="125">
        <v>0</v>
      </c>
      <c r="L224" s="125">
        <v>-1336.85</v>
      </c>
      <c r="M224" s="157">
        <v>0</v>
      </c>
      <c r="N224" s="157">
        <v>-924.25</v>
      </c>
      <c r="O224" s="157">
        <v>-347.9</v>
      </c>
      <c r="P224" s="125">
        <v>-593.25</v>
      </c>
      <c r="Q224" s="157">
        <v>-6112.78</v>
      </c>
      <c r="R224" s="157">
        <v>-473.5</v>
      </c>
      <c r="S224" s="157">
        <v>0</v>
      </c>
      <c r="T224" s="125">
        <v>-4118.29</v>
      </c>
      <c r="U224" s="125">
        <v>-3394.94</v>
      </c>
      <c r="V224" s="125">
        <v>-872.9</v>
      </c>
      <c r="W224" s="125">
        <v>-505.59</v>
      </c>
      <c r="X224" s="157">
        <v>-406.65</v>
      </c>
      <c r="Y224" s="125">
        <v>-829.71</v>
      </c>
      <c r="Z224" s="125">
        <v>-862.55</v>
      </c>
      <c r="AA224" s="125">
        <v>-856.28</v>
      </c>
      <c r="AB224" s="125">
        <v>-1512.85</v>
      </c>
      <c r="AC224" s="125">
        <v>-7150.9</v>
      </c>
      <c r="AD224" s="125">
        <v>-2578.0500000000002</v>
      </c>
      <c r="AE224" s="157">
        <v>-264.74</v>
      </c>
      <c r="AF224" s="157">
        <v>-2627.7</v>
      </c>
      <c r="AG224" s="125">
        <v>-1549.55</v>
      </c>
      <c r="AH224" s="125">
        <v>-5966.7</v>
      </c>
      <c r="AI224" s="157">
        <v>-1290.3800000000001</v>
      </c>
      <c r="AJ224" s="157">
        <v>-1144.05</v>
      </c>
      <c r="AK224" s="157">
        <v>-95.1</v>
      </c>
      <c r="AL224" s="125">
        <v>-50402.17</v>
      </c>
    </row>
    <row r="225" spans="1:38" s="117" customFormat="1" ht="15" customHeight="1" x14ac:dyDescent="0.2">
      <c r="A225" s="123" t="s">
        <v>293</v>
      </c>
      <c r="B225" s="124" t="s">
        <v>1362</v>
      </c>
      <c r="C225" s="157">
        <v>-231</v>
      </c>
      <c r="D225" s="125">
        <v>0</v>
      </c>
      <c r="E225" s="157">
        <v>-552</v>
      </c>
      <c r="F225" s="125">
        <v>-470</v>
      </c>
      <c r="G225" s="157">
        <v>-484.5</v>
      </c>
      <c r="H225" s="157">
        <v>-2137.0500000000002</v>
      </c>
      <c r="I225" s="157">
        <v>-230</v>
      </c>
      <c r="J225" s="125">
        <v>-80</v>
      </c>
      <c r="K225" s="125">
        <v>0</v>
      </c>
      <c r="L225" s="125">
        <v>-800</v>
      </c>
      <c r="M225" s="157">
        <v>0</v>
      </c>
      <c r="N225" s="157">
        <v>-406</v>
      </c>
      <c r="O225" s="157">
        <v>-262</v>
      </c>
      <c r="P225" s="125">
        <v>0</v>
      </c>
      <c r="Q225" s="157">
        <v>-5535.3</v>
      </c>
      <c r="R225" s="157">
        <v>-360</v>
      </c>
      <c r="S225" s="157">
        <v>0</v>
      </c>
      <c r="T225" s="125">
        <v>-388.85</v>
      </c>
      <c r="U225" s="125">
        <v>-1950</v>
      </c>
      <c r="V225" s="125">
        <v>-65</v>
      </c>
      <c r="W225" s="125">
        <v>-412</v>
      </c>
      <c r="X225" s="157">
        <v>-332</v>
      </c>
      <c r="Y225" s="125">
        <v>-524</v>
      </c>
      <c r="Z225" s="125">
        <v>0</v>
      </c>
      <c r="AA225" s="125">
        <v>-420</v>
      </c>
      <c r="AB225" s="125">
        <v>-108</v>
      </c>
      <c r="AC225" s="125">
        <v>-5926.5</v>
      </c>
      <c r="AD225" s="125">
        <v>-4191</v>
      </c>
      <c r="AE225" s="157">
        <v>-554</v>
      </c>
      <c r="AF225" s="157">
        <v>-4352</v>
      </c>
      <c r="AG225" s="125">
        <v>-870</v>
      </c>
      <c r="AH225" s="125">
        <v>-4840</v>
      </c>
      <c r="AI225" s="157">
        <v>-990</v>
      </c>
      <c r="AJ225" s="157">
        <v>-60</v>
      </c>
      <c r="AK225" s="157">
        <v>-30</v>
      </c>
      <c r="AL225" s="125">
        <v>-37561.199999999997</v>
      </c>
    </row>
    <row r="226" spans="1:38" s="117" customFormat="1" ht="15" customHeight="1" x14ac:dyDescent="0.2">
      <c r="A226" s="123" t="s">
        <v>294</v>
      </c>
      <c r="B226" s="124" t="s">
        <v>1361</v>
      </c>
      <c r="C226" s="157">
        <v>0</v>
      </c>
      <c r="D226" s="125">
        <v>0</v>
      </c>
      <c r="E226" s="157">
        <v>0</v>
      </c>
      <c r="F226" s="125">
        <v>0</v>
      </c>
      <c r="G226" s="157">
        <v>-125</v>
      </c>
      <c r="H226" s="157">
        <v>-25</v>
      </c>
      <c r="I226" s="157">
        <v>0</v>
      </c>
      <c r="J226" s="125">
        <v>0</v>
      </c>
      <c r="K226" s="125">
        <v>0</v>
      </c>
      <c r="L226" s="125">
        <v>0</v>
      </c>
      <c r="M226" s="157">
        <v>0</v>
      </c>
      <c r="N226" s="157">
        <v>0</v>
      </c>
      <c r="O226" s="157">
        <v>0</v>
      </c>
      <c r="P226" s="125">
        <v>0</v>
      </c>
      <c r="Q226" s="157">
        <v>0</v>
      </c>
      <c r="R226" s="157">
        <v>-70</v>
      </c>
      <c r="S226" s="157">
        <v>0</v>
      </c>
      <c r="T226" s="125">
        <v>0</v>
      </c>
      <c r="U226" s="125">
        <v>0</v>
      </c>
      <c r="V226" s="125">
        <v>0</v>
      </c>
      <c r="W226" s="125">
        <v>-50</v>
      </c>
      <c r="X226" s="157">
        <v>-25</v>
      </c>
      <c r="Y226" s="125">
        <v>-100</v>
      </c>
      <c r="Z226" s="125">
        <v>0</v>
      </c>
      <c r="AA226" s="125">
        <v>0</v>
      </c>
      <c r="AB226" s="125">
        <v>-35</v>
      </c>
      <c r="AC226" s="125">
        <v>0</v>
      </c>
      <c r="AD226" s="125">
        <v>-50</v>
      </c>
      <c r="AE226" s="157">
        <v>0</v>
      </c>
      <c r="AF226" s="157">
        <v>-50</v>
      </c>
      <c r="AG226" s="125">
        <v>0</v>
      </c>
      <c r="AH226" s="125">
        <v>0</v>
      </c>
      <c r="AI226" s="157">
        <v>-25</v>
      </c>
      <c r="AJ226" s="157">
        <v>0</v>
      </c>
      <c r="AK226" s="157">
        <v>0</v>
      </c>
      <c r="AL226" s="125">
        <v>-555</v>
      </c>
    </row>
    <row r="227" spans="1:38" s="117" customFormat="1" ht="15" customHeight="1" x14ac:dyDescent="0.2">
      <c r="A227" s="123" t="s">
        <v>295</v>
      </c>
      <c r="B227" s="124" t="s">
        <v>1360</v>
      </c>
      <c r="C227" s="157">
        <v>-127.69</v>
      </c>
      <c r="D227" s="125">
        <v>0</v>
      </c>
      <c r="E227" s="157">
        <v>-1219.3399999999999</v>
      </c>
      <c r="F227" s="125">
        <v>-2530</v>
      </c>
      <c r="G227" s="157">
        <v>-335</v>
      </c>
      <c r="H227" s="157">
        <v>-180</v>
      </c>
      <c r="I227" s="157">
        <v>-299</v>
      </c>
      <c r="J227" s="125">
        <v>-411</v>
      </c>
      <c r="K227" s="125">
        <v>0</v>
      </c>
      <c r="L227" s="125">
        <v>-165</v>
      </c>
      <c r="M227" s="157">
        <v>0</v>
      </c>
      <c r="N227" s="157">
        <v>-90</v>
      </c>
      <c r="O227" s="157">
        <v>-275</v>
      </c>
      <c r="P227" s="125">
        <v>-58</v>
      </c>
      <c r="Q227" s="157">
        <v>-13</v>
      </c>
      <c r="R227" s="157">
        <v>-425</v>
      </c>
      <c r="S227" s="157">
        <v>-151</v>
      </c>
      <c r="T227" s="125">
        <v>-20</v>
      </c>
      <c r="U227" s="125">
        <v>-700</v>
      </c>
      <c r="V227" s="125">
        <v>-10</v>
      </c>
      <c r="W227" s="125">
        <v>-686</v>
      </c>
      <c r="X227" s="157">
        <v>-346</v>
      </c>
      <c r="Y227" s="125">
        <v>-184</v>
      </c>
      <c r="Z227" s="125">
        <v>-115</v>
      </c>
      <c r="AA227" s="125">
        <v>-59</v>
      </c>
      <c r="AB227" s="125">
        <v>-310</v>
      </c>
      <c r="AC227" s="125">
        <v>-120</v>
      </c>
      <c r="AD227" s="125">
        <v>-1025</v>
      </c>
      <c r="AE227" s="157">
        <v>-422</v>
      </c>
      <c r="AF227" s="157">
        <v>-604.95000000000005</v>
      </c>
      <c r="AG227" s="125">
        <v>-391</v>
      </c>
      <c r="AH227" s="125">
        <v>0</v>
      </c>
      <c r="AI227" s="157">
        <v>-807</v>
      </c>
      <c r="AJ227" s="157">
        <v>-2580</v>
      </c>
      <c r="AK227" s="157">
        <v>-611</v>
      </c>
      <c r="AL227" s="125">
        <v>-15269.98</v>
      </c>
    </row>
    <row r="228" spans="1:38" s="117" customFormat="1" ht="15" customHeight="1" x14ac:dyDescent="0.2">
      <c r="A228" s="123" t="s">
        <v>536</v>
      </c>
      <c r="B228" s="124" t="s">
        <v>1359</v>
      </c>
      <c r="C228" s="157">
        <v>-105</v>
      </c>
      <c r="D228" s="125">
        <v>0</v>
      </c>
      <c r="E228" s="157">
        <v>-70</v>
      </c>
      <c r="F228" s="125">
        <v>-70</v>
      </c>
      <c r="G228" s="157">
        <v>0</v>
      </c>
      <c r="H228" s="157">
        <v>-105</v>
      </c>
      <c r="I228" s="157">
        <v>-70</v>
      </c>
      <c r="J228" s="125">
        <v>0</v>
      </c>
      <c r="K228" s="125">
        <v>0</v>
      </c>
      <c r="L228" s="125">
        <v>-175</v>
      </c>
      <c r="M228" s="157">
        <v>-105</v>
      </c>
      <c r="N228" s="157">
        <v>-245</v>
      </c>
      <c r="O228" s="157">
        <v>-210</v>
      </c>
      <c r="P228" s="125">
        <v>-175</v>
      </c>
      <c r="Q228" s="157">
        <v>-315</v>
      </c>
      <c r="R228" s="157">
        <v>-35</v>
      </c>
      <c r="S228" s="157">
        <v>0</v>
      </c>
      <c r="T228" s="125">
        <v>-70</v>
      </c>
      <c r="U228" s="125">
        <v>-455</v>
      </c>
      <c r="V228" s="125">
        <v>-35</v>
      </c>
      <c r="W228" s="125">
        <v>0</v>
      </c>
      <c r="X228" s="157">
        <v>-25</v>
      </c>
      <c r="Y228" s="125">
        <v>-175</v>
      </c>
      <c r="Z228" s="125">
        <v>-35</v>
      </c>
      <c r="AA228" s="125">
        <v>-245</v>
      </c>
      <c r="AB228" s="125">
        <v>-420</v>
      </c>
      <c r="AC228" s="125">
        <v>-140</v>
      </c>
      <c r="AD228" s="125">
        <v>0</v>
      </c>
      <c r="AE228" s="157">
        <v>0</v>
      </c>
      <c r="AF228" s="157">
        <v>-175</v>
      </c>
      <c r="AG228" s="125">
        <v>-210</v>
      </c>
      <c r="AH228" s="125">
        <v>-420</v>
      </c>
      <c r="AI228" s="157">
        <v>-140</v>
      </c>
      <c r="AJ228" s="157">
        <v>-210</v>
      </c>
      <c r="AK228" s="157">
        <v>-35</v>
      </c>
      <c r="AL228" s="125">
        <v>-4470</v>
      </c>
    </row>
    <row r="229" spans="1:38" s="117" customFormat="1" ht="15" customHeight="1" x14ac:dyDescent="0.2">
      <c r="A229" s="123" t="s">
        <v>1358</v>
      </c>
      <c r="B229" s="124" t="s">
        <v>1357</v>
      </c>
      <c r="C229" s="157">
        <v>0</v>
      </c>
      <c r="D229" s="125">
        <v>0</v>
      </c>
      <c r="E229" s="157">
        <v>0</v>
      </c>
      <c r="F229" s="125">
        <v>0</v>
      </c>
      <c r="G229" s="157">
        <v>0</v>
      </c>
      <c r="H229" s="157">
        <v>0</v>
      </c>
      <c r="I229" s="157">
        <v>0</v>
      </c>
      <c r="J229" s="125">
        <v>0</v>
      </c>
      <c r="K229" s="125">
        <v>0</v>
      </c>
      <c r="L229" s="125">
        <v>0</v>
      </c>
      <c r="M229" s="157">
        <v>0</v>
      </c>
      <c r="N229" s="157">
        <v>0</v>
      </c>
      <c r="O229" s="157">
        <v>0</v>
      </c>
      <c r="P229" s="125">
        <v>0</v>
      </c>
      <c r="Q229" s="157">
        <v>0</v>
      </c>
      <c r="R229" s="157">
        <v>0</v>
      </c>
      <c r="S229" s="157">
        <v>0</v>
      </c>
      <c r="T229" s="125">
        <v>0</v>
      </c>
      <c r="U229" s="125">
        <v>0</v>
      </c>
      <c r="V229" s="125">
        <v>0</v>
      </c>
      <c r="W229" s="125">
        <v>0</v>
      </c>
      <c r="X229" s="157">
        <v>0</v>
      </c>
      <c r="Y229" s="125">
        <v>0</v>
      </c>
      <c r="Z229" s="125">
        <v>0</v>
      </c>
      <c r="AA229" s="125">
        <v>0</v>
      </c>
      <c r="AB229" s="125">
        <v>0</v>
      </c>
      <c r="AC229" s="125">
        <v>0</v>
      </c>
      <c r="AD229" s="125">
        <v>0</v>
      </c>
      <c r="AE229" s="157">
        <v>0</v>
      </c>
      <c r="AF229" s="157">
        <v>-5</v>
      </c>
      <c r="AG229" s="125">
        <v>-27</v>
      </c>
      <c r="AH229" s="125">
        <v>0</v>
      </c>
      <c r="AI229" s="157">
        <v>0</v>
      </c>
      <c r="AJ229" s="157">
        <v>0</v>
      </c>
      <c r="AK229" s="157">
        <v>0</v>
      </c>
      <c r="AL229" s="125">
        <v>-32</v>
      </c>
    </row>
    <row r="230" spans="1:38" s="117" customFormat="1" ht="15" customHeight="1" x14ac:dyDescent="0.2">
      <c r="A230" s="123" t="s">
        <v>887</v>
      </c>
      <c r="B230" s="124" t="s">
        <v>1356</v>
      </c>
      <c r="C230" s="157">
        <v>0</v>
      </c>
      <c r="D230" s="125">
        <v>0</v>
      </c>
      <c r="E230" s="157">
        <v>0</v>
      </c>
      <c r="F230" s="125">
        <v>0</v>
      </c>
      <c r="G230" s="157">
        <v>0</v>
      </c>
      <c r="H230" s="157">
        <v>0</v>
      </c>
      <c r="I230" s="157">
        <v>0</v>
      </c>
      <c r="J230" s="125">
        <v>0</v>
      </c>
      <c r="K230" s="125">
        <v>0</v>
      </c>
      <c r="L230" s="125">
        <v>0</v>
      </c>
      <c r="M230" s="157">
        <v>0</v>
      </c>
      <c r="N230" s="157">
        <v>0</v>
      </c>
      <c r="O230" s="157">
        <v>0</v>
      </c>
      <c r="P230" s="125">
        <v>0</v>
      </c>
      <c r="Q230" s="157">
        <v>0</v>
      </c>
      <c r="R230" s="157">
        <v>0</v>
      </c>
      <c r="S230" s="157">
        <v>0</v>
      </c>
      <c r="T230" s="125">
        <v>-949</v>
      </c>
      <c r="U230" s="125">
        <v>-20</v>
      </c>
      <c r="V230" s="125">
        <v>0</v>
      </c>
      <c r="W230" s="125">
        <v>0</v>
      </c>
      <c r="X230" s="157">
        <v>0</v>
      </c>
      <c r="Y230" s="125">
        <v>0</v>
      </c>
      <c r="Z230" s="125">
        <v>0</v>
      </c>
      <c r="AA230" s="125">
        <v>0</v>
      </c>
      <c r="AB230" s="125">
        <v>0</v>
      </c>
      <c r="AC230" s="125">
        <v>0</v>
      </c>
      <c r="AD230" s="125">
        <v>0</v>
      </c>
      <c r="AE230" s="157">
        <v>-200</v>
      </c>
      <c r="AF230" s="157">
        <v>0</v>
      </c>
      <c r="AG230" s="125">
        <v>-1167.0999999999999</v>
      </c>
      <c r="AH230" s="125">
        <v>0</v>
      </c>
      <c r="AI230" s="157">
        <v>0</v>
      </c>
      <c r="AJ230" s="157">
        <v>0</v>
      </c>
      <c r="AK230" s="157">
        <v>0</v>
      </c>
      <c r="AL230" s="125">
        <v>-2336.1</v>
      </c>
    </row>
    <row r="231" spans="1:38" s="117" customFormat="1" ht="15" customHeight="1" x14ac:dyDescent="0.2">
      <c r="A231" s="123" t="s">
        <v>1355</v>
      </c>
      <c r="B231" s="124" t="s">
        <v>1354</v>
      </c>
      <c r="C231" s="157">
        <v>-400</v>
      </c>
      <c r="D231" s="125">
        <v>0</v>
      </c>
      <c r="E231" s="157">
        <v>0</v>
      </c>
      <c r="F231" s="125">
        <v>0</v>
      </c>
      <c r="G231" s="157">
        <v>0</v>
      </c>
      <c r="H231" s="157">
        <v>0</v>
      </c>
      <c r="I231" s="157">
        <v>0</v>
      </c>
      <c r="J231" s="125">
        <v>-400</v>
      </c>
      <c r="K231" s="125">
        <v>0</v>
      </c>
      <c r="L231" s="125">
        <v>0</v>
      </c>
      <c r="M231" s="157">
        <v>0</v>
      </c>
      <c r="N231" s="157">
        <v>0</v>
      </c>
      <c r="O231" s="157">
        <v>0</v>
      </c>
      <c r="P231" s="125">
        <v>0</v>
      </c>
      <c r="Q231" s="157">
        <v>0</v>
      </c>
      <c r="R231" s="157">
        <v>0</v>
      </c>
      <c r="S231" s="157">
        <v>0</v>
      </c>
      <c r="T231" s="125">
        <v>0</v>
      </c>
      <c r="U231" s="125">
        <v>0</v>
      </c>
      <c r="V231" s="125">
        <v>-600</v>
      </c>
      <c r="W231" s="125">
        <v>0</v>
      </c>
      <c r="X231" s="157">
        <v>0</v>
      </c>
      <c r="Y231" s="125">
        <v>0</v>
      </c>
      <c r="Z231" s="125">
        <v>0</v>
      </c>
      <c r="AA231" s="125">
        <v>0</v>
      </c>
      <c r="AB231" s="125">
        <v>0</v>
      </c>
      <c r="AC231" s="125">
        <v>0</v>
      </c>
      <c r="AD231" s="125">
        <v>0</v>
      </c>
      <c r="AE231" s="157">
        <v>0</v>
      </c>
      <c r="AF231" s="157">
        <v>0</v>
      </c>
      <c r="AG231" s="125">
        <v>0</v>
      </c>
      <c r="AH231" s="125">
        <v>0</v>
      </c>
      <c r="AI231" s="157">
        <v>0</v>
      </c>
      <c r="AJ231" s="157">
        <v>0</v>
      </c>
      <c r="AK231" s="157">
        <v>0</v>
      </c>
      <c r="AL231" s="125">
        <v>-1400</v>
      </c>
    </row>
    <row r="232" spans="1:38" s="117" customFormat="1" ht="15" customHeight="1" x14ac:dyDescent="0.2">
      <c r="A232" s="123" t="s">
        <v>1353</v>
      </c>
      <c r="B232" s="124" t="s">
        <v>1352</v>
      </c>
      <c r="C232" s="157">
        <v>0</v>
      </c>
      <c r="D232" s="125">
        <v>0</v>
      </c>
      <c r="E232" s="157">
        <v>0</v>
      </c>
      <c r="F232" s="125">
        <v>0</v>
      </c>
      <c r="G232" s="157">
        <v>-11191</v>
      </c>
      <c r="H232" s="157">
        <v>0</v>
      </c>
      <c r="I232" s="157">
        <v>0</v>
      </c>
      <c r="J232" s="125">
        <v>0</v>
      </c>
      <c r="K232" s="125">
        <v>0</v>
      </c>
      <c r="L232" s="125">
        <v>0</v>
      </c>
      <c r="M232" s="157">
        <v>0</v>
      </c>
      <c r="N232" s="157">
        <v>0</v>
      </c>
      <c r="O232" s="157">
        <v>0</v>
      </c>
      <c r="P232" s="125">
        <v>0</v>
      </c>
      <c r="Q232" s="157">
        <v>0</v>
      </c>
      <c r="R232" s="157">
        <v>0</v>
      </c>
      <c r="S232" s="157">
        <v>0</v>
      </c>
      <c r="T232" s="125">
        <v>0</v>
      </c>
      <c r="U232" s="125">
        <v>0</v>
      </c>
      <c r="V232" s="125">
        <v>0</v>
      </c>
      <c r="W232" s="125">
        <v>0</v>
      </c>
      <c r="X232" s="157">
        <v>0</v>
      </c>
      <c r="Y232" s="125">
        <v>0</v>
      </c>
      <c r="Z232" s="125">
        <v>0</v>
      </c>
      <c r="AA232" s="125">
        <v>0</v>
      </c>
      <c r="AB232" s="125">
        <v>0</v>
      </c>
      <c r="AC232" s="125">
        <v>0</v>
      </c>
      <c r="AD232" s="125">
        <v>-6006</v>
      </c>
      <c r="AE232" s="157">
        <v>0</v>
      </c>
      <c r="AF232" s="157">
        <v>0</v>
      </c>
      <c r="AG232" s="125">
        <v>0</v>
      </c>
      <c r="AH232" s="125">
        <v>0</v>
      </c>
      <c r="AI232" s="157">
        <v>0</v>
      </c>
      <c r="AJ232" s="157">
        <v>0</v>
      </c>
      <c r="AK232" s="157">
        <v>0</v>
      </c>
      <c r="AL232" s="125">
        <v>-17197</v>
      </c>
    </row>
    <row r="233" spans="1:38" s="117" customFormat="1" ht="15" customHeight="1" x14ac:dyDescent="0.2">
      <c r="A233" s="123" t="s">
        <v>1351</v>
      </c>
      <c r="B233" s="124" t="s">
        <v>1350</v>
      </c>
      <c r="C233" s="157">
        <v>-2500</v>
      </c>
      <c r="D233" s="125">
        <v>0</v>
      </c>
      <c r="E233" s="157">
        <v>-2500</v>
      </c>
      <c r="F233" s="125">
        <v>0</v>
      </c>
      <c r="G233" s="157">
        <v>0</v>
      </c>
      <c r="H233" s="157">
        <v>-2500</v>
      </c>
      <c r="I233" s="157">
        <v>-2500</v>
      </c>
      <c r="J233" s="125">
        <v>0</v>
      </c>
      <c r="K233" s="125">
        <v>0</v>
      </c>
      <c r="L233" s="125">
        <v>0</v>
      </c>
      <c r="M233" s="157">
        <v>0</v>
      </c>
      <c r="N233" s="157">
        <v>-2500</v>
      </c>
      <c r="O233" s="157">
        <v>-2500</v>
      </c>
      <c r="P233" s="125">
        <v>0</v>
      </c>
      <c r="Q233" s="157">
        <v>0</v>
      </c>
      <c r="R233" s="157">
        <v>-2500</v>
      </c>
      <c r="S233" s="157">
        <v>0</v>
      </c>
      <c r="T233" s="125">
        <v>0</v>
      </c>
      <c r="U233" s="125">
        <v>0</v>
      </c>
      <c r="V233" s="125">
        <v>-2500</v>
      </c>
      <c r="W233" s="125">
        <v>0</v>
      </c>
      <c r="X233" s="157">
        <v>-2507.41</v>
      </c>
      <c r="Y233" s="125">
        <v>0</v>
      </c>
      <c r="Z233" s="125">
        <v>0</v>
      </c>
      <c r="AA233" s="125">
        <v>0</v>
      </c>
      <c r="AB233" s="125">
        <v>0</v>
      </c>
      <c r="AC233" s="125">
        <v>0</v>
      </c>
      <c r="AD233" s="125">
        <v>0</v>
      </c>
      <c r="AE233" s="157">
        <v>0</v>
      </c>
      <c r="AF233" s="157">
        <v>0</v>
      </c>
      <c r="AG233" s="125">
        <v>0</v>
      </c>
      <c r="AH233" s="125">
        <v>0</v>
      </c>
      <c r="AI233" s="157">
        <v>0</v>
      </c>
      <c r="AJ233" s="157">
        <v>0</v>
      </c>
      <c r="AK233" s="157">
        <v>0</v>
      </c>
      <c r="AL233" s="125">
        <v>-22507.41</v>
      </c>
    </row>
    <row r="234" spans="1:38" s="117" customFormat="1" ht="15" customHeight="1" x14ac:dyDescent="0.2">
      <c r="A234" s="123" t="s">
        <v>296</v>
      </c>
      <c r="B234" s="124" t="s">
        <v>1349</v>
      </c>
      <c r="C234" s="157">
        <v>-650</v>
      </c>
      <c r="D234" s="125">
        <v>0</v>
      </c>
      <c r="E234" s="157">
        <v>-725</v>
      </c>
      <c r="F234" s="125">
        <v>-825</v>
      </c>
      <c r="G234" s="157">
        <v>0</v>
      </c>
      <c r="H234" s="157">
        <v>-550</v>
      </c>
      <c r="I234" s="157">
        <v>-650</v>
      </c>
      <c r="J234" s="125">
        <v>-275</v>
      </c>
      <c r="K234" s="125">
        <v>-320</v>
      </c>
      <c r="L234" s="125">
        <v>-725</v>
      </c>
      <c r="M234" s="157">
        <v>-480</v>
      </c>
      <c r="N234" s="157">
        <v>-275</v>
      </c>
      <c r="O234" s="157">
        <v>-450</v>
      </c>
      <c r="P234" s="125">
        <v>-480</v>
      </c>
      <c r="Q234" s="157">
        <v>-1500</v>
      </c>
      <c r="R234" s="157">
        <v>-350</v>
      </c>
      <c r="S234" s="157">
        <v>-680</v>
      </c>
      <c r="T234" s="125">
        <v>-1400</v>
      </c>
      <c r="U234" s="125">
        <v>-675</v>
      </c>
      <c r="V234" s="125">
        <v>-675</v>
      </c>
      <c r="W234" s="125">
        <v>-725</v>
      </c>
      <c r="X234" s="157">
        <v>-776</v>
      </c>
      <c r="Y234" s="125">
        <v>0</v>
      </c>
      <c r="Z234" s="125">
        <v>-400</v>
      </c>
      <c r="AA234" s="125">
        <v>-75</v>
      </c>
      <c r="AB234" s="125">
        <v>-608</v>
      </c>
      <c r="AC234" s="125">
        <v>-1825</v>
      </c>
      <c r="AD234" s="125">
        <v>-250</v>
      </c>
      <c r="AE234" s="157">
        <v>-225</v>
      </c>
      <c r="AF234" s="157">
        <v>-515</v>
      </c>
      <c r="AG234" s="125">
        <v>-625</v>
      </c>
      <c r="AH234" s="125">
        <v>-475</v>
      </c>
      <c r="AI234" s="157">
        <v>-600</v>
      </c>
      <c r="AJ234" s="157">
        <v>-775</v>
      </c>
      <c r="AK234" s="157">
        <v>-425</v>
      </c>
      <c r="AL234" s="125">
        <v>-19984</v>
      </c>
    </row>
    <row r="235" spans="1:38" s="117" customFormat="1" ht="15" customHeight="1" x14ac:dyDescent="0.2">
      <c r="A235" s="123" t="s">
        <v>297</v>
      </c>
      <c r="B235" s="124" t="s">
        <v>1348</v>
      </c>
      <c r="C235" s="157">
        <v>-10794.72</v>
      </c>
      <c r="D235" s="125">
        <v>-8692.7199999999993</v>
      </c>
      <c r="E235" s="157">
        <v>-10351.84</v>
      </c>
      <c r="F235" s="125">
        <v>-9884.2000000000007</v>
      </c>
      <c r="G235" s="157">
        <v>-16948.12</v>
      </c>
      <c r="H235" s="157">
        <v>-7987.52</v>
      </c>
      <c r="I235" s="157">
        <v>-7376.56</v>
      </c>
      <c r="J235" s="125">
        <v>-8416.84</v>
      </c>
      <c r="K235" s="125">
        <v>-14490.25</v>
      </c>
      <c r="L235" s="125">
        <v>-10600.8</v>
      </c>
      <c r="M235" s="157">
        <v>-9579.76</v>
      </c>
      <c r="N235" s="157">
        <v>-8888.2000000000007</v>
      </c>
      <c r="O235" s="157">
        <v>-9770.84</v>
      </c>
      <c r="P235" s="125">
        <v>-7921.56</v>
      </c>
      <c r="Q235" s="157">
        <v>0</v>
      </c>
      <c r="R235" s="157">
        <v>-6696.88</v>
      </c>
      <c r="S235" s="157">
        <v>-6701.68</v>
      </c>
      <c r="T235" s="125">
        <v>0</v>
      </c>
      <c r="U235" s="125">
        <v>-14706.52</v>
      </c>
      <c r="V235" s="125">
        <v>-8738.32</v>
      </c>
      <c r="W235" s="125">
        <v>0</v>
      </c>
      <c r="X235" s="157">
        <v>-11028.16</v>
      </c>
      <c r="Y235" s="125">
        <v>-10011</v>
      </c>
      <c r="Z235" s="125">
        <v>-7722</v>
      </c>
      <c r="AA235" s="125">
        <v>-10260.44</v>
      </c>
      <c r="AB235" s="125">
        <v>-10365.18</v>
      </c>
      <c r="AC235" s="125">
        <v>0</v>
      </c>
      <c r="AD235" s="125">
        <v>-7489.44</v>
      </c>
      <c r="AE235" s="157">
        <v>-6953.56</v>
      </c>
      <c r="AF235" s="157">
        <v>0</v>
      </c>
      <c r="AG235" s="125">
        <v>-10991.03</v>
      </c>
      <c r="AH235" s="125">
        <v>0</v>
      </c>
      <c r="AI235" s="157">
        <v>-8567.2000000000007</v>
      </c>
      <c r="AJ235" s="157">
        <v>-8906.84</v>
      </c>
      <c r="AK235" s="157">
        <v>-8491.24</v>
      </c>
      <c r="AL235" s="125">
        <v>-279333.42</v>
      </c>
    </row>
    <row r="236" spans="1:38" s="117" customFormat="1" ht="15" customHeight="1" x14ac:dyDescent="0.2">
      <c r="A236" s="123" t="s">
        <v>298</v>
      </c>
      <c r="B236" s="124" t="s">
        <v>1347</v>
      </c>
      <c r="C236" s="157">
        <v>-489.2</v>
      </c>
      <c r="D236" s="125">
        <v>0</v>
      </c>
      <c r="E236" s="157">
        <v>-423.32</v>
      </c>
      <c r="F236" s="125">
        <v>-3497.44</v>
      </c>
      <c r="G236" s="157">
        <v>0</v>
      </c>
      <c r="H236" s="157">
        <v>0</v>
      </c>
      <c r="I236" s="157">
        <v>-165.27</v>
      </c>
      <c r="J236" s="125">
        <v>0</v>
      </c>
      <c r="K236" s="125">
        <v>0</v>
      </c>
      <c r="L236" s="125">
        <v>-273.92</v>
      </c>
      <c r="M236" s="157">
        <v>0</v>
      </c>
      <c r="N236" s="157">
        <v>-75</v>
      </c>
      <c r="O236" s="157">
        <v>0</v>
      </c>
      <c r="P236" s="125">
        <v>0</v>
      </c>
      <c r="Q236" s="157">
        <v>-1909.13</v>
      </c>
      <c r="R236" s="157">
        <v>-1577.99</v>
      </c>
      <c r="S236" s="157">
        <v>275.27999999999997</v>
      </c>
      <c r="T236" s="125">
        <v>-1850</v>
      </c>
      <c r="U236" s="125">
        <v>-417.28</v>
      </c>
      <c r="V236" s="125">
        <v>-625.07000000000005</v>
      </c>
      <c r="W236" s="125">
        <v>0</v>
      </c>
      <c r="X236" s="157">
        <v>-340.42</v>
      </c>
      <c r="Y236" s="125">
        <v>0</v>
      </c>
      <c r="Z236" s="125">
        <v>0</v>
      </c>
      <c r="AA236" s="125">
        <v>0</v>
      </c>
      <c r="AB236" s="125">
        <v>-346.31</v>
      </c>
      <c r="AC236" s="125">
        <v>-761.74</v>
      </c>
      <c r="AD236" s="125">
        <v>-2241.02</v>
      </c>
      <c r="AE236" s="157">
        <v>-463.36</v>
      </c>
      <c r="AF236" s="157">
        <v>-885.96</v>
      </c>
      <c r="AG236" s="125">
        <v>0</v>
      </c>
      <c r="AH236" s="125">
        <v>0</v>
      </c>
      <c r="AI236" s="157">
        <v>-2255.6799999999998</v>
      </c>
      <c r="AJ236" s="157">
        <v>-223.1</v>
      </c>
      <c r="AK236" s="157">
        <v>0</v>
      </c>
      <c r="AL236" s="125">
        <v>-18545.93</v>
      </c>
    </row>
    <row r="237" spans="1:38" s="117" customFormat="1" ht="15" customHeight="1" x14ac:dyDescent="0.2">
      <c r="A237" s="123" t="s">
        <v>537</v>
      </c>
      <c r="B237" s="124" t="s">
        <v>1346</v>
      </c>
      <c r="C237" s="157">
        <v>0</v>
      </c>
      <c r="D237" s="125">
        <v>0</v>
      </c>
      <c r="E237" s="157">
        <v>0</v>
      </c>
      <c r="F237" s="125">
        <v>0</v>
      </c>
      <c r="G237" s="157">
        <v>0</v>
      </c>
      <c r="H237" s="157">
        <v>0</v>
      </c>
      <c r="I237" s="157">
        <v>-75</v>
      </c>
      <c r="J237" s="125">
        <v>0</v>
      </c>
      <c r="K237" s="125">
        <v>0</v>
      </c>
      <c r="L237" s="125">
        <v>0</v>
      </c>
      <c r="M237" s="157">
        <v>0</v>
      </c>
      <c r="N237" s="157">
        <v>0</v>
      </c>
      <c r="O237" s="157">
        <v>0</v>
      </c>
      <c r="P237" s="125">
        <v>0</v>
      </c>
      <c r="Q237" s="157">
        <v>0</v>
      </c>
      <c r="R237" s="157">
        <v>0</v>
      </c>
      <c r="S237" s="157">
        <v>0</v>
      </c>
      <c r="T237" s="125">
        <v>-447.1</v>
      </c>
      <c r="U237" s="125">
        <v>60</v>
      </c>
      <c r="V237" s="125">
        <v>-122</v>
      </c>
      <c r="W237" s="125">
        <v>0</v>
      </c>
      <c r="X237" s="157">
        <v>0</v>
      </c>
      <c r="Y237" s="125">
        <v>0</v>
      </c>
      <c r="Z237" s="125">
        <v>0</v>
      </c>
      <c r="AA237" s="125">
        <v>-210</v>
      </c>
      <c r="AB237" s="125">
        <v>0</v>
      </c>
      <c r="AC237" s="125">
        <v>0</v>
      </c>
      <c r="AD237" s="125">
        <v>0</v>
      </c>
      <c r="AE237" s="157">
        <v>0</v>
      </c>
      <c r="AF237" s="157">
        <v>0</v>
      </c>
      <c r="AG237" s="125">
        <v>0</v>
      </c>
      <c r="AH237" s="125">
        <v>30</v>
      </c>
      <c r="AI237" s="157">
        <v>0</v>
      </c>
      <c r="AJ237" s="157">
        <v>-888.5</v>
      </c>
      <c r="AK237" s="157">
        <v>0</v>
      </c>
      <c r="AL237" s="125">
        <v>-1652.6</v>
      </c>
    </row>
    <row r="238" spans="1:38" s="117" customFormat="1" ht="15" customHeight="1" x14ac:dyDescent="0.2">
      <c r="A238" s="123" t="s">
        <v>538</v>
      </c>
      <c r="B238" s="124" t="s">
        <v>1345</v>
      </c>
      <c r="C238" s="157">
        <v>0</v>
      </c>
      <c r="D238" s="125">
        <v>0</v>
      </c>
      <c r="E238" s="157">
        <v>0</v>
      </c>
      <c r="F238" s="125">
        <v>0</v>
      </c>
      <c r="G238" s="157">
        <v>0</v>
      </c>
      <c r="H238" s="157">
        <v>0</v>
      </c>
      <c r="I238" s="157">
        <v>0</v>
      </c>
      <c r="J238" s="125">
        <v>0</v>
      </c>
      <c r="K238" s="125">
        <v>0</v>
      </c>
      <c r="L238" s="125">
        <v>0</v>
      </c>
      <c r="M238" s="157">
        <v>0</v>
      </c>
      <c r="N238" s="157">
        <v>0</v>
      </c>
      <c r="O238" s="157">
        <v>0</v>
      </c>
      <c r="P238" s="125">
        <v>0</v>
      </c>
      <c r="Q238" s="157">
        <v>-105.68</v>
      </c>
      <c r="R238" s="157">
        <v>0</v>
      </c>
      <c r="S238" s="157">
        <v>-159.74</v>
      </c>
      <c r="T238" s="125">
        <v>-188.02</v>
      </c>
      <c r="U238" s="125">
        <v>-86.79</v>
      </c>
      <c r="V238" s="125">
        <v>0</v>
      </c>
      <c r="W238" s="125">
        <v>0</v>
      </c>
      <c r="X238" s="157">
        <v>0</v>
      </c>
      <c r="Y238" s="125">
        <v>0</v>
      </c>
      <c r="Z238" s="125">
        <v>0</v>
      </c>
      <c r="AA238" s="125">
        <v>-53.25</v>
      </c>
      <c r="AB238" s="125">
        <v>0</v>
      </c>
      <c r="AC238" s="125">
        <v>0</v>
      </c>
      <c r="AD238" s="125">
        <v>-104.99</v>
      </c>
      <c r="AE238" s="157">
        <v>0</v>
      </c>
      <c r="AF238" s="157">
        <v>0</v>
      </c>
      <c r="AG238" s="125">
        <v>-29.4</v>
      </c>
      <c r="AH238" s="125">
        <v>0</v>
      </c>
      <c r="AI238" s="157">
        <v>0</v>
      </c>
      <c r="AJ238" s="157">
        <v>0</v>
      </c>
      <c r="AK238" s="157">
        <v>0</v>
      </c>
      <c r="AL238" s="125">
        <v>-727.87</v>
      </c>
    </row>
    <row r="239" spans="1:38" s="117" customFormat="1" ht="15" customHeight="1" x14ac:dyDescent="0.2">
      <c r="A239" s="123" t="s">
        <v>595</v>
      </c>
      <c r="B239" s="124" t="s">
        <v>1344</v>
      </c>
      <c r="C239" s="157">
        <v>-1575.96</v>
      </c>
      <c r="D239" s="125">
        <v>0</v>
      </c>
      <c r="E239" s="157">
        <v>-1323.49</v>
      </c>
      <c r="F239" s="125">
        <v>-2376.84</v>
      </c>
      <c r="G239" s="157">
        <v>0</v>
      </c>
      <c r="H239" s="157">
        <v>-353.2</v>
      </c>
      <c r="I239" s="157">
        <v>0</v>
      </c>
      <c r="J239" s="125">
        <v>0</v>
      </c>
      <c r="K239" s="125">
        <v>-80.94</v>
      </c>
      <c r="L239" s="125">
        <v>-3355.73</v>
      </c>
      <c r="M239" s="157">
        <v>-1463.18</v>
      </c>
      <c r="N239" s="157">
        <v>0</v>
      </c>
      <c r="O239" s="157">
        <v>-1055.17</v>
      </c>
      <c r="P239" s="125">
        <v>0</v>
      </c>
      <c r="Q239" s="157">
        <v>0</v>
      </c>
      <c r="R239" s="157">
        <v>-395.69</v>
      </c>
      <c r="S239" s="157">
        <v>0</v>
      </c>
      <c r="T239" s="125">
        <v>-306.39999999999998</v>
      </c>
      <c r="U239" s="125">
        <v>-1920</v>
      </c>
      <c r="V239" s="125">
        <v>-1453.62</v>
      </c>
      <c r="W239" s="125">
        <v>-1742.56</v>
      </c>
      <c r="X239" s="157">
        <v>0</v>
      </c>
      <c r="Y239" s="125">
        <v>0</v>
      </c>
      <c r="Z239" s="125">
        <v>-408.22</v>
      </c>
      <c r="AA239" s="125">
        <v>-369.21</v>
      </c>
      <c r="AB239" s="125">
        <v>0</v>
      </c>
      <c r="AC239" s="125">
        <v>-1355.41</v>
      </c>
      <c r="AD239" s="125">
        <v>-396</v>
      </c>
      <c r="AE239" s="157">
        <v>-2856.49</v>
      </c>
      <c r="AF239" s="157">
        <v>-1539.49</v>
      </c>
      <c r="AG239" s="125">
        <v>-8062.58</v>
      </c>
      <c r="AH239" s="125">
        <v>0</v>
      </c>
      <c r="AI239" s="157">
        <v>-1718.62</v>
      </c>
      <c r="AJ239" s="157">
        <v>-393.08</v>
      </c>
      <c r="AK239" s="157">
        <v>-964.14</v>
      </c>
      <c r="AL239" s="125">
        <v>-35466.019999999997</v>
      </c>
    </row>
    <row r="240" spans="1:38" s="117" customFormat="1" ht="15" customHeight="1" x14ac:dyDescent="0.2">
      <c r="A240" s="123" t="s">
        <v>299</v>
      </c>
      <c r="B240" s="124" t="s">
        <v>1343</v>
      </c>
      <c r="C240" s="157">
        <v>-629.99</v>
      </c>
      <c r="D240" s="125">
        <v>0</v>
      </c>
      <c r="E240" s="157">
        <v>-627.73</v>
      </c>
      <c r="F240" s="125">
        <v>-2161.64</v>
      </c>
      <c r="G240" s="157">
        <v>-5477.18</v>
      </c>
      <c r="H240" s="157">
        <v>-2500</v>
      </c>
      <c r="I240" s="157">
        <v>-1705</v>
      </c>
      <c r="J240" s="125">
        <v>-342.53</v>
      </c>
      <c r="K240" s="125">
        <v>0</v>
      </c>
      <c r="L240" s="125">
        <v>-2142.96</v>
      </c>
      <c r="M240" s="157">
        <v>-1060.1400000000001</v>
      </c>
      <c r="N240" s="157">
        <v>-107</v>
      </c>
      <c r="O240" s="157">
        <v>-835</v>
      </c>
      <c r="P240" s="125">
        <v>-324.86</v>
      </c>
      <c r="Q240" s="157">
        <v>-6565.49</v>
      </c>
      <c r="R240" s="157">
        <v>0</v>
      </c>
      <c r="S240" s="157">
        <v>-810.14</v>
      </c>
      <c r="T240" s="125">
        <v>-9045.98</v>
      </c>
      <c r="U240" s="125">
        <v>-1000</v>
      </c>
      <c r="V240" s="125">
        <v>-1051.43</v>
      </c>
      <c r="W240" s="125">
        <v>-1295.3</v>
      </c>
      <c r="X240" s="157">
        <v>-2723.01</v>
      </c>
      <c r="Y240" s="125">
        <v>-1838.66</v>
      </c>
      <c r="Z240" s="125">
        <v>-580</v>
      </c>
      <c r="AA240" s="125">
        <v>-1522.75</v>
      </c>
      <c r="AB240" s="125">
        <v>-125</v>
      </c>
      <c r="AC240" s="125">
        <v>-2916.06</v>
      </c>
      <c r="AD240" s="125">
        <v>-3235.09</v>
      </c>
      <c r="AE240" s="157">
        <v>-1604.8</v>
      </c>
      <c r="AF240" s="157">
        <v>-4571.91</v>
      </c>
      <c r="AG240" s="125">
        <v>-1695.1</v>
      </c>
      <c r="AH240" s="125">
        <v>-1250.8</v>
      </c>
      <c r="AI240" s="157">
        <v>-536.20000000000005</v>
      </c>
      <c r="AJ240" s="157">
        <v>-3331.12</v>
      </c>
      <c r="AK240" s="157">
        <v>-400</v>
      </c>
      <c r="AL240" s="125">
        <v>-64012.87</v>
      </c>
    </row>
    <row r="241" spans="1:38" s="117" customFormat="1" ht="15" customHeight="1" x14ac:dyDescent="0.2">
      <c r="A241" s="123" t="s">
        <v>300</v>
      </c>
      <c r="B241" s="124" t="s">
        <v>1342</v>
      </c>
      <c r="C241" s="157">
        <v>-291</v>
      </c>
      <c r="D241" s="125">
        <v>120</v>
      </c>
      <c r="E241" s="157">
        <v>-311.33</v>
      </c>
      <c r="F241" s="125">
        <v>-409.86</v>
      </c>
      <c r="G241" s="157">
        <v>-42.17</v>
      </c>
      <c r="H241" s="157">
        <v>-7.73</v>
      </c>
      <c r="I241" s="157">
        <v>-371.93</v>
      </c>
      <c r="J241" s="125">
        <v>-29.8</v>
      </c>
      <c r="K241" s="125">
        <v>0</v>
      </c>
      <c r="L241" s="125">
        <v>-75</v>
      </c>
      <c r="M241" s="157">
        <v>0</v>
      </c>
      <c r="N241" s="157">
        <v>-501</v>
      </c>
      <c r="O241" s="157">
        <v>-4</v>
      </c>
      <c r="P241" s="125">
        <v>-15</v>
      </c>
      <c r="Q241" s="157">
        <v>-402</v>
      </c>
      <c r="R241" s="157">
        <v>-5.69</v>
      </c>
      <c r="S241" s="157">
        <v>-25</v>
      </c>
      <c r="T241" s="125">
        <v>0</v>
      </c>
      <c r="U241" s="125">
        <v>0</v>
      </c>
      <c r="V241" s="125">
        <v>0</v>
      </c>
      <c r="W241" s="125">
        <v>-5</v>
      </c>
      <c r="X241" s="157">
        <v>-154</v>
      </c>
      <c r="Y241" s="125">
        <v>-2665.6</v>
      </c>
      <c r="Z241" s="125">
        <v>-60</v>
      </c>
      <c r="AA241" s="125">
        <v>0</v>
      </c>
      <c r="AB241" s="125">
        <v>-128.5</v>
      </c>
      <c r="AC241" s="125">
        <v>0</v>
      </c>
      <c r="AD241" s="125">
        <v>-32</v>
      </c>
      <c r="AE241" s="157">
        <v>-452.52</v>
      </c>
      <c r="AF241" s="157">
        <v>-753.69</v>
      </c>
      <c r="AG241" s="125">
        <v>-65</v>
      </c>
      <c r="AH241" s="125">
        <v>-3.37</v>
      </c>
      <c r="AI241" s="157">
        <v>-1661.86</v>
      </c>
      <c r="AJ241" s="157">
        <v>-634.23</v>
      </c>
      <c r="AK241" s="157">
        <v>-106</v>
      </c>
      <c r="AL241" s="125">
        <v>-9093.2800000000007</v>
      </c>
    </row>
    <row r="242" spans="1:38" s="117" customFormat="1" ht="15" customHeight="1" x14ac:dyDescent="0.2">
      <c r="A242" s="123" t="s">
        <v>1341</v>
      </c>
      <c r="B242" s="124" t="s">
        <v>1340</v>
      </c>
      <c r="C242" s="157">
        <v>0</v>
      </c>
      <c r="D242" s="125">
        <v>0</v>
      </c>
      <c r="E242" s="157">
        <v>0</v>
      </c>
      <c r="F242" s="125">
        <v>0</v>
      </c>
      <c r="G242" s="157">
        <v>0</v>
      </c>
      <c r="H242" s="157">
        <v>0</v>
      </c>
      <c r="I242" s="157">
        <v>0</v>
      </c>
      <c r="J242" s="125">
        <v>0</v>
      </c>
      <c r="K242" s="125">
        <v>0</v>
      </c>
      <c r="L242" s="125">
        <v>0</v>
      </c>
      <c r="M242" s="157">
        <v>0</v>
      </c>
      <c r="N242" s="157">
        <v>0</v>
      </c>
      <c r="O242" s="157">
        <v>0</v>
      </c>
      <c r="P242" s="125">
        <v>0</v>
      </c>
      <c r="Q242" s="157">
        <v>0</v>
      </c>
      <c r="R242" s="157">
        <v>0</v>
      </c>
      <c r="S242" s="157">
        <v>0</v>
      </c>
      <c r="T242" s="125">
        <v>-500</v>
      </c>
      <c r="U242" s="125">
        <v>0</v>
      </c>
      <c r="V242" s="125">
        <v>0</v>
      </c>
      <c r="W242" s="125">
        <v>0</v>
      </c>
      <c r="X242" s="157">
        <v>0</v>
      </c>
      <c r="Y242" s="125">
        <v>0</v>
      </c>
      <c r="Z242" s="125">
        <v>0</v>
      </c>
      <c r="AA242" s="125">
        <v>0</v>
      </c>
      <c r="AB242" s="125">
        <v>0</v>
      </c>
      <c r="AC242" s="125">
        <v>0</v>
      </c>
      <c r="AD242" s="125">
        <v>0</v>
      </c>
      <c r="AE242" s="157">
        <v>0</v>
      </c>
      <c r="AF242" s="157">
        <v>0</v>
      </c>
      <c r="AG242" s="125">
        <v>0</v>
      </c>
      <c r="AH242" s="125">
        <v>0</v>
      </c>
      <c r="AI242" s="157">
        <v>0</v>
      </c>
      <c r="AJ242" s="157">
        <v>0</v>
      </c>
      <c r="AK242" s="157">
        <v>0</v>
      </c>
      <c r="AL242" s="125">
        <v>-500</v>
      </c>
    </row>
    <row r="243" spans="1:38" s="117" customFormat="1" ht="15" customHeight="1" x14ac:dyDescent="0.2">
      <c r="A243" s="123" t="s">
        <v>1339</v>
      </c>
      <c r="B243" s="124" t="s">
        <v>1338</v>
      </c>
      <c r="C243" s="157">
        <v>0</v>
      </c>
      <c r="D243" s="125">
        <v>0</v>
      </c>
      <c r="E243" s="157">
        <v>0</v>
      </c>
      <c r="F243" s="125">
        <v>0</v>
      </c>
      <c r="G243" s="157">
        <v>-703.63</v>
      </c>
      <c r="H243" s="157">
        <v>0</v>
      </c>
      <c r="I243" s="157">
        <v>-104.21</v>
      </c>
      <c r="J243" s="125">
        <v>0</v>
      </c>
      <c r="K243" s="125">
        <v>0</v>
      </c>
      <c r="L243" s="125">
        <v>0</v>
      </c>
      <c r="M243" s="157">
        <v>0</v>
      </c>
      <c r="N243" s="157">
        <v>0</v>
      </c>
      <c r="O243" s="157">
        <v>0</v>
      </c>
      <c r="P243" s="125">
        <v>-93.57</v>
      </c>
      <c r="Q243" s="157">
        <v>0</v>
      </c>
      <c r="R243" s="157">
        <v>0</v>
      </c>
      <c r="S243" s="157">
        <v>0</v>
      </c>
      <c r="T243" s="125">
        <v>0</v>
      </c>
      <c r="U243" s="125">
        <v>0</v>
      </c>
      <c r="V243" s="125">
        <v>0</v>
      </c>
      <c r="W243" s="125">
        <v>0</v>
      </c>
      <c r="X243" s="157">
        <v>0</v>
      </c>
      <c r="Y243" s="125">
        <v>0</v>
      </c>
      <c r="Z243" s="125">
        <v>-18</v>
      </c>
      <c r="AA243" s="125">
        <v>0</v>
      </c>
      <c r="AB243" s="125">
        <v>0</v>
      </c>
      <c r="AC243" s="125">
        <v>0</v>
      </c>
      <c r="AD243" s="125">
        <v>0</v>
      </c>
      <c r="AE243" s="157">
        <v>0</v>
      </c>
      <c r="AF243" s="157">
        <v>0</v>
      </c>
      <c r="AG243" s="125">
        <v>0</v>
      </c>
      <c r="AH243" s="125">
        <v>0</v>
      </c>
      <c r="AI243" s="157">
        <v>0</v>
      </c>
      <c r="AJ243" s="157">
        <v>0</v>
      </c>
      <c r="AK243" s="157">
        <v>0</v>
      </c>
      <c r="AL243" s="125">
        <v>-919.41</v>
      </c>
    </row>
    <row r="244" spans="1:38" s="117" customFormat="1" ht="15" customHeight="1" x14ac:dyDescent="0.2">
      <c r="A244" s="123" t="s">
        <v>301</v>
      </c>
      <c r="B244" s="124" t="s">
        <v>1337</v>
      </c>
      <c r="C244" s="157">
        <v>-7893.87</v>
      </c>
      <c r="D244" s="125">
        <v>-3878</v>
      </c>
      <c r="E244" s="157">
        <v>-5839.88</v>
      </c>
      <c r="F244" s="125">
        <v>-5086.0200000000004</v>
      </c>
      <c r="G244" s="157">
        <v>-8965.83</v>
      </c>
      <c r="H244" s="157">
        <v>-5237.3900000000003</v>
      </c>
      <c r="I244" s="157">
        <v>0</v>
      </c>
      <c r="J244" s="125">
        <v>-1609.34</v>
      </c>
      <c r="K244" s="125">
        <v>-5800.48</v>
      </c>
      <c r="L244" s="125">
        <v>-6302.13</v>
      </c>
      <c r="M244" s="157">
        <v>-7082.58</v>
      </c>
      <c r="N244" s="157">
        <v>-3017.08</v>
      </c>
      <c r="O244" s="157">
        <v>-5192.71</v>
      </c>
      <c r="P244" s="125">
        <v>-5111.63</v>
      </c>
      <c r="Q244" s="157">
        <v>-4503.6499999999996</v>
      </c>
      <c r="R244" s="157">
        <v>-4195.32</v>
      </c>
      <c r="S244" s="157">
        <v>-4625.5600000000004</v>
      </c>
      <c r="T244" s="125">
        <v>-4709.3500000000004</v>
      </c>
      <c r="U244" s="125">
        <v>-7139.94</v>
      </c>
      <c r="V244" s="125">
        <v>-4851.4799999999996</v>
      </c>
      <c r="W244" s="125">
        <v>-1941.47</v>
      </c>
      <c r="X244" s="157">
        <v>-8464.86</v>
      </c>
      <c r="Y244" s="125">
        <v>-4431.3999999999996</v>
      </c>
      <c r="Z244" s="125">
        <v>-3856.72</v>
      </c>
      <c r="AA244" s="125">
        <v>-5935.52</v>
      </c>
      <c r="AB244" s="125">
        <v>-3447.6</v>
      </c>
      <c r="AC244" s="125">
        <v>-4833.8100000000004</v>
      </c>
      <c r="AD244" s="125">
        <v>-4534.2</v>
      </c>
      <c r="AE244" s="157">
        <v>-2354.46</v>
      </c>
      <c r="AF244" s="157">
        <v>-2904.23</v>
      </c>
      <c r="AG244" s="125">
        <v>-3171.8</v>
      </c>
      <c r="AH244" s="125">
        <v>-1470.84</v>
      </c>
      <c r="AI244" s="157">
        <v>-4421.29</v>
      </c>
      <c r="AJ244" s="157">
        <v>-5946.56</v>
      </c>
      <c r="AK244" s="157">
        <v>-5770.12</v>
      </c>
      <c r="AL244" s="125">
        <v>-164527.12</v>
      </c>
    </row>
    <row r="245" spans="1:38" s="117" customFormat="1" ht="15" customHeight="1" x14ac:dyDescent="0.2">
      <c r="A245" s="123" t="s">
        <v>302</v>
      </c>
      <c r="B245" s="124" t="s">
        <v>1336</v>
      </c>
      <c r="C245" s="157">
        <v>-117.44</v>
      </c>
      <c r="D245" s="125">
        <v>0</v>
      </c>
      <c r="E245" s="157">
        <v>0</v>
      </c>
      <c r="F245" s="125">
        <v>0</v>
      </c>
      <c r="G245" s="157">
        <v>-127.86</v>
      </c>
      <c r="H245" s="157">
        <v>0</v>
      </c>
      <c r="I245" s="157">
        <v>0</v>
      </c>
      <c r="J245" s="125">
        <v>0</v>
      </c>
      <c r="K245" s="125">
        <v>0</v>
      </c>
      <c r="L245" s="125">
        <v>-500</v>
      </c>
      <c r="M245" s="157">
        <v>0</v>
      </c>
      <c r="N245" s="157">
        <v>0</v>
      </c>
      <c r="O245" s="157">
        <v>0</v>
      </c>
      <c r="P245" s="125">
        <v>0</v>
      </c>
      <c r="Q245" s="157">
        <v>-2656.74</v>
      </c>
      <c r="R245" s="157">
        <v>0</v>
      </c>
      <c r="S245" s="157">
        <v>0</v>
      </c>
      <c r="T245" s="125">
        <v>-250</v>
      </c>
      <c r="U245" s="125">
        <v>-51</v>
      </c>
      <c r="V245" s="125">
        <v>-1358.44</v>
      </c>
      <c r="W245" s="125">
        <v>0</v>
      </c>
      <c r="X245" s="157">
        <v>-569.02</v>
      </c>
      <c r="Y245" s="125">
        <v>0</v>
      </c>
      <c r="Z245" s="125">
        <v>0</v>
      </c>
      <c r="AA245" s="125">
        <v>0</v>
      </c>
      <c r="AB245" s="125">
        <v>-546.82000000000005</v>
      </c>
      <c r="AC245" s="125">
        <v>-691.54</v>
      </c>
      <c r="AD245" s="125">
        <v>-58.64</v>
      </c>
      <c r="AE245" s="157">
        <v>-540</v>
      </c>
      <c r="AF245" s="157">
        <v>-308.92</v>
      </c>
      <c r="AG245" s="125">
        <v>0</v>
      </c>
      <c r="AH245" s="125">
        <v>-2723.47</v>
      </c>
      <c r="AI245" s="157">
        <v>-647.5</v>
      </c>
      <c r="AJ245" s="157">
        <v>-1031.1600000000001</v>
      </c>
      <c r="AK245" s="157">
        <v>0</v>
      </c>
      <c r="AL245" s="125">
        <v>-12178.55</v>
      </c>
    </row>
    <row r="246" spans="1:38" s="117" customFormat="1" ht="15" customHeight="1" x14ac:dyDescent="0.2">
      <c r="A246" s="123" t="s">
        <v>1335</v>
      </c>
      <c r="B246" s="124" t="s">
        <v>1334</v>
      </c>
      <c r="C246" s="157">
        <v>0</v>
      </c>
      <c r="D246" s="125">
        <v>0</v>
      </c>
      <c r="E246" s="157">
        <v>0</v>
      </c>
      <c r="F246" s="125">
        <v>0</v>
      </c>
      <c r="G246" s="157">
        <v>0</v>
      </c>
      <c r="H246" s="157">
        <v>0</v>
      </c>
      <c r="I246" s="157">
        <v>0</v>
      </c>
      <c r="J246" s="125">
        <v>0</v>
      </c>
      <c r="K246" s="125">
        <v>0</v>
      </c>
      <c r="L246" s="125">
        <v>0</v>
      </c>
      <c r="M246" s="157">
        <v>0</v>
      </c>
      <c r="N246" s="157">
        <v>0</v>
      </c>
      <c r="O246" s="157">
        <v>0</v>
      </c>
      <c r="P246" s="125">
        <v>0</v>
      </c>
      <c r="Q246" s="157">
        <v>0</v>
      </c>
      <c r="R246" s="157">
        <v>0</v>
      </c>
      <c r="S246" s="157">
        <v>0</v>
      </c>
      <c r="T246" s="125">
        <v>0</v>
      </c>
      <c r="U246" s="125">
        <v>-0.84</v>
      </c>
      <c r="V246" s="125">
        <v>0</v>
      </c>
      <c r="W246" s="125">
        <v>0</v>
      </c>
      <c r="X246" s="157">
        <v>0</v>
      </c>
      <c r="Y246" s="125">
        <v>0</v>
      </c>
      <c r="Z246" s="125">
        <v>0</v>
      </c>
      <c r="AA246" s="125">
        <v>0</v>
      </c>
      <c r="AB246" s="125">
        <v>0</v>
      </c>
      <c r="AC246" s="125">
        <v>0</v>
      </c>
      <c r="AD246" s="125">
        <v>0</v>
      </c>
      <c r="AE246" s="157">
        <v>0</v>
      </c>
      <c r="AF246" s="157">
        <v>0</v>
      </c>
      <c r="AG246" s="125">
        <v>0</v>
      </c>
      <c r="AH246" s="125">
        <v>0</v>
      </c>
      <c r="AI246" s="157">
        <v>0</v>
      </c>
      <c r="AJ246" s="157">
        <v>0</v>
      </c>
      <c r="AK246" s="157">
        <v>0</v>
      </c>
      <c r="AL246" s="125">
        <v>-0.84</v>
      </c>
    </row>
    <row r="247" spans="1:38" s="117" customFormat="1" ht="15" customHeight="1" x14ac:dyDescent="0.2">
      <c r="A247" s="123" t="s">
        <v>303</v>
      </c>
      <c r="B247" s="124" t="s">
        <v>1333</v>
      </c>
      <c r="C247" s="157">
        <v>-10</v>
      </c>
      <c r="D247" s="125">
        <v>-2</v>
      </c>
      <c r="E247" s="157">
        <v>-2320</v>
      </c>
      <c r="F247" s="125">
        <v>0</v>
      </c>
      <c r="G247" s="157">
        <v>732.49</v>
      </c>
      <c r="H247" s="157">
        <v>0</v>
      </c>
      <c r="I247" s="157">
        <v>-3334.84</v>
      </c>
      <c r="J247" s="125">
        <v>-30</v>
      </c>
      <c r="K247" s="125">
        <v>-160</v>
      </c>
      <c r="L247" s="125">
        <v>-636.82000000000005</v>
      </c>
      <c r="M247" s="157">
        <v>-755</v>
      </c>
      <c r="N247" s="157">
        <v>-5</v>
      </c>
      <c r="O247" s="157">
        <v>-4</v>
      </c>
      <c r="P247" s="125">
        <v>-212.56</v>
      </c>
      <c r="Q247" s="157">
        <v>-240</v>
      </c>
      <c r="R247" s="157">
        <v>0</v>
      </c>
      <c r="S247" s="157">
        <v>-394.19</v>
      </c>
      <c r="T247" s="125">
        <v>-350</v>
      </c>
      <c r="U247" s="125">
        <v>295.32</v>
      </c>
      <c r="V247" s="125">
        <v>-360</v>
      </c>
      <c r="W247" s="125">
        <v>0</v>
      </c>
      <c r="X247" s="157">
        <v>354.5</v>
      </c>
      <c r="Y247" s="125">
        <v>-15277.72</v>
      </c>
      <c r="Z247" s="125">
        <v>0</v>
      </c>
      <c r="AA247" s="125">
        <v>0</v>
      </c>
      <c r="AB247" s="125">
        <v>426.08</v>
      </c>
      <c r="AC247" s="125">
        <v>-0.84</v>
      </c>
      <c r="AD247" s="125">
        <v>-405.44</v>
      </c>
      <c r="AE247" s="157">
        <v>0</v>
      </c>
      <c r="AF247" s="157">
        <v>-1243.3900000000001</v>
      </c>
      <c r="AG247" s="125">
        <v>-115.84</v>
      </c>
      <c r="AH247" s="125">
        <v>-1000</v>
      </c>
      <c r="AI247" s="157">
        <v>0</v>
      </c>
      <c r="AJ247" s="157">
        <v>-1060</v>
      </c>
      <c r="AK247" s="157">
        <v>0</v>
      </c>
      <c r="AL247" s="125">
        <v>-26109.25</v>
      </c>
    </row>
    <row r="248" spans="1:38" s="117" customFormat="1" ht="15" customHeight="1" x14ac:dyDescent="0.2">
      <c r="A248" s="123" t="s">
        <v>304</v>
      </c>
      <c r="B248" s="124" t="s">
        <v>1332</v>
      </c>
      <c r="C248" s="157">
        <v>-170</v>
      </c>
      <c r="D248" s="125">
        <v>0</v>
      </c>
      <c r="E248" s="157">
        <v>-60</v>
      </c>
      <c r="F248" s="125">
        <v>-375</v>
      </c>
      <c r="G248" s="157">
        <v>-770</v>
      </c>
      <c r="H248" s="157">
        <v>-460</v>
      </c>
      <c r="I248" s="157">
        <v>-1417</v>
      </c>
      <c r="J248" s="125">
        <v>0</v>
      </c>
      <c r="K248" s="125">
        <v>0</v>
      </c>
      <c r="L248" s="125">
        <v>-3377</v>
      </c>
      <c r="M248" s="157">
        <v>-593.9</v>
      </c>
      <c r="N248" s="157">
        <v>0</v>
      </c>
      <c r="O248" s="157">
        <v>-55</v>
      </c>
      <c r="P248" s="125">
        <v>-150</v>
      </c>
      <c r="Q248" s="157">
        <v>-875</v>
      </c>
      <c r="R248" s="157">
        <v>0</v>
      </c>
      <c r="S248" s="157">
        <v>-500</v>
      </c>
      <c r="T248" s="125">
        <v>-325</v>
      </c>
      <c r="U248" s="125">
        <v>-675</v>
      </c>
      <c r="V248" s="125">
        <v>-1330</v>
      </c>
      <c r="W248" s="125">
        <v>-808.43</v>
      </c>
      <c r="X248" s="157">
        <v>-520</v>
      </c>
      <c r="Y248" s="125">
        <v>-310.88</v>
      </c>
      <c r="Z248" s="125">
        <v>-300</v>
      </c>
      <c r="AA248" s="125">
        <v>0</v>
      </c>
      <c r="AB248" s="125">
        <v>-100</v>
      </c>
      <c r="AC248" s="125">
        <v>-2593</v>
      </c>
      <c r="AD248" s="125">
        <v>-875</v>
      </c>
      <c r="AE248" s="157">
        <v>-100</v>
      </c>
      <c r="AF248" s="157">
        <v>-325</v>
      </c>
      <c r="AG248" s="125">
        <v>-1488.38</v>
      </c>
      <c r="AH248" s="125">
        <v>-1527.12</v>
      </c>
      <c r="AI248" s="157">
        <v>0</v>
      </c>
      <c r="AJ248" s="157">
        <v>-300</v>
      </c>
      <c r="AK248" s="157">
        <v>0</v>
      </c>
      <c r="AL248" s="125">
        <v>-20380.71</v>
      </c>
    </row>
    <row r="249" spans="1:38" s="117" customFormat="1" ht="15" customHeight="1" x14ac:dyDescent="0.2">
      <c r="A249" s="123" t="s">
        <v>1331</v>
      </c>
      <c r="B249" s="124" t="s">
        <v>1330</v>
      </c>
      <c r="C249" s="157">
        <v>0</v>
      </c>
      <c r="D249" s="125">
        <v>0</v>
      </c>
      <c r="E249" s="157">
        <v>0</v>
      </c>
      <c r="F249" s="125">
        <v>0</v>
      </c>
      <c r="G249" s="157">
        <v>0</v>
      </c>
      <c r="H249" s="157">
        <v>0</v>
      </c>
      <c r="I249" s="157">
        <v>0</v>
      </c>
      <c r="J249" s="125">
        <v>0</v>
      </c>
      <c r="K249" s="125">
        <v>0</v>
      </c>
      <c r="L249" s="125">
        <v>0</v>
      </c>
      <c r="M249" s="157">
        <v>0</v>
      </c>
      <c r="N249" s="157">
        <v>0</v>
      </c>
      <c r="O249" s="157">
        <v>0</v>
      </c>
      <c r="P249" s="125">
        <v>0</v>
      </c>
      <c r="Q249" s="157">
        <v>0</v>
      </c>
      <c r="R249" s="157">
        <v>0</v>
      </c>
      <c r="S249" s="157">
        <v>0</v>
      </c>
      <c r="T249" s="125">
        <v>0</v>
      </c>
      <c r="U249" s="125">
        <v>0</v>
      </c>
      <c r="V249" s="125">
        <v>0</v>
      </c>
      <c r="W249" s="125">
        <v>0</v>
      </c>
      <c r="X249" s="157">
        <v>0</v>
      </c>
      <c r="Y249" s="125">
        <v>0</v>
      </c>
      <c r="Z249" s="125">
        <v>0</v>
      </c>
      <c r="AA249" s="125">
        <v>0</v>
      </c>
      <c r="AB249" s="125">
        <v>0</v>
      </c>
      <c r="AC249" s="125">
        <v>0</v>
      </c>
      <c r="AD249" s="125">
        <v>0</v>
      </c>
      <c r="AE249" s="157">
        <v>0</v>
      </c>
      <c r="AF249" s="157">
        <v>0</v>
      </c>
      <c r="AG249" s="125">
        <v>0</v>
      </c>
      <c r="AH249" s="125">
        <v>-424952</v>
      </c>
      <c r="AI249" s="157">
        <v>0</v>
      </c>
      <c r="AJ249" s="157">
        <v>0</v>
      </c>
      <c r="AK249" s="157">
        <v>0</v>
      </c>
      <c r="AL249" s="125">
        <v>-424952</v>
      </c>
    </row>
    <row r="250" spans="1:38" s="117" customFormat="1" ht="15" customHeight="1" x14ac:dyDescent="0.2">
      <c r="A250" s="123" t="s">
        <v>305</v>
      </c>
      <c r="B250" s="124" t="s">
        <v>1329</v>
      </c>
      <c r="C250" s="157">
        <v>-10.039999999999999</v>
      </c>
      <c r="D250" s="125">
        <v>0</v>
      </c>
      <c r="E250" s="157">
        <v>-17.940000000000001</v>
      </c>
      <c r="F250" s="125">
        <v>-102.07</v>
      </c>
      <c r="G250" s="157">
        <v>-76.73</v>
      </c>
      <c r="H250" s="157">
        <v>-135.66</v>
      </c>
      <c r="I250" s="157">
        <v>-56.43</v>
      </c>
      <c r="J250" s="125">
        <v>0</v>
      </c>
      <c r="K250" s="125">
        <v>-537.48</v>
      </c>
      <c r="L250" s="125">
        <v>0</v>
      </c>
      <c r="M250" s="157">
        <v>-81.7</v>
      </c>
      <c r="N250" s="157">
        <v>-94.33</v>
      </c>
      <c r="O250" s="157">
        <v>-10.87</v>
      </c>
      <c r="P250" s="125">
        <v>-119.92</v>
      </c>
      <c r="Q250" s="157">
        <v>0</v>
      </c>
      <c r="R250" s="157">
        <v>-172.17</v>
      </c>
      <c r="S250" s="157">
        <v>-99.23</v>
      </c>
      <c r="T250" s="125">
        <v>-257.97000000000003</v>
      </c>
      <c r="U250" s="125">
        <v>-23.94</v>
      </c>
      <c r="V250" s="125">
        <v>0</v>
      </c>
      <c r="W250" s="125">
        <v>-7.89</v>
      </c>
      <c r="X250" s="157">
        <v>-77.86</v>
      </c>
      <c r="Y250" s="125">
        <v>-36.47</v>
      </c>
      <c r="Z250" s="125">
        <v>-67.05</v>
      </c>
      <c r="AA250" s="125">
        <v>-8.75</v>
      </c>
      <c r="AB250" s="125">
        <v>-93.35</v>
      </c>
      <c r="AC250" s="125">
        <v>-9.4600000000000009</v>
      </c>
      <c r="AD250" s="125">
        <v>-80.319999999999993</v>
      </c>
      <c r="AE250" s="157">
        <v>-12.76</v>
      </c>
      <c r="AF250" s="157">
        <v>-70.260000000000005</v>
      </c>
      <c r="AG250" s="125">
        <v>-126.98</v>
      </c>
      <c r="AH250" s="125">
        <v>0</v>
      </c>
      <c r="AI250" s="157">
        <v>-8.16</v>
      </c>
      <c r="AJ250" s="157">
        <v>-8.14</v>
      </c>
      <c r="AK250" s="157">
        <v>-95.42</v>
      </c>
      <c r="AL250" s="125">
        <v>-2499.35</v>
      </c>
    </row>
    <row r="251" spans="1:38" s="117" customFormat="1" ht="15" customHeight="1" x14ac:dyDescent="0.2">
      <c r="A251" s="123" t="s">
        <v>1328</v>
      </c>
      <c r="B251" s="124" t="s">
        <v>1327</v>
      </c>
      <c r="C251" s="157">
        <v>0</v>
      </c>
      <c r="D251" s="125">
        <v>0</v>
      </c>
      <c r="E251" s="157">
        <v>0</v>
      </c>
      <c r="F251" s="125">
        <v>0</v>
      </c>
      <c r="G251" s="157">
        <v>0</v>
      </c>
      <c r="H251" s="157">
        <v>-28.67</v>
      </c>
      <c r="I251" s="157">
        <v>0</v>
      </c>
      <c r="J251" s="125">
        <v>0</v>
      </c>
      <c r="K251" s="125">
        <v>0</v>
      </c>
      <c r="L251" s="125">
        <v>0</v>
      </c>
      <c r="M251" s="157">
        <v>0</v>
      </c>
      <c r="N251" s="157">
        <v>0</v>
      </c>
      <c r="O251" s="157">
        <v>0</v>
      </c>
      <c r="P251" s="125">
        <v>0</v>
      </c>
      <c r="Q251" s="157">
        <v>0</v>
      </c>
      <c r="R251" s="157">
        <v>0</v>
      </c>
      <c r="S251" s="157">
        <v>0</v>
      </c>
      <c r="T251" s="125">
        <v>0</v>
      </c>
      <c r="U251" s="125">
        <v>0</v>
      </c>
      <c r="V251" s="125">
        <v>0</v>
      </c>
      <c r="W251" s="125">
        <v>0</v>
      </c>
      <c r="X251" s="157">
        <v>0</v>
      </c>
      <c r="Y251" s="125">
        <v>0</v>
      </c>
      <c r="Z251" s="125">
        <v>0</v>
      </c>
      <c r="AA251" s="125">
        <v>0</v>
      </c>
      <c r="AB251" s="125">
        <v>0</v>
      </c>
      <c r="AC251" s="125">
        <v>0</v>
      </c>
      <c r="AD251" s="125">
        <v>0</v>
      </c>
      <c r="AE251" s="157">
        <v>0</v>
      </c>
      <c r="AF251" s="157">
        <v>0</v>
      </c>
      <c r="AG251" s="125">
        <v>0</v>
      </c>
      <c r="AH251" s="125">
        <v>0</v>
      </c>
      <c r="AI251" s="157">
        <v>0</v>
      </c>
      <c r="AJ251" s="157">
        <v>0</v>
      </c>
      <c r="AK251" s="157">
        <v>0</v>
      </c>
      <c r="AL251" s="125">
        <v>-28.67</v>
      </c>
    </row>
    <row r="252" spans="1:38" s="117" customFormat="1" ht="15" customHeight="1" x14ac:dyDescent="0.2">
      <c r="A252" s="123" t="s">
        <v>1326</v>
      </c>
      <c r="B252" s="124" t="s">
        <v>1325</v>
      </c>
      <c r="C252" s="157">
        <v>0</v>
      </c>
      <c r="D252" s="125">
        <v>0</v>
      </c>
      <c r="E252" s="157">
        <v>0</v>
      </c>
      <c r="F252" s="125">
        <v>-16.36</v>
      </c>
      <c r="G252" s="157">
        <v>0</v>
      </c>
      <c r="H252" s="157">
        <v>0</v>
      </c>
      <c r="I252" s="157">
        <v>0</v>
      </c>
      <c r="J252" s="125">
        <v>0</v>
      </c>
      <c r="K252" s="125">
        <v>0</v>
      </c>
      <c r="L252" s="125">
        <v>0</v>
      </c>
      <c r="M252" s="157">
        <v>0</v>
      </c>
      <c r="N252" s="157">
        <v>0</v>
      </c>
      <c r="O252" s="157">
        <v>0</v>
      </c>
      <c r="P252" s="125">
        <v>0</v>
      </c>
      <c r="Q252" s="157">
        <v>-25.03</v>
      </c>
      <c r="R252" s="157">
        <v>0</v>
      </c>
      <c r="S252" s="157">
        <v>0</v>
      </c>
      <c r="T252" s="125">
        <v>0</v>
      </c>
      <c r="U252" s="125">
        <v>0</v>
      </c>
      <c r="V252" s="125">
        <v>0</v>
      </c>
      <c r="W252" s="125">
        <v>0</v>
      </c>
      <c r="X252" s="157">
        <v>0</v>
      </c>
      <c r="Y252" s="125">
        <v>-37.520000000000003</v>
      </c>
      <c r="Z252" s="125">
        <v>0</v>
      </c>
      <c r="AA252" s="125">
        <v>0</v>
      </c>
      <c r="AB252" s="125">
        <v>0</v>
      </c>
      <c r="AC252" s="125">
        <v>-48.81</v>
      </c>
      <c r="AD252" s="125">
        <v>0</v>
      </c>
      <c r="AE252" s="157">
        <v>0</v>
      </c>
      <c r="AF252" s="157">
        <v>0</v>
      </c>
      <c r="AG252" s="125">
        <v>0</v>
      </c>
      <c r="AH252" s="125">
        <v>0</v>
      </c>
      <c r="AI252" s="157">
        <v>0</v>
      </c>
      <c r="AJ252" s="157">
        <v>0</v>
      </c>
      <c r="AK252" s="157">
        <v>0</v>
      </c>
      <c r="AL252" s="125">
        <v>-127.72</v>
      </c>
    </row>
    <row r="253" spans="1:38" s="117" customFormat="1" ht="15" customHeight="1" x14ac:dyDescent="0.2">
      <c r="A253" s="123" t="s">
        <v>872</v>
      </c>
      <c r="B253" s="124" t="s">
        <v>1324</v>
      </c>
      <c r="C253" s="157">
        <v>0</v>
      </c>
      <c r="D253" s="125">
        <v>0</v>
      </c>
      <c r="E253" s="157">
        <v>0</v>
      </c>
      <c r="F253" s="125">
        <v>0</v>
      </c>
      <c r="G253" s="157">
        <v>0</v>
      </c>
      <c r="H253" s="157">
        <v>0</v>
      </c>
      <c r="I253" s="157">
        <v>0</v>
      </c>
      <c r="J253" s="125">
        <v>0</v>
      </c>
      <c r="K253" s="125">
        <v>0</v>
      </c>
      <c r="L253" s="125">
        <v>0</v>
      </c>
      <c r="M253" s="157">
        <v>0</v>
      </c>
      <c r="N253" s="157">
        <v>0</v>
      </c>
      <c r="O253" s="157">
        <v>0</v>
      </c>
      <c r="P253" s="125">
        <v>0</v>
      </c>
      <c r="Q253" s="157">
        <v>0</v>
      </c>
      <c r="R253" s="157">
        <v>0</v>
      </c>
      <c r="S253" s="157">
        <v>0</v>
      </c>
      <c r="T253" s="125">
        <v>0</v>
      </c>
      <c r="U253" s="125">
        <v>0</v>
      </c>
      <c r="V253" s="125">
        <v>0</v>
      </c>
      <c r="W253" s="125">
        <v>0</v>
      </c>
      <c r="X253" s="157">
        <v>0</v>
      </c>
      <c r="Y253" s="125">
        <v>0</v>
      </c>
      <c r="Z253" s="125">
        <v>0</v>
      </c>
      <c r="AA253" s="125">
        <v>0</v>
      </c>
      <c r="AB253" s="125">
        <v>0</v>
      </c>
      <c r="AC253" s="125">
        <v>0</v>
      </c>
      <c r="AD253" s="125">
        <v>0</v>
      </c>
      <c r="AE253" s="157">
        <v>0</v>
      </c>
      <c r="AF253" s="157">
        <v>0</v>
      </c>
      <c r="AG253" s="125">
        <v>0</v>
      </c>
      <c r="AH253" s="125">
        <v>0</v>
      </c>
      <c r="AI253" s="157">
        <v>-1263.68</v>
      </c>
      <c r="AJ253" s="157">
        <v>-1268.17</v>
      </c>
      <c r="AK253" s="157">
        <v>-1040.73</v>
      </c>
      <c r="AL253" s="125">
        <v>-3572.58</v>
      </c>
    </row>
    <row r="254" spans="1:38" s="117" customFormat="1" ht="15" customHeight="1" x14ac:dyDescent="0.2">
      <c r="A254" s="123" t="s">
        <v>306</v>
      </c>
      <c r="B254" s="124" t="s">
        <v>1323</v>
      </c>
      <c r="C254" s="157">
        <v>0</v>
      </c>
      <c r="D254" s="125">
        <v>-2061</v>
      </c>
      <c r="E254" s="157">
        <v>0</v>
      </c>
      <c r="F254" s="125">
        <v>-21.11</v>
      </c>
      <c r="G254" s="157">
        <v>-59.16</v>
      </c>
      <c r="H254" s="157">
        <v>-85.18</v>
      </c>
      <c r="I254" s="157">
        <v>-162.16</v>
      </c>
      <c r="J254" s="125">
        <v>0</v>
      </c>
      <c r="K254" s="125">
        <v>-2025</v>
      </c>
      <c r="L254" s="125">
        <v>-3625.44</v>
      </c>
      <c r="M254" s="157">
        <v>-1860</v>
      </c>
      <c r="N254" s="157">
        <v>-9.52</v>
      </c>
      <c r="O254" s="157">
        <v>-86.36</v>
      </c>
      <c r="P254" s="125">
        <v>-1699</v>
      </c>
      <c r="Q254" s="157">
        <v>0</v>
      </c>
      <c r="R254" s="157">
        <v>-281.02</v>
      </c>
      <c r="S254" s="157">
        <v>-1174</v>
      </c>
      <c r="T254" s="125">
        <v>-2309</v>
      </c>
      <c r="U254" s="125">
        <v>-4048.41</v>
      </c>
      <c r="V254" s="125">
        <v>-514.14</v>
      </c>
      <c r="W254" s="125">
        <v>-309.77999999999997</v>
      </c>
      <c r="X254" s="157">
        <v>-264.17</v>
      </c>
      <c r="Y254" s="125">
        <v>-179.74</v>
      </c>
      <c r="Z254" s="125">
        <v>-1123</v>
      </c>
      <c r="AA254" s="125">
        <v>0</v>
      </c>
      <c r="AB254" s="125">
        <v>-50.02</v>
      </c>
      <c r="AC254" s="125">
        <v>-70.98</v>
      </c>
      <c r="AD254" s="125">
        <v>-89.07</v>
      </c>
      <c r="AE254" s="157">
        <v>0</v>
      </c>
      <c r="AF254" s="157">
        <v>0</v>
      </c>
      <c r="AG254" s="125">
        <v>-93.34</v>
      </c>
      <c r="AH254" s="125">
        <v>0</v>
      </c>
      <c r="AI254" s="157">
        <v>-1530.28</v>
      </c>
      <c r="AJ254" s="157">
        <v>-1425.24</v>
      </c>
      <c r="AK254" s="157">
        <v>-1300.17</v>
      </c>
      <c r="AL254" s="125">
        <v>-26456.29</v>
      </c>
    </row>
    <row r="255" spans="1:38" s="117" customFormat="1" ht="15" customHeight="1" x14ac:dyDescent="0.2">
      <c r="A255" s="123" t="s">
        <v>539</v>
      </c>
      <c r="B255" s="124" t="s">
        <v>1322</v>
      </c>
      <c r="C255" s="157">
        <v>24690.080000000002</v>
      </c>
      <c r="D255" s="125">
        <v>37883.58</v>
      </c>
      <c r="E255" s="157">
        <v>24401.35</v>
      </c>
      <c r="F255" s="125">
        <v>46960.76</v>
      </c>
      <c r="G255" s="157">
        <v>22522.5</v>
      </c>
      <c r="H255" s="157">
        <v>38798.32</v>
      </c>
      <c r="I255" s="157">
        <v>52526.01</v>
      </c>
      <c r="J255" s="125">
        <v>11768.07</v>
      </c>
      <c r="K255" s="125">
        <v>38761.629999999997</v>
      </c>
      <c r="L255" s="125">
        <v>49331.62</v>
      </c>
      <c r="M255" s="157">
        <v>21879.94</v>
      </c>
      <c r="N255" s="157">
        <v>40972.199999999997</v>
      </c>
      <c r="O255" s="157">
        <v>46027.56</v>
      </c>
      <c r="P255" s="125">
        <v>16732.04</v>
      </c>
      <c r="Q255" s="157">
        <v>58805.8</v>
      </c>
      <c r="R255" s="157">
        <v>44977</v>
      </c>
      <c r="S255" s="157">
        <v>12928.95</v>
      </c>
      <c r="T255" s="125">
        <v>53364.39</v>
      </c>
      <c r="U255" s="125">
        <v>34791.65</v>
      </c>
      <c r="V255" s="125">
        <v>26510.94</v>
      </c>
      <c r="W255" s="125">
        <v>11118.09</v>
      </c>
      <c r="X255" s="157">
        <v>10902.23</v>
      </c>
      <c r="Y255" s="125">
        <v>53892.09</v>
      </c>
      <c r="Z255" s="125">
        <v>44780.04</v>
      </c>
      <c r="AA255" s="125">
        <v>14571.58</v>
      </c>
      <c r="AB255" s="125">
        <v>45701.63</v>
      </c>
      <c r="AC255" s="125">
        <v>49577.8</v>
      </c>
      <c r="AD255" s="125">
        <v>42354.7</v>
      </c>
      <c r="AE255" s="157">
        <v>24041.22</v>
      </c>
      <c r="AF255" s="157">
        <v>24988.38</v>
      </c>
      <c r="AG255" s="125">
        <v>56562.46</v>
      </c>
      <c r="AH255" s="125">
        <v>18399.03</v>
      </c>
      <c r="AI255" s="157">
        <v>21963.52</v>
      </c>
      <c r="AJ255" s="157">
        <v>42302.19</v>
      </c>
      <c r="AK255" s="157">
        <v>39724.379999999997</v>
      </c>
      <c r="AL255" s="125">
        <v>1205513.73</v>
      </c>
    </row>
    <row r="256" spans="1:38" s="117" customFormat="1" ht="15" customHeight="1" x14ac:dyDescent="0.2">
      <c r="A256" s="123" t="s">
        <v>307</v>
      </c>
      <c r="B256" s="124" t="s">
        <v>1321</v>
      </c>
      <c r="C256" s="157">
        <v>0</v>
      </c>
      <c r="D256" s="125">
        <v>0</v>
      </c>
      <c r="E256" s="157">
        <v>0</v>
      </c>
      <c r="F256" s="125">
        <v>0</v>
      </c>
      <c r="G256" s="157">
        <v>35077.24</v>
      </c>
      <c r="H256" s="157">
        <v>243.39</v>
      </c>
      <c r="I256" s="157">
        <v>0</v>
      </c>
      <c r="J256" s="125">
        <v>15549.44</v>
      </c>
      <c r="K256" s="125">
        <v>0</v>
      </c>
      <c r="L256" s="125">
        <v>0</v>
      </c>
      <c r="M256" s="157">
        <v>0</v>
      </c>
      <c r="N256" s="157">
        <v>0</v>
      </c>
      <c r="O256" s="157">
        <v>70.040000000000006</v>
      </c>
      <c r="P256" s="125">
        <v>22126.62</v>
      </c>
      <c r="Q256" s="157">
        <v>9754.7900000000009</v>
      </c>
      <c r="R256" s="157">
        <v>328.57</v>
      </c>
      <c r="S256" s="157">
        <v>17385.34</v>
      </c>
      <c r="T256" s="125">
        <v>0</v>
      </c>
      <c r="U256" s="125">
        <v>0</v>
      </c>
      <c r="V256" s="125">
        <v>0</v>
      </c>
      <c r="W256" s="125">
        <v>18512.349999999999</v>
      </c>
      <c r="X256" s="157">
        <v>18197.18</v>
      </c>
      <c r="Y256" s="125">
        <v>0</v>
      </c>
      <c r="Z256" s="125">
        <v>0</v>
      </c>
      <c r="AA256" s="125">
        <v>29058.84</v>
      </c>
      <c r="AB256" s="125">
        <v>0</v>
      </c>
      <c r="AC256" s="125">
        <v>0</v>
      </c>
      <c r="AD256" s="125">
        <v>171.66</v>
      </c>
      <c r="AE256" s="157">
        <v>69.540000000000006</v>
      </c>
      <c r="AF256" s="157">
        <v>0</v>
      </c>
      <c r="AG256" s="125">
        <v>366.36</v>
      </c>
      <c r="AH256" s="125">
        <v>0</v>
      </c>
      <c r="AI256" s="157">
        <v>22989.84</v>
      </c>
      <c r="AJ256" s="157">
        <v>498.86</v>
      </c>
      <c r="AK256" s="157">
        <v>37.36</v>
      </c>
      <c r="AL256" s="125">
        <v>190437.42</v>
      </c>
    </row>
    <row r="257" spans="1:38" s="117" customFormat="1" ht="15" customHeight="1" x14ac:dyDescent="0.2">
      <c r="A257" s="123" t="s">
        <v>308</v>
      </c>
      <c r="B257" s="124" t="s">
        <v>1320</v>
      </c>
      <c r="C257" s="157">
        <v>39521.089999999997</v>
      </c>
      <c r="D257" s="125">
        <v>35687.14</v>
      </c>
      <c r="E257" s="157">
        <v>19423.189999999999</v>
      </c>
      <c r="F257" s="125">
        <v>13214.31</v>
      </c>
      <c r="G257" s="157">
        <v>31654.31</v>
      </c>
      <c r="H257" s="157">
        <v>12440.58</v>
      </c>
      <c r="I257" s="157">
        <v>7512.84</v>
      </c>
      <c r="J257" s="125">
        <v>21601.62</v>
      </c>
      <c r="K257" s="125">
        <v>37127.629999999997</v>
      </c>
      <c r="L257" s="125">
        <v>12385.1</v>
      </c>
      <c r="M257" s="157">
        <v>10653.98</v>
      </c>
      <c r="N257" s="157">
        <v>12119.78</v>
      </c>
      <c r="O257" s="157">
        <v>4184.8</v>
      </c>
      <c r="P257" s="125">
        <v>8000.88</v>
      </c>
      <c r="Q257" s="157">
        <v>13444.87</v>
      </c>
      <c r="R257" s="157">
        <v>11013.06</v>
      </c>
      <c r="S257" s="157">
        <v>5574.25</v>
      </c>
      <c r="T257" s="125">
        <v>10350.82</v>
      </c>
      <c r="U257" s="125">
        <v>26154.68</v>
      </c>
      <c r="V257" s="125">
        <v>9278.23</v>
      </c>
      <c r="W257" s="125">
        <v>24689.4</v>
      </c>
      <c r="X257" s="157">
        <v>15685.66</v>
      </c>
      <c r="Y257" s="125">
        <v>12489.69</v>
      </c>
      <c r="Z257" s="125">
        <v>4866.58</v>
      </c>
      <c r="AA257" s="125">
        <v>17547.38</v>
      </c>
      <c r="AB257" s="125">
        <v>8351.39</v>
      </c>
      <c r="AC257" s="125">
        <v>10237.89</v>
      </c>
      <c r="AD257" s="125">
        <v>29054.15</v>
      </c>
      <c r="AE257" s="157">
        <v>1075.22</v>
      </c>
      <c r="AF257" s="157">
        <v>6873.55</v>
      </c>
      <c r="AG257" s="125">
        <v>12310.6</v>
      </c>
      <c r="AH257" s="125">
        <v>3251.91</v>
      </c>
      <c r="AI257" s="157">
        <v>11361.37</v>
      </c>
      <c r="AJ257" s="157">
        <v>10797.31</v>
      </c>
      <c r="AK257" s="157">
        <v>6481.4</v>
      </c>
      <c r="AL257" s="125">
        <v>516416.66</v>
      </c>
    </row>
    <row r="258" spans="1:38" s="117" customFormat="1" ht="15" customHeight="1" x14ac:dyDescent="0.2">
      <c r="A258" s="123" t="s">
        <v>540</v>
      </c>
      <c r="B258" s="124" t="s">
        <v>1319</v>
      </c>
      <c r="C258" s="157">
        <v>0</v>
      </c>
      <c r="D258" s="125">
        <v>0</v>
      </c>
      <c r="E258" s="157">
        <v>0</v>
      </c>
      <c r="F258" s="125">
        <v>0</v>
      </c>
      <c r="G258" s="157">
        <v>0</v>
      </c>
      <c r="H258" s="157">
        <v>0</v>
      </c>
      <c r="I258" s="157">
        <v>0</v>
      </c>
      <c r="J258" s="125">
        <v>0</v>
      </c>
      <c r="K258" s="125">
        <v>0</v>
      </c>
      <c r="L258" s="125">
        <v>0</v>
      </c>
      <c r="M258" s="157">
        <v>18834.98</v>
      </c>
      <c r="N258" s="157">
        <v>0</v>
      </c>
      <c r="O258" s="157">
        <v>0</v>
      </c>
      <c r="P258" s="125">
        <v>0</v>
      </c>
      <c r="Q258" s="157">
        <v>17240.39</v>
      </c>
      <c r="R258" s="157">
        <v>0</v>
      </c>
      <c r="S258" s="157">
        <v>0</v>
      </c>
      <c r="T258" s="125">
        <v>0</v>
      </c>
      <c r="U258" s="125">
        <v>0</v>
      </c>
      <c r="V258" s="125">
        <v>9645.98</v>
      </c>
      <c r="W258" s="125">
        <v>0</v>
      </c>
      <c r="X258" s="157">
        <v>0</v>
      </c>
      <c r="Y258" s="125">
        <v>6594.73</v>
      </c>
      <c r="Z258" s="125">
        <v>0</v>
      </c>
      <c r="AA258" s="125">
        <v>0</v>
      </c>
      <c r="AB258" s="125">
        <v>11254.75</v>
      </c>
      <c r="AC258" s="125">
        <v>0</v>
      </c>
      <c r="AD258" s="125">
        <v>0</v>
      </c>
      <c r="AE258" s="157">
        <v>9142</v>
      </c>
      <c r="AF258" s="157">
        <v>10166.08</v>
      </c>
      <c r="AG258" s="125">
        <v>0</v>
      </c>
      <c r="AH258" s="125">
        <v>5753.37</v>
      </c>
      <c r="AI258" s="157">
        <v>0</v>
      </c>
      <c r="AJ258" s="157">
        <v>0</v>
      </c>
      <c r="AK258" s="157">
        <v>0</v>
      </c>
      <c r="AL258" s="125">
        <v>88632.28</v>
      </c>
    </row>
    <row r="259" spans="1:38" s="117" customFormat="1" ht="15" customHeight="1" x14ac:dyDescent="0.2">
      <c r="A259" s="123" t="s">
        <v>309</v>
      </c>
      <c r="B259" s="124" t="s">
        <v>1318</v>
      </c>
      <c r="C259" s="157">
        <v>13795.47</v>
      </c>
      <c r="D259" s="125">
        <v>0</v>
      </c>
      <c r="E259" s="157">
        <v>13795.37</v>
      </c>
      <c r="F259" s="125">
        <v>17922.46</v>
      </c>
      <c r="G259" s="157">
        <v>13522.57</v>
      </c>
      <c r="H259" s="157">
        <v>14404.89</v>
      </c>
      <c r="I259" s="157">
        <v>8240.2900000000009</v>
      </c>
      <c r="J259" s="125">
        <v>7758.12</v>
      </c>
      <c r="K259" s="125">
        <v>0</v>
      </c>
      <c r="L259" s="125">
        <v>16857.43</v>
      </c>
      <c r="M259" s="157">
        <v>0</v>
      </c>
      <c r="N259" s="157">
        <v>16113.6</v>
      </c>
      <c r="O259" s="157">
        <v>11389.32</v>
      </c>
      <c r="P259" s="125">
        <v>3111.24</v>
      </c>
      <c r="Q259" s="157">
        <v>0</v>
      </c>
      <c r="R259" s="157">
        <v>14594.83</v>
      </c>
      <c r="S259" s="157">
        <v>7974.93</v>
      </c>
      <c r="T259" s="125">
        <v>11766.72</v>
      </c>
      <c r="U259" s="125">
        <v>17890.919999999998</v>
      </c>
      <c r="V259" s="125">
        <v>4216.66</v>
      </c>
      <c r="W259" s="125">
        <v>16881.5</v>
      </c>
      <c r="X259" s="157">
        <v>7236.46</v>
      </c>
      <c r="Y259" s="125">
        <v>9143.02</v>
      </c>
      <c r="Z259" s="125">
        <v>6683.49</v>
      </c>
      <c r="AA259" s="125">
        <v>14940.94</v>
      </c>
      <c r="AB259" s="125">
        <v>0</v>
      </c>
      <c r="AC259" s="125">
        <v>16255.1</v>
      </c>
      <c r="AD259" s="125">
        <v>6952.99</v>
      </c>
      <c r="AE259" s="157">
        <v>0</v>
      </c>
      <c r="AF259" s="157">
        <v>0</v>
      </c>
      <c r="AG259" s="125">
        <v>15341.76</v>
      </c>
      <c r="AH259" s="125">
        <v>765.78</v>
      </c>
      <c r="AI259" s="157">
        <v>15414.81</v>
      </c>
      <c r="AJ259" s="157">
        <v>14449.97</v>
      </c>
      <c r="AK259" s="157">
        <v>11099.07</v>
      </c>
      <c r="AL259" s="125">
        <v>328519.71000000002</v>
      </c>
    </row>
    <row r="260" spans="1:38" s="117" customFormat="1" ht="15" customHeight="1" x14ac:dyDescent="0.2">
      <c r="A260" s="123" t="s">
        <v>310</v>
      </c>
      <c r="B260" s="124" t="s">
        <v>1317</v>
      </c>
      <c r="C260" s="157">
        <v>0</v>
      </c>
      <c r="D260" s="125">
        <v>0</v>
      </c>
      <c r="E260" s="157">
        <v>0</v>
      </c>
      <c r="F260" s="125">
        <v>0</v>
      </c>
      <c r="G260" s="157">
        <v>0</v>
      </c>
      <c r="H260" s="157">
        <v>0</v>
      </c>
      <c r="I260" s="157">
        <v>0</v>
      </c>
      <c r="J260" s="125">
        <v>0</v>
      </c>
      <c r="K260" s="125">
        <v>33595.61</v>
      </c>
      <c r="L260" s="125">
        <v>0</v>
      </c>
      <c r="M260" s="157">
        <v>0</v>
      </c>
      <c r="N260" s="157">
        <v>13705.62</v>
      </c>
      <c r="O260" s="157">
        <v>0</v>
      </c>
      <c r="P260" s="125">
        <v>0</v>
      </c>
      <c r="Q260" s="157">
        <v>27961.14</v>
      </c>
      <c r="R260" s="157">
        <v>18109.73</v>
      </c>
      <c r="S260" s="157">
        <v>0</v>
      </c>
      <c r="T260" s="125">
        <v>0</v>
      </c>
      <c r="U260" s="125">
        <v>0</v>
      </c>
      <c r="V260" s="125">
        <v>0</v>
      </c>
      <c r="W260" s="125">
        <v>5700.27</v>
      </c>
      <c r="X260" s="157">
        <v>5700.25</v>
      </c>
      <c r="Y260" s="125">
        <v>16097.32</v>
      </c>
      <c r="Z260" s="125">
        <v>0</v>
      </c>
      <c r="AA260" s="125">
        <v>0</v>
      </c>
      <c r="AB260" s="125">
        <v>35369.82</v>
      </c>
      <c r="AC260" s="125">
        <v>0</v>
      </c>
      <c r="AD260" s="125">
        <v>0</v>
      </c>
      <c r="AE260" s="157">
        <v>0</v>
      </c>
      <c r="AF260" s="157">
        <v>0</v>
      </c>
      <c r="AG260" s="125">
        <v>0</v>
      </c>
      <c r="AH260" s="125">
        <v>0</v>
      </c>
      <c r="AI260" s="157">
        <v>18109.830000000002</v>
      </c>
      <c r="AJ260" s="157">
        <v>0</v>
      </c>
      <c r="AK260" s="157">
        <v>0</v>
      </c>
      <c r="AL260" s="125">
        <v>174349.59</v>
      </c>
    </row>
    <row r="261" spans="1:38" s="117" customFormat="1" ht="15" customHeight="1" x14ac:dyDescent="0.2">
      <c r="A261" s="123" t="s">
        <v>311</v>
      </c>
      <c r="B261" s="124" t="s">
        <v>1316</v>
      </c>
      <c r="C261" s="157">
        <v>0</v>
      </c>
      <c r="D261" s="125">
        <v>0</v>
      </c>
      <c r="E261" s="157">
        <v>0</v>
      </c>
      <c r="F261" s="125">
        <v>0</v>
      </c>
      <c r="G261" s="157">
        <v>13287.93</v>
      </c>
      <c r="H261" s="157">
        <v>0</v>
      </c>
      <c r="I261" s="157">
        <v>0</v>
      </c>
      <c r="J261" s="125">
        <v>0</v>
      </c>
      <c r="K261" s="125">
        <v>0</v>
      </c>
      <c r="L261" s="125">
        <v>0</v>
      </c>
      <c r="M261" s="157">
        <v>0</v>
      </c>
      <c r="N261" s="157">
        <v>0</v>
      </c>
      <c r="O261" s="157">
        <v>13752.69</v>
      </c>
      <c r="P261" s="125">
        <v>0</v>
      </c>
      <c r="Q261" s="157">
        <v>0</v>
      </c>
      <c r="R261" s="157">
        <v>0</v>
      </c>
      <c r="S261" s="157">
        <v>0</v>
      </c>
      <c r="T261" s="125">
        <v>0</v>
      </c>
      <c r="U261" s="125">
        <v>0</v>
      </c>
      <c r="V261" s="125">
        <v>0</v>
      </c>
      <c r="W261" s="125">
        <v>8032.99</v>
      </c>
      <c r="X261" s="157">
        <v>7886.01</v>
      </c>
      <c r="Y261" s="125">
        <v>0</v>
      </c>
      <c r="Z261" s="125">
        <v>0</v>
      </c>
      <c r="AA261" s="125">
        <v>13752.71</v>
      </c>
      <c r="AB261" s="125">
        <v>0</v>
      </c>
      <c r="AC261" s="125">
        <v>0</v>
      </c>
      <c r="AD261" s="125">
        <v>0</v>
      </c>
      <c r="AE261" s="157">
        <v>0</v>
      </c>
      <c r="AF261" s="157">
        <v>0</v>
      </c>
      <c r="AG261" s="125">
        <v>0</v>
      </c>
      <c r="AH261" s="125">
        <v>0</v>
      </c>
      <c r="AI261" s="157">
        <v>0</v>
      </c>
      <c r="AJ261" s="157">
        <v>0</v>
      </c>
      <c r="AK261" s="157">
        <v>12357.54</v>
      </c>
      <c r="AL261" s="125">
        <v>69069.87</v>
      </c>
    </row>
    <row r="262" spans="1:38" s="117" customFormat="1" ht="15" customHeight="1" x14ac:dyDescent="0.2">
      <c r="A262" s="123" t="s">
        <v>496</v>
      </c>
      <c r="B262" s="124" t="s">
        <v>1315</v>
      </c>
      <c r="C262" s="157">
        <v>30502.07</v>
      </c>
      <c r="D262" s="125">
        <v>50312.98</v>
      </c>
      <c r="E262" s="157">
        <v>30373.17</v>
      </c>
      <c r="F262" s="125">
        <v>50383.37</v>
      </c>
      <c r="G262" s="157">
        <v>14516.01</v>
      </c>
      <c r="H262" s="157">
        <v>50836.65</v>
      </c>
      <c r="I262" s="157">
        <v>48212.46</v>
      </c>
      <c r="J262" s="125">
        <v>26860.39</v>
      </c>
      <c r="K262" s="125">
        <v>24874.89</v>
      </c>
      <c r="L262" s="125">
        <v>57435.82</v>
      </c>
      <c r="M262" s="157">
        <v>53620.7</v>
      </c>
      <c r="N262" s="157">
        <v>12520.5</v>
      </c>
      <c r="O262" s="157">
        <v>10177.66</v>
      </c>
      <c r="P262" s="125">
        <v>33304.379999999997</v>
      </c>
      <c r="Q262" s="157">
        <v>34903.800000000003</v>
      </c>
      <c r="R262" s="157">
        <v>13277.4</v>
      </c>
      <c r="S262" s="157">
        <v>26352.73</v>
      </c>
      <c r="T262" s="125">
        <v>49710.99</v>
      </c>
      <c r="U262" s="125">
        <v>35347.96</v>
      </c>
      <c r="V262" s="125">
        <v>31599.200000000001</v>
      </c>
      <c r="W262" s="125">
        <v>7344.71</v>
      </c>
      <c r="X262" s="157">
        <v>7202.06</v>
      </c>
      <c r="Y262" s="125">
        <v>14472.06</v>
      </c>
      <c r="Z262" s="125">
        <v>53931.07</v>
      </c>
      <c r="AA262" s="125">
        <v>10177.66</v>
      </c>
      <c r="AB262" s="125">
        <v>22272.92</v>
      </c>
      <c r="AC262" s="125">
        <v>56087.61</v>
      </c>
      <c r="AD262" s="125">
        <v>46473.54</v>
      </c>
      <c r="AE262" s="157">
        <v>31121.22</v>
      </c>
      <c r="AF262" s="157">
        <v>32566.06</v>
      </c>
      <c r="AG262" s="125">
        <v>39940.17</v>
      </c>
      <c r="AH262" s="125">
        <v>21635.58</v>
      </c>
      <c r="AI262" s="157">
        <v>13540.31</v>
      </c>
      <c r="AJ262" s="157">
        <v>49373.94</v>
      </c>
      <c r="AK262" s="157">
        <v>9159.92</v>
      </c>
      <c r="AL262" s="125">
        <v>1100421.96</v>
      </c>
    </row>
    <row r="263" spans="1:38" s="117" customFormat="1" ht="15" customHeight="1" x14ac:dyDescent="0.2">
      <c r="A263" s="123" t="s">
        <v>312</v>
      </c>
      <c r="B263" s="124" t="s">
        <v>1314</v>
      </c>
      <c r="C263" s="157">
        <v>17957.79</v>
      </c>
      <c r="D263" s="125">
        <v>0</v>
      </c>
      <c r="E263" s="157">
        <v>17881.599999999999</v>
      </c>
      <c r="F263" s="125">
        <v>4669.3</v>
      </c>
      <c r="G263" s="157">
        <v>68771.02</v>
      </c>
      <c r="H263" s="157">
        <v>0</v>
      </c>
      <c r="I263" s="157">
        <v>0</v>
      </c>
      <c r="J263" s="125">
        <v>18840.66</v>
      </c>
      <c r="K263" s="125">
        <v>0</v>
      </c>
      <c r="L263" s="125">
        <v>0</v>
      </c>
      <c r="M263" s="157">
        <v>0</v>
      </c>
      <c r="N263" s="157">
        <v>16472.87</v>
      </c>
      <c r="O263" s="157">
        <v>20953.2</v>
      </c>
      <c r="P263" s="125">
        <v>7690.34</v>
      </c>
      <c r="Q263" s="157">
        <v>43229.29</v>
      </c>
      <c r="R263" s="157">
        <v>15836.93</v>
      </c>
      <c r="S263" s="157">
        <v>6152.29</v>
      </c>
      <c r="T263" s="125">
        <v>14984.71</v>
      </c>
      <c r="U263" s="125">
        <v>32073.21</v>
      </c>
      <c r="V263" s="125">
        <v>16386.990000000002</v>
      </c>
      <c r="W263" s="125">
        <v>26762.61</v>
      </c>
      <c r="X263" s="157">
        <v>23391.19</v>
      </c>
      <c r="Y263" s="125">
        <v>18947.5</v>
      </c>
      <c r="Z263" s="125">
        <v>0</v>
      </c>
      <c r="AA263" s="125">
        <v>17941.900000000001</v>
      </c>
      <c r="AB263" s="125">
        <v>0</v>
      </c>
      <c r="AC263" s="125">
        <v>32812.5</v>
      </c>
      <c r="AD263" s="125">
        <v>29016.79</v>
      </c>
      <c r="AE263" s="157">
        <v>1044.19</v>
      </c>
      <c r="AF263" s="157">
        <v>41696.15</v>
      </c>
      <c r="AG263" s="125">
        <v>12738.1</v>
      </c>
      <c r="AH263" s="125">
        <v>4686.3599999999997</v>
      </c>
      <c r="AI263" s="157">
        <v>17229.79</v>
      </c>
      <c r="AJ263" s="157">
        <v>0</v>
      </c>
      <c r="AK263" s="157">
        <v>13661.84</v>
      </c>
      <c r="AL263" s="125">
        <v>541829.12</v>
      </c>
    </row>
    <row r="264" spans="1:38" s="117" customFormat="1" ht="15" customHeight="1" x14ac:dyDescent="0.2">
      <c r="A264" s="123" t="s">
        <v>607</v>
      </c>
      <c r="B264" s="124" t="s">
        <v>1313</v>
      </c>
      <c r="C264" s="157">
        <v>0</v>
      </c>
      <c r="D264" s="125">
        <v>0</v>
      </c>
      <c r="E264" s="157">
        <v>0</v>
      </c>
      <c r="F264" s="125">
        <v>0</v>
      </c>
      <c r="G264" s="157">
        <v>0</v>
      </c>
      <c r="H264" s="157">
        <v>0</v>
      </c>
      <c r="I264" s="157">
        <v>0</v>
      </c>
      <c r="J264" s="125">
        <v>0</v>
      </c>
      <c r="K264" s="125">
        <v>0</v>
      </c>
      <c r="L264" s="125">
        <v>0</v>
      </c>
      <c r="M264" s="157">
        <v>0</v>
      </c>
      <c r="N264" s="157">
        <v>0</v>
      </c>
      <c r="O264" s="157">
        <v>826.63</v>
      </c>
      <c r="P264" s="125">
        <v>7322.84</v>
      </c>
      <c r="Q264" s="157">
        <v>0</v>
      </c>
      <c r="R264" s="157">
        <v>0</v>
      </c>
      <c r="S264" s="157">
        <v>5783.38</v>
      </c>
      <c r="T264" s="125">
        <v>18458.580000000002</v>
      </c>
      <c r="U264" s="125">
        <v>10370.219999999999</v>
      </c>
      <c r="V264" s="125">
        <v>0</v>
      </c>
      <c r="W264" s="125">
        <v>0</v>
      </c>
      <c r="X264" s="157">
        <v>0</v>
      </c>
      <c r="Y264" s="125">
        <v>0</v>
      </c>
      <c r="Z264" s="125">
        <v>0</v>
      </c>
      <c r="AA264" s="125">
        <v>3835.25</v>
      </c>
      <c r="AB264" s="125">
        <v>0</v>
      </c>
      <c r="AC264" s="125">
        <v>0</v>
      </c>
      <c r="AD264" s="125">
        <v>0</v>
      </c>
      <c r="AE264" s="157">
        <v>13821.76</v>
      </c>
      <c r="AF264" s="157">
        <v>0</v>
      </c>
      <c r="AG264" s="125">
        <v>0</v>
      </c>
      <c r="AH264" s="125">
        <v>5010.7299999999996</v>
      </c>
      <c r="AI264" s="157">
        <v>0</v>
      </c>
      <c r="AJ264" s="157">
        <v>249.44</v>
      </c>
      <c r="AK264" s="157">
        <v>6989.43</v>
      </c>
      <c r="AL264" s="125">
        <v>72668.259999999995</v>
      </c>
    </row>
    <row r="265" spans="1:38" s="117" customFormat="1" ht="15" customHeight="1" x14ac:dyDescent="0.2">
      <c r="A265" s="123" t="s">
        <v>649</v>
      </c>
      <c r="B265" s="124" t="s">
        <v>1312</v>
      </c>
      <c r="C265" s="157">
        <v>0</v>
      </c>
      <c r="D265" s="125">
        <v>137.91999999999999</v>
      </c>
      <c r="E265" s="157">
        <v>0</v>
      </c>
      <c r="F265" s="125">
        <v>0</v>
      </c>
      <c r="G265" s="157">
        <v>0</v>
      </c>
      <c r="H265" s="157">
        <v>0</v>
      </c>
      <c r="I265" s="157">
        <v>0</v>
      </c>
      <c r="J265" s="125">
        <v>0</v>
      </c>
      <c r="K265" s="125">
        <v>16768.900000000001</v>
      </c>
      <c r="L265" s="125">
        <v>0</v>
      </c>
      <c r="M265" s="157">
        <v>137.91999999999999</v>
      </c>
      <c r="N265" s="157">
        <v>0</v>
      </c>
      <c r="O265" s="157">
        <v>0</v>
      </c>
      <c r="P265" s="125">
        <v>0</v>
      </c>
      <c r="Q265" s="157">
        <v>0</v>
      </c>
      <c r="R265" s="157">
        <v>0</v>
      </c>
      <c r="S265" s="157">
        <v>0</v>
      </c>
      <c r="T265" s="125">
        <v>0</v>
      </c>
      <c r="U265" s="125">
        <v>0</v>
      </c>
      <c r="V265" s="125">
        <v>0</v>
      </c>
      <c r="W265" s="125">
        <v>0</v>
      </c>
      <c r="X265" s="157">
        <v>0</v>
      </c>
      <c r="Y265" s="125">
        <v>0</v>
      </c>
      <c r="Z265" s="125">
        <v>417.92</v>
      </c>
      <c r="AA265" s="125">
        <v>0</v>
      </c>
      <c r="AB265" s="125">
        <v>0</v>
      </c>
      <c r="AC265" s="125">
        <v>0</v>
      </c>
      <c r="AD265" s="125">
        <v>0</v>
      </c>
      <c r="AE265" s="157">
        <v>0</v>
      </c>
      <c r="AF265" s="157">
        <v>0</v>
      </c>
      <c r="AG265" s="125">
        <v>0</v>
      </c>
      <c r="AH265" s="125">
        <v>0</v>
      </c>
      <c r="AI265" s="157">
        <v>0</v>
      </c>
      <c r="AJ265" s="157">
        <v>0</v>
      </c>
      <c r="AK265" s="157">
        <v>0</v>
      </c>
      <c r="AL265" s="125">
        <v>17462.66</v>
      </c>
    </row>
    <row r="266" spans="1:38" s="117" customFormat="1" ht="15" customHeight="1" x14ac:dyDescent="0.2">
      <c r="A266" s="123" t="s">
        <v>858</v>
      </c>
      <c r="B266" s="124" t="s">
        <v>1311</v>
      </c>
      <c r="C266" s="157">
        <v>0</v>
      </c>
      <c r="D266" s="125">
        <v>0</v>
      </c>
      <c r="E266" s="157">
        <v>0</v>
      </c>
      <c r="F266" s="125">
        <v>4807.72</v>
      </c>
      <c r="G266" s="157">
        <v>0</v>
      </c>
      <c r="H266" s="157">
        <v>0</v>
      </c>
      <c r="I266" s="157">
        <v>0</v>
      </c>
      <c r="J266" s="125">
        <v>0</v>
      </c>
      <c r="K266" s="125">
        <v>12780.09</v>
      </c>
      <c r="L266" s="125">
        <v>0</v>
      </c>
      <c r="M266" s="157">
        <v>0</v>
      </c>
      <c r="N266" s="157">
        <v>0</v>
      </c>
      <c r="O266" s="157">
        <v>0</v>
      </c>
      <c r="P266" s="125">
        <v>0</v>
      </c>
      <c r="Q266" s="157">
        <v>0</v>
      </c>
      <c r="R266" s="157">
        <v>0</v>
      </c>
      <c r="S266" s="157">
        <v>0</v>
      </c>
      <c r="T266" s="125">
        <v>0</v>
      </c>
      <c r="U266" s="125">
        <v>0</v>
      </c>
      <c r="V266" s="125">
        <v>0</v>
      </c>
      <c r="W266" s="125">
        <v>0</v>
      </c>
      <c r="X266" s="157">
        <v>0</v>
      </c>
      <c r="Y266" s="125">
        <v>0</v>
      </c>
      <c r="Z266" s="125">
        <v>0</v>
      </c>
      <c r="AA266" s="125">
        <v>0</v>
      </c>
      <c r="AB266" s="125">
        <v>0</v>
      </c>
      <c r="AC266" s="125">
        <v>0</v>
      </c>
      <c r="AD266" s="125">
        <v>0</v>
      </c>
      <c r="AE266" s="157">
        <v>0</v>
      </c>
      <c r="AF266" s="157">
        <v>0</v>
      </c>
      <c r="AG266" s="125">
        <v>6214.98</v>
      </c>
      <c r="AH266" s="125">
        <v>0</v>
      </c>
      <c r="AI266" s="157">
        <v>0</v>
      </c>
      <c r="AJ266" s="157">
        <v>0</v>
      </c>
      <c r="AK266" s="157">
        <v>0</v>
      </c>
      <c r="AL266" s="125">
        <v>23802.79</v>
      </c>
    </row>
    <row r="267" spans="1:38" s="117" customFormat="1" ht="15" customHeight="1" x14ac:dyDescent="0.2">
      <c r="A267" s="123" t="s">
        <v>856</v>
      </c>
      <c r="B267" s="124" t="s">
        <v>1310</v>
      </c>
      <c r="C267" s="157">
        <v>0</v>
      </c>
      <c r="D267" s="125">
        <v>0</v>
      </c>
      <c r="E267" s="157">
        <v>0</v>
      </c>
      <c r="F267" s="125">
        <v>0</v>
      </c>
      <c r="G267" s="157">
        <v>0</v>
      </c>
      <c r="H267" s="157">
        <v>0</v>
      </c>
      <c r="I267" s="157">
        <v>0</v>
      </c>
      <c r="J267" s="125">
        <v>0</v>
      </c>
      <c r="K267" s="125">
        <v>0</v>
      </c>
      <c r="L267" s="125">
        <v>0</v>
      </c>
      <c r="M267" s="157">
        <v>0</v>
      </c>
      <c r="N267" s="157">
        <v>0</v>
      </c>
      <c r="O267" s="157">
        <v>0</v>
      </c>
      <c r="P267" s="125">
        <v>0</v>
      </c>
      <c r="Q267" s="157">
        <v>0</v>
      </c>
      <c r="R267" s="157">
        <v>0</v>
      </c>
      <c r="S267" s="157">
        <v>0</v>
      </c>
      <c r="T267" s="125">
        <v>0</v>
      </c>
      <c r="U267" s="125">
        <v>0</v>
      </c>
      <c r="V267" s="125">
        <v>0</v>
      </c>
      <c r="W267" s="125">
        <v>0</v>
      </c>
      <c r="X267" s="157">
        <v>0</v>
      </c>
      <c r="Y267" s="125">
        <v>0</v>
      </c>
      <c r="Z267" s="125">
        <v>0</v>
      </c>
      <c r="AA267" s="125">
        <v>0</v>
      </c>
      <c r="AB267" s="125">
        <v>5597.08</v>
      </c>
      <c r="AC267" s="125">
        <v>0</v>
      </c>
      <c r="AD267" s="125">
        <v>0</v>
      </c>
      <c r="AE267" s="157">
        <v>0</v>
      </c>
      <c r="AF267" s="157">
        <v>0</v>
      </c>
      <c r="AG267" s="125">
        <v>0</v>
      </c>
      <c r="AH267" s="125">
        <v>0</v>
      </c>
      <c r="AI267" s="157">
        <v>0</v>
      </c>
      <c r="AJ267" s="157">
        <v>0</v>
      </c>
      <c r="AK267" s="157">
        <v>0</v>
      </c>
      <c r="AL267" s="125">
        <v>5597.08</v>
      </c>
    </row>
    <row r="268" spans="1:38" s="117" customFormat="1" ht="15" customHeight="1" x14ac:dyDescent="0.2">
      <c r="A268" s="123" t="s">
        <v>313</v>
      </c>
      <c r="B268" s="124" t="s">
        <v>1309</v>
      </c>
      <c r="C268" s="157">
        <v>3928</v>
      </c>
      <c r="D268" s="125">
        <v>6254</v>
      </c>
      <c r="E268" s="157">
        <v>5604</v>
      </c>
      <c r="F268" s="125">
        <v>4545</v>
      </c>
      <c r="G268" s="157">
        <v>10979</v>
      </c>
      <c r="H268" s="157">
        <v>4146</v>
      </c>
      <c r="I268" s="157">
        <v>3889</v>
      </c>
      <c r="J268" s="125">
        <v>6002</v>
      </c>
      <c r="K268" s="125">
        <v>3204</v>
      </c>
      <c r="L268" s="125">
        <v>7388</v>
      </c>
      <c r="M268" s="157">
        <v>-1424</v>
      </c>
      <c r="N268" s="157">
        <v>5743</v>
      </c>
      <c r="O268" s="157">
        <v>4645</v>
      </c>
      <c r="P268" s="125">
        <v>4554</v>
      </c>
      <c r="Q268" s="157">
        <v>9760</v>
      </c>
      <c r="R268" s="157">
        <v>4817</v>
      </c>
      <c r="S268" s="157">
        <v>4828</v>
      </c>
      <c r="T268" s="125">
        <v>12090</v>
      </c>
      <c r="U268" s="125">
        <v>11468</v>
      </c>
      <c r="V268" s="125">
        <v>4615</v>
      </c>
      <c r="W268" s="125">
        <v>5478</v>
      </c>
      <c r="X268" s="157">
        <v>4284</v>
      </c>
      <c r="Y268" s="125">
        <v>-2117</v>
      </c>
      <c r="Z268" s="125">
        <v>4892</v>
      </c>
      <c r="AA268" s="125">
        <v>5978</v>
      </c>
      <c r="AB268" s="125">
        <v>8164.36</v>
      </c>
      <c r="AC268" s="125">
        <v>7999</v>
      </c>
      <c r="AD268" s="125">
        <v>7702</v>
      </c>
      <c r="AE268" s="157">
        <v>3064</v>
      </c>
      <c r="AF268" s="157">
        <v>3178</v>
      </c>
      <c r="AG268" s="125">
        <v>4180</v>
      </c>
      <c r="AH268" s="125">
        <v>2923</v>
      </c>
      <c r="AI268" s="157">
        <v>7237</v>
      </c>
      <c r="AJ268" s="157">
        <v>3992</v>
      </c>
      <c r="AK268" s="157">
        <v>3708</v>
      </c>
      <c r="AL268" s="125">
        <v>187697.36</v>
      </c>
    </row>
    <row r="269" spans="1:38" s="117" customFormat="1" ht="15" customHeight="1" x14ac:dyDescent="0.2">
      <c r="A269" s="123" t="s">
        <v>314</v>
      </c>
      <c r="B269" s="124" t="s">
        <v>1308</v>
      </c>
      <c r="C269" s="157">
        <v>4325</v>
      </c>
      <c r="D269" s="125">
        <v>6490</v>
      </c>
      <c r="E269" s="157">
        <v>5496</v>
      </c>
      <c r="F269" s="125">
        <v>3571</v>
      </c>
      <c r="G269" s="157">
        <v>11211</v>
      </c>
      <c r="H269" s="157">
        <v>4566</v>
      </c>
      <c r="I269" s="157">
        <v>3674</v>
      </c>
      <c r="J269" s="125">
        <v>4666</v>
      </c>
      <c r="K269" s="125">
        <v>9240</v>
      </c>
      <c r="L269" s="125">
        <v>7064</v>
      </c>
      <c r="M269" s="157">
        <v>6370</v>
      </c>
      <c r="N269" s="157">
        <v>6907</v>
      </c>
      <c r="O269" s="157">
        <v>3925.69</v>
      </c>
      <c r="P269" s="125">
        <v>4900</v>
      </c>
      <c r="Q269" s="157">
        <v>6878</v>
      </c>
      <c r="R269" s="157">
        <v>5142</v>
      </c>
      <c r="S269" s="157">
        <v>4328</v>
      </c>
      <c r="T269" s="125">
        <v>10940</v>
      </c>
      <c r="U269" s="125">
        <v>7380</v>
      </c>
      <c r="V269" s="125">
        <v>4813</v>
      </c>
      <c r="W269" s="125">
        <v>4389</v>
      </c>
      <c r="X269" s="157">
        <v>4105</v>
      </c>
      <c r="Y269" s="125">
        <v>10537</v>
      </c>
      <c r="Z269" s="125">
        <v>4036</v>
      </c>
      <c r="AA269" s="125">
        <v>4112.68</v>
      </c>
      <c r="AB269" s="125">
        <v>7275</v>
      </c>
      <c r="AC269" s="125">
        <v>9082.01</v>
      </c>
      <c r="AD269" s="125">
        <v>5042</v>
      </c>
      <c r="AE269" s="157">
        <v>3325</v>
      </c>
      <c r="AF269" s="157">
        <v>5879.99</v>
      </c>
      <c r="AG269" s="125">
        <v>3319</v>
      </c>
      <c r="AH269" s="125">
        <v>2776</v>
      </c>
      <c r="AI269" s="157">
        <v>5449</v>
      </c>
      <c r="AJ269" s="157">
        <v>4145</v>
      </c>
      <c r="AK269" s="157">
        <v>2811.63</v>
      </c>
      <c r="AL269" s="125">
        <v>198171</v>
      </c>
    </row>
    <row r="270" spans="1:38" s="117" customFormat="1" ht="15" customHeight="1" x14ac:dyDescent="0.2">
      <c r="A270" s="123" t="s">
        <v>1386</v>
      </c>
      <c r="B270" s="124" t="s">
        <v>1441</v>
      </c>
      <c r="C270" s="157">
        <v>0</v>
      </c>
      <c r="D270" s="125">
        <v>0</v>
      </c>
      <c r="E270" s="157">
        <v>0</v>
      </c>
      <c r="F270" s="125">
        <v>0</v>
      </c>
      <c r="G270" s="157">
        <v>0</v>
      </c>
      <c r="H270" s="157">
        <v>0</v>
      </c>
      <c r="I270" s="157">
        <v>0</v>
      </c>
      <c r="J270" s="125">
        <v>0</v>
      </c>
      <c r="K270" s="125">
        <v>0</v>
      </c>
      <c r="L270" s="125">
        <v>0</v>
      </c>
      <c r="M270" s="157">
        <v>0</v>
      </c>
      <c r="N270" s="157">
        <v>0</v>
      </c>
      <c r="O270" s="157">
        <v>0</v>
      </c>
      <c r="P270" s="125">
        <v>0</v>
      </c>
      <c r="Q270" s="157">
        <v>77.349999999999994</v>
      </c>
      <c r="R270" s="157">
        <v>0</v>
      </c>
      <c r="S270" s="157">
        <v>0</v>
      </c>
      <c r="T270" s="125">
        <v>0</v>
      </c>
      <c r="U270" s="125">
        <v>0</v>
      </c>
      <c r="V270" s="125">
        <v>0</v>
      </c>
      <c r="W270" s="125">
        <v>0</v>
      </c>
      <c r="X270" s="157">
        <v>0</v>
      </c>
      <c r="Y270" s="125">
        <v>0</v>
      </c>
      <c r="Z270" s="125">
        <v>0</v>
      </c>
      <c r="AA270" s="125">
        <v>0</v>
      </c>
      <c r="AB270" s="125">
        <v>0</v>
      </c>
      <c r="AC270" s="125">
        <v>0</v>
      </c>
      <c r="AD270" s="125">
        <v>0</v>
      </c>
      <c r="AE270" s="157">
        <v>0</v>
      </c>
      <c r="AF270" s="157">
        <v>0</v>
      </c>
      <c r="AG270" s="125">
        <v>0</v>
      </c>
      <c r="AH270" s="125">
        <v>0</v>
      </c>
      <c r="AI270" s="157">
        <v>0</v>
      </c>
      <c r="AJ270" s="157">
        <v>0</v>
      </c>
      <c r="AK270" s="157">
        <v>0</v>
      </c>
      <c r="AL270" s="125">
        <v>77.349999999999994</v>
      </c>
    </row>
    <row r="271" spans="1:38" s="117" customFormat="1" ht="15" customHeight="1" x14ac:dyDescent="0.2">
      <c r="A271" s="123" t="s">
        <v>315</v>
      </c>
      <c r="B271" s="124" t="s">
        <v>1307</v>
      </c>
      <c r="C271" s="157">
        <v>3286.56</v>
      </c>
      <c r="D271" s="125">
        <v>4180.92</v>
      </c>
      <c r="E271" s="157">
        <v>3276.81</v>
      </c>
      <c r="F271" s="125">
        <v>3747.46</v>
      </c>
      <c r="G271" s="157">
        <v>4557.97</v>
      </c>
      <c r="H271" s="157">
        <v>3502.76</v>
      </c>
      <c r="I271" s="157">
        <v>3014.82</v>
      </c>
      <c r="J271" s="125">
        <v>2753.76</v>
      </c>
      <c r="K271" s="125">
        <v>4100.6400000000003</v>
      </c>
      <c r="L271" s="125">
        <v>4357.1400000000003</v>
      </c>
      <c r="M271" s="157">
        <v>2207.89</v>
      </c>
      <c r="N271" s="157">
        <v>2891.02</v>
      </c>
      <c r="O271" s="157">
        <v>3038.02</v>
      </c>
      <c r="P271" s="125">
        <v>2169.66</v>
      </c>
      <c r="Q271" s="157">
        <v>4335.16</v>
      </c>
      <c r="R271" s="157">
        <v>3223.58</v>
      </c>
      <c r="S271" s="157">
        <v>2468.11</v>
      </c>
      <c r="T271" s="125">
        <v>4128.5200000000004</v>
      </c>
      <c r="U271" s="125">
        <v>3969.34</v>
      </c>
      <c r="V271" s="125">
        <v>2508.14</v>
      </c>
      <c r="W271" s="125">
        <v>3148.45</v>
      </c>
      <c r="X271" s="157">
        <v>2634.2</v>
      </c>
      <c r="Y271" s="125">
        <v>3094.34</v>
      </c>
      <c r="Z271" s="125">
        <v>3316.17</v>
      </c>
      <c r="AA271" s="125">
        <v>3605.76</v>
      </c>
      <c r="AB271" s="125">
        <v>2905.08</v>
      </c>
      <c r="AC271" s="125">
        <v>3458.6</v>
      </c>
      <c r="AD271" s="125">
        <v>4240.96</v>
      </c>
      <c r="AE271" s="157">
        <v>1864.45</v>
      </c>
      <c r="AF271" s="157">
        <v>1920.41</v>
      </c>
      <c r="AG271" s="125">
        <v>4080.21</v>
      </c>
      <c r="AH271" s="125">
        <v>1492.47</v>
      </c>
      <c r="AI271" s="157">
        <v>3034.49</v>
      </c>
      <c r="AJ271" s="157">
        <v>3343.68</v>
      </c>
      <c r="AK271" s="157">
        <v>3173.09</v>
      </c>
      <c r="AL271" s="125">
        <v>113030.64</v>
      </c>
    </row>
    <row r="272" spans="1:38" s="117" customFormat="1" ht="15" customHeight="1" x14ac:dyDescent="0.2">
      <c r="A272" s="123" t="s">
        <v>316</v>
      </c>
      <c r="B272" s="124" t="s">
        <v>1306</v>
      </c>
      <c r="C272" s="157">
        <v>2346.73</v>
      </c>
      <c r="D272" s="125">
        <v>2196.69</v>
      </c>
      <c r="E272" s="157">
        <v>2375.77</v>
      </c>
      <c r="F272" s="125">
        <v>2558.86</v>
      </c>
      <c r="G272" s="157">
        <v>3796.89</v>
      </c>
      <c r="H272" s="157">
        <v>2339.61</v>
      </c>
      <c r="I272" s="157">
        <v>2098.52</v>
      </c>
      <c r="J272" s="125">
        <v>2256.84</v>
      </c>
      <c r="K272" s="125">
        <v>4019.03</v>
      </c>
      <c r="L272" s="125">
        <v>3217.73</v>
      </c>
      <c r="M272" s="157">
        <v>2308.38</v>
      </c>
      <c r="N272" s="157">
        <v>1778.64</v>
      </c>
      <c r="O272" s="157">
        <v>2323.5</v>
      </c>
      <c r="P272" s="125">
        <v>2296.33</v>
      </c>
      <c r="Q272" s="157">
        <v>5138.07</v>
      </c>
      <c r="R272" s="157">
        <v>2084.91</v>
      </c>
      <c r="S272" s="157">
        <v>2078.66</v>
      </c>
      <c r="T272" s="125">
        <v>4062.42</v>
      </c>
      <c r="U272" s="125">
        <v>3590.55</v>
      </c>
      <c r="V272" s="125">
        <v>2055.94</v>
      </c>
      <c r="W272" s="125">
        <v>2347.59</v>
      </c>
      <c r="X272" s="157">
        <v>2019.45</v>
      </c>
      <c r="Y272" s="125">
        <v>2490.75</v>
      </c>
      <c r="Z272" s="125">
        <v>2438.25</v>
      </c>
      <c r="AA272" s="125">
        <v>2196.34</v>
      </c>
      <c r="AB272" s="125">
        <v>3132.29</v>
      </c>
      <c r="AC272" s="125">
        <v>4416.5</v>
      </c>
      <c r="AD272" s="125">
        <v>3616.45</v>
      </c>
      <c r="AE272" s="157">
        <v>2473.39</v>
      </c>
      <c r="AF272" s="157">
        <v>3246.51</v>
      </c>
      <c r="AG272" s="125">
        <v>3032.32</v>
      </c>
      <c r="AH272" s="125">
        <v>1496.8</v>
      </c>
      <c r="AI272" s="157">
        <v>2210.08</v>
      </c>
      <c r="AJ272" s="157">
        <v>2350.36</v>
      </c>
      <c r="AK272" s="157">
        <v>2098.5500000000002</v>
      </c>
      <c r="AL272" s="125">
        <v>94489.7</v>
      </c>
    </row>
    <row r="273" spans="1:38" s="117" customFormat="1" ht="15" customHeight="1" x14ac:dyDescent="0.2">
      <c r="A273" s="123" t="s">
        <v>317</v>
      </c>
      <c r="B273" s="124" t="s">
        <v>1305</v>
      </c>
      <c r="C273" s="157">
        <v>8642.67</v>
      </c>
      <c r="D273" s="125">
        <v>11374.57</v>
      </c>
      <c r="E273" s="157">
        <v>8600.66</v>
      </c>
      <c r="F273" s="125">
        <v>5073.63</v>
      </c>
      <c r="G273" s="157">
        <v>4855.6899999999996</v>
      </c>
      <c r="H273" s="157">
        <v>2693.58</v>
      </c>
      <c r="I273" s="157">
        <v>7502.19</v>
      </c>
      <c r="J273" s="125">
        <v>6643.92</v>
      </c>
      <c r="K273" s="125">
        <v>3141.28</v>
      </c>
      <c r="L273" s="125">
        <v>10594.14</v>
      </c>
      <c r="M273" s="157">
        <v>352.45</v>
      </c>
      <c r="N273" s="157">
        <v>13590.09</v>
      </c>
      <c r="O273" s="157">
        <v>11587.66</v>
      </c>
      <c r="P273" s="125">
        <v>5909.1</v>
      </c>
      <c r="Q273" s="157">
        <v>12276.74</v>
      </c>
      <c r="R273" s="157">
        <v>9297.5400000000009</v>
      </c>
      <c r="S273" s="157">
        <v>4636.8500000000004</v>
      </c>
      <c r="T273" s="125">
        <v>6256.84</v>
      </c>
      <c r="U273" s="125">
        <v>7873.8</v>
      </c>
      <c r="V273" s="125">
        <v>5906.04</v>
      </c>
      <c r="W273" s="125">
        <v>8766.7000000000007</v>
      </c>
      <c r="X273" s="157">
        <v>4899.28</v>
      </c>
      <c r="Y273" s="125">
        <v>6300.18</v>
      </c>
      <c r="Z273" s="125">
        <v>6683.34</v>
      </c>
      <c r="AA273" s="125">
        <v>5000.6899999999996</v>
      </c>
      <c r="AB273" s="125">
        <v>4260.05</v>
      </c>
      <c r="AC273" s="125">
        <v>13117.85</v>
      </c>
      <c r="AD273" s="125">
        <v>7055.12</v>
      </c>
      <c r="AE273" s="157">
        <v>4320.57</v>
      </c>
      <c r="AF273" s="157">
        <v>4432.78</v>
      </c>
      <c r="AG273" s="125">
        <v>4554.76</v>
      </c>
      <c r="AH273" s="125">
        <v>2020.13</v>
      </c>
      <c r="AI273" s="157">
        <v>11083.25</v>
      </c>
      <c r="AJ273" s="157">
        <v>4368.25</v>
      </c>
      <c r="AK273" s="157">
        <v>8742.74</v>
      </c>
      <c r="AL273" s="125">
        <v>242415.13</v>
      </c>
    </row>
    <row r="274" spans="1:38" s="117" customFormat="1" ht="15" customHeight="1" x14ac:dyDescent="0.2">
      <c r="A274" s="123" t="s">
        <v>318</v>
      </c>
      <c r="B274" s="124" t="s">
        <v>1304</v>
      </c>
      <c r="C274" s="157">
        <v>404.73</v>
      </c>
      <c r="D274" s="125">
        <v>4927.26</v>
      </c>
      <c r="E274" s="157">
        <v>404.15</v>
      </c>
      <c r="F274" s="125">
        <v>4877.3599999999997</v>
      </c>
      <c r="G274" s="157">
        <v>7377.28</v>
      </c>
      <c r="H274" s="157">
        <v>6093.78</v>
      </c>
      <c r="I274" s="157">
        <v>379.32</v>
      </c>
      <c r="J274" s="125">
        <v>2036.27</v>
      </c>
      <c r="K274" s="125">
        <v>11398.91</v>
      </c>
      <c r="L274" s="125">
        <v>4919</v>
      </c>
      <c r="M274" s="157">
        <v>9075.94</v>
      </c>
      <c r="N274" s="157">
        <v>3864</v>
      </c>
      <c r="O274" s="157">
        <v>3155.35</v>
      </c>
      <c r="P274" s="125">
        <v>6651.99</v>
      </c>
      <c r="Q274" s="157">
        <v>12522.81</v>
      </c>
      <c r="R274" s="157">
        <v>3753.5</v>
      </c>
      <c r="S274" s="157">
        <v>5173.76</v>
      </c>
      <c r="T274" s="125">
        <v>5232.6099999999997</v>
      </c>
      <c r="U274" s="125">
        <v>5499.1</v>
      </c>
      <c r="V274" s="125">
        <v>4550.6899999999996</v>
      </c>
      <c r="W274" s="125">
        <v>3890.39</v>
      </c>
      <c r="X274" s="157">
        <v>5693.53</v>
      </c>
      <c r="Y274" s="125">
        <v>4773.04</v>
      </c>
      <c r="Z274" s="125">
        <v>5008.5</v>
      </c>
      <c r="AA274" s="125">
        <v>3162.98</v>
      </c>
      <c r="AB274" s="125">
        <v>6145.24</v>
      </c>
      <c r="AC274" s="125">
        <v>4302.26</v>
      </c>
      <c r="AD274" s="125">
        <v>3254.03</v>
      </c>
      <c r="AE274" s="157">
        <v>2621.13</v>
      </c>
      <c r="AF274" s="157">
        <v>2899.81</v>
      </c>
      <c r="AG274" s="125">
        <v>3242.99</v>
      </c>
      <c r="AH274" s="125">
        <v>2189.89</v>
      </c>
      <c r="AI274" s="157">
        <v>3700.48</v>
      </c>
      <c r="AJ274" s="157">
        <v>4137.72</v>
      </c>
      <c r="AK274" s="157">
        <v>2842.77</v>
      </c>
      <c r="AL274" s="125">
        <v>160162.57</v>
      </c>
    </row>
    <row r="275" spans="1:38" s="117" customFormat="1" ht="15" customHeight="1" x14ac:dyDescent="0.2">
      <c r="A275" s="123" t="s">
        <v>848</v>
      </c>
      <c r="B275" s="124" t="s">
        <v>1303</v>
      </c>
      <c r="C275" s="157">
        <v>0</v>
      </c>
      <c r="D275" s="125">
        <v>0</v>
      </c>
      <c r="E275" s="157">
        <v>0</v>
      </c>
      <c r="F275" s="125">
        <v>0</v>
      </c>
      <c r="G275" s="157">
        <v>0</v>
      </c>
      <c r="H275" s="157">
        <v>0</v>
      </c>
      <c r="I275" s="157">
        <v>0</v>
      </c>
      <c r="J275" s="125">
        <v>0</v>
      </c>
      <c r="K275" s="125">
        <v>2024</v>
      </c>
      <c r="L275" s="125">
        <v>0</v>
      </c>
      <c r="M275" s="157">
        <v>0</v>
      </c>
      <c r="N275" s="157">
        <v>0</v>
      </c>
      <c r="O275" s="157">
        <v>0</v>
      </c>
      <c r="P275" s="125">
        <v>0</v>
      </c>
      <c r="Q275" s="157">
        <v>0</v>
      </c>
      <c r="R275" s="157">
        <v>0</v>
      </c>
      <c r="S275" s="157">
        <v>0</v>
      </c>
      <c r="T275" s="125">
        <v>0</v>
      </c>
      <c r="U275" s="125">
        <v>0</v>
      </c>
      <c r="V275" s="125">
        <v>0</v>
      </c>
      <c r="W275" s="125">
        <v>0</v>
      </c>
      <c r="X275" s="157">
        <v>0</v>
      </c>
      <c r="Y275" s="125">
        <v>0</v>
      </c>
      <c r="Z275" s="125">
        <v>0</v>
      </c>
      <c r="AA275" s="125">
        <v>0</v>
      </c>
      <c r="AB275" s="125">
        <v>0</v>
      </c>
      <c r="AC275" s="125">
        <v>10344</v>
      </c>
      <c r="AD275" s="125">
        <v>0</v>
      </c>
      <c r="AE275" s="157">
        <v>0</v>
      </c>
      <c r="AF275" s="157">
        <v>0</v>
      </c>
      <c r="AG275" s="125">
        <v>0</v>
      </c>
      <c r="AH275" s="125">
        <v>0</v>
      </c>
      <c r="AI275" s="157">
        <v>0</v>
      </c>
      <c r="AJ275" s="157">
        <v>0</v>
      </c>
      <c r="AK275" s="157">
        <v>0</v>
      </c>
      <c r="AL275" s="125">
        <v>12368</v>
      </c>
    </row>
    <row r="276" spans="1:38" s="117" customFormat="1" ht="15" customHeight="1" x14ac:dyDescent="0.2">
      <c r="A276" s="123" t="s">
        <v>319</v>
      </c>
      <c r="B276" s="124" t="s">
        <v>1302</v>
      </c>
      <c r="C276" s="157">
        <v>278.83</v>
      </c>
      <c r="D276" s="125">
        <v>555.09</v>
      </c>
      <c r="E276" s="157">
        <v>278.31</v>
      </c>
      <c r="F276" s="125">
        <v>933.41</v>
      </c>
      <c r="G276" s="157">
        <v>1528.18</v>
      </c>
      <c r="H276" s="157">
        <v>648.79999999999995</v>
      </c>
      <c r="I276" s="157">
        <v>536.21</v>
      </c>
      <c r="J276" s="125">
        <v>452.85</v>
      </c>
      <c r="K276" s="125">
        <v>483.78</v>
      </c>
      <c r="L276" s="125">
        <v>1389.76</v>
      </c>
      <c r="M276" s="157">
        <v>3.29</v>
      </c>
      <c r="N276" s="157">
        <v>707.26</v>
      </c>
      <c r="O276" s="157">
        <v>505.77</v>
      </c>
      <c r="P276" s="125">
        <v>846.15</v>
      </c>
      <c r="Q276" s="157">
        <v>1890.02</v>
      </c>
      <c r="R276" s="157">
        <v>731.13</v>
      </c>
      <c r="S276" s="157">
        <v>662.09</v>
      </c>
      <c r="T276" s="125">
        <v>909.9</v>
      </c>
      <c r="U276" s="125">
        <v>1019.73</v>
      </c>
      <c r="V276" s="125">
        <v>864.98</v>
      </c>
      <c r="W276" s="125">
        <v>791.69</v>
      </c>
      <c r="X276" s="157">
        <v>566.16</v>
      </c>
      <c r="Y276" s="125">
        <v>1311.41</v>
      </c>
      <c r="Z276" s="125">
        <v>1449.23</v>
      </c>
      <c r="AA276" s="125">
        <v>719.02</v>
      </c>
      <c r="AB276" s="125">
        <v>1701.62</v>
      </c>
      <c r="AC276" s="125">
        <v>144.6</v>
      </c>
      <c r="AD276" s="125">
        <v>386.79</v>
      </c>
      <c r="AE276" s="157">
        <v>669.22</v>
      </c>
      <c r="AF276" s="157">
        <v>1239.76</v>
      </c>
      <c r="AG276" s="125">
        <v>564.38</v>
      </c>
      <c r="AH276" s="125">
        <v>162.75</v>
      </c>
      <c r="AI276" s="157">
        <v>816.06</v>
      </c>
      <c r="AJ276" s="157">
        <v>672.79</v>
      </c>
      <c r="AK276" s="157">
        <v>864.5</v>
      </c>
      <c r="AL276" s="125">
        <v>27285.52</v>
      </c>
    </row>
    <row r="277" spans="1:38" s="117" customFormat="1" ht="15" customHeight="1" x14ac:dyDescent="0.2">
      <c r="A277" s="123" t="s">
        <v>1301</v>
      </c>
      <c r="B277" s="124" t="s">
        <v>1300</v>
      </c>
      <c r="C277" s="157">
        <v>835.48</v>
      </c>
      <c r="D277" s="125">
        <v>547.61</v>
      </c>
      <c r="E277" s="157">
        <v>316.18</v>
      </c>
      <c r="F277" s="125">
        <v>910.27</v>
      </c>
      <c r="G277" s="157">
        <v>863.73</v>
      </c>
      <c r="H277" s="157">
        <v>558.32000000000005</v>
      </c>
      <c r="I277" s="157">
        <v>554.72</v>
      </c>
      <c r="J277" s="125">
        <v>627.94000000000005</v>
      </c>
      <c r="K277" s="125">
        <v>729.54</v>
      </c>
      <c r="L277" s="125">
        <v>558.32000000000005</v>
      </c>
      <c r="M277" s="157">
        <v>521.47</v>
      </c>
      <c r="N277" s="157">
        <v>481.74</v>
      </c>
      <c r="O277" s="157">
        <v>699.39</v>
      </c>
      <c r="P277" s="125">
        <v>646.92999999999995</v>
      </c>
      <c r="Q277" s="157">
        <v>736.01</v>
      </c>
      <c r="R277" s="157">
        <v>565.03</v>
      </c>
      <c r="S277" s="157">
        <v>312.76</v>
      </c>
      <c r="T277" s="125">
        <v>653.27</v>
      </c>
      <c r="U277" s="125">
        <v>750.06</v>
      </c>
      <c r="V277" s="125">
        <v>481.32</v>
      </c>
      <c r="W277" s="125">
        <v>746.13</v>
      </c>
      <c r="X277" s="157">
        <v>414.01</v>
      </c>
      <c r="Y277" s="125">
        <v>717.71</v>
      </c>
      <c r="Z277" s="125">
        <v>558.32000000000005</v>
      </c>
      <c r="AA277" s="125">
        <v>699.45</v>
      </c>
      <c r="AB277" s="125">
        <v>730.06</v>
      </c>
      <c r="AC277" s="125">
        <v>749.91</v>
      </c>
      <c r="AD277" s="125">
        <v>828.65</v>
      </c>
      <c r="AE277" s="157">
        <v>306.08999999999997</v>
      </c>
      <c r="AF277" s="157">
        <v>746.11</v>
      </c>
      <c r="AG277" s="125">
        <v>883.57</v>
      </c>
      <c r="AH277" s="125">
        <v>682.11</v>
      </c>
      <c r="AI277" s="157">
        <v>624.85</v>
      </c>
      <c r="AJ277" s="157">
        <v>558.32000000000005</v>
      </c>
      <c r="AK277" s="157">
        <v>757.54</v>
      </c>
      <c r="AL277" s="125">
        <v>22352.92</v>
      </c>
    </row>
    <row r="278" spans="1:38" s="117" customFormat="1" ht="15" customHeight="1" x14ac:dyDescent="0.2">
      <c r="A278" s="123" t="s">
        <v>1389</v>
      </c>
      <c r="B278" s="124" t="s">
        <v>1299</v>
      </c>
      <c r="C278" s="157">
        <v>0</v>
      </c>
      <c r="D278" s="125">
        <v>0</v>
      </c>
      <c r="E278" s="157">
        <v>0</v>
      </c>
      <c r="F278" s="125">
        <v>0</v>
      </c>
      <c r="G278" s="157">
        <v>4036.01</v>
      </c>
      <c r="H278" s="157">
        <v>0</v>
      </c>
      <c r="I278" s="157">
        <v>0</v>
      </c>
      <c r="J278" s="125">
        <v>0</v>
      </c>
      <c r="K278" s="125">
        <v>0</v>
      </c>
      <c r="L278" s="125">
        <v>0</v>
      </c>
      <c r="M278" s="157">
        <v>0</v>
      </c>
      <c r="N278" s="157">
        <v>0</v>
      </c>
      <c r="O278" s="157">
        <v>0</v>
      </c>
      <c r="P278" s="125">
        <v>0</v>
      </c>
      <c r="Q278" s="157">
        <v>0</v>
      </c>
      <c r="R278" s="157">
        <v>0</v>
      </c>
      <c r="S278" s="157">
        <v>0</v>
      </c>
      <c r="T278" s="125">
        <v>0</v>
      </c>
      <c r="U278" s="125">
        <v>0</v>
      </c>
      <c r="V278" s="125">
        <v>0</v>
      </c>
      <c r="W278" s="125">
        <v>0</v>
      </c>
      <c r="X278" s="157">
        <v>1174.98</v>
      </c>
      <c r="Y278" s="125">
        <v>0</v>
      </c>
      <c r="Z278" s="125">
        <v>0</v>
      </c>
      <c r="AA278" s="125">
        <v>0</v>
      </c>
      <c r="AB278" s="125">
        <v>0</v>
      </c>
      <c r="AC278" s="125">
        <v>0</v>
      </c>
      <c r="AD278" s="125">
        <v>0</v>
      </c>
      <c r="AE278" s="157">
        <v>0</v>
      </c>
      <c r="AF278" s="157">
        <v>0</v>
      </c>
      <c r="AG278" s="125">
        <v>0</v>
      </c>
      <c r="AH278" s="125">
        <v>0</v>
      </c>
      <c r="AI278" s="157">
        <v>0</v>
      </c>
      <c r="AJ278" s="157">
        <v>0</v>
      </c>
      <c r="AK278" s="157">
        <v>0</v>
      </c>
      <c r="AL278" s="125">
        <v>5210.99</v>
      </c>
    </row>
    <row r="279" spans="1:38" s="117" customFormat="1" ht="15" customHeight="1" x14ac:dyDescent="0.2">
      <c r="A279" s="123" t="s">
        <v>320</v>
      </c>
      <c r="B279" s="124" t="s">
        <v>1299</v>
      </c>
      <c r="C279" s="157">
        <v>0</v>
      </c>
      <c r="D279" s="125">
        <v>0</v>
      </c>
      <c r="E279" s="157">
        <v>0</v>
      </c>
      <c r="F279" s="125">
        <v>0</v>
      </c>
      <c r="G279" s="157">
        <v>21452.29</v>
      </c>
      <c r="H279" s="157">
        <v>0</v>
      </c>
      <c r="I279" s="157">
        <v>0</v>
      </c>
      <c r="J279" s="125">
        <v>0</v>
      </c>
      <c r="K279" s="125">
        <v>8498.36</v>
      </c>
      <c r="L279" s="125">
        <v>0</v>
      </c>
      <c r="M279" s="157">
        <v>0</v>
      </c>
      <c r="N279" s="157">
        <v>0</v>
      </c>
      <c r="O279" s="157">
        <v>0</v>
      </c>
      <c r="P279" s="125">
        <v>0</v>
      </c>
      <c r="Q279" s="157">
        <v>0</v>
      </c>
      <c r="R279" s="157">
        <v>0</v>
      </c>
      <c r="S279" s="157">
        <v>0</v>
      </c>
      <c r="T279" s="125">
        <v>0</v>
      </c>
      <c r="U279" s="125">
        <v>1941.84</v>
      </c>
      <c r="V279" s="125">
        <v>0</v>
      </c>
      <c r="W279" s="125">
        <v>0</v>
      </c>
      <c r="X279" s="157">
        <v>6999.29</v>
      </c>
      <c r="Y279" s="125">
        <v>0</v>
      </c>
      <c r="Z279" s="125">
        <v>0</v>
      </c>
      <c r="AA279" s="125">
        <v>0</v>
      </c>
      <c r="AB279" s="125">
        <v>0</v>
      </c>
      <c r="AC279" s="125">
        <v>0</v>
      </c>
      <c r="AD279" s="125">
        <v>3309.38</v>
      </c>
      <c r="AE279" s="157">
        <v>0</v>
      </c>
      <c r="AF279" s="157">
        <v>0</v>
      </c>
      <c r="AG279" s="125">
        <v>0</v>
      </c>
      <c r="AH279" s="125">
        <v>0</v>
      </c>
      <c r="AI279" s="157">
        <v>0</v>
      </c>
      <c r="AJ279" s="157">
        <v>0</v>
      </c>
      <c r="AK279" s="157">
        <v>0</v>
      </c>
      <c r="AL279" s="125">
        <v>42201.16</v>
      </c>
    </row>
    <row r="280" spans="1:38" s="117" customFormat="1" ht="15" customHeight="1" x14ac:dyDescent="0.2">
      <c r="A280" s="123" t="s">
        <v>1390</v>
      </c>
      <c r="B280" s="124" t="s">
        <v>1442</v>
      </c>
      <c r="C280" s="157">
        <v>16663.09</v>
      </c>
      <c r="D280" s="125">
        <v>15405.99</v>
      </c>
      <c r="E280" s="157">
        <v>11095.48</v>
      </c>
      <c r="F280" s="125">
        <v>18017.71</v>
      </c>
      <c r="G280" s="157">
        <v>30038.29</v>
      </c>
      <c r="H280" s="157">
        <v>15401.49</v>
      </c>
      <c r="I280" s="157">
        <v>15090.6</v>
      </c>
      <c r="J280" s="125">
        <v>13540.26</v>
      </c>
      <c r="K280" s="125">
        <v>20346.59</v>
      </c>
      <c r="L280" s="125">
        <v>16165.01</v>
      </c>
      <c r="M280" s="157">
        <v>13739.76</v>
      </c>
      <c r="N280" s="157">
        <v>15313.28</v>
      </c>
      <c r="O280" s="157">
        <v>12892.85</v>
      </c>
      <c r="P280" s="125">
        <v>12606.45</v>
      </c>
      <c r="Q280" s="157">
        <v>25961.42</v>
      </c>
      <c r="R280" s="157">
        <v>15273.87</v>
      </c>
      <c r="S280" s="157">
        <v>9890.16</v>
      </c>
      <c r="T280" s="125">
        <v>20669.830000000002</v>
      </c>
      <c r="U280" s="125">
        <v>20294.849999999999</v>
      </c>
      <c r="V280" s="125">
        <v>12652.96</v>
      </c>
      <c r="W280" s="125">
        <v>15418.88</v>
      </c>
      <c r="X280" s="157">
        <v>12213.42</v>
      </c>
      <c r="Y280" s="125">
        <v>17257.03</v>
      </c>
      <c r="Z280" s="125">
        <v>12957.65</v>
      </c>
      <c r="AA280" s="125">
        <v>15629.28</v>
      </c>
      <c r="AB280" s="125">
        <v>16055.77</v>
      </c>
      <c r="AC280" s="125">
        <v>21101.5</v>
      </c>
      <c r="AD280" s="125">
        <v>17552.330000000002</v>
      </c>
      <c r="AE280" s="157">
        <v>7930.7</v>
      </c>
      <c r="AF280" s="157">
        <v>15681.67</v>
      </c>
      <c r="AG280" s="125">
        <v>18626.099999999999</v>
      </c>
      <c r="AH280" s="125">
        <v>7752.85</v>
      </c>
      <c r="AI280" s="157">
        <v>16200.59</v>
      </c>
      <c r="AJ280" s="157">
        <v>14810.82</v>
      </c>
      <c r="AK280" s="157">
        <v>11168.15</v>
      </c>
      <c r="AL280" s="125">
        <v>551416.68000000005</v>
      </c>
    </row>
    <row r="281" spans="1:38" s="117" customFormat="1" ht="15" customHeight="1" x14ac:dyDescent="0.2">
      <c r="A281" s="123" t="s">
        <v>321</v>
      </c>
      <c r="B281" s="124" t="s">
        <v>1298</v>
      </c>
      <c r="C281" s="157">
        <v>265.45999999999998</v>
      </c>
      <c r="D281" s="125">
        <v>150</v>
      </c>
      <c r="E281" s="157">
        <v>265.48</v>
      </c>
      <c r="F281" s="125">
        <v>0</v>
      </c>
      <c r="G281" s="157">
        <v>254.72</v>
      </c>
      <c r="H281" s="157">
        <v>0</v>
      </c>
      <c r="I281" s="157">
        <v>15.55</v>
      </c>
      <c r="J281" s="125">
        <v>125.93</v>
      </c>
      <c r="K281" s="125">
        <v>0</v>
      </c>
      <c r="L281" s="125">
        <v>0</v>
      </c>
      <c r="M281" s="157">
        <v>0</v>
      </c>
      <c r="N281" s="157">
        <v>23.53</v>
      </c>
      <c r="O281" s="157">
        <v>0</v>
      </c>
      <c r="P281" s="125">
        <v>0</v>
      </c>
      <c r="Q281" s="157">
        <v>114.61</v>
      </c>
      <c r="R281" s="157">
        <v>141.84</v>
      </c>
      <c r="S281" s="157">
        <v>0</v>
      </c>
      <c r="T281" s="125">
        <v>310.70999999999998</v>
      </c>
      <c r="U281" s="125">
        <v>71.09</v>
      </c>
      <c r="V281" s="125">
        <v>9.5299999999999994</v>
      </c>
      <c r="W281" s="125">
        <v>136.66</v>
      </c>
      <c r="X281" s="157">
        <v>155.82</v>
      </c>
      <c r="Y281" s="125">
        <v>0</v>
      </c>
      <c r="Z281" s="125">
        <v>365.82</v>
      </c>
      <c r="AA281" s="125">
        <v>0</v>
      </c>
      <c r="AB281" s="125">
        <v>0</v>
      </c>
      <c r="AC281" s="125">
        <v>437.43</v>
      </c>
      <c r="AD281" s="125">
        <v>0</v>
      </c>
      <c r="AE281" s="157">
        <v>0</v>
      </c>
      <c r="AF281" s="157">
        <v>0</v>
      </c>
      <c r="AG281" s="125">
        <v>124.83</v>
      </c>
      <c r="AH281" s="125">
        <v>0</v>
      </c>
      <c r="AI281" s="157">
        <v>617.04</v>
      </c>
      <c r="AJ281" s="157">
        <v>0</v>
      </c>
      <c r="AK281" s="157">
        <v>0</v>
      </c>
      <c r="AL281" s="125">
        <v>3586.05</v>
      </c>
    </row>
    <row r="282" spans="1:38" s="117" customFormat="1" ht="15" customHeight="1" x14ac:dyDescent="0.2">
      <c r="A282" s="123" t="s">
        <v>1297</v>
      </c>
      <c r="B282" s="124" t="s">
        <v>1197</v>
      </c>
      <c r="C282" s="157">
        <v>0</v>
      </c>
      <c r="D282" s="125">
        <v>0</v>
      </c>
      <c r="E282" s="157">
        <v>0</v>
      </c>
      <c r="F282" s="125">
        <v>0</v>
      </c>
      <c r="G282" s="157">
        <v>0</v>
      </c>
      <c r="H282" s="157">
        <v>0</v>
      </c>
      <c r="I282" s="157">
        <v>0</v>
      </c>
      <c r="J282" s="125">
        <v>0</v>
      </c>
      <c r="K282" s="125">
        <v>0</v>
      </c>
      <c r="L282" s="125">
        <v>0</v>
      </c>
      <c r="M282" s="157">
        <v>0</v>
      </c>
      <c r="N282" s="157">
        <v>50</v>
      </c>
      <c r="O282" s="157">
        <v>0</v>
      </c>
      <c r="P282" s="125">
        <v>0</v>
      </c>
      <c r="Q282" s="157">
        <v>0</v>
      </c>
      <c r="R282" s="157">
        <v>0</v>
      </c>
      <c r="S282" s="157">
        <v>0</v>
      </c>
      <c r="T282" s="125">
        <v>0</v>
      </c>
      <c r="U282" s="125">
        <v>0</v>
      </c>
      <c r="V282" s="125">
        <v>0</v>
      </c>
      <c r="W282" s="125">
        <v>0</v>
      </c>
      <c r="X282" s="157">
        <v>0</v>
      </c>
      <c r="Y282" s="125">
        <v>0</v>
      </c>
      <c r="Z282" s="125">
        <v>0</v>
      </c>
      <c r="AA282" s="125">
        <v>0</v>
      </c>
      <c r="AB282" s="125">
        <v>0</v>
      </c>
      <c r="AC282" s="125">
        <v>0</v>
      </c>
      <c r="AD282" s="125">
        <v>0</v>
      </c>
      <c r="AE282" s="157">
        <v>142.22999999999999</v>
      </c>
      <c r="AF282" s="157">
        <v>142.24</v>
      </c>
      <c r="AG282" s="125">
        <v>0</v>
      </c>
      <c r="AH282" s="125">
        <v>0</v>
      </c>
      <c r="AI282" s="157">
        <v>0</v>
      </c>
      <c r="AJ282" s="157">
        <v>0</v>
      </c>
      <c r="AK282" s="157">
        <v>0</v>
      </c>
      <c r="AL282" s="125">
        <v>334.47</v>
      </c>
    </row>
    <row r="283" spans="1:38" s="117" customFormat="1" ht="15" customHeight="1" x14ac:dyDescent="0.2">
      <c r="A283" s="123" t="s">
        <v>843</v>
      </c>
      <c r="B283" s="124" t="s">
        <v>1296</v>
      </c>
      <c r="C283" s="157">
        <v>0</v>
      </c>
      <c r="D283" s="125">
        <v>0</v>
      </c>
      <c r="E283" s="157">
        <v>0</v>
      </c>
      <c r="F283" s="125">
        <v>0</v>
      </c>
      <c r="G283" s="157">
        <v>0</v>
      </c>
      <c r="H283" s="157">
        <v>0</v>
      </c>
      <c r="I283" s="157">
        <v>0</v>
      </c>
      <c r="J283" s="125">
        <v>0</v>
      </c>
      <c r="K283" s="125">
        <v>0</v>
      </c>
      <c r="L283" s="125">
        <v>0</v>
      </c>
      <c r="M283" s="157">
        <v>0</v>
      </c>
      <c r="N283" s="157">
        <v>0</v>
      </c>
      <c r="O283" s="157">
        <v>0</v>
      </c>
      <c r="P283" s="125">
        <v>0</v>
      </c>
      <c r="Q283" s="157">
        <v>0</v>
      </c>
      <c r="R283" s="157">
        <v>0</v>
      </c>
      <c r="S283" s="157">
        <v>0</v>
      </c>
      <c r="T283" s="125">
        <v>0</v>
      </c>
      <c r="U283" s="125">
        <v>0</v>
      </c>
      <c r="V283" s="125">
        <v>0</v>
      </c>
      <c r="W283" s="125">
        <v>0</v>
      </c>
      <c r="X283" s="157">
        <v>0</v>
      </c>
      <c r="Y283" s="125">
        <v>0</v>
      </c>
      <c r="Z283" s="125">
        <v>0</v>
      </c>
      <c r="AA283" s="125">
        <v>0</v>
      </c>
      <c r="AB283" s="125">
        <v>0</v>
      </c>
      <c r="AC283" s="125">
        <v>73.48</v>
      </c>
      <c r="AD283" s="125">
        <v>0</v>
      </c>
      <c r="AE283" s="157">
        <v>0</v>
      </c>
      <c r="AF283" s="157">
        <v>0</v>
      </c>
      <c r="AG283" s="125">
        <v>0</v>
      </c>
      <c r="AH283" s="125">
        <v>0</v>
      </c>
      <c r="AI283" s="157">
        <v>0</v>
      </c>
      <c r="AJ283" s="157">
        <v>0</v>
      </c>
      <c r="AK283" s="157">
        <v>0</v>
      </c>
      <c r="AL283" s="125">
        <v>73.48</v>
      </c>
    </row>
    <row r="284" spans="1:38" s="117" customFormat="1" ht="15" customHeight="1" x14ac:dyDescent="0.2">
      <c r="A284" s="123" t="s">
        <v>564</v>
      </c>
      <c r="B284" s="124" t="s">
        <v>1295</v>
      </c>
      <c r="C284" s="157">
        <v>0</v>
      </c>
      <c r="D284" s="125">
        <v>0</v>
      </c>
      <c r="E284" s="157">
        <v>0</v>
      </c>
      <c r="F284" s="125">
        <v>0</v>
      </c>
      <c r="G284" s="157">
        <v>0</v>
      </c>
      <c r="H284" s="157">
        <v>0</v>
      </c>
      <c r="I284" s="157">
        <v>0</v>
      </c>
      <c r="J284" s="125">
        <v>0</v>
      </c>
      <c r="K284" s="125">
        <v>0</v>
      </c>
      <c r="L284" s="125">
        <v>0</v>
      </c>
      <c r="M284" s="157">
        <v>0</v>
      </c>
      <c r="N284" s="157">
        <v>0</v>
      </c>
      <c r="O284" s="157">
        <v>0</v>
      </c>
      <c r="P284" s="125">
        <v>0</v>
      </c>
      <c r="Q284" s="157">
        <v>0</v>
      </c>
      <c r="R284" s="157">
        <v>0</v>
      </c>
      <c r="S284" s="157">
        <v>0</v>
      </c>
      <c r="T284" s="125">
        <v>0</v>
      </c>
      <c r="U284" s="125">
        <v>0</v>
      </c>
      <c r="V284" s="125">
        <v>0</v>
      </c>
      <c r="W284" s="125">
        <v>0</v>
      </c>
      <c r="X284" s="157">
        <v>0</v>
      </c>
      <c r="Y284" s="125">
        <v>555.17999999999995</v>
      </c>
      <c r="Z284" s="125">
        <v>0</v>
      </c>
      <c r="AA284" s="125">
        <v>0</v>
      </c>
      <c r="AB284" s="125">
        <v>0</v>
      </c>
      <c r="AC284" s="125">
        <v>0</v>
      </c>
      <c r="AD284" s="125">
        <v>0</v>
      </c>
      <c r="AE284" s="157">
        <v>455.68</v>
      </c>
      <c r="AF284" s="157">
        <v>492.64</v>
      </c>
      <c r="AG284" s="125">
        <v>0</v>
      </c>
      <c r="AH284" s="125">
        <v>0</v>
      </c>
      <c r="AI284" s="157">
        <v>0</v>
      </c>
      <c r="AJ284" s="157">
        <v>0</v>
      </c>
      <c r="AK284" s="157">
        <v>0</v>
      </c>
      <c r="AL284" s="125">
        <v>1503.5</v>
      </c>
    </row>
    <row r="285" spans="1:38" s="117" customFormat="1" ht="15" customHeight="1" x14ac:dyDescent="0.2">
      <c r="A285" s="123" t="s">
        <v>497</v>
      </c>
      <c r="B285" s="124" t="s">
        <v>1294</v>
      </c>
      <c r="C285" s="157">
        <v>0</v>
      </c>
      <c r="D285" s="125">
        <v>0</v>
      </c>
      <c r="E285" s="157">
        <v>0</v>
      </c>
      <c r="F285" s="125">
        <v>0</v>
      </c>
      <c r="G285" s="157">
        <v>2</v>
      </c>
      <c r="H285" s="157">
        <v>0</v>
      </c>
      <c r="I285" s="157">
        <v>0</v>
      </c>
      <c r="J285" s="125">
        <v>0</v>
      </c>
      <c r="K285" s="125">
        <v>0</v>
      </c>
      <c r="L285" s="125">
        <v>0</v>
      </c>
      <c r="M285" s="157">
        <v>1405.07</v>
      </c>
      <c r="N285" s="157">
        <v>0</v>
      </c>
      <c r="O285" s="157">
        <v>0</v>
      </c>
      <c r="P285" s="125">
        <v>0</v>
      </c>
      <c r="Q285" s="157">
        <v>0</v>
      </c>
      <c r="R285" s="157">
        <v>0</v>
      </c>
      <c r="S285" s="157">
        <v>0</v>
      </c>
      <c r="T285" s="125">
        <v>0</v>
      </c>
      <c r="U285" s="125">
        <v>0</v>
      </c>
      <c r="V285" s="125">
        <v>-5.73</v>
      </c>
      <c r="W285" s="125">
        <v>0</v>
      </c>
      <c r="X285" s="157">
        <v>0</v>
      </c>
      <c r="Y285" s="125">
        <v>0</v>
      </c>
      <c r="Z285" s="125">
        <v>0</v>
      </c>
      <c r="AA285" s="125">
        <v>0</v>
      </c>
      <c r="AB285" s="125">
        <v>0</v>
      </c>
      <c r="AC285" s="125">
        <v>0</v>
      </c>
      <c r="AD285" s="125">
        <v>287.22000000000003</v>
      </c>
      <c r="AE285" s="157">
        <v>0</v>
      </c>
      <c r="AF285" s="157">
        <v>0</v>
      </c>
      <c r="AG285" s="125">
        <v>0</v>
      </c>
      <c r="AH285" s="125">
        <v>0</v>
      </c>
      <c r="AI285" s="157">
        <v>0</v>
      </c>
      <c r="AJ285" s="157">
        <v>0</v>
      </c>
      <c r="AK285" s="157">
        <v>0</v>
      </c>
      <c r="AL285" s="125">
        <v>1688.56</v>
      </c>
    </row>
    <row r="286" spans="1:38" s="117" customFormat="1" ht="15" customHeight="1" x14ac:dyDescent="0.2">
      <c r="A286" s="123" t="s">
        <v>322</v>
      </c>
      <c r="B286" s="124" t="s">
        <v>1293</v>
      </c>
      <c r="C286" s="157">
        <v>5465.92</v>
      </c>
      <c r="D286" s="125">
        <v>7204.79</v>
      </c>
      <c r="E286" s="157">
        <v>7344.45</v>
      </c>
      <c r="F286" s="125">
        <v>2151.9899999999998</v>
      </c>
      <c r="G286" s="157">
        <v>6241.25</v>
      </c>
      <c r="H286" s="157">
        <v>4617.38</v>
      </c>
      <c r="I286" s="157">
        <v>2548.29</v>
      </c>
      <c r="J286" s="125">
        <v>3095.28</v>
      </c>
      <c r="K286" s="125">
        <v>4848.29</v>
      </c>
      <c r="L286" s="125">
        <v>2622.73</v>
      </c>
      <c r="M286" s="157">
        <v>4659.6899999999996</v>
      </c>
      <c r="N286" s="157">
        <v>2582.34</v>
      </c>
      <c r="O286" s="157">
        <v>3915.43</v>
      </c>
      <c r="P286" s="125">
        <v>2493.83</v>
      </c>
      <c r="Q286" s="157">
        <v>1824.6</v>
      </c>
      <c r="R286" s="157">
        <v>5465.07</v>
      </c>
      <c r="S286" s="157">
        <v>2042.36</v>
      </c>
      <c r="T286" s="125">
        <v>2206.79</v>
      </c>
      <c r="U286" s="125">
        <v>3610.05</v>
      </c>
      <c r="V286" s="125">
        <v>4205.17</v>
      </c>
      <c r="W286" s="125">
        <v>7453.64</v>
      </c>
      <c r="X286" s="157">
        <v>5143.51</v>
      </c>
      <c r="Y286" s="125">
        <v>1792.78</v>
      </c>
      <c r="Z286" s="125">
        <v>1234.42</v>
      </c>
      <c r="AA286" s="125">
        <v>1447.54</v>
      </c>
      <c r="AB286" s="125">
        <v>2381.2199999999998</v>
      </c>
      <c r="AC286" s="125">
        <v>1558.13</v>
      </c>
      <c r="AD286" s="125">
        <v>1777.64</v>
      </c>
      <c r="AE286" s="157">
        <v>1666.61</v>
      </c>
      <c r="AF286" s="157">
        <v>522.71</v>
      </c>
      <c r="AG286" s="125">
        <v>1316.33</v>
      </c>
      <c r="AH286" s="125">
        <v>759.39</v>
      </c>
      <c r="AI286" s="157">
        <v>6036.39</v>
      </c>
      <c r="AJ286" s="157">
        <v>2231.0700000000002</v>
      </c>
      <c r="AK286" s="157">
        <v>3028.65</v>
      </c>
      <c r="AL286" s="125">
        <v>117495.73</v>
      </c>
    </row>
    <row r="287" spans="1:38" s="117" customFormat="1" ht="15" customHeight="1" x14ac:dyDescent="0.2">
      <c r="A287" s="123" t="s">
        <v>323</v>
      </c>
      <c r="B287" s="124" t="s">
        <v>1292</v>
      </c>
      <c r="C287" s="157">
        <v>0</v>
      </c>
      <c r="D287" s="125">
        <v>0</v>
      </c>
      <c r="E287" s="157">
        <v>0</v>
      </c>
      <c r="F287" s="125">
        <v>0</v>
      </c>
      <c r="G287" s="157">
        <v>61.98</v>
      </c>
      <c r="H287" s="157">
        <v>0</v>
      </c>
      <c r="I287" s="157">
        <v>1219</v>
      </c>
      <c r="J287" s="125">
        <v>5.78</v>
      </c>
      <c r="K287" s="125">
        <v>5871.27</v>
      </c>
      <c r="L287" s="125">
        <v>0</v>
      </c>
      <c r="M287" s="157">
        <v>0</v>
      </c>
      <c r="N287" s="157">
        <v>0</v>
      </c>
      <c r="O287" s="157">
        <v>0</v>
      </c>
      <c r="P287" s="125">
        <v>0</v>
      </c>
      <c r="Q287" s="157">
        <v>0</v>
      </c>
      <c r="R287" s="157">
        <v>0</v>
      </c>
      <c r="S287" s="157">
        <v>0</v>
      </c>
      <c r="T287" s="125">
        <v>0</v>
      </c>
      <c r="U287" s="125">
        <v>0</v>
      </c>
      <c r="V287" s="125">
        <v>0</v>
      </c>
      <c r="W287" s="125">
        <v>0</v>
      </c>
      <c r="X287" s="157">
        <v>-151.01</v>
      </c>
      <c r="Y287" s="125">
        <v>1425</v>
      </c>
      <c r="Z287" s="125">
        <v>0</v>
      </c>
      <c r="AA287" s="125">
        <v>0</v>
      </c>
      <c r="AB287" s="125">
        <v>0</v>
      </c>
      <c r="AC287" s="125">
        <v>782.9</v>
      </c>
      <c r="AD287" s="125">
        <v>0</v>
      </c>
      <c r="AE287" s="157">
        <v>1935.82</v>
      </c>
      <c r="AF287" s="157">
        <v>1705.27</v>
      </c>
      <c r="AG287" s="125">
        <v>0</v>
      </c>
      <c r="AH287" s="125">
        <v>403.94</v>
      </c>
      <c r="AI287" s="157">
        <v>0</v>
      </c>
      <c r="AJ287" s="157">
        <v>0</v>
      </c>
      <c r="AK287" s="157">
        <v>0</v>
      </c>
      <c r="AL287" s="125">
        <v>13259.95</v>
      </c>
    </row>
    <row r="288" spans="1:38" s="117" customFormat="1" ht="15" customHeight="1" x14ac:dyDescent="0.2">
      <c r="A288" s="123" t="s">
        <v>324</v>
      </c>
      <c r="B288" s="124" t="s">
        <v>1291</v>
      </c>
      <c r="C288" s="157">
        <v>5874.96</v>
      </c>
      <c r="D288" s="125">
        <v>0</v>
      </c>
      <c r="E288" s="157">
        <v>5874.96</v>
      </c>
      <c r="F288" s="125">
        <v>5874.96</v>
      </c>
      <c r="G288" s="157">
        <v>0</v>
      </c>
      <c r="H288" s="157">
        <v>5874.96</v>
      </c>
      <c r="I288" s="157">
        <v>0</v>
      </c>
      <c r="J288" s="125">
        <v>5874.96</v>
      </c>
      <c r="K288" s="125">
        <v>1890.52</v>
      </c>
      <c r="L288" s="125">
        <v>5874.96</v>
      </c>
      <c r="M288" s="157">
        <v>0</v>
      </c>
      <c r="N288" s="157">
        <v>5874.96</v>
      </c>
      <c r="O288" s="157">
        <v>5874.96</v>
      </c>
      <c r="P288" s="125">
        <v>0</v>
      </c>
      <c r="Q288" s="157">
        <v>0</v>
      </c>
      <c r="R288" s="157">
        <v>5874.96</v>
      </c>
      <c r="S288" s="157">
        <v>0</v>
      </c>
      <c r="T288" s="125">
        <v>0</v>
      </c>
      <c r="U288" s="125">
        <v>5874.96</v>
      </c>
      <c r="V288" s="125">
        <v>5874.96</v>
      </c>
      <c r="W288" s="125">
        <v>5874.96</v>
      </c>
      <c r="X288" s="157">
        <v>5874.96</v>
      </c>
      <c r="Y288" s="125">
        <v>0</v>
      </c>
      <c r="Z288" s="125">
        <v>0</v>
      </c>
      <c r="AA288" s="125">
        <v>5874.96</v>
      </c>
      <c r="AB288" s="125">
        <v>0</v>
      </c>
      <c r="AC288" s="125">
        <v>0</v>
      </c>
      <c r="AD288" s="125">
        <v>0</v>
      </c>
      <c r="AE288" s="157">
        <v>5874.96</v>
      </c>
      <c r="AF288" s="157">
        <v>0</v>
      </c>
      <c r="AG288" s="125">
        <v>5874.96</v>
      </c>
      <c r="AH288" s="125">
        <v>0</v>
      </c>
      <c r="AI288" s="157">
        <v>5874.96</v>
      </c>
      <c r="AJ288" s="157">
        <v>5874.96</v>
      </c>
      <c r="AK288" s="157">
        <v>5874.96</v>
      </c>
      <c r="AL288" s="125">
        <v>113514.76</v>
      </c>
    </row>
    <row r="289" spans="1:38" s="117" customFormat="1" ht="15" customHeight="1" x14ac:dyDescent="0.2">
      <c r="A289" s="123" t="s">
        <v>325</v>
      </c>
      <c r="B289" s="124" t="s">
        <v>1290</v>
      </c>
      <c r="C289" s="157">
        <v>419.64</v>
      </c>
      <c r="D289" s="125">
        <v>4235.34</v>
      </c>
      <c r="E289" s="157">
        <v>380.43</v>
      </c>
      <c r="F289" s="125">
        <v>378.63</v>
      </c>
      <c r="G289" s="157">
        <v>496.27</v>
      </c>
      <c r="H289" s="157">
        <v>1063.22</v>
      </c>
      <c r="I289" s="157">
        <v>438.77</v>
      </c>
      <c r="J289" s="125">
        <v>2399.5300000000002</v>
      </c>
      <c r="K289" s="125">
        <v>438.45</v>
      </c>
      <c r="L289" s="125">
        <v>464</v>
      </c>
      <c r="M289" s="157">
        <v>323.64999999999998</v>
      </c>
      <c r="N289" s="157">
        <v>610.04</v>
      </c>
      <c r="O289" s="157">
        <v>565.85</v>
      </c>
      <c r="P289" s="125">
        <v>38.090000000000003</v>
      </c>
      <c r="Q289" s="157">
        <v>1288.29</v>
      </c>
      <c r="R289" s="157">
        <v>354.36</v>
      </c>
      <c r="S289" s="157">
        <v>0</v>
      </c>
      <c r="T289" s="125">
        <v>2435.2199999999998</v>
      </c>
      <c r="U289" s="125">
        <v>1512.39</v>
      </c>
      <c r="V289" s="125">
        <v>147.15</v>
      </c>
      <c r="W289" s="125">
        <v>716.91</v>
      </c>
      <c r="X289" s="157">
        <v>151.38</v>
      </c>
      <c r="Y289" s="125">
        <v>375</v>
      </c>
      <c r="Z289" s="125">
        <v>1681.48</v>
      </c>
      <c r="AA289" s="125">
        <v>979.1</v>
      </c>
      <c r="AB289" s="125">
        <v>863</v>
      </c>
      <c r="AC289" s="125">
        <v>1782.33</v>
      </c>
      <c r="AD289" s="125">
        <v>2947.77</v>
      </c>
      <c r="AE289" s="157">
        <v>1591.99</v>
      </c>
      <c r="AF289" s="157">
        <v>948.67</v>
      </c>
      <c r="AG289" s="125">
        <v>1928.73</v>
      </c>
      <c r="AH289" s="125">
        <v>1419.65</v>
      </c>
      <c r="AI289" s="157">
        <v>1607.87</v>
      </c>
      <c r="AJ289" s="157">
        <v>0</v>
      </c>
      <c r="AK289" s="157">
        <v>464</v>
      </c>
      <c r="AL289" s="125">
        <v>35447.199999999997</v>
      </c>
    </row>
    <row r="290" spans="1:38" s="117" customFormat="1" ht="15" customHeight="1" x14ac:dyDescent="0.2">
      <c r="A290" s="123" t="s">
        <v>326</v>
      </c>
      <c r="B290" s="124" t="s">
        <v>1289</v>
      </c>
      <c r="C290" s="157">
        <v>799.44</v>
      </c>
      <c r="D290" s="125">
        <v>1391.91</v>
      </c>
      <c r="E290" s="157">
        <v>305.99</v>
      </c>
      <c r="F290" s="125">
        <v>118.83</v>
      </c>
      <c r="G290" s="157">
        <v>335.03</v>
      </c>
      <c r="H290" s="157">
        <v>854.59</v>
      </c>
      <c r="I290" s="157">
        <v>382.93</v>
      </c>
      <c r="J290" s="125">
        <v>949.94</v>
      </c>
      <c r="K290" s="125">
        <v>757.56</v>
      </c>
      <c r="L290" s="125">
        <v>295.39999999999998</v>
      </c>
      <c r="M290" s="157">
        <v>762.36</v>
      </c>
      <c r="N290" s="157">
        <v>128.13999999999999</v>
      </c>
      <c r="O290" s="157">
        <v>174.95</v>
      </c>
      <c r="P290" s="125">
        <v>609.29</v>
      </c>
      <c r="Q290" s="157">
        <v>401.38</v>
      </c>
      <c r="R290" s="157">
        <v>391.56</v>
      </c>
      <c r="S290" s="157">
        <v>225.16</v>
      </c>
      <c r="T290" s="125">
        <v>178.06</v>
      </c>
      <c r="U290" s="125">
        <v>1068.46</v>
      </c>
      <c r="V290" s="125">
        <v>1167.1400000000001</v>
      </c>
      <c r="W290" s="125">
        <v>213.95</v>
      </c>
      <c r="X290" s="157">
        <v>136.07</v>
      </c>
      <c r="Y290" s="125">
        <v>3249.89</v>
      </c>
      <c r="Z290" s="125">
        <v>976.98</v>
      </c>
      <c r="AA290" s="125">
        <v>117.75</v>
      </c>
      <c r="AB290" s="125">
        <v>425.98</v>
      </c>
      <c r="AC290" s="125">
        <v>358.97</v>
      </c>
      <c r="AD290" s="125">
        <v>735.3</v>
      </c>
      <c r="AE290" s="157">
        <v>588.96</v>
      </c>
      <c r="AF290" s="157">
        <v>506.38</v>
      </c>
      <c r="AG290" s="125">
        <v>2695.84</v>
      </c>
      <c r="AH290" s="125">
        <v>42.59</v>
      </c>
      <c r="AI290" s="157">
        <v>425.41</v>
      </c>
      <c r="AJ290" s="157">
        <v>373.66</v>
      </c>
      <c r="AK290" s="157">
        <v>65.75</v>
      </c>
      <c r="AL290" s="125">
        <v>22211.599999999999</v>
      </c>
    </row>
    <row r="291" spans="1:38" s="117" customFormat="1" ht="15" customHeight="1" x14ac:dyDescent="0.2">
      <c r="A291" s="123" t="s">
        <v>327</v>
      </c>
      <c r="B291" s="124" t="s">
        <v>1288</v>
      </c>
      <c r="C291" s="157">
        <v>3902.13</v>
      </c>
      <c r="D291" s="125">
        <v>1366.41</v>
      </c>
      <c r="E291" s="157">
        <v>2037.61</v>
      </c>
      <c r="F291" s="125">
        <v>976.59</v>
      </c>
      <c r="G291" s="157">
        <v>2565.84</v>
      </c>
      <c r="H291" s="157">
        <v>2153.21</v>
      </c>
      <c r="I291" s="157">
        <v>1201.92</v>
      </c>
      <c r="J291" s="125">
        <v>936.28</v>
      </c>
      <c r="K291" s="125">
        <v>1667.29</v>
      </c>
      <c r="L291" s="125">
        <v>271.25</v>
      </c>
      <c r="M291" s="157">
        <v>4483.71</v>
      </c>
      <c r="N291" s="157">
        <v>816.36</v>
      </c>
      <c r="O291" s="157">
        <v>563.84</v>
      </c>
      <c r="P291" s="125">
        <v>1961.29</v>
      </c>
      <c r="Q291" s="157">
        <v>2526.5700000000002</v>
      </c>
      <c r="R291" s="157">
        <v>1663.31</v>
      </c>
      <c r="S291" s="157">
        <v>1019.75</v>
      </c>
      <c r="T291" s="125">
        <v>1175</v>
      </c>
      <c r="U291" s="125">
        <v>1451.63</v>
      </c>
      <c r="V291" s="125">
        <v>1451.71</v>
      </c>
      <c r="W291" s="125">
        <v>677.61</v>
      </c>
      <c r="X291" s="157">
        <v>846.15</v>
      </c>
      <c r="Y291" s="125">
        <v>3329.97</v>
      </c>
      <c r="Z291" s="125">
        <v>1588.45</v>
      </c>
      <c r="AA291" s="125">
        <v>827.48</v>
      </c>
      <c r="AB291" s="125">
        <v>503.57</v>
      </c>
      <c r="AC291" s="125">
        <v>2415.21</v>
      </c>
      <c r="AD291" s="125">
        <v>6094.33</v>
      </c>
      <c r="AE291" s="157">
        <v>729.03</v>
      </c>
      <c r="AF291" s="157">
        <v>1158.24</v>
      </c>
      <c r="AG291" s="125">
        <v>5743.58</v>
      </c>
      <c r="AH291" s="125">
        <v>1014.71</v>
      </c>
      <c r="AI291" s="157">
        <v>1401.87</v>
      </c>
      <c r="AJ291" s="157">
        <v>3183.02</v>
      </c>
      <c r="AK291" s="157">
        <v>481.85</v>
      </c>
      <c r="AL291" s="125">
        <v>64186.77</v>
      </c>
    </row>
    <row r="292" spans="1:38" s="117" customFormat="1" ht="15" customHeight="1" x14ac:dyDescent="0.2">
      <c r="A292" s="123" t="s">
        <v>328</v>
      </c>
      <c r="B292" s="124" t="s">
        <v>1287</v>
      </c>
      <c r="C292" s="157">
        <v>859.28</v>
      </c>
      <c r="D292" s="125">
        <v>394.53</v>
      </c>
      <c r="E292" s="157">
        <v>436.81</v>
      </c>
      <c r="F292" s="125">
        <v>139.49</v>
      </c>
      <c r="G292" s="157">
        <v>879.19</v>
      </c>
      <c r="H292" s="157">
        <v>959.79</v>
      </c>
      <c r="I292" s="157">
        <v>448.89</v>
      </c>
      <c r="J292" s="125">
        <v>1653.51</v>
      </c>
      <c r="K292" s="125">
        <v>274.67</v>
      </c>
      <c r="L292" s="125">
        <v>249.94</v>
      </c>
      <c r="M292" s="157">
        <v>2374.8200000000002</v>
      </c>
      <c r="N292" s="157">
        <v>599.46</v>
      </c>
      <c r="O292" s="157">
        <v>570.4</v>
      </c>
      <c r="P292" s="125">
        <v>344.33</v>
      </c>
      <c r="Q292" s="157">
        <v>165.47</v>
      </c>
      <c r="R292" s="157">
        <v>149.76</v>
      </c>
      <c r="S292" s="157">
        <v>250.04</v>
      </c>
      <c r="T292" s="125">
        <v>200.53</v>
      </c>
      <c r="U292" s="125">
        <v>809.91</v>
      </c>
      <c r="V292" s="125">
        <v>-310.41000000000003</v>
      </c>
      <c r="W292" s="125">
        <v>167.18</v>
      </c>
      <c r="X292" s="157">
        <v>394.55</v>
      </c>
      <c r="Y292" s="125">
        <v>1104.78</v>
      </c>
      <c r="Z292" s="125">
        <v>418.09</v>
      </c>
      <c r="AA292" s="125">
        <v>605.84</v>
      </c>
      <c r="AB292" s="125">
        <v>185.85</v>
      </c>
      <c r="AC292" s="125">
        <v>944.41</v>
      </c>
      <c r="AD292" s="125">
        <v>3809.13</v>
      </c>
      <c r="AE292" s="157">
        <v>268.29000000000002</v>
      </c>
      <c r="AF292" s="157">
        <v>420.52</v>
      </c>
      <c r="AG292" s="125">
        <v>228.59</v>
      </c>
      <c r="AH292" s="125">
        <v>331.77</v>
      </c>
      <c r="AI292" s="157">
        <v>154.4</v>
      </c>
      <c r="AJ292" s="157">
        <v>1903.07</v>
      </c>
      <c r="AK292" s="157">
        <v>155.15</v>
      </c>
      <c r="AL292" s="125">
        <v>22542.03</v>
      </c>
    </row>
    <row r="293" spans="1:38" s="117" customFormat="1" ht="15" customHeight="1" x14ac:dyDescent="0.2">
      <c r="A293" s="123" t="s">
        <v>329</v>
      </c>
      <c r="B293" s="124" t="s">
        <v>1286</v>
      </c>
      <c r="C293" s="157">
        <v>0</v>
      </c>
      <c r="D293" s="125">
        <v>201.4</v>
      </c>
      <c r="E293" s="157">
        <v>0</v>
      </c>
      <c r="F293" s="125">
        <v>155.44</v>
      </c>
      <c r="G293" s="157">
        <v>801.86</v>
      </c>
      <c r="H293" s="157">
        <v>0</v>
      </c>
      <c r="I293" s="157">
        <v>0</v>
      </c>
      <c r="J293" s="125">
        <v>194.06</v>
      </c>
      <c r="K293" s="125">
        <v>0</v>
      </c>
      <c r="L293" s="125">
        <v>30.72</v>
      </c>
      <c r="M293" s="157">
        <v>224.61</v>
      </c>
      <c r="N293" s="157">
        <v>0</v>
      </c>
      <c r="O293" s="157">
        <v>67.16</v>
      </c>
      <c r="P293" s="125">
        <v>0</v>
      </c>
      <c r="Q293" s="157">
        <v>242.3</v>
      </c>
      <c r="R293" s="157">
        <v>69.959999999999994</v>
      </c>
      <c r="S293" s="157">
        <v>0</v>
      </c>
      <c r="T293" s="125">
        <v>1607.09</v>
      </c>
      <c r="U293" s="125">
        <v>443.74</v>
      </c>
      <c r="V293" s="125">
        <v>149.80000000000001</v>
      </c>
      <c r="W293" s="125">
        <v>300</v>
      </c>
      <c r="X293" s="157">
        <v>427.03</v>
      </c>
      <c r="Y293" s="125">
        <v>0</v>
      </c>
      <c r="Z293" s="125">
        <v>529.47</v>
      </c>
      <c r="AA293" s="125">
        <v>140.69</v>
      </c>
      <c r="AB293" s="125">
        <v>117.98</v>
      </c>
      <c r="AC293" s="125">
        <v>423.58</v>
      </c>
      <c r="AD293" s="125">
        <v>459.05</v>
      </c>
      <c r="AE293" s="157">
        <v>274.27</v>
      </c>
      <c r="AF293" s="157">
        <v>351.87</v>
      </c>
      <c r="AG293" s="125">
        <v>20.39</v>
      </c>
      <c r="AH293" s="125">
        <v>6.38</v>
      </c>
      <c r="AI293" s="157">
        <v>0</v>
      </c>
      <c r="AJ293" s="157">
        <v>451.06</v>
      </c>
      <c r="AK293" s="157">
        <v>144.55000000000001</v>
      </c>
      <c r="AL293" s="125">
        <v>7834.46</v>
      </c>
    </row>
    <row r="294" spans="1:38" s="117" customFormat="1" ht="15" customHeight="1" x14ac:dyDescent="0.2">
      <c r="A294" s="123" t="s">
        <v>330</v>
      </c>
      <c r="B294" s="124" t="s">
        <v>1285</v>
      </c>
      <c r="C294" s="157">
        <v>1173.33</v>
      </c>
      <c r="D294" s="125">
        <v>550</v>
      </c>
      <c r="E294" s="157">
        <v>178.5</v>
      </c>
      <c r="F294" s="125">
        <v>338</v>
      </c>
      <c r="G294" s="157">
        <v>398</v>
      </c>
      <c r="H294" s="157">
        <v>1458.46</v>
      </c>
      <c r="I294" s="157">
        <v>243.6</v>
      </c>
      <c r="J294" s="125">
        <v>357.95</v>
      </c>
      <c r="K294" s="125">
        <v>0</v>
      </c>
      <c r="L294" s="125">
        <v>23.91</v>
      </c>
      <c r="M294" s="157">
        <v>669.9</v>
      </c>
      <c r="N294" s="157">
        <v>338</v>
      </c>
      <c r="O294" s="157">
        <v>487.4</v>
      </c>
      <c r="P294" s="125">
        <v>204.15</v>
      </c>
      <c r="Q294" s="157">
        <v>951.27</v>
      </c>
      <c r="R294" s="157">
        <v>2405</v>
      </c>
      <c r="S294" s="157">
        <v>0</v>
      </c>
      <c r="T294" s="125">
        <v>866.52</v>
      </c>
      <c r="U294" s="125">
        <v>1552.6</v>
      </c>
      <c r="V294" s="125">
        <v>-61.43</v>
      </c>
      <c r="W294" s="125">
        <v>0</v>
      </c>
      <c r="X294" s="157">
        <v>375</v>
      </c>
      <c r="Y294" s="125">
        <v>3450</v>
      </c>
      <c r="Z294" s="125">
        <v>1345.37</v>
      </c>
      <c r="AA294" s="125">
        <v>360</v>
      </c>
      <c r="AB294" s="125">
        <v>-969.15</v>
      </c>
      <c r="AC294" s="125">
        <v>220</v>
      </c>
      <c r="AD294" s="125">
        <v>7484.73</v>
      </c>
      <c r="AE294" s="157">
        <v>1137.32</v>
      </c>
      <c r="AF294" s="157">
        <v>1429.32</v>
      </c>
      <c r="AG294" s="125">
        <v>176.28</v>
      </c>
      <c r="AH294" s="125">
        <v>221.46</v>
      </c>
      <c r="AI294" s="157">
        <v>220</v>
      </c>
      <c r="AJ294" s="157">
        <v>4007.23</v>
      </c>
      <c r="AK294" s="157">
        <v>222</v>
      </c>
      <c r="AL294" s="125">
        <v>31814.720000000001</v>
      </c>
    </row>
    <row r="295" spans="1:38" s="117" customFormat="1" ht="15" customHeight="1" x14ac:dyDescent="0.2">
      <c r="A295" s="123" t="s">
        <v>331</v>
      </c>
      <c r="B295" s="124" t="s">
        <v>1284</v>
      </c>
      <c r="C295" s="157">
        <v>16.66</v>
      </c>
      <c r="D295" s="125">
        <v>350</v>
      </c>
      <c r="E295" s="157">
        <v>71.66</v>
      </c>
      <c r="F295" s="125">
        <v>589.33000000000004</v>
      </c>
      <c r="G295" s="157">
        <v>2104.16</v>
      </c>
      <c r="H295" s="157">
        <v>400.3</v>
      </c>
      <c r="I295" s="157">
        <v>166.07</v>
      </c>
      <c r="J295" s="125">
        <v>436.52</v>
      </c>
      <c r="K295" s="125">
        <v>835</v>
      </c>
      <c r="L295" s="125">
        <v>0</v>
      </c>
      <c r="M295" s="157">
        <v>85</v>
      </c>
      <c r="N295" s="157">
        <v>-146.47</v>
      </c>
      <c r="O295" s="157">
        <v>503.98</v>
      </c>
      <c r="P295" s="125">
        <v>0</v>
      </c>
      <c r="Q295" s="157">
        <v>1001.87</v>
      </c>
      <c r="R295" s="157">
        <v>851.27</v>
      </c>
      <c r="S295" s="157">
        <v>150</v>
      </c>
      <c r="T295" s="125">
        <v>0</v>
      </c>
      <c r="U295" s="125">
        <v>165</v>
      </c>
      <c r="V295" s="125">
        <v>484.2</v>
      </c>
      <c r="W295" s="125">
        <v>3001.06</v>
      </c>
      <c r="X295" s="157">
        <v>335.93</v>
      </c>
      <c r="Y295" s="125">
        <v>73.08</v>
      </c>
      <c r="Z295" s="125">
        <v>0</v>
      </c>
      <c r="AA295" s="125">
        <v>41.28</v>
      </c>
      <c r="AB295" s="125">
        <v>350</v>
      </c>
      <c r="AC295" s="125">
        <v>802.14</v>
      </c>
      <c r="AD295" s="125">
        <v>5070.2700000000004</v>
      </c>
      <c r="AE295" s="157">
        <v>37.94</v>
      </c>
      <c r="AF295" s="157">
        <v>275.10000000000002</v>
      </c>
      <c r="AG295" s="125">
        <v>171.62</v>
      </c>
      <c r="AH295" s="125">
        <v>1991.97</v>
      </c>
      <c r="AI295" s="157">
        <v>640</v>
      </c>
      <c r="AJ295" s="157">
        <v>662.62</v>
      </c>
      <c r="AK295" s="157">
        <v>255.46</v>
      </c>
      <c r="AL295" s="125">
        <v>21773.02</v>
      </c>
    </row>
    <row r="296" spans="1:38" s="117" customFormat="1" ht="15" customHeight="1" x14ac:dyDescent="0.2">
      <c r="A296" s="123" t="s">
        <v>332</v>
      </c>
      <c r="B296" s="124" t="s">
        <v>1283</v>
      </c>
      <c r="C296" s="157">
        <v>237.29</v>
      </c>
      <c r="D296" s="125">
        <v>666.35</v>
      </c>
      <c r="E296" s="157">
        <v>250.87</v>
      </c>
      <c r="F296" s="125">
        <v>337.39</v>
      </c>
      <c r="G296" s="157">
        <v>771.14</v>
      </c>
      <c r="H296" s="157">
        <v>156.79</v>
      </c>
      <c r="I296" s="157">
        <v>0</v>
      </c>
      <c r="J296" s="125">
        <v>775.09</v>
      </c>
      <c r="K296" s="125">
        <v>2564.42</v>
      </c>
      <c r="L296" s="125">
        <v>31.79</v>
      </c>
      <c r="M296" s="157">
        <v>216.24</v>
      </c>
      <c r="N296" s="157">
        <v>411.8</v>
      </c>
      <c r="O296" s="157">
        <v>0</v>
      </c>
      <c r="P296" s="125">
        <v>441.38</v>
      </c>
      <c r="Q296" s="157">
        <v>165</v>
      </c>
      <c r="R296" s="157">
        <v>1110.31</v>
      </c>
      <c r="S296" s="157">
        <v>0</v>
      </c>
      <c r="T296" s="125">
        <v>0</v>
      </c>
      <c r="U296" s="125">
        <v>963</v>
      </c>
      <c r="V296" s="125">
        <v>12.68</v>
      </c>
      <c r="W296" s="125">
        <v>109.59</v>
      </c>
      <c r="X296" s="157">
        <v>248.05</v>
      </c>
      <c r="Y296" s="125">
        <v>0</v>
      </c>
      <c r="Z296" s="125">
        <v>-34.35</v>
      </c>
      <c r="AA296" s="125">
        <v>1018.88</v>
      </c>
      <c r="AB296" s="125">
        <v>1502.7</v>
      </c>
      <c r="AC296" s="125">
        <v>254.34</v>
      </c>
      <c r="AD296" s="125">
        <v>10</v>
      </c>
      <c r="AE296" s="157">
        <v>0</v>
      </c>
      <c r="AF296" s="157">
        <v>220</v>
      </c>
      <c r="AG296" s="125">
        <v>364.31</v>
      </c>
      <c r="AH296" s="125">
        <v>134.24</v>
      </c>
      <c r="AI296" s="157">
        <v>212.54</v>
      </c>
      <c r="AJ296" s="157">
        <v>1278.57</v>
      </c>
      <c r="AK296" s="157">
        <v>557.97</v>
      </c>
      <c r="AL296" s="125">
        <v>14988.38</v>
      </c>
    </row>
    <row r="297" spans="1:38" s="117" customFormat="1" ht="15" customHeight="1" x14ac:dyDescent="0.2">
      <c r="A297" s="123" t="s">
        <v>333</v>
      </c>
      <c r="B297" s="124" t="s">
        <v>1282</v>
      </c>
      <c r="C297" s="157">
        <v>402.63</v>
      </c>
      <c r="D297" s="125">
        <v>354.86</v>
      </c>
      <c r="E297" s="157">
        <v>326.3</v>
      </c>
      <c r="F297" s="125">
        <v>425.7</v>
      </c>
      <c r="G297" s="157">
        <v>1867.28</v>
      </c>
      <c r="H297" s="157">
        <v>742.21</v>
      </c>
      <c r="I297" s="157">
        <v>298.86</v>
      </c>
      <c r="J297" s="125">
        <v>697.05</v>
      </c>
      <c r="K297" s="125">
        <v>97.46</v>
      </c>
      <c r="L297" s="125">
        <v>818.01</v>
      </c>
      <c r="M297" s="157">
        <v>156.16</v>
      </c>
      <c r="N297" s="157">
        <v>837.7</v>
      </c>
      <c r="O297" s="157">
        <v>288.83</v>
      </c>
      <c r="P297" s="125">
        <v>-64.09</v>
      </c>
      <c r="Q297" s="157">
        <v>5805.7</v>
      </c>
      <c r="R297" s="157">
        <v>215.09</v>
      </c>
      <c r="S297" s="157">
        <v>670.84</v>
      </c>
      <c r="T297" s="125">
        <v>4417.03</v>
      </c>
      <c r="U297" s="125">
        <v>895.49</v>
      </c>
      <c r="V297" s="125">
        <v>430.14</v>
      </c>
      <c r="W297" s="125">
        <v>833.51</v>
      </c>
      <c r="X297" s="157">
        <v>1060.6199999999999</v>
      </c>
      <c r="Y297" s="125">
        <v>569.79</v>
      </c>
      <c r="Z297" s="125">
        <v>750.9</v>
      </c>
      <c r="AA297" s="125">
        <v>451.2</v>
      </c>
      <c r="AB297" s="125">
        <v>535.76</v>
      </c>
      <c r="AC297" s="125">
        <v>2071.2600000000002</v>
      </c>
      <c r="AD297" s="125">
        <v>1509.02</v>
      </c>
      <c r="AE297" s="157">
        <v>1156.46</v>
      </c>
      <c r="AF297" s="157">
        <v>866.72</v>
      </c>
      <c r="AG297" s="125">
        <v>478.39</v>
      </c>
      <c r="AH297" s="125">
        <v>1521.4</v>
      </c>
      <c r="AI297" s="157">
        <v>1534.81</v>
      </c>
      <c r="AJ297" s="157">
        <v>251.71</v>
      </c>
      <c r="AK297" s="157">
        <v>687.75</v>
      </c>
      <c r="AL297" s="125">
        <v>33962.550000000003</v>
      </c>
    </row>
    <row r="298" spans="1:38" s="117" customFormat="1" ht="15" customHeight="1" x14ac:dyDescent="0.2">
      <c r="A298" s="123" t="s">
        <v>334</v>
      </c>
      <c r="B298" s="124" t="s">
        <v>1281</v>
      </c>
      <c r="C298" s="157">
        <v>0</v>
      </c>
      <c r="D298" s="125">
        <v>0</v>
      </c>
      <c r="E298" s="157">
        <v>0</v>
      </c>
      <c r="F298" s="125">
        <v>790.56</v>
      </c>
      <c r="G298" s="157">
        <v>1275.1400000000001</v>
      </c>
      <c r="H298" s="157">
        <v>0</v>
      </c>
      <c r="I298" s="157">
        <v>0</v>
      </c>
      <c r="J298" s="125">
        <v>19.93</v>
      </c>
      <c r="K298" s="125">
        <v>0</v>
      </c>
      <c r="L298" s="125">
        <v>57.62</v>
      </c>
      <c r="M298" s="157">
        <v>657.6</v>
      </c>
      <c r="N298" s="157">
        <v>126.12</v>
      </c>
      <c r="O298" s="157">
        <v>0</v>
      </c>
      <c r="P298" s="125">
        <v>0</v>
      </c>
      <c r="Q298" s="157">
        <v>0</v>
      </c>
      <c r="R298" s="157">
        <v>21.62</v>
      </c>
      <c r="S298" s="157">
        <v>65</v>
      </c>
      <c r="T298" s="125">
        <v>0</v>
      </c>
      <c r="U298" s="125">
        <v>27.55</v>
      </c>
      <c r="V298" s="125">
        <v>1574.4</v>
      </c>
      <c r="W298" s="125">
        <v>0</v>
      </c>
      <c r="X298" s="157">
        <v>0</v>
      </c>
      <c r="Y298" s="125">
        <v>-222.35</v>
      </c>
      <c r="Z298" s="125">
        <v>0</v>
      </c>
      <c r="AA298" s="125">
        <v>0</v>
      </c>
      <c r="AB298" s="125">
        <v>0</v>
      </c>
      <c r="AC298" s="125">
        <v>0</v>
      </c>
      <c r="AD298" s="125">
        <v>0</v>
      </c>
      <c r="AE298" s="157">
        <v>38.11</v>
      </c>
      <c r="AF298" s="157">
        <v>0</v>
      </c>
      <c r="AG298" s="125">
        <v>71.88</v>
      </c>
      <c r="AH298" s="125">
        <v>0</v>
      </c>
      <c r="AI298" s="157">
        <v>0</v>
      </c>
      <c r="AJ298" s="157">
        <v>78.39</v>
      </c>
      <c r="AK298" s="157">
        <v>0</v>
      </c>
      <c r="AL298" s="125">
        <v>4581.57</v>
      </c>
    </row>
    <row r="299" spans="1:38" s="117" customFormat="1" ht="15" customHeight="1" x14ac:dyDescent="0.2">
      <c r="A299" s="123" t="s">
        <v>541</v>
      </c>
      <c r="B299" s="124" t="s">
        <v>1280</v>
      </c>
      <c r="C299" s="157">
        <v>225</v>
      </c>
      <c r="D299" s="125">
        <v>801</v>
      </c>
      <c r="E299" s="157">
        <v>257.23</v>
      </c>
      <c r="F299" s="125">
        <v>0</v>
      </c>
      <c r="G299" s="157">
        <v>0</v>
      </c>
      <c r="H299" s="157">
        <v>0</v>
      </c>
      <c r="I299" s="157">
        <v>0</v>
      </c>
      <c r="J299" s="125">
        <v>0</v>
      </c>
      <c r="K299" s="125">
        <v>0</v>
      </c>
      <c r="L299" s="125">
        <v>0</v>
      </c>
      <c r="M299" s="157">
        <v>433.55</v>
      </c>
      <c r="N299" s="157">
        <v>24.49</v>
      </c>
      <c r="O299" s="157">
        <v>0</v>
      </c>
      <c r="P299" s="125">
        <v>25.13</v>
      </c>
      <c r="Q299" s="157">
        <v>115.89</v>
      </c>
      <c r="R299" s="157">
        <v>0</v>
      </c>
      <c r="S299" s="157">
        <v>0</v>
      </c>
      <c r="T299" s="125">
        <v>0</v>
      </c>
      <c r="U299" s="125">
        <v>1131.82</v>
      </c>
      <c r="V299" s="125">
        <v>6286.59</v>
      </c>
      <c r="W299" s="125">
        <v>0</v>
      </c>
      <c r="X299" s="157">
        <v>0</v>
      </c>
      <c r="Y299" s="125">
        <v>0</v>
      </c>
      <c r="Z299" s="125">
        <v>0</v>
      </c>
      <c r="AA299" s="125">
        <v>0</v>
      </c>
      <c r="AB299" s="125">
        <v>37.97</v>
      </c>
      <c r="AC299" s="125">
        <v>0</v>
      </c>
      <c r="AD299" s="125">
        <v>75</v>
      </c>
      <c r="AE299" s="157">
        <v>0</v>
      </c>
      <c r="AF299" s="157">
        <v>0</v>
      </c>
      <c r="AG299" s="125">
        <v>0</v>
      </c>
      <c r="AH299" s="125">
        <v>0</v>
      </c>
      <c r="AI299" s="157">
        <v>0</v>
      </c>
      <c r="AJ299" s="157">
        <v>10993.12</v>
      </c>
      <c r="AK299" s="157">
        <v>0</v>
      </c>
      <c r="AL299" s="125">
        <v>20406.79</v>
      </c>
    </row>
    <row r="300" spans="1:38" s="117" customFormat="1" ht="15" customHeight="1" x14ac:dyDescent="0.2">
      <c r="A300" s="123" t="s">
        <v>1279</v>
      </c>
      <c r="B300" s="124" t="s">
        <v>1278</v>
      </c>
      <c r="C300" s="157">
        <v>0</v>
      </c>
      <c r="D300" s="125">
        <v>13.72</v>
      </c>
      <c r="E300" s="157">
        <v>0</v>
      </c>
      <c r="F300" s="125">
        <v>0</v>
      </c>
      <c r="G300" s="157">
        <v>92.6</v>
      </c>
      <c r="H300" s="157">
        <v>0</v>
      </c>
      <c r="I300" s="157">
        <v>0</v>
      </c>
      <c r="J300" s="125">
        <v>485</v>
      </c>
      <c r="K300" s="125">
        <v>0</v>
      </c>
      <c r="L300" s="125">
        <v>0</v>
      </c>
      <c r="M300" s="157">
        <v>0</v>
      </c>
      <c r="N300" s="157">
        <v>332.98</v>
      </c>
      <c r="O300" s="157">
        <v>0</v>
      </c>
      <c r="P300" s="125">
        <v>0</v>
      </c>
      <c r="Q300" s="157">
        <v>78.3</v>
      </c>
      <c r="R300" s="157">
        <v>90.62</v>
      </c>
      <c r="S300" s="157">
        <v>0</v>
      </c>
      <c r="T300" s="125">
        <v>0</v>
      </c>
      <c r="U300" s="125">
        <v>0</v>
      </c>
      <c r="V300" s="125">
        <v>0</v>
      </c>
      <c r="W300" s="125">
        <v>0</v>
      </c>
      <c r="X300" s="157">
        <v>62.46</v>
      </c>
      <c r="Y300" s="125">
        <v>84.24</v>
      </c>
      <c r="Z300" s="125">
        <v>0</v>
      </c>
      <c r="AA300" s="125">
        <v>0</v>
      </c>
      <c r="AB300" s="125">
        <v>0</v>
      </c>
      <c r="AC300" s="125">
        <v>0</v>
      </c>
      <c r="AD300" s="125">
        <v>115.76</v>
      </c>
      <c r="AE300" s="157">
        <v>0</v>
      </c>
      <c r="AF300" s="157">
        <v>685.52</v>
      </c>
      <c r="AG300" s="125">
        <v>19.18</v>
      </c>
      <c r="AH300" s="125">
        <v>0</v>
      </c>
      <c r="AI300" s="157">
        <v>0</v>
      </c>
      <c r="AJ300" s="157">
        <v>0</v>
      </c>
      <c r="AK300" s="157">
        <v>0</v>
      </c>
      <c r="AL300" s="125">
        <v>2060.38</v>
      </c>
    </row>
    <row r="301" spans="1:38" s="117" customFormat="1" ht="15" customHeight="1" x14ac:dyDescent="0.2">
      <c r="A301" s="123" t="s">
        <v>335</v>
      </c>
      <c r="B301" s="124" t="s">
        <v>1277</v>
      </c>
      <c r="C301" s="157">
        <v>644.38</v>
      </c>
      <c r="D301" s="125">
        <v>3729.58</v>
      </c>
      <c r="E301" s="157">
        <v>614.32000000000005</v>
      </c>
      <c r="F301" s="125">
        <v>2803.22</v>
      </c>
      <c r="G301" s="157">
        <v>2534.31</v>
      </c>
      <c r="H301" s="157">
        <v>613.79</v>
      </c>
      <c r="I301" s="157">
        <v>2141.06</v>
      </c>
      <c r="J301" s="125">
        <v>3498.58</v>
      </c>
      <c r="K301" s="125">
        <v>2803.29</v>
      </c>
      <c r="L301" s="125">
        <v>1464.23</v>
      </c>
      <c r="M301" s="157">
        <v>2037.71</v>
      </c>
      <c r="N301" s="157">
        <v>784.25</v>
      </c>
      <c r="O301" s="157">
        <v>3381.5</v>
      </c>
      <c r="P301" s="125">
        <v>1499.84</v>
      </c>
      <c r="Q301" s="157">
        <v>597.65</v>
      </c>
      <c r="R301" s="157">
        <v>1510.83</v>
      </c>
      <c r="S301" s="157">
        <v>1703.21</v>
      </c>
      <c r="T301" s="125">
        <v>1150.83</v>
      </c>
      <c r="U301" s="125">
        <v>2879.81</v>
      </c>
      <c r="V301" s="125">
        <v>1455.01</v>
      </c>
      <c r="W301" s="125">
        <v>1688.89</v>
      </c>
      <c r="X301" s="157">
        <v>2381.64</v>
      </c>
      <c r="Y301" s="125">
        <v>224.04</v>
      </c>
      <c r="Z301" s="125">
        <v>888.54</v>
      </c>
      <c r="AA301" s="125">
        <v>2283</v>
      </c>
      <c r="AB301" s="125">
        <v>3154.02</v>
      </c>
      <c r="AC301" s="125">
        <v>1285.26</v>
      </c>
      <c r="AD301" s="125">
        <v>417.95</v>
      </c>
      <c r="AE301" s="157">
        <v>846.66</v>
      </c>
      <c r="AF301" s="157">
        <v>1299.94</v>
      </c>
      <c r="AG301" s="125">
        <v>664.12</v>
      </c>
      <c r="AH301" s="125">
        <v>661.48</v>
      </c>
      <c r="AI301" s="157">
        <v>3431.39</v>
      </c>
      <c r="AJ301" s="157">
        <v>331.91</v>
      </c>
      <c r="AK301" s="157">
        <v>1808.02</v>
      </c>
      <c r="AL301" s="125">
        <v>59214.26</v>
      </c>
    </row>
    <row r="302" spans="1:38" s="117" customFormat="1" ht="15" customHeight="1" x14ac:dyDescent="0.2">
      <c r="A302" s="123" t="s">
        <v>336</v>
      </c>
      <c r="B302" s="124" t="s">
        <v>1276</v>
      </c>
      <c r="C302" s="157">
        <v>0</v>
      </c>
      <c r="D302" s="125">
        <v>0</v>
      </c>
      <c r="E302" s="157">
        <v>0</v>
      </c>
      <c r="F302" s="125">
        <v>0</v>
      </c>
      <c r="G302" s="157">
        <v>0</v>
      </c>
      <c r="H302" s="157">
        <v>0</v>
      </c>
      <c r="I302" s="157">
        <v>37.31</v>
      </c>
      <c r="J302" s="125">
        <v>0</v>
      </c>
      <c r="K302" s="125">
        <v>0</v>
      </c>
      <c r="L302" s="125">
        <v>0</v>
      </c>
      <c r="M302" s="157">
        <v>0</v>
      </c>
      <c r="N302" s="157">
        <v>0</v>
      </c>
      <c r="O302" s="157">
        <v>0</v>
      </c>
      <c r="P302" s="125">
        <v>0</v>
      </c>
      <c r="Q302" s="157">
        <v>0</v>
      </c>
      <c r="R302" s="157">
        <v>0</v>
      </c>
      <c r="S302" s="157">
        <v>0</v>
      </c>
      <c r="T302" s="125">
        <v>73.260000000000005</v>
      </c>
      <c r="U302" s="125">
        <v>0</v>
      </c>
      <c r="V302" s="125">
        <v>0</v>
      </c>
      <c r="W302" s="125">
        <v>0</v>
      </c>
      <c r="X302" s="157">
        <v>66.680000000000007</v>
      </c>
      <c r="Y302" s="125">
        <v>90.86</v>
      </c>
      <c r="Z302" s="125">
        <v>106.99</v>
      </c>
      <c r="AA302" s="125">
        <v>0</v>
      </c>
      <c r="AB302" s="125">
        <v>12.98</v>
      </c>
      <c r="AC302" s="125">
        <v>15.89</v>
      </c>
      <c r="AD302" s="125">
        <v>0</v>
      </c>
      <c r="AE302" s="157">
        <v>0</v>
      </c>
      <c r="AF302" s="157">
        <v>32.36</v>
      </c>
      <c r="AG302" s="125">
        <v>87.04</v>
      </c>
      <c r="AH302" s="125">
        <v>0</v>
      </c>
      <c r="AI302" s="157">
        <v>1096.0999999999999</v>
      </c>
      <c r="AJ302" s="157">
        <v>0</v>
      </c>
      <c r="AK302" s="157">
        <v>0</v>
      </c>
      <c r="AL302" s="125">
        <v>1619.47</v>
      </c>
    </row>
    <row r="303" spans="1:38" s="117" customFormat="1" ht="15" customHeight="1" x14ac:dyDescent="0.2">
      <c r="A303" s="123" t="s">
        <v>1275</v>
      </c>
      <c r="B303" s="124" t="s">
        <v>1274</v>
      </c>
      <c r="C303" s="157">
        <v>0</v>
      </c>
      <c r="D303" s="125">
        <v>0</v>
      </c>
      <c r="E303" s="157">
        <v>45.58</v>
      </c>
      <c r="F303" s="125">
        <v>0</v>
      </c>
      <c r="G303" s="157">
        <v>0</v>
      </c>
      <c r="H303" s="157">
        <v>0</v>
      </c>
      <c r="I303" s="157">
        <v>201.32</v>
      </c>
      <c r="J303" s="125">
        <v>0</v>
      </c>
      <c r="K303" s="125">
        <v>686.94</v>
      </c>
      <c r="L303" s="125">
        <v>0</v>
      </c>
      <c r="M303" s="157">
        <v>0</v>
      </c>
      <c r="N303" s="157">
        <v>0</v>
      </c>
      <c r="O303" s="157">
        <v>0</v>
      </c>
      <c r="P303" s="125">
        <v>55.28</v>
      </c>
      <c r="Q303" s="157">
        <v>39.17</v>
      </c>
      <c r="R303" s="157">
        <v>0</v>
      </c>
      <c r="S303" s="157">
        <v>0</v>
      </c>
      <c r="T303" s="125">
        <v>0</v>
      </c>
      <c r="U303" s="125">
        <v>0</v>
      </c>
      <c r="V303" s="125">
        <v>0</v>
      </c>
      <c r="W303" s="125">
        <v>0</v>
      </c>
      <c r="X303" s="157">
        <v>0</v>
      </c>
      <c r="Y303" s="125">
        <v>0</v>
      </c>
      <c r="Z303" s="125">
        <v>0</v>
      </c>
      <c r="AA303" s="125">
        <v>0</v>
      </c>
      <c r="AB303" s="125">
        <v>0</v>
      </c>
      <c r="AC303" s="125">
        <v>11.64</v>
      </c>
      <c r="AD303" s="125">
        <v>272.83999999999997</v>
      </c>
      <c r="AE303" s="157">
        <v>0</v>
      </c>
      <c r="AF303" s="157">
        <v>0</v>
      </c>
      <c r="AG303" s="125">
        <v>0</v>
      </c>
      <c r="AH303" s="125">
        <v>0</v>
      </c>
      <c r="AI303" s="157">
        <v>0</v>
      </c>
      <c r="AJ303" s="157">
        <v>0</v>
      </c>
      <c r="AK303" s="157">
        <v>0</v>
      </c>
      <c r="AL303" s="125">
        <v>1312.77</v>
      </c>
    </row>
    <row r="304" spans="1:38" s="117" customFormat="1" ht="15" customHeight="1" x14ac:dyDescent="0.2">
      <c r="A304" s="123" t="s">
        <v>1273</v>
      </c>
      <c r="B304" s="124" t="s">
        <v>1272</v>
      </c>
      <c r="C304" s="157">
        <v>0</v>
      </c>
      <c r="D304" s="125">
        <v>0</v>
      </c>
      <c r="E304" s="157">
        <v>0</v>
      </c>
      <c r="F304" s="125">
        <v>0</v>
      </c>
      <c r="G304" s="157">
        <v>0</v>
      </c>
      <c r="H304" s="157">
        <v>0</v>
      </c>
      <c r="I304" s="157">
        <v>0</v>
      </c>
      <c r="J304" s="125">
        <v>0</v>
      </c>
      <c r="K304" s="125">
        <v>0</v>
      </c>
      <c r="L304" s="125">
        <v>0</v>
      </c>
      <c r="M304" s="157">
        <v>0</v>
      </c>
      <c r="N304" s="157">
        <v>0</v>
      </c>
      <c r="O304" s="157">
        <v>0</v>
      </c>
      <c r="P304" s="125">
        <v>0</v>
      </c>
      <c r="Q304" s="157">
        <v>1465.74</v>
      </c>
      <c r="R304" s="157">
        <v>0</v>
      </c>
      <c r="S304" s="157">
        <v>0</v>
      </c>
      <c r="T304" s="125">
        <v>0</v>
      </c>
      <c r="U304" s="125">
        <v>0</v>
      </c>
      <c r="V304" s="125">
        <v>0</v>
      </c>
      <c r="W304" s="125">
        <v>0</v>
      </c>
      <c r="X304" s="157">
        <v>0</v>
      </c>
      <c r="Y304" s="125">
        <v>0</v>
      </c>
      <c r="Z304" s="125">
        <v>0</v>
      </c>
      <c r="AA304" s="125">
        <v>0</v>
      </c>
      <c r="AB304" s="125">
        <v>0</v>
      </c>
      <c r="AC304" s="125">
        <v>0</v>
      </c>
      <c r="AD304" s="125">
        <v>0</v>
      </c>
      <c r="AE304" s="157">
        <v>0</v>
      </c>
      <c r="AF304" s="157">
        <v>0</v>
      </c>
      <c r="AG304" s="125">
        <v>0</v>
      </c>
      <c r="AH304" s="125">
        <v>0</v>
      </c>
      <c r="AI304" s="157">
        <v>0</v>
      </c>
      <c r="AJ304" s="157">
        <v>0</v>
      </c>
      <c r="AK304" s="157">
        <v>0</v>
      </c>
      <c r="AL304" s="125">
        <v>1465.74</v>
      </c>
    </row>
    <row r="305" spans="1:38" s="117" customFormat="1" ht="15" customHeight="1" x14ac:dyDescent="0.2">
      <c r="A305" s="123" t="s">
        <v>1271</v>
      </c>
      <c r="B305" s="124" t="s">
        <v>1270</v>
      </c>
      <c r="C305" s="157">
        <v>0</v>
      </c>
      <c r="D305" s="125">
        <v>0</v>
      </c>
      <c r="E305" s="157">
        <v>0</v>
      </c>
      <c r="F305" s="125">
        <v>0</v>
      </c>
      <c r="G305" s="157">
        <v>0</v>
      </c>
      <c r="H305" s="157">
        <v>0</v>
      </c>
      <c r="I305" s="157">
        <v>0</v>
      </c>
      <c r="J305" s="125">
        <v>0</v>
      </c>
      <c r="K305" s="125">
        <v>0</v>
      </c>
      <c r="L305" s="125">
        <v>0</v>
      </c>
      <c r="M305" s="157">
        <v>0</v>
      </c>
      <c r="N305" s="157">
        <v>0</v>
      </c>
      <c r="O305" s="157">
        <v>0</v>
      </c>
      <c r="P305" s="125">
        <v>0</v>
      </c>
      <c r="Q305" s="157">
        <v>10.59</v>
      </c>
      <c r="R305" s="157">
        <v>0</v>
      </c>
      <c r="S305" s="157">
        <v>0</v>
      </c>
      <c r="T305" s="125">
        <v>0</v>
      </c>
      <c r="U305" s="125">
        <v>0</v>
      </c>
      <c r="V305" s="125">
        <v>0</v>
      </c>
      <c r="W305" s="125">
        <v>0</v>
      </c>
      <c r="X305" s="157">
        <v>0</v>
      </c>
      <c r="Y305" s="125">
        <v>0</v>
      </c>
      <c r="Z305" s="125">
        <v>0</v>
      </c>
      <c r="AA305" s="125">
        <v>0</v>
      </c>
      <c r="AB305" s="125">
        <v>0</v>
      </c>
      <c r="AC305" s="125">
        <v>0</v>
      </c>
      <c r="AD305" s="125">
        <v>0</v>
      </c>
      <c r="AE305" s="157">
        <v>0</v>
      </c>
      <c r="AF305" s="157">
        <v>0</v>
      </c>
      <c r="AG305" s="125">
        <v>0</v>
      </c>
      <c r="AH305" s="125">
        <v>0</v>
      </c>
      <c r="AI305" s="157">
        <v>0</v>
      </c>
      <c r="AJ305" s="157">
        <v>0</v>
      </c>
      <c r="AK305" s="157">
        <v>0</v>
      </c>
      <c r="AL305" s="125">
        <v>10.59</v>
      </c>
    </row>
    <row r="306" spans="1:38" s="117" customFormat="1" ht="15" customHeight="1" x14ac:dyDescent="0.2">
      <c r="A306" s="123" t="s">
        <v>498</v>
      </c>
      <c r="B306" s="124" t="s">
        <v>1269</v>
      </c>
      <c r="C306" s="157">
        <v>580</v>
      </c>
      <c r="D306" s="125">
        <v>435</v>
      </c>
      <c r="E306" s="157">
        <v>0</v>
      </c>
      <c r="F306" s="125">
        <v>0</v>
      </c>
      <c r="G306" s="157">
        <v>285</v>
      </c>
      <c r="H306" s="157">
        <v>585</v>
      </c>
      <c r="I306" s="157">
        <v>0</v>
      </c>
      <c r="J306" s="125">
        <v>375</v>
      </c>
      <c r="K306" s="125">
        <v>425</v>
      </c>
      <c r="L306" s="125">
        <v>0</v>
      </c>
      <c r="M306" s="157">
        <v>0</v>
      </c>
      <c r="N306" s="157">
        <v>0</v>
      </c>
      <c r="O306" s="157">
        <v>0</v>
      </c>
      <c r="P306" s="125">
        <v>0</v>
      </c>
      <c r="Q306" s="157">
        <v>0</v>
      </c>
      <c r="R306" s="157">
        <v>1025</v>
      </c>
      <c r="S306" s="157">
        <v>80</v>
      </c>
      <c r="T306" s="125">
        <v>0</v>
      </c>
      <c r="U306" s="125">
        <v>0</v>
      </c>
      <c r="V306" s="125">
        <v>0</v>
      </c>
      <c r="W306" s="125">
        <v>0</v>
      </c>
      <c r="X306" s="157">
        <v>0</v>
      </c>
      <c r="Y306" s="125">
        <v>0</v>
      </c>
      <c r="Z306" s="125">
        <v>0</v>
      </c>
      <c r="AA306" s="125">
        <v>855</v>
      </c>
      <c r="AB306" s="125">
        <v>0</v>
      </c>
      <c r="AC306" s="125">
        <v>0</v>
      </c>
      <c r="AD306" s="125">
        <v>185</v>
      </c>
      <c r="AE306" s="157">
        <v>0</v>
      </c>
      <c r="AF306" s="157">
        <v>0</v>
      </c>
      <c r="AG306" s="125">
        <v>0</v>
      </c>
      <c r="AH306" s="125">
        <v>0</v>
      </c>
      <c r="AI306" s="157">
        <v>0</v>
      </c>
      <c r="AJ306" s="157">
        <v>0</v>
      </c>
      <c r="AK306" s="157">
        <v>0</v>
      </c>
      <c r="AL306" s="125">
        <v>4830</v>
      </c>
    </row>
    <row r="307" spans="1:38" s="117" customFormat="1" ht="15" customHeight="1" x14ac:dyDescent="0.2">
      <c r="A307" s="123" t="s">
        <v>337</v>
      </c>
      <c r="B307" s="124" t="s">
        <v>1268</v>
      </c>
      <c r="C307" s="157">
        <v>50.54</v>
      </c>
      <c r="D307" s="125">
        <v>75</v>
      </c>
      <c r="E307" s="157">
        <v>0</v>
      </c>
      <c r="F307" s="125">
        <v>0</v>
      </c>
      <c r="G307" s="157">
        <v>452.31</v>
      </c>
      <c r="H307" s="157">
        <v>17.93</v>
      </c>
      <c r="I307" s="157">
        <v>56.32</v>
      </c>
      <c r="J307" s="125">
        <v>94.04</v>
      </c>
      <c r="K307" s="125">
        <v>1523.87</v>
      </c>
      <c r="L307" s="125">
        <v>7.57</v>
      </c>
      <c r="M307" s="157">
        <v>284.36</v>
      </c>
      <c r="N307" s="157">
        <v>35.909999999999997</v>
      </c>
      <c r="O307" s="157">
        <v>1358.95</v>
      </c>
      <c r="P307" s="125">
        <v>23.5</v>
      </c>
      <c r="Q307" s="157">
        <v>238.56</v>
      </c>
      <c r="R307" s="157">
        <v>1694.99</v>
      </c>
      <c r="S307" s="157">
        <v>241.43</v>
      </c>
      <c r="T307" s="125">
        <v>312.98</v>
      </c>
      <c r="U307" s="125">
        <v>2618</v>
      </c>
      <c r="V307" s="125">
        <v>2098.7399999999998</v>
      </c>
      <c r="W307" s="125">
        <v>197.4</v>
      </c>
      <c r="X307" s="157">
        <v>140.21</v>
      </c>
      <c r="Y307" s="125">
        <v>210.74</v>
      </c>
      <c r="Z307" s="125">
        <v>-330.56</v>
      </c>
      <c r="AA307" s="125">
        <v>951.7</v>
      </c>
      <c r="AB307" s="125">
        <v>533.20000000000005</v>
      </c>
      <c r="AC307" s="125">
        <v>69.930000000000007</v>
      </c>
      <c r="AD307" s="125">
        <v>1230.56</v>
      </c>
      <c r="AE307" s="157">
        <v>871.75</v>
      </c>
      <c r="AF307" s="157">
        <v>3468.89</v>
      </c>
      <c r="AG307" s="125">
        <v>2113.56</v>
      </c>
      <c r="AH307" s="125">
        <v>25.44</v>
      </c>
      <c r="AI307" s="157">
        <v>345.83</v>
      </c>
      <c r="AJ307" s="157">
        <v>264.56</v>
      </c>
      <c r="AK307" s="157">
        <v>112.5</v>
      </c>
      <c r="AL307" s="125">
        <v>21390.71</v>
      </c>
    </row>
    <row r="308" spans="1:38" s="117" customFormat="1" ht="15" customHeight="1" x14ac:dyDescent="0.2">
      <c r="A308" s="123" t="s">
        <v>338</v>
      </c>
      <c r="B308" s="124" t="s">
        <v>1267</v>
      </c>
      <c r="C308" s="157">
        <v>48.53</v>
      </c>
      <c r="D308" s="125">
        <v>74.099999999999994</v>
      </c>
      <c r="E308" s="157">
        <v>48.53</v>
      </c>
      <c r="F308" s="125">
        <v>0</v>
      </c>
      <c r="G308" s="157">
        <v>292.76</v>
      </c>
      <c r="H308" s="157">
        <v>0</v>
      </c>
      <c r="I308" s="157">
        <v>60.49</v>
      </c>
      <c r="J308" s="125">
        <v>225.63</v>
      </c>
      <c r="K308" s="125">
        <v>84.2</v>
      </c>
      <c r="L308" s="125">
        <v>0</v>
      </c>
      <c r="M308" s="157">
        <v>48.53</v>
      </c>
      <c r="N308" s="157">
        <v>247.2</v>
      </c>
      <c r="O308" s="157">
        <v>0</v>
      </c>
      <c r="P308" s="125">
        <v>48.53</v>
      </c>
      <c r="Q308" s="157">
        <v>152.61000000000001</v>
      </c>
      <c r="R308" s="157">
        <v>48.53</v>
      </c>
      <c r="S308" s="157">
        <v>48.53</v>
      </c>
      <c r="T308" s="125">
        <v>80.09</v>
      </c>
      <c r="U308" s="125">
        <v>278.95</v>
      </c>
      <c r="V308" s="125">
        <v>-24.1</v>
      </c>
      <c r="W308" s="125">
        <v>48.53</v>
      </c>
      <c r="X308" s="157">
        <v>48.53</v>
      </c>
      <c r="Y308" s="125">
        <v>600.45000000000005</v>
      </c>
      <c r="Z308" s="125">
        <v>41.47</v>
      </c>
      <c r="AA308" s="125">
        <v>0</v>
      </c>
      <c r="AB308" s="125">
        <v>48.53</v>
      </c>
      <c r="AC308" s="125">
        <v>344.54</v>
      </c>
      <c r="AD308" s="125">
        <v>48.53</v>
      </c>
      <c r="AE308" s="157">
        <v>48.53</v>
      </c>
      <c r="AF308" s="157">
        <v>48.53</v>
      </c>
      <c r="AG308" s="125">
        <v>0</v>
      </c>
      <c r="AH308" s="125">
        <v>48.53</v>
      </c>
      <c r="AI308" s="157">
        <v>0</v>
      </c>
      <c r="AJ308" s="157">
        <v>0</v>
      </c>
      <c r="AK308" s="157">
        <v>0</v>
      </c>
      <c r="AL308" s="125">
        <v>3089.28</v>
      </c>
    </row>
    <row r="309" spans="1:38" s="117" customFormat="1" ht="15" customHeight="1" x14ac:dyDescent="0.2">
      <c r="A309" s="123" t="s">
        <v>339</v>
      </c>
      <c r="B309" s="124" t="s">
        <v>1266</v>
      </c>
      <c r="C309" s="157">
        <v>2318.69</v>
      </c>
      <c r="D309" s="125">
        <v>1468.41</v>
      </c>
      <c r="E309" s="157">
        <v>2006.19</v>
      </c>
      <c r="F309" s="125">
        <v>1305.78</v>
      </c>
      <c r="G309" s="157">
        <v>1926.9</v>
      </c>
      <c r="H309" s="157">
        <v>1827.09</v>
      </c>
      <c r="I309" s="157">
        <v>2531.9</v>
      </c>
      <c r="J309" s="125">
        <v>1549.17</v>
      </c>
      <c r="K309" s="125">
        <v>2781.07</v>
      </c>
      <c r="L309" s="125">
        <v>1194.29</v>
      </c>
      <c r="M309" s="157">
        <v>2496.37</v>
      </c>
      <c r="N309" s="157">
        <v>2734.38</v>
      </c>
      <c r="O309" s="157">
        <v>2205.48</v>
      </c>
      <c r="P309" s="125">
        <v>1353.67</v>
      </c>
      <c r="Q309" s="157">
        <v>1065.0999999999999</v>
      </c>
      <c r="R309" s="157">
        <v>1652.4</v>
      </c>
      <c r="S309" s="157">
        <v>1053.8599999999999</v>
      </c>
      <c r="T309" s="125">
        <v>694.96</v>
      </c>
      <c r="U309" s="125">
        <v>1830.87</v>
      </c>
      <c r="V309" s="125">
        <v>769.91</v>
      </c>
      <c r="W309" s="125">
        <v>1630.89</v>
      </c>
      <c r="X309" s="157">
        <v>2069.83</v>
      </c>
      <c r="Y309" s="125">
        <v>1734.83</v>
      </c>
      <c r="Z309" s="125">
        <v>1994.42</v>
      </c>
      <c r="AA309" s="125">
        <v>1623.23</v>
      </c>
      <c r="AB309" s="125">
        <v>2068.6999999999998</v>
      </c>
      <c r="AC309" s="125">
        <v>1822.66</v>
      </c>
      <c r="AD309" s="125">
        <v>2161.65</v>
      </c>
      <c r="AE309" s="157">
        <v>1211.4100000000001</v>
      </c>
      <c r="AF309" s="157">
        <v>1601.99</v>
      </c>
      <c r="AG309" s="125">
        <v>1114.31</v>
      </c>
      <c r="AH309" s="125">
        <v>510.22</v>
      </c>
      <c r="AI309" s="157">
        <v>1732.06</v>
      </c>
      <c r="AJ309" s="157">
        <v>2074.2800000000002</v>
      </c>
      <c r="AK309" s="157">
        <v>1386.19</v>
      </c>
      <c r="AL309" s="125">
        <v>59503.16</v>
      </c>
    </row>
    <row r="310" spans="1:38" s="117" customFormat="1" ht="15" customHeight="1" x14ac:dyDescent="0.2">
      <c r="A310" s="123" t="s">
        <v>340</v>
      </c>
      <c r="B310" s="124" t="s">
        <v>1265</v>
      </c>
      <c r="C310" s="157">
        <v>27.27</v>
      </c>
      <c r="D310" s="125">
        <v>188.16</v>
      </c>
      <c r="E310" s="157">
        <v>0</v>
      </c>
      <c r="F310" s="125">
        <v>399.55</v>
      </c>
      <c r="G310" s="157">
        <v>337.69</v>
      </c>
      <c r="H310" s="157">
        <v>1189.6500000000001</v>
      </c>
      <c r="I310" s="157">
        <v>185.75</v>
      </c>
      <c r="J310" s="125">
        <v>967.13</v>
      </c>
      <c r="K310" s="125">
        <v>114.51</v>
      </c>
      <c r="L310" s="125">
        <v>107.85</v>
      </c>
      <c r="M310" s="157">
        <v>86.76</v>
      </c>
      <c r="N310" s="157">
        <v>49.22</v>
      </c>
      <c r="O310" s="157">
        <v>365.57</v>
      </c>
      <c r="P310" s="125">
        <v>6.61</v>
      </c>
      <c r="Q310" s="157">
        <v>156.96</v>
      </c>
      <c r="R310" s="157">
        <v>805.27</v>
      </c>
      <c r="S310" s="157">
        <v>-124.75</v>
      </c>
      <c r="T310" s="125">
        <v>173.46</v>
      </c>
      <c r="U310" s="125">
        <v>414.36</v>
      </c>
      <c r="V310" s="125">
        <v>145.58000000000001</v>
      </c>
      <c r="W310" s="125">
        <v>159</v>
      </c>
      <c r="X310" s="157">
        <v>490.45</v>
      </c>
      <c r="Y310" s="125">
        <v>-50.3</v>
      </c>
      <c r="Z310" s="125">
        <v>0</v>
      </c>
      <c r="AA310" s="125">
        <v>495.56</v>
      </c>
      <c r="AB310" s="125">
        <v>290.63</v>
      </c>
      <c r="AC310" s="125">
        <v>233.78</v>
      </c>
      <c r="AD310" s="125">
        <v>1035.26</v>
      </c>
      <c r="AE310" s="157">
        <v>19.43</v>
      </c>
      <c r="AF310" s="157">
        <v>470.52</v>
      </c>
      <c r="AG310" s="125">
        <v>372.53</v>
      </c>
      <c r="AH310" s="125">
        <v>629.14</v>
      </c>
      <c r="AI310" s="157">
        <v>576.21</v>
      </c>
      <c r="AJ310" s="157">
        <v>92.1</v>
      </c>
      <c r="AK310" s="157">
        <v>722.66</v>
      </c>
      <c r="AL310" s="125">
        <v>11133.57</v>
      </c>
    </row>
    <row r="311" spans="1:38" s="117" customFormat="1" ht="15" customHeight="1" x14ac:dyDescent="0.2">
      <c r="A311" s="123" t="s">
        <v>341</v>
      </c>
      <c r="B311" s="124" t="s">
        <v>1264</v>
      </c>
      <c r="C311" s="157">
        <v>250.07</v>
      </c>
      <c r="D311" s="125">
        <v>559.66</v>
      </c>
      <c r="E311" s="157">
        <v>127.6</v>
      </c>
      <c r="F311" s="125">
        <v>0</v>
      </c>
      <c r="G311" s="157">
        <v>32.380000000000003</v>
      </c>
      <c r="H311" s="157">
        <v>18.329999999999998</v>
      </c>
      <c r="I311" s="157">
        <v>337.55</v>
      </c>
      <c r="J311" s="125">
        <v>171.82</v>
      </c>
      <c r="K311" s="125">
        <v>494.88</v>
      </c>
      <c r="L311" s="125">
        <v>85.61</v>
      </c>
      <c r="M311" s="157">
        <v>144.69999999999999</v>
      </c>
      <c r="N311" s="157">
        <v>0</v>
      </c>
      <c r="O311" s="157">
        <v>94.76</v>
      </c>
      <c r="P311" s="125">
        <v>459.22</v>
      </c>
      <c r="Q311" s="157">
        <v>24.4</v>
      </c>
      <c r="R311" s="157">
        <v>0</v>
      </c>
      <c r="S311" s="157">
        <v>309.95999999999998</v>
      </c>
      <c r="T311" s="125">
        <v>0</v>
      </c>
      <c r="U311" s="125">
        <v>125.52</v>
      </c>
      <c r="V311" s="125">
        <v>181.98</v>
      </c>
      <c r="W311" s="125">
        <v>9.7100000000000009</v>
      </c>
      <c r="X311" s="157">
        <v>11.95</v>
      </c>
      <c r="Y311" s="125">
        <v>152.18</v>
      </c>
      <c r="Z311" s="125">
        <v>201.87</v>
      </c>
      <c r="AA311" s="125">
        <v>67.010000000000005</v>
      </c>
      <c r="AB311" s="125">
        <v>73.22</v>
      </c>
      <c r="AC311" s="125">
        <v>18.38</v>
      </c>
      <c r="AD311" s="125">
        <v>488.96</v>
      </c>
      <c r="AE311" s="157">
        <v>0</v>
      </c>
      <c r="AF311" s="157">
        <v>0</v>
      </c>
      <c r="AG311" s="125">
        <v>0</v>
      </c>
      <c r="AH311" s="125">
        <v>241.11</v>
      </c>
      <c r="AI311" s="157">
        <v>83.71</v>
      </c>
      <c r="AJ311" s="157">
        <v>0</v>
      </c>
      <c r="AK311" s="157">
        <v>7.97</v>
      </c>
      <c r="AL311" s="125">
        <v>4774.51</v>
      </c>
    </row>
    <row r="312" spans="1:38" s="117" customFormat="1" ht="15" customHeight="1" x14ac:dyDescent="0.2">
      <c r="A312" s="123" t="s">
        <v>342</v>
      </c>
      <c r="B312" s="124" t="s">
        <v>1263</v>
      </c>
      <c r="C312" s="157">
        <v>207.86</v>
      </c>
      <c r="D312" s="125">
        <v>639.66</v>
      </c>
      <c r="E312" s="157">
        <v>55.78</v>
      </c>
      <c r="F312" s="125">
        <v>26.4</v>
      </c>
      <c r="G312" s="157">
        <v>63.51</v>
      </c>
      <c r="H312" s="157">
        <v>314.64</v>
      </c>
      <c r="I312" s="157">
        <v>263.22000000000003</v>
      </c>
      <c r="J312" s="125">
        <v>206.02</v>
      </c>
      <c r="K312" s="125">
        <v>347.13</v>
      </c>
      <c r="L312" s="125">
        <v>125.82</v>
      </c>
      <c r="M312" s="157">
        <v>708.18</v>
      </c>
      <c r="N312" s="157">
        <v>74.55</v>
      </c>
      <c r="O312" s="157">
        <v>74.58</v>
      </c>
      <c r="P312" s="125">
        <v>43.63</v>
      </c>
      <c r="Q312" s="157">
        <v>0</v>
      </c>
      <c r="R312" s="157">
        <v>43.4</v>
      </c>
      <c r="S312" s="157">
        <v>0</v>
      </c>
      <c r="T312" s="125">
        <v>24.76</v>
      </c>
      <c r="U312" s="125">
        <v>124.65</v>
      </c>
      <c r="V312" s="125">
        <v>32.78</v>
      </c>
      <c r="W312" s="125">
        <v>0</v>
      </c>
      <c r="X312" s="157">
        <v>99.51</v>
      </c>
      <c r="Y312" s="125">
        <v>289</v>
      </c>
      <c r="Z312" s="125">
        <v>148.6</v>
      </c>
      <c r="AA312" s="125">
        <v>70.64</v>
      </c>
      <c r="AB312" s="125">
        <v>12.87</v>
      </c>
      <c r="AC312" s="125">
        <v>250.95</v>
      </c>
      <c r="AD312" s="125">
        <v>327.79</v>
      </c>
      <c r="AE312" s="157">
        <v>0</v>
      </c>
      <c r="AF312" s="157">
        <v>16.63</v>
      </c>
      <c r="AG312" s="125">
        <v>206.77</v>
      </c>
      <c r="AH312" s="125">
        <v>447.68</v>
      </c>
      <c r="AI312" s="157">
        <v>63.63</v>
      </c>
      <c r="AJ312" s="157">
        <v>204.47</v>
      </c>
      <c r="AK312" s="157">
        <v>26.11</v>
      </c>
      <c r="AL312" s="125">
        <v>5541.22</v>
      </c>
    </row>
    <row r="313" spans="1:38" s="117" customFormat="1" ht="15" customHeight="1" x14ac:dyDescent="0.2">
      <c r="A313" s="123" t="s">
        <v>499</v>
      </c>
      <c r="B313" s="124" t="s">
        <v>1262</v>
      </c>
      <c r="C313" s="157">
        <v>941.34</v>
      </c>
      <c r="D313" s="125">
        <v>0</v>
      </c>
      <c r="E313" s="157">
        <v>0</v>
      </c>
      <c r="F313" s="125">
        <v>0</v>
      </c>
      <c r="G313" s="157">
        <v>0</v>
      </c>
      <c r="H313" s="157">
        <v>1947.75</v>
      </c>
      <c r="I313" s="157">
        <v>0</v>
      </c>
      <c r="J313" s="125">
        <v>0</v>
      </c>
      <c r="K313" s="125">
        <v>0</v>
      </c>
      <c r="L313" s="125">
        <v>1232</v>
      </c>
      <c r="M313" s="157">
        <v>0</v>
      </c>
      <c r="N313" s="157">
        <v>0</v>
      </c>
      <c r="O313" s="157">
        <v>600</v>
      </c>
      <c r="P313" s="125">
        <v>448.21</v>
      </c>
      <c r="Q313" s="157">
        <v>0</v>
      </c>
      <c r="R313" s="157">
        <v>0</v>
      </c>
      <c r="S313" s="157">
        <v>192.49</v>
      </c>
      <c r="T313" s="125">
        <v>0</v>
      </c>
      <c r="U313" s="125">
        <v>769.18</v>
      </c>
      <c r="V313" s="125">
        <v>0</v>
      </c>
      <c r="W313" s="125">
        <v>0</v>
      </c>
      <c r="X313" s="157">
        <v>0</v>
      </c>
      <c r="Y313" s="125">
        <v>0</v>
      </c>
      <c r="Z313" s="125">
        <v>0</v>
      </c>
      <c r="AA313" s="125">
        <v>288.75</v>
      </c>
      <c r="AB313" s="125">
        <v>0</v>
      </c>
      <c r="AC313" s="125">
        <v>0</v>
      </c>
      <c r="AD313" s="125">
        <v>0</v>
      </c>
      <c r="AE313" s="157">
        <v>200</v>
      </c>
      <c r="AF313" s="157">
        <v>585</v>
      </c>
      <c r="AG313" s="125">
        <v>683.86</v>
      </c>
      <c r="AH313" s="125">
        <v>0</v>
      </c>
      <c r="AI313" s="157">
        <v>0</v>
      </c>
      <c r="AJ313" s="157">
        <v>288.75</v>
      </c>
      <c r="AK313" s="157">
        <v>0</v>
      </c>
      <c r="AL313" s="125">
        <v>8177.33</v>
      </c>
    </row>
    <row r="314" spans="1:38" s="117" customFormat="1" ht="15" customHeight="1" x14ac:dyDescent="0.2">
      <c r="A314" s="123" t="s">
        <v>343</v>
      </c>
      <c r="B314" s="124" t="s">
        <v>1261</v>
      </c>
      <c r="C314" s="157">
        <v>258.33</v>
      </c>
      <c r="D314" s="125">
        <v>252.12</v>
      </c>
      <c r="E314" s="157">
        <v>244.82</v>
      </c>
      <c r="F314" s="125">
        <v>95.89</v>
      </c>
      <c r="G314" s="157">
        <v>124.62</v>
      </c>
      <c r="H314" s="157">
        <v>165.34</v>
      </c>
      <c r="I314" s="157">
        <v>434.68</v>
      </c>
      <c r="J314" s="125">
        <v>93.01</v>
      </c>
      <c r="K314" s="125">
        <v>30.1</v>
      </c>
      <c r="L314" s="125">
        <v>57.12</v>
      </c>
      <c r="M314" s="157">
        <v>0</v>
      </c>
      <c r="N314" s="157">
        <v>32.78</v>
      </c>
      <c r="O314" s="157">
        <v>44.84</v>
      </c>
      <c r="P314" s="125">
        <v>11.63</v>
      </c>
      <c r="Q314" s="157">
        <v>112.73</v>
      </c>
      <c r="R314" s="157">
        <v>0</v>
      </c>
      <c r="S314" s="157">
        <v>0</v>
      </c>
      <c r="T314" s="125">
        <v>47.18</v>
      </c>
      <c r="U314" s="125">
        <v>13.79</v>
      </c>
      <c r="V314" s="125">
        <v>0</v>
      </c>
      <c r="W314" s="125">
        <v>6.99</v>
      </c>
      <c r="X314" s="157">
        <v>54.64</v>
      </c>
      <c r="Y314" s="125">
        <v>72.59</v>
      </c>
      <c r="Z314" s="125">
        <v>18.89</v>
      </c>
      <c r="AA314" s="125">
        <v>174.52</v>
      </c>
      <c r="AB314" s="125">
        <v>78.459999999999994</v>
      </c>
      <c r="AC314" s="125">
        <v>102.87</v>
      </c>
      <c r="AD314" s="125">
        <v>197.29</v>
      </c>
      <c r="AE314" s="157">
        <v>238.95</v>
      </c>
      <c r="AF314" s="157">
        <v>304.52</v>
      </c>
      <c r="AG314" s="125">
        <v>168.64</v>
      </c>
      <c r="AH314" s="125">
        <v>36.76</v>
      </c>
      <c r="AI314" s="157">
        <v>105.29</v>
      </c>
      <c r="AJ314" s="157">
        <v>0</v>
      </c>
      <c r="AK314" s="157">
        <v>83.75</v>
      </c>
      <c r="AL314" s="125">
        <v>3663.14</v>
      </c>
    </row>
    <row r="315" spans="1:38" s="117" customFormat="1" ht="15" customHeight="1" x14ac:dyDescent="0.2">
      <c r="A315" s="123" t="s">
        <v>344</v>
      </c>
      <c r="B315" s="124" t="s">
        <v>1260</v>
      </c>
      <c r="C315" s="157">
        <v>10299.32</v>
      </c>
      <c r="D315" s="125">
        <v>31215.31</v>
      </c>
      <c r="E315" s="157">
        <v>9633.9599999999991</v>
      </c>
      <c r="F315" s="125">
        <v>10741.92</v>
      </c>
      <c r="G315" s="157">
        <v>21795</v>
      </c>
      <c r="H315" s="157">
        <v>10800</v>
      </c>
      <c r="I315" s="157">
        <v>19513.84</v>
      </c>
      <c r="J315" s="125">
        <v>13550</v>
      </c>
      <c r="K315" s="125">
        <v>21263.64</v>
      </c>
      <c r="L315" s="125">
        <v>10774.92</v>
      </c>
      <c r="M315" s="157">
        <v>14259.75</v>
      </c>
      <c r="N315" s="157">
        <v>12676.51</v>
      </c>
      <c r="O315" s="157">
        <v>10903.92</v>
      </c>
      <c r="P315" s="125">
        <v>15678</v>
      </c>
      <c r="Q315" s="157">
        <v>15783</v>
      </c>
      <c r="R315" s="157">
        <v>9997.92</v>
      </c>
      <c r="S315" s="157">
        <v>15190.92</v>
      </c>
      <c r="T315" s="125">
        <v>18270</v>
      </c>
      <c r="U315" s="125">
        <v>13246.08</v>
      </c>
      <c r="V315" s="125">
        <v>16509.240000000002</v>
      </c>
      <c r="W315" s="125">
        <v>14533.92</v>
      </c>
      <c r="X315" s="157">
        <v>15600</v>
      </c>
      <c r="Y315" s="125">
        <v>12701.26</v>
      </c>
      <c r="Z315" s="125">
        <v>13126.26</v>
      </c>
      <c r="AA315" s="125">
        <v>9151.92</v>
      </c>
      <c r="AB315" s="125">
        <v>7607.04</v>
      </c>
      <c r="AC315" s="125">
        <v>20357.25</v>
      </c>
      <c r="AD315" s="125">
        <v>15796.1</v>
      </c>
      <c r="AE315" s="157">
        <v>4005</v>
      </c>
      <c r="AF315" s="157">
        <v>4005</v>
      </c>
      <c r="AG315" s="125">
        <v>11460</v>
      </c>
      <c r="AH315" s="125">
        <v>14505.5</v>
      </c>
      <c r="AI315" s="157">
        <v>11137.92</v>
      </c>
      <c r="AJ315" s="157">
        <v>13308</v>
      </c>
      <c r="AK315" s="157">
        <v>10503</v>
      </c>
      <c r="AL315" s="125">
        <v>479901.42</v>
      </c>
    </row>
    <row r="316" spans="1:38" s="117" customFormat="1" ht="15" customHeight="1" x14ac:dyDescent="0.2">
      <c r="A316" s="123" t="s">
        <v>345</v>
      </c>
      <c r="B316" s="124" t="s">
        <v>1259</v>
      </c>
      <c r="C316" s="157">
        <v>7072.59</v>
      </c>
      <c r="D316" s="125">
        <v>12997.85</v>
      </c>
      <c r="E316" s="157">
        <v>8298.2000000000007</v>
      </c>
      <c r="F316" s="125">
        <v>0</v>
      </c>
      <c r="G316" s="157">
        <v>13310.01</v>
      </c>
      <c r="H316" s="157">
        <v>6673.85</v>
      </c>
      <c r="I316" s="157">
        <v>5014.97</v>
      </c>
      <c r="J316" s="125">
        <v>6010.97</v>
      </c>
      <c r="K316" s="125">
        <v>7018.65</v>
      </c>
      <c r="L316" s="125">
        <v>11083.52</v>
      </c>
      <c r="M316" s="157">
        <v>9264.3700000000008</v>
      </c>
      <c r="N316" s="157">
        <v>7573.24</v>
      </c>
      <c r="O316" s="157">
        <v>0</v>
      </c>
      <c r="P316" s="125">
        <v>2480.94</v>
      </c>
      <c r="Q316" s="157">
        <v>26156.13</v>
      </c>
      <c r="R316" s="157">
        <v>1519</v>
      </c>
      <c r="S316" s="157">
        <v>1564.06</v>
      </c>
      <c r="T316" s="125">
        <v>10432.77</v>
      </c>
      <c r="U316" s="125">
        <v>19788.29</v>
      </c>
      <c r="V316" s="125">
        <v>6740.66</v>
      </c>
      <c r="W316" s="125">
        <v>3265.26</v>
      </c>
      <c r="X316" s="157">
        <v>5791.8</v>
      </c>
      <c r="Y316" s="125">
        <v>14290.18</v>
      </c>
      <c r="Z316" s="125">
        <v>6204.65</v>
      </c>
      <c r="AA316" s="125">
        <v>1000</v>
      </c>
      <c r="AB316" s="125">
        <v>2607</v>
      </c>
      <c r="AC316" s="125">
        <v>20478.97</v>
      </c>
      <c r="AD316" s="125">
        <v>25557.58</v>
      </c>
      <c r="AE316" s="157">
        <v>8819.75</v>
      </c>
      <c r="AF316" s="157">
        <v>10638.55</v>
      </c>
      <c r="AG316" s="125">
        <v>450</v>
      </c>
      <c r="AH316" s="125">
        <v>9781.93</v>
      </c>
      <c r="AI316" s="157">
        <v>367.95</v>
      </c>
      <c r="AJ316" s="157">
        <v>1740</v>
      </c>
      <c r="AK316" s="157">
        <v>500</v>
      </c>
      <c r="AL316" s="125">
        <v>274493.69</v>
      </c>
    </row>
    <row r="317" spans="1:38" s="117" customFormat="1" ht="15" customHeight="1" x14ac:dyDescent="0.2">
      <c r="A317" s="123" t="s">
        <v>1258</v>
      </c>
      <c r="B317" s="124" t="s">
        <v>1257</v>
      </c>
      <c r="C317" s="157">
        <v>1545</v>
      </c>
      <c r="D317" s="125">
        <v>5225.29</v>
      </c>
      <c r="E317" s="157">
        <v>1395</v>
      </c>
      <c r="F317" s="125">
        <v>1155</v>
      </c>
      <c r="G317" s="157">
        <v>1000</v>
      </c>
      <c r="H317" s="157">
        <v>2237.88</v>
      </c>
      <c r="I317" s="157">
        <v>1757.5</v>
      </c>
      <c r="J317" s="125">
        <v>2060</v>
      </c>
      <c r="K317" s="125">
        <v>10025.5</v>
      </c>
      <c r="L317" s="125">
        <v>5431</v>
      </c>
      <c r="M317" s="157">
        <v>4375</v>
      </c>
      <c r="N317" s="157">
        <v>4892</v>
      </c>
      <c r="O317" s="157">
        <v>570</v>
      </c>
      <c r="P317" s="125">
        <v>4463.75</v>
      </c>
      <c r="Q317" s="157">
        <v>2175</v>
      </c>
      <c r="R317" s="157">
        <v>1425</v>
      </c>
      <c r="S317" s="157">
        <v>4330</v>
      </c>
      <c r="T317" s="125">
        <v>10552.5</v>
      </c>
      <c r="U317" s="125">
        <v>5783</v>
      </c>
      <c r="V317" s="125">
        <v>4788</v>
      </c>
      <c r="W317" s="125">
        <v>570</v>
      </c>
      <c r="X317" s="157">
        <v>570</v>
      </c>
      <c r="Y317" s="125">
        <v>5926</v>
      </c>
      <c r="Z317" s="125">
        <v>10698.5</v>
      </c>
      <c r="AA317" s="125">
        <v>1730.06</v>
      </c>
      <c r="AB317" s="125">
        <v>245</v>
      </c>
      <c r="AC317" s="125">
        <v>3107.25</v>
      </c>
      <c r="AD317" s="125">
        <v>4202.75</v>
      </c>
      <c r="AE317" s="157">
        <v>275</v>
      </c>
      <c r="AF317" s="157">
        <v>275</v>
      </c>
      <c r="AG317" s="125">
        <v>1710</v>
      </c>
      <c r="AH317" s="125">
        <v>3018.25</v>
      </c>
      <c r="AI317" s="157">
        <v>1850</v>
      </c>
      <c r="AJ317" s="157">
        <v>855</v>
      </c>
      <c r="AK317" s="157">
        <v>570</v>
      </c>
      <c r="AL317" s="125">
        <v>110789.23</v>
      </c>
    </row>
    <row r="318" spans="1:38" s="117" customFormat="1" ht="15" customHeight="1" x14ac:dyDescent="0.2">
      <c r="A318" s="123" t="s">
        <v>1256</v>
      </c>
      <c r="B318" s="124" t="s">
        <v>1255</v>
      </c>
      <c r="C318" s="157">
        <v>0</v>
      </c>
      <c r="D318" s="125">
        <v>0</v>
      </c>
      <c r="E318" s="157">
        <v>0</v>
      </c>
      <c r="F318" s="125">
        <v>0</v>
      </c>
      <c r="G318" s="157">
        <v>0</v>
      </c>
      <c r="H318" s="157">
        <v>0</v>
      </c>
      <c r="I318" s="157">
        <v>0</v>
      </c>
      <c r="J318" s="125">
        <v>0</v>
      </c>
      <c r="K318" s="125">
        <v>0</v>
      </c>
      <c r="L318" s="125">
        <v>0</v>
      </c>
      <c r="M318" s="157">
        <v>0</v>
      </c>
      <c r="N318" s="157">
        <v>0</v>
      </c>
      <c r="O318" s="157">
        <v>0</v>
      </c>
      <c r="P318" s="125">
        <v>0</v>
      </c>
      <c r="Q318" s="157">
        <v>0</v>
      </c>
      <c r="R318" s="157">
        <v>0</v>
      </c>
      <c r="S318" s="157">
        <v>0</v>
      </c>
      <c r="T318" s="125">
        <v>0</v>
      </c>
      <c r="U318" s="125">
        <v>854.1</v>
      </c>
      <c r="V318" s="125">
        <v>0</v>
      </c>
      <c r="W318" s="125">
        <v>0</v>
      </c>
      <c r="X318" s="157">
        <v>0</v>
      </c>
      <c r="Y318" s="125">
        <v>0</v>
      </c>
      <c r="Z318" s="125">
        <v>0</v>
      </c>
      <c r="AA318" s="125">
        <v>0</v>
      </c>
      <c r="AB318" s="125">
        <v>0</v>
      </c>
      <c r="AC318" s="125">
        <v>0</v>
      </c>
      <c r="AD318" s="125">
        <v>0</v>
      </c>
      <c r="AE318" s="157">
        <v>0</v>
      </c>
      <c r="AF318" s="157">
        <v>0</v>
      </c>
      <c r="AG318" s="125">
        <v>0</v>
      </c>
      <c r="AH318" s="125">
        <v>0</v>
      </c>
      <c r="AI318" s="157">
        <v>0</v>
      </c>
      <c r="AJ318" s="157">
        <v>0</v>
      </c>
      <c r="AK318" s="157">
        <v>0</v>
      </c>
      <c r="AL318" s="125">
        <v>854.1</v>
      </c>
    </row>
    <row r="319" spans="1:38" s="117" customFormat="1" ht="15" customHeight="1" x14ac:dyDescent="0.2">
      <c r="A319" s="123" t="s">
        <v>346</v>
      </c>
      <c r="B319" s="124" t="s">
        <v>1254</v>
      </c>
      <c r="C319" s="157">
        <v>6170.85</v>
      </c>
      <c r="D319" s="125">
        <v>4835.2</v>
      </c>
      <c r="E319" s="157">
        <v>4168.55</v>
      </c>
      <c r="F319" s="125">
        <v>5146.57</v>
      </c>
      <c r="G319" s="157">
        <v>8623.4599999999991</v>
      </c>
      <c r="H319" s="157">
        <v>3996.8</v>
      </c>
      <c r="I319" s="157">
        <v>4644.8</v>
      </c>
      <c r="J319" s="125">
        <v>3928.81</v>
      </c>
      <c r="K319" s="125">
        <v>2859.6</v>
      </c>
      <c r="L319" s="125">
        <v>4691.6899999999996</v>
      </c>
      <c r="M319" s="157">
        <v>721.55</v>
      </c>
      <c r="N319" s="157">
        <v>4923.71</v>
      </c>
      <c r="O319" s="157">
        <v>2672.15</v>
      </c>
      <c r="P319" s="125">
        <v>3795.72</v>
      </c>
      <c r="Q319" s="157">
        <v>0</v>
      </c>
      <c r="R319" s="157">
        <v>5739.32</v>
      </c>
      <c r="S319" s="157">
        <v>4091.45</v>
      </c>
      <c r="T319" s="125">
        <v>0</v>
      </c>
      <c r="U319" s="125">
        <v>11334.63</v>
      </c>
      <c r="V319" s="125">
        <v>3188.41</v>
      </c>
      <c r="W319" s="125">
        <v>4419.0200000000004</v>
      </c>
      <c r="X319" s="157">
        <v>4078.06</v>
      </c>
      <c r="Y319" s="125">
        <v>6536.96</v>
      </c>
      <c r="Z319" s="125">
        <v>2568.12</v>
      </c>
      <c r="AA319" s="125">
        <v>4224.28</v>
      </c>
      <c r="AB319" s="125">
        <v>4157.87</v>
      </c>
      <c r="AC319" s="125">
        <v>0</v>
      </c>
      <c r="AD319" s="125">
        <v>0</v>
      </c>
      <c r="AE319" s="157">
        <v>3273.52</v>
      </c>
      <c r="AF319" s="157">
        <v>3146.8</v>
      </c>
      <c r="AG319" s="125">
        <v>9124.9</v>
      </c>
      <c r="AH319" s="125">
        <v>0</v>
      </c>
      <c r="AI319" s="157">
        <v>2605.9</v>
      </c>
      <c r="AJ319" s="157">
        <v>6560.75</v>
      </c>
      <c r="AK319" s="157">
        <v>4762.3</v>
      </c>
      <c r="AL319" s="125">
        <v>140991.75</v>
      </c>
    </row>
    <row r="320" spans="1:38" s="117" customFormat="1" ht="15" customHeight="1" x14ac:dyDescent="0.2">
      <c r="A320" s="123" t="s">
        <v>347</v>
      </c>
      <c r="B320" s="124" t="s">
        <v>1253</v>
      </c>
      <c r="C320" s="157">
        <v>3608.3</v>
      </c>
      <c r="D320" s="125">
        <v>6102.74</v>
      </c>
      <c r="E320" s="157">
        <v>3523.76</v>
      </c>
      <c r="F320" s="125">
        <v>1689</v>
      </c>
      <c r="G320" s="157">
        <v>2976.08</v>
      </c>
      <c r="H320" s="157">
        <v>5994.06</v>
      </c>
      <c r="I320" s="157">
        <v>2174.8000000000002</v>
      </c>
      <c r="J320" s="125">
        <v>2802.9</v>
      </c>
      <c r="K320" s="125">
        <v>6959</v>
      </c>
      <c r="L320" s="125">
        <v>3315.46</v>
      </c>
      <c r="M320" s="157">
        <v>2257.8000000000002</v>
      </c>
      <c r="N320" s="157">
        <v>2502.85</v>
      </c>
      <c r="O320" s="157">
        <v>5384.51</v>
      </c>
      <c r="P320" s="125">
        <v>2044.53</v>
      </c>
      <c r="Q320" s="157">
        <v>8378.3799999999992</v>
      </c>
      <c r="R320" s="157">
        <v>3480.25</v>
      </c>
      <c r="S320" s="157">
        <v>1624.73</v>
      </c>
      <c r="T320" s="125">
        <v>3022.63</v>
      </c>
      <c r="U320" s="125">
        <v>4533.17</v>
      </c>
      <c r="V320" s="125">
        <v>1497.1</v>
      </c>
      <c r="W320" s="125">
        <v>2025.96</v>
      </c>
      <c r="X320" s="157">
        <v>2155.25</v>
      </c>
      <c r="Y320" s="125">
        <v>3408.89</v>
      </c>
      <c r="Z320" s="125">
        <v>6262.22</v>
      </c>
      <c r="AA320" s="125">
        <v>6139</v>
      </c>
      <c r="AB320" s="125">
        <v>2424</v>
      </c>
      <c r="AC320" s="125">
        <v>8982.7800000000007</v>
      </c>
      <c r="AD320" s="125">
        <v>3908.51</v>
      </c>
      <c r="AE320" s="157">
        <v>1035.94</v>
      </c>
      <c r="AF320" s="157">
        <v>514.69000000000005</v>
      </c>
      <c r="AG320" s="125">
        <v>7489.4</v>
      </c>
      <c r="AH320" s="125">
        <v>2427.1</v>
      </c>
      <c r="AI320" s="157">
        <v>2994</v>
      </c>
      <c r="AJ320" s="157">
        <v>3797.88</v>
      </c>
      <c r="AK320" s="157">
        <v>4842.09</v>
      </c>
      <c r="AL320" s="125">
        <v>132279.76</v>
      </c>
    </row>
    <row r="321" spans="1:38" s="117" customFormat="1" ht="15" customHeight="1" x14ac:dyDescent="0.2">
      <c r="A321" s="123" t="s">
        <v>348</v>
      </c>
      <c r="B321" s="124" t="s">
        <v>1252</v>
      </c>
      <c r="C321" s="157">
        <v>0</v>
      </c>
      <c r="D321" s="125">
        <v>0</v>
      </c>
      <c r="E321" s="157">
        <v>0</v>
      </c>
      <c r="F321" s="125">
        <v>0</v>
      </c>
      <c r="G321" s="157">
        <v>2092.9499999999998</v>
      </c>
      <c r="H321" s="157">
        <v>0</v>
      </c>
      <c r="I321" s="157">
        <v>866.02</v>
      </c>
      <c r="J321" s="125">
        <v>0</v>
      </c>
      <c r="K321" s="125">
        <v>0</v>
      </c>
      <c r="L321" s="125">
        <v>583.79999999999995</v>
      </c>
      <c r="M321" s="157">
        <v>1544.42</v>
      </c>
      <c r="N321" s="157">
        <v>0</v>
      </c>
      <c r="O321" s="157">
        <v>3943.5</v>
      </c>
      <c r="P321" s="125">
        <v>4686</v>
      </c>
      <c r="Q321" s="157">
        <v>0</v>
      </c>
      <c r="R321" s="157">
        <v>514.1</v>
      </c>
      <c r="S321" s="157">
        <v>0</v>
      </c>
      <c r="T321" s="125">
        <v>0</v>
      </c>
      <c r="U321" s="125">
        <v>1151.7</v>
      </c>
      <c r="V321" s="125">
        <v>1165.1300000000001</v>
      </c>
      <c r="W321" s="125">
        <v>2122.44</v>
      </c>
      <c r="X321" s="157">
        <v>2093.25</v>
      </c>
      <c r="Y321" s="125">
        <v>0</v>
      </c>
      <c r="Z321" s="125">
        <v>0</v>
      </c>
      <c r="AA321" s="125">
        <v>473</v>
      </c>
      <c r="AB321" s="125">
        <v>0</v>
      </c>
      <c r="AC321" s="125">
        <v>0</v>
      </c>
      <c r="AD321" s="125">
        <v>0</v>
      </c>
      <c r="AE321" s="157">
        <v>22148</v>
      </c>
      <c r="AF321" s="157">
        <v>22148</v>
      </c>
      <c r="AG321" s="125">
        <v>0</v>
      </c>
      <c r="AH321" s="125">
        <v>125</v>
      </c>
      <c r="AI321" s="157">
        <v>156.88</v>
      </c>
      <c r="AJ321" s="157">
        <v>881.2</v>
      </c>
      <c r="AK321" s="157">
        <v>4302</v>
      </c>
      <c r="AL321" s="125">
        <v>70997.39</v>
      </c>
    </row>
    <row r="322" spans="1:38" s="117" customFormat="1" ht="15" customHeight="1" x14ac:dyDescent="0.2">
      <c r="A322" s="123" t="s">
        <v>563</v>
      </c>
      <c r="B322" s="124" t="s">
        <v>1251</v>
      </c>
      <c r="C322" s="157">
        <v>0</v>
      </c>
      <c r="D322" s="125">
        <v>0</v>
      </c>
      <c r="E322" s="157">
        <v>0</v>
      </c>
      <c r="F322" s="125">
        <v>0</v>
      </c>
      <c r="G322" s="157">
        <v>0</v>
      </c>
      <c r="H322" s="157">
        <v>0</v>
      </c>
      <c r="I322" s="157">
        <v>0</v>
      </c>
      <c r="J322" s="125">
        <v>2998.5</v>
      </c>
      <c r="K322" s="125">
        <v>0</v>
      </c>
      <c r="L322" s="125">
        <v>0</v>
      </c>
      <c r="M322" s="157">
        <v>0</v>
      </c>
      <c r="N322" s="157">
        <v>130</v>
      </c>
      <c r="O322" s="157">
        <v>0</v>
      </c>
      <c r="P322" s="125">
        <v>0</v>
      </c>
      <c r="Q322" s="157">
        <v>0</v>
      </c>
      <c r="R322" s="157">
        <v>0</v>
      </c>
      <c r="S322" s="157">
        <v>0</v>
      </c>
      <c r="T322" s="125">
        <v>0</v>
      </c>
      <c r="U322" s="125">
        <v>0</v>
      </c>
      <c r="V322" s="125">
        <v>0</v>
      </c>
      <c r="W322" s="125">
        <v>0</v>
      </c>
      <c r="X322" s="157">
        <v>0</v>
      </c>
      <c r="Y322" s="125">
        <v>782.5</v>
      </c>
      <c r="Z322" s="125">
        <v>309</v>
      </c>
      <c r="AA322" s="125">
        <v>0</v>
      </c>
      <c r="AB322" s="125">
        <v>0</v>
      </c>
      <c r="AC322" s="125">
        <v>306.49</v>
      </c>
      <c r="AD322" s="125">
        <v>0</v>
      </c>
      <c r="AE322" s="157">
        <v>0</v>
      </c>
      <c r="AF322" s="157">
        <v>0</v>
      </c>
      <c r="AG322" s="125">
        <v>0</v>
      </c>
      <c r="AH322" s="125">
        <v>0</v>
      </c>
      <c r="AI322" s="157">
        <v>0</v>
      </c>
      <c r="AJ322" s="157">
        <v>0</v>
      </c>
      <c r="AK322" s="157">
        <v>0</v>
      </c>
      <c r="AL322" s="125">
        <v>4526.49</v>
      </c>
    </row>
    <row r="323" spans="1:38" s="117" customFormat="1" ht="15" customHeight="1" x14ac:dyDescent="0.2">
      <c r="A323" s="123" t="s">
        <v>1397</v>
      </c>
      <c r="B323" s="124" t="s">
        <v>1443</v>
      </c>
      <c r="C323" s="157">
        <v>0</v>
      </c>
      <c r="D323" s="125">
        <v>0</v>
      </c>
      <c r="E323" s="157">
        <v>0</v>
      </c>
      <c r="F323" s="125">
        <v>0</v>
      </c>
      <c r="G323" s="157">
        <v>0</v>
      </c>
      <c r="H323" s="157">
        <v>0</v>
      </c>
      <c r="I323" s="157">
        <v>0</v>
      </c>
      <c r="J323" s="125">
        <v>0</v>
      </c>
      <c r="K323" s="125">
        <v>0</v>
      </c>
      <c r="L323" s="125">
        <v>0</v>
      </c>
      <c r="M323" s="157">
        <v>0</v>
      </c>
      <c r="N323" s="157">
        <v>0</v>
      </c>
      <c r="O323" s="157">
        <v>0</v>
      </c>
      <c r="P323" s="125">
        <v>0</v>
      </c>
      <c r="Q323" s="157">
        <v>0</v>
      </c>
      <c r="R323" s="157">
        <v>0</v>
      </c>
      <c r="S323" s="157">
        <v>0</v>
      </c>
      <c r="T323" s="125">
        <v>0</v>
      </c>
      <c r="U323" s="125">
        <v>0</v>
      </c>
      <c r="V323" s="125">
        <v>0</v>
      </c>
      <c r="W323" s="125">
        <v>0</v>
      </c>
      <c r="X323" s="157">
        <v>0</v>
      </c>
      <c r="Y323" s="125">
        <v>3179.99</v>
      </c>
      <c r="Z323" s="125">
        <v>0</v>
      </c>
      <c r="AA323" s="125">
        <v>0</v>
      </c>
      <c r="AB323" s="125">
        <v>0</v>
      </c>
      <c r="AC323" s="125">
        <v>0</v>
      </c>
      <c r="AD323" s="125">
        <v>0</v>
      </c>
      <c r="AE323" s="157">
        <v>0</v>
      </c>
      <c r="AF323" s="157">
        <v>0</v>
      </c>
      <c r="AG323" s="125">
        <v>0</v>
      </c>
      <c r="AH323" s="125">
        <v>0</v>
      </c>
      <c r="AI323" s="157">
        <v>0</v>
      </c>
      <c r="AJ323" s="157">
        <v>0</v>
      </c>
      <c r="AK323" s="157">
        <v>0</v>
      </c>
      <c r="AL323" s="125">
        <v>3179.99</v>
      </c>
    </row>
    <row r="324" spans="1:38" s="117" customFormat="1" ht="15" customHeight="1" x14ac:dyDescent="0.2">
      <c r="A324" s="123" t="s">
        <v>349</v>
      </c>
      <c r="B324" s="124" t="s">
        <v>1250</v>
      </c>
      <c r="C324" s="157">
        <v>1659</v>
      </c>
      <c r="D324" s="125">
        <v>2159.2199999999998</v>
      </c>
      <c r="E324" s="157">
        <v>3322</v>
      </c>
      <c r="F324" s="125">
        <v>6852</v>
      </c>
      <c r="G324" s="157">
        <v>6355.3</v>
      </c>
      <c r="H324" s="157">
        <v>6097</v>
      </c>
      <c r="I324" s="157">
        <v>3741.5</v>
      </c>
      <c r="J324" s="125">
        <v>2791.2</v>
      </c>
      <c r="K324" s="125">
        <v>2170.12</v>
      </c>
      <c r="L324" s="125">
        <v>12420.54</v>
      </c>
      <c r="M324" s="157">
        <v>2061</v>
      </c>
      <c r="N324" s="157">
        <v>3305</v>
      </c>
      <c r="O324" s="157">
        <v>3592.2</v>
      </c>
      <c r="P324" s="125">
        <v>2317.16</v>
      </c>
      <c r="Q324" s="157">
        <v>4482</v>
      </c>
      <c r="R324" s="157">
        <v>4809</v>
      </c>
      <c r="S324" s="157">
        <v>2317.16</v>
      </c>
      <c r="T324" s="125">
        <v>10367.86</v>
      </c>
      <c r="U324" s="125">
        <v>4501</v>
      </c>
      <c r="V324" s="125">
        <v>2047.12</v>
      </c>
      <c r="W324" s="125">
        <v>2573</v>
      </c>
      <c r="X324" s="157">
        <v>1997</v>
      </c>
      <c r="Y324" s="125">
        <v>5690</v>
      </c>
      <c r="Z324" s="125">
        <v>1886.72</v>
      </c>
      <c r="AA324" s="125">
        <v>1306.5999999999999</v>
      </c>
      <c r="AB324" s="125">
        <v>1470</v>
      </c>
      <c r="AC324" s="125">
        <v>4945</v>
      </c>
      <c r="AD324" s="125">
        <v>11334</v>
      </c>
      <c r="AE324" s="157">
        <v>5277</v>
      </c>
      <c r="AF324" s="157">
        <v>5763</v>
      </c>
      <c r="AG324" s="125">
        <v>2046</v>
      </c>
      <c r="AH324" s="125">
        <v>4154.3900000000003</v>
      </c>
      <c r="AI324" s="157">
        <v>4883.49</v>
      </c>
      <c r="AJ324" s="157">
        <v>2467</v>
      </c>
      <c r="AK324" s="157">
        <v>2660</v>
      </c>
      <c r="AL324" s="125">
        <v>145820.57999999999</v>
      </c>
    </row>
    <row r="325" spans="1:38" s="117" customFormat="1" ht="15" customHeight="1" x14ac:dyDescent="0.2">
      <c r="A325" s="123" t="s">
        <v>1249</v>
      </c>
      <c r="B325" s="124" t="s">
        <v>1248</v>
      </c>
      <c r="C325" s="157">
        <v>0</v>
      </c>
      <c r="D325" s="125">
        <v>0</v>
      </c>
      <c r="E325" s="157">
        <v>0</v>
      </c>
      <c r="F325" s="125">
        <v>0</v>
      </c>
      <c r="G325" s="157">
        <v>28.32</v>
      </c>
      <c r="H325" s="157">
        <v>0</v>
      </c>
      <c r="I325" s="157">
        <v>0</v>
      </c>
      <c r="J325" s="125">
        <v>0</v>
      </c>
      <c r="K325" s="125">
        <v>0</v>
      </c>
      <c r="L325" s="125">
        <v>0</v>
      </c>
      <c r="M325" s="157">
        <v>0</v>
      </c>
      <c r="N325" s="157">
        <v>0</v>
      </c>
      <c r="O325" s="157">
        <v>0</v>
      </c>
      <c r="P325" s="125">
        <v>0</v>
      </c>
      <c r="Q325" s="157">
        <v>0</v>
      </c>
      <c r="R325" s="157">
        <v>0</v>
      </c>
      <c r="S325" s="157">
        <v>0</v>
      </c>
      <c r="T325" s="125">
        <v>0</v>
      </c>
      <c r="U325" s="125">
        <v>0</v>
      </c>
      <c r="V325" s="125">
        <v>0</v>
      </c>
      <c r="W325" s="125">
        <v>0</v>
      </c>
      <c r="X325" s="157">
        <v>0</v>
      </c>
      <c r="Y325" s="125">
        <v>0</v>
      </c>
      <c r="Z325" s="125">
        <v>0</v>
      </c>
      <c r="AA325" s="125">
        <v>0</v>
      </c>
      <c r="AB325" s="125">
        <v>0</v>
      </c>
      <c r="AC325" s="125">
        <v>0</v>
      </c>
      <c r="AD325" s="125">
        <v>0</v>
      </c>
      <c r="AE325" s="157">
        <v>0</v>
      </c>
      <c r="AF325" s="157">
        <v>48.23</v>
      </c>
      <c r="AG325" s="125">
        <v>0</v>
      </c>
      <c r="AH325" s="125">
        <v>0</v>
      </c>
      <c r="AI325" s="157">
        <v>0</v>
      </c>
      <c r="AJ325" s="157">
        <v>0</v>
      </c>
      <c r="AK325" s="157">
        <v>0</v>
      </c>
      <c r="AL325" s="125">
        <v>76.55</v>
      </c>
    </row>
    <row r="326" spans="1:38" s="117" customFormat="1" ht="15" customHeight="1" x14ac:dyDescent="0.2">
      <c r="A326" s="123" t="s">
        <v>1247</v>
      </c>
      <c r="B326" s="124" t="s">
        <v>1246</v>
      </c>
      <c r="C326" s="157">
        <v>0</v>
      </c>
      <c r="D326" s="125">
        <v>0</v>
      </c>
      <c r="E326" s="157">
        <v>0</v>
      </c>
      <c r="F326" s="125">
        <v>0</v>
      </c>
      <c r="G326" s="157">
        <v>0</v>
      </c>
      <c r="H326" s="157">
        <v>0</v>
      </c>
      <c r="I326" s="157">
        <v>0</v>
      </c>
      <c r="J326" s="125">
        <v>0</v>
      </c>
      <c r="K326" s="125">
        <v>0</v>
      </c>
      <c r="L326" s="125">
        <v>0</v>
      </c>
      <c r="M326" s="157">
        <v>0</v>
      </c>
      <c r="N326" s="157">
        <v>0</v>
      </c>
      <c r="O326" s="157">
        <v>0</v>
      </c>
      <c r="P326" s="125">
        <v>839.47</v>
      </c>
      <c r="Q326" s="157">
        <v>0</v>
      </c>
      <c r="R326" s="157">
        <v>0</v>
      </c>
      <c r="S326" s="157">
        <v>0</v>
      </c>
      <c r="T326" s="125">
        <v>0</v>
      </c>
      <c r="U326" s="125">
        <v>0</v>
      </c>
      <c r="V326" s="125">
        <v>0</v>
      </c>
      <c r="W326" s="125">
        <v>0</v>
      </c>
      <c r="X326" s="157">
        <v>0</v>
      </c>
      <c r="Y326" s="125">
        <v>0</v>
      </c>
      <c r="Z326" s="125">
        <v>0</v>
      </c>
      <c r="AA326" s="125">
        <v>0</v>
      </c>
      <c r="AB326" s="125">
        <v>0</v>
      </c>
      <c r="AC326" s="125">
        <v>0</v>
      </c>
      <c r="AD326" s="125">
        <v>0</v>
      </c>
      <c r="AE326" s="157">
        <v>0</v>
      </c>
      <c r="AF326" s="157">
        <v>0</v>
      </c>
      <c r="AG326" s="125">
        <v>0</v>
      </c>
      <c r="AH326" s="125">
        <v>0</v>
      </c>
      <c r="AI326" s="157">
        <v>0</v>
      </c>
      <c r="AJ326" s="157">
        <v>0</v>
      </c>
      <c r="AK326" s="157">
        <v>0</v>
      </c>
      <c r="AL326" s="125">
        <v>839.47</v>
      </c>
    </row>
    <row r="327" spans="1:38" s="117" customFormat="1" ht="15" customHeight="1" x14ac:dyDescent="0.2">
      <c r="A327" s="123" t="s">
        <v>542</v>
      </c>
      <c r="B327" s="124" t="s">
        <v>1245</v>
      </c>
      <c r="C327" s="157">
        <v>0</v>
      </c>
      <c r="D327" s="125">
        <v>0</v>
      </c>
      <c r="E327" s="157">
        <v>0</v>
      </c>
      <c r="F327" s="125">
        <v>0</v>
      </c>
      <c r="G327" s="157">
        <v>810.92</v>
      </c>
      <c r="H327" s="157">
        <v>0</v>
      </c>
      <c r="I327" s="157">
        <v>0</v>
      </c>
      <c r="J327" s="125">
        <v>0</v>
      </c>
      <c r="K327" s="125">
        <v>0</v>
      </c>
      <c r="L327" s="125">
        <v>0</v>
      </c>
      <c r="M327" s="157">
        <v>0</v>
      </c>
      <c r="N327" s="157">
        <v>218</v>
      </c>
      <c r="O327" s="157">
        <v>0</v>
      </c>
      <c r="P327" s="125">
        <v>0</v>
      </c>
      <c r="Q327" s="157">
        <v>495</v>
      </c>
      <c r="R327" s="157">
        <v>3497.64</v>
      </c>
      <c r="S327" s="157">
        <v>255</v>
      </c>
      <c r="T327" s="125">
        <v>0</v>
      </c>
      <c r="U327" s="125">
        <v>0</v>
      </c>
      <c r="V327" s="125">
        <v>0</v>
      </c>
      <c r="W327" s="125">
        <v>0</v>
      </c>
      <c r="X327" s="157">
        <v>0</v>
      </c>
      <c r="Y327" s="125">
        <v>0</v>
      </c>
      <c r="Z327" s="125">
        <v>0</v>
      </c>
      <c r="AA327" s="125">
        <v>0</v>
      </c>
      <c r="AB327" s="125">
        <v>1250</v>
      </c>
      <c r="AC327" s="125">
        <v>0</v>
      </c>
      <c r="AD327" s="125">
        <v>0</v>
      </c>
      <c r="AE327" s="157">
        <v>0</v>
      </c>
      <c r="AF327" s="157">
        <v>0</v>
      </c>
      <c r="AG327" s="125">
        <v>0</v>
      </c>
      <c r="AH327" s="125">
        <v>0</v>
      </c>
      <c r="AI327" s="157">
        <v>0</v>
      </c>
      <c r="AJ327" s="157">
        <v>0</v>
      </c>
      <c r="AK327" s="157">
        <v>0</v>
      </c>
      <c r="AL327" s="125">
        <v>6526.56</v>
      </c>
    </row>
    <row r="328" spans="1:38" s="117" customFormat="1" ht="15" customHeight="1" x14ac:dyDescent="0.2">
      <c r="A328" s="123" t="s">
        <v>562</v>
      </c>
      <c r="B328" s="124" t="s">
        <v>1244</v>
      </c>
      <c r="C328" s="157">
        <v>599</v>
      </c>
      <c r="D328" s="125">
        <v>0</v>
      </c>
      <c r="E328" s="157">
        <v>623</v>
      </c>
      <c r="F328" s="125">
        <v>0</v>
      </c>
      <c r="G328" s="157">
        <v>0</v>
      </c>
      <c r="H328" s="157">
        <v>0</v>
      </c>
      <c r="I328" s="157">
        <v>0</v>
      </c>
      <c r="J328" s="125">
        <v>0</v>
      </c>
      <c r="K328" s="125">
        <v>0</v>
      </c>
      <c r="L328" s="125">
        <v>0</v>
      </c>
      <c r="M328" s="157">
        <v>0</v>
      </c>
      <c r="N328" s="157">
        <v>0</v>
      </c>
      <c r="O328" s="157">
        <v>0</v>
      </c>
      <c r="P328" s="125">
        <v>685</v>
      </c>
      <c r="Q328" s="157">
        <v>0</v>
      </c>
      <c r="R328" s="157">
        <v>0</v>
      </c>
      <c r="S328" s="157">
        <v>0</v>
      </c>
      <c r="T328" s="125">
        <v>0</v>
      </c>
      <c r="U328" s="125">
        <v>225</v>
      </c>
      <c r="V328" s="125">
        <v>0</v>
      </c>
      <c r="W328" s="125">
        <v>0</v>
      </c>
      <c r="X328" s="157">
        <v>0</v>
      </c>
      <c r="Y328" s="125">
        <v>766.43</v>
      </c>
      <c r="Z328" s="125">
        <v>0</v>
      </c>
      <c r="AA328" s="125">
        <v>0</v>
      </c>
      <c r="AB328" s="125">
        <v>0</v>
      </c>
      <c r="AC328" s="125">
        <v>0</v>
      </c>
      <c r="AD328" s="125">
        <v>0</v>
      </c>
      <c r="AE328" s="157">
        <v>0</v>
      </c>
      <c r="AF328" s="157">
        <v>0</v>
      </c>
      <c r="AG328" s="125">
        <v>742.5</v>
      </c>
      <c r="AH328" s="125">
        <v>0</v>
      </c>
      <c r="AI328" s="157">
        <v>52.58</v>
      </c>
      <c r="AJ328" s="157">
        <v>0</v>
      </c>
      <c r="AK328" s="157">
        <v>0</v>
      </c>
      <c r="AL328" s="125">
        <v>3693.51</v>
      </c>
    </row>
    <row r="329" spans="1:38" s="117" customFormat="1" ht="15" customHeight="1" x14ac:dyDescent="0.2">
      <c r="A329" s="123" t="s">
        <v>543</v>
      </c>
      <c r="B329" s="124" t="s">
        <v>1243</v>
      </c>
      <c r="C329" s="157">
        <v>0</v>
      </c>
      <c r="D329" s="125">
        <v>0</v>
      </c>
      <c r="E329" s="157">
        <v>0</v>
      </c>
      <c r="F329" s="125">
        <v>0</v>
      </c>
      <c r="G329" s="157">
        <v>0</v>
      </c>
      <c r="H329" s="157">
        <v>0</v>
      </c>
      <c r="I329" s="157">
        <v>0</v>
      </c>
      <c r="J329" s="125">
        <v>0</v>
      </c>
      <c r="K329" s="125">
        <v>0</v>
      </c>
      <c r="L329" s="125">
        <v>0</v>
      </c>
      <c r="M329" s="157">
        <v>0</v>
      </c>
      <c r="N329" s="157">
        <v>0</v>
      </c>
      <c r="O329" s="157">
        <v>0</v>
      </c>
      <c r="P329" s="125">
        <v>0</v>
      </c>
      <c r="Q329" s="157">
        <v>19241.5</v>
      </c>
      <c r="R329" s="157">
        <v>0</v>
      </c>
      <c r="S329" s="157">
        <v>0</v>
      </c>
      <c r="T329" s="125">
        <v>0</v>
      </c>
      <c r="U329" s="125">
        <v>0</v>
      </c>
      <c r="V329" s="125">
        <v>0</v>
      </c>
      <c r="W329" s="125">
        <v>0</v>
      </c>
      <c r="X329" s="157">
        <v>0</v>
      </c>
      <c r="Y329" s="125">
        <v>0</v>
      </c>
      <c r="Z329" s="125">
        <v>0</v>
      </c>
      <c r="AA329" s="125">
        <v>0</v>
      </c>
      <c r="AB329" s="125">
        <v>0</v>
      </c>
      <c r="AC329" s="125">
        <v>0</v>
      </c>
      <c r="AD329" s="125">
        <v>0</v>
      </c>
      <c r="AE329" s="157">
        <v>0</v>
      </c>
      <c r="AF329" s="157">
        <v>0</v>
      </c>
      <c r="AG329" s="125">
        <v>0</v>
      </c>
      <c r="AH329" s="125">
        <v>0</v>
      </c>
      <c r="AI329" s="157">
        <v>0</v>
      </c>
      <c r="AJ329" s="157">
        <v>0</v>
      </c>
      <c r="AK329" s="157">
        <v>0</v>
      </c>
      <c r="AL329" s="125">
        <v>19241.5</v>
      </c>
    </row>
    <row r="330" spans="1:38" s="117" customFormat="1" ht="15" customHeight="1" x14ac:dyDescent="0.2">
      <c r="A330" s="123" t="s">
        <v>544</v>
      </c>
      <c r="B330" s="124" t="s">
        <v>1242</v>
      </c>
      <c r="C330" s="157">
        <v>0</v>
      </c>
      <c r="D330" s="125">
        <v>0</v>
      </c>
      <c r="E330" s="157">
        <v>0</v>
      </c>
      <c r="F330" s="125">
        <v>0</v>
      </c>
      <c r="G330" s="157">
        <v>0</v>
      </c>
      <c r="H330" s="157">
        <v>0</v>
      </c>
      <c r="I330" s="157">
        <v>0</v>
      </c>
      <c r="J330" s="125">
        <v>0</v>
      </c>
      <c r="K330" s="125">
        <v>0</v>
      </c>
      <c r="L330" s="125">
        <v>0</v>
      </c>
      <c r="M330" s="157">
        <v>0</v>
      </c>
      <c r="N330" s="157">
        <v>0</v>
      </c>
      <c r="O330" s="157">
        <v>1050</v>
      </c>
      <c r="P330" s="125">
        <v>0</v>
      </c>
      <c r="Q330" s="157">
        <v>1004.6</v>
      </c>
      <c r="R330" s="157">
        <v>1659</v>
      </c>
      <c r="S330" s="157">
        <v>0</v>
      </c>
      <c r="T330" s="125">
        <v>0</v>
      </c>
      <c r="U330" s="125">
        <v>0</v>
      </c>
      <c r="V330" s="125">
        <v>0</v>
      </c>
      <c r="W330" s="125">
        <v>0</v>
      </c>
      <c r="X330" s="157">
        <v>0</v>
      </c>
      <c r="Y330" s="125">
        <v>2243.85</v>
      </c>
      <c r="Z330" s="125">
        <v>0</v>
      </c>
      <c r="AA330" s="125">
        <v>0</v>
      </c>
      <c r="AB330" s="125">
        <v>0</v>
      </c>
      <c r="AC330" s="125">
        <v>1253.53</v>
      </c>
      <c r="AD330" s="125">
        <v>139.91999999999999</v>
      </c>
      <c r="AE330" s="157">
        <v>23061.39</v>
      </c>
      <c r="AF330" s="157">
        <v>23061.39</v>
      </c>
      <c r="AG330" s="125">
        <v>0</v>
      </c>
      <c r="AH330" s="125">
        <v>184.32</v>
      </c>
      <c r="AI330" s="157">
        <v>0</v>
      </c>
      <c r="AJ330" s="157">
        <v>0</v>
      </c>
      <c r="AK330" s="157">
        <v>0</v>
      </c>
      <c r="AL330" s="125">
        <v>53658</v>
      </c>
    </row>
    <row r="331" spans="1:38" s="117" customFormat="1" ht="15" customHeight="1" x14ac:dyDescent="0.2">
      <c r="A331" s="123" t="s">
        <v>350</v>
      </c>
      <c r="B331" s="124" t="s">
        <v>1241</v>
      </c>
      <c r="C331" s="157">
        <v>3393.88</v>
      </c>
      <c r="D331" s="125">
        <v>1202.74</v>
      </c>
      <c r="E331" s="157">
        <v>1075</v>
      </c>
      <c r="F331" s="125">
        <v>3421.63</v>
      </c>
      <c r="G331" s="157">
        <v>4250</v>
      </c>
      <c r="H331" s="157">
        <v>2162.48</v>
      </c>
      <c r="I331" s="157">
        <v>974.9</v>
      </c>
      <c r="J331" s="125">
        <v>825</v>
      </c>
      <c r="K331" s="125">
        <v>0</v>
      </c>
      <c r="L331" s="125">
        <v>0</v>
      </c>
      <c r="M331" s="157">
        <v>975.2</v>
      </c>
      <c r="N331" s="157">
        <v>1125</v>
      </c>
      <c r="O331" s="157">
        <v>0</v>
      </c>
      <c r="P331" s="125">
        <v>466.4</v>
      </c>
      <c r="Q331" s="157">
        <v>0</v>
      </c>
      <c r="R331" s="157">
        <v>0</v>
      </c>
      <c r="S331" s="157">
        <v>402.8</v>
      </c>
      <c r="T331" s="125">
        <v>2120</v>
      </c>
      <c r="U331" s="125">
        <v>3599.72</v>
      </c>
      <c r="V331" s="125">
        <v>2275</v>
      </c>
      <c r="W331" s="125">
        <v>950</v>
      </c>
      <c r="X331" s="157">
        <v>1528.96</v>
      </c>
      <c r="Y331" s="125">
        <v>2136</v>
      </c>
      <c r="Z331" s="125">
        <v>0</v>
      </c>
      <c r="AA331" s="125">
        <v>0</v>
      </c>
      <c r="AB331" s="125">
        <v>0</v>
      </c>
      <c r="AC331" s="125">
        <v>2190.1</v>
      </c>
      <c r="AD331" s="125">
        <v>2518.9</v>
      </c>
      <c r="AE331" s="157">
        <v>1875</v>
      </c>
      <c r="AF331" s="157">
        <v>2075</v>
      </c>
      <c r="AG331" s="125">
        <v>500</v>
      </c>
      <c r="AH331" s="125">
        <v>1600</v>
      </c>
      <c r="AI331" s="157">
        <v>2250</v>
      </c>
      <c r="AJ331" s="157">
        <v>2463.15</v>
      </c>
      <c r="AK331" s="157">
        <v>0</v>
      </c>
      <c r="AL331" s="125">
        <v>48356.86</v>
      </c>
    </row>
    <row r="332" spans="1:38" s="117" customFormat="1" ht="15" customHeight="1" x14ac:dyDescent="0.2">
      <c r="A332" s="123" t="s">
        <v>648</v>
      </c>
      <c r="B332" s="124" t="s">
        <v>1240</v>
      </c>
      <c r="C332" s="157">
        <v>0</v>
      </c>
      <c r="D332" s="125">
        <v>17.489999999999998</v>
      </c>
      <c r="E332" s="157">
        <v>0</v>
      </c>
      <c r="F332" s="125">
        <v>0</v>
      </c>
      <c r="G332" s="157">
        <v>0</v>
      </c>
      <c r="H332" s="157">
        <v>0</v>
      </c>
      <c r="I332" s="157">
        <v>0</v>
      </c>
      <c r="J332" s="125">
        <v>0</v>
      </c>
      <c r="K332" s="125">
        <v>0</v>
      </c>
      <c r="L332" s="125">
        <v>0</v>
      </c>
      <c r="M332" s="157">
        <v>0</v>
      </c>
      <c r="N332" s="157">
        <v>0</v>
      </c>
      <c r="O332" s="157">
        <v>0</v>
      </c>
      <c r="P332" s="125">
        <v>0</v>
      </c>
      <c r="Q332" s="157">
        <v>0</v>
      </c>
      <c r="R332" s="157">
        <v>0</v>
      </c>
      <c r="S332" s="157">
        <v>0</v>
      </c>
      <c r="T332" s="125">
        <v>0</v>
      </c>
      <c r="U332" s="125">
        <v>0</v>
      </c>
      <c r="V332" s="125">
        <v>0</v>
      </c>
      <c r="W332" s="125">
        <v>0</v>
      </c>
      <c r="X332" s="157">
        <v>0</v>
      </c>
      <c r="Y332" s="125">
        <v>0</v>
      </c>
      <c r="Z332" s="125">
        <v>0</v>
      </c>
      <c r="AA332" s="125">
        <v>0</v>
      </c>
      <c r="AB332" s="125">
        <v>0</v>
      </c>
      <c r="AC332" s="125">
        <v>92.79</v>
      </c>
      <c r="AD332" s="125">
        <v>0</v>
      </c>
      <c r="AE332" s="157">
        <v>0</v>
      </c>
      <c r="AF332" s="157">
        <v>0</v>
      </c>
      <c r="AG332" s="125">
        <v>0</v>
      </c>
      <c r="AH332" s="125">
        <v>0</v>
      </c>
      <c r="AI332" s="157">
        <v>0</v>
      </c>
      <c r="AJ332" s="157">
        <v>0</v>
      </c>
      <c r="AK332" s="157">
        <v>0</v>
      </c>
      <c r="AL332" s="125">
        <v>110.28</v>
      </c>
    </row>
    <row r="333" spans="1:38" s="117" customFormat="1" ht="15" customHeight="1" x14ac:dyDescent="0.2">
      <c r="A333" s="123" t="s">
        <v>351</v>
      </c>
      <c r="B333" s="124" t="s">
        <v>1239</v>
      </c>
      <c r="C333" s="157">
        <v>0</v>
      </c>
      <c r="D333" s="125">
        <v>0</v>
      </c>
      <c r="E333" s="157">
        <v>0</v>
      </c>
      <c r="F333" s="125">
        <v>0</v>
      </c>
      <c r="G333" s="157">
        <v>0</v>
      </c>
      <c r="H333" s="157">
        <v>0</v>
      </c>
      <c r="I333" s="157">
        <v>275</v>
      </c>
      <c r="J333" s="125">
        <v>0</v>
      </c>
      <c r="K333" s="125">
        <v>0</v>
      </c>
      <c r="L333" s="125">
        <v>465</v>
      </c>
      <c r="M333" s="157">
        <v>0</v>
      </c>
      <c r="N333" s="157">
        <v>1525</v>
      </c>
      <c r="O333" s="157">
        <v>0</v>
      </c>
      <c r="P333" s="125">
        <v>0</v>
      </c>
      <c r="Q333" s="157">
        <v>576.5</v>
      </c>
      <c r="R333" s="157">
        <v>186.06</v>
      </c>
      <c r="S333" s="157">
        <v>0</v>
      </c>
      <c r="T333" s="125">
        <v>2195.8000000000002</v>
      </c>
      <c r="U333" s="125">
        <v>910</v>
      </c>
      <c r="V333" s="125">
        <v>17.329999999999998</v>
      </c>
      <c r="W333" s="125">
        <v>498.86</v>
      </c>
      <c r="X333" s="157">
        <v>279.33999999999997</v>
      </c>
      <c r="Y333" s="125">
        <v>475</v>
      </c>
      <c r="Z333" s="125">
        <v>0</v>
      </c>
      <c r="AA333" s="125">
        <v>0</v>
      </c>
      <c r="AB333" s="125">
        <v>0</v>
      </c>
      <c r="AC333" s="125">
        <v>1391.98</v>
      </c>
      <c r="AD333" s="125">
        <v>101.9</v>
      </c>
      <c r="AE333" s="157">
        <v>154.19999999999999</v>
      </c>
      <c r="AF333" s="157">
        <v>472.3</v>
      </c>
      <c r="AG333" s="125">
        <v>268.95</v>
      </c>
      <c r="AH333" s="125">
        <v>2911.92</v>
      </c>
      <c r="AI333" s="157">
        <v>420</v>
      </c>
      <c r="AJ333" s="157">
        <v>162.5</v>
      </c>
      <c r="AK333" s="157">
        <v>0</v>
      </c>
      <c r="AL333" s="125">
        <v>13287.64</v>
      </c>
    </row>
    <row r="334" spans="1:38" s="117" customFormat="1" ht="15" customHeight="1" x14ac:dyDescent="0.2">
      <c r="A334" s="123" t="s">
        <v>352</v>
      </c>
      <c r="B334" s="124" t="s">
        <v>1238</v>
      </c>
      <c r="C334" s="157">
        <v>1047.26</v>
      </c>
      <c r="D334" s="125">
        <v>6571.38</v>
      </c>
      <c r="E334" s="157">
        <v>729.96</v>
      </c>
      <c r="F334" s="125">
        <v>1939.92</v>
      </c>
      <c r="G334" s="157">
        <v>12454.6</v>
      </c>
      <c r="H334" s="157">
        <v>5335.98</v>
      </c>
      <c r="I334" s="157">
        <v>1662</v>
      </c>
      <c r="J334" s="125">
        <v>510.34</v>
      </c>
      <c r="K334" s="125">
        <v>4555.54</v>
      </c>
      <c r="L334" s="125">
        <v>1902.1</v>
      </c>
      <c r="M334" s="157">
        <v>1478.65</v>
      </c>
      <c r="N334" s="157">
        <v>-204.32</v>
      </c>
      <c r="O334" s="157">
        <v>1242.93</v>
      </c>
      <c r="P334" s="125">
        <v>752.11</v>
      </c>
      <c r="Q334" s="157">
        <v>6819.35</v>
      </c>
      <c r="R334" s="157">
        <v>1567.64</v>
      </c>
      <c r="S334" s="157">
        <v>1180.56</v>
      </c>
      <c r="T334" s="125">
        <v>7064.46</v>
      </c>
      <c r="U334" s="125">
        <v>3038.62</v>
      </c>
      <c r="V334" s="125">
        <v>839.06</v>
      </c>
      <c r="W334" s="125">
        <v>1533.86</v>
      </c>
      <c r="X334" s="157">
        <v>5466.39</v>
      </c>
      <c r="Y334" s="125">
        <v>1309.8</v>
      </c>
      <c r="Z334" s="125">
        <v>0</v>
      </c>
      <c r="AA334" s="125">
        <v>1285.1300000000001</v>
      </c>
      <c r="AB334" s="125">
        <v>3816.21</v>
      </c>
      <c r="AC334" s="125">
        <v>4219.1899999999996</v>
      </c>
      <c r="AD334" s="125">
        <v>9606.1</v>
      </c>
      <c r="AE334" s="157">
        <v>3275</v>
      </c>
      <c r="AF334" s="157">
        <v>4710</v>
      </c>
      <c r="AG334" s="125">
        <v>9627.93</v>
      </c>
      <c r="AH334" s="125">
        <v>4639.5600000000004</v>
      </c>
      <c r="AI334" s="157">
        <v>1965.18</v>
      </c>
      <c r="AJ334" s="157">
        <v>1688.07</v>
      </c>
      <c r="AK334" s="157">
        <v>939.83</v>
      </c>
      <c r="AL334" s="125">
        <v>114570.39</v>
      </c>
    </row>
    <row r="335" spans="1:38" s="117" customFormat="1" ht="15" customHeight="1" x14ac:dyDescent="0.2">
      <c r="A335" s="123" t="s">
        <v>353</v>
      </c>
      <c r="B335" s="124" t="s">
        <v>1237</v>
      </c>
      <c r="C335" s="157">
        <v>0</v>
      </c>
      <c r="D335" s="125">
        <v>0</v>
      </c>
      <c r="E335" s="157">
        <v>0</v>
      </c>
      <c r="F335" s="125">
        <v>0</v>
      </c>
      <c r="G335" s="157">
        <v>931.59</v>
      </c>
      <c r="H335" s="157">
        <v>0</v>
      </c>
      <c r="I335" s="157">
        <v>0</v>
      </c>
      <c r="J335" s="125">
        <v>0</v>
      </c>
      <c r="K335" s="125">
        <v>0</v>
      </c>
      <c r="L335" s="125">
        <v>0</v>
      </c>
      <c r="M335" s="157">
        <v>333.9</v>
      </c>
      <c r="N335" s="157">
        <v>-144</v>
      </c>
      <c r="O335" s="157">
        <v>0</v>
      </c>
      <c r="P335" s="125">
        <v>0</v>
      </c>
      <c r="Q335" s="157">
        <v>3142.9</v>
      </c>
      <c r="R335" s="157">
        <v>0</v>
      </c>
      <c r="S335" s="157">
        <v>85.01</v>
      </c>
      <c r="T335" s="125">
        <v>525</v>
      </c>
      <c r="U335" s="125">
        <v>0</v>
      </c>
      <c r="V335" s="125">
        <v>0</v>
      </c>
      <c r="W335" s="125">
        <v>219</v>
      </c>
      <c r="X335" s="157">
        <v>430.05</v>
      </c>
      <c r="Y335" s="125">
        <v>0</v>
      </c>
      <c r="Z335" s="125">
        <v>0</v>
      </c>
      <c r="AA335" s="125">
        <v>0</v>
      </c>
      <c r="AB335" s="125">
        <v>185</v>
      </c>
      <c r="AC335" s="125">
        <v>775</v>
      </c>
      <c r="AD335" s="125">
        <v>906.3</v>
      </c>
      <c r="AE335" s="157">
        <v>400</v>
      </c>
      <c r="AF335" s="157">
        <v>650</v>
      </c>
      <c r="AG335" s="125">
        <v>0</v>
      </c>
      <c r="AH335" s="125">
        <v>1810</v>
      </c>
      <c r="AI335" s="157">
        <v>0</v>
      </c>
      <c r="AJ335" s="157">
        <v>0</v>
      </c>
      <c r="AK335" s="157">
        <v>0</v>
      </c>
      <c r="AL335" s="125">
        <v>10249.75</v>
      </c>
    </row>
    <row r="336" spans="1:38" s="117" customFormat="1" ht="15" customHeight="1" x14ac:dyDescent="0.2">
      <c r="A336" s="123" t="s">
        <v>354</v>
      </c>
      <c r="B336" s="124" t="s">
        <v>1236</v>
      </c>
      <c r="C336" s="157">
        <v>0</v>
      </c>
      <c r="D336" s="125">
        <v>0</v>
      </c>
      <c r="E336" s="157">
        <v>0</v>
      </c>
      <c r="F336" s="125">
        <v>0</v>
      </c>
      <c r="G336" s="157">
        <v>30.21</v>
      </c>
      <c r="H336" s="157">
        <v>0</v>
      </c>
      <c r="I336" s="157">
        <v>0</v>
      </c>
      <c r="J336" s="125">
        <v>0</v>
      </c>
      <c r="K336" s="125">
        <v>0</v>
      </c>
      <c r="L336" s="125">
        <v>0</v>
      </c>
      <c r="M336" s="157">
        <v>0</v>
      </c>
      <c r="N336" s="157">
        <v>-80</v>
      </c>
      <c r="O336" s="157">
        <v>0</v>
      </c>
      <c r="P336" s="125">
        <v>0</v>
      </c>
      <c r="Q336" s="157">
        <v>0</v>
      </c>
      <c r="R336" s="157">
        <v>0</v>
      </c>
      <c r="S336" s="157">
        <v>0</v>
      </c>
      <c r="T336" s="125">
        <v>625</v>
      </c>
      <c r="U336" s="125">
        <v>0</v>
      </c>
      <c r="V336" s="125">
        <v>0</v>
      </c>
      <c r="W336" s="125">
        <v>0</v>
      </c>
      <c r="X336" s="157">
        <v>90</v>
      </c>
      <c r="Y336" s="125">
        <v>0</v>
      </c>
      <c r="Z336" s="125">
        <v>0</v>
      </c>
      <c r="AA336" s="125">
        <v>0</v>
      </c>
      <c r="AB336" s="125">
        <v>0</v>
      </c>
      <c r="AC336" s="125">
        <v>0</v>
      </c>
      <c r="AD336" s="125">
        <v>0</v>
      </c>
      <c r="AE336" s="157">
        <v>0</v>
      </c>
      <c r="AF336" s="157">
        <v>75</v>
      </c>
      <c r="AG336" s="125">
        <v>0</v>
      </c>
      <c r="AH336" s="125">
        <v>0</v>
      </c>
      <c r="AI336" s="157">
        <v>0</v>
      </c>
      <c r="AJ336" s="157">
        <v>0</v>
      </c>
      <c r="AK336" s="157">
        <v>0</v>
      </c>
      <c r="AL336" s="125">
        <v>740.21</v>
      </c>
    </row>
    <row r="337" spans="1:38" s="117" customFormat="1" ht="15" customHeight="1" x14ac:dyDescent="0.2">
      <c r="A337" s="123" t="s">
        <v>798</v>
      </c>
      <c r="B337" s="124" t="s">
        <v>1235</v>
      </c>
      <c r="C337" s="157">
        <v>0</v>
      </c>
      <c r="D337" s="125">
        <v>0</v>
      </c>
      <c r="E337" s="157">
        <v>0</v>
      </c>
      <c r="F337" s="125">
        <v>0</v>
      </c>
      <c r="G337" s="157">
        <v>0</v>
      </c>
      <c r="H337" s="157">
        <v>0</v>
      </c>
      <c r="I337" s="157">
        <v>0</v>
      </c>
      <c r="J337" s="125">
        <v>0</v>
      </c>
      <c r="K337" s="125">
        <v>0</v>
      </c>
      <c r="L337" s="125">
        <v>-325</v>
      </c>
      <c r="M337" s="157">
        <v>0</v>
      </c>
      <c r="N337" s="157">
        <v>0</v>
      </c>
      <c r="O337" s="157">
        <v>0</v>
      </c>
      <c r="P337" s="125">
        <v>0</v>
      </c>
      <c r="Q337" s="157">
        <v>0</v>
      </c>
      <c r="R337" s="157">
        <v>0</v>
      </c>
      <c r="S337" s="157">
        <v>0</v>
      </c>
      <c r="T337" s="125">
        <v>185.32</v>
      </c>
      <c r="U337" s="125">
        <v>0</v>
      </c>
      <c r="V337" s="125">
        <v>0</v>
      </c>
      <c r="W337" s="125">
        <v>0</v>
      </c>
      <c r="X337" s="157">
        <v>0</v>
      </c>
      <c r="Y337" s="125">
        <v>0</v>
      </c>
      <c r="Z337" s="125">
        <v>0</v>
      </c>
      <c r="AA337" s="125">
        <v>0</v>
      </c>
      <c r="AB337" s="125">
        <v>0</v>
      </c>
      <c r="AC337" s="125">
        <v>0</v>
      </c>
      <c r="AD337" s="125">
        <v>0</v>
      </c>
      <c r="AE337" s="157">
        <v>0</v>
      </c>
      <c r="AF337" s="157">
        <v>0</v>
      </c>
      <c r="AG337" s="125">
        <v>0</v>
      </c>
      <c r="AH337" s="125">
        <v>0</v>
      </c>
      <c r="AI337" s="157">
        <v>0</v>
      </c>
      <c r="AJ337" s="157">
        <v>0</v>
      </c>
      <c r="AK337" s="157">
        <v>0</v>
      </c>
      <c r="AL337" s="125">
        <v>-139.68</v>
      </c>
    </row>
    <row r="338" spans="1:38" s="117" customFormat="1" ht="15" customHeight="1" x14ac:dyDescent="0.2">
      <c r="A338" s="123" t="s">
        <v>355</v>
      </c>
      <c r="B338" s="124" t="s">
        <v>1234</v>
      </c>
      <c r="C338" s="157">
        <v>19323.22</v>
      </c>
      <c r="D338" s="125">
        <v>17051.47</v>
      </c>
      <c r="E338" s="157">
        <v>18794.8</v>
      </c>
      <c r="F338" s="125">
        <v>27041.200000000001</v>
      </c>
      <c r="G338" s="157">
        <v>35639.46</v>
      </c>
      <c r="H338" s="157">
        <v>45945.52</v>
      </c>
      <c r="I338" s="157">
        <v>27051.88</v>
      </c>
      <c r="J338" s="125">
        <v>25604.82</v>
      </c>
      <c r="K338" s="125">
        <v>23659.34</v>
      </c>
      <c r="L338" s="125">
        <v>19158.52</v>
      </c>
      <c r="M338" s="157">
        <v>18621.439999999999</v>
      </c>
      <c r="N338" s="157">
        <v>25945.99</v>
      </c>
      <c r="O338" s="157">
        <v>22249.43</v>
      </c>
      <c r="P338" s="125">
        <v>15787.36</v>
      </c>
      <c r="Q338" s="157">
        <v>15195.01</v>
      </c>
      <c r="R338" s="157">
        <v>31827.27</v>
      </c>
      <c r="S338" s="157">
        <v>15365.88</v>
      </c>
      <c r="T338" s="125">
        <v>13621.67</v>
      </c>
      <c r="U338" s="125">
        <v>30689.1</v>
      </c>
      <c r="V338" s="125">
        <v>14424.22</v>
      </c>
      <c r="W338" s="125">
        <v>19362.990000000002</v>
      </c>
      <c r="X338" s="157">
        <v>21213.71</v>
      </c>
      <c r="Y338" s="125">
        <v>32971.800000000003</v>
      </c>
      <c r="Z338" s="125">
        <v>19138.68</v>
      </c>
      <c r="AA338" s="125">
        <v>29895.23</v>
      </c>
      <c r="AB338" s="125">
        <v>14541.04</v>
      </c>
      <c r="AC338" s="125">
        <v>16241.89</v>
      </c>
      <c r="AD338" s="125">
        <v>14908.97</v>
      </c>
      <c r="AE338" s="157">
        <v>22382.14</v>
      </c>
      <c r="AF338" s="157">
        <v>18828.349999999999</v>
      </c>
      <c r="AG338" s="125">
        <v>35180.68</v>
      </c>
      <c r="AH338" s="125">
        <v>10049.86</v>
      </c>
      <c r="AI338" s="157">
        <v>19802.509999999998</v>
      </c>
      <c r="AJ338" s="157">
        <v>22792.38</v>
      </c>
      <c r="AK338" s="157">
        <v>24395.95</v>
      </c>
      <c r="AL338" s="125">
        <v>784703.78</v>
      </c>
    </row>
    <row r="339" spans="1:38" s="117" customFormat="1" ht="15" customHeight="1" x14ac:dyDescent="0.2">
      <c r="A339" s="123" t="s">
        <v>561</v>
      </c>
      <c r="B339" s="124" t="s">
        <v>1233</v>
      </c>
      <c r="C339" s="157">
        <v>0</v>
      </c>
      <c r="D339" s="125">
        <v>601.02</v>
      </c>
      <c r="E339" s="157">
        <v>1832.22</v>
      </c>
      <c r="F339" s="125">
        <v>0</v>
      </c>
      <c r="G339" s="157">
        <v>0</v>
      </c>
      <c r="H339" s="157">
        <v>0</v>
      </c>
      <c r="I339" s="157">
        <v>1238.4100000000001</v>
      </c>
      <c r="J339" s="125">
        <v>0</v>
      </c>
      <c r="K339" s="125">
        <v>120.2</v>
      </c>
      <c r="L339" s="125">
        <v>0</v>
      </c>
      <c r="M339" s="157">
        <v>0</v>
      </c>
      <c r="N339" s="157">
        <v>0</v>
      </c>
      <c r="O339" s="157">
        <v>0</v>
      </c>
      <c r="P339" s="125">
        <v>0</v>
      </c>
      <c r="Q339" s="157">
        <v>0</v>
      </c>
      <c r="R339" s="157">
        <v>1478.15</v>
      </c>
      <c r="S339" s="157">
        <v>0</v>
      </c>
      <c r="T339" s="125">
        <v>0</v>
      </c>
      <c r="U339" s="125">
        <v>0</v>
      </c>
      <c r="V339" s="125">
        <v>0</v>
      </c>
      <c r="W339" s="125">
        <v>0</v>
      </c>
      <c r="X339" s="157">
        <v>0</v>
      </c>
      <c r="Y339" s="125">
        <v>47884.7</v>
      </c>
      <c r="Z339" s="125">
        <v>0</v>
      </c>
      <c r="AA339" s="125">
        <v>0</v>
      </c>
      <c r="AB339" s="125">
        <v>0</v>
      </c>
      <c r="AC339" s="125">
        <v>0</v>
      </c>
      <c r="AD339" s="125">
        <v>0</v>
      </c>
      <c r="AE339" s="157">
        <v>0</v>
      </c>
      <c r="AF339" s="157">
        <v>0</v>
      </c>
      <c r="AG339" s="125">
        <v>13032.43</v>
      </c>
      <c r="AH339" s="125">
        <v>0</v>
      </c>
      <c r="AI339" s="157">
        <v>0</v>
      </c>
      <c r="AJ339" s="157">
        <v>0</v>
      </c>
      <c r="AK339" s="157">
        <v>0</v>
      </c>
      <c r="AL339" s="125">
        <v>66187.13</v>
      </c>
    </row>
    <row r="340" spans="1:38" s="117" customFormat="1" ht="15" customHeight="1" x14ac:dyDescent="0.2">
      <c r="A340" s="123" t="s">
        <v>356</v>
      </c>
      <c r="B340" s="124" t="s">
        <v>1232</v>
      </c>
      <c r="C340" s="157">
        <v>35947.050000000003</v>
      </c>
      <c r="D340" s="125">
        <v>38050.71</v>
      </c>
      <c r="E340" s="157">
        <v>24099.54</v>
      </c>
      <c r="F340" s="125">
        <v>7359.85</v>
      </c>
      <c r="G340" s="157">
        <v>39724.019999999997</v>
      </c>
      <c r="H340" s="157">
        <v>4197.5200000000004</v>
      </c>
      <c r="I340" s="157">
        <v>34807.269999999997</v>
      </c>
      <c r="J340" s="125">
        <v>16574.02</v>
      </c>
      <c r="K340" s="125">
        <v>65760.33</v>
      </c>
      <c r="L340" s="125">
        <v>14185.08</v>
      </c>
      <c r="M340" s="157">
        <v>38379.99</v>
      </c>
      <c r="N340" s="157">
        <v>19895</v>
      </c>
      <c r="O340" s="157">
        <v>1929.82</v>
      </c>
      <c r="P340" s="125">
        <v>55155.09</v>
      </c>
      <c r="Q340" s="157">
        <v>63814.94</v>
      </c>
      <c r="R340" s="157">
        <v>7620.95</v>
      </c>
      <c r="S340" s="157">
        <v>49926.5</v>
      </c>
      <c r="T340" s="125">
        <v>87343.93</v>
      </c>
      <c r="U340" s="125">
        <v>21493.27</v>
      </c>
      <c r="V340" s="125">
        <v>16692.22</v>
      </c>
      <c r="W340" s="125">
        <v>16207.02</v>
      </c>
      <c r="X340" s="157">
        <v>18137.93</v>
      </c>
      <c r="Y340" s="125">
        <v>27550.14</v>
      </c>
      <c r="Z340" s="125">
        <v>45623.07</v>
      </c>
      <c r="AA340" s="125">
        <v>7975.81</v>
      </c>
      <c r="AB340" s="125">
        <v>30345.27</v>
      </c>
      <c r="AC340" s="125">
        <v>37483.550000000003</v>
      </c>
      <c r="AD340" s="125">
        <v>20684.89</v>
      </c>
      <c r="AE340" s="157">
        <v>42200.07</v>
      </c>
      <c r="AF340" s="157">
        <v>43900.67</v>
      </c>
      <c r="AG340" s="125">
        <v>3944.49</v>
      </c>
      <c r="AH340" s="125">
        <v>16699.02</v>
      </c>
      <c r="AI340" s="157">
        <v>4291.47</v>
      </c>
      <c r="AJ340" s="157">
        <v>5452.45</v>
      </c>
      <c r="AK340" s="157">
        <v>2635.13</v>
      </c>
      <c r="AL340" s="125">
        <v>966088.08</v>
      </c>
    </row>
    <row r="341" spans="1:38" s="117" customFormat="1" ht="15" customHeight="1" x14ac:dyDescent="0.2">
      <c r="A341" s="123" t="s">
        <v>357</v>
      </c>
      <c r="B341" s="124" t="s">
        <v>1231</v>
      </c>
      <c r="C341" s="157">
        <v>5040.92</v>
      </c>
      <c r="D341" s="125">
        <v>4731.21</v>
      </c>
      <c r="E341" s="157">
        <v>4451.1099999999997</v>
      </c>
      <c r="F341" s="125">
        <v>4152.67</v>
      </c>
      <c r="G341" s="157">
        <v>4615.46</v>
      </c>
      <c r="H341" s="157">
        <v>5693.16</v>
      </c>
      <c r="I341" s="157">
        <v>2925.98</v>
      </c>
      <c r="J341" s="125">
        <v>6256.27</v>
      </c>
      <c r="K341" s="125">
        <v>8191.76</v>
      </c>
      <c r="L341" s="125">
        <v>3090.48</v>
      </c>
      <c r="M341" s="157">
        <v>5680.75</v>
      </c>
      <c r="N341" s="157">
        <v>4331.8900000000003</v>
      </c>
      <c r="O341" s="157">
        <v>4963.42</v>
      </c>
      <c r="P341" s="125">
        <v>4890.32</v>
      </c>
      <c r="Q341" s="157">
        <v>7809.62</v>
      </c>
      <c r="R341" s="157">
        <v>6255.98</v>
      </c>
      <c r="S341" s="157">
        <v>5613.42</v>
      </c>
      <c r="T341" s="125">
        <v>4127.03</v>
      </c>
      <c r="U341" s="125">
        <v>6662.07</v>
      </c>
      <c r="V341" s="125">
        <v>4455.72</v>
      </c>
      <c r="W341" s="125">
        <v>5168.4799999999996</v>
      </c>
      <c r="X341" s="157">
        <v>5233.83</v>
      </c>
      <c r="Y341" s="125">
        <v>3714.27</v>
      </c>
      <c r="Z341" s="125">
        <v>6846.55</v>
      </c>
      <c r="AA341" s="125">
        <v>4965.08</v>
      </c>
      <c r="AB341" s="125">
        <v>5343.19</v>
      </c>
      <c r="AC341" s="125">
        <v>2893.49</v>
      </c>
      <c r="AD341" s="125">
        <v>8742.25</v>
      </c>
      <c r="AE341" s="157">
        <v>3836.52</v>
      </c>
      <c r="AF341" s="157">
        <v>3272.66</v>
      </c>
      <c r="AG341" s="125">
        <v>5152.08</v>
      </c>
      <c r="AH341" s="125">
        <v>4577.9799999999996</v>
      </c>
      <c r="AI341" s="157">
        <v>4460.1000000000004</v>
      </c>
      <c r="AJ341" s="157">
        <v>4701.79</v>
      </c>
      <c r="AK341" s="157">
        <v>3255.7</v>
      </c>
      <c r="AL341" s="125">
        <v>176103.21</v>
      </c>
    </row>
    <row r="342" spans="1:38" s="117" customFormat="1" ht="15" customHeight="1" x14ac:dyDescent="0.2">
      <c r="A342" s="123" t="s">
        <v>1230</v>
      </c>
      <c r="B342" s="124" t="s">
        <v>1229</v>
      </c>
      <c r="C342" s="157">
        <v>0</v>
      </c>
      <c r="D342" s="125">
        <v>0</v>
      </c>
      <c r="E342" s="157">
        <v>0</v>
      </c>
      <c r="F342" s="125">
        <v>0</v>
      </c>
      <c r="G342" s="157">
        <v>0</v>
      </c>
      <c r="H342" s="157">
        <v>0</v>
      </c>
      <c r="I342" s="157">
        <v>0</v>
      </c>
      <c r="J342" s="125">
        <v>0</v>
      </c>
      <c r="K342" s="125">
        <v>0</v>
      </c>
      <c r="L342" s="125">
        <v>0</v>
      </c>
      <c r="M342" s="157">
        <v>0</v>
      </c>
      <c r="N342" s="157">
        <v>0</v>
      </c>
      <c r="O342" s="157">
        <v>0</v>
      </c>
      <c r="P342" s="125">
        <v>0</v>
      </c>
      <c r="Q342" s="157">
        <v>0</v>
      </c>
      <c r="R342" s="157">
        <v>0</v>
      </c>
      <c r="S342" s="157">
        <v>0</v>
      </c>
      <c r="T342" s="125">
        <v>0</v>
      </c>
      <c r="U342" s="125">
        <v>0</v>
      </c>
      <c r="V342" s="125">
        <v>0</v>
      </c>
      <c r="W342" s="125">
        <v>0</v>
      </c>
      <c r="X342" s="157">
        <v>0</v>
      </c>
      <c r="Y342" s="125">
        <v>75</v>
      </c>
      <c r="Z342" s="125">
        <v>0</v>
      </c>
      <c r="AA342" s="125">
        <v>0</v>
      </c>
      <c r="AB342" s="125">
        <v>0</v>
      </c>
      <c r="AC342" s="125">
        <v>0</v>
      </c>
      <c r="AD342" s="125">
        <v>0</v>
      </c>
      <c r="AE342" s="157">
        <v>0</v>
      </c>
      <c r="AF342" s="157">
        <v>0</v>
      </c>
      <c r="AG342" s="125">
        <v>0</v>
      </c>
      <c r="AH342" s="125">
        <v>0</v>
      </c>
      <c r="AI342" s="157">
        <v>0</v>
      </c>
      <c r="AJ342" s="157">
        <v>0</v>
      </c>
      <c r="AK342" s="157">
        <v>0</v>
      </c>
      <c r="AL342" s="125">
        <v>75</v>
      </c>
    </row>
    <row r="343" spans="1:38" s="117" customFormat="1" ht="15" customHeight="1" x14ac:dyDescent="0.2">
      <c r="A343" s="123" t="s">
        <v>358</v>
      </c>
      <c r="B343" s="124" t="s">
        <v>1228</v>
      </c>
      <c r="C343" s="157">
        <v>1301.5</v>
      </c>
      <c r="D343" s="125">
        <v>917.66</v>
      </c>
      <c r="E343" s="157">
        <v>1163.3</v>
      </c>
      <c r="F343" s="125">
        <v>1222.74</v>
      </c>
      <c r="G343" s="157">
        <v>2133.39</v>
      </c>
      <c r="H343" s="157">
        <v>1143.48</v>
      </c>
      <c r="I343" s="157">
        <v>1235.3</v>
      </c>
      <c r="J343" s="125">
        <v>1551.87</v>
      </c>
      <c r="K343" s="125">
        <v>1114.6600000000001</v>
      </c>
      <c r="L343" s="125">
        <v>1720.52</v>
      </c>
      <c r="M343" s="157">
        <v>1135</v>
      </c>
      <c r="N343" s="157">
        <v>526.34</v>
      </c>
      <c r="O343" s="157">
        <v>712.98</v>
      </c>
      <c r="P343" s="125">
        <v>521.51</v>
      </c>
      <c r="Q343" s="157">
        <v>1755.96</v>
      </c>
      <c r="R343" s="157">
        <v>952.72</v>
      </c>
      <c r="S343" s="157">
        <v>481.55</v>
      </c>
      <c r="T343" s="125">
        <v>1139.57</v>
      </c>
      <c r="U343" s="125">
        <v>1342.34</v>
      </c>
      <c r="V343" s="125">
        <v>1109.8699999999999</v>
      </c>
      <c r="W343" s="125">
        <v>1567.05</v>
      </c>
      <c r="X343" s="157">
        <v>882.51</v>
      </c>
      <c r="Y343" s="125">
        <v>1592.73</v>
      </c>
      <c r="Z343" s="125">
        <v>1015.65</v>
      </c>
      <c r="AA343" s="125">
        <v>792.73</v>
      </c>
      <c r="AB343" s="125">
        <v>1077.27</v>
      </c>
      <c r="AC343" s="125">
        <v>1688.8</v>
      </c>
      <c r="AD343" s="125">
        <v>911.46</v>
      </c>
      <c r="AE343" s="157">
        <v>308.87</v>
      </c>
      <c r="AF343" s="157">
        <v>308.8</v>
      </c>
      <c r="AG343" s="125">
        <v>2243.67</v>
      </c>
      <c r="AH343" s="125">
        <v>1268.1500000000001</v>
      </c>
      <c r="AI343" s="157">
        <v>1002.74</v>
      </c>
      <c r="AJ343" s="157">
        <v>1053.6600000000001</v>
      </c>
      <c r="AK343" s="157">
        <v>697.88</v>
      </c>
      <c r="AL343" s="125">
        <v>39594.230000000003</v>
      </c>
    </row>
    <row r="344" spans="1:38" s="117" customFormat="1" ht="15" customHeight="1" x14ac:dyDescent="0.2">
      <c r="A344" s="123" t="s">
        <v>359</v>
      </c>
      <c r="B344" s="124" t="s">
        <v>1227</v>
      </c>
      <c r="C344" s="157">
        <v>3312.79</v>
      </c>
      <c r="D344" s="125">
        <v>927.3</v>
      </c>
      <c r="E344" s="157">
        <v>1629.62</v>
      </c>
      <c r="F344" s="125">
        <v>1227.46</v>
      </c>
      <c r="G344" s="157">
        <v>1883.34</v>
      </c>
      <c r="H344" s="157">
        <v>1494.63</v>
      </c>
      <c r="I344" s="157">
        <v>1364.35</v>
      </c>
      <c r="J344" s="125">
        <v>1406.32</v>
      </c>
      <c r="K344" s="125">
        <v>1361.07</v>
      </c>
      <c r="L344" s="125">
        <v>1691.81</v>
      </c>
      <c r="M344" s="157">
        <v>2144.73</v>
      </c>
      <c r="N344" s="157">
        <v>1806.44</v>
      </c>
      <c r="O344" s="157">
        <v>1486.41</v>
      </c>
      <c r="P344" s="125">
        <v>2586.77</v>
      </c>
      <c r="Q344" s="157">
        <v>1577.46</v>
      </c>
      <c r="R344" s="157">
        <v>2352</v>
      </c>
      <c r="S344" s="157">
        <v>2379.33</v>
      </c>
      <c r="T344" s="125">
        <v>800.54</v>
      </c>
      <c r="U344" s="125">
        <v>1227.75</v>
      </c>
      <c r="V344" s="125">
        <v>2056.02</v>
      </c>
      <c r="W344" s="125">
        <v>1204.5</v>
      </c>
      <c r="X344" s="157">
        <v>1173.83</v>
      </c>
      <c r="Y344" s="125">
        <v>1267.07</v>
      </c>
      <c r="Z344" s="125">
        <v>2158.16</v>
      </c>
      <c r="AA344" s="125">
        <v>1847.48</v>
      </c>
      <c r="AB344" s="125">
        <v>1527.37</v>
      </c>
      <c r="AC344" s="125">
        <v>1652.7</v>
      </c>
      <c r="AD344" s="125">
        <v>2520.77</v>
      </c>
      <c r="AE344" s="157">
        <v>1300.72</v>
      </c>
      <c r="AF344" s="157">
        <v>1327.88</v>
      </c>
      <c r="AG344" s="125">
        <v>1112.3599999999999</v>
      </c>
      <c r="AH344" s="125">
        <v>1493.36</v>
      </c>
      <c r="AI344" s="157">
        <v>2554.8200000000002</v>
      </c>
      <c r="AJ344" s="157">
        <v>1684.76</v>
      </c>
      <c r="AK344" s="157">
        <v>1362.24</v>
      </c>
      <c r="AL344" s="125">
        <v>58904.160000000003</v>
      </c>
    </row>
    <row r="345" spans="1:38" s="117" customFormat="1" ht="15" customHeight="1" x14ac:dyDescent="0.2">
      <c r="A345" s="123" t="s">
        <v>1226</v>
      </c>
      <c r="B345" s="124" t="s">
        <v>1225</v>
      </c>
      <c r="C345" s="157">
        <v>0</v>
      </c>
      <c r="D345" s="125">
        <v>0</v>
      </c>
      <c r="E345" s="157">
        <v>0</v>
      </c>
      <c r="F345" s="125">
        <v>0</v>
      </c>
      <c r="G345" s="157">
        <v>0</v>
      </c>
      <c r="H345" s="157">
        <v>0</v>
      </c>
      <c r="I345" s="157">
        <v>0</v>
      </c>
      <c r="J345" s="125">
        <v>0</v>
      </c>
      <c r="K345" s="125">
        <v>0</v>
      </c>
      <c r="L345" s="125">
        <v>0</v>
      </c>
      <c r="M345" s="157">
        <v>0</v>
      </c>
      <c r="N345" s="157">
        <v>0</v>
      </c>
      <c r="O345" s="157">
        <v>0</v>
      </c>
      <c r="P345" s="125">
        <v>0</v>
      </c>
      <c r="Q345" s="157">
        <v>0</v>
      </c>
      <c r="R345" s="157">
        <v>0</v>
      </c>
      <c r="S345" s="157">
        <v>0</v>
      </c>
      <c r="T345" s="125">
        <v>0</v>
      </c>
      <c r="U345" s="125">
        <v>0</v>
      </c>
      <c r="V345" s="125">
        <v>0</v>
      </c>
      <c r="W345" s="125">
        <v>0</v>
      </c>
      <c r="X345" s="157">
        <v>0</v>
      </c>
      <c r="Y345" s="125">
        <v>0</v>
      </c>
      <c r="Z345" s="125">
        <v>0</v>
      </c>
      <c r="AA345" s="125">
        <v>0</v>
      </c>
      <c r="AB345" s="125">
        <v>0</v>
      </c>
      <c r="AC345" s="125">
        <v>0</v>
      </c>
      <c r="AD345" s="125">
        <v>-24.69</v>
      </c>
      <c r="AE345" s="157">
        <v>0</v>
      </c>
      <c r="AF345" s="157">
        <v>0</v>
      </c>
      <c r="AG345" s="125">
        <v>0</v>
      </c>
      <c r="AH345" s="125">
        <v>0</v>
      </c>
      <c r="AI345" s="157">
        <v>0</v>
      </c>
      <c r="AJ345" s="157">
        <v>0</v>
      </c>
      <c r="AK345" s="157">
        <v>0</v>
      </c>
      <c r="AL345" s="125">
        <v>-24.69</v>
      </c>
    </row>
    <row r="346" spans="1:38" s="117" customFormat="1" ht="15" customHeight="1" x14ac:dyDescent="0.2">
      <c r="A346" s="123" t="s">
        <v>360</v>
      </c>
      <c r="B346" s="124" t="s">
        <v>1224</v>
      </c>
      <c r="C346" s="157">
        <v>788.04</v>
      </c>
      <c r="D346" s="125">
        <v>0</v>
      </c>
      <c r="E346" s="157">
        <v>1152.67</v>
      </c>
      <c r="F346" s="125">
        <v>0</v>
      </c>
      <c r="G346" s="157">
        <v>1224.3800000000001</v>
      </c>
      <c r="H346" s="157">
        <v>0</v>
      </c>
      <c r="I346" s="157">
        <v>1432.45</v>
      </c>
      <c r="J346" s="125">
        <v>883.81</v>
      </c>
      <c r="K346" s="125">
        <v>1546.8</v>
      </c>
      <c r="L346" s="125">
        <v>132.32</v>
      </c>
      <c r="M346" s="157">
        <v>1070.43</v>
      </c>
      <c r="N346" s="157">
        <v>1297.81</v>
      </c>
      <c r="O346" s="157">
        <v>0</v>
      </c>
      <c r="P346" s="125">
        <v>763.97</v>
      </c>
      <c r="Q346" s="157">
        <v>0</v>
      </c>
      <c r="R346" s="157">
        <v>894.5</v>
      </c>
      <c r="S346" s="157">
        <v>1388.43</v>
      </c>
      <c r="T346" s="125">
        <v>298.76</v>
      </c>
      <c r="U346" s="125">
        <v>0</v>
      </c>
      <c r="V346" s="125">
        <v>1514.74</v>
      </c>
      <c r="W346" s="125">
        <v>-106</v>
      </c>
      <c r="X346" s="157">
        <v>1362.9</v>
      </c>
      <c r="Y346" s="125">
        <v>221.33</v>
      </c>
      <c r="Z346" s="125">
        <v>1024.73</v>
      </c>
      <c r="AA346" s="125">
        <v>0</v>
      </c>
      <c r="AB346" s="125">
        <v>0</v>
      </c>
      <c r="AC346" s="125">
        <v>0</v>
      </c>
      <c r="AD346" s="125">
        <v>0</v>
      </c>
      <c r="AE346" s="157">
        <v>41.63</v>
      </c>
      <c r="AF346" s="157">
        <v>0</v>
      </c>
      <c r="AG346" s="125">
        <v>1129.0899999999999</v>
      </c>
      <c r="AH346" s="125">
        <v>0</v>
      </c>
      <c r="AI346" s="157">
        <v>734.92</v>
      </c>
      <c r="AJ346" s="157">
        <v>833.83</v>
      </c>
      <c r="AK346" s="157">
        <v>858.29</v>
      </c>
      <c r="AL346" s="125">
        <v>20489.830000000002</v>
      </c>
    </row>
    <row r="347" spans="1:38" s="117" customFormat="1" ht="15" customHeight="1" x14ac:dyDescent="0.2">
      <c r="A347" s="123" t="s">
        <v>361</v>
      </c>
      <c r="B347" s="124" t="s">
        <v>1223</v>
      </c>
      <c r="C347" s="157">
        <v>655.20000000000005</v>
      </c>
      <c r="D347" s="125">
        <v>1121.22</v>
      </c>
      <c r="E347" s="157">
        <v>848.53</v>
      </c>
      <c r="F347" s="125">
        <v>1959.6</v>
      </c>
      <c r="G347" s="157">
        <v>1093.1300000000001</v>
      </c>
      <c r="H347" s="157">
        <v>2580.65</v>
      </c>
      <c r="I347" s="157">
        <v>841.11</v>
      </c>
      <c r="J347" s="125">
        <v>638.55999999999995</v>
      </c>
      <c r="K347" s="125">
        <v>304.8</v>
      </c>
      <c r="L347" s="125">
        <v>1703.93</v>
      </c>
      <c r="M347" s="157">
        <v>671.85</v>
      </c>
      <c r="N347" s="157">
        <v>951.24</v>
      </c>
      <c r="O347" s="157">
        <v>1030.5899999999999</v>
      </c>
      <c r="P347" s="125">
        <v>166.64</v>
      </c>
      <c r="Q347" s="157">
        <v>2140.8000000000002</v>
      </c>
      <c r="R347" s="157">
        <v>1115.8699999999999</v>
      </c>
      <c r="S347" s="157">
        <v>959.95</v>
      </c>
      <c r="T347" s="125">
        <v>2177.4699999999998</v>
      </c>
      <c r="U347" s="125">
        <v>5228.74</v>
      </c>
      <c r="V347" s="125">
        <v>517.25</v>
      </c>
      <c r="W347" s="125">
        <v>1147.99</v>
      </c>
      <c r="X347" s="157">
        <v>1563.67</v>
      </c>
      <c r="Y347" s="125">
        <v>331.33</v>
      </c>
      <c r="Z347" s="125">
        <v>779.77</v>
      </c>
      <c r="AA347" s="125">
        <v>672.61</v>
      </c>
      <c r="AB347" s="125">
        <v>2092.17</v>
      </c>
      <c r="AC347" s="125">
        <v>1893.11</v>
      </c>
      <c r="AD347" s="125">
        <v>2052.31</v>
      </c>
      <c r="AE347" s="157">
        <v>279.77999999999997</v>
      </c>
      <c r="AF347" s="157">
        <v>543.25</v>
      </c>
      <c r="AG347" s="125">
        <v>2941.66</v>
      </c>
      <c r="AH347" s="125">
        <v>2262.61</v>
      </c>
      <c r="AI347" s="157">
        <v>1386.02</v>
      </c>
      <c r="AJ347" s="157">
        <v>1923.63</v>
      </c>
      <c r="AK347" s="157">
        <v>2290.33</v>
      </c>
      <c r="AL347" s="125">
        <v>48867.37</v>
      </c>
    </row>
    <row r="348" spans="1:38" s="117" customFormat="1" ht="15" customHeight="1" x14ac:dyDescent="0.2">
      <c r="A348" s="123" t="s">
        <v>500</v>
      </c>
      <c r="B348" s="124" t="s">
        <v>1222</v>
      </c>
      <c r="C348" s="157">
        <v>291.83</v>
      </c>
      <c r="D348" s="125">
        <v>0</v>
      </c>
      <c r="E348" s="157">
        <v>335</v>
      </c>
      <c r="F348" s="125">
        <v>0</v>
      </c>
      <c r="G348" s="157">
        <v>778.57</v>
      </c>
      <c r="H348" s="157">
        <v>0</v>
      </c>
      <c r="I348" s="157">
        <v>0</v>
      </c>
      <c r="J348" s="125">
        <v>0</v>
      </c>
      <c r="K348" s="125">
        <v>0</v>
      </c>
      <c r="L348" s="125">
        <v>0</v>
      </c>
      <c r="M348" s="157">
        <v>0</v>
      </c>
      <c r="N348" s="157">
        <v>0</v>
      </c>
      <c r="O348" s="157">
        <v>0</v>
      </c>
      <c r="P348" s="125">
        <v>-162.03</v>
      </c>
      <c r="Q348" s="157">
        <v>0</v>
      </c>
      <c r="R348" s="157">
        <v>0</v>
      </c>
      <c r="S348" s="157">
        <v>-123.05</v>
      </c>
      <c r="T348" s="125">
        <v>-166.33</v>
      </c>
      <c r="U348" s="125">
        <v>0</v>
      </c>
      <c r="V348" s="125">
        <v>0</v>
      </c>
      <c r="W348" s="125">
        <v>0</v>
      </c>
      <c r="X348" s="157">
        <v>0</v>
      </c>
      <c r="Y348" s="125">
        <v>23</v>
      </c>
      <c r="Z348" s="125">
        <v>0</v>
      </c>
      <c r="AA348" s="125">
        <v>0</v>
      </c>
      <c r="AB348" s="125">
        <v>0</v>
      </c>
      <c r="AC348" s="125">
        <v>0</v>
      </c>
      <c r="AD348" s="125">
        <v>-1470.46</v>
      </c>
      <c r="AE348" s="157">
        <v>-107.62</v>
      </c>
      <c r="AF348" s="157">
        <v>-43.38</v>
      </c>
      <c r="AG348" s="125">
        <v>0</v>
      </c>
      <c r="AH348" s="125">
        <v>0</v>
      </c>
      <c r="AI348" s="157">
        <v>0</v>
      </c>
      <c r="AJ348" s="157">
        <v>0</v>
      </c>
      <c r="AK348" s="157">
        <v>0</v>
      </c>
      <c r="AL348" s="125">
        <v>-644.47</v>
      </c>
    </row>
    <row r="349" spans="1:38" s="117" customFormat="1" ht="15" customHeight="1" x14ac:dyDescent="0.2">
      <c r="A349" s="123" t="s">
        <v>1221</v>
      </c>
      <c r="B349" s="124" t="s">
        <v>1220</v>
      </c>
      <c r="C349" s="157">
        <v>0</v>
      </c>
      <c r="D349" s="125">
        <v>0</v>
      </c>
      <c r="E349" s="157">
        <v>0</v>
      </c>
      <c r="F349" s="125">
        <v>338.68</v>
      </c>
      <c r="G349" s="157">
        <v>135</v>
      </c>
      <c r="H349" s="157">
        <v>0</v>
      </c>
      <c r="I349" s="157">
        <v>0</v>
      </c>
      <c r="J349" s="125">
        <v>166.66</v>
      </c>
      <c r="K349" s="125">
        <v>0</v>
      </c>
      <c r="L349" s="125">
        <v>283.12</v>
      </c>
      <c r="M349" s="157">
        <v>0</v>
      </c>
      <c r="N349" s="157">
        <v>283.13</v>
      </c>
      <c r="O349" s="157">
        <v>338.68</v>
      </c>
      <c r="P349" s="125">
        <v>0</v>
      </c>
      <c r="Q349" s="157">
        <v>0</v>
      </c>
      <c r="R349" s="157">
        <v>338.69</v>
      </c>
      <c r="S349" s="157">
        <v>0</v>
      </c>
      <c r="T349" s="125">
        <v>0</v>
      </c>
      <c r="U349" s="125">
        <v>257.39999999999998</v>
      </c>
      <c r="V349" s="125">
        <v>326.10000000000002</v>
      </c>
      <c r="W349" s="125">
        <v>0</v>
      </c>
      <c r="X349" s="157">
        <v>362.88</v>
      </c>
      <c r="Y349" s="125">
        <v>116.47</v>
      </c>
      <c r="Z349" s="125">
        <v>0</v>
      </c>
      <c r="AA349" s="125">
        <v>352.47</v>
      </c>
      <c r="AB349" s="125">
        <v>305.89999999999998</v>
      </c>
      <c r="AC349" s="125">
        <v>0</v>
      </c>
      <c r="AD349" s="125">
        <v>0</v>
      </c>
      <c r="AE349" s="157">
        <v>0</v>
      </c>
      <c r="AF349" s="157">
        <v>0</v>
      </c>
      <c r="AG349" s="125">
        <v>338.69</v>
      </c>
      <c r="AH349" s="125">
        <v>0</v>
      </c>
      <c r="AI349" s="157">
        <v>338.69</v>
      </c>
      <c r="AJ349" s="157">
        <v>338.69</v>
      </c>
      <c r="AK349" s="157">
        <v>905.81</v>
      </c>
      <c r="AL349" s="125">
        <v>5527.06</v>
      </c>
    </row>
    <row r="350" spans="1:38" s="117" customFormat="1" ht="15" customHeight="1" x14ac:dyDescent="0.2">
      <c r="A350" s="123" t="s">
        <v>620</v>
      </c>
      <c r="B350" s="124" t="s">
        <v>1219</v>
      </c>
      <c r="C350" s="157">
        <v>29.99</v>
      </c>
      <c r="D350" s="125">
        <v>29.99</v>
      </c>
      <c r="E350" s="157">
        <v>29.99</v>
      </c>
      <c r="F350" s="125">
        <v>74.45</v>
      </c>
      <c r="G350" s="157">
        <v>29.99</v>
      </c>
      <c r="H350" s="157">
        <v>29.99</v>
      </c>
      <c r="I350" s="157">
        <v>29.99</v>
      </c>
      <c r="J350" s="125">
        <v>29.99</v>
      </c>
      <c r="K350" s="125">
        <v>29.99</v>
      </c>
      <c r="L350" s="125">
        <v>787.52</v>
      </c>
      <c r="M350" s="157">
        <v>29.99</v>
      </c>
      <c r="N350" s="157">
        <v>29.99</v>
      </c>
      <c r="O350" s="157">
        <v>29.99</v>
      </c>
      <c r="P350" s="125">
        <v>29.99</v>
      </c>
      <c r="Q350" s="157">
        <v>29.99</v>
      </c>
      <c r="R350" s="157">
        <v>395.38</v>
      </c>
      <c r="S350" s="157">
        <v>29.99</v>
      </c>
      <c r="T350" s="125">
        <v>29.99</v>
      </c>
      <c r="U350" s="125">
        <v>29.99</v>
      </c>
      <c r="V350" s="125">
        <v>29.99</v>
      </c>
      <c r="W350" s="125">
        <v>29.99</v>
      </c>
      <c r="X350" s="157">
        <v>29.99</v>
      </c>
      <c r="Y350" s="125">
        <v>29.99</v>
      </c>
      <c r="Z350" s="125">
        <v>29.99</v>
      </c>
      <c r="AA350" s="125">
        <v>29.99</v>
      </c>
      <c r="AB350" s="125">
        <v>589.61</v>
      </c>
      <c r="AC350" s="125">
        <v>167.12</v>
      </c>
      <c r="AD350" s="125">
        <v>29.99</v>
      </c>
      <c r="AE350" s="157">
        <v>29.99</v>
      </c>
      <c r="AF350" s="157">
        <v>29.99</v>
      </c>
      <c r="AG350" s="125">
        <v>2129.44</v>
      </c>
      <c r="AH350" s="125">
        <v>30</v>
      </c>
      <c r="AI350" s="157">
        <v>571.41999999999996</v>
      </c>
      <c r="AJ350" s="157">
        <v>30</v>
      </c>
      <c r="AK350" s="157">
        <v>30</v>
      </c>
      <c r="AL350" s="125">
        <v>5554.69</v>
      </c>
    </row>
    <row r="351" spans="1:38" s="117" customFormat="1" ht="15" customHeight="1" x14ac:dyDescent="0.2">
      <c r="A351" s="123" t="s">
        <v>362</v>
      </c>
      <c r="B351" s="124" t="s">
        <v>1209</v>
      </c>
      <c r="C351" s="157">
        <v>2995.16</v>
      </c>
      <c r="D351" s="125">
        <v>0</v>
      </c>
      <c r="E351" s="157">
        <v>2995.13</v>
      </c>
      <c r="F351" s="125">
        <v>3174.46</v>
      </c>
      <c r="G351" s="157">
        <v>393.09</v>
      </c>
      <c r="H351" s="157">
        <v>3168.65</v>
      </c>
      <c r="I351" s="157">
        <v>9539.1</v>
      </c>
      <c r="J351" s="125">
        <v>2995.09</v>
      </c>
      <c r="K351" s="125">
        <v>0</v>
      </c>
      <c r="L351" s="125">
        <v>3137.93</v>
      </c>
      <c r="M351" s="157">
        <v>541.29999999999995</v>
      </c>
      <c r="N351" s="157">
        <v>3437.94</v>
      </c>
      <c r="O351" s="157">
        <v>3094.43</v>
      </c>
      <c r="P351" s="125">
        <v>0</v>
      </c>
      <c r="Q351" s="157">
        <v>8078</v>
      </c>
      <c r="R351" s="157">
        <v>3094.44</v>
      </c>
      <c r="S351" s="157">
        <v>0</v>
      </c>
      <c r="T351" s="125">
        <v>306</v>
      </c>
      <c r="U351" s="125">
        <v>4699.1499999999996</v>
      </c>
      <c r="V351" s="125">
        <v>3137.92</v>
      </c>
      <c r="W351" s="125">
        <v>2995.06</v>
      </c>
      <c r="X351" s="157">
        <v>3140.2</v>
      </c>
      <c r="Y351" s="125">
        <v>175.7</v>
      </c>
      <c r="Z351" s="125">
        <v>0</v>
      </c>
      <c r="AA351" s="125">
        <v>3094.43</v>
      </c>
      <c r="AB351" s="125">
        <v>1231</v>
      </c>
      <c r="AC351" s="125">
        <v>142.35</v>
      </c>
      <c r="AD351" s="125">
        <v>133.04</v>
      </c>
      <c r="AE351" s="157">
        <v>2995.04</v>
      </c>
      <c r="AF351" s="157">
        <v>0</v>
      </c>
      <c r="AG351" s="125">
        <v>3094.39</v>
      </c>
      <c r="AH351" s="125">
        <v>0</v>
      </c>
      <c r="AI351" s="157">
        <v>3154.44</v>
      </c>
      <c r="AJ351" s="157">
        <v>3566.43</v>
      </c>
      <c r="AK351" s="157">
        <v>3127.25</v>
      </c>
      <c r="AL351" s="125">
        <v>81637.119999999995</v>
      </c>
    </row>
    <row r="352" spans="1:38" s="117" customFormat="1" ht="15" customHeight="1" x14ac:dyDescent="0.2">
      <c r="A352" s="123" t="s">
        <v>545</v>
      </c>
      <c r="B352" s="124" t="s">
        <v>1218</v>
      </c>
      <c r="C352" s="157">
        <v>0</v>
      </c>
      <c r="D352" s="125">
        <v>0</v>
      </c>
      <c r="E352" s="157">
        <v>0</v>
      </c>
      <c r="F352" s="125">
        <v>0</v>
      </c>
      <c r="G352" s="157">
        <v>0</v>
      </c>
      <c r="H352" s="157">
        <v>0</v>
      </c>
      <c r="I352" s="157">
        <v>0</v>
      </c>
      <c r="J352" s="125">
        <v>0</v>
      </c>
      <c r="K352" s="125">
        <v>0</v>
      </c>
      <c r="L352" s="125">
        <v>0</v>
      </c>
      <c r="M352" s="157">
        <v>0</v>
      </c>
      <c r="N352" s="157">
        <v>0</v>
      </c>
      <c r="O352" s="157">
        <v>0</v>
      </c>
      <c r="P352" s="125">
        <v>0</v>
      </c>
      <c r="Q352" s="157">
        <v>145.16</v>
      </c>
      <c r="R352" s="157">
        <v>0</v>
      </c>
      <c r="S352" s="157">
        <v>0</v>
      </c>
      <c r="T352" s="125">
        <v>0</v>
      </c>
      <c r="U352" s="125">
        <v>0</v>
      </c>
      <c r="V352" s="125">
        <v>0</v>
      </c>
      <c r="W352" s="125">
        <v>0</v>
      </c>
      <c r="X352" s="157">
        <v>0</v>
      </c>
      <c r="Y352" s="125">
        <v>0</v>
      </c>
      <c r="Z352" s="125">
        <v>0</v>
      </c>
      <c r="AA352" s="125">
        <v>0</v>
      </c>
      <c r="AB352" s="125">
        <v>0</v>
      </c>
      <c r="AC352" s="125">
        <v>0</v>
      </c>
      <c r="AD352" s="125">
        <v>0</v>
      </c>
      <c r="AE352" s="157">
        <v>0</v>
      </c>
      <c r="AF352" s="157">
        <v>0</v>
      </c>
      <c r="AG352" s="125">
        <v>0</v>
      </c>
      <c r="AH352" s="125">
        <v>0</v>
      </c>
      <c r="AI352" s="157">
        <v>0</v>
      </c>
      <c r="AJ352" s="157">
        <v>0</v>
      </c>
      <c r="AK352" s="157">
        <v>0</v>
      </c>
      <c r="AL352" s="125">
        <v>145.16</v>
      </c>
    </row>
    <row r="353" spans="1:38" s="117" customFormat="1" ht="15" customHeight="1" x14ac:dyDescent="0.2">
      <c r="A353" s="123" t="s">
        <v>363</v>
      </c>
      <c r="B353" s="124" t="s">
        <v>1217</v>
      </c>
      <c r="C353" s="157">
        <v>84.17</v>
      </c>
      <c r="D353" s="125">
        <v>84.17</v>
      </c>
      <c r="E353" s="157">
        <v>84.17</v>
      </c>
      <c r="F353" s="125">
        <v>84.17</v>
      </c>
      <c r="G353" s="157">
        <v>32.61</v>
      </c>
      <c r="H353" s="157">
        <v>84.17</v>
      </c>
      <c r="I353" s="157">
        <v>84.17</v>
      </c>
      <c r="J353" s="125">
        <v>3428.4</v>
      </c>
      <c r="K353" s="125">
        <v>84.17</v>
      </c>
      <c r="L353" s="125">
        <v>84.17</v>
      </c>
      <c r="M353" s="157">
        <v>84.17</v>
      </c>
      <c r="N353" s="157">
        <v>84.17</v>
      </c>
      <c r="O353" s="157">
        <v>84.17</v>
      </c>
      <c r="P353" s="125">
        <v>194.42</v>
      </c>
      <c r="Q353" s="157">
        <v>4648.6000000000004</v>
      </c>
      <c r="R353" s="157">
        <v>84.17</v>
      </c>
      <c r="S353" s="157">
        <v>255.77</v>
      </c>
      <c r="T353" s="125">
        <v>138.35</v>
      </c>
      <c r="U353" s="125">
        <v>402.17</v>
      </c>
      <c r="V353" s="125">
        <v>357.17</v>
      </c>
      <c r="W353" s="125">
        <v>84.17</v>
      </c>
      <c r="X353" s="157">
        <v>189.92</v>
      </c>
      <c r="Y353" s="125">
        <v>32.61</v>
      </c>
      <c r="Z353" s="125">
        <v>309.17</v>
      </c>
      <c r="AA353" s="125">
        <v>-20.83</v>
      </c>
      <c r="AB353" s="125">
        <v>84.17</v>
      </c>
      <c r="AC353" s="125">
        <v>148.91999999999999</v>
      </c>
      <c r="AD353" s="125">
        <v>-101.39</v>
      </c>
      <c r="AE353" s="157">
        <v>84.18</v>
      </c>
      <c r="AF353" s="157">
        <v>32.61</v>
      </c>
      <c r="AG353" s="125">
        <v>84.18</v>
      </c>
      <c r="AH353" s="125">
        <v>212.6</v>
      </c>
      <c r="AI353" s="157">
        <v>84.18</v>
      </c>
      <c r="AJ353" s="157">
        <v>84.18</v>
      </c>
      <c r="AK353" s="157">
        <v>84.18</v>
      </c>
      <c r="AL353" s="125">
        <v>11860.38</v>
      </c>
    </row>
    <row r="354" spans="1:38" s="117" customFormat="1" ht="15" customHeight="1" x14ac:dyDescent="0.2">
      <c r="A354" s="123" t="s">
        <v>364</v>
      </c>
      <c r="B354" s="124" t="s">
        <v>1216</v>
      </c>
      <c r="C354" s="157">
        <v>125</v>
      </c>
      <c r="D354" s="125">
        <v>0</v>
      </c>
      <c r="E354" s="157">
        <v>0</v>
      </c>
      <c r="F354" s="125">
        <v>0</v>
      </c>
      <c r="G354" s="157">
        <v>0</v>
      </c>
      <c r="H354" s="157">
        <v>125</v>
      </c>
      <c r="I354" s="157">
        <v>0</v>
      </c>
      <c r="J354" s="125">
        <v>125</v>
      </c>
      <c r="K354" s="125">
        <v>0</v>
      </c>
      <c r="L354" s="125">
        <v>0</v>
      </c>
      <c r="M354" s="157">
        <v>0</v>
      </c>
      <c r="N354" s="157">
        <v>0</v>
      </c>
      <c r="O354" s="157">
        <v>125</v>
      </c>
      <c r="P354" s="125">
        <v>0</v>
      </c>
      <c r="Q354" s="157">
        <v>0</v>
      </c>
      <c r="R354" s="157">
        <v>0</v>
      </c>
      <c r="S354" s="157">
        <v>125</v>
      </c>
      <c r="T354" s="125">
        <v>0</v>
      </c>
      <c r="U354" s="125">
        <v>125</v>
      </c>
      <c r="V354" s="125">
        <v>0</v>
      </c>
      <c r="W354" s="125">
        <v>0</v>
      </c>
      <c r="X354" s="157">
        <v>125</v>
      </c>
      <c r="Y354" s="125">
        <v>0</v>
      </c>
      <c r="Z354" s="125">
        <v>0</v>
      </c>
      <c r="AA354" s="125">
        <v>0</v>
      </c>
      <c r="AB354" s="125">
        <v>0</v>
      </c>
      <c r="AC354" s="125">
        <v>250</v>
      </c>
      <c r="AD354" s="125">
        <v>40</v>
      </c>
      <c r="AE354" s="157">
        <v>125</v>
      </c>
      <c r="AF354" s="157">
        <v>0</v>
      </c>
      <c r="AG354" s="125">
        <v>125</v>
      </c>
      <c r="AH354" s="125">
        <v>0</v>
      </c>
      <c r="AI354" s="157">
        <v>0</v>
      </c>
      <c r="AJ354" s="157">
        <v>125</v>
      </c>
      <c r="AK354" s="157">
        <v>125</v>
      </c>
      <c r="AL354" s="125">
        <v>1665</v>
      </c>
    </row>
    <row r="355" spans="1:38" s="117" customFormat="1" ht="15" customHeight="1" x14ac:dyDescent="0.2">
      <c r="A355" s="123" t="s">
        <v>1215</v>
      </c>
      <c r="B355" s="124" t="s">
        <v>1214</v>
      </c>
      <c r="C355" s="157">
        <v>31.62</v>
      </c>
      <c r="D355" s="125">
        <v>31.62</v>
      </c>
      <c r="E355" s="157">
        <v>31.62</v>
      </c>
      <c r="F355" s="125">
        <v>31.62</v>
      </c>
      <c r="G355" s="157">
        <v>0</v>
      </c>
      <c r="H355" s="157">
        <v>31.62</v>
      </c>
      <c r="I355" s="157">
        <v>31.62</v>
      </c>
      <c r="J355" s="125">
        <v>31.62</v>
      </c>
      <c r="K355" s="125">
        <v>31.62</v>
      </c>
      <c r="L355" s="125">
        <v>31.62</v>
      </c>
      <c r="M355" s="157">
        <v>31.62</v>
      </c>
      <c r="N355" s="157">
        <v>31.62</v>
      </c>
      <c r="O355" s="157">
        <v>31.62</v>
      </c>
      <c r="P355" s="125">
        <v>31.62</v>
      </c>
      <c r="Q355" s="157">
        <v>0</v>
      </c>
      <c r="R355" s="157">
        <v>31.62</v>
      </c>
      <c r="S355" s="157">
        <v>31.62</v>
      </c>
      <c r="T355" s="125">
        <v>0</v>
      </c>
      <c r="U355" s="125">
        <v>31.62</v>
      </c>
      <c r="V355" s="125">
        <v>31.62</v>
      </c>
      <c r="W355" s="125">
        <v>31.62</v>
      </c>
      <c r="X355" s="157">
        <v>31.62</v>
      </c>
      <c r="Y355" s="125">
        <v>0</v>
      </c>
      <c r="Z355" s="125">
        <v>31.62</v>
      </c>
      <c r="AA355" s="125">
        <v>31.62</v>
      </c>
      <c r="AB355" s="125">
        <v>31.62</v>
      </c>
      <c r="AC355" s="125">
        <v>0</v>
      </c>
      <c r="AD355" s="125">
        <v>0</v>
      </c>
      <c r="AE355" s="157">
        <v>31.62</v>
      </c>
      <c r="AF355" s="157">
        <v>0</v>
      </c>
      <c r="AG355" s="125">
        <v>31.62</v>
      </c>
      <c r="AH355" s="125">
        <v>0</v>
      </c>
      <c r="AI355" s="157">
        <v>31.62</v>
      </c>
      <c r="AJ355" s="157">
        <v>0</v>
      </c>
      <c r="AK355" s="157">
        <v>31.62</v>
      </c>
      <c r="AL355" s="125">
        <v>822.12</v>
      </c>
    </row>
    <row r="356" spans="1:38" s="117" customFormat="1" ht="15" customHeight="1" x14ac:dyDescent="0.2">
      <c r="A356" s="123" t="s">
        <v>546</v>
      </c>
      <c r="B356" s="124" t="s">
        <v>1213</v>
      </c>
      <c r="C356" s="157">
        <v>1488.96</v>
      </c>
      <c r="D356" s="125">
        <v>0</v>
      </c>
      <c r="E356" s="157">
        <v>0</v>
      </c>
      <c r="F356" s="125">
        <v>636.29999999999995</v>
      </c>
      <c r="G356" s="157">
        <v>0</v>
      </c>
      <c r="H356" s="157">
        <v>500</v>
      </c>
      <c r="I356" s="157">
        <v>702.24</v>
      </c>
      <c r="J356" s="125">
        <v>250</v>
      </c>
      <c r="K356" s="125">
        <v>200</v>
      </c>
      <c r="L356" s="125">
        <v>813.12</v>
      </c>
      <c r="M356" s="157">
        <v>0</v>
      </c>
      <c r="N356" s="157">
        <v>0</v>
      </c>
      <c r="O356" s="157">
        <v>670.56</v>
      </c>
      <c r="P356" s="125">
        <v>200</v>
      </c>
      <c r="Q356" s="157">
        <v>500</v>
      </c>
      <c r="R356" s="157">
        <v>1046</v>
      </c>
      <c r="S356" s="157">
        <v>517.44000000000005</v>
      </c>
      <c r="T356" s="125">
        <v>0</v>
      </c>
      <c r="U356" s="125">
        <v>844.8</v>
      </c>
      <c r="V356" s="125">
        <v>0</v>
      </c>
      <c r="W356" s="125">
        <v>200</v>
      </c>
      <c r="X356" s="157">
        <v>550</v>
      </c>
      <c r="Y356" s="125">
        <v>0</v>
      </c>
      <c r="Z356" s="125">
        <v>0</v>
      </c>
      <c r="AA356" s="125">
        <v>0</v>
      </c>
      <c r="AB356" s="125">
        <v>1138.32</v>
      </c>
      <c r="AC356" s="125">
        <v>400</v>
      </c>
      <c r="AD356" s="125">
        <v>0</v>
      </c>
      <c r="AE356" s="157">
        <v>0</v>
      </c>
      <c r="AF356" s="157">
        <v>0</v>
      </c>
      <c r="AG356" s="125">
        <v>100</v>
      </c>
      <c r="AH356" s="125">
        <v>0</v>
      </c>
      <c r="AI356" s="157">
        <v>1105.2</v>
      </c>
      <c r="AJ356" s="157">
        <v>0</v>
      </c>
      <c r="AK356" s="157">
        <v>872</v>
      </c>
      <c r="AL356" s="125">
        <v>12734.94</v>
      </c>
    </row>
    <row r="357" spans="1:38" s="117" customFormat="1" ht="15" customHeight="1" x14ac:dyDescent="0.2">
      <c r="A357" s="123" t="s">
        <v>547</v>
      </c>
      <c r="B357" s="124" t="s">
        <v>1212</v>
      </c>
      <c r="C357" s="157">
        <v>0</v>
      </c>
      <c r="D357" s="125">
        <v>0</v>
      </c>
      <c r="E357" s="157">
        <v>0</v>
      </c>
      <c r="F357" s="125">
        <v>0</v>
      </c>
      <c r="G357" s="157">
        <v>0</v>
      </c>
      <c r="H357" s="157">
        <v>0</v>
      </c>
      <c r="I357" s="157">
        <v>0</v>
      </c>
      <c r="J357" s="125">
        <v>0</v>
      </c>
      <c r="K357" s="125">
        <v>0</v>
      </c>
      <c r="L357" s="125">
        <v>32.85</v>
      </c>
      <c r="M357" s="157">
        <v>0</v>
      </c>
      <c r="N357" s="157">
        <v>0</v>
      </c>
      <c r="O357" s="157">
        <v>0</v>
      </c>
      <c r="P357" s="125">
        <v>278.2</v>
      </c>
      <c r="Q357" s="157">
        <v>177.15</v>
      </c>
      <c r="R357" s="157">
        <v>0</v>
      </c>
      <c r="S357" s="157">
        <v>192</v>
      </c>
      <c r="T357" s="125">
        <v>0</v>
      </c>
      <c r="U357" s="125">
        <v>348.77</v>
      </c>
      <c r="V357" s="125">
        <v>0</v>
      </c>
      <c r="W357" s="125">
        <v>30</v>
      </c>
      <c r="X357" s="157">
        <v>0</v>
      </c>
      <c r="Y357" s="125">
        <v>0</v>
      </c>
      <c r="Z357" s="125">
        <v>0</v>
      </c>
      <c r="AA357" s="125">
        <v>0</v>
      </c>
      <c r="AB357" s="125">
        <v>0</v>
      </c>
      <c r="AC357" s="125">
        <v>0</v>
      </c>
      <c r="AD357" s="125">
        <v>0</v>
      </c>
      <c r="AE357" s="157">
        <v>0</v>
      </c>
      <c r="AF357" s="157">
        <v>0</v>
      </c>
      <c r="AG357" s="125">
        <v>0</v>
      </c>
      <c r="AH357" s="125">
        <v>177.2</v>
      </c>
      <c r="AI357" s="157">
        <v>0</v>
      </c>
      <c r="AJ357" s="157">
        <v>211.31</v>
      </c>
      <c r="AK357" s="157">
        <v>0</v>
      </c>
      <c r="AL357" s="125">
        <v>1447.48</v>
      </c>
    </row>
    <row r="358" spans="1:38" s="117" customFormat="1" ht="15" customHeight="1" x14ac:dyDescent="0.2">
      <c r="A358" s="123" t="s">
        <v>781</v>
      </c>
      <c r="B358" s="124" t="s">
        <v>1211</v>
      </c>
      <c r="C358" s="157">
        <v>0</v>
      </c>
      <c r="D358" s="125">
        <v>0</v>
      </c>
      <c r="E358" s="157">
        <v>0</v>
      </c>
      <c r="F358" s="125">
        <v>0</v>
      </c>
      <c r="G358" s="157">
        <v>0</v>
      </c>
      <c r="H358" s="157">
        <v>0</v>
      </c>
      <c r="I358" s="157">
        <v>0</v>
      </c>
      <c r="J358" s="125">
        <v>0</v>
      </c>
      <c r="K358" s="125">
        <v>0</v>
      </c>
      <c r="L358" s="125">
        <v>0</v>
      </c>
      <c r="M358" s="157">
        <v>0</v>
      </c>
      <c r="N358" s="157">
        <v>0</v>
      </c>
      <c r="O358" s="157">
        <v>0</v>
      </c>
      <c r="P358" s="125">
        <v>0</v>
      </c>
      <c r="Q358" s="157">
        <v>0</v>
      </c>
      <c r="R358" s="157">
        <v>0</v>
      </c>
      <c r="S358" s="157">
        <v>0</v>
      </c>
      <c r="T358" s="125">
        <v>0</v>
      </c>
      <c r="U358" s="125">
        <v>0</v>
      </c>
      <c r="V358" s="125">
        <v>0</v>
      </c>
      <c r="W358" s="125">
        <v>0</v>
      </c>
      <c r="X358" s="157">
        <v>0</v>
      </c>
      <c r="Y358" s="125">
        <v>0</v>
      </c>
      <c r="Z358" s="125">
        <v>0</v>
      </c>
      <c r="AA358" s="125">
        <v>0</v>
      </c>
      <c r="AB358" s="125">
        <v>57.48</v>
      </c>
      <c r="AC358" s="125">
        <v>0</v>
      </c>
      <c r="AD358" s="125">
        <v>0</v>
      </c>
      <c r="AE358" s="157">
        <v>0</v>
      </c>
      <c r="AF358" s="157">
        <v>0</v>
      </c>
      <c r="AG358" s="125">
        <v>0</v>
      </c>
      <c r="AH358" s="125">
        <v>0</v>
      </c>
      <c r="AI358" s="157">
        <v>0</v>
      </c>
      <c r="AJ358" s="157">
        <v>0</v>
      </c>
      <c r="AK358" s="157">
        <v>0</v>
      </c>
      <c r="AL358" s="125">
        <v>57.48</v>
      </c>
    </row>
    <row r="359" spans="1:38" s="117" customFormat="1" ht="15" customHeight="1" x14ac:dyDescent="0.2">
      <c r="A359" s="123" t="s">
        <v>365</v>
      </c>
      <c r="B359" s="124" t="s">
        <v>1210</v>
      </c>
      <c r="C359" s="157">
        <v>59.75</v>
      </c>
      <c r="D359" s="125">
        <v>0</v>
      </c>
      <c r="E359" s="157">
        <v>59.75</v>
      </c>
      <c r="F359" s="125">
        <v>0</v>
      </c>
      <c r="G359" s="157">
        <v>0</v>
      </c>
      <c r="H359" s="157">
        <v>0</v>
      </c>
      <c r="I359" s="157">
        <v>0</v>
      </c>
      <c r="J359" s="125">
        <v>0</v>
      </c>
      <c r="K359" s="125">
        <v>39.979999999999997</v>
      </c>
      <c r="L359" s="125">
        <v>0</v>
      </c>
      <c r="M359" s="157">
        <v>0</v>
      </c>
      <c r="N359" s="157">
        <v>-24.27</v>
      </c>
      <c r="O359" s="157">
        <v>0</v>
      </c>
      <c r="P359" s="125">
        <v>0</v>
      </c>
      <c r="Q359" s="157">
        <v>0</v>
      </c>
      <c r="R359" s="157">
        <v>0</v>
      </c>
      <c r="S359" s="157">
        <v>0</v>
      </c>
      <c r="T359" s="125">
        <v>0</v>
      </c>
      <c r="U359" s="125">
        <v>305.70999999999998</v>
      </c>
      <c r="V359" s="125">
        <v>16.36</v>
      </c>
      <c r="W359" s="125">
        <v>0</v>
      </c>
      <c r="X359" s="157">
        <v>90</v>
      </c>
      <c r="Y359" s="125">
        <v>0</v>
      </c>
      <c r="Z359" s="125">
        <v>0</v>
      </c>
      <c r="AA359" s="125">
        <v>39.19</v>
      </c>
      <c r="AB359" s="125">
        <v>0</v>
      </c>
      <c r="AC359" s="125">
        <v>266.18</v>
      </c>
      <c r="AD359" s="125">
        <v>56.97</v>
      </c>
      <c r="AE359" s="157">
        <v>0</v>
      </c>
      <c r="AF359" s="157">
        <v>0</v>
      </c>
      <c r="AG359" s="125">
        <v>0</v>
      </c>
      <c r="AH359" s="125">
        <v>0</v>
      </c>
      <c r="AI359" s="157">
        <v>0</v>
      </c>
      <c r="AJ359" s="157">
        <v>343.86</v>
      </c>
      <c r="AK359" s="157">
        <v>0</v>
      </c>
      <c r="AL359" s="125">
        <v>1253.48</v>
      </c>
    </row>
    <row r="360" spans="1:38" s="117" customFormat="1" ht="15" customHeight="1" x14ac:dyDescent="0.2">
      <c r="A360" s="123" t="s">
        <v>779</v>
      </c>
      <c r="B360" s="124" t="s">
        <v>1209</v>
      </c>
      <c r="C360" s="157">
        <v>0</v>
      </c>
      <c r="D360" s="125">
        <v>0</v>
      </c>
      <c r="E360" s="157">
        <v>0</v>
      </c>
      <c r="F360" s="125">
        <v>0</v>
      </c>
      <c r="G360" s="157">
        <v>0</v>
      </c>
      <c r="H360" s="157">
        <v>0</v>
      </c>
      <c r="I360" s="157">
        <v>499</v>
      </c>
      <c r="J360" s="125">
        <v>0</v>
      </c>
      <c r="K360" s="125">
        <v>0</v>
      </c>
      <c r="L360" s="125">
        <v>0</v>
      </c>
      <c r="M360" s="157">
        <v>0</v>
      </c>
      <c r="N360" s="157">
        <v>0</v>
      </c>
      <c r="O360" s="157">
        <v>0</v>
      </c>
      <c r="P360" s="125">
        <v>0</v>
      </c>
      <c r="Q360" s="157">
        <v>0</v>
      </c>
      <c r="R360" s="157">
        <v>0</v>
      </c>
      <c r="S360" s="157">
        <v>0</v>
      </c>
      <c r="T360" s="125">
        <v>0</v>
      </c>
      <c r="U360" s="125">
        <v>0</v>
      </c>
      <c r="V360" s="125">
        <v>0</v>
      </c>
      <c r="W360" s="125">
        <v>0</v>
      </c>
      <c r="X360" s="157">
        <v>0</v>
      </c>
      <c r="Y360" s="125">
        <v>0</v>
      </c>
      <c r="Z360" s="125">
        <v>0</v>
      </c>
      <c r="AA360" s="125">
        <v>0</v>
      </c>
      <c r="AB360" s="125">
        <v>0</v>
      </c>
      <c r="AC360" s="125">
        <v>0</v>
      </c>
      <c r="AD360" s="125">
        <v>0</v>
      </c>
      <c r="AE360" s="157">
        <v>0</v>
      </c>
      <c r="AF360" s="157">
        <v>0</v>
      </c>
      <c r="AG360" s="125">
        <v>0</v>
      </c>
      <c r="AH360" s="125">
        <v>0</v>
      </c>
      <c r="AI360" s="157">
        <v>0</v>
      </c>
      <c r="AJ360" s="157">
        <v>0</v>
      </c>
      <c r="AK360" s="157">
        <v>0</v>
      </c>
      <c r="AL360" s="125">
        <v>499</v>
      </c>
    </row>
    <row r="361" spans="1:38" s="117" customFormat="1" ht="15" customHeight="1" x14ac:dyDescent="0.2">
      <c r="A361" s="123" t="s">
        <v>777</v>
      </c>
      <c r="B361" s="124" t="s">
        <v>1192</v>
      </c>
      <c r="C361" s="157">
        <v>0</v>
      </c>
      <c r="D361" s="125">
        <v>0</v>
      </c>
      <c r="E361" s="157">
        <v>0</v>
      </c>
      <c r="F361" s="125">
        <v>0</v>
      </c>
      <c r="G361" s="157">
        <v>0</v>
      </c>
      <c r="H361" s="157">
        <v>0</v>
      </c>
      <c r="I361" s="157">
        <v>0</v>
      </c>
      <c r="J361" s="125">
        <v>0</v>
      </c>
      <c r="K361" s="125">
        <v>0</v>
      </c>
      <c r="L361" s="125">
        <v>0</v>
      </c>
      <c r="M361" s="157">
        <v>0</v>
      </c>
      <c r="N361" s="157">
        <v>0</v>
      </c>
      <c r="O361" s="157">
        <v>0</v>
      </c>
      <c r="P361" s="125">
        <v>0</v>
      </c>
      <c r="Q361" s="157">
        <v>0</v>
      </c>
      <c r="R361" s="157">
        <v>0</v>
      </c>
      <c r="S361" s="157">
        <v>0</v>
      </c>
      <c r="T361" s="125">
        <v>0</v>
      </c>
      <c r="U361" s="125">
        <v>0</v>
      </c>
      <c r="V361" s="125">
        <v>0</v>
      </c>
      <c r="W361" s="125">
        <v>0</v>
      </c>
      <c r="X361" s="157">
        <v>0</v>
      </c>
      <c r="Y361" s="125">
        <v>0</v>
      </c>
      <c r="Z361" s="125">
        <v>0</v>
      </c>
      <c r="AA361" s="125">
        <v>0</v>
      </c>
      <c r="AB361" s="125">
        <v>0</v>
      </c>
      <c r="AC361" s="125">
        <v>43.75</v>
      </c>
      <c r="AD361" s="125">
        <v>0</v>
      </c>
      <c r="AE361" s="157">
        <v>0</v>
      </c>
      <c r="AF361" s="157">
        <v>0</v>
      </c>
      <c r="AG361" s="125">
        <v>0</v>
      </c>
      <c r="AH361" s="125">
        <v>147</v>
      </c>
      <c r="AI361" s="157">
        <v>0</v>
      </c>
      <c r="AJ361" s="157">
        <v>0</v>
      </c>
      <c r="AK361" s="157">
        <v>0</v>
      </c>
      <c r="AL361" s="125">
        <v>190.75</v>
      </c>
    </row>
    <row r="362" spans="1:38" s="117" customFormat="1" ht="15" customHeight="1" x14ac:dyDescent="0.2">
      <c r="A362" s="123" t="s">
        <v>1403</v>
      </c>
      <c r="B362" s="124" t="s">
        <v>1444</v>
      </c>
      <c r="C362" s="157">
        <v>0</v>
      </c>
      <c r="D362" s="125">
        <v>0</v>
      </c>
      <c r="E362" s="157">
        <v>0</v>
      </c>
      <c r="F362" s="125">
        <v>0</v>
      </c>
      <c r="G362" s="157">
        <v>0</v>
      </c>
      <c r="H362" s="157">
        <v>0</v>
      </c>
      <c r="I362" s="157">
        <v>0</v>
      </c>
      <c r="J362" s="125">
        <v>0</v>
      </c>
      <c r="K362" s="125">
        <v>0</v>
      </c>
      <c r="L362" s="125">
        <v>0</v>
      </c>
      <c r="M362" s="157">
        <v>0</v>
      </c>
      <c r="N362" s="157">
        <v>0</v>
      </c>
      <c r="O362" s="157">
        <v>0</v>
      </c>
      <c r="P362" s="125">
        <v>0</v>
      </c>
      <c r="Q362" s="157">
        <v>0</v>
      </c>
      <c r="R362" s="157">
        <v>0</v>
      </c>
      <c r="S362" s="157">
        <v>0</v>
      </c>
      <c r="T362" s="125">
        <v>0</v>
      </c>
      <c r="U362" s="125">
        <v>0</v>
      </c>
      <c r="V362" s="125">
        <v>0</v>
      </c>
      <c r="W362" s="125">
        <v>0</v>
      </c>
      <c r="X362" s="157">
        <v>0</v>
      </c>
      <c r="Y362" s="125">
        <v>0</v>
      </c>
      <c r="Z362" s="125">
        <v>0</v>
      </c>
      <c r="AA362" s="125">
        <v>0</v>
      </c>
      <c r="AB362" s="125">
        <v>31.33</v>
      </c>
      <c r="AC362" s="125">
        <v>400</v>
      </c>
      <c r="AD362" s="125">
        <v>0</v>
      </c>
      <c r="AE362" s="157">
        <v>0</v>
      </c>
      <c r="AF362" s="157">
        <v>0</v>
      </c>
      <c r="AG362" s="125">
        <v>0</v>
      </c>
      <c r="AH362" s="125">
        <v>0</v>
      </c>
      <c r="AI362" s="157">
        <v>0</v>
      </c>
      <c r="AJ362" s="157">
        <v>0</v>
      </c>
      <c r="AK362" s="157">
        <v>0</v>
      </c>
      <c r="AL362" s="125">
        <v>431.33</v>
      </c>
    </row>
    <row r="363" spans="1:38" s="117" customFormat="1" ht="15" customHeight="1" x14ac:dyDescent="0.2">
      <c r="A363" s="123" t="s">
        <v>366</v>
      </c>
      <c r="B363" s="124" t="s">
        <v>1208</v>
      </c>
      <c r="C363" s="157">
        <v>450</v>
      </c>
      <c r="D363" s="125">
        <v>954</v>
      </c>
      <c r="E363" s="157">
        <v>750</v>
      </c>
      <c r="F363" s="125">
        <v>900</v>
      </c>
      <c r="G363" s="157">
        <v>900</v>
      </c>
      <c r="H363" s="157">
        <v>825</v>
      </c>
      <c r="I363" s="157">
        <v>1050</v>
      </c>
      <c r="J363" s="125">
        <v>825</v>
      </c>
      <c r="K363" s="125">
        <v>874.5</v>
      </c>
      <c r="L363" s="125">
        <v>900</v>
      </c>
      <c r="M363" s="157">
        <v>1113</v>
      </c>
      <c r="N363" s="157">
        <v>600</v>
      </c>
      <c r="O363" s="157">
        <v>900</v>
      </c>
      <c r="P363" s="125">
        <v>874.5</v>
      </c>
      <c r="Q363" s="157">
        <v>750</v>
      </c>
      <c r="R363" s="157">
        <v>900</v>
      </c>
      <c r="S363" s="157">
        <v>874.5</v>
      </c>
      <c r="T363" s="125">
        <v>795</v>
      </c>
      <c r="U363" s="125">
        <v>563</v>
      </c>
      <c r="V363" s="125">
        <v>900</v>
      </c>
      <c r="W363" s="125">
        <v>825</v>
      </c>
      <c r="X363" s="157">
        <v>900</v>
      </c>
      <c r="Y363" s="125">
        <v>825</v>
      </c>
      <c r="Z363" s="125">
        <v>954</v>
      </c>
      <c r="AA363" s="125">
        <v>900</v>
      </c>
      <c r="AB363" s="125">
        <v>750</v>
      </c>
      <c r="AC363" s="125">
        <v>1230</v>
      </c>
      <c r="AD363" s="125">
        <v>688.5</v>
      </c>
      <c r="AE363" s="157">
        <v>900</v>
      </c>
      <c r="AF363" s="157">
        <v>900</v>
      </c>
      <c r="AG363" s="125">
        <v>825</v>
      </c>
      <c r="AH363" s="125">
        <v>825</v>
      </c>
      <c r="AI363" s="157">
        <v>900</v>
      </c>
      <c r="AJ363" s="157">
        <v>900</v>
      </c>
      <c r="AK363" s="157">
        <v>900</v>
      </c>
      <c r="AL363" s="125">
        <v>29921</v>
      </c>
    </row>
    <row r="364" spans="1:38" s="117" customFormat="1" ht="15" customHeight="1" x14ac:dyDescent="0.2">
      <c r="A364" s="123" t="s">
        <v>367</v>
      </c>
      <c r="B364" s="124" t="s">
        <v>1207</v>
      </c>
      <c r="C364" s="157">
        <v>405.5</v>
      </c>
      <c r="D364" s="125">
        <v>460.95</v>
      </c>
      <c r="E364" s="157">
        <v>760.5</v>
      </c>
      <c r="F364" s="125">
        <v>677.5</v>
      </c>
      <c r="G364" s="157">
        <v>1124.5</v>
      </c>
      <c r="H364" s="157">
        <v>561.5</v>
      </c>
      <c r="I364" s="157">
        <v>323</v>
      </c>
      <c r="J364" s="125">
        <v>302</v>
      </c>
      <c r="K364" s="125">
        <v>356.5</v>
      </c>
      <c r="L364" s="125">
        <v>485.5</v>
      </c>
      <c r="M364" s="157">
        <v>466.5</v>
      </c>
      <c r="N364" s="157">
        <v>239.5</v>
      </c>
      <c r="O364" s="157">
        <v>321.5</v>
      </c>
      <c r="P364" s="125">
        <v>352</v>
      </c>
      <c r="Q364" s="157">
        <v>980.5</v>
      </c>
      <c r="R364" s="157">
        <v>310.5</v>
      </c>
      <c r="S364" s="157">
        <v>345.5</v>
      </c>
      <c r="T364" s="125">
        <v>812.5</v>
      </c>
      <c r="U364" s="125">
        <v>969.5</v>
      </c>
      <c r="V364" s="125">
        <v>467</v>
      </c>
      <c r="W364" s="125">
        <v>660.5</v>
      </c>
      <c r="X364" s="157">
        <v>583</v>
      </c>
      <c r="Y364" s="125">
        <v>265.5</v>
      </c>
      <c r="Z364" s="125">
        <v>127.5</v>
      </c>
      <c r="AA364" s="125">
        <v>380</v>
      </c>
      <c r="AB364" s="125">
        <v>681.5</v>
      </c>
      <c r="AC364" s="125">
        <v>2010</v>
      </c>
      <c r="AD364" s="125">
        <v>1877.5</v>
      </c>
      <c r="AE364" s="157">
        <v>331</v>
      </c>
      <c r="AF364" s="157">
        <v>575.5</v>
      </c>
      <c r="AG364" s="125">
        <v>877.5</v>
      </c>
      <c r="AH364" s="125">
        <v>1830</v>
      </c>
      <c r="AI364" s="157">
        <v>566</v>
      </c>
      <c r="AJ364" s="157">
        <v>484.5</v>
      </c>
      <c r="AK364" s="157">
        <v>583.5</v>
      </c>
      <c r="AL364" s="125">
        <v>22555.95</v>
      </c>
    </row>
    <row r="365" spans="1:38" s="117" customFormat="1" ht="15" customHeight="1" x14ac:dyDescent="0.2">
      <c r="A365" s="123" t="s">
        <v>368</v>
      </c>
      <c r="B365" s="124" t="s">
        <v>1206</v>
      </c>
      <c r="C365" s="157">
        <v>346</v>
      </c>
      <c r="D365" s="125">
        <v>0</v>
      </c>
      <c r="E365" s="157">
        <v>0</v>
      </c>
      <c r="F365" s="125">
        <v>4069.48</v>
      </c>
      <c r="G365" s="157">
        <v>5333.05</v>
      </c>
      <c r="H365" s="157">
        <v>1656.56</v>
      </c>
      <c r="I365" s="157">
        <v>860.05</v>
      </c>
      <c r="J365" s="125">
        <v>0</v>
      </c>
      <c r="K365" s="125">
        <v>491</v>
      </c>
      <c r="L365" s="125">
        <v>1523.8</v>
      </c>
      <c r="M365" s="157">
        <v>800.74</v>
      </c>
      <c r="N365" s="157">
        <v>0</v>
      </c>
      <c r="O365" s="157">
        <v>1732.11</v>
      </c>
      <c r="P365" s="125">
        <v>0</v>
      </c>
      <c r="Q365" s="157">
        <v>922.4</v>
      </c>
      <c r="R365" s="157">
        <v>2947.31</v>
      </c>
      <c r="S365" s="157">
        <v>238.63</v>
      </c>
      <c r="T365" s="125">
        <v>880.1</v>
      </c>
      <c r="U365" s="125">
        <v>6574.82</v>
      </c>
      <c r="V365" s="125">
        <v>1007.01</v>
      </c>
      <c r="W365" s="125">
        <v>2099.56</v>
      </c>
      <c r="X365" s="157">
        <v>280.12</v>
      </c>
      <c r="Y365" s="125">
        <v>2548.59</v>
      </c>
      <c r="Z365" s="125">
        <v>288.13</v>
      </c>
      <c r="AA365" s="125">
        <v>3472.1</v>
      </c>
      <c r="AB365" s="125">
        <v>1207.28</v>
      </c>
      <c r="AC365" s="125">
        <v>1707.81</v>
      </c>
      <c r="AD365" s="125">
        <v>4719.8</v>
      </c>
      <c r="AE365" s="157">
        <v>495.15</v>
      </c>
      <c r="AF365" s="157">
        <v>1985.11</v>
      </c>
      <c r="AG365" s="125">
        <v>5183.7700000000004</v>
      </c>
      <c r="AH365" s="125">
        <v>11550.67</v>
      </c>
      <c r="AI365" s="157">
        <v>2464.46</v>
      </c>
      <c r="AJ365" s="157">
        <v>945.35</v>
      </c>
      <c r="AK365" s="157">
        <v>1482.62</v>
      </c>
      <c r="AL365" s="125">
        <v>69813.58</v>
      </c>
    </row>
    <row r="366" spans="1:38" s="117" customFormat="1" ht="15" customHeight="1" x14ac:dyDescent="0.2">
      <c r="A366" s="123" t="s">
        <v>369</v>
      </c>
      <c r="B366" s="124" t="s">
        <v>1205</v>
      </c>
      <c r="C366" s="157">
        <v>0</v>
      </c>
      <c r="D366" s="125">
        <v>273.87</v>
      </c>
      <c r="E366" s="157">
        <v>0</v>
      </c>
      <c r="F366" s="125">
        <v>0</v>
      </c>
      <c r="G366" s="157">
        <v>354</v>
      </c>
      <c r="H366" s="157">
        <v>577</v>
      </c>
      <c r="I366" s="157">
        <v>0</v>
      </c>
      <c r="J366" s="125">
        <v>0</v>
      </c>
      <c r="K366" s="125">
        <v>0</v>
      </c>
      <c r="L366" s="125">
        <v>4</v>
      </c>
      <c r="M366" s="157">
        <v>0</v>
      </c>
      <c r="N366" s="157">
        <v>11.5</v>
      </c>
      <c r="O366" s="157">
        <v>984.71</v>
      </c>
      <c r="P366" s="125">
        <v>0</v>
      </c>
      <c r="Q366" s="157">
        <v>12337.46</v>
      </c>
      <c r="R366" s="157">
        <v>0</v>
      </c>
      <c r="S366" s="157">
        <v>0</v>
      </c>
      <c r="T366" s="125">
        <v>0</v>
      </c>
      <c r="U366" s="125">
        <v>1085.73</v>
      </c>
      <c r="V366" s="125">
        <v>0</v>
      </c>
      <c r="W366" s="125">
        <v>0</v>
      </c>
      <c r="X366" s="157">
        <v>0</v>
      </c>
      <c r="Y366" s="125">
        <v>3564.46</v>
      </c>
      <c r="Z366" s="125">
        <v>0</v>
      </c>
      <c r="AA366" s="125">
        <v>94</v>
      </c>
      <c r="AB366" s="125">
        <v>810.15</v>
      </c>
      <c r="AC366" s="125">
        <v>0</v>
      </c>
      <c r="AD366" s="125">
        <v>1730.16</v>
      </c>
      <c r="AE366" s="157">
        <v>0</v>
      </c>
      <c r="AF366" s="157">
        <v>0</v>
      </c>
      <c r="AG366" s="125">
        <v>0</v>
      </c>
      <c r="AH366" s="125">
        <v>-2946.15</v>
      </c>
      <c r="AI366" s="157">
        <v>0</v>
      </c>
      <c r="AJ366" s="157">
        <v>4</v>
      </c>
      <c r="AK366" s="157">
        <v>31</v>
      </c>
      <c r="AL366" s="125">
        <v>18915.89</v>
      </c>
    </row>
    <row r="367" spans="1:38" s="117" customFormat="1" ht="15" customHeight="1" x14ac:dyDescent="0.2">
      <c r="A367" s="123" t="s">
        <v>370</v>
      </c>
      <c r="B367" s="124" t="s">
        <v>1204</v>
      </c>
      <c r="C367" s="157">
        <v>0</v>
      </c>
      <c r="D367" s="125">
        <v>0</v>
      </c>
      <c r="E367" s="157">
        <v>0</v>
      </c>
      <c r="F367" s="125">
        <v>3802.91</v>
      </c>
      <c r="G367" s="157">
        <v>3843.3</v>
      </c>
      <c r="H367" s="157">
        <v>1077.51</v>
      </c>
      <c r="I367" s="157">
        <v>623.14</v>
      </c>
      <c r="J367" s="125">
        <v>0</v>
      </c>
      <c r="K367" s="125">
        <v>0</v>
      </c>
      <c r="L367" s="125">
        <v>4439.66</v>
      </c>
      <c r="M367" s="157">
        <v>0</v>
      </c>
      <c r="N367" s="157">
        <v>0</v>
      </c>
      <c r="O367" s="157">
        <v>317.85000000000002</v>
      </c>
      <c r="P367" s="125">
        <v>0</v>
      </c>
      <c r="Q367" s="157">
        <v>4094.52</v>
      </c>
      <c r="R367" s="157">
        <v>1247.76</v>
      </c>
      <c r="S367" s="157">
        <v>0</v>
      </c>
      <c r="T367" s="125">
        <v>6325.92</v>
      </c>
      <c r="U367" s="125">
        <v>2085.0300000000002</v>
      </c>
      <c r="V367" s="125">
        <v>943.98</v>
      </c>
      <c r="W367" s="125">
        <v>22.17</v>
      </c>
      <c r="X367" s="157">
        <v>917.3</v>
      </c>
      <c r="Y367" s="125">
        <v>657.36</v>
      </c>
      <c r="Z367" s="125">
        <v>0</v>
      </c>
      <c r="AA367" s="125">
        <v>405.5</v>
      </c>
      <c r="AB367" s="125">
        <v>135.55000000000001</v>
      </c>
      <c r="AC367" s="125">
        <v>3151.12</v>
      </c>
      <c r="AD367" s="125">
        <v>2742.05</v>
      </c>
      <c r="AE367" s="157">
        <v>767</v>
      </c>
      <c r="AF367" s="157">
        <v>4969.6000000000004</v>
      </c>
      <c r="AG367" s="125">
        <v>494.11</v>
      </c>
      <c r="AH367" s="125">
        <v>5624.52</v>
      </c>
      <c r="AI367" s="157">
        <v>2047.07</v>
      </c>
      <c r="AJ367" s="157">
        <v>2285.58</v>
      </c>
      <c r="AK367" s="157">
        <v>0</v>
      </c>
      <c r="AL367" s="125">
        <v>53020.51</v>
      </c>
    </row>
    <row r="368" spans="1:38" s="117" customFormat="1" ht="15" customHeight="1" x14ac:dyDescent="0.2">
      <c r="A368" s="123" t="s">
        <v>371</v>
      </c>
      <c r="B368" s="124" t="s">
        <v>1203</v>
      </c>
      <c r="C368" s="157">
        <v>451.02</v>
      </c>
      <c r="D368" s="125">
        <v>39.96</v>
      </c>
      <c r="E368" s="157">
        <v>439.28</v>
      </c>
      <c r="F368" s="125">
        <v>0</v>
      </c>
      <c r="G368" s="157">
        <v>0</v>
      </c>
      <c r="H368" s="157">
        <v>262.99</v>
      </c>
      <c r="I368" s="157">
        <v>0</v>
      </c>
      <c r="J368" s="125">
        <v>20.11</v>
      </c>
      <c r="K368" s="125">
        <v>31.93</v>
      </c>
      <c r="L368" s="125">
        <v>24</v>
      </c>
      <c r="M368" s="157">
        <v>39.96</v>
      </c>
      <c r="N368" s="157">
        <v>702.56</v>
      </c>
      <c r="O368" s="157">
        <v>612.79999999999995</v>
      </c>
      <c r="P368" s="125">
        <v>66.34</v>
      </c>
      <c r="Q368" s="157">
        <v>0</v>
      </c>
      <c r="R368" s="157">
        <v>53.22</v>
      </c>
      <c r="S368" s="157">
        <v>71.44</v>
      </c>
      <c r="T368" s="125">
        <v>89.12</v>
      </c>
      <c r="U368" s="125">
        <v>257.75</v>
      </c>
      <c r="V368" s="125">
        <v>261.8</v>
      </c>
      <c r="W368" s="125">
        <v>269.47000000000003</v>
      </c>
      <c r="X368" s="157">
        <v>224.2</v>
      </c>
      <c r="Y368" s="125">
        <v>34.130000000000003</v>
      </c>
      <c r="Z368" s="125">
        <v>39.96</v>
      </c>
      <c r="AA368" s="125">
        <v>992.85</v>
      </c>
      <c r="AB368" s="125">
        <v>14.57</v>
      </c>
      <c r="AC368" s="125">
        <v>1090.78</v>
      </c>
      <c r="AD368" s="125">
        <v>0</v>
      </c>
      <c r="AE368" s="157">
        <v>1077.1500000000001</v>
      </c>
      <c r="AF368" s="157">
        <v>1231.9100000000001</v>
      </c>
      <c r="AG368" s="125">
        <v>0</v>
      </c>
      <c r="AH368" s="125">
        <v>85.15</v>
      </c>
      <c r="AI368" s="157">
        <v>105</v>
      </c>
      <c r="AJ368" s="157">
        <v>100</v>
      </c>
      <c r="AK368" s="157">
        <v>456</v>
      </c>
      <c r="AL368" s="125">
        <v>9145.4500000000007</v>
      </c>
    </row>
    <row r="369" spans="1:38" s="117" customFormat="1" ht="15" customHeight="1" x14ac:dyDescent="0.2">
      <c r="A369" s="123" t="s">
        <v>372</v>
      </c>
      <c r="B369" s="124" t="s">
        <v>1202</v>
      </c>
      <c r="C369" s="157">
        <v>2360.0100000000002</v>
      </c>
      <c r="D369" s="125">
        <v>1398.86</v>
      </c>
      <c r="E369" s="157">
        <v>2905.02</v>
      </c>
      <c r="F369" s="125">
        <v>1032.74</v>
      </c>
      <c r="G369" s="157">
        <v>1817.93</v>
      </c>
      <c r="H369" s="157">
        <v>2223.56</v>
      </c>
      <c r="I369" s="157">
        <v>947.02</v>
      </c>
      <c r="J369" s="125">
        <v>1317.87</v>
      </c>
      <c r="K369" s="125">
        <v>1808.92</v>
      </c>
      <c r="L369" s="125">
        <v>1949.98</v>
      </c>
      <c r="M369" s="157">
        <v>1334.56</v>
      </c>
      <c r="N369" s="157">
        <v>1014.79</v>
      </c>
      <c r="O369" s="157">
        <v>1893.54</v>
      </c>
      <c r="P369" s="125">
        <v>945.85</v>
      </c>
      <c r="Q369" s="157">
        <v>1412.39</v>
      </c>
      <c r="R369" s="157">
        <v>1345.5</v>
      </c>
      <c r="S369" s="157">
        <v>919.28</v>
      </c>
      <c r="T369" s="125">
        <v>995.54</v>
      </c>
      <c r="U369" s="125">
        <v>1605.16</v>
      </c>
      <c r="V369" s="125">
        <v>2306.61</v>
      </c>
      <c r="W369" s="125">
        <v>1495.7</v>
      </c>
      <c r="X369" s="157">
        <v>2647.89</v>
      </c>
      <c r="Y369" s="125">
        <v>983.2</v>
      </c>
      <c r="Z369" s="125">
        <v>1493.71</v>
      </c>
      <c r="AA369" s="125">
        <v>1252.44</v>
      </c>
      <c r="AB369" s="125">
        <v>1041.22</v>
      </c>
      <c r="AC369" s="125">
        <v>1314.45</v>
      </c>
      <c r="AD369" s="125">
        <v>1527.65</v>
      </c>
      <c r="AE369" s="157">
        <v>1320.39</v>
      </c>
      <c r="AF369" s="157">
        <v>1281.57</v>
      </c>
      <c r="AG369" s="125">
        <v>1016.98</v>
      </c>
      <c r="AH369" s="125">
        <v>1249.3499999999999</v>
      </c>
      <c r="AI369" s="157">
        <v>1719.97</v>
      </c>
      <c r="AJ369" s="157">
        <v>2190.21</v>
      </c>
      <c r="AK369" s="157">
        <v>2211.59</v>
      </c>
      <c r="AL369" s="125">
        <v>54281.45</v>
      </c>
    </row>
    <row r="370" spans="1:38" s="117" customFormat="1" ht="15" customHeight="1" x14ac:dyDescent="0.2">
      <c r="A370" s="123" t="s">
        <v>548</v>
      </c>
      <c r="B370" s="124" t="s">
        <v>1201</v>
      </c>
      <c r="C370" s="157">
        <v>257.35000000000002</v>
      </c>
      <c r="D370" s="125">
        <v>0</v>
      </c>
      <c r="E370" s="157">
        <v>162.27000000000001</v>
      </c>
      <c r="F370" s="125">
        <v>0</v>
      </c>
      <c r="G370" s="157">
        <v>0</v>
      </c>
      <c r="H370" s="157">
        <v>0</v>
      </c>
      <c r="I370" s="157">
        <v>0</v>
      </c>
      <c r="J370" s="125">
        <v>114.62</v>
      </c>
      <c r="K370" s="125">
        <v>100</v>
      </c>
      <c r="L370" s="125">
        <v>10.220000000000001</v>
      </c>
      <c r="M370" s="157">
        <v>0</v>
      </c>
      <c r="N370" s="157">
        <v>339.97</v>
      </c>
      <c r="O370" s="157">
        <v>0</v>
      </c>
      <c r="P370" s="125">
        <v>0</v>
      </c>
      <c r="Q370" s="157">
        <v>10.220000000000001</v>
      </c>
      <c r="R370" s="157">
        <v>255.95</v>
      </c>
      <c r="S370" s="157">
        <v>0</v>
      </c>
      <c r="T370" s="125">
        <v>0</v>
      </c>
      <c r="U370" s="125">
        <v>65.650000000000006</v>
      </c>
      <c r="V370" s="125">
        <v>81.599999999999994</v>
      </c>
      <c r="W370" s="125">
        <v>0</v>
      </c>
      <c r="X370" s="157">
        <v>0</v>
      </c>
      <c r="Y370" s="125">
        <v>255.95</v>
      </c>
      <c r="Z370" s="125">
        <v>0</v>
      </c>
      <c r="AA370" s="125">
        <v>0</v>
      </c>
      <c r="AB370" s="125">
        <v>0</v>
      </c>
      <c r="AC370" s="125">
        <v>0</v>
      </c>
      <c r="AD370" s="125">
        <v>0</v>
      </c>
      <c r="AE370" s="157">
        <v>0</v>
      </c>
      <c r="AF370" s="157">
        <v>0</v>
      </c>
      <c r="AG370" s="125">
        <v>510.44</v>
      </c>
      <c r="AH370" s="125">
        <v>0</v>
      </c>
      <c r="AI370" s="157">
        <v>0</v>
      </c>
      <c r="AJ370" s="157">
        <v>0</v>
      </c>
      <c r="AK370" s="157">
        <v>0</v>
      </c>
      <c r="AL370" s="125">
        <v>2164.2399999999998</v>
      </c>
    </row>
    <row r="371" spans="1:38" s="117" customFormat="1" ht="15" customHeight="1" x14ac:dyDescent="0.2">
      <c r="A371" s="123" t="s">
        <v>549</v>
      </c>
      <c r="B371" s="124" t="s">
        <v>1200</v>
      </c>
      <c r="C371" s="157">
        <v>15</v>
      </c>
      <c r="D371" s="125">
        <v>27.33</v>
      </c>
      <c r="E371" s="157">
        <v>10</v>
      </c>
      <c r="F371" s="125">
        <v>0</v>
      </c>
      <c r="G371" s="157">
        <v>0</v>
      </c>
      <c r="H371" s="157">
        <v>0</v>
      </c>
      <c r="I371" s="157">
        <v>0</v>
      </c>
      <c r="J371" s="125">
        <v>0</v>
      </c>
      <c r="K371" s="125">
        <v>12.06</v>
      </c>
      <c r="L371" s="125">
        <v>0</v>
      </c>
      <c r="M371" s="157">
        <v>0</v>
      </c>
      <c r="N371" s="157">
        <v>0</v>
      </c>
      <c r="O371" s="157">
        <v>10</v>
      </c>
      <c r="P371" s="125">
        <v>0</v>
      </c>
      <c r="Q371" s="157">
        <v>50</v>
      </c>
      <c r="R371" s="157">
        <v>0</v>
      </c>
      <c r="S371" s="157">
        <v>0</v>
      </c>
      <c r="T371" s="125">
        <v>7.04</v>
      </c>
      <c r="U371" s="125">
        <v>0</v>
      </c>
      <c r="V371" s="125">
        <v>0</v>
      </c>
      <c r="W371" s="125">
        <v>10</v>
      </c>
      <c r="X371" s="157">
        <v>0</v>
      </c>
      <c r="Y371" s="125">
        <v>0</v>
      </c>
      <c r="Z371" s="125">
        <v>0</v>
      </c>
      <c r="AA371" s="125">
        <v>15.85</v>
      </c>
      <c r="AB371" s="125">
        <v>0</v>
      </c>
      <c r="AC371" s="125">
        <v>10.56</v>
      </c>
      <c r="AD371" s="125">
        <v>0</v>
      </c>
      <c r="AE371" s="157">
        <v>4.4800000000000004</v>
      </c>
      <c r="AF371" s="157">
        <v>0</v>
      </c>
      <c r="AG371" s="125">
        <v>0</v>
      </c>
      <c r="AH371" s="125">
        <v>77</v>
      </c>
      <c r="AI371" s="157">
        <v>0</v>
      </c>
      <c r="AJ371" s="157">
        <v>16.79</v>
      </c>
      <c r="AK371" s="157">
        <v>0</v>
      </c>
      <c r="AL371" s="125">
        <v>266.11</v>
      </c>
    </row>
    <row r="372" spans="1:38" s="117" customFormat="1" ht="15" customHeight="1" x14ac:dyDescent="0.2">
      <c r="A372" s="123" t="s">
        <v>766</v>
      </c>
      <c r="B372" s="124" t="s">
        <v>1199</v>
      </c>
      <c r="C372" s="157">
        <v>0</v>
      </c>
      <c r="D372" s="125">
        <v>0</v>
      </c>
      <c r="E372" s="157">
        <v>0</v>
      </c>
      <c r="F372" s="125">
        <v>0</v>
      </c>
      <c r="G372" s="157">
        <v>0</v>
      </c>
      <c r="H372" s="157">
        <v>0</v>
      </c>
      <c r="I372" s="157">
        <v>0</v>
      </c>
      <c r="J372" s="125">
        <v>7963.9</v>
      </c>
      <c r="K372" s="125">
        <v>0</v>
      </c>
      <c r="L372" s="125">
        <v>0</v>
      </c>
      <c r="M372" s="157">
        <v>0</v>
      </c>
      <c r="N372" s="157">
        <v>0</v>
      </c>
      <c r="O372" s="157">
        <v>0</v>
      </c>
      <c r="P372" s="125">
        <v>0</v>
      </c>
      <c r="Q372" s="157">
        <v>0</v>
      </c>
      <c r="R372" s="157">
        <v>0</v>
      </c>
      <c r="S372" s="157">
        <v>0</v>
      </c>
      <c r="T372" s="125">
        <v>0</v>
      </c>
      <c r="U372" s="125">
        <v>0</v>
      </c>
      <c r="V372" s="125">
        <v>0</v>
      </c>
      <c r="W372" s="125">
        <v>0</v>
      </c>
      <c r="X372" s="157">
        <v>0</v>
      </c>
      <c r="Y372" s="125">
        <v>0</v>
      </c>
      <c r="Z372" s="125">
        <v>0</v>
      </c>
      <c r="AA372" s="125">
        <v>0</v>
      </c>
      <c r="AB372" s="125">
        <v>0</v>
      </c>
      <c r="AC372" s="125">
        <v>0</v>
      </c>
      <c r="AD372" s="125">
        <v>0</v>
      </c>
      <c r="AE372" s="157">
        <v>0</v>
      </c>
      <c r="AF372" s="157">
        <v>0</v>
      </c>
      <c r="AG372" s="125">
        <v>0</v>
      </c>
      <c r="AH372" s="125">
        <v>0</v>
      </c>
      <c r="AI372" s="157">
        <v>0</v>
      </c>
      <c r="AJ372" s="157">
        <v>0</v>
      </c>
      <c r="AK372" s="157">
        <v>0</v>
      </c>
      <c r="AL372" s="125">
        <v>7963.9</v>
      </c>
    </row>
    <row r="373" spans="1:38" s="117" customFormat="1" ht="15" customHeight="1" x14ac:dyDescent="0.2">
      <c r="A373" s="123" t="s">
        <v>373</v>
      </c>
      <c r="B373" s="124" t="s">
        <v>1198</v>
      </c>
      <c r="C373" s="157">
        <v>40.96</v>
      </c>
      <c r="D373" s="125">
        <v>1969.96</v>
      </c>
      <c r="E373" s="157">
        <v>15.96</v>
      </c>
      <c r="F373" s="125">
        <v>133.96</v>
      </c>
      <c r="G373" s="157">
        <v>2230.92</v>
      </c>
      <c r="H373" s="157">
        <v>13328.78</v>
      </c>
      <c r="I373" s="157">
        <v>2016</v>
      </c>
      <c r="J373" s="125">
        <v>3705.92</v>
      </c>
      <c r="K373" s="125">
        <v>102.46</v>
      </c>
      <c r="L373" s="125">
        <v>4878</v>
      </c>
      <c r="M373" s="157">
        <v>4462.46</v>
      </c>
      <c r="N373" s="157">
        <v>4690.92</v>
      </c>
      <c r="O373" s="157">
        <v>32.96</v>
      </c>
      <c r="P373" s="125">
        <v>873.5</v>
      </c>
      <c r="Q373" s="157">
        <v>215.96</v>
      </c>
      <c r="R373" s="157">
        <v>211.96</v>
      </c>
      <c r="S373" s="157">
        <v>1085.29</v>
      </c>
      <c r="T373" s="125">
        <v>92.96</v>
      </c>
      <c r="U373" s="125">
        <v>5991.02</v>
      </c>
      <c r="V373" s="125">
        <v>4270.2</v>
      </c>
      <c r="W373" s="125">
        <v>1627.92</v>
      </c>
      <c r="X373" s="157">
        <v>1609.92</v>
      </c>
      <c r="Y373" s="125">
        <v>5090.12</v>
      </c>
      <c r="Z373" s="125">
        <v>2760.24</v>
      </c>
      <c r="AA373" s="125">
        <v>285.95999999999998</v>
      </c>
      <c r="AB373" s="125">
        <v>87.96</v>
      </c>
      <c r="AC373" s="125">
        <v>5835.96</v>
      </c>
      <c r="AD373" s="125">
        <v>54.91</v>
      </c>
      <c r="AE373" s="157">
        <v>9899.24</v>
      </c>
      <c r="AF373" s="157">
        <v>10433.52</v>
      </c>
      <c r="AG373" s="125">
        <v>134.96</v>
      </c>
      <c r="AH373" s="125">
        <v>5715.95</v>
      </c>
      <c r="AI373" s="157">
        <v>66.95</v>
      </c>
      <c r="AJ373" s="157">
        <v>82.95</v>
      </c>
      <c r="AK373" s="157">
        <v>32.950000000000003</v>
      </c>
      <c r="AL373" s="125">
        <v>94069.66</v>
      </c>
    </row>
    <row r="374" spans="1:38" s="117" customFormat="1" ht="15" customHeight="1" x14ac:dyDescent="0.2">
      <c r="A374" s="123" t="s">
        <v>1445</v>
      </c>
      <c r="B374" s="124" t="s">
        <v>1149</v>
      </c>
      <c r="C374" s="157">
        <v>140</v>
      </c>
      <c r="D374" s="125">
        <v>0</v>
      </c>
      <c r="E374" s="157">
        <v>140</v>
      </c>
      <c r="F374" s="125">
        <v>0</v>
      </c>
      <c r="G374" s="157">
        <v>0</v>
      </c>
      <c r="H374" s="157">
        <v>0</v>
      </c>
      <c r="I374" s="157">
        <v>0</v>
      </c>
      <c r="J374" s="125">
        <v>0</v>
      </c>
      <c r="K374" s="125">
        <v>0</v>
      </c>
      <c r="L374" s="125">
        <v>34.82</v>
      </c>
      <c r="M374" s="157">
        <v>0</v>
      </c>
      <c r="N374" s="157">
        <v>0</v>
      </c>
      <c r="O374" s="157">
        <v>0</v>
      </c>
      <c r="P374" s="125">
        <v>0</v>
      </c>
      <c r="Q374" s="157">
        <v>174.82</v>
      </c>
      <c r="R374" s="157">
        <v>0</v>
      </c>
      <c r="S374" s="157">
        <v>0</v>
      </c>
      <c r="T374" s="125">
        <v>0</v>
      </c>
      <c r="U374" s="125">
        <v>34.82</v>
      </c>
      <c r="V374" s="125">
        <v>0</v>
      </c>
      <c r="W374" s="125">
        <v>0</v>
      </c>
      <c r="X374" s="157">
        <v>0</v>
      </c>
      <c r="Y374" s="125">
        <v>0</v>
      </c>
      <c r="Z374" s="125">
        <v>0</v>
      </c>
      <c r="AA374" s="125">
        <v>0</v>
      </c>
      <c r="AB374" s="125">
        <v>0</v>
      </c>
      <c r="AC374" s="125">
        <v>0</v>
      </c>
      <c r="AD374" s="125">
        <v>140</v>
      </c>
      <c r="AE374" s="157">
        <v>0</v>
      </c>
      <c r="AF374" s="157">
        <v>0</v>
      </c>
      <c r="AG374" s="125">
        <v>0</v>
      </c>
      <c r="AH374" s="125">
        <v>0</v>
      </c>
      <c r="AI374" s="157">
        <v>0</v>
      </c>
      <c r="AJ374" s="157">
        <v>0</v>
      </c>
      <c r="AK374" s="157">
        <v>0</v>
      </c>
      <c r="AL374" s="125">
        <v>664.46</v>
      </c>
    </row>
    <row r="375" spans="1:38" s="117" customFormat="1" ht="15" customHeight="1" x14ac:dyDescent="0.2">
      <c r="A375" s="123" t="s">
        <v>374</v>
      </c>
      <c r="B375" s="124" t="s">
        <v>1197</v>
      </c>
      <c r="C375" s="157">
        <v>-1.2</v>
      </c>
      <c r="D375" s="125">
        <v>0.69</v>
      </c>
      <c r="E375" s="157">
        <v>1.91</v>
      </c>
      <c r="F375" s="125">
        <v>0</v>
      </c>
      <c r="G375" s="157">
        <v>-1.1599999999999999</v>
      </c>
      <c r="H375" s="157">
        <v>0</v>
      </c>
      <c r="I375" s="157">
        <v>0.6</v>
      </c>
      <c r="J375" s="125">
        <v>110.1</v>
      </c>
      <c r="K375" s="125">
        <v>106.88</v>
      </c>
      <c r="L375" s="125">
        <v>0</v>
      </c>
      <c r="M375" s="157">
        <v>-1.1100000000000001</v>
      </c>
      <c r="N375" s="157">
        <v>0</v>
      </c>
      <c r="O375" s="157">
        <v>0</v>
      </c>
      <c r="P375" s="125">
        <v>-0.03</v>
      </c>
      <c r="Q375" s="157">
        <v>116.06</v>
      </c>
      <c r="R375" s="157">
        <v>0</v>
      </c>
      <c r="S375" s="157">
        <v>0.17</v>
      </c>
      <c r="T375" s="125">
        <v>251.66</v>
      </c>
      <c r="U375" s="125">
        <v>0</v>
      </c>
      <c r="V375" s="125">
        <v>0</v>
      </c>
      <c r="W375" s="125">
        <v>10.51</v>
      </c>
      <c r="X375" s="157">
        <v>-5.29</v>
      </c>
      <c r="Y375" s="125">
        <v>0</v>
      </c>
      <c r="Z375" s="125">
        <v>-0.51</v>
      </c>
      <c r="AA375" s="125">
        <v>0</v>
      </c>
      <c r="AB375" s="125">
        <v>0.7</v>
      </c>
      <c r="AC375" s="125">
        <v>1.51</v>
      </c>
      <c r="AD375" s="125">
        <v>0.82</v>
      </c>
      <c r="AE375" s="157">
        <v>3.4</v>
      </c>
      <c r="AF375" s="157">
        <v>-2.33</v>
      </c>
      <c r="AG375" s="125">
        <v>0</v>
      </c>
      <c r="AH375" s="125">
        <v>22.58</v>
      </c>
      <c r="AI375" s="157">
        <v>211</v>
      </c>
      <c r="AJ375" s="157">
        <v>-100</v>
      </c>
      <c r="AK375" s="157">
        <v>0</v>
      </c>
      <c r="AL375" s="125">
        <v>726.96</v>
      </c>
    </row>
    <row r="376" spans="1:38" s="117" customFormat="1" ht="15" customHeight="1" x14ac:dyDescent="0.2">
      <c r="A376" s="123" t="s">
        <v>375</v>
      </c>
      <c r="B376" s="124" t="s">
        <v>1196</v>
      </c>
      <c r="C376" s="157">
        <v>134.9</v>
      </c>
      <c r="D376" s="125">
        <v>122.02</v>
      </c>
      <c r="E376" s="157">
        <v>147.57</v>
      </c>
      <c r="F376" s="125">
        <v>118.76</v>
      </c>
      <c r="G376" s="157">
        <v>353.95</v>
      </c>
      <c r="H376" s="157">
        <v>34.369999999999997</v>
      </c>
      <c r="I376" s="157">
        <v>142.97999999999999</v>
      </c>
      <c r="J376" s="125">
        <v>85.43</v>
      </c>
      <c r="K376" s="125">
        <v>270.02</v>
      </c>
      <c r="L376" s="125">
        <v>120.12</v>
      </c>
      <c r="M376" s="157">
        <v>473.48</v>
      </c>
      <c r="N376" s="157">
        <v>120.08</v>
      </c>
      <c r="O376" s="157">
        <v>98</v>
      </c>
      <c r="P376" s="125">
        <v>169.74</v>
      </c>
      <c r="Q376" s="157">
        <v>199.9</v>
      </c>
      <c r="R376" s="157">
        <v>107.8</v>
      </c>
      <c r="S376" s="157">
        <v>102.45</v>
      </c>
      <c r="T376" s="125">
        <v>154.72</v>
      </c>
      <c r="U376" s="125">
        <v>200.85</v>
      </c>
      <c r="V376" s="125">
        <v>96.38</v>
      </c>
      <c r="W376" s="125">
        <v>147.76</v>
      </c>
      <c r="X376" s="157">
        <v>108.22</v>
      </c>
      <c r="Y376" s="125">
        <v>63.22</v>
      </c>
      <c r="Z376" s="125">
        <v>59.21</v>
      </c>
      <c r="AA376" s="125">
        <v>71.989999999999995</v>
      </c>
      <c r="AB376" s="125">
        <v>81.75</v>
      </c>
      <c r="AC376" s="125">
        <v>127.39</v>
      </c>
      <c r="AD376" s="125">
        <v>430.88</v>
      </c>
      <c r="AE376" s="157">
        <v>130.81</v>
      </c>
      <c r="AF376" s="157">
        <v>223.02</v>
      </c>
      <c r="AG376" s="125">
        <v>95.2</v>
      </c>
      <c r="AH376" s="125">
        <v>273.54000000000002</v>
      </c>
      <c r="AI376" s="157">
        <v>60.33</v>
      </c>
      <c r="AJ376" s="157">
        <v>29</v>
      </c>
      <c r="AK376" s="157">
        <v>58.8</v>
      </c>
      <c r="AL376" s="125">
        <v>5214.6400000000003</v>
      </c>
    </row>
    <row r="377" spans="1:38" s="117" customFormat="1" ht="15" customHeight="1" x14ac:dyDescent="0.2">
      <c r="A377" s="123" t="s">
        <v>376</v>
      </c>
      <c r="B377" s="124" t="s">
        <v>1195</v>
      </c>
      <c r="C377" s="157">
        <v>9.5399999999999991</v>
      </c>
      <c r="D377" s="125">
        <v>60.92</v>
      </c>
      <c r="E377" s="157">
        <v>25.08</v>
      </c>
      <c r="F377" s="125">
        <v>29.88</v>
      </c>
      <c r="G377" s="157">
        <v>83.41</v>
      </c>
      <c r="H377" s="157">
        <v>60.33</v>
      </c>
      <c r="I377" s="157">
        <v>18.7</v>
      </c>
      <c r="J377" s="125">
        <v>51.52</v>
      </c>
      <c r="K377" s="125">
        <v>64.87</v>
      </c>
      <c r="L377" s="125">
        <v>24.94</v>
      </c>
      <c r="M377" s="157">
        <v>49.75</v>
      </c>
      <c r="N377" s="157">
        <v>11.18</v>
      </c>
      <c r="O377" s="157">
        <v>23.47</v>
      </c>
      <c r="P377" s="125">
        <v>-3.53</v>
      </c>
      <c r="Q377" s="157">
        <v>41.1</v>
      </c>
      <c r="R377" s="157">
        <v>80.02</v>
      </c>
      <c r="S377" s="157">
        <v>9.33</v>
      </c>
      <c r="T377" s="125">
        <v>25.08</v>
      </c>
      <c r="U377" s="125">
        <v>9.33</v>
      </c>
      <c r="V377" s="125">
        <v>65.62</v>
      </c>
      <c r="W377" s="125">
        <v>58.33</v>
      </c>
      <c r="X377" s="157">
        <v>50.83</v>
      </c>
      <c r="Y377" s="125">
        <v>29.15</v>
      </c>
      <c r="Z377" s="125">
        <v>32.85</v>
      </c>
      <c r="AA377" s="125">
        <v>29.46</v>
      </c>
      <c r="AB377" s="125">
        <v>553.37</v>
      </c>
      <c r="AC377" s="125">
        <v>9.4700000000000006</v>
      </c>
      <c r="AD377" s="125">
        <v>90.68</v>
      </c>
      <c r="AE377" s="157">
        <v>0</v>
      </c>
      <c r="AF377" s="157">
        <v>9.33</v>
      </c>
      <c r="AG377" s="125">
        <v>64.17</v>
      </c>
      <c r="AH377" s="125">
        <v>29.59</v>
      </c>
      <c r="AI377" s="157">
        <v>83.47</v>
      </c>
      <c r="AJ377" s="157">
        <v>31.56</v>
      </c>
      <c r="AK377" s="157">
        <v>41.36</v>
      </c>
      <c r="AL377" s="125">
        <v>1854.16</v>
      </c>
    </row>
    <row r="378" spans="1:38" s="117" customFormat="1" ht="15" customHeight="1" x14ac:dyDescent="0.2">
      <c r="A378" s="123" t="s">
        <v>377</v>
      </c>
      <c r="B378" s="124" t="s">
        <v>1194</v>
      </c>
      <c r="C378" s="157">
        <v>189.84</v>
      </c>
      <c r="D378" s="125">
        <v>37.229999999999997</v>
      </c>
      <c r="E378" s="157">
        <v>122.23</v>
      </c>
      <c r="F378" s="125">
        <v>37.229999999999997</v>
      </c>
      <c r="G378" s="157">
        <v>242.61</v>
      </c>
      <c r="H378" s="157">
        <v>37.229999999999997</v>
      </c>
      <c r="I378" s="157">
        <v>37.229999999999997</v>
      </c>
      <c r="J378" s="125">
        <v>37.229999999999997</v>
      </c>
      <c r="K378" s="125">
        <v>84.23</v>
      </c>
      <c r="L378" s="125">
        <v>458.63</v>
      </c>
      <c r="M378" s="157">
        <v>37.229999999999997</v>
      </c>
      <c r="N378" s="157">
        <v>37.229999999999997</v>
      </c>
      <c r="O378" s="157">
        <v>37.229999999999997</v>
      </c>
      <c r="P378" s="125">
        <v>37.229999999999997</v>
      </c>
      <c r="Q378" s="157">
        <v>336.88</v>
      </c>
      <c r="R378" s="157">
        <v>228.76</v>
      </c>
      <c r="S378" s="157">
        <v>37.229999999999997</v>
      </c>
      <c r="T378" s="125">
        <v>37.229999999999997</v>
      </c>
      <c r="U378" s="125">
        <v>37.229999999999997</v>
      </c>
      <c r="V378" s="125">
        <v>136.66</v>
      </c>
      <c r="W378" s="125">
        <v>327.82</v>
      </c>
      <c r="X378" s="157">
        <v>434.68</v>
      </c>
      <c r="Y378" s="125">
        <v>37.229999999999997</v>
      </c>
      <c r="Z378" s="125">
        <v>594.67999999999995</v>
      </c>
      <c r="AA378" s="125">
        <v>45.47</v>
      </c>
      <c r="AB378" s="125">
        <v>193.75</v>
      </c>
      <c r="AC378" s="125">
        <v>153.71</v>
      </c>
      <c r="AD378" s="125">
        <v>153.71</v>
      </c>
      <c r="AE378" s="157">
        <v>92.98</v>
      </c>
      <c r="AF378" s="157">
        <v>92.98</v>
      </c>
      <c r="AG378" s="125">
        <v>141.93</v>
      </c>
      <c r="AH378" s="125">
        <v>362.39</v>
      </c>
      <c r="AI378" s="157">
        <v>84.23</v>
      </c>
      <c r="AJ378" s="157">
        <v>153.72999999999999</v>
      </c>
      <c r="AK378" s="157">
        <v>169.73</v>
      </c>
      <c r="AL378" s="125">
        <v>5285.62</v>
      </c>
    </row>
    <row r="379" spans="1:38" s="117" customFormat="1" ht="15" customHeight="1" x14ac:dyDescent="0.2">
      <c r="A379" s="123" t="s">
        <v>1193</v>
      </c>
      <c r="B379" s="124" t="s">
        <v>1192</v>
      </c>
      <c r="C379" s="157">
        <v>0</v>
      </c>
      <c r="D379" s="125">
        <v>0</v>
      </c>
      <c r="E379" s="157">
        <v>0</v>
      </c>
      <c r="F379" s="125">
        <v>0</v>
      </c>
      <c r="G379" s="157">
        <v>0</v>
      </c>
      <c r="H379" s="157">
        <v>0</v>
      </c>
      <c r="I379" s="157">
        <v>148.58000000000001</v>
      </c>
      <c r="J379" s="125">
        <v>0</v>
      </c>
      <c r="K379" s="125">
        <v>35.99</v>
      </c>
      <c r="L379" s="125">
        <v>0</v>
      </c>
      <c r="M379" s="157">
        <v>0</v>
      </c>
      <c r="N379" s="157">
        <v>0</v>
      </c>
      <c r="O379" s="157">
        <v>0</v>
      </c>
      <c r="P379" s="125">
        <v>0</v>
      </c>
      <c r="Q379" s="157">
        <v>210.44</v>
      </c>
      <c r="R379" s="157">
        <v>0</v>
      </c>
      <c r="S379" s="157">
        <v>0</v>
      </c>
      <c r="T379" s="125">
        <v>0</v>
      </c>
      <c r="U379" s="125">
        <v>0</v>
      </c>
      <c r="V379" s="125">
        <v>0</v>
      </c>
      <c r="W379" s="125">
        <v>0</v>
      </c>
      <c r="X379" s="157">
        <v>54.05</v>
      </c>
      <c r="Y379" s="125">
        <v>0</v>
      </c>
      <c r="Z379" s="125">
        <v>0</v>
      </c>
      <c r="AA379" s="125">
        <v>0</v>
      </c>
      <c r="AB379" s="125">
        <v>0</v>
      </c>
      <c r="AC379" s="125">
        <v>103.1</v>
      </c>
      <c r="AD379" s="125">
        <v>0</v>
      </c>
      <c r="AE379" s="157">
        <v>0</v>
      </c>
      <c r="AF379" s="157">
        <v>0</v>
      </c>
      <c r="AG379" s="125">
        <v>0</v>
      </c>
      <c r="AH379" s="125">
        <v>160.80000000000001</v>
      </c>
      <c r="AI379" s="157">
        <v>0</v>
      </c>
      <c r="AJ379" s="157">
        <v>0</v>
      </c>
      <c r="AK379" s="157">
        <v>0</v>
      </c>
      <c r="AL379" s="125">
        <v>712.96</v>
      </c>
    </row>
    <row r="380" spans="1:38" s="117" customFormat="1" ht="15" customHeight="1" x14ac:dyDescent="0.2">
      <c r="A380" s="123" t="s">
        <v>642</v>
      </c>
      <c r="B380" s="124" t="s">
        <v>1191</v>
      </c>
      <c r="C380" s="157">
        <v>0</v>
      </c>
      <c r="D380" s="125">
        <v>0</v>
      </c>
      <c r="E380" s="157">
        <v>0</v>
      </c>
      <c r="F380" s="125">
        <v>674.08</v>
      </c>
      <c r="G380" s="157">
        <v>0</v>
      </c>
      <c r="H380" s="157">
        <v>0</v>
      </c>
      <c r="I380" s="157">
        <v>0</v>
      </c>
      <c r="J380" s="125">
        <v>0</v>
      </c>
      <c r="K380" s="125">
        <v>0</v>
      </c>
      <c r="L380" s="125">
        <v>0</v>
      </c>
      <c r="M380" s="157">
        <v>0</v>
      </c>
      <c r="N380" s="157">
        <v>0</v>
      </c>
      <c r="O380" s="157">
        <v>0</v>
      </c>
      <c r="P380" s="125">
        <v>0</v>
      </c>
      <c r="Q380" s="157">
        <v>0</v>
      </c>
      <c r="R380" s="157">
        <v>0</v>
      </c>
      <c r="S380" s="157">
        <v>0</v>
      </c>
      <c r="T380" s="125">
        <v>0</v>
      </c>
      <c r="U380" s="125">
        <v>5002.7700000000004</v>
      </c>
      <c r="V380" s="125">
        <v>814.88</v>
      </c>
      <c r="W380" s="125">
        <v>0</v>
      </c>
      <c r="X380" s="157">
        <v>0</v>
      </c>
      <c r="Y380" s="125">
        <v>0</v>
      </c>
      <c r="Z380" s="125">
        <v>0</v>
      </c>
      <c r="AA380" s="125">
        <v>0</v>
      </c>
      <c r="AB380" s="125">
        <v>0</v>
      </c>
      <c r="AC380" s="125">
        <v>0</v>
      </c>
      <c r="AD380" s="125">
        <v>0</v>
      </c>
      <c r="AE380" s="157">
        <v>0</v>
      </c>
      <c r="AF380" s="157">
        <v>0</v>
      </c>
      <c r="AG380" s="125">
        <v>0</v>
      </c>
      <c r="AH380" s="125">
        <v>0</v>
      </c>
      <c r="AI380" s="157">
        <v>0</v>
      </c>
      <c r="AJ380" s="157">
        <v>1318.54</v>
      </c>
      <c r="AK380" s="157">
        <v>0</v>
      </c>
      <c r="AL380" s="125">
        <v>7810.27</v>
      </c>
    </row>
    <row r="381" spans="1:38" s="117" customFormat="1" ht="15" customHeight="1" x14ac:dyDescent="0.2">
      <c r="A381" s="123" t="s">
        <v>550</v>
      </c>
      <c r="B381" s="124" t="s">
        <v>1190</v>
      </c>
      <c r="C381" s="157">
        <v>0</v>
      </c>
      <c r="D381" s="125">
        <v>0</v>
      </c>
      <c r="E381" s="157">
        <v>0</v>
      </c>
      <c r="F381" s="125">
        <v>299</v>
      </c>
      <c r="G381" s="157">
        <v>0</v>
      </c>
      <c r="H381" s="157">
        <v>0</v>
      </c>
      <c r="I381" s="157">
        <v>0</v>
      </c>
      <c r="J381" s="125">
        <v>0</v>
      </c>
      <c r="K381" s="125">
        <v>0</v>
      </c>
      <c r="L381" s="125">
        <v>0</v>
      </c>
      <c r="M381" s="157">
        <v>0</v>
      </c>
      <c r="N381" s="157">
        <v>0</v>
      </c>
      <c r="O381" s="157">
        <v>0</v>
      </c>
      <c r="P381" s="125">
        <v>0</v>
      </c>
      <c r="Q381" s="157">
        <v>0</v>
      </c>
      <c r="R381" s="157">
        <v>0</v>
      </c>
      <c r="S381" s="157">
        <v>0</v>
      </c>
      <c r="T381" s="125">
        <v>0</v>
      </c>
      <c r="U381" s="125">
        <v>0</v>
      </c>
      <c r="V381" s="125">
        <v>924</v>
      </c>
      <c r="W381" s="125">
        <v>330</v>
      </c>
      <c r="X381" s="157">
        <v>0</v>
      </c>
      <c r="Y381" s="125">
        <v>217.3</v>
      </c>
      <c r="Z381" s="125">
        <v>0</v>
      </c>
      <c r="AA381" s="125">
        <v>0</v>
      </c>
      <c r="AB381" s="125">
        <v>0</v>
      </c>
      <c r="AC381" s="125">
        <v>0</v>
      </c>
      <c r="AD381" s="125">
        <v>139.91999999999999</v>
      </c>
      <c r="AE381" s="157">
        <v>0</v>
      </c>
      <c r="AF381" s="157">
        <v>387.75</v>
      </c>
      <c r="AG381" s="125">
        <v>0</v>
      </c>
      <c r="AH381" s="125">
        <v>550</v>
      </c>
      <c r="AI381" s="157">
        <v>0</v>
      </c>
      <c r="AJ381" s="157">
        <v>0</v>
      </c>
      <c r="AK381" s="157">
        <v>0</v>
      </c>
      <c r="AL381" s="125">
        <v>2847.97</v>
      </c>
    </row>
    <row r="382" spans="1:38" s="117" customFormat="1" ht="15" customHeight="1" x14ac:dyDescent="0.2">
      <c r="A382" s="123" t="s">
        <v>378</v>
      </c>
      <c r="B382" s="124" t="s">
        <v>1189</v>
      </c>
      <c r="C382" s="157">
        <v>54.32</v>
      </c>
      <c r="D382" s="125">
        <v>222.22</v>
      </c>
      <c r="E382" s="157">
        <v>193.87</v>
      </c>
      <c r="F382" s="125">
        <v>58.82</v>
      </c>
      <c r="G382" s="157">
        <v>462.53</v>
      </c>
      <c r="H382" s="157">
        <v>572.69000000000005</v>
      </c>
      <c r="I382" s="157">
        <v>58.82</v>
      </c>
      <c r="J382" s="125">
        <v>54.32</v>
      </c>
      <c r="K382" s="125">
        <v>549.46</v>
      </c>
      <c r="L382" s="125">
        <v>11.82</v>
      </c>
      <c r="M382" s="157">
        <v>91.52</v>
      </c>
      <c r="N382" s="157">
        <v>220.03</v>
      </c>
      <c r="O382" s="157">
        <v>11.82</v>
      </c>
      <c r="P382" s="125">
        <v>58.82</v>
      </c>
      <c r="Q382" s="157">
        <v>11.82</v>
      </c>
      <c r="R382" s="157">
        <v>64.819999999999993</v>
      </c>
      <c r="S382" s="157">
        <v>41.57</v>
      </c>
      <c r="T382" s="125">
        <v>58.82</v>
      </c>
      <c r="U382" s="125">
        <v>593.08000000000004</v>
      </c>
      <c r="V382" s="125">
        <v>76.069999999999993</v>
      </c>
      <c r="W382" s="125">
        <v>172.67</v>
      </c>
      <c r="X382" s="157">
        <v>107.39</v>
      </c>
      <c r="Y382" s="125">
        <v>153.6</v>
      </c>
      <c r="Z382" s="125">
        <v>11.82</v>
      </c>
      <c r="AA382" s="125">
        <v>11.82</v>
      </c>
      <c r="AB382" s="125">
        <v>255.65</v>
      </c>
      <c r="AC382" s="125">
        <v>58.82</v>
      </c>
      <c r="AD382" s="125">
        <v>136.78</v>
      </c>
      <c r="AE382" s="157">
        <v>81.819999999999993</v>
      </c>
      <c r="AF382" s="157">
        <v>11.82</v>
      </c>
      <c r="AG382" s="125">
        <v>63.59</v>
      </c>
      <c r="AH382" s="125">
        <v>41.57</v>
      </c>
      <c r="AI382" s="157">
        <v>11.82</v>
      </c>
      <c r="AJ382" s="157">
        <v>11.82</v>
      </c>
      <c r="AK382" s="157">
        <v>11.82</v>
      </c>
      <c r="AL382" s="125">
        <v>4610.05</v>
      </c>
    </row>
    <row r="383" spans="1:38" s="117" customFormat="1" ht="15" customHeight="1" x14ac:dyDescent="0.2">
      <c r="A383" s="123" t="s">
        <v>379</v>
      </c>
      <c r="B383" s="124" t="s">
        <v>1188</v>
      </c>
      <c r="C383" s="157">
        <v>1325.94</v>
      </c>
      <c r="D383" s="125">
        <v>965.73</v>
      </c>
      <c r="E383" s="157">
        <v>605.5</v>
      </c>
      <c r="F383" s="125">
        <v>965.72</v>
      </c>
      <c r="G383" s="157">
        <v>1425.93</v>
      </c>
      <c r="H383" s="157">
        <v>965.72</v>
      </c>
      <c r="I383" s="157">
        <v>1325.93</v>
      </c>
      <c r="J383" s="125">
        <v>1325.93</v>
      </c>
      <c r="K383" s="125">
        <v>1325.93</v>
      </c>
      <c r="L383" s="125">
        <v>965.72</v>
      </c>
      <c r="M383" s="157">
        <v>965.72</v>
      </c>
      <c r="N383" s="157">
        <v>1325.94</v>
      </c>
      <c r="O383" s="157">
        <v>965.73</v>
      </c>
      <c r="P383" s="125">
        <v>965.73</v>
      </c>
      <c r="Q383" s="157">
        <v>1325.94</v>
      </c>
      <c r="R383" s="157">
        <v>965.73</v>
      </c>
      <c r="S383" s="157">
        <v>965.74</v>
      </c>
      <c r="T383" s="125">
        <v>1325.94</v>
      </c>
      <c r="U383" s="125">
        <v>1525.94</v>
      </c>
      <c r="V383" s="125">
        <v>616.6</v>
      </c>
      <c r="W383" s="125">
        <v>1325.95</v>
      </c>
      <c r="X383" s="157">
        <v>965.75</v>
      </c>
      <c r="Y383" s="125">
        <v>1325.96</v>
      </c>
      <c r="Z383" s="125">
        <v>965.75</v>
      </c>
      <c r="AA383" s="125">
        <v>1325.97</v>
      </c>
      <c r="AB383" s="125">
        <v>1325.97</v>
      </c>
      <c r="AC383" s="125">
        <v>1325.97</v>
      </c>
      <c r="AD383" s="125">
        <v>1598.92</v>
      </c>
      <c r="AE383" s="157">
        <v>965.75</v>
      </c>
      <c r="AF383" s="157">
        <v>965.76</v>
      </c>
      <c r="AG383" s="125">
        <v>1325.97</v>
      </c>
      <c r="AH383" s="125">
        <v>1325.97</v>
      </c>
      <c r="AI383" s="157">
        <v>1509.96</v>
      </c>
      <c r="AJ383" s="157">
        <v>965.75</v>
      </c>
      <c r="AK383" s="157">
        <v>1325.96</v>
      </c>
      <c r="AL383" s="125">
        <v>40692.42</v>
      </c>
    </row>
    <row r="384" spans="1:38" s="117" customFormat="1" ht="15" customHeight="1" x14ac:dyDescent="0.2">
      <c r="A384" s="123" t="s">
        <v>560</v>
      </c>
      <c r="B384" s="124" t="s">
        <v>1187</v>
      </c>
      <c r="C384" s="157">
        <v>0</v>
      </c>
      <c r="D384" s="125">
        <v>0</v>
      </c>
      <c r="E384" s="157">
        <v>0</v>
      </c>
      <c r="F384" s="125">
        <v>0</v>
      </c>
      <c r="G384" s="157">
        <v>0</v>
      </c>
      <c r="H384" s="157">
        <v>0</v>
      </c>
      <c r="I384" s="157">
        <v>0</v>
      </c>
      <c r="J384" s="125">
        <v>0</v>
      </c>
      <c r="K384" s="125">
        <v>0</v>
      </c>
      <c r="L384" s="125">
        <v>0</v>
      </c>
      <c r="M384" s="157">
        <v>0</v>
      </c>
      <c r="N384" s="157">
        <v>0</v>
      </c>
      <c r="O384" s="157">
        <v>-52</v>
      </c>
      <c r="P384" s="125">
        <v>0</v>
      </c>
      <c r="Q384" s="157">
        <v>0</v>
      </c>
      <c r="R384" s="157">
        <v>0</v>
      </c>
      <c r="S384" s="157">
        <v>0</v>
      </c>
      <c r="T384" s="125">
        <v>0</v>
      </c>
      <c r="U384" s="125">
        <v>0</v>
      </c>
      <c r="V384" s="125">
        <v>0</v>
      </c>
      <c r="W384" s="125">
        <v>0</v>
      </c>
      <c r="X384" s="157">
        <v>0</v>
      </c>
      <c r="Y384" s="125">
        <v>160</v>
      </c>
      <c r="Z384" s="125">
        <v>0</v>
      </c>
      <c r="AA384" s="125">
        <v>0</v>
      </c>
      <c r="AB384" s="125">
        <v>0</v>
      </c>
      <c r="AC384" s="125">
        <v>0</v>
      </c>
      <c r="AD384" s="125">
        <v>0</v>
      </c>
      <c r="AE384" s="157">
        <v>0</v>
      </c>
      <c r="AF384" s="157">
        <v>0</v>
      </c>
      <c r="AG384" s="125">
        <v>0</v>
      </c>
      <c r="AH384" s="125">
        <v>0</v>
      </c>
      <c r="AI384" s="157">
        <v>0</v>
      </c>
      <c r="AJ384" s="157">
        <v>0</v>
      </c>
      <c r="AK384" s="157">
        <v>-111.94</v>
      </c>
      <c r="AL384" s="125">
        <v>-3.94</v>
      </c>
    </row>
    <row r="385" spans="1:38" s="117" customFormat="1" ht="15" customHeight="1" x14ac:dyDescent="0.2">
      <c r="A385" s="123" t="s">
        <v>1405</v>
      </c>
      <c r="B385" s="124" t="s">
        <v>1446</v>
      </c>
      <c r="C385" s="157">
        <v>610.84</v>
      </c>
      <c r="D385" s="125">
        <v>610.83000000000004</v>
      </c>
      <c r="E385" s="157">
        <v>610.84</v>
      </c>
      <c r="F385" s="125">
        <v>610.83000000000004</v>
      </c>
      <c r="G385" s="157">
        <v>610.84</v>
      </c>
      <c r="H385" s="157">
        <v>610.83000000000004</v>
      </c>
      <c r="I385" s="157">
        <v>610.83000000000004</v>
      </c>
      <c r="J385" s="125">
        <v>610.83000000000004</v>
      </c>
      <c r="K385" s="125">
        <v>610.83000000000004</v>
      </c>
      <c r="L385" s="125">
        <v>610.83000000000004</v>
      </c>
      <c r="M385" s="157">
        <v>610.83000000000004</v>
      </c>
      <c r="N385" s="157">
        <v>610.83000000000004</v>
      </c>
      <c r="O385" s="157">
        <v>610.83000000000004</v>
      </c>
      <c r="P385" s="125">
        <v>610.83000000000004</v>
      </c>
      <c r="Q385" s="157">
        <v>610.83000000000004</v>
      </c>
      <c r="R385" s="157">
        <v>610.83000000000004</v>
      </c>
      <c r="S385" s="157">
        <v>610.83000000000004</v>
      </c>
      <c r="T385" s="125">
        <v>610.83000000000004</v>
      </c>
      <c r="U385" s="125">
        <v>610.84</v>
      </c>
      <c r="V385" s="125">
        <v>610.83000000000004</v>
      </c>
      <c r="W385" s="125">
        <v>610.83000000000004</v>
      </c>
      <c r="X385" s="157">
        <v>610.83000000000004</v>
      </c>
      <c r="Y385" s="125">
        <v>610.83000000000004</v>
      </c>
      <c r="Z385" s="125">
        <v>610.83000000000004</v>
      </c>
      <c r="AA385" s="125">
        <v>610.83000000000004</v>
      </c>
      <c r="AB385" s="125">
        <v>610.83000000000004</v>
      </c>
      <c r="AC385" s="125">
        <v>610.83000000000004</v>
      </c>
      <c r="AD385" s="125">
        <v>610.83000000000004</v>
      </c>
      <c r="AE385" s="157">
        <v>610.83000000000004</v>
      </c>
      <c r="AF385" s="157">
        <v>610.83000000000004</v>
      </c>
      <c r="AG385" s="125">
        <v>610.83000000000004</v>
      </c>
      <c r="AH385" s="125">
        <v>610.83000000000004</v>
      </c>
      <c r="AI385" s="157">
        <v>610.83000000000004</v>
      </c>
      <c r="AJ385" s="157">
        <v>610.83000000000004</v>
      </c>
      <c r="AK385" s="157">
        <v>610.83000000000004</v>
      </c>
      <c r="AL385" s="125">
        <v>21379.09</v>
      </c>
    </row>
    <row r="386" spans="1:38" s="117" customFormat="1" ht="15" customHeight="1" x14ac:dyDescent="0.2">
      <c r="A386" s="123" t="s">
        <v>380</v>
      </c>
      <c r="B386" s="124" t="s">
        <v>1186</v>
      </c>
      <c r="C386" s="157">
        <v>7054.86</v>
      </c>
      <c r="D386" s="125">
        <v>8015.45</v>
      </c>
      <c r="E386" s="157">
        <v>6937.05</v>
      </c>
      <c r="F386" s="125">
        <v>6970.88</v>
      </c>
      <c r="G386" s="157">
        <v>14010.96</v>
      </c>
      <c r="H386" s="157">
        <v>6828.68</v>
      </c>
      <c r="I386" s="157">
        <v>6661.41</v>
      </c>
      <c r="J386" s="125">
        <v>5508.51</v>
      </c>
      <c r="K386" s="125">
        <v>6896.1</v>
      </c>
      <c r="L386" s="125">
        <v>7219.76</v>
      </c>
      <c r="M386" s="157">
        <v>5584.76</v>
      </c>
      <c r="N386" s="157">
        <v>6917.8</v>
      </c>
      <c r="O386" s="157">
        <v>6935.35</v>
      </c>
      <c r="P386" s="125">
        <v>5537.96</v>
      </c>
      <c r="Q386" s="157">
        <v>9046.7099999999991</v>
      </c>
      <c r="R386" s="157">
        <v>6988.43</v>
      </c>
      <c r="S386" s="157">
        <v>4451.04</v>
      </c>
      <c r="T386" s="125">
        <v>7220.8</v>
      </c>
      <c r="U386" s="125">
        <v>10519.82</v>
      </c>
      <c r="V386" s="125">
        <v>6317.42</v>
      </c>
      <c r="W386" s="125">
        <v>8564.5</v>
      </c>
      <c r="X386" s="157">
        <v>6968.93</v>
      </c>
      <c r="Y386" s="125">
        <v>7471.98</v>
      </c>
      <c r="Z386" s="125">
        <v>5197.7</v>
      </c>
      <c r="AA386" s="125">
        <v>6933.4</v>
      </c>
      <c r="AB386" s="125">
        <v>7489.95</v>
      </c>
      <c r="AC386" s="125">
        <v>7911.79</v>
      </c>
      <c r="AD386" s="125">
        <v>8230.9</v>
      </c>
      <c r="AE386" s="157">
        <v>6116.72</v>
      </c>
      <c r="AF386" s="157">
        <v>6441.48</v>
      </c>
      <c r="AG386" s="125">
        <v>7727.13</v>
      </c>
      <c r="AH386" s="125">
        <v>4943.87</v>
      </c>
      <c r="AI386" s="157">
        <v>7129.64</v>
      </c>
      <c r="AJ386" s="157">
        <v>7523.09</v>
      </c>
      <c r="AK386" s="157">
        <v>6240.95</v>
      </c>
      <c r="AL386" s="125">
        <v>250515.78</v>
      </c>
    </row>
    <row r="387" spans="1:38" s="117" customFormat="1" ht="15" customHeight="1" x14ac:dyDescent="0.2">
      <c r="A387" s="123" t="s">
        <v>381</v>
      </c>
      <c r="B387" s="124" t="s">
        <v>1185</v>
      </c>
      <c r="C387" s="157">
        <v>209.93</v>
      </c>
      <c r="D387" s="125">
        <v>261.76</v>
      </c>
      <c r="E387" s="157">
        <v>179.46</v>
      </c>
      <c r="F387" s="125">
        <v>156.86000000000001</v>
      </c>
      <c r="G387" s="157">
        <v>223.49</v>
      </c>
      <c r="H387" s="157">
        <v>189.45</v>
      </c>
      <c r="I387" s="157">
        <v>167.13</v>
      </c>
      <c r="J387" s="125">
        <v>160.75</v>
      </c>
      <c r="K387" s="125">
        <v>233.09</v>
      </c>
      <c r="L387" s="125">
        <v>174.34</v>
      </c>
      <c r="M387" s="157">
        <v>162.81</v>
      </c>
      <c r="N387" s="157">
        <v>148.11000000000001</v>
      </c>
      <c r="O387" s="157">
        <v>165.97</v>
      </c>
      <c r="P387" s="125">
        <v>151.53</v>
      </c>
      <c r="Q387" s="157">
        <v>251.5</v>
      </c>
      <c r="R387" s="157">
        <v>165.31</v>
      </c>
      <c r="S387" s="157">
        <v>125.05</v>
      </c>
      <c r="T387" s="125">
        <v>304.39999999999998</v>
      </c>
      <c r="U387" s="125">
        <v>250.68</v>
      </c>
      <c r="V387" s="125">
        <v>152.75</v>
      </c>
      <c r="W387" s="125">
        <v>161.86000000000001</v>
      </c>
      <c r="X387" s="157">
        <v>220.8</v>
      </c>
      <c r="Y387" s="125">
        <v>174.83</v>
      </c>
      <c r="Z387" s="125">
        <v>198.1</v>
      </c>
      <c r="AA387" s="125">
        <v>155.58000000000001</v>
      </c>
      <c r="AB387" s="125">
        <v>188.34</v>
      </c>
      <c r="AC387" s="125">
        <v>266.06</v>
      </c>
      <c r="AD387" s="125">
        <v>313.89999999999998</v>
      </c>
      <c r="AE387" s="157">
        <v>145.91999999999999</v>
      </c>
      <c r="AF387" s="157">
        <v>172.74</v>
      </c>
      <c r="AG387" s="125">
        <v>193.57</v>
      </c>
      <c r="AH387" s="125">
        <v>194.04</v>
      </c>
      <c r="AI387" s="157">
        <v>174.88</v>
      </c>
      <c r="AJ387" s="157">
        <v>144.11000000000001</v>
      </c>
      <c r="AK387" s="157">
        <v>143.13</v>
      </c>
      <c r="AL387" s="125">
        <v>6682.23</v>
      </c>
    </row>
    <row r="388" spans="1:38" s="117" customFormat="1" ht="15" customHeight="1" x14ac:dyDescent="0.2">
      <c r="A388" s="123" t="s">
        <v>1184</v>
      </c>
      <c r="B388" s="124" t="s">
        <v>1183</v>
      </c>
      <c r="C388" s="157">
        <v>0</v>
      </c>
      <c r="D388" s="125">
        <v>0</v>
      </c>
      <c r="E388" s="157">
        <v>0</v>
      </c>
      <c r="F388" s="125">
        <v>0</v>
      </c>
      <c r="G388" s="157">
        <v>152.94999999999999</v>
      </c>
      <c r="H388" s="157">
        <v>0</v>
      </c>
      <c r="I388" s="157">
        <v>0</v>
      </c>
      <c r="J388" s="125">
        <v>0</v>
      </c>
      <c r="K388" s="125">
        <v>0</v>
      </c>
      <c r="L388" s="125">
        <v>0</v>
      </c>
      <c r="M388" s="157">
        <v>0</v>
      </c>
      <c r="N388" s="157">
        <v>0</v>
      </c>
      <c r="O388" s="157">
        <v>0</v>
      </c>
      <c r="P388" s="125">
        <v>0</v>
      </c>
      <c r="Q388" s="157">
        <v>0</v>
      </c>
      <c r="R388" s="157">
        <v>0</v>
      </c>
      <c r="S388" s="157">
        <v>0</v>
      </c>
      <c r="T388" s="125">
        <v>0</v>
      </c>
      <c r="U388" s="125">
        <v>0</v>
      </c>
      <c r="V388" s="125">
        <v>0</v>
      </c>
      <c r="W388" s="125">
        <v>0</v>
      </c>
      <c r="X388" s="157">
        <v>0</v>
      </c>
      <c r="Y388" s="125">
        <v>0</v>
      </c>
      <c r="Z388" s="125">
        <v>0</v>
      </c>
      <c r="AA388" s="125">
        <v>0</v>
      </c>
      <c r="AB388" s="125">
        <v>0</v>
      </c>
      <c r="AC388" s="125">
        <v>0</v>
      </c>
      <c r="AD388" s="125">
        <v>0</v>
      </c>
      <c r="AE388" s="157">
        <v>0</v>
      </c>
      <c r="AF388" s="157">
        <v>0</v>
      </c>
      <c r="AG388" s="125">
        <v>0</v>
      </c>
      <c r="AH388" s="125">
        <v>0</v>
      </c>
      <c r="AI388" s="157">
        <v>0</v>
      </c>
      <c r="AJ388" s="157">
        <v>0</v>
      </c>
      <c r="AK388" s="157">
        <v>0</v>
      </c>
      <c r="AL388" s="125">
        <v>152.94999999999999</v>
      </c>
    </row>
    <row r="389" spans="1:38" s="117" customFormat="1" ht="15" customHeight="1" x14ac:dyDescent="0.2">
      <c r="A389" s="123" t="s">
        <v>647</v>
      </c>
      <c r="B389" s="124" t="s">
        <v>1182</v>
      </c>
      <c r="C389" s="157">
        <v>0</v>
      </c>
      <c r="D389" s="125">
        <v>30.73</v>
      </c>
      <c r="E389" s="157">
        <v>0</v>
      </c>
      <c r="F389" s="125">
        <v>0</v>
      </c>
      <c r="G389" s="157">
        <v>0</v>
      </c>
      <c r="H389" s="157">
        <v>0</v>
      </c>
      <c r="I389" s="157">
        <v>0</v>
      </c>
      <c r="J389" s="125">
        <v>0</v>
      </c>
      <c r="K389" s="125">
        <v>222.98</v>
      </c>
      <c r="L389" s="125">
        <v>0</v>
      </c>
      <c r="M389" s="157">
        <v>0</v>
      </c>
      <c r="N389" s="157">
        <v>0</v>
      </c>
      <c r="O389" s="157">
        <v>0</v>
      </c>
      <c r="P389" s="125">
        <v>0</v>
      </c>
      <c r="Q389" s="157">
        <v>0</v>
      </c>
      <c r="R389" s="157">
        <v>0</v>
      </c>
      <c r="S389" s="157">
        <v>0</v>
      </c>
      <c r="T389" s="125">
        <v>105.98</v>
      </c>
      <c r="U389" s="125">
        <v>0</v>
      </c>
      <c r="V389" s="125">
        <v>0</v>
      </c>
      <c r="W389" s="125">
        <v>0</v>
      </c>
      <c r="X389" s="157">
        <v>0</v>
      </c>
      <c r="Y389" s="125">
        <v>0</v>
      </c>
      <c r="Z389" s="125">
        <v>0</v>
      </c>
      <c r="AA389" s="125">
        <v>0</v>
      </c>
      <c r="AB389" s="125">
        <v>0</v>
      </c>
      <c r="AC389" s="125">
        <v>0</v>
      </c>
      <c r="AD389" s="125">
        <v>0</v>
      </c>
      <c r="AE389" s="157">
        <v>0</v>
      </c>
      <c r="AF389" s="157">
        <v>0</v>
      </c>
      <c r="AG389" s="125">
        <v>0</v>
      </c>
      <c r="AH389" s="125">
        <v>0</v>
      </c>
      <c r="AI389" s="157">
        <v>0</v>
      </c>
      <c r="AJ389" s="157">
        <v>0</v>
      </c>
      <c r="AK389" s="157">
        <v>0</v>
      </c>
      <c r="AL389" s="125">
        <v>359.69</v>
      </c>
    </row>
    <row r="390" spans="1:38" s="117" customFormat="1" ht="15" customHeight="1" x14ac:dyDescent="0.2">
      <c r="A390" s="123" t="s">
        <v>382</v>
      </c>
      <c r="B390" s="124" t="s">
        <v>1181</v>
      </c>
      <c r="C390" s="157">
        <v>212.37</v>
      </c>
      <c r="D390" s="125">
        <v>0</v>
      </c>
      <c r="E390" s="157">
        <v>314.16000000000003</v>
      </c>
      <c r="F390" s="125">
        <v>0</v>
      </c>
      <c r="G390" s="157">
        <v>1193.74</v>
      </c>
      <c r="H390" s="157">
        <v>0</v>
      </c>
      <c r="I390" s="157">
        <v>888.7</v>
      </c>
      <c r="J390" s="125">
        <v>160.31</v>
      </c>
      <c r="K390" s="125">
        <v>0</v>
      </c>
      <c r="L390" s="125">
        <v>0</v>
      </c>
      <c r="M390" s="157">
        <v>0</v>
      </c>
      <c r="N390" s="157">
        <v>0</v>
      </c>
      <c r="O390" s="157">
        <v>0</v>
      </c>
      <c r="P390" s="125">
        <v>487.34</v>
      </c>
      <c r="Q390" s="157">
        <v>2122.2600000000002</v>
      </c>
      <c r="R390" s="157">
        <v>0</v>
      </c>
      <c r="S390" s="157">
        <v>337.52</v>
      </c>
      <c r="T390" s="125">
        <v>449.33</v>
      </c>
      <c r="U390" s="125">
        <v>1637.61</v>
      </c>
      <c r="V390" s="125">
        <v>0</v>
      </c>
      <c r="W390" s="125">
        <v>1705.29</v>
      </c>
      <c r="X390" s="157">
        <v>1203.75</v>
      </c>
      <c r="Y390" s="125">
        <v>294.82</v>
      </c>
      <c r="Z390" s="125">
        <v>0</v>
      </c>
      <c r="AA390" s="125">
        <v>0</v>
      </c>
      <c r="AB390" s="125">
        <v>0</v>
      </c>
      <c r="AC390" s="125">
        <v>1075.0899999999999</v>
      </c>
      <c r="AD390" s="125">
        <v>436.76</v>
      </c>
      <c r="AE390" s="157">
        <v>0</v>
      </c>
      <c r="AF390" s="157">
        <v>0</v>
      </c>
      <c r="AG390" s="125">
        <v>-115.05</v>
      </c>
      <c r="AH390" s="125">
        <v>411</v>
      </c>
      <c r="AI390" s="157">
        <v>0</v>
      </c>
      <c r="AJ390" s="157">
        <v>0</v>
      </c>
      <c r="AK390" s="157">
        <v>0</v>
      </c>
      <c r="AL390" s="125">
        <v>12815</v>
      </c>
    </row>
    <row r="391" spans="1:38" s="117" customFormat="1" ht="15" customHeight="1" x14ac:dyDescent="0.2">
      <c r="A391" s="123" t="s">
        <v>559</v>
      </c>
      <c r="B391" s="124" t="s">
        <v>1180</v>
      </c>
      <c r="C391" s="157">
        <v>741.11</v>
      </c>
      <c r="D391" s="125">
        <v>610.07000000000005</v>
      </c>
      <c r="E391" s="157">
        <v>366.37</v>
      </c>
      <c r="F391" s="125">
        <v>282.2</v>
      </c>
      <c r="G391" s="157">
        <v>0</v>
      </c>
      <c r="H391" s="157">
        <v>314.69</v>
      </c>
      <c r="I391" s="157">
        <v>0</v>
      </c>
      <c r="J391" s="125">
        <v>390.88</v>
      </c>
      <c r="K391" s="125">
        <v>-0.16</v>
      </c>
      <c r="L391" s="125">
        <v>523.27</v>
      </c>
      <c r="M391" s="157">
        <v>311.64999999999998</v>
      </c>
      <c r="N391" s="157">
        <v>238.29</v>
      </c>
      <c r="O391" s="157">
        <v>773.99</v>
      </c>
      <c r="P391" s="125">
        <v>0</v>
      </c>
      <c r="Q391" s="157">
        <v>0</v>
      </c>
      <c r="R391" s="157">
        <v>935.7</v>
      </c>
      <c r="S391" s="157">
        <v>0</v>
      </c>
      <c r="T391" s="125">
        <v>1094.17</v>
      </c>
      <c r="U391" s="125">
        <v>0</v>
      </c>
      <c r="V391" s="125">
        <v>153.33000000000001</v>
      </c>
      <c r="W391" s="125">
        <v>64.989999999999995</v>
      </c>
      <c r="X391" s="157">
        <v>0</v>
      </c>
      <c r="Y391" s="125">
        <v>861.86</v>
      </c>
      <c r="Z391" s="125">
        <v>911.46</v>
      </c>
      <c r="AA391" s="125">
        <v>1001.16</v>
      </c>
      <c r="AB391" s="125">
        <v>233.9</v>
      </c>
      <c r="AC391" s="125">
        <v>0</v>
      </c>
      <c r="AD391" s="125">
        <v>0</v>
      </c>
      <c r="AE391" s="157">
        <v>384.2</v>
      </c>
      <c r="AF391" s="157">
        <v>424.26</v>
      </c>
      <c r="AG391" s="125">
        <v>579.38</v>
      </c>
      <c r="AH391" s="125">
        <v>215.07</v>
      </c>
      <c r="AI391" s="157">
        <v>711.58</v>
      </c>
      <c r="AJ391" s="157">
        <v>879.87</v>
      </c>
      <c r="AK391" s="157">
        <v>789.27</v>
      </c>
      <c r="AL391" s="125">
        <v>13792.56</v>
      </c>
    </row>
    <row r="392" spans="1:38" s="117" customFormat="1" ht="15" customHeight="1" x14ac:dyDescent="0.2">
      <c r="A392" s="123" t="s">
        <v>1179</v>
      </c>
      <c r="B392" s="124" t="s">
        <v>1178</v>
      </c>
      <c r="C392" s="157">
        <v>0</v>
      </c>
      <c r="D392" s="125">
        <v>0</v>
      </c>
      <c r="E392" s="157">
        <v>0</v>
      </c>
      <c r="F392" s="125">
        <v>0</v>
      </c>
      <c r="G392" s="157">
        <v>122.48</v>
      </c>
      <c r="H392" s="157">
        <v>0</v>
      </c>
      <c r="I392" s="157">
        <v>0</v>
      </c>
      <c r="J392" s="125">
        <v>0</v>
      </c>
      <c r="K392" s="125">
        <v>0</v>
      </c>
      <c r="L392" s="125">
        <v>0</v>
      </c>
      <c r="M392" s="157">
        <v>0</v>
      </c>
      <c r="N392" s="157">
        <v>0</v>
      </c>
      <c r="O392" s="157">
        <v>0</v>
      </c>
      <c r="P392" s="125">
        <v>0</v>
      </c>
      <c r="Q392" s="157">
        <v>0</v>
      </c>
      <c r="R392" s="157">
        <v>0</v>
      </c>
      <c r="S392" s="157">
        <v>0</v>
      </c>
      <c r="T392" s="125">
        <v>0</v>
      </c>
      <c r="U392" s="125">
        <v>0</v>
      </c>
      <c r="V392" s="125">
        <v>0</v>
      </c>
      <c r="W392" s="125">
        <v>0</v>
      </c>
      <c r="X392" s="157">
        <v>422.65</v>
      </c>
      <c r="Y392" s="125">
        <v>0</v>
      </c>
      <c r="Z392" s="125">
        <v>0</v>
      </c>
      <c r="AA392" s="125">
        <v>0</v>
      </c>
      <c r="AB392" s="125">
        <v>0</v>
      </c>
      <c r="AC392" s="125">
        <v>0</v>
      </c>
      <c r="AD392" s="125">
        <v>0</v>
      </c>
      <c r="AE392" s="157">
        <v>0</v>
      </c>
      <c r="AF392" s="157">
        <v>0</v>
      </c>
      <c r="AG392" s="125">
        <v>0</v>
      </c>
      <c r="AH392" s="125">
        <v>0</v>
      </c>
      <c r="AI392" s="157">
        <v>0</v>
      </c>
      <c r="AJ392" s="157">
        <v>0</v>
      </c>
      <c r="AK392" s="157">
        <v>0</v>
      </c>
      <c r="AL392" s="125">
        <v>545.13</v>
      </c>
    </row>
    <row r="393" spans="1:38" s="117" customFormat="1" ht="15" customHeight="1" x14ac:dyDescent="0.2">
      <c r="A393" s="123" t="s">
        <v>383</v>
      </c>
      <c r="B393" s="124" t="s">
        <v>1177</v>
      </c>
      <c r="C393" s="157">
        <v>858</v>
      </c>
      <c r="D393" s="125">
        <v>1144.01</v>
      </c>
      <c r="E393" s="157">
        <v>935</v>
      </c>
      <c r="F393" s="125">
        <v>0</v>
      </c>
      <c r="G393" s="157">
        <v>0</v>
      </c>
      <c r="H393" s="157">
        <v>0</v>
      </c>
      <c r="I393" s="157">
        <v>0</v>
      </c>
      <c r="J393" s="125">
        <v>0</v>
      </c>
      <c r="K393" s="125">
        <v>1452</v>
      </c>
      <c r="L393" s="125">
        <v>0</v>
      </c>
      <c r="M393" s="157">
        <v>1268</v>
      </c>
      <c r="N393" s="157">
        <v>0</v>
      </c>
      <c r="O393" s="157">
        <v>0</v>
      </c>
      <c r="P393" s="125">
        <v>781</v>
      </c>
      <c r="Q393" s="157">
        <v>0</v>
      </c>
      <c r="R393" s="157">
        <v>0</v>
      </c>
      <c r="S393" s="157">
        <v>715</v>
      </c>
      <c r="T393" s="125">
        <v>1397</v>
      </c>
      <c r="U393" s="125">
        <v>55</v>
      </c>
      <c r="V393" s="125">
        <v>0</v>
      </c>
      <c r="W393" s="125">
        <v>0</v>
      </c>
      <c r="X393" s="157">
        <v>0</v>
      </c>
      <c r="Y393" s="125">
        <v>0</v>
      </c>
      <c r="Z393" s="125">
        <v>1012</v>
      </c>
      <c r="AA393" s="125">
        <v>0</v>
      </c>
      <c r="AB393" s="125">
        <v>0</v>
      </c>
      <c r="AC393" s="125">
        <v>0</v>
      </c>
      <c r="AD393" s="125">
        <v>1320</v>
      </c>
      <c r="AE393" s="157">
        <v>0</v>
      </c>
      <c r="AF393" s="157">
        <v>0</v>
      </c>
      <c r="AG393" s="125">
        <v>0</v>
      </c>
      <c r="AH393" s="125">
        <v>0</v>
      </c>
      <c r="AI393" s="157">
        <v>0</v>
      </c>
      <c r="AJ393" s="157">
        <v>0</v>
      </c>
      <c r="AK393" s="157">
        <v>0</v>
      </c>
      <c r="AL393" s="125">
        <v>10937.01</v>
      </c>
    </row>
    <row r="394" spans="1:38" s="117" customFormat="1" ht="15" customHeight="1" x14ac:dyDescent="0.2">
      <c r="A394" s="123" t="s">
        <v>1176</v>
      </c>
      <c r="B394" s="124" t="s">
        <v>1175</v>
      </c>
      <c r="C394" s="157">
        <v>45.51</v>
      </c>
      <c r="D394" s="125">
        <v>0</v>
      </c>
      <c r="E394" s="157">
        <v>45.51</v>
      </c>
      <c r="F394" s="125">
        <v>0</v>
      </c>
      <c r="G394" s="157">
        <v>69</v>
      </c>
      <c r="H394" s="157">
        <v>0</v>
      </c>
      <c r="I394" s="157">
        <v>0</v>
      </c>
      <c r="J394" s="125">
        <v>0</v>
      </c>
      <c r="K394" s="125">
        <v>0</v>
      </c>
      <c r="L394" s="125">
        <v>0</v>
      </c>
      <c r="M394" s="157">
        <v>0</v>
      </c>
      <c r="N394" s="157">
        <v>0</v>
      </c>
      <c r="O394" s="157">
        <v>0</v>
      </c>
      <c r="P394" s="125">
        <v>250</v>
      </c>
      <c r="Q394" s="157">
        <v>0</v>
      </c>
      <c r="R394" s="157">
        <v>0</v>
      </c>
      <c r="S394" s="157">
        <v>250</v>
      </c>
      <c r="T394" s="125">
        <v>47.39</v>
      </c>
      <c r="U394" s="125">
        <v>0</v>
      </c>
      <c r="V394" s="125">
        <v>0</v>
      </c>
      <c r="W394" s="125">
        <v>69</v>
      </c>
      <c r="X394" s="157">
        <v>69</v>
      </c>
      <c r="Y394" s="125">
        <v>0</v>
      </c>
      <c r="Z394" s="125">
        <v>0</v>
      </c>
      <c r="AA394" s="125">
        <v>0</v>
      </c>
      <c r="AB394" s="125">
        <v>0</v>
      </c>
      <c r="AC394" s="125">
        <v>0</v>
      </c>
      <c r="AD394" s="125">
        <v>0</v>
      </c>
      <c r="AE394" s="157">
        <v>0</v>
      </c>
      <c r="AF394" s="157">
        <v>0</v>
      </c>
      <c r="AG394" s="125">
        <v>0</v>
      </c>
      <c r="AH394" s="125">
        <v>0</v>
      </c>
      <c r="AI394" s="157">
        <v>0</v>
      </c>
      <c r="AJ394" s="157">
        <v>0</v>
      </c>
      <c r="AK394" s="157">
        <v>0</v>
      </c>
      <c r="AL394" s="125">
        <v>845.41</v>
      </c>
    </row>
    <row r="395" spans="1:38" s="117" customFormat="1" ht="15" customHeight="1" x14ac:dyDescent="0.2">
      <c r="A395" s="123" t="s">
        <v>1408</v>
      </c>
      <c r="B395" s="124" t="s">
        <v>1174</v>
      </c>
      <c r="C395" s="157">
        <v>0</v>
      </c>
      <c r="D395" s="125">
        <v>0</v>
      </c>
      <c r="E395" s="157">
        <v>0</v>
      </c>
      <c r="F395" s="125">
        <v>0</v>
      </c>
      <c r="G395" s="157">
        <v>14.27</v>
      </c>
      <c r="H395" s="157">
        <v>0</v>
      </c>
      <c r="I395" s="157">
        <v>0</v>
      </c>
      <c r="J395" s="125">
        <v>0</v>
      </c>
      <c r="K395" s="125">
        <v>0</v>
      </c>
      <c r="L395" s="125">
        <v>0</v>
      </c>
      <c r="M395" s="157">
        <v>0</v>
      </c>
      <c r="N395" s="157">
        <v>0</v>
      </c>
      <c r="O395" s="157">
        <v>0</v>
      </c>
      <c r="P395" s="125">
        <v>0</v>
      </c>
      <c r="Q395" s="157">
        <v>0</v>
      </c>
      <c r="R395" s="157">
        <v>0</v>
      </c>
      <c r="S395" s="157">
        <v>0</v>
      </c>
      <c r="T395" s="125">
        <v>0</v>
      </c>
      <c r="U395" s="125">
        <v>0</v>
      </c>
      <c r="V395" s="125">
        <v>0</v>
      </c>
      <c r="W395" s="125">
        <v>0</v>
      </c>
      <c r="X395" s="157">
        <v>0</v>
      </c>
      <c r="Y395" s="125">
        <v>0</v>
      </c>
      <c r="Z395" s="125">
        <v>0</v>
      </c>
      <c r="AA395" s="125">
        <v>0</v>
      </c>
      <c r="AB395" s="125">
        <v>0</v>
      </c>
      <c r="AC395" s="125">
        <v>0</v>
      </c>
      <c r="AD395" s="125">
        <v>0</v>
      </c>
      <c r="AE395" s="157">
        <v>0</v>
      </c>
      <c r="AF395" s="157">
        <v>0</v>
      </c>
      <c r="AG395" s="125">
        <v>0</v>
      </c>
      <c r="AH395" s="125">
        <v>0</v>
      </c>
      <c r="AI395" s="157">
        <v>0</v>
      </c>
      <c r="AJ395" s="157">
        <v>0</v>
      </c>
      <c r="AK395" s="157">
        <v>0</v>
      </c>
      <c r="AL395" s="125">
        <v>14.27</v>
      </c>
    </row>
    <row r="396" spans="1:38" s="117" customFormat="1" ht="15" customHeight="1" x14ac:dyDescent="0.2">
      <c r="A396" s="123" t="s">
        <v>384</v>
      </c>
      <c r="B396" s="124" t="s">
        <v>1174</v>
      </c>
      <c r="C396" s="157">
        <v>325.79000000000002</v>
      </c>
      <c r="D396" s="125">
        <v>103.25</v>
      </c>
      <c r="E396" s="157">
        <v>302.33</v>
      </c>
      <c r="F396" s="125">
        <v>420.79</v>
      </c>
      <c r="G396" s="157">
        <v>569.51</v>
      </c>
      <c r="H396" s="157">
        <v>310.27999999999997</v>
      </c>
      <c r="I396" s="157">
        <v>262.38</v>
      </c>
      <c r="J396" s="125">
        <v>262.38</v>
      </c>
      <c r="K396" s="125">
        <v>102.94</v>
      </c>
      <c r="L396" s="125">
        <v>322.89</v>
      </c>
      <c r="M396" s="157">
        <v>85.07</v>
      </c>
      <c r="N396" s="157">
        <v>427.05</v>
      </c>
      <c r="O396" s="157">
        <v>318.04000000000002</v>
      </c>
      <c r="P396" s="125">
        <v>90.3</v>
      </c>
      <c r="Q396" s="157">
        <v>398.71</v>
      </c>
      <c r="R396" s="157">
        <v>315.32</v>
      </c>
      <c r="S396" s="157">
        <v>73.91</v>
      </c>
      <c r="T396" s="125">
        <v>359.68</v>
      </c>
      <c r="U396" s="125">
        <v>521.41</v>
      </c>
      <c r="V396" s="125">
        <v>242.5</v>
      </c>
      <c r="W396" s="125">
        <v>700.6</v>
      </c>
      <c r="X396" s="157">
        <v>335.09</v>
      </c>
      <c r="Y396" s="125">
        <v>293.20999999999998</v>
      </c>
      <c r="Z396" s="125">
        <v>88.45</v>
      </c>
      <c r="AA396" s="125">
        <v>318.04000000000002</v>
      </c>
      <c r="AB396" s="125">
        <v>239.24</v>
      </c>
      <c r="AC396" s="125">
        <v>402.96</v>
      </c>
      <c r="AD396" s="125">
        <v>454.46</v>
      </c>
      <c r="AE396" s="157">
        <v>238.21</v>
      </c>
      <c r="AF396" s="157">
        <v>216.1</v>
      </c>
      <c r="AG396" s="125">
        <v>353.52</v>
      </c>
      <c r="AH396" s="125">
        <v>217.23</v>
      </c>
      <c r="AI396" s="157">
        <v>415.36</v>
      </c>
      <c r="AJ396" s="157">
        <v>335.51</v>
      </c>
      <c r="AK396" s="157">
        <v>292.83</v>
      </c>
      <c r="AL396" s="125">
        <v>10715.34</v>
      </c>
    </row>
    <row r="397" spans="1:38" s="117" customFormat="1" ht="15" customHeight="1" x14ac:dyDescent="0.2">
      <c r="A397" s="123" t="s">
        <v>624</v>
      </c>
      <c r="B397" s="124" t="s">
        <v>1173</v>
      </c>
      <c r="C397" s="157">
        <v>95</v>
      </c>
      <c r="D397" s="125">
        <v>0</v>
      </c>
      <c r="E397" s="157">
        <v>0</v>
      </c>
      <c r="F397" s="125">
        <v>0</v>
      </c>
      <c r="G397" s="157">
        <v>0</v>
      </c>
      <c r="H397" s="157">
        <v>0</v>
      </c>
      <c r="I397" s="157">
        <v>0</v>
      </c>
      <c r="J397" s="125">
        <v>0</v>
      </c>
      <c r="K397" s="125">
        <v>0</v>
      </c>
      <c r="L397" s="125">
        <v>0</v>
      </c>
      <c r="M397" s="157">
        <v>0</v>
      </c>
      <c r="N397" s="157">
        <v>0</v>
      </c>
      <c r="O397" s="157">
        <v>0</v>
      </c>
      <c r="P397" s="125">
        <v>0</v>
      </c>
      <c r="Q397" s="157">
        <v>0</v>
      </c>
      <c r="R397" s="157">
        <v>0</v>
      </c>
      <c r="S397" s="157">
        <v>0</v>
      </c>
      <c r="T397" s="125">
        <v>0</v>
      </c>
      <c r="U397" s="125">
        <v>0</v>
      </c>
      <c r="V397" s="125">
        <v>0</v>
      </c>
      <c r="W397" s="125">
        <v>0</v>
      </c>
      <c r="X397" s="157">
        <v>0</v>
      </c>
      <c r="Y397" s="125">
        <v>0</v>
      </c>
      <c r="Z397" s="125">
        <v>0</v>
      </c>
      <c r="AA397" s="125">
        <v>0</v>
      </c>
      <c r="AB397" s="125">
        <v>0</v>
      </c>
      <c r="AC397" s="125">
        <v>95</v>
      </c>
      <c r="AD397" s="125">
        <v>0</v>
      </c>
      <c r="AE397" s="157">
        <v>0</v>
      </c>
      <c r="AF397" s="157">
        <v>0</v>
      </c>
      <c r="AG397" s="125">
        <v>0</v>
      </c>
      <c r="AH397" s="125">
        <v>0</v>
      </c>
      <c r="AI397" s="157">
        <v>0</v>
      </c>
      <c r="AJ397" s="157">
        <v>0</v>
      </c>
      <c r="AK397" s="157">
        <v>0</v>
      </c>
      <c r="AL397" s="125">
        <v>190</v>
      </c>
    </row>
    <row r="398" spans="1:38" s="117" customFormat="1" ht="15" customHeight="1" x14ac:dyDescent="0.2">
      <c r="A398" s="123" t="s">
        <v>385</v>
      </c>
      <c r="B398" s="124" t="s">
        <v>1172</v>
      </c>
      <c r="C398" s="157">
        <v>382.71</v>
      </c>
      <c r="D398" s="125">
        <v>382.95</v>
      </c>
      <c r="E398" s="157">
        <v>333</v>
      </c>
      <c r="F398" s="125">
        <v>382.71</v>
      </c>
      <c r="G398" s="157">
        <v>770.67</v>
      </c>
      <c r="H398" s="157">
        <v>376.05</v>
      </c>
      <c r="I398" s="157">
        <v>425.76</v>
      </c>
      <c r="J398" s="125">
        <v>455.28</v>
      </c>
      <c r="K398" s="125">
        <v>379.38</v>
      </c>
      <c r="L398" s="125">
        <v>840.87</v>
      </c>
      <c r="M398" s="157">
        <v>289.58</v>
      </c>
      <c r="N398" s="157">
        <v>543</v>
      </c>
      <c r="O398" s="157">
        <v>296</v>
      </c>
      <c r="P398" s="125">
        <v>309.74</v>
      </c>
      <c r="Q398" s="157">
        <v>467.44</v>
      </c>
      <c r="R398" s="157">
        <v>405.87</v>
      </c>
      <c r="S398" s="157">
        <v>213.12</v>
      </c>
      <c r="T398" s="125">
        <v>362.84</v>
      </c>
      <c r="U398" s="125">
        <v>1109.04</v>
      </c>
      <c r="V398" s="125">
        <v>361</v>
      </c>
      <c r="W398" s="125">
        <v>389.35</v>
      </c>
      <c r="X398" s="157">
        <v>359.52</v>
      </c>
      <c r="Y398" s="125">
        <v>1604.21</v>
      </c>
      <c r="Z398" s="125">
        <v>249.75</v>
      </c>
      <c r="AA398" s="125">
        <v>296</v>
      </c>
      <c r="AB398" s="125">
        <v>299.7</v>
      </c>
      <c r="AC398" s="125">
        <v>342.9</v>
      </c>
      <c r="AD398" s="125">
        <v>528.88</v>
      </c>
      <c r="AE398" s="157">
        <v>408.85</v>
      </c>
      <c r="AF398" s="157">
        <v>587.35</v>
      </c>
      <c r="AG398" s="125">
        <v>396.14</v>
      </c>
      <c r="AH398" s="125">
        <v>246.18</v>
      </c>
      <c r="AI398" s="157">
        <v>366.18</v>
      </c>
      <c r="AJ398" s="157">
        <v>697.49</v>
      </c>
      <c r="AK398" s="157">
        <v>411.08</v>
      </c>
      <c r="AL398" s="125">
        <v>16270.59</v>
      </c>
    </row>
    <row r="399" spans="1:38" s="117" customFormat="1" ht="15" customHeight="1" x14ac:dyDescent="0.2">
      <c r="A399" s="123" t="s">
        <v>1171</v>
      </c>
      <c r="B399" s="124" t="s">
        <v>1170</v>
      </c>
      <c r="C399" s="157">
        <v>0</v>
      </c>
      <c r="D399" s="125">
        <v>0</v>
      </c>
      <c r="E399" s="157">
        <v>0</v>
      </c>
      <c r="F399" s="125">
        <v>0</v>
      </c>
      <c r="G399" s="157">
        <v>0</v>
      </c>
      <c r="H399" s="157">
        <v>0</v>
      </c>
      <c r="I399" s="157">
        <v>0</v>
      </c>
      <c r="J399" s="125">
        <v>0</v>
      </c>
      <c r="K399" s="125">
        <v>0</v>
      </c>
      <c r="L399" s="125">
        <v>252</v>
      </c>
      <c r="M399" s="157">
        <v>0</v>
      </c>
      <c r="N399" s="157">
        <v>0</v>
      </c>
      <c r="O399" s="157">
        <v>0</v>
      </c>
      <c r="P399" s="125">
        <v>0</v>
      </c>
      <c r="Q399" s="157">
        <v>0</v>
      </c>
      <c r="R399" s="157">
        <v>0</v>
      </c>
      <c r="S399" s="157">
        <v>0</v>
      </c>
      <c r="T399" s="125">
        <v>0</v>
      </c>
      <c r="U399" s="125">
        <v>0</v>
      </c>
      <c r="V399" s="125">
        <v>95</v>
      </c>
      <c r="W399" s="125">
        <v>0</v>
      </c>
      <c r="X399" s="157">
        <v>0</v>
      </c>
      <c r="Y399" s="125">
        <v>0</v>
      </c>
      <c r="Z399" s="125">
        <v>0</v>
      </c>
      <c r="AA399" s="125">
        <v>0</v>
      </c>
      <c r="AB399" s="125">
        <v>0</v>
      </c>
      <c r="AC399" s="125">
        <v>0</v>
      </c>
      <c r="AD399" s="125">
        <v>0</v>
      </c>
      <c r="AE399" s="157">
        <v>0</v>
      </c>
      <c r="AF399" s="157">
        <v>0</v>
      </c>
      <c r="AG399" s="125">
        <v>0</v>
      </c>
      <c r="AH399" s="125">
        <v>0</v>
      </c>
      <c r="AI399" s="157">
        <v>0</v>
      </c>
      <c r="AJ399" s="157">
        <v>0</v>
      </c>
      <c r="AK399" s="157">
        <v>0</v>
      </c>
      <c r="AL399" s="125">
        <v>347</v>
      </c>
    </row>
    <row r="400" spans="1:38" s="117" customFormat="1" ht="15" customHeight="1" x14ac:dyDescent="0.2">
      <c r="A400" s="123" t="s">
        <v>1169</v>
      </c>
      <c r="B400" s="124" t="s">
        <v>1168</v>
      </c>
      <c r="C400" s="157">
        <v>412.94</v>
      </c>
      <c r="D400" s="125">
        <v>282.14999999999998</v>
      </c>
      <c r="E400" s="157">
        <v>156.15</v>
      </c>
      <c r="F400" s="125">
        <v>460.64</v>
      </c>
      <c r="G400" s="157">
        <v>802.4</v>
      </c>
      <c r="H400" s="157">
        <v>308.36</v>
      </c>
      <c r="I400" s="157">
        <v>459.75</v>
      </c>
      <c r="J400" s="125">
        <v>297.75</v>
      </c>
      <c r="K400" s="125">
        <v>384.5</v>
      </c>
      <c r="L400" s="125">
        <v>308.38</v>
      </c>
      <c r="M400" s="157">
        <v>250.06</v>
      </c>
      <c r="N400" s="157">
        <v>277.76</v>
      </c>
      <c r="O400" s="157">
        <v>384.5</v>
      </c>
      <c r="P400" s="125">
        <v>321.20999999999998</v>
      </c>
      <c r="Q400" s="157">
        <v>384.5</v>
      </c>
      <c r="R400" s="157">
        <v>308.38</v>
      </c>
      <c r="S400" s="157">
        <v>196.48</v>
      </c>
      <c r="T400" s="125">
        <v>309.91000000000003</v>
      </c>
      <c r="U400" s="125">
        <v>531.49</v>
      </c>
      <c r="V400" s="125">
        <v>96.4</v>
      </c>
      <c r="W400" s="125">
        <v>358.27</v>
      </c>
      <c r="X400" s="157">
        <v>182.37</v>
      </c>
      <c r="Y400" s="125">
        <v>336.81</v>
      </c>
      <c r="Z400" s="125">
        <v>308.39</v>
      </c>
      <c r="AA400" s="125">
        <v>334.61</v>
      </c>
      <c r="AB400" s="125">
        <v>323.36</v>
      </c>
      <c r="AC400" s="125">
        <v>384.5</v>
      </c>
      <c r="AD400" s="125">
        <v>402.3</v>
      </c>
      <c r="AE400" s="157">
        <v>156.13999999999999</v>
      </c>
      <c r="AF400" s="157">
        <v>384.5</v>
      </c>
      <c r="AG400" s="125">
        <v>900</v>
      </c>
      <c r="AH400" s="125">
        <v>384.5</v>
      </c>
      <c r="AI400" s="157">
        <v>308.37</v>
      </c>
      <c r="AJ400" s="157">
        <v>308.37</v>
      </c>
      <c r="AK400" s="157">
        <v>386.7</v>
      </c>
      <c r="AL400" s="125">
        <v>12392.9</v>
      </c>
    </row>
    <row r="401" spans="1:38" s="117" customFormat="1" ht="15" customHeight="1" x14ac:dyDescent="0.2">
      <c r="A401" s="123" t="s">
        <v>1167</v>
      </c>
      <c r="B401" s="124" t="s">
        <v>1166</v>
      </c>
      <c r="C401" s="157">
        <v>0</v>
      </c>
      <c r="D401" s="125">
        <v>0</v>
      </c>
      <c r="E401" s="157">
        <v>0</v>
      </c>
      <c r="F401" s="125">
        <v>0</v>
      </c>
      <c r="G401" s="157">
        <v>0</v>
      </c>
      <c r="H401" s="157">
        <v>0</v>
      </c>
      <c r="I401" s="157">
        <v>0</v>
      </c>
      <c r="J401" s="125">
        <v>0</v>
      </c>
      <c r="K401" s="125">
        <v>0</v>
      </c>
      <c r="L401" s="125">
        <v>0</v>
      </c>
      <c r="M401" s="157">
        <v>0</v>
      </c>
      <c r="N401" s="157">
        <v>0</v>
      </c>
      <c r="O401" s="157">
        <v>0</v>
      </c>
      <c r="P401" s="125">
        <v>0</v>
      </c>
      <c r="Q401" s="157">
        <v>11000</v>
      </c>
      <c r="R401" s="157">
        <v>0</v>
      </c>
      <c r="S401" s="157">
        <v>0</v>
      </c>
      <c r="T401" s="125">
        <v>0</v>
      </c>
      <c r="U401" s="125">
        <v>0</v>
      </c>
      <c r="V401" s="125">
        <v>0</v>
      </c>
      <c r="W401" s="125">
        <v>0</v>
      </c>
      <c r="X401" s="157">
        <v>0</v>
      </c>
      <c r="Y401" s="125">
        <v>0</v>
      </c>
      <c r="Z401" s="125">
        <v>0</v>
      </c>
      <c r="AA401" s="125">
        <v>0</v>
      </c>
      <c r="AB401" s="125">
        <v>0</v>
      </c>
      <c r="AC401" s="125">
        <v>0</v>
      </c>
      <c r="AD401" s="125">
        <v>0</v>
      </c>
      <c r="AE401" s="157">
        <v>0</v>
      </c>
      <c r="AF401" s="157">
        <v>0</v>
      </c>
      <c r="AG401" s="125">
        <v>0</v>
      </c>
      <c r="AH401" s="125">
        <v>0</v>
      </c>
      <c r="AI401" s="157">
        <v>0</v>
      </c>
      <c r="AJ401" s="157">
        <v>0</v>
      </c>
      <c r="AK401" s="157">
        <v>0</v>
      </c>
      <c r="AL401" s="125">
        <v>11000</v>
      </c>
    </row>
    <row r="402" spans="1:38" s="117" customFormat="1" ht="15" customHeight="1" x14ac:dyDescent="0.2">
      <c r="A402" s="123" t="s">
        <v>1410</v>
      </c>
      <c r="B402" s="124" t="s">
        <v>1164</v>
      </c>
      <c r="C402" s="157">
        <v>0</v>
      </c>
      <c r="D402" s="125">
        <v>0</v>
      </c>
      <c r="E402" s="157">
        <v>0</v>
      </c>
      <c r="F402" s="125">
        <v>0</v>
      </c>
      <c r="G402" s="157">
        <v>35.39</v>
      </c>
      <c r="H402" s="157">
        <v>0</v>
      </c>
      <c r="I402" s="157">
        <v>0</v>
      </c>
      <c r="J402" s="125">
        <v>0</v>
      </c>
      <c r="K402" s="125">
        <v>0</v>
      </c>
      <c r="L402" s="125">
        <v>0</v>
      </c>
      <c r="M402" s="157">
        <v>311.32</v>
      </c>
      <c r="N402" s="157">
        <v>133.69999999999999</v>
      </c>
      <c r="O402" s="157">
        <v>0</v>
      </c>
      <c r="P402" s="125">
        <v>26.78</v>
      </c>
      <c r="Q402" s="157">
        <v>0</v>
      </c>
      <c r="R402" s="157">
        <v>0</v>
      </c>
      <c r="S402" s="157">
        <v>0</v>
      </c>
      <c r="T402" s="125">
        <v>0</v>
      </c>
      <c r="U402" s="125">
        <v>0</v>
      </c>
      <c r="V402" s="125">
        <v>0</v>
      </c>
      <c r="W402" s="125">
        <v>0</v>
      </c>
      <c r="X402" s="157">
        <v>0</v>
      </c>
      <c r="Y402" s="125">
        <v>22.5</v>
      </c>
      <c r="Z402" s="125">
        <v>0</v>
      </c>
      <c r="AA402" s="125">
        <v>0</v>
      </c>
      <c r="AB402" s="125">
        <v>0</v>
      </c>
      <c r="AC402" s="125">
        <v>30</v>
      </c>
      <c r="AD402" s="125">
        <v>591.77</v>
      </c>
      <c r="AE402" s="157">
        <v>0</v>
      </c>
      <c r="AF402" s="157">
        <v>0</v>
      </c>
      <c r="AG402" s="125">
        <v>18</v>
      </c>
      <c r="AH402" s="125">
        <v>51.1</v>
      </c>
      <c r="AI402" s="157">
        <v>0</v>
      </c>
      <c r="AJ402" s="157">
        <v>0</v>
      </c>
      <c r="AK402" s="157">
        <v>17.78</v>
      </c>
      <c r="AL402" s="125">
        <v>1238.3399999999999</v>
      </c>
    </row>
    <row r="403" spans="1:38" s="117" customFormat="1" ht="15" customHeight="1" x14ac:dyDescent="0.2">
      <c r="A403" s="123" t="s">
        <v>594</v>
      </c>
      <c r="B403" s="124" t="s">
        <v>1165</v>
      </c>
      <c r="C403" s="157">
        <v>85.75</v>
      </c>
      <c r="D403" s="125">
        <v>292.51</v>
      </c>
      <c r="E403" s="157">
        <v>85.75</v>
      </c>
      <c r="F403" s="125">
        <v>0</v>
      </c>
      <c r="G403" s="157">
        <v>0</v>
      </c>
      <c r="H403" s="157">
        <v>44.27</v>
      </c>
      <c r="I403" s="157">
        <v>0</v>
      </c>
      <c r="J403" s="125">
        <v>227.52</v>
      </c>
      <c r="K403" s="125">
        <v>0</v>
      </c>
      <c r="L403" s="125">
        <v>470.92</v>
      </c>
      <c r="M403" s="157">
        <v>0</v>
      </c>
      <c r="N403" s="157">
        <v>0</v>
      </c>
      <c r="O403" s="157">
        <v>0</v>
      </c>
      <c r="P403" s="125">
        <v>0</v>
      </c>
      <c r="Q403" s="157">
        <v>0</v>
      </c>
      <c r="R403" s="157">
        <v>0</v>
      </c>
      <c r="S403" s="157">
        <v>0</v>
      </c>
      <c r="T403" s="125">
        <v>0</v>
      </c>
      <c r="U403" s="125">
        <v>31.62</v>
      </c>
      <c r="V403" s="125">
        <v>85.75</v>
      </c>
      <c r="W403" s="125">
        <v>0</v>
      </c>
      <c r="X403" s="157">
        <v>0</v>
      </c>
      <c r="Y403" s="125">
        <v>0</v>
      </c>
      <c r="Z403" s="125">
        <v>191.94</v>
      </c>
      <c r="AA403" s="125">
        <v>0</v>
      </c>
      <c r="AB403" s="125">
        <v>0</v>
      </c>
      <c r="AC403" s="125">
        <v>85.34</v>
      </c>
      <c r="AD403" s="125">
        <v>0</v>
      </c>
      <c r="AE403" s="157">
        <v>0</v>
      </c>
      <c r="AF403" s="157">
        <v>0</v>
      </c>
      <c r="AG403" s="125">
        <v>0</v>
      </c>
      <c r="AH403" s="125">
        <v>0</v>
      </c>
      <c r="AI403" s="157">
        <v>0</v>
      </c>
      <c r="AJ403" s="157">
        <v>0</v>
      </c>
      <c r="AK403" s="157">
        <v>0</v>
      </c>
      <c r="AL403" s="125">
        <v>1601.37</v>
      </c>
    </row>
    <row r="404" spans="1:38" s="117" customFormat="1" ht="15" customHeight="1" x14ac:dyDescent="0.2">
      <c r="A404" s="123" t="s">
        <v>386</v>
      </c>
      <c r="B404" s="124" t="s">
        <v>1164</v>
      </c>
      <c r="C404" s="157">
        <v>288.27999999999997</v>
      </c>
      <c r="D404" s="125">
        <v>1067.78</v>
      </c>
      <c r="E404" s="157">
        <v>177.28</v>
      </c>
      <c r="F404" s="125">
        <v>168.37</v>
      </c>
      <c r="G404" s="157">
        <v>1134.44</v>
      </c>
      <c r="H404" s="157">
        <v>281.62</v>
      </c>
      <c r="I404" s="157">
        <v>270.51</v>
      </c>
      <c r="J404" s="125">
        <v>89</v>
      </c>
      <c r="K404" s="125">
        <v>742.61</v>
      </c>
      <c r="L404" s="125">
        <v>156.91</v>
      </c>
      <c r="M404" s="157">
        <v>98.54</v>
      </c>
      <c r="N404" s="157">
        <v>483.6</v>
      </c>
      <c r="O404" s="157">
        <v>461.54</v>
      </c>
      <c r="P404" s="125">
        <v>240.45</v>
      </c>
      <c r="Q404" s="157">
        <v>337.62</v>
      </c>
      <c r="R404" s="157">
        <v>266.05</v>
      </c>
      <c r="S404" s="157">
        <v>190.52</v>
      </c>
      <c r="T404" s="125">
        <v>1071.6199999999999</v>
      </c>
      <c r="U404" s="125">
        <v>277.51</v>
      </c>
      <c r="V404" s="125">
        <v>416.23</v>
      </c>
      <c r="W404" s="125">
        <v>373.42</v>
      </c>
      <c r="X404" s="157">
        <v>416.53</v>
      </c>
      <c r="Y404" s="125">
        <v>305.56</v>
      </c>
      <c r="Z404" s="125">
        <v>212.14</v>
      </c>
      <c r="AA404" s="125">
        <v>505.74</v>
      </c>
      <c r="AB404" s="125">
        <v>377.76</v>
      </c>
      <c r="AC404" s="125">
        <v>672.97</v>
      </c>
      <c r="AD404" s="125">
        <v>246.52</v>
      </c>
      <c r="AE404" s="157">
        <v>400.29</v>
      </c>
      <c r="AF404" s="157">
        <v>343.45</v>
      </c>
      <c r="AG404" s="125">
        <v>480.68</v>
      </c>
      <c r="AH404" s="125">
        <v>424.68</v>
      </c>
      <c r="AI404" s="157">
        <v>168.15</v>
      </c>
      <c r="AJ404" s="157">
        <v>251.25</v>
      </c>
      <c r="AK404" s="157">
        <v>83.15</v>
      </c>
      <c r="AL404" s="125">
        <v>13482.77</v>
      </c>
    </row>
    <row r="405" spans="1:38" s="117" customFormat="1" ht="15" customHeight="1" x14ac:dyDescent="0.2">
      <c r="A405" s="123" t="s">
        <v>744</v>
      </c>
      <c r="B405" s="124" t="s">
        <v>1163</v>
      </c>
      <c r="C405" s="157">
        <v>0</v>
      </c>
      <c r="D405" s="125">
        <v>0</v>
      </c>
      <c r="E405" s="157">
        <v>0</v>
      </c>
      <c r="F405" s="125">
        <v>0</v>
      </c>
      <c r="G405" s="157">
        <v>0</v>
      </c>
      <c r="H405" s="157">
        <v>0</v>
      </c>
      <c r="I405" s="157">
        <v>0</v>
      </c>
      <c r="J405" s="125">
        <v>0</v>
      </c>
      <c r="K405" s="125">
        <v>0</v>
      </c>
      <c r="L405" s="125">
        <v>0</v>
      </c>
      <c r="M405" s="157">
        <v>0</v>
      </c>
      <c r="N405" s="157">
        <v>0</v>
      </c>
      <c r="O405" s="157">
        <v>0</v>
      </c>
      <c r="P405" s="125">
        <v>0</v>
      </c>
      <c r="Q405" s="157">
        <v>0</v>
      </c>
      <c r="R405" s="157">
        <v>0</v>
      </c>
      <c r="S405" s="157">
        <v>0</v>
      </c>
      <c r="T405" s="125">
        <v>0</v>
      </c>
      <c r="U405" s="125">
        <v>0</v>
      </c>
      <c r="V405" s="125">
        <v>0</v>
      </c>
      <c r="W405" s="125">
        <v>0</v>
      </c>
      <c r="X405" s="157">
        <v>0</v>
      </c>
      <c r="Y405" s="125">
        <v>0</v>
      </c>
      <c r="Z405" s="125">
        <v>0</v>
      </c>
      <c r="AA405" s="125">
        <v>0</v>
      </c>
      <c r="AB405" s="125">
        <v>0</v>
      </c>
      <c r="AC405" s="125">
        <v>0</v>
      </c>
      <c r="AD405" s="125">
        <v>0</v>
      </c>
      <c r="AE405" s="157">
        <v>0</v>
      </c>
      <c r="AF405" s="157">
        <v>0</v>
      </c>
      <c r="AG405" s="125">
        <v>0</v>
      </c>
      <c r="AH405" s="125">
        <v>302</v>
      </c>
      <c r="AI405" s="157">
        <v>0</v>
      </c>
      <c r="AJ405" s="157">
        <v>0</v>
      </c>
      <c r="AK405" s="157">
        <v>0</v>
      </c>
      <c r="AL405" s="125">
        <v>302</v>
      </c>
    </row>
    <row r="406" spans="1:38" s="117" customFormat="1" ht="15" customHeight="1" x14ac:dyDescent="0.2">
      <c r="A406" s="123" t="s">
        <v>387</v>
      </c>
      <c r="B406" s="124" t="s">
        <v>1162</v>
      </c>
      <c r="C406" s="157">
        <v>969.67</v>
      </c>
      <c r="D406" s="125">
        <v>4470.03</v>
      </c>
      <c r="E406" s="157">
        <v>952.17</v>
      </c>
      <c r="F406" s="125">
        <v>544.76</v>
      </c>
      <c r="G406" s="157">
        <v>2943.33</v>
      </c>
      <c r="H406" s="157">
        <v>315.23</v>
      </c>
      <c r="I406" s="157">
        <v>2032.32</v>
      </c>
      <c r="J406" s="125">
        <v>663.19</v>
      </c>
      <c r="K406" s="125">
        <v>3293.1</v>
      </c>
      <c r="L406" s="125">
        <v>872.33</v>
      </c>
      <c r="M406" s="157">
        <v>1041.32</v>
      </c>
      <c r="N406" s="157">
        <v>1155.43</v>
      </c>
      <c r="O406" s="157">
        <v>866.68</v>
      </c>
      <c r="P406" s="125">
        <v>1256.1400000000001</v>
      </c>
      <c r="Q406" s="157">
        <v>2009.43</v>
      </c>
      <c r="R406" s="157">
        <v>593.12</v>
      </c>
      <c r="S406" s="157">
        <v>641.79999999999995</v>
      </c>
      <c r="T406" s="125">
        <v>505.54</v>
      </c>
      <c r="U406" s="125">
        <v>38.36</v>
      </c>
      <c r="V406" s="125">
        <v>898.85</v>
      </c>
      <c r="W406" s="125">
        <v>1090.3699999999999</v>
      </c>
      <c r="X406" s="157">
        <v>1639.58</v>
      </c>
      <c r="Y406" s="125">
        <v>1461.18</v>
      </c>
      <c r="Z406" s="125">
        <v>767.76</v>
      </c>
      <c r="AA406" s="125">
        <v>987.38</v>
      </c>
      <c r="AB406" s="125">
        <v>625.27</v>
      </c>
      <c r="AC406" s="125">
        <v>1469.64</v>
      </c>
      <c r="AD406" s="125">
        <v>2045.56</v>
      </c>
      <c r="AE406" s="157">
        <v>751.18</v>
      </c>
      <c r="AF406" s="157">
        <v>218.74</v>
      </c>
      <c r="AG406" s="125">
        <v>3069.79</v>
      </c>
      <c r="AH406" s="125">
        <v>3348.58</v>
      </c>
      <c r="AI406" s="157">
        <v>629.9</v>
      </c>
      <c r="AJ406" s="157">
        <v>1251.7</v>
      </c>
      <c r="AK406" s="157">
        <v>692.76</v>
      </c>
      <c r="AL406" s="125">
        <v>46112.19</v>
      </c>
    </row>
    <row r="407" spans="1:38" s="117" customFormat="1" ht="15" customHeight="1" x14ac:dyDescent="0.2">
      <c r="A407" s="123" t="s">
        <v>551</v>
      </c>
      <c r="B407" s="124" t="s">
        <v>1161</v>
      </c>
      <c r="C407" s="157">
        <v>16</v>
      </c>
      <c r="D407" s="125">
        <v>572.33000000000004</v>
      </c>
      <c r="E407" s="157">
        <v>24</v>
      </c>
      <c r="F407" s="125">
        <v>8</v>
      </c>
      <c r="G407" s="157">
        <v>0</v>
      </c>
      <c r="H407" s="157">
        <v>8</v>
      </c>
      <c r="I407" s="157">
        <v>226.28</v>
      </c>
      <c r="J407" s="125">
        <v>0</v>
      </c>
      <c r="K407" s="125">
        <v>151.82</v>
      </c>
      <c r="L407" s="125">
        <v>0</v>
      </c>
      <c r="M407" s="157">
        <v>0</v>
      </c>
      <c r="N407" s="157">
        <v>195.16</v>
      </c>
      <c r="O407" s="157">
        <v>16</v>
      </c>
      <c r="P407" s="125">
        <v>0</v>
      </c>
      <c r="Q407" s="157">
        <v>70</v>
      </c>
      <c r="R407" s="157">
        <v>0</v>
      </c>
      <c r="S407" s="157">
        <v>16</v>
      </c>
      <c r="T407" s="125">
        <v>277.35000000000002</v>
      </c>
      <c r="U407" s="125">
        <v>18.88</v>
      </c>
      <c r="V407" s="125">
        <v>139</v>
      </c>
      <c r="W407" s="125">
        <v>8</v>
      </c>
      <c r="X407" s="157">
        <v>0</v>
      </c>
      <c r="Y407" s="125">
        <v>16</v>
      </c>
      <c r="Z407" s="125">
        <v>0</v>
      </c>
      <c r="AA407" s="125">
        <v>0</v>
      </c>
      <c r="AB407" s="125">
        <v>427.46</v>
      </c>
      <c r="AC407" s="125">
        <v>-41.84</v>
      </c>
      <c r="AD407" s="125">
        <v>29.6</v>
      </c>
      <c r="AE407" s="157">
        <v>208.2</v>
      </c>
      <c r="AF407" s="157">
        <v>76.2</v>
      </c>
      <c r="AG407" s="125">
        <v>42</v>
      </c>
      <c r="AH407" s="125">
        <v>16</v>
      </c>
      <c r="AI407" s="157">
        <v>4</v>
      </c>
      <c r="AJ407" s="157">
        <v>0</v>
      </c>
      <c r="AK407" s="157">
        <v>15</v>
      </c>
      <c r="AL407" s="125">
        <v>2539.44</v>
      </c>
    </row>
    <row r="408" spans="1:38" s="117" customFormat="1" ht="15" customHeight="1" x14ac:dyDescent="0.2">
      <c r="A408" s="123" t="s">
        <v>388</v>
      </c>
      <c r="B408" s="124" t="s">
        <v>1156</v>
      </c>
      <c r="C408" s="157">
        <v>40.130000000000003</v>
      </c>
      <c r="D408" s="125">
        <v>34.67</v>
      </c>
      <c r="E408" s="157">
        <v>12.06</v>
      </c>
      <c r="F408" s="125">
        <v>376.78</v>
      </c>
      <c r="G408" s="157">
        <v>46.21</v>
      </c>
      <c r="H408" s="157">
        <v>25.05</v>
      </c>
      <c r="I408" s="157">
        <v>36.270000000000003</v>
      </c>
      <c r="J408" s="125">
        <v>11.52</v>
      </c>
      <c r="K408" s="125">
        <v>37.86</v>
      </c>
      <c r="L408" s="125">
        <v>26.94</v>
      </c>
      <c r="M408" s="157">
        <v>29.49</v>
      </c>
      <c r="N408" s="157">
        <v>2.4700000000000002</v>
      </c>
      <c r="O408" s="157">
        <v>26.66</v>
      </c>
      <c r="P408" s="125">
        <v>43.04</v>
      </c>
      <c r="Q408" s="157">
        <v>33.43</v>
      </c>
      <c r="R408" s="157">
        <v>25.07</v>
      </c>
      <c r="S408" s="157">
        <v>5.31</v>
      </c>
      <c r="T408" s="125">
        <v>48.36</v>
      </c>
      <c r="U408" s="125">
        <v>55.52</v>
      </c>
      <c r="V408" s="125">
        <v>0.22</v>
      </c>
      <c r="W408" s="125">
        <v>40</v>
      </c>
      <c r="X408" s="157">
        <v>20.440000000000001</v>
      </c>
      <c r="Y408" s="125">
        <v>39.03</v>
      </c>
      <c r="Z408" s="125">
        <v>36.270000000000003</v>
      </c>
      <c r="AA408" s="125">
        <v>368.44</v>
      </c>
      <c r="AB408" s="125">
        <v>48.37</v>
      </c>
      <c r="AC408" s="125">
        <v>36.39</v>
      </c>
      <c r="AD408" s="125">
        <v>53.68</v>
      </c>
      <c r="AE408" s="157">
        <v>12.08</v>
      </c>
      <c r="AF408" s="157">
        <v>48.37</v>
      </c>
      <c r="AG408" s="125">
        <v>35.01</v>
      </c>
      <c r="AH408" s="125">
        <v>44.64</v>
      </c>
      <c r="AI408" s="157">
        <v>25.07</v>
      </c>
      <c r="AJ408" s="157">
        <v>0</v>
      </c>
      <c r="AK408" s="157">
        <v>368.44</v>
      </c>
      <c r="AL408" s="125">
        <v>2093.29</v>
      </c>
    </row>
    <row r="409" spans="1:38" s="117" customFormat="1" ht="15" customHeight="1" x14ac:dyDescent="0.2">
      <c r="A409" s="123" t="s">
        <v>1411</v>
      </c>
      <c r="B409" s="124" t="s">
        <v>1447</v>
      </c>
      <c r="C409" s="157">
        <v>0</v>
      </c>
      <c r="D409" s="125">
        <v>0</v>
      </c>
      <c r="E409" s="157">
        <v>0</v>
      </c>
      <c r="F409" s="125">
        <v>0</v>
      </c>
      <c r="G409" s="157">
        <v>0</v>
      </c>
      <c r="H409" s="157">
        <v>0</v>
      </c>
      <c r="I409" s="157">
        <v>0</v>
      </c>
      <c r="J409" s="125">
        <v>0</v>
      </c>
      <c r="K409" s="125">
        <v>0</v>
      </c>
      <c r="L409" s="125">
        <v>0</v>
      </c>
      <c r="M409" s="157">
        <v>0</v>
      </c>
      <c r="N409" s="157">
        <v>0</v>
      </c>
      <c r="O409" s="157">
        <v>0</v>
      </c>
      <c r="P409" s="125">
        <v>0</v>
      </c>
      <c r="Q409" s="157">
        <v>0</v>
      </c>
      <c r="R409" s="157">
        <v>0</v>
      </c>
      <c r="S409" s="157">
        <v>0</v>
      </c>
      <c r="T409" s="125">
        <v>0</v>
      </c>
      <c r="U409" s="125">
        <v>0</v>
      </c>
      <c r="V409" s="125">
        <v>0</v>
      </c>
      <c r="W409" s="125">
        <v>0</v>
      </c>
      <c r="X409" s="157">
        <v>0</v>
      </c>
      <c r="Y409" s="125">
        <v>0</v>
      </c>
      <c r="Z409" s="125">
        <v>0</v>
      </c>
      <c r="AA409" s="125">
        <v>0</v>
      </c>
      <c r="AB409" s="125">
        <v>0</v>
      </c>
      <c r="AC409" s="125">
        <v>4.62</v>
      </c>
      <c r="AD409" s="125">
        <v>0</v>
      </c>
      <c r="AE409" s="157">
        <v>0</v>
      </c>
      <c r="AF409" s="157">
        <v>0</v>
      </c>
      <c r="AG409" s="125">
        <v>0</v>
      </c>
      <c r="AH409" s="125">
        <v>0</v>
      </c>
      <c r="AI409" s="157">
        <v>0</v>
      </c>
      <c r="AJ409" s="157">
        <v>0</v>
      </c>
      <c r="AK409" s="157">
        <v>0</v>
      </c>
      <c r="AL409" s="125">
        <v>4.62</v>
      </c>
    </row>
    <row r="410" spans="1:38" s="117" customFormat="1" ht="15" customHeight="1" x14ac:dyDescent="0.2">
      <c r="A410" s="123" t="s">
        <v>389</v>
      </c>
      <c r="B410" s="124" t="s">
        <v>1160</v>
      </c>
      <c r="C410" s="157">
        <v>744</v>
      </c>
      <c r="D410" s="125">
        <v>2288.59</v>
      </c>
      <c r="E410" s="157">
        <v>755.07</v>
      </c>
      <c r="F410" s="125">
        <v>470.82</v>
      </c>
      <c r="G410" s="157">
        <v>1335.5</v>
      </c>
      <c r="H410" s="157">
        <v>467.69</v>
      </c>
      <c r="I410" s="157">
        <v>940.87</v>
      </c>
      <c r="J410" s="125">
        <v>946.83</v>
      </c>
      <c r="K410" s="125">
        <v>438.47</v>
      </c>
      <c r="L410" s="125">
        <v>651.87</v>
      </c>
      <c r="M410" s="157">
        <v>765.03</v>
      </c>
      <c r="N410" s="157">
        <v>894.02</v>
      </c>
      <c r="O410" s="157">
        <v>500.99</v>
      </c>
      <c r="P410" s="125">
        <v>839.23</v>
      </c>
      <c r="Q410" s="157">
        <v>827.96</v>
      </c>
      <c r="R410" s="157">
        <v>582.64</v>
      </c>
      <c r="S410" s="157">
        <v>192.11</v>
      </c>
      <c r="T410" s="125">
        <v>2180.7600000000002</v>
      </c>
      <c r="U410" s="125">
        <v>1270.69</v>
      </c>
      <c r="V410" s="125">
        <v>312.01</v>
      </c>
      <c r="W410" s="125">
        <v>1607.51</v>
      </c>
      <c r="X410" s="157">
        <v>1064.9100000000001</v>
      </c>
      <c r="Y410" s="125">
        <v>528.72</v>
      </c>
      <c r="Z410" s="125">
        <v>1055.98</v>
      </c>
      <c r="AA410" s="125">
        <v>907.57</v>
      </c>
      <c r="AB410" s="125">
        <v>654.71</v>
      </c>
      <c r="AC410" s="125">
        <v>1451.94</v>
      </c>
      <c r="AD410" s="125">
        <v>1070.3800000000001</v>
      </c>
      <c r="AE410" s="157">
        <v>483.84</v>
      </c>
      <c r="AF410" s="157">
        <v>562.86</v>
      </c>
      <c r="AG410" s="125">
        <v>764.31</v>
      </c>
      <c r="AH410" s="125">
        <v>983.66</v>
      </c>
      <c r="AI410" s="157">
        <v>551.5</v>
      </c>
      <c r="AJ410" s="157">
        <v>471.99</v>
      </c>
      <c r="AK410" s="157">
        <v>970.94</v>
      </c>
      <c r="AL410" s="125">
        <v>30535.97</v>
      </c>
    </row>
    <row r="411" spans="1:38" s="117" customFormat="1" ht="15" customHeight="1" x14ac:dyDescent="0.2">
      <c r="A411" s="123" t="s">
        <v>390</v>
      </c>
      <c r="B411" s="124" t="s">
        <v>1159</v>
      </c>
      <c r="C411" s="157">
        <v>10700.01</v>
      </c>
      <c r="D411" s="125">
        <v>10074.99</v>
      </c>
      <c r="E411" s="157">
        <v>10700.01</v>
      </c>
      <c r="F411" s="125">
        <v>10700.04</v>
      </c>
      <c r="G411" s="157">
        <v>11574.99</v>
      </c>
      <c r="H411" s="157">
        <v>10700.01</v>
      </c>
      <c r="I411" s="157">
        <v>10700.01</v>
      </c>
      <c r="J411" s="125">
        <v>12200.01</v>
      </c>
      <c r="K411" s="125">
        <v>10074.99</v>
      </c>
      <c r="L411" s="125">
        <v>10700.01</v>
      </c>
      <c r="M411" s="157">
        <v>10074.99</v>
      </c>
      <c r="N411" s="157">
        <v>10700.01</v>
      </c>
      <c r="O411" s="157">
        <v>10700.01</v>
      </c>
      <c r="P411" s="125">
        <v>10074.99</v>
      </c>
      <c r="Q411" s="157">
        <v>12200.02</v>
      </c>
      <c r="R411" s="157">
        <v>10700.01</v>
      </c>
      <c r="S411" s="157">
        <v>10074.99</v>
      </c>
      <c r="T411" s="125">
        <v>10074.99</v>
      </c>
      <c r="U411" s="125">
        <v>10700.01</v>
      </c>
      <c r="V411" s="125">
        <v>10700.01</v>
      </c>
      <c r="W411" s="125">
        <v>13950.01</v>
      </c>
      <c r="X411" s="157">
        <v>10700.01</v>
      </c>
      <c r="Y411" s="125">
        <v>12200.01</v>
      </c>
      <c r="Z411" s="125">
        <v>10074.99</v>
      </c>
      <c r="AA411" s="125">
        <v>10700.03</v>
      </c>
      <c r="AB411" s="125">
        <v>11574.99</v>
      </c>
      <c r="AC411" s="125">
        <v>10700.01</v>
      </c>
      <c r="AD411" s="125">
        <v>12200.01</v>
      </c>
      <c r="AE411" s="157">
        <v>10700.01</v>
      </c>
      <c r="AF411" s="157">
        <v>9825</v>
      </c>
      <c r="AG411" s="125">
        <v>10700.04</v>
      </c>
      <c r="AH411" s="125">
        <v>10700.01</v>
      </c>
      <c r="AI411" s="157">
        <v>10700.04</v>
      </c>
      <c r="AJ411" s="157">
        <v>10700.04</v>
      </c>
      <c r="AK411" s="157">
        <v>10700.03</v>
      </c>
      <c r="AL411" s="125">
        <v>380250.33</v>
      </c>
    </row>
    <row r="412" spans="1:38" s="117" customFormat="1" ht="15" customHeight="1" x14ac:dyDescent="0.2">
      <c r="A412" s="123" t="s">
        <v>391</v>
      </c>
      <c r="B412" s="124" t="s">
        <v>1158</v>
      </c>
      <c r="C412" s="157">
        <v>10623.8</v>
      </c>
      <c r="D412" s="125">
        <v>10795.66</v>
      </c>
      <c r="E412" s="157">
        <v>9852.39</v>
      </c>
      <c r="F412" s="125">
        <v>1052.51</v>
      </c>
      <c r="G412" s="157">
        <v>33201.730000000003</v>
      </c>
      <c r="H412" s="157">
        <v>8850.2199999999993</v>
      </c>
      <c r="I412" s="157">
        <v>5926.59</v>
      </c>
      <c r="J412" s="125">
        <v>4390.68</v>
      </c>
      <c r="K412" s="125">
        <v>6572.79</v>
      </c>
      <c r="L412" s="125">
        <v>2035.41</v>
      </c>
      <c r="M412" s="157">
        <v>5270.66</v>
      </c>
      <c r="N412" s="157">
        <v>810.41</v>
      </c>
      <c r="O412" s="157">
        <v>9474.24</v>
      </c>
      <c r="P412" s="125">
        <v>4468</v>
      </c>
      <c r="Q412" s="157">
        <v>19580.71</v>
      </c>
      <c r="R412" s="157">
        <v>9022.52</v>
      </c>
      <c r="S412" s="157">
        <v>3790.91</v>
      </c>
      <c r="T412" s="125">
        <v>6330.33</v>
      </c>
      <c r="U412" s="125">
        <v>6196.91</v>
      </c>
      <c r="V412" s="125">
        <v>7346.94</v>
      </c>
      <c r="W412" s="125">
        <v>1050.4100000000001</v>
      </c>
      <c r="X412" s="157">
        <v>10236</v>
      </c>
      <c r="Y412" s="125">
        <v>42366.01</v>
      </c>
      <c r="Z412" s="125">
        <v>1896.84</v>
      </c>
      <c r="AA412" s="125">
        <v>1282.4100000000001</v>
      </c>
      <c r="AB412" s="125">
        <v>1118.4100000000001</v>
      </c>
      <c r="AC412" s="125">
        <v>9035.41</v>
      </c>
      <c r="AD412" s="125">
        <v>8015.59</v>
      </c>
      <c r="AE412" s="157">
        <v>1096.42</v>
      </c>
      <c r="AF412" s="157">
        <v>8877.36</v>
      </c>
      <c r="AG412" s="125">
        <v>5035.13</v>
      </c>
      <c r="AH412" s="125">
        <v>9553.91</v>
      </c>
      <c r="AI412" s="157">
        <v>3977.58</v>
      </c>
      <c r="AJ412" s="157">
        <v>2763.63</v>
      </c>
      <c r="AK412" s="157">
        <v>2582.14</v>
      </c>
      <c r="AL412" s="125">
        <v>274480.65999999997</v>
      </c>
    </row>
    <row r="413" spans="1:38" s="117" customFormat="1" ht="15" customHeight="1" x14ac:dyDescent="0.2">
      <c r="A413" s="123" t="s">
        <v>737</v>
      </c>
      <c r="B413" s="124" t="s">
        <v>1157</v>
      </c>
      <c r="C413" s="157">
        <v>0</v>
      </c>
      <c r="D413" s="125">
        <v>0</v>
      </c>
      <c r="E413" s="157">
        <v>0</v>
      </c>
      <c r="F413" s="125">
        <v>0</v>
      </c>
      <c r="G413" s="157">
        <v>0</v>
      </c>
      <c r="H413" s="157">
        <v>0</v>
      </c>
      <c r="I413" s="157">
        <v>0</v>
      </c>
      <c r="J413" s="125">
        <v>0</v>
      </c>
      <c r="K413" s="125">
        <v>0</v>
      </c>
      <c r="L413" s="125">
        <v>0</v>
      </c>
      <c r="M413" s="157">
        <v>0</v>
      </c>
      <c r="N413" s="157">
        <v>0</v>
      </c>
      <c r="O413" s="157">
        <v>0</v>
      </c>
      <c r="P413" s="125">
        <v>0</v>
      </c>
      <c r="Q413" s="157">
        <v>326</v>
      </c>
      <c r="R413" s="157">
        <v>0</v>
      </c>
      <c r="S413" s="157">
        <v>0</v>
      </c>
      <c r="T413" s="125">
        <v>0</v>
      </c>
      <c r="U413" s="125">
        <v>0</v>
      </c>
      <c r="V413" s="125">
        <v>0</v>
      </c>
      <c r="W413" s="125">
        <v>0</v>
      </c>
      <c r="X413" s="157">
        <v>0</v>
      </c>
      <c r="Y413" s="125">
        <v>0</v>
      </c>
      <c r="Z413" s="125">
        <v>0</v>
      </c>
      <c r="AA413" s="125">
        <v>0</v>
      </c>
      <c r="AB413" s="125">
        <v>0</v>
      </c>
      <c r="AC413" s="125">
        <v>0</v>
      </c>
      <c r="AD413" s="125">
        <v>0</v>
      </c>
      <c r="AE413" s="157">
        <v>0</v>
      </c>
      <c r="AF413" s="157">
        <v>0</v>
      </c>
      <c r="AG413" s="125">
        <v>0</v>
      </c>
      <c r="AH413" s="125">
        <v>0</v>
      </c>
      <c r="AI413" s="157">
        <v>0</v>
      </c>
      <c r="AJ413" s="157">
        <v>0</v>
      </c>
      <c r="AK413" s="157">
        <v>0</v>
      </c>
      <c r="AL413" s="125">
        <v>326</v>
      </c>
    </row>
    <row r="414" spans="1:38" s="117" customFormat="1" ht="15" customHeight="1" x14ac:dyDescent="0.2">
      <c r="A414" s="123" t="s">
        <v>552</v>
      </c>
      <c r="B414" s="124" t="s">
        <v>1156</v>
      </c>
      <c r="C414" s="157">
        <v>0</v>
      </c>
      <c r="D414" s="125">
        <v>0</v>
      </c>
      <c r="E414" s="157">
        <v>0</v>
      </c>
      <c r="F414" s="125">
        <v>18.670000000000002</v>
      </c>
      <c r="G414" s="157">
        <v>0</v>
      </c>
      <c r="H414" s="157">
        <v>346.2</v>
      </c>
      <c r="I414" s="157">
        <v>0</v>
      </c>
      <c r="J414" s="125">
        <v>11.2</v>
      </c>
      <c r="K414" s="125">
        <v>0</v>
      </c>
      <c r="L414" s="125">
        <v>9.33</v>
      </c>
      <c r="M414" s="157">
        <v>0</v>
      </c>
      <c r="N414" s="157">
        <v>11.2</v>
      </c>
      <c r="O414" s="157">
        <v>349.93</v>
      </c>
      <c r="P414" s="125">
        <v>0</v>
      </c>
      <c r="Q414" s="157">
        <v>439.93</v>
      </c>
      <c r="R414" s="157">
        <v>346.2</v>
      </c>
      <c r="S414" s="157">
        <v>0</v>
      </c>
      <c r="T414" s="125">
        <v>0</v>
      </c>
      <c r="U414" s="125">
        <v>3.73</v>
      </c>
      <c r="V414" s="125">
        <v>13.07</v>
      </c>
      <c r="W414" s="125">
        <v>-325</v>
      </c>
      <c r="X414" s="157">
        <v>335</v>
      </c>
      <c r="Y414" s="125">
        <v>9.33</v>
      </c>
      <c r="Z414" s="125">
        <v>0</v>
      </c>
      <c r="AA414" s="125">
        <v>11.2</v>
      </c>
      <c r="AB414" s="125">
        <v>0</v>
      </c>
      <c r="AC414" s="125">
        <v>0</v>
      </c>
      <c r="AD414" s="125">
        <v>0</v>
      </c>
      <c r="AE414" s="157">
        <v>315</v>
      </c>
      <c r="AF414" s="157">
        <v>315</v>
      </c>
      <c r="AG414" s="125">
        <v>393.67</v>
      </c>
      <c r="AH414" s="125">
        <v>0</v>
      </c>
      <c r="AI414" s="157">
        <v>346.2</v>
      </c>
      <c r="AJ414" s="157">
        <v>371.27</v>
      </c>
      <c r="AK414" s="157">
        <v>18.670000000000002</v>
      </c>
      <c r="AL414" s="125">
        <v>3339.8</v>
      </c>
    </row>
    <row r="415" spans="1:38" s="117" customFormat="1" ht="15" customHeight="1" x14ac:dyDescent="0.2">
      <c r="A415" s="123" t="s">
        <v>1155</v>
      </c>
      <c r="B415" s="124" t="s">
        <v>1154</v>
      </c>
      <c r="C415" s="157">
        <v>0</v>
      </c>
      <c r="D415" s="125">
        <v>0</v>
      </c>
      <c r="E415" s="157">
        <v>0</v>
      </c>
      <c r="F415" s="125">
        <v>0</v>
      </c>
      <c r="G415" s="157">
        <v>0</v>
      </c>
      <c r="H415" s="157">
        <v>0</v>
      </c>
      <c r="I415" s="157">
        <v>0</v>
      </c>
      <c r="J415" s="125">
        <v>0</v>
      </c>
      <c r="K415" s="125">
        <v>0</v>
      </c>
      <c r="L415" s="125">
        <v>0</v>
      </c>
      <c r="M415" s="157">
        <v>0</v>
      </c>
      <c r="N415" s="157">
        <v>0</v>
      </c>
      <c r="O415" s="157">
        <v>0</v>
      </c>
      <c r="P415" s="125">
        <v>0</v>
      </c>
      <c r="Q415" s="157">
        <v>0</v>
      </c>
      <c r="R415" s="157">
        <v>0</v>
      </c>
      <c r="S415" s="157">
        <v>0</v>
      </c>
      <c r="T415" s="125">
        <v>0</v>
      </c>
      <c r="U415" s="125">
        <v>0</v>
      </c>
      <c r="V415" s="125">
        <v>0</v>
      </c>
      <c r="W415" s="125">
        <v>325</v>
      </c>
      <c r="X415" s="157">
        <v>0</v>
      </c>
      <c r="Y415" s="125">
        <v>0</v>
      </c>
      <c r="Z415" s="125">
        <v>0</v>
      </c>
      <c r="AA415" s="125">
        <v>0</v>
      </c>
      <c r="AB415" s="125">
        <v>0</v>
      </c>
      <c r="AC415" s="125">
        <v>0</v>
      </c>
      <c r="AD415" s="125">
        <v>0</v>
      </c>
      <c r="AE415" s="157">
        <v>0</v>
      </c>
      <c r="AF415" s="157">
        <v>0</v>
      </c>
      <c r="AG415" s="125">
        <v>0</v>
      </c>
      <c r="AH415" s="125">
        <v>0</v>
      </c>
      <c r="AI415" s="157">
        <v>0</v>
      </c>
      <c r="AJ415" s="157">
        <v>0</v>
      </c>
      <c r="AK415" s="157">
        <v>0</v>
      </c>
      <c r="AL415" s="125">
        <v>325</v>
      </c>
    </row>
    <row r="416" spans="1:38" s="117" customFormat="1" ht="15" customHeight="1" x14ac:dyDescent="0.2">
      <c r="A416" s="123" t="s">
        <v>392</v>
      </c>
      <c r="B416" s="124" t="s">
        <v>1153</v>
      </c>
      <c r="C416" s="157">
        <v>54.48</v>
      </c>
      <c r="D416" s="125">
        <v>1396.91</v>
      </c>
      <c r="E416" s="157">
        <v>43.34</v>
      </c>
      <c r="F416" s="125">
        <v>54.48</v>
      </c>
      <c r="G416" s="157">
        <v>51.7</v>
      </c>
      <c r="H416" s="157">
        <v>204.91</v>
      </c>
      <c r="I416" s="157">
        <v>48.91</v>
      </c>
      <c r="J416" s="125">
        <v>1163.9100000000001</v>
      </c>
      <c r="K416" s="125">
        <v>101.7</v>
      </c>
      <c r="L416" s="125">
        <v>48.91</v>
      </c>
      <c r="M416" s="157">
        <v>1895.13</v>
      </c>
      <c r="N416" s="157">
        <v>706.13</v>
      </c>
      <c r="O416" s="157">
        <v>51.7</v>
      </c>
      <c r="P416" s="125">
        <v>98.91</v>
      </c>
      <c r="Q416" s="157">
        <v>51.7</v>
      </c>
      <c r="R416" s="157">
        <v>48.91</v>
      </c>
      <c r="S416" s="157">
        <v>-119.66</v>
      </c>
      <c r="T416" s="125">
        <v>101.7</v>
      </c>
      <c r="U416" s="125">
        <v>48.91</v>
      </c>
      <c r="V416" s="125">
        <v>707.52</v>
      </c>
      <c r="W416" s="125">
        <v>51.7</v>
      </c>
      <c r="X416" s="157">
        <v>46.13</v>
      </c>
      <c r="Y416" s="125">
        <v>751.7</v>
      </c>
      <c r="Z416" s="125">
        <v>98.9</v>
      </c>
      <c r="AA416" s="125">
        <v>51.69</v>
      </c>
      <c r="AB416" s="125">
        <v>161.69</v>
      </c>
      <c r="AC416" s="125">
        <v>51.69</v>
      </c>
      <c r="AD416" s="125">
        <v>54.47</v>
      </c>
      <c r="AE416" s="157">
        <v>43.33</v>
      </c>
      <c r="AF416" s="157">
        <v>51.69</v>
      </c>
      <c r="AG416" s="125">
        <v>54.47</v>
      </c>
      <c r="AH416" s="125">
        <v>51.69</v>
      </c>
      <c r="AI416" s="157">
        <v>48.9</v>
      </c>
      <c r="AJ416" s="157">
        <v>48.9</v>
      </c>
      <c r="AK416" s="157">
        <v>51.69</v>
      </c>
      <c r="AL416" s="125">
        <v>8378.84</v>
      </c>
    </row>
    <row r="417" spans="1:38" s="117" customFormat="1" ht="15" customHeight="1" x14ac:dyDescent="0.2">
      <c r="A417" s="123" t="s">
        <v>393</v>
      </c>
      <c r="B417" s="124" t="s">
        <v>1152</v>
      </c>
      <c r="C417" s="157">
        <v>12221.04</v>
      </c>
      <c r="D417" s="125">
        <v>0</v>
      </c>
      <c r="E417" s="157">
        <v>12099.96</v>
      </c>
      <c r="F417" s="125">
        <v>12221.04</v>
      </c>
      <c r="G417" s="157">
        <v>20570.04</v>
      </c>
      <c r="H417" s="157">
        <v>11979</v>
      </c>
      <c r="I417" s="157">
        <v>9680.0400000000009</v>
      </c>
      <c r="J417" s="125">
        <v>9680.0400000000009</v>
      </c>
      <c r="K417" s="125">
        <v>0</v>
      </c>
      <c r="L417" s="125">
        <v>12584.04</v>
      </c>
      <c r="M417" s="157">
        <v>0</v>
      </c>
      <c r="N417" s="157">
        <v>12099.96</v>
      </c>
      <c r="O417" s="157">
        <v>12099.96</v>
      </c>
      <c r="P417" s="125">
        <v>0</v>
      </c>
      <c r="Q417" s="157">
        <v>15972</v>
      </c>
      <c r="R417" s="157">
        <v>12221.04</v>
      </c>
      <c r="S417" s="157">
        <v>0</v>
      </c>
      <c r="T417" s="125">
        <v>0</v>
      </c>
      <c r="U417" s="125">
        <v>18513</v>
      </c>
      <c r="V417" s="125">
        <v>11010.96</v>
      </c>
      <c r="W417" s="125">
        <v>12462.96</v>
      </c>
      <c r="X417" s="157">
        <v>12221.04</v>
      </c>
      <c r="Y417" s="125">
        <v>13068</v>
      </c>
      <c r="Z417" s="125">
        <v>0</v>
      </c>
      <c r="AA417" s="125">
        <v>12099.96</v>
      </c>
      <c r="AB417" s="125">
        <v>10890</v>
      </c>
      <c r="AC417" s="125">
        <v>11616</v>
      </c>
      <c r="AD417" s="125">
        <v>14520</v>
      </c>
      <c r="AE417" s="157">
        <v>8954.0400000000009</v>
      </c>
      <c r="AF417" s="157">
        <v>9438</v>
      </c>
      <c r="AG417" s="125">
        <v>13551.96</v>
      </c>
      <c r="AH417" s="125">
        <v>7260</v>
      </c>
      <c r="AI417" s="157">
        <v>12462.96</v>
      </c>
      <c r="AJ417" s="157">
        <v>13188.96</v>
      </c>
      <c r="AK417" s="157">
        <v>10890</v>
      </c>
      <c r="AL417" s="125">
        <v>345576</v>
      </c>
    </row>
    <row r="418" spans="1:38" s="117" customFormat="1" ht="15" customHeight="1" x14ac:dyDescent="0.2">
      <c r="A418" s="123" t="s">
        <v>394</v>
      </c>
      <c r="B418" s="124" t="s">
        <v>1151</v>
      </c>
      <c r="C418" s="157">
        <v>16513.46</v>
      </c>
      <c r="D418" s="125">
        <v>0</v>
      </c>
      <c r="E418" s="157">
        <v>16350.04</v>
      </c>
      <c r="F418" s="125">
        <v>16513.46</v>
      </c>
      <c r="G418" s="157">
        <v>0</v>
      </c>
      <c r="H418" s="157">
        <v>16186.5</v>
      </c>
      <c r="I418" s="157">
        <v>13079.96</v>
      </c>
      <c r="J418" s="125">
        <v>0</v>
      </c>
      <c r="K418" s="125">
        <v>0</v>
      </c>
      <c r="L418" s="125">
        <v>17003.96</v>
      </c>
      <c r="M418" s="157">
        <v>0</v>
      </c>
      <c r="N418" s="157">
        <v>16350.04</v>
      </c>
      <c r="O418" s="157">
        <v>16350.04</v>
      </c>
      <c r="P418" s="125">
        <v>0</v>
      </c>
      <c r="Q418" s="157">
        <v>6875</v>
      </c>
      <c r="R418" s="157">
        <v>16513.46</v>
      </c>
      <c r="S418" s="157">
        <v>0</v>
      </c>
      <c r="T418" s="125">
        <v>0</v>
      </c>
      <c r="U418" s="125">
        <v>25015.5</v>
      </c>
      <c r="V418" s="125">
        <v>14878.54</v>
      </c>
      <c r="W418" s="125">
        <v>0</v>
      </c>
      <c r="X418" s="157">
        <v>16513.46</v>
      </c>
      <c r="Y418" s="125">
        <v>0</v>
      </c>
      <c r="Z418" s="125">
        <v>0</v>
      </c>
      <c r="AA418" s="125">
        <v>16350.04</v>
      </c>
      <c r="AB418" s="125">
        <v>0</v>
      </c>
      <c r="AC418" s="125">
        <v>15696</v>
      </c>
      <c r="AD418" s="125">
        <v>0</v>
      </c>
      <c r="AE418" s="157">
        <v>12098.96</v>
      </c>
      <c r="AF418" s="157">
        <v>12753</v>
      </c>
      <c r="AG418" s="125">
        <v>18312.04</v>
      </c>
      <c r="AH418" s="125">
        <v>9810</v>
      </c>
      <c r="AI418" s="157">
        <v>16840.54</v>
      </c>
      <c r="AJ418" s="157">
        <v>17821.54</v>
      </c>
      <c r="AK418" s="157">
        <v>14715</v>
      </c>
      <c r="AL418" s="125">
        <v>342540.54</v>
      </c>
    </row>
    <row r="419" spans="1:38" s="117" customFormat="1" ht="15" customHeight="1" x14ac:dyDescent="0.2">
      <c r="A419" s="123" t="s">
        <v>395</v>
      </c>
      <c r="B419" s="124" t="s">
        <v>1150</v>
      </c>
      <c r="C419" s="157">
        <v>61679.46</v>
      </c>
      <c r="D419" s="125">
        <v>85112.11</v>
      </c>
      <c r="E419" s="157">
        <v>61603.08</v>
      </c>
      <c r="F419" s="125">
        <v>64186.73</v>
      </c>
      <c r="G419" s="157">
        <v>134704.07999999999</v>
      </c>
      <c r="H419" s="157">
        <v>60896.160000000003</v>
      </c>
      <c r="I419" s="157">
        <v>57494.04</v>
      </c>
      <c r="J419" s="125">
        <v>43547.72</v>
      </c>
      <c r="K419" s="125">
        <v>85678.91</v>
      </c>
      <c r="L419" s="125">
        <v>61401.8</v>
      </c>
      <c r="M419" s="157">
        <v>65939.09</v>
      </c>
      <c r="N419" s="157">
        <v>59985.62</v>
      </c>
      <c r="O419" s="157">
        <v>61941.31</v>
      </c>
      <c r="P419" s="125">
        <v>43675.360000000001</v>
      </c>
      <c r="Q419" s="157">
        <v>75712.509999999995</v>
      </c>
      <c r="R419" s="157">
        <v>60996.97</v>
      </c>
      <c r="S419" s="157">
        <v>29438.87</v>
      </c>
      <c r="T419" s="125">
        <v>60681.24</v>
      </c>
      <c r="U419" s="125">
        <v>79980.98</v>
      </c>
      <c r="V419" s="125">
        <v>59165.03</v>
      </c>
      <c r="W419" s="125">
        <v>65772.33</v>
      </c>
      <c r="X419" s="157">
        <v>62236.85</v>
      </c>
      <c r="Y419" s="125">
        <v>75448.86</v>
      </c>
      <c r="Z419" s="125">
        <v>49170.57</v>
      </c>
      <c r="AA419" s="125">
        <v>61108.32</v>
      </c>
      <c r="AB419" s="125">
        <v>49822.5</v>
      </c>
      <c r="AC419" s="125">
        <v>56502.06</v>
      </c>
      <c r="AD419" s="125">
        <v>85177.77</v>
      </c>
      <c r="AE419" s="157">
        <v>27627.77</v>
      </c>
      <c r="AF419" s="157">
        <v>43176.78</v>
      </c>
      <c r="AG419" s="125">
        <v>62858.84</v>
      </c>
      <c r="AH419" s="125">
        <v>44771.040000000001</v>
      </c>
      <c r="AI419" s="157">
        <v>62905.16</v>
      </c>
      <c r="AJ419" s="157">
        <v>61730.45</v>
      </c>
      <c r="AK419" s="157">
        <v>61769.05</v>
      </c>
      <c r="AL419" s="125">
        <v>2183899.42</v>
      </c>
    </row>
    <row r="420" spans="1:38" s="117" customFormat="1" ht="15" customHeight="1" x14ac:dyDescent="0.2">
      <c r="A420" s="123" t="s">
        <v>396</v>
      </c>
      <c r="B420" s="124" t="s">
        <v>1148</v>
      </c>
      <c r="C420" s="157">
        <v>27293.1</v>
      </c>
      <c r="D420" s="125">
        <v>31681.26</v>
      </c>
      <c r="E420" s="157">
        <v>26195.97</v>
      </c>
      <c r="F420" s="125">
        <v>23500.69</v>
      </c>
      <c r="G420" s="157">
        <v>54050.16</v>
      </c>
      <c r="H420" s="157">
        <v>28355.74</v>
      </c>
      <c r="I420" s="157">
        <v>21793.82</v>
      </c>
      <c r="J420" s="125">
        <v>23513.75</v>
      </c>
      <c r="K420" s="125">
        <v>29907.19</v>
      </c>
      <c r="L420" s="125">
        <v>24529.16</v>
      </c>
      <c r="M420" s="157">
        <v>21260.59</v>
      </c>
      <c r="N420" s="157">
        <v>25707.16</v>
      </c>
      <c r="O420" s="157">
        <v>26274.89</v>
      </c>
      <c r="P420" s="125">
        <v>20550.259999999998</v>
      </c>
      <c r="Q420" s="157">
        <v>41804.32</v>
      </c>
      <c r="R420" s="157">
        <v>26197.49</v>
      </c>
      <c r="S420" s="157">
        <v>17251.349999999999</v>
      </c>
      <c r="T420" s="125">
        <v>27509.86</v>
      </c>
      <c r="U420" s="125">
        <v>37772.22</v>
      </c>
      <c r="V420" s="125">
        <v>24497.65</v>
      </c>
      <c r="W420" s="125">
        <v>28133.79</v>
      </c>
      <c r="X420" s="157">
        <v>28151.3</v>
      </c>
      <c r="Y420" s="125">
        <v>33439.620000000003</v>
      </c>
      <c r="Z420" s="125">
        <v>19929.12</v>
      </c>
      <c r="AA420" s="125">
        <v>26818.76</v>
      </c>
      <c r="AB420" s="125">
        <v>23700.89</v>
      </c>
      <c r="AC420" s="125">
        <v>36485.96</v>
      </c>
      <c r="AD420" s="125">
        <v>29594.97</v>
      </c>
      <c r="AE420" s="157">
        <v>21254.02</v>
      </c>
      <c r="AF420" s="157">
        <v>24610.68</v>
      </c>
      <c r="AG420" s="125">
        <v>28991.77</v>
      </c>
      <c r="AH420" s="125">
        <v>20465.169999999998</v>
      </c>
      <c r="AI420" s="157">
        <v>26120</v>
      </c>
      <c r="AJ420" s="157">
        <v>25798.47</v>
      </c>
      <c r="AK420" s="157">
        <v>21342.67</v>
      </c>
      <c r="AL420" s="125">
        <v>954483.82</v>
      </c>
    </row>
    <row r="421" spans="1:38" s="117" customFormat="1" ht="15" customHeight="1" x14ac:dyDescent="0.2">
      <c r="A421" s="123" t="s">
        <v>397</v>
      </c>
      <c r="B421" s="124" t="s">
        <v>1147</v>
      </c>
      <c r="C421" s="157">
        <v>4072.78</v>
      </c>
      <c r="D421" s="125">
        <v>7876.47</v>
      </c>
      <c r="E421" s="157">
        <v>4004.05</v>
      </c>
      <c r="F421" s="125">
        <v>3489.67</v>
      </c>
      <c r="G421" s="157">
        <v>7754.46</v>
      </c>
      <c r="H421" s="157">
        <v>4389.9799999999996</v>
      </c>
      <c r="I421" s="157">
        <v>4063.11</v>
      </c>
      <c r="J421" s="125">
        <v>2736.62</v>
      </c>
      <c r="K421" s="125">
        <v>9312.8799999999992</v>
      </c>
      <c r="L421" s="125">
        <v>3440.94</v>
      </c>
      <c r="M421" s="157">
        <v>8072.25</v>
      </c>
      <c r="N421" s="157">
        <v>3346.44</v>
      </c>
      <c r="O421" s="157">
        <v>4090.92</v>
      </c>
      <c r="P421" s="125">
        <v>5548.58</v>
      </c>
      <c r="Q421" s="157">
        <v>6897.52</v>
      </c>
      <c r="R421" s="157">
        <v>4526.9799999999996</v>
      </c>
      <c r="S421" s="157">
        <v>4972.63</v>
      </c>
      <c r="T421" s="125">
        <v>6278.53</v>
      </c>
      <c r="U421" s="125">
        <v>4005.03</v>
      </c>
      <c r="V421" s="125">
        <v>3362.44</v>
      </c>
      <c r="W421" s="125">
        <v>2991.61</v>
      </c>
      <c r="X421" s="157">
        <v>3625.04</v>
      </c>
      <c r="Y421" s="125">
        <v>5140.51</v>
      </c>
      <c r="Z421" s="125">
        <v>4350.58</v>
      </c>
      <c r="AA421" s="125">
        <v>3146.91</v>
      </c>
      <c r="AB421" s="125">
        <v>1731</v>
      </c>
      <c r="AC421" s="125">
        <v>4066.48</v>
      </c>
      <c r="AD421" s="125">
        <v>4183.62</v>
      </c>
      <c r="AE421" s="157">
        <v>2205.02</v>
      </c>
      <c r="AF421" s="157">
        <v>2543.17</v>
      </c>
      <c r="AG421" s="125">
        <v>3793.84</v>
      </c>
      <c r="AH421" s="125">
        <v>2445.8000000000002</v>
      </c>
      <c r="AI421" s="157">
        <v>3296.2</v>
      </c>
      <c r="AJ421" s="157">
        <v>3024.55</v>
      </c>
      <c r="AK421" s="157">
        <v>2794.47</v>
      </c>
      <c r="AL421" s="125">
        <v>151581.07999999999</v>
      </c>
    </row>
    <row r="422" spans="1:38" s="117" customFormat="1" ht="15" customHeight="1" x14ac:dyDescent="0.2">
      <c r="A422" s="123" t="s">
        <v>398</v>
      </c>
      <c r="B422" s="124" t="s">
        <v>1146</v>
      </c>
      <c r="C422" s="157">
        <v>32681.48</v>
      </c>
      <c r="D422" s="125">
        <v>121080.01</v>
      </c>
      <c r="E422" s="157">
        <v>16413.96</v>
      </c>
      <c r="F422" s="125">
        <v>25009.05</v>
      </c>
      <c r="G422" s="157">
        <v>21827.279999999999</v>
      </c>
      <c r="H422" s="157">
        <v>3969.71</v>
      </c>
      <c r="I422" s="157">
        <v>22596.11</v>
      </c>
      <c r="J422" s="125">
        <v>9612.48</v>
      </c>
      <c r="K422" s="125">
        <v>79813.649999999994</v>
      </c>
      <c r="L422" s="125">
        <v>44735.94</v>
      </c>
      <c r="M422" s="157">
        <v>67852.289999999994</v>
      </c>
      <c r="N422" s="157">
        <v>26393.88</v>
      </c>
      <c r="O422" s="157">
        <v>19093.7</v>
      </c>
      <c r="P422" s="125">
        <v>61635.51</v>
      </c>
      <c r="Q422" s="157">
        <v>10747.29</v>
      </c>
      <c r="R422" s="157">
        <v>24312.560000000001</v>
      </c>
      <c r="S422" s="157">
        <v>48900.6</v>
      </c>
      <c r="T422" s="125">
        <v>140156.76</v>
      </c>
      <c r="U422" s="125">
        <v>62650.03</v>
      </c>
      <c r="V422" s="125">
        <v>18479.52</v>
      </c>
      <c r="W422" s="125">
        <v>7987.32</v>
      </c>
      <c r="X422" s="157">
        <v>6135.31</v>
      </c>
      <c r="Y422" s="125">
        <v>45431.28</v>
      </c>
      <c r="Z422" s="125">
        <v>100331.99</v>
      </c>
      <c r="AA422" s="125">
        <v>27736.38</v>
      </c>
      <c r="AB422" s="125">
        <v>57923.73</v>
      </c>
      <c r="AC422" s="125">
        <v>35201.57</v>
      </c>
      <c r="AD422" s="125">
        <v>31814.400000000001</v>
      </c>
      <c r="AE422" s="157">
        <v>31689.48</v>
      </c>
      <c r="AF422" s="157">
        <v>73011.960000000006</v>
      </c>
      <c r="AG422" s="125">
        <v>26014.49</v>
      </c>
      <c r="AH422" s="125">
        <v>44476.62</v>
      </c>
      <c r="AI422" s="157">
        <v>14640.18</v>
      </c>
      <c r="AJ422" s="157">
        <v>19394.59</v>
      </c>
      <c r="AK422" s="157">
        <v>14730.24</v>
      </c>
      <c r="AL422" s="125">
        <v>1394481.35</v>
      </c>
    </row>
    <row r="423" spans="1:38" s="117" customFormat="1" ht="15" customHeight="1" x14ac:dyDescent="0.2">
      <c r="A423" s="123" t="s">
        <v>399</v>
      </c>
      <c r="B423" s="124" t="s">
        <v>1145</v>
      </c>
      <c r="C423" s="157">
        <v>6933</v>
      </c>
      <c r="D423" s="125">
        <v>0</v>
      </c>
      <c r="E423" s="157">
        <v>7140.96</v>
      </c>
      <c r="F423" s="125">
        <v>23538.01</v>
      </c>
      <c r="G423" s="157">
        <v>62463.9</v>
      </c>
      <c r="H423" s="157">
        <v>59641.68</v>
      </c>
      <c r="I423" s="157">
        <v>0</v>
      </c>
      <c r="J423" s="125">
        <v>7492.04</v>
      </c>
      <c r="K423" s="125">
        <v>0</v>
      </c>
      <c r="L423" s="125">
        <v>711.06</v>
      </c>
      <c r="M423" s="157">
        <v>0</v>
      </c>
      <c r="N423" s="157">
        <v>6175.32</v>
      </c>
      <c r="O423" s="157">
        <v>13109.04</v>
      </c>
      <c r="P423" s="125">
        <v>0</v>
      </c>
      <c r="Q423" s="157">
        <v>52800.01</v>
      </c>
      <c r="R423" s="157">
        <v>13400.03</v>
      </c>
      <c r="S423" s="157">
        <v>0</v>
      </c>
      <c r="T423" s="125">
        <v>0</v>
      </c>
      <c r="U423" s="125">
        <v>0</v>
      </c>
      <c r="V423" s="125">
        <v>4889</v>
      </c>
      <c r="W423" s="125">
        <v>19939.8</v>
      </c>
      <c r="X423" s="157">
        <v>34307.199999999997</v>
      </c>
      <c r="Y423" s="125">
        <v>23673.68</v>
      </c>
      <c r="Z423" s="125">
        <v>0</v>
      </c>
      <c r="AA423" s="125">
        <v>18102.96</v>
      </c>
      <c r="AB423" s="125">
        <v>0</v>
      </c>
      <c r="AC423" s="125">
        <v>0</v>
      </c>
      <c r="AD423" s="125">
        <v>48432.95</v>
      </c>
      <c r="AE423" s="157">
        <v>0</v>
      </c>
      <c r="AF423" s="157">
        <v>0</v>
      </c>
      <c r="AG423" s="125">
        <v>26567.67</v>
      </c>
      <c r="AH423" s="125">
        <v>0</v>
      </c>
      <c r="AI423" s="157">
        <v>33434.29</v>
      </c>
      <c r="AJ423" s="157">
        <v>36062.35</v>
      </c>
      <c r="AK423" s="157">
        <v>29776.26</v>
      </c>
      <c r="AL423" s="125">
        <v>528591.21</v>
      </c>
    </row>
    <row r="424" spans="1:38" s="117" customFormat="1" ht="15" customHeight="1" x14ac:dyDescent="0.2">
      <c r="A424" s="123" t="s">
        <v>400</v>
      </c>
      <c r="B424" s="124" t="s">
        <v>1144</v>
      </c>
      <c r="C424" s="157">
        <v>2454.65</v>
      </c>
      <c r="D424" s="125">
        <v>300</v>
      </c>
      <c r="E424" s="157">
        <v>1876.33</v>
      </c>
      <c r="F424" s="125">
        <v>1150.58</v>
      </c>
      <c r="G424" s="157">
        <v>1157.24</v>
      </c>
      <c r="H424" s="157">
        <v>2667.39</v>
      </c>
      <c r="I424" s="157">
        <v>866.86</v>
      </c>
      <c r="J424" s="125">
        <v>1938.03</v>
      </c>
      <c r="K424" s="125">
        <v>300</v>
      </c>
      <c r="L424" s="125">
        <v>4997.53</v>
      </c>
      <c r="M424" s="157">
        <v>300</v>
      </c>
      <c r="N424" s="157">
        <v>2123.86</v>
      </c>
      <c r="O424" s="157">
        <v>2280.62</v>
      </c>
      <c r="P424" s="125">
        <v>300</v>
      </c>
      <c r="Q424" s="157">
        <v>1301.33</v>
      </c>
      <c r="R424" s="157">
        <v>3823.03</v>
      </c>
      <c r="S424" s="157">
        <v>300</v>
      </c>
      <c r="T424" s="125">
        <v>300</v>
      </c>
      <c r="U424" s="125">
        <v>2843.62</v>
      </c>
      <c r="V424" s="125">
        <v>2849.46</v>
      </c>
      <c r="W424" s="125">
        <v>3351.8</v>
      </c>
      <c r="X424" s="157">
        <v>2578.15</v>
      </c>
      <c r="Y424" s="125">
        <v>3223.29</v>
      </c>
      <c r="Z424" s="125">
        <v>300</v>
      </c>
      <c r="AA424" s="125">
        <v>1365.59</v>
      </c>
      <c r="AB424" s="125">
        <v>300</v>
      </c>
      <c r="AC424" s="125">
        <v>2672.08</v>
      </c>
      <c r="AD424" s="125">
        <v>1944.99</v>
      </c>
      <c r="AE424" s="157">
        <v>2580.88</v>
      </c>
      <c r="AF424" s="157">
        <v>2394.46</v>
      </c>
      <c r="AG424" s="125">
        <v>1761.41</v>
      </c>
      <c r="AH424" s="125">
        <v>1419.5</v>
      </c>
      <c r="AI424" s="157">
        <v>300</v>
      </c>
      <c r="AJ424" s="157">
        <v>1471.23</v>
      </c>
      <c r="AK424" s="157">
        <v>1587</v>
      </c>
      <c r="AL424" s="125">
        <v>61380.91</v>
      </c>
    </row>
    <row r="425" spans="1:38" s="117" customFormat="1" ht="15" customHeight="1" x14ac:dyDescent="0.2">
      <c r="A425" s="123" t="s">
        <v>401</v>
      </c>
      <c r="B425" s="124" t="s">
        <v>1143</v>
      </c>
      <c r="C425" s="157">
        <v>0</v>
      </c>
      <c r="D425" s="125">
        <v>0</v>
      </c>
      <c r="E425" s="157">
        <v>0</v>
      </c>
      <c r="F425" s="125">
        <v>0</v>
      </c>
      <c r="G425" s="157">
        <v>0</v>
      </c>
      <c r="H425" s="157">
        <v>0</v>
      </c>
      <c r="I425" s="157">
        <v>0</v>
      </c>
      <c r="J425" s="125">
        <v>0</v>
      </c>
      <c r="K425" s="125">
        <v>0</v>
      </c>
      <c r="L425" s="125">
        <v>0</v>
      </c>
      <c r="M425" s="157">
        <v>0</v>
      </c>
      <c r="N425" s="157">
        <v>0</v>
      </c>
      <c r="O425" s="157">
        <v>0</v>
      </c>
      <c r="P425" s="125">
        <v>0</v>
      </c>
      <c r="Q425" s="157">
        <v>17762.46</v>
      </c>
      <c r="R425" s="157">
        <v>0</v>
      </c>
      <c r="S425" s="157">
        <v>0</v>
      </c>
      <c r="T425" s="125">
        <v>0</v>
      </c>
      <c r="U425" s="125">
        <v>0</v>
      </c>
      <c r="V425" s="125">
        <v>0</v>
      </c>
      <c r="W425" s="125">
        <v>0</v>
      </c>
      <c r="X425" s="157">
        <v>89</v>
      </c>
      <c r="Y425" s="125">
        <v>0</v>
      </c>
      <c r="Z425" s="125">
        <v>0</v>
      </c>
      <c r="AA425" s="125">
        <v>0</v>
      </c>
      <c r="AB425" s="125">
        <v>1976.63</v>
      </c>
      <c r="AC425" s="125">
        <v>0</v>
      </c>
      <c r="AD425" s="125">
        <v>0</v>
      </c>
      <c r="AE425" s="157">
        <v>0</v>
      </c>
      <c r="AF425" s="157">
        <v>0</v>
      </c>
      <c r="AG425" s="125">
        <v>0</v>
      </c>
      <c r="AH425" s="125">
        <v>16257.96</v>
      </c>
      <c r="AI425" s="157">
        <v>0</v>
      </c>
      <c r="AJ425" s="157">
        <v>0</v>
      </c>
      <c r="AK425" s="157">
        <v>0</v>
      </c>
      <c r="AL425" s="125">
        <v>36086.050000000003</v>
      </c>
    </row>
    <row r="426" spans="1:38" s="117" customFormat="1" ht="15" customHeight="1" x14ac:dyDescent="0.2">
      <c r="A426" s="123" t="s">
        <v>402</v>
      </c>
      <c r="B426" s="124" t="s">
        <v>1142</v>
      </c>
      <c r="C426" s="157">
        <v>100869.48</v>
      </c>
      <c r="D426" s="125">
        <v>81106.81</v>
      </c>
      <c r="E426" s="157">
        <v>71452.179999999993</v>
      </c>
      <c r="F426" s="125">
        <v>163321.46</v>
      </c>
      <c r="G426" s="157">
        <v>0</v>
      </c>
      <c r="H426" s="157">
        <v>61593.94</v>
      </c>
      <c r="I426" s="157">
        <v>56725.58</v>
      </c>
      <c r="J426" s="125">
        <v>139535.18</v>
      </c>
      <c r="K426" s="125">
        <v>9636.66</v>
      </c>
      <c r="L426" s="125">
        <v>210076.76</v>
      </c>
      <c r="M426" s="157">
        <v>20598.75</v>
      </c>
      <c r="N426" s="157">
        <v>185730.36</v>
      </c>
      <c r="O426" s="157">
        <v>88653.86</v>
      </c>
      <c r="P426" s="125">
        <v>14710.18</v>
      </c>
      <c r="Q426" s="157">
        <v>0</v>
      </c>
      <c r="R426" s="157">
        <v>63892.93</v>
      </c>
      <c r="S426" s="157">
        <v>21520.31</v>
      </c>
      <c r="T426" s="125">
        <v>93347.15</v>
      </c>
      <c r="U426" s="125">
        <v>328500.11</v>
      </c>
      <c r="V426" s="125">
        <v>78781.039999999994</v>
      </c>
      <c r="W426" s="125">
        <v>0</v>
      </c>
      <c r="X426" s="157">
        <v>84783.09</v>
      </c>
      <c r="Y426" s="125">
        <v>0</v>
      </c>
      <c r="Z426" s="125">
        <v>65414.67</v>
      </c>
      <c r="AA426" s="125">
        <v>161511.29</v>
      </c>
      <c r="AB426" s="125">
        <v>0</v>
      </c>
      <c r="AC426" s="125">
        <v>55167.62</v>
      </c>
      <c r="AD426" s="125">
        <v>0</v>
      </c>
      <c r="AE426" s="157">
        <v>35242.06</v>
      </c>
      <c r="AF426" s="157">
        <v>163192.21</v>
      </c>
      <c r="AG426" s="125">
        <v>290402.24</v>
      </c>
      <c r="AH426" s="125">
        <v>47301.98</v>
      </c>
      <c r="AI426" s="157">
        <v>218924.38</v>
      </c>
      <c r="AJ426" s="157">
        <v>227825.86</v>
      </c>
      <c r="AK426" s="157">
        <v>195120.53</v>
      </c>
      <c r="AL426" s="125">
        <v>3334938.67</v>
      </c>
    </row>
    <row r="427" spans="1:38" s="117" customFormat="1" ht="15" customHeight="1" x14ac:dyDescent="0.2">
      <c r="A427" s="123" t="s">
        <v>403</v>
      </c>
      <c r="B427" s="124" t="s">
        <v>1141</v>
      </c>
      <c r="C427" s="157">
        <v>133224.62</v>
      </c>
      <c r="D427" s="125">
        <v>88867.3</v>
      </c>
      <c r="E427" s="157">
        <v>142202.92000000001</v>
      </c>
      <c r="F427" s="125">
        <v>0</v>
      </c>
      <c r="G427" s="157">
        <v>235884.56</v>
      </c>
      <c r="H427" s="157">
        <v>60669.58</v>
      </c>
      <c r="I427" s="157">
        <v>81765.38</v>
      </c>
      <c r="J427" s="125">
        <v>0</v>
      </c>
      <c r="K427" s="125">
        <v>47884.639999999999</v>
      </c>
      <c r="L427" s="125">
        <v>0</v>
      </c>
      <c r="M427" s="157">
        <v>44582.25</v>
      </c>
      <c r="N427" s="157">
        <v>0</v>
      </c>
      <c r="O427" s="157">
        <v>94918.54</v>
      </c>
      <c r="P427" s="125">
        <v>28070.31</v>
      </c>
      <c r="Q427" s="157">
        <v>204063.24</v>
      </c>
      <c r="R427" s="157">
        <v>68497.919999999998</v>
      </c>
      <c r="S427" s="157">
        <v>21465.53</v>
      </c>
      <c r="T427" s="125">
        <v>0</v>
      </c>
      <c r="U427" s="125">
        <v>0</v>
      </c>
      <c r="V427" s="125">
        <v>111175.77</v>
      </c>
      <c r="W427" s="125">
        <v>179537.7</v>
      </c>
      <c r="X427" s="157">
        <v>91004.37</v>
      </c>
      <c r="Y427" s="125">
        <v>84977.1</v>
      </c>
      <c r="Z427" s="125">
        <v>0</v>
      </c>
      <c r="AA427" s="125">
        <v>0</v>
      </c>
      <c r="AB427" s="125">
        <v>135601.91</v>
      </c>
      <c r="AC427" s="125">
        <v>0</v>
      </c>
      <c r="AD427" s="125">
        <v>138027.26999999999</v>
      </c>
      <c r="AE427" s="157">
        <v>0</v>
      </c>
      <c r="AF427" s="157">
        <v>0</v>
      </c>
      <c r="AG427" s="125">
        <v>0</v>
      </c>
      <c r="AH427" s="125">
        <v>0</v>
      </c>
      <c r="AI427" s="157">
        <v>0</v>
      </c>
      <c r="AJ427" s="157">
        <v>0</v>
      </c>
      <c r="AK427" s="157">
        <v>0</v>
      </c>
      <c r="AL427" s="125">
        <v>1992420.91</v>
      </c>
    </row>
    <row r="428" spans="1:38" s="117" customFormat="1" ht="15" customHeight="1" x14ac:dyDescent="0.2">
      <c r="A428" s="123" t="s">
        <v>501</v>
      </c>
      <c r="B428" s="124" t="s">
        <v>1140</v>
      </c>
      <c r="C428" s="157">
        <v>0</v>
      </c>
      <c r="D428" s="125">
        <v>0</v>
      </c>
      <c r="E428" s="157">
        <v>0</v>
      </c>
      <c r="F428" s="125">
        <v>0</v>
      </c>
      <c r="G428" s="157">
        <v>442256.36</v>
      </c>
      <c r="H428" s="157">
        <v>0</v>
      </c>
      <c r="I428" s="157">
        <v>0</v>
      </c>
      <c r="J428" s="125">
        <v>0</v>
      </c>
      <c r="K428" s="125">
        <v>0</v>
      </c>
      <c r="L428" s="125">
        <v>0</v>
      </c>
      <c r="M428" s="157">
        <v>0</v>
      </c>
      <c r="N428" s="157">
        <v>0</v>
      </c>
      <c r="O428" s="157">
        <v>0</v>
      </c>
      <c r="P428" s="125">
        <v>0</v>
      </c>
      <c r="Q428" s="157">
        <v>195488.45</v>
      </c>
      <c r="R428" s="157">
        <v>0</v>
      </c>
      <c r="S428" s="157">
        <v>0</v>
      </c>
      <c r="T428" s="125">
        <v>0</v>
      </c>
      <c r="U428" s="125">
        <v>0</v>
      </c>
      <c r="V428" s="125">
        <v>0</v>
      </c>
      <c r="W428" s="125">
        <v>0</v>
      </c>
      <c r="X428" s="157">
        <v>0</v>
      </c>
      <c r="Y428" s="125">
        <v>152652.5</v>
      </c>
      <c r="Z428" s="125">
        <v>0</v>
      </c>
      <c r="AA428" s="125">
        <v>0</v>
      </c>
      <c r="AB428" s="125">
        <v>0</v>
      </c>
      <c r="AC428" s="125">
        <v>0</v>
      </c>
      <c r="AD428" s="125">
        <v>0</v>
      </c>
      <c r="AE428" s="157">
        <v>0</v>
      </c>
      <c r="AF428" s="157">
        <v>0</v>
      </c>
      <c r="AG428" s="125">
        <v>0</v>
      </c>
      <c r="AH428" s="125">
        <v>0</v>
      </c>
      <c r="AI428" s="157">
        <v>0</v>
      </c>
      <c r="AJ428" s="157">
        <v>0</v>
      </c>
      <c r="AK428" s="157">
        <v>0</v>
      </c>
      <c r="AL428" s="125">
        <v>790397.31</v>
      </c>
    </row>
    <row r="429" spans="1:38" s="117" customFormat="1" ht="15" customHeight="1" x14ac:dyDescent="0.2">
      <c r="A429" s="123" t="s">
        <v>404</v>
      </c>
      <c r="B429" s="124" t="s">
        <v>1139</v>
      </c>
      <c r="C429" s="157">
        <v>1230.6300000000001</v>
      </c>
      <c r="D429" s="125">
        <v>205.59</v>
      </c>
      <c r="E429" s="157">
        <v>1248.19</v>
      </c>
      <c r="F429" s="125">
        <v>1025.42</v>
      </c>
      <c r="G429" s="157">
        <v>1724.63</v>
      </c>
      <c r="H429" s="157">
        <v>1166.55</v>
      </c>
      <c r="I429" s="157">
        <v>1095.03</v>
      </c>
      <c r="J429" s="125">
        <v>494.25</v>
      </c>
      <c r="K429" s="125">
        <v>544.9</v>
      </c>
      <c r="L429" s="125">
        <v>1617.63</v>
      </c>
      <c r="M429" s="157">
        <v>544.27</v>
      </c>
      <c r="N429" s="157">
        <v>1331.04</v>
      </c>
      <c r="O429" s="157">
        <v>1592.47</v>
      </c>
      <c r="P429" s="125">
        <v>458.2</v>
      </c>
      <c r="Q429" s="157">
        <v>1999.46</v>
      </c>
      <c r="R429" s="157">
        <v>1182.1600000000001</v>
      </c>
      <c r="S429" s="157">
        <v>447.19</v>
      </c>
      <c r="T429" s="125">
        <v>778.71</v>
      </c>
      <c r="U429" s="125">
        <v>1268.93</v>
      </c>
      <c r="V429" s="125">
        <v>1275.57</v>
      </c>
      <c r="W429" s="125">
        <v>1595.13</v>
      </c>
      <c r="X429" s="157">
        <v>1288.02</v>
      </c>
      <c r="Y429" s="125">
        <v>796.23</v>
      </c>
      <c r="Z429" s="125">
        <v>475.64</v>
      </c>
      <c r="AA429" s="125">
        <v>1670.13</v>
      </c>
      <c r="AB429" s="125">
        <v>-65.31</v>
      </c>
      <c r="AC429" s="125">
        <v>1455.51</v>
      </c>
      <c r="AD429" s="125">
        <v>1129.9000000000001</v>
      </c>
      <c r="AE429" s="157">
        <v>1024.17</v>
      </c>
      <c r="AF429" s="157">
        <v>1056.3699999999999</v>
      </c>
      <c r="AG429" s="125">
        <v>1509.22</v>
      </c>
      <c r="AH429" s="125">
        <v>1011.22</v>
      </c>
      <c r="AI429" s="157">
        <v>1555.61</v>
      </c>
      <c r="AJ429" s="157">
        <v>1419.23</v>
      </c>
      <c r="AK429" s="157">
        <v>1152.5899999999999</v>
      </c>
      <c r="AL429" s="125">
        <v>38304.480000000003</v>
      </c>
    </row>
    <row r="430" spans="1:38" s="117" customFormat="1" ht="15" customHeight="1" x14ac:dyDescent="0.2">
      <c r="A430" s="123" t="s">
        <v>720</v>
      </c>
      <c r="B430" s="124" t="s">
        <v>1138</v>
      </c>
      <c r="C430" s="157">
        <v>0</v>
      </c>
      <c r="D430" s="125">
        <v>0</v>
      </c>
      <c r="E430" s="157">
        <v>0</v>
      </c>
      <c r="F430" s="125">
        <v>0</v>
      </c>
      <c r="G430" s="157">
        <v>0</v>
      </c>
      <c r="H430" s="157">
        <v>0</v>
      </c>
      <c r="I430" s="157">
        <v>0</v>
      </c>
      <c r="J430" s="125">
        <v>0</v>
      </c>
      <c r="K430" s="125">
        <v>0</v>
      </c>
      <c r="L430" s="125">
        <v>0</v>
      </c>
      <c r="M430" s="157">
        <v>0</v>
      </c>
      <c r="N430" s="157">
        <v>3564.79</v>
      </c>
      <c r="O430" s="157">
        <v>0</v>
      </c>
      <c r="P430" s="125">
        <v>0</v>
      </c>
      <c r="Q430" s="157">
        <v>0</v>
      </c>
      <c r="R430" s="157">
        <v>0</v>
      </c>
      <c r="S430" s="157">
        <v>0</v>
      </c>
      <c r="T430" s="125">
        <v>3133.5</v>
      </c>
      <c r="U430" s="125">
        <v>0</v>
      </c>
      <c r="V430" s="125">
        <v>0</v>
      </c>
      <c r="W430" s="125">
        <v>0</v>
      </c>
      <c r="X430" s="157">
        <v>0</v>
      </c>
      <c r="Y430" s="125">
        <v>0</v>
      </c>
      <c r="Z430" s="125">
        <v>3109.03</v>
      </c>
      <c r="AA430" s="125">
        <v>0</v>
      </c>
      <c r="AB430" s="125">
        <v>0</v>
      </c>
      <c r="AC430" s="125">
        <v>0</v>
      </c>
      <c r="AD430" s="125">
        <v>0</v>
      </c>
      <c r="AE430" s="157">
        <v>0</v>
      </c>
      <c r="AF430" s="157">
        <v>0</v>
      </c>
      <c r="AG430" s="125">
        <v>0</v>
      </c>
      <c r="AH430" s="125">
        <v>0</v>
      </c>
      <c r="AI430" s="157">
        <v>0</v>
      </c>
      <c r="AJ430" s="157">
        <v>0</v>
      </c>
      <c r="AK430" s="157">
        <v>0</v>
      </c>
      <c r="AL430" s="125">
        <v>9807.32</v>
      </c>
    </row>
    <row r="431" spans="1:38" s="117" customFormat="1" ht="15" customHeight="1" x14ac:dyDescent="0.2">
      <c r="A431" s="123" t="s">
        <v>1137</v>
      </c>
      <c r="B431" s="124" t="s">
        <v>1136</v>
      </c>
      <c r="C431" s="157">
        <v>0</v>
      </c>
      <c r="D431" s="125">
        <v>2691.74</v>
      </c>
      <c r="E431" s="157">
        <v>0</v>
      </c>
      <c r="F431" s="125">
        <v>0</v>
      </c>
      <c r="G431" s="157">
        <v>0</v>
      </c>
      <c r="H431" s="157">
        <v>0</v>
      </c>
      <c r="I431" s="157">
        <v>0</v>
      </c>
      <c r="J431" s="125">
        <v>0</v>
      </c>
      <c r="K431" s="125">
        <v>0</v>
      </c>
      <c r="L431" s="125">
        <v>0</v>
      </c>
      <c r="M431" s="157">
        <v>0</v>
      </c>
      <c r="N431" s="157">
        <v>0</v>
      </c>
      <c r="O431" s="157">
        <v>0</v>
      </c>
      <c r="P431" s="125">
        <v>0</v>
      </c>
      <c r="Q431" s="157">
        <v>0</v>
      </c>
      <c r="R431" s="157">
        <v>0</v>
      </c>
      <c r="S431" s="157">
        <v>0</v>
      </c>
      <c r="T431" s="125">
        <v>0</v>
      </c>
      <c r="U431" s="125">
        <v>0</v>
      </c>
      <c r="V431" s="125">
        <v>0</v>
      </c>
      <c r="W431" s="125">
        <v>0</v>
      </c>
      <c r="X431" s="157">
        <v>0</v>
      </c>
      <c r="Y431" s="125">
        <v>0</v>
      </c>
      <c r="Z431" s="125">
        <v>0</v>
      </c>
      <c r="AA431" s="125">
        <v>0</v>
      </c>
      <c r="AB431" s="125">
        <v>0</v>
      </c>
      <c r="AC431" s="125">
        <v>0</v>
      </c>
      <c r="AD431" s="125">
        <v>0</v>
      </c>
      <c r="AE431" s="157">
        <v>0</v>
      </c>
      <c r="AF431" s="157">
        <v>0</v>
      </c>
      <c r="AG431" s="125">
        <v>0</v>
      </c>
      <c r="AH431" s="125">
        <v>0</v>
      </c>
      <c r="AI431" s="157">
        <v>0</v>
      </c>
      <c r="AJ431" s="157">
        <v>0</v>
      </c>
      <c r="AK431" s="157">
        <v>0</v>
      </c>
      <c r="AL431" s="125">
        <v>2691.74</v>
      </c>
    </row>
    <row r="432" spans="1:38" s="117" customFormat="1" ht="15" customHeight="1" x14ac:dyDescent="0.2">
      <c r="A432" s="123" t="s">
        <v>646</v>
      </c>
      <c r="B432" s="124" t="s">
        <v>1135</v>
      </c>
      <c r="C432" s="157">
        <v>0</v>
      </c>
      <c r="D432" s="125">
        <v>2388.2399999999998</v>
      </c>
      <c r="E432" s="157">
        <v>0</v>
      </c>
      <c r="F432" s="125">
        <v>0</v>
      </c>
      <c r="G432" s="157">
        <v>0</v>
      </c>
      <c r="H432" s="157">
        <v>0</v>
      </c>
      <c r="I432" s="157">
        <v>0</v>
      </c>
      <c r="J432" s="125">
        <v>0</v>
      </c>
      <c r="K432" s="125">
        <v>741.36</v>
      </c>
      <c r="L432" s="125">
        <v>0</v>
      </c>
      <c r="M432" s="157">
        <v>1678.02</v>
      </c>
      <c r="N432" s="157">
        <v>0</v>
      </c>
      <c r="O432" s="157">
        <v>0</v>
      </c>
      <c r="P432" s="125">
        <v>1511.88</v>
      </c>
      <c r="Q432" s="157">
        <v>0</v>
      </c>
      <c r="R432" s="157">
        <v>0</v>
      </c>
      <c r="S432" s="157">
        <v>1677.9</v>
      </c>
      <c r="T432" s="125">
        <v>3714.72</v>
      </c>
      <c r="U432" s="125">
        <v>0</v>
      </c>
      <c r="V432" s="125">
        <v>0</v>
      </c>
      <c r="W432" s="125">
        <v>0</v>
      </c>
      <c r="X432" s="157">
        <v>0</v>
      </c>
      <c r="Y432" s="125">
        <v>0</v>
      </c>
      <c r="Z432" s="125">
        <v>0</v>
      </c>
      <c r="AA432" s="125">
        <v>0</v>
      </c>
      <c r="AB432" s="125">
        <v>0</v>
      </c>
      <c r="AC432" s="125">
        <v>0</v>
      </c>
      <c r="AD432" s="125">
        <v>0</v>
      </c>
      <c r="AE432" s="157">
        <v>0</v>
      </c>
      <c r="AF432" s="157">
        <v>0</v>
      </c>
      <c r="AG432" s="125">
        <v>0</v>
      </c>
      <c r="AH432" s="125">
        <v>0</v>
      </c>
      <c r="AI432" s="157">
        <v>0</v>
      </c>
      <c r="AJ432" s="157">
        <v>0</v>
      </c>
      <c r="AK432" s="157">
        <v>0</v>
      </c>
      <c r="AL432" s="125">
        <v>11712.12</v>
      </c>
    </row>
    <row r="433" spans="1:38" s="117" customFormat="1" ht="15" customHeight="1" x14ac:dyDescent="0.2">
      <c r="A433" s="123" t="s">
        <v>558</v>
      </c>
      <c r="B433" s="124" t="s">
        <v>1134</v>
      </c>
      <c r="C433" s="157">
        <v>0</v>
      </c>
      <c r="D433" s="125">
        <v>4641.07</v>
      </c>
      <c r="E433" s="157">
        <v>0</v>
      </c>
      <c r="F433" s="125">
        <v>0</v>
      </c>
      <c r="G433" s="157">
        <v>0</v>
      </c>
      <c r="H433" s="157">
        <v>0</v>
      </c>
      <c r="I433" s="157">
        <v>0</v>
      </c>
      <c r="J433" s="125">
        <v>0</v>
      </c>
      <c r="K433" s="125">
        <v>306.77</v>
      </c>
      <c r="L433" s="125">
        <v>0</v>
      </c>
      <c r="M433" s="157">
        <v>503.94</v>
      </c>
      <c r="N433" s="157">
        <v>0</v>
      </c>
      <c r="O433" s="157">
        <v>0</v>
      </c>
      <c r="P433" s="125">
        <v>374.14</v>
      </c>
      <c r="Q433" s="157">
        <v>0</v>
      </c>
      <c r="R433" s="157">
        <v>0</v>
      </c>
      <c r="S433" s="157">
        <v>569.16</v>
      </c>
      <c r="T433" s="125">
        <v>7469.31</v>
      </c>
      <c r="U433" s="125">
        <v>0</v>
      </c>
      <c r="V433" s="125">
        <v>0</v>
      </c>
      <c r="W433" s="125">
        <v>0</v>
      </c>
      <c r="X433" s="157">
        <v>0</v>
      </c>
      <c r="Y433" s="125">
        <v>35315.910000000003</v>
      </c>
      <c r="Z433" s="125">
        <v>0</v>
      </c>
      <c r="AA433" s="125">
        <v>0</v>
      </c>
      <c r="AB433" s="125">
        <v>0</v>
      </c>
      <c r="AC433" s="125">
        <v>0</v>
      </c>
      <c r="AD433" s="125">
        <v>21498.33</v>
      </c>
      <c r="AE433" s="157">
        <v>0</v>
      </c>
      <c r="AF433" s="157">
        <v>0</v>
      </c>
      <c r="AG433" s="125">
        <v>0</v>
      </c>
      <c r="AH433" s="125">
        <v>0</v>
      </c>
      <c r="AI433" s="157">
        <v>0</v>
      </c>
      <c r="AJ433" s="157">
        <v>0</v>
      </c>
      <c r="AK433" s="157">
        <v>0</v>
      </c>
      <c r="AL433" s="125">
        <v>70678.63</v>
      </c>
    </row>
    <row r="434" spans="1:38" s="117" customFormat="1" ht="15" customHeight="1" x14ac:dyDescent="0.2">
      <c r="A434" s="123" t="s">
        <v>405</v>
      </c>
      <c r="B434" s="124" t="s">
        <v>1133</v>
      </c>
      <c r="C434" s="157">
        <v>288968.59000000003</v>
      </c>
      <c r="D434" s="125">
        <v>108257.32</v>
      </c>
      <c r="E434" s="157">
        <v>82347.539999999994</v>
      </c>
      <c r="F434" s="125">
        <v>68032.55</v>
      </c>
      <c r="G434" s="157">
        <v>866083.66</v>
      </c>
      <c r="H434" s="157">
        <v>141738.16</v>
      </c>
      <c r="I434" s="157">
        <v>3396</v>
      </c>
      <c r="J434" s="125">
        <v>11566.34</v>
      </c>
      <c r="K434" s="125">
        <v>16023.65</v>
      </c>
      <c r="L434" s="125">
        <v>27006.52</v>
      </c>
      <c r="M434" s="157">
        <v>25392.13</v>
      </c>
      <c r="N434" s="157">
        <v>11009.4</v>
      </c>
      <c r="O434" s="157">
        <v>261309.98</v>
      </c>
      <c r="P434" s="125">
        <v>19154.45</v>
      </c>
      <c r="Q434" s="157">
        <v>269259.38</v>
      </c>
      <c r="R434" s="157">
        <v>2545</v>
      </c>
      <c r="S434" s="157">
        <v>6114.75</v>
      </c>
      <c r="T434" s="125">
        <v>0</v>
      </c>
      <c r="U434" s="125">
        <v>40808.1</v>
      </c>
      <c r="V434" s="125">
        <v>6322.24</v>
      </c>
      <c r="W434" s="125">
        <v>20352.2</v>
      </c>
      <c r="X434" s="157">
        <v>302662.53999999998</v>
      </c>
      <c r="Y434" s="125">
        <v>5665</v>
      </c>
      <c r="Z434" s="125">
        <v>0</v>
      </c>
      <c r="AA434" s="125">
        <v>3000</v>
      </c>
      <c r="AB434" s="125">
        <v>27059.52</v>
      </c>
      <c r="AC434" s="125">
        <v>2880</v>
      </c>
      <c r="AD434" s="125">
        <v>3600</v>
      </c>
      <c r="AE434" s="157">
        <v>2220</v>
      </c>
      <c r="AF434" s="157">
        <v>2340</v>
      </c>
      <c r="AG434" s="125">
        <v>3360</v>
      </c>
      <c r="AH434" s="125">
        <v>5345</v>
      </c>
      <c r="AI434" s="157">
        <v>27231.72</v>
      </c>
      <c r="AJ434" s="157">
        <v>28363.040000000001</v>
      </c>
      <c r="AK434" s="157">
        <v>26876.39</v>
      </c>
      <c r="AL434" s="125">
        <v>2716291.17</v>
      </c>
    </row>
    <row r="435" spans="1:38" s="117" customFormat="1" ht="15" customHeight="1" x14ac:dyDescent="0.2">
      <c r="A435" s="123" t="s">
        <v>406</v>
      </c>
      <c r="B435" s="124" t="s">
        <v>1132</v>
      </c>
      <c r="C435" s="157">
        <v>7218.38</v>
      </c>
      <c r="D435" s="125">
        <v>7960.54</v>
      </c>
      <c r="E435" s="157">
        <v>5622.48</v>
      </c>
      <c r="F435" s="125">
        <v>9626.7800000000007</v>
      </c>
      <c r="G435" s="157">
        <v>18011.29</v>
      </c>
      <c r="H435" s="157">
        <v>8955.69</v>
      </c>
      <c r="I435" s="157">
        <v>4100.46</v>
      </c>
      <c r="J435" s="125">
        <v>5802.96</v>
      </c>
      <c r="K435" s="125">
        <v>5510.74</v>
      </c>
      <c r="L435" s="125">
        <v>5790.23</v>
      </c>
      <c r="M435" s="157">
        <v>4554.8900000000003</v>
      </c>
      <c r="N435" s="157">
        <v>1508.8</v>
      </c>
      <c r="O435" s="157">
        <v>4891.92</v>
      </c>
      <c r="P435" s="125">
        <v>2337.25</v>
      </c>
      <c r="Q435" s="157">
        <v>15847.71</v>
      </c>
      <c r="R435" s="157">
        <v>8369</v>
      </c>
      <c r="S435" s="157">
        <v>3342.18</v>
      </c>
      <c r="T435" s="125">
        <v>14740.15</v>
      </c>
      <c r="U435" s="125">
        <v>5583.92</v>
      </c>
      <c r="V435" s="125">
        <v>7176.52</v>
      </c>
      <c r="W435" s="125">
        <v>6702.48</v>
      </c>
      <c r="X435" s="157">
        <v>9849.61</v>
      </c>
      <c r="Y435" s="125">
        <v>8989.27</v>
      </c>
      <c r="Z435" s="125">
        <v>4178.3</v>
      </c>
      <c r="AA435" s="125">
        <v>6236.12</v>
      </c>
      <c r="AB435" s="125">
        <v>5874.13</v>
      </c>
      <c r="AC435" s="125">
        <v>10019.81</v>
      </c>
      <c r="AD435" s="125">
        <v>17753.099999999999</v>
      </c>
      <c r="AE435" s="157">
        <v>6219.31</v>
      </c>
      <c r="AF435" s="157">
        <v>7478.55</v>
      </c>
      <c r="AG435" s="125">
        <v>8455.35</v>
      </c>
      <c r="AH435" s="125">
        <v>3553.15</v>
      </c>
      <c r="AI435" s="157">
        <v>8448.81</v>
      </c>
      <c r="AJ435" s="157">
        <v>6714.56</v>
      </c>
      <c r="AK435" s="157">
        <v>7037.09</v>
      </c>
      <c r="AL435" s="125">
        <v>264461.53000000003</v>
      </c>
    </row>
    <row r="436" spans="1:38" s="117" customFormat="1" ht="15" customHeight="1" x14ac:dyDescent="0.2">
      <c r="A436" s="123" t="s">
        <v>407</v>
      </c>
      <c r="B436" s="124" t="s">
        <v>1131</v>
      </c>
      <c r="C436" s="157">
        <v>287.8</v>
      </c>
      <c r="D436" s="125">
        <v>6134.49</v>
      </c>
      <c r="E436" s="157">
        <v>689.63</v>
      </c>
      <c r="F436" s="125">
        <v>2942.49</v>
      </c>
      <c r="G436" s="157">
        <v>3158.1</v>
      </c>
      <c r="H436" s="157">
        <v>4923.51</v>
      </c>
      <c r="I436" s="157">
        <v>3197.44</v>
      </c>
      <c r="J436" s="125">
        <v>0</v>
      </c>
      <c r="K436" s="125">
        <v>4179.53</v>
      </c>
      <c r="L436" s="125">
        <v>2127</v>
      </c>
      <c r="M436" s="157">
        <v>8143.36</v>
      </c>
      <c r="N436" s="157">
        <v>463.04</v>
      </c>
      <c r="O436" s="157">
        <v>4197.01</v>
      </c>
      <c r="P436" s="125">
        <v>2732.77</v>
      </c>
      <c r="Q436" s="157">
        <v>1794.89</v>
      </c>
      <c r="R436" s="157">
        <v>2026.77</v>
      </c>
      <c r="S436" s="157">
        <v>6183.6</v>
      </c>
      <c r="T436" s="125">
        <v>2896.56</v>
      </c>
      <c r="U436" s="125">
        <v>2211.9299999999998</v>
      </c>
      <c r="V436" s="125">
        <v>1028.9100000000001</v>
      </c>
      <c r="W436" s="125">
        <v>0</v>
      </c>
      <c r="X436" s="157">
        <v>4790.49</v>
      </c>
      <c r="Y436" s="125">
        <v>5381.55</v>
      </c>
      <c r="Z436" s="125">
        <v>2407.64</v>
      </c>
      <c r="AA436" s="125">
        <v>633.13</v>
      </c>
      <c r="AB436" s="125">
        <v>3938.95</v>
      </c>
      <c r="AC436" s="125">
        <v>13227.08</v>
      </c>
      <c r="AD436" s="125">
        <v>5725.21</v>
      </c>
      <c r="AE436" s="157">
        <v>305.37</v>
      </c>
      <c r="AF436" s="157">
        <v>635.24</v>
      </c>
      <c r="AG436" s="125">
        <v>8114.48</v>
      </c>
      <c r="AH436" s="125">
        <v>0</v>
      </c>
      <c r="AI436" s="157">
        <v>0</v>
      </c>
      <c r="AJ436" s="157">
        <v>627.48</v>
      </c>
      <c r="AK436" s="157">
        <v>0</v>
      </c>
      <c r="AL436" s="125">
        <v>105105.45</v>
      </c>
    </row>
    <row r="437" spans="1:38" s="117" customFormat="1" ht="15" customHeight="1" x14ac:dyDescent="0.2">
      <c r="A437" s="123" t="s">
        <v>408</v>
      </c>
      <c r="B437" s="124" t="s">
        <v>1130</v>
      </c>
      <c r="C437" s="157">
        <v>3763.02</v>
      </c>
      <c r="D437" s="125">
        <v>0</v>
      </c>
      <c r="E437" s="157">
        <v>3763.02</v>
      </c>
      <c r="F437" s="125">
        <v>3310</v>
      </c>
      <c r="G437" s="157">
        <v>5504</v>
      </c>
      <c r="H437" s="157">
        <v>3719.05</v>
      </c>
      <c r="I437" s="157">
        <v>2702</v>
      </c>
      <c r="J437" s="125">
        <v>2692</v>
      </c>
      <c r="K437" s="125">
        <v>5363.55</v>
      </c>
      <c r="L437" s="125">
        <v>3271.33</v>
      </c>
      <c r="M437" s="157">
        <v>2880.2</v>
      </c>
      <c r="N437" s="157">
        <v>476.88</v>
      </c>
      <c r="O437" s="157">
        <v>4238.8500000000004</v>
      </c>
      <c r="P437" s="125">
        <v>3138.19</v>
      </c>
      <c r="Q437" s="157">
        <v>4253</v>
      </c>
      <c r="R437" s="157">
        <v>3827.89</v>
      </c>
      <c r="S437" s="157">
        <v>2660.2</v>
      </c>
      <c r="T437" s="125">
        <v>0</v>
      </c>
      <c r="U437" s="125">
        <v>5038</v>
      </c>
      <c r="V437" s="125">
        <v>3007</v>
      </c>
      <c r="W437" s="125">
        <v>0</v>
      </c>
      <c r="X437" s="157">
        <v>4261</v>
      </c>
      <c r="Y437" s="125">
        <v>3470</v>
      </c>
      <c r="Z437" s="125">
        <v>2379</v>
      </c>
      <c r="AA437" s="125">
        <v>3150</v>
      </c>
      <c r="AB437" s="125">
        <v>3201.4</v>
      </c>
      <c r="AC437" s="125">
        <v>0</v>
      </c>
      <c r="AD437" s="125">
        <v>547.67999999999995</v>
      </c>
      <c r="AE437" s="157">
        <v>2379</v>
      </c>
      <c r="AF437" s="157">
        <v>3488.33</v>
      </c>
      <c r="AG437" s="125">
        <v>4686.4799999999996</v>
      </c>
      <c r="AH437" s="125">
        <v>0</v>
      </c>
      <c r="AI437" s="157">
        <v>3310</v>
      </c>
      <c r="AJ437" s="157">
        <v>59.17</v>
      </c>
      <c r="AK437" s="157">
        <v>3541</v>
      </c>
      <c r="AL437" s="125">
        <v>98081.24</v>
      </c>
    </row>
    <row r="438" spans="1:38" s="117" customFormat="1" ht="15" customHeight="1" x14ac:dyDescent="0.2">
      <c r="A438" s="123" t="s">
        <v>409</v>
      </c>
      <c r="B438" s="124" t="s">
        <v>1129</v>
      </c>
      <c r="C438" s="157">
        <v>5458.21</v>
      </c>
      <c r="D438" s="125">
        <v>5524.43</v>
      </c>
      <c r="E438" s="157">
        <v>4116.91</v>
      </c>
      <c r="F438" s="125">
        <v>316.94</v>
      </c>
      <c r="G438" s="157">
        <v>507.41</v>
      </c>
      <c r="H438" s="157">
        <v>0</v>
      </c>
      <c r="I438" s="157">
        <v>1129.94</v>
      </c>
      <c r="J438" s="125">
        <v>0</v>
      </c>
      <c r="K438" s="125">
        <v>13525.8</v>
      </c>
      <c r="L438" s="125">
        <v>0</v>
      </c>
      <c r="M438" s="157">
        <v>5046.04</v>
      </c>
      <c r="N438" s="157">
        <v>0</v>
      </c>
      <c r="O438" s="157">
        <v>2200.41</v>
      </c>
      <c r="P438" s="125">
        <v>772.8</v>
      </c>
      <c r="Q438" s="157">
        <v>0</v>
      </c>
      <c r="R438" s="157">
        <v>0</v>
      </c>
      <c r="S438" s="157">
        <v>1931.53</v>
      </c>
      <c r="T438" s="125">
        <v>0</v>
      </c>
      <c r="U438" s="125">
        <v>1452.07</v>
      </c>
      <c r="V438" s="125">
        <v>5014.46</v>
      </c>
      <c r="W438" s="125">
        <v>0</v>
      </c>
      <c r="X438" s="157">
        <v>811.96</v>
      </c>
      <c r="Y438" s="125">
        <v>0</v>
      </c>
      <c r="Z438" s="125">
        <v>428.1</v>
      </c>
      <c r="AA438" s="125">
        <v>984.8</v>
      </c>
      <c r="AB438" s="125">
        <v>0</v>
      </c>
      <c r="AC438" s="125">
        <v>0</v>
      </c>
      <c r="AD438" s="125">
        <v>1128.9000000000001</v>
      </c>
      <c r="AE438" s="157">
        <v>435.03</v>
      </c>
      <c r="AF438" s="157">
        <v>435.03</v>
      </c>
      <c r="AG438" s="125">
        <v>0</v>
      </c>
      <c r="AH438" s="125">
        <v>78.02</v>
      </c>
      <c r="AI438" s="157">
        <v>0</v>
      </c>
      <c r="AJ438" s="157">
        <v>794.16</v>
      </c>
      <c r="AK438" s="157">
        <v>0</v>
      </c>
      <c r="AL438" s="125">
        <v>52092.95</v>
      </c>
    </row>
    <row r="439" spans="1:38" s="117" customFormat="1" ht="15" customHeight="1" x14ac:dyDescent="0.2">
      <c r="A439" s="123" t="s">
        <v>410</v>
      </c>
      <c r="B439" s="124" t="s">
        <v>1128</v>
      </c>
      <c r="C439" s="157">
        <v>4792.93</v>
      </c>
      <c r="D439" s="125">
        <v>8271.75</v>
      </c>
      <c r="E439" s="157">
        <v>5977.45</v>
      </c>
      <c r="F439" s="125">
        <v>5484.71</v>
      </c>
      <c r="G439" s="157">
        <v>5945.49</v>
      </c>
      <c r="H439" s="157">
        <v>10395.19</v>
      </c>
      <c r="I439" s="157">
        <v>8655.0400000000009</v>
      </c>
      <c r="J439" s="125">
        <v>5361.88</v>
      </c>
      <c r="K439" s="125">
        <v>7962.33</v>
      </c>
      <c r="L439" s="125">
        <v>0</v>
      </c>
      <c r="M439" s="157">
        <v>9267.32</v>
      </c>
      <c r="N439" s="157">
        <v>10548.95</v>
      </c>
      <c r="O439" s="157">
        <v>6592.17</v>
      </c>
      <c r="P439" s="125">
        <v>1954.87</v>
      </c>
      <c r="Q439" s="157">
        <v>2868.84</v>
      </c>
      <c r="R439" s="157">
        <v>1735.18</v>
      </c>
      <c r="S439" s="157">
        <v>5182.1099999999997</v>
      </c>
      <c r="T439" s="125">
        <v>2863.81</v>
      </c>
      <c r="U439" s="125">
        <v>7451.7</v>
      </c>
      <c r="V439" s="125">
        <v>1193.27</v>
      </c>
      <c r="W439" s="125">
        <v>0</v>
      </c>
      <c r="X439" s="157">
        <v>3770.05</v>
      </c>
      <c r="Y439" s="125">
        <v>1649.65</v>
      </c>
      <c r="Z439" s="125">
        <v>6440.06</v>
      </c>
      <c r="AA439" s="125">
        <v>1777.55</v>
      </c>
      <c r="AB439" s="125">
        <v>5315.85</v>
      </c>
      <c r="AC439" s="125">
        <v>315</v>
      </c>
      <c r="AD439" s="125">
        <v>8134.44</v>
      </c>
      <c r="AE439" s="157">
        <v>920</v>
      </c>
      <c r="AF439" s="157">
        <v>0</v>
      </c>
      <c r="AG439" s="125">
        <v>12334.63</v>
      </c>
      <c r="AH439" s="125">
        <v>1515</v>
      </c>
      <c r="AI439" s="157">
        <v>7260.72</v>
      </c>
      <c r="AJ439" s="157">
        <v>1215.22</v>
      </c>
      <c r="AK439" s="157">
        <v>4186.42</v>
      </c>
      <c r="AL439" s="125">
        <v>167339.57999999999</v>
      </c>
    </row>
    <row r="440" spans="1:38" s="117" customFormat="1" ht="15" customHeight="1" x14ac:dyDescent="0.2">
      <c r="A440" s="123" t="s">
        <v>411</v>
      </c>
      <c r="B440" s="124" t="s">
        <v>1127</v>
      </c>
      <c r="C440" s="157">
        <v>593.58000000000004</v>
      </c>
      <c r="D440" s="125">
        <v>683.93</v>
      </c>
      <c r="E440" s="157">
        <v>593.58000000000004</v>
      </c>
      <c r="F440" s="125">
        <v>0</v>
      </c>
      <c r="G440" s="157">
        <v>1318.37</v>
      </c>
      <c r="H440" s="157">
        <v>3398.77</v>
      </c>
      <c r="I440" s="157">
        <v>646.22</v>
      </c>
      <c r="J440" s="125">
        <v>0</v>
      </c>
      <c r="K440" s="125">
        <v>3357.58</v>
      </c>
      <c r="L440" s="125">
        <v>0</v>
      </c>
      <c r="M440" s="157">
        <v>1860.46</v>
      </c>
      <c r="N440" s="157">
        <v>0</v>
      </c>
      <c r="O440" s="157">
        <v>663.26</v>
      </c>
      <c r="P440" s="125">
        <v>1792.56</v>
      </c>
      <c r="Q440" s="157">
        <v>0</v>
      </c>
      <c r="R440" s="157">
        <v>2544.91</v>
      </c>
      <c r="S440" s="157">
        <v>1808.42</v>
      </c>
      <c r="T440" s="125">
        <v>1435.83</v>
      </c>
      <c r="U440" s="125">
        <v>0</v>
      </c>
      <c r="V440" s="125">
        <v>0</v>
      </c>
      <c r="W440" s="125">
        <v>0</v>
      </c>
      <c r="X440" s="157">
        <v>528</v>
      </c>
      <c r="Y440" s="125">
        <v>990.18</v>
      </c>
      <c r="Z440" s="125">
        <v>3185.42</v>
      </c>
      <c r="AA440" s="125">
        <v>0</v>
      </c>
      <c r="AB440" s="125">
        <v>533.78</v>
      </c>
      <c r="AC440" s="125">
        <v>616.13</v>
      </c>
      <c r="AD440" s="125">
        <v>2272.7800000000002</v>
      </c>
      <c r="AE440" s="157">
        <v>644.05999999999995</v>
      </c>
      <c r="AF440" s="157">
        <v>1932.17</v>
      </c>
      <c r="AG440" s="125">
        <v>1928.62</v>
      </c>
      <c r="AH440" s="125">
        <v>755.76</v>
      </c>
      <c r="AI440" s="157">
        <v>0</v>
      </c>
      <c r="AJ440" s="157">
        <v>0</v>
      </c>
      <c r="AK440" s="157">
        <v>1387.09</v>
      </c>
      <c r="AL440" s="125">
        <v>35471.46</v>
      </c>
    </row>
    <row r="441" spans="1:38" s="117" customFormat="1" ht="15" customHeight="1" x14ac:dyDescent="0.2">
      <c r="A441" s="123" t="s">
        <v>412</v>
      </c>
      <c r="B441" s="124" t="s">
        <v>1126</v>
      </c>
      <c r="C441" s="157">
        <v>537.70000000000005</v>
      </c>
      <c r="D441" s="125">
        <v>131.59</v>
      </c>
      <c r="E441" s="157">
        <v>154.68</v>
      </c>
      <c r="F441" s="125">
        <v>0</v>
      </c>
      <c r="G441" s="157">
        <v>1317.1</v>
      </c>
      <c r="H441" s="157">
        <v>530.91</v>
      </c>
      <c r="I441" s="157">
        <v>90.15</v>
      </c>
      <c r="J441" s="125">
        <v>0</v>
      </c>
      <c r="K441" s="125">
        <v>1049.1300000000001</v>
      </c>
      <c r="L441" s="125">
        <v>596.67999999999995</v>
      </c>
      <c r="M441" s="157">
        <v>160.02000000000001</v>
      </c>
      <c r="N441" s="157">
        <v>296.61</v>
      </c>
      <c r="O441" s="157">
        <v>319.48</v>
      </c>
      <c r="P441" s="125">
        <v>0</v>
      </c>
      <c r="Q441" s="157">
        <v>1288.79</v>
      </c>
      <c r="R441" s="157">
        <v>423.64</v>
      </c>
      <c r="S441" s="157">
        <v>0</v>
      </c>
      <c r="T441" s="125">
        <v>841.2</v>
      </c>
      <c r="U441" s="125">
        <v>694.72</v>
      </c>
      <c r="V441" s="125">
        <v>193.67</v>
      </c>
      <c r="W441" s="125">
        <v>0</v>
      </c>
      <c r="X441" s="157">
        <v>485.05</v>
      </c>
      <c r="Y441" s="125">
        <v>501.35</v>
      </c>
      <c r="Z441" s="125">
        <v>29.11</v>
      </c>
      <c r="AA441" s="125">
        <v>371.49</v>
      </c>
      <c r="AB441" s="125">
        <v>0</v>
      </c>
      <c r="AC441" s="125">
        <v>1972.19</v>
      </c>
      <c r="AD441" s="125">
        <v>1537.21</v>
      </c>
      <c r="AE441" s="157">
        <v>301.87</v>
      </c>
      <c r="AF441" s="157">
        <v>389.33</v>
      </c>
      <c r="AG441" s="125">
        <v>347.78</v>
      </c>
      <c r="AH441" s="125">
        <v>499.6</v>
      </c>
      <c r="AI441" s="157">
        <v>496.4</v>
      </c>
      <c r="AJ441" s="157">
        <v>279.37</v>
      </c>
      <c r="AK441" s="157">
        <v>340.46</v>
      </c>
      <c r="AL441" s="125">
        <v>16177.28</v>
      </c>
    </row>
    <row r="442" spans="1:38" s="117" customFormat="1" ht="15" customHeight="1" x14ac:dyDescent="0.2">
      <c r="A442" s="123" t="s">
        <v>553</v>
      </c>
      <c r="B442" s="124" t="s">
        <v>1125</v>
      </c>
      <c r="C442" s="157">
        <v>0</v>
      </c>
      <c r="D442" s="125">
        <v>0</v>
      </c>
      <c r="E442" s="157">
        <v>0</v>
      </c>
      <c r="F442" s="125">
        <v>0</v>
      </c>
      <c r="G442" s="157">
        <v>0</v>
      </c>
      <c r="H442" s="157">
        <v>0</v>
      </c>
      <c r="I442" s="157">
        <v>0</v>
      </c>
      <c r="J442" s="125">
        <v>0</v>
      </c>
      <c r="K442" s="125">
        <v>0</v>
      </c>
      <c r="L442" s="125">
        <v>0</v>
      </c>
      <c r="M442" s="157">
        <v>0</v>
      </c>
      <c r="N442" s="157">
        <v>0</v>
      </c>
      <c r="O442" s="157">
        <v>0</v>
      </c>
      <c r="P442" s="125">
        <v>0</v>
      </c>
      <c r="Q442" s="157">
        <v>1358.5</v>
      </c>
      <c r="R442" s="157">
        <v>0</v>
      </c>
      <c r="S442" s="157">
        <v>0</v>
      </c>
      <c r="T442" s="125">
        <v>8215.91</v>
      </c>
      <c r="U442" s="125">
        <v>0</v>
      </c>
      <c r="V442" s="125">
        <v>0</v>
      </c>
      <c r="W442" s="125">
        <v>3019.11</v>
      </c>
      <c r="X442" s="157">
        <v>0</v>
      </c>
      <c r="Y442" s="125">
        <v>0</v>
      </c>
      <c r="Z442" s="125">
        <v>0</v>
      </c>
      <c r="AA442" s="125">
        <v>0</v>
      </c>
      <c r="AB442" s="125">
        <v>0</v>
      </c>
      <c r="AC442" s="125">
        <v>19390.66</v>
      </c>
      <c r="AD442" s="125">
        <v>1049.4000000000001</v>
      </c>
      <c r="AE442" s="157">
        <v>0</v>
      </c>
      <c r="AF442" s="157">
        <v>5248.91</v>
      </c>
      <c r="AG442" s="125">
        <v>0</v>
      </c>
      <c r="AH442" s="125">
        <v>6761.71</v>
      </c>
      <c r="AI442" s="157">
        <v>0</v>
      </c>
      <c r="AJ442" s="157">
        <v>0</v>
      </c>
      <c r="AK442" s="157">
        <v>0</v>
      </c>
      <c r="AL442" s="125">
        <v>45044.2</v>
      </c>
    </row>
    <row r="443" spans="1:38" s="117" customFormat="1" ht="15" customHeight="1" x14ac:dyDescent="0.2">
      <c r="A443" s="123" t="s">
        <v>1124</v>
      </c>
      <c r="B443" s="124" t="s">
        <v>1123</v>
      </c>
      <c r="C443" s="157">
        <v>0</v>
      </c>
      <c r="D443" s="125">
        <v>0</v>
      </c>
      <c r="E443" s="157">
        <v>0</v>
      </c>
      <c r="F443" s="125">
        <v>344.9</v>
      </c>
      <c r="G443" s="157">
        <v>1005.93</v>
      </c>
      <c r="H443" s="157">
        <v>0</v>
      </c>
      <c r="I443" s="157">
        <v>0</v>
      </c>
      <c r="J443" s="125">
        <v>344.9</v>
      </c>
      <c r="K443" s="125">
        <v>0</v>
      </c>
      <c r="L443" s="125">
        <v>0</v>
      </c>
      <c r="M443" s="157">
        <v>1011.6</v>
      </c>
      <c r="N443" s="157">
        <v>0</v>
      </c>
      <c r="O443" s="157">
        <v>0</v>
      </c>
      <c r="P443" s="125">
        <v>0</v>
      </c>
      <c r="Q443" s="157">
        <v>344.91</v>
      </c>
      <c r="R443" s="157">
        <v>0</v>
      </c>
      <c r="S443" s="157">
        <v>0</v>
      </c>
      <c r="T443" s="125">
        <v>933.38</v>
      </c>
      <c r="U443" s="125">
        <v>0</v>
      </c>
      <c r="V443" s="125">
        <v>344.9</v>
      </c>
      <c r="W443" s="125">
        <v>0</v>
      </c>
      <c r="X443" s="157">
        <v>574</v>
      </c>
      <c r="Y443" s="125">
        <v>349.1</v>
      </c>
      <c r="Z443" s="125">
        <v>0</v>
      </c>
      <c r="AA443" s="125">
        <v>689.8</v>
      </c>
      <c r="AB443" s="125">
        <v>0</v>
      </c>
      <c r="AC443" s="125">
        <v>0</v>
      </c>
      <c r="AD443" s="125">
        <v>0</v>
      </c>
      <c r="AE443" s="157">
        <v>296.8</v>
      </c>
      <c r="AF443" s="157">
        <v>0</v>
      </c>
      <c r="AG443" s="125">
        <v>0</v>
      </c>
      <c r="AH443" s="125">
        <v>504.96</v>
      </c>
      <c r="AI443" s="157">
        <v>0</v>
      </c>
      <c r="AJ443" s="157">
        <v>0</v>
      </c>
      <c r="AK443" s="157">
        <v>345.14</v>
      </c>
      <c r="AL443" s="125">
        <v>7090.32</v>
      </c>
    </row>
    <row r="444" spans="1:38" s="117" customFormat="1" ht="15" customHeight="1" x14ac:dyDescent="0.2">
      <c r="A444" s="123" t="s">
        <v>413</v>
      </c>
      <c r="B444" s="124" t="s">
        <v>1122</v>
      </c>
      <c r="C444" s="157">
        <v>661.6</v>
      </c>
      <c r="D444" s="125">
        <v>521.41</v>
      </c>
      <c r="E444" s="157">
        <v>877.73</v>
      </c>
      <c r="F444" s="125">
        <v>0</v>
      </c>
      <c r="G444" s="157">
        <v>5912.3</v>
      </c>
      <c r="H444" s="157">
        <v>594.9</v>
      </c>
      <c r="I444" s="157">
        <v>588.17999999999995</v>
      </c>
      <c r="J444" s="125">
        <v>290.58999999999997</v>
      </c>
      <c r="K444" s="125">
        <v>1805.96</v>
      </c>
      <c r="L444" s="125">
        <v>0</v>
      </c>
      <c r="M444" s="157">
        <v>724.04</v>
      </c>
      <c r="N444" s="157">
        <v>842.26</v>
      </c>
      <c r="O444" s="157">
        <v>675.07</v>
      </c>
      <c r="P444" s="125">
        <v>422.04</v>
      </c>
      <c r="Q444" s="157">
        <v>120.51</v>
      </c>
      <c r="R444" s="157">
        <v>122.33</v>
      </c>
      <c r="S444" s="157">
        <v>628.44000000000005</v>
      </c>
      <c r="T444" s="125">
        <v>272.19</v>
      </c>
      <c r="U444" s="125">
        <v>0</v>
      </c>
      <c r="V444" s="125">
        <v>662.89</v>
      </c>
      <c r="W444" s="125">
        <v>343.02</v>
      </c>
      <c r="X444" s="157">
        <v>268.45</v>
      </c>
      <c r="Y444" s="125">
        <v>3743.8</v>
      </c>
      <c r="Z444" s="125">
        <v>-46.3</v>
      </c>
      <c r="AA444" s="125">
        <v>946.78</v>
      </c>
      <c r="AB444" s="125">
        <v>678.69</v>
      </c>
      <c r="AC444" s="125">
        <v>243.91</v>
      </c>
      <c r="AD444" s="125">
        <v>1034.74</v>
      </c>
      <c r="AE444" s="157">
        <v>268.45</v>
      </c>
      <c r="AF444" s="157">
        <v>214.76</v>
      </c>
      <c r="AG444" s="125">
        <v>451.07</v>
      </c>
      <c r="AH444" s="125">
        <v>135.91999999999999</v>
      </c>
      <c r="AI444" s="157">
        <v>494.15</v>
      </c>
      <c r="AJ444" s="157">
        <v>0</v>
      </c>
      <c r="AK444" s="157">
        <v>379.18</v>
      </c>
      <c r="AL444" s="125">
        <v>24879.06</v>
      </c>
    </row>
    <row r="445" spans="1:38" s="117" customFormat="1" ht="15" customHeight="1" x14ac:dyDescent="0.2">
      <c r="A445" s="123" t="s">
        <v>1121</v>
      </c>
      <c r="B445" s="124" t="s">
        <v>1120</v>
      </c>
      <c r="C445" s="157">
        <v>-2866.2</v>
      </c>
      <c r="D445" s="125">
        <v>-12440.36</v>
      </c>
      <c r="E445" s="157">
        <v>-35968.94</v>
      </c>
      <c r="F445" s="125">
        <v>-4330</v>
      </c>
      <c r="G445" s="157">
        <v>-17582.78</v>
      </c>
      <c r="H445" s="157">
        <v>-4950</v>
      </c>
      <c r="I445" s="157">
        <v>-20731</v>
      </c>
      <c r="J445" s="125">
        <v>0</v>
      </c>
      <c r="K445" s="125">
        <v>0</v>
      </c>
      <c r="L445" s="125">
        <v>-28417.56</v>
      </c>
      <c r="M445" s="157">
        <v>-17350</v>
      </c>
      <c r="N445" s="157">
        <v>-24500</v>
      </c>
      <c r="O445" s="157">
        <v>-6453.9</v>
      </c>
      <c r="P445" s="125">
        <v>0</v>
      </c>
      <c r="Q445" s="157">
        <v>-23400</v>
      </c>
      <c r="R445" s="157">
        <v>-7995</v>
      </c>
      <c r="S445" s="157">
        <v>-2940</v>
      </c>
      <c r="T445" s="125">
        <v>0</v>
      </c>
      <c r="U445" s="125">
        <v>-11045</v>
      </c>
      <c r="V445" s="125">
        <v>0</v>
      </c>
      <c r="W445" s="125">
        <v>0</v>
      </c>
      <c r="X445" s="157">
        <v>-32595.39</v>
      </c>
      <c r="Y445" s="125">
        <v>-23505.279999999999</v>
      </c>
      <c r="Z445" s="125">
        <v>-31473.919999999998</v>
      </c>
      <c r="AA445" s="125">
        <v>-14315</v>
      </c>
      <c r="AB445" s="125">
        <v>-6049.07</v>
      </c>
      <c r="AC445" s="125">
        <v>-4482</v>
      </c>
      <c r="AD445" s="125">
        <v>-3590.82</v>
      </c>
      <c r="AE445" s="157">
        <v>-11739.67</v>
      </c>
      <c r="AF445" s="157">
        <v>-16012</v>
      </c>
      <c r="AG445" s="125">
        <v>-20026.900000000001</v>
      </c>
      <c r="AH445" s="125">
        <v>0</v>
      </c>
      <c r="AI445" s="157">
        <v>0</v>
      </c>
      <c r="AJ445" s="157">
        <v>-4044.09</v>
      </c>
      <c r="AK445" s="157">
        <v>-9948.8799999999992</v>
      </c>
      <c r="AL445" s="125">
        <v>-398753.76</v>
      </c>
    </row>
    <row r="446" spans="1:38" s="117" customFormat="1" ht="15" customHeight="1" x14ac:dyDescent="0.2">
      <c r="A446" s="123" t="s">
        <v>1119</v>
      </c>
      <c r="B446" s="124" t="s">
        <v>1118</v>
      </c>
      <c r="C446" s="157">
        <v>460</v>
      </c>
      <c r="D446" s="125">
        <v>0</v>
      </c>
      <c r="E446" s="157">
        <v>1057</v>
      </c>
      <c r="F446" s="125">
        <v>0</v>
      </c>
      <c r="G446" s="157">
        <v>274</v>
      </c>
      <c r="H446" s="157">
        <v>100</v>
      </c>
      <c r="I446" s="157">
        <v>89.25</v>
      </c>
      <c r="J446" s="125">
        <v>0</v>
      </c>
      <c r="K446" s="125">
        <v>395</v>
      </c>
      <c r="L446" s="125">
        <v>0</v>
      </c>
      <c r="M446" s="157">
        <v>0</v>
      </c>
      <c r="N446" s="157">
        <v>0</v>
      </c>
      <c r="O446" s="157">
        <v>0</v>
      </c>
      <c r="P446" s="125">
        <v>0</v>
      </c>
      <c r="Q446" s="157">
        <v>0</v>
      </c>
      <c r="R446" s="157">
        <v>910</v>
      </c>
      <c r="S446" s="157">
        <v>0</v>
      </c>
      <c r="T446" s="125">
        <v>225</v>
      </c>
      <c r="U446" s="125">
        <v>0</v>
      </c>
      <c r="V446" s="125">
        <v>246</v>
      </c>
      <c r="W446" s="125">
        <v>0</v>
      </c>
      <c r="X446" s="157">
        <v>1003</v>
      </c>
      <c r="Y446" s="125">
        <v>981</v>
      </c>
      <c r="Z446" s="125">
        <v>0</v>
      </c>
      <c r="AA446" s="125">
        <v>0</v>
      </c>
      <c r="AB446" s="125">
        <v>0</v>
      </c>
      <c r="AC446" s="125">
        <v>0</v>
      </c>
      <c r="AD446" s="125">
        <v>425</v>
      </c>
      <c r="AE446" s="157">
        <v>0</v>
      </c>
      <c r="AF446" s="157">
        <v>0</v>
      </c>
      <c r="AG446" s="125">
        <v>0</v>
      </c>
      <c r="AH446" s="125">
        <v>0</v>
      </c>
      <c r="AI446" s="157">
        <v>910</v>
      </c>
      <c r="AJ446" s="157">
        <v>0</v>
      </c>
      <c r="AK446" s="157">
        <v>0</v>
      </c>
      <c r="AL446" s="125">
        <v>7075.25</v>
      </c>
    </row>
    <row r="447" spans="1:38" s="117" customFormat="1" ht="15" customHeight="1" x14ac:dyDescent="0.2">
      <c r="A447" s="123" t="s">
        <v>414</v>
      </c>
      <c r="B447" s="124" t="s">
        <v>1117</v>
      </c>
      <c r="C447" s="157">
        <v>885</v>
      </c>
      <c r="D447" s="125">
        <v>1.32</v>
      </c>
      <c r="E447" s="157">
        <v>0</v>
      </c>
      <c r="F447" s="125">
        <v>6636</v>
      </c>
      <c r="G447" s="157">
        <v>5909.8</v>
      </c>
      <c r="H447" s="157">
        <v>0</v>
      </c>
      <c r="I447" s="157">
        <v>2738.07</v>
      </c>
      <c r="J447" s="125">
        <v>9760</v>
      </c>
      <c r="K447" s="125">
        <v>0</v>
      </c>
      <c r="L447" s="125">
        <v>0</v>
      </c>
      <c r="M447" s="157">
        <v>860</v>
      </c>
      <c r="N447" s="157">
        <v>1272</v>
      </c>
      <c r="O447" s="157">
        <v>3381</v>
      </c>
      <c r="P447" s="125">
        <v>1865</v>
      </c>
      <c r="Q447" s="157">
        <v>0</v>
      </c>
      <c r="R447" s="157">
        <v>2293</v>
      </c>
      <c r="S447" s="157">
        <v>2275</v>
      </c>
      <c r="T447" s="125">
        <v>485</v>
      </c>
      <c r="U447" s="125">
        <v>0</v>
      </c>
      <c r="V447" s="125">
        <v>0</v>
      </c>
      <c r="W447" s="125">
        <v>0</v>
      </c>
      <c r="X447" s="157">
        <v>250</v>
      </c>
      <c r="Y447" s="125">
        <v>4000</v>
      </c>
      <c r="Z447" s="125">
        <v>0</v>
      </c>
      <c r="AA447" s="125">
        <v>0</v>
      </c>
      <c r="AB447" s="125">
        <v>466.72</v>
      </c>
      <c r="AC447" s="125">
        <v>8100</v>
      </c>
      <c r="AD447" s="125">
        <v>5724</v>
      </c>
      <c r="AE447" s="157">
        <v>0</v>
      </c>
      <c r="AF447" s="157">
        <v>0</v>
      </c>
      <c r="AG447" s="125">
        <v>3082</v>
      </c>
      <c r="AH447" s="125">
        <v>1300</v>
      </c>
      <c r="AI447" s="157">
        <v>3072</v>
      </c>
      <c r="AJ447" s="157">
        <v>3683</v>
      </c>
      <c r="AK447" s="157">
        <v>4500</v>
      </c>
      <c r="AL447" s="125">
        <v>72538.91</v>
      </c>
    </row>
    <row r="448" spans="1:38" s="117" customFormat="1" ht="15" customHeight="1" x14ac:dyDescent="0.2">
      <c r="A448" s="123" t="s">
        <v>502</v>
      </c>
      <c r="B448" s="124" t="s">
        <v>1116</v>
      </c>
      <c r="C448" s="157">
        <v>5840</v>
      </c>
      <c r="D448" s="125">
        <v>0</v>
      </c>
      <c r="E448" s="157">
        <v>0</v>
      </c>
      <c r="F448" s="125">
        <v>0</v>
      </c>
      <c r="G448" s="157">
        <v>6700</v>
      </c>
      <c r="H448" s="157">
        <v>0</v>
      </c>
      <c r="I448" s="157">
        <v>0</v>
      </c>
      <c r="J448" s="125">
        <v>0</v>
      </c>
      <c r="K448" s="125">
        <v>0</v>
      </c>
      <c r="L448" s="125">
        <v>0</v>
      </c>
      <c r="M448" s="157">
        <v>0</v>
      </c>
      <c r="N448" s="157">
        <v>0</v>
      </c>
      <c r="O448" s="157">
        <v>0</v>
      </c>
      <c r="P448" s="125">
        <v>0</v>
      </c>
      <c r="Q448" s="157">
        <v>0</v>
      </c>
      <c r="R448" s="157">
        <v>0</v>
      </c>
      <c r="S448" s="157">
        <v>0</v>
      </c>
      <c r="T448" s="125">
        <v>0</v>
      </c>
      <c r="U448" s="125">
        <v>0</v>
      </c>
      <c r="V448" s="125">
        <v>0</v>
      </c>
      <c r="W448" s="125">
        <v>0</v>
      </c>
      <c r="X448" s="157">
        <v>0</v>
      </c>
      <c r="Y448" s="125">
        <v>0</v>
      </c>
      <c r="Z448" s="125">
        <v>0</v>
      </c>
      <c r="AA448" s="125">
        <v>2500</v>
      </c>
      <c r="AB448" s="125">
        <v>0</v>
      </c>
      <c r="AC448" s="125">
        <v>0</v>
      </c>
      <c r="AD448" s="125">
        <v>0</v>
      </c>
      <c r="AE448" s="157">
        <v>0</v>
      </c>
      <c r="AF448" s="157">
        <v>0</v>
      </c>
      <c r="AG448" s="125">
        <v>3450</v>
      </c>
      <c r="AH448" s="125">
        <v>0</v>
      </c>
      <c r="AI448" s="157">
        <v>0</v>
      </c>
      <c r="AJ448" s="157">
        <v>0</v>
      </c>
      <c r="AK448" s="157">
        <v>0</v>
      </c>
      <c r="AL448" s="125">
        <v>18490</v>
      </c>
    </row>
    <row r="449" spans="1:38" s="117" customFormat="1" ht="15" customHeight="1" x14ac:dyDescent="0.2">
      <c r="A449" s="123" t="s">
        <v>554</v>
      </c>
      <c r="B449" s="124" t="s">
        <v>1115</v>
      </c>
      <c r="C449" s="157">
        <v>0</v>
      </c>
      <c r="D449" s="125">
        <v>0</v>
      </c>
      <c r="E449" s="157">
        <v>0</v>
      </c>
      <c r="F449" s="125">
        <v>48.53</v>
      </c>
      <c r="G449" s="157">
        <v>203.29</v>
      </c>
      <c r="H449" s="157">
        <v>48.53</v>
      </c>
      <c r="I449" s="157">
        <v>900.95</v>
      </c>
      <c r="J449" s="125">
        <v>48.53</v>
      </c>
      <c r="K449" s="125">
        <v>0</v>
      </c>
      <c r="L449" s="125">
        <v>-2.94</v>
      </c>
      <c r="M449" s="157">
        <v>0</v>
      </c>
      <c r="N449" s="157">
        <v>48.53</v>
      </c>
      <c r="O449" s="157">
        <v>48.53</v>
      </c>
      <c r="P449" s="125">
        <v>0</v>
      </c>
      <c r="Q449" s="157">
        <v>48.53</v>
      </c>
      <c r="R449" s="157">
        <v>0</v>
      </c>
      <c r="S449" s="157">
        <v>0</v>
      </c>
      <c r="T449" s="125">
        <v>0</v>
      </c>
      <c r="U449" s="125">
        <v>48.53</v>
      </c>
      <c r="V449" s="125">
        <v>48.53</v>
      </c>
      <c r="W449" s="125">
        <v>0</v>
      </c>
      <c r="X449" s="157">
        <v>0</v>
      </c>
      <c r="Y449" s="125">
        <v>97.06</v>
      </c>
      <c r="Z449" s="125">
        <v>0</v>
      </c>
      <c r="AA449" s="125">
        <v>48.53</v>
      </c>
      <c r="AB449" s="125">
        <v>0</v>
      </c>
      <c r="AC449" s="125">
        <v>0</v>
      </c>
      <c r="AD449" s="125">
        <v>0</v>
      </c>
      <c r="AE449" s="157">
        <v>0</v>
      </c>
      <c r="AF449" s="157">
        <v>0</v>
      </c>
      <c r="AG449" s="125">
        <v>-326.47000000000003</v>
      </c>
      <c r="AH449" s="125">
        <v>0</v>
      </c>
      <c r="AI449" s="157">
        <v>48.53</v>
      </c>
      <c r="AJ449" s="157">
        <v>48.53</v>
      </c>
      <c r="AK449" s="157">
        <v>48.53</v>
      </c>
      <c r="AL449" s="125">
        <v>1454.25</v>
      </c>
    </row>
    <row r="450" spans="1:38" s="117" customFormat="1" ht="15" customHeight="1" x14ac:dyDescent="0.2">
      <c r="A450" s="123" t="s">
        <v>1114</v>
      </c>
      <c r="B450" s="124" t="s">
        <v>1113</v>
      </c>
      <c r="C450" s="157">
        <v>1000</v>
      </c>
      <c r="D450" s="125">
        <v>0</v>
      </c>
      <c r="E450" s="157">
        <v>0</v>
      </c>
      <c r="F450" s="125">
        <v>0</v>
      </c>
      <c r="G450" s="157">
        <v>0</v>
      </c>
      <c r="H450" s="157">
        <v>0</v>
      </c>
      <c r="I450" s="157">
        <v>0</v>
      </c>
      <c r="J450" s="125">
        <v>0</v>
      </c>
      <c r="K450" s="125">
        <v>0</v>
      </c>
      <c r="L450" s="125">
        <v>19335.57</v>
      </c>
      <c r="M450" s="157">
        <v>0</v>
      </c>
      <c r="N450" s="157">
        <v>14500</v>
      </c>
      <c r="O450" s="157">
        <v>3950</v>
      </c>
      <c r="P450" s="125">
        <v>0</v>
      </c>
      <c r="Q450" s="157">
        <v>2765.08</v>
      </c>
      <c r="R450" s="157">
        <v>900</v>
      </c>
      <c r="S450" s="157">
        <v>0</v>
      </c>
      <c r="T450" s="125">
        <v>0</v>
      </c>
      <c r="U450" s="125">
        <v>0</v>
      </c>
      <c r="V450" s="125">
        <v>0</v>
      </c>
      <c r="W450" s="125">
        <v>0</v>
      </c>
      <c r="X450" s="157">
        <v>31434</v>
      </c>
      <c r="Y450" s="125">
        <v>5535</v>
      </c>
      <c r="Z450" s="125">
        <v>0</v>
      </c>
      <c r="AA450" s="125">
        <v>0</v>
      </c>
      <c r="AB450" s="125">
        <v>0</v>
      </c>
      <c r="AC450" s="125">
        <v>0</v>
      </c>
      <c r="AD450" s="125">
        <v>0</v>
      </c>
      <c r="AE450" s="157">
        <v>1185.5</v>
      </c>
      <c r="AF450" s="157">
        <v>1185.5</v>
      </c>
      <c r="AG450" s="125">
        <v>5088</v>
      </c>
      <c r="AH450" s="125">
        <v>0</v>
      </c>
      <c r="AI450" s="157">
        <v>0</v>
      </c>
      <c r="AJ450" s="157">
        <v>0</v>
      </c>
      <c r="AK450" s="157">
        <v>1000</v>
      </c>
      <c r="AL450" s="125">
        <v>87878.65</v>
      </c>
    </row>
    <row r="451" spans="1:38" s="117" customFormat="1" ht="15" customHeight="1" x14ac:dyDescent="0.2">
      <c r="A451" s="123" t="s">
        <v>1112</v>
      </c>
      <c r="B451" s="124" t="s">
        <v>1111</v>
      </c>
      <c r="C451" s="157">
        <v>0</v>
      </c>
      <c r="D451" s="125">
        <v>0</v>
      </c>
      <c r="E451" s="157">
        <v>0</v>
      </c>
      <c r="F451" s="125">
        <v>0</v>
      </c>
      <c r="G451" s="157">
        <v>0</v>
      </c>
      <c r="H451" s="157">
        <v>0</v>
      </c>
      <c r="I451" s="157">
        <v>0</v>
      </c>
      <c r="J451" s="125">
        <v>0</v>
      </c>
      <c r="K451" s="125">
        <v>0</v>
      </c>
      <c r="L451" s="125">
        <v>0</v>
      </c>
      <c r="M451" s="157">
        <v>0</v>
      </c>
      <c r="N451" s="157">
        <v>0</v>
      </c>
      <c r="O451" s="157">
        <v>0</v>
      </c>
      <c r="P451" s="125">
        <v>0</v>
      </c>
      <c r="Q451" s="157">
        <v>0</v>
      </c>
      <c r="R451" s="157">
        <v>528.51</v>
      </c>
      <c r="S451" s="157">
        <v>0</v>
      </c>
      <c r="T451" s="125">
        <v>625</v>
      </c>
      <c r="U451" s="125">
        <v>0</v>
      </c>
      <c r="V451" s="125">
        <v>0</v>
      </c>
      <c r="W451" s="125">
        <v>0</v>
      </c>
      <c r="X451" s="157">
        <v>125.17</v>
      </c>
      <c r="Y451" s="125">
        <v>0</v>
      </c>
      <c r="Z451" s="125">
        <v>0</v>
      </c>
      <c r="AA451" s="125">
        <v>0</v>
      </c>
      <c r="AB451" s="125">
        <v>0</v>
      </c>
      <c r="AC451" s="125">
        <v>0</v>
      </c>
      <c r="AD451" s="125">
        <v>0</v>
      </c>
      <c r="AE451" s="157">
        <v>0</v>
      </c>
      <c r="AF451" s="157">
        <v>0</v>
      </c>
      <c r="AG451" s="125">
        <v>0</v>
      </c>
      <c r="AH451" s="125">
        <v>0</v>
      </c>
      <c r="AI451" s="157">
        <v>0</v>
      </c>
      <c r="AJ451" s="157">
        <v>0</v>
      </c>
      <c r="AK451" s="157">
        <v>0</v>
      </c>
      <c r="AL451" s="125">
        <v>1278.68</v>
      </c>
    </row>
    <row r="452" spans="1:38" s="117" customFormat="1" ht="15" customHeight="1" x14ac:dyDescent="0.2">
      <c r="A452" s="123" t="s">
        <v>1110</v>
      </c>
      <c r="B452" s="124" t="s">
        <v>1109</v>
      </c>
      <c r="C452" s="157">
        <v>0</v>
      </c>
      <c r="D452" s="125">
        <v>0</v>
      </c>
      <c r="E452" s="157">
        <v>0</v>
      </c>
      <c r="F452" s="125">
        <v>0</v>
      </c>
      <c r="G452" s="157">
        <v>0</v>
      </c>
      <c r="H452" s="157">
        <v>4263</v>
      </c>
      <c r="I452" s="157">
        <v>0</v>
      </c>
      <c r="J452" s="125">
        <v>0</v>
      </c>
      <c r="K452" s="125">
        <v>0</v>
      </c>
      <c r="L452" s="125">
        <v>0</v>
      </c>
      <c r="M452" s="157">
        <v>0</v>
      </c>
      <c r="N452" s="157">
        <v>0</v>
      </c>
      <c r="O452" s="157">
        <v>0</v>
      </c>
      <c r="P452" s="125">
        <v>0</v>
      </c>
      <c r="Q452" s="157">
        <v>0</v>
      </c>
      <c r="R452" s="157">
        <v>0</v>
      </c>
      <c r="S452" s="157">
        <v>0</v>
      </c>
      <c r="T452" s="125">
        <v>0</v>
      </c>
      <c r="U452" s="125">
        <v>0</v>
      </c>
      <c r="V452" s="125">
        <v>0</v>
      </c>
      <c r="W452" s="125">
        <v>0</v>
      </c>
      <c r="X452" s="157">
        <v>0</v>
      </c>
      <c r="Y452" s="125">
        <v>0</v>
      </c>
      <c r="Z452" s="125">
        <v>0</v>
      </c>
      <c r="AA452" s="125">
        <v>0</v>
      </c>
      <c r="AB452" s="125">
        <v>0</v>
      </c>
      <c r="AC452" s="125">
        <v>0</v>
      </c>
      <c r="AD452" s="125">
        <v>0</v>
      </c>
      <c r="AE452" s="157">
        <v>0</v>
      </c>
      <c r="AF452" s="157">
        <v>0</v>
      </c>
      <c r="AG452" s="125">
        <v>0</v>
      </c>
      <c r="AH452" s="125">
        <v>0</v>
      </c>
      <c r="AI452" s="157">
        <v>0</v>
      </c>
      <c r="AJ452" s="157">
        <v>0</v>
      </c>
      <c r="AK452" s="157">
        <v>0</v>
      </c>
      <c r="AL452" s="125">
        <v>4263</v>
      </c>
    </row>
    <row r="453" spans="1:38" s="117" customFormat="1" ht="15" customHeight="1" x14ac:dyDescent="0.2">
      <c r="A453" s="123" t="s">
        <v>415</v>
      </c>
      <c r="B453" s="124" t="s">
        <v>1108</v>
      </c>
      <c r="C453" s="157">
        <v>0</v>
      </c>
      <c r="D453" s="125">
        <v>700</v>
      </c>
      <c r="E453" s="157">
        <v>0</v>
      </c>
      <c r="F453" s="125">
        <v>0</v>
      </c>
      <c r="G453" s="157">
        <v>0</v>
      </c>
      <c r="H453" s="157">
        <v>4950</v>
      </c>
      <c r="I453" s="157">
        <v>14675</v>
      </c>
      <c r="J453" s="125">
        <v>231.71</v>
      </c>
      <c r="K453" s="125">
        <v>1008</v>
      </c>
      <c r="L453" s="125">
        <v>0</v>
      </c>
      <c r="M453" s="157">
        <v>0</v>
      </c>
      <c r="N453" s="157">
        <v>0</v>
      </c>
      <c r="O453" s="157">
        <v>0</v>
      </c>
      <c r="P453" s="125">
        <v>139.4</v>
      </c>
      <c r="Q453" s="157">
        <v>0</v>
      </c>
      <c r="R453" s="157">
        <v>0</v>
      </c>
      <c r="S453" s="157">
        <v>0</v>
      </c>
      <c r="T453" s="125">
        <v>0</v>
      </c>
      <c r="U453" s="125">
        <v>0</v>
      </c>
      <c r="V453" s="125">
        <v>2441.23</v>
      </c>
      <c r="W453" s="125">
        <v>0</v>
      </c>
      <c r="X453" s="157">
        <v>3950.61</v>
      </c>
      <c r="Y453" s="125">
        <v>0</v>
      </c>
      <c r="Z453" s="125">
        <v>900</v>
      </c>
      <c r="AA453" s="125">
        <v>352.21</v>
      </c>
      <c r="AB453" s="125">
        <v>18003.66</v>
      </c>
      <c r="AC453" s="125">
        <v>0</v>
      </c>
      <c r="AD453" s="125">
        <v>0</v>
      </c>
      <c r="AE453" s="157">
        <v>767.17</v>
      </c>
      <c r="AF453" s="157">
        <v>767.16</v>
      </c>
      <c r="AG453" s="125">
        <v>0</v>
      </c>
      <c r="AH453" s="125">
        <v>0</v>
      </c>
      <c r="AI453" s="157">
        <v>0</v>
      </c>
      <c r="AJ453" s="157">
        <v>0</v>
      </c>
      <c r="AK453" s="157">
        <v>0</v>
      </c>
      <c r="AL453" s="125">
        <v>48886.15</v>
      </c>
    </row>
    <row r="454" spans="1:38" s="117" customFormat="1" ht="15" customHeight="1" x14ac:dyDescent="0.2">
      <c r="A454" s="123" t="s">
        <v>503</v>
      </c>
      <c r="B454" s="124" t="s">
        <v>1107</v>
      </c>
      <c r="C454" s="157">
        <v>0</v>
      </c>
      <c r="D454" s="125">
        <v>456.53</v>
      </c>
      <c r="E454" s="157">
        <v>12058.74</v>
      </c>
      <c r="F454" s="125">
        <v>0</v>
      </c>
      <c r="G454" s="157">
        <v>1127.81</v>
      </c>
      <c r="H454" s="157">
        <v>0</v>
      </c>
      <c r="I454" s="157">
        <v>317</v>
      </c>
      <c r="J454" s="125">
        <v>0</v>
      </c>
      <c r="K454" s="125">
        <v>5013.7</v>
      </c>
      <c r="L454" s="125">
        <v>6957</v>
      </c>
      <c r="M454" s="157">
        <v>0</v>
      </c>
      <c r="N454" s="157">
        <v>10000</v>
      </c>
      <c r="O454" s="157">
        <v>0</v>
      </c>
      <c r="P454" s="125">
        <v>0</v>
      </c>
      <c r="Q454" s="157">
        <v>0</v>
      </c>
      <c r="R454" s="157">
        <v>0</v>
      </c>
      <c r="S454" s="157">
        <v>0</v>
      </c>
      <c r="T454" s="125">
        <v>0</v>
      </c>
      <c r="U454" s="125">
        <v>0</v>
      </c>
      <c r="V454" s="125">
        <v>538.64</v>
      </c>
      <c r="W454" s="125">
        <v>0</v>
      </c>
      <c r="X454" s="157">
        <v>0</v>
      </c>
      <c r="Y454" s="125">
        <v>0</v>
      </c>
      <c r="Z454" s="125">
        <v>0</v>
      </c>
      <c r="AA454" s="125">
        <v>0</v>
      </c>
      <c r="AB454" s="125">
        <v>0</v>
      </c>
      <c r="AC454" s="125">
        <v>0</v>
      </c>
      <c r="AD454" s="125">
        <v>0</v>
      </c>
      <c r="AE454" s="157">
        <v>6539.67</v>
      </c>
      <c r="AF454" s="157">
        <v>0</v>
      </c>
      <c r="AG454" s="125">
        <v>0</v>
      </c>
      <c r="AH454" s="125">
        <v>0</v>
      </c>
      <c r="AI454" s="157">
        <v>0</v>
      </c>
      <c r="AJ454" s="157">
        <v>2943</v>
      </c>
      <c r="AK454" s="157">
        <v>0</v>
      </c>
      <c r="AL454" s="125">
        <v>45952.09</v>
      </c>
    </row>
    <row r="455" spans="1:38" s="117" customFormat="1" ht="15" customHeight="1" x14ac:dyDescent="0.2">
      <c r="A455" s="123" t="s">
        <v>416</v>
      </c>
      <c r="B455" s="124" t="s">
        <v>1106</v>
      </c>
      <c r="C455" s="157">
        <v>575.5</v>
      </c>
      <c r="D455" s="125">
        <v>3391.78</v>
      </c>
      <c r="E455" s="157">
        <v>0</v>
      </c>
      <c r="F455" s="125">
        <v>4330</v>
      </c>
      <c r="G455" s="157">
        <v>1</v>
      </c>
      <c r="H455" s="157">
        <v>0</v>
      </c>
      <c r="I455" s="157">
        <v>0</v>
      </c>
      <c r="J455" s="125">
        <v>0</v>
      </c>
      <c r="K455" s="125">
        <v>0</v>
      </c>
      <c r="L455" s="125">
        <v>0</v>
      </c>
      <c r="M455" s="157">
        <v>2880</v>
      </c>
      <c r="N455" s="157">
        <v>0</v>
      </c>
      <c r="O455" s="157">
        <v>2940</v>
      </c>
      <c r="P455" s="125">
        <v>0</v>
      </c>
      <c r="Q455" s="157">
        <v>0</v>
      </c>
      <c r="R455" s="157">
        <v>0</v>
      </c>
      <c r="S455" s="157">
        <v>2940</v>
      </c>
      <c r="T455" s="125">
        <v>0</v>
      </c>
      <c r="U455" s="125">
        <v>0</v>
      </c>
      <c r="V455" s="125">
        <v>0</v>
      </c>
      <c r="W455" s="125">
        <v>2145.13</v>
      </c>
      <c r="X455" s="157">
        <v>3974.09</v>
      </c>
      <c r="Y455" s="125">
        <v>0</v>
      </c>
      <c r="Z455" s="125">
        <v>12138.92</v>
      </c>
      <c r="AA455" s="125">
        <v>6000</v>
      </c>
      <c r="AB455" s="125">
        <v>6625.52</v>
      </c>
      <c r="AC455" s="125">
        <v>1500</v>
      </c>
      <c r="AD455" s="125">
        <v>3285</v>
      </c>
      <c r="AE455" s="157">
        <v>848</v>
      </c>
      <c r="AF455" s="157">
        <v>10208.1</v>
      </c>
      <c r="AG455" s="125">
        <v>214.07</v>
      </c>
      <c r="AH455" s="125">
        <v>0</v>
      </c>
      <c r="AI455" s="157">
        <v>4000</v>
      </c>
      <c r="AJ455" s="157">
        <v>5194.59</v>
      </c>
      <c r="AK455" s="157">
        <v>0</v>
      </c>
      <c r="AL455" s="125">
        <v>73191.7</v>
      </c>
    </row>
    <row r="456" spans="1:38" s="117" customFormat="1" ht="15" customHeight="1" x14ac:dyDescent="0.2">
      <c r="A456" s="123" t="s">
        <v>417</v>
      </c>
      <c r="B456" s="124" t="s">
        <v>1105</v>
      </c>
      <c r="C456" s="157">
        <v>334.6</v>
      </c>
      <c r="D456" s="125">
        <v>13207.86</v>
      </c>
      <c r="E456" s="157">
        <v>0</v>
      </c>
      <c r="F456" s="125">
        <v>0</v>
      </c>
      <c r="G456" s="157">
        <v>1217.3599999999999</v>
      </c>
      <c r="H456" s="157">
        <v>0</v>
      </c>
      <c r="I456" s="157">
        <v>0</v>
      </c>
      <c r="J456" s="125">
        <v>0</v>
      </c>
      <c r="K456" s="125">
        <v>3297.29</v>
      </c>
      <c r="L456" s="125">
        <v>692.82</v>
      </c>
      <c r="M456" s="157">
        <v>1108.6600000000001</v>
      </c>
      <c r="N456" s="157">
        <v>3150</v>
      </c>
      <c r="O456" s="157">
        <v>3944.34</v>
      </c>
      <c r="P456" s="125">
        <v>212.68</v>
      </c>
      <c r="Q456" s="157">
        <v>549.5</v>
      </c>
      <c r="R456" s="157">
        <v>3847.8</v>
      </c>
      <c r="S456" s="157">
        <v>0</v>
      </c>
      <c r="T456" s="125">
        <v>3725.54</v>
      </c>
      <c r="U456" s="125">
        <v>4408.75</v>
      </c>
      <c r="V456" s="125">
        <v>1911.39</v>
      </c>
      <c r="W456" s="125">
        <v>440</v>
      </c>
      <c r="X456" s="157">
        <v>1302.74</v>
      </c>
      <c r="Y456" s="125">
        <v>-2704.7</v>
      </c>
      <c r="Z456" s="125">
        <v>0</v>
      </c>
      <c r="AA456" s="125">
        <v>1182.81</v>
      </c>
      <c r="AB456" s="125">
        <v>221.35</v>
      </c>
      <c r="AC456" s="125">
        <v>1846.2</v>
      </c>
      <c r="AD456" s="125">
        <v>0</v>
      </c>
      <c r="AE456" s="157">
        <v>0</v>
      </c>
      <c r="AF456" s="157">
        <v>0</v>
      </c>
      <c r="AG456" s="125">
        <v>0</v>
      </c>
      <c r="AH456" s="125">
        <v>0</v>
      </c>
      <c r="AI456" s="157">
        <v>3473.98</v>
      </c>
      <c r="AJ456" s="157">
        <v>1318.4</v>
      </c>
      <c r="AK456" s="157">
        <v>1600</v>
      </c>
      <c r="AL456" s="125">
        <v>50289.37</v>
      </c>
    </row>
    <row r="457" spans="1:38" s="117" customFormat="1" ht="15" customHeight="1" x14ac:dyDescent="0.2">
      <c r="A457" s="123" t="s">
        <v>1104</v>
      </c>
      <c r="B457" s="124" t="s">
        <v>1103</v>
      </c>
      <c r="C457" s="157">
        <v>0</v>
      </c>
      <c r="D457" s="125">
        <v>0</v>
      </c>
      <c r="E457" s="157">
        <v>0</v>
      </c>
      <c r="F457" s="125">
        <v>0</v>
      </c>
      <c r="G457" s="157">
        <v>0</v>
      </c>
      <c r="H457" s="157">
        <v>0</v>
      </c>
      <c r="I457" s="157">
        <v>0</v>
      </c>
      <c r="J457" s="125">
        <v>0</v>
      </c>
      <c r="K457" s="125">
        <v>0</v>
      </c>
      <c r="L457" s="125">
        <v>0</v>
      </c>
      <c r="M457" s="157">
        <v>0</v>
      </c>
      <c r="N457" s="157">
        <v>0</v>
      </c>
      <c r="O457" s="157">
        <v>0</v>
      </c>
      <c r="P457" s="125">
        <v>0</v>
      </c>
      <c r="Q457" s="157">
        <v>0</v>
      </c>
      <c r="R457" s="157">
        <v>0</v>
      </c>
      <c r="S457" s="157">
        <v>0</v>
      </c>
      <c r="T457" s="125">
        <v>0</v>
      </c>
      <c r="U457" s="125">
        <v>0</v>
      </c>
      <c r="V457" s="125">
        <v>0</v>
      </c>
      <c r="W457" s="125">
        <v>0</v>
      </c>
      <c r="X457" s="157">
        <v>0</v>
      </c>
      <c r="Y457" s="125">
        <v>3730</v>
      </c>
      <c r="Z457" s="125">
        <v>0</v>
      </c>
      <c r="AA457" s="125">
        <v>0</v>
      </c>
      <c r="AB457" s="125">
        <v>0</v>
      </c>
      <c r="AC457" s="125">
        <v>1200</v>
      </c>
      <c r="AD457" s="125">
        <v>1465</v>
      </c>
      <c r="AE457" s="157">
        <v>0</v>
      </c>
      <c r="AF457" s="157">
        <v>0</v>
      </c>
      <c r="AG457" s="125">
        <v>0</v>
      </c>
      <c r="AH457" s="125">
        <v>0</v>
      </c>
      <c r="AI457" s="157">
        <v>465</v>
      </c>
      <c r="AJ457" s="157">
        <v>0</v>
      </c>
      <c r="AK457" s="157">
        <v>0</v>
      </c>
      <c r="AL457" s="125">
        <v>6860</v>
      </c>
    </row>
    <row r="458" spans="1:38" s="117" customFormat="1" ht="15" customHeight="1" x14ac:dyDescent="0.2">
      <c r="A458" s="123" t="s">
        <v>1102</v>
      </c>
      <c r="B458" s="124" t="s">
        <v>1101</v>
      </c>
      <c r="C458" s="157">
        <v>0</v>
      </c>
      <c r="D458" s="125">
        <v>0</v>
      </c>
      <c r="E458" s="157">
        <v>0</v>
      </c>
      <c r="F458" s="125">
        <v>0</v>
      </c>
      <c r="G458" s="157">
        <v>0</v>
      </c>
      <c r="H458" s="157">
        <v>0</v>
      </c>
      <c r="I458" s="157">
        <v>0</v>
      </c>
      <c r="J458" s="125">
        <v>0</v>
      </c>
      <c r="K458" s="125">
        <v>0</v>
      </c>
      <c r="L458" s="125">
        <v>0</v>
      </c>
      <c r="M458" s="157">
        <v>0</v>
      </c>
      <c r="N458" s="157">
        <v>0</v>
      </c>
      <c r="O458" s="157">
        <v>550</v>
      </c>
      <c r="P458" s="125">
        <v>0</v>
      </c>
      <c r="Q458" s="157">
        <v>0</v>
      </c>
      <c r="R458" s="157">
        <v>245</v>
      </c>
      <c r="S458" s="157">
        <v>0</v>
      </c>
      <c r="T458" s="125">
        <v>1325</v>
      </c>
      <c r="U458" s="125">
        <v>0</v>
      </c>
      <c r="V458" s="125">
        <v>0</v>
      </c>
      <c r="W458" s="125">
        <v>104.18</v>
      </c>
      <c r="X458" s="157">
        <v>0</v>
      </c>
      <c r="Y458" s="125">
        <v>0</v>
      </c>
      <c r="Z458" s="125">
        <v>0</v>
      </c>
      <c r="AA458" s="125">
        <v>2830</v>
      </c>
      <c r="AB458" s="125">
        <v>0</v>
      </c>
      <c r="AC458" s="125">
        <v>0</v>
      </c>
      <c r="AD458" s="125">
        <v>0</v>
      </c>
      <c r="AE458" s="157">
        <v>0</v>
      </c>
      <c r="AF458" s="157">
        <v>0</v>
      </c>
      <c r="AG458" s="125">
        <v>0</v>
      </c>
      <c r="AH458" s="125">
        <v>0</v>
      </c>
      <c r="AI458" s="157">
        <v>0</v>
      </c>
      <c r="AJ458" s="157">
        <v>0</v>
      </c>
      <c r="AK458" s="157">
        <v>0</v>
      </c>
      <c r="AL458" s="125">
        <v>5054.18</v>
      </c>
    </row>
    <row r="459" spans="1:38" s="117" customFormat="1" ht="15" customHeight="1" x14ac:dyDescent="0.2">
      <c r="A459" s="123" t="s">
        <v>593</v>
      </c>
      <c r="B459" s="124" t="s">
        <v>1100</v>
      </c>
      <c r="C459" s="157">
        <v>0</v>
      </c>
      <c r="D459" s="125">
        <v>0</v>
      </c>
      <c r="E459" s="157">
        <v>0</v>
      </c>
      <c r="F459" s="125">
        <v>0</v>
      </c>
      <c r="G459" s="157">
        <v>0</v>
      </c>
      <c r="H459" s="157">
        <v>203.84</v>
      </c>
      <c r="I459" s="157">
        <v>0</v>
      </c>
      <c r="J459" s="125">
        <v>0</v>
      </c>
      <c r="K459" s="125">
        <v>0</v>
      </c>
      <c r="L459" s="125">
        <v>0</v>
      </c>
      <c r="M459" s="157">
        <v>0</v>
      </c>
      <c r="N459" s="157">
        <v>0</v>
      </c>
      <c r="O459" s="157">
        <v>0</v>
      </c>
      <c r="P459" s="125">
        <v>0</v>
      </c>
      <c r="Q459" s="157">
        <v>0</v>
      </c>
      <c r="R459" s="157">
        <v>0</v>
      </c>
      <c r="S459" s="157">
        <v>0</v>
      </c>
      <c r="T459" s="125">
        <v>0</v>
      </c>
      <c r="U459" s="125">
        <v>0</v>
      </c>
      <c r="V459" s="125">
        <v>0</v>
      </c>
      <c r="W459" s="125">
        <v>0</v>
      </c>
      <c r="X459" s="157">
        <v>0</v>
      </c>
      <c r="Y459" s="125">
        <v>0</v>
      </c>
      <c r="Z459" s="125">
        <v>0</v>
      </c>
      <c r="AA459" s="125">
        <v>0</v>
      </c>
      <c r="AB459" s="125">
        <v>0</v>
      </c>
      <c r="AC459" s="125">
        <v>2800</v>
      </c>
      <c r="AD459" s="125">
        <v>0</v>
      </c>
      <c r="AE459" s="157">
        <v>0</v>
      </c>
      <c r="AF459" s="157">
        <v>0</v>
      </c>
      <c r="AG459" s="125">
        <v>0</v>
      </c>
      <c r="AH459" s="125">
        <v>0</v>
      </c>
      <c r="AI459" s="157">
        <v>0</v>
      </c>
      <c r="AJ459" s="157">
        <v>0</v>
      </c>
      <c r="AK459" s="157">
        <v>0</v>
      </c>
      <c r="AL459" s="125">
        <v>3003.84</v>
      </c>
    </row>
    <row r="460" spans="1:38" s="117" customFormat="1" ht="15" customHeight="1" x14ac:dyDescent="0.2">
      <c r="A460" s="123" t="s">
        <v>418</v>
      </c>
      <c r="B460" s="124" t="s">
        <v>1099</v>
      </c>
      <c r="C460" s="157">
        <v>0</v>
      </c>
      <c r="D460" s="125">
        <v>3732</v>
      </c>
      <c r="E460" s="157">
        <v>0.04</v>
      </c>
      <c r="F460" s="125">
        <v>0</v>
      </c>
      <c r="G460" s="157">
        <v>10644.79</v>
      </c>
      <c r="H460" s="157">
        <v>0</v>
      </c>
      <c r="I460" s="157">
        <v>0</v>
      </c>
      <c r="J460" s="125">
        <v>797.24</v>
      </c>
      <c r="K460" s="125">
        <v>2086</v>
      </c>
      <c r="L460" s="125">
        <v>0</v>
      </c>
      <c r="M460" s="157">
        <v>100</v>
      </c>
      <c r="N460" s="157">
        <v>1915</v>
      </c>
      <c r="O460" s="157">
        <v>5286.02</v>
      </c>
      <c r="P460" s="125">
        <v>1676.08</v>
      </c>
      <c r="Q460" s="157">
        <v>2304.5100000000002</v>
      </c>
      <c r="R460" s="157">
        <v>8694.5400000000009</v>
      </c>
      <c r="S460" s="157">
        <v>771.18</v>
      </c>
      <c r="T460" s="125">
        <v>0</v>
      </c>
      <c r="U460" s="125">
        <v>3733</v>
      </c>
      <c r="V460" s="125">
        <v>873.35</v>
      </c>
      <c r="W460" s="125">
        <v>0</v>
      </c>
      <c r="X460" s="157">
        <v>185.62</v>
      </c>
      <c r="Y460" s="125">
        <v>1712.81</v>
      </c>
      <c r="Z460" s="125">
        <v>428.75</v>
      </c>
      <c r="AA460" s="125">
        <v>0</v>
      </c>
      <c r="AB460" s="125">
        <v>2054.38</v>
      </c>
      <c r="AC460" s="125">
        <v>2817.24</v>
      </c>
      <c r="AD460" s="125">
        <v>49.29</v>
      </c>
      <c r="AE460" s="157">
        <v>0</v>
      </c>
      <c r="AF460" s="157">
        <v>681.49</v>
      </c>
      <c r="AG460" s="125">
        <v>0</v>
      </c>
      <c r="AH460" s="125">
        <v>260.06</v>
      </c>
      <c r="AI460" s="157">
        <v>0</v>
      </c>
      <c r="AJ460" s="157">
        <v>748.38</v>
      </c>
      <c r="AK460" s="157">
        <v>498.3</v>
      </c>
      <c r="AL460" s="125">
        <v>52050.07</v>
      </c>
    </row>
    <row r="461" spans="1:38" s="117" customFormat="1" ht="15" customHeight="1" x14ac:dyDescent="0.2">
      <c r="A461" s="123" t="s">
        <v>697</v>
      </c>
      <c r="B461" s="124" t="s">
        <v>1098</v>
      </c>
      <c r="C461" s="157">
        <v>370.5</v>
      </c>
      <c r="D461" s="125">
        <v>0</v>
      </c>
      <c r="E461" s="157">
        <v>452.77</v>
      </c>
      <c r="F461" s="125">
        <v>0</v>
      </c>
      <c r="G461" s="157">
        <v>0</v>
      </c>
      <c r="H461" s="157">
        <v>0</v>
      </c>
      <c r="I461" s="157">
        <v>0</v>
      </c>
      <c r="J461" s="125">
        <v>0</v>
      </c>
      <c r="K461" s="125">
        <v>0</v>
      </c>
      <c r="L461" s="125">
        <v>0</v>
      </c>
      <c r="M461" s="157">
        <v>0</v>
      </c>
      <c r="N461" s="157">
        <v>0</v>
      </c>
      <c r="O461" s="157">
        <v>0</v>
      </c>
      <c r="P461" s="125">
        <v>215</v>
      </c>
      <c r="Q461" s="157">
        <v>0</v>
      </c>
      <c r="R461" s="157">
        <v>0</v>
      </c>
      <c r="S461" s="157">
        <v>0</v>
      </c>
      <c r="T461" s="125">
        <v>0</v>
      </c>
      <c r="U461" s="125">
        <v>0</v>
      </c>
      <c r="V461" s="125">
        <v>0</v>
      </c>
      <c r="W461" s="125">
        <v>0</v>
      </c>
      <c r="X461" s="157">
        <v>0</v>
      </c>
      <c r="Y461" s="125">
        <v>0</v>
      </c>
      <c r="Z461" s="125">
        <v>0</v>
      </c>
      <c r="AA461" s="125">
        <v>0</v>
      </c>
      <c r="AB461" s="125">
        <v>0</v>
      </c>
      <c r="AC461" s="125">
        <v>155.82</v>
      </c>
      <c r="AD461" s="125">
        <v>0</v>
      </c>
      <c r="AE461" s="157">
        <v>0</v>
      </c>
      <c r="AF461" s="157">
        <v>0</v>
      </c>
      <c r="AG461" s="125">
        <v>0</v>
      </c>
      <c r="AH461" s="125">
        <v>0</v>
      </c>
      <c r="AI461" s="157">
        <v>0</v>
      </c>
      <c r="AJ461" s="157">
        <v>0</v>
      </c>
      <c r="AK461" s="157">
        <v>0</v>
      </c>
      <c r="AL461" s="125">
        <v>1194.0899999999999</v>
      </c>
    </row>
    <row r="462" spans="1:38" s="117" customFormat="1" ht="15" customHeight="1" x14ac:dyDescent="0.2">
      <c r="A462" s="123" t="s">
        <v>1097</v>
      </c>
      <c r="B462" s="124" t="s">
        <v>1096</v>
      </c>
      <c r="C462" s="157">
        <v>0</v>
      </c>
      <c r="D462" s="125">
        <v>0</v>
      </c>
      <c r="E462" s="157">
        <v>0</v>
      </c>
      <c r="F462" s="125">
        <v>0</v>
      </c>
      <c r="G462" s="157">
        <v>0</v>
      </c>
      <c r="H462" s="157">
        <v>0</v>
      </c>
      <c r="I462" s="157">
        <v>0</v>
      </c>
      <c r="J462" s="125">
        <v>0</v>
      </c>
      <c r="K462" s="125">
        <v>0</v>
      </c>
      <c r="L462" s="125">
        <v>0</v>
      </c>
      <c r="M462" s="157">
        <v>2350</v>
      </c>
      <c r="N462" s="157">
        <v>0</v>
      </c>
      <c r="O462" s="157">
        <v>0</v>
      </c>
      <c r="P462" s="125">
        <v>0</v>
      </c>
      <c r="Q462" s="157">
        <v>26400</v>
      </c>
      <c r="R462" s="157">
        <v>0</v>
      </c>
      <c r="S462" s="157">
        <v>0</v>
      </c>
      <c r="T462" s="125">
        <v>0</v>
      </c>
      <c r="U462" s="125">
        <v>0</v>
      </c>
      <c r="V462" s="125">
        <v>0</v>
      </c>
      <c r="W462" s="125">
        <v>0</v>
      </c>
      <c r="X462" s="157">
        <v>0</v>
      </c>
      <c r="Y462" s="125">
        <v>0</v>
      </c>
      <c r="Z462" s="125">
        <v>0</v>
      </c>
      <c r="AA462" s="125">
        <v>0</v>
      </c>
      <c r="AB462" s="125">
        <v>0</v>
      </c>
      <c r="AC462" s="125">
        <v>7145</v>
      </c>
      <c r="AD462" s="125">
        <v>0</v>
      </c>
      <c r="AE462" s="157">
        <v>0</v>
      </c>
      <c r="AF462" s="157">
        <v>0</v>
      </c>
      <c r="AG462" s="125">
        <v>0</v>
      </c>
      <c r="AH462" s="125">
        <v>0</v>
      </c>
      <c r="AI462" s="157">
        <v>0</v>
      </c>
      <c r="AJ462" s="157">
        <v>0</v>
      </c>
      <c r="AK462" s="157">
        <v>0</v>
      </c>
      <c r="AL462" s="125">
        <v>35895</v>
      </c>
    </row>
    <row r="463" spans="1:38" s="117" customFormat="1" ht="15" customHeight="1" x14ac:dyDescent="0.2">
      <c r="A463" s="123" t="s">
        <v>1095</v>
      </c>
      <c r="B463" s="124" t="s">
        <v>1094</v>
      </c>
      <c r="C463" s="157">
        <v>0</v>
      </c>
      <c r="D463" s="125">
        <v>0</v>
      </c>
      <c r="E463" s="157">
        <v>0</v>
      </c>
      <c r="F463" s="125">
        <v>0</v>
      </c>
      <c r="G463" s="157">
        <v>0</v>
      </c>
      <c r="H463" s="157">
        <v>0</v>
      </c>
      <c r="I463" s="157">
        <v>0</v>
      </c>
      <c r="J463" s="125">
        <v>0</v>
      </c>
      <c r="K463" s="125">
        <v>0</v>
      </c>
      <c r="L463" s="125">
        <v>0</v>
      </c>
      <c r="M463" s="157">
        <v>0</v>
      </c>
      <c r="N463" s="157">
        <v>414.6</v>
      </c>
      <c r="O463" s="157">
        <v>0</v>
      </c>
      <c r="P463" s="125">
        <v>0</v>
      </c>
      <c r="Q463" s="157">
        <v>0</v>
      </c>
      <c r="R463" s="157">
        <v>0</v>
      </c>
      <c r="S463" s="157">
        <v>34.96</v>
      </c>
      <c r="T463" s="125">
        <v>0</v>
      </c>
      <c r="U463" s="125">
        <v>0</v>
      </c>
      <c r="V463" s="125">
        <v>410</v>
      </c>
      <c r="W463" s="125">
        <v>0</v>
      </c>
      <c r="X463" s="157">
        <v>1275</v>
      </c>
      <c r="Y463" s="125">
        <v>69.44</v>
      </c>
      <c r="Z463" s="125">
        <v>0</v>
      </c>
      <c r="AA463" s="125">
        <v>0</v>
      </c>
      <c r="AB463" s="125">
        <v>0</v>
      </c>
      <c r="AC463" s="125">
        <v>3731.57</v>
      </c>
      <c r="AD463" s="125">
        <v>0</v>
      </c>
      <c r="AE463" s="157">
        <v>0</v>
      </c>
      <c r="AF463" s="157">
        <v>0</v>
      </c>
      <c r="AG463" s="125">
        <v>-298</v>
      </c>
      <c r="AH463" s="125">
        <v>0</v>
      </c>
      <c r="AI463" s="157">
        <v>1430</v>
      </c>
      <c r="AJ463" s="157">
        <v>0</v>
      </c>
      <c r="AK463" s="157">
        <v>0</v>
      </c>
      <c r="AL463" s="125">
        <v>7067.57</v>
      </c>
    </row>
    <row r="464" spans="1:38" s="117" customFormat="1" ht="15" customHeight="1" x14ac:dyDescent="0.2">
      <c r="A464" s="123" t="s">
        <v>1093</v>
      </c>
      <c r="B464" s="124" t="s">
        <v>1092</v>
      </c>
      <c r="C464" s="157">
        <v>1380</v>
      </c>
      <c r="D464" s="125">
        <v>0</v>
      </c>
      <c r="E464" s="157">
        <v>0</v>
      </c>
      <c r="F464" s="125">
        <v>0</v>
      </c>
      <c r="G464" s="157">
        <v>0</v>
      </c>
      <c r="H464" s="157">
        <v>1100</v>
      </c>
      <c r="I464" s="157">
        <v>0</v>
      </c>
      <c r="J464" s="125">
        <v>0</v>
      </c>
      <c r="K464" s="125">
        <v>0</v>
      </c>
      <c r="L464" s="125">
        <v>0</v>
      </c>
      <c r="M464" s="157">
        <v>0</v>
      </c>
      <c r="N464" s="157">
        <v>0</v>
      </c>
      <c r="O464" s="157">
        <v>0</v>
      </c>
      <c r="P464" s="125">
        <v>0</v>
      </c>
      <c r="Q464" s="157">
        <v>0</v>
      </c>
      <c r="R464" s="157">
        <v>0</v>
      </c>
      <c r="S464" s="157">
        <v>0</v>
      </c>
      <c r="T464" s="125">
        <v>0</v>
      </c>
      <c r="U464" s="125">
        <v>0</v>
      </c>
      <c r="V464" s="125">
        <v>0</v>
      </c>
      <c r="W464" s="125">
        <v>0</v>
      </c>
      <c r="X464" s="157">
        <v>0</v>
      </c>
      <c r="Y464" s="125">
        <v>0</v>
      </c>
      <c r="Z464" s="125">
        <v>0</v>
      </c>
      <c r="AA464" s="125">
        <v>0</v>
      </c>
      <c r="AB464" s="125">
        <v>0</v>
      </c>
      <c r="AC464" s="125">
        <v>0</v>
      </c>
      <c r="AD464" s="125">
        <v>0</v>
      </c>
      <c r="AE464" s="157">
        <v>0</v>
      </c>
      <c r="AF464" s="157">
        <v>0</v>
      </c>
      <c r="AG464" s="125">
        <v>2995</v>
      </c>
      <c r="AH464" s="125">
        <v>0</v>
      </c>
      <c r="AI464" s="157">
        <v>0</v>
      </c>
      <c r="AJ464" s="157">
        <v>0</v>
      </c>
      <c r="AK464" s="157">
        <v>0</v>
      </c>
      <c r="AL464" s="125">
        <v>5475</v>
      </c>
    </row>
    <row r="465" spans="1:38" s="117" customFormat="1" ht="15" customHeight="1" x14ac:dyDescent="0.2">
      <c r="A465" s="123" t="s">
        <v>419</v>
      </c>
      <c r="B465" s="124" t="s">
        <v>1091</v>
      </c>
      <c r="C465" s="157">
        <v>6638.86</v>
      </c>
      <c r="D465" s="125">
        <v>0</v>
      </c>
      <c r="E465" s="157">
        <v>0</v>
      </c>
      <c r="F465" s="125">
        <v>7538.15</v>
      </c>
      <c r="G465" s="157">
        <v>-402.68</v>
      </c>
      <c r="H465" s="157">
        <v>14811.98</v>
      </c>
      <c r="I465" s="157">
        <v>5502.19</v>
      </c>
      <c r="J465" s="125">
        <v>0</v>
      </c>
      <c r="K465" s="125">
        <v>1485</v>
      </c>
      <c r="L465" s="125">
        <v>0</v>
      </c>
      <c r="M465" s="157">
        <v>400.48</v>
      </c>
      <c r="N465" s="157">
        <v>835</v>
      </c>
      <c r="O465" s="157">
        <v>0</v>
      </c>
      <c r="P465" s="125">
        <v>0</v>
      </c>
      <c r="Q465" s="157">
        <v>594</v>
      </c>
      <c r="R465" s="157">
        <v>0</v>
      </c>
      <c r="S465" s="157">
        <v>0</v>
      </c>
      <c r="T465" s="125">
        <v>0</v>
      </c>
      <c r="U465" s="125">
        <v>0</v>
      </c>
      <c r="V465" s="125">
        <v>539.20000000000005</v>
      </c>
      <c r="W465" s="125">
        <v>910.88</v>
      </c>
      <c r="X465" s="157">
        <v>1883.58</v>
      </c>
      <c r="Y465" s="125">
        <v>0</v>
      </c>
      <c r="Z465" s="125">
        <v>0</v>
      </c>
      <c r="AA465" s="125">
        <v>0</v>
      </c>
      <c r="AB465" s="125">
        <v>0</v>
      </c>
      <c r="AC465" s="125">
        <v>0</v>
      </c>
      <c r="AD465" s="125">
        <v>0</v>
      </c>
      <c r="AE465" s="157">
        <v>4297.5</v>
      </c>
      <c r="AF465" s="157">
        <v>0</v>
      </c>
      <c r="AG465" s="125">
        <v>4641.83</v>
      </c>
      <c r="AH465" s="125">
        <v>0</v>
      </c>
      <c r="AI465" s="157">
        <v>0</v>
      </c>
      <c r="AJ465" s="157">
        <v>7308.98</v>
      </c>
      <c r="AK465" s="157">
        <v>0</v>
      </c>
      <c r="AL465" s="125">
        <v>56984.95</v>
      </c>
    </row>
    <row r="466" spans="1:38" s="117" customFormat="1" ht="15" customHeight="1" x14ac:dyDescent="0.2">
      <c r="A466" s="123" t="s">
        <v>504</v>
      </c>
      <c r="B466" s="124" t="s">
        <v>1090</v>
      </c>
      <c r="C466" s="157">
        <v>3017.09</v>
      </c>
      <c r="D466" s="125">
        <v>0</v>
      </c>
      <c r="E466" s="157">
        <v>0</v>
      </c>
      <c r="F466" s="125">
        <v>0</v>
      </c>
      <c r="G466" s="157">
        <v>623.37</v>
      </c>
      <c r="H466" s="157">
        <v>0</v>
      </c>
      <c r="I466" s="157">
        <v>5250.28</v>
      </c>
      <c r="J466" s="125">
        <v>1870.21</v>
      </c>
      <c r="K466" s="125">
        <v>603.1</v>
      </c>
      <c r="L466" s="125">
        <v>0</v>
      </c>
      <c r="M466" s="157">
        <v>3693.71</v>
      </c>
      <c r="N466" s="157">
        <v>741.55</v>
      </c>
      <c r="O466" s="157">
        <v>1606.15</v>
      </c>
      <c r="P466" s="125">
        <v>0</v>
      </c>
      <c r="Q466" s="157">
        <v>0</v>
      </c>
      <c r="R466" s="157">
        <v>0</v>
      </c>
      <c r="S466" s="157">
        <v>1280.3900000000001</v>
      </c>
      <c r="T466" s="125">
        <v>0</v>
      </c>
      <c r="U466" s="125">
        <v>0</v>
      </c>
      <c r="V466" s="125">
        <v>0</v>
      </c>
      <c r="W466" s="125">
        <v>826.05</v>
      </c>
      <c r="X466" s="157">
        <v>345.2</v>
      </c>
      <c r="Y466" s="125">
        <v>0</v>
      </c>
      <c r="Z466" s="125">
        <v>1975</v>
      </c>
      <c r="AA466" s="125">
        <v>3469.05</v>
      </c>
      <c r="AB466" s="125">
        <v>2496.9499999999998</v>
      </c>
      <c r="AC466" s="125">
        <v>0</v>
      </c>
      <c r="AD466" s="125">
        <v>0</v>
      </c>
      <c r="AE466" s="157">
        <v>366.13</v>
      </c>
      <c r="AF466" s="157">
        <v>0</v>
      </c>
      <c r="AG466" s="125">
        <v>0</v>
      </c>
      <c r="AH466" s="125">
        <v>0</v>
      </c>
      <c r="AI466" s="157">
        <v>0</v>
      </c>
      <c r="AJ466" s="157">
        <v>0</v>
      </c>
      <c r="AK466" s="157">
        <v>249.08</v>
      </c>
      <c r="AL466" s="125">
        <v>28413.31</v>
      </c>
    </row>
    <row r="467" spans="1:38" s="117" customFormat="1" ht="15" customHeight="1" x14ac:dyDescent="0.2">
      <c r="A467" s="123" t="s">
        <v>557</v>
      </c>
      <c r="B467" s="124" t="s">
        <v>1089</v>
      </c>
      <c r="C467" s="157">
        <v>0</v>
      </c>
      <c r="D467" s="125">
        <v>6272.21</v>
      </c>
      <c r="E467" s="157">
        <v>0</v>
      </c>
      <c r="F467" s="125">
        <v>0</v>
      </c>
      <c r="G467" s="157">
        <v>0</v>
      </c>
      <c r="H467" s="157">
        <v>3021.87</v>
      </c>
      <c r="I467" s="157">
        <v>6858.89</v>
      </c>
      <c r="J467" s="125">
        <v>0</v>
      </c>
      <c r="K467" s="125">
        <v>0</v>
      </c>
      <c r="L467" s="125">
        <v>0</v>
      </c>
      <c r="M467" s="157">
        <v>0</v>
      </c>
      <c r="N467" s="157">
        <v>1316</v>
      </c>
      <c r="O467" s="157">
        <v>0</v>
      </c>
      <c r="P467" s="125">
        <v>0</v>
      </c>
      <c r="Q467" s="157">
        <v>0</v>
      </c>
      <c r="R467" s="157">
        <v>0</v>
      </c>
      <c r="S467" s="157">
        <v>800</v>
      </c>
      <c r="T467" s="125">
        <v>0</v>
      </c>
      <c r="U467" s="125">
        <v>0</v>
      </c>
      <c r="V467" s="125">
        <v>0</v>
      </c>
      <c r="W467" s="125">
        <v>880</v>
      </c>
      <c r="X467" s="157">
        <v>0</v>
      </c>
      <c r="Y467" s="125">
        <v>17642.79</v>
      </c>
      <c r="Z467" s="125">
        <v>13010</v>
      </c>
      <c r="AA467" s="125">
        <v>0</v>
      </c>
      <c r="AB467" s="125">
        <v>5929</v>
      </c>
      <c r="AC467" s="125">
        <v>8092</v>
      </c>
      <c r="AD467" s="125">
        <v>0</v>
      </c>
      <c r="AE467" s="157">
        <v>5200</v>
      </c>
      <c r="AF467" s="157">
        <v>6112</v>
      </c>
      <c r="AG467" s="125">
        <v>-509.12</v>
      </c>
      <c r="AH467" s="125">
        <v>0</v>
      </c>
      <c r="AI467" s="157">
        <v>0</v>
      </c>
      <c r="AJ467" s="157">
        <v>0</v>
      </c>
      <c r="AK467" s="157">
        <v>2683</v>
      </c>
      <c r="AL467" s="125">
        <v>77308.639999999999</v>
      </c>
    </row>
    <row r="468" spans="1:38" s="117" customFormat="1" ht="15" customHeight="1" x14ac:dyDescent="0.2">
      <c r="A468" s="123" t="s">
        <v>420</v>
      </c>
      <c r="B468" s="124" t="s">
        <v>1088</v>
      </c>
      <c r="C468" s="157">
        <v>0</v>
      </c>
      <c r="D468" s="125">
        <v>0</v>
      </c>
      <c r="E468" s="157">
        <v>339.59</v>
      </c>
      <c r="F468" s="125">
        <v>0</v>
      </c>
      <c r="G468" s="157">
        <v>1609.52</v>
      </c>
      <c r="H468" s="157">
        <v>0</v>
      </c>
      <c r="I468" s="157">
        <v>0</v>
      </c>
      <c r="J468" s="125">
        <v>0</v>
      </c>
      <c r="K468" s="125">
        <v>506.72</v>
      </c>
      <c r="L468" s="125">
        <v>0</v>
      </c>
      <c r="M468" s="157">
        <v>1496.38</v>
      </c>
      <c r="N468" s="157">
        <v>0</v>
      </c>
      <c r="O468" s="157">
        <v>0</v>
      </c>
      <c r="P468" s="125">
        <v>2835</v>
      </c>
      <c r="Q468" s="157">
        <v>0</v>
      </c>
      <c r="R468" s="157">
        <v>28.04</v>
      </c>
      <c r="S468" s="157">
        <v>476.63</v>
      </c>
      <c r="T468" s="125">
        <v>0</v>
      </c>
      <c r="U468" s="125">
        <v>0</v>
      </c>
      <c r="V468" s="125">
        <v>0</v>
      </c>
      <c r="W468" s="125">
        <v>1330.71</v>
      </c>
      <c r="X468" s="157">
        <v>2068.5300000000002</v>
      </c>
      <c r="Y468" s="125">
        <v>6793.86</v>
      </c>
      <c r="Z468" s="125">
        <v>0</v>
      </c>
      <c r="AA468" s="125">
        <v>0</v>
      </c>
      <c r="AB468" s="125">
        <v>0</v>
      </c>
      <c r="AC468" s="125">
        <v>0</v>
      </c>
      <c r="AD468" s="125">
        <v>2294.5300000000002</v>
      </c>
      <c r="AE468" s="157">
        <v>0</v>
      </c>
      <c r="AF468" s="157">
        <v>80.5</v>
      </c>
      <c r="AG468" s="125">
        <v>5336</v>
      </c>
      <c r="AH468" s="125">
        <v>0</v>
      </c>
      <c r="AI468" s="157">
        <v>0</v>
      </c>
      <c r="AJ468" s="157">
        <v>0</v>
      </c>
      <c r="AK468" s="157">
        <v>0</v>
      </c>
      <c r="AL468" s="125">
        <v>25196.01</v>
      </c>
    </row>
    <row r="469" spans="1:38" s="117" customFormat="1" ht="15" customHeight="1" x14ac:dyDescent="0.2">
      <c r="A469" s="123" t="s">
        <v>1087</v>
      </c>
      <c r="B469" s="124" t="s">
        <v>1086</v>
      </c>
      <c r="C469" s="157">
        <v>2860</v>
      </c>
      <c r="D469" s="125">
        <v>0</v>
      </c>
      <c r="E469" s="157">
        <v>10685</v>
      </c>
      <c r="F469" s="125">
        <v>0</v>
      </c>
      <c r="G469" s="157">
        <v>0</v>
      </c>
      <c r="H469" s="157">
        <v>0</v>
      </c>
      <c r="I469" s="157">
        <v>0</v>
      </c>
      <c r="J469" s="125">
        <v>0</v>
      </c>
      <c r="K469" s="125">
        <v>2680</v>
      </c>
      <c r="L469" s="125">
        <v>0</v>
      </c>
      <c r="M469" s="157">
        <v>0</v>
      </c>
      <c r="N469" s="157">
        <v>1233</v>
      </c>
      <c r="O469" s="157">
        <v>0</v>
      </c>
      <c r="P469" s="125">
        <v>0</v>
      </c>
      <c r="Q469" s="157">
        <v>0</v>
      </c>
      <c r="R469" s="157">
        <v>0</v>
      </c>
      <c r="S469" s="157">
        <v>0</v>
      </c>
      <c r="T469" s="125">
        <v>3855</v>
      </c>
      <c r="U469" s="125">
        <v>0</v>
      </c>
      <c r="V469" s="125">
        <v>0</v>
      </c>
      <c r="W469" s="125">
        <v>0</v>
      </c>
      <c r="X469" s="157">
        <v>1473</v>
      </c>
      <c r="Y469" s="125">
        <v>1471</v>
      </c>
      <c r="Z469" s="125">
        <v>575</v>
      </c>
      <c r="AA469" s="125">
        <v>4115</v>
      </c>
      <c r="AB469" s="125">
        <v>0</v>
      </c>
      <c r="AC469" s="125">
        <v>1300</v>
      </c>
      <c r="AD469" s="125">
        <v>0</v>
      </c>
      <c r="AE469" s="157">
        <v>0</v>
      </c>
      <c r="AF469" s="157">
        <v>0</v>
      </c>
      <c r="AG469" s="125">
        <v>0</v>
      </c>
      <c r="AH469" s="125">
        <v>0</v>
      </c>
      <c r="AI469" s="157">
        <v>0</v>
      </c>
      <c r="AJ469" s="157">
        <v>0</v>
      </c>
      <c r="AK469" s="157">
        <v>0</v>
      </c>
      <c r="AL469" s="125">
        <v>30247</v>
      </c>
    </row>
    <row r="470" spans="1:38" s="117" customFormat="1" ht="15" customHeight="1" x14ac:dyDescent="0.2">
      <c r="A470" s="123" t="s">
        <v>1085</v>
      </c>
      <c r="B470" s="124" t="s">
        <v>1084</v>
      </c>
      <c r="C470" s="157">
        <v>0</v>
      </c>
      <c r="D470" s="125">
        <v>0</v>
      </c>
      <c r="E470" s="157">
        <v>7732.56</v>
      </c>
      <c r="F470" s="125">
        <v>0</v>
      </c>
      <c r="G470" s="157">
        <v>274.54000000000002</v>
      </c>
      <c r="H470" s="157">
        <v>2147</v>
      </c>
      <c r="I470" s="157">
        <v>0</v>
      </c>
      <c r="J470" s="125">
        <v>0</v>
      </c>
      <c r="K470" s="125">
        <v>0</v>
      </c>
      <c r="L470" s="125">
        <v>0</v>
      </c>
      <c r="M470" s="157">
        <v>0</v>
      </c>
      <c r="N470" s="157">
        <v>0</v>
      </c>
      <c r="O470" s="157">
        <v>977.06</v>
      </c>
      <c r="P470" s="125">
        <v>117.39</v>
      </c>
      <c r="Q470" s="157">
        <v>0</v>
      </c>
      <c r="R470" s="157">
        <v>2152</v>
      </c>
      <c r="S470" s="157">
        <v>0</v>
      </c>
      <c r="T470" s="125">
        <v>0</v>
      </c>
      <c r="U470" s="125">
        <v>0</v>
      </c>
      <c r="V470" s="125">
        <v>1046.75</v>
      </c>
      <c r="W470" s="125">
        <v>0</v>
      </c>
      <c r="X470" s="157">
        <v>0</v>
      </c>
      <c r="Y470" s="125">
        <v>2177</v>
      </c>
      <c r="Z470" s="125">
        <v>0</v>
      </c>
      <c r="AA470" s="125">
        <v>0</v>
      </c>
      <c r="AB470" s="125">
        <v>0</v>
      </c>
      <c r="AC470" s="125">
        <v>0</v>
      </c>
      <c r="AD470" s="125">
        <v>0</v>
      </c>
      <c r="AE470" s="157">
        <v>2390.5</v>
      </c>
      <c r="AF470" s="157">
        <v>4648.5</v>
      </c>
      <c r="AG470" s="125">
        <v>5934.56</v>
      </c>
      <c r="AH470" s="125">
        <v>0</v>
      </c>
      <c r="AI470" s="157">
        <v>0</v>
      </c>
      <c r="AJ470" s="157">
        <v>1004.4</v>
      </c>
      <c r="AK470" s="157">
        <v>8173.76</v>
      </c>
      <c r="AL470" s="125">
        <v>38776.019999999997</v>
      </c>
    </row>
    <row r="471" spans="1:38" s="117" customFormat="1" ht="15" customHeight="1" x14ac:dyDescent="0.2">
      <c r="A471" s="123" t="s">
        <v>1083</v>
      </c>
      <c r="B471" s="124" t="s">
        <v>1082</v>
      </c>
      <c r="C471" s="157">
        <v>0</v>
      </c>
      <c r="D471" s="125">
        <v>0</v>
      </c>
      <c r="E471" s="157">
        <v>0</v>
      </c>
      <c r="F471" s="125">
        <v>0</v>
      </c>
      <c r="G471" s="157">
        <v>0</v>
      </c>
      <c r="H471" s="157">
        <v>0</v>
      </c>
      <c r="I471" s="157">
        <v>0</v>
      </c>
      <c r="J471" s="125">
        <v>0</v>
      </c>
      <c r="K471" s="125">
        <v>0</v>
      </c>
      <c r="L471" s="125">
        <v>0</v>
      </c>
      <c r="M471" s="157">
        <v>0</v>
      </c>
      <c r="N471" s="157">
        <v>0</v>
      </c>
      <c r="O471" s="157">
        <v>0</v>
      </c>
      <c r="P471" s="125">
        <v>0</v>
      </c>
      <c r="Q471" s="157">
        <v>400</v>
      </c>
      <c r="R471" s="157">
        <v>0</v>
      </c>
      <c r="S471" s="157">
        <v>0</v>
      </c>
      <c r="T471" s="125">
        <v>0</v>
      </c>
      <c r="U471" s="125">
        <v>0</v>
      </c>
      <c r="V471" s="125">
        <v>0</v>
      </c>
      <c r="W471" s="125">
        <v>0</v>
      </c>
      <c r="X471" s="157">
        <v>0</v>
      </c>
      <c r="Y471" s="125">
        <v>0</v>
      </c>
      <c r="Z471" s="125">
        <v>0</v>
      </c>
      <c r="AA471" s="125">
        <v>0</v>
      </c>
      <c r="AB471" s="125">
        <v>0</v>
      </c>
      <c r="AC471" s="125">
        <v>0</v>
      </c>
      <c r="AD471" s="125">
        <v>0</v>
      </c>
      <c r="AE471" s="157">
        <v>0</v>
      </c>
      <c r="AF471" s="157">
        <v>0</v>
      </c>
      <c r="AG471" s="125">
        <v>0</v>
      </c>
      <c r="AH471" s="125">
        <v>0</v>
      </c>
      <c r="AI471" s="157">
        <v>0</v>
      </c>
      <c r="AJ471" s="157">
        <v>0</v>
      </c>
      <c r="AK471" s="157">
        <v>0</v>
      </c>
      <c r="AL471" s="125">
        <v>400</v>
      </c>
    </row>
    <row r="472" spans="1:38" s="117" customFormat="1" ht="15" customHeight="1" x14ac:dyDescent="0.2">
      <c r="A472" s="123" t="s">
        <v>505</v>
      </c>
      <c r="B472" s="124" t="s">
        <v>1081</v>
      </c>
      <c r="C472" s="157">
        <v>0</v>
      </c>
      <c r="D472" s="125">
        <v>0</v>
      </c>
      <c r="E472" s="157">
        <v>2707</v>
      </c>
      <c r="F472" s="125">
        <v>0</v>
      </c>
      <c r="G472" s="157">
        <v>1822.6</v>
      </c>
      <c r="H472" s="157">
        <v>0</v>
      </c>
      <c r="I472" s="157">
        <v>0</v>
      </c>
      <c r="J472" s="125">
        <v>413.19</v>
      </c>
      <c r="K472" s="125">
        <v>1839.1</v>
      </c>
      <c r="L472" s="125">
        <v>0</v>
      </c>
      <c r="M472" s="157">
        <v>0</v>
      </c>
      <c r="N472" s="157">
        <v>0</v>
      </c>
      <c r="O472" s="157">
        <v>0</v>
      </c>
      <c r="P472" s="125">
        <v>99.88</v>
      </c>
      <c r="Q472" s="157">
        <v>0</v>
      </c>
      <c r="R472" s="157">
        <v>0</v>
      </c>
      <c r="S472" s="157">
        <v>0</v>
      </c>
      <c r="T472" s="125">
        <v>0</v>
      </c>
      <c r="U472" s="125">
        <v>0</v>
      </c>
      <c r="V472" s="125">
        <v>3222.6</v>
      </c>
      <c r="W472" s="125">
        <v>0</v>
      </c>
      <c r="X472" s="157">
        <v>0</v>
      </c>
      <c r="Y472" s="125">
        <v>0</v>
      </c>
      <c r="Z472" s="125">
        <v>0</v>
      </c>
      <c r="AA472" s="125">
        <v>0</v>
      </c>
      <c r="AB472" s="125">
        <v>0</v>
      </c>
      <c r="AC472" s="125">
        <v>0</v>
      </c>
      <c r="AD472" s="125">
        <v>0</v>
      </c>
      <c r="AE472" s="157">
        <v>0</v>
      </c>
      <c r="AF472" s="157">
        <v>0</v>
      </c>
      <c r="AG472" s="125">
        <v>0</v>
      </c>
      <c r="AH472" s="125">
        <v>0</v>
      </c>
      <c r="AI472" s="157">
        <v>0</v>
      </c>
      <c r="AJ472" s="157">
        <v>0</v>
      </c>
      <c r="AK472" s="157">
        <v>0</v>
      </c>
      <c r="AL472" s="125">
        <v>10104.370000000001</v>
      </c>
    </row>
    <row r="473" spans="1:38" s="117" customFormat="1" ht="15" customHeight="1" x14ac:dyDescent="0.2">
      <c r="A473" s="123" t="s">
        <v>421</v>
      </c>
      <c r="B473" s="124" t="s">
        <v>1080</v>
      </c>
      <c r="C473" s="157">
        <v>0</v>
      </c>
      <c r="D473" s="125">
        <v>0</v>
      </c>
      <c r="E473" s="157">
        <v>0</v>
      </c>
      <c r="F473" s="125">
        <v>1666.63</v>
      </c>
      <c r="G473" s="157">
        <v>1386.9</v>
      </c>
      <c r="H473" s="157">
        <v>0</v>
      </c>
      <c r="I473" s="157">
        <v>97.15</v>
      </c>
      <c r="J473" s="125">
        <v>0</v>
      </c>
      <c r="K473" s="125">
        <v>0</v>
      </c>
      <c r="L473" s="125">
        <v>1921</v>
      </c>
      <c r="M473" s="157">
        <v>0</v>
      </c>
      <c r="N473" s="157">
        <v>1174.04</v>
      </c>
      <c r="O473" s="157">
        <v>0</v>
      </c>
      <c r="P473" s="125">
        <v>0</v>
      </c>
      <c r="Q473" s="157">
        <v>0</v>
      </c>
      <c r="R473" s="157">
        <v>427.26</v>
      </c>
      <c r="S473" s="157">
        <v>2484.35</v>
      </c>
      <c r="T473" s="125">
        <v>176.9</v>
      </c>
      <c r="U473" s="125">
        <v>89.98</v>
      </c>
      <c r="V473" s="125">
        <v>2251.5300000000002</v>
      </c>
      <c r="W473" s="125">
        <v>0</v>
      </c>
      <c r="X473" s="157">
        <v>1365.26</v>
      </c>
      <c r="Y473" s="125">
        <v>0</v>
      </c>
      <c r="Z473" s="125">
        <v>0</v>
      </c>
      <c r="AA473" s="125">
        <v>5377.46</v>
      </c>
      <c r="AB473" s="125">
        <v>0</v>
      </c>
      <c r="AC473" s="125">
        <v>1776</v>
      </c>
      <c r="AD473" s="125">
        <v>4464.87</v>
      </c>
      <c r="AE473" s="157">
        <v>0</v>
      </c>
      <c r="AF473" s="157">
        <v>0</v>
      </c>
      <c r="AG473" s="125">
        <v>0</v>
      </c>
      <c r="AH473" s="125">
        <v>106.41</v>
      </c>
      <c r="AI473" s="157">
        <v>0</v>
      </c>
      <c r="AJ473" s="157">
        <v>0</v>
      </c>
      <c r="AK473" s="157">
        <v>0</v>
      </c>
      <c r="AL473" s="125">
        <v>24765.74</v>
      </c>
    </row>
    <row r="474" spans="1:38" s="117" customFormat="1" ht="15" customHeight="1" x14ac:dyDescent="0.2">
      <c r="A474" s="123" t="s">
        <v>1079</v>
      </c>
      <c r="B474" s="124" t="s">
        <v>1078</v>
      </c>
      <c r="C474" s="157">
        <v>0</v>
      </c>
      <c r="D474" s="125">
        <v>0</v>
      </c>
      <c r="E474" s="157">
        <v>0</v>
      </c>
      <c r="F474" s="125">
        <v>0</v>
      </c>
      <c r="G474" s="157">
        <v>0</v>
      </c>
      <c r="H474" s="157">
        <v>0</v>
      </c>
      <c r="I474" s="157">
        <v>0</v>
      </c>
      <c r="J474" s="125">
        <v>0</v>
      </c>
      <c r="K474" s="125">
        <v>0</v>
      </c>
      <c r="L474" s="125">
        <v>0</v>
      </c>
      <c r="M474" s="157">
        <v>0</v>
      </c>
      <c r="N474" s="157">
        <v>0</v>
      </c>
      <c r="O474" s="157">
        <v>0</v>
      </c>
      <c r="P474" s="125">
        <v>0</v>
      </c>
      <c r="Q474" s="157">
        <v>0</v>
      </c>
      <c r="R474" s="157">
        <v>0</v>
      </c>
      <c r="S474" s="157">
        <v>0</v>
      </c>
      <c r="T474" s="125">
        <v>0</v>
      </c>
      <c r="U474" s="125">
        <v>0</v>
      </c>
      <c r="V474" s="125">
        <v>0</v>
      </c>
      <c r="W474" s="125">
        <v>0</v>
      </c>
      <c r="X474" s="157">
        <v>551.91999999999996</v>
      </c>
      <c r="Y474" s="125">
        <v>0</v>
      </c>
      <c r="Z474" s="125">
        <v>0</v>
      </c>
      <c r="AA474" s="125">
        <v>0</v>
      </c>
      <c r="AB474" s="125">
        <v>0</v>
      </c>
      <c r="AC474" s="125">
        <v>0</v>
      </c>
      <c r="AD474" s="125">
        <v>0</v>
      </c>
      <c r="AE474" s="157">
        <v>0</v>
      </c>
      <c r="AF474" s="157">
        <v>0</v>
      </c>
      <c r="AG474" s="125">
        <v>0</v>
      </c>
      <c r="AH474" s="125">
        <v>0</v>
      </c>
      <c r="AI474" s="157">
        <v>0</v>
      </c>
      <c r="AJ474" s="157">
        <v>0</v>
      </c>
      <c r="AK474" s="157">
        <v>0</v>
      </c>
      <c r="AL474" s="125">
        <v>551.91999999999996</v>
      </c>
    </row>
    <row r="475" spans="1:38" s="117" customFormat="1" ht="15" customHeight="1" x14ac:dyDescent="0.2">
      <c r="A475" s="123" t="s">
        <v>1077</v>
      </c>
      <c r="B475" s="124" t="s">
        <v>1076</v>
      </c>
      <c r="C475" s="157">
        <v>0</v>
      </c>
      <c r="D475" s="125">
        <v>0</v>
      </c>
      <c r="E475" s="157">
        <v>0</v>
      </c>
      <c r="F475" s="125">
        <v>-117.58</v>
      </c>
      <c r="G475" s="157">
        <v>8438.59</v>
      </c>
      <c r="H475" s="157">
        <v>0</v>
      </c>
      <c r="I475" s="157">
        <v>180.19</v>
      </c>
      <c r="J475" s="125">
        <v>0</v>
      </c>
      <c r="K475" s="125">
        <v>0</v>
      </c>
      <c r="L475" s="125">
        <v>0</v>
      </c>
      <c r="M475" s="157">
        <v>158.99</v>
      </c>
      <c r="N475" s="157">
        <v>0</v>
      </c>
      <c r="O475" s="157">
        <v>3513.9</v>
      </c>
      <c r="P475" s="125">
        <v>0</v>
      </c>
      <c r="Q475" s="157">
        <v>0</v>
      </c>
      <c r="R475" s="157">
        <v>0</v>
      </c>
      <c r="S475" s="157">
        <v>217.28</v>
      </c>
      <c r="T475" s="125">
        <v>0</v>
      </c>
      <c r="U475" s="125">
        <v>0</v>
      </c>
      <c r="V475" s="125">
        <v>0</v>
      </c>
      <c r="W475" s="125">
        <v>128.66</v>
      </c>
      <c r="X475" s="157">
        <v>0</v>
      </c>
      <c r="Y475" s="125">
        <v>174.74</v>
      </c>
      <c r="Z475" s="125">
        <v>0</v>
      </c>
      <c r="AA475" s="125">
        <v>0</v>
      </c>
      <c r="AB475" s="125">
        <v>3687.4</v>
      </c>
      <c r="AC475" s="125">
        <v>118.18</v>
      </c>
      <c r="AD475" s="125">
        <v>0</v>
      </c>
      <c r="AE475" s="157">
        <v>0</v>
      </c>
      <c r="AF475" s="157">
        <v>0</v>
      </c>
      <c r="AG475" s="125">
        <v>3759.78</v>
      </c>
      <c r="AH475" s="125">
        <v>0</v>
      </c>
      <c r="AI475" s="157">
        <v>0</v>
      </c>
      <c r="AJ475" s="157">
        <v>448.9</v>
      </c>
      <c r="AK475" s="157">
        <v>2648.86</v>
      </c>
      <c r="AL475" s="125">
        <v>23357.89</v>
      </c>
    </row>
    <row r="476" spans="1:38" s="117" customFormat="1" ht="15" customHeight="1" x14ac:dyDescent="0.2">
      <c r="A476" s="123" t="s">
        <v>422</v>
      </c>
      <c r="B476" s="124" t="s">
        <v>1075</v>
      </c>
      <c r="C476" s="157">
        <v>2866.2</v>
      </c>
      <c r="D476" s="125">
        <v>5828.36</v>
      </c>
      <c r="E476" s="157">
        <v>3014.3</v>
      </c>
      <c r="F476" s="125">
        <v>0</v>
      </c>
      <c r="G476" s="157">
        <v>-28</v>
      </c>
      <c r="H476" s="157">
        <v>1105.72</v>
      </c>
      <c r="I476" s="157">
        <v>1165.1300000000001</v>
      </c>
      <c r="J476" s="125">
        <v>998.88</v>
      </c>
      <c r="K476" s="125">
        <v>1231.45</v>
      </c>
      <c r="L476" s="125">
        <v>3827.48</v>
      </c>
      <c r="M476" s="157">
        <v>3525.13</v>
      </c>
      <c r="N476" s="157">
        <v>462.26</v>
      </c>
      <c r="O476" s="157">
        <v>0</v>
      </c>
      <c r="P476" s="125">
        <v>462.26</v>
      </c>
      <c r="Q476" s="157">
        <v>0</v>
      </c>
      <c r="R476" s="157">
        <v>7300.74</v>
      </c>
      <c r="S476" s="157">
        <v>462.26</v>
      </c>
      <c r="T476" s="125">
        <v>1065.78</v>
      </c>
      <c r="U476" s="125">
        <v>0</v>
      </c>
      <c r="V476" s="125">
        <v>883.73</v>
      </c>
      <c r="W476" s="125">
        <v>2195.69</v>
      </c>
      <c r="X476" s="157">
        <v>1563.54</v>
      </c>
      <c r="Y476" s="125">
        <v>1129.46</v>
      </c>
      <c r="Z476" s="125">
        <v>463.31</v>
      </c>
      <c r="AA476" s="125">
        <v>694.82</v>
      </c>
      <c r="AB476" s="125">
        <v>220.18</v>
      </c>
      <c r="AC476" s="125">
        <v>611.11</v>
      </c>
      <c r="AD476" s="125">
        <v>859.71</v>
      </c>
      <c r="AE476" s="157">
        <v>2831.73</v>
      </c>
      <c r="AF476" s="157">
        <v>2775</v>
      </c>
      <c r="AG476" s="125">
        <v>2589.34</v>
      </c>
      <c r="AH476" s="125">
        <v>0</v>
      </c>
      <c r="AI476" s="157">
        <v>3440.17</v>
      </c>
      <c r="AJ476" s="157">
        <v>243.79</v>
      </c>
      <c r="AK476" s="157">
        <v>1448.14</v>
      </c>
      <c r="AL476" s="125">
        <v>55237.67</v>
      </c>
    </row>
    <row r="477" spans="1:38" s="117" customFormat="1" ht="15" customHeight="1" x14ac:dyDescent="0.2">
      <c r="A477" s="123" t="s">
        <v>1074</v>
      </c>
      <c r="B477" s="124" t="s">
        <v>1073</v>
      </c>
      <c r="C477" s="157">
        <v>0</v>
      </c>
      <c r="D477" s="125">
        <v>0</v>
      </c>
      <c r="E477" s="157">
        <v>0</v>
      </c>
      <c r="F477" s="125">
        <v>0</v>
      </c>
      <c r="G477" s="157">
        <v>0</v>
      </c>
      <c r="H477" s="157">
        <v>0</v>
      </c>
      <c r="I477" s="157">
        <v>0</v>
      </c>
      <c r="J477" s="125">
        <v>0</v>
      </c>
      <c r="K477" s="125">
        <v>0</v>
      </c>
      <c r="L477" s="125">
        <v>0</v>
      </c>
      <c r="M477" s="157">
        <v>0</v>
      </c>
      <c r="N477" s="157">
        <v>231.19</v>
      </c>
      <c r="O477" s="157">
        <v>0</v>
      </c>
      <c r="P477" s="125">
        <v>0</v>
      </c>
      <c r="Q477" s="157">
        <v>0</v>
      </c>
      <c r="R477" s="157">
        <v>0</v>
      </c>
      <c r="S477" s="157">
        <v>0</v>
      </c>
      <c r="T477" s="125">
        <v>0</v>
      </c>
      <c r="U477" s="125">
        <v>0</v>
      </c>
      <c r="V477" s="125">
        <v>0</v>
      </c>
      <c r="W477" s="125">
        <v>0</v>
      </c>
      <c r="X477" s="157">
        <v>200.04</v>
      </c>
      <c r="Y477" s="125">
        <v>0</v>
      </c>
      <c r="Z477" s="125">
        <v>0</v>
      </c>
      <c r="AA477" s="125">
        <v>0</v>
      </c>
      <c r="AB477" s="125">
        <v>0</v>
      </c>
      <c r="AC477" s="125">
        <v>0</v>
      </c>
      <c r="AD477" s="125">
        <v>0</v>
      </c>
      <c r="AE477" s="157">
        <v>0</v>
      </c>
      <c r="AF477" s="157">
        <v>0</v>
      </c>
      <c r="AG477" s="125">
        <v>0</v>
      </c>
      <c r="AH477" s="125">
        <v>0</v>
      </c>
      <c r="AI477" s="157">
        <v>0</v>
      </c>
      <c r="AJ477" s="157">
        <v>0</v>
      </c>
      <c r="AK477" s="157">
        <v>0</v>
      </c>
      <c r="AL477" s="125">
        <v>431.23</v>
      </c>
    </row>
    <row r="478" spans="1:38" s="117" customFormat="1" ht="15" customHeight="1" x14ac:dyDescent="0.2">
      <c r="A478" s="123" t="s">
        <v>1072</v>
      </c>
      <c r="B478" s="124" t="s">
        <v>1071</v>
      </c>
      <c r="C478" s="157">
        <v>0</v>
      </c>
      <c r="D478" s="125">
        <v>0</v>
      </c>
      <c r="E478" s="157">
        <v>0</v>
      </c>
      <c r="F478" s="125">
        <v>0</v>
      </c>
      <c r="G478" s="157">
        <v>0</v>
      </c>
      <c r="H478" s="157">
        <v>0</v>
      </c>
      <c r="I478" s="157">
        <v>0</v>
      </c>
      <c r="J478" s="125">
        <v>0</v>
      </c>
      <c r="K478" s="125">
        <v>0</v>
      </c>
      <c r="L478" s="125">
        <v>0</v>
      </c>
      <c r="M478" s="157">
        <v>1157.8599999999999</v>
      </c>
      <c r="N478" s="157">
        <v>1376.22</v>
      </c>
      <c r="O478" s="157">
        <v>0</v>
      </c>
      <c r="P478" s="125">
        <v>821.25</v>
      </c>
      <c r="Q478" s="157">
        <v>0</v>
      </c>
      <c r="R478" s="157">
        <v>0</v>
      </c>
      <c r="S478" s="157">
        <v>1496.24</v>
      </c>
      <c r="T478" s="125">
        <v>0</v>
      </c>
      <c r="U478" s="125">
        <v>0</v>
      </c>
      <c r="V478" s="125">
        <v>0</v>
      </c>
      <c r="W478" s="125">
        <v>0</v>
      </c>
      <c r="X478" s="157">
        <v>0</v>
      </c>
      <c r="Y478" s="125">
        <v>0</v>
      </c>
      <c r="Z478" s="125">
        <v>0</v>
      </c>
      <c r="AA478" s="125">
        <v>0</v>
      </c>
      <c r="AB478" s="125">
        <v>4.22</v>
      </c>
      <c r="AC478" s="125">
        <v>0</v>
      </c>
      <c r="AD478" s="125">
        <v>0</v>
      </c>
      <c r="AE478" s="157">
        <v>1472.06</v>
      </c>
      <c r="AF478" s="157">
        <v>4554.24</v>
      </c>
      <c r="AG478" s="125">
        <v>0</v>
      </c>
      <c r="AH478" s="125">
        <v>0</v>
      </c>
      <c r="AI478" s="157">
        <v>0</v>
      </c>
      <c r="AJ478" s="157">
        <v>0</v>
      </c>
      <c r="AK478" s="157">
        <v>0</v>
      </c>
      <c r="AL478" s="125">
        <v>10882.09</v>
      </c>
    </row>
    <row r="479" spans="1:38" s="117" customFormat="1" ht="15" customHeight="1" x14ac:dyDescent="0.2">
      <c r="A479" s="123" t="s">
        <v>688</v>
      </c>
      <c r="B479" s="124" t="s">
        <v>1070</v>
      </c>
      <c r="C479" s="157">
        <v>0</v>
      </c>
      <c r="D479" s="125">
        <v>0</v>
      </c>
      <c r="E479" s="157">
        <v>0</v>
      </c>
      <c r="F479" s="125">
        <v>0</v>
      </c>
      <c r="G479" s="157">
        <v>0</v>
      </c>
      <c r="H479" s="157">
        <v>0</v>
      </c>
      <c r="I479" s="157">
        <v>0</v>
      </c>
      <c r="J479" s="125">
        <v>0</v>
      </c>
      <c r="K479" s="125">
        <v>0</v>
      </c>
      <c r="L479" s="125">
        <v>591.77</v>
      </c>
      <c r="M479" s="157">
        <v>0</v>
      </c>
      <c r="N479" s="157">
        <v>0</v>
      </c>
      <c r="O479" s="157">
        <v>0</v>
      </c>
      <c r="P479" s="125">
        <v>0</v>
      </c>
      <c r="Q479" s="157">
        <v>0</v>
      </c>
      <c r="R479" s="157">
        <v>0</v>
      </c>
      <c r="S479" s="157">
        <v>0</v>
      </c>
      <c r="T479" s="125">
        <v>0</v>
      </c>
      <c r="U479" s="125">
        <v>0</v>
      </c>
      <c r="V479" s="125">
        <v>0</v>
      </c>
      <c r="W479" s="125">
        <v>0</v>
      </c>
      <c r="X479" s="157">
        <v>0</v>
      </c>
      <c r="Y479" s="125">
        <v>0</v>
      </c>
      <c r="Z479" s="125">
        <v>0</v>
      </c>
      <c r="AA479" s="125">
        <v>0</v>
      </c>
      <c r="AB479" s="125">
        <v>0</v>
      </c>
      <c r="AC479" s="125">
        <v>0</v>
      </c>
      <c r="AD479" s="125">
        <v>0</v>
      </c>
      <c r="AE479" s="157">
        <v>0</v>
      </c>
      <c r="AF479" s="157">
        <v>0</v>
      </c>
      <c r="AG479" s="125">
        <v>0</v>
      </c>
      <c r="AH479" s="125">
        <v>536.14</v>
      </c>
      <c r="AI479" s="157">
        <v>0</v>
      </c>
      <c r="AJ479" s="157">
        <v>0</v>
      </c>
      <c r="AK479" s="157">
        <v>0</v>
      </c>
      <c r="AL479" s="125">
        <v>1127.9100000000001</v>
      </c>
    </row>
    <row r="480" spans="1:38" s="117" customFormat="1" ht="15" customHeight="1" x14ac:dyDescent="0.2">
      <c r="A480" s="123" t="s">
        <v>423</v>
      </c>
      <c r="B480" s="124" t="s">
        <v>1069</v>
      </c>
      <c r="C480" s="157">
        <v>0</v>
      </c>
      <c r="D480" s="125">
        <v>0</v>
      </c>
      <c r="E480" s="157">
        <v>0</v>
      </c>
      <c r="F480" s="125">
        <v>115.18</v>
      </c>
      <c r="G480" s="157">
        <v>5631.05</v>
      </c>
      <c r="H480" s="157">
        <v>421.18</v>
      </c>
      <c r="I480" s="157">
        <v>875.23</v>
      </c>
      <c r="J480" s="125">
        <v>0</v>
      </c>
      <c r="K480" s="125">
        <v>324.57</v>
      </c>
      <c r="L480" s="125">
        <v>524.94000000000005</v>
      </c>
      <c r="M480" s="157">
        <v>12017.66</v>
      </c>
      <c r="N480" s="157">
        <v>0</v>
      </c>
      <c r="O480" s="157">
        <v>117.21</v>
      </c>
      <c r="P480" s="125">
        <v>0</v>
      </c>
      <c r="Q480" s="157">
        <v>503.19</v>
      </c>
      <c r="R480" s="157">
        <v>608.9</v>
      </c>
      <c r="S480" s="157">
        <v>0</v>
      </c>
      <c r="T480" s="125">
        <v>400</v>
      </c>
      <c r="U480" s="125">
        <v>0</v>
      </c>
      <c r="V480" s="125">
        <v>0</v>
      </c>
      <c r="W480" s="125">
        <v>0</v>
      </c>
      <c r="X480" s="157">
        <v>215.58</v>
      </c>
      <c r="Y480" s="125">
        <v>782.46</v>
      </c>
      <c r="Z480" s="125">
        <v>0</v>
      </c>
      <c r="AA480" s="125">
        <v>0</v>
      </c>
      <c r="AB480" s="125">
        <v>0</v>
      </c>
      <c r="AC480" s="125">
        <v>0</v>
      </c>
      <c r="AD480" s="125">
        <v>1870.54</v>
      </c>
      <c r="AE480" s="157">
        <v>65.77</v>
      </c>
      <c r="AF480" s="157">
        <v>469.23</v>
      </c>
      <c r="AG480" s="125">
        <v>1717.72</v>
      </c>
      <c r="AH480" s="125">
        <v>0</v>
      </c>
      <c r="AI480" s="157">
        <v>0</v>
      </c>
      <c r="AJ480" s="157">
        <v>0</v>
      </c>
      <c r="AK480" s="157">
        <v>0</v>
      </c>
      <c r="AL480" s="125">
        <v>26660.41</v>
      </c>
    </row>
    <row r="481" spans="1:38" s="117" customFormat="1" ht="15" customHeight="1" x14ac:dyDescent="0.2">
      <c r="A481" s="123" t="s">
        <v>555</v>
      </c>
      <c r="B481" s="124" t="s">
        <v>1068</v>
      </c>
      <c r="C481" s="157">
        <v>0</v>
      </c>
      <c r="D481" s="125">
        <v>0</v>
      </c>
      <c r="E481" s="157">
        <v>0</v>
      </c>
      <c r="F481" s="125">
        <v>0</v>
      </c>
      <c r="G481" s="157">
        <v>0</v>
      </c>
      <c r="H481" s="157">
        <v>4684.78</v>
      </c>
      <c r="I481" s="157">
        <v>434.15</v>
      </c>
      <c r="J481" s="125">
        <v>0</v>
      </c>
      <c r="K481" s="125">
        <v>3545.11</v>
      </c>
      <c r="L481" s="125">
        <v>288.2</v>
      </c>
      <c r="M481" s="157">
        <v>0</v>
      </c>
      <c r="N481" s="157">
        <v>0</v>
      </c>
      <c r="O481" s="157">
        <v>0</v>
      </c>
      <c r="P481" s="125">
        <v>0</v>
      </c>
      <c r="Q481" s="157">
        <v>145.46</v>
      </c>
      <c r="R481" s="157">
        <v>0</v>
      </c>
      <c r="S481" s="157">
        <v>0</v>
      </c>
      <c r="T481" s="125">
        <v>0</v>
      </c>
      <c r="U481" s="125">
        <v>0</v>
      </c>
      <c r="V481" s="125">
        <v>0</v>
      </c>
      <c r="W481" s="125">
        <v>0</v>
      </c>
      <c r="X481" s="157">
        <v>0</v>
      </c>
      <c r="Y481" s="125">
        <v>250.62</v>
      </c>
      <c r="Z481" s="125">
        <v>279.64999999999998</v>
      </c>
      <c r="AA481" s="125">
        <v>0</v>
      </c>
      <c r="AB481" s="125">
        <v>0</v>
      </c>
      <c r="AC481" s="125">
        <v>0</v>
      </c>
      <c r="AD481" s="125">
        <v>0</v>
      </c>
      <c r="AE481" s="157">
        <v>194.89</v>
      </c>
      <c r="AF481" s="157">
        <v>1738.03</v>
      </c>
      <c r="AG481" s="125">
        <v>1726.88</v>
      </c>
      <c r="AH481" s="125">
        <v>0</v>
      </c>
      <c r="AI481" s="157">
        <v>0</v>
      </c>
      <c r="AJ481" s="157">
        <v>0</v>
      </c>
      <c r="AK481" s="157">
        <v>0</v>
      </c>
      <c r="AL481" s="125">
        <v>13287.77</v>
      </c>
    </row>
    <row r="482" spans="1:38" s="117" customFormat="1" ht="15" customHeight="1" x14ac:dyDescent="0.2">
      <c r="A482" s="123" t="s">
        <v>1067</v>
      </c>
      <c r="B482" s="124" t="s">
        <v>1066</v>
      </c>
      <c r="C482" s="157">
        <v>0</v>
      </c>
      <c r="D482" s="125">
        <v>3512.42</v>
      </c>
      <c r="E482" s="157">
        <v>0</v>
      </c>
      <c r="F482" s="125">
        <v>0</v>
      </c>
      <c r="G482" s="157">
        <v>235</v>
      </c>
      <c r="H482" s="157">
        <v>0</v>
      </c>
      <c r="I482" s="157">
        <v>0</v>
      </c>
      <c r="J482" s="125">
        <v>0</v>
      </c>
      <c r="K482" s="125">
        <v>0</v>
      </c>
      <c r="L482" s="125">
        <v>0</v>
      </c>
      <c r="M482" s="157">
        <v>0</v>
      </c>
      <c r="N482" s="157">
        <v>105.48</v>
      </c>
      <c r="O482" s="157">
        <v>0</v>
      </c>
      <c r="P482" s="125">
        <v>875</v>
      </c>
      <c r="Q482" s="157">
        <v>0</v>
      </c>
      <c r="R482" s="157">
        <v>0</v>
      </c>
      <c r="S482" s="157">
        <v>1536.55</v>
      </c>
      <c r="T482" s="125">
        <v>0</v>
      </c>
      <c r="U482" s="125">
        <v>0</v>
      </c>
      <c r="V482" s="125">
        <v>0</v>
      </c>
      <c r="W482" s="125">
        <v>0</v>
      </c>
      <c r="X482" s="157">
        <v>0</v>
      </c>
      <c r="Y482" s="125">
        <v>482.29</v>
      </c>
      <c r="Z482" s="125">
        <v>357.95</v>
      </c>
      <c r="AA482" s="125">
        <v>0</v>
      </c>
      <c r="AB482" s="125">
        <v>0</v>
      </c>
      <c r="AC482" s="125">
        <v>0</v>
      </c>
      <c r="AD482" s="125">
        <v>0</v>
      </c>
      <c r="AE482" s="157">
        <v>0</v>
      </c>
      <c r="AF482" s="157">
        <v>0</v>
      </c>
      <c r="AG482" s="125">
        <v>0</v>
      </c>
      <c r="AH482" s="125">
        <v>0</v>
      </c>
      <c r="AI482" s="157">
        <v>0</v>
      </c>
      <c r="AJ482" s="157">
        <v>0</v>
      </c>
      <c r="AK482" s="157">
        <v>0</v>
      </c>
      <c r="AL482" s="125">
        <v>7104.69</v>
      </c>
    </row>
    <row r="483" spans="1:38" s="117" customFormat="1" ht="15" customHeight="1" x14ac:dyDescent="0.2">
      <c r="A483" s="123" t="s">
        <v>424</v>
      </c>
      <c r="B483" s="124" t="s">
        <v>1065</v>
      </c>
      <c r="C483" s="157">
        <v>225</v>
      </c>
      <c r="D483" s="125">
        <v>0</v>
      </c>
      <c r="E483" s="157">
        <v>969.55</v>
      </c>
      <c r="F483" s="125">
        <v>1473.08</v>
      </c>
      <c r="G483" s="157">
        <v>0</v>
      </c>
      <c r="H483" s="157">
        <v>450</v>
      </c>
      <c r="I483" s="157">
        <v>0</v>
      </c>
      <c r="J483" s="125">
        <v>11.4</v>
      </c>
      <c r="K483" s="125">
        <v>0</v>
      </c>
      <c r="L483" s="125">
        <v>0</v>
      </c>
      <c r="M483" s="157">
        <v>0</v>
      </c>
      <c r="N483" s="157">
        <v>0</v>
      </c>
      <c r="O483" s="157">
        <v>0</v>
      </c>
      <c r="P483" s="125">
        <v>0</v>
      </c>
      <c r="Q483" s="157">
        <v>0</v>
      </c>
      <c r="R483" s="157">
        <v>2286.9</v>
      </c>
      <c r="S483" s="157">
        <v>0</v>
      </c>
      <c r="T483" s="125">
        <v>1259.8</v>
      </c>
      <c r="U483" s="125">
        <v>0</v>
      </c>
      <c r="V483" s="125">
        <v>0</v>
      </c>
      <c r="W483" s="125">
        <v>104.97</v>
      </c>
      <c r="X483" s="157">
        <v>773.8</v>
      </c>
      <c r="Y483" s="125">
        <v>1030</v>
      </c>
      <c r="Z483" s="125">
        <v>0</v>
      </c>
      <c r="AA483" s="125">
        <v>332.8</v>
      </c>
      <c r="AB483" s="125">
        <v>0</v>
      </c>
      <c r="AC483" s="125">
        <v>0</v>
      </c>
      <c r="AD483" s="125">
        <v>1555.63</v>
      </c>
      <c r="AE483" s="157">
        <v>0</v>
      </c>
      <c r="AF483" s="157">
        <v>0</v>
      </c>
      <c r="AG483" s="125">
        <v>0</v>
      </c>
      <c r="AH483" s="125">
        <v>0</v>
      </c>
      <c r="AI483" s="157">
        <v>0</v>
      </c>
      <c r="AJ483" s="157">
        <v>0</v>
      </c>
      <c r="AK483" s="157">
        <v>0</v>
      </c>
      <c r="AL483" s="125">
        <v>10472.93</v>
      </c>
    </row>
    <row r="484" spans="1:38" s="117" customFormat="1" ht="15" customHeight="1" x14ac:dyDescent="0.2">
      <c r="A484" s="123" t="s">
        <v>506</v>
      </c>
      <c r="B484" s="124" t="s">
        <v>1064</v>
      </c>
      <c r="C484" s="157">
        <v>0</v>
      </c>
      <c r="D484" s="125">
        <v>0</v>
      </c>
      <c r="E484" s="157">
        <v>0</v>
      </c>
      <c r="F484" s="125">
        <v>0</v>
      </c>
      <c r="G484" s="157">
        <v>7896</v>
      </c>
      <c r="H484" s="157">
        <v>0</v>
      </c>
      <c r="I484" s="157">
        <v>0</v>
      </c>
      <c r="J484" s="125">
        <v>0</v>
      </c>
      <c r="K484" s="125">
        <v>0</v>
      </c>
      <c r="L484" s="125">
        <v>0</v>
      </c>
      <c r="M484" s="157">
        <v>0</v>
      </c>
      <c r="N484" s="157">
        <v>0</v>
      </c>
      <c r="O484" s="157">
        <v>0</v>
      </c>
      <c r="P484" s="125">
        <v>10000</v>
      </c>
      <c r="Q484" s="157">
        <v>0</v>
      </c>
      <c r="R484" s="157">
        <v>0</v>
      </c>
      <c r="S484" s="157">
        <v>0</v>
      </c>
      <c r="T484" s="125">
        <v>0</v>
      </c>
      <c r="U484" s="125">
        <v>10000</v>
      </c>
      <c r="V484" s="125">
        <v>5153.63</v>
      </c>
      <c r="W484" s="125">
        <v>0</v>
      </c>
      <c r="X484" s="157">
        <v>0</v>
      </c>
      <c r="Y484" s="125">
        <v>10527.7</v>
      </c>
      <c r="Z484" s="125">
        <v>0</v>
      </c>
      <c r="AA484" s="125">
        <v>-162.5</v>
      </c>
      <c r="AB484" s="125">
        <v>0</v>
      </c>
      <c r="AC484" s="125">
        <v>13222.36</v>
      </c>
      <c r="AD484" s="125">
        <v>0</v>
      </c>
      <c r="AE484" s="157">
        <v>0</v>
      </c>
      <c r="AF484" s="157">
        <v>0</v>
      </c>
      <c r="AG484" s="125">
        <v>0</v>
      </c>
      <c r="AH484" s="125">
        <v>16325.54</v>
      </c>
      <c r="AI484" s="157">
        <v>0</v>
      </c>
      <c r="AJ484" s="157">
        <v>0</v>
      </c>
      <c r="AK484" s="157">
        <v>2990</v>
      </c>
      <c r="AL484" s="125">
        <v>75952.73</v>
      </c>
    </row>
    <row r="485" spans="1:38" s="117" customFormat="1" ht="15" customHeight="1" x14ac:dyDescent="0.2">
      <c r="A485" s="123" t="s">
        <v>641</v>
      </c>
      <c r="B485" s="124" t="s">
        <v>1063</v>
      </c>
      <c r="C485" s="157">
        <v>0</v>
      </c>
      <c r="D485" s="125">
        <v>0</v>
      </c>
      <c r="E485" s="157">
        <v>0</v>
      </c>
      <c r="F485" s="125">
        <v>0</v>
      </c>
      <c r="G485" s="157">
        <v>0</v>
      </c>
      <c r="H485" s="157">
        <v>0</v>
      </c>
      <c r="I485" s="157">
        <v>0</v>
      </c>
      <c r="J485" s="125">
        <v>0</v>
      </c>
      <c r="K485" s="125">
        <v>0</v>
      </c>
      <c r="L485" s="125">
        <v>0</v>
      </c>
      <c r="M485" s="157">
        <v>0</v>
      </c>
      <c r="N485" s="157">
        <v>0</v>
      </c>
      <c r="O485" s="157">
        <v>0</v>
      </c>
      <c r="P485" s="125">
        <v>93.49</v>
      </c>
      <c r="Q485" s="157">
        <v>0</v>
      </c>
      <c r="R485" s="157">
        <v>0</v>
      </c>
      <c r="S485" s="157">
        <v>0</v>
      </c>
      <c r="T485" s="125">
        <v>0</v>
      </c>
      <c r="U485" s="125">
        <v>0</v>
      </c>
      <c r="V485" s="125">
        <v>0</v>
      </c>
      <c r="W485" s="125">
        <v>0</v>
      </c>
      <c r="X485" s="157">
        <v>0</v>
      </c>
      <c r="Y485" s="125">
        <v>0</v>
      </c>
      <c r="Z485" s="125">
        <v>0</v>
      </c>
      <c r="AA485" s="125">
        <v>0</v>
      </c>
      <c r="AB485" s="125">
        <v>0</v>
      </c>
      <c r="AC485" s="125">
        <v>0</v>
      </c>
      <c r="AD485" s="125">
        <v>0</v>
      </c>
      <c r="AE485" s="157">
        <v>0</v>
      </c>
      <c r="AF485" s="157">
        <v>0</v>
      </c>
      <c r="AG485" s="125">
        <v>0</v>
      </c>
      <c r="AH485" s="125">
        <v>0</v>
      </c>
      <c r="AI485" s="157">
        <v>0</v>
      </c>
      <c r="AJ485" s="157">
        <v>0</v>
      </c>
      <c r="AK485" s="157">
        <v>0</v>
      </c>
      <c r="AL485" s="125">
        <v>93.49</v>
      </c>
    </row>
    <row r="486" spans="1:38" s="117" customFormat="1" ht="15" customHeight="1" x14ac:dyDescent="0.2">
      <c r="A486" s="123" t="s">
        <v>425</v>
      </c>
      <c r="B486" s="124" t="s">
        <v>1062</v>
      </c>
      <c r="C486" s="157">
        <v>17437.52</v>
      </c>
      <c r="D486" s="125">
        <v>8498.01</v>
      </c>
      <c r="E486" s="157">
        <v>16846.27</v>
      </c>
      <c r="F486" s="125">
        <v>26260</v>
      </c>
      <c r="G486" s="157">
        <v>34507.800000000003</v>
      </c>
      <c r="H486" s="157">
        <v>23880.6</v>
      </c>
      <c r="I486" s="157">
        <v>7439.26</v>
      </c>
      <c r="J486" s="125">
        <v>10543.08</v>
      </c>
      <c r="K486" s="125">
        <v>6648.84</v>
      </c>
      <c r="L486" s="125">
        <v>6777</v>
      </c>
      <c r="M486" s="157">
        <v>5439.55</v>
      </c>
      <c r="N486" s="157">
        <v>9508.08</v>
      </c>
      <c r="O486" s="157">
        <v>29248.17</v>
      </c>
      <c r="P486" s="125">
        <v>2826.07</v>
      </c>
      <c r="Q486" s="157">
        <v>15656.52</v>
      </c>
      <c r="R486" s="157">
        <v>27131.67</v>
      </c>
      <c r="S486" s="157">
        <v>3647.98</v>
      </c>
      <c r="T486" s="125">
        <v>8249.0400000000009</v>
      </c>
      <c r="U486" s="125">
        <v>10863</v>
      </c>
      <c r="V486" s="125">
        <v>14609.08</v>
      </c>
      <c r="W486" s="125">
        <v>15611.01</v>
      </c>
      <c r="X486" s="157">
        <v>29055.279999999999</v>
      </c>
      <c r="Y486" s="125">
        <v>43111.75</v>
      </c>
      <c r="Z486" s="125">
        <v>9312</v>
      </c>
      <c r="AA486" s="125">
        <v>13293.99</v>
      </c>
      <c r="AB486" s="125">
        <v>6750</v>
      </c>
      <c r="AC486" s="125">
        <v>12158.04</v>
      </c>
      <c r="AD486" s="125">
        <v>13560</v>
      </c>
      <c r="AE486" s="157">
        <v>11610.58</v>
      </c>
      <c r="AF486" s="157">
        <v>16664.62</v>
      </c>
      <c r="AG486" s="125">
        <v>22245</v>
      </c>
      <c r="AH486" s="125">
        <v>4418.3999999999996</v>
      </c>
      <c r="AI486" s="157">
        <v>8162.01</v>
      </c>
      <c r="AJ486" s="157">
        <v>8235</v>
      </c>
      <c r="AK486" s="157">
        <v>7977</v>
      </c>
      <c r="AL486" s="125">
        <v>508182.22</v>
      </c>
    </row>
    <row r="487" spans="1:38" s="117" customFormat="1" ht="15" customHeight="1" x14ac:dyDescent="0.2">
      <c r="A487" s="123" t="s">
        <v>426</v>
      </c>
      <c r="B487" s="124" t="s">
        <v>1061</v>
      </c>
      <c r="C487" s="157">
        <v>78462.600000000006</v>
      </c>
      <c r="D487" s="125">
        <v>113130.95</v>
      </c>
      <c r="E487" s="157">
        <v>74767.100000000006</v>
      </c>
      <c r="F487" s="125">
        <v>250849.02</v>
      </c>
      <c r="G487" s="157">
        <v>153160</v>
      </c>
      <c r="H487" s="157">
        <v>114836.64</v>
      </c>
      <c r="I487" s="157">
        <v>48790</v>
      </c>
      <c r="J487" s="125">
        <v>280056.49</v>
      </c>
      <c r="K487" s="125">
        <v>109321.52</v>
      </c>
      <c r="L487" s="125">
        <v>154241.51</v>
      </c>
      <c r="M487" s="157">
        <v>60710.33</v>
      </c>
      <c r="N487" s="157">
        <v>298673.36</v>
      </c>
      <c r="O487" s="157">
        <v>78580.14</v>
      </c>
      <c r="P487" s="125">
        <v>43347.74</v>
      </c>
      <c r="Q487" s="157">
        <v>132838.76999999999</v>
      </c>
      <c r="R487" s="157">
        <v>65744.25</v>
      </c>
      <c r="S487" s="157">
        <v>47186.5</v>
      </c>
      <c r="T487" s="125">
        <v>249075.6</v>
      </c>
      <c r="U487" s="125">
        <v>253544.42</v>
      </c>
      <c r="V487" s="125">
        <v>102938.9</v>
      </c>
      <c r="W487" s="125">
        <v>512232</v>
      </c>
      <c r="X487" s="157">
        <v>85693</v>
      </c>
      <c r="Y487" s="125">
        <v>79321.31</v>
      </c>
      <c r="Z487" s="125">
        <v>236596.75</v>
      </c>
      <c r="AA487" s="125">
        <v>290473.69</v>
      </c>
      <c r="AB487" s="125">
        <v>250123.8</v>
      </c>
      <c r="AC487" s="125">
        <v>329539</v>
      </c>
      <c r="AD487" s="125">
        <v>375269.09</v>
      </c>
      <c r="AE487" s="157">
        <v>240078</v>
      </c>
      <c r="AF487" s="157">
        <v>294617</v>
      </c>
      <c r="AG487" s="125">
        <v>165949.26999999999</v>
      </c>
      <c r="AH487" s="125">
        <v>91095</v>
      </c>
      <c r="AI487" s="157">
        <v>197917.16</v>
      </c>
      <c r="AJ487" s="157">
        <v>204736.13</v>
      </c>
      <c r="AK487" s="157">
        <v>298845.39</v>
      </c>
      <c r="AL487" s="125">
        <v>6362742.4299999997</v>
      </c>
    </row>
    <row r="488" spans="1:38" s="117" customFormat="1" ht="15" customHeight="1" x14ac:dyDescent="0.2">
      <c r="A488" s="123" t="s">
        <v>1426</v>
      </c>
      <c r="B488" s="124" t="s">
        <v>1448</v>
      </c>
      <c r="C488" s="157">
        <v>0</v>
      </c>
      <c r="D488" s="125">
        <v>0</v>
      </c>
      <c r="E488" s="157">
        <v>0</v>
      </c>
      <c r="F488" s="125">
        <v>-87597.7</v>
      </c>
      <c r="G488" s="157">
        <v>0</v>
      </c>
      <c r="H488" s="157">
        <v>0</v>
      </c>
      <c r="I488" s="157">
        <v>0</v>
      </c>
      <c r="J488" s="125">
        <v>0</v>
      </c>
      <c r="K488" s="125">
        <v>0</v>
      </c>
      <c r="L488" s="125">
        <v>0</v>
      </c>
      <c r="M488" s="157">
        <v>0</v>
      </c>
      <c r="N488" s="157">
        <v>0</v>
      </c>
      <c r="O488" s="157">
        <v>0</v>
      </c>
      <c r="P488" s="125">
        <v>0</v>
      </c>
      <c r="Q488" s="157">
        <v>0</v>
      </c>
      <c r="R488" s="157">
        <v>0</v>
      </c>
      <c r="S488" s="157">
        <v>0</v>
      </c>
      <c r="T488" s="125">
        <v>0</v>
      </c>
      <c r="U488" s="125">
        <v>0</v>
      </c>
      <c r="V488" s="125">
        <v>0</v>
      </c>
      <c r="W488" s="125">
        <v>0</v>
      </c>
      <c r="X488" s="157">
        <v>0</v>
      </c>
      <c r="Y488" s="125">
        <v>0</v>
      </c>
      <c r="Z488" s="125">
        <v>0</v>
      </c>
      <c r="AA488" s="125">
        <v>0</v>
      </c>
      <c r="AB488" s="125">
        <v>0</v>
      </c>
      <c r="AC488" s="125">
        <v>0</v>
      </c>
      <c r="AD488" s="125">
        <v>0</v>
      </c>
      <c r="AE488" s="157">
        <v>0</v>
      </c>
      <c r="AF488" s="157">
        <v>0</v>
      </c>
      <c r="AG488" s="125">
        <v>0</v>
      </c>
      <c r="AH488" s="125">
        <v>0</v>
      </c>
      <c r="AI488" s="157">
        <v>0</v>
      </c>
      <c r="AJ488" s="157">
        <v>0</v>
      </c>
      <c r="AK488" s="157">
        <v>0</v>
      </c>
      <c r="AL488" s="125">
        <v>-87597.7</v>
      </c>
    </row>
    <row r="489" spans="1:38" s="117" customFormat="1" ht="15" customHeight="1" x14ac:dyDescent="0.2">
      <c r="A489" s="123" t="s">
        <v>679</v>
      </c>
      <c r="B489" s="124" t="s">
        <v>1060</v>
      </c>
      <c r="C489" s="157">
        <v>0</v>
      </c>
      <c r="D489" s="125">
        <v>0</v>
      </c>
      <c r="E489" s="157">
        <v>0</v>
      </c>
      <c r="F489" s="125">
        <v>0</v>
      </c>
      <c r="G489" s="157">
        <v>0</v>
      </c>
      <c r="H489" s="157">
        <v>0</v>
      </c>
      <c r="I489" s="157">
        <v>0</v>
      </c>
      <c r="J489" s="125">
        <v>0</v>
      </c>
      <c r="K489" s="125">
        <v>0</v>
      </c>
      <c r="L489" s="125">
        <v>0</v>
      </c>
      <c r="M489" s="157">
        <v>0</v>
      </c>
      <c r="N489" s="157">
        <v>0</v>
      </c>
      <c r="O489" s="157">
        <v>0</v>
      </c>
      <c r="P489" s="125">
        <v>0</v>
      </c>
      <c r="Q489" s="157">
        <v>0</v>
      </c>
      <c r="R489" s="157">
        <v>0</v>
      </c>
      <c r="S489" s="157">
        <v>0</v>
      </c>
      <c r="T489" s="125">
        <v>0</v>
      </c>
      <c r="U489" s="125">
        <v>59200.92</v>
      </c>
      <c r="V489" s="125">
        <v>0</v>
      </c>
      <c r="W489" s="125">
        <v>0</v>
      </c>
      <c r="X489" s="157">
        <v>0</v>
      </c>
      <c r="Y489" s="125">
        <v>0</v>
      </c>
      <c r="Z489" s="125">
        <v>0</v>
      </c>
      <c r="AA489" s="125">
        <v>0</v>
      </c>
      <c r="AB489" s="125">
        <v>0</v>
      </c>
      <c r="AC489" s="125">
        <v>0</v>
      </c>
      <c r="AD489" s="125">
        <v>0</v>
      </c>
      <c r="AE489" s="157">
        <v>0</v>
      </c>
      <c r="AF489" s="157">
        <v>0</v>
      </c>
      <c r="AG489" s="125">
        <v>0</v>
      </c>
      <c r="AH489" s="125">
        <v>0</v>
      </c>
      <c r="AI489" s="157">
        <v>0</v>
      </c>
      <c r="AJ489" s="157">
        <v>0</v>
      </c>
      <c r="AK489" s="157">
        <v>0</v>
      </c>
      <c r="AL489" s="125">
        <v>59200.92</v>
      </c>
    </row>
    <row r="490" spans="1:38" s="117" customFormat="1" ht="15" customHeight="1" x14ac:dyDescent="0.2">
      <c r="A490" s="123" t="s">
        <v>427</v>
      </c>
      <c r="B490" s="124" t="s">
        <v>1059</v>
      </c>
      <c r="C490" s="157">
        <v>26819.88</v>
      </c>
      <c r="D490" s="125">
        <v>9064.5300000000007</v>
      </c>
      <c r="E490" s="157">
        <v>23144.32</v>
      </c>
      <c r="F490" s="125">
        <v>80427.320000000007</v>
      </c>
      <c r="G490" s="157">
        <v>17960.849999999999</v>
      </c>
      <c r="H490" s="157">
        <v>26700.5</v>
      </c>
      <c r="I490" s="157">
        <v>35067.300000000003</v>
      </c>
      <c r="J490" s="125">
        <v>51526.04</v>
      </c>
      <c r="K490" s="125">
        <v>234839.25</v>
      </c>
      <c r="L490" s="125">
        <v>20401.28</v>
      </c>
      <c r="M490" s="157">
        <v>0</v>
      </c>
      <c r="N490" s="157">
        <v>16870.54</v>
      </c>
      <c r="O490" s="157">
        <v>28885.52</v>
      </c>
      <c r="P490" s="125">
        <v>219.19</v>
      </c>
      <c r="Q490" s="157">
        <v>18012.400000000001</v>
      </c>
      <c r="R490" s="157">
        <v>28500.55</v>
      </c>
      <c r="S490" s="157">
        <v>7500</v>
      </c>
      <c r="T490" s="125">
        <v>32256</v>
      </c>
      <c r="U490" s="125">
        <v>28610.400000000001</v>
      </c>
      <c r="V490" s="125">
        <v>0</v>
      </c>
      <c r="W490" s="125">
        <v>77306.990000000005</v>
      </c>
      <c r="X490" s="157">
        <v>33086.99</v>
      </c>
      <c r="Y490" s="125">
        <v>12743.02</v>
      </c>
      <c r="Z490" s="125">
        <v>0</v>
      </c>
      <c r="AA490" s="125">
        <v>43479.199999999997</v>
      </c>
      <c r="AB490" s="125">
        <v>0</v>
      </c>
      <c r="AC490" s="125">
        <v>56868.88</v>
      </c>
      <c r="AD490" s="125">
        <v>58243.38</v>
      </c>
      <c r="AE490" s="157">
        <v>36217.339999999997</v>
      </c>
      <c r="AF490" s="157">
        <v>0</v>
      </c>
      <c r="AG490" s="125">
        <v>6181.14</v>
      </c>
      <c r="AH490" s="125">
        <v>31911.09</v>
      </c>
      <c r="AI490" s="157">
        <v>31622.400000000001</v>
      </c>
      <c r="AJ490" s="157">
        <v>35679.22</v>
      </c>
      <c r="AK490" s="157">
        <v>36563.269999999997</v>
      </c>
      <c r="AL490" s="125">
        <v>1146708.79</v>
      </c>
    </row>
    <row r="491" spans="1:38" s="117" customFormat="1" ht="15" customHeight="1" x14ac:dyDescent="0.2">
      <c r="A491" s="123" t="s">
        <v>428</v>
      </c>
      <c r="B491" s="124" t="s">
        <v>1058</v>
      </c>
      <c r="C491" s="157">
        <v>2457.15</v>
      </c>
      <c r="D491" s="125">
        <v>0</v>
      </c>
      <c r="E491" s="157">
        <v>6486.96</v>
      </c>
      <c r="F491" s="125">
        <v>17868.650000000001</v>
      </c>
      <c r="G491" s="157">
        <v>0</v>
      </c>
      <c r="H491" s="157">
        <v>3910.32</v>
      </c>
      <c r="I491" s="157">
        <v>491.02</v>
      </c>
      <c r="J491" s="125">
        <v>0</v>
      </c>
      <c r="K491" s="125">
        <v>2930.97</v>
      </c>
      <c r="L491" s="125">
        <v>73553.039999999994</v>
      </c>
      <c r="M491" s="157">
        <v>15145.64</v>
      </c>
      <c r="N491" s="157">
        <v>0</v>
      </c>
      <c r="O491" s="157">
        <v>4493.9399999999996</v>
      </c>
      <c r="P491" s="125">
        <v>14878.56</v>
      </c>
      <c r="Q491" s="157">
        <v>8000.04</v>
      </c>
      <c r="R491" s="157">
        <v>14762.65</v>
      </c>
      <c r="S491" s="157">
        <v>0</v>
      </c>
      <c r="T491" s="125">
        <v>0</v>
      </c>
      <c r="U491" s="125">
        <v>15459.78</v>
      </c>
      <c r="V491" s="125">
        <v>21636.87</v>
      </c>
      <c r="W491" s="125">
        <v>24000</v>
      </c>
      <c r="X491" s="157">
        <v>12150.48</v>
      </c>
      <c r="Y491" s="125">
        <v>1324.22</v>
      </c>
      <c r="Z491" s="125">
        <v>56536.92</v>
      </c>
      <c r="AA491" s="125">
        <v>0</v>
      </c>
      <c r="AB491" s="125">
        <v>0</v>
      </c>
      <c r="AC491" s="125">
        <v>0</v>
      </c>
      <c r="AD491" s="125">
        <v>0</v>
      </c>
      <c r="AE491" s="157">
        <v>0</v>
      </c>
      <c r="AF491" s="157">
        <v>0</v>
      </c>
      <c r="AG491" s="125">
        <v>0</v>
      </c>
      <c r="AH491" s="125">
        <v>9579.09</v>
      </c>
      <c r="AI491" s="157">
        <v>43136.04</v>
      </c>
      <c r="AJ491" s="157">
        <v>12895.94</v>
      </c>
      <c r="AK491" s="157">
        <v>24747.47</v>
      </c>
      <c r="AL491" s="125">
        <v>386445.75</v>
      </c>
    </row>
    <row r="492" spans="1:38" s="117" customFormat="1" ht="15" customHeight="1" x14ac:dyDescent="0.2">
      <c r="A492" s="123" t="s">
        <v>623</v>
      </c>
      <c r="B492" s="124" t="s">
        <v>1057</v>
      </c>
      <c r="C492" s="157">
        <v>6412.91</v>
      </c>
      <c r="D492" s="125">
        <v>30333.31</v>
      </c>
      <c r="E492" s="157">
        <v>0</v>
      </c>
      <c r="F492" s="125">
        <v>20000</v>
      </c>
      <c r="G492" s="157">
        <v>0</v>
      </c>
      <c r="H492" s="157">
        <v>0</v>
      </c>
      <c r="I492" s="157">
        <v>0</v>
      </c>
      <c r="J492" s="125">
        <v>0</v>
      </c>
      <c r="K492" s="125">
        <v>0</v>
      </c>
      <c r="L492" s="125">
        <v>0</v>
      </c>
      <c r="M492" s="157">
        <v>0</v>
      </c>
      <c r="N492" s="157">
        <v>0</v>
      </c>
      <c r="O492" s="157">
        <v>0</v>
      </c>
      <c r="P492" s="125">
        <v>0</v>
      </c>
      <c r="Q492" s="157">
        <v>0</v>
      </c>
      <c r="R492" s="157">
        <v>0</v>
      </c>
      <c r="S492" s="157">
        <v>0</v>
      </c>
      <c r="T492" s="125">
        <v>0</v>
      </c>
      <c r="U492" s="125">
        <v>2838.72</v>
      </c>
      <c r="V492" s="125">
        <v>0</v>
      </c>
      <c r="W492" s="125">
        <v>1023.6</v>
      </c>
      <c r="X492" s="157">
        <v>0</v>
      </c>
      <c r="Y492" s="125">
        <v>0</v>
      </c>
      <c r="Z492" s="125">
        <v>0</v>
      </c>
      <c r="AA492" s="125">
        <v>0</v>
      </c>
      <c r="AB492" s="125">
        <v>0</v>
      </c>
      <c r="AC492" s="125">
        <v>0</v>
      </c>
      <c r="AD492" s="125">
        <v>0</v>
      </c>
      <c r="AE492" s="157">
        <v>0</v>
      </c>
      <c r="AF492" s="157">
        <v>0</v>
      </c>
      <c r="AG492" s="125">
        <v>0</v>
      </c>
      <c r="AH492" s="125">
        <v>0</v>
      </c>
      <c r="AI492" s="157">
        <v>11247.69</v>
      </c>
      <c r="AJ492" s="157">
        <v>41560.03</v>
      </c>
      <c r="AK492" s="157">
        <v>12468.08</v>
      </c>
      <c r="AL492" s="125">
        <v>125884.34</v>
      </c>
    </row>
    <row r="493" spans="1:38" s="117" customFormat="1" ht="15" customHeight="1" x14ac:dyDescent="0.2">
      <c r="A493" s="123" t="s">
        <v>674</v>
      </c>
      <c r="B493" s="124" t="s">
        <v>1056</v>
      </c>
      <c r="C493" s="157">
        <v>0</v>
      </c>
      <c r="D493" s="125">
        <v>0</v>
      </c>
      <c r="E493" s="157">
        <v>0</v>
      </c>
      <c r="F493" s="125">
        <v>0</v>
      </c>
      <c r="G493" s="157">
        <v>0</v>
      </c>
      <c r="H493" s="157">
        <v>0</v>
      </c>
      <c r="I493" s="157">
        <v>0</v>
      </c>
      <c r="J493" s="125">
        <v>0</v>
      </c>
      <c r="K493" s="125">
        <v>0</v>
      </c>
      <c r="L493" s="125">
        <v>0</v>
      </c>
      <c r="M493" s="157">
        <v>0</v>
      </c>
      <c r="N493" s="157">
        <v>0</v>
      </c>
      <c r="O493" s="157">
        <v>0</v>
      </c>
      <c r="P493" s="125">
        <v>0</v>
      </c>
      <c r="Q493" s="157">
        <v>0</v>
      </c>
      <c r="R493" s="157">
        <v>0</v>
      </c>
      <c r="S493" s="157">
        <v>0</v>
      </c>
      <c r="T493" s="125">
        <v>0</v>
      </c>
      <c r="U493" s="125">
        <v>0</v>
      </c>
      <c r="V493" s="125">
        <v>0</v>
      </c>
      <c r="W493" s="125">
        <v>0</v>
      </c>
      <c r="X493" s="157">
        <v>0</v>
      </c>
      <c r="Y493" s="125">
        <v>0</v>
      </c>
      <c r="Z493" s="125">
        <v>0</v>
      </c>
      <c r="AA493" s="125">
        <v>0</v>
      </c>
      <c r="AB493" s="125">
        <v>0</v>
      </c>
      <c r="AC493" s="125">
        <v>0</v>
      </c>
      <c r="AD493" s="125">
        <v>0</v>
      </c>
      <c r="AE493" s="157">
        <v>0</v>
      </c>
      <c r="AF493" s="157">
        <v>0</v>
      </c>
      <c r="AG493" s="125">
        <v>0</v>
      </c>
      <c r="AH493" s="125">
        <v>0</v>
      </c>
      <c r="AI493" s="157">
        <v>987.92</v>
      </c>
      <c r="AJ493" s="157">
        <v>2506.4</v>
      </c>
      <c r="AK493" s="157">
        <v>0</v>
      </c>
      <c r="AL493" s="125">
        <v>3494.32</v>
      </c>
    </row>
    <row r="494" spans="1:38" s="117" customFormat="1" ht="15" customHeight="1" x14ac:dyDescent="0.2">
      <c r="A494" s="123" t="s">
        <v>645</v>
      </c>
      <c r="B494" s="124" t="s">
        <v>1055</v>
      </c>
      <c r="C494" s="157">
        <v>0</v>
      </c>
      <c r="D494" s="125">
        <v>74342.149999999994</v>
      </c>
      <c r="E494" s="157">
        <v>0</v>
      </c>
      <c r="F494" s="125">
        <v>0</v>
      </c>
      <c r="G494" s="157">
        <v>0</v>
      </c>
      <c r="H494" s="157">
        <v>0</v>
      </c>
      <c r="I494" s="157">
        <v>0</v>
      </c>
      <c r="J494" s="125">
        <v>0</v>
      </c>
      <c r="K494" s="125">
        <v>0</v>
      </c>
      <c r="L494" s="125">
        <v>0</v>
      </c>
      <c r="M494" s="157">
        <v>0</v>
      </c>
      <c r="N494" s="157">
        <v>0</v>
      </c>
      <c r="O494" s="157">
        <v>0</v>
      </c>
      <c r="P494" s="125">
        <v>0</v>
      </c>
      <c r="Q494" s="157">
        <v>0</v>
      </c>
      <c r="R494" s="157">
        <v>0</v>
      </c>
      <c r="S494" s="157">
        <v>0</v>
      </c>
      <c r="T494" s="125">
        <v>0</v>
      </c>
      <c r="U494" s="125">
        <v>0</v>
      </c>
      <c r="V494" s="125">
        <v>0</v>
      </c>
      <c r="W494" s="125">
        <v>0</v>
      </c>
      <c r="X494" s="157">
        <v>0</v>
      </c>
      <c r="Y494" s="125">
        <v>0</v>
      </c>
      <c r="Z494" s="125">
        <v>0</v>
      </c>
      <c r="AA494" s="125">
        <v>0</v>
      </c>
      <c r="AB494" s="125">
        <v>0</v>
      </c>
      <c r="AC494" s="125">
        <v>0</v>
      </c>
      <c r="AD494" s="125">
        <v>0</v>
      </c>
      <c r="AE494" s="157">
        <v>0</v>
      </c>
      <c r="AF494" s="157">
        <v>0</v>
      </c>
      <c r="AG494" s="125">
        <v>0</v>
      </c>
      <c r="AH494" s="125">
        <v>0</v>
      </c>
      <c r="AI494" s="157">
        <v>0</v>
      </c>
      <c r="AJ494" s="157">
        <v>0</v>
      </c>
      <c r="AK494" s="157">
        <v>0</v>
      </c>
      <c r="AL494" s="125">
        <v>74342.149999999994</v>
      </c>
    </row>
    <row r="495" spans="1:38" s="117" customFormat="1" ht="15" customHeight="1" x14ac:dyDescent="0.2">
      <c r="A495" s="123" t="s">
        <v>671</v>
      </c>
      <c r="B495" s="124" t="s">
        <v>1054</v>
      </c>
      <c r="C495" s="157">
        <v>0</v>
      </c>
      <c r="D495" s="125">
        <v>0</v>
      </c>
      <c r="E495" s="157">
        <v>0</v>
      </c>
      <c r="F495" s="125">
        <v>0</v>
      </c>
      <c r="G495" s="157">
        <v>0</v>
      </c>
      <c r="H495" s="157">
        <v>0</v>
      </c>
      <c r="I495" s="157">
        <v>0</v>
      </c>
      <c r="J495" s="125">
        <v>0</v>
      </c>
      <c r="K495" s="125">
        <v>0</v>
      </c>
      <c r="L495" s="125">
        <v>0</v>
      </c>
      <c r="M495" s="157">
        <v>0</v>
      </c>
      <c r="N495" s="157">
        <v>0</v>
      </c>
      <c r="O495" s="157">
        <v>0</v>
      </c>
      <c r="P495" s="125">
        <v>0</v>
      </c>
      <c r="Q495" s="157">
        <v>0</v>
      </c>
      <c r="R495" s="157">
        <v>0</v>
      </c>
      <c r="S495" s="157">
        <v>0</v>
      </c>
      <c r="T495" s="125">
        <v>0</v>
      </c>
      <c r="U495" s="125">
        <v>0</v>
      </c>
      <c r="V495" s="125">
        <v>0</v>
      </c>
      <c r="W495" s="125">
        <v>0</v>
      </c>
      <c r="X495" s="157">
        <v>0</v>
      </c>
      <c r="Y495" s="125">
        <v>0</v>
      </c>
      <c r="Z495" s="125">
        <v>0</v>
      </c>
      <c r="AA495" s="125">
        <v>0</v>
      </c>
      <c r="AB495" s="125">
        <v>0</v>
      </c>
      <c r="AC495" s="125">
        <v>0</v>
      </c>
      <c r="AD495" s="125">
        <v>0</v>
      </c>
      <c r="AE495" s="157">
        <v>0</v>
      </c>
      <c r="AF495" s="157">
        <v>0</v>
      </c>
      <c r="AG495" s="125">
        <v>0</v>
      </c>
      <c r="AH495" s="125">
        <v>0</v>
      </c>
      <c r="AI495" s="157">
        <v>1798.08</v>
      </c>
      <c r="AJ495" s="157">
        <v>0</v>
      </c>
      <c r="AK495" s="157">
        <v>0</v>
      </c>
      <c r="AL495" s="125">
        <v>1798.08</v>
      </c>
    </row>
    <row r="496" spans="1:38" s="117" customFormat="1" ht="15" customHeight="1" x14ac:dyDescent="0.2">
      <c r="A496" s="123" t="s">
        <v>556</v>
      </c>
      <c r="B496" s="124" t="s">
        <v>1053</v>
      </c>
      <c r="C496" s="157">
        <v>27730.32</v>
      </c>
      <c r="D496" s="125">
        <v>0</v>
      </c>
      <c r="E496" s="157">
        <v>28565.02</v>
      </c>
      <c r="F496" s="125">
        <v>0</v>
      </c>
      <c r="G496" s="157">
        <v>0</v>
      </c>
      <c r="H496" s="157">
        <v>0</v>
      </c>
      <c r="I496" s="157">
        <v>0</v>
      </c>
      <c r="J496" s="125">
        <v>19023.36</v>
      </c>
      <c r="K496" s="125">
        <v>0</v>
      </c>
      <c r="L496" s="125">
        <v>59894.080000000002</v>
      </c>
      <c r="M496" s="157">
        <v>0</v>
      </c>
      <c r="N496" s="157">
        <v>34837.269999999997</v>
      </c>
      <c r="O496" s="157">
        <v>19663.560000000001</v>
      </c>
      <c r="P496" s="125">
        <v>0</v>
      </c>
      <c r="Q496" s="157">
        <v>31835.41</v>
      </c>
      <c r="R496" s="157">
        <v>19663.63</v>
      </c>
      <c r="S496" s="157">
        <v>0</v>
      </c>
      <c r="T496" s="125">
        <v>0</v>
      </c>
      <c r="U496" s="125">
        <v>0</v>
      </c>
      <c r="V496" s="125">
        <v>35428.199999999997</v>
      </c>
      <c r="W496" s="125">
        <v>0</v>
      </c>
      <c r="X496" s="157">
        <v>0</v>
      </c>
      <c r="Y496" s="125">
        <v>41965.74</v>
      </c>
      <c r="Z496" s="125">
        <v>0</v>
      </c>
      <c r="AA496" s="125">
        <v>0</v>
      </c>
      <c r="AB496" s="125">
        <v>0</v>
      </c>
      <c r="AC496" s="125">
        <v>0</v>
      </c>
      <c r="AD496" s="125">
        <v>0</v>
      </c>
      <c r="AE496" s="157">
        <v>0</v>
      </c>
      <c r="AF496" s="157">
        <v>0</v>
      </c>
      <c r="AG496" s="125">
        <v>0</v>
      </c>
      <c r="AH496" s="125">
        <v>0</v>
      </c>
      <c r="AI496" s="157">
        <v>0</v>
      </c>
      <c r="AJ496" s="157">
        <v>0</v>
      </c>
      <c r="AK496" s="157">
        <v>0</v>
      </c>
      <c r="AL496" s="125">
        <v>318606.59000000003</v>
      </c>
    </row>
    <row r="497" spans="1:38" s="117" customFormat="1" ht="15" customHeight="1" x14ac:dyDescent="0.2">
      <c r="A497" s="123" t="s">
        <v>507</v>
      </c>
      <c r="B497" s="124" t="s">
        <v>1052</v>
      </c>
      <c r="C497" s="157">
        <v>0</v>
      </c>
      <c r="D497" s="125">
        <v>0</v>
      </c>
      <c r="E497" s="157">
        <v>0</v>
      </c>
      <c r="F497" s="125">
        <v>0</v>
      </c>
      <c r="G497" s="157">
        <v>0.31</v>
      </c>
      <c r="H497" s="157">
        <v>0</v>
      </c>
      <c r="I497" s="157">
        <v>0.19</v>
      </c>
      <c r="J497" s="125">
        <v>0</v>
      </c>
      <c r="K497" s="125">
        <v>0</v>
      </c>
      <c r="L497" s="125">
        <v>2985.36</v>
      </c>
      <c r="M497" s="157">
        <v>0</v>
      </c>
      <c r="N497" s="157">
        <v>0</v>
      </c>
      <c r="O497" s="157">
        <v>0</v>
      </c>
      <c r="P497" s="125">
        <v>0</v>
      </c>
      <c r="Q497" s="157">
        <v>0</v>
      </c>
      <c r="R497" s="157">
        <v>0</v>
      </c>
      <c r="S497" s="157">
        <v>0</v>
      </c>
      <c r="T497" s="125">
        <v>0</v>
      </c>
      <c r="U497" s="125">
        <v>2759.29</v>
      </c>
      <c r="V497" s="125">
        <v>0</v>
      </c>
      <c r="W497" s="125">
        <v>0</v>
      </c>
      <c r="X497" s="157">
        <v>0</v>
      </c>
      <c r="Y497" s="125">
        <v>0</v>
      </c>
      <c r="Z497" s="125">
        <v>0</v>
      </c>
      <c r="AA497" s="125">
        <v>4031.32</v>
      </c>
      <c r="AB497" s="125">
        <v>3133</v>
      </c>
      <c r="AC497" s="125">
        <v>3059.96</v>
      </c>
      <c r="AD497" s="125">
        <v>3055.86</v>
      </c>
      <c r="AE497" s="157">
        <v>3040.98</v>
      </c>
      <c r="AF497" s="157">
        <v>3558.87</v>
      </c>
      <c r="AG497" s="125">
        <v>0</v>
      </c>
      <c r="AH497" s="125">
        <v>0</v>
      </c>
      <c r="AI497" s="157">
        <v>0</v>
      </c>
      <c r="AJ497" s="157">
        <v>0</v>
      </c>
      <c r="AK497" s="157">
        <v>0</v>
      </c>
      <c r="AL497" s="125">
        <v>25625.14</v>
      </c>
    </row>
    <row r="498" spans="1:38" s="117" customFormat="1" ht="15" customHeight="1" x14ac:dyDescent="0.2">
      <c r="A498" s="123" t="s">
        <v>606</v>
      </c>
      <c r="B498" s="124" t="s">
        <v>1051</v>
      </c>
      <c r="C498" s="157">
        <v>0</v>
      </c>
      <c r="D498" s="125">
        <v>0</v>
      </c>
      <c r="E498" s="157">
        <v>0</v>
      </c>
      <c r="F498" s="125">
        <v>0</v>
      </c>
      <c r="G498" s="157">
        <v>0</v>
      </c>
      <c r="H498" s="157">
        <v>0</v>
      </c>
      <c r="I498" s="157">
        <v>0</v>
      </c>
      <c r="J498" s="125">
        <v>2826.76</v>
      </c>
      <c r="K498" s="125">
        <v>0</v>
      </c>
      <c r="L498" s="125">
        <v>0</v>
      </c>
      <c r="M498" s="157">
        <v>0</v>
      </c>
      <c r="N498" s="157">
        <v>0</v>
      </c>
      <c r="O498" s="157">
        <v>0</v>
      </c>
      <c r="P498" s="125">
        <v>8243</v>
      </c>
      <c r="Q498" s="157">
        <v>0</v>
      </c>
      <c r="R498" s="157">
        <v>0</v>
      </c>
      <c r="S498" s="157">
        <v>0</v>
      </c>
      <c r="T498" s="125">
        <v>0</v>
      </c>
      <c r="U498" s="125">
        <v>131113.32999999999</v>
      </c>
      <c r="V498" s="125">
        <v>0</v>
      </c>
      <c r="W498" s="125">
        <v>56526.81</v>
      </c>
      <c r="X498" s="157">
        <v>0</v>
      </c>
      <c r="Y498" s="125">
        <v>0</v>
      </c>
      <c r="Z498" s="125">
        <v>0</v>
      </c>
      <c r="AA498" s="125">
        <v>0</v>
      </c>
      <c r="AB498" s="125">
        <v>0</v>
      </c>
      <c r="AC498" s="125">
        <v>0</v>
      </c>
      <c r="AD498" s="125">
        <v>0</v>
      </c>
      <c r="AE498" s="157">
        <v>0</v>
      </c>
      <c r="AF498" s="157">
        <v>0</v>
      </c>
      <c r="AG498" s="125">
        <v>0</v>
      </c>
      <c r="AH498" s="125">
        <v>-0.33</v>
      </c>
      <c r="AI498" s="157">
        <v>96611.13</v>
      </c>
      <c r="AJ498" s="157">
        <v>33849.760000000002</v>
      </c>
      <c r="AK498" s="157">
        <v>49839.42</v>
      </c>
      <c r="AL498" s="125">
        <v>379009.88</v>
      </c>
    </row>
    <row r="499" spans="1:38" s="117" customFormat="1" ht="15" customHeight="1" x14ac:dyDescent="0.2">
      <c r="A499" s="123" t="s">
        <v>508</v>
      </c>
      <c r="B499" s="124" t="s">
        <v>1050</v>
      </c>
      <c r="C499" s="157">
        <v>0</v>
      </c>
      <c r="D499" s="125">
        <v>0</v>
      </c>
      <c r="E499" s="157">
        <v>0</v>
      </c>
      <c r="F499" s="125">
        <v>0</v>
      </c>
      <c r="G499" s="157">
        <v>0</v>
      </c>
      <c r="H499" s="157">
        <v>0</v>
      </c>
      <c r="I499" s="157">
        <v>0</v>
      </c>
      <c r="J499" s="125">
        <v>6843</v>
      </c>
      <c r="K499" s="125">
        <v>0</v>
      </c>
      <c r="L499" s="125">
        <v>0</v>
      </c>
      <c r="M499" s="157">
        <v>0</v>
      </c>
      <c r="N499" s="157">
        <v>73426.679999999993</v>
      </c>
      <c r="O499" s="157">
        <v>0</v>
      </c>
      <c r="P499" s="125">
        <v>0</v>
      </c>
      <c r="Q499" s="157">
        <v>0</v>
      </c>
      <c r="R499" s="157">
        <v>0</v>
      </c>
      <c r="S499" s="157">
        <v>0</v>
      </c>
      <c r="T499" s="125">
        <v>0</v>
      </c>
      <c r="U499" s="125">
        <v>2499.87</v>
      </c>
      <c r="V499" s="125">
        <v>0</v>
      </c>
      <c r="W499" s="125">
        <v>0</v>
      </c>
      <c r="X499" s="157">
        <v>0</v>
      </c>
      <c r="Y499" s="125">
        <v>0</v>
      </c>
      <c r="Z499" s="125">
        <v>0</v>
      </c>
      <c r="AA499" s="125">
        <v>0</v>
      </c>
      <c r="AB499" s="125">
        <v>0</v>
      </c>
      <c r="AC499" s="125">
        <v>0</v>
      </c>
      <c r="AD499" s="125">
        <v>0</v>
      </c>
      <c r="AE499" s="157">
        <v>0</v>
      </c>
      <c r="AF499" s="157">
        <v>0</v>
      </c>
      <c r="AG499" s="125">
        <v>0</v>
      </c>
      <c r="AH499" s="125">
        <v>0</v>
      </c>
      <c r="AI499" s="157">
        <v>2500.04</v>
      </c>
      <c r="AJ499" s="157">
        <v>2500.0300000000002</v>
      </c>
      <c r="AK499" s="157">
        <v>2500.0300000000002</v>
      </c>
      <c r="AL499" s="125">
        <v>90269.65</v>
      </c>
    </row>
    <row r="500" spans="1:38" s="117" customFormat="1" ht="15" customHeight="1" x14ac:dyDescent="0.2">
      <c r="A500" s="123" t="s">
        <v>509</v>
      </c>
      <c r="B500" s="124" t="s">
        <v>1049</v>
      </c>
      <c r="C500" s="157">
        <v>0</v>
      </c>
      <c r="D500" s="125">
        <v>0</v>
      </c>
      <c r="E500" s="157">
        <v>0</v>
      </c>
      <c r="F500" s="125">
        <v>22539.05</v>
      </c>
      <c r="G500" s="157">
        <v>0</v>
      </c>
      <c r="H500" s="157">
        <v>0</v>
      </c>
      <c r="I500" s="157">
        <v>0</v>
      </c>
      <c r="J500" s="125">
        <v>0</v>
      </c>
      <c r="K500" s="125">
        <v>34400</v>
      </c>
      <c r="L500" s="125">
        <v>0</v>
      </c>
      <c r="M500" s="157">
        <v>0</v>
      </c>
      <c r="N500" s="157">
        <v>0</v>
      </c>
      <c r="O500" s="157">
        <v>0</v>
      </c>
      <c r="P500" s="125">
        <v>0</v>
      </c>
      <c r="Q500" s="157">
        <v>0</v>
      </c>
      <c r="R500" s="157">
        <v>0</v>
      </c>
      <c r="S500" s="157">
        <v>0</v>
      </c>
      <c r="T500" s="125">
        <v>0</v>
      </c>
      <c r="U500" s="125">
        <v>0</v>
      </c>
      <c r="V500" s="125">
        <v>0</v>
      </c>
      <c r="W500" s="125">
        <v>0</v>
      </c>
      <c r="X500" s="157">
        <v>0</v>
      </c>
      <c r="Y500" s="125">
        <v>0</v>
      </c>
      <c r="Z500" s="125">
        <v>27989.97</v>
      </c>
      <c r="AA500" s="125">
        <v>0</v>
      </c>
      <c r="AB500" s="125">
        <v>69549</v>
      </c>
      <c r="AC500" s="125">
        <v>0</v>
      </c>
      <c r="AD500" s="125">
        <v>86406.01</v>
      </c>
      <c r="AE500" s="157">
        <v>42351.35</v>
      </c>
      <c r="AF500" s="157">
        <v>63690.53</v>
      </c>
      <c r="AG500" s="125">
        <v>0</v>
      </c>
      <c r="AH500" s="125">
        <v>0</v>
      </c>
      <c r="AI500" s="157">
        <v>0</v>
      </c>
      <c r="AJ500" s="157">
        <v>0</v>
      </c>
      <c r="AK500" s="157">
        <v>0</v>
      </c>
      <c r="AL500" s="125">
        <v>346925.91</v>
      </c>
    </row>
    <row r="501" spans="1:38" s="117" customFormat="1" ht="15" customHeight="1" x14ac:dyDescent="0.2">
      <c r="A501" s="123" t="s">
        <v>429</v>
      </c>
      <c r="B501" s="124" t="s">
        <v>1048</v>
      </c>
      <c r="C501" s="157">
        <v>0</v>
      </c>
      <c r="D501" s="125">
        <v>0</v>
      </c>
      <c r="E501" s="157">
        <v>0</v>
      </c>
      <c r="F501" s="125">
        <v>0</v>
      </c>
      <c r="G501" s="157">
        <v>0</v>
      </c>
      <c r="H501" s="157">
        <v>0</v>
      </c>
      <c r="I501" s="157">
        <v>0</v>
      </c>
      <c r="J501" s="125">
        <v>0</v>
      </c>
      <c r="K501" s="125">
        <v>0</v>
      </c>
      <c r="L501" s="125">
        <v>93329.77</v>
      </c>
      <c r="M501" s="157">
        <v>0</v>
      </c>
      <c r="N501" s="157">
        <v>0</v>
      </c>
      <c r="O501" s="157">
        <v>0</v>
      </c>
      <c r="P501" s="125">
        <v>0</v>
      </c>
      <c r="Q501" s="157">
        <v>0</v>
      </c>
      <c r="R501" s="157">
        <v>0</v>
      </c>
      <c r="S501" s="157">
        <v>0</v>
      </c>
      <c r="T501" s="125">
        <v>0</v>
      </c>
      <c r="U501" s="125">
        <v>0</v>
      </c>
      <c r="V501" s="125">
        <v>0</v>
      </c>
      <c r="W501" s="125">
        <v>0</v>
      </c>
      <c r="X501" s="157">
        <v>0.43</v>
      </c>
      <c r="Y501" s="125">
        <v>0</v>
      </c>
      <c r="Z501" s="125">
        <v>0</v>
      </c>
      <c r="AA501" s="125">
        <v>67196</v>
      </c>
      <c r="AB501" s="125">
        <v>0</v>
      </c>
      <c r="AC501" s="125">
        <v>0</v>
      </c>
      <c r="AD501" s="125">
        <v>0</v>
      </c>
      <c r="AE501" s="157">
        <v>0</v>
      </c>
      <c r="AF501" s="157">
        <v>0</v>
      </c>
      <c r="AG501" s="125">
        <v>0</v>
      </c>
      <c r="AH501" s="125">
        <v>0</v>
      </c>
      <c r="AI501" s="157">
        <v>0</v>
      </c>
      <c r="AJ501" s="157">
        <v>0</v>
      </c>
      <c r="AK501" s="157">
        <v>0</v>
      </c>
      <c r="AL501" s="125">
        <v>160526.20000000001</v>
      </c>
    </row>
    <row r="502" spans="1:38" s="117" customFormat="1" ht="15" customHeight="1" x14ac:dyDescent="0.2">
      <c r="A502" s="123" t="s">
        <v>663</v>
      </c>
      <c r="B502" s="124" t="s">
        <v>1047</v>
      </c>
      <c r="C502" s="157">
        <v>0</v>
      </c>
      <c r="D502" s="125">
        <v>0</v>
      </c>
      <c r="E502" s="157">
        <v>0</v>
      </c>
      <c r="F502" s="125">
        <v>6111.74</v>
      </c>
      <c r="G502" s="157">
        <v>0</v>
      </c>
      <c r="H502" s="157">
        <v>0</v>
      </c>
      <c r="I502" s="157">
        <v>0</v>
      </c>
      <c r="J502" s="125">
        <v>2877.59</v>
      </c>
      <c r="K502" s="125">
        <v>0</v>
      </c>
      <c r="L502" s="125">
        <v>0</v>
      </c>
      <c r="M502" s="157">
        <v>0</v>
      </c>
      <c r="N502" s="157">
        <v>0</v>
      </c>
      <c r="O502" s="157">
        <v>0</v>
      </c>
      <c r="P502" s="125">
        <v>0</v>
      </c>
      <c r="Q502" s="157">
        <v>0</v>
      </c>
      <c r="R502" s="157">
        <v>0</v>
      </c>
      <c r="S502" s="157">
        <v>0</v>
      </c>
      <c r="T502" s="125">
        <v>0</v>
      </c>
      <c r="U502" s="125">
        <v>0</v>
      </c>
      <c r="V502" s="125">
        <v>0</v>
      </c>
      <c r="W502" s="125">
        <v>6579.24</v>
      </c>
      <c r="X502" s="157">
        <v>0</v>
      </c>
      <c r="Y502" s="125">
        <v>0</v>
      </c>
      <c r="Z502" s="125">
        <v>0</v>
      </c>
      <c r="AA502" s="125">
        <v>0</v>
      </c>
      <c r="AB502" s="125">
        <v>0</v>
      </c>
      <c r="AC502" s="125">
        <v>0</v>
      </c>
      <c r="AD502" s="125">
        <v>0</v>
      </c>
      <c r="AE502" s="157">
        <v>0</v>
      </c>
      <c r="AF502" s="157">
        <v>0</v>
      </c>
      <c r="AG502" s="125">
        <v>6790.33</v>
      </c>
      <c r="AH502" s="125">
        <v>0</v>
      </c>
      <c r="AI502" s="157">
        <v>2680.37</v>
      </c>
      <c r="AJ502" s="157">
        <v>2680.4</v>
      </c>
      <c r="AK502" s="157">
        <v>2680.05</v>
      </c>
      <c r="AL502" s="125">
        <v>30399.72</v>
      </c>
    </row>
    <row r="503" spans="1:38" s="117" customFormat="1" ht="15" customHeight="1" x14ac:dyDescent="0.2">
      <c r="A503" s="123" t="s">
        <v>1046</v>
      </c>
      <c r="B503" s="127" t="s">
        <v>1045</v>
      </c>
      <c r="C503" s="164">
        <v>0</v>
      </c>
      <c r="D503" s="129">
        <v>0</v>
      </c>
      <c r="E503" s="164">
        <v>0</v>
      </c>
      <c r="F503" s="129">
        <v>0</v>
      </c>
      <c r="G503" s="164">
        <v>0</v>
      </c>
      <c r="H503" s="164">
        <v>0</v>
      </c>
      <c r="I503" s="164">
        <v>0</v>
      </c>
      <c r="J503" s="129">
        <v>0</v>
      </c>
      <c r="K503" s="129">
        <v>0</v>
      </c>
      <c r="L503" s="129">
        <v>0</v>
      </c>
      <c r="M503" s="164">
        <v>0</v>
      </c>
      <c r="N503" s="164">
        <v>0</v>
      </c>
      <c r="O503" s="164">
        <v>0</v>
      </c>
      <c r="P503" s="129">
        <v>0</v>
      </c>
      <c r="Q503" s="164">
        <v>0</v>
      </c>
      <c r="R503" s="164">
        <v>0</v>
      </c>
      <c r="S503" s="164">
        <v>6926</v>
      </c>
      <c r="T503" s="129">
        <v>0</v>
      </c>
      <c r="U503" s="129">
        <v>0</v>
      </c>
      <c r="V503" s="129">
        <v>0</v>
      </c>
      <c r="W503" s="129">
        <v>0</v>
      </c>
      <c r="X503" s="164">
        <v>0</v>
      </c>
      <c r="Y503" s="129">
        <v>0</v>
      </c>
      <c r="Z503" s="129">
        <v>0</v>
      </c>
      <c r="AA503" s="129">
        <v>0</v>
      </c>
      <c r="AB503" s="129">
        <v>0</v>
      </c>
      <c r="AC503" s="129">
        <v>0</v>
      </c>
      <c r="AD503" s="129">
        <v>0</v>
      </c>
      <c r="AE503" s="164">
        <v>0</v>
      </c>
      <c r="AF503" s="164">
        <v>0</v>
      </c>
      <c r="AG503" s="129">
        <v>0</v>
      </c>
      <c r="AH503" s="129">
        <v>0</v>
      </c>
      <c r="AI503" s="164">
        <v>0</v>
      </c>
      <c r="AJ503" s="164">
        <v>0</v>
      </c>
      <c r="AK503" s="164">
        <v>0</v>
      </c>
      <c r="AL503" s="129">
        <v>6926</v>
      </c>
    </row>
    <row r="504" spans="1:38" s="117" customFormat="1" ht="15" customHeight="1" x14ac:dyDescent="0.2">
      <c r="A504" s="123"/>
      <c r="B504" s="126" t="s">
        <v>1044</v>
      </c>
      <c r="C504" s="165">
        <v>0</v>
      </c>
      <c r="D504" s="128">
        <v>0</v>
      </c>
      <c r="E504" s="165">
        <v>0</v>
      </c>
      <c r="F504" s="128">
        <v>0</v>
      </c>
      <c r="G504" s="165">
        <v>0</v>
      </c>
      <c r="H504" s="165">
        <v>0</v>
      </c>
      <c r="I504" s="165">
        <v>0</v>
      </c>
      <c r="J504" s="128">
        <v>0</v>
      </c>
      <c r="K504" s="128">
        <v>0</v>
      </c>
      <c r="L504" s="128">
        <v>0</v>
      </c>
      <c r="M504" s="165">
        <v>0</v>
      </c>
      <c r="N504" s="165">
        <v>0</v>
      </c>
      <c r="O504" s="165">
        <v>0</v>
      </c>
      <c r="P504" s="128">
        <v>0</v>
      </c>
      <c r="Q504" s="165">
        <v>0</v>
      </c>
      <c r="R504" s="165">
        <v>0</v>
      </c>
      <c r="S504" s="165">
        <v>0</v>
      </c>
      <c r="T504" s="128">
        <v>0</v>
      </c>
      <c r="U504" s="128">
        <v>0</v>
      </c>
      <c r="V504" s="128">
        <v>0</v>
      </c>
      <c r="W504" s="128">
        <v>0</v>
      </c>
      <c r="X504" s="165">
        <v>0</v>
      </c>
      <c r="Y504" s="128">
        <v>0</v>
      </c>
      <c r="Z504" s="128">
        <v>0</v>
      </c>
      <c r="AA504" s="128">
        <v>0</v>
      </c>
      <c r="AB504" s="128">
        <v>0</v>
      </c>
      <c r="AC504" s="128">
        <v>0</v>
      </c>
      <c r="AD504" s="128">
        <v>0</v>
      </c>
      <c r="AE504" s="165">
        <v>0</v>
      </c>
      <c r="AF504" s="165">
        <v>0</v>
      </c>
      <c r="AG504" s="128">
        <v>0</v>
      </c>
      <c r="AH504" s="128">
        <v>0</v>
      </c>
      <c r="AI504" s="165">
        <v>0</v>
      </c>
      <c r="AJ504" s="165">
        <v>0</v>
      </c>
      <c r="AK504" s="165">
        <v>0</v>
      </c>
      <c r="AL504" s="128">
        <v>0</v>
      </c>
    </row>
    <row r="505" spans="1:38" x14ac:dyDescent="0.2">
      <c r="C505" s="163">
        <f>SUM(C213:C503)</f>
        <v>170973.86999999982</v>
      </c>
      <c r="D505" s="153">
        <f t="shared" ref="D505:AK505" si="0">SUM(D213:D503)</f>
        <v>188460.15999999963</v>
      </c>
      <c r="E505" s="163">
        <f t="shared" si="0"/>
        <v>-153817.75999999992</v>
      </c>
      <c r="F505" s="153">
        <f t="shared" si="0"/>
        <v>5045.8499999995092</v>
      </c>
      <c r="G505" s="163">
        <f t="shared" si="0"/>
        <v>-16751.990000001362</v>
      </c>
      <c r="H505" s="163">
        <f t="shared" si="0"/>
        <v>120134.63999999984</v>
      </c>
      <c r="I505" s="163">
        <f t="shared" si="0"/>
        <v>-26144.45000000015</v>
      </c>
      <c r="J505" s="153">
        <f t="shared" si="0"/>
        <v>213707.25000000003</v>
      </c>
      <c r="K505" s="153">
        <f t="shared" si="0"/>
        <v>205140.81000000008</v>
      </c>
      <c r="L505" s="153">
        <f t="shared" si="0"/>
        <v>2409.3800000002229</v>
      </c>
      <c r="M505" s="163">
        <f t="shared" si="0"/>
        <v>-60197.060000000231</v>
      </c>
      <c r="N505" s="163">
        <f t="shared" si="0"/>
        <v>166162.86999999997</v>
      </c>
      <c r="O505" s="163">
        <f t="shared" si="0"/>
        <v>31020.079999999576</v>
      </c>
      <c r="P505" s="153">
        <f t="shared" si="0"/>
        <v>-23964.930000000073</v>
      </c>
      <c r="Q505" s="163">
        <f t="shared" si="0"/>
        <v>87268.329999999813</v>
      </c>
      <c r="R505" s="163">
        <f t="shared" si="0"/>
        <v>-196580.55999999991</v>
      </c>
      <c r="S505" s="163">
        <f t="shared" si="0"/>
        <v>-5985.2500000000728</v>
      </c>
      <c r="T505" s="153">
        <f t="shared" si="0"/>
        <v>208008.1499999997</v>
      </c>
      <c r="U505" s="153">
        <f t="shared" si="0"/>
        <v>29718.770000000619</v>
      </c>
      <c r="V505" s="153">
        <f t="shared" si="0"/>
        <v>-94514.800000000294</v>
      </c>
      <c r="W505" s="153">
        <f t="shared" si="0"/>
        <v>329938.30999999971</v>
      </c>
      <c r="X505" s="163">
        <f t="shared" si="0"/>
        <v>155841.48000000007</v>
      </c>
      <c r="Y505" s="153">
        <f t="shared" si="0"/>
        <v>-570501.43999999878</v>
      </c>
      <c r="Z505" s="153">
        <f t="shared" si="0"/>
        <v>216729.29999999978</v>
      </c>
      <c r="AA505" s="153">
        <f t="shared" si="0"/>
        <v>55469.279999999308</v>
      </c>
      <c r="AB505" s="153">
        <f t="shared" si="0"/>
        <v>2797.7299999992829</v>
      </c>
      <c r="AC505" s="153">
        <f t="shared" si="0"/>
        <v>352623.34999999992</v>
      </c>
      <c r="AD505" s="153">
        <f t="shared" si="0"/>
        <v>63668.140000000531</v>
      </c>
      <c r="AE505" s="163">
        <f t="shared" si="0"/>
        <v>210854.53</v>
      </c>
      <c r="AF505" s="163">
        <f t="shared" si="0"/>
        <v>211218.31000000008</v>
      </c>
      <c r="AG505" s="153">
        <f t="shared" si="0"/>
        <v>-121934.4499999999</v>
      </c>
      <c r="AH505" s="153">
        <f t="shared" si="0"/>
        <v>-405479.40999999986</v>
      </c>
      <c r="AI505" s="163">
        <f t="shared" si="0"/>
        <v>4773.1900000001151</v>
      </c>
      <c r="AJ505" s="163">
        <f t="shared" si="0"/>
        <v>37534.669999999147</v>
      </c>
      <c r="AK505" s="163">
        <f t="shared" si="0"/>
        <v>176774.05999999985</v>
      </c>
    </row>
  </sheetData>
  <mergeCells count="4">
    <mergeCell ref="A1:AL1"/>
    <mergeCell ref="A2:AL2"/>
    <mergeCell ref="A3:AL3"/>
    <mergeCell ref="A4:AL4"/>
  </mergeCells>
  <pageMargins left="0.7" right="0.7" top="0.7" bottom="0.7" header="0.5" footer="0.5"/>
  <pageSetup fitToHeight="990" orientation="landscape" useFirstPageNumber="1"/>
  <headerFooter alignWithMargins="0">
    <oddHeader>&amp;R&amp;B&amp;D &amp;T</oddHeader>
    <oddFooter>&amp;C&amp;B Page &amp;P of &amp;N</oddFooter>
  </headerFooter>
  <rowBreaks count="1" manualBreakCount="1">
    <brk id="43" max="16383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</vt:i4>
      </vt:variant>
    </vt:vector>
  </HeadingPairs>
  <TitlesOfParts>
    <vt:vector size="16" baseType="lpstr">
      <vt:lpstr>Properties List</vt:lpstr>
      <vt:lpstr>Main</vt:lpstr>
      <vt:lpstr>BalSht</vt:lpstr>
      <vt:lpstr>IncStmt</vt:lpstr>
      <vt:lpstr> Working TB 12.31</vt:lpstr>
      <vt:lpstr>Income Statement 8.1 to 12.31</vt:lpstr>
      <vt:lpstr>Actual TB as of 12.31</vt:lpstr>
      <vt:lpstr>LegalNames</vt:lpstr>
      <vt:lpstr>BalSht!Print_Area</vt:lpstr>
      <vt:lpstr>IncStmt!Print_Area</vt:lpstr>
      <vt:lpstr>Main!Print_Area</vt:lpstr>
      <vt:lpstr>'Actual TB as of 12.31'!Print_Titles</vt:lpstr>
      <vt:lpstr>BalSht!Print_Titles</vt:lpstr>
      <vt:lpstr>'Income Statement 8.1 to 12.31'!Print_Titles</vt:lpstr>
      <vt:lpstr>IncStmt!Print_Titles</vt:lpstr>
      <vt:lpstr>Main!Query_from_ODS_PROD</vt:lpstr>
    </vt:vector>
  </TitlesOfParts>
  <Company>ESIC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Sheryl Ostrye</dc:creator>
  <cp:lastModifiedBy>Linnell, Mark</cp:lastModifiedBy>
  <cp:lastPrinted>2018-01-22T21:21:33Z</cp:lastPrinted>
  <dcterms:created xsi:type="dcterms:W3CDTF">2005-05-23T16:44:51Z</dcterms:created>
  <dcterms:modified xsi:type="dcterms:W3CDTF">2018-02-08T17:10:53Z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