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ab_cell2">Operating!$BB$17</definedName>
    <definedName name="Acf_ytd_cell">Operating!$BA$9</definedName>
    <definedName name="Acf_ytd_cell1">Operating!$BA$13</definedName>
    <definedName name="Acf_ytd_cell2">Operating!$BA$17</definedName>
    <definedName name="Acf_ytda_cell">Operating!$AZ$9</definedName>
    <definedName name="Acf_ytda_cell1">Operating!$AZ$13</definedName>
    <definedName name="Acf_ytda_cell2">Operating!$AZ$17</definedName>
    <definedName name="Acf_ytdau_cell">Operating!$BC$9</definedName>
    <definedName name="Acf_ytdau_cell1">Operating!$BC$13</definedName>
    <definedName name="Acf_ytdau_cell2">Operating!$BC$17</definedName>
    <definedName name="Acf_ytdbu_cell">Operating!$BD$9</definedName>
    <definedName name="Acf_ytdbu_cell1">Operating!$BD$13</definedName>
    <definedName name="Acf_ytdbu_cell2">Operating!$BD$17</definedName>
    <definedName name="Adm_ytda_cell">Expenses!$I$5</definedName>
    <definedName name="Adm_ytda_cell1">Expenses!$I$8</definedName>
    <definedName name="Adm_ytda_cell2">Expenses!$I$12</definedName>
    <definedName name="Adm_ytdab_cell">Expenses!$K$5</definedName>
    <definedName name="Adm_ytdab_cell1">Expenses!$K$8</definedName>
    <definedName name="Adm_ytdab_cell2">Expenses!$K$12</definedName>
    <definedName name="Adm_ytdau_cell">Expenses!$L$5</definedName>
    <definedName name="Adm_ytdau_cell1">Expenses!$L$8</definedName>
    <definedName name="Adm_ytdau_cell2">Expenses!$L$12</definedName>
    <definedName name="Adm_ytdb_cell">Expenses!$J$5</definedName>
    <definedName name="Adm_ytdb_cell1">Expenses!$J$8</definedName>
    <definedName name="Adm_ytdb_cell2">Expenses!$J$12</definedName>
    <definedName name="Adm_ytdbu_cell">Expenses!$M$5</definedName>
    <definedName name="Adm_ytdbu_cell1">Expenses!$M$8</definedName>
    <definedName name="Adm_ytdbu_cell2">Expenses!$M$12</definedName>
    <definedName name="Amf_ytd_cell">Operating!$AV$9</definedName>
    <definedName name="Amf_ytd_cell1">Operating!$AV$13</definedName>
    <definedName name="Amf_ytd_cell2">Operating!$AV$17</definedName>
    <definedName name="Amf_ytda_cell">Operating!$AU$9</definedName>
    <definedName name="Amf_ytda_cell1">Operating!$AU$13</definedName>
    <definedName name="Amf_ytda_cell2">Operating!$AU$17</definedName>
    <definedName name="Amf_ytdau_cell">Operating!$AX$9</definedName>
    <definedName name="Amf_ytdau_cell1">Operating!$AX$13</definedName>
    <definedName name="Amf_ytdau_cell2">Operating!$AX$17</definedName>
    <definedName name="Amf_ytdb_cell">Operating!$AW$9</definedName>
    <definedName name="Amf_ytdb_cell1">Operating!$AW$13</definedName>
    <definedName name="Amf_ytdb_cell2">Operating!$AW$17</definedName>
    <definedName name="Amf_ytdbu_cell">Operating!$AY$9</definedName>
    <definedName name="Amf_ytdbu_cell1">Operating!$AY$13</definedName>
    <definedName name="Amf_ytdbu_cell2">Operating!$AY$17</definedName>
    <definedName name="Bd_ytda_cell">Expenses!$N$5</definedName>
    <definedName name="Bd_ytda_cell1">Expenses!$N$8</definedName>
    <definedName name="Bd_ytda_cell2">Expenses!$N$12</definedName>
    <definedName name="Bd_ytdab_cell">Expenses!$P$5</definedName>
    <definedName name="Bd_ytdab_cell1">Expenses!$P$8</definedName>
    <definedName name="Bd_ytdab_cell2">Expenses!$P$12</definedName>
    <definedName name="Bd_ytdau_cell">Expenses!$Q$5</definedName>
    <definedName name="Bd_ytdau_cell1">Expenses!$Q$8</definedName>
    <definedName name="Bd_ytdau_cell2">Expenses!$Q$12</definedName>
    <definedName name="Bd_ytdb_cell">Expenses!$O$5</definedName>
    <definedName name="Bd_ytdb_cell1">Expenses!$O$8</definedName>
    <definedName name="Bd_ytdb_cell2">Expenses!$O$12</definedName>
    <definedName name="Bd_ytdbu_cell">Expenses!$R$5</definedName>
    <definedName name="Bd_ytdbu_cell1">Expenses!$R$8</definedName>
    <definedName name="Bd_ytdbu_cell2">Expenses!$R$12</definedName>
    <definedName name="Cap_ytd_cell">Operating!$AQ$9</definedName>
    <definedName name="Cap_ytd_cell1">Operating!$AQ$13</definedName>
    <definedName name="Cap_ytd_cell2">Operating!$AQ$17</definedName>
    <definedName name="Cap_ytda_cell">Operating!$AP$9</definedName>
    <definedName name="Cap_ytda_cell1">Operating!$AP$13</definedName>
    <definedName name="Cap_ytda_cell2">Operating!$AP$17</definedName>
    <definedName name="Cap_ytdau_cell">Operating!$AS$9</definedName>
    <definedName name="Cap_ytdau_cell1">Operating!$AS$13</definedName>
    <definedName name="Cap_ytdau_cell2">Operating!$AS$17</definedName>
    <definedName name="Cap_ytdb_cell">Operating!$AR$9</definedName>
    <definedName name="Cap_ytdb_cell1">Operating!$AR$13</definedName>
    <definedName name="Cap_ytdb_cell2">Operating!$AR$13</definedName>
    <definedName name="Cap_ytdb_cell3">Operating!$AR$17</definedName>
    <definedName name="Cap_ytdbu_cell">Operating!$AT$9</definedName>
    <definedName name="Cap_ytdbu_cell1">Operating!$AT$13</definedName>
    <definedName name="Cap_ytdbu_cell2">Operating!$AT$17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Exp_Units_cell3">Expenses!$B$12</definedName>
    <definedName name="Exp_Units_cell4">Expenses!$B$14</definedName>
    <definedName name="Fm_ytd_cell">Operating!$AG$9</definedName>
    <definedName name="Fm_ytd_cell1">Operating!$AG$13</definedName>
    <definedName name="Fm_ytd_cell2">Operating!$AG$17</definedName>
    <definedName name="Fm_ytda_cell">Operating!$AF$9</definedName>
    <definedName name="Fm_ytda_cell1">Operating!$AF$13</definedName>
    <definedName name="Fm_ytda_cell2">Operating!$AF$17</definedName>
    <definedName name="Fm_ytdau_cell">Operating!$AI$9</definedName>
    <definedName name="Fm_ytdau_cell1">Operating!$AI$13</definedName>
    <definedName name="Fm_ytdau_cell2">Operating!$AI$17</definedName>
    <definedName name="Fm_ytdb_cell">Operating!$AH$9</definedName>
    <definedName name="Fm_ytdb_cell1">Operating!$AH$13</definedName>
    <definedName name="Fm_ytdb_cell2">Operating!$AH$13</definedName>
    <definedName name="Fm_ytdb_cell3">Operating!$AH$17</definedName>
    <definedName name="Fm_ytdbu_cell">Operating!$AJ$9</definedName>
    <definedName name="Fm_ytdbu_cell1">Operating!$AJ$13</definedName>
    <definedName name="Fm_ytdbu_cell2">Operating!$AJ$17</definedName>
    <definedName name="Ins_ytda_cell">Expenses!$AW$5</definedName>
    <definedName name="Ins_ytda_cell1">Expenses!$AW$8</definedName>
    <definedName name="Ins_ytda_cell2">Expenses!$AW$12</definedName>
    <definedName name="Ins_ytdab_cell">Expenses!$AY$5</definedName>
    <definedName name="Ins_ytdab_cell1">Expenses!$AY$8</definedName>
    <definedName name="Ins_ytdab_cell2">Expenses!$AY$12</definedName>
    <definedName name="Ins_ytdau_cell">Expenses!$AZ$5</definedName>
    <definedName name="Ins_ytdau_cell1">Expenses!$AZ$8</definedName>
    <definedName name="Ins_ytdau_cell2">Expenses!$AZ$12</definedName>
    <definedName name="Ins_ytdb_cell">Expenses!$AX$5</definedName>
    <definedName name="Ins_ytdb_cell1">Expenses!$AX$8</definedName>
    <definedName name="Ins_ytdb_cell2">Expenses!$AX$12</definedName>
    <definedName name="Ins_ytdbu_cell">Expenses!$BA$5</definedName>
    <definedName name="Ins_ytdbu_cell1">Expenses!$BA$8</definedName>
    <definedName name="Ins_ytdbu_cell2">Expenses!$BA$12</definedName>
    <definedName name="Mf_ytda_cell">Expenses!$S$5</definedName>
    <definedName name="Mf_ytda_cell1">Expenses!$S$8</definedName>
    <definedName name="Mf_ytda_cell2">Expenses!$S$12</definedName>
    <definedName name="Mf_ytdab_cell">Expenses!$U$5</definedName>
    <definedName name="Mf_ytdab_cell1">Expenses!$U$8</definedName>
    <definedName name="Mf_ytdab_cell2">Expenses!$U$12</definedName>
    <definedName name="Mf_ytdau_cell">Expenses!$V$5</definedName>
    <definedName name="Mf_ytdau_cell1">Expenses!$V$8</definedName>
    <definedName name="Mf_ytdau_cell2">Expenses!$V$12</definedName>
    <definedName name="Mf_ytdb_cell">Expenses!$T$5</definedName>
    <definedName name="Mf_ytdb_cell1">Expenses!$T$8</definedName>
    <definedName name="Mf_ytdb_cell2">Expenses!$T$12</definedName>
    <definedName name="Mf_ytdbu_cell">Expenses!$W$5</definedName>
    <definedName name="Mf_ytdbu_cell1">Expenses!$W$8</definedName>
    <definedName name="Mf_ytdbu_cell2">Expenses!$W$12</definedName>
    <definedName name="Mgmt_comp_cell">Expenses!$C$4</definedName>
    <definedName name="Mgmt_comp_cell1">Expenses!$C$8</definedName>
    <definedName name="Mgmt_comp_cell2">Expenses!$C$12</definedName>
    <definedName name="Noi_ab_cell">Operating!$AC$9</definedName>
    <definedName name="Noi_ab_cell1">Operating!$AC$13</definedName>
    <definedName name="Noi_ab_cell2">Operating!$AC$17</definedName>
    <definedName name="Noi_ytd_cell">Operating!$AB$9</definedName>
    <definedName name="Noi_ytd_cell1">Operating!$AB$13</definedName>
    <definedName name="Noi_ytd_cell2">Operating!$AB$17</definedName>
    <definedName name="Noi_ytda_cell">Operating!$AA$9</definedName>
    <definedName name="Noi_ytda_cell1">Operating!$AA$13</definedName>
    <definedName name="Noi_ytda_cell2">Operating!$AA$17</definedName>
    <definedName name="Noi_ytdau_cell">Operating!$AD$9</definedName>
    <definedName name="Noi_ytdau_cell1">Operating!$AD$13</definedName>
    <definedName name="Noi_ytdau_cell2">Operating!$AD$17</definedName>
    <definedName name="Noi_ytdb_cell">Operating!$AB$9</definedName>
    <definedName name="Noi_ytdbu_cell">Operating!$AE$9</definedName>
    <definedName name="Noi_ytdbu_cell1">Operating!$AE$13</definedName>
    <definedName name="Noi_ytdbu_cell2">Operating!$AE$17</definedName>
    <definedName name="Oc_ab_cell">Operating!$W$9</definedName>
    <definedName name="Oc_ab_cell1">Operating!$W$13</definedName>
    <definedName name="Oc_ab_cell2">Operating!$W$17</definedName>
    <definedName name="Oc_ytd_cell">Operating!$V$9</definedName>
    <definedName name="Oc_ytd_cell1">Operating!$V$13</definedName>
    <definedName name="Oc_ytd_cell2">Operating!$V$17</definedName>
    <definedName name="Oc_ytda_cell">Operating!$U$9</definedName>
    <definedName name="Oc_ytda_cell1">Operating!$U$13</definedName>
    <definedName name="Oc_ytda_cell2">Operating!$U$17</definedName>
    <definedName name="Oc_ytdaer_cell">Operating!$Z$9</definedName>
    <definedName name="Oc_ytdaer_cell1">Operating!$Z$13</definedName>
    <definedName name="Oc_ytdaer_cell2">Operating!$Z$17</definedName>
    <definedName name="Oc_ytdau_cell">Operating!$X$9</definedName>
    <definedName name="Oc_ytdau_cell1">Operating!$X$13</definedName>
    <definedName name="Oc_ytdau_cell2">Operating!$X$17</definedName>
    <definedName name="Oc_ytdbu_cell">Operating!$Y$9</definedName>
    <definedName name="Oc_ytdbu_cell1">Operating!$Y$13</definedName>
    <definedName name="Oc_ytdbu_cell2">Operating!$Y$17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cupancy_cell2">Operating!$K$17</definedName>
    <definedName name="Ocytd_cell">Operating!$V$9</definedName>
    <definedName name="Ocytd_cell1">Operating!$V$13</definedName>
    <definedName name="Oper_cash_cell">Operating!$E$9</definedName>
    <definedName name="Oper_cash_cell1">Operating!$E$13</definedName>
    <definedName name="Oper_cash_cell2">Operating!$E$17</definedName>
    <definedName name="Oper_other_cell">Operating!$H$9</definedName>
    <definedName name="Oper_other_cell1">Operating!$H$13</definedName>
    <definedName name="Oper_other_cell2">Operating!$H$17</definedName>
    <definedName name="Operating_cell">Operating!$G$9</definedName>
    <definedName name="Operating_cell1">Operating!$G$13</definedName>
    <definedName name="Operating_cell2">Operating!$G$17</definedName>
    <definedName name="Other_cell">Operating!$A$19</definedName>
    <definedName name="Other_cell_end">Operating!$BD$19</definedName>
    <definedName name="Other_cell_start">Operating!$A$18</definedName>
    <definedName name="Other_exp">Expenses!$A$14</definedName>
    <definedName name="Other_exp_end">Expenses!$BF$14</definedName>
    <definedName name="Other_exp_start">Expenses!$A$13</definedName>
    <definedName name="Pay_ytd_cell">Expenses!$E$5</definedName>
    <definedName name="Pay_ytd_cell1">Expenses!$E$8</definedName>
    <definedName name="Pay_ytd_cell2">Expenses!$E$12</definedName>
    <definedName name="Pay_ytda_cell">Expenses!$D$5</definedName>
    <definedName name="Pay_ytda_cell1">Expenses!$D$8</definedName>
    <definedName name="Pay_ytda_cell2">Expenses!$D$12</definedName>
    <definedName name="Pay_ytdab_cell">Expenses!$F$5</definedName>
    <definedName name="Pay_ytdab_cell1">Expenses!$F$8</definedName>
    <definedName name="Pay_ytdab_cell2">Expenses!$F$12</definedName>
    <definedName name="Pay_ytdau_cell">Expenses!$G$5</definedName>
    <definedName name="Pay_ytdau_cell1">Expenses!$G$8</definedName>
    <definedName name="Pay_ytdau_cell2">Expenses!$G$12</definedName>
    <definedName name="Pay_ytdb_cell">Expenses!$E$5</definedName>
    <definedName name="Pay_ytdbu_cell">Expenses!$H$5</definedName>
    <definedName name="Pay_ytdbu_cell1">Expenses!$H$8</definedName>
    <definedName name="Pay_ytdbu_cell2">Expenses!$H$12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plac_cell">Operating!$F$9</definedName>
    <definedName name="Replac_cell1">Operating!$F$13</definedName>
    <definedName name="Replac_cell2">Operating!$F$17</definedName>
    <definedName name="Res_ab_cell">Operating!$AM$9</definedName>
    <definedName name="Res_ab_cell1">Operating!$AM$13</definedName>
    <definedName name="Res_ab_cell2">Operating!$AM$17</definedName>
    <definedName name="Res_ytd_cell">Operating!$AL$9</definedName>
    <definedName name="Res_ytd_cell1">Operating!$AL$13</definedName>
    <definedName name="Res_ytd_cell2">Operating!$AL$17</definedName>
    <definedName name="Res_ytda_cell">Operating!$AK$9</definedName>
    <definedName name="Res_ytda_cell1">Operating!$AK$13</definedName>
    <definedName name="Res_ytda_cell2">Operating!$AK$17</definedName>
    <definedName name="Res_ytdau_cell">Operating!$AN$9</definedName>
    <definedName name="Res_ytdau_cell1">Operating!$AN$13</definedName>
    <definedName name="Res_ytdau_cell2">Operating!$AN$17</definedName>
    <definedName name="Res_ytdbu_cell">Operating!$AO$9</definedName>
    <definedName name="Res_ytdbu_cell1">Operating!$AO$13</definedName>
    <definedName name="Res_ytdbu_cell2">Operating!$AO$17</definedName>
    <definedName name="Rm_ytda_cell">Expenses!$X$5</definedName>
    <definedName name="Rm_ytda_cell1">Expenses!$X$8</definedName>
    <definedName name="Rm_ytda_cell2">Expenses!$X$12</definedName>
    <definedName name="Rm_ytdab_cell">Expenses!$Z$5</definedName>
    <definedName name="Rm_ytdab_cell1">Expenses!$Z$8</definedName>
    <definedName name="Rm_ytdab_cell2">Expenses!$Z$12</definedName>
    <definedName name="Rm_ytdau_cell">Expenses!$AA$5</definedName>
    <definedName name="Rm_ytdau_cell1">Expenses!$AA$8</definedName>
    <definedName name="Rm_ytdau_cell2">Expenses!$AA$12</definedName>
    <definedName name="Rm_ytdb_cell">Expenses!$Y$5</definedName>
    <definedName name="Rm_ytdb_cell1">Expenses!$Y$8</definedName>
    <definedName name="Rm_ytdb_cell2">Expenses!$Y$12</definedName>
    <definedName name="Rm_ytdbu_cell">Expenses!$AB$5</definedName>
    <definedName name="Rm_ytdbu_cell1">Expenses!$AB$8</definedName>
    <definedName name="Rm_ytdbu_cell2">Expenses!$AB$12</definedName>
    <definedName name="Rytd_cell">Operating!$Q$9</definedName>
    <definedName name="Rytd_cell1">Operating!$Q$13</definedName>
    <definedName name="Rytd_cell2">Operating!$Q$17</definedName>
    <definedName name="Rytd_cells">Operating!$Q$13</definedName>
    <definedName name="Rytda_cell">Operating!$P$9</definedName>
    <definedName name="Rytda_cell1">Operating!$P$13</definedName>
    <definedName name="Rytda_cell2">Operating!$P$17</definedName>
    <definedName name="Rytdau_cell">Operating!$S$9</definedName>
    <definedName name="Rytdau_cell1">Operating!$S$13</definedName>
    <definedName name="Rytdau_cell2">Operating!$S$17</definedName>
    <definedName name="Rytdb_cell">Operating!$R$9</definedName>
    <definedName name="Rytdb_cell1">Operating!$R$13</definedName>
    <definedName name="Rytdb_cell2">Operating!$R$17</definedName>
    <definedName name="Rytdbu_cell">Operating!$T$9</definedName>
    <definedName name="Rytdbu_cell1">Operating!$T$13</definedName>
    <definedName name="Rytdbu_cell2">Operating!$T$17</definedName>
    <definedName name="Sec_ytda_cell">Expenses!$AC$5</definedName>
    <definedName name="Sec_ytda_cell1">Expenses!$AC$8</definedName>
    <definedName name="Sec_ytda_cell2">Expenses!$AC$12</definedName>
    <definedName name="Sec_ytdab_cell">Expenses!$AE$5</definedName>
    <definedName name="Sec_ytdab_cell1">Expenses!$AE$8</definedName>
    <definedName name="Sec_ytdab_cell2">Expenses!$AE$12</definedName>
    <definedName name="Sec_ytdau_cell">Expenses!$AF$5</definedName>
    <definedName name="Sec_ytdau_cell1">Expenses!$AF$8</definedName>
    <definedName name="Sec_ytdau_cell2">Expenses!$AF$12</definedName>
    <definedName name="Sec_ytdb_cell">Expenses!$AD$5</definedName>
    <definedName name="Sec_ytdb_cell1">Expenses!$AD$8</definedName>
    <definedName name="Sec_ytdb_cell2">Expenses!$AD$12</definedName>
    <definedName name="Sec_ytdbu_cell">Expenses!$AG$5</definedName>
    <definedName name="Sec_ytdbu_cell1">Expenses!$AG$8</definedName>
    <definedName name="Sec_ytdbu_cell2">Expenses!$AG$12</definedName>
    <definedName name="Status_cell">Operating!$C$9</definedName>
    <definedName name="Status_cell1">Operating!$C$13</definedName>
    <definedName name="Status_cell2">Operating!$C$17</definedName>
    <definedName name="Tax_ytda_cell">Expenses!$AR$5</definedName>
    <definedName name="Tax_ytda_cell1">Expenses!$AR$8</definedName>
    <definedName name="Tax_ytda_cell2">Expenses!$AR$12</definedName>
    <definedName name="Tax_ytdab_cell">Expenses!$AT$5</definedName>
    <definedName name="Tax_ytdab_cell1">Expenses!$AT$8</definedName>
    <definedName name="Tax_ytdab_cell2">Expenses!$AT$12</definedName>
    <definedName name="Tax_ytdau_cell">Expenses!$AU$5</definedName>
    <definedName name="Tax_ytdau_cell1">Expenses!$AU$8</definedName>
    <definedName name="Tax_ytdau_cell2">Expenses!$AU$12</definedName>
    <definedName name="Tax_ytdb_cell">Expenses!$AS$5</definedName>
    <definedName name="Tax_ytdb_cell1">Expenses!$AS$8</definedName>
    <definedName name="Tax_ytdb_cell2">Expenses!$AS$12</definedName>
    <definedName name="Tax_ytdbu_cell">Expenses!$AV$5</definedName>
    <definedName name="Tax_ytdbu_cell1">Expenses!$AV$8</definedName>
    <definedName name="Tax_ytdbu_cell2">Expenses!$AV$12</definedName>
    <definedName name="Toe_ytda_cell">Expenses!$BB$5</definedName>
    <definedName name="Toe_ytda_cell1">Expenses!$BB$8</definedName>
    <definedName name="Toe_ytda_cell2">Expenses!$BB$12</definedName>
    <definedName name="Toe_ytdab_cell">Expenses!$BD$5</definedName>
    <definedName name="Toe_ytdab_cell1">Expenses!$BD$8</definedName>
    <definedName name="Toe_ytdab_cell2">Expenses!$BD$12</definedName>
    <definedName name="Toe_ytdau_cell">Expenses!$BE$5</definedName>
    <definedName name="Toe_ytdau_cell1">Expenses!$BE$8</definedName>
    <definedName name="Toe_ytdau_cell2">Expenses!$BE$12</definedName>
    <definedName name="Toe_ytdb_cell">Expenses!$BC$5</definedName>
    <definedName name="Toe_ytdb_cell1">Expenses!$BC$8</definedName>
    <definedName name="Toe_ytdb_cell2">Expenses!$BC$12</definedName>
    <definedName name="Toe_ytdbu_cell">Expenses!$BF$5</definedName>
    <definedName name="Toe_ytdbu_cell1">Expenses!$BF$8</definedName>
    <definedName name="Toe_ytdbu_cell2">Expenses!$BF$12</definedName>
    <definedName name="Total_cell">Operating!$I$9</definedName>
    <definedName name="Total_cell1">Operating!$I$13</definedName>
    <definedName name="Total_cell2">Operating!$I$17</definedName>
    <definedName name="Units_cell">Operating!$B$9</definedName>
    <definedName name="Units_cell1">Operating!$B$13</definedName>
    <definedName name="Units_cell2">Operating!$B$17</definedName>
    <definedName name="Units_cell3">Operating!$B$21</definedName>
    <definedName name="Util_ytda_cell">Expenses!$AH$5</definedName>
    <definedName name="Util_ytda_cell1">Expenses!$AH$8</definedName>
    <definedName name="Util_ytda_cell2">Expenses!$AH$12</definedName>
    <definedName name="Util_ytdab_cell">Expenses!$AJ$5</definedName>
    <definedName name="Util_ytdab_cell1">Expenses!$AJ$8</definedName>
    <definedName name="Util_ytdab_cell2">Expenses!$AJ$12</definedName>
    <definedName name="Util_ytdau_cell">Expenses!$AK$5</definedName>
    <definedName name="Util_ytdau_cell1">Expenses!$AK$8</definedName>
    <definedName name="Util_ytdau_cell2">Expenses!$AK$12</definedName>
    <definedName name="Util_ytdb_cell">Expenses!$AI$5</definedName>
    <definedName name="Util_ytdb_cell1">Expenses!$AI$8</definedName>
    <definedName name="Util_ytdb_cell2">Expenses!$AI$12</definedName>
    <definedName name="Util_ytdbu_cell">Expenses!$AL$5</definedName>
    <definedName name="Util_ytdbu_cell1">Expenses!$AL$8</definedName>
    <definedName name="Util_ytdbu_cell2">Expenses!$AL$12</definedName>
    <definedName name="Ws_ytda_cell">Expenses!$AM$5</definedName>
    <definedName name="Ws_ytda_cell1">Expenses!$AM$8</definedName>
    <definedName name="Ws_ytda_cell2">Expenses!$AM$12</definedName>
    <definedName name="Ws_ytdab_cell">Expenses!$AO$5</definedName>
    <definedName name="Ws_ytdab_cell1">Expenses!$AO$8</definedName>
    <definedName name="Ws_ytdab_cell2">Expenses!$AO$12</definedName>
    <definedName name="Ws_ytdau_cell">Expenses!$AP$5</definedName>
    <definedName name="Ws_ytdau_cell1">Expenses!$AP$8</definedName>
    <definedName name="Ws_ytdau_cell2">Expenses!$AP$12</definedName>
    <definedName name="Ws_ytdb_cell">Expenses!$AN$5</definedName>
    <definedName name="Ws_ytdb_cell1">Expenses!$AN$8</definedName>
    <definedName name="Ws_ytdb_cell2">Expenses!$AN$12</definedName>
    <definedName name="Ws_ytdbu_cell">Expenses!$AQ$5</definedName>
    <definedName name="Ws_ytdbu_cell1">Expenses!$AQ$8</definedName>
    <definedName name="Ws_ytdbu_cell2">Expenses!$AQ$12</definedName>
    <definedName name="YTD_Budget">Expenses!$E$5</definedName>
    <definedName name="YtdOccupancy_cell">Operating!$J$9</definedName>
    <definedName name="YtdOccupancy_cell1">Operating!$J$13</definedName>
    <definedName name="YtdOccupancy_cell2">Operating!$J$17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1" l="1"/>
  <c r="O16" i="1"/>
  <c r="O12" i="1"/>
  <c r="N20" i="1"/>
  <c r="N16" i="1"/>
  <c r="N12" i="1"/>
  <c r="M20" i="1"/>
  <c r="M16" i="1"/>
  <c r="M12" i="1"/>
  <c r="L20" i="1"/>
  <c r="L16" i="1"/>
  <c r="L12" i="1"/>
  <c r="D20" i="1"/>
  <c r="D16" i="1"/>
  <c r="D12" i="1"/>
  <c r="C22" i="1"/>
  <c r="AT6" i="2"/>
  <c r="AT8" i="2"/>
  <c r="AT9" i="2"/>
  <c r="AT10" i="2"/>
  <c r="AT12" i="2"/>
  <c r="AT13" i="2"/>
  <c r="M22" i="1" l="1"/>
  <c r="L22" i="1"/>
  <c r="O22" i="1"/>
  <c r="D22" i="1"/>
  <c r="N22" i="1"/>
  <c r="J16" i="1"/>
  <c r="AO7" i="2"/>
  <c r="AN7" i="2" s="1"/>
  <c r="AW7" i="2"/>
  <c r="AM12" i="1"/>
  <c r="AL12" i="1" s="1"/>
  <c r="AR11" i="2"/>
  <c r="AH7" i="2"/>
  <c r="AH15" i="2"/>
  <c r="AR15" i="2"/>
  <c r="AM7" i="2"/>
  <c r="E16" i="1"/>
  <c r="R16" i="1"/>
  <c r="Q16" i="1" s="1"/>
  <c r="AJ15" i="2"/>
  <c r="AI15" i="2" s="1"/>
  <c r="AY11" i="2"/>
  <c r="AX11" i="2" s="1"/>
  <c r="AE11" i="2"/>
  <c r="AD11" i="2" s="1"/>
  <c r="AO11" i="2"/>
  <c r="AN11" i="2" s="1"/>
  <c r="AT15" i="2"/>
  <c r="AS15" i="2" s="1"/>
  <c r="AY7" i="2"/>
  <c r="AX7" i="2" s="1"/>
  <c r="B12" i="1"/>
  <c r="B20" i="1"/>
  <c r="F16" i="1"/>
  <c r="G12" i="1"/>
  <c r="G20" i="1"/>
  <c r="K12" i="1"/>
  <c r="K20" i="1"/>
  <c r="AH16" i="1"/>
  <c r="AG12" i="1"/>
  <c r="AJ12" i="1" s="1"/>
  <c r="AK16" i="1"/>
  <c r="K11" i="2"/>
  <c r="J11" i="2" s="1"/>
  <c r="N7" i="2"/>
  <c r="N15" i="2"/>
  <c r="F20" i="1"/>
  <c r="D7" i="2"/>
  <c r="D15" i="2"/>
  <c r="E12" i="1"/>
  <c r="E20" i="1"/>
  <c r="P16" i="1"/>
  <c r="R12" i="1"/>
  <c r="R20" i="1"/>
  <c r="AF12" i="1"/>
  <c r="AF20" i="1"/>
  <c r="AP12" i="1"/>
  <c r="AP20" i="1"/>
  <c r="F12" i="1"/>
  <c r="I16" i="1"/>
  <c r="K22" i="1"/>
  <c r="H16" i="1"/>
  <c r="I12" i="1"/>
  <c r="I20" i="1"/>
  <c r="J22" i="1"/>
  <c r="B16" i="1"/>
  <c r="G16" i="1"/>
  <c r="H12" i="1"/>
  <c r="H20" i="1"/>
  <c r="K16" i="1"/>
  <c r="P12" i="1"/>
  <c r="P20" i="1"/>
  <c r="U11" i="2"/>
  <c r="T11" i="2" s="1"/>
  <c r="X7" i="2"/>
  <c r="X15" i="2"/>
  <c r="AF16" i="1"/>
  <c r="AH12" i="1"/>
  <c r="AH20" i="1"/>
  <c r="AO12" i="1"/>
  <c r="AM20" i="1"/>
  <c r="AG20" i="1"/>
  <c r="AR16" i="1"/>
  <c r="AQ12" i="1"/>
  <c r="AT12" i="1" s="1"/>
  <c r="AK12" i="1"/>
  <c r="AK20" i="1"/>
  <c r="AM16" i="1"/>
  <c r="AL16" i="1" s="1"/>
  <c r="AP16" i="1"/>
  <c r="AR12" i="1"/>
  <c r="AR20" i="1"/>
  <c r="AU16" i="1"/>
  <c r="AW12" i="1"/>
  <c r="AV16" i="1"/>
  <c r="AU12" i="1"/>
  <c r="AU20" i="1"/>
  <c r="D11" i="2"/>
  <c r="F7" i="2"/>
  <c r="E7" i="2" s="1"/>
  <c r="AW20" i="1"/>
  <c r="F11" i="2"/>
  <c r="E11" i="2" s="1"/>
  <c r="F15" i="2"/>
  <c r="E15" i="2" s="1"/>
  <c r="AW16" i="1"/>
  <c r="I7" i="2"/>
  <c r="I15" i="2"/>
  <c r="N11" i="2"/>
  <c r="P15" i="2"/>
  <c r="O15" i="2" s="1"/>
  <c r="X11" i="2"/>
  <c r="Z15" i="2"/>
  <c r="Y15" i="2" s="1"/>
  <c r="AH11" i="2"/>
  <c r="K7" i="2"/>
  <c r="J7" i="2" s="1"/>
  <c r="U7" i="2"/>
  <c r="T7" i="2" s="1"/>
  <c r="AE7" i="2"/>
  <c r="AD7" i="2" s="1"/>
  <c r="S7" i="2"/>
  <c r="AC7" i="2"/>
  <c r="AR7" i="2"/>
  <c r="AT11" i="2"/>
  <c r="AS11" i="2" s="1"/>
  <c r="AW11" i="2"/>
  <c r="AY15" i="2"/>
  <c r="AX15" i="2" s="1"/>
  <c r="I11" i="2"/>
  <c r="K15" i="2"/>
  <c r="J15" i="2" s="1"/>
  <c r="S11" i="2"/>
  <c r="U15" i="2"/>
  <c r="T15" i="2" s="1"/>
  <c r="AC11" i="2"/>
  <c r="AE15" i="2"/>
  <c r="AD15" i="2" s="1"/>
  <c r="AM11" i="2"/>
  <c r="AO15" i="2"/>
  <c r="AN15" i="2" s="1"/>
  <c r="AW15" i="2"/>
  <c r="P11" i="2"/>
  <c r="O11" i="2" s="1"/>
  <c r="S15" i="2"/>
  <c r="Z11" i="2"/>
  <c r="Y11" i="2" s="1"/>
  <c r="AC15" i="2"/>
  <c r="AJ11" i="2"/>
  <c r="AI11" i="2" s="1"/>
  <c r="AM15" i="2"/>
  <c r="P7" i="2"/>
  <c r="O7" i="2" s="1"/>
  <c r="Z7" i="2"/>
  <c r="Y7" i="2" s="1"/>
  <c r="AJ7" i="2"/>
  <c r="AI7" i="2" s="1"/>
  <c r="AT7" i="2"/>
  <c r="AS7" i="2" s="1"/>
  <c r="BF136" i="2"/>
  <c r="BE136" i="2"/>
  <c r="AZ136" i="2"/>
  <c r="AU136" i="2"/>
  <c r="AP136" i="2"/>
  <c r="AK136" i="2"/>
  <c r="AF136" i="2"/>
  <c r="AA136" i="2"/>
  <c r="V136" i="2"/>
  <c r="Q136" i="2"/>
  <c r="L136" i="2"/>
  <c r="G136" i="2"/>
  <c r="AX136" i="2"/>
  <c r="BA136" i="2" s="1"/>
  <c r="AS136" i="2"/>
  <c r="AV136" i="2" s="1"/>
  <c r="AN136" i="2"/>
  <c r="AQ136" i="2" s="1"/>
  <c r="AI136" i="2"/>
  <c r="AL136" i="2" s="1"/>
  <c r="AD136" i="2"/>
  <c r="AG136" i="2" s="1"/>
  <c r="Y136" i="2"/>
  <c r="AB136" i="2" s="1"/>
  <c r="T136" i="2"/>
  <c r="W136" i="2" s="1"/>
  <c r="O136" i="2"/>
  <c r="R136" i="2" s="1"/>
  <c r="J136" i="2"/>
  <c r="M136" i="2" s="1"/>
  <c r="E136" i="2"/>
  <c r="H136" i="2" s="1"/>
  <c r="AX12" i="1" l="1"/>
  <c r="AX16" i="1"/>
  <c r="AO16" i="1"/>
  <c r="AI12" i="1"/>
  <c r="AY16" i="1"/>
  <c r="AN12" i="1"/>
  <c r="AI16" i="1"/>
  <c r="AS12" i="1"/>
  <c r="AR22" i="1"/>
  <c r="H22" i="1"/>
  <c r="AS16" i="1"/>
  <c r="AV12" i="1"/>
  <c r="AY12" i="1" s="1"/>
  <c r="AK22" i="1"/>
  <c r="AN20" i="1"/>
  <c r="R22" i="1"/>
  <c r="Q20" i="1"/>
  <c r="F22" i="1"/>
  <c r="T16" i="1"/>
  <c r="BD15" i="2"/>
  <c r="AW22" i="1"/>
  <c r="BD7" i="2"/>
  <c r="BB11" i="2"/>
  <c r="AU22" i="1"/>
  <c r="AX20" i="1"/>
  <c r="AH22" i="1"/>
  <c r="S20" i="1"/>
  <c r="P22" i="1"/>
  <c r="S12" i="1"/>
  <c r="B11" i="2"/>
  <c r="Q11" i="2" s="1"/>
  <c r="J20" i="1"/>
  <c r="Q12" i="1"/>
  <c r="S16" i="1"/>
  <c r="E22" i="1"/>
  <c r="BD11" i="2"/>
  <c r="H11" i="2"/>
  <c r="AP11" i="2"/>
  <c r="V11" i="2"/>
  <c r="AA11" i="2"/>
  <c r="AP22" i="1"/>
  <c r="AS20" i="1"/>
  <c r="BB15" i="2"/>
  <c r="M11" i="2"/>
  <c r="G22" i="1"/>
  <c r="B15" i="2"/>
  <c r="AQ15" i="2" s="1"/>
  <c r="L11" i="2"/>
  <c r="AK11" i="2"/>
  <c r="AL11" i="2"/>
  <c r="R11" i="2"/>
  <c r="AG15" i="2"/>
  <c r="AV11" i="2"/>
  <c r="H15" i="2"/>
  <c r="AV20" i="1"/>
  <c r="AQ20" i="1"/>
  <c r="BC11" i="2"/>
  <c r="BF11" i="2" s="1"/>
  <c r="Y16" i="1" s="1"/>
  <c r="AQ16" i="1"/>
  <c r="AT16" i="1" s="1"/>
  <c r="AJ20" i="1"/>
  <c r="AL20" i="1"/>
  <c r="AO20" i="1" s="1"/>
  <c r="AM22" i="1"/>
  <c r="AL22" i="1" s="1"/>
  <c r="AA15" i="2"/>
  <c r="W11" i="2"/>
  <c r="I22" i="1"/>
  <c r="AF22" i="1"/>
  <c r="AI20" i="1"/>
  <c r="BB7" i="2"/>
  <c r="AN16" i="1"/>
  <c r="AG16" i="1"/>
  <c r="AJ16" i="1" s="1"/>
  <c r="B22" i="1"/>
  <c r="B7" i="2"/>
  <c r="G7" i="2" s="1"/>
  <c r="B57" i="4"/>
  <c r="J12" i="1" s="1"/>
  <c r="Q15" i="2" l="1"/>
  <c r="R15" i="2"/>
  <c r="AZ15" i="2"/>
  <c r="AZ11" i="2"/>
  <c r="G15" i="2"/>
  <c r="M15" i="2"/>
  <c r="AI22" i="1"/>
  <c r="AO22" i="1"/>
  <c r="AT20" i="1"/>
  <c r="AQ22" i="1"/>
  <c r="AT22" i="1" s="1"/>
  <c r="AL7" i="2"/>
  <c r="U20" i="1"/>
  <c r="AS22" i="1"/>
  <c r="AG7" i="2"/>
  <c r="AG11" i="2"/>
  <c r="AU11" i="2"/>
  <c r="BA11" i="2"/>
  <c r="AQ11" i="2"/>
  <c r="L7" i="2"/>
  <c r="W12" i="1"/>
  <c r="AC12" i="1" s="1"/>
  <c r="BB12" i="1"/>
  <c r="W20" i="1"/>
  <c r="BB20" i="1"/>
  <c r="M7" i="2"/>
  <c r="T20" i="1"/>
  <c r="AK7" i="2"/>
  <c r="AZ7" i="2"/>
  <c r="BA7" i="2"/>
  <c r="AQ7" i="2"/>
  <c r="AP7" i="2"/>
  <c r="BE7" i="2"/>
  <c r="X12" i="1" s="1"/>
  <c r="AD12" i="1" s="1"/>
  <c r="W7" i="2"/>
  <c r="AL15" i="2"/>
  <c r="AU15" i="2"/>
  <c r="AV15" i="2"/>
  <c r="AK15" i="2"/>
  <c r="AF7" i="2"/>
  <c r="V15" i="2"/>
  <c r="AU7" i="2"/>
  <c r="T12" i="1"/>
  <c r="S22" i="1"/>
  <c r="AB15" i="2"/>
  <c r="AB11" i="2"/>
  <c r="G11" i="2"/>
  <c r="BC15" i="2"/>
  <c r="BF15" i="2" s="1"/>
  <c r="Y20" i="1" s="1"/>
  <c r="AF11" i="2"/>
  <c r="AA7" i="2"/>
  <c r="AV22" i="1"/>
  <c r="AY22" i="1" s="1"/>
  <c r="AY20" i="1"/>
  <c r="V7" i="2"/>
  <c r="BE15" i="2"/>
  <c r="X20" i="1" s="1"/>
  <c r="AD20" i="1" s="1"/>
  <c r="AP15" i="2"/>
  <c r="AF15" i="2"/>
  <c r="BE11" i="2"/>
  <c r="X16" i="1" s="1"/>
  <c r="AD16" i="1" s="1"/>
  <c r="BA15" i="2"/>
  <c r="R7" i="2"/>
  <c r="U16" i="1"/>
  <c r="AB7" i="2"/>
  <c r="Q22" i="1"/>
  <c r="Q7" i="2"/>
  <c r="U12" i="1"/>
  <c r="AG22" i="1"/>
  <c r="AJ22" i="1" s="1"/>
  <c r="BC7" i="2"/>
  <c r="BF7" i="2" s="1"/>
  <c r="Y12" i="1" s="1"/>
  <c r="AV7" i="2"/>
  <c r="L15" i="2"/>
  <c r="W16" i="1"/>
  <c r="AC16" i="1" s="1"/>
  <c r="BB16" i="1"/>
  <c r="AX22" i="1"/>
  <c r="H7" i="2"/>
  <c r="W15" i="2"/>
  <c r="AE16" i="1"/>
  <c r="AN22" i="1"/>
  <c r="AH3" i="2"/>
  <c r="BB22" i="1" l="1"/>
  <c r="AZ12" i="1"/>
  <c r="BC12" i="1" s="1"/>
  <c r="Z16" i="1"/>
  <c r="AA16" i="1"/>
  <c r="AE12" i="1"/>
  <c r="W22" i="1"/>
  <c r="AC22" i="1" s="1"/>
  <c r="AC20" i="1"/>
  <c r="Z20" i="1"/>
  <c r="U22" i="1"/>
  <c r="AA20" i="1"/>
  <c r="V12" i="1"/>
  <c r="AB12" i="1" s="1"/>
  <c r="T22" i="1"/>
  <c r="AZ16" i="1"/>
  <c r="BC16" i="1" s="1"/>
  <c r="V16" i="1"/>
  <c r="AB16" i="1" s="1"/>
  <c r="AE20" i="1"/>
  <c r="V20" i="1"/>
  <c r="Z12" i="1"/>
  <c r="AA12" i="1"/>
  <c r="BA20" i="1"/>
  <c r="BA16" i="1"/>
  <c r="BD16" i="1" s="1"/>
  <c r="AZ20" i="1"/>
  <c r="BA12" i="1" l="1"/>
  <c r="BD12" i="1" s="1"/>
  <c r="V22" i="1"/>
  <c r="AB22" i="1" s="1"/>
  <c r="AB20" i="1"/>
  <c r="AZ22" i="1"/>
  <c r="BC22" i="1" s="1"/>
  <c r="BC20" i="1"/>
  <c r="BD20" i="1"/>
  <c r="BA22" i="1"/>
  <c r="BD22" i="1" s="1"/>
  <c r="Z22" i="1"/>
  <c r="Y22" i="1" s="1"/>
  <c r="X22" i="1" s="1"/>
  <c r="AA22" i="1"/>
  <c r="AE22" i="1" l="1"/>
  <c r="AD22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13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<sst xmlns="http://schemas.openxmlformats.org/spreadsheetml/2006/main" count="211" uniqueCount="84">
  <si>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</si>
  <si>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</si>
  <si>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</si>
  <si>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</si>
  <si>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</si>
  <si>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</si>
  <si>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</si>
  <si>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</si>
  <si>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</si>
  <si>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</si>
  <si>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</si>
  <si>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</si>
  <si>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</si>
  <si>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</si>
  <si>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</si>
  <si>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</si>
  <si>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</si>
  <si>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</si>
  <si>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</si>
  <si>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</si>
  <si>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</si>
  <si>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</si>
  <si>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</si>
  <si>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</si>
  <si>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</si>
  <si>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</si>
  <si>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</si>
  <si>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</si>
  <si>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</si>
  <si>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</si>
  <si>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</si>
  <si>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</si>
  <si>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</si>
  <si>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</si>
  <si>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</si>
  <si>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</si>
  <si>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</si>
  <si>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</si>
  <si>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</si>
  <si>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</si>
  <si>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</si>
  <si>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</si>
  <si>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</si>
  <si>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</si>
  <si>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</si>
  <si>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</si>
  <si>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</si>
  <si>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</si>
  <si>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</si>
  <si>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</si>
  <si>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</si>
  <si>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</si>
  <si>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</si>
  <si>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</si>
  <si>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</si>
  <si>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</si>
  <si>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</si>
  <si>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</si>
  <si>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</si>
  <si>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</si>
  <si>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</si>
  <si>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</si>
  <si>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</si>
  <si>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</si>
  <si>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</si>
  <si>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</si>
  <si>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</si>
  <si>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</si>
  <si>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</si>
  <si>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</si>
  <si>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</si>
  <si>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</si>
  <si>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</si>
  <si>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</si>
  <si>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</si>
  <si>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</si>
  <si>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</si>
  <si>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</si>
  <si>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</si>
  <si>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Other Totals/Avg</t>
  </si>
  <si>
    <t>March 2018 YTD Operating and Budgeted Results</t>
  </si>
  <si>
    <t>3/31/2018 Cash and Reserve Balances</t>
  </si>
  <si>
    <t>EHI 2018 Operating Expenses</t>
  </si>
  <si>
    <t xml:space="preserve"> Actual Occupancy @ 5/11/2018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</si>
</sst>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59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6" xfId="0" applyFont="1" applyBorder="1"/>
    <xf numFmtId="0" fontId="9" fillId="0" borderId="0" xfId="0" applyFont="1"/>
    <xf numFmtId="0" fontId="0" fillId="0" borderId="30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6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3" xfId="0" applyFont="1" applyBorder="1" applyAlignme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6" fillId="0" borderId="26" xfId="0" applyNumberFormat="1" applyFont="1" applyBorder="1" applyAlignment="1"/>
    <xf numFmtId="14" fontId="12" fillId="0" borderId="26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6" xfId="4" applyNumberFormat="1" applyFont="1" applyBorder="1" applyAlignment="1">
      <alignment horizontal="center"/>
    </xf>
    <xf numFmtId="166" fontId="12" fillId="0" borderId="26" xfId="0" applyNumberFormat="1" applyFont="1" applyBorder="1" applyAlignment="1">
      <alignment horizontal="center"/>
    </xf>
    <xf numFmtId="0" fontId="17" fillId="3" borderId="26" xfId="6" applyFont="1" applyBorder="1" applyAlignment="1">
      <alignment horizontal="center" wrapText="1"/>
    </xf>
    <xf numFmtId="0" fontId="11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165" fontId="7" fillId="0" borderId="26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4" fillId="0" borderId="25" xfId="0" applyFont="1" applyFill="1" applyBorder="1" applyAlignment="1">
      <alignment horizontal="left" indent="1"/>
    </xf>
    <xf numFmtId="0" fontId="18" fillId="0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left" indent="1"/>
    </xf>
    <xf numFmtId="0" fontId="4" fillId="6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right"/>
    </xf>
    <xf numFmtId="0" fontId="4" fillId="6" borderId="23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4" borderId="26" xfId="0" applyFont="1" applyFill="1" applyBorder="1" applyAlignment="1">
      <alignment horizontal="right"/>
    </xf>
    <xf numFmtId="0" fontId="4" fillId="5" borderId="26" xfId="0" applyFont="1" applyFill="1" applyBorder="1" applyAlignment="1">
      <alignment horizontal="right"/>
    </xf>
    <xf numFmtId="0" fontId="4" fillId="6" borderId="28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0" borderId="26" xfId="0" applyFont="1" applyFill="1" applyBorder="1" applyAlignment="1"/>
    <xf numFmtId="165" fontId="22" fillId="4" borderId="27" xfId="1" applyNumberFormat="1" applyFont="1" applyFill="1" applyBorder="1" applyAlignment="1"/>
    <xf numFmtId="165" fontId="6" fillId="4" borderId="26" xfId="1" applyNumberFormat="1" applyFont="1" applyFill="1" applyBorder="1" applyAlignment="1"/>
    <xf numFmtId="165" fontId="22" fillId="4" borderId="26" xfId="1" applyNumberFormat="1" applyFont="1" applyFill="1" applyBorder="1" applyAlignment="1"/>
    <xf numFmtId="165" fontId="22" fillId="5" borderId="26" xfId="1" applyNumberFormat="1" applyFont="1" applyFill="1" applyBorder="1" applyAlignment="1"/>
    <xf numFmtId="165" fontId="6" fillId="5" borderId="26" xfId="1" applyNumberFormat="1" applyFont="1" applyFill="1" applyBorder="1" applyAlignment="1"/>
    <xf numFmtId="165" fontId="6" fillId="4" borderId="23" xfId="1" applyNumberFormat="1" applyFont="1" applyFill="1" applyBorder="1" applyAlignment="1"/>
    <xf numFmtId="41" fontId="23" fillId="5" borderId="26" xfId="1" applyNumberFormat="1" applyFont="1" applyFill="1" applyBorder="1" applyAlignment="1"/>
    <xf numFmtId="165" fontId="6" fillId="5" borderId="28" xfId="1" applyNumberFormat="1" applyFont="1" applyFill="1" applyBorder="1" applyAlignment="1"/>
    <xf numFmtId="165" fontId="22" fillId="4" borderId="24" xfId="1" applyNumberFormat="1" applyFont="1" applyFill="1" applyBorder="1" applyAlignment="1"/>
    <xf numFmtId="165" fontId="24" fillId="5" borderId="26" xfId="1" applyNumberFormat="1" applyFont="1" applyFill="1" applyBorder="1" applyAlignment="1"/>
    <xf numFmtId="165" fontId="6" fillId="6" borderId="26" xfId="1" applyNumberFormat="1" applyFont="1" applyFill="1" applyBorder="1" applyAlignment="1"/>
    <xf numFmtId="165" fontId="6" fillId="6" borderId="28" xfId="1" applyNumberFormat="1" applyFont="1" applyFill="1" applyBorder="1" applyAlignment="1"/>
    <xf numFmtId="0" fontId="22" fillId="0" borderId="23" xfId="0" applyFont="1" applyFill="1" applyBorder="1" applyAlignment="1"/>
    <xf numFmtId="166" fontId="10" fillId="7" borderId="26" xfId="2" applyNumberFormat="1" applyFont="1" applyFill="1" applyBorder="1" applyAlignment="1">
      <alignment horizontal="center"/>
    </xf>
    <xf numFmtId="166" fontId="10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9" fillId="4" borderId="27" xfId="1" applyNumberFormat="1" applyFont="1" applyFill="1" applyBorder="1" applyAlignment="1">
      <alignment horizontal="right"/>
    </xf>
    <xf numFmtId="165" fontId="7" fillId="4" borderId="26" xfId="1" applyNumberFormat="1" applyFont="1" applyFill="1" applyBorder="1" applyAlignment="1">
      <alignment horizontal="right"/>
    </xf>
    <xf numFmtId="165" fontId="19" fillId="4" borderId="26" xfId="1" applyNumberFormat="1" applyFont="1" applyFill="1" applyBorder="1" applyAlignment="1">
      <alignment horizontal="right"/>
    </xf>
    <xf numFmtId="165" fontId="19" fillId="5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4" borderId="23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165" fontId="6" fillId="0" borderId="26" xfId="0" applyNumberFormat="1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right"/>
    </xf>
    <xf numFmtId="165" fontId="6" fillId="5" borderId="26" xfId="1" applyNumberFormat="1" applyFont="1" applyFill="1" applyBorder="1" applyAlignment="1">
      <alignment horizontal="right"/>
    </xf>
    <xf numFmtId="165" fontId="6" fillId="4" borderId="23" xfId="1" applyNumberFormat="1" applyFont="1" applyFill="1" applyBorder="1" applyAlignment="1">
      <alignment horizontal="right"/>
    </xf>
    <xf numFmtId="165" fontId="6" fillId="5" borderId="28" xfId="1" applyNumberFormat="1" applyFont="1" applyFill="1" applyBorder="1" applyAlignment="1">
      <alignment horizontal="right"/>
    </xf>
    <xf numFmtId="165" fontId="6" fillId="6" borderId="26" xfId="1" applyNumberFormat="1" applyFont="1" applyFill="1" applyBorder="1" applyAlignment="1">
      <alignment horizontal="right"/>
    </xf>
    <xf numFmtId="165" fontId="6" fillId="6" borderId="28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19" fillId="0" borderId="26" xfId="0" applyNumberFormat="1" applyFont="1" applyFill="1" applyBorder="1" applyAlignment="1">
      <alignment horizontal="right"/>
    </xf>
    <xf numFmtId="165" fontId="7" fillId="0" borderId="26" xfId="0" applyNumberFormat="1" applyFont="1" applyFill="1" applyBorder="1" applyAlignment="1">
      <alignment horizontal="right"/>
    </xf>
    <xf numFmtId="165" fontId="7" fillId="6" borderId="26" xfId="0" applyNumberFormat="1" applyFont="1" applyFill="1" applyBorder="1" applyAlignment="1">
      <alignment horizontal="right"/>
    </xf>
    <xf numFmtId="165" fontId="7" fillId="6" borderId="23" xfId="0" applyNumberFormat="1" applyFont="1" applyFill="1" applyBorder="1" applyAlignment="1">
      <alignment horizontal="right"/>
    </xf>
    <xf numFmtId="165" fontId="7" fillId="4" borderId="26" xfId="0" applyNumberFormat="1" applyFont="1" applyFill="1" applyBorder="1" applyAlignment="1">
      <alignment horizontal="right"/>
    </xf>
    <xf numFmtId="165" fontId="7" fillId="5" borderId="26" xfId="0" applyNumberFormat="1" applyFont="1" applyFill="1" applyBorder="1" applyAlignment="1">
      <alignment horizontal="right"/>
    </xf>
    <xf numFmtId="165" fontId="7" fillId="6" borderId="28" xfId="0" applyNumberFormat="1" applyFont="1" applyFill="1" applyBorder="1" applyAlignment="1">
      <alignment horizontal="right"/>
    </xf>
    <xf numFmtId="165" fontId="6" fillId="0" borderId="25" xfId="0" applyNumberFormat="1" applyFont="1" applyFill="1" applyBorder="1" applyAlignment="1">
      <alignment horizontal="right"/>
    </xf>
    <xf numFmtId="165" fontId="22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4" borderId="26" xfId="0" applyNumberFormat="1" applyFont="1" applyFill="1" applyBorder="1" applyAlignment="1">
      <alignment horizontal="right"/>
    </xf>
    <xf numFmtId="165" fontId="6" fillId="5" borderId="26" xfId="0" applyNumberFormat="1" applyFont="1" applyFill="1" applyBorder="1" applyAlignment="1">
      <alignment horizontal="right"/>
    </xf>
    <xf numFmtId="165" fontId="6" fillId="6" borderId="28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26" xfId="2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4" fillId="0" borderId="23" xfId="0" applyFont="1" applyFill="1" applyBorder="1" applyAlignment="1">
      <alignment horizontal="left" indent="2"/>
    </xf>
    <xf numFmtId="0" fontId="4" fillId="0" borderId="23" xfId="0" applyFont="1" applyBorder="1" applyAlignment="1">
      <alignment horizontal="left" indent="2"/>
    </xf>
    <xf numFmtId="0" fontId="6" fillId="0" borderId="26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5" xfId="0" applyFont="1" applyBorder="1" applyAlignment="1">
      <alignment horizontal="left" indent="4"/>
    </xf>
    <xf numFmtId="0" fontId="6" fillId="0" borderId="26" xfId="0" applyFont="1" applyBorder="1" applyAlignment="1">
      <alignment horizontal="left" indent="1"/>
    </xf>
    <xf numFmtId="0" fontId="6" fillId="0" borderId="26" xfId="0" applyFont="1" applyBorder="1" applyAlignment="1">
      <alignment horizontal="left" indent="3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7" fillId="9" borderId="31" xfId="0" applyNumberFormat="1" applyFont="1" applyFill="1" applyBorder="1" applyAlignment="1">
      <alignment horizontal="center" vertical="center"/>
    </xf>
    <xf numFmtId="165" fontId="19" fillId="0" borderId="26" xfId="0" applyNumberFormat="1" applyFont="1" applyFill="1" applyBorder="1" applyAlignment="1">
      <alignment horizontal="center"/>
    </xf>
    <xf numFmtId="0" fontId="19" fillId="0" borderId="23" xfId="0" applyFont="1" applyFill="1" applyBorder="1" applyAlignment="1">
      <alignment horizontal="center"/>
    </xf>
    <xf numFmtId="0" fontId="12" fillId="0" borderId="26" xfId="0" applyFont="1" applyBorder="1"/>
    <xf numFmtId="0" fontId="7" fillId="0" borderId="23" xfId="0" applyFont="1" applyBorder="1" applyAlignment="1"/>
    <xf numFmtId="0" fontId="7" fillId="0" borderId="18" xfId="0" applyFont="1" applyFill="1" applyBorder="1" applyAlignment="1">
      <alignment horizontal="left"/>
    </xf>
    <xf numFmtId="165" fontId="7" fillId="0" borderId="26" xfId="0" applyNumberFormat="1" applyFont="1" applyBorder="1" applyAlignment="1">
      <alignment horizontal="righ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left" indent="3"/>
    </xf>
    <xf numFmtId="165" fontId="6" fillId="0" borderId="8" xfId="0" applyNumberFormat="1" applyFont="1" applyBorder="1" applyAlignment="1">
      <alignment horizontal="right"/>
    </xf>
    <xf numFmtId="165" fontId="6" fillId="0" borderId="9" xfId="0" applyNumberFormat="1" applyFont="1" applyFill="1" applyBorder="1" applyAlignment="1">
      <alignment horizontal="right"/>
    </xf>
    <xf numFmtId="165" fontId="22" fillId="0" borderId="8" xfId="0" applyNumberFormat="1" applyFont="1" applyFill="1" applyBorder="1" applyAlignment="1">
      <alignment horizontal="right"/>
    </xf>
    <xf numFmtId="165" fontId="6" fillId="0" borderId="8" xfId="0" applyNumberFormat="1" applyFont="1" applyFill="1" applyBorder="1" applyAlignment="1">
      <alignment horizontal="right"/>
    </xf>
    <xf numFmtId="166" fontId="6" fillId="6" borderId="8" xfId="2" applyNumberFormat="1" applyFont="1" applyFill="1" applyBorder="1" applyAlignment="1">
      <alignment horizontal="right"/>
    </xf>
    <xf numFmtId="165" fontId="6" fillId="6" borderId="6" xfId="0" applyNumberFormat="1" applyFont="1" applyFill="1" applyBorder="1" applyAlignment="1">
      <alignment horizontal="right"/>
    </xf>
    <xf numFmtId="0" fontId="6" fillId="0" borderId="8" xfId="0" applyFont="1" applyFill="1" applyBorder="1" applyAlignment="1">
      <alignment horizontal="left" indent="3"/>
    </xf>
    <xf numFmtId="0" fontId="7" fillId="0" borderId="26" xfId="0" applyFont="1" applyBorder="1" applyAlignment="1"/>
    <xf numFmtId="165" fontId="7" fillId="5" borderId="8" xfId="0" applyNumberFormat="1" applyFont="1" applyFill="1" applyBorder="1" applyAlignment="1">
      <alignment horizontal="right"/>
    </xf>
    <xf numFmtId="0" fontId="6" fillId="0" borderId="8" xfId="0" applyFont="1" applyBorder="1" applyAlignment="1">
      <alignment horizontal="left" indent="3"/>
    </xf>
    <xf numFmtId="0" fontId="25" fillId="0" borderId="13" xfId="0" applyFont="1" applyBorder="1" applyAlignment="1">
      <alignment horizontal="right"/>
    </xf>
    <xf numFmtId="165" fontId="6" fillId="4" borderId="8" xfId="1" applyNumberFormat="1" applyFont="1" applyFill="1" applyBorder="1" applyAlignment="1">
      <alignment horizontal="right"/>
    </xf>
    <xf numFmtId="165" fontId="6" fillId="5" borderId="8" xfId="1" applyNumberFormat="1" applyFont="1" applyFill="1" applyBorder="1" applyAlignment="1">
      <alignment horizontal="right"/>
    </xf>
    <xf numFmtId="165" fontId="6" fillId="4" borderId="6" xfId="1" applyNumberFormat="1" applyFont="1" applyFill="1" applyBorder="1" applyAlignment="1">
      <alignment horizontal="right"/>
    </xf>
    <xf numFmtId="165" fontId="6" fillId="5" borderId="11" xfId="1" applyNumberFormat="1" applyFont="1" applyFill="1" applyBorder="1" applyAlignment="1">
      <alignment horizontal="right"/>
    </xf>
    <xf numFmtId="165" fontId="6" fillId="6" borderId="8" xfId="1" applyNumberFormat="1" applyFont="1" applyFill="1" applyBorder="1" applyAlignment="1">
      <alignment horizontal="right"/>
    </xf>
    <xf numFmtId="165" fontId="6" fillId="6" borderId="11" xfId="1" applyNumberFormat="1" applyFont="1" applyFill="1" applyBorder="1" applyAlignment="1">
      <alignment horizontal="right"/>
    </xf>
    <xf numFmtId="165" fontId="7" fillId="0" borderId="26" xfId="0" applyNumberFormat="1" applyFont="1" applyBorder="1" applyAlignment="1"/>
    <xf numFmtId="0" fontId="25" fillId="0" borderId="24" xfId="0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center"/>
    </xf>
    <xf numFmtId="165" fontId="6" fillId="4" borderId="26" xfId="1" applyNumberFormat="1" applyFont="1" applyFill="1" applyBorder="1"/>
    <xf numFmtId="165" fontId="6" fillId="5" borderId="26" xfId="1" applyNumberFormat="1" applyFont="1" applyFill="1" applyBorder="1" applyAlignment="1">
      <alignment horizontal="center"/>
    </xf>
    <xf numFmtId="165" fontId="6" fillId="5" borderId="26" xfId="1" applyNumberFormat="1" applyFont="1" applyFill="1" applyBorder="1"/>
    <xf numFmtId="165" fontId="6" fillId="4" borderId="23" xfId="1" applyNumberFormat="1" applyFont="1" applyFill="1" applyBorder="1"/>
    <xf numFmtId="165" fontId="6" fillId="5" borderId="28" xfId="1" applyNumberFormat="1" applyFont="1" applyFill="1" applyBorder="1"/>
    <xf numFmtId="165" fontId="6" fillId="6" borderId="26" xfId="1" applyNumberFormat="1" applyFont="1" applyFill="1" applyBorder="1" applyAlignment="1">
      <alignment horizontal="center"/>
    </xf>
    <xf numFmtId="165" fontId="6" fillId="6" borderId="26" xfId="1" applyNumberFormat="1" applyFont="1" applyFill="1" applyBorder="1"/>
    <xf numFmtId="165" fontId="6" fillId="6" borderId="28" xfId="1" applyNumberFormat="1" applyFont="1" applyFill="1" applyBorder="1"/>
    <xf numFmtId="165" fontId="6" fillId="4" borderId="26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1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711"/>
  <sheetViews>
    <sheetView tabSelected="1" topLeftCell="A52" zoomScale="85" zoomScaleNormal="85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710937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B3" s="15"/>
      <c r="C3" s="147">
        <v>43249</v>
      </c>
    </row>
    <row r="4" spans="1:56" ht="15.75" thickBot="1" x14ac:dyDescent="0.3">
      <c r="A4" s="14"/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  <c r="X4">
        <v>24</v>
      </c>
      <c r="Y4">
        <v>25</v>
      </c>
      <c r="Z4">
        <v>26</v>
      </c>
      <c r="AA4">
        <v>27</v>
      </c>
      <c r="AB4">
        <v>28</v>
      </c>
      <c r="AC4">
        <v>29</v>
      </c>
      <c r="AD4">
        <v>30</v>
      </c>
      <c r="AE4">
        <v>31</v>
      </c>
      <c r="AF4">
        <v>32</v>
      </c>
      <c r="AG4">
        <v>33</v>
      </c>
      <c r="AH4">
        <v>34</v>
      </c>
      <c r="AI4">
        <v>35</v>
      </c>
      <c r="AJ4">
        <v>36</v>
      </c>
      <c r="AK4">
        <v>37</v>
      </c>
      <c r="AL4">
        <v>38</v>
      </c>
      <c r="AM4">
        <v>39</v>
      </c>
      <c r="AN4">
        <v>40</v>
      </c>
      <c r="AO4">
        <v>41</v>
      </c>
      <c r="AP4">
        <v>42</v>
      </c>
      <c r="AQ4">
        <v>43</v>
      </c>
      <c r="AR4">
        <v>44</v>
      </c>
      <c r="AS4">
        <v>45</v>
      </c>
      <c r="AT4">
        <v>46</v>
      </c>
      <c r="AU4">
        <v>47</v>
      </c>
      <c r="AV4">
        <v>48</v>
      </c>
      <c r="AW4">
        <v>49</v>
      </c>
      <c r="AX4">
        <v>50</v>
      </c>
      <c r="AY4">
        <v>51</v>
      </c>
      <c r="AZ4">
        <v>52</v>
      </c>
      <c r="BA4">
        <v>53</v>
      </c>
      <c r="BB4">
        <v>54</v>
      </c>
      <c r="BC4">
        <v>55</v>
      </c>
      <c r="BD4">
        <v>56</v>
      </c>
    </row>
    <row r="5" spans="1:56" ht="21.7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08" t="s">
        <v>80</v>
      </c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10"/>
      <c r="AF5" s="211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12"/>
    </row>
    <row r="6" spans="1:56" s="3" customFormat="1" ht="12.75" customHeight="1" x14ac:dyDescent="0.2">
      <c r="A6" s="28"/>
      <c r="B6" s="29"/>
      <c r="C6" s="30"/>
      <c r="D6" s="30"/>
      <c r="E6" s="213" t="s">
        <v>81</v>
      </c>
      <c r="F6" s="214"/>
      <c r="G6" s="214"/>
      <c r="H6" s="214"/>
      <c r="I6" s="215"/>
      <c r="J6" s="31"/>
      <c r="K6" s="222"/>
      <c r="L6" s="222"/>
      <c r="M6" s="222"/>
      <c r="N6" s="222"/>
      <c r="O6" s="223"/>
      <c r="P6" s="228" t="s">
        <v>5</v>
      </c>
      <c r="Q6" s="191"/>
      <c r="R6" s="191"/>
      <c r="S6" s="191"/>
      <c r="T6" s="192"/>
      <c r="U6" s="231" t="s">
        <v>6</v>
      </c>
      <c r="V6" s="232"/>
      <c r="W6" s="232"/>
      <c r="X6" s="232"/>
      <c r="Y6" s="232"/>
      <c r="Z6" s="233"/>
      <c r="AA6" s="190" t="s">
        <v>7</v>
      </c>
      <c r="AB6" s="191"/>
      <c r="AC6" s="191"/>
      <c r="AD6" s="191"/>
      <c r="AE6" s="192"/>
      <c r="AF6" s="231" t="s">
        <v>8</v>
      </c>
      <c r="AG6" s="232"/>
      <c r="AH6" s="232"/>
      <c r="AI6" s="232"/>
      <c r="AJ6" s="233"/>
      <c r="AK6" s="190" t="s">
        <v>9</v>
      </c>
      <c r="AL6" s="191"/>
      <c r="AM6" s="191"/>
      <c r="AN6" s="191"/>
      <c r="AO6" s="192"/>
      <c r="AP6" s="231" t="s">
        <v>10</v>
      </c>
      <c r="AQ6" s="232"/>
      <c r="AR6" s="232"/>
      <c r="AS6" s="232"/>
      <c r="AT6" s="233"/>
      <c r="AU6" s="190" t="s">
        <v>11</v>
      </c>
      <c r="AV6" s="191"/>
      <c r="AW6" s="191"/>
      <c r="AX6" s="191"/>
      <c r="AY6" s="192"/>
      <c r="AZ6" s="199" t="s">
        <v>12</v>
      </c>
      <c r="BA6" s="200"/>
      <c r="BB6" s="200"/>
      <c r="BC6" s="200"/>
      <c r="BD6" s="201"/>
    </row>
    <row r="7" spans="1:56" s="3" customFormat="1" ht="12.75" customHeight="1" x14ac:dyDescent="0.2">
      <c r="A7" s="32"/>
      <c r="B7" s="33"/>
      <c r="C7" s="34"/>
      <c r="D7" s="34"/>
      <c r="E7" s="216"/>
      <c r="F7" s="217"/>
      <c r="G7" s="217"/>
      <c r="H7" s="217"/>
      <c r="I7" s="218"/>
      <c r="J7" s="35"/>
      <c r="K7" s="224"/>
      <c r="L7" s="224"/>
      <c r="M7" s="224"/>
      <c r="N7" s="224"/>
      <c r="O7" s="225"/>
      <c r="P7" s="229"/>
      <c r="Q7" s="194"/>
      <c r="R7" s="194"/>
      <c r="S7" s="194"/>
      <c r="T7" s="195"/>
      <c r="U7" s="234"/>
      <c r="V7" s="235"/>
      <c r="W7" s="235"/>
      <c r="X7" s="235"/>
      <c r="Y7" s="235"/>
      <c r="Z7" s="236"/>
      <c r="AA7" s="193"/>
      <c r="AB7" s="194"/>
      <c r="AC7" s="194"/>
      <c r="AD7" s="194"/>
      <c r="AE7" s="195"/>
      <c r="AF7" s="234"/>
      <c r="AG7" s="235"/>
      <c r="AH7" s="235"/>
      <c r="AI7" s="235"/>
      <c r="AJ7" s="236"/>
      <c r="AK7" s="193"/>
      <c r="AL7" s="194"/>
      <c r="AM7" s="194"/>
      <c r="AN7" s="194"/>
      <c r="AO7" s="195"/>
      <c r="AP7" s="234"/>
      <c r="AQ7" s="235"/>
      <c r="AR7" s="235"/>
      <c r="AS7" s="235"/>
      <c r="AT7" s="236"/>
      <c r="AU7" s="193"/>
      <c r="AV7" s="194"/>
      <c r="AW7" s="194"/>
      <c r="AX7" s="194"/>
      <c r="AY7" s="195"/>
      <c r="AZ7" s="202"/>
      <c r="BA7" s="203"/>
      <c r="BB7" s="203"/>
      <c r="BC7" s="203"/>
      <c r="BD7" s="204"/>
    </row>
    <row r="8" spans="1:56" s="4" customFormat="1" ht="12.75" customHeight="1" x14ac:dyDescent="0.2">
      <c r="A8" s="36"/>
      <c r="B8" s="37"/>
      <c r="C8" s="38"/>
      <c r="D8" s="38"/>
      <c r="E8" s="219"/>
      <c r="F8" s="220"/>
      <c r="G8" s="220"/>
      <c r="H8" s="220"/>
      <c r="I8" s="221"/>
      <c r="J8" s="39"/>
      <c r="K8" s="226"/>
      <c r="L8" s="226"/>
      <c r="M8" s="226"/>
      <c r="N8" s="226"/>
      <c r="O8" s="227"/>
      <c r="P8" s="230"/>
      <c r="Q8" s="197"/>
      <c r="R8" s="197"/>
      <c r="S8" s="197"/>
      <c r="T8" s="198"/>
      <c r="U8" s="237"/>
      <c r="V8" s="238"/>
      <c r="W8" s="238"/>
      <c r="X8" s="238"/>
      <c r="Y8" s="238"/>
      <c r="Z8" s="239"/>
      <c r="AA8" s="196"/>
      <c r="AB8" s="197"/>
      <c r="AC8" s="197"/>
      <c r="AD8" s="197"/>
      <c r="AE8" s="198"/>
      <c r="AF8" s="237"/>
      <c r="AG8" s="238"/>
      <c r="AH8" s="238"/>
      <c r="AI8" s="238"/>
      <c r="AJ8" s="239"/>
      <c r="AK8" s="196"/>
      <c r="AL8" s="197"/>
      <c r="AM8" s="197"/>
      <c r="AN8" s="197"/>
      <c r="AO8" s="198"/>
      <c r="AP8" s="237"/>
      <c r="AQ8" s="238"/>
      <c r="AR8" s="238"/>
      <c r="AS8" s="238"/>
      <c r="AT8" s="239"/>
      <c r="AU8" s="196"/>
      <c r="AV8" s="197"/>
      <c r="AW8" s="197"/>
      <c r="AX8" s="197"/>
      <c r="AY8" s="198"/>
      <c r="AZ8" s="205"/>
      <c r="BA8" s="206"/>
      <c r="BB8" s="206"/>
      <c r="BC8" s="206"/>
      <c r="BD8" s="207"/>
    </row>
    <row r="9" spans="1:56" s="4" customFormat="1" ht="52.5" customHeight="1" x14ac:dyDescent="0.2">
      <c r="A9" s="80" t="s">
        <v>13</v>
      </c>
      <c r="B9" s="40" t="s">
        <v>14</v>
      </c>
      <c r="C9" s="130" t="s">
        <v>15</v>
      </c>
      <c r="D9" s="40" t="s">
        <v>16</v>
      </c>
      <c r="E9" s="40" t="s">
        <v>17</v>
      </c>
      <c r="F9" s="40" t="s">
        <v>18</v>
      </c>
      <c r="G9" s="40" t="s">
        <v>19</v>
      </c>
      <c r="H9" s="40" t="s">
        <v>20</v>
      </c>
      <c r="I9" s="40" t="s">
        <v>21</v>
      </c>
      <c r="J9" s="41" t="s">
        <v>22</v>
      </c>
      <c r="K9" s="41" t="s">
        <v>83</v>
      </c>
      <c r="L9" s="40" t="s">
        <v>23</v>
      </c>
      <c r="M9" s="40" t="s">
        <v>24</v>
      </c>
      <c r="N9" s="40" t="s">
        <v>25</v>
      </c>
      <c r="O9" s="42" t="s">
        <v>26</v>
      </c>
      <c r="P9" s="43" t="s">
        <v>27</v>
      </c>
      <c r="Q9" s="44" t="s">
        <v>28</v>
      </c>
      <c r="R9" s="44" t="s">
        <v>29</v>
      </c>
      <c r="S9" s="44" t="s">
        <v>30</v>
      </c>
      <c r="T9" s="44" t="s">
        <v>31</v>
      </c>
      <c r="U9" s="45" t="s">
        <v>27</v>
      </c>
      <c r="V9" s="45" t="s">
        <v>28</v>
      </c>
      <c r="W9" s="45" t="s">
        <v>29</v>
      </c>
      <c r="X9" s="45" t="s">
        <v>30</v>
      </c>
      <c r="Y9" s="45" t="s">
        <v>31</v>
      </c>
      <c r="Z9" s="45" t="s">
        <v>32</v>
      </c>
      <c r="AA9" s="44" t="s">
        <v>27</v>
      </c>
      <c r="AB9" s="44" t="s">
        <v>28</v>
      </c>
      <c r="AC9" s="44" t="s">
        <v>29</v>
      </c>
      <c r="AD9" s="44" t="s">
        <v>30</v>
      </c>
      <c r="AE9" s="44" t="s">
        <v>31</v>
      </c>
      <c r="AF9" s="45" t="s">
        <v>27</v>
      </c>
      <c r="AG9" s="45" t="s">
        <v>28</v>
      </c>
      <c r="AH9" s="45" t="s">
        <v>29</v>
      </c>
      <c r="AI9" s="45" t="s">
        <v>30</v>
      </c>
      <c r="AJ9" s="45" t="s">
        <v>31</v>
      </c>
      <c r="AK9" s="44" t="s">
        <v>27</v>
      </c>
      <c r="AL9" s="44" t="s">
        <v>28</v>
      </c>
      <c r="AM9" s="44" t="s">
        <v>29</v>
      </c>
      <c r="AN9" s="44" t="s">
        <v>30</v>
      </c>
      <c r="AO9" s="44" t="s">
        <v>31</v>
      </c>
      <c r="AP9" s="45" t="s">
        <v>27</v>
      </c>
      <c r="AQ9" s="45" t="s">
        <v>28</v>
      </c>
      <c r="AR9" s="45" t="s">
        <v>29</v>
      </c>
      <c r="AS9" s="45" t="s">
        <v>30</v>
      </c>
      <c r="AT9" s="45" t="s">
        <v>31</v>
      </c>
      <c r="AU9" s="44" t="s">
        <v>27</v>
      </c>
      <c r="AV9" s="44" t="s">
        <v>28</v>
      </c>
      <c r="AW9" s="44" t="s">
        <v>29</v>
      </c>
      <c r="AX9" s="44" t="s">
        <v>30</v>
      </c>
      <c r="AY9" s="44" t="s">
        <v>31</v>
      </c>
      <c r="AZ9" s="41" t="s">
        <v>27</v>
      </c>
      <c r="BA9" s="41" t="s">
        <v>28</v>
      </c>
      <c r="BB9" s="41" t="s">
        <v>33</v>
      </c>
      <c r="BC9" s="41" t="s">
        <v>30</v>
      </c>
      <c r="BD9" s="46" t="s">
        <v>31</v>
      </c>
    </row>
    <row r="10" spans="1:56" s="4" customFormat="1" ht="12.75" x14ac:dyDescent="0.2">
      <c r="A10" s="138" t="s">
        <v>34</v>
      </c>
      <c r="B10" s="113"/>
      <c r="C10" s="148"/>
      <c r="D10" s="113"/>
      <c r="E10" s="113"/>
      <c r="F10" s="113"/>
      <c r="G10" s="113"/>
      <c r="H10" s="113"/>
      <c r="I10" s="114"/>
      <c r="J10" s="145"/>
      <c r="K10" s="145"/>
      <c r="L10" s="114"/>
      <c r="M10" s="114"/>
      <c r="N10" s="114"/>
      <c r="O10" s="116"/>
      <c r="P10" s="82"/>
      <c r="Q10" s="117"/>
      <c r="R10" s="84"/>
      <c r="S10" s="117"/>
      <c r="T10" s="117"/>
      <c r="U10" s="118"/>
      <c r="V10" s="118"/>
      <c r="W10" s="118"/>
      <c r="X10" s="118"/>
      <c r="Y10" s="118"/>
      <c r="Z10" s="129"/>
      <c r="AA10" s="117"/>
      <c r="AB10" s="117"/>
      <c r="AC10" s="117"/>
      <c r="AD10" s="117"/>
      <c r="AE10" s="117"/>
      <c r="AF10" s="85"/>
      <c r="AG10" s="118"/>
      <c r="AH10" s="85"/>
      <c r="AI10" s="118"/>
      <c r="AJ10" s="118"/>
      <c r="AK10" s="84"/>
      <c r="AL10" s="117"/>
      <c r="AM10" s="84"/>
      <c r="AN10" s="117"/>
      <c r="AO10" s="117"/>
      <c r="AP10" s="85"/>
      <c r="AQ10" s="118"/>
      <c r="AR10" s="85"/>
      <c r="AS10" s="118"/>
      <c r="AT10" s="118"/>
      <c r="AU10" s="84"/>
      <c r="AV10" s="117"/>
      <c r="AW10" s="84"/>
      <c r="AX10" s="117"/>
      <c r="AY10" s="117"/>
      <c r="AZ10" s="115"/>
      <c r="BA10" s="115"/>
      <c r="BB10" s="115"/>
      <c r="BC10" s="115"/>
      <c r="BD10" s="119"/>
    </row>
    <row r="11" spans="1:56" s="4" customFormat="1" ht="12.75" x14ac:dyDescent="0.2">
      <c r="A11" s="142"/>
      <c r="B11" s="91"/>
      <c r="C11" s="120"/>
      <c r="D11" s="121"/>
      <c r="E11" s="121"/>
      <c r="F11" s="122"/>
      <c r="G11" s="122"/>
      <c r="H11" s="122"/>
      <c r="I11" s="122"/>
      <c r="J11" s="123"/>
      <c r="K11" s="123"/>
      <c r="L11" s="122"/>
      <c r="M11" s="122"/>
      <c r="N11" s="122"/>
      <c r="O11" s="124"/>
      <c r="P11" s="125"/>
      <c r="Q11" s="126"/>
      <c r="R11" s="126"/>
      <c r="S11" s="126"/>
      <c r="T11" s="126"/>
      <c r="U11" s="127"/>
      <c r="V11" s="127"/>
      <c r="W11" s="127"/>
      <c r="X11" s="127"/>
      <c r="Y11" s="127"/>
      <c r="Z11" s="127"/>
      <c r="AA11" s="126"/>
      <c r="AB11" s="126"/>
      <c r="AC11" s="126"/>
      <c r="AD11" s="126"/>
      <c r="AE11" s="126"/>
      <c r="AF11" s="127"/>
      <c r="AG11" s="127"/>
      <c r="AH11" s="127"/>
      <c r="AI11" s="127"/>
      <c r="AJ11" s="127"/>
      <c r="AK11" s="126"/>
      <c r="AL11" s="126"/>
      <c r="AM11" s="126"/>
      <c r="AN11" s="126"/>
      <c r="AO11" s="126"/>
      <c r="AP11" s="127"/>
      <c r="AQ11" s="127"/>
      <c r="AR11" s="127"/>
      <c r="AS11" s="127"/>
      <c r="AT11" s="127"/>
      <c r="AU11" s="126"/>
      <c r="AV11" s="126"/>
      <c r="AW11" s="126"/>
      <c r="AX11" s="126"/>
      <c r="AY11" s="126"/>
      <c r="AZ11" s="123"/>
      <c r="BA11" s="123"/>
      <c r="BB11" s="123"/>
      <c r="BC11" s="123"/>
      <c r="BD11" s="128"/>
    </row>
    <row r="12" spans="1:56" s="4" customFormat="1" ht="12.75" x14ac:dyDescent="0.2">
      <c r="A12" s="160" t="s">
        <v>35</v>
      </c>
      <c r="B12" s="161" t="str">
        <f>IF(ISERROR(SUM(#REF!)),"-",SUM(#REF!))</f>
        <v>-</v>
      </c>
      <c r="C12" s="162"/>
      <c r="D12" s="163" t="str">
        <f>IF(ISERROR(SUM(#REF!)),"-",SUM(#REF!))</f>
        <v>-</v>
      </c>
      <c r="E12" s="164" t="str">
        <f>IF(ISERROR(SUM(#REF!)),"-",SUM(#REF!))</f>
        <v>-</v>
      </c>
      <c r="F12" s="164" t="str">
        <f>IF(ISERROR(SUM(#REF!)),"-",SUM(#REF!))</f>
        <v>-</v>
      </c>
      <c r="G12" s="164" t="str">
        <f>IF(ISERROR(SUM(#REF!)),"-",SUM(#REF!))</f>
        <v>-</v>
      </c>
      <c r="H12" s="164" t="str">
        <f>IF(ISERROR(SUM(#REF!)),"-",SUM(#REF!))</f>
        <v>-</v>
      </c>
      <c r="I12" s="164" t="str">
        <f>IF(ISERROR(SUM(#REF!)),"-",SUM(#REF!))</f>
        <v>-</v>
      </c>
      <c r="J12" s="165" t="str">
        <f>IF(ISERROR(AVERAGE(#REF!)),"-",AVERAGE(#REF!))</f>
        <v>-</v>
      </c>
      <c r="K12" s="165" t="str">
        <f>IF(ISERROR(AVERAGE(#REF!)),"-",AVERAGE(#REF!))</f>
        <v>-</v>
      </c>
      <c r="L12" s="164" t="str">
        <f>IF(ISERROR(SUM(#REF!)),"-",SUM(#REF!))</f>
        <v>-</v>
      </c>
      <c r="M12" s="164" t="str">
        <f>IF(ISERROR(SUM(#REF!)),"-",SUM(#REF!))</f>
        <v>-</v>
      </c>
      <c r="N12" s="164" t="str">
        <f>IF(ISERROR(SUM(#REF!)),"-",SUM(#REF!))</f>
        <v>-</v>
      </c>
      <c r="O12" s="166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57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8" t="str">
        <f>IF(ISERROR(SUM(#REF!)),"-",SUM(#REF!))</f>
        <v>-</v>
      </c>
      <c r="BA12" s="158" t="str">
        <f>IF(ISERROR(SUM(#REF!)),"-",SUM(#REF!))</f>
        <v>-</v>
      </c>
      <c r="BB12" s="158" t="str">
        <f>IF(ISERROR(SUM(#REF!)),"-",SUM(#REF!))</f>
        <v>-</v>
      </c>
      <c r="BC12" s="158" t="str">
        <f>IF(ISERROR(IF(AZ12="","",AZ12/VLOOKUP(Occupancy!$B$65,Occupancy!$B$68:$B$79,1)*12/$B12)),"-",IF(AZ12="","",AZ12/VLOOKUP(Occupancy!$B$65,Occupancy!$B$68:$B$79,1)*12/$B12))</f>
        <v>-</v>
      </c>
      <c r="BD12" s="159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168"/>
      <c r="B13" s="91"/>
      <c r="C13" s="120"/>
      <c r="D13" s="121"/>
      <c r="E13" s="121"/>
      <c r="F13" s="122"/>
      <c r="G13" s="122"/>
      <c r="H13" s="122"/>
      <c r="I13" s="122"/>
      <c r="J13" s="123"/>
      <c r="K13" s="123"/>
      <c r="L13" s="122"/>
      <c r="M13" s="122"/>
      <c r="N13" s="122"/>
      <c r="O13" s="124"/>
      <c r="P13" s="125"/>
      <c r="Q13" s="126"/>
      <c r="R13" s="126"/>
      <c r="S13" s="126"/>
      <c r="T13" s="126"/>
      <c r="U13" s="127"/>
      <c r="V13" s="127"/>
      <c r="W13" s="127"/>
      <c r="X13" s="127"/>
      <c r="Y13" s="127"/>
      <c r="Z13" s="127"/>
      <c r="AA13" s="126"/>
      <c r="AB13" s="126"/>
      <c r="AC13" s="126"/>
      <c r="AD13" s="126"/>
      <c r="AE13" s="126"/>
      <c r="AF13" s="127"/>
      <c r="AG13" s="127"/>
      <c r="AH13" s="127"/>
      <c r="AI13" s="127"/>
      <c r="AJ13" s="127"/>
      <c r="AK13" s="126"/>
      <c r="AL13" s="126"/>
      <c r="AM13" s="126"/>
      <c r="AN13" s="126"/>
      <c r="AO13" s="126"/>
      <c r="AP13" s="127"/>
      <c r="AQ13" s="127"/>
      <c r="AR13" s="127"/>
      <c r="AS13" s="127"/>
      <c r="AT13" s="127"/>
      <c r="AU13" s="126"/>
      <c r="AV13" s="126"/>
      <c r="AW13" s="126"/>
      <c r="AX13" s="126"/>
      <c r="AY13" s="126"/>
      <c r="AZ13" s="123"/>
      <c r="BA13" s="123"/>
      <c r="BB13" s="123"/>
      <c r="BC13" s="123"/>
      <c r="BD13" s="128"/>
    </row>
    <row r="14" spans="1:56" s="4" customFormat="1" ht="12.75" x14ac:dyDescent="0.2">
      <c r="A14" s="139" t="s">
        <v>74</v>
      </c>
      <c r="B14" s="113"/>
      <c r="C14" s="148"/>
      <c r="D14" s="113"/>
      <c r="E14" s="113"/>
      <c r="F14" s="113"/>
      <c r="G14" s="113"/>
      <c r="H14" s="113"/>
      <c r="I14" s="114"/>
      <c r="J14" s="145"/>
      <c r="K14" s="145"/>
      <c r="L14" s="114"/>
      <c r="M14" s="114"/>
      <c r="N14" s="114"/>
      <c r="O14" s="116"/>
      <c r="P14" s="82"/>
      <c r="Q14" s="117"/>
      <c r="R14" s="84"/>
      <c r="S14" s="117"/>
      <c r="T14" s="117"/>
      <c r="U14" s="118"/>
      <c r="V14" s="118"/>
      <c r="W14" s="118"/>
      <c r="X14" s="118"/>
      <c r="Y14" s="118"/>
      <c r="Z14" s="129"/>
      <c r="AA14" s="117"/>
      <c r="AB14" s="117"/>
      <c r="AC14" s="117"/>
      <c r="AD14" s="117"/>
      <c r="AE14" s="117"/>
      <c r="AF14" s="85"/>
      <c r="AG14" s="118"/>
      <c r="AH14" s="85"/>
      <c r="AI14" s="118"/>
      <c r="AJ14" s="118"/>
      <c r="AK14" s="84"/>
      <c r="AL14" s="117"/>
      <c r="AM14" s="84"/>
      <c r="AN14" s="117"/>
      <c r="AO14" s="117"/>
      <c r="AP14" s="85"/>
      <c r="AQ14" s="118"/>
      <c r="AR14" s="85"/>
      <c r="AS14" s="118"/>
      <c r="AT14" s="118"/>
      <c r="AU14" s="84"/>
      <c r="AV14" s="117"/>
      <c r="AW14" s="84"/>
      <c r="AX14" s="117"/>
      <c r="AY14" s="117"/>
      <c r="AZ14" s="115"/>
      <c r="BA14" s="115"/>
      <c r="BB14" s="115"/>
      <c r="BC14" s="115"/>
      <c r="BD14" s="119"/>
    </row>
    <row r="15" spans="1:56" s="4" customFormat="1" ht="12.75" x14ac:dyDescent="0.2">
      <c r="A15" s="143"/>
      <c r="B15" s="5"/>
      <c r="C15" s="47"/>
      <c r="D15" s="48"/>
      <c r="E15" s="48"/>
      <c r="F15" s="49"/>
      <c r="G15" s="49"/>
      <c r="H15" s="49"/>
      <c r="I15" s="49"/>
      <c r="J15" s="50"/>
      <c r="K15" s="50"/>
      <c r="L15" s="51"/>
      <c r="M15" s="51"/>
      <c r="N15" s="51"/>
      <c r="O15" s="52"/>
      <c r="P15" s="53"/>
      <c r="Q15" s="54"/>
      <c r="R15" s="54"/>
      <c r="S15" s="54"/>
      <c r="T15" s="54"/>
      <c r="U15" s="55"/>
      <c r="V15" s="55"/>
      <c r="W15" s="55"/>
      <c r="X15" s="55"/>
      <c r="Y15" s="55"/>
      <c r="Z15" s="55"/>
      <c r="AA15" s="54"/>
      <c r="AB15" s="54"/>
      <c r="AC15" s="54"/>
      <c r="AD15" s="54"/>
      <c r="AE15" s="54"/>
      <c r="AF15" s="55"/>
      <c r="AG15" s="55"/>
      <c r="AH15" s="118"/>
      <c r="AI15" s="55"/>
      <c r="AJ15" s="55"/>
      <c r="AK15" s="54"/>
      <c r="AL15" s="54"/>
      <c r="AM15" s="54"/>
      <c r="AN15" s="54"/>
      <c r="AO15" s="54"/>
      <c r="AP15" s="55"/>
      <c r="AQ15" s="55"/>
      <c r="AR15" s="118"/>
      <c r="AS15" s="55"/>
      <c r="AT15" s="55"/>
      <c r="AU15" s="54"/>
      <c r="AV15" s="54"/>
      <c r="AW15" s="54"/>
      <c r="AX15" s="54"/>
      <c r="AY15" s="54"/>
      <c r="AZ15" s="50"/>
      <c r="BA15" s="50"/>
      <c r="BB15" s="50"/>
      <c r="BC15" s="50"/>
      <c r="BD15" s="56"/>
    </row>
    <row r="16" spans="1:56" s="4" customFormat="1" ht="12.75" x14ac:dyDescent="0.2">
      <c r="A16" s="167" t="s">
        <v>37</v>
      </c>
      <c r="B16" s="161" t="str">
        <f>IF(ISERROR(SUM(#REF!)),"-",SUM(#REF!))</f>
        <v>-</v>
      </c>
      <c r="C16" s="162"/>
      <c r="D16" s="163" t="str">
        <f>IF(ISERROR(SUM(#REF!)),"-",SUM(#REF!))</f>
        <v>-</v>
      </c>
      <c r="E16" s="164" t="str">
        <f>IF(ISERROR(SUM(#REF!)),"-",SUM(#REF!))</f>
        <v>-</v>
      </c>
      <c r="F16" s="164" t="str">
        <f>IF(ISERROR(SUM(#REF!)),"-",SUM(#REF!))</f>
        <v>-</v>
      </c>
      <c r="G16" s="164" t="str">
        <f>IF(ISERROR(SUM(#REF!)),"-",SUM(#REF!))</f>
        <v>-</v>
      </c>
      <c r="H16" s="164" t="str">
        <f>IF(ISERROR(SUM(#REF!)),"-",SUM(#REF!))</f>
        <v>-</v>
      </c>
      <c r="I16" s="164" t="str">
        <f>IF(ISERROR(SUM(#REF!)),"-",SUM(#REF!))</f>
        <v>-</v>
      </c>
      <c r="J16" s="165" t="str">
        <f>IF(ISERROR(AVERAGE(#REF!)),"-",AVERAGE(#REF!))</f>
        <v>-</v>
      </c>
      <c r="K16" s="165" t="str">
        <f>IF(ISERROR(AVERAGE(#REF!)),"-",AVERAGE(#REF!))</f>
        <v>-</v>
      </c>
      <c r="L16" s="164" t="str">
        <f>IF(ISERROR(SUM(#REF!)),"-",SUM(#REF!))</f>
        <v>-</v>
      </c>
      <c r="M16" s="164" t="str">
        <f>IF(ISERROR(SUM(#REF!)),"-",SUM(#REF!))</f>
        <v>-</v>
      </c>
      <c r="N16" s="164" t="str">
        <f>IF(ISERROR(SUM(#REF!)),"-",SUM(#REF!))</f>
        <v>-</v>
      </c>
      <c r="O16" s="166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57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69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69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8" t="str">
        <f>IF(ISERROR(SUM(#REF!)),"-",SUM(#REF!))</f>
        <v>-</v>
      </c>
      <c r="BA16" s="158" t="str">
        <f>IF(ISERROR(SUM(#REF!)),"-",SUM(#REF!))</f>
        <v>-</v>
      </c>
      <c r="BB16" s="158" t="str">
        <f>IF(ISERROR(SUM(#REF!)),"-",SUM(#REF!))</f>
        <v>-</v>
      </c>
      <c r="BC16" s="158" t="str">
        <f>IF(ISERROR(IF(AZ16="","",AZ16/VLOOKUP(Occupancy!$B$65,Occupancy!$B$68:$B$79,1)*12/$B16)),"-",IF(AZ16="","",AZ16/VLOOKUP(Occupancy!$B$65,Occupancy!$B$68:$B$79,1)*12/$B16))</f>
        <v>-</v>
      </c>
      <c r="BD16" s="159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168"/>
      <c r="B17" s="91"/>
      <c r="C17" s="120"/>
      <c r="D17" s="121"/>
      <c r="E17" s="121"/>
      <c r="F17" s="122"/>
      <c r="G17" s="122"/>
      <c r="H17" s="122"/>
      <c r="I17" s="122"/>
      <c r="J17" s="123"/>
      <c r="K17" s="123"/>
      <c r="L17" s="122"/>
      <c r="M17" s="122"/>
      <c r="N17" s="122"/>
      <c r="O17" s="124"/>
      <c r="P17" s="125"/>
      <c r="Q17" s="126"/>
      <c r="R17" s="126"/>
      <c r="S17" s="126"/>
      <c r="T17" s="126"/>
      <c r="U17" s="127"/>
      <c r="V17" s="127"/>
      <c r="W17" s="127"/>
      <c r="X17" s="127"/>
      <c r="Y17" s="127"/>
      <c r="Z17" s="127"/>
      <c r="AA17" s="126"/>
      <c r="AB17" s="126"/>
      <c r="AC17" s="126"/>
      <c r="AD17" s="126"/>
      <c r="AE17" s="126"/>
      <c r="AF17" s="127"/>
      <c r="AG17" s="127"/>
      <c r="AH17" s="118"/>
      <c r="AI17" s="127"/>
      <c r="AJ17" s="127"/>
      <c r="AK17" s="126"/>
      <c r="AL17" s="126"/>
      <c r="AM17" s="126"/>
      <c r="AN17" s="126"/>
      <c r="AO17" s="126"/>
      <c r="AP17" s="127"/>
      <c r="AQ17" s="127"/>
      <c r="AR17" s="118"/>
      <c r="AS17" s="127"/>
      <c r="AT17" s="127"/>
      <c r="AU17" s="126"/>
      <c r="AV17" s="126"/>
      <c r="AW17" s="126"/>
      <c r="AX17" s="126"/>
      <c r="AY17" s="126"/>
      <c r="AZ17" s="123"/>
      <c r="BA17" s="123"/>
      <c r="BB17" s="123"/>
      <c r="BC17" s="123"/>
      <c r="BD17" s="128"/>
    </row>
    <row r="18" spans="1:56" s="4" customFormat="1" ht="12.75" x14ac:dyDescent="0.2">
      <c r="A18" s="139" t="s">
        <v>20</v>
      </c>
      <c r="B18" s="113"/>
      <c r="C18" s="148"/>
      <c r="D18" s="113"/>
      <c r="E18" s="113"/>
      <c r="F18" s="113"/>
      <c r="G18" s="113"/>
      <c r="H18" s="113"/>
      <c r="I18" s="114"/>
      <c r="J18" s="145"/>
      <c r="K18" s="145"/>
      <c r="L18" s="114"/>
      <c r="M18" s="114"/>
      <c r="N18" s="114"/>
      <c r="O18" s="116"/>
      <c r="P18" s="82"/>
      <c r="Q18" s="117"/>
      <c r="R18" s="84"/>
      <c r="S18" s="117"/>
      <c r="T18" s="117"/>
      <c r="U18" s="118"/>
      <c r="V18" s="118"/>
      <c r="W18" s="118"/>
      <c r="X18" s="118"/>
      <c r="Y18" s="118"/>
      <c r="Z18" s="129"/>
      <c r="AA18" s="117"/>
      <c r="AB18" s="117"/>
      <c r="AC18" s="117"/>
      <c r="AD18" s="117"/>
      <c r="AE18" s="117"/>
      <c r="AF18" s="85"/>
      <c r="AG18" s="118"/>
      <c r="AH18" s="85"/>
      <c r="AI18" s="118"/>
      <c r="AJ18" s="118"/>
      <c r="AK18" s="84"/>
      <c r="AL18" s="117"/>
      <c r="AM18" s="84"/>
      <c r="AN18" s="117"/>
      <c r="AO18" s="117"/>
      <c r="AP18" s="85"/>
      <c r="AQ18" s="118"/>
      <c r="AR18" s="85"/>
      <c r="AS18" s="118"/>
      <c r="AT18" s="118"/>
      <c r="AU18" s="84"/>
      <c r="AV18" s="117"/>
      <c r="AW18" s="84"/>
      <c r="AX18" s="117"/>
      <c r="AY18" s="117"/>
      <c r="AZ18" s="115"/>
      <c r="BA18" s="115"/>
      <c r="BB18" s="115"/>
      <c r="BC18" s="115"/>
      <c r="BD18" s="119"/>
    </row>
    <row r="19" spans="1:56" s="4" customFormat="1" ht="12.75" x14ac:dyDescent="0.2">
      <c r="A19" s="143"/>
      <c r="B19" s="5"/>
      <c r="C19" s="47"/>
      <c r="D19" s="48"/>
      <c r="E19" s="48"/>
      <c r="F19" s="49"/>
      <c r="G19" s="49"/>
      <c r="H19" s="49"/>
      <c r="I19" s="49"/>
      <c r="J19" s="50"/>
      <c r="K19" s="50"/>
      <c r="L19" s="51"/>
      <c r="M19" s="51"/>
      <c r="N19" s="51"/>
      <c r="O19" s="52"/>
      <c r="P19" s="53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4"/>
      <c r="AB19" s="54"/>
      <c r="AC19" s="54"/>
      <c r="AD19" s="54"/>
      <c r="AE19" s="54"/>
      <c r="AF19" s="55"/>
      <c r="AG19" s="55"/>
      <c r="AH19" s="55"/>
      <c r="AI19" s="55"/>
      <c r="AJ19" s="55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4"/>
      <c r="AV19" s="54"/>
      <c r="AW19" s="54"/>
      <c r="AX19" s="54"/>
      <c r="AY19" s="54"/>
      <c r="AZ19" s="50"/>
      <c r="BA19" s="50"/>
      <c r="BB19" s="50"/>
      <c r="BC19" s="50"/>
      <c r="BD19" s="56"/>
    </row>
    <row r="20" spans="1:56" s="4" customFormat="1" ht="12.75" x14ac:dyDescent="0.2">
      <c r="A20" s="140" t="s">
        <v>79</v>
      </c>
      <c r="B20" s="91" t="str">
        <f>IF(ISERROR(SUM(#REF!)),"-",SUM(#REF!))</f>
        <v>-</v>
      </c>
      <c r="C20" s="120"/>
      <c r="D20" s="121" t="str">
        <f>IF(ISERROR(SUM(#REF!)),"-",SUM(#REF!))</f>
        <v>-</v>
      </c>
      <c r="E20" s="122" t="str">
        <f>IF(ISERROR(SUM(#REF!)),"-",SUM(#REF!))</f>
        <v>-</v>
      </c>
      <c r="F20" s="122" t="str">
        <f>IF(ISERROR(SUM(#REF!)),"-",SUM(#REF!))</f>
        <v>-</v>
      </c>
      <c r="G20" s="122" t="str">
        <f>IF(ISERROR(SUM(#REF!)),"-",SUM(#REF!))</f>
        <v>-</v>
      </c>
      <c r="H20" s="122" t="str">
        <f>IF(ISERROR(SUM(#REF!)),"-",SUM(#REF!))</f>
        <v>-</v>
      </c>
      <c r="I20" s="122" t="str">
        <f>IF(ISERROR(SUM(#REF!)),"-",SUM(#REF!))</f>
        <v>-</v>
      </c>
      <c r="J20" s="146" t="str">
        <f>IF(ISERROR(AVERAGE(#REF!)),"-",AVERAGE(#REF!))</f>
        <v>-</v>
      </c>
      <c r="K20" s="146" t="str">
        <f>IF(ISERROR(AVERAGE(#REF!)),"-",AVERAGE(#REF!))</f>
        <v>-</v>
      </c>
      <c r="L20" s="122" t="str">
        <f>IF(ISERROR(SUM(#REF!)),"-",SUM(#REF!))</f>
        <v>-</v>
      </c>
      <c r="M20" s="122" t="str">
        <f>IF(ISERROR(SUM(#REF!)),"-",SUM(#REF!))</f>
        <v>-</v>
      </c>
      <c r="N20" s="122" t="str">
        <f>IF(ISERROR(SUM(#REF!)),"-",SUM(#REF!))</f>
        <v>-</v>
      </c>
      <c r="O20" s="124" t="str">
        <f>IF(ISERROR(SUM(#REF!)),"-",SUM(#REF!))</f>
        <v>-</v>
      </c>
      <c r="P20" s="125" t="str">
        <f>IF(ISERROR(SUM(#REF!)),"-",SUM(#REF!))</f>
        <v>-</v>
      </c>
      <c r="Q20" s="126" t="str">
        <f>IF(ISERROR(R20/12*Occupancy!$B$65),"-",R20/12*Occupancy!$B$65)</f>
        <v>-</v>
      </c>
      <c r="R20" s="189" t="str">
        <f>IF(ISERROR(SUM(#REF!)),"-",SUM(#REF!))</f>
        <v>-</v>
      </c>
      <c r="S20" s="126" t="str">
        <f>IF(ISERROR(IF(P20="","",P20/VLOOKUP(Occupancy!$B$65,Occupancy!$B$68:$B$79,1)*12/$B20)),"-",IF(P20="","",P20/VLOOKUP(Occupancy!$B$65,Occupancy!$B$68:$B$79,1)*12/$B20))</f>
        <v>-</v>
      </c>
      <c r="T20" s="126" t="str">
        <f>IF(ISERROR(IF(Q20="","",Q20/VLOOKUP(Occupancy!$B$65,Occupancy!$B$68:$B$79,1)*12/$B20)),"-",IF(Q20="","",Q20/VLOOKUP(Occupancy!$B$65,Occupancy!$B$68:$B$79,1)*12/$B20))</f>
        <v>-</v>
      </c>
      <c r="U20" s="127" t="str">
        <f>IF(ISERROR(SUM(#REF!)),"-",SUM(#REF!))</f>
        <v>-</v>
      </c>
      <c r="V20" s="127" t="str">
        <f>IF(ISERROR(SUM(#REF!)),"-",SUM(#REF!))</f>
        <v>-</v>
      </c>
      <c r="W20" s="127" t="str">
        <f>IF(ISERROR(SUM(#REF!)),"-",SUM(#REF!))</f>
        <v>-</v>
      </c>
      <c r="X20" s="127" t="str">
        <f>IF(ISERROR(Expenses!BE15),"-",Expenses!BE15)</f>
        <v>-</v>
      </c>
      <c r="Y20" s="127" t="str">
        <f>IF(ISERROR(Expenses!BF15),"-",Expenses!BF15)</f>
        <v>-</v>
      </c>
      <c r="Z20" s="136" t="str">
        <f>IF(ISERROR(U20/P20),"-",U20/P20)</f>
        <v>-</v>
      </c>
      <c r="AA20" s="126" t="str">
        <f>IF(ISERROR(P20-U20),"-",P20-U20)</f>
        <v>-</v>
      </c>
      <c r="AB20" s="126" t="str">
        <f>IF(ISERROR(Q20-V20),"-",Q20-V20)</f>
        <v>-</v>
      </c>
      <c r="AC20" s="126" t="str">
        <f>IF(ISERROR(R20-W20),"-",R20-W20)</f>
        <v>-</v>
      </c>
      <c r="AD20" s="126" t="str">
        <f>IF(ISERROR(S20-X20),"-",S20-X20)</f>
        <v>-</v>
      </c>
      <c r="AE20" s="126" t="str">
        <f>IF(ISERROR(T20-Y20),"-",T20-Y20)</f>
        <v>-</v>
      </c>
      <c r="AF20" s="127" t="str">
        <f>IF(ISERROR(SUM(#REF!)),"-",SUM(#REF!))</f>
        <v>-</v>
      </c>
      <c r="AG20" s="127" t="str">
        <f>IF(ISERROR(SUM(#REF!)),"-",SUM(#REF!))</f>
        <v>-</v>
      </c>
      <c r="AH20" s="127" t="str">
        <f>IF(ISERROR(SUM(#REF!)),"-",SUM(#REF!))</f>
        <v>-</v>
      </c>
      <c r="AI20" s="127" t="str">
        <f>IF(ISERROR(IF(AF20="","",AF20/VLOOKUP(Occupancy!$B$65,Occupancy!$B$68:$B$79,1)*12/$B20)),"-",IF(AF20="","",AF20/VLOOKUP(Occupancy!$B$65,Occupancy!$B$68:$B$79,1)*12/$B20))</f>
        <v>-</v>
      </c>
      <c r="AJ20" s="127" t="str">
        <f>IF(ISERROR(IF(AG20="","",AG20/VLOOKUP(Occupancy!$B$65,Occupancy!$B$68:$B$79,1)*12/$B20)),"-",IF(AG20="","",AG20/VLOOKUP(Occupancy!$B$65,Occupancy!$B$68:$B$79,1)*12/$B20))</f>
        <v>-</v>
      </c>
      <c r="AK20" s="126" t="str">
        <f>IF(ISERROR(SUM(#REF!)),"-",SUM(#REF!))</f>
        <v>-</v>
      </c>
      <c r="AL20" s="126" t="str">
        <f>IF(ISERROR(AM20/12*Occupancy!$B$65),"-",AM20/12*Occupancy!$B$65)</f>
        <v>-</v>
      </c>
      <c r="AM20" s="126" t="str">
        <f>IF(ISERROR(SUM(#REF!)),"-",SUM(#REF!))</f>
        <v>-</v>
      </c>
      <c r="AN20" s="126" t="str">
        <f>IF(ISERROR(IF(AK20="","",AK20/VLOOKUP(Occupancy!$B$65,Occupancy!$B$68:$B$79,1)*12/$B20)),"-",IF(AK20="","",AK20/VLOOKUP(Occupancy!$B$65,Occupancy!$B$68:$B$79,1)*12/$B20))</f>
        <v>-</v>
      </c>
      <c r="AO20" s="126" t="str">
        <f>IF(ISERROR(IF(AL20="","",AL20/VLOOKUP(Occupancy!$B$65,Occupancy!$B$68:$B$79,1)*12/$B20)),"-",IF(AL20="","",AL20/VLOOKUP(Occupancy!$B$65,Occupancy!$B$68:$B$79,1)*12/$B20))</f>
        <v>-</v>
      </c>
      <c r="AP20" s="127" t="str">
        <f>IF(ISERROR(SUM(#REF!)),"-",SUM(#REF!))</f>
        <v>-</v>
      </c>
      <c r="AQ20" s="127" t="str">
        <f>IF(ISERROR(SUM(#REF!)),"-",SUM(#REF!))</f>
        <v>-</v>
      </c>
      <c r="AR20" s="127" t="str">
        <f>IF(ISERROR(SUM(#REF!)),"-",SUM(#REF!))</f>
        <v>-</v>
      </c>
      <c r="AS20" s="127" t="str">
        <f>IF(ISERROR(IF(AP20="","",AP20/VLOOKUP(Occupancy!$B$65,Occupancy!$B$68:$B$79,1)*12/$B20)),"-",IF(AP20="","",AP20/VLOOKUP(Occupancy!$B$65,Occupancy!$B$68:$B$79,1)*12/$B20))</f>
        <v>-</v>
      </c>
      <c r="AT20" s="127" t="str">
        <f>IF(ISERROR(IF(AQ20="","",AQ20/VLOOKUP(Occupancy!$B$65,Occupancy!$B$68:$B$79,1)*12/$B20)),"-",IF(AQ20="","",AQ20/VLOOKUP(Occupancy!$B$65,Occupancy!$B$68:$B$79,1)*12/$B20))</f>
        <v>-</v>
      </c>
      <c r="AU20" s="126" t="str">
        <f>IF(ISERROR(SUM(#REF!)),"-",SUM(#REF!))</f>
        <v>-</v>
      </c>
      <c r="AV20" s="126" t="str">
        <f>IF(ISERROR(SUM(#REF!)),"-",SUM(#REF!))</f>
        <v>-</v>
      </c>
      <c r="AW20" s="126" t="str">
        <f>IF(ISERROR(SUM(#REF!)),"-",SUM(#REF!))</f>
        <v>-</v>
      </c>
      <c r="AX20" s="126" t="str">
        <f>IF(ISERROR(IF(AU20="","",AU20/VLOOKUP(Occupancy!$B$65,Occupancy!$B$68:$B$79,1)*12/$B20)),"-",IF(AU20="","",AU20/VLOOKUP(Occupancy!$B$65,Occupancy!$B$68:$B$79,1)*12/$B20))</f>
        <v>-</v>
      </c>
      <c r="AY20" s="126" t="str">
        <f>IF(ISERROR(IF(AV20="","",AV20/VLOOKUP(Occupancy!$B$65,Occupancy!$B$68:$B$79,1)*12/$B20)),"-",IF(AV20="","",AV20/VLOOKUP(Occupancy!$B$65,Occupancy!$B$68:$B$79,1)*12/$B20))</f>
        <v>-</v>
      </c>
      <c r="AZ20" s="123" t="str">
        <f>IF(ISERROR(SUM(#REF!)),"-",SUM(#REF!))</f>
        <v>-</v>
      </c>
      <c r="BA20" s="123" t="str">
        <f>IF(ISERROR(SUM(#REF!)),"-",SUM(#REF!))</f>
        <v>-</v>
      </c>
      <c r="BB20" s="123" t="str">
        <f>IF(ISERROR(SUM(#REF!)),"-",SUM(#REF!))</f>
        <v>-</v>
      </c>
      <c r="BC20" s="123" t="str">
        <f>IF(ISERROR(IF(AZ20="","",AZ20/VLOOKUP(Occupancy!$B$65,Occupancy!$B$68:$B$79,1)*12/$B20)),"-",IF(AZ20="","",AZ20/VLOOKUP(Occupancy!$B$65,Occupancy!$B$68:$B$79,1)*12/$B20))</f>
        <v>-</v>
      </c>
      <c r="BD20" s="128" t="str">
        <f>IF(ISERROR(IF(BA20="","",BA20/VLOOKUP(Occupancy!$B$65,Occupancy!$B$68:$B$79,1)*12/$B20)),"-",IF(BA20="","",BA20/VLOOKUP(Occupancy!$B$65,Occupancy!$B$68:$B$79,1)*12/$B20))</f>
        <v>-</v>
      </c>
    </row>
    <row r="21" spans="1:56" s="4" customFormat="1" ht="12.75" x14ac:dyDescent="0.2">
      <c r="A21" s="141"/>
      <c r="B21" s="81"/>
      <c r="C21" s="120"/>
      <c r="D21" s="121"/>
      <c r="E21" s="122"/>
      <c r="F21" s="122"/>
      <c r="G21" s="122"/>
      <c r="H21" s="122"/>
      <c r="I21" s="122"/>
      <c r="J21" s="146"/>
      <c r="K21" s="146"/>
      <c r="L21" s="122"/>
      <c r="M21" s="122"/>
      <c r="N21" s="122"/>
      <c r="O21" s="124"/>
      <c r="P21" s="154"/>
      <c r="Q21" s="155"/>
      <c r="R21" s="155"/>
      <c r="S21" s="155"/>
      <c r="T21" s="155"/>
      <c r="U21" s="156"/>
      <c r="V21" s="156"/>
      <c r="W21" s="156"/>
      <c r="X21" s="156"/>
      <c r="Y21" s="156"/>
      <c r="Z21" s="157"/>
      <c r="AA21" s="155"/>
      <c r="AB21" s="155"/>
      <c r="AC21" s="155"/>
      <c r="AD21" s="155"/>
      <c r="AE21" s="155"/>
      <c r="AF21" s="156"/>
      <c r="AG21" s="156"/>
      <c r="AH21" s="156"/>
      <c r="AI21" s="156"/>
      <c r="AJ21" s="156"/>
      <c r="AK21" s="155"/>
      <c r="AL21" s="155"/>
      <c r="AM21" s="155"/>
      <c r="AN21" s="155"/>
      <c r="AO21" s="155"/>
      <c r="AP21" s="156"/>
      <c r="AQ21" s="156"/>
      <c r="AR21" s="156"/>
      <c r="AS21" s="156"/>
      <c r="AT21" s="156"/>
      <c r="AU21" s="155"/>
      <c r="AV21" s="155"/>
      <c r="AW21" s="155"/>
      <c r="AX21" s="155"/>
      <c r="AY21" s="155"/>
      <c r="AZ21" s="158"/>
      <c r="BA21" s="158"/>
      <c r="BB21" s="158"/>
      <c r="BC21" s="158"/>
      <c r="BD21" s="159"/>
    </row>
    <row r="22" spans="1:56" s="4" customFormat="1" ht="13.5" thickBot="1" x14ac:dyDescent="0.25">
      <c r="A22" s="141" t="s">
        <v>38</v>
      </c>
      <c r="B22" s="81" t="str">
        <f>IF(ISERROR(B20+B16+B12),"-",B20+B16+B12)</f>
        <v>-</v>
      </c>
      <c r="C22" s="120">
        <f>IF(ISERROR(C20+C16+C12),"-",C20+C16+C12)</f>
        <v>0</v>
      </c>
      <c r="D22" s="121" t="str">
        <f>IF(ISERROR(D20+D16+D12),"-",D20+D16+D12)</f>
        <v>-</v>
      </c>
      <c r="E22" s="122" t="str">
        <f>IF(ISERROR(E20+E16+E12),"-",E20+E16+E12)</f>
        <v>-</v>
      </c>
      <c r="F22" s="122" t="str">
        <f>IF(ISERROR(F20+F16+F12),"-",F20+F16+F12)</f>
        <v>-</v>
      </c>
      <c r="G22" s="122" t="str">
        <f>IF(ISERROR(G20+G16+G12),"-",G20+G16+G12)</f>
        <v>-</v>
      </c>
      <c r="H22" s="122" t="str">
        <f>IF(ISERROR(H20+H16+H12),"-",H20+H16+H12)</f>
        <v>-</v>
      </c>
      <c r="I22" s="122" t="str">
        <f>IF(ISERROR(I20+I16+I12),"-",I20+I16+I12)</f>
        <v>-</v>
      </c>
      <c r="J22" s="146" t="str">
        <f>IF(ISERROR(AVERAGE(#REF!,#REF!)),"-",AVERAGE(#REF!,#REF!))</f>
        <v>-</v>
      </c>
      <c r="K22" s="146" t="str">
        <f>IF(ISERROR(AVERAGE(#REF!,#REF!)),"-",AVERAGE(#REF!,#REF!))</f>
        <v>-</v>
      </c>
      <c r="L22" s="122" t="str">
        <f>IF(ISERROR(L20+L16+L12),"-",L20+L16+L12)</f>
        <v>-</v>
      </c>
      <c r="M22" s="122" t="str">
        <f>IF(ISERROR(M20+M16+M12),"-",M20+M16+M12)</f>
        <v>-</v>
      </c>
      <c r="N22" s="122" t="str">
        <f>IF(ISERROR(N20+N16+N12),"-",N20+N16+N12)</f>
        <v>-</v>
      </c>
      <c r="O22" s="124" t="str">
        <f>IF(ISERROR(O20+O16+O12),"-",O20+O16+O12)</f>
        <v>-</v>
      </c>
      <c r="P22" s="131" t="str">
        <f>IF(ISERROR(P20+P16+P12),"-",P20+P16+P12)</f>
        <v>-</v>
      </c>
      <c r="Q22" s="132" t="str">
        <f>IF(ISERROR(R22/12*Occupancy!$B$65),"-",R22/12*Occupancy!$B$65)</f>
        <v>-</v>
      </c>
      <c r="R22" s="132" t="str">
        <f>IF(ISERROR(R20+R16+R12),"-",R20+R16+R12)</f>
        <v>-</v>
      </c>
      <c r="S22" s="132" t="str">
        <f>IF(ISERROR(IF(P22="","",P22/VLOOKUP(Occupancy!$B$65,Occupancy!$B$68:$B$79,1)*12/$B22)),"-",IF(P22="","",P22/VLOOKUP(Occupancy!$B$65,Occupancy!$B$68:$B$79,1)*12/$B22))</f>
        <v>-</v>
      </c>
      <c r="T22" s="132" t="str">
        <f>IF(ISERROR(IF(Q22="","",Q22/VLOOKUP(Occupancy!$B$65,Occupancy!$B$68:$B$79,1)*12/$B22)),"-",IF(Q22="","",Q22/VLOOKUP(Occupancy!$B$65,Occupancy!$B$68:$B$79,1)*12/$B22))</f>
        <v>-</v>
      </c>
      <c r="U22" s="133" t="str">
        <f>IF(ISERROR(U20+U16+U12),"-",U20+U16+U12)</f>
        <v>-</v>
      </c>
      <c r="V22" s="133" t="str">
        <f>IF(ISERROR(V20+V16+V12),"-",V20+V16+V12)</f>
        <v>-</v>
      </c>
      <c r="W22" s="133" t="str">
        <f>IF(ISERROR(W20+W16+W12),"-",W20+W16+W12)</f>
        <v>-</v>
      </c>
      <c r="X22" s="133" t="str">
        <f>IF(ISERROR(IF(ISERROR(Y22/12*Occupancy!$B$65),"-",Y22/12*Occupancy!$B$65)),"-",IF(ISERROR(Y22/12*Occupancy!$B$65),"-",Y22/12*Occupancy!$B$65))</f>
        <v>-</v>
      </c>
      <c r="Y22" s="133" t="str">
        <f>IF(ISERROR(IF(ISERROR(Z22/12*Occupancy!$B$65),"-",Z22/12*Occupancy!$B$65)),"-",IF(ISERROR(Z22/12*Occupancy!$B$65),"-",Z22/12*Occupancy!$B$65))</f>
        <v>-</v>
      </c>
      <c r="Z22" s="137" t="str">
        <f>IF(ISERROR(U22/P22),"-",U22/P22)</f>
        <v>-</v>
      </c>
      <c r="AA22" s="132" t="str">
        <f>IF(ISERROR(P22-U22),"-",P22-U22)</f>
        <v>-</v>
      </c>
      <c r="AB22" s="132" t="str">
        <f>IF(ISERROR(Q22-V22),"-",Q22-V22)</f>
        <v>-</v>
      </c>
      <c r="AC22" s="132" t="str">
        <f>IF(ISERROR(R22-W22),"-",R22-W22)</f>
        <v>-</v>
      </c>
      <c r="AD22" s="132" t="str">
        <f>IF(ISERROR(IF(ISERROR(AE22/12*Occupancy!$B$65),"-",AE22/12*Occupancy!$B$65)),"-",IF(ISERROR(AE22/12*Occupancy!$B$65),"-",AE22/12*Occupancy!$B$65))</f>
        <v>-</v>
      </c>
      <c r="AE22" s="132" t="str">
        <f>IF(ISERROR(T22-Y22),"-",T22-Y22)</f>
        <v>-</v>
      </c>
      <c r="AF22" s="133" t="str">
        <f>IF(ISERROR(AF20+AF16+AF12),"-",AF20+AF16+AF12)</f>
        <v>-</v>
      </c>
      <c r="AG22" s="133" t="str">
        <f>IF(ISERROR(AG20+AG16+AG12),"-",AG20+AG16+AG12)</f>
        <v>-</v>
      </c>
      <c r="AH22" s="133" t="str">
        <f>IF(ISERROR(AH20+AH16+AH12),"-",AH20+AH16+AH12)</f>
        <v>-</v>
      </c>
      <c r="AI22" s="133" t="str">
        <f>IF(ISERROR(IF(AF22="","",AF22/VLOOKUP(Occupancy!$B$65,Occupancy!$B$68:$B$79,1)*12/$B22)),"-",IF(AF22="","",AF22/VLOOKUP(Occupancy!$B$65,Occupancy!$B$68:$B$79,1)*12/$B22))</f>
        <v>-</v>
      </c>
      <c r="AJ22" s="133" t="str">
        <f>IF(ISERROR(IF(AG22="","",AG22/VLOOKUP(Occupancy!$B$65,Occupancy!$B$68:$B$79,1)*12/$B22)),"-",IF(AG22="","",AG22/VLOOKUP(Occupancy!$B$65,Occupancy!$B$68:$B$79,1)*12/$B22))</f>
        <v>-</v>
      </c>
      <c r="AK22" s="132" t="str">
        <f>IF(ISERROR(AK20+AK16+AK12),"-",AK20+AK16+AK12)</f>
        <v>-</v>
      </c>
      <c r="AL22" s="132" t="str">
        <f>IF(ISERROR(AM22/12*Occupancy!$B$65),"-",AM22/12*Occupancy!$B$65)</f>
        <v>-</v>
      </c>
      <c r="AM22" s="132" t="str">
        <f>IF(ISERROR(AM20+AM16+AM12),"-",AM20+AM16+AM12)</f>
        <v>-</v>
      </c>
      <c r="AN22" s="132" t="str">
        <f>IF(ISERROR(IF(AK22="","",AK22/VLOOKUP(Occupancy!$B$65,Occupancy!$B$68:$B$79,1)*12/$B22)),"-",IF(AK22="","",AK22/VLOOKUP(Occupancy!$B$65,Occupancy!$B$68:$B$79,1)*12/$B22))</f>
        <v>-</v>
      </c>
      <c r="AO22" s="132" t="str">
        <f>IF(ISERROR(IF(AL22="","",AL22/VLOOKUP(Occupancy!$B$65,Occupancy!$B$68:$B$79,1)*12/$B22)),"-",IF(AL22="","",AL22/VLOOKUP(Occupancy!$B$65,Occupancy!$B$68:$B$79,1)*12/$B22))</f>
        <v>-</v>
      </c>
      <c r="AP22" s="133" t="str">
        <f>IF(ISERROR(AP20+AP16+AP12),"-",AP20+AP16+AP12)</f>
        <v>-</v>
      </c>
      <c r="AQ22" s="133" t="str">
        <f>IF(ISERROR(AQ20+AQ16+AQ12),"-",AQ20+AQ16+AQ12)</f>
        <v>-</v>
      </c>
      <c r="AR22" s="133" t="str">
        <f>IF(ISERROR(AR20+AR16+AR12),"-",AR20+AR16+AR12)</f>
        <v>-</v>
      </c>
      <c r="AS22" s="133" t="str">
        <f>IF(ISERROR(IF(AP22="","",AP22/VLOOKUP(Occupancy!$B$65,Occupancy!$B$68:$B$79,1)*12/$B22)),"-",IF(AP22="","",AP22/VLOOKUP(Occupancy!$B$65,Occupancy!$B$68:$B$79,1)*12/$B22))</f>
        <v>-</v>
      </c>
      <c r="AT22" s="133" t="str">
        <f>IF(ISERROR(IF(AQ22="","",AQ22/VLOOKUP(Occupancy!$B$65,Occupancy!$B$68:$B$79,1)*12/$B22)),"-",IF(AQ22="","",AQ22/VLOOKUP(Occupancy!$B$65,Occupancy!$B$68:$B$79,1)*12/$B22))</f>
        <v>-</v>
      </c>
      <c r="AU22" s="132" t="str">
        <f>IF(ISERROR(AU20+AU16+AU12),"-",AU20+AU16+AU12)</f>
        <v>-</v>
      </c>
      <c r="AV22" s="132" t="str">
        <f>IF(ISERROR(AV20+AV16+AV12),"-",AV20+AV16+AV12)</f>
        <v>-</v>
      </c>
      <c r="AW22" s="132" t="str">
        <f>IF(ISERROR(AW20+AW16+AW12),"-",AW20+AW16+AW12)</f>
        <v>-</v>
      </c>
      <c r="AX22" s="132" t="str">
        <f>IF(ISERROR(IF(AU22="","",AU22/VLOOKUP(Occupancy!$B$65,Occupancy!$B$68:$B$79,1)*12/$B22)),"-",IF(AU22="","",AU22/VLOOKUP(Occupancy!$B$65,Occupancy!$B$68:$B$79,1)*12/$B22))</f>
        <v>-</v>
      </c>
      <c r="AY22" s="132" t="str">
        <f>IF(ISERROR(IF(AV22="","",AV22/VLOOKUP(Occupancy!$B$65,Occupancy!$B$68:$B$79,1)*12/$B22)),"-",IF(AV22="","",AV22/VLOOKUP(Occupancy!$B$65,Occupancy!$B$68:$B$79,1)*12/$B22))</f>
        <v>-</v>
      </c>
      <c r="AZ22" s="134" t="str">
        <f>IF(ISERROR(AZ20+AZ16+AZ12),"-",AZ20+AZ16+AZ12)</f>
        <v>-</v>
      </c>
      <c r="BA22" s="134" t="str">
        <f>IF(ISERROR(BA20+BA16+BA12),"-",BA20+BA16+BA12)</f>
        <v>-</v>
      </c>
      <c r="BB22" s="134" t="str">
        <f>IF(ISERROR(BB20+BB16+BB12),"-",BB20+BB16+BB12)</f>
        <v>-</v>
      </c>
      <c r="BC22" s="134" t="str">
        <f>IF(ISERROR(IF(AZ22="","",AZ22/VLOOKUP(Occupancy!$B$65,Occupancy!$B$68:$B$79,1)*12/$B22)),"-",IF(AZ22="","",AZ22/VLOOKUP(Occupancy!$B$65,Occupancy!$B$68:$B$79,1)*12/$B22))</f>
        <v>-</v>
      </c>
      <c r="BD22" s="135" t="str">
        <f>IF(ISERROR(IF(BA22="","",BA22/VLOOKUP(Occupancy!$B$65,Occupancy!$B$68:$B$79,1)*12/$B22)),"-",IF(BA22="","",BA22/VLOOKUP(Occupancy!$B$65,Occupancy!$B$68:$B$79,1)*12/$B22))</f>
        <v>-</v>
      </c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</sheetData>
  <sortState ref="A11:BD41">
    <sortCondition ref="A11"/>
  </sortState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19308"/>
  <sheetViews>
    <sheetView zoomScale="90" zoomScaleNormal="90" zoomScaleSheetLayoutView="55" workbookViewId="0">
      <selection activeCell="AY74" sqref="AY74"/>
    </sheetView>
  </sheetViews>
  <sheetFormatPr defaultRowHeight="15" x14ac:dyDescent="0.25"/>
  <cols>
    <col min="1" max="1" width="38.85546875" bestFit="1" customWidth="1"/>
    <col min="2" max="2" width="7.42578125" customWidth="1"/>
    <col min="3" max="3" width="32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82</v>
      </c>
    </row>
    <row r="3" spans="1:58" ht="19.5" customHeight="1" thickBot="1" x14ac:dyDescent="0.3">
      <c r="A3" s="27"/>
      <c r="B3" s="27" t="s">
        <v>4</v>
      </c>
      <c r="C3" s="27"/>
      <c r="D3" s="246" t="s">
        <v>80</v>
      </c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8"/>
      <c r="AC3" s="57"/>
      <c r="AD3" s="57"/>
      <c r="AE3" s="57"/>
      <c r="AF3" s="57"/>
      <c r="AG3" s="57"/>
      <c r="AH3" s="249" t="str">
        <f>D3</f>
        <v>March 2018 YTD Operating and Budgeted Results</v>
      </c>
      <c r="AI3" s="250"/>
      <c r="AJ3" s="250"/>
      <c r="AK3" s="250"/>
      <c r="AL3" s="250"/>
      <c r="AM3" s="250"/>
      <c r="AN3" s="250"/>
      <c r="AO3" s="250"/>
      <c r="AP3" s="250"/>
      <c r="AQ3" s="250"/>
      <c r="AR3" s="250"/>
      <c r="AS3" s="250"/>
      <c r="AT3" s="250"/>
      <c r="AU3" s="250"/>
      <c r="AV3" s="250"/>
      <c r="AW3" s="250"/>
      <c r="AX3" s="250"/>
      <c r="AY3" s="250"/>
      <c r="AZ3" s="250"/>
      <c r="BA3" s="250"/>
      <c r="BB3" s="250"/>
      <c r="BC3" s="250"/>
      <c r="BD3" s="250"/>
      <c r="BE3" s="250"/>
      <c r="BF3" s="251"/>
    </row>
    <row r="4" spans="1:58" x14ac:dyDescent="0.25">
      <c r="A4" s="58"/>
      <c r="B4" s="255" t="s">
        <v>14</v>
      </c>
      <c r="C4" s="250" t="s">
        <v>39</v>
      </c>
      <c r="D4" s="258" t="s">
        <v>40</v>
      </c>
      <c r="E4" s="240"/>
      <c r="F4" s="240"/>
      <c r="G4" s="240"/>
      <c r="H4" s="240"/>
      <c r="I4" s="241" t="s">
        <v>41</v>
      </c>
      <c r="J4" s="242"/>
      <c r="K4" s="242"/>
      <c r="L4" s="242"/>
      <c r="M4" s="243"/>
      <c r="N4" s="252" t="s">
        <v>42</v>
      </c>
      <c r="O4" s="240"/>
      <c r="P4" s="240"/>
      <c r="Q4" s="240"/>
      <c r="R4" s="253"/>
      <c r="S4" s="241" t="s">
        <v>43</v>
      </c>
      <c r="T4" s="242"/>
      <c r="U4" s="242"/>
      <c r="V4" s="242"/>
      <c r="W4" s="243"/>
      <c r="X4" s="252" t="s">
        <v>44</v>
      </c>
      <c r="Y4" s="240"/>
      <c r="Z4" s="240"/>
      <c r="AA4" s="240"/>
      <c r="AB4" s="240"/>
      <c r="AC4" s="59"/>
      <c r="AD4" s="60"/>
      <c r="AE4" s="60" t="s">
        <v>45</v>
      </c>
      <c r="AF4" s="60"/>
      <c r="AG4" s="61"/>
      <c r="AH4" s="253" t="s">
        <v>46</v>
      </c>
      <c r="AI4" s="254"/>
      <c r="AJ4" s="254"/>
      <c r="AK4" s="254"/>
      <c r="AL4" s="252"/>
      <c r="AM4" s="62"/>
      <c r="AN4" s="60"/>
      <c r="AO4" s="60" t="s">
        <v>47</v>
      </c>
      <c r="AP4" s="60"/>
      <c r="AQ4" s="63"/>
      <c r="AR4" s="240" t="s">
        <v>48</v>
      </c>
      <c r="AS4" s="240"/>
      <c r="AT4" s="240"/>
      <c r="AU4" s="240"/>
      <c r="AV4" s="240"/>
      <c r="AW4" s="241" t="s">
        <v>49</v>
      </c>
      <c r="AX4" s="242"/>
      <c r="AY4" s="242"/>
      <c r="AZ4" s="242"/>
      <c r="BA4" s="243"/>
      <c r="BB4" s="244" t="s">
        <v>50</v>
      </c>
      <c r="BC4" s="244"/>
      <c r="BD4" s="244"/>
      <c r="BE4" s="244"/>
      <c r="BF4" s="245"/>
    </row>
    <row r="5" spans="1:58" ht="51.75" x14ac:dyDescent="0.25">
      <c r="A5" s="152" t="s">
        <v>34</v>
      </c>
      <c r="B5" s="256"/>
      <c r="C5" s="257"/>
      <c r="D5" s="98" t="s">
        <v>51</v>
      </c>
      <c r="E5" s="99" t="s">
        <v>52</v>
      </c>
      <c r="F5" s="100" t="s">
        <v>29</v>
      </c>
      <c r="G5" s="99" t="s">
        <v>53</v>
      </c>
      <c r="H5" s="101" t="s">
        <v>54</v>
      </c>
      <c r="I5" s="102" t="s">
        <v>51</v>
      </c>
      <c r="J5" s="102" t="s">
        <v>52</v>
      </c>
      <c r="K5" s="103" t="s">
        <v>29</v>
      </c>
      <c r="L5" s="102" t="s">
        <v>53</v>
      </c>
      <c r="M5" s="102" t="s">
        <v>54</v>
      </c>
      <c r="N5" s="99" t="s">
        <v>51</v>
      </c>
      <c r="O5" s="99" t="s">
        <v>52</v>
      </c>
      <c r="P5" s="100" t="s">
        <v>29</v>
      </c>
      <c r="Q5" s="99" t="s">
        <v>53</v>
      </c>
      <c r="R5" s="99" t="s">
        <v>54</v>
      </c>
      <c r="S5" s="103" t="s">
        <v>51</v>
      </c>
      <c r="T5" s="102" t="s">
        <v>52</v>
      </c>
      <c r="U5" s="103" t="s">
        <v>29</v>
      </c>
      <c r="V5" s="102" t="s">
        <v>53</v>
      </c>
      <c r="W5" s="104" t="s">
        <v>54</v>
      </c>
      <c r="X5" s="99" t="s">
        <v>51</v>
      </c>
      <c r="Y5" s="99" t="s">
        <v>52</v>
      </c>
      <c r="Z5" s="100" t="s">
        <v>29</v>
      </c>
      <c r="AA5" s="99" t="s">
        <v>53</v>
      </c>
      <c r="AB5" s="105" t="s">
        <v>54</v>
      </c>
      <c r="AC5" s="106" t="s">
        <v>51</v>
      </c>
      <c r="AD5" s="102" t="s">
        <v>52</v>
      </c>
      <c r="AE5" s="103" t="s">
        <v>29</v>
      </c>
      <c r="AF5" s="102" t="s">
        <v>53</v>
      </c>
      <c r="AG5" s="107" t="s">
        <v>54</v>
      </c>
      <c r="AH5" s="100" t="s">
        <v>51</v>
      </c>
      <c r="AI5" s="99" t="s">
        <v>52</v>
      </c>
      <c r="AJ5" s="100" t="s">
        <v>29</v>
      </c>
      <c r="AK5" s="99" t="s">
        <v>53</v>
      </c>
      <c r="AL5" s="108" t="s">
        <v>54</v>
      </c>
      <c r="AM5" s="102" t="s">
        <v>51</v>
      </c>
      <c r="AN5" s="102" t="s">
        <v>52</v>
      </c>
      <c r="AO5" s="103" t="s">
        <v>29</v>
      </c>
      <c r="AP5" s="102" t="s">
        <v>53</v>
      </c>
      <c r="AQ5" s="104" t="s">
        <v>54</v>
      </c>
      <c r="AR5" s="109" t="s">
        <v>51</v>
      </c>
      <c r="AS5" s="99" t="s">
        <v>52</v>
      </c>
      <c r="AT5" s="100" t="s">
        <v>29</v>
      </c>
      <c r="AU5" s="99" t="s">
        <v>53</v>
      </c>
      <c r="AV5" s="105" t="s">
        <v>54</v>
      </c>
      <c r="AW5" s="102" t="s">
        <v>51</v>
      </c>
      <c r="AX5" s="102" t="s">
        <v>52</v>
      </c>
      <c r="AY5" s="103" t="s">
        <v>29</v>
      </c>
      <c r="AZ5" s="102" t="s">
        <v>53</v>
      </c>
      <c r="BA5" s="102" t="s">
        <v>54</v>
      </c>
      <c r="BB5" s="110" t="s">
        <v>51</v>
      </c>
      <c r="BC5" s="111" t="s">
        <v>52</v>
      </c>
      <c r="BD5" s="110" t="s">
        <v>29</v>
      </c>
      <c r="BE5" s="111" t="s">
        <v>53</v>
      </c>
      <c r="BF5" s="112" t="s">
        <v>54</v>
      </c>
    </row>
    <row r="6" spans="1:58" x14ac:dyDescent="0.25">
      <c r="A6" s="150"/>
      <c r="B6" s="64"/>
      <c r="C6" s="77"/>
      <c r="D6" s="98"/>
      <c r="E6" s="66"/>
      <c r="F6" s="100"/>
      <c r="G6" s="66"/>
      <c r="H6" s="66"/>
      <c r="I6" s="102"/>
      <c r="J6" s="69"/>
      <c r="K6" s="103"/>
      <c r="L6" s="69"/>
      <c r="M6" s="69"/>
      <c r="N6" s="99"/>
      <c r="O6" s="66"/>
      <c r="P6" s="100"/>
      <c r="Q6" s="66"/>
      <c r="R6" s="66"/>
      <c r="S6" s="103"/>
      <c r="T6" s="69"/>
      <c r="U6" s="103"/>
      <c r="V6" s="69"/>
      <c r="W6" s="69"/>
      <c r="X6" s="99"/>
      <c r="Y6" s="66"/>
      <c r="Z6" s="100"/>
      <c r="AA6" s="66"/>
      <c r="AB6" s="70"/>
      <c r="AC6" s="103"/>
      <c r="AD6" s="69"/>
      <c r="AE6" s="103"/>
      <c r="AF6" s="69"/>
      <c r="AG6" s="72"/>
      <c r="AH6" s="100"/>
      <c r="AI6" s="66"/>
      <c r="AJ6" s="100"/>
      <c r="AK6" s="66"/>
      <c r="AL6" s="70"/>
      <c r="AM6" s="102"/>
      <c r="AN6" s="69"/>
      <c r="AO6" s="103"/>
      <c r="AP6" s="69"/>
      <c r="AQ6" s="69"/>
      <c r="AR6" s="109"/>
      <c r="AS6" s="66"/>
      <c r="AT6" s="100">
        <f>SUMIFS(AnnualFinancialData!$L$2:$L$6366,AnnualFinancialData!$B$2:$B$6366,$A6,AnnualFinancialData!$K$2:$K$6366,"55301")</f>
        <v>0</v>
      </c>
      <c r="AU6" s="66"/>
      <c r="AV6" s="66"/>
      <c r="AW6" s="102"/>
      <c r="AX6" s="69"/>
      <c r="AY6" s="103"/>
      <c r="AZ6" s="69"/>
      <c r="BA6" s="69"/>
      <c r="BB6" s="75"/>
      <c r="BC6" s="75"/>
      <c r="BD6" s="75"/>
      <c r="BE6" s="75"/>
      <c r="BF6" s="76"/>
    </row>
    <row r="7" spans="1:58" x14ac:dyDescent="0.25">
      <c r="A7" s="170" t="s">
        <v>55</v>
      </c>
      <c r="B7" s="161" t="str">
        <f>IF(ISERROR(SUM(#REF!)),"-",SUM(#REF!))</f>
        <v>-</v>
      </c>
      <c r="C7" s="171"/>
      <c r="D7" s="98" t="str">
        <f>IF(ISERROR(SUM(#REF!)),"-",SUM(#REF!))</f>
        <v>-</v>
      </c>
      <c r="E7" s="172" t="str">
        <f>IF(ISERROR(F7/12*Occupancy!$B$65),"-",F7/12*Occupancy!$B$65)</f>
        <v>-</v>
      </c>
      <c r="F7" s="100" t="str">
        <f>IF(ISERROR(SUM(#REF!)),"-",SUM(#REF!))</f>
        <v>-</v>
      </c>
      <c r="G7" s="172" t="str">
        <f>IF(ISERROR(D7/$B7/VLOOKUP(Occupancy!$B$65,Occupancy!$B$68:'Occupancy'!$B$79,1)*12),"-",D7/$B7/VLOOKUP(Occupancy!$B$65,Occupancy!$B$68:'Occupancy'!$B$79,1)*12)</f>
        <v>-</v>
      </c>
      <c r="H7" s="172" t="str">
        <f>IF(ISERROR(E7/$B7/VLOOKUP(Occupancy!$B$65,Occupancy!$B$68:'Occupancy'!$B$79,1)*12),"-",E7/$B7/VLOOKUP(Occupancy!$B$65,Occupancy!$B$68:'Occupancy'!$B$79,1)*12)</f>
        <v>-</v>
      </c>
      <c r="I7" s="102" t="str">
        <f>IF(ISERROR(SUM(#REF!)),"-",SUM(#REF!))</f>
        <v>-</v>
      </c>
      <c r="J7" s="173" t="str">
        <f>IF(ISERROR(K7/12*Occupancy!$B$65),"-",K7/12*Occupancy!$B$65)</f>
        <v>-</v>
      </c>
      <c r="K7" s="103" t="str">
        <f>IF(ISERROR(SUM(#REF!)),"-",SUM(#REF!))</f>
        <v>-</v>
      </c>
      <c r="L7" s="173" t="str">
        <f>IF(ISERROR(I7/$B7/VLOOKUP(Occupancy!$B$65,Occupancy!$B$68:'Occupancy'!$B$79,1)*12),"-",I7/$B7/VLOOKUP(Occupancy!$B$65,Occupancy!$B$68:'Occupancy'!$B$79,1)*12)</f>
        <v>-</v>
      </c>
      <c r="M7" s="173" t="str">
        <f>IF(ISERROR(J7/$B7/VLOOKUP(Occupancy!$B$65,Occupancy!$B$68:'Occupancy'!$B$79,1)*12),"-",J7/$B7/VLOOKUP(Occupancy!$B$65,Occupancy!$B$68:'Occupancy'!$B$79,1)*12)</f>
        <v>-</v>
      </c>
      <c r="N7" s="99" t="str">
        <f>IF(ISERROR(SUM(#REF!)),"-",SUM(#REF!))</f>
        <v>-</v>
      </c>
      <c r="O7" s="172" t="str">
        <f>IF(ISERROR(P7/12*Occupancy!$B$65),"-",P7/12*Occupancy!$B$65)</f>
        <v>-</v>
      </c>
      <c r="P7" s="100" t="str">
        <f>IF(ISERROR(SUM(#REF!)),"-",SUM(#REF!))</f>
        <v>-</v>
      </c>
      <c r="Q7" s="172" t="str">
        <f>IF(ISERROR(N7/$B7/VLOOKUP(Occupancy!$B$65,Occupancy!$B$68:'Occupancy'!$B$79,1)*12),"-",N7/$B7/VLOOKUP(Occupancy!$B$65,Occupancy!$B$68:'Occupancy'!$B$79,1)*12)</f>
        <v>-</v>
      </c>
      <c r="R7" s="172" t="str">
        <f>IF(ISERROR(O7/$B7/VLOOKUP(Occupancy!$B$65,Occupancy!$B$68:'Occupancy'!$B$79,1)*12),"-",O7/$B7/VLOOKUP(Occupancy!$B$65,Occupancy!$B$68:'Occupancy'!$B$79,1)*12)</f>
        <v>-</v>
      </c>
      <c r="S7" s="103" t="str">
        <f>IF(ISERROR(SUM(#REF!)),"-",SUM(#REF!))</f>
        <v>-</v>
      </c>
      <c r="T7" s="173" t="str">
        <f>IF(ISERROR(U7/12*Occupancy!$B$65),"-",U7/12*Occupancy!$B$65)</f>
        <v>-</v>
      </c>
      <c r="U7" s="103" t="str">
        <f>IF(ISERROR(SUM(#REF!)),"-",SUM(#REF!))</f>
        <v>-</v>
      </c>
      <c r="V7" s="173" t="str">
        <f>IF(ISERROR(S7/$B7/VLOOKUP(Occupancy!$B$65,Occupancy!$B$68:'Occupancy'!$B$79,1)*12),"-",S7/$B7/VLOOKUP(Occupancy!$B$65,Occupancy!$B$68:'Occupancy'!$B$79,1)*12)</f>
        <v>-</v>
      </c>
      <c r="W7" s="173" t="str">
        <f>IF(ISERROR(T7/$B7/VLOOKUP(Occupancy!$B$65,Occupancy!$B$68:'Occupancy'!$B$79,1)*12),"-",T7/$B7/VLOOKUP(Occupancy!$B$65,Occupancy!$B$68:'Occupancy'!$B$79,1)*12)</f>
        <v>-</v>
      </c>
      <c r="X7" s="99" t="str">
        <f>IF(ISERROR(SUM(#REF!)),"-",SUM(#REF!))</f>
        <v>-</v>
      </c>
      <c r="Y7" s="172" t="str">
        <f>IF(ISERROR(Z7/12*Occupancy!$B$65),"-",Z7/12*Occupancy!$B$65)</f>
        <v>-</v>
      </c>
      <c r="Z7" s="100" t="str">
        <f>IF(ISERROR(SUM(#REF!)),"-",SUM(#REF!))</f>
        <v>-</v>
      </c>
      <c r="AA7" s="172" t="str">
        <f>IF(ISERROR(X7/$B7/VLOOKUP(Occupancy!$B$65,Occupancy!$B$68:'Occupancy'!$B$79,1)*12),"-",X7/$B7/VLOOKUP(Occupancy!$B$65,Occupancy!$B$68:'Occupancy'!$B$79,1)*12)</f>
        <v>-</v>
      </c>
      <c r="AB7" s="174" t="str">
        <f>IF(ISERROR(Y7/$B7/VLOOKUP(Occupancy!$B$65,Occupancy!$B$68:'Occupancy'!$B$79,1)*12),"-",Y7/$B7/VLOOKUP(Occupancy!$B$65,Occupancy!$B$68:'Occupancy'!$B$79,1)*12)</f>
        <v>-</v>
      </c>
      <c r="AC7" s="103" t="str">
        <f>IF(ISERROR(SUM(#REF!)),"-",SUM(#REF!))</f>
        <v>-</v>
      </c>
      <c r="AD7" s="173" t="str">
        <f>IF(ISERROR(AE7/12*Occupancy!$B$65),"-",AE7/12*Occupancy!$B$65)</f>
        <v>-</v>
      </c>
      <c r="AE7" s="103" t="str">
        <f>IF(ISERROR(SUM(#REF!)),"-",SUM(#REF!))</f>
        <v>-</v>
      </c>
      <c r="AF7" s="173" t="str">
        <f>IF(ISERROR(AC7/$B7/VLOOKUP(Occupancy!$B$65,Occupancy!$B$68:'Occupancy'!$B$79,1)*12),"-",AC7/$B7/VLOOKUP(Occupancy!$B$65,Occupancy!$B$68:'Occupancy'!$B$79,1)*12)</f>
        <v>-</v>
      </c>
      <c r="AG7" s="175" t="str">
        <f>IF(ISERROR(AD7/$B7/VLOOKUP(Occupancy!$B$65,Occupancy!$B$68:'Occupancy'!$B$79,1)*12),"-",AD7/$B7/VLOOKUP(Occupancy!$B$65,Occupancy!$B$68:'Occupancy'!$B$79,1)*12)</f>
        <v>-</v>
      </c>
      <c r="AH7" s="100" t="str">
        <f>IF(ISERROR(SUM(#REF!)),"-",SUM(#REF!))</f>
        <v>-</v>
      </c>
      <c r="AI7" s="172" t="str">
        <f>IF(ISERROR(AJ7/12*Occupancy!$B$65),"-",AJ7/12*Occupancy!$B$65)</f>
        <v>-</v>
      </c>
      <c r="AJ7" s="100" t="str">
        <f>IF(ISERROR(SUM(#REF!)),"-",SUM(#REF!))</f>
        <v>-</v>
      </c>
      <c r="AK7" s="172" t="str">
        <f>IF(ISERROR(AH7/$B7/VLOOKUP(Occupancy!$B$65,Occupancy!$B$68:'Occupancy'!$B$79,1)*12),"-",AH7/$B7/VLOOKUP(Occupancy!$B$65,Occupancy!$B$68:'Occupancy'!$B$79,1)*12)</f>
        <v>-</v>
      </c>
      <c r="AL7" s="174" t="str">
        <f>IF(ISERROR(AI7/$B7/VLOOKUP(Occupancy!$B$65,Occupancy!$B$68:'Occupancy'!$B$79,1)*12),"-",AI7/$B7/VLOOKUP(Occupancy!$B$65,Occupancy!$B$68:'Occupancy'!$B$79,1)*12)</f>
        <v>-</v>
      </c>
      <c r="AM7" s="102" t="str">
        <f>IF(ISERROR(SUM(#REF!)),"-",SUM(#REF!))</f>
        <v>-</v>
      </c>
      <c r="AN7" s="173" t="str">
        <f>IF(ISERROR(AO7/12*Occupancy!$B$65),"-",AO7/12*Occupancy!$B$65)</f>
        <v>-</v>
      </c>
      <c r="AO7" s="103" t="str">
        <f>IF(ISERROR(SUM(#REF!)),"-",SUM(#REF!))</f>
        <v>-</v>
      </c>
      <c r="AP7" s="173" t="str">
        <f>IF(ISERROR(AM7/$B7/VLOOKUP(Occupancy!$B$65,Occupancy!$B$68:'Occupancy'!$B$79,1)*12),"-",AM7/$B7/VLOOKUP(Occupancy!$B$65,Occupancy!$B$68:'Occupancy'!$B$79,1)*12)</f>
        <v>-</v>
      </c>
      <c r="AQ7" s="173" t="str">
        <f>IF(ISERROR(AN7/$B7/VLOOKUP(Occupancy!$B$65,Occupancy!$B$68:'Occupancy'!$B$79,1)*12),"-",AN7/$B7/VLOOKUP(Occupancy!$B$65,Occupancy!$B$68:'Occupancy'!$B$79,1)*12)</f>
        <v>-</v>
      </c>
      <c r="AR7" s="109" t="str">
        <f>IF(ISERROR(SUM(#REF!)),"-",SUM(#REF!))</f>
        <v>-</v>
      </c>
      <c r="AS7" s="172" t="str">
        <f>IF(ISERROR(AT7/12*Occupancy!$B$65),"-",AT7/12*Occupancy!$B$65)</f>
        <v>-</v>
      </c>
      <c r="AT7" s="100" t="str">
        <f>IF(ISERROR(SUM(#REF!)),"-",SUM(#REF!))</f>
        <v>-</v>
      </c>
      <c r="AU7" s="172" t="str">
        <f>IF(ISERROR(AR7/$B7/VLOOKUP(Occupancy!$B$65,Occupancy!$B$68:'Occupancy'!$B$79,1)*12),"-",AR7/$B7/VLOOKUP(Occupancy!$B$65,Occupancy!$B$68:'Occupancy'!$B$79,1)*12)</f>
        <v>-</v>
      </c>
      <c r="AV7" s="172" t="str">
        <f>IF(ISERROR(AS7/$B7/VLOOKUP(Occupancy!$B$65,Occupancy!$B$68:'Occupancy'!$B$79,1)*12),"-",AS7/$B7/VLOOKUP(Occupancy!$B$65,Occupancy!$B$68:'Occupancy'!$B$79,1)*12)</f>
        <v>-</v>
      </c>
      <c r="AW7" s="102" t="str">
        <f>IF(ISERROR(SUM(#REF!)),"-",SUM(#REF!))</f>
        <v>-</v>
      </c>
      <c r="AX7" s="173" t="str">
        <f>IF(ISERROR(AY7/12*Occupancy!$B$65),"-",AY7/12*Occupancy!$B$65)</f>
        <v>-</v>
      </c>
      <c r="AY7" s="103" t="str">
        <f>IF(ISERROR(SUM(#REF!)),"-",SUM(#REF!))</f>
        <v>-</v>
      </c>
      <c r="AZ7" s="173" t="str">
        <f>IF(ISERROR(AW7/$B7/VLOOKUP(Occupancy!$B$65,Occupancy!$B$68:'Occupancy'!$B$79,1)*12),"-",AW7/$B7/VLOOKUP(Occupancy!$B$65,Occupancy!$B$68:'Occupancy'!$B$79,1)*12)</f>
        <v>-</v>
      </c>
      <c r="BA7" s="173" t="str">
        <f>IF(ISERROR(AX7/$B7/VLOOKUP(Occupancy!$B$65,Occupancy!$B$68:'Occupancy'!$B$79,1)*12),"-",AX7/$B7/VLOOKUP(Occupancy!$B$65,Occupancy!$B$68:'Occupancy'!$B$79,1)*12)</f>
        <v>-</v>
      </c>
      <c r="BB7" s="176" t="str">
        <f>IF(ISERROR(SUM(#REF!)),"-",SUM(#REF!))</f>
        <v>-</v>
      </c>
      <c r="BC7" s="176" t="str">
        <f>IF(ISERROR(SUM(#REF!)),"-",SUM(#REF!))</f>
        <v>-</v>
      </c>
      <c r="BD7" s="176" t="str">
        <f>IF(ISERROR(SUM(#REF!)),"-",SUM(#REF!))</f>
        <v>-</v>
      </c>
      <c r="BE7" s="176" t="str">
        <f>IF(ISERROR(BB7/$B7/VLOOKUP(Occupancy!$B$65,Occupancy!$B$68:'Occupancy'!$B$79,1)*12),"-",BB7/$B7/VLOOKUP(Occupancy!$B$65,Occupancy!$B$68:'Occupancy'!$B$79,1)*12)</f>
        <v>-</v>
      </c>
      <c r="BF7" s="177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78"/>
      <c r="B8" s="17"/>
      <c r="C8" s="179"/>
      <c r="D8" s="98"/>
      <c r="E8" s="180"/>
      <c r="F8" s="100"/>
      <c r="G8" s="181"/>
      <c r="H8" s="181"/>
      <c r="I8" s="102"/>
      <c r="J8" s="182"/>
      <c r="K8" s="103"/>
      <c r="L8" s="183"/>
      <c r="M8" s="183"/>
      <c r="N8" s="99"/>
      <c r="O8" s="180"/>
      <c r="P8" s="100"/>
      <c r="Q8" s="181"/>
      <c r="R8" s="181"/>
      <c r="S8" s="103"/>
      <c r="T8" s="182"/>
      <c r="U8" s="103"/>
      <c r="V8" s="183"/>
      <c r="W8" s="183"/>
      <c r="X8" s="99"/>
      <c r="Y8" s="180"/>
      <c r="Z8" s="100"/>
      <c r="AA8" s="181"/>
      <c r="AB8" s="184"/>
      <c r="AC8" s="103"/>
      <c r="AD8" s="182"/>
      <c r="AE8" s="103"/>
      <c r="AF8" s="183"/>
      <c r="AG8" s="185"/>
      <c r="AH8" s="100"/>
      <c r="AI8" s="180"/>
      <c r="AJ8" s="100"/>
      <c r="AK8" s="181"/>
      <c r="AL8" s="184"/>
      <c r="AM8" s="102"/>
      <c r="AN8" s="182"/>
      <c r="AO8" s="103"/>
      <c r="AP8" s="183"/>
      <c r="AQ8" s="183"/>
      <c r="AR8" s="109"/>
      <c r="AS8" s="180"/>
      <c r="AT8" s="100">
        <f>SUMIFS(AnnualFinancialData!$L$2:$L$6366,AnnualFinancialData!$B$2:$B$6366,$A8,AnnualFinancialData!$K$2:$K$6366,"55301")</f>
        <v>0</v>
      </c>
      <c r="AU8" s="181"/>
      <c r="AV8" s="181"/>
      <c r="AW8" s="102"/>
      <c r="AX8" s="182"/>
      <c r="AY8" s="103"/>
      <c r="AZ8" s="183"/>
      <c r="BA8" s="183"/>
      <c r="BB8" s="186"/>
      <c r="BC8" s="186"/>
      <c r="BD8" s="186"/>
      <c r="BE8" s="187"/>
      <c r="BF8" s="188"/>
    </row>
    <row r="9" spans="1:58" x14ac:dyDescent="0.25">
      <c r="A9" s="13" t="s">
        <v>36</v>
      </c>
      <c r="B9" s="26"/>
      <c r="C9" s="149"/>
      <c r="D9" s="98"/>
      <c r="E9" s="83"/>
      <c r="F9" s="100"/>
      <c r="G9" s="83"/>
      <c r="H9" s="83"/>
      <c r="I9" s="102"/>
      <c r="J9" s="86"/>
      <c r="K9" s="103"/>
      <c r="L9" s="86"/>
      <c r="M9" s="86"/>
      <c r="N9" s="99"/>
      <c r="O9" s="83"/>
      <c r="P9" s="100"/>
      <c r="Q9" s="83"/>
      <c r="R9" s="83"/>
      <c r="S9" s="103"/>
      <c r="T9" s="86"/>
      <c r="U9" s="103"/>
      <c r="V9" s="86"/>
      <c r="W9" s="86"/>
      <c r="X9" s="99"/>
      <c r="Y9" s="83"/>
      <c r="Z9" s="100"/>
      <c r="AA9" s="83"/>
      <c r="AB9" s="87"/>
      <c r="AC9" s="103"/>
      <c r="AD9" s="86"/>
      <c r="AE9" s="103"/>
      <c r="AF9" s="86"/>
      <c r="AG9" s="88"/>
      <c r="AH9" s="100"/>
      <c r="AI9" s="83"/>
      <c r="AJ9" s="100"/>
      <c r="AK9" s="83"/>
      <c r="AL9" s="87"/>
      <c r="AM9" s="102"/>
      <c r="AN9" s="86"/>
      <c r="AO9" s="103"/>
      <c r="AP9" s="86"/>
      <c r="AQ9" s="86"/>
      <c r="AR9" s="109"/>
      <c r="AS9" s="83"/>
      <c r="AT9" s="100">
        <f>SUMIFS(AnnualFinancialData!$L$2:$L$6366,AnnualFinancialData!$B$2:$B$6366,$A9,AnnualFinancialData!$K$2:$K$6366,"55301")</f>
        <v>0</v>
      </c>
      <c r="AU9" s="83"/>
      <c r="AV9" s="83"/>
      <c r="AW9" s="102"/>
      <c r="AX9" s="86"/>
      <c r="AY9" s="103"/>
      <c r="AZ9" s="86"/>
      <c r="BA9" s="86"/>
      <c r="BB9" s="89"/>
      <c r="BC9" s="89"/>
      <c r="BD9" s="89"/>
      <c r="BE9" s="89"/>
      <c r="BF9" s="90"/>
    </row>
    <row r="10" spans="1:58" x14ac:dyDescent="0.25">
      <c r="A10" s="150"/>
      <c r="B10" s="17"/>
      <c r="C10" s="17"/>
      <c r="D10" s="98"/>
      <c r="E10" s="66"/>
      <c r="F10" s="100"/>
      <c r="G10" s="66"/>
      <c r="H10" s="66"/>
      <c r="I10" s="102"/>
      <c r="J10" s="69"/>
      <c r="K10" s="103"/>
      <c r="L10" s="69"/>
      <c r="M10" s="69"/>
      <c r="N10" s="99"/>
      <c r="O10" s="66"/>
      <c r="P10" s="100"/>
      <c r="Q10" s="66"/>
      <c r="R10" s="66"/>
      <c r="S10" s="103"/>
      <c r="T10" s="69"/>
      <c r="U10" s="103"/>
      <c r="V10" s="69"/>
      <c r="W10" s="69"/>
      <c r="X10" s="99"/>
      <c r="Y10" s="66"/>
      <c r="Z10" s="100"/>
      <c r="AA10" s="66"/>
      <c r="AB10" s="70"/>
      <c r="AC10" s="103"/>
      <c r="AD10" s="69"/>
      <c r="AE10" s="103"/>
      <c r="AF10" s="69"/>
      <c r="AG10" s="72"/>
      <c r="AH10" s="100"/>
      <c r="AI10" s="66"/>
      <c r="AJ10" s="100"/>
      <c r="AK10" s="66"/>
      <c r="AL10" s="70"/>
      <c r="AM10" s="102"/>
      <c r="AN10" s="69"/>
      <c r="AO10" s="103"/>
      <c r="AP10" s="69"/>
      <c r="AQ10" s="69"/>
      <c r="AR10" s="109"/>
      <c r="AS10" s="66"/>
      <c r="AT10" s="100">
        <f>SUMIFS(AnnualFinancialData!$L$2:$L$6366,AnnualFinancialData!$B$2:$B$6366,$A10,AnnualFinancialData!$K$2:$K$6366,"55301")</f>
        <v>0</v>
      </c>
      <c r="AU10" s="66"/>
      <c r="AV10" s="66"/>
      <c r="AW10" s="102"/>
      <c r="AX10" s="69"/>
      <c r="AY10" s="103"/>
      <c r="AZ10" s="69"/>
      <c r="BA10" s="69"/>
      <c r="BB10" s="75"/>
      <c r="BC10" s="75"/>
      <c r="BD10" s="75"/>
      <c r="BE10" s="75"/>
      <c r="BF10" s="76"/>
    </row>
    <row r="11" spans="1:58" x14ac:dyDescent="0.25">
      <c r="A11" s="170" t="s">
        <v>37</v>
      </c>
      <c r="B11" s="161" t="str">
        <f>IF(ISERROR(SUM(#REF!)),"-",SUM(#REF!))</f>
        <v>-</v>
      </c>
      <c r="C11" s="161"/>
      <c r="D11" s="98" t="str">
        <f>IF(ISERROR(SUM(#REF!)),"-",SUM(#REF!))</f>
        <v>-</v>
      </c>
      <c r="E11" s="172" t="str">
        <f>IF(ISERROR(F11/12*Occupancy!$B$65),"-",F11/12*Occupancy!$B$65)</f>
        <v>-</v>
      </c>
      <c r="F11" s="100" t="str">
        <f>IF(ISERROR(SUM(#REF!)),"-",SUM(#REF!))</f>
        <v>-</v>
      </c>
      <c r="G11" s="172" t="str">
        <f>IF(ISERROR(D11/$B11/VLOOKUP(Occupancy!$B$65,Occupancy!$B$68:'Occupancy'!$B$79,1)*12),"-",D11/$B11/VLOOKUP(Occupancy!$B$65,Occupancy!$B$68:'Occupancy'!$B$79,1)*12)</f>
        <v>-</v>
      </c>
      <c r="H11" s="172" t="str">
        <f>IF(ISERROR(E11/$B11/VLOOKUP(Occupancy!$B$65,Occupancy!$B$68:'Occupancy'!$B$79,1)*12),"-",E11/$B11/VLOOKUP(Occupancy!$B$65,Occupancy!$B$68:'Occupancy'!$B$79,1)*12)</f>
        <v>-</v>
      </c>
      <c r="I11" s="102" t="str">
        <f>IF(ISERROR(SUM(#REF!)),"-",SUM(#REF!))</f>
        <v>-</v>
      </c>
      <c r="J11" s="173" t="str">
        <f>IF(ISERROR(K11/12*Occupancy!$B$65),"-",K11/12*Occupancy!$B$65)</f>
        <v>-</v>
      </c>
      <c r="K11" s="103" t="str">
        <f>IF(ISERROR(SUM(#REF!)),"-",SUM(#REF!))</f>
        <v>-</v>
      </c>
      <c r="L11" s="173" t="str">
        <f>IF(ISERROR(I11/$B11/VLOOKUP(Occupancy!$B$65,Occupancy!$B$68:'Occupancy'!$B$79,1)*12),"-",I11/$B11/VLOOKUP(Occupancy!$B$65,Occupancy!$B$68:'Occupancy'!$B$79,1)*12)</f>
        <v>-</v>
      </c>
      <c r="M11" s="173" t="str">
        <f>IF(ISERROR(J11/$B11/VLOOKUP(Occupancy!$B$65,Occupancy!$B$68:'Occupancy'!$B$79,1)*12),"-",J11/$B11/VLOOKUP(Occupancy!$B$65,Occupancy!$B$68:'Occupancy'!$B$79,1)*12)</f>
        <v>-</v>
      </c>
      <c r="N11" s="99" t="str">
        <f>IF(ISERROR(SUM(#REF!)),"-",SUM(#REF!))</f>
        <v>-</v>
      </c>
      <c r="O11" s="172" t="str">
        <f>IF(ISERROR(P11/12*Occupancy!$B$65),"-",P11/12*Occupancy!$B$65)</f>
        <v>-</v>
      </c>
      <c r="P11" s="100" t="str">
        <f>IF(ISERROR(SUM(#REF!)),"-",SUM(#REF!))</f>
        <v>-</v>
      </c>
      <c r="Q11" s="172" t="str">
        <f>IF(ISERROR(N11/$B11/VLOOKUP(Occupancy!$B$65,Occupancy!$B$68:'Occupancy'!$B$79,1)*12),"-",N11/$B11/VLOOKUP(Occupancy!$B$65,Occupancy!$B$68:'Occupancy'!$B$79,1)*12)</f>
        <v>-</v>
      </c>
      <c r="R11" s="172" t="str">
        <f>IF(ISERROR(O11/$B11/VLOOKUP(Occupancy!$B$65,Occupancy!$B$68:'Occupancy'!$B$79,1)*12),"-",O11/$B11/VLOOKUP(Occupancy!$B$65,Occupancy!$B$68:'Occupancy'!$B$79,1)*12)</f>
        <v>-</v>
      </c>
      <c r="S11" s="103" t="str">
        <f>IF(ISERROR(SUM(#REF!)),"-",SUM(#REF!))</f>
        <v>-</v>
      </c>
      <c r="T11" s="173" t="str">
        <f>IF(ISERROR(U11/12*Occupancy!$B$65),"-",U11/12*Occupancy!$B$65)</f>
        <v>-</v>
      </c>
      <c r="U11" s="103" t="str">
        <f>IF(ISERROR(SUM(#REF!)),"-",SUM(#REF!))</f>
        <v>-</v>
      </c>
      <c r="V11" s="173" t="str">
        <f>IF(ISERROR(S11/$B11/VLOOKUP(Occupancy!$B$65,Occupancy!$B$68:'Occupancy'!$B$79,1)*12),"-",S11/$B11/VLOOKUP(Occupancy!$B$65,Occupancy!$B$68:'Occupancy'!$B$79,1)*12)</f>
        <v>-</v>
      </c>
      <c r="W11" s="173" t="str">
        <f>IF(ISERROR(T11/$B11/VLOOKUP(Occupancy!$B$65,Occupancy!$B$68:'Occupancy'!$B$79,1)*12),"-",T11/$B11/VLOOKUP(Occupancy!$B$65,Occupancy!$B$68:'Occupancy'!$B$79,1)*12)</f>
        <v>-</v>
      </c>
      <c r="X11" s="99" t="str">
        <f>IF(ISERROR(SUM(#REF!)),"-",SUM(#REF!))</f>
        <v>-</v>
      </c>
      <c r="Y11" s="172" t="str">
        <f>IF(ISERROR(Z11/12*Occupancy!$B$65),"-",Z11/12*Occupancy!$B$65)</f>
        <v>-</v>
      </c>
      <c r="Z11" s="100" t="str">
        <f>IF(ISERROR(SUM(#REF!)),"-",SUM(#REF!))</f>
        <v>-</v>
      </c>
      <c r="AA11" s="172" t="str">
        <f>IF(ISERROR(X11/$B11/VLOOKUP(Occupancy!$B$65,Occupancy!$B$68:'Occupancy'!$B$79,1)*12),"-",X11/$B11/VLOOKUP(Occupancy!$B$65,Occupancy!$B$68:'Occupancy'!$B$79,1)*12)</f>
        <v>-</v>
      </c>
      <c r="AB11" s="174" t="str">
        <f>IF(ISERROR(Y11/$B11/VLOOKUP(Occupancy!$B$65,Occupancy!$B$68:'Occupancy'!$B$79,1)*12),"-",Y11/$B11/VLOOKUP(Occupancy!$B$65,Occupancy!$B$68:'Occupancy'!$B$79,1)*12)</f>
        <v>-</v>
      </c>
      <c r="AC11" s="103" t="str">
        <f>IF(ISERROR(SUM(#REF!)),"-",SUM(#REF!))</f>
        <v>-</v>
      </c>
      <c r="AD11" s="173" t="str">
        <f>IF(ISERROR(AE11/12*Occupancy!$B$65),"-",AE11/12*Occupancy!$B$65)</f>
        <v>-</v>
      </c>
      <c r="AE11" s="103" t="str">
        <f>IF(ISERROR(SUM(#REF!)),"-",SUM(#REF!))</f>
        <v>-</v>
      </c>
      <c r="AF11" s="173" t="str">
        <f>IF(ISERROR(AC11/$B11/VLOOKUP(Occupancy!$B$65,Occupancy!$B$68:'Occupancy'!$B$79,1)*12),"-",AC11/$B11/VLOOKUP(Occupancy!$B$65,Occupancy!$B$68:'Occupancy'!$B$79,1)*12)</f>
        <v>-</v>
      </c>
      <c r="AG11" s="175" t="str">
        <f>IF(ISERROR(AD11/$B11/VLOOKUP(Occupancy!$B$65,Occupancy!$B$68:'Occupancy'!$B$79,1)*12),"-",AD11/$B11/VLOOKUP(Occupancy!$B$65,Occupancy!$B$68:'Occupancy'!$B$79,1)*12)</f>
        <v>-</v>
      </c>
      <c r="AH11" s="100" t="str">
        <f>IF(ISERROR(SUM(#REF!)),"-",SUM(#REF!))</f>
        <v>-</v>
      </c>
      <c r="AI11" s="172" t="str">
        <f>IF(ISERROR(AJ11/12*Occupancy!$B$65),"-",AJ11/12*Occupancy!$B$65)</f>
        <v>-</v>
      </c>
      <c r="AJ11" s="100" t="str">
        <f>IF(ISERROR(SUM(#REF!)),"-",SUM(#REF!))</f>
        <v>-</v>
      </c>
      <c r="AK11" s="172" t="str">
        <f>IF(ISERROR(AH11/$B11/VLOOKUP(Occupancy!$B$65,Occupancy!$B$68:'Occupancy'!$B$79,1)*12),"-",AH11/$B11/VLOOKUP(Occupancy!$B$65,Occupancy!$B$68:'Occupancy'!$B$79,1)*12)</f>
        <v>-</v>
      </c>
      <c r="AL11" s="174" t="str">
        <f>IF(ISERROR(AI11/$B11/VLOOKUP(Occupancy!$B$65,Occupancy!$B$68:'Occupancy'!$B$79,1)*12),"-",AI11/$B11/VLOOKUP(Occupancy!$B$65,Occupancy!$B$68:'Occupancy'!$B$79,1)*12)</f>
        <v>-</v>
      </c>
      <c r="AM11" s="102" t="str">
        <f>IF(ISERROR(SUM(#REF!)),"-",SUM(#REF!))</f>
        <v>-</v>
      </c>
      <c r="AN11" s="173" t="str">
        <f>IF(ISERROR(AO11/12*Occupancy!$B$65),"-",AO11/12*Occupancy!$B$65)</f>
        <v>-</v>
      </c>
      <c r="AO11" s="103" t="str">
        <f>IF(ISERROR(SUM(#REF!)),"-",SUM(#REF!))</f>
        <v>-</v>
      </c>
      <c r="AP11" s="173" t="str">
        <f>IF(ISERROR(AM11/$B11/VLOOKUP(Occupancy!$B$65,Occupancy!$B$68:'Occupancy'!$B$79,1)*12),"-",AM11/$B11/VLOOKUP(Occupancy!$B$65,Occupancy!$B$68:'Occupancy'!$B$79,1)*12)</f>
        <v>-</v>
      </c>
      <c r="AQ11" s="173" t="str">
        <f>IF(ISERROR(AN11/$B11/VLOOKUP(Occupancy!$B$65,Occupancy!$B$68:'Occupancy'!$B$79,1)*12),"-",AN11/$B11/VLOOKUP(Occupancy!$B$65,Occupancy!$B$68:'Occupancy'!$B$79,1)*12)</f>
        <v>-</v>
      </c>
      <c r="AR11" s="109" t="str">
        <f>IF(ISERROR(SUM(#REF!)),"-",SUM(#REF!))</f>
        <v>-</v>
      </c>
      <c r="AS11" s="172" t="str">
        <f>IF(ISERROR(AT11/12*Occupancy!$B$65),"-",AT11/12*Occupancy!$B$65)</f>
        <v>-</v>
      </c>
      <c r="AT11" s="100" t="str">
        <f>IF(ISERROR(SUM(#REF!)),"-",SUM(#REF!))</f>
        <v>-</v>
      </c>
      <c r="AU11" s="172" t="str">
        <f>IF(ISERROR(AR11/$B11/VLOOKUP(Occupancy!$B$65,Occupancy!$B$68:'Occupancy'!$B$79,1)*12),"-",AR11/$B11/VLOOKUP(Occupancy!$B$65,Occupancy!$B$68:'Occupancy'!$B$79,1)*12)</f>
        <v>-</v>
      </c>
      <c r="AV11" s="172" t="str">
        <f>IF(ISERROR(AS11/$B11/VLOOKUP(Occupancy!$B$65,Occupancy!$B$68:'Occupancy'!$B$79,1)*12),"-",AS11/$B11/VLOOKUP(Occupancy!$B$65,Occupancy!$B$68:'Occupancy'!$B$79,1)*12)</f>
        <v>-</v>
      </c>
      <c r="AW11" s="102" t="str">
        <f>IF(ISERROR(SUM(#REF!)),"-",SUM(#REF!))</f>
        <v>-</v>
      </c>
      <c r="AX11" s="173" t="str">
        <f>IF(ISERROR(AY11/12*Occupancy!$B$65),"-",AY11/12*Occupancy!$B$65)</f>
        <v>-</v>
      </c>
      <c r="AY11" s="103" t="str">
        <f>IF(ISERROR(SUM(#REF!)),"-",SUM(#REF!))</f>
        <v>-</v>
      </c>
      <c r="AZ11" s="173" t="str">
        <f>IF(ISERROR(AW11/$B11/VLOOKUP(Occupancy!$B$65,Occupancy!$B$68:'Occupancy'!$B$79,1)*12),"-",AW11/$B11/VLOOKUP(Occupancy!$B$65,Occupancy!$B$68:'Occupancy'!$B$79,1)*12)</f>
        <v>-</v>
      </c>
      <c r="BA11" s="173" t="str">
        <f>IF(ISERROR(AX11/$B11/VLOOKUP(Occupancy!$B$65,Occupancy!$B$68:'Occupancy'!$B$79,1)*12),"-",AX11/$B11/VLOOKUP(Occupancy!$B$65,Occupancy!$B$68:'Occupancy'!$B$79,1)*12)</f>
        <v>-</v>
      </c>
      <c r="BB11" s="176" t="str">
        <f>IF(ISERROR(SUM(#REF!)),"-",SUM(#REF!))</f>
        <v>-</v>
      </c>
      <c r="BC11" s="176" t="str">
        <f>IF(ISERROR(SUM(#REF!)),"-",SUM(#REF!))</f>
        <v>-</v>
      </c>
      <c r="BD11" s="176" t="str">
        <f>IF(ISERROR(SUM(#REF!)),"-",SUM(#REF!))</f>
        <v>-</v>
      </c>
      <c r="BE11" s="176" t="str">
        <f>IF(ISERROR(BB11/$B11/VLOOKUP(Occupancy!$B$65,Occupancy!$B$68:'Occupancy'!$B$79,1)*12),"-",BB11/$B11/VLOOKUP(Occupancy!$B$65,Occupancy!$B$68:'Occupancy'!$B$79,1)*12)</f>
        <v>-</v>
      </c>
      <c r="BF11" s="177" t="str">
        <f>IF(ISERROR(BC11/$B11/VLOOKUP(Occupancy!$B$65,Occupancy!$B$68:'Occupancy'!$B$79,1)*12),"-",BC11/$B11/VLOOKUP(Occupancy!$B$65,Occupancy!$B$68:'Occupancy'!$B$79,1)*12)</f>
        <v>-</v>
      </c>
    </row>
    <row r="12" spans="1:58" x14ac:dyDescent="0.25">
      <c r="A12" s="178"/>
      <c r="B12" s="17"/>
      <c r="C12" s="179"/>
      <c r="D12" s="98"/>
      <c r="E12" s="180"/>
      <c r="F12" s="100"/>
      <c r="G12" s="181"/>
      <c r="H12" s="181"/>
      <c r="I12" s="102"/>
      <c r="J12" s="182"/>
      <c r="K12" s="103"/>
      <c r="L12" s="183"/>
      <c r="M12" s="183"/>
      <c r="N12" s="99"/>
      <c r="O12" s="180"/>
      <c r="P12" s="100"/>
      <c r="Q12" s="181"/>
      <c r="R12" s="181"/>
      <c r="S12" s="103"/>
      <c r="T12" s="182"/>
      <c r="U12" s="103"/>
      <c r="V12" s="183"/>
      <c r="W12" s="183"/>
      <c r="X12" s="99"/>
      <c r="Y12" s="180"/>
      <c r="Z12" s="100"/>
      <c r="AA12" s="181"/>
      <c r="AB12" s="184"/>
      <c r="AC12" s="103"/>
      <c r="AD12" s="182"/>
      <c r="AE12" s="103"/>
      <c r="AF12" s="183"/>
      <c r="AG12" s="185"/>
      <c r="AH12" s="100"/>
      <c r="AI12" s="180"/>
      <c r="AJ12" s="100"/>
      <c r="AK12" s="181"/>
      <c r="AL12" s="184"/>
      <c r="AM12" s="102"/>
      <c r="AN12" s="182"/>
      <c r="AO12" s="103"/>
      <c r="AP12" s="183"/>
      <c r="AQ12" s="183"/>
      <c r="AR12" s="109"/>
      <c r="AS12" s="180"/>
      <c r="AT12" s="100">
        <f>SUMIFS(AnnualFinancialData!$L$2:$L$6366,AnnualFinancialData!$B$2:$B$6366,$A12,AnnualFinancialData!$K$2:$K$6366,"55301")</f>
        <v>0</v>
      </c>
      <c r="AU12" s="181"/>
      <c r="AV12" s="181"/>
      <c r="AW12" s="102"/>
      <c r="AX12" s="182"/>
      <c r="AY12" s="103"/>
      <c r="AZ12" s="183"/>
      <c r="BA12" s="183"/>
      <c r="BB12" s="186"/>
      <c r="BC12" s="186"/>
      <c r="BD12" s="186"/>
      <c r="BE12" s="187"/>
      <c r="BF12" s="188"/>
    </row>
    <row r="13" spans="1:58" x14ac:dyDescent="0.25">
      <c r="A13" s="151" t="s">
        <v>20</v>
      </c>
      <c r="B13" s="153"/>
      <c r="C13" s="149"/>
      <c r="D13" s="98"/>
      <c r="E13" s="83"/>
      <c r="F13" s="100"/>
      <c r="G13" s="83"/>
      <c r="H13" s="83"/>
      <c r="I13" s="102"/>
      <c r="J13" s="86"/>
      <c r="K13" s="103"/>
      <c r="L13" s="86"/>
      <c r="M13" s="86"/>
      <c r="N13" s="99"/>
      <c r="O13" s="83"/>
      <c r="P13" s="100"/>
      <c r="Q13" s="83"/>
      <c r="R13" s="83"/>
      <c r="S13" s="103"/>
      <c r="T13" s="86"/>
      <c r="U13" s="103"/>
      <c r="V13" s="86"/>
      <c r="W13" s="86"/>
      <c r="X13" s="99"/>
      <c r="Y13" s="83"/>
      <c r="Z13" s="100"/>
      <c r="AA13" s="83"/>
      <c r="AB13" s="87"/>
      <c r="AC13" s="103"/>
      <c r="AD13" s="86"/>
      <c r="AE13" s="103"/>
      <c r="AF13" s="86"/>
      <c r="AG13" s="88"/>
      <c r="AH13" s="100"/>
      <c r="AI13" s="83"/>
      <c r="AJ13" s="100"/>
      <c r="AK13" s="83"/>
      <c r="AL13" s="87"/>
      <c r="AM13" s="102"/>
      <c r="AN13" s="86"/>
      <c r="AO13" s="103"/>
      <c r="AP13" s="86"/>
      <c r="AQ13" s="86"/>
      <c r="AR13" s="109"/>
      <c r="AS13" s="83"/>
      <c r="AT13" s="100">
        <f>SUMIFS(AnnualFinancialData!$L$2:$L$6366,AnnualFinancialData!$B$2:$B$6366,$A13,AnnualFinancialData!$K$2:$K$6366,"55301")</f>
        <v>0</v>
      </c>
      <c r="AU13" s="83"/>
      <c r="AV13" s="83"/>
      <c r="AW13" s="102"/>
      <c r="AX13" s="86"/>
      <c r="AY13" s="103"/>
      <c r="AZ13" s="86"/>
      <c r="BA13" s="86"/>
      <c r="BB13" s="89"/>
      <c r="BC13" s="89"/>
      <c r="BD13" s="89"/>
      <c r="BE13" s="89"/>
      <c r="BF13" s="90"/>
    </row>
    <row r="14" spans="1:58" x14ac:dyDescent="0.25">
      <c r="A14" s="150"/>
      <c r="B14" s="17"/>
      <c r="C14" s="17"/>
      <c r="D14" s="65"/>
      <c r="E14" s="66"/>
      <c r="F14" s="67"/>
      <c r="G14" s="66"/>
      <c r="H14" s="66"/>
      <c r="I14" s="68"/>
      <c r="J14" s="69"/>
      <c r="K14" s="68"/>
      <c r="L14" s="69"/>
      <c r="M14" s="69"/>
      <c r="N14" s="67"/>
      <c r="O14" s="66"/>
      <c r="P14" s="67"/>
      <c r="Q14" s="66"/>
      <c r="R14" s="66"/>
      <c r="S14" s="68"/>
      <c r="T14" s="69"/>
      <c r="U14" s="68"/>
      <c r="V14" s="69"/>
      <c r="W14" s="69"/>
      <c r="X14" s="67"/>
      <c r="Y14" s="66"/>
      <c r="Z14" s="67"/>
      <c r="AA14" s="66"/>
      <c r="AB14" s="70"/>
      <c r="AC14" s="71"/>
      <c r="AD14" s="69"/>
      <c r="AE14" s="71"/>
      <c r="AF14" s="69"/>
      <c r="AG14" s="72"/>
      <c r="AH14" s="73"/>
      <c r="AI14" s="66"/>
      <c r="AJ14" s="67"/>
      <c r="AK14" s="66"/>
      <c r="AL14" s="70"/>
      <c r="AM14" s="74"/>
      <c r="AN14" s="69"/>
      <c r="AO14" s="74"/>
      <c r="AP14" s="69"/>
      <c r="AQ14" s="69"/>
      <c r="AR14" s="73"/>
      <c r="AS14" s="66"/>
      <c r="AT14" s="67"/>
      <c r="AU14" s="66"/>
      <c r="AV14" s="66"/>
      <c r="AW14" s="68"/>
      <c r="AX14" s="69"/>
      <c r="AY14" s="68"/>
      <c r="AZ14" s="69"/>
      <c r="BA14" s="69"/>
      <c r="BB14" s="75"/>
      <c r="BC14" s="75"/>
      <c r="BD14" s="75"/>
      <c r="BE14" s="75"/>
      <c r="BF14" s="76"/>
    </row>
    <row r="15" spans="1:58" x14ac:dyDescent="0.25">
      <c r="A15" s="144" t="s">
        <v>79</v>
      </c>
      <c r="B15" s="91" t="str">
        <f>IF(ISERROR(SUM(#REF!)),"-",SUM(#REF!))</f>
        <v>-</v>
      </c>
      <c r="C15" s="91"/>
      <c r="D15" s="92" t="str">
        <f>IF(ISERROR(SUM(#REF!)),"-",SUM(#REF!))</f>
        <v>-</v>
      </c>
      <c r="E15" s="92" t="str">
        <f>IF(ISERROR(F15/12*Occupancy!$B$65),"-",F15/12*Occupancy!$B$65)</f>
        <v>-</v>
      </c>
      <c r="F15" s="92" t="str">
        <f>IF(ISERROR(SUM(#REF!)),"-",SUM(#REF!))</f>
        <v>-</v>
      </c>
      <c r="G15" s="92" t="str">
        <f>IF(ISERROR(D15/$B15/VLOOKUP(Occupancy!$B$65,Occupancy!$B$68:'Occupancy'!$B$79,1)*12),"-",D15/$B15/VLOOKUP(Occupancy!$B$65,Occupancy!$B$68:'Occupancy'!$B$79,1)*12)</f>
        <v>-</v>
      </c>
      <c r="H15" s="92" t="str">
        <f>IF(ISERROR(E15/$B15/VLOOKUP(Occupancy!$B$65,Occupancy!$B$68:'Occupancy'!$B$79,1)*12),"-",E15/$B15/VLOOKUP(Occupancy!$B$65,Occupancy!$B$68:'Occupancy'!$B$79,1)*12)</f>
        <v>-</v>
      </c>
      <c r="I15" s="93" t="str">
        <f>IF(ISERROR(SUM(#REF!)),"-",SUM(#REF!))</f>
        <v>-</v>
      </c>
      <c r="J15" s="93" t="str">
        <f>IF(ISERROR(K15/12*Occupancy!$B$65),"-",K15/12*Occupancy!$B$65)</f>
        <v>-</v>
      </c>
      <c r="K15" s="93" t="str">
        <f>IF(ISERROR(SUM(#REF!)),"-",SUM(#REF!))</f>
        <v>-</v>
      </c>
      <c r="L15" s="93" t="str">
        <f>IF(ISERROR(I15/$B15/VLOOKUP(Occupancy!$B$65,Occupancy!$B$68:'Occupancy'!$B$79,1)*12),"-",I15/$B15/VLOOKUP(Occupancy!$B$65,Occupancy!$B$68:'Occupancy'!$B$79,1)*12)</f>
        <v>-</v>
      </c>
      <c r="M15" s="93" t="str">
        <f>IF(ISERROR(J15/$B15/VLOOKUP(Occupancy!$B$65,Occupancy!$B$68:'Occupancy'!$B$79,1)*12),"-",J15/$B15/VLOOKUP(Occupancy!$B$65,Occupancy!$B$68:'Occupancy'!$B$79,1)*12)</f>
        <v>-</v>
      </c>
      <c r="N15" s="92" t="str">
        <f>IF(ISERROR(SUM(#REF!)),"-",SUM(#REF!))</f>
        <v>-</v>
      </c>
      <c r="O15" s="92" t="str">
        <f>IF(ISERROR(P15/12*Occupancy!$B$65),"-",P15/12*Occupancy!$B$65)</f>
        <v>-</v>
      </c>
      <c r="P15" s="92" t="str">
        <f>IF(ISERROR(SUM(#REF!)),"-",SUM(#REF!))</f>
        <v>-</v>
      </c>
      <c r="Q15" s="92" t="str">
        <f>IF(ISERROR(N15/$B15/VLOOKUP(Occupancy!$B$65,Occupancy!$B$68:'Occupancy'!$B$79,1)*12),"-",N15/$B15/VLOOKUP(Occupancy!$B$65,Occupancy!$B$68:'Occupancy'!$B$79,1)*12)</f>
        <v>-</v>
      </c>
      <c r="R15" s="92" t="str">
        <f>IF(ISERROR(O15/$B15/VLOOKUP(Occupancy!$B$65,Occupancy!$B$68:'Occupancy'!$B$79,1)*12),"-",O15/$B15/VLOOKUP(Occupancy!$B$65,Occupancy!$B$68:'Occupancy'!$B$79,1)*12)</f>
        <v>-</v>
      </c>
      <c r="S15" s="93" t="str">
        <f>IF(ISERROR(SUM(#REF!)),"-",SUM(#REF!))</f>
        <v>-</v>
      </c>
      <c r="T15" s="93" t="str">
        <f>IF(ISERROR(U15/12*Occupancy!$B$65),"-",U15/12*Occupancy!$B$65)</f>
        <v>-</v>
      </c>
      <c r="U15" s="93" t="str">
        <f>IF(ISERROR(SUM(#REF!)),"-",SUM(#REF!))</f>
        <v>-</v>
      </c>
      <c r="V15" s="93" t="str">
        <f>IF(ISERROR(S15/$B15/VLOOKUP(Occupancy!$B$65,Occupancy!$B$68:'Occupancy'!$B$79,1)*12),"-",S15/$B15/VLOOKUP(Occupancy!$B$65,Occupancy!$B$68:'Occupancy'!$B$79,1)*12)</f>
        <v>-</v>
      </c>
      <c r="W15" s="93" t="str">
        <f>IF(ISERROR(T15/$B15/VLOOKUP(Occupancy!$B$65,Occupancy!$B$68:'Occupancy'!$B$79,1)*12),"-",T15/$B15/VLOOKUP(Occupancy!$B$65,Occupancy!$B$68:'Occupancy'!$B$79,1)*12)</f>
        <v>-</v>
      </c>
      <c r="X15" s="92" t="str">
        <f>IF(ISERROR(SUM(#REF!)),"-",SUM(#REF!))</f>
        <v>-</v>
      </c>
      <c r="Y15" s="92" t="str">
        <f>IF(ISERROR(Z15/12*Occupancy!$B$65),"-",Z15/12*Occupancy!$B$65)</f>
        <v>-</v>
      </c>
      <c r="Z15" s="92" t="str">
        <f>IF(ISERROR(SUM(#REF!)),"-",SUM(#REF!))</f>
        <v>-</v>
      </c>
      <c r="AA15" s="92" t="str">
        <f>IF(ISERROR(X15/$B15/VLOOKUP(Occupancy!$B$65,Occupancy!$B$68:'Occupancy'!$B$79,1)*12),"-",X15/$B15/VLOOKUP(Occupancy!$B$65,Occupancy!$B$68:'Occupancy'!$B$79,1)*12)</f>
        <v>-</v>
      </c>
      <c r="AB15" s="94" t="str">
        <f>IF(ISERROR(Y15/$B15/VLOOKUP(Occupancy!$B$65,Occupancy!$B$68:'Occupancy'!$B$79,1)*12),"-",Y15/$B15/VLOOKUP(Occupancy!$B$65,Occupancy!$B$68:'Occupancy'!$B$79,1)*12)</f>
        <v>-</v>
      </c>
      <c r="AC15" s="93" t="str">
        <f>IF(ISERROR(SUM(#REF!)),"-",SUM(#REF!))</f>
        <v>-</v>
      </c>
      <c r="AD15" s="93" t="str">
        <f>IF(ISERROR(AE15/12*Occupancy!$B$65),"-",AE15/12*Occupancy!$B$65)</f>
        <v>-</v>
      </c>
      <c r="AE15" s="93" t="str">
        <f>IF(ISERROR(SUM(#REF!)),"-",SUM(#REF!))</f>
        <v>-</v>
      </c>
      <c r="AF15" s="93" t="str">
        <f>IF(ISERROR(AC15/$B15/VLOOKUP(Occupancy!$B$65,Occupancy!$B$68:'Occupancy'!$B$79,1)*12),"-",AC15/$B15/VLOOKUP(Occupancy!$B$65,Occupancy!$B$68:'Occupancy'!$B$79,1)*12)</f>
        <v>-</v>
      </c>
      <c r="AG15" s="95" t="str">
        <f>IF(ISERROR(AD15/$B15/VLOOKUP(Occupancy!$B$65,Occupancy!$B$68:'Occupancy'!$B$79,1)*12),"-",AD15/$B15/VLOOKUP(Occupancy!$B$65,Occupancy!$B$68:'Occupancy'!$B$79,1)*12)</f>
        <v>-</v>
      </c>
      <c r="AH15" s="92" t="str">
        <f>IF(ISERROR(SUM(#REF!)),"-",SUM(#REF!))</f>
        <v>-</v>
      </c>
      <c r="AI15" s="92" t="str">
        <f>IF(ISERROR(AJ15/12*Occupancy!$B$65),"-",AJ15/12*Occupancy!$B$65)</f>
        <v>-</v>
      </c>
      <c r="AJ15" s="92" t="str">
        <f>IF(ISERROR(SUM(#REF!)),"-",SUM(#REF!))</f>
        <v>-</v>
      </c>
      <c r="AK15" s="92" t="str">
        <f>IF(ISERROR(AH15/$B15/VLOOKUP(Occupancy!$B$65,Occupancy!$B$68:'Occupancy'!$B$79,1)*12),"-",AH15/$B15/VLOOKUP(Occupancy!$B$65,Occupancy!$B$68:'Occupancy'!$B$79,1)*12)</f>
        <v>-</v>
      </c>
      <c r="AL15" s="94" t="str">
        <f>IF(ISERROR(AI15/$B15/VLOOKUP(Occupancy!$B$65,Occupancy!$B$68:'Occupancy'!$B$79,1)*12),"-",AI15/$B15/VLOOKUP(Occupancy!$B$65,Occupancy!$B$68:'Occupancy'!$B$79,1)*12)</f>
        <v>-</v>
      </c>
      <c r="AM15" s="93" t="str">
        <f>IF(ISERROR(SUM(#REF!)),"-",SUM(#REF!))</f>
        <v>-</v>
      </c>
      <c r="AN15" s="93" t="str">
        <f>IF(ISERROR(AO15/12*Occupancy!$B$65),"-",AO15/12*Occupancy!$B$65)</f>
        <v>-</v>
      </c>
      <c r="AO15" s="93" t="str">
        <f>IF(ISERROR(SUM(#REF!)),"-",SUM(#REF!))</f>
        <v>-</v>
      </c>
      <c r="AP15" s="93" t="str">
        <f>IF(ISERROR(AM15/$B15/VLOOKUP(Occupancy!$B$65,Occupancy!$B$68:'Occupancy'!$B$79,1)*12),"-",AM15/$B15/VLOOKUP(Occupancy!$B$65,Occupancy!$B$68:'Occupancy'!$B$79,1)*12)</f>
        <v>-</v>
      </c>
      <c r="AQ15" s="93" t="str">
        <f>IF(ISERROR(AN15/$B15/VLOOKUP(Occupancy!$B$65,Occupancy!$B$68:'Occupancy'!$B$79,1)*12),"-",AN15/$B15/VLOOKUP(Occupancy!$B$65,Occupancy!$B$68:'Occupancy'!$B$79,1)*12)</f>
        <v>-</v>
      </c>
      <c r="AR15" s="92" t="str">
        <f>IF(ISERROR(SUM(#REF!)),"-",SUM(#REF!))</f>
        <v>-</v>
      </c>
      <c r="AS15" s="92" t="str">
        <f>IF(ISERROR(AT15/12*Occupancy!$B$65),"-",AT15/12*Occupancy!$B$65)</f>
        <v>-</v>
      </c>
      <c r="AT15" s="92" t="str">
        <f>IF(ISERROR(SUM(#REF!)),"-",SUM(#REF!))</f>
        <v>-</v>
      </c>
      <c r="AU15" s="92" t="str">
        <f>IF(ISERROR(AR15/$B15/VLOOKUP(Occupancy!$B$65,Occupancy!$B$68:'Occupancy'!$B$79,1)*12),"-",AR15/$B15/VLOOKUP(Occupancy!$B$65,Occupancy!$B$68:'Occupancy'!$B$79,1)*12)</f>
        <v>-</v>
      </c>
      <c r="AV15" s="92" t="str">
        <f>IF(ISERROR(AS15/$B15/VLOOKUP(Occupancy!$B$65,Occupancy!$B$68:'Occupancy'!$B$79,1)*12),"-",AS15/$B15/VLOOKUP(Occupancy!$B$65,Occupancy!$B$68:'Occupancy'!$B$79,1)*12)</f>
        <v>-</v>
      </c>
      <c r="AW15" s="93" t="str">
        <f>IF(ISERROR(SUM(#REF!)),"-",SUM(#REF!))</f>
        <v>-</v>
      </c>
      <c r="AX15" s="93" t="str">
        <f>IF(ISERROR(AY15/12*Occupancy!$B$65),"-",AY15/12*Occupancy!$B$65)</f>
        <v>-</v>
      </c>
      <c r="AY15" s="93" t="str">
        <f>IF(ISERROR(SUM(#REF!)),"-",SUM(#REF!))</f>
        <v>-</v>
      </c>
      <c r="AZ15" s="93" t="str">
        <f>IF(ISERROR(AW15/$B15/VLOOKUP(Occupancy!$B$65,Occupancy!$B$68:'Occupancy'!$B$79,1)*12),"-",AW15/$B15/VLOOKUP(Occupancy!$B$65,Occupancy!$B$68:'Occupancy'!$B$79,1)*12)</f>
        <v>-</v>
      </c>
      <c r="BA15" s="93" t="str">
        <f>IF(ISERROR(AX15/$B15/VLOOKUP(Occupancy!$B$65,Occupancy!$B$68:'Occupancy'!$B$79,1)*12),"-",AX15/$B15/VLOOKUP(Occupancy!$B$65,Occupancy!$B$68:'Occupancy'!$B$79,1)*12)</f>
        <v>-</v>
      </c>
      <c r="BB15" s="96" t="str">
        <f>IF(ISERROR(SUM(#REF!)),"-",SUM(#REF!))</f>
        <v>-</v>
      </c>
      <c r="BC15" s="96" t="str">
        <f>IF(ISERROR(SUM(#REF!)),"-",SUM(#REF!))</f>
        <v>-</v>
      </c>
      <c r="BD15" s="96" t="str">
        <f>IF(ISERROR(SUM(#REF!)),"-",SUM(#REF!))</f>
        <v>-</v>
      </c>
      <c r="BE15" s="96" t="str">
        <f>IF(ISERROR(BB15/$B15/VLOOKUP(Occupancy!$B$65,Occupancy!$B$68:'Occupancy'!$B$79,1)*12),"-",BB15/$B15/VLOOKUP(Occupancy!$B$65,Occupancy!$B$68:'Occupancy'!$B$79,1)*12)</f>
        <v>-</v>
      </c>
      <c r="BF15" s="97" t="str">
        <f>IF(ISERROR(BC15/$B15/VLOOKUP(Occupancy!$B$65,Occupancy!$B$68:'Occupancy'!$B$79,1)*12),"-",BC15/$B15/VLOOKUP(Occupancy!$B$65,Occupancy!$B$68:'Occupancy'!$B$79,1)*12)</f>
        <v>-</v>
      </c>
    </row>
    <row r="136" spans="5:58" x14ac:dyDescent="0.25">
      <c r="E136">
        <f>IF(ISERROR(F136/12*Occupancy!$B$65),"-",F136/12*Occupancy!$B$65)</f>
        <v>0</v>
      </c>
      <c r="G136" t="str">
        <f>IF(ISERROR(D136/$B136/VLOOKUP(Occupancy!$B$65,Occupancy!$B$68:'Occupancy'!$B$79,1)*12),"-",D136/$B136/VLOOKUP(Occupancy!$B$65,Occupancy!$B$68:'Occupancy'!$B$79,1)*12)</f>
        <v>-</v>
      </c>
      <c r="H136" t="str">
        <f>IF(ISERROR(E136/$B136/VLOOKUP(Occupancy!$B$65,Occupancy!$B$68:'Occupancy'!$B$79,1)*12),"-",E136/$B136/VLOOKUP(Occupancy!$B$65,Occupancy!$B$68:'Occupancy'!$B$79,1)*12)</f>
        <v>-</v>
      </c>
      <c r="J136">
        <f>IF(ISERROR(K136/12*Occupancy!$B$65),"-",K136/12*Occupancy!$B$65)</f>
        <v>0</v>
      </c>
      <c r="L136" t="str">
        <f>IF(ISERROR(I136/$B136/VLOOKUP(Occupancy!$B$65,Occupancy!$B$68:'Occupancy'!$B$79,1)*12),"-",I136/$B136/VLOOKUP(Occupancy!$B$65,Occupancy!$B$68:'Occupancy'!$B$79,1)*12)</f>
        <v>-</v>
      </c>
      <c r="M136" t="str">
        <f>IF(ISERROR(J136/$B136/VLOOKUP(Occupancy!$B$65,Occupancy!$B$68:'Occupancy'!$B$79,1)*12),"-",J136/$B136/VLOOKUP(Occupancy!$B$65,Occupancy!$B$68:'Occupancy'!$B$79,1)*12)</f>
        <v>-</v>
      </c>
      <c r="O136">
        <f>IF(ISERROR(P136/12*Occupancy!$B$65),"-",P136/12*Occupancy!$B$65)</f>
        <v>0</v>
      </c>
      <c r="Q136" t="str">
        <f>IF(ISERROR(N136/$B136/VLOOKUP(Occupancy!$B$65,Occupancy!$B$68:'Occupancy'!$B$79,1)*12),"-",N136/$B136/VLOOKUP(Occupancy!$B$65,Occupancy!$B$68:'Occupancy'!$B$79,1)*12)</f>
        <v>-</v>
      </c>
      <c r="R136" t="str">
        <f>IF(ISERROR(O136/$B136/VLOOKUP(Occupancy!$B$65,Occupancy!$B$68:'Occupancy'!$B$79,1)*12),"-",O136/$B136/VLOOKUP(Occupancy!$B$65,Occupancy!$B$68:'Occupancy'!$B$79,1)*12)</f>
        <v>-</v>
      </c>
      <c r="T136">
        <f>IF(ISERROR(U136/12*Occupancy!$B$65),"-",U136/12*Occupancy!$B$65)</f>
        <v>0</v>
      </c>
      <c r="V136" t="str">
        <f>IF(ISERROR(S136/$B136/VLOOKUP(Occupancy!$B$65,Occupancy!$B$68:'Occupancy'!$B$79,1)*12),"-",S136/$B136/VLOOKUP(Occupancy!$B$65,Occupancy!$B$68:'Occupancy'!$B$79,1)*12)</f>
        <v>-</v>
      </c>
      <c r="W136" t="str">
        <f>IF(ISERROR(T136/$B136/VLOOKUP(Occupancy!$B$65,Occupancy!$B$68:'Occupancy'!$B$79,1)*12),"-",T136/$B136/VLOOKUP(Occupancy!$B$65,Occupancy!$B$68:'Occupancy'!$B$79,1)*12)</f>
        <v>-</v>
      </c>
      <c r="Y136">
        <f>IF(ISERROR(Z136/12*Occupancy!$B$65),"-",Z136/12*Occupancy!$B$65)</f>
        <v>0</v>
      </c>
      <c r="AA136" t="str">
        <f>IF(ISERROR(X136/$B136/VLOOKUP(Occupancy!$B$65,Occupancy!$B$68:'Occupancy'!$B$79,1)*12),"-",X136/$B136/VLOOKUP(Occupancy!$B$65,Occupancy!$B$68:'Occupancy'!$B$79,1)*12)</f>
        <v>-</v>
      </c>
      <c r="AB136" t="str">
        <f>IF(ISERROR(Y136/$B136/VLOOKUP(Occupancy!$B$65,Occupancy!$B$68:'Occupancy'!$B$79,1)*12),"-",Y136/$B136/VLOOKUP(Occupancy!$B$65,Occupancy!$B$68:'Occupancy'!$B$79,1)*12)</f>
        <v>-</v>
      </c>
      <c r="AD136">
        <f>IF(ISERROR(AE136/12*Occupancy!$B$65),"-",AE136/12*Occupancy!$B$65)</f>
        <v>0</v>
      </c>
      <c r="AF136" t="str">
        <f>IF(ISERROR(AC136/$B136/VLOOKUP(Occupancy!$B$65,Occupancy!$B$68:'Occupancy'!$B$79,1)*12),"-",AC136/$B136/VLOOKUP(Occupancy!$B$65,Occupancy!$B$68:'Occupancy'!$B$79,1)*12)</f>
        <v>-</v>
      </c>
      <c r="AG136" t="str">
        <f>IF(ISERROR(AD136/$B136/VLOOKUP(Occupancy!$B$65,Occupancy!$B$68:'Occupancy'!$B$79,1)*12),"-",AD136/$B136/VLOOKUP(Occupancy!$B$65,Occupancy!$B$68:'Occupancy'!$B$79,1)*12)</f>
        <v>-</v>
      </c>
      <c r="AI136">
        <f>IF(ISERROR(AJ136/12*Occupancy!$B$65),"-",AJ136/12*Occupancy!$B$65)</f>
        <v>0</v>
      </c>
      <c r="AK136" t="str">
        <f>IF(ISERROR(AH136/$B136/VLOOKUP(Occupancy!$B$65,Occupancy!$B$68:'Occupancy'!$B$79,1)*12),"-",AH136/$B136/VLOOKUP(Occupancy!$B$65,Occupancy!$B$68:'Occupancy'!$B$79,1)*12)</f>
        <v>-</v>
      </c>
      <c r="AL136" t="str">
        <f>IF(ISERROR(AI136/$B136/VLOOKUP(Occupancy!$B$65,Occupancy!$B$68:'Occupancy'!$B$79,1)*12),"-",AI136/$B136/VLOOKUP(Occupancy!$B$65,Occupancy!$B$68:'Occupancy'!$B$79,1)*12)</f>
        <v>-</v>
      </c>
      <c r="AN136">
        <f>IF(ISERROR(AO136/12*Occupancy!$B$65),"-",AO136/12*Occupancy!$B$65)</f>
        <v>0</v>
      </c>
      <c r="AP136" t="str">
        <f>IF(ISERROR(AM136/$B136/VLOOKUP(Occupancy!$B$65,Occupancy!$B$68:'Occupancy'!$B$79,1)*12),"-",AM136/$B136/VLOOKUP(Occupancy!$B$65,Occupancy!$B$68:'Occupancy'!$B$79,1)*12)</f>
        <v>-</v>
      </c>
      <c r="AQ136" t="str">
        <f>IF(ISERROR(AN136/$B136/VLOOKUP(Occupancy!$B$65,Occupancy!$B$68:'Occupancy'!$B$79,1)*12),"-",AN136/$B136/VLOOKUP(Occupancy!$B$65,Occupancy!$B$68:'Occupancy'!$B$79,1)*12)</f>
        <v>-</v>
      </c>
      <c r="AS136">
        <f>IF(ISERROR(AT136/12*Occupancy!$B$65),"-",AT136/12*Occupancy!$B$65)</f>
        <v>0</v>
      </c>
      <c r="AU136" t="str">
        <f>IF(ISERROR(AR136/$B136/VLOOKUP(Occupancy!$B$65,Occupancy!$B$68:'Occupancy'!$B$79,1)*12),"-",AR136/$B136/VLOOKUP(Occupancy!$B$65,Occupancy!$B$68:'Occupancy'!$B$79,1)*12)</f>
        <v>-</v>
      </c>
      <c r="AV136" t="str">
        <f>IF(ISERROR(AS136/$B136/VLOOKUP(Occupancy!$B$65,Occupancy!$B$68:'Occupancy'!$B$79,1)*12),"-",AS136/$B136/VLOOKUP(Occupancy!$B$65,Occupancy!$B$68:'Occupancy'!$B$79,1)*12)</f>
        <v>-</v>
      </c>
      <c r="AX136">
        <f>IF(ISERROR(AY136/12*Occupancy!$B$65),"-",AY136/12*Occupancy!$B$65)</f>
        <v>0</v>
      </c>
      <c r="AZ136" t="str">
        <f>IF(ISERROR(AW136/$B136/VLOOKUP(Occupancy!$B$65,Occupancy!$B$68:'Occupancy'!$B$79,1)*12),"-",AW136/$B136/VLOOKUP(Occupancy!$B$65,Occupancy!$B$68:'Occupancy'!$B$79,1)*12)</f>
        <v>-</v>
      </c>
      <c r="BA136" t="str">
        <f>IF(ISERROR(AX136/$B136/VLOOKUP(Occupancy!$B$65,Occupancy!$B$68:'Occupancy'!$B$79,1)*12),"-",AX136/$B136/VLOOKUP(Occupancy!$B$65,Occupancy!$B$68:'Occupancy'!$B$79,1)*12)</f>
        <v>-</v>
      </c>
      <c r="BE136" t="str">
        <f>IF(ISERROR(BB136/$B136/VLOOKUP(Occupancy!$B$65,Occupancy!$B$68:'Occupancy'!$B$79,1)*12),"-",BB136/$B136/VLOOKUP(Occupancy!$B$65,Occupancy!$B$68:'Occupancy'!$B$79,1)*12)</f>
        <v>-</v>
      </c>
      <c r="BF136" t="str">
        <f>IF(ISERROR(BC136/$B136/VLOOKUP(Occupancy!$B$65,Occupancy!$B$68:'Occupancy'!$B$79,1)*12),"-",BC136/$B136/VLOOKUP(Occupancy!$B$65,Occupancy!$B$68:'Occupancy'!$B$79,1)*12)</f>
        <v>-</v>
      </c>
    </row>
    <row r="19300" spans="1:58" s="6" customFormat="1" ht="22.5" customHeight="1" x14ac:dyDescent="0.25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  <c r="AM19300"/>
      <c r="AN19300"/>
      <c r="AO19300"/>
      <c r="AP19300"/>
      <c r="AQ19300"/>
      <c r="AR19300"/>
      <c r="AS19300"/>
      <c r="AT19300"/>
      <c r="AU19300"/>
      <c r="AV19300"/>
      <c r="AW19300"/>
      <c r="AX19300"/>
      <c r="AY19300"/>
      <c r="AZ19300"/>
      <c r="BA19300"/>
      <c r="BB19300"/>
      <c r="BC19300"/>
      <c r="BD19300"/>
      <c r="BE19300"/>
      <c r="BF19300"/>
    </row>
    <row r="19301" spans="1:58" s="16" customFormat="1" x14ac:dyDescent="0.25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  <c r="AM19301"/>
      <c r="AN19301"/>
      <c r="AO19301"/>
      <c r="AP19301"/>
      <c r="AQ19301"/>
      <c r="AR19301"/>
      <c r="AS19301"/>
      <c r="AT19301"/>
      <c r="AU19301"/>
      <c r="AV19301"/>
      <c r="AW19301"/>
      <c r="AX19301"/>
      <c r="AY19301"/>
      <c r="AZ19301"/>
      <c r="BA19301"/>
      <c r="BB19301"/>
      <c r="BC19301"/>
      <c r="BD19301"/>
      <c r="BE19301"/>
      <c r="BF19301"/>
    </row>
    <row r="19302" spans="1:58" ht="16.5" customHeight="1" x14ac:dyDescent="0.25"/>
    <row r="19303" spans="1:58" ht="16.5" customHeight="1" x14ac:dyDescent="0.25"/>
    <row r="19304" spans="1:58" ht="16.5" customHeight="1" x14ac:dyDescent="0.25"/>
    <row r="19305" spans="1:58" ht="16.5" customHeight="1" x14ac:dyDescent="0.25"/>
    <row r="19306" spans="1:58" ht="16.5" customHeight="1" x14ac:dyDescent="0.25"/>
    <row r="19308" spans="1:58" s="6" customFormat="1" ht="20.25" customHeight="1" x14ac:dyDescent="0.25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  <c r="AM19308"/>
      <c r="AN19308"/>
      <c r="AO19308"/>
      <c r="AP19308"/>
      <c r="AQ19308"/>
      <c r="AR19308"/>
      <c r="AS19308"/>
      <c r="AT19308"/>
      <c r="AU19308"/>
      <c r="AV19308"/>
      <c r="AW19308"/>
      <c r="AX19308"/>
      <c r="AY19308"/>
      <c r="AZ19308"/>
      <c r="BA19308"/>
      <c r="BB19308"/>
      <c r="BC19308"/>
      <c r="BD19308"/>
      <c r="BE19308"/>
      <c r="BF19308"/>
    </row>
  </sheetData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  <pageSetup scale="67" orientation="portrait" r:id="rId1"/>
  <rowBreaks count="1" manualBreakCount="1">
    <brk id="18805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topLeftCell="A19" zoomScale="60" zoomScaleNormal="60" workbookViewId="0">
      <selection activeCell="C57" sqref="C57:FA57"/>
    </sheetView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8" t="s">
        <v>0</v>
      </c>
      <c r="B1" s="9"/>
    </row>
    <row r="2" spans="1:4" x14ac:dyDescent="0.25">
      <c r="A2" s="8" t="s">
        <v>72</v>
      </c>
      <c r="B2" s="9"/>
    </row>
    <row r="3" spans="1:4" x14ac:dyDescent="0.25">
      <c r="B3" s="9"/>
    </row>
    <row r="4" spans="1:4" ht="36" customHeight="1" x14ac:dyDescent="0.25">
      <c r="A4" s="23"/>
      <c r="B4" s="25"/>
      <c r="C4" s="22" t="s">
        <v>75</v>
      </c>
      <c r="D4" s="22" t="s">
        <v>76</v>
      </c>
    </row>
    <row r="5" spans="1:4" x14ac:dyDescent="0.25">
      <c r="A5" s="18"/>
      <c r="B5" s="78"/>
      <c r="C5" s="20"/>
      <c r="D5" s="21"/>
    </row>
    <row r="6" spans="1:4" x14ac:dyDescent="0.25">
      <c r="A6" s="18"/>
      <c r="B6" s="79"/>
      <c r="C6" s="20"/>
      <c r="D6" s="21"/>
    </row>
    <row r="7" spans="1:4" x14ac:dyDescent="0.25">
      <c r="A7" s="18"/>
      <c r="B7" s="78"/>
      <c r="C7" s="20"/>
      <c r="D7" s="21"/>
    </row>
    <row r="8" spans="1:4" x14ac:dyDescent="0.25">
      <c r="A8" s="18"/>
      <c r="B8" s="79"/>
      <c r="C8" s="20"/>
      <c r="D8" s="21"/>
    </row>
    <row r="9" spans="1:4" x14ac:dyDescent="0.25">
      <c r="A9" s="18"/>
      <c r="B9" s="78"/>
      <c r="C9" s="20"/>
      <c r="D9" s="21"/>
    </row>
    <row r="10" spans="1:4" x14ac:dyDescent="0.25">
      <c r="A10" s="18"/>
      <c r="B10" s="79"/>
      <c r="C10" s="20"/>
      <c r="D10" s="21"/>
    </row>
    <row r="11" spans="1:4" x14ac:dyDescent="0.25">
      <c r="A11" s="18"/>
      <c r="B11" s="78"/>
      <c r="C11" s="20"/>
      <c r="D11" s="21"/>
    </row>
    <row r="12" spans="1:4" x14ac:dyDescent="0.25">
      <c r="A12" s="18"/>
      <c r="B12" s="79"/>
      <c r="C12" s="20"/>
      <c r="D12" s="21"/>
    </row>
    <row r="13" spans="1:4" x14ac:dyDescent="0.25">
      <c r="A13" s="18"/>
      <c r="B13" s="78"/>
      <c r="C13" s="20"/>
      <c r="D13" s="21"/>
    </row>
    <row r="14" spans="1:4" x14ac:dyDescent="0.25">
      <c r="A14" s="18"/>
      <c r="B14" s="79"/>
      <c r="C14" s="20"/>
      <c r="D14" s="21"/>
    </row>
    <row r="15" spans="1:4" x14ac:dyDescent="0.25">
      <c r="A15" s="18"/>
      <c r="B15" s="78"/>
      <c r="C15" s="20"/>
      <c r="D15" s="21"/>
    </row>
    <row r="16" spans="1:4" x14ac:dyDescent="0.25">
      <c r="A16" s="18"/>
      <c r="B16" s="79"/>
      <c r="C16" s="20"/>
      <c r="D16" s="21"/>
    </row>
    <row r="17" spans="1:4" x14ac:dyDescent="0.25">
      <c r="A17" s="18"/>
      <c r="B17" s="78"/>
      <c r="C17" s="20"/>
      <c r="D17" s="21"/>
    </row>
    <row r="18" spans="1:4" x14ac:dyDescent="0.25">
      <c r="A18" s="18"/>
      <c r="B18" s="79"/>
      <c r="C18" s="20"/>
      <c r="D18" s="21"/>
    </row>
    <row r="19" spans="1:4" x14ac:dyDescent="0.25">
      <c r="A19" s="18"/>
      <c r="B19" s="78"/>
      <c r="C19" s="20"/>
      <c r="D19" s="21"/>
    </row>
    <row r="20" spans="1:4" x14ac:dyDescent="0.25">
      <c r="A20" s="18"/>
      <c r="B20" s="79"/>
      <c r="C20" s="20"/>
      <c r="D20" s="21"/>
    </row>
    <row r="21" spans="1:4" x14ac:dyDescent="0.25">
      <c r="A21" s="18"/>
      <c r="B21" s="78"/>
      <c r="C21" s="20"/>
      <c r="D21" s="21"/>
    </row>
    <row r="22" spans="1:4" x14ac:dyDescent="0.25">
      <c r="A22" s="18"/>
      <c r="B22" s="79"/>
      <c r="C22" s="20"/>
      <c r="D22" s="21"/>
    </row>
    <row r="23" spans="1:4" x14ac:dyDescent="0.25">
      <c r="A23" s="18"/>
      <c r="B23" s="78"/>
      <c r="C23" s="20"/>
      <c r="D23" s="21"/>
    </row>
    <row r="24" spans="1:4" x14ac:dyDescent="0.25">
      <c r="A24" s="18"/>
      <c r="B24" s="79"/>
      <c r="C24" s="20"/>
      <c r="D24" s="21"/>
    </row>
    <row r="25" spans="1:4" x14ac:dyDescent="0.25">
      <c r="A25" s="18"/>
      <c r="B25" s="78"/>
      <c r="C25" s="20"/>
      <c r="D25" s="21"/>
    </row>
    <row r="26" spans="1:4" x14ac:dyDescent="0.25">
      <c r="A26" s="18"/>
      <c r="B26" s="79"/>
      <c r="C26" s="20"/>
      <c r="D26" s="21"/>
    </row>
    <row r="27" spans="1:4" x14ac:dyDescent="0.25">
      <c r="A27" s="18"/>
      <c r="B27" s="78"/>
      <c r="C27" s="20"/>
      <c r="D27" s="21"/>
    </row>
    <row r="28" spans="1:4" x14ac:dyDescent="0.25">
      <c r="A28" s="18"/>
      <c r="B28" s="79"/>
      <c r="C28" s="20"/>
      <c r="D28" s="21"/>
    </row>
    <row r="29" spans="1:4" x14ac:dyDescent="0.25">
      <c r="A29" s="18"/>
      <c r="B29" s="78"/>
      <c r="C29" s="20"/>
      <c r="D29" s="21"/>
    </row>
    <row r="30" spans="1:4" x14ac:dyDescent="0.25">
      <c r="A30" s="18"/>
      <c r="B30" s="79"/>
      <c r="C30" s="20"/>
      <c r="D30" s="21"/>
    </row>
    <row r="31" spans="1:4" x14ac:dyDescent="0.25">
      <c r="A31" s="18"/>
      <c r="B31" s="78"/>
      <c r="C31" s="20"/>
      <c r="D31" s="21"/>
    </row>
    <row r="32" spans="1:4" x14ac:dyDescent="0.25">
      <c r="A32" s="18"/>
      <c r="B32" s="79"/>
      <c r="C32" s="20"/>
      <c r="D32" s="21"/>
    </row>
    <row r="33" spans="1:4" x14ac:dyDescent="0.25">
      <c r="A33" s="18"/>
      <c r="B33" s="78"/>
      <c r="C33" s="20"/>
      <c r="D33" s="21"/>
    </row>
    <row r="34" spans="1:4" x14ac:dyDescent="0.25">
      <c r="A34" s="18"/>
      <c r="B34" s="79"/>
      <c r="C34" s="20"/>
      <c r="D34" s="21"/>
    </row>
    <row r="35" spans="1:4" x14ac:dyDescent="0.25">
      <c r="A35" s="18"/>
      <c r="B35" s="78"/>
      <c r="C35" s="20"/>
      <c r="D35" s="21"/>
    </row>
    <row r="36" spans="1:4" x14ac:dyDescent="0.25">
      <c r="A36" s="18"/>
      <c r="B36" s="79"/>
      <c r="C36" s="20"/>
      <c r="D36" s="21"/>
    </row>
    <row r="37" spans="1:4" x14ac:dyDescent="0.25">
      <c r="A37" s="18"/>
      <c r="B37" s="78"/>
      <c r="C37" s="20"/>
      <c r="D37" s="21"/>
    </row>
    <row r="38" spans="1:4" x14ac:dyDescent="0.25">
      <c r="A38" s="18"/>
      <c r="B38" s="79"/>
      <c r="C38" s="20"/>
      <c r="D38" s="21"/>
    </row>
    <row r="39" spans="1:4" x14ac:dyDescent="0.25">
      <c r="A39" s="10"/>
      <c r="B39" s="78"/>
      <c r="C39" s="20"/>
      <c r="D39" s="21"/>
    </row>
    <row r="40" spans="1:4" x14ac:dyDescent="0.25">
      <c r="A40" s="10"/>
      <c r="B40" s="79"/>
      <c r="C40" s="20"/>
      <c r="D40" s="21"/>
    </row>
    <row r="41" spans="1:4" x14ac:dyDescent="0.25">
      <c r="A41" s="10"/>
      <c r="B41" s="78"/>
      <c r="C41" s="20"/>
      <c r="D41" s="21"/>
    </row>
    <row r="42" spans="1:4" x14ac:dyDescent="0.25">
      <c r="A42" s="10"/>
      <c r="B42" s="79"/>
      <c r="C42" s="20"/>
      <c r="D42" s="21"/>
    </row>
    <row r="43" spans="1:4" x14ac:dyDescent="0.25">
      <c r="A43" s="10"/>
      <c r="B43" s="78"/>
      <c r="C43" s="20"/>
      <c r="D43" s="21"/>
    </row>
    <row r="44" spans="1:4" x14ac:dyDescent="0.25">
      <c r="A44" s="10"/>
      <c r="B44" s="79"/>
      <c r="C44" s="20"/>
      <c r="D44" s="21"/>
    </row>
    <row r="45" spans="1:4" x14ac:dyDescent="0.25">
      <c r="A45" s="10"/>
      <c r="B45" s="78"/>
      <c r="C45" s="20"/>
      <c r="D45" s="21"/>
    </row>
    <row r="46" spans="1:4" x14ac:dyDescent="0.25">
      <c r="A46" s="10"/>
      <c r="B46" s="79"/>
      <c r="C46" s="20"/>
      <c r="D46" s="21"/>
    </row>
    <row r="47" spans="1:4" x14ac:dyDescent="0.25">
      <c r="A47" s="10"/>
      <c r="B47" s="78"/>
      <c r="C47" s="20"/>
      <c r="D47" s="21"/>
    </row>
    <row r="48" spans="1:4" x14ac:dyDescent="0.25">
      <c r="A48" s="10"/>
      <c r="B48" s="79"/>
      <c r="C48" s="20"/>
      <c r="D48" s="21"/>
    </row>
    <row r="49" spans="1:4" x14ac:dyDescent="0.25">
      <c r="A49" s="10"/>
      <c r="B49" s="78"/>
      <c r="C49" s="20"/>
      <c r="D49" s="21"/>
    </row>
    <row r="50" spans="1:4" x14ac:dyDescent="0.25">
      <c r="A50" s="10"/>
      <c r="B50" s="79"/>
      <c r="C50" s="20"/>
      <c r="D50" s="21"/>
    </row>
    <row r="51" spans="1:4" x14ac:dyDescent="0.25">
      <c r="A51" s="10"/>
      <c r="B51" s="78"/>
      <c r="C51" s="20"/>
      <c r="D51" s="21"/>
    </row>
    <row r="52" spans="1:4" x14ac:dyDescent="0.25">
      <c r="A52" s="10"/>
      <c r="B52" s="79"/>
      <c r="C52" s="20"/>
      <c r="D52" s="21"/>
    </row>
    <row r="53" spans="1:4" x14ac:dyDescent="0.25">
      <c r="A53" s="10"/>
      <c r="B53" s="78"/>
      <c r="C53" s="20"/>
      <c r="D53" s="21"/>
    </row>
    <row r="54" spans="1:4" x14ac:dyDescent="0.25">
      <c r="A54" s="10"/>
      <c r="B54" s="79"/>
      <c r="C54" s="20"/>
      <c r="D54" s="21"/>
    </row>
    <row r="55" spans="1:4" x14ac:dyDescent="0.25">
      <c r="A55" s="10"/>
      <c r="B55" s="78"/>
      <c r="C55" s="20"/>
      <c r="D55" s="21"/>
    </row>
    <row r="56" spans="1:4" x14ac:dyDescent="0.25">
      <c r="A56" s="10"/>
      <c r="B56" s="79"/>
      <c r="C56" s="20"/>
      <c r="D56" s="21"/>
    </row>
    <row r="57" spans="1:4" x14ac:dyDescent="0.25">
      <c r="A57" s="11"/>
      <c r="B57" s="19" t="str">
        <f>IF(ISERROR(AVERAGE(B5:B56)),"-",AVERAGE(B5:B56))</f>
        <v>-</v>
      </c>
      <c r="C57" s="12"/>
      <c r="D57" s="9"/>
    </row>
    <row r="58" spans="1:4" x14ac:dyDescent="0.25">
      <c r="A58" s="11"/>
      <c r="B58" s="12"/>
      <c r="C58" s="12"/>
      <c r="D58" s="9"/>
    </row>
    <row r="59" spans="1:4" x14ac:dyDescent="0.25">
      <c r="A59" s="15"/>
    </row>
    <row r="60" spans="1:4" x14ac:dyDescent="0.25">
      <c r="A60" s="15"/>
    </row>
    <row r="61" spans="1:4" x14ac:dyDescent="0.25">
      <c r="A61" s="15"/>
    </row>
    <row r="62" spans="1:4" x14ac:dyDescent="0.25">
      <c r="A62" s="15"/>
    </row>
    <row r="63" spans="1:4" x14ac:dyDescent="0.25">
      <c r="A63" s="15"/>
    </row>
    <row r="64" spans="1:4" ht="15.75" thickBot="1" x14ac:dyDescent="0.3">
      <c r="A64" s="15"/>
    </row>
    <row r="65" spans="1:2" ht="15.75" thickBot="1" x14ac:dyDescent="0.3">
      <c r="A65" s="15"/>
      <c r="B65" s="24">
        <v>5</v>
      </c>
    </row>
    <row r="66" spans="1:2" ht="15.75" thickBot="1" x14ac:dyDescent="0.3">
      <c r="A66" s="15"/>
    </row>
    <row r="67" spans="1:2" ht="15.75" thickBot="1" x14ac:dyDescent="0.3">
      <c r="A67" s="15"/>
      <c r="B67" s="7" t="s">
        <v>56</v>
      </c>
    </row>
    <row r="68" spans="1:2" ht="15.75" thickBot="1" x14ac:dyDescent="0.3">
      <c r="A68" s="15"/>
      <c r="B68" s="7">
        <v>1</v>
      </c>
    </row>
    <row r="69" spans="1:2" ht="15.75" thickBot="1" x14ac:dyDescent="0.3">
      <c r="B69" s="7">
        <v>2</v>
      </c>
    </row>
    <row r="70" spans="1:2" ht="15.75" thickBot="1" x14ac:dyDescent="0.3">
      <c r="B70" s="7">
        <v>3</v>
      </c>
    </row>
    <row r="71" spans="1:2" ht="15.75" thickBot="1" x14ac:dyDescent="0.3">
      <c r="B71" s="7">
        <v>4</v>
      </c>
    </row>
    <row r="72" spans="1:2" ht="15.75" thickBot="1" x14ac:dyDescent="0.3">
      <c r="B72" s="7">
        <v>5</v>
      </c>
    </row>
    <row r="73" spans="1:2" ht="15.75" thickBot="1" x14ac:dyDescent="0.3">
      <c r="B73" s="7">
        <v>6</v>
      </c>
    </row>
    <row r="74" spans="1:2" ht="15.75" thickBot="1" x14ac:dyDescent="0.3">
      <c r="B74" s="7">
        <v>7</v>
      </c>
    </row>
    <row r="75" spans="1:2" ht="15.75" thickBot="1" x14ac:dyDescent="0.3">
      <c r="B75" s="7">
        <v>8</v>
      </c>
    </row>
    <row r="76" spans="1:2" ht="15.75" thickBot="1" x14ac:dyDescent="0.3">
      <c r="B76" s="7">
        <v>9</v>
      </c>
    </row>
    <row r="77" spans="1:2" ht="15.75" thickBot="1" x14ac:dyDescent="0.3">
      <c r="B77" s="7">
        <v>10</v>
      </c>
    </row>
    <row r="78" spans="1:2" ht="15.75" thickBot="1" x14ac:dyDescent="0.3">
      <c r="B78" s="7">
        <v>11</v>
      </c>
    </row>
    <row r="79" spans="1:2" ht="15.75" thickBot="1" x14ac:dyDescent="0.3">
      <c r="B79" s="24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workbookViewId="0">
      <selection activeCell="B6" sqref="B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autoFilter ref="A1:E59">
    <sortState ref="A2:E60">
      <sortCondition ref="C1:C3"/>
    </sortState>
  </autoFilter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topLeftCell="A824" workbookViewId="0">
      <selection activeCell="I6" sqref="I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824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G2" sqref="G2:G4967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5" t="s">
        <v>58</v>
      </c>
      <c r="C1" s="15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6" sqref="A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357</vt:i4>
      </vt:variant>
    </vt:vector>
  </HeadingPairs>
  <TitlesOfParts>
    <vt:vector size="360" baseType="lpstr">
      <vt:lpstr>Operating</vt:lpstr>
      <vt:lpstr>Expenses</vt:lpstr>
      <vt:lpstr>Occupancy</vt:lpstr>
      <vt:lpstr>Acf_ab_cell</vt:lpstr>
      <vt:lpstr>Acf_ab_cell1</vt:lpstr>
      <vt:lpstr>Acf_ab_cell2</vt:lpstr>
      <vt:lpstr>Acf_ytd_cell</vt:lpstr>
      <vt:lpstr>Acf_ytd_cell1</vt:lpstr>
      <vt:lpstr>Acf_ytd_cell2</vt:lpstr>
      <vt:lpstr>Acf_ytda_cell</vt:lpstr>
      <vt:lpstr>Acf_ytda_cell1</vt:lpstr>
      <vt:lpstr>Acf_ytda_cell2</vt:lpstr>
      <vt:lpstr>Acf_ytdau_cell</vt:lpstr>
      <vt:lpstr>Acf_ytdau_cell1</vt:lpstr>
      <vt:lpstr>Acf_ytdau_cell2</vt:lpstr>
      <vt:lpstr>Acf_ytdbu_cell</vt:lpstr>
      <vt:lpstr>Acf_ytdbu_cell1</vt:lpstr>
      <vt:lpstr>Acf_ytdbu_cell2</vt:lpstr>
      <vt:lpstr>Adm_ytda_cell</vt:lpstr>
      <vt:lpstr>Adm_ytda_cell1</vt:lpstr>
      <vt:lpstr>Adm_ytda_cell2</vt:lpstr>
      <vt:lpstr>Adm_ytdab_cell</vt:lpstr>
      <vt:lpstr>Adm_ytdab_cell1</vt:lpstr>
      <vt:lpstr>Adm_ytdab_cell2</vt:lpstr>
      <vt:lpstr>Adm_ytdau_cell</vt:lpstr>
      <vt:lpstr>Adm_ytdau_cell1</vt:lpstr>
      <vt:lpstr>Adm_ytdau_cell2</vt:lpstr>
      <vt:lpstr>Adm_ytdb_cell</vt:lpstr>
      <vt:lpstr>Adm_ytdb_cell1</vt:lpstr>
      <vt:lpstr>Adm_ytdb_cell2</vt:lpstr>
      <vt:lpstr>Adm_ytdbu_cell</vt:lpstr>
      <vt:lpstr>Adm_ytdbu_cell1</vt:lpstr>
      <vt:lpstr>Adm_ytdbu_cell2</vt:lpstr>
      <vt:lpstr>Amf_ytd_cell</vt:lpstr>
      <vt:lpstr>Amf_ytd_cell1</vt:lpstr>
      <vt:lpstr>Amf_ytd_cell2</vt:lpstr>
      <vt:lpstr>Amf_ytda_cell</vt:lpstr>
      <vt:lpstr>Amf_ytda_cell1</vt:lpstr>
      <vt:lpstr>Amf_ytda_cell2</vt:lpstr>
      <vt:lpstr>Amf_ytdau_cell</vt:lpstr>
      <vt:lpstr>Amf_ytdau_cell1</vt:lpstr>
      <vt:lpstr>Amf_ytdau_cell2</vt:lpstr>
      <vt:lpstr>Amf_ytdb_cell</vt:lpstr>
      <vt:lpstr>Amf_ytdb_cell1</vt:lpstr>
      <vt:lpstr>Amf_ytdb_cell2</vt:lpstr>
      <vt:lpstr>Amf_ytdbu_cell</vt:lpstr>
      <vt:lpstr>Amf_ytdbu_cell1</vt:lpstr>
      <vt:lpstr>Amf_ytdbu_cell2</vt:lpstr>
      <vt:lpstr>Bd_ytda_cell</vt:lpstr>
      <vt:lpstr>Bd_ytda_cell1</vt:lpstr>
      <vt:lpstr>Bd_ytda_cell2</vt:lpstr>
      <vt:lpstr>Bd_ytdab_cell</vt:lpstr>
      <vt:lpstr>Bd_ytdab_cell1</vt:lpstr>
      <vt:lpstr>Bd_ytdab_cell2</vt:lpstr>
      <vt:lpstr>Bd_ytdau_cell</vt:lpstr>
      <vt:lpstr>Bd_ytdau_cell1</vt:lpstr>
      <vt:lpstr>Bd_ytdau_cell2</vt:lpstr>
      <vt:lpstr>Bd_ytdb_cell</vt:lpstr>
      <vt:lpstr>Bd_ytdb_cell1</vt:lpstr>
      <vt:lpstr>Bd_ytdb_cell2</vt:lpstr>
      <vt:lpstr>Bd_ytdbu_cell</vt:lpstr>
      <vt:lpstr>Bd_ytdbu_cell1</vt:lpstr>
      <vt:lpstr>Bd_ytdbu_cell2</vt:lpstr>
      <vt:lpstr>Cap_ytd_cell</vt:lpstr>
      <vt:lpstr>Cap_ytd_cell1</vt:lpstr>
      <vt:lpstr>Cap_ytd_cell2</vt:lpstr>
      <vt:lpstr>Cap_ytda_cell</vt:lpstr>
      <vt:lpstr>Cap_ytda_cell1</vt:lpstr>
      <vt:lpstr>Cap_ytda_cell2</vt:lpstr>
      <vt:lpstr>Cap_ytdau_cell</vt:lpstr>
      <vt:lpstr>Cap_ytdau_cell1</vt:lpstr>
      <vt:lpstr>Cap_ytdau_cell2</vt:lpstr>
      <vt:lpstr>Cap_ytdb_cell</vt:lpstr>
      <vt:lpstr>Cap_ytdb_cell1</vt:lpstr>
      <vt:lpstr>Cap_ytdb_cell2</vt:lpstr>
      <vt:lpstr>Cap_ytdb_cell3</vt:lpstr>
      <vt:lpstr>Cap_ytdbu_cell</vt:lpstr>
      <vt:lpstr>Cap_ytdbu_cell1</vt:lpstr>
      <vt:lpstr>Cap_ytdbu_cell2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Exp_Units_cell3</vt:lpstr>
      <vt:lpstr>Exp_Units_cell4</vt:lpstr>
      <vt:lpstr>Fm_ytd_cell</vt:lpstr>
      <vt:lpstr>Fm_ytd_cell1</vt:lpstr>
      <vt:lpstr>Fm_ytd_cell2</vt:lpstr>
      <vt:lpstr>Fm_ytda_cell</vt:lpstr>
      <vt:lpstr>Fm_ytda_cell1</vt:lpstr>
      <vt:lpstr>Fm_ytda_cell2</vt:lpstr>
      <vt:lpstr>Fm_ytdau_cell</vt:lpstr>
      <vt:lpstr>Fm_ytdau_cell1</vt:lpstr>
      <vt:lpstr>Fm_ytdau_cell2</vt:lpstr>
      <vt:lpstr>Fm_ytdb_cell</vt:lpstr>
      <vt:lpstr>Fm_ytdb_cell1</vt:lpstr>
      <vt:lpstr>Fm_ytdb_cell2</vt:lpstr>
      <vt:lpstr>Fm_ytdb_cell3</vt:lpstr>
      <vt:lpstr>Fm_ytdbu_cell</vt:lpstr>
      <vt:lpstr>Fm_ytdbu_cell1</vt:lpstr>
      <vt:lpstr>Fm_ytdbu_cell2</vt:lpstr>
      <vt:lpstr>Ins_ytda_cell</vt:lpstr>
      <vt:lpstr>Ins_ytda_cell1</vt:lpstr>
      <vt:lpstr>Ins_ytda_cell2</vt:lpstr>
      <vt:lpstr>Ins_ytdab_cell</vt:lpstr>
      <vt:lpstr>Ins_ytdab_cell1</vt:lpstr>
      <vt:lpstr>Ins_ytdab_cell2</vt:lpstr>
      <vt:lpstr>Ins_ytdau_cell</vt:lpstr>
      <vt:lpstr>Ins_ytdau_cell1</vt:lpstr>
      <vt:lpstr>Ins_ytdau_cell2</vt:lpstr>
      <vt:lpstr>Ins_ytdb_cell</vt:lpstr>
      <vt:lpstr>Ins_ytdb_cell1</vt:lpstr>
      <vt:lpstr>Ins_ytdb_cell2</vt:lpstr>
      <vt:lpstr>Ins_ytdbu_cell</vt:lpstr>
      <vt:lpstr>Ins_ytdbu_cell1</vt:lpstr>
      <vt:lpstr>Ins_ytdbu_cell2</vt:lpstr>
      <vt:lpstr>Mf_ytda_cell</vt:lpstr>
      <vt:lpstr>Mf_ytda_cell1</vt:lpstr>
      <vt:lpstr>Mf_ytda_cell2</vt:lpstr>
      <vt:lpstr>Mf_ytdab_cell</vt:lpstr>
      <vt:lpstr>Mf_ytdab_cell1</vt:lpstr>
      <vt:lpstr>Mf_ytdab_cell2</vt:lpstr>
      <vt:lpstr>Mf_ytdau_cell</vt:lpstr>
      <vt:lpstr>Mf_ytdau_cell1</vt:lpstr>
      <vt:lpstr>Mf_ytdau_cell2</vt:lpstr>
      <vt:lpstr>Mf_ytdb_cell</vt:lpstr>
      <vt:lpstr>Mf_ytdb_cell1</vt:lpstr>
      <vt:lpstr>Mf_ytdb_cell2</vt:lpstr>
      <vt:lpstr>Mf_ytdbu_cell</vt:lpstr>
      <vt:lpstr>Mf_ytdbu_cell1</vt:lpstr>
      <vt:lpstr>Mf_ytdbu_cell2</vt:lpstr>
      <vt:lpstr>Mgmt_comp_cell</vt:lpstr>
      <vt:lpstr>Mgmt_comp_cell1</vt:lpstr>
      <vt:lpstr>Mgmt_comp_cell2</vt:lpstr>
      <vt:lpstr>Noi_ab_cell</vt:lpstr>
      <vt:lpstr>Noi_ab_cell1</vt:lpstr>
      <vt:lpstr>Noi_ab_cell2</vt:lpstr>
      <vt:lpstr>Noi_ytd_cell</vt:lpstr>
      <vt:lpstr>Noi_ytd_cell1</vt:lpstr>
      <vt:lpstr>Noi_ytd_cell2</vt:lpstr>
      <vt:lpstr>Noi_ytda_cell</vt:lpstr>
      <vt:lpstr>Noi_ytda_cell1</vt:lpstr>
      <vt:lpstr>Noi_ytda_cell2</vt:lpstr>
      <vt:lpstr>Noi_ytdau_cell</vt:lpstr>
      <vt:lpstr>Noi_ytdau_cell1</vt:lpstr>
      <vt:lpstr>Noi_ytdau_cell2</vt:lpstr>
      <vt:lpstr>Noi_ytdb_cell</vt:lpstr>
      <vt:lpstr>Noi_ytdbu_cell</vt:lpstr>
      <vt:lpstr>Noi_ytdbu_cell1</vt:lpstr>
      <vt:lpstr>Noi_ytdbu_cell2</vt:lpstr>
      <vt:lpstr>Oc_ab_cell</vt:lpstr>
      <vt:lpstr>Oc_ab_cell1</vt:lpstr>
      <vt:lpstr>Oc_ab_cell2</vt:lpstr>
      <vt:lpstr>Oc_ytd_cell</vt:lpstr>
      <vt:lpstr>Oc_ytd_cell1</vt:lpstr>
      <vt:lpstr>Oc_ytd_cell2</vt:lpstr>
      <vt:lpstr>Oc_ytda_cell</vt:lpstr>
      <vt:lpstr>Oc_ytda_cell1</vt:lpstr>
      <vt:lpstr>Oc_ytda_cell2</vt:lpstr>
      <vt:lpstr>Oc_ytdaer_cell</vt:lpstr>
      <vt:lpstr>Oc_ytdaer_cell1</vt:lpstr>
      <vt:lpstr>Oc_ytdaer_cell2</vt:lpstr>
      <vt:lpstr>Oc_ytdau_cell</vt:lpstr>
      <vt:lpstr>Oc_ytdau_cell1</vt:lpstr>
      <vt:lpstr>Oc_ytdau_cell2</vt:lpstr>
      <vt:lpstr>Oc_ytdbu_cell</vt:lpstr>
      <vt:lpstr>Oc_ytdbu_cell1</vt:lpstr>
      <vt:lpstr>Oc_ytdbu_cell2</vt:lpstr>
      <vt:lpstr>Occu_proj_cell</vt:lpstr>
      <vt:lpstr>Occu_proj_end</vt:lpstr>
      <vt:lpstr>Occupancy_cell</vt:lpstr>
      <vt:lpstr>Occupancy_cell1</vt:lpstr>
      <vt:lpstr>Occupancy_cell2</vt:lpstr>
      <vt:lpstr>Ocytd_cell</vt:lpstr>
      <vt:lpstr>Ocytd_cell1</vt:lpstr>
      <vt:lpstr>Oper_cash_cell</vt:lpstr>
      <vt:lpstr>Oper_cash_cell1</vt:lpstr>
      <vt:lpstr>Oper_cash_cell2</vt:lpstr>
      <vt:lpstr>Oper_other_cell</vt:lpstr>
      <vt:lpstr>Oper_other_cell1</vt:lpstr>
      <vt:lpstr>Oper_other_cell2</vt:lpstr>
      <vt:lpstr>Operating_cell</vt:lpstr>
      <vt:lpstr>Operating_cell1</vt:lpstr>
      <vt:lpstr>Operating_cell2</vt:lpstr>
      <vt:lpstr>Other_cell</vt:lpstr>
      <vt:lpstr>Other_cell_end</vt:lpstr>
      <vt:lpstr>Other_cell_start</vt:lpstr>
      <vt:lpstr>Other_exp</vt:lpstr>
      <vt:lpstr>Other_exp_end</vt:lpstr>
      <vt:lpstr>Other_exp_start</vt:lpstr>
      <vt:lpstr>Pay_ytd_cell</vt:lpstr>
      <vt:lpstr>Pay_ytd_cell1</vt:lpstr>
      <vt:lpstr>Pay_ytd_cell2</vt:lpstr>
      <vt:lpstr>Pay_ytda_cell</vt:lpstr>
      <vt:lpstr>Pay_ytda_cell1</vt:lpstr>
      <vt:lpstr>Pay_ytda_cell2</vt:lpstr>
      <vt:lpstr>Pay_ytdab_cell</vt:lpstr>
      <vt:lpstr>Pay_ytdab_cell1</vt:lpstr>
      <vt:lpstr>Pay_ytdab_cell2</vt:lpstr>
      <vt:lpstr>Pay_ytdau_cell</vt:lpstr>
      <vt:lpstr>Pay_ytdau_cell1</vt:lpstr>
      <vt:lpstr>Pay_ytdau_cell2</vt:lpstr>
      <vt:lpstr>Pay_ytdb_cell</vt:lpstr>
      <vt:lpstr>Pay_ytdbu_cell</vt:lpstr>
      <vt:lpstr>Pay_ytdbu_cell1</vt:lpstr>
      <vt:lpstr>Pay_ytdbu_cell2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Replac_cell</vt:lpstr>
      <vt:lpstr>Replac_cell1</vt:lpstr>
      <vt:lpstr>Replac_cell2</vt:lpstr>
      <vt:lpstr>Res_ab_cell</vt:lpstr>
      <vt:lpstr>Res_ab_cell1</vt:lpstr>
      <vt:lpstr>Res_ab_cell2</vt:lpstr>
      <vt:lpstr>Res_ytd_cell</vt:lpstr>
      <vt:lpstr>Res_ytd_cell1</vt:lpstr>
      <vt:lpstr>Res_ytd_cell2</vt:lpstr>
      <vt:lpstr>Res_ytda_cell</vt:lpstr>
      <vt:lpstr>Res_ytda_cell1</vt:lpstr>
      <vt:lpstr>Res_ytda_cell2</vt:lpstr>
      <vt:lpstr>Res_ytdau_cell</vt:lpstr>
      <vt:lpstr>Res_ytdau_cell1</vt:lpstr>
      <vt:lpstr>Res_ytdau_cell2</vt:lpstr>
      <vt:lpstr>Res_ytdbu_cell</vt:lpstr>
      <vt:lpstr>Res_ytdbu_cell1</vt:lpstr>
      <vt:lpstr>Res_ytdbu_cell2</vt:lpstr>
      <vt:lpstr>Rm_ytda_cell</vt:lpstr>
      <vt:lpstr>Rm_ytda_cell1</vt:lpstr>
      <vt:lpstr>Rm_ytda_cell2</vt:lpstr>
      <vt:lpstr>Rm_ytdab_cell</vt:lpstr>
      <vt:lpstr>Rm_ytdab_cell1</vt:lpstr>
      <vt:lpstr>Rm_ytdab_cell2</vt:lpstr>
      <vt:lpstr>Rm_ytdau_cell</vt:lpstr>
      <vt:lpstr>Rm_ytdau_cell1</vt:lpstr>
      <vt:lpstr>Rm_ytdau_cell2</vt:lpstr>
      <vt:lpstr>Rm_ytdb_cell</vt:lpstr>
      <vt:lpstr>Rm_ytdb_cell1</vt:lpstr>
      <vt:lpstr>Rm_ytdb_cell2</vt:lpstr>
      <vt:lpstr>Rm_ytdbu_cell</vt:lpstr>
      <vt:lpstr>Rm_ytdbu_cell1</vt:lpstr>
      <vt:lpstr>Rm_ytdbu_cell2</vt:lpstr>
      <vt:lpstr>Rytd_cell</vt:lpstr>
      <vt:lpstr>Rytd_cell1</vt:lpstr>
      <vt:lpstr>Rytd_cell2</vt:lpstr>
      <vt:lpstr>Rytd_cells</vt:lpstr>
      <vt:lpstr>Rytda_cell</vt:lpstr>
      <vt:lpstr>Rytda_cell1</vt:lpstr>
      <vt:lpstr>Rytda_cell2</vt:lpstr>
      <vt:lpstr>Rytdau_cell</vt:lpstr>
      <vt:lpstr>Rytdau_cell1</vt:lpstr>
      <vt:lpstr>Rytdau_cell2</vt:lpstr>
      <vt:lpstr>Rytdb_cell</vt:lpstr>
      <vt:lpstr>Rytdb_cell1</vt:lpstr>
      <vt:lpstr>Rytdb_cell2</vt:lpstr>
      <vt:lpstr>Rytdbu_cell</vt:lpstr>
      <vt:lpstr>Rytdbu_cell1</vt:lpstr>
      <vt:lpstr>Rytdbu_cell2</vt:lpstr>
      <vt:lpstr>Sec_ytda_cell</vt:lpstr>
      <vt:lpstr>Sec_ytda_cell1</vt:lpstr>
      <vt:lpstr>Sec_ytda_cell2</vt:lpstr>
      <vt:lpstr>Sec_ytdab_cell</vt:lpstr>
      <vt:lpstr>Sec_ytdab_cell1</vt:lpstr>
      <vt:lpstr>Sec_ytdab_cell2</vt:lpstr>
      <vt:lpstr>Sec_ytdau_cell</vt:lpstr>
      <vt:lpstr>Sec_ytdau_cell1</vt:lpstr>
      <vt:lpstr>Sec_ytdau_cell2</vt:lpstr>
      <vt:lpstr>Sec_ytdb_cell</vt:lpstr>
      <vt:lpstr>Sec_ytdb_cell1</vt:lpstr>
      <vt:lpstr>Sec_ytdb_cell2</vt:lpstr>
      <vt:lpstr>Sec_ytdbu_cell</vt:lpstr>
      <vt:lpstr>Sec_ytdbu_cell1</vt:lpstr>
      <vt:lpstr>Sec_ytdbu_cell2</vt:lpstr>
      <vt:lpstr>Status_cell</vt:lpstr>
      <vt:lpstr>Status_cell1</vt:lpstr>
      <vt:lpstr>Status_cell2</vt:lpstr>
      <vt:lpstr>Tax_ytda_cell</vt:lpstr>
      <vt:lpstr>Tax_ytda_cell1</vt:lpstr>
      <vt:lpstr>Tax_ytda_cell2</vt:lpstr>
      <vt:lpstr>Tax_ytdab_cell</vt:lpstr>
      <vt:lpstr>Tax_ytdab_cell1</vt:lpstr>
      <vt:lpstr>Tax_ytdab_cell2</vt:lpstr>
      <vt:lpstr>Tax_ytdau_cell</vt:lpstr>
      <vt:lpstr>Tax_ytdau_cell1</vt:lpstr>
      <vt:lpstr>Tax_ytdau_cell2</vt:lpstr>
      <vt:lpstr>Tax_ytdb_cell</vt:lpstr>
      <vt:lpstr>Tax_ytdb_cell1</vt:lpstr>
      <vt:lpstr>Tax_ytdb_cell2</vt:lpstr>
      <vt:lpstr>Tax_ytdbu_cell</vt:lpstr>
      <vt:lpstr>Tax_ytdbu_cell1</vt:lpstr>
      <vt:lpstr>Tax_ytdbu_cell2</vt:lpstr>
      <vt:lpstr>Toe_ytda_cell</vt:lpstr>
      <vt:lpstr>Toe_ytda_cell1</vt:lpstr>
      <vt:lpstr>Toe_ytda_cell2</vt:lpstr>
      <vt:lpstr>Toe_ytdab_cell</vt:lpstr>
      <vt:lpstr>Toe_ytdab_cell1</vt:lpstr>
      <vt:lpstr>Toe_ytdab_cell2</vt:lpstr>
      <vt:lpstr>Toe_ytdau_cell</vt:lpstr>
      <vt:lpstr>Toe_ytdau_cell1</vt:lpstr>
      <vt:lpstr>Toe_ytdau_cell2</vt:lpstr>
      <vt:lpstr>Toe_ytdb_cell</vt:lpstr>
      <vt:lpstr>Toe_ytdb_cell1</vt:lpstr>
      <vt:lpstr>Toe_ytdb_cell2</vt:lpstr>
      <vt:lpstr>Toe_ytdbu_cell</vt:lpstr>
      <vt:lpstr>Toe_ytdbu_cell1</vt:lpstr>
      <vt:lpstr>Toe_ytdbu_cell2</vt:lpstr>
      <vt:lpstr>Total_cell</vt:lpstr>
      <vt:lpstr>Total_cell1</vt:lpstr>
      <vt:lpstr>Total_cell2</vt:lpstr>
      <vt:lpstr>Units_cell</vt:lpstr>
      <vt:lpstr>Units_cell1</vt:lpstr>
      <vt:lpstr>Units_cell2</vt:lpstr>
      <vt:lpstr>Units_cell3</vt:lpstr>
      <vt:lpstr>Util_ytda_cell</vt:lpstr>
      <vt:lpstr>Util_ytda_cell1</vt:lpstr>
      <vt:lpstr>Util_ytda_cell2</vt:lpstr>
      <vt:lpstr>Util_ytdab_cell</vt:lpstr>
      <vt:lpstr>Util_ytdab_cell1</vt:lpstr>
      <vt:lpstr>Util_ytdab_cell2</vt:lpstr>
      <vt:lpstr>Util_ytdau_cell</vt:lpstr>
      <vt:lpstr>Util_ytdau_cell1</vt:lpstr>
      <vt:lpstr>Util_ytdau_cell2</vt:lpstr>
      <vt:lpstr>Util_ytdb_cell</vt:lpstr>
      <vt:lpstr>Util_ytdb_cell1</vt:lpstr>
      <vt:lpstr>Util_ytdb_cell2</vt:lpstr>
      <vt:lpstr>Util_ytdbu_cell</vt:lpstr>
      <vt:lpstr>Util_ytdbu_cell1</vt:lpstr>
      <vt:lpstr>Util_ytdbu_cell2</vt:lpstr>
      <vt:lpstr>Ws_ytda_cell</vt:lpstr>
      <vt:lpstr>Ws_ytda_cell1</vt:lpstr>
      <vt:lpstr>Ws_ytda_cell2</vt:lpstr>
      <vt:lpstr>Ws_ytdab_cell</vt:lpstr>
      <vt:lpstr>Ws_ytdab_cell1</vt:lpstr>
      <vt:lpstr>Ws_ytdab_cell2</vt:lpstr>
      <vt:lpstr>Ws_ytdau_cell</vt:lpstr>
      <vt:lpstr>Ws_ytdau_cell1</vt:lpstr>
      <vt:lpstr>Ws_ytdau_cell2</vt:lpstr>
      <vt:lpstr>Ws_ytdb_cell</vt:lpstr>
      <vt:lpstr>Ws_ytdb_cell1</vt:lpstr>
      <vt:lpstr>Ws_ytdb_cell2</vt:lpstr>
      <vt:lpstr>Ws_ytdbu_cell</vt:lpstr>
      <vt:lpstr>Ws_ytdbu_cell1</vt:lpstr>
      <vt:lpstr>Ws_ytdbu_cell2</vt:lpstr>
      <vt:lpstr>YTD_Budget</vt:lpstr>
      <vt:lpstr>YtdOccupancy_cell</vt:lpstr>
      <vt:lpstr>YtdOccupancy_cell1</vt:lpstr>
      <vt:lpstr>YtdOccupancy_cell2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2018-05-29T10:05:37Z</dcterms:modified>
</cp:coreProperties>
</file>