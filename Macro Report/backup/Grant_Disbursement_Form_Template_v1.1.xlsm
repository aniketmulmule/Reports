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600"/>
  </bookViews>
  <sheets>
    <sheet name="Disbursement Request" sheetId="1" r:id="rId1"/>
    <sheet name="Grant Details" sheetId="2" state="hidden" r:id="rId2"/>
    <sheet name="Budget Details" sheetId="3" state="hidden" r:id="rId3"/>
  </sheets>
  <definedNames>
    <definedName name="AB_Cell1">'Disbursement Request'!$K$20</definedName>
    <definedName name="AB_Cell2">'Disbursement Request'!$K$22</definedName>
    <definedName name="ABudget_Computer_Equipment">'Disbursement Request'!$I$44</definedName>
    <definedName name="ABudget_Computer_Software">'Disbursement Request'!$I$45</definedName>
    <definedName name="ABudget_Consultants">'Disbursement Request'!$I$27</definedName>
    <definedName name="ABudget_Consultants_End">'Disbursement Request'!$I$28</definedName>
    <definedName name="ABudget_End">'Disbursement Request'!$I$21</definedName>
    <definedName name="ABudget_Indirect_Costs">'Disbursement Request'!$I$51</definedName>
    <definedName name="ABudget_Match_Totals">'Disbursement Request'!$I$55</definedName>
    <definedName name="ABudget_Other_Direct_Costs">'Disbursement Request'!$I$48</definedName>
    <definedName name="ABudget_Printing">'Disbursement Request'!$I$46</definedName>
    <definedName name="ABudget_Program_Totals">'Disbursement Request'!$I$57</definedName>
    <definedName name="ABudget_Section_Totals">'Disbursement Request'!$I$53</definedName>
    <definedName name="ABudget_Start">'Disbursement Request'!$I$20</definedName>
    <definedName name="ABudget_Training">'Disbursement Request'!$I$47</definedName>
    <definedName name="Address">'Disbursement Request'!$B$8</definedName>
    <definedName name="Avail_Budget_Cell1">'Disbursement Request'!$I$22</definedName>
    <definedName name="Avail_Budget_Cell2">'Disbursement Request'!$I$26</definedName>
    <definedName name="Avail_Budget_Cell3">'Disbursement Request'!$I$29</definedName>
    <definedName name="Avail_Budget_Start">'Disbursement Request'!$I$19</definedName>
    <definedName name="Budget_Consultant_End">'Disbursement Request'!$C$28</definedName>
    <definedName name="Budget_Consultant_Start">'Disbursement Request'!$C$26</definedName>
    <definedName name="Budget_End">'Disbursement Request'!$C$21</definedName>
    <definedName name="Budget_Program_Totals">'Disbursement Request'!$C$57</definedName>
    <definedName name="Budget_Salaries">'Disbursement Request'!$C$20</definedName>
    <definedName name="Budget_Section_Totals">'Disbursement Request'!$C$53</definedName>
    <definedName name="Budget_Start">'Disbursement Request'!$C$19</definedName>
    <definedName name="Budget_Subcon_Consultants">'Disbursement Request'!$C$27</definedName>
    <definedName name="Budget_TConsultants">'Disbursement Request'!$C$29</definedName>
    <definedName name="Budget_TSalaries">'Disbursement Request'!$C$22</definedName>
    <definedName name="City_Sate">'Disbursement Request'!$B$9</definedName>
    <definedName name="Computer_Equipment">'Disbursement Request'!$C$44</definedName>
    <definedName name="Computer_Software">'Disbursement Request'!$C$45</definedName>
    <definedName name="Contact">'Disbursement Request'!$B$10</definedName>
    <definedName name="Email">'Disbursement Request'!$B$12</definedName>
    <definedName name="GP_End_Date">'Disbursement Request'!$F$14</definedName>
    <definedName name="GP_Start_Date">'Disbursement Request'!$D$14</definedName>
    <definedName name="Grant_Number">'Disbursement Request'!$B$6</definedName>
    <definedName name="Grantee_Name">'Disbursement Request'!$B$7</definedName>
    <definedName name="Indirect_Costs">'Disbursement Request'!$C$51</definedName>
    <definedName name="Label_A18">'Disbursement Request'!$A$18</definedName>
    <definedName name="Label_Address">'Disbursement Request'!$A$8</definedName>
    <definedName name="Label_Airfare">'Disbursement Request'!$A$32</definedName>
    <definedName name="Label_Available_Budget">'Disbursement Request'!$I$18</definedName>
    <definedName name="Label_Budget">'Disbursement Request'!$C$18</definedName>
    <definedName name="Label_City">'Disbursement Request'!$A$9</definedName>
    <definedName name="Label_Computer_Software">'Disbursement Request'!$A$45</definedName>
    <definedName name="Label_Computers">'Disbursement Request'!$A$44</definedName>
    <definedName name="Label_Contact">'Disbursement Request'!$A$10</definedName>
    <definedName name="Label_Current_Request">'Disbursement Request'!$F$18</definedName>
    <definedName name="Label_Email">'Disbursement Request'!$A$12</definedName>
    <definedName name="Label_Fringe">'Disbursement Request'!$A$24</definedName>
    <definedName name="Label_Fringe_ABudget">'Disbursement Request'!$I$24</definedName>
    <definedName name="Label_Fringe_Budget">'Disbursement Request'!$C$24</definedName>
    <definedName name="Label_Fringe_MBudget">'Disbursement Request'!$D$24</definedName>
    <definedName name="Label_GName">'Disbursement Request'!$A$7</definedName>
    <definedName name="Label_GNumber">'Disbursement Request'!$A$6</definedName>
    <definedName name="Label_Indirect_Costs">'Disbursement Request'!$A$51</definedName>
    <definedName name="Label_Lodging">'Disbursement Request'!$A$33</definedName>
    <definedName name="Label_Lodging_Taxes">'Disbursement Request'!$A$34</definedName>
    <definedName name="Label_Match_Totals">'Disbursement Request'!$A$55</definedName>
    <definedName name="Label_Meals">'Disbursement Request'!$A$35</definedName>
    <definedName name="Label_Mileage">'Disbursement Request'!$A$36</definedName>
    <definedName name="Label_Modified_Budget">'Disbursement Request'!$D$18</definedName>
    <definedName name="Label_ODC">'Disbursement Request'!$A$48</definedName>
    <definedName name="Label_other">'Disbursement Request'!$A$40</definedName>
    <definedName name="Label_Other_Direct_Costs">'Disbursement Request'!$A$43</definedName>
    <definedName name="Label_Parking">'Disbursement Request'!$A$37</definedName>
    <definedName name="Label_Percent">'Disbursement Request'!$B$51</definedName>
    <definedName name="Label_POP">'Disbursement Request'!$A$14</definedName>
    <definedName name="Label_Printing">'Disbursement Request'!$A$46</definedName>
    <definedName name="Label_Program_Totals">'Disbursement Request'!$A$57</definedName>
    <definedName name="Label_Rental_car">'Disbursement Request'!$A$38</definedName>
    <definedName name="Label_Section_Totals">'Disbursement Request'!$A$53</definedName>
    <definedName name="Label_Taxi">'Disbursement Request'!$A$39</definedName>
    <definedName name="Label_TConsultants">'Disbursement Request'!$A$29</definedName>
    <definedName name="Label_Telephone">'Disbursement Request'!$A$11</definedName>
    <definedName name="Label_Total_Amount">'Disbursement Request'!$H$18</definedName>
    <definedName name="Label_Total_ODC">'Disbursement Request'!$A$49</definedName>
    <definedName name="Label_Total_Salaries">'Disbursement Request'!$A$22</definedName>
    <definedName name="Label_Total_Travel">'Disbursement Request'!$A$41</definedName>
    <definedName name="Label_Training">'Disbursement Request'!$A$47</definedName>
    <definedName name="Label_Travel">'Disbursement Request'!$A$31</definedName>
    <definedName name="Label_TTravel_MBudget">'Disbursement Request'!$D$41</definedName>
    <definedName name="Lock_Box">'Disbursement Request'!$D$27,'Disbursement Request'!$A$6:$E$12,'Disbursement Request'!$D$14,'Disbursement Request'!$A$14,'Disbursement Request'!$F$14,'Disbursement Request'!$A$18:$J$18,'Disbursement Request'!$A$20:$E$22,'Disbursement Request'!$A$19,'Disbursement Request'!$I$20:$J$22,'Disbursement Request'!$I$24,'Disbursement Request'!$A$24:$E$24,'Disbursement Request'!$A$26:$B$29,'Disbursement Request'!$C$27:$E$29,'Disbursement Request'!$I$27:$J$29,'Disbursement Request'!$A$31:$B$41,'Disbursement Request'!$C$41:$E$41,'Disbursement Request'!$I$41,'Disbursement Request'!$I$44:$J$49,'Disbursement Request'!$D$44:$E$49,'Disbursement Request'!$C$44:$C$49,'Disbursement Request'!$A$43:$B$49,'Disbursement Request'!$A$51:$E$51,'Disbursement Request'!$I$51,'Disbursement Request'!$I$53,'Disbursement Request'!$A$53:$E$53,'Disbursement Request'!$A$55:$E$55,'Disbursement Request'!$I$55,'Disbursement Request'!$I$57,'Disbursement Request'!$A$57:$E$57</definedName>
    <definedName name="Lock_BOx1">'Disbursement Request'!$D$27,'Disbursement Request'!$A$6:$E$12,'Disbursement Request'!$D$14,'Disbursement Request'!$A$14,'Disbursement Request'!$F$14,'Disbursement Request'!$A$18:$J$18,'Disbursement Request'!$A$20:$E$22,'Disbursement Request'!$A$19,'Disbursement Request'!$I$20:$J$22,'Disbursement Request'!$I$24,'Disbursement Request'!$A$24:$E$24,'Disbursement Request'!$A$26:$B$29,'Disbursement Request'!$C$27:$E$29,'Disbursement Request'!$I$27:$J$29,'Disbursement Request'!$A$31:$B$41,'Disbursement Request'!$C$41:$E$41,'Disbursement Request'!$I$41,'Disbursement Request'!$I$44:$J$49,'Disbursement Request'!$D$44:$E$49,'Disbursement Request'!$C$44:$C$49,'Disbursement Request'!$A$43:$B$49,'Disbursement Request'!$A$51:$E$51,'Disbursement Request'!$I$51,'Disbursement Request'!$I$53,'Disbursement Request'!$A$53:$E$53,'Disbursement Request'!$A$55:$E$55,'Disbursement Request'!$I$55,'Disbursement Request'!$I$57,'Disbursement Request'!$A$57:$E$57,'Disbursement Request'!$A$19,'Disbursement Request'!$A$14,'Disbursement Request'!$F$14,'Disbursement Request'!$I$24,'Disbursement Request'!$I$41,'Disbursement Request'!$I$53,'Disbursement Request'!$I$51,'Disbursement Request'!$I$55,'Disbursement Request'!$I$57</definedName>
    <definedName name="Match_Totals">'Disbursement Request'!$C$55</definedName>
    <definedName name="MBudget_Computer_Equipment">'Disbursement Request'!$D$44</definedName>
    <definedName name="MBudget_Computer_Software">'Disbursement Request'!$D$45</definedName>
    <definedName name="MBudget_Consultant_Start">'Disbursement Request'!$D$26</definedName>
    <definedName name="MBudget_Consultants">'Disbursement Request'!$D$27</definedName>
    <definedName name="MBudget_Consultants_End">'Disbursement Request'!$D$28</definedName>
    <definedName name="MBudget_End">'Disbursement Request'!$D$21</definedName>
    <definedName name="MBudget_Indirect_Costs">'Disbursement Request'!$D$51</definedName>
    <definedName name="MBudget_Match_Totals">'Disbursement Request'!$D$55</definedName>
    <definedName name="MBudget_Other_Direct_Costs">'Disbursement Request'!$D$48</definedName>
    <definedName name="MBudget_Printing">'Disbursement Request'!$D$46</definedName>
    <definedName name="MBudget_Program_Totals">'Disbursement Request'!$D$57</definedName>
    <definedName name="MBudget_Salaries">'Disbursement Request'!$D$20</definedName>
    <definedName name="MBudget_Section_Totals">'Disbursement Request'!$D$53</definedName>
    <definedName name="MBudget_Start">'Disbursement Request'!$D$19</definedName>
    <definedName name="MBudget_TConsultants">'Disbursement Request'!$D$29</definedName>
    <definedName name="MBudget_Training">'Disbursement Request'!$D$47</definedName>
    <definedName name="MBudget_TSalaries">'Disbursement Request'!$D$22</definedName>
    <definedName name="Other_Direct_Costs">'Disbursement Request'!$C$48</definedName>
    <definedName name="_xlnm.Print_Area" localSheetId="0">'Disbursement Request'!$A$1:$J$59</definedName>
    <definedName name="Printing">'Disbursement Request'!$C$46</definedName>
    <definedName name="Salaries">'Disbursement Request'!$A$20</definedName>
    <definedName name="Salaries_End">'Disbursement Request'!$A$21</definedName>
    <definedName name="Salaries_Start">'Disbursement Request'!$A$19</definedName>
    <definedName name="Subcon_Consultants">'Disbursement Request'!$A$27</definedName>
    <definedName name="Subcon_Consultants_End">'Disbursement Request'!$A$28</definedName>
    <definedName name="Subcon_Consultants_Start">'Disbursement Request'!$A$26</definedName>
    <definedName name="Telephone">'Disbursement Request'!$B$11</definedName>
    <definedName name="Total_ODC_ABudget">'Disbursement Request'!$I$49</definedName>
    <definedName name="Total_ODC_Budget">'Disbursement Request'!$C$49</definedName>
    <definedName name="Total_ODC_MBudget">'Disbursement Request'!$D$49</definedName>
    <definedName name="Total_Travel">'Disbursement Request'!$C$41</definedName>
    <definedName name="Training">'Disbursement Request'!$C$47</definedName>
    <definedName name="TTravel_ABudget">'Disbursement Request'!$I$41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I20" i="1"/>
  <c r="B7" i="1" l="1"/>
  <c r="D14" i="1" l="1"/>
  <c r="B6" i="1" l="1"/>
  <c r="I21" i="1"/>
  <c r="F14" i="1" l="1"/>
  <c r="H14" i="1"/>
  <c r="G14" i="1"/>
  <c r="B8" i="1"/>
  <c r="B9" i="1"/>
  <c r="B10" i="1"/>
  <c r="B11" i="1"/>
  <c r="B12" i="1"/>
  <c r="B13" i="2"/>
  <c r="C22" i="1" l="1"/>
  <c r="C29" i="1"/>
  <c r="C49" i="1"/>
  <c r="F22" i="1"/>
  <c r="F29" i="1"/>
  <c r="F41" i="1"/>
  <c r="F49" i="1"/>
  <c r="C53" i="1" l="1"/>
  <c r="C57" i="1" s="1"/>
  <c r="F53" i="1"/>
  <c r="F57" i="1" s="1"/>
  <c r="I24" i="1"/>
  <c r="I51" i="1"/>
  <c r="I55" i="1"/>
  <c r="I45" i="1" l="1"/>
  <c r="I46" i="1"/>
  <c r="I47" i="1"/>
  <c r="I48" i="1"/>
  <c r="I44" i="1"/>
  <c r="H49" i="1"/>
  <c r="I28" i="1"/>
  <c r="H29" i="1"/>
  <c r="H22" i="1"/>
  <c r="H41" i="1" l="1"/>
  <c r="I22" i="1"/>
  <c r="I29" i="1"/>
  <c r="I49" i="1"/>
  <c r="H53" i="1" l="1"/>
  <c r="H57" i="1" s="1"/>
  <c r="I41" i="1"/>
  <c r="I53" i="1" s="1"/>
  <c r="I57" i="1" s="1"/>
</calcChain>
</file>

<file path=xl/sharedStrings.xml><?xml version="1.0" encoding="utf-8"?>
<sst xmlns="http://schemas.openxmlformats.org/spreadsheetml/2006/main" count="93" uniqueCount="83">
  <si>
    <t>Budget</t>
  </si>
  <si>
    <t>Current Request</t>
  </si>
  <si>
    <t>Total Amount Previously Requested</t>
  </si>
  <si>
    <t>Available Budget</t>
  </si>
  <si>
    <t>Total Salaries:</t>
  </si>
  <si>
    <t>Salaries (by position)</t>
  </si>
  <si>
    <t>Fringe Benefits
(% of salaries or actual costs)</t>
  </si>
  <si>
    <t>Total Consultants:</t>
  </si>
  <si>
    <t>Travel</t>
  </si>
  <si>
    <t>Airfare</t>
  </si>
  <si>
    <t>Lodging</t>
  </si>
  <si>
    <t>Lodging Taxes</t>
  </si>
  <si>
    <t>Meals</t>
  </si>
  <si>
    <t>Parking</t>
  </si>
  <si>
    <t>Rental Car</t>
  </si>
  <si>
    <t>Taxi</t>
  </si>
  <si>
    <t>Other</t>
  </si>
  <si>
    <t>Mileage</t>
  </si>
  <si>
    <t>Total Travel:</t>
  </si>
  <si>
    <t>Other Direct Costs</t>
  </si>
  <si>
    <t>Computers/Equipment</t>
  </si>
  <si>
    <t>Computer Software</t>
  </si>
  <si>
    <t>Printing</t>
  </si>
  <si>
    <t>Training</t>
  </si>
  <si>
    <t>Other Direct  Costs</t>
  </si>
  <si>
    <t>Total Other Direct Costs:</t>
  </si>
  <si>
    <t>Indirect Costs</t>
  </si>
  <si>
    <t>Section 4 Totals:</t>
  </si>
  <si>
    <t>Match Totals:</t>
  </si>
  <si>
    <t>Project/Program Totals:</t>
  </si>
  <si>
    <t>City,  State, Zip:</t>
  </si>
  <si>
    <t>Address:</t>
  </si>
  <si>
    <t>Grantee Name:</t>
  </si>
  <si>
    <t>Grant Number:</t>
  </si>
  <si>
    <t>Contact  Name:</t>
  </si>
  <si>
    <t>Telephone  Number:</t>
  </si>
  <si>
    <t>e-mail  Address:</t>
  </si>
  <si>
    <t>Account  Name:</t>
  </si>
  <si>
    <t>Account Number:</t>
  </si>
  <si>
    <t>Bank  ABA Number:</t>
  </si>
  <si>
    <t>Bank Name:
(If applicable</t>
  </si>
  <si>
    <t>Period of Performance:</t>
  </si>
  <si>
    <t>through</t>
  </si>
  <si>
    <r>
      <t xml:space="preserve">Beneficiary Name:
</t>
    </r>
    <r>
      <rPr>
        <sz val="12"/>
        <color theme="1"/>
        <rFont val="Calibri"/>
        <family val="2"/>
        <scheme val="minor"/>
      </rPr>
      <t>(if applicable)</t>
    </r>
  </si>
  <si>
    <r>
      <t xml:space="preserve">Billing Period:
</t>
    </r>
    <r>
      <rPr>
        <sz val="12"/>
        <color theme="1"/>
        <rFont val="Calibri"/>
        <family val="2"/>
        <scheme val="minor"/>
      </rPr>
      <t>(should match period of Activity Report)</t>
    </r>
  </si>
  <si>
    <t>Subcontracted Consultants 
(by type)</t>
  </si>
  <si>
    <t>%</t>
  </si>
  <si>
    <t>Modified Budget
Modification #</t>
  </si>
  <si>
    <t>If any changes to your budget are required, please contact your Grant Specialist.</t>
  </si>
  <si>
    <t>&amp;=Master.ENT_GRANT_GRANT_NUMBER</t>
  </si>
  <si>
    <t>&amp;=QueryData.ACCOUNT__R</t>
  </si>
  <si>
    <t>&amp;=QueryData.ACCOUNT_BILLINGSTREET</t>
  </si>
  <si>
    <t>&amp;=Master.ENT_GRANT_GRANT_MANAGER_CONTACT__R</t>
  </si>
  <si>
    <t>&amp;=Master.ENT_GRANT_GRANT_MANAGER_PHONE</t>
  </si>
  <si>
    <t>&amp;=Master.ENT_GRANT_GRANT_MANAGER_EMAIL</t>
  </si>
  <si>
    <t>&amp;=QueryData1_Budget_Details__r.ENT_GCM_BUDGET_DETAILS_POSITION</t>
  </si>
  <si>
    <t>&amp;=QueryData1_Budget_Details__r.ENT_GCM_BUDGET_DETAILS_TOTAL_BUDGETED_COST</t>
  </si>
  <si>
    <t>&amp;=Master.ENT_GRANT_PERIOD_START_DATE</t>
  </si>
  <si>
    <t>&amp;=Master.ENT_GRANT_PERIOD_END_DATE</t>
  </si>
  <si>
    <t>&amp;=QueryData1.ENT_BUDGET_COMPUTERS_EQUIPMENT</t>
  </si>
  <si>
    <t>&amp;=QueryData1.ENT_BUDGET_COMPUTER_SOFTWARE</t>
  </si>
  <si>
    <t>&amp;=QueryData1.ENT_BUDGET_PRINTING</t>
  </si>
  <si>
    <t>&amp;=QueryData1.ENT_BUDGET_TRAINING</t>
  </si>
  <si>
    <t>&amp;=QueryData1.ENT_BUDGET_OTHER_EXPENSES</t>
  </si>
  <si>
    <t>&amp;=QueryData1.ENT_BUDGET_INDIRECT_COSTS</t>
  </si>
  <si>
    <t>&amp;=Master.ENT_GRANT_MATCH_PROPOSED_AMOUNT</t>
  </si>
  <si>
    <t>Field Name</t>
  </si>
  <si>
    <t>Merge Field</t>
  </si>
  <si>
    <t>City:</t>
  </si>
  <si>
    <t>State:</t>
  </si>
  <si>
    <t>Zip:</t>
  </si>
  <si>
    <t>&amp;=QueryData.ACCOUNT_BILLINGSTATE</t>
  </si>
  <si>
    <t>&amp;=QueryData.ACCOUNT_BILLINGCITY</t>
  </si>
  <si>
    <t>&amp;=QueryData.ACCOUNT_BILLINGPOSTALCODE</t>
  </si>
  <si>
    <t>Fields</t>
  </si>
  <si>
    <t>Merge Fields</t>
  </si>
  <si>
    <t>Budget Details Position</t>
  </si>
  <si>
    <t>Budget Details Total Budget Cost</t>
  </si>
  <si>
    <t>&amp;=BudgetedSalaries_Budget_Details__r.ENT_GCM_BUDGET_DETAILS_POSITION</t>
  </si>
  <si>
    <t>&amp;=BudgetedSalaries_Budget_Details__r.ENT_GCM_BUDGET_DETAILS_TOTAL_BUDGETED_COST</t>
  </si>
  <si>
    <t>&amp;=BudgetConsultant_Budget_Details__r.ENT_GCM_BUDGET_DETAILS_CONSULTANT_TYPE</t>
  </si>
  <si>
    <t>&amp;=BudgetConsultant_Budget_Details__r.ENT_GCM_BUDGET_DETAILS_TOTAL_BUDGETED_CONSULTANT_COST</t>
  </si>
  <si>
    <t>&amp;=BudgetTravel_Budget_Details__r.ENT_GCM_BUDGET_DETAILS_TOTAL_BUDGETED_TRAVEL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</si>
</sst>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/d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gray0625">
        <bgColor theme="0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3" fillId="0" borderId="0" xfId="0" applyFont="1" applyAlignment="1" applyProtection="1">
      <alignment horizontal="left" wrapText="1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44" fontId="3" fillId="2" borderId="19" xfId="1" applyFont="1" applyFill="1" applyBorder="1" applyProtection="1">
      <protection locked="0"/>
    </xf>
    <xf numFmtId="44" fontId="4" fillId="0" borderId="13" xfId="1" applyFont="1" applyFill="1" applyBorder="1" applyProtection="1">
      <protection locked="0"/>
    </xf>
    <xf numFmtId="44" fontId="4" fillId="0" borderId="8" xfId="1" applyFont="1" applyFill="1" applyBorder="1" applyProtection="1">
      <protection locked="0"/>
    </xf>
    <xf numFmtId="44" fontId="3" fillId="0" borderId="31" xfId="0" applyNumberFormat="1" applyFont="1" applyFill="1" applyBorder="1" applyProtection="1">
      <protection locked="0"/>
    </xf>
    <xf numFmtId="0" fontId="3" fillId="2" borderId="36" xfId="0" applyFont="1" applyFill="1" applyBorder="1" applyAlignment="1" applyProtection="1">
      <alignment horizontal="right"/>
      <protection locked="0"/>
    </xf>
    <xf numFmtId="0" fontId="3" fillId="2" borderId="1" xfId="0" applyFont="1" applyFill="1" applyBorder="1" applyAlignment="1" applyProtection="1">
      <alignment horizontal="right"/>
      <protection locked="0"/>
    </xf>
    <xf numFmtId="44" fontId="3" fillId="0" borderId="16" xfId="1" applyFont="1" applyFill="1" applyBorder="1" applyProtection="1">
      <protection locked="0"/>
    </xf>
    <xf numFmtId="0" fontId="4" fillId="2" borderId="36" xfId="0" applyFont="1" applyFill="1" applyBorder="1" applyProtection="1">
      <protection locked="0"/>
    </xf>
    <xf numFmtId="44" fontId="6" fillId="0" borderId="13" xfId="1" applyFont="1" applyFill="1" applyBorder="1" applyProtection="1">
      <protection locked="0"/>
    </xf>
    <xf numFmtId="44" fontId="6" fillId="0" borderId="8" xfId="1" applyFont="1" applyFill="1" applyBorder="1" applyProtection="1">
      <protection locked="0"/>
    </xf>
    <xf numFmtId="44" fontId="7" fillId="0" borderId="31" xfId="1" applyFont="1" applyFill="1" applyBorder="1" applyProtection="1">
      <protection locked="0"/>
    </xf>
    <xf numFmtId="44" fontId="4" fillId="0" borderId="43" xfId="1" applyFont="1" applyFill="1" applyBorder="1" applyProtection="1">
      <protection locked="0"/>
    </xf>
    <xf numFmtId="44" fontId="4" fillId="0" borderId="2" xfId="1" applyFont="1" applyFill="1" applyBorder="1" applyProtection="1">
      <protection locked="0"/>
    </xf>
    <xf numFmtId="44" fontId="3" fillId="0" borderId="11" xfId="1" applyFont="1" applyFill="1" applyBorder="1" applyProtection="1">
      <protection locked="0"/>
    </xf>
    <xf numFmtId="44" fontId="3" fillId="0" borderId="0" xfId="1" applyFont="1" applyProtection="1">
      <protection locked="0"/>
    </xf>
    <xf numFmtId="0" fontId="3" fillId="2" borderId="28" xfId="0" applyFont="1" applyFill="1" applyBorder="1" applyProtection="1">
      <protection locked="0"/>
    </xf>
    <xf numFmtId="44" fontId="3" fillId="0" borderId="31" xfId="1" applyFont="1" applyFill="1" applyBorder="1" applyProtection="1">
      <protection locked="0"/>
    </xf>
    <xf numFmtId="44" fontId="8" fillId="0" borderId="16" xfId="1" applyFont="1" applyFill="1" applyBorder="1" applyProtection="1">
      <protection locked="0"/>
    </xf>
    <xf numFmtId="0" fontId="8" fillId="0" borderId="0" xfId="0" applyFont="1" applyProtection="1">
      <protection locked="0"/>
    </xf>
    <xf numFmtId="0" fontId="4" fillId="3" borderId="36" xfId="0" applyFont="1" applyFill="1" applyBorder="1" applyProtection="1">
      <protection locked="0"/>
    </xf>
    <xf numFmtId="44" fontId="3" fillId="0" borderId="27" xfId="0" applyNumberFormat="1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44" fontId="3" fillId="2" borderId="1" xfId="0" applyNumberFormat="1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1" xfId="1" applyFont="1" applyFill="1" applyBorder="1" applyProtection="1">
      <protection locked="0"/>
    </xf>
    <xf numFmtId="0" fontId="4" fillId="2" borderId="33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0" fontId="4" fillId="2" borderId="29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2" borderId="33" xfId="0" applyFont="1" applyFill="1" applyBorder="1" applyProtection="1">
      <protection locked="0"/>
    </xf>
    <xf numFmtId="0" fontId="4" fillId="2" borderId="40" xfId="0" applyFont="1" applyFill="1" applyBorder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41" xfId="0" applyFont="1" applyFill="1" applyBorder="1" applyProtection="1">
      <protection locked="0"/>
    </xf>
    <xf numFmtId="44" fontId="3" fillId="2" borderId="33" xfId="0" applyNumberFormat="1" applyFont="1" applyFill="1" applyBorder="1" applyProtection="1">
      <protection locked="0"/>
    </xf>
    <xf numFmtId="44" fontId="3" fillId="2" borderId="40" xfId="0" applyNumberFormat="1" applyFont="1" applyFill="1" applyBorder="1" applyProtection="1">
      <protection locked="0"/>
    </xf>
    <xf numFmtId="0" fontId="4" fillId="2" borderId="0" xfId="0" applyFont="1" applyFill="1" applyBorder="1" applyProtection="1">
      <protection locked="0"/>
    </xf>
    <xf numFmtId="0" fontId="4" fillId="2" borderId="41" xfId="0" applyFont="1" applyFill="1" applyBorder="1" applyProtection="1">
      <protection locked="0"/>
    </xf>
    <xf numFmtId="44" fontId="6" fillId="4" borderId="43" xfId="1" applyFont="1" applyFill="1" applyBorder="1" applyProtection="1">
      <protection locked="0"/>
    </xf>
    <xf numFmtId="44" fontId="6" fillId="4" borderId="46" xfId="1" applyFont="1" applyFill="1" applyBorder="1" applyProtection="1">
      <protection locked="0"/>
    </xf>
    <xf numFmtId="44" fontId="6" fillId="4" borderId="8" xfId="1" applyFont="1" applyFill="1" applyBorder="1" applyProtection="1">
      <protection locked="0"/>
    </xf>
    <xf numFmtId="44" fontId="6" fillId="4" borderId="9" xfId="1" applyFont="1" applyFill="1" applyBorder="1" applyProtection="1">
      <protection locked="0"/>
    </xf>
    <xf numFmtId="44" fontId="4" fillId="2" borderId="33" xfId="1" applyFont="1" applyFill="1" applyBorder="1" applyProtection="1">
      <protection locked="0"/>
    </xf>
    <xf numFmtId="44" fontId="4" fillId="2" borderId="40" xfId="1" applyFont="1" applyFill="1" applyBorder="1" applyProtection="1">
      <protection locked="0"/>
    </xf>
    <xf numFmtId="44" fontId="4" fillId="4" borderId="43" xfId="1" applyFont="1" applyFill="1" applyBorder="1" applyProtection="1">
      <protection locked="0"/>
    </xf>
    <xf numFmtId="44" fontId="4" fillId="4" borderId="46" xfId="1" applyFont="1" applyFill="1" applyBorder="1" applyProtection="1">
      <protection locked="0"/>
    </xf>
    <xf numFmtId="44" fontId="4" fillId="4" borderId="6" xfId="1" applyFont="1" applyFill="1" applyBorder="1" applyProtection="1">
      <protection locked="0"/>
    </xf>
    <xf numFmtId="44" fontId="4" fillId="4" borderId="47" xfId="1" applyFont="1" applyFill="1" applyBorder="1" applyProtection="1"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4" fillId="2" borderId="29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44" fontId="4" fillId="2" borderId="37" xfId="1" applyFont="1" applyFill="1" applyBorder="1" applyProtection="1">
      <protection locked="0"/>
    </xf>
    <xf numFmtId="44" fontId="4" fillId="2" borderId="41" xfId="1" applyFont="1" applyFill="1" applyBorder="1" applyProtection="1">
      <protection locked="0"/>
    </xf>
    <xf numFmtId="44" fontId="4" fillId="2" borderId="28" xfId="1" applyFont="1" applyFill="1" applyBorder="1" applyProtection="1">
      <protection locked="0"/>
    </xf>
    <xf numFmtId="44" fontId="4" fillId="2" borderId="39" xfId="1" applyFont="1" applyFill="1" applyBorder="1" applyProtection="1">
      <protection locked="0"/>
    </xf>
    <xf numFmtId="44" fontId="4" fillId="0" borderId="24" xfId="1" applyFont="1" applyBorder="1" applyProtection="1">
      <protection locked="0"/>
    </xf>
    <xf numFmtId="44" fontId="4" fillId="0" borderId="14" xfId="1" applyFont="1" applyBorder="1" applyProtection="1"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44" fontId="6" fillId="0" borderId="21" xfId="1" applyFont="1" applyFill="1" applyBorder="1" applyProtection="1">
      <protection locked="0"/>
    </xf>
    <xf numFmtId="44" fontId="6" fillId="0" borderId="20" xfId="1" applyFont="1" applyFill="1" applyBorder="1" applyProtection="1">
      <protection locked="0"/>
    </xf>
    <xf numFmtId="44" fontId="6" fillId="0" borderId="18" xfId="1" applyFont="1" applyFill="1" applyBorder="1" applyProtection="1">
      <protection locked="0"/>
    </xf>
    <xf numFmtId="44" fontId="6" fillId="0" borderId="17" xfId="1" applyFont="1" applyFill="1" applyBorder="1" applyProtection="1">
      <protection locked="0"/>
    </xf>
    <xf numFmtId="44" fontId="7" fillId="0" borderId="19" xfId="1" applyFont="1" applyFill="1" applyBorder="1" applyProtection="1">
      <protection locked="0"/>
    </xf>
    <xf numFmtId="44" fontId="7" fillId="0" borderId="45" xfId="1" applyFont="1" applyFill="1" applyBorder="1" applyProtection="1">
      <protection locked="0"/>
    </xf>
    <xf numFmtId="44" fontId="3" fillId="0" borderId="19" xfId="0" applyNumberFormat="1" applyFont="1" applyFill="1" applyBorder="1" applyProtection="1">
      <protection locked="0"/>
    </xf>
    <xf numFmtId="44" fontId="3" fillId="0" borderId="45" xfId="0" applyNumberFormat="1" applyFont="1" applyFill="1" applyBorder="1" applyProtection="1">
      <protection locked="0"/>
    </xf>
    <xf numFmtId="44" fontId="3" fillId="0" borderId="19" xfId="1" applyFont="1" applyFill="1" applyBorder="1" applyProtection="1">
      <protection locked="0"/>
    </xf>
    <xf numFmtId="44" fontId="3" fillId="0" borderId="45" xfId="1" applyFont="1" applyFill="1" applyBorder="1" applyProtection="1">
      <protection locked="0"/>
    </xf>
    <xf numFmtId="44" fontId="8" fillId="0" borderId="19" xfId="1" applyFont="1" applyFill="1" applyBorder="1" applyProtection="1">
      <protection locked="0"/>
    </xf>
    <xf numFmtId="44" fontId="8" fillId="0" borderId="45" xfId="1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44" fontId="4" fillId="0" borderId="21" xfId="1" applyFont="1" applyFill="1" applyBorder="1" applyProtection="1">
      <protection locked="0"/>
    </xf>
    <xf numFmtId="44" fontId="4" fillId="0" borderId="20" xfId="1" applyFont="1" applyFill="1" applyBorder="1" applyProtection="1">
      <protection locked="0"/>
    </xf>
    <xf numFmtId="44" fontId="4" fillId="0" borderId="22" xfId="1" applyFont="1" applyFill="1" applyBorder="1" applyProtection="1">
      <protection locked="0"/>
    </xf>
    <xf numFmtId="44" fontId="4" fillId="0" borderId="14" xfId="1" applyFont="1" applyFill="1" applyBorder="1" applyProtection="1">
      <protection locked="0"/>
    </xf>
    <xf numFmtId="44" fontId="4" fillId="0" borderId="18" xfId="1" applyFont="1" applyFill="1" applyBorder="1" applyProtection="1">
      <protection locked="0"/>
    </xf>
    <xf numFmtId="44" fontId="4" fillId="0" borderId="17" xfId="1" applyFont="1" applyFill="1" applyBorder="1" applyProtection="1">
      <protection locked="0"/>
    </xf>
    <xf numFmtId="44" fontId="4" fillId="0" borderId="25" xfId="1" applyFont="1" applyBorder="1" applyProtection="1">
      <protection locked="0"/>
    </xf>
    <xf numFmtId="44" fontId="4" fillId="0" borderId="17" xfId="1" applyFont="1" applyBorder="1" applyProtection="1">
      <protection locked="0"/>
    </xf>
    <xf numFmtId="44" fontId="3" fillId="0" borderId="19" xfId="1" applyFont="1" applyBorder="1" applyProtection="1">
      <protection locked="0"/>
    </xf>
    <xf numFmtId="44" fontId="3" fillId="0" borderId="45" xfId="1" applyFont="1" applyBorder="1" applyProtection="1">
      <protection locked="0"/>
    </xf>
    <xf numFmtId="44" fontId="4" fillId="0" borderId="23" xfId="1" applyFont="1" applyBorder="1" applyProtection="1">
      <protection locked="0"/>
    </xf>
    <xf numFmtId="44" fontId="4" fillId="0" borderId="20" xfId="1" applyFont="1" applyBorder="1" applyProtection="1">
      <protection locked="0"/>
    </xf>
    <xf numFmtId="44" fontId="4" fillId="2" borderId="1" xfId="1" applyFont="1" applyFill="1" applyBorder="1" applyProtection="1">
      <protection locked="0"/>
    </xf>
    <xf numFmtId="44" fontId="3" fillId="2" borderId="1" xfId="0" applyNumberFormat="1" applyFont="1" applyFill="1" applyBorder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44" fontId="3" fillId="2" borderId="1" xfId="1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0" fontId="9" fillId="4" borderId="0" xfId="0" applyFont="1" applyFill="1" applyProtection="1"/>
    <xf numFmtId="164" fontId="9" fillId="4" borderId="0" xfId="0" applyNumberFormat="1" applyFont="1" applyFill="1" applyAlignment="1" applyProtection="1">
      <alignment horizontal="center"/>
    </xf>
    <xf numFmtId="164" fontId="9" fillId="4" borderId="0" xfId="0" applyNumberFormat="1" applyFont="1" applyFill="1" applyAlignment="1" applyProtection="1">
      <alignment horizontal="center"/>
    </xf>
    <xf numFmtId="44" fontId="10" fillId="4" borderId="31" xfId="1" applyFont="1" applyFill="1" applyBorder="1" applyProtection="1"/>
    <xf numFmtId="44" fontId="9" fillId="4" borderId="13" xfId="1" applyFont="1" applyFill="1" applyBorder="1" applyProtection="1"/>
    <xf numFmtId="44" fontId="9" fillId="4" borderId="2" xfId="1" applyFont="1" applyFill="1" applyBorder="1" applyProtection="1"/>
    <xf numFmtId="44" fontId="9" fillId="4" borderId="8" xfId="1" applyFont="1" applyFill="1" applyBorder="1" applyAlignment="1" applyProtection="1"/>
    <xf numFmtId="44" fontId="10" fillId="4" borderId="16" xfId="1" applyFont="1" applyFill="1" applyBorder="1" applyProtection="1"/>
    <xf numFmtId="0" fontId="3" fillId="4" borderId="0" xfId="0" applyFont="1" applyFill="1" applyProtection="1"/>
    <xf numFmtId="0" fontId="7" fillId="4" borderId="0" xfId="0" applyFont="1" applyFill="1" applyAlignment="1" applyProtection="1">
      <alignment horizontal="center"/>
    </xf>
    <xf numFmtId="0" fontId="3" fillId="4" borderId="30" xfId="0" applyFont="1" applyFill="1" applyBorder="1" applyAlignment="1" applyProtection="1">
      <alignment horizontal="center"/>
    </xf>
    <xf numFmtId="0" fontId="3" fillId="4" borderId="31" xfId="0" applyFont="1" applyFill="1" applyBorder="1" applyAlignment="1" applyProtection="1">
      <alignment horizontal="center"/>
    </xf>
    <xf numFmtId="0" fontId="3" fillId="4" borderId="31" xfId="0" applyFont="1" applyFill="1" applyBorder="1" applyAlignment="1" applyProtection="1">
      <alignment horizontal="center" vertical="center"/>
    </xf>
    <xf numFmtId="0" fontId="3" fillId="4" borderId="19" xfId="0" applyFont="1" applyFill="1" applyBorder="1" applyAlignment="1" applyProtection="1">
      <alignment horizontal="center" vertical="center" wrapText="1"/>
    </xf>
    <xf numFmtId="0" fontId="3" fillId="4" borderId="45" xfId="0" applyFont="1" applyFill="1" applyBorder="1" applyAlignment="1" applyProtection="1">
      <alignment horizontal="center" vertical="center"/>
    </xf>
    <xf numFmtId="0" fontId="3" fillId="4" borderId="19" xfId="0" applyFont="1" applyFill="1" applyBorder="1" applyAlignment="1" applyProtection="1">
      <alignment horizontal="center" vertical="center"/>
    </xf>
    <xf numFmtId="0" fontId="3" fillId="4" borderId="32" xfId="0" applyFont="1" applyFill="1" applyBorder="1" applyAlignment="1" applyProtection="1">
      <alignment horizontal="center" vertical="center" wrapText="1"/>
    </xf>
    <xf numFmtId="0" fontId="3" fillId="4" borderId="31" xfId="0" applyFont="1" applyFill="1" applyBorder="1" applyAlignment="1" applyProtection="1">
      <alignment horizontal="center" vertical="center"/>
    </xf>
    <xf numFmtId="0" fontId="3" fillId="4" borderId="3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wrapText="1"/>
    </xf>
    <xf numFmtId="0" fontId="3" fillId="4" borderId="16" xfId="0" applyFont="1" applyFill="1" applyBorder="1" applyAlignment="1" applyProtection="1">
      <alignment horizontal="center" wrapText="1"/>
    </xf>
    <xf numFmtId="44" fontId="3" fillId="4" borderId="16" xfId="1" applyFont="1" applyFill="1" applyBorder="1" applyProtection="1"/>
    <xf numFmtId="44" fontId="3" fillId="4" borderId="19" xfId="1" applyFont="1" applyFill="1" applyBorder="1" applyProtection="1"/>
    <xf numFmtId="44" fontId="3" fillId="4" borderId="45" xfId="1" applyFont="1" applyFill="1" applyBorder="1" applyProtection="1"/>
    <xf numFmtId="44" fontId="3" fillId="4" borderId="31" xfId="1" applyFont="1" applyFill="1" applyBorder="1" applyProtection="1"/>
    <xf numFmtId="44" fontId="3" fillId="4" borderId="34" xfId="1" applyFont="1" applyFill="1" applyBorder="1" applyProtection="1"/>
    <xf numFmtId="44" fontId="7" fillId="4" borderId="19" xfId="1" applyFont="1" applyFill="1" applyBorder="1" applyProtection="1"/>
    <xf numFmtId="44" fontId="7" fillId="4" borderId="45" xfId="1" applyFont="1" applyFill="1" applyBorder="1" applyProtection="1"/>
    <xf numFmtId="44" fontId="3" fillId="4" borderId="16" xfId="1" applyFont="1" applyFill="1" applyBorder="1" applyProtection="1"/>
    <xf numFmtId="44" fontId="3" fillId="4" borderId="38" xfId="1" applyFont="1" applyFill="1" applyBorder="1" applyProtection="1"/>
    <xf numFmtId="0" fontId="9" fillId="4" borderId="12" xfId="0" applyFont="1" applyFill="1" applyBorder="1" applyAlignment="1" applyProtection="1">
      <alignment horizontal="center" wrapText="1"/>
    </xf>
    <xf numFmtId="0" fontId="9" fillId="4" borderId="13" xfId="0" applyFont="1" applyFill="1" applyBorder="1" applyAlignment="1" applyProtection="1">
      <alignment horizontal="center" wrapText="1"/>
    </xf>
    <xf numFmtId="0" fontId="3" fillId="4" borderId="26" xfId="0" applyFont="1" applyFill="1" applyBorder="1" applyAlignment="1" applyProtection="1">
      <alignment horizontal="center"/>
    </xf>
    <xf numFmtId="0" fontId="3" fillId="4" borderId="28" xfId="0" applyFont="1" applyFill="1" applyBorder="1" applyAlignment="1" applyProtection="1">
      <alignment horizontal="center"/>
    </xf>
    <xf numFmtId="0" fontId="4" fillId="4" borderId="42" xfId="0" applyFont="1" applyFill="1" applyBorder="1" applyProtection="1"/>
    <xf numFmtId="0" fontId="4" fillId="4" borderId="35" xfId="0" applyFont="1" applyFill="1" applyBorder="1" applyProtection="1"/>
    <xf numFmtId="0" fontId="4" fillId="4" borderId="3" xfId="0" applyFont="1" applyFill="1" applyBorder="1" applyProtection="1"/>
    <xf numFmtId="0" fontId="4" fillId="4" borderId="2" xfId="0" applyFont="1" applyFill="1" applyBorder="1" applyProtection="1"/>
    <xf numFmtId="0" fontId="4" fillId="4" borderId="7" xfId="0" applyFont="1" applyFill="1" applyBorder="1" applyProtection="1"/>
    <xf numFmtId="0" fontId="4" fillId="4" borderId="8" xfId="0" applyFont="1" applyFill="1" applyBorder="1" applyProtection="1"/>
    <xf numFmtId="0" fontId="3" fillId="4" borderId="30" xfId="0" applyFont="1" applyFill="1" applyBorder="1" applyAlignment="1" applyProtection="1">
      <alignment horizontal="right"/>
    </xf>
    <xf numFmtId="0" fontId="3" fillId="4" borderId="31" xfId="0" applyFont="1" applyFill="1" applyBorder="1" applyAlignment="1" applyProtection="1">
      <alignment horizontal="right"/>
    </xf>
    <xf numFmtId="44" fontId="6" fillId="4" borderId="21" xfId="1" applyFont="1" applyFill="1" applyBorder="1" applyProtection="1"/>
    <xf numFmtId="44" fontId="6" fillId="4" borderId="20" xfId="1" applyFont="1" applyFill="1" applyBorder="1" applyProtection="1"/>
    <xf numFmtId="44" fontId="6" fillId="4" borderId="22" xfId="1" applyFont="1" applyFill="1" applyBorder="1" applyProtection="1"/>
    <xf numFmtId="44" fontId="6" fillId="4" borderId="14" xfId="1" applyFont="1" applyFill="1" applyBorder="1" applyProtection="1"/>
    <xf numFmtId="44" fontId="6" fillId="4" borderId="18" xfId="1" applyFont="1" applyFill="1" applyBorder="1" applyProtection="1"/>
    <xf numFmtId="44" fontId="6" fillId="4" borderId="17" xfId="1" applyFont="1" applyFill="1" applyBorder="1" applyProtection="1"/>
    <xf numFmtId="44" fontId="4" fillId="4" borderId="43" xfId="1" applyFont="1" applyFill="1" applyBorder="1" applyProtection="1"/>
    <xf numFmtId="44" fontId="4" fillId="4" borderId="46" xfId="1" applyFont="1" applyFill="1" applyBorder="1" applyProtection="1"/>
    <xf numFmtId="44" fontId="4" fillId="4" borderId="2" xfId="1" applyFont="1" applyFill="1" applyBorder="1" applyProtection="1"/>
    <xf numFmtId="44" fontId="4" fillId="4" borderId="4" xfId="1" applyFont="1" applyFill="1" applyBorder="1" applyProtection="1"/>
    <xf numFmtId="44" fontId="4" fillId="4" borderId="8" xfId="1" applyFont="1" applyFill="1" applyBorder="1" applyProtection="1"/>
    <xf numFmtId="44" fontId="4" fillId="4" borderId="9" xfId="1" applyFont="1" applyFill="1" applyBorder="1" applyProtection="1"/>
    <xf numFmtId="0" fontId="3" fillId="4" borderId="15" xfId="0" applyFont="1" applyFill="1" applyBorder="1" applyAlignment="1" applyProtection="1"/>
    <xf numFmtId="9" fontId="3" fillId="4" borderId="16" xfId="3" applyFont="1" applyFill="1" applyBorder="1" applyAlignment="1" applyProtection="1">
      <alignment horizontal="right"/>
    </xf>
    <xf numFmtId="44" fontId="4" fillId="4" borderId="31" xfId="1" applyFont="1" applyFill="1" applyBorder="1" applyProtection="1"/>
    <xf numFmtId="44" fontId="4" fillId="4" borderId="34" xfId="1" applyFont="1" applyFill="1" applyBorder="1" applyProtection="1"/>
    <xf numFmtId="0" fontId="8" fillId="4" borderId="15" xfId="0" applyFont="1" applyFill="1" applyBorder="1" applyAlignment="1" applyProtection="1">
      <alignment horizontal="right"/>
    </xf>
    <xf numFmtId="0" fontId="8" fillId="4" borderId="16" xfId="0" applyFont="1" applyFill="1" applyBorder="1" applyAlignment="1" applyProtection="1">
      <alignment horizontal="right"/>
    </xf>
    <xf numFmtId="44" fontId="8" fillId="4" borderId="16" xfId="1" applyFont="1" applyFill="1" applyBorder="1" applyProtection="1"/>
    <xf numFmtId="44" fontId="8" fillId="4" borderId="19" xfId="1" applyFont="1" applyFill="1" applyBorder="1" applyProtection="1"/>
    <xf numFmtId="44" fontId="8" fillId="4" borderId="45" xfId="1" applyFont="1" applyFill="1" applyBorder="1" applyProtection="1"/>
    <xf numFmtId="44" fontId="8" fillId="4" borderId="11" xfId="1" applyFont="1" applyFill="1" applyBorder="1" applyProtection="1"/>
    <xf numFmtId="44" fontId="8" fillId="4" borderId="48" xfId="1" applyFont="1" applyFill="1" applyBorder="1" applyProtection="1"/>
    <xf numFmtId="0" fontId="3" fillId="4" borderId="15" xfId="0" applyFont="1" applyFill="1" applyBorder="1" applyAlignment="1" applyProtection="1">
      <alignment horizontal="right"/>
    </xf>
    <xf numFmtId="0" fontId="3" fillId="4" borderId="16" xfId="0" applyFont="1" applyFill="1" applyBorder="1" applyAlignment="1" applyProtection="1">
      <alignment horizontal="right"/>
    </xf>
    <xf numFmtId="44" fontId="3" fillId="4" borderId="11" xfId="1" applyFont="1" applyFill="1" applyBorder="1" applyProtection="1"/>
    <xf numFmtId="44" fontId="3" fillId="4" borderId="48" xfId="1" applyFont="1" applyFill="1" applyBorder="1" applyProtection="1"/>
    <xf numFmtId="0" fontId="3" fillId="4" borderId="26" xfId="0" applyFont="1" applyFill="1" applyBorder="1" applyAlignment="1" applyProtection="1">
      <alignment horizontal="right"/>
    </xf>
    <xf numFmtId="0" fontId="3" fillId="4" borderId="27" xfId="0" applyFont="1" applyFill="1" applyBorder="1" applyAlignment="1" applyProtection="1">
      <alignment horizontal="right"/>
    </xf>
    <xf numFmtId="44" fontId="3" fillId="4" borderId="27" xfId="0" applyNumberFormat="1" applyFont="1" applyFill="1" applyBorder="1" applyProtection="1"/>
    <xf numFmtId="44" fontId="3" fillId="4" borderId="19" xfId="0" applyNumberFormat="1" applyFont="1" applyFill="1" applyBorder="1" applyProtection="1"/>
    <xf numFmtId="44" fontId="3" fillId="4" borderId="45" xfId="0" applyNumberFormat="1" applyFont="1" applyFill="1" applyBorder="1" applyProtection="1"/>
    <xf numFmtId="44" fontId="3" fillId="4" borderId="11" xfId="0" applyNumberFormat="1" applyFont="1" applyFill="1" applyBorder="1" applyProtection="1"/>
    <xf numFmtId="44" fontId="3" fillId="4" borderId="48" xfId="0" applyNumberFormat="1" applyFont="1" applyFill="1" applyBorder="1" applyProtection="1"/>
    <xf numFmtId="0" fontId="3" fillId="4" borderId="10" xfId="0" applyFont="1" applyFill="1" applyBorder="1" applyAlignment="1" applyProtection="1">
      <alignment horizontal="center"/>
    </xf>
    <xf numFmtId="0" fontId="3" fillId="4" borderId="11" xfId="0" applyFont="1" applyFill="1" applyBorder="1" applyAlignment="1" applyProtection="1">
      <alignment horizontal="center"/>
    </xf>
    <xf numFmtId="0" fontId="4" fillId="4" borderId="44" xfId="0" applyFont="1" applyFill="1" applyBorder="1" applyProtection="1"/>
    <xf numFmtId="0" fontId="4" fillId="4" borderId="43" xfId="0" applyFont="1" applyFill="1" applyBorder="1" applyProtection="1"/>
    <xf numFmtId="0" fontId="4" fillId="4" borderId="5" xfId="0" applyFont="1" applyFill="1" applyBorder="1" applyProtection="1"/>
    <xf numFmtId="0" fontId="4" fillId="4" borderId="6" xfId="0" applyFont="1" applyFill="1" applyBorder="1" applyProtection="1"/>
    <xf numFmtId="44" fontId="3" fillId="4" borderId="30" xfId="1" applyFont="1" applyFill="1" applyBorder="1" applyAlignment="1" applyProtection="1">
      <alignment horizontal="right"/>
    </xf>
    <xf numFmtId="44" fontId="3" fillId="4" borderId="31" xfId="1" applyFont="1" applyFill="1" applyBorder="1" applyAlignment="1" applyProtection="1">
      <alignment horizontal="right"/>
    </xf>
    <xf numFmtId="44" fontId="3" fillId="4" borderId="31" xfId="1" applyFont="1" applyFill="1" applyBorder="1" applyProtection="1"/>
    <xf numFmtId="0" fontId="3" fillId="4" borderId="19" xfId="0" applyFont="1" applyFill="1" applyBorder="1" applyAlignment="1" applyProtection="1">
      <alignment horizontal="center"/>
    </xf>
    <xf numFmtId="0" fontId="9" fillId="4" borderId="7" xfId="0" applyFont="1" applyFill="1" applyBorder="1" applyAlignment="1" applyProtection="1">
      <alignment horizontal="center" wrapText="1"/>
    </xf>
    <xf numFmtId="0" fontId="9" fillId="4" borderId="8" xfId="0" applyFont="1" applyFill="1" applyBorder="1" applyAlignment="1" applyProtection="1">
      <alignment horizontal="center" wrapText="1"/>
    </xf>
    <xf numFmtId="44" fontId="9" fillId="4" borderId="8" xfId="1" applyFont="1" applyFill="1" applyBorder="1" applyProtection="1"/>
    <xf numFmtId="44" fontId="3" fillId="4" borderId="31" xfId="0" applyNumberFormat="1" applyFont="1" applyFill="1" applyBorder="1" applyProtection="1"/>
    <xf numFmtId="44" fontId="9" fillId="4" borderId="21" xfId="1" applyFont="1" applyFill="1" applyBorder="1" applyProtection="1"/>
    <xf numFmtId="44" fontId="9" fillId="4" borderId="20" xfId="1" applyFont="1" applyFill="1" applyBorder="1" applyProtection="1"/>
    <xf numFmtId="44" fontId="9" fillId="4" borderId="18" xfId="1" applyFont="1" applyFill="1" applyBorder="1" applyProtection="1"/>
    <xf numFmtId="44" fontId="9" fillId="4" borderId="17" xfId="1" applyFont="1" applyFill="1" applyBorder="1" applyProtection="1"/>
    <xf numFmtId="44" fontId="3" fillId="4" borderId="16" xfId="0" applyNumberFormat="1" applyFont="1" applyFill="1" applyBorder="1" applyProtection="1"/>
    <xf numFmtId="44" fontId="3" fillId="4" borderId="38" xfId="0" applyNumberFormat="1" applyFont="1" applyFill="1" applyBorder="1" applyProtection="1"/>
    <xf numFmtId="0" fontId="3" fillId="4" borderId="10" xfId="0" applyFont="1" applyFill="1" applyBorder="1" applyAlignment="1" applyProtection="1">
      <alignment horizontal="center" wrapText="1"/>
    </xf>
    <xf numFmtId="0" fontId="3" fillId="4" borderId="11" xfId="0" applyFont="1" applyFill="1" applyBorder="1" applyAlignment="1" applyProtection="1">
      <alignment horizontal="center" wrapText="1"/>
    </xf>
    <xf numFmtId="0" fontId="7" fillId="4" borderId="30" xfId="0" applyFont="1" applyFill="1" applyBorder="1" applyAlignment="1" applyProtection="1">
      <alignment horizontal="right"/>
    </xf>
    <xf numFmtId="0" fontId="7" fillId="4" borderId="31" xfId="0" applyFont="1" applyFill="1" applyBorder="1" applyAlignment="1" applyProtection="1">
      <alignment horizontal="right"/>
    </xf>
    <xf numFmtId="44" fontId="7" fillId="4" borderId="31" xfId="1" applyFont="1" applyFill="1" applyBorder="1" applyProtection="1"/>
    <xf numFmtId="44" fontId="7" fillId="4" borderId="31" xfId="1" applyFont="1" applyFill="1" applyBorder="1" applyProtection="1"/>
    <xf numFmtId="44" fontId="7" fillId="4" borderId="34" xfId="1" applyFont="1" applyFill="1" applyBorder="1" applyProtection="1"/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190500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7</xdr:col>
          <xdr:colOff>1123950</xdr:colOff>
          <xdr:row>3</xdr:row>
          <xdr:rowOff>161925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0</xdr:rowOff>
        </xdr:from>
        <xdr:to>
          <xdr:col>7</xdr:col>
          <xdr:colOff>1019175</xdr:colOff>
          <xdr:row>4</xdr:row>
          <xdr:rowOff>161925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59"/>
  <sheetViews>
    <sheetView tabSelected="1" topLeftCell="A16" zoomScaleNormal="100" workbookViewId="0">
      <selection activeCell="I19" sqref="I19:J19"/>
    </sheetView>
  </sheetViews>
  <sheetFormatPr defaultColWidth="9.140625" defaultRowHeight="15.75" x14ac:dyDescent="0.25"/>
  <cols>
    <col min="1" max="1" width="21.42578125" style="42" bestFit="1" customWidth="1"/>
    <col min="2" max="2" width="7.42578125" style="42" customWidth="1"/>
    <col min="3" max="3" width="22" style="42" customWidth="1"/>
    <col min="4" max="4" width="13.140625" style="40" customWidth="1"/>
    <col min="5" max="5" width="11.140625" style="40" customWidth="1"/>
    <col min="6" max="6" width="20.7109375" style="40" customWidth="1"/>
    <col min="7" max="7" width="3" style="40" customWidth="1"/>
    <col min="8" max="8" width="20.42578125" style="42" customWidth="1"/>
    <col min="9" max="9" width="12.140625" style="42" customWidth="1"/>
    <col min="10" max="10" width="11.140625" style="42" customWidth="1"/>
    <col min="11" max="16384" width="9.140625" style="42"/>
  </cols>
  <sheetData>
    <row r="1" spans="1:10" x14ac:dyDescent="0.25">
      <c r="G1" s="42"/>
    </row>
    <row r="2" spans="1:10" x14ac:dyDescent="0.25">
      <c r="G2" s="42"/>
    </row>
    <row r="3" spans="1:10" x14ac:dyDescent="0.25">
      <c r="G3" s="42"/>
    </row>
    <row r="4" spans="1:10" x14ac:dyDescent="0.25">
      <c r="G4" s="42"/>
    </row>
    <row r="5" spans="1:10" x14ac:dyDescent="0.25">
      <c r="B5" s="77"/>
      <c r="C5" s="77"/>
      <c r="D5" s="77"/>
      <c r="E5" s="77"/>
      <c r="G5" s="42"/>
    </row>
    <row r="6" spans="1:10" ht="15.75" customHeight="1" x14ac:dyDescent="0.25">
      <c r="A6" s="125" t="s">
        <v>33</v>
      </c>
      <c r="B6" s="117" t="str">
        <f>VLOOKUP(A6,'Grant Details'!$A$2:$B$13,2,0)</f>
        <v>&amp;=Master.ENT_GRANT_GRANT_NUMBER</v>
      </c>
      <c r="C6" s="117"/>
      <c r="D6" s="117"/>
      <c r="E6" s="117"/>
      <c r="F6" s="1" t="s">
        <v>40</v>
      </c>
      <c r="G6" s="78"/>
      <c r="H6" s="78"/>
      <c r="I6" s="73"/>
      <c r="J6" s="73"/>
    </row>
    <row r="7" spans="1:10" ht="15.75" customHeight="1" x14ac:dyDescent="0.25">
      <c r="A7" s="125" t="s">
        <v>32</v>
      </c>
      <c r="B7" s="117" t="str">
        <f>VLOOKUP(A7,'Grant Details'!$A$2:$B$13,2,0)</f>
        <v>&amp;=QueryData.ACCOUNT__R</v>
      </c>
      <c r="C7" s="117"/>
      <c r="D7" s="117"/>
      <c r="E7" s="117"/>
      <c r="F7" s="1" t="s">
        <v>43</v>
      </c>
      <c r="G7" s="78"/>
      <c r="H7" s="78"/>
      <c r="I7" s="76"/>
      <c r="J7" s="76"/>
    </row>
    <row r="8" spans="1:10" ht="15.6" customHeight="1" x14ac:dyDescent="0.25">
      <c r="A8" s="125" t="s">
        <v>31</v>
      </c>
      <c r="B8" s="117" t="str">
        <f>VLOOKUP(A8,'Grant Details'!$A$2:$B$13,2,0)</f>
        <v>&amp;=QueryData.ACCOUNT_BILLINGSTREET</v>
      </c>
      <c r="C8" s="117"/>
      <c r="D8" s="117"/>
      <c r="E8" s="117"/>
      <c r="F8" s="1"/>
      <c r="G8" s="43"/>
      <c r="I8" s="76"/>
      <c r="J8" s="76"/>
    </row>
    <row r="9" spans="1:10" x14ac:dyDescent="0.25">
      <c r="A9" s="125" t="s">
        <v>30</v>
      </c>
      <c r="B9" s="117" t="str">
        <f>VLOOKUP(A9,'Grant Details'!$A$2:$B$13,2,0)</f>
        <v>&amp;=QueryData.ACCOUNT_BILLINGCITY, &amp;=QueryData.ACCOUNT_BILLINGSTATE, &amp;=QueryData.ACCOUNT_BILLINGPOSTALCODE</v>
      </c>
      <c r="C9" s="117"/>
      <c r="D9" s="117"/>
      <c r="E9" s="117"/>
      <c r="F9" s="41" t="s">
        <v>37</v>
      </c>
      <c r="G9" s="106"/>
      <c r="H9" s="106"/>
      <c r="I9" s="74"/>
      <c r="J9" s="74"/>
    </row>
    <row r="10" spans="1:10" x14ac:dyDescent="0.25">
      <c r="A10" s="125" t="s">
        <v>34</v>
      </c>
      <c r="B10" s="117" t="str">
        <f>VLOOKUP(A10,'Grant Details'!$A$2:$B$13,2,0)</f>
        <v>&amp;=Master.ENT_GRANT_GRANT_MANAGER_CONTACT__R</v>
      </c>
      <c r="C10" s="117"/>
      <c r="D10" s="117"/>
      <c r="E10" s="117"/>
      <c r="F10" s="41" t="s">
        <v>38</v>
      </c>
      <c r="G10" s="107"/>
      <c r="H10" s="107"/>
      <c r="I10" s="75"/>
      <c r="J10" s="75"/>
    </row>
    <row r="11" spans="1:10" x14ac:dyDescent="0.25">
      <c r="A11" s="125" t="s">
        <v>35</v>
      </c>
      <c r="B11" s="117" t="str">
        <f>VLOOKUP(A11,'Grant Details'!$A$2:$B$13,2,0)</f>
        <v>&amp;=Master.ENT_GRANT_GRANT_MANAGER_PHONE</v>
      </c>
      <c r="C11" s="117"/>
      <c r="D11" s="117"/>
      <c r="E11" s="117"/>
      <c r="F11" s="41" t="s">
        <v>39</v>
      </c>
      <c r="G11" s="108"/>
      <c r="H11" s="108"/>
    </row>
    <row r="12" spans="1:10" x14ac:dyDescent="0.25">
      <c r="A12" s="125" t="s">
        <v>36</v>
      </c>
      <c r="B12" s="117" t="str">
        <f>VLOOKUP(A12,'Grant Details'!$A$2:$B$13,2,0)</f>
        <v>&amp;=Master.ENT_GRANT_GRANT_MANAGER_EMAIL</v>
      </c>
      <c r="C12" s="117"/>
      <c r="D12" s="117"/>
      <c r="E12" s="117"/>
      <c r="F12" s="42"/>
      <c r="G12" s="2"/>
      <c r="H12" s="2"/>
      <c r="I12" s="2"/>
      <c r="J12" s="2"/>
    </row>
    <row r="13" spans="1:10" x14ac:dyDescent="0.25">
      <c r="G13" s="2"/>
      <c r="H13" s="2"/>
      <c r="I13" s="2"/>
    </row>
    <row r="14" spans="1:10" x14ac:dyDescent="0.25">
      <c r="A14" s="126" t="s">
        <v>41</v>
      </c>
      <c r="B14" s="126"/>
      <c r="C14" s="126"/>
      <c r="D14" s="118" t="str">
        <f>VLOOKUP(A14,'Grant Details'!$A$2:$B$13,2,0)</f>
        <v>&amp;=Master.ENT_GRANT_PERIOD_START_DATE</v>
      </c>
      <c r="E14" s="3" t="s">
        <v>42</v>
      </c>
      <c r="F14" s="119" t="str">
        <f>VLOOKUP(E14,'Grant Details'!$A$2:$B$13,2,0)</f>
        <v>&amp;=Master.ENT_GRANT_PERIOD_END_DATE</v>
      </c>
      <c r="G14" s="119" t="e">
        <f>VLOOKUP(D14,'Grant Details'!$A$2:$B$13,2,0)</f>
        <v>#N/A</v>
      </c>
      <c r="H14" s="119" t="str">
        <f>VLOOKUP(E14,'Grant Details'!$A$2:$B$13,2,0)</f>
        <v>&amp;=Master.ENT_GRANT_PERIOD_END_DATE</v>
      </c>
      <c r="J14" s="2"/>
    </row>
    <row r="15" spans="1:10" x14ac:dyDescent="0.25">
      <c r="D15" s="42"/>
      <c r="G15" s="2"/>
      <c r="H15" s="2"/>
      <c r="I15" s="2"/>
      <c r="J15" s="2"/>
    </row>
    <row r="16" spans="1:10" ht="45" customHeight="1" x14ac:dyDescent="0.25">
      <c r="A16" s="64" t="s">
        <v>44</v>
      </c>
      <c r="B16" s="64"/>
      <c r="C16" s="64"/>
      <c r="D16" s="44"/>
      <c r="E16" s="32" t="s">
        <v>42</v>
      </c>
      <c r="F16" s="45"/>
      <c r="G16" s="45"/>
      <c r="H16" s="45"/>
      <c r="I16" s="2"/>
    </row>
    <row r="17" spans="1:10" ht="16.5" thickBot="1" x14ac:dyDescent="0.3"/>
    <row r="18" spans="1:10" s="4" customFormat="1" ht="60.75" customHeight="1" thickBot="1" x14ac:dyDescent="0.3">
      <c r="A18" s="127"/>
      <c r="B18" s="128"/>
      <c r="C18" s="129" t="s">
        <v>0</v>
      </c>
      <c r="D18" s="130" t="s">
        <v>47</v>
      </c>
      <c r="E18" s="131"/>
      <c r="F18" s="132" t="s">
        <v>1</v>
      </c>
      <c r="G18" s="131"/>
      <c r="H18" s="133" t="s">
        <v>2</v>
      </c>
      <c r="I18" s="134" t="s">
        <v>3</v>
      </c>
      <c r="J18" s="135"/>
    </row>
    <row r="19" spans="1:10" ht="16.5" thickBot="1" x14ac:dyDescent="0.3">
      <c r="A19" s="193" t="s">
        <v>5</v>
      </c>
      <c r="B19" s="202"/>
      <c r="C19" s="5"/>
      <c r="D19" s="109"/>
      <c r="E19" s="109"/>
      <c r="F19" s="104"/>
      <c r="G19" s="104"/>
      <c r="H19" s="35"/>
      <c r="I19" s="58"/>
      <c r="J19" s="59"/>
    </row>
    <row r="20" spans="1:10" x14ac:dyDescent="0.25">
      <c r="A20" s="147" t="s">
        <v>78</v>
      </c>
      <c r="B20" s="148"/>
      <c r="C20" s="121" t="s">
        <v>79</v>
      </c>
      <c r="D20" s="207"/>
      <c r="E20" s="208"/>
      <c r="F20" s="92"/>
      <c r="G20" s="93"/>
      <c r="H20" s="6"/>
      <c r="I20" s="60" t="e">
        <f t="shared" ref="I20:J20" si="0">C20-F20-H20</f>
        <v>#VALUE!</v>
      </c>
      <c r="J20" s="61"/>
    </row>
    <row r="21" spans="1:10" ht="16.5" thickBot="1" x14ac:dyDescent="0.3">
      <c r="A21" s="203"/>
      <c r="B21" s="204"/>
      <c r="C21" s="205"/>
      <c r="D21" s="209"/>
      <c r="E21" s="210"/>
      <c r="F21" s="96"/>
      <c r="G21" s="97"/>
      <c r="H21" s="7"/>
      <c r="I21" s="62">
        <f>C21-F21-H21</f>
        <v>0</v>
      </c>
      <c r="J21" s="63"/>
    </row>
    <row r="22" spans="1:10" s="40" customFormat="1" ht="16.5" thickBot="1" x14ac:dyDescent="0.3">
      <c r="A22" s="157" t="s">
        <v>4</v>
      </c>
      <c r="B22" s="158"/>
      <c r="C22" s="206">
        <f>SUM(C20:C21)</f>
        <v>0</v>
      </c>
      <c r="D22" s="189"/>
      <c r="E22" s="190"/>
      <c r="F22" s="85">
        <f>SUM(F20:F21)</f>
        <v>0</v>
      </c>
      <c r="G22" s="86"/>
      <c r="H22" s="8">
        <f>SUM(H20:H21)</f>
        <v>0</v>
      </c>
      <c r="I22" s="211" t="e">
        <f>SUM(I20:I21)</f>
        <v>#VALUE!</v>
      </c>
      <c r="J22" s="212"/>
    </row>
    <row r="23" spans="1:10" s="40" customFormat="1" ht="16.5" thickBot="1" x14ac:dyDescent="0.3">
      <c r="A23" s="9"/>
      <c r="B23" s="10"/>
      <c r="C23" s="33"/>
      <c r="D23" s="105"/>
      <c r="E23" s="105"/>
      <c r="F23" s="105"/>
      <c r="G23" s="105"/>
      <c r="H23" s="33"/>
      <c r="I23" s="50"/>
      <c r="J23" s="51"/>
    </row>
    <row r="24" spans="1:10" s="40" customFormat="1" ht="50.25" customHeight="1" thickBot="1" x14ac:dyDescent="0.3">
      <c r="A24" s="136" t="s">
        <v>6</v>
      </c>
      <c r="B24" s="137"/>
      <c r="C24" s="138">
        <v>0</v>
      </c>
      <c r="D24" s="139"/>
      <c r="E24" s="140"/>
      <c r="F24" s="87">
        <v>0</v>
      </c>
      <c r="G24" s="88"/>
      <c r="H24" s="11">
        <v>0</v>
      </c>
      <c r="I24" s="141">
        <f>C24-F24-H24</f>
        <v>0</v>
      </c>
      <c r="J24" s="142"/>
    </row>
    <row r="25" spans="1:10" ht="16.5" thickBot="1" x14ac:dyDescent="0.3">
      <c r="A25" s="12"/>
      <c r="B25" s="37"/>
      <c r="C25" s="28"/>
      <c r="D25" s="110"/>
      <c r="E25" s="110"/>
      <c r="F25" s="46"/>
      <c r="G25" s="46"/>
      <c r="H25" s="36"/>
      <c r="I25" s="46"/>
      <c r="J25" s="47"/>
    </row>
    <row r="26" spans="1:10" ht="33" customHeight="1" thickBot="1" x14ac:dyDescent="0.3">
      <c r="A26" s="213" t="s">
        <v>45</v>
      </c>
      <c r="B26" s="214"/>
      <c r="C26" s="29"/>
      <c r="D26" s="111"/>
      <c r="E26" s="111"/>
      <c r="F26" s="65"/>
      <c r="G26" s="65"/>
      <c r="H26" s="39"/>
      <c r="I26" s="52"/>
      <c r="J26" s="53"/>
    </row>
    <row r="27" spans="1:10" x14ac:dyDescent="0.25">
      <c r="A27" s="147" t="s">
        <v>80</v>
      </c>
      <c r="B27" s="148"/>
      <c r="C27" s="121" t="s">
        <v>81</v>
      </c>
      <c r="D27" s="159"/>
      <c r="E27" s="160"/>
      <c r="F27" s="79"/>
      <c r="G27" s="80"/>
      <c r="H27" s="13"/>
      <c r="I27" s="54" t="e">
        <f t="shared" ref="I27:J27" si="1">C27-F27-H27</f>
        <v>#VALUE!</v>
      </c>
      <c r="J27" s="55"/>
    </row>
    <row r="28" spans="1:10" ht="16.5" thickBot="1" x14ac:dyDescent="0.3">
      <c r="A28" s="203"/>
      <c r="B28" s="204"/>
      <c r="C28" s="205"/>
      <c r="D28" s="163"/>
      <c r="E28" s="164"/>
      <c r="F28" s="81"/>
      <c r="G28" s="82"/>
      <c r="H28" s="14"/>
      <c r="I28" s="56">
        <f>C28-F28-H28</f>
        <v>0</v>
      </c>
      <c r="J28" s="57"/>
    </row>
    <row r="29" spans="1:10" ht="16.5" thickBot="1" x14ac:dyDescent="0.3">
      <c r="A29" s="215" t="s">
        <v>7</v>
      </c>
      <c r="B29" s="216"/>
      <c r="C29" s="217">
        <f>SUM(C27:C28)</f>
        <v>0</v>
      </c>
      <c r="D29" s="143"/>
      <c r="E29" s="144"/>
      <c r="F29" s="83">
        <f>SUM(F27:F28)</f>
        <v>0</v>
      </c>
      <c r="G29" s="84"/>
      <c r="H29" s="15">
        <f>SUM(H27:H28)</f>
        <v>0</v>
      </c>
      <c r="I29" s="218" t="e">
        <f>SUM(I27:I28)</f>
        <v>#VALUE!</v>
      </c>
      <c r="J29" s="219"/>
    </row>
    <row r="30" spans="1:10" ht="16.5" thickBot="1" x14ac:dyDescent="0.3">
      <c r="A30" s="12"/>
      <c r="B30" s="37"/>
      <c r="C30" s="28"/>
      <c r="D30" s="110"/>
      <c r="E30" s="110"/>
      <c r="F30" s="46"/>
      <c r="G30" s="46"/>
      <c r="H30" s="36"/>
      <c r="I30" s="46"/>
      <c r="J30" s="47"/>
    </row>
    <row r="31" spans="1:10" ht="16.5" thickBot="1" x14ac:dyDescent="0.3">
      <c r="A31" s="193" t="s">
        <v>8</v>
      </c>
      <c r="B31" s="194"/>
      <c r="C31" s="34"/>
      <c r="D31" s="112"/>
      <c r="E31" s="112"/>
      <c r="F31" s="65"/>
      <c r="G31" s="65"/>
      <c r="H31" s="39"/>
      <c r="I31" s="53"/>
      <c r="J31" s="53"/>
    </row>
    <row r="32" spans="1:10" x14ac:dyDescent="0.25">
      <c r="A32" s="195" t="s">
        <v>9</v>
      </c>
      <c r="B32" s="196"/>
      <c r="C32" s="30"/>
      <c r="D32" s="113"/>
      <c r="E32" s="113"/>
      <c r="F32" s="102"/>
      <c r="G32" s="103"/>
      <c r="H32" s="16"/>
      <c r="I32" s="67"/>
      <c r="J32" s="68"/>
    </row>
    <row r="33" spans="1:10" x14ac:dyDescent="0.25">
      <c r="A33" s="153" t="s">
        <v>10</v>
      </c>
      <c r="B33" s="154"/>
      <c r="C33" s="30"/>
      <c r="D33" s="113"/>
      <c r="E33" s="113"/>
      <c r="F33" s="71"/>
      <c r="G33" s="72"/>
      <c r="H33" s="17"/>
      <c r="I33" s="67"/>
      <c r="J33" s="68"/>
    </row>
    <row r="34" spans="1:10" x14ac:dyDescent="0.25">
      <c r="A34" s="153" t="s">
        <v>11</v>
      </c>
      <c r="B34" s="154"/>
      <c r="C34" s="30"/>
      <c r="D34" s="113"/>
      <c r="E34" s="113"/>
      <c r="F34" s="71"/>
      <c r="G34" s="72"/>
      <c r="H34" s="17"/>
      <c r="I34" s="67"/>
      <c r="J34" s="68"/>
    </row>
    <row r="35" spans="1:10" x14ac:dyDescent="0.25">
      <c r="A35" s="153" t="s">
        <v>12</v>
      </c>
      <c r="B35" s="154"/>
      <c r="C35" s="30"/>
      <c r="D35" s="113"/>
      <c r="E35" s="113"/>
      <c r="F35" s="71"/>
      <c r="G35" s="72"/>
      <c r="H35" s="17"/>
      <c r="I35" s="67"/>
      <c r="J35" s="68"/>
    </row>
    <row r="36" spans="1:10" x14ac:dyDescent="0.25">
      <c r="A36" s="153" t="s">
        <v>17</v>
      </c>
      <c r="B36" s="154"/>
      <c r="C36" s="30"/>
      <c r="D36" s="113"/>
      <c r="E36" s="113"/>
      <c r="F36" s="71"/>
      <c r="G36" s="72"/>
      <c r="H36" s="17"/>
      <c r="I36" s="67"/>
      <c r="J36" s="68"/>
    </row>
    <row r="37" spans="1:10" x14ac:dyDescent="0.25">
      <c r="A37" s="153" t="s">
        <v>13</v>
      </c>
      <c r="B37" s="154"/>
      <c r="C37" s="30"/>
      <c r="D37" s="113"/>
      <c r="E37" s="113"/>
      <c r="F37" s="71"/>
      <c r="G37" s="72"/>
      <c r="H37" s="17"/>
      <c r="I37" s="67"/>
      <c r="J37" s="68"/>
    </row>
    <row r="38" spans="1:10" x14ac:dyDescent="0.25">
      <c r="A38" s="153" t="s">
        <v>14</v>
      </c>
      <c r="B38" s="154"/>
      <c r="C38" s="30"/>
      <c r="D38" s="113"/>
      <c r="E38" s="113"/>
      <c r="F38" s="71"/>
      <c r="G38" s="72"/>
      <c r="H38" s="17"/>
      <c r="I38" s="67"/>
      <c r="J38" s="68"/>
    </row>
    <row r="39" spans="1:10" x14ac:dyDescent="0.25">
      <c r="A39" s="153" t="s">
        <v>15</v>
      </c>
      <c r="B39" s="154"/>
      <c r="C39" s="30"/>
      <c r="D39" s="113"/>
      <c r="E39" s="113"/>
      <c r="F39" s="71"/>
      <c r="G39" s="72"/>
      <c r="H39" s="17"/>
      <c r="I39" s="67"/>
      <c r="J39" s="68"/>
    </row>
    <row r="40" spans="1:10" ht="16.5" thickBot="1" x14ac:dyDescent="0.3">
      <c r="A40" s="197" t="s">
        <v>16</v>
      </c>
      <c r="B40" s="198"/>
      <c r="C40" s="31"/>
      <c r="D40" s="114"/>
      <c r="E40" s="114"/>
      <c r="F40" s="98"/>
      <c r="G40" s="99"/>
      <c r="H40" s="7"/>
      <c r="I40" s="69"/>
      <c r="J40" s="70"/>
    </row>
    <row r="41" spans="1:10" s="19" customFormat="1" ht="16.5" thickBot="1" x14ac:dyDescent="0.3">
      <c r="A41" s="199" t="s">
        <v>18</v>
      </c>
      <c r="B41" s="200"/>
      <c r="C41" s="120" t="s">
        <v>82</v>
      </c>
      <c r="D41" s="143"/>
      <c r="E41" s="144"/>
      <c r="F41" s="100">
        <f>SUM(F32:H40)</f>
        <v>0</v>
      </c>
      <c r="G41" s="101"/>
      <c r="H41" s="18">
        <f>SUM(H32:I40)</f>
        <v>0</v>
      </c>
      <c r="I41" s="145" t="e">
        <f>C41-F41-H41</f>
        <v>#VALUE!</v>
      </c>
      <c r="J41" s="146"/>
    </row>
    <row r="42" spans="1:10" ht="16.5" thickBot="1" x14ac:dyDescent="0.3">
      <c r="A42" s="12"/>
      <c r="B42" s="37"/>
      <c r="C42" s="28"/>
      <c r="D42" s="110"/>
      <c r="E42" s="110"/>
      <c r="F42" s="46"/>
      <c r="G42" s="46"/>
      <c r="H42" s="36"/>
      <c r="I42" s="46"/>
      <c r="J42" s="47"/>
    </row>
    <row r="43" spans="1:10" ht="16.5" thickBot="1" x14ac:dyDescent="0.3">
      <c r="A43" s="149" t="s">
        <v>19</v>
      </c>
      <c r="B43" s="150"/>
      <c r="C43" s="20"/>
      <c r="D43" s="111"/>
      <c r="E43" s="111"/>
      <c r="F43" s="65"/>
      <c r="G43" s="65"/>
      <c r="H43" s="39"/>
      <c r="I43" s="52"/>
      <c r="J43" s="53"/>
    </row>
    <row r="44" spans="1:10" x14ac:dyDescent="0.25">
      <c r="A44" s="151" t="s">
        <v>20</v>
      </c>
      <c r="B44" s="152"/>
      <c r="C44" s="121" t="s">
        <v>59</v>
      </c>
      <c r="D44" s="159"/>
      <c r="E44" s="160"/>
      <c r="F44" s="92"/>
      <c r="G44" s="93"/>
      <c r="H44" s="6"/>
      <c r="I44" s="165" t="e">
        <f>C44-F44-H44</f>
        <v>#VALUE!</v>
      </c>
      <c r="J44" s="166"/>
    </row>
    <row r="45" spans="1:10" x14ac:dyDescent="0.25">
      <c r="A45" s="153" t="s">
        <v>21</v>
      </c>
      <c r="B45" s="154"/>
      <c r="C45" s="122" t="s">
        <v>60</v>
      </c>
      <c r="D45" s="161"/>
      <c r="E45" s="162"/>
      <c r="F45" s="94"/>
      <c r="G45" s="95"/>
      <c r="H45" s="17"/>
      <c r="I45" s="167" t="e">
        <f>C45-F45-H45</f>
        <v>#VALUE!</v>
      </c>
      <c r="J45" s="168"/>
    </row>
    <row r="46" spans="1:10" x14ac:dyDescent="0.25">
      <c r="A46" s="153" t="s">
        <v>22</v>
      </c>
      <c r="B46" s="154"/>
      <c r="C46" s="122" t="s">
        <v>61</v>
      </c>
      <c r="D46" s="161"/>
      <c r="E46" s="162"/>
      <c r="F46" s="94"/>
      <c r="G46" s="95"/>
      <c r="H46" s="17"/>
      <c r="I46" s="167" t="e">
        <f>C46-F46-H46</f>
        <v>#VALUE!</v>
      </c>
      <c r="J46" s="168"/>
    </row>
    <row r="47" spans="1:10" x14ac:dyDescent="0.25">
      <c r="A47" s="153" t="s">
        <v>23</v>
      </c>
      <c r="B47" s="154"/>
      <c r="C47" s="122" t="s">
        <v>62</v>
      </c>
      <c r="D47" s="161"/>
      <c r="E47" s="162"/>
      <c r="F47" s="94"/>
      <c r="G47" s="95"/>
      <c r="H47" s="17"/>
      <c r="I47" s="167" t="e">
        <f>C47-F47-H47</f>
        <v>#VALUE!</v>
      </c>
      <c r="J47" s="168"/>
    </row>
    <row r="48" spans="1:10" ht="16.5" thickBot="1" x14ac:dyDescent="0.3">
      <c r="A48" s="155" t="s">
        <v>24</v>
      </c>
      <c r="B48" s="156"/>
      <c r="C48" s="123" t="s">
        <v>63</v>
      </c>
      <c r="D48" s="163"/>
      <c r="E48" s="164"/>
      <c r="F48" s="96"/>
      <c r="G48" s="97"/>
      <c r="H48" s="7"/>
      <c r="I48" s="169" t="e">
        <f>C48-F48-H48</f>
        <v>#VALUE!</v>
      </c>
      <c r="J48" s="170"/>
    </row>
    <row r="49" spans="1:10" s="40" customFormat="1" ht="16.5" thickBot="1" x14ac:dyDescent="0.3">
      <c r="A49" s="157" t="s">
        <v>25</v>
      </c>
      <c r="B49" s="158"/>
      <c r="C49" s="201">
        <f>SUM(C44:C48)</f>
        <v>0</v>
      </c>
      <c r="D49" s="139"/>
      <c r="E49" s="140"/>
      <c r="F49" s="87">
        <f t="shared" ref="F49:I49" si="2">SUM(F44:F48)</f>
        <v>0</v>
      </c>
      <c r="G49" s="88"/>
      <c r="H49" s="21">
        <f t="shared" si="2"/>
        <v>0</v>
      </c>
      <c r="I49" s="141" t="e">
        <f t="shared" si="2"/>
        <v>#VALUE!</v>
      </c>
      <c r="J49" s="142"/>
    </row>
    <row r="50" spans="1:10" ht="16.5" thickBot="1" x14ac:dyDescent="0.3">
      <c r="A50" s="12"/>
      <c r="B50" s="37"/>
      <c r="C50" s="27"/>
      <c r="D50" s="115"/>
      <c r="E50" s="115"/>
      <c r="F50" s="66"/>
      <c r="G50" s="66"/>
      <c r="H50" s="37"/>
      <c r="I50" s="46"/>
      <c r="J50" s="47"/>
    </row>
    <row r="51" spans="1:10" s="40" customFormat="1" ht="16.5" thickBot="1" x14ac:dyDescent="0.3">
      <c r="A51" s="171" t="s">
        <v>26</v>
      </c>
      <c r="B51" s="172" t="s">
        <v>46</v>
      </c>
      <c r="C51" s="124" t="s">
        <v>64</v>
      </c>
      <c r="D51" s="143"/>
      <c r="E51" s="144"/>
      <c r="F51" s="87">
        <v>0</v>
      </c>
      <c r="G51" s="88"/>
      <c r="H51" s="11">
        <v>0</v>
      </c>
      <c r="I51" s="173" t="e">
        <f>C51-F51-H51</f>
        <v>#VALUE!</v>
      </c>
      <c r="J51" s="174"/>
    </row>
    <row r="52" spans="1:10" ht="16.5" thickBot="1" x14ac:dyDescent="0.3">
      <c r="A52" s="12"/>
      <c r="B52" s="37"/>
      <c r="C52" s="27"/>
      <c r="D52" s="115"/>
      <c r="E52" s="115"/>
      <c r="F52" s="66"/>
      <c r="G52" s="66"/>
      <c r="H52" s="37"/>
      <c r="I52" s="46"/>
      <c r="J52" s="47"/>
    </row>
    <row r="53" spans="1:10" s="23" customFormat="1" ht="19.5" thickBot="1" x14ac:dyDescent="0.35">
      <c r="A53" s="175" t="s">
        <v>27</v>
      </c>
      <c r="B53" s="176"/>
      <c r="C53" s="177">
        <f>SUM(C22,C24,C29,C41,C49,C51)</f>
        <v>0</v>
      </c>
      <c r="D53" s="178"/>
      <c r="E53" s="179"/>
      <c r="F53" s="89">
        <f>SUM(F22,F24,F29,F41,F49,F51)</f>
        <v>0</v>
      </c>
      <c r="G53" s="90"/>
      <c r="H53" s="22">
        <f>SUM(H22,H24,H29,H41,H49,H51)</f>
        <v>0</v>
      </c>
      <c r="I53" s="180" t="e">
        <f>SUM(I22,I24,I29,I41,I49,I51)</f>
        <v>#VALUE!</v>
      </c>
      <c r="J53" s="181"/>
    </row>
    <row r="54" spans="1:10" ht="32.25" customHeight="1" thickBot="1" x14ac:dyDescent="0.3">
      <c r="A54" s="24"/>
      <c r="B54" s="38"/>
      <c r="C54" s="26"/>
      <c r="D54" s="116"/>
      <c r="E54" s="116"/>
      <c r="F54" s="91"/>
      <c r="G54" s="91"/>
      <c r="H54" s="38"/>
      <c r="I54" s="48"/>
      <c r="J54" s="49"/>
    </row>
    <row r="55" spans="1:10" s="40" customFormat="1" ht="16.5" thickBot="1" x14ac:dyDescent="0.3">
      <c r="A55" s="182" t="s">
        <v>28</v>
      </c>
      <c r="B55" s="183"/>
      <c r="C55" s="124" t="s">
        <v>65</v>
      </c>
      <c r="D55" s="143"/>
      <c r="E55" s="144"/>
      <c r="F55" s="87">
        <v>0</v>
      </c>
      <c r="G55" s="88"/>
      <c r="H55" s="11">
        <v>0</v>
      </c>
      <c r="I55" s="184" t="e">
        <f>C55-F55-H55</f>
        <v>#VALUE!</v>
      </c>
      <c r="J55" s="185"/>
    </row>
    <row r="56" spans="1:10" ht="16.5" thickBot="1" x14ac:dyDescent="0.3">
      <c r="A56" s="12"/>
      <c r="B56" s="37"/>
      <c r="C56" s="27"/>
      <c r="D56" s="115"/>
      <c r="E56" s="115"/>
      <c r="F56" s="66"/>
      <c r="G56" s="66"/>
      <c r="H56" s="37"/>
      <c r="I56" s="52"/>
      <c r="J56" s="53"/>
    </row>
    <row r="57" spans="1:10" s="40" customFormat="1" ht="16.5" thickBot="1" x14ac:dyDescent="0.3">
      <c r="A57" s="186" t="s">
        <v>29</v>
      </c>
      <c r="B57" s="187"/>
      <c r="C57" s="188">
        <f>SUM(C53,C55)</f>
        <v>0</v>
      </c>
      <c r="D57" s="189"/>
      <c r="E57" s="190"/>
      <c r="F57" s="85">
        <f t="shared" ref="F57:I57" si="3">SUM(F53,F55)</f>
        <v>0</v>
      </c>
      <c r="G57" s="86"/>
      <c r="H57" s="25">
        <f t="shared" si="3"/>
        <v>0</v>
      </c>
      <c r="I57" s="191" t="e">
        <f t="shared" si="3"/>
        <v>#VALUE!</v>
      </c>
      <c r="J57" s="192"/>
    </row>
    <row r="59" spans="1:10" x14ac:dyDescent="0.25">
      <c r="A59" s="42" t="s">
        <v>48</v>
      </c>
    </row>
  </sheetData>
  <sheetProtection algorithmName="SHA-512" hashValue="maX4RXhPpAorFlmM+sxAe6IuXHMkFgI6hupEUHxcjZZEG7mMQTw/hOsO0JytX0DzpkOXDJ8jEwhSwGk53TbTaA==" saltValue="a0SH5E1pTto9V3DTJODeNw==" spinCount="100000" sheet="1" objects="1" scenarios="1" selectLockedCells="1"/>
  <mergeCells count="172">
    <mergeCell ref="D54:E54"/>
    <mergeCell ref="D55:E55"/>
    <mergeCell ref="D56:E56"/>
    <mergeCell ref="D57:E57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36:E36"/>
    <mergeCell ref="D37:E37"/>
    <mergeCell ref="D38:E38"/>
    <mergeCell ref="D39:E39"/>
    <mergeCell ref="D40:E40"/>
    <mergeCell ref="D41:E41"/>
    <mergeCell ref="D51:E51"/>
    <mergeCell ref="D52:E52"/>
    <mergeCell ref="D53:E53"/>
    <mergeCell ref="A37:B37"/>
    <mergeCell ref="A38:B38"/>
    <mergeCell ref="A35:B35"/>
    <mergeCell ref="G9:H9"/>
    <mergeCell ref="G10:H10"/>
    <mergeCell ref="G11:H11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F18:G18"/>
    <mergeCell ref="F19:G19"/>
    <mergeCell ref="F20:G20"/>
    <mergeCell ref="F21:G21"/>
    <mergeCell ref="F22:G22"/>
    <mergeCell ref="F23:G23"/>
    <mergeCell ref="F24:G24"/>
    <mergeCell ref="F25:G25"/>
    <mergeCell ref="A57:B57"/>
    <mergeCell ref="A47:B47"/>
    <mergeCell ref="A48:B48"/>
    <mergeCell ref="A49:B49"/>
    <mergeCell ref="A53:B53"/>
    <mergeCell ref="A55:B55"/>
    <mergeCell ref="A39:B39"/>
    <mergeCell ref="A40:B40"/>
    <mergeCell ref="A41:B41"/>
    <mergeCell ref="A43:B43"/>
    <mergeCell ref="A45:B45"/>
    <mergeCell ref="A46:B46"/>
    <mergeCell ref="A44:B44"/>
    <mergeCell ref="A22:B22"/>
    <mergeCell ref="A24:B24"/>
    <mergeCell ref="A36:B36"/>
    <mergeCell ref="A19:B19"/>
    <mergeCell ref="A18:B18"/>
    <mergeCell ref="A20:B20"/>
    <mergeCell ref="A21:B21"/>
    <mergeCell ref="F57:G57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49:G49"/>
    <mergeCell ref="F38:G38"/>
    <mergeCell ref="F39:G39"/>
    <mergeCell ref="F40:G40"/>
    <mergeCell ref="F41:G41"/>
    <mergeCell ref="F42:G42"/>
    <mergeCell ref="F43:G43"/>
    <mergeCell ref="F32:G32"/>
    <mergeCell ref="F27:G27"/>
    <mergeCell ref="F28:G28"/>
    <mergeCell ref="F29:G29"/>
    <mergeCell ref="F30:G30"/>
    <mergeCell ref="F31:G31"/>
    <mergeCell ref="A33:B33"/>
    <mergeCell ref="A34:B34"/>
    <mergeCell ref="A26:B26"/>
    <mergeCell ref="A27:B27"/>
    <mergeCell ref="A28:B28"/>
    <mergeCell ref="A29:B29"/>
    <mergeCell ref="A31:B31"/>
    <mergeCell ref="A32:B32"/>
    <mergeCell ref="I6:J6"/>
    <mergeCell ref="I9:J9"/>
    <mergeCell ref="I10:J10"/>
    <mergeCell ref="I7:J8"/>
    <mergeCell ref="B5:E5"/>
    <mergeCell ref="B6:E6"/>
    <mergeCell ref="B7:E7"/>
    <mergeCell ref="B8:E8"/>
    <mergeCell ref="B9:E9"/>
    <mergeCell ref="B10:E10"/>
    <mergeCell ref="G6:H6"/>
    <mergeCell ref="G7:H7"/>
    <mergeCell ref="I57:J57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6:J56"/>
    <mergeCell ref="F56:G56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F33:G33"/>
    <mergeCell ref="F34:G34"/>
    <mergeCell ref="F35:G35"/>
    <mergeCell ref="F36:G36"/>
    <mergeCell ref="F37:G37"/>
    <mergeCell ref="B11:E11"/>
    <mergeCell ref="B12:E12"/>
    <mergeCell ref="A14:C14"/>
    <mergeCell ref="F14:H14"/>
    <mergeCell ref="F16:H16"/>
    <mergeCell ref="I52:J52"/>
    <mergeCell ref="I53:J53"/>
    <mergeCell ref="I54:J54"/>
    <mergeCell ref="I55:J55"/>
    <mergeCell ref="I23:J23"/>
    <mergeCell ref="I24:J24"/>
    <mergeCell ref="I25:J25"/>
    <mergeCell ref="I26:J26"/>
    <mergeCell ref="I27:J27"/>
    <mergeCell ref="I28:J28"/>
    <mergeCell ref="I29:J29"/>
    <mergeCell ref="I30:J30"/>
    <mergeCell ref="I18:J18"/>
    <mergeCell ref="I19:J19"/>
    <mergeCell ref="I20:J20"/>
    <mergeCell ref="I21:J21"/>
    <mergeCell ref="I22:J22"/>
    <mergeCell ref="A16:C16"/>
    <mergeCell ref="F26:G26"/>
  </mergeCells>
  <dataValidations disablePrompts="1" count="1">
    <dataValidation type="textLength" operator="equal" allowBlank="1" showInputMessage="1" showErrorMessage="1" errorTitle="Bank ABA Number Error" error="Bank ABA Number is not 9 digits. Please correct." promptTitle="Bank ABA Number" prompt="The Bank ABA Number must be nine digits. Please check for leading zero." sqref="G11">
      <formula1>9</formula1>
    </dataValidation>
  </dataValidations>
  <pageMargins left="0.7" right="0.7" top="0.75" bottom="0.75" header="0.3" footer="0.3"/>
  <pageSetup scale="63" orientation="portrait" r:id="rId1"/>
  <headerFooter>
    <oddHeader>&amp;C&amp;"-,Bold"&amp;18Enterprise  Community Partners, Inc.&amp;16
Exhibit B - Disbursement Request Form</oddHeader>
    <oddFooter>&amp;L&amp;8Rev. 09/20/2017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190500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27" r:id="rId4" name="CheckBox1"/>
      </mc:Fallback>
    </mc:AlternateContent>
    <mc:AlternateContent xmlns:mc="http://schemas.openxmlformats.org/markup-compatibility/2006">
      <mc:Choice Requires="x14">
        <control shapeId="1028" r:id="rId6" name="CheckBox2">
          <controlPr defaultSize="0" autoLine="0" autoPict="0" r:id="rId7">
            <anchor moveWithCells="1">
              <from>
                <xdr:col>5</xdr:col>
                <xdr:colOff>9525</xdr:colOff>
                <xdr:row>0</xdr:row>
                <xdr:rowOff>9525</xdr:rowOff>
              </from>
              <to>
                <xdr:col>7</xdr:col>
                <xdr:colOff>1123950</xdr:colOff>
                <xdr:row>3</xdr:row>
                <xdr:rowOff>161925</xdr:rowOff>
              </to>
            </anchor>
          </controlPr>
        </control>
      </mc:Choice>
      <mc:Fallback>
        <control shapeId="1028" r:id="rId6" name="CheckBox2"/>
      </mc:Fallback>
    </mc:AlternateContent>
    <mc:AlternateContent xmlns:mc="http://schemas.openxmlformats.org/markup-compatibility/2006">
      <mc:Choice Requires="x14">
        <control shapeId="1029" r:id="rId8" name="CheckBox3">
          <controlPr defaultSize="0" autoLine="0" autoPict="0" r:id="rId9">
            <anchor moveWithCells="1">
              <from>
                <xdr:col>5</xdr:col>
                <xdr:colOff>19050</xdr:colOff>
                <xdr:row>3</xdr:row>
                <xdr:rowOff>0</xdr:rowOff>
              </from>
              <to>
                <xdr:col>7</xdr:col>
                <xdr:colOff>1019175</xdr:colOff>
                <xdr:row>4</xdr:row>
                <xdr:rowOff>161925</xdr:rowOff>
              </to>
            </anchor>
          </controlPr>
        </control>
      </mc:Choice>
      <mc:Fallback>
        <control shapeId="1029" r:id="rId8" name="Check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A13" sqref="A13"/>
    </sheetView>
  </sheetViews>
  <sheetFormatPr defaultRowHeight="15" x14ac:dyDescent="0.25"/>
  <cols>
    <col min="1" max="1" width="27.7109375" bestFit="1" customWidth="1"/>
    <col min="2" max="2" width="35.7109375" bestFit="1" customWidth="1"/>
  </cols>
  <sheetData>
    <row r="1" spans="1:2" x14ac:dyDescent="0.25">
      <c r="A1" t="s">
        <v>66</v>
      </c>
      <c r="B1" t="s">
        <v>67</v>
      </c>
    </row>
    <row r="2" spans="1:2" x14ac:dyDescent="0.25">
      <c r="A2" t="s">
        <v>33</v>
      </c>
      <c r="B2" t="s">
        <v>49</v>
      </c>
    </row>
    <row r="3" spans="1:2" x14ac:dyDescent="0.25">
      <c r="A3" t="s">
        <v>32</v>
      </c>
      <c r="B3" t="s">
        <v>50</v>
      </c>
    </row>
    <row r="4" spans="1:2" x14ac:dyDescent="0.25">
      <c r="A4" t="s">
        <v>31</v>
      </c>
      <c r="B4" t="s">
        <v>51</v>
      </c>
    </row>
    <row r="5" spans="1:2" x14ac:dyDescent="0.25">
      <c r="A5" t="s">
        <v>68</v>
      </c>
      <c r="B5" t="s">
        <v>72</v>
      </c>
    </row>
    <row r="6" spans="1:2" x14ac:dyDescent="0.25">
      <c r="A6" t="s">
        <v>69</v>
      </c>
      <c r="B6" t="s">
        <v>71</v>
      </c>
    </row>
    <row r="7" spans="1:2" x14ac:dyDescent="0.25">
      <c r="A7" t="s">
        <v>70</v>
      </c>
      <c r="B7" t="s">
        <v>73</v>
      </c>
    </row>
    <row r="8" spans="1:2" x14ac:dyDescent="0.25">
      <c r="A8" t="s">
        <v>34</v>
      </c>
      <c r="B8" t="s">
        <v>52</v>
      </c>
    </row>
    <row r="9" spans="1:2" x14ac:dyDescent="0.25">
      <c r="A9" t="s">
        <v>35</v>
      </c>
      <c r="B9" t="s">
        <v>53</v>
      </c>
    </row>
    <row r="10" spans="1:2" x14ac:dyDescent="0.25">
      <c r="A10" t="s">
        <v>36</v>
      </c>
      <c r="B10" t="s">
        <v>54</v>
      </c>
    </row>
    <row r="11" spans="1:2" x14ac:dyDescent="0.25">
      <c r="A11" t="s">
        <v>41</v>
      </c>
      <c r="B11" t="s">
        <v>57</v>
      </c>
    </row>
    <row r="12" spans="1:2" x14ac:dyDescent="0.25">
      <c r="A12" t="s">
        <v>42</v>
      </c>
      <c r="B12" t="s">
        <v>58</v>
      </c>
    </row>
    <row r="13" spans="1:2" x14ac:dyDescent="0.25">
      <c r="A13" t="s">
        <v>30</v>
      </c>
      <c r="B13" t="str">
        <f>CONCATENATE(B5,", ",B6,", ",B7)</f>
        <v>&amp;=QueryData.ACCOUNT_BILLINGCITY, &amp;=QueryData.ACCOUNT_BILLINGSTATE, &amp;=QueryData.ACCOUNT_BILLINGPOSTALCODE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3" sqref="B3"/>
    </sheetView>
  </sheetViews>
  <sheetFormatPr defaultRowHeight="15" x14ac:dyDescent="0.25"/>
  <cols>
    <col min="1" max="1" width="19.85546875" bestFit="1" customWidth="1"/>
    <col min="2" max="2" width="63.85546875" bestFit="1" customWidth="1"/>
  </cols>
  <sheetData>
    <row r="1" spans="1:2" x14ac:dyDescent="0.25">
      <c r="A1" t="s">
        <v>74</v>
      </c>
      <c r="B1" t="s">
        <v>75</v>
      </c>
    </row>
    <row r="2" spans="1:2" x14ac:dyDescent="0.25">
      <c r="A2" t="s">
        <v>76</v>
      </c>
      <c r="B2" t="s">
        <v>55</v>
      </c>
    </row>
    <row r="3" spans="1:2" x14ac:dyDescent="0.25">
      <c r="A3" t="s">
        <v>77</v>
      </c>
      <c r="B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120</vt:i4>
      </vt:variant>
    </vt:vector>
  </HeadingPairs>
  <TitlesOfParts>
    <vt:vector size="123" baseType="lpstr">
      <vt:lpstr>Disbursement Request</vt:lpstr>
      <vt:lpstr>Grant Details</vt:lpstr>
      <vt:lpstr>Budget Details</vt:lpstr>
      <vt:lpstr>AB_Cell1</vt:lpstr>
      <vt:lpstr>AB_Cell2</vt:lpstr>
      <vt:lpstr>ABudget_Computer_Equipment</vt:lpstr>
      <vt:lpstr>ABudget_Computer_Software</vt:lpstr>
      <vt:lpstr>ABudget_Consultants</vt:lpstr>
      <vt:lpstr>ABudget_Consultants_End</vt:lpstr>
      <vt:lpstr>ABudget_End</vt:lpstr>
      <vt:lpstr>ABudget_Indirect_Costs</vt:lpstr>
      <vt:lpstr>ABudget_Match_Totals</vt:lpstr>
      <vt:lpstr>ABudget_Other_Direct_Costs</vt:lpstr>
      <vt:lpstr>ABudget_Printing</vt:lpstr>
      <vt:lpstr>ABudget_Program_Totals</vt:lpstr>
      <vt:lpstr>ABudget_Section_Totals</vt:lpstr>
      <vt:lpstr>ABudget_Start</vt:lpstr>
      <vt:lpstr>ABudget_Training</vt:lpstr>
      <vt:lpstr>Address</vt:lpstr>
      <vt:lpstr>Avail_Budget_Cell1</vt:lpstr>
      <vt:lpstr>Avail_Budget_Cell2</vt:lpstr>
      <vt:lpstr>Avail_Budget_Cell3</vt:lpstr>
      <vt:lpstr>Avail_Budget_Start</vt:lpstr>
      <vt:lpstr>Budget_Consultant_End</vt:lpstr>
      <vt:lpstr>Budget_Consultant_Start</vt:lpstr>
      <vt:lpstr>Budget_End</vt:lpstr>
      <vt:lpstr>Budget_Program_Totals</vt:lpstr>
      <vt:lpstr>Budget_Salaries</vt:lpstr>
      <vt:lpstr>Budget_Section_Totals</vt:lpstr>
      <vt:lpstr>Budget_Start</vt:lpstr>
      <vt:lpstr>Budget_Subcon_Consultants</vt:lpstr>
      <vt:lpstr>Budget_TConsultants</vt:lpstr>
      <vt:lpstr>Budget_TSalaries</vt:lpstr>
      <vt:lpstr>City_Sate</vt:lpstr>
      <vt:lpstr>Computer_Equipment</vt:lpstr>
      <vt:lpstr>Computer_Software</vt:lpstr>
      <vt:lpstr>Contact</vt:lpstr>
      <vt:lpstr>Email</vt:lpstr>
      <vt:lpstr>GP_End_Date</vt:lpstr>
      <vt:lpstr>GP_Start_Date</vt:lpstr>
      <vt:lpstr>Grant_Number</vt:lpstr>
      <vt:lpstr>Grantee_Name</vt:lpstr>
      <vt:lpstr>Indirect_Costs</vt:lpstr>
      <vt:lpstr>Label_A18</vt:lpstr>
      <vt:lpstr>Label_Address</vt:lpstr>
      <vt:lpstr>Label_Airfare</vt:lpstr>
      <vt:lpstr>Label_Available_Budget</vt:lpstr>
      <vt:lpstr>Label_Budget</vt:lpstr>
      <vt:lpstr>Label_City</vt:lpstr>
      <vt:lpstr>Label_Computer_Software</vt:lpstr>
      <vt:lpstr>Label_Computers</vt:lpstr>
      <vt:lpstr>Label_Contact</vt:lpstr>
      <vt:lpstr>Label_Current_Request</vt:lpstr>
      <vt:lpstr>Label_Email</vt:lpstr>
      <vt:lpstr>Label_Fringe</vt:lpstr>
      <vt:lpstr>Label_Fringe_ABudget</vt:lpstr>
      <vt:lpstr>Label_Fringe_Budget</vt:lpstr>
      <vt:lpstr>Label_Fringe_MBudget</vt:lpstr>
      <vt:lpstr>Label_GName</vt:lpstr>
      <vt:lpstr>Label_GNumber</vt:lpstr>
      <vt:lpstr>Label_Indirect_Costs</vt:lpstr>
      <vt:lpstr>Label_Lodging</vt:lpstr>
      <vt:lpstr>Label_Lodging_Taxes</vt:lpstr>
      <vt:lpstr>Label_Match_Totals</vt:lpstr>
      <vt:lpstr>Label_Meals</vt:lpstr>
      <vt:lpstr>Label_Mileage</vt:lpstr>
      <vt:lpstr>Label_Modified_Budget</vt:lpstr>
      <vt:lpstr>Label_ODC</vt:lpstr>
      <vt:lpstr>Label_other</vt:lpstr>
      <vt:lpstr>Label_Other_Direct_Costs</vt:lpstr>
      <vt:lpstr>Label_Parking</vt:lpstr>
      <vt:lpstr>Label_Percent</vt:lpstr>
      <vt:lpstr>Label_POP</vt:lpstr>
      <vt:lpstr>Label_Printing</vt:lpstr>
      <vt:lpstr>Label_Program_Totals</vt:lpstr>
      <vt:lpstr>Label_Rental_car</vt:lpstr>
      <vt:lpstr>Label_Section_Totals</vt:lpstr>
      <vt:lpstr>Label_Taxi</vt:lpstr>
      <vt:lpstr>Label_TConsultants</vt:lpstr>
      <vt:lpstr>Label_Telephone</vt:lpstr>
      <vt:lpstr>Label_Total_Amount</vt:lpstr>
      <vt:lpstr>Label_Total_ODC</vt:lpstr>
      <vt:lpstr>Label_Total_Salaries</vt:lpstr>
      <vt:lpstr>Label_Total_Travel</vt:lpstr>
      <vt:lpstr>Label_Training</vt:lpstr>
      <vt:lpstr>Label_Travel</vt:lpstr>
      <vt:lpstr>Label_TTravel_MBudget</vt:lpstr>
      <vt:lpstr>Lock_Box</vt:lpstr>
      <vt:lpstr>Lock_BOx1</vt:lpstr>
      <vt:lpstr>Match_Totals</vt:lpstr>
      <vt:lpstr>MBudget_Computer_Equipment</vt:lpstr>
      <vt:lpstr>MBudget_Computer_Software</vt:lpstr>
      <vt:lpstr>MBudget_Consultant_Start</vt:lpstr>
      <vt:lpstr>MBudget_Consultants</vt:lpstr>
      <vt:lpstr>MBudget_Consultants_End</vt:lpstr>
      <vt:lpstr>MBudget_End</vt:lpstr>
      <vt:lpstr>MBudget_Indirect_Costs</vt:lpstr>
      <vt:lpstr>MBudget_Match_Totals</vt:lpstr>
      <vt:lpstr>MBudget_Other_Direct_Costs</vt:lpstr>
      <vt:lpstr>MBudget_Printing</vt:lpstr>
      <vt:lpstr>MBudget_Program_Totals</vt:lpstr>
      <vt:lpstr>MBudget_Salaries</vt:lpstr>
      <vt:lpstr>MBudget_Section_Totals</vt:lpstr>
      <vt:lpstr>MBudget_Start</vt:lpstr>
      <vt:lpstr>MBudget_TConsultants</vt:lpstr>
      <vt:lpstr>MBudget_Training</vt:lpstr>
      <vt:lpstr>MBudget_TSalaries</vt:lpstr>
      <vt:lpstr>Other_Direct_Costs</vt:lpstr>
      <vt:lpstr>'Disbursement Request'!Print_Area</vt:lpstr>
      <vt:lpstr>Printing</vt:lpstr>
      <vt:lpstr>Salaries</vt:lpstr>
      <vt:lpstr>Salaries_End</vt:lpstr>
      <vt:lpstr>Salaries_Start</vt:lpstr>
      <vt:lpstr>Subcon_Consultants</vt:lpstr>
      <vt:lpstr>Subcon_Consultants_End</vt:lpstr>
      <vt:lpstr>Subcon_Consultants_Start</vt:lpstr>
      <vt:lpstr>Telephone</vt:lpstr>
      <vt:lpstr>Total_ODC_ABudget</vt:lpstr>
      <vt:lpstr>Total_ODC_Budget</vt:lpstr>
      <vt:lpstr>Total_ODC_MBudget</vt:lpstr>
      <vt:lpstr>Total_Travel</vt:lpstr>
      <vt:lpstr>Training</vt:lpstr>
      <vt:lpstr>TTravel_ABudget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Woods, Elise</dc:creator>
  <cp:lastModifiedBy>Aniket Mulmule</cp:lastModifiedBy>
  <cp:lastPrinted>2018-02-11T21:56:03Z</cp:lastPrinted>
  <dcterms:created xsi:type="dcterms:W3CDTF">2017-09-20T14:30:57Z</dcterms:created>
  <dcterms:modified xsi:type="dcterms:W3CDTF">2018-05-30T10:10:21Z</dcterms:modified>
</cp:coreProperties>
</file>