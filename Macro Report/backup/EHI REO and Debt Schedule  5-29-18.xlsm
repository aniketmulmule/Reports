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Occupancy" sheetId="3" r:id="rId3"/>
    <sheet name="Financial" sheetId="6" r:id="rId4"/>
    <sheet name="Sheet6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EHI!$E$29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EHI!$B$2:$AW$26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Ann_Debt_Serv">EHI!$X$2</definedName>
    <definedName name="Reo_Ann_Debt_Serv_End">EHI!$X$5</definedName>
    <definedName name="Reo_Borrower_Share">EHI!$AU$3</definedName>
    <definedName name="Reo_Borrower_Share_End">EHI!$AU$5</definedName>
    <definedName name="Reo_Cap_Rate">EHI!$AA$3</definedName>
    <definedName name="Reo_Cap_Rate_End">EHI!$AA$5</definedName>
    <definedName name="Reo_Cash_Flow">EHI!$AT$3</definedName>
    <definedName name="Reo_Cash_Flow_End">EHI!$AT$5</definedName>
    <definedName name="Reo_Curr_Occu">EHI!$P$3</definedName>
    <definedName name="Reo_Curr_Occu_Date">EHI!$Q$3</definedName>
    <definedName name="Reo_Curr_Occu_Date_End">EHI!$Q$5</definedName>
    <definedName name="Reo_Curr_Occu_End">EHI!$P$5</definedName>
    <definedName name="Reo_Current_Equity">EHI!$AV$2</definedName>
    <definedName name="Reo_Current_Equity_End">EHI!$AV$5</definedName>
    <definedName name="Reo_Date_Validation">EHI!$AB$3</definedName>
    <definedName name="Reo_Date_Validation_End">EHI!$AB$5</definedName>
    <definedName name="Reo_DSC">EHI!$Y$2</definedName>
    <definedName name="Reo_DSC_End">EHI!$Y$5</definedName>
    <definedName name="Reo_Fair_Market_Value">EHI!$Z$3</definedName>
    <definedName name="Reo_Fair_Market_Value_End">EHI!$Z$5</definedName>
    <definedName name="Reo_Interest">EHI!$BJ$3</definedName>
    <definedName name="Reo_Interest_End">EHI!$BJ$5</definedName>
    <definedName name="Reo_Location">EHI!$C$3</definedName>
    <definedName name="Reo_Location_End">EHI!$C$5</definedName>
    <definedName name="Reo_Noi">EHI!$U$3</definedName>
    <definedName name="Reo_Noi_End">EHI!$U$5</definedName>
    <definedName name="Reo_Operat_Exp_Ratio">EHI!$T$3</definedName>
    <definedName name="Reo_Operat_Exp_Ratio_End">EHI!$T$5</definedName>
    <definedName name="Reo_Operating_Exp">EHI!$S$3</definedName>
    <definedName name="Reo_Operating_Exp_End">EHI!$S$5</definedName>
    <definedName name="Reo_Operating_Expenses">EHI!$BI$3</definedName>
    <definedName name="Reo_Operating_Expenses_End">EHI!$BI$5</definedName>
    <definedName name="Reo_Revenues">EHI!$R$3</definedName>
    <definedName name="Reo_Revenues_End">EHI!$R$5</definedName>
    <definedName name="Reo_Sr_No">EHI!$A$3</definedName>
    <definedName name="Reo_Sr_No_End">EHI!$A$5</definedName>
    <definedName name="Reo_Total">EHI!$BG$3</definedName>
    <definedName name="Reo_Total_DS">EHI!$BL$3</definedName>
    <definedName name="Reo_Total_DS_End">EHI!$BL$5</definedName>
    <definedName name="Reo_Total_End">EHI!$BG$5</definedName>
    <definedName name="Reo_Total_Loan">EHI!$AK$3</definedName>
    <definedName name="Reo_Total_Loan_End">EHI!$AK$5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  <fileRecoveryPr repairLoad="1"/>
</workbook>
</file>

<file path=xl/calcChain.xml><?xml version="1.0" encoding="utf-8"?>
<calcChain xmlns="http://schemas.openxmlformats.org/spreadsheetml/2006/main">
  <c r="R4" i="1" l="1"/>
  <c r="Q4" i="1"/>
  <c r="P4" i="1"/>
  <c r="BG4" i="1" l="1"/>
  <c r="AK4" i="1"/>
  <c r="AB4" i="1"/>
  <c r="AE5" i="1"/>
  <c r="BJ4" i="1"/>
  <c r="BL4" i="1" s="1"/>
  <c r="X4" i="1" s="1"/>
  <c r="BI4" i="1"/>
  <c r="S4" i="1" s="1"/>
  <c r="T4" i="1" s="1"/>
  <c r="AA4" i="1"/>
  <c r="U4" i="1" l="1"/>
  <c r="Z4" i="1"/>
  <c r="AV4" i="1" s="1"/>
  <c r="C4" i="1"/>
  <c r="Y4" i="1" l="1"/>
  <c r="AT4" i="1"/>
  <c r="AU4" i="1" s="1"/>
  <c r="O5" i="1"/>
  <c r="P5" i="1" l="1"/>
  <c r="J5" i="1"/>
  <c r="R5" i="1" l="1"/>
  <c r="AG5" i="1" l="1"/>
  <c r="G12" i="1" l="1"/>
  <c r="G20" i="1" s="1"/>
  <c r="J14" i="1"/>
  <c r="J15" i="1"/>
  <c r="J13" i="1"/>
  <c r="B15" i="1"/>
  <c r="B14" i="1"/>
  <c r="B13" i="1"/>
  <c r="J12" i="1"/>
  <c r="AK5" i="1" l="1"/>
  <c r="AI5" i="1"/>
  <c r="J20" i="1"/>
  <c r="X5" i="1" l="1"/>
  <c r="S5" i="1"/>
  <c r="T5" i="1" s="1"/>
  <c r="U5" i="1" l="1"/>
  <c r="Y5" i="1" s="1"/>
  <c r="AT5" i="1" l="1"/>
  <c r="AU5" i="1"/>
  <c r="Z5" i="1"/>
  <c r="AV5" i="1"/>
</calcChain>
</file>

<file path=xl/sharedStrings.xml><?xml version="1.0" encoding="utf-8"?>
<sst xmlns="http://schemas.openxmlformats.org/spreadsheetml/2006/main" count="398" uniqueCount="274">
  <si>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</si>
  <si>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</si>
  <si>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</si>
  <si>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</si>
  <si>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</si>
  <si>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</si>
  <si>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</si>
  <si>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Present Market Value (F)</t>
  </si>
  <si>
    <t>Original Debt (G)</t>
  </si>
  <si>
    <t>Current Balance (H)</t>
  </si>
  <si>
    <t>Interest Rate (I)</t>
  </si>
  <si>
    <t>Current Equity</t>
  </si>
  <si>
    <t>Any Pending Judgments, Legal Suits/Actions or Bankruptcy Claims? Explain (J)</t>
  </si>
  <si>
    <t>Name</t>
  </si>
  <si>
    <t>Location  City &amp; State</t>
  </si>
  <si>
    <t>Type</t>
  </si>
  <si>
    <t>Role</t>
  </si>
  <si>
    <t>% Owned</t>
  </si>
  <si>
    <t>Operating Exp Ratio</t>
  </si>
  <si>
    <t>NOI            "As Of" Date</t>
  </si>
  <si>
    <t>FY/Trailing 12/Annualized</t>
  </si>
  <si>
    <t>Fair Market Value</t>
  </si>
  <si>
    <t>Cap Rate</t>
  </si>
  <si>
    <t>Date of Valuation</t>
  </si>
  <si>
    <t xml:space="preserve">Name of Lender </t>
  </si>
  <si>
    <t xml:space="preserve">Type of Debt </t>
  </si>
  <si>
    <t>Original Amt</t>
  </si>
  <si>
    <t>Inception or Transfer Date</t>
  </si>
  <si>
    <t>Maturity Date</t>
  </si>
  <si>
    <t>2nd Mortgage</t>
  </si>
  <si>
    <t>Total Loan</t>
  </si>
  <si>
    <t>Balloon Payment</t>
  </si>
  <si>
    <t>Collateral</t>
  </si>
  <si>
    <t>% Recourse</t>
  </si>
  <si>
    <t>Current or Delinquent</t>
  </si>
  <si>
    <t>Fixed</t>
  </si>
  <si>
    <t>Adjustable</t>
  </si>
  <si>
    <t>Interest Only</t>
  </si>
  <si>
    <t>Set Date for Rate</t>
  </si>
  <si>
    <t>Cash Flow</t>
  </si>
  <si>
    <t>Borrower Share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</si>
  <si>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</si>
  <si>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</si>
  <si>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</si>
  <si>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</si>
  <si>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</si>
  <si>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</si>
  <si>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</si>
  <si>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</si>
  <si>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</si>
  <si>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</si>
  <si>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</si>
  <si>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</si>
  <si>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</si>
  <si>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</si>
  <si>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</si>
  <si>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</si>
  <si>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</si>
  <si>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</si>
  <si>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</si>
  <si>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</si>
  <si>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</si>
  <si>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</si>
  <si>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</si>
  <si>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</si>
  <si>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</si>
  <si>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</si>
  <si>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</si>
  <si>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</si>
  <si>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</si>
  <si>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</si>
  <si>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</si>
  <si>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</si>
  <si>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</si>
  <si>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</si>
  <si>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</si>
  <si>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</si>
  <si>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</si>
  <si>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</si>
  <si>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</si>
  <si>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</si>
  <si>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</si>
  <si>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</si>
  <si>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</si>
  <si>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</si>
  <si>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Eh Project City</t>
  </si>
  <si>
    <t>Eh Project Population Served Overview Display</t>
  </si>
  <si>
    <t>Eh Project Year Built</t>
  </si>
  <si>
    <t>Eh Project Year Renovated</t>
  </si>
  <si>
    <t>Eh Project R</t>
  </si>
  <si>
    <t>Eh Project Rowner Borrower Name Name</t>
  </si>
  <si>
    <t>Ent Eh Participant Ceh Project Is This Year 15 Home Ownership Program</t>
  </si>
  <si>
    <t>Eh Project Is This Year 15 Home Ownership Program</t>
  </si>
  <si>
    <t>Eh Project Total Units</t>
  </si>
  <si>
    <t>Eh Project Id</t>
  </si>
  <si>
    <t>Ent Eh Property Current Occupancy</t>
  </si>
  <si>
    <t>Ent Eh Property Current Occupancy As Of Date</t>
  </si>
  <si>
    <t>&amp;=Occupancy.EH_PROJECT_ID</t>
  </si>
  <si>
    <t>&amp;=Occupancy.ENT_EH_PROPERTY_CURRENT_OCCUPANCY</t>
  </si>
  <si>
    <t>&amp;=Occupancy.ENT_EH_PROPERTY_CURRENT_OCCUPANCY_AS_OF_DATE</t>
  </si>
  <si>
    <t>Ent Eh Participant Ceh Project Id</t>
  </si>
  <si>
    <t>&amp;=Participant.ENT_EH_PARTICIPANT__CEH_PROJECT_ID</t>
  </si>
  <si>
    <t>&amp;=Participant.EH_PROJECT__R</t>
  </si>
  <si>
    <t>&amp;=Participant.EH_PROJECT__ROWNER_BORROWER_NAME_NAME</t>
  </si>
  <si>
    <t>&amp;=Participant.EH_PROJECT_CITY</t>
  </si>
  <si>
    <t>&amp;=Participant.EH_PROJECT_IS_THIS_YEAR_15_HOME_OWNERSHIP_PROGRAM</t>
  </si>
  <si>
    <t>&amp;=Participant.EH_PROJECT_POPULATION_SERVED_OVERVIEW_DISPLAY</t>
  </si>
  <si>
    <t>&amp;=Participant.EH_PROJECT_TOTAL_UNITS</t>
  </si>
  <si>
    <t>&amp;=Participant.EH_PROJECT_YEAR_BUILT</t>
  </si>
  <si>
    <t>&amp;=Participant.EH_PROJECT_YEAR_RENOVATED</t>
  </si>
  <si>
    <t>&amp;=Participant.ENT_EH_PARTICIPANT__CEH_PROJECT_IS_THIS_YEAR_15_HOME_OWNERSHIP_PROGRAM</t>
  </si>
  <si>
    <t>&amp;=Participant.ENT_EH_PARTICIPANT_ACCOUNT_ROLE</t>
  </si>
  <si>
    <t>&amp;=Participant.ENT_EH_PARTICIPANT_OWNERSHIP_INTEREST</t>
  </si>
  <si>
    <t>Eh Project City R</t>
  </si>
  <si>
    <t>Eh Project Id R</t>
  </si>
  <si>
    <t>Eh Project Is This Year 15 Home Ownership Program R</t>
  </si>
  <si>
    <t>Eh Project Name</t>
  </si>
  <si>
    <t>Eh Project Owner Borrower Name</t>
  </si>
  <si>
    <t>Eh Project Owner Borrower Name R</t>
  </si>
  <si>
    <t>Eh Project Owner Borrower Name R R</t>
  </si>
  <si>
    <t>Eh Project Population Served Overview Display R</t>
  </si>
  <si>
    <t>Eh Project Total Units R</t>
  </si>
  <si>
    <t>Eh Project Year Built R</t>
  </si>
  <si>
    <t>Eh Project Year Renovated R</t>
  </si>
  <si>
    <t>Ent Eh Participant Ceh Project R</t>
  </si>
  <si>
    <t>Ent Eh Participant Ceh Project City</t>
  </si>
  <si>
    <t>Ent Eh Participant Ceh Project City R</t>
  </si>
  <si>
    <t>Eh Project Rowner Borrower Name R</t>
  </si>
  <si>
    <t>Ent Eh Participant Ceh Project Id R</t>
  </si>
  <si>
    <t>Ent Eh Participant Ceh Project Is This Year 15 Home Ownership Program R</t>
  </si>
  <si>
    <t>Ent Eh Participant Ceh Project Name</t>
  </si>
  <si>
    <t>Ent Eh Participant Ceh Project Owner Borrower Name</t>
  </si>
  <si>
    <t>Ent Eh Participant Ceh Project Owner Borrower Name R</t>
  </si>
  <si>
    <t>Ent Eh Participant Ceh Project Owner Borrower Name R R</t>
  </si>
  <si>
    <t>Ent Eh Participant Ceh Project Owner Borrower Name Name</t>
  </si>
  <si>
    <t>Ent Eh Participant Ceh Project Population Served Overview Display</t>
  </si>
  <si>
    <t>Ent Eh Participant Ceh Project Population Served Overview Display R</t>
  </si>
  <si>
    <t>Ent Eh Participant Ceh Project Total Units</t>
  </si>
  <si>
    <t>Ent Eh Participant Ceh Project Total Units R</t>
  </si>
  <si>
    <t>Ent Eh Participant Ceh Project Year Built</t>
  </si>
  <si>
    <t>Ent Eh Participant Ceh Project Year Built R</t>
  </si>
  <si>
    <t>Ent Eh Participant Ceh Project Year Renovated</t>
  </si>
  <si>
    <t>Ent Eh Participant Ceh Project Year Renovated R</t>
  </si>
  <si>
    <t>Owner Borrower Name R</t>
  </si>
  <si>
    <t>Owner Borrower Name Name</t>
  </si>
  <si>
    <t>Row Number</t>
  </si>
  <si>
    <t>Tableend:participant</t>
  </si>
  <si>
    <t>Tablestart:participant</t>
  </si>
  <si>
    <t>&amp;=Participant.EH_PROJECT_CITY__R</t>
  </si>
  <si>
    <t>&amp;=Participant.EH_PROJECT_ID</t>
  </si>
  <si>
    <t>&amp;=Participant.EH_PROJECT_ID__R</t>
  </si>
  <si>
    <t>&amp;=Participant.EH_PROJECT_IS_THIS_YEAR_15_HOME_OWNERSHIP_PROGRAM__R</t>
  </si>
  <si>
    <t>&amp;=Participant.EH_PROJECT_NAME</t>
  </si>
  <si>
    <t>&amp;=Participant.EH_PROJECT_OWNER_BORROWER_NAME</t>
  </si>
  <si>
    <t>&amp;=Participant.EH_PROJECT_OWNER_BORROWER_NAME__R</t>
  </si>
  <si>
    <t>&amp;=Participant.EH_PROJECT_OWNER_BORROWER_NAME__R__R</t>
  </si>
  <si>
    <t>&amp;=Participant.EH_PROJECT_POPULATION_SERVED_OVERVIEW_DISPLAY__R</t>
  </si>
  <si>
    <t>&amp;=Participant.EH_PROJECT_TOTAL_UNITS__R</t>
  </si>
  <si>
    <t>&amp;=Participant.EH_PROJECT_YEAR_BUILT__R</t>
  </si>
  <si>
    <t>&amp;=Participant.EH_PROJECT_YEAR_RENOVATED__R</t>
  </si>
  <si>
    <t>&amp;=Participant.ENT_EH_PARTICIPANT__CEH_PROJECT__R</t>
  </si>
  <si>
    <t>&amp;=Participant.ENT_EH_PARTICIPANT__CEH_PROJECT_CITY</t>
  </si>
  <si>
    <t>&amp;=Participant.ENT_EH_PARTICIPANT__CEH_PROJECT_CITY__R</t>
  </si>
  <si>
    <t>&amp;=Participant.EH_PROJECT__ROWNER_BORROWER_NAME__R</t>
  </si>
  <si>
    <t>&amp;=Participant.ENT_EH_PARTICIPANT__CEH_PROJECT_ID__R</t>
  </si>
  <si>
    <t>&amp;=Participant.ENT_EH_PARTICIPANT__CEH_PROJECT_IS_THIS_YEAR_15_HOME_OWNERSHIP_PROGRAM__R</t>
  </si>
  <si>
    <t>&amp;=Participant.ENT_EH_PARTICIPANT__CEH_PROJECT_NAME</t>
  </si>
  <si>
    <t>&amp;=Participant.ENT_EH_PARTICIPANT__CEH_PROJECT_OWNER_BORROWER_NAME</t>
  </si>
  <si>
    <t>&amp;=Participant.ENT_EH_PARTICIPANT__CEH_PROJECT_OWNER_BORROWER_NAME__R</t>
  </si>
  <si>
    <t>&amp;=Participant.ENT_EH_PARTICIPANT__CEH_PROJECT_OWNER_BORROWER_NAME__R__R</t>
  </si>
  <si>
    <t>&amp;=Participant.ENT_EH_PARTICIPANT__CEH_PROJECT_OWNER_BORROWER_NAME_NAME</t>
  </si>
  <si>
    <t>&amp;=Participant.ENT_EH_PARTICIPANT__CEH_PROJECT_POPULATION_SERVED_OVERVIEW_DISPLAY</t>
  </si>
  <si>
    <t>&amp;=Participant.ENT_EH_PARTICIPANT__CEH_PROJECT_POPULATION_SERVED_OVERVIEW_DISPLAY__R</t>
  </si>
  <si>
    <t>&amp;=Participant.ENT_EH_PARTICIPANT__CEH_PROJECT_TOTAL_UNITS</t>
  </si>
  <si>
    <t>&amp;=Participant.ENT_EH_PARTICIPANT__CEH_PROJECT_TOTAL_UNITS__R</t>
  </si>
  <si>
    <t>&amp;=Participant.ENT_EH_PARTICIPANT__CEH_PROJECT_YEAR_BUILT</t>
  </si>
  <si>
    <t>&amp;=Participant.ENT_EH_PARTICIPANT__CEH_PROJECT_YEAR_BUILT__R</t>
  </si>
  <si>
    <t>&amp;=Participant.ENT_EH_PARTICIPANT__CEH_PROJECT_YEAR_RENOVATED</t>
  </si>
  <si>
    <t>&amp;=Participant.ENT_EH_PARTICIPANT__CEH_PROJECT_YEAR_RENOVATED__R</t>
  </si>
  <si>
    <t>&amp;=Participant.OWNER_BORROWER_NAME__R</t>
  </si>
  <si>
    <t>&amp;=Participant.OWNER_BORROWER_NAME_NAME</t>
  </si>
  <si>
    <t>&amp;=Participant.ROW_NUMBER</t>
  </si>
  <si>
    <t>&amp;=Participant.TABLEEND:PARTICIPANT</t>
  </si>
  <si>
    <t>&amp;=Participant.TABLESTART:PARTICIPANT</t>
  </si>
  <si>
    <t>Ent Eh Property Ceh Project Id</t>
  </si>
  <si>
    <t>Ent Eh Property Ceh Project Id R</t>
  </si>
  <si>
    <t>Tableend:occupancy</t>
  </si>
  <si>
    <t>Tablestart:occupancy</t>
  </si>
  <si>
    <t>&amp;=Occupancy.EH_PROJECT_ID__R</t>
  </si>
  <si>
    <t>&amp;=Occupancy.ENT_EH_PROPERTY__CEH_PROJECT_ID</t>
  </si>
  <si>
    <t>&amp;=Occupancy.ENT_EH_PROPERTY__CEH_PROJECT_ID__R</t>
  </si>
  <si>
    <t>&amp;=Occupancy.ROW_NUMBER</t>
  </si>
  <si>
    <t>&amp;=Occupancy.TABLEEND:OCCUPANCY</t>
  </si>
  <si>
    <t>&amp;=Occupancy.TABLESTART:OCCUPANCY</t>
  </si>
  <si>
    <t>Ent Eh Financial Statement Net Operating Income Incometype</t>
  </si>
  <si>
    <t>Ent Eh Financial Statement</t>
  </si>
  <si>
    <t>Ent Eh Financial Statement Ceh Project Id</t>
  </si>
  <si>
    <t>Ent Eh Financial Statement Ceh Project Id R</t>
  </si>
  <si>
    <t>Ent Eh Financial Statement Crecordtype</t>
  </si>
  <si>
    <t>Ent Eh Financial Statement Crecordtype Name</t>
  </si>
  <si>
    <t>Ent Eh Financial Statement Mortgage For Annual Debt Service</t>
  </si>
  <si>
    <t>Ent Eh Financial Statement Name</t>
  </si>
  <si>
    <t>Ent Eh Financial Statement Period</t>
  </si>
  <si>
    <t>Ent Eh Financial Statement Statement Year</t>
  </si>
  <si>
    <t>Ent Eh Financial Statement Total Operating Expense</t>
  </si>
  <si>
    <t>Ent Eh Financial Statement Total Revenue</t>
  </si>
  <si>
    <t>Recordtype</t>
  </si>
  <si>
    <t>Recordtype Name</t>
  </si>
  <si>
    <t>Tableend:financial</t>
  </si>
  <si>
    <t>Tablestart:financial</t>
  </si>
  <si>
    <t>&amp;=Financial.ENT_EH_FINANCIAL_STATEMENT_NET_OPERATING_INCOME_INCOMETYPE</t>
  </si>
  <si>
    <t>&amp;=Financial.EH_PROJECT_ID</t>
  </si>
  <si>
    <t>&amp;=Financial.ENT_EH_FINANCIAL_STATEMENT</t>
  </si>
  <si>
    <t>&amp;=Financial.ENT_EH_FINANCIAL_STATEMENT__CEH_PROJECT_ID</t>
  </si>
  <si>
    <t>&amp;=Financial.ENT_EH_FINANCIAL_STATEMENT__CEH_PROJECT_ID__R</t>
  </si>
  <si>
    <t>&amp;=Financial.ENT_EH_FINANCIAL_STATEMENT__CRECORDTYPE</t>
  </si>
  <si>
    <t>&amp;=Financial.ENT_EH_FINANCIAL_STATEMENT__CRECORDTYPE_NAME</t>
  </si>
  <si>
    <t>&amp;=Financial.ENT_EH_FINANCIAL_STATEMENT_MORTGAGE_FOR_ANNUAL_DEBT_SERVICE</t>
  </si>
  <si>
    <t>&amp;=Financial.ENT_EH_FINANCIAL_STATEMENT_NAME</t>
  </si>
  <si>
    <t>&amp;=Financial.EH_PROJECT_ID__R</t>
  </si>
  <si>
    <t>&amp;=Financial.ENT_EH_FINANCIAL_STATEMENT_PERIOD</t>
  </si>
  <si>
    <t>&amp;=Financial.ENT_EH_FINANCIAL_STATEMENT_STATEMENT_YEAR</t>
  </si>
  <si>
    <t>&amp;=Financial.ENT_EH_FINANCIAL_STATEMENT_TOTAL_OPERATING_EXPENSE</t>
  </si>
  <si>
    <t>&amp;=Financial.ENT_EH_FINANCIAL_STATEMENT_TOTAL_REVENUE</t>
  </si>
  <si>
    <t>&amp;=Financial.RECORDTYPE</t>
  </si>
  <si>
    <t>&amp;=Financial.RECORDTYPE_NAME</t>
  </si>
  <si>
    <t>&amp;=Financial.ROW_NUMBER</t>
  </si>
  <si>
    <t>&amp;=Financial.TABLEEND:FINANCIAL</t>
  </si>
  <si>
    <t>&amp;=Financial.TABLESTART:FINANCIAL</t>
  </si>
  <si>
    <t>Ent Eh Participant Ceh Project County</t>
  </si>
  <si>
    <t>Eh Project County</t>
  </si>
  <si>
    <t>Eh Project County R</t>
  </si>
  <si>
    <t>Eh Project State</t>
  </si>
  <si>
    <t>Eh Project State R</t>
  </si>
  <si>
    <t>Eh Project Street Address Line 1</t>
  </si>
  <si>
    <t>Eh Project Street Address Line 1 R</t>
  </si>
  <si>
    <t>Eh Project Street Address Line 2</t>
  </si>
  <si>
    <t>Eh Project Street Address Line 2 R</t>
  </si>
  <si>
    <t>Eh Project Zip Code</t>
  </si>
  <si>
    <t>Eh Project Zip Code R</t>
  </si>
  <si>
    <t>Ent Eh Participant Ceh Project County R</t>
  </si>
  <si>
    <t>Ent Eh Participant Ceh Project State</t>
  </si>
  <si>
    <t>Ent Eh Participant Ceh Project State R</t>
  </si>
  <si>
    <t>Ent Eh Participant Ceh Project Street Address Line 1</t>
  </si>
  <si>
    <t>Ent Eh Participant Ceh Project Street Address Line 1 R</t>
  </si>
  <si>
    <t>Ent Eh Participant Ceh Project Street Address Line 2</t>
  </si>
  <si>
    <t>Ent Eh Participant Ceh Project Street Address Line 2 R</t>
  </si>
  <si>
    <t>Ent Eh Participant Ceh Project Zip Code</t>
  </si>
  <si>
    <t>Ent Eh Participant Ceh Project Zip Code R</t>
  </si>
  <si>
    <t>&amp;=Participant.ENT_EH_PARTICIPANT__CEH_PROJECT_COUNTY</t>
  </si>
  <si>
    <t>&amp;=Participant.EH_PROJECT_COUNTY</t>
  </si>
  <si>
    <t>&amp;=Participant.EH_PROJECT_COUNTY__R</t>
  </si>
  <si>
    <t>&amp;=Participant.EH_PROJECT_STATE</t>
  </si>
  <si>
    <t>&amp;=Participant.EH_PROJECT_STATE__R</t>
  </si>
  <si>
    <t>&amp;=Participant.EH_PROJECT_STREET_ADDRESS_LINE_1</t>
  </si>
  <si>
    <t>&amp;=Participant.EH_PROJECT_STREET_ADDRESS_LINE_1__R</t>
  </si>
  <si>
    <t>&amp;=Participant.EH_PROJECT_STREET_ADDRESS_LINE_2</t>
  </si>
  <si>
    <t>&amp;=Participant.EH_PROJECT_STREET_ADDRESS_LINE_2__R</t>
  </si>
  <si>
    <t>&amp;=Participant.EH_PROJECT_ZIP_CODE</t>
  </si>
  <si>
    <t>&amp;=Participant.EH_PROJECT_ZIP_CODE__R</t>
  </si>
  <si>
    <t>&amp;=Participant.ENT_EH_PARTICIPANT__CEH_PROJECT_COUNTY__R</t>
  </si>
  <si>
    <t>&amp;=Participant.ENT_EH_PARTICIPANT__CEH_PROJECT_STATE</t>
  </si>
  <si>
    <t>&amp;=Participant.ENT_EH_PARTICIPANT__CEH_PROJECT_STATE__R</t>
  </si>
  <si>
    <t>&amp;=Participant.ENT_EH_PARTICIPANT__CEH_PROJECT_STREET_ADDRESS_LINE_1</t>
  </si>
  <si>
    <t>&amp;=Participant.ENT_EH_PARTICIPANT__CEH_PROJECT_STREET_ADDRESS_LINE_1__R</t>
  </si>
  <si>
    <t>&amp;=Participant.ENT_EH_PARTICIPANT__CEH_PROJECT_STREET_ADDRESS_LINE_2</t>
  </si>
  <si>
    <t>&amp;=Participant.ENT_EH_PARTICIPANT__CEH_PROJECT_STREET_ADDRESS_LINE_2__R</t>
  </si>
  <si>
    <t>&amp;=Participant.ENT_EH_PARTICIPANT__CEH_PROJECT_ZIP_CODE</t>
  </si>
  <si>
    <t>&amp;=Participant.ENT_EH_PARTICIPANT__CEH_PROJECT_ZIP_CODE__R</t>
  </si>
  <si>
    <t>Commerical Sqft.</t>
  </si>
  <si>
    <t>Land</t>
  </si>
  <si>
    <t>Units</t>
  </si>
  <si>
    <t>Original Acq.
Date</t>
  </si>
  <si>
    <t>Ownership Entity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</si>
</sst>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mm/dd/yy"/>
    <numFmt numFmtId="169" formatCode="[$-409]d\-mmm\-yy;@"/>
    <numFmt numFmtId="170" formatCode="&quot;$&quot;#,##0"/>
    <numFmt numFmtId="171" formatCode="m/d/yy;@"/>
    <numFmt numFmtId="172" formatCode="mm/dd/yy;@"/>
    <numFmt numFmtId="173" formatCode="[$-409]mmm\-yy;@"/>
    <numFmt numFmtId="174" formatCode="_(&quot;$&quot;* #,##0_);_(&quot;$&quot;* \(#,##0\);_(&quot;$&quot;* &quot;-&quot;??_);_(@_)"/>
    <numFmt numFmtId="175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sz val="10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2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48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166" fontId="2" fillId="0" borderId="0" xfId="4" applyNumberFormat="1" applyFont="1" applyBorder="1" applyAlignment="1">
      <alignment horizontal="center"/>
    </xf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5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>
      <alignment horizontal="center"/>
    </xf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166" fontId="6" fillId="3" borderId="2" xfId="4" applyNumberFormat="1" applyFont="1" applyFill="1" applyBorder="1" applyAlignment="1">
      <alignment horizontal="center" wrapText="1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7" fontId="6" fillId="3" borderId="6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168" fontId="6" fillId="3" borderId="8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5" fontId="6" fillId="4" borderId="6" xfId="3" applyNumberFormat="1" applyFont="1" applyFill="1" applyBorder="1" applyAlignment="1">
      <alignment horizontal="right"/>
    </xf>
    <xf numFmtId="9" fontId="8" fillId="0" borderId="12" xfId="4" applyNumberFormat="1" applyFont="1" applyFill="1" applyBorder="1" applyAlignment="1"/>
    <xf numFmtId="170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174" fontId="6" fillId="0" borderId="12" xfId="4" applyNumberFormat="1" applyFont="1" applyFill="1" applyBorder="1" applyAlignment="1"/>
    <xf numFmtId="6" fontId="6" fillId="0" borderId="12" xfId="4" applyNumberFormat="1" applyFont="1" applyFill="1" applyBorder="1" applyAlignment="1">
      <alignment horizontal="center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5" fontId="6" fillId="0" borderId="12" xfId="4" applyNumberFormat="1" applyFont="1" applyFill="1" applyBorder="1" applyAlignment="1">
      <alignment horizontal="right"/>
    </xf>
    <xf numFmtId="0" fontId="7" fillId="0" borderId="12" xfId="5" applyFont="1" applyFill="1" applyBorder="1" applyAlignment="1"/>
    <xf numFmtId="0" fontId="20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3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165" fontId="6" fillId="4" borderId="6" xfId="4" applyNumberFormat="1" applyFont="1" applyFill="1" applyBorder="1" applyAlignment="1">
      <alignment horizontal="right"/>
    </xf>
    <xf numFmtId="0" fontId="24" fillId="0" borderId="0" xfId="4" applyFont="1" applyBorder="1" applyAlignment="1"/>
    <xf numFmtId="0" fontId="4" fillId="5" borderId="0" xfId="5" applyFont="1" applyFill="1" applyAlignment="1">
      <alignment horizontal="center" wrapText="1"/>
    </xf>
    <xf numFmtId="164" fontId="18" fillId="0" borderId="1" xfId="0" applyNumberFormat="1" applyFont="1" applyBorder="1" applyAlignment="1">
      <alignment wrapText="1"/>
    </xf>
    <xf numFmtId="165" fontId="12" fillId="5" borderId="2" xfId="4" applyNumberFormat="1" applyFont="1" applyFill="1" applyBorder="1" applyAlignment="1" applyProtection="1">
      <alignment horizontal="center" wrapText="1"/>
      <protection locked="0"/>
    </xf>
    <xf numFmtId="169" fontId="12" fillId="5" borderId="2" xfId="2" applyNumberFormat="1" applyFont="1" applyFill="1" applyBorder="1" applyAlignment="1" applyProtection="1">
      <alignment horizontal="right" wrapText="1"/>
    </xf>
    <xf numFmtId="170" fontId="12" fillId="5" borderId="2" xfId="2" quotePrefix="1" applyNumberFormat="1" applyFont="1" applyFill="1" applyBorder="1" applyAlignment="1" applyProtection="1">
      <alignment horizontal="right" wrapText="1"/>
    </xf>
    <xf numFmtId="165" fontId="12" fillId="0" borderId="2" xfId="3" quotePrefix="1" applyNumberFormat="1" applyFont="1" applyFill="1" applyBorder="1" applyAlignment="1" applyProtection="1">
      <alignment horizontal="center" wrapText="1"/>
    </xf>
    <xf numFmtId="171" fontId="12" fillId="5" borderId="2" xfId="2" applyNumberFormat="1" applyFont="1" applyFill="1" applyBorder="1" applyAlignment="1" applyProtection="1">
      <alignment horizontal="right" wrapText="1"/>
    </xf>
    <xf numFmtId="170" fontId="12" fillId="0" borderId="2" xfId="2" quotePrefix="1" applyNumberFormat="1" applyFont="1" applyFill="1" applyBorder="1" applyAlignment="1" applyProtection="1">
      <alignment horizontal="right" wrapText="1"/>
    </xf>
    <xf numFmtId="10" fontId="12" fillId="0" borderId="2" xfId="3" quotePrefix="1" applyNumberFormat="1" applyFont="1" applyFill="1" applyBorder="1" applyAlignment="1" applyProtection="1">
      <alignment horizontal="center" wrapText="1"/>
    </xf>
    <xf numFmtId="169" fontId="12" fillId="0" borderId="2" xfId="2" applyNumberFormat="1" applyFont="1" applyFill="1" applyBorder="1" applyAlignment="1" applyProtection="1">
      <alignment horizontal="right" wrapText="1"/>
    </xf>
    <xf numFmtId="172" fontId="19" fillId="0" borderId="1" xfId="0" applyNumberFormat="1" applyFont="1" applyBorder="1" applyAlignment="1">
      <alignment wrapText="1"/>
    </xf>
    <xf numFmtId="173" fontId="12" fillId="5" borderId="2" xfId="2" applyNumberFormat="1" applyFont="1" applyFill="1" applyBorder="1" applyAlignment="1" applyProtection="1">
      <alignment horizontal="center" wrapText="1"/>
    </xf>
    <xf numFmtId="42" fontId="12" fillId="0" borderId="2" xfId="2" applyNumberFormat="1" applyFont="1" applyFill="1" applyBorder="1" applyAlignment="1" applyProtection="1">
      <alignment horizontal="right" wrapText="1"/>
    </xf>
    <xf numFmtId="10" fontId="8" fillId="0" borderId="2" xfId="2" applyNumberFormat="1" applyFont="1" applyFill="1" applyBorder="1" applyAlignment="1" applyProtection="1">
      <alignment horizontal="right" wrapText="1"/>
    </xf>
    <xf numFmtId="0" fontId="8" fillId="0" borderId="2" xfId="2" applyNumberFormat="1" applyFont="1" applyFill="1" applyBorder="1" applyAlignment="1" applyProtection="1">
      <alignment horizontal="center" wrapText="1"/>
    </xf>
    <xf numFmtId="10" fontId="8" fillId="0" borderId="2" xfId="4" applyNumberFormat="1" applyFont="1" applyFill="1" applyBorder="1" applyAlignment="1" applyProtection="1">
      <alignment horizontal="center" wrapText="1"/>
      <protection locked="0"/>
    </xf>
    <xf numFmtId="171" fontId="8" fillId="0" borderId="2" xfId="2" applyNumberFormat="1" applyFont="1" applyFill="1" applyBorder="1" applyAlignment="1" applyProtection="1">
      <alignment horizontal="right" wrapText="1"/>
    </xf>
    <xf numFmtId="170" fontId="8" fillId="0" borderId="2" xfId="2" quotePrefix="1" applyNumberFormat="1" applyFont="1" applyFill="1" applyBorder="1" applyAlignment="1" applyProtection="1">
      <alignment horizontal="right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6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0" fillId="0" borderId="13" xfId="3" applyNumberFormat="1" applyFont="1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28" fillId="7" borderId="13" xfId="0" applyFont="1" applyFill="1" applyBorder="1" applyAlignment="1">
      <alignment vertical="center"/>
    </xf>
    <xf numFmtId="0" fontId="25" fillId="0" borderId="13" xfId="0" applyFont="1" applyBorder="1" applyAlignment="1">
      <alignment vertical="center"/>
    </xf>
    <xf numFmtId="0" fontId="28" fillId="7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8" fillId="0" borderId="2" xfId="2" quotePrefix="1" applyNumberFormat="1" applyFont="1" applyFill="1" applyBorder="1" applyAlignment="1" applyProtection="1">
      <alignment horizontal="right"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25" fillId="0" borderId="13" xfId="0" applyFont="1" applyBorder="1" applyAlignment="1" applyProtection="1">
      <alignment vertic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167" fontId="12" fillId="0" borderId="2" xfId="2" applyNumberFormat="1" applyFont="1" applyFill="1" applyBorder="1" applyAlignment="1" applyProtection="1">
      <alignment horizontal="right" wrapText="1"/>
    </xf>
    <xf numFmtId="38" fontId="6" fillId="4" borderId="12" xfId="4" applyNumberFormat="1" applyFont="1" applyFill="1" applyBorder="1" applyAlignment="1">
      <alignment horizontal="right"/>
    </xf>
    <xf numFmtId="0" fontId="25" fillId="0" borderId="14" xfId="0" applyFont="1" applyBorder="1" applyAlignment="1">
      <alignment vertical="center" wrapText="1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7" fontId="6" fillId="3" borderId="5" xfId="4" applyNumberFormat="1" applyFont="1" applyFill="1" applyBorder="1" applyAlignment="1">
      <alignment horizontal="center" wrapText="1"/>
    </xf>
    <xf numFmtId="168" fontId="6" fillId="3" borderId="3" xfId="4" applyNumberFormat="1" applyFont="1" applyFill="1" applyBorder="1" applyAlignment="1">
      <alignment horizontal="center"/>
    </xf>
    <xf numFmtId="168" fontId="6" fillId="3" borderId="4" xfId="4" applyNumberFormat="1" applyFont="1" applyFill="1" applyBorder="1" applyAlignment="1">
      <alignment horizontal="center"/>
    </xf>
    <xf numFmtId="168" fontId="6" fillId="3" borderId="5" xfId="4" applyNumberFormat="1" applyFont="1" applyFill="1" applyBorder="1" applyAlignment="1">
      <alignment horizontal="center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9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Q34"/>
  <sheetViews>
    <sheetView showGridLines="0" tabSelected="1" topLeftCell="A2" zoomScaleNormal="100" zoomScaleSheetLayoutView="50" workbookViewId="0">
      <pane xSplit="2" ySplit="2" topLeftCell="C4" activePane="bottomRight" state="frozen"/>
      <selection activeCell="A2" sqref="A2"/>
      <selection pane="topRight" activeCell="C2" sqref="C2"/>
      <selection pane="bottomLeft" activeCell="A4" sqref="A4"/>
      <selection pane="bottomRight" activeCell="K3" sqref="K3"/>
    </sheetView>
  </sheetViews>
  <sheetFormatPr defaultColWidth="9.140625" defaultRowHeight="15"/>
  <cols>
    <col min="1" max="1" width="3.7109375" style="8" customWidth="1"/>
    <col min="2" max="2" width="23.140625" style="8" customWidth="1"/>
    <col min="3" max="3" width="25.42578125" style="8" customWidth="1"/>
    <col min="4" max="4" width="25.5703125" style="8" customWidth="1"/>
    <col min="5" max="6" width="7.5703125" style="21" customWidth="1"/>
    <col min="7" max="7" width="16" style="8" customWidth="1"/>
    <col min="8" max="9" width="13.5703125" style="8" customWidth="1"/>
    <col min="10" max="11" width="6.85546875" style="8" customWidth="1"/>
    <col min="12" max="12" width="10.42578125" style="8" customWidth="1"/>
    <col min="13" max="13" width="13.42578125" style="9" customWidth="1"/>
    <col min="14" max="14" width="9.5703125" style="9" customWidth="1"/>
    <col min="15" max="16" width="10" style="11" customWidth="1"/>
    <col min="17" max="17" width="11.7109375" style="11" customWidth="1"/>
    <col min="18" max="18" width="12.42578125" style="12" bestFit="1" customWidth="1"/>
    <col min="19" max="20" width="11.140625" style="12" customWidth="1"/>
    <col min="21" max="21" width="11.28515625" style="13" bestFit="1" customWidth="1"/>
    <col min="22" max="22" width="8.5703125" style="13" customWidth="1"/>
    <col min="23" max="23" width="14.5703125" style="13" customWidth="1"/>
    <col min="24" max="24" width="11.140625" style="13" customWidth="1"/>
    <col min="25" max="25" width="14.42578125" style="14" customWidth="1"/>
    <col min="26" max="26" width="12.5703125" style="13" customWidth="1"/>
    <col min="27" max="27" width="7.85546875" style="13" customWidth="1"/>
    <col min="28" max="28" width="10.5703125" style="15" customWidth="1"/>
    <col min="29" max="29" width="15.42578125" style="12" customWidth="1"/>
    <col min="30" max="30" width="15.140625" style="12" customWidth="1"/>
    <col min="31" max="31" width="12.42578125" style="12" bestFit="1" customWidth="1"/>
    <col min="32" max="32" width="10.42578125" style="12" customWidth="1"/>
    <col min="33" max="33" width="12.7109375" style="12" bestFit="1" customWidth="1"/>
    <col min="34" max="34" width="10.140625" style="19" customWidth="1"/>
    <col min="35" max="35" width="11.42578125" style="20" customWidth="1"/>
    <col min="36" max="36" width="10.5703125" style="19" customWidth="1"/>
    <col min="37" max="37" width="13.7109375" style="12" customWidth="1"/>
    <col min="38" max="38" width="9.7109375" style="19" customWidth="1"/>
    <col min="39" max="39" width="10.42578125" style="19" customWidth="1"/>
    <col min="40" max="40" width="9.42578125" style="19" customWidth="1"/>
    <col min="41" max="41" width="12.5703125" style="19" customWidth="1"/>
    <col min="42" max="42" width="8.140625" style="12" customWidth="1"/>
    <col min="43" max="43" width="10.42578125" style="12" customWidth="1"/>
    <col min="44" max="44" width="8.5703125" style="12" customWidth="1"/>
    <col min="45" max="45" width="8.85546875" style="12" customWidth="1"/>
    <col min="46" max="46" width="11.140625" style="13" customWidth="1"/>
    <col min="47" max="47" width="9.85546875" style="13" customWidth="1"/>
    <col min="48" max="48" width="11.28515625" style="12" customWidth="1"/>
    <col min="49" max="49" width="14.42578125" style="2" customWidth="1"/>
    <col min="50" max="50" width="50.140625" style="2" customWidth="1"/>
    <col min="51" max="56" width="9.28515625" style="2" customWidth="1"/>
    <col min="57" max="57" width="8.7109375" style="2" customWidth="1"/>
    <col min="58" max="58" width="12" style="2" customWidth="1"/>
    <col min="59" max="60" width="10.85546875" style="2" customWidth="1"/>
    <col min="61" max="61" width="11.5703125" style="2" customWidth="1"/>
    <col min="62" max="62" width="9.28515625" style="2" customWidth="1"/>
    <col min="63" max="63" width="10.85546875" style="2" customWidth="1"/>
    <col min="64" max="64" width="9.28515625" style="2" customWidth="1"/>
    <col min="65" max="121" width="8.85546875" style="2" customWidth="1"/>
    <col min="122" max="16384" width="9.140625" style="8"/>
  </cols>
  <sheetData>
    <row r="1" spans="1:121" s="1" customFormat="1">
      <c r="A1" s="111"/>
      <c r="B1" s="111"/>
      <c r="C1" s="112"/>
      <c r="D1" s="23"/>
      <c r="E1" s="24"/>
      <c r="F1" s="24"/>
      <c r="G1" s="23"/>
      <c r="H1" s="23"/>
      <c r="I1" s="23"/>
      <c r="J1" s="23"/>
      <c r="K1" s="23"/>
      <c r="L1" s="23" t="s">
        <v>0</v>
      </c>
      <c r="M1" s="25"/>
      <c r="N1" s="25"/>
      <c r="O1" s="26"/>
      <c r="P1" s="26"/>
      <c r="Q1" s="26"/>
      <c r="R1" s="27"/>
      <c r="S1" s="27"/>
      <c r="T1" s="27"/>
      <c r="U1" s="28"/>
      <c r="V1" s="28"/>
      <c r="W1" s="28"/>
      <c r="X1" s="28"/>
      <c r="Y1" s="29"/>
      <c r="Z1" s="28"/>
      <c r="AA1" s="28"/>
      <c r="AB1" s="30"/>
      <c r="AC1" s="27"/>
      <c r="AD1" s="27"/>
      <c r="AE1" s="27"/>
      <c r="AF1" s="27"/>
      <c r="AG1" s="27"/>
      <c r="AH1" s="31"/>
      <c r="AI1" s="32"/>
      <c r="AJ1" s="31"/>
      <c r="AK1" s="27"/>
      <c r="AL1" s="31"/>
      <c r="AM1" s="31"/>
      <c r="AN1" s="31"/>
      <c r="AO1" s="31"/>
      <c r="AP1" s="27"/>
      <c r="AQ1" s="27"/>
      <c r="AR1" s="27"/>
      <c r="AS1" s="27"/>
      <c r="AT1" s="28"/>
      <c r="AU1" s="28"/>
      <c r="AV1" s="27"/>
      <c r="AW1" s="33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</row>
    <row r="2" spans="1:121" s="4" customFormat="1" ht="14.25">
      <c r="A2" s="113"/>
      <c r="B2" s="114" t="s">
        <v>1</v>
      </c>
      <c r="C2" s="115"/>
      <c r="D2" s="34"/>
      <c r="E2" s="34"/>
      <c r="F2" s="34"/>
      <c r="G2" s="34"/>
      <c r="H2" s="34"/>
      <c r="I2" s="34"/>
      <c r="J2" s="34"/>
      <c r="K2" s="34"/>
      <c r="L2" s="35"/>
      <c r="M2" s="141" t="s">
        <v>2</v>
      </c>
      <c r="N2" s="142"/>
      <c r="O2" s="143" t="s">
        <v>3</v>
      </c>
      <c r="P2" s="144"/>
      <c r="Q2" s="145"/>
      <c r="R2" s="126" t="s">
        <v>4</v>
      </c>
      <c r="S2" s="127"/>
      <c r="T2" s="127"/>
      <c r="U2" s="127"/>
      <c r="V2" s="127"/>
      <c r="W2" s="128"/>
      <c r="X2" s="146" t="s">
        <v>5</v>
      </c>
      <c r="Y2" s="136" t="s">
        <v>6</v>
      </c>
      <c r="Z2" s="138" t="s">
        <v>7</v>
      </c>
      <c r="AA2" s="138"/>
      <c r="AB2" s="138"/>
      <c r="AC2" s="126" t="s">
        <v>8</v>
      </c>
      <c r="AD2" s="127"/>
      <c r="AE2" s="127"/>
      <c r="AF2" s="127"/>
      <c r="AG2" s="126" t="s">
        <v>9</v>
      </c>
      <c r="AH2" s="127"/>
      <c r="AI2" s="127"/>
      <c r="AJ2" s="127"/>
      <c r="AK2" s="127"/>
      <c r="AL2" s="127"/>
      <c r="AM2" s="127"/>
      <c r="AN2" s="127"/>
      <c r="AO2" s="128"/>
      <c r="AP2" s="129" t="s">
        <v>10</v>
      </c>
      <c r="AQ2" s="130"/>
      <c r="AR2" s="130"/>
      <c r="AS2" s="131"/>
      <c r="AT2" s="36"/>
      <c r="AU2" s="36"/>
      <c r="AV2" s="132" t="s">
        <v>11</v>
      </c>
      <c r="AW2" s="134" t="s">
        <v>12</v>
      </c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</row>
    <row r="3" spans="1:121" s="6" customFormat="1" ht="57.75" thickBot="1">
      <c r="A3" s="116"/>
      <c r="B3" s="117" t="s">
        <v>13</v>
      </c>
      <c r="C3" s="117" t="s">
        <v>14</v>
      </c>
      <c r="D3" s="37" t="s">
        <v>273</v>
      </c>
      <c r="E3" s="38" t="s">
        <v>15</v>
      </c>
      <c r="F3" s="38" t="s">
        <v>270</v>
      </c>
      <c r="G3" s="38" t="s">
        <v>60</v>
      </c>
      <c r="H3" s="38" t="s">
        <v>61</v>
      </c>
      <c r="I3" s="38" t="s">
        <v>59</v>
      </c>
      <c r="J3" s="38" t="s">
        <v>271</v>
      </c>
      <c r="K3" s="38" t="s">
        <v>269</v>
      </c>
      <c r="L3" s="39" t="s">
        <v>272</v>
      </c>
      <c r="M3" s="39" t="s">
        <v>16</v>
      </c>
      <c r="N3" s="39" t="s">
        <v>17</v>
      </c>
      <c r="O3" s="40" t="s">
        <v>75</v>
      </c>
      <c r="P3" s="40" t="s">
        <v>76</v>
      </c>
      <c r="Q3" s="40" t="s">
        <v>77</v>
      </c>
      <c r="R3" s="41" t="s">
        <v>71</v>
      </c>
      <c r="S3" s="41" t="s">
        <v>49</v>
      </c>
      <c r="T3" s="42" t="s">
        <v>18</v>
      </c>
      <c r="U3" s="43" t="s">
        <v>72</v>
      </c>
      <c r="V3" s="43" t="s">
        <v>19</v>
      </c>
      <c r="W3" s="43" t="s">
        <v>20</v>
      </c>
      <c r="X3" s="147"/>
      <c r="Y3" s="137"/>
      <c r="Z3" s="44" t="s">
        <v>21</v>
      </c>
      <c r="AA3" s="36" t="s">
        <v>22</v>
      </c>
      <c r="AB3" s="36" t="s">
        <v>23</v>
      </c>
      <c r="AC3" s="41" t="s">
        <v>24</v>
      </c>
      <c r="AD3" s="41" t="s">
        <v>25</v>
      </c>
      <c r="AE3" s="41" t="s">
        <v>26</v>
      </c>
      <c r="AF3" s="45" t="s">
        <v>27</v>
      </c>
      <c r="AG3" s="41" t="s">
        <v>69</v>
      </c>
      <c r="AH3" s="46" t="s">
        <v>28</v>
      </c>
      <c r="AI3" s="41" t="s">
        <v>29</v>
      </c>
      <c r="AJ3" s="46" t="s">
        <v>28</v>
      </c>
      <c r="AK3" s="41" t="s">
        <v>30</v>
      </c>
      <c r="AL3" s="46" t="s">
        <v>31</v>
      </c>
      <c r="AM3" s="46" t="s">
        <v>32</v>
      </c>
      <c r="AN3" s="46" t="s">
        <v>33</v>
      </c>
      <c r="AO3" s="46" t="s">
        <v>34</v>
      </c>
      <c r="AP3" s="47" t="s">
        <v>35</v>
      </c>
      <c r="AQ3" s="47" t="s">
        <v>36</v>
      </c>
      <c r="AR3" s="47" t="s">
        <v>37</v>
      </c>
      <c r="AS3" s="47" t="s">
        <v>38</v>
      </c>
      <c r="AT3" s="48" t="s">
        <v>39</v>
      </c>
      <c r="AU3" s="48" t="s">
        <v>40</v>
      </c>
      <c r="AV3" s="133"/>
      <c r="AW3" s="135"/>
      <c r="AX3" s="5"/>
      <c r="AY3" s="5" t="s">
        <v>42</v>
      </c>
      <c r="AZ3" s="5" t="s">
        <v>43</v>
      </c>
      <c r="BA3" s="5" t="s">
        <v>44</v>
      </c>
      <c r="BB3" s="5" t="s">
        <v>45</v>
      </c>
      <c r="BC3" s="5" t="s">
        <v>78</v>
      </c>
      <c r="BD3" s="5" t="s">
        <v>46</v>
      </c>
      <c r="BE3" s="78" t="s">
        <v>47</v>
      </c>
      <c r="BF3" s="5" t="s">
        <v>48</v>
      </c>
      <c r="BG3" s="5" t="s">
        <v>41</v>
      </c>
      <c r="BH3" s="5" t="s">
        <v>79</v>
      </c>
      <c r="BI3" s="5" t="s">
        <v>49</v>
      </c>
      <c r="BJ3" s="5" t="s">
        <v>50</v>
      </c>
      <c r="BK3" s="5" t="s">
        <v>51</v>
      </c>
      <c r="BL3" s="5" t="s">
        <v>52</v>
      </c>
      <c r="BM3" s="5" t="s">
        <v>80</v>
      </c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</row>
    <row r="4" spans="1:121" s="100" customFormat="1" ht="39" customHeight="1" thickTop="1">
      <c r="A4" s="118">
        <v>1</v>
      </c>
      <c r="B4" s="119" t="s">
        <v>102</v>
      </c>
      <c r="C4" s="119" t="str">
        <f>CONCATENATE(Participants!D$2,Participants!E$2,Participants!F$2,Participants!G$2,Participants!H$2,Participants!I$2)</f>
        <v>&amp;=Participant.EH_PROJECT_STREET_ADDRESS_LINE_1&amp;=Participant.EH_PROJECT_STREET_ADDRESS_LINE_2&amp;=Participant.EH_PROJECT_CITY__R&amp;=Participant.EH_PROJECT_STATE&amp;=Participant.EH_PROJECT_COUNTY&amp;=Participant.EH_PROJECT_ZIP_CODE</v>
      </c>
      <c r="D4" s="105" t="s">
        <v>103</v>
      </c>
      <c r="E4" s="105" t="s">
        <v>106</v>
      </c>
      <c r="F4" s="105"/>
      <c r="G4" s="105" t="s">
        <v>108</v>
      </c>
      <c r="H4" s="105" t="s">
        <v>109</v>
      </c>
      <c r="I4" s="105" t="s">
        <v>105</v>
      </c>
      <c r="J4" s="105" t="s">
        <v>173</v>
      </c>
      <c r="K4" s="125"/>
      <c r="L4" s="79"/>
      <c r="M4" s="102" t="s">
        <v>111</v>
      </c>
      <c r="N4" s="104" t="s">
        <v>112</v>
      </c>
      <c r="O4" s="80"/>
      <c r="P4" s="80" t="str">
        <f>IF(ISERROR(INDEX(Occupancy!$E$2:$E$300,MATCH(Participants!$A$2,Occupancy!$A$2:$A$300,0))),"-",INDEX(Occupancy!$E$2:$E$300,MATCH(Participants!$A$2,Occupancy!$A$2:$A$300,0)))</f>
        <v>-</v>
      </c>
      <c r="Q4" s="81" t="str">
        <f>IF(ISERROR(INDEX(Occupancy!$F$2:$F$300,MATCH(Participants!$A$2,Occupancy!$A$2:$A$300,0))),"-",INDEX(Occupancy!$F$2:$F$300,MATCH(Participants!$A$2,Occupancy!$A$2:$A$300,0)))</f>
        <v>-</v>
      </c>
      <c r="R4" s="82" t="str">
        <f>IF(ISERROR(INDEX(Financial!$N$2:$N$300,MATCH(Participants!$A$2,Financial!$B$2:$B$300,0))),"-",INDEX(Financial!$N$2:$N$300,MATCH(Participants!$A$2,Financial!$B$2:$B$300,0)))</f>
        <v>-</v>
      </c>
      <c r="S4" s="82">
        <f>IF(ISERROR($BI4),"-",$BI4)</f>
        <v>0</v>
      </c>
      <c r="T4" s="83" t="str">
        <f>IF(ISERROR(+$S4/$R4),"-",+$S4/$R4)</f>
        <v>-</v>
      </c>
      <c r="U4" s="82" t="str">
        <f>IF(ISERROR(+$R4-$S4),"-",+$R4-$S4)</f>
        <v>-</v>
      </c>
      <c r="V4" s="84"/>
      <c r="W4" s="75"/>
      <c r="X4" s="85">
        <f>IF(ISERROR($BL4),"-",$BL4)</f>
        <v>0</v>
      </c>
      <c r="Y4" s="123" t="str">
        <f>IF(ISERROR(IF($U4&gt;0,$U4/$X4,0)),"-",IF($U4&gt;0,$U4/$X4,0))</f>
        <v>-</v>
      </c>
      <c r="Z4" s="85" t="str">
        <f>IF(ISERROR($U4/$AA4),"-",$U4/$AA4)</f>
        <v>-</v>
      </c>
      <c r="AA4" s="86">
        <f>exit_cap_rate</f>
        <v>0.06</v>
      </c>
      <c r="AB4" s="87">
        <f>$V4</f>
        <v>0</v>
      </c>
      <c r="AC4" s="49"/>
      <c r="AD4" s="50"/>
      <c r="AE4" s="85"/>
      <c r="AF4" s="88"/>
      <c r="AG4" s="82"/>
      <c r="AH4" s="89"/>
      <c r="AI4" s="82"/>
      <c r="AJ4" s="89"/>
      <c r="AK4" s="85">
        <f>+$AG4+$AI4</f>
        <v>0</v>
      </c>
      <c r="AL4" s="90"/>
      <c r="AM4" s="90"/>
      <c r="AN4" s="91"/>
      <c r="AO4" s="92"/>
      <c r="AP4" s="93"/>
      <c r="AQ4" s="93"/>
      <c r="AR4" s="93"/>
      <c r="AS4" s="94"/>
      <c r="AT4" s="95" t="str">
        <f>IF(ISERROR($U4-$X4),"-",$U4-$X4)</f>
        <v>-</v>
      </c>
      <c r="AU4" s="95" t="str">
        <f>IF(ISERROR($AT4*$N4),"-",$AT4*$N4)</f>
        <v>-</v>
      </c>
      <c r="AV4" s="110" t="str">
        <f>IF(ISERROR(+$N4*($Z4-$AK4)),"-",+$N4*($Z4-$AK4))</f>
        <v>-</v>
      </c>
      <c r="AW4" s="96"/>
      <c r="AX4" s="97"/>
      <c r="AY4" s="98"/>
      <c r="AZ4" s="98"/>
      <c r="BA4" s="98"/>
      <c r="BB4" s="98"/>
      <c r="BC4" s="99"/>
      <c r="BD4" s="98"/>
      <c r="BE4" s="99"/>
      <c r="BF4" s="98"/>
      <c r="BG4" s="98">
        <f>SUM($AY4:$BF4)</f>
        <v>0</v>
      </c>
      <c r="BH4" s="98"/>
      <c r="BI4" s="98">
        <f>BG4-BF4-BD4-BC4</f>
        <v>0</v>
      </c>
      <c r="BJ4" s="98">
        <f>BC4</f>
        <v>0</v>
      </c>
      <c r="BK4" s="99"/>
      <c r="BL4" s="98">
        <f>BK4+BJ4</f>
        <v>0</v>
      </c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7"/>
      <c r="CY4" s="97"/>
      <c r="CZ4" s="97"/>
      <c r="DA4" s="97"/>
      <c r="DB4" s="97"/>
      <c r="DC4" s="97"/>
      <c r="DD4" s="97"/>
      <c r="DE4" s="97"/>
      <c r="DF4" s="97"/>
      <c r="DG4" s="97"/>
      <c r="DH4" s="97"/>
      <c r="DI4" s="97"/>
      <c r="DJ4" s="97"/>
      <c r="DK4" s="97"/>
      <c r="DL4" s="97"/>
      <c r="DM4" s="97"/>
      <c r="DN4" s="97"/>
      <c r="DO4" s="97"/>
      <c r="DP4" s="97"/>
      <c r="DQ4" s="97"/>
    </row>
    <row r="5" spans="1:121" s="7" customFormat="1">
      <c r="A5" s="120"/>
      <c r="B5" s="121" t="s">
        <v>41</v>
      </c>
      <c r="C5" s="122"/>
      <c r="D5" s="51"/>
      <c r="E5" s="52"/>
      <c r="F5" s="52"/>
      <c r="G5" s="53"/>
      <c r="H5" s="53"/>
      <c r="I5" s="53"/>
      <c r="J5" s="54">
        <f>SUM(J4:J4)</f>
        <v>0</v>
      </c>
      <c r="K5" s="124"/>
      <c r="L5" s="53"/>
      <c r="M5" s="55"/>
      <c r="N5" s="103" t="s">
        <v>83</v>
      </c>
      <c r="O5" s="56" t="e">
        <f>AVERAGE(O4:O4)</f>
        <v>#DIV/0!</v>
      </c>
      <c r="P5" s="76" t="e">
        <f>AVERAGE(P4:P4)</f>
        <v>#DIV/0!</v>
      </c>
      <c r="Q5" s="57"/>
      <c r="R5" s="58">
        <f>SUM(R4:R4)</f>
        <v>0</v>
      </c>
      <c r="S5" s="58">
        <f>SUM(S4:S4)</f>
        <v>0</v>
      </c>
      <c r="T5" s="59" t="e">
        <f>+S5/R5</f>
        <v>#DIV/0!</v>
      </c>
      <c r="U5" s="58">
        <f>SUM(U4:U4)</f>
        <v>0</v>
      </c>
      <c r="V5" s="60"/>
      <c r="W5" s="60"/>
      <c r="X5" s="58">
        <f>SUM(X4:X4)</f>
        <v>0</v>
      </c>
      <c r="Y5" s="61">
        <f>IF(U5&gt;0,U5/X5,0)</f>
        <v>0</v>
      </c>
      <c r="Z5" s="58">
        <f>SUM(Z4:Z4)</f>
        <v>0</v>
      </c>
      <c r="AA5" s="62"/>
      <c r="AB5" s="63"/>
      <c r="AC5" s="64"/>
      <c r="AD5" s="64"/>
      <c r="AE5" s="58">
        <f>SUM(AE4:AE4)</f>
        <v>0</v>
      </c>
      <c r="AF5" s="64"/>
      <c r="AG5" s="58">
        <f>SUM(AG4:AG4)</f>
        <v>0</v>
      </c>
      <c r="AH5" s="65"/>
      <c r="AI5" s="58">
        <f>SUM(AI4:AI4)</f>
        <v>0</v>
      </c>
      <c r="AJ5" s="65"/>
      <c r="AK5" s="58">
        <f>SUM(AK4:AK4)</f>
        <v>0</v>
      </c>
      <c r="AL5" s="66"/>
      <c r="AM5" s="66"/>
      <c r="AN5" s="66"/>
      <c r="AO5" s="66"/>
      <c r="AP5" s="67"/>
      <c r="AQ5" s="67"/>
      <c r="AR5" s="67"/>
      <c r="AS5" s="67"/>
      <c r="AT5" s="58">
        <f>SUM(AT4:AT4)</f>
        <v>0</v>
      </c>
      <c r="AU5" s="58">
        <f>SUM(AU4:AU4)</f>
        <v>0</v>
      </c>
      <c r="AV5" s="58">
        <f>SUM(AV4:AV4)</f>
        <v>0</v>
      </c>
      <c r="AW5" s="68"/>
      <c r="AX5" s="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</row>
    <row r="6" spans="1:121" s="7" customFormat="1" hidden="1">
      <c r="A6" s="8"/>
      <c r="B6" s="8"/>
      <c r="C6" s="139"/>
      <c r="D6" s="139"/>
      <c r="E6" s="140"/>
      <c r="F6" s="140"/>
      <c r="G6" s="140"/>
      <c r="H6" s="140"/>
      <c r="I6" s="140"/>
      <c r="J6" s="140"/>
      <c r="K6" s="140"/>
      <c r="L6" s="140"/>
      <c r="M6" s="140"/>
      <c r="N6" s="9"/>
      <c r="O6" s="10"/>
      <c r="P6" s="10"/>
      <c r="Q6" s="11"/>
      <c r="R6" s="12"/>
      <c r="S6" s="12"/>
      <c r="T6" s="12"/>
      <c r="U6" s="13"/>
      <c r="V6" s="13"/>
      <c r="W6" s="13"/>
      <c r="X6" s="13"/>
      <c r="Y6" s="14"/>
      <c r="Z6" s="13"/>
      <c r="AA6" s="13"/>
      <c r="AB6" s="15"/>
      <c r="AC6" s="12"/>
      <c r="AD6" s="12"/>
      <c r="AE6" s="12"/>
      <c r="AF6" s="12"/>
      <c r="AG6" s="12"/>
      <c r="AH6" s="16"/>
      <c r="AI6" s="17"/>
      <c r="AJ6" s="16"/>
      <c r="AK6" s="18"/>
      <c r="AL6" s="16"/>
      <c r="AM6" s="16"/>
      <c r="AN6" s="16"/>
      <c r="AO6" s="16"/>
      <c r="AP6" s="12"/>
      <c r="AQ6" s="12"/>
      <c r="AR6" s="12"/>
      <c r="AS6" s="12"/>
      <c r="AT6" s="13"/>
      <c r="AU6" s="13"/>
      <c r="AV6" s="1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</row>
    <row r="7" spans="1:121" hidden="1">
      <c r="B7" s="69" t="s">
        <v>53</v>
      </c>
      <c r="C7" s="2"/>
      <c r="D7" s="2"/>
      <c r="E7" s="3"/>
      <c r="F7" s="3"/>
      <c r="G7" s="2"/>
      <c r="H7" s="2"/>
      <c r="I7" s="2"/>
      <c r="J7" s="2"/>
      <c r="K7" s="2"/>
    </row>
    <row r="8" spans="1:121" hidden="1">
      <c r="B8" s="70" t="s">
        <v>54</v>
      </c>
      <c r="C8" s="2"/>
      <c r="D8" s="2"/>
      <c r="E8" s="3"/>
      <c r="F8" s="3"/>
      <c r="G8" s="2"/>
      <c r="H8" s="2"/>
      <c r="I8" s="2"/>
      <c r="J8" s="2"/>
      <c r="K8" s="2"/>
    </row>
    <row r="9" spans="1:121" hidden="1">
      <c r="B9" s="2" t="s">
        <v>62</v>
      </c>
      <c r="C9" s="2"/>
      <c r="D9" s="2"/>
      <c r="E9" s="3"/>
      <c r="F9" s="3"/>
      <c r="G9" s="2"/>
      <c r="H9" s="2"/>
      <c r="I9" s="2"/>
      <c r="J9" s="2"/>
      <c r="K9" s="2"/>
    </row>
    <row r="10" spans="1:121" hidden="1">
      <c r="B10" s="2" t="s">
        <v>63</v>
      </c>
      <c r="C10" s="2"/>
      <c r="D10" s="2"/>
      <c r="E10" s="3"/>
      <c r="F10" s="3"/>
      <c r="G10" s="2"/>
      <c r="H10" s="2"/>
      <c r="I10" s="2"/>
      <c r="J10" s="2"/>
      <c r="K10" s="2"/>
    </row>
    <row r="11" spans="1:121" hidden="1">
      <c r="B11" s="2" t="s">
        <v>55</v>
      </c>
      <c r="C11" s="2"/>
      <c r="D11" s="2"/>
      <c r="E11" s="3"/>
      <c r="F11" s="3"/>
      <c r="G11" s="2"/>
      <c r="H11" s="2"/>
      <c r="I11" s="2"/>
      <c r="J11" s="2"/>
      <c r="K11" s="2"/>
    </row>
    <row r="12" spans="1:121" hidden="1">
      <c r="B12" s="2" t="s">
        <v>56</v>
      </c>
      <c r="C12" s="2"/>
      <c r="D12" s="2"/>
      <c r="E12" s="3"/>
      <c r="F12" s="3"/>
      <c r="G12" s="2">
        <f>COUNT(J4:J4)</f>
        <v>0</v>
      </c>
      <c r="H12" s="2"/>
      <c r="I12" s="2"/>
      <c r="J12" s="71">
        <f>J5</f>
        <v>0</v>
      </c>
      <c r="K12" s="71"/>
    </row>
    <row r="13" spans="1:121" hidden="1">
      <c r="B13" s="2" t="e">
        <f>#REF!</f>
        <v>#REF!</v>
      </c>
      <c r="C13" s="2"/>
      <c r="D13" s="2"/>
      <c r="E13" s="3"/>
      <c r="F13" s="3"/>
      <c r="G13" s="2">
        <v>-1</v>
      </c>
      <c r="H13" s="2"/>
      <c r="I13" s="2"/>
      <c r="J13" s="72" t="e">
        <f>-#REF!</f>
        <v>#REF!</v>
      </c>
      <c r="K13" s="72"/>
    </row>
    <row r="14" spans="1:121" hidden="1">
      <c r="B14" s="2" t="e">
        <f>#REF!</f>
        <v>#REF!</v>
      </c>
      <c r="C14" s="2"/>
      <c r="D14" s="2"/>
      <c r="E14" s="3"/>
      <c r="F14" s="3"/>
      <c r="G14" s="2">
        <v>-1</v>
      </c>
      <c r="H14" s="2"/>
      <c r="I14" s="2"/>
      <c r="J14" s="72" t="e">
        <f>-#REF!</f>
        <v>#REF!</v>
      </c>
      <c r="K14" s="72"/>
    </row>
    <row r="15" spans="1:121" hidden="1">
      <c r="B15" s="2" t="e">
        <f>#REF!</f>
        <v>#REF!</v>
      </c>
      <c r="C15" s="2"/>
      <c r="D15" s="2"/>
      <c r="E15" s="3"/>
      <c r="F15" s="3"/>
      <c r="G15" s="2">
        <v>-1</v>
      </c>
      <c r="H15" s="2"/>
      <c r="I15" s="2"/>
      <c r="J15" s="72" t="e">
        <f>-#REF!</f>
        <v>#REF!</v>
      </c>
      <c r="K15" s="72"/>
    </row>
    <row r="16" spans="1:121" hidden="1">
      <c r="B16" s="2" t="s">
        <v>57</v>
      </c>
      <c r="C16" s="2"/>
      <c r="D16" s="2"/>
      <c r="E16" s="3"/>
      <c r="F16" s="3"/>
      <c r="G16" s="2">
        <v>1</v>
      </c>
      <c r="H16" s="2"/>
      <c r="I16" s="2"/>
      <c r="J16" s="2">
        <v>75</v>
      </c>
      <c r="K16" s="2"/>
    </row>
    <row r="17" spans="2:15" hidden="1"/>
    <row r="18" spans="2:15" hidden="1">
      <c r="B18" s="8" t="s">
        <v>58</v>
      </c>
      <c r="G18" s="8">
        <v>1</v>
      </c>
      <c r="J18" s="8">
        <v>130</v>
      </c>
    </row>
    <row r="19" spans="2:15" hidden="1"/>
    <row r="20" spans="2:15" hidden="1">
      <c r="G20" s="8">
        <f>SUM(G12:G18)</f>
        <v>-1</v>
      </c>
      <c r="J20" s="8" t="e">
        <f>SUM(J12:J18)</f>
        <v>#REF!</v>
      </c>
    </row>
    <row r="21" spans="2:15">
      <c r="O21" s="11" t="s">
        <v>81</v>
      </c>
    </row>
    <row r="23" spans="2:15" ht="18.75">
      <c r="B23" s="8" t="s">
        <v>65</v>
      </c>
      <c r="C23" s="77" t="s">
        <v>73</v>
      </c>
    </row>
    <row r="24" spans="2:15">
      <c r="B24" s="8" t="s">
        <v>64</v>
      </c>
      <c r="C24" s="8" t="s">
        <v>68</v>
      </c>
    </row>
    <row r="25" spans="2:15">
      <c r="B25" s="8" t="s">
        <v>66</v>
      </c>
      <c r="C25" s="8" t="s">
        <v>74</v>
      </c>
    </row>
    <row r="26" spans="2:15">
      <c r="B26" s="8" t="s">
        <v>67</v>
      </c>
      <c r="C26" s="73">
        <v>42844</v>
      </c>
    </row>
    <row r="29" spans="2:15">
      <c r="D29" s="8" t="s">
        <v>70</v>
      </c>
      <c r="E29" s="74">
        <v>0.06</v>
      </c>
      <c r="F29" s="74"/>
    </row>
    <row r="32" spans="2:15">
      <c r="B32" s="101" t="s">
        <v>83</v>
      </c>
      <c r="C32"/>
      <c r="D32"/>
      <c r="E32"/>
      <c r="F32"/>
      <c r="G32"/>
      <c r="H32"/>
    </row>
    <row r="34" spans="2:3">
      <c r="B34" s="101" t="s">
        <v>83</v>
      </c>
      <c r="C34"/>
    </row>
  </sheetData>
  <mergeCells count="12">
    <mergeCell ref="Y2:Y3"/>
    <mergeCell ref="Z2:AB2"/>
    <mergeCell ref="C6:M6"/>
    <mergeCell ref="M2:N2"/>
    <mergeCell ref="O2:Q2"/>
    <mergeCell ref="R2:W2"/>
    <mergeCell ref="X2:X3"/>
    <mergeCell ref="AC2:AF2"/>
    <mergeCell ref="AG2:AO2"/>
    <mergeCell ref="AP2:AS2"/>
    <mergeCell ref="AV2:AV3"/>
    <mergeCell ref="AW2:AW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2"/>
  <sheetViews>
    <sheetView topLeftCell="H1" zoomScale="70" zoomScaleNormal="70" workbookViewId="0">
      <selection activeCell="L2" sqref="L2"/>
    </sheetView>
  </sheetViews>
  <sheetFormatPr defaultRowHeight="15"/>
  <cols>
    <col min="1" max="1" width="28" customWidth="1"/>
    <col min="2" max="2" width="18.28515625" customWidth="1"/>
    <col min="3" max="3" width="34.28515625" customWidth="1"/>
    <col min="4" max="5" width="15.140625" customWidth="1"/>
    <col min="6" max="9" width="44.5703125" customWidth="1"/>
    <col min="10" max="10" width="39.140625" customWidth="1"/>
    <col min="11" max="11" width="19" customWidth="1"/>
    <col min="12" max="12" width="17.7109375" customWidth="1"/>
    <col min="13" max="13" width="22.85546875" customWidth="1"/>
    <col min="14" max="14" width="59.42578125" customWidth="1"/>
    <col min="15" max="15" width="26.28515625" customWidth="1"/>
    <col min="16" max="16" width="31.28515625" customWidth="1"/>
  </cols>
  <sheetData>
    <row r="1" spans="1:52" s="109" customFormat="1" ht="120">
      <c r="A1" s="108" t="s">
        <v>100</v>
      </c>
      <c r="B1" s="108" t="s">
        <v>89</v>
      </c>
      <c r="C1" s="108" t="s">
        <v>90</v>
      </c>
      <c r="D1" s="108" t="s">
        <v>234</v>
      </c>
      <c r="E1" s="108" t="s">
        <v>236</v>
      </c>
      <c r="F1" s="108" t="s">
        <v>113</v>
      </c>
      <c r="G1" s="108" t="s">
        <v>232</v>
      </c>
      <c r="H1" s="108" t="s">
        <v>230</v>
      </c>
      <c r="I1" s="108" t="s">
        <v>238</v>
      </c>
      <c r="J1" s="108" t="s">
        <v>94</v>
      </c>
      <c r="K1" s="108" t="s">
        <v>114</v>
      </c>
      <c r="L1" s="108" t="s">
        <v>92</v>
      </c>
      <c r="M1" s="108" t="s">
        <v>115</v>
      </c>
      <c r="N1" s="108" t="s">
        <v>116</v>
      </c>
      <c r="O1" s="108" t="s">
        <v>117</v>
      </c>
      <c r="P1" s="108" t="s">
        <v>118</v>
      </c>
      <c r="Q1" s="108" t="s">
        <v>119</v>
      </c>
      <c r="R1" s="108" t="s">
        <v>86</v>
      </c>
      <c r="S1" s="108" t="s">
        <v>120</v>
      </c>
      <c r="T1" s="108" t="s">
        <v>93</v>
      </c>
      <c r="U1" s="108" t="s">
        <v>121</v>
      </c>
      <c r="V1" s="108" t="s">
        <v>87</v>
      </c>
      <c r="W1" s="108" t="s">
        <v>122</v>
      </c>
      <c r="X1" s="108" t="s">
        <v>88</v>
      </c>
      <c r="Y1" s="108" t="s">
        <v>123</v>
      </c>
      <c r="Z1" s="108" t="s">
        <v>124</v>
      </c>
      <c r="AA1" s="108" t="s">
        <v>125</v>
      </c>
      <c r="AB1" s="108" t="s">
        <v>126</v>
      </c>
      <c r="AC1" s="108" t="s">
        <v>127</v>
      </c>
      <c r="AD1" s="108" t="s">
        <v>128</v>
      </c>
      <c r="AE1" s="108" t="s">
        <v>91</v>
      </c>
      <c r="AF1" s="108" t="s">
        <v>129</v>
      </c>
      <c r="AG1" s="108" t="s">
        <v>130</v>
      </c>
      <c r="AH1" s="108" t="s">
        <v>131</v>
      </c>
      <c r="AI1" s="108" t="s">
        <v>132</v>
      </c>
      <c r="AJ1" s="108" t="s">
        <v>133</v>
      </c>
      <c r="AK1" s="108" t="s">
        <v>134</v>
      </c>
      <c r="AL1" s="108" t="s">
        <v>135</v>
      </c>
      <c r="AM1" s="108" t="s">
        <v>136</v>
      </c>
      <c r="AN1" s="108" t="s">
        <v>137</v>
      </c>
      <c r="AO1" s="108" t="s">
        <v>138</v>
      </c>
      <c r="AP1" s="108" t="s">
        <v>139</v>
      </c>
      <c r="AQ1" s="108" t="s">
        <v>140</v>
      </c>
      <c r="AR1" s="108" t="s">
        <v>141</v>
      </c>
      <c r="AS1" s="108" t="s">
        <v>142</v>
      </c>
      <c r="AT1" s="108" t="s">
        <v>82</v>
      </c>
      <c r="AU1" s="108" t="s">
        <v>84</v>
      </c>
      <c r="AV1" s="108" t="s">
        <v>143</v>
      </c>
      <c r="AW1" s="108" t="s">
        <v>144</v>
      </c>
      <c r="AX1" s="108" t="s">
        <v>145</v>
      </c>
      <c r="AY1" s="108" t="s">
        <v>146</v>
      </c>
      <c r="AZ1" s="108" t="s">
        <v>147</v>
      </c>
    </row>
    <row r="2" spans="1:52" s="109" customFormat="1" ht="144">
      <c r="A2" s="105" t="s">
        <v>101</v>
      </c>
      <c r="B2" s="105" t="s">
        <v>102</v>
      </c>
      <c r="C2" s="105" t="s">
        <v>103</v>
      </c>
      <c r="D2" s="105" t="s">
        <v>254</v>
      </c>
      <c r="E2" s="105" t="s">
        <v>256</v>
      </c>
      <c r="F2" s="105" t="s">
        <v>148</v>
      </c>
      <c r="G2" s="105" t="s">
        <v>252</v>
      </c>
      <c r="H2" s="105" t="s">
        <v>250</v>
      </c>
      <c r="I2" s="105" t="s">
        <v>258</v>
      </c>
      <c r="J2" s="105" t="s">
        <v>149</v>
      </c>
      <c r="K2" s="105" t="s">
        <v>150</v>
      </c>
      <c r="L2" s="105" t="s">
        <v>105</v>
      </c>
      <c r="M2" s="105" t="s">
        <v>151</v>
      </c>
      <c r="N2" s="105" t="s">
        <v>152</v>
      </c>
      <c r="O2" s="105" t="s">
        <v>153</v>
      </c>
      <c r="P2" s="105" t="s">
        <v>154</v>
      </c>
      <c r="Q2" s="105" t="s">
        <v>155</v>
      </c>
      <c r="R2" s="105" t="s">
        <v>106</v>
      </c>
      <c r="S2" s="105" t="s">
        <v>156</v>
      </c>
      <c r="T2" s="105" t="s">
        <v>107</v>
      </c>
      <c r="U2" s="105" t="s">
        <v>157</v>
      </c>
      <c r="V2" s="105" t="s">
        <v>108</v>
      </c>
      <c r="W2" s="105" t="s">
        <v>158</v>
      </c>
      <c r="X2" s="105" t="s">
        <v>109</v>
      </c>
      <c r="Y2" s="105" t="s">
        <v>159</v>
      </c>
      <c r="Z2" s="105" t="s">
        <v>160</v>
      </c>
      <c r="AA2" s="105" t="s">
        <v>161</v>
      </c>
      <c r="AB2" s="105" t="s">
        <v>162</v>
      </c>
      <c r="AC2" s="105" t="s">
        <v>163</v>
      </c>
      <c r="AD2" s="105" t="s">
        <v>164</v>
      </c>
      <c r="AE2" s="105" t="s">
        <v>110</v>
      </c>
      <c r="AF2" s="105" t="s">
        <v>165</v>
      </c>
      <c r="AG2" s="105" t="s">
        <v>166</v>
      </c>
      <c r="AH2" s="105" t="s">
        <v>167</v>
      </c>
      <c r="AI2" s="105" t="s">
        <v>168</v>
      </c>
      <c r="AJ2" s="105" t="s">
        <v>169</v>
      </c>
      <c r="AK2" s="105" t="s">
        <v>170</v>
      </c>
      <c r="AL2" s="105" t="s">
        <v>171</v>
      </c>
      <c r="AM2" s="105" t="s">
        <v>172</v>
      </c>
      <c r="AN2" s="105" t="s">
        <v>173</v>
      </c>
      <c r="AO2" s="105" t="s">
        <v>174</v>
      </c>
      <c r="AP2" s="105" t="s">
        <v>175</v>
      </c>
      <c r="AQ2" s="105" t="s">
        <v>176</v>
      </c>
      <c r="AR2" s="105" t="s">
        <v>177</v>
      </c>
      <c r="AS2" s="105" t="s">
        <v>178</v>
      </c>
      <c r="AT2" s="105" t="s">
        <v>111</v>
      </c>
      <c r="AU2" s="105" t="s">
        <v>112</v>
      </c>
      <c r="AV2" s="105" t="s">
        <v>179</v>
      </c>
      <c r="AW2" s="105" t="s">
        <v>180</v>
      </c>
      <c r="AX2" s="105" t="s">
        <v>181</v>
      </c>
      <c r="AY2" s="105" t="s">
        <v>182</v>
      </c>
      <c r="AZ2" s="105" t="s">
        <v>183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workbookViewId="0">
      <selection activeCell="A6" sqref="A6"/>
    </sheetView>
  </sheetViews>
  <sheetFormatPr defaultRowHeight="15"/>
  <cols>
    <col min="1" max="1" width="16.85546875" customWidth="1"/>
    <col min="2" max="2" width="30.5703125" customWidth="1"/>
    <col min="3" max="3" width="39.85546875" customWidth="1"/>
  </cols>
  <sheetData>
    <row r="1" spans="1:9">
      <c r="A1" s="106" t="s">
        <v>94</v>
      </c>
      <c r="B1" s="106" t="s">
        <v>114</v>
      </c>
      <c r="C1" s="106" t="s">
        <v>184</v>
      </c>
      <c r="D1" s="106" t="s">
        <v>185</v>
      </c>
      <c r="E1" s="106" t="s">
        <v>95</v>
      </c>
      <c r="F1" s="106" t="s">
        <v>96</v>
      </c>
      <c r="G1" s="106" t="s">
        <v>145</v>
      </c>
      <c r="H1" s="106" t="s">
        <v>186</v>
      </c>
      <c r="I1" s="106" t="s">
        <v>187</v>
      </c>
    </row>
    <row r="2" spans="1:9">
      <c r="A2" s="107" t="s">
        <v>97</v>
      </c>
      <c r="B2" s="107" t="s">
        <v>188</v>
      </c>
      <c r="C2" s="107" t="s">
        <v>189</v>
      </c>
      <c r="D2" s="107" t="s">
        <v>190</v>
      </c>
      <c r="E2" s="107" t="s">
        <v>98</v>
      </c>
      <c r="F2" s="107" t="s">
        <v>99</v>
      </c>
      <c r="G2" s="107" t="s">
        <v>191</v>
      </c>
      <c r="H2" s="107" t="s">
        <v>192</v>
      </c>
      <c r="I2" s="107" t="s">
        <v>193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"/>
  <sheetViews>
    <sheetView workbookViewId="0">
      <selection activeCell="A2" sqref="A2"/>
    </sheetView>
  </sheetViews>
  <sheetFormatPr defaultRowHeight="15"/>
  <sheetData>
    <row r="1" spans="1:19">
      <c r="A1" s="106" t="s">
        <v>194</v>
      </c>
      <c r="B1" s="106" t="s">
        <v>94</v>
      </c>
      <c r="C1" s="106" t="s">
        <v>195</v>
      </c>
      <c r="D1" s="106" t="s">
        <v>196</v>
      </c>
      <c r="E1" s="106" t="s">
        <v>197</v>
      </c>
      <c r="F1" s="106" t="s">
        <v>198</v>
      </c>
      <c r="G1" s="106" t="s">
        <v>199</v>
      </c>
      <c r="H1" s="106" t="s">
        <v>200</v>
      </c>
      <c r="I1" s="106" t="s">
        <v>201</v>
      </c>
      <c r="J1" s="106" t="s">
        <v>114</v>
      </c>
      <c r="K1" s="106" t="s">
        <v>202</v>
      </c>
      <c r="L1" s="106" t="s">
        <v>203</v>
      </c>
      <c r="M1" s="106" t="s">
        <v>204</v>
      </c>
      <c r="N1" s="106" t="s">
        <v>205</v>
      </c>
      <c r="O1" s="106" t="s">
        <v>206</v>
      </c>
      <c r="P1" s="106" t="s">
        <v>207</v>
      </c>
      <c r="Q1" s="106" t="s">
        <v>145</v>
      </c>
      <c r="R1" s="106" t="s">
        <v>208</v>
      </c>
      <c r="S1" s="106" t="s">
        <v>209</v>
      </c>
    </row>
    <row r="2" spans="1:19">
      <c r="A2" s="107" t="s">
        <v>210</v>
      </c>
      <c r="B2" s="107" t="s">
        <v>211</v>
      </c>
      <c r="C2" s="107" t="s">
        <v>212</v>
      </c>
      <c r="D2" s="107" t="s">
        <v>213</v>
      </c>
      <c r="E2" s="107" t="s">
        <v>214</v>
      </c>
      <c r="F2" s="107" t="s">
        <v>215</v>
      </c>
      <c r="G2" s="107" t="s">
        <v>216</v>
      </c>
      <c r="H2" s="107" t="s">
        <v>217</v>
      </c>
      <c r="I2" s="107" t="s">
        <v>218</v>
      </c>
      <c r="J2" s="107" t="s">
        <v>219</v>
      </c>
      <c r="K2" s="107" t="s">
        <v>220</v>
      </c>
      <c r="L2" s="107" t="s">
        <v>221</v>
      </c>
      <c r="M2" s="107" t="s">
        <v>222</v>
      </c>
      <c r="N2" s="107" t="s">
        <v>223</v>
      </c>
      <c r="O2" s="107" t="s">
        <v>224</v>
      </c>
      <c r="P2" s="107" t="s">
        <v>225</v>
      </c>
      <c r="Q2" s="107" t="s">
        <v>226</v>
      </c>
      <c r="R2" s="107" t="s">
        <v>227</v>
      </c>
      <c r="S2" s="107" t="s">
        <v>228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2"/>
  <sheetViews>
    <sheetView topLeftCell="J1" workbookViewId="0">
      <selection activeCell="AD1" sqref="AD1:AD2"/>
    </sheetView>
  </sheetViews>
  <sheetFormatPr defaultRowHeight="15"/>
  <sheetData>
    <row r="1" spans="1:68" ht="120">
      <c r="A1" s="108" t="s">
        <v>229</v>
      </c>
      <c r="B1" s="108" t="s">
        <v>89</v>
      </c>
      <c r="C1" s="108" t="s">
        <v>90</v>
      </c>
      <c r="D1" s="108" t="s">
        <v>85</v>
      </c>
      <c r="E1" s="108" t="s">
        <v>113</v>
      </c>
      <c r="F1" s="108" t="s">
        <v>230</v>
      </c>
      <c r="G1" s="108" t="s">
        <v>231</v>
      </c>
      <c r="H1" s="108" t="s">
        <v>94</v>
      </c>
      <c r="I1" s="108" t="s">
        <v>114</v>
      </c>
      <c r="J1" s="108" t="s">
        <v>92</v>
      </c>
      <c r="K1" s="108" t="s">
        <v>115</v>
      </c>
      <c r="L1" s="108" t="s">
        <v>116</v>
      </c>
      <c r="M1" s="108" t="s">
        <v>117</v>
      </c>
      <c r="N1" s="108" t="s">
        <v>118</v>
      </c>
      <c r="O1" s="108" t="s">
        <v>119</v>
      </c>
      <c r="P1" s="108" t="s">
        <v>86</v>
      </c>
      <c r="Q1" s="108" t="s">
        <v>120</v>
      </c>
      <c r="R1" s="108" t="s">
        <v>232</v>
      </c>
      <c r="S1" s="108" t="s">
        <v>233</v>
      </c>
      <c r="T1" s="108" t="s">
        <v>234</v>
      </c>
      <c r="U1" s="108" t="s">
        <v>235</v>
      </c>
      <c r="V1" s="108" t="s">
        <v>236</v>
      </c>
      <c r="W1" s="108" t="s">
        <v>237</v>
      </c>
      <c r="X1" s="108" t="s">
        <v>93</v>
      </c>
      <c r="Y1" s="108" t="s">
        <v>121</v>
      </c>
      <c r="Z1" s="108" t="s">
        <v>87</v>
      </c>
      <c r="AA1" s="108" t="s">
        <v>122</v>
      </c>
      <c r="AB1" s="108" t="s">
        <v>88</v>
      </c>
      <c r="AC1" s="108" t="s">
        <v>123</v>
      </c>
      <c r="AD1" s="108" t="s">
        <v>238</v>
      </c>
      <c r="AE1" s="108" t="s">
        <v>239</v>
      </c>
      <c r="AF1" s="108" t="s">
        <v>124</v>
      </c>
      <c r="AG1" s="108" t="s">
        <v>125</v>
      </c>
      <c r="AH1" s="108" t="s">
        <v>126</v>
      </c>
      <c r="AI1" s="108" t="s">
        <v>127</v>
      </c>
      <c r="AJ1" s="108" t="s">
        <v>240</v>
      </c>
      <c r="AK1" s="108" t="s">
        <v>100</v>
      </c>
      <c r="AL1" s="108" t="s">
        <v>128</v>
      </c>
      <c r="AM1" s="108" t="s">
        <v>91</v>
      </c>
      <c r="AN1" s="108" t="s">
        <v>129</v>
      </c>
      <c r="AO1" s="108" t="s">
        <v>130</v>
      </c>
      <c r="AP1" s="108" t="s">
        <v>131</v>
      </c>
      <c r="AQ1" s="108" t="s">
        <v>132</v>
      </c>
      <c r="AR1" s="108" t="s">
        <v>133</v>
      </c>
      <c r="AS1" s="108" t="s">
        <v>134</v>
      </c>
      <c r="AT1" s="108" t="s">
        <v>135</v>
      </c>
      <c r="AU1" s="108" t="s">
        <v>136</v>
      </c>
      <c r="AV1" s="108" t="s">
        <v>241</v>
      </c>
      <c r="AW1" s="108" t="s">
        <v>242</v>
      </c>
      <c r="AX1" s="108" t="s">
        <v>243</v>
      </c>
      <c r="AY1" s="108" t="s">
        <v>244</v>
      </c>
      <c r="AZ1" s="108" t="s">
        <v>245</v>
      </c>
      <c r="BA1" s="108" t="s">
        <v>246</v>
      </c>
      <c r="BB1" s="108" t="s">
        <v>137</v>
      </c>
      <c r="BC1" s="108" t="s">
        <v>138</v>
      </c>
      <c r="BD1" s="108" t="s">
        <v>139</v>
      </c>
      <c r="BE1" s="108" t="s">
        <v>140</v>
      </c>
      <c r="BF1" s="108" t="s">
        <v>141</v>
      </c>
      <c r="BG1" s="108" t="s">
        <v>142</v>
      </c>
      <c r="BH1" s="108" t="s">
        <v>247</v>
      </c>
      <c r="BI1" s="108" t="s">
        <v>248</v>
      </c>
      <c r="BJ1" s="108" t="s">
        <v>82</v>
      </c>
      <c r="BK1" s="108" t="s">
        <v>84</v>
      </c>
      <c r="BL1" s="108" t="s">
        <v>143</v>
      </c>
      <c r="BM1" s="108" t="s">
        <v>144</v>
      </c>
      <c r="BN1" s="108" t="s">
        <v>145</v>
      </c>
      <c r="BO1" s="108" t="s">
        <v>146</v>
      </c>
      <c r="BP1" s="108" t="s">
        <v>147</v>
      </c>
    </row>
    <row r="2" spans="1:68" ht="144">
      <c r="A2" s="105" t="s">
        <v>249</v>
      </c>
      <c r="B2" s="105" t="s">
        <v>102</v>
      </c>
      <c r="C2" s="105" t="s">
        <v>103</v>
      </c>
      <c r="D2" s="105" t="s">
        <v>104</v>
      </c>
      <c r="E2" s="105" t="s">
        <v>148</v>
      </c>
      <c r="F2" s="105" t="s">
        <v>250</v>
      </c>
      <c r="G2" s="105" t="s">
        <v>251</v>
      </c>
      <c r="H2" s="105" t="s">
        <v>149</v>
      </c>
      <c r="I2" s="105" t="s">
        <v>150</v>
      </c>
      <c r="J2" s="105" t="s">
        <v>105</v>
      </c>
      <c r="K2" s="105" t="s">
        <v>151</v>
      </c>
      <c r="L2" s="105" t="s">
        <v>152</v>
      </c>
      <c r="M2" s="105" t="s">
        <v>153</v>
      </c>
      <c r="N2" s="105" t="s">
        <v>154</v>
      </c>
      <c r="O2" s="105" t="s">
        <v>155</v>
      </c>
      <c r="P2" s="105" t="s">
        <v>106</v>
      </c>
      <c r="Q2" s="105" t="s">
        <v>156</v>
      </c>
      <c r="R2" s="105" t="s">
        <v>252</v>
      </c>
      <c r="S2" s="105" t="s">
        <v>253</v>
      </c>
      <c r="T2" s="105" t="s">
        <v>254</v>
      </c>
      <c r="U2" s="105" t="s">
        <v>255</v>
      </c>
      <c r="V2" s="105" t="s">
        <v>256</v>
      </c>
      <c r="W2" s="105" t="s">
        <v>257</v>
      </c>
      <c r="X2" s="105" t="s">
        <v>107</v>
      </c>
      <c r="Y2" s="105" t="s">
        <v>157</v>
      </c>
      <c r="Z2" s="105" t="s">
        <v>108</v>
      </c>
      <c r="AA2" s="105" t="s">
        <v>158</v>
      </c>
      <c r="AB2" s="105" t="s">
        <v>109</v>
      </c>
      <c r="AC2" s="105" t="s">
        <v>159</v>
      </c>
      <c r="AD2" s="105" t="s">
        <v>258</v>
      </c>
      <c r="AE2" s="105" t="s">
        <v>259</v>
      </c>
      <c r="AF2" s="105" t="s">
        <v>160</v>
      </c>
      <c r="AG2" s="105" t="s">
        <v>161</v>
      </c>
      <c r="AH2" s="105" t="s">
        <v>162</v>
      </c>
      <c r="AI2" s="105" t="s">
        <v>163</v>
      </c>
      <c r="AJ2" s="105" t="s">
        <v>260</v>
      </c>
      <c r="AK2" s="105" t="s">
        <v>101</v>
      </c>
      <c r="AL2" s="105" t="s">
        <v>164</v>
      </c>
      <c r="AM2" s="105" t="s">
        <v>110</v>
      </c>
      <c r="AN2" s="105" t="s">
        <v>165</v>
      </c>
      <c r="AO2" s="105" t="s">
        <v>166</v>
      </c>
      <c r="AP2" s="105" t="s">
        <v>167</v>
      </c>
      <c r="AQ2" s="105" t="s">
        <v>168</v>
      </c>
      <c r="AR2" s="105" t="s">
        <v>169</v>
      </c>
      <c r="AS2" s="105" t="s">
        <v>170</v>
      </c>
      <c r="AT2" s="105" t="s">
        <v>171</v>
      </c>
      <c r="AU2" s="105" t="s">
        <v>172</v>
      </c>
      <c r="AV2" s="105" t="s">
        <v>261</v>
      </c>
      <c r="AW2" s="105" t="s">
        <v>262</v>
      </c>
      <c r="AX2" s="105" t="s">
        <v>263</v>
      </c>
      <c r="AY2" s="105" t="s">
        <v>264</v>
      </c>
      <c r="AZ2" s="105" t="s">
        <v>265</v>
      </c>
      <c r="BA2" s="105" t="s">
        <v>266</v>
      </c>
      <c r="BB2" s="105" t="s">
        <v>173</v>
      </c>
      <c r="BC2" s="105" t="s">
        <v>174</v>
      </c>
      <c r="BD2" s="105" t="s">
        <v>175</v>
      </c>
      <c r="BE2" s="105" t="s">
        <v>176</v>
      </c>
      <c r="BF2" s="105" t="s">
        <v>177</v>
      </c>
      <c r="BG2" s="105" t="s">
        <v>178</v>
      </c>
      <c r="BH2" s="105" t="s">
        <v>267</v>
      </c>
      <c r="BI2" s="105" t="s">
        <v>268</v>
      </c>
      <c r="BJ2" s="105" t="s">
        <v>111</v>
      </c>
      <c r="BK2" s="105" t="s">
        <v>112</v>
      </c>
      <c r="BL2" s="105" t="s">
        <v>179</v>
      </c>
      <c r="BM2" s="105" t="s">
        <v>180</v>
      </c>
      <c r="BN2" s="105" t="s">
        <v>181</v>
      </c>
      <c r="BO2" s="105" t="s">
        <v>182</v>
      </c>
      <c r="BP2" s="105" t="s">
        <v>183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45</vt:i4>
      </vt:variant>
    </vt:vector>
  </HeadingPairs>
  <TitlesOfParts>
    <vt:vector size="50" baseType="lpstr">
      <vt:lpstr>EHI</vt:lpstr>
      <vt:lpstr>Participants</vt:lpstr>
      <vt:lpstr>Occupancy</vt:lpstr>
      <vt:lpstr>Financial</vt:lpstr>
      <vt:lpstr>Sheet6</vt:lpstr>
      <vt:lpstr>exit_cap_rate</vt:lpstr>
      <vt:lpstr>EHI!Print_Area</vt:lpstr>
      <vt:lpstr>EHI!Print_Titles</vt:lpstr>
      <vt:lpstr>Reo_Ann_Debt_Serv</vt:lpstr>
      <vt:lpstr>Reo_Ann_Debt_Serv_End</vt:lpstr>
      <vt:lpstr>Reo_Borrower_Share</vt:lpstr>
      <vt:lpstr>Reo_Borrower_Share_End</vt:lpstr>
      <vt:lpstr>Reo_Cap_Rate</vt:lpstr>
      <vt:lpstr>Reo_Cap_Rate_End</vt:lpstr>
      <vt:lpstr>Reo_Cash_Flow</vt:lpstr>
      <vt:lpstr>Reo_Cash_Flow_End</vt:lpstr>
      <vt:lpstr>Reo_Curr_Occu</vt:lpstr>
      <vt:lpstr>Reo_Curr_Occu_Date</vt:lpstr>
      <vt:lpstr>Reo_Curr_Occu_Date_End</vt:lpstr>
      <vt:lpstr>Reo_Curr_Occu_End</vt:lpstr>
      <vt:lpstr>Reo_Current_Equity</vt:lpstr>
      <vt:lpstr>Reo_Current_Equity_End</vt:lpstr>
      <vt:lpstr>Reo_Date_Validation</vt:lpstr>
      <vt:lpstr>Reo_Date_Validation_End</vt:lpstr>
      <vt:lpstr>Reo_DSC</vt:lpstr>
      <vt:lpstr>Reo_DSC_End</vt:lpstr>
      <vt:lpstr>Reo_Fair_Market_Value</vt:lpstr>
      <vt:lpstr>Reo_Fair_Market_Value_End</vt:lpstr>
      <vt:lpstr>Reo_Interest</vt:lpstr>
      <vt:lpstr>Reo_Interest_End</vt:lpstr>
      <vt:lpstr>Reo_Location</vt:lpstr>
      <vt:lpstr>Reo_Location_End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Reo_Revenues</vt:lpstr>
      <vt:lpstr>Reo_Revenues_End</vt:lpstr>
      <vt:lpstr>Reo_Sr_No</vt:lpstr>
      <vt:lpstr>Reo_Sr_No_End</vt:lpstr>
      <vt:lpstr>Reo_Total</vt:lpstr>
      <vt:lpstr>Reo_Total_DS</vt:lpstr>
      <vt:lpstr>Reo_Total_DS_End</vt:lpstr>
      <vt:lpstr>Reo_Total_End</vt:lpstr>
      <vt:lpstr>Reo_Total_Loan</vt:lpstr>
      <vt:lpstr>Reo_Total_Loan_End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2018-06-13T09:54:19Z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