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5"/>
  </bookViews>
  <sheets>
    <sheet name="Main" sheetId="1" r:id="rId1"/>
    <sheet name="Main Data" sheetId="6" r:id="rId2"/>
    <sheet name="BalSht" sheetId="2" r:id="rId3"/>
    <sheet name="BalSht Data" sheetId="4" r:id="rId4"/>
    <sheet name="IncStmt" sheetId="3" r:id="rId5"/>
    <sheet name="IncStmt Data" sheetId="5" r:id="rId6"/>
  </sheets>
  <definedNames>
    <definedName name="ProjectNames">Main!$A$8:$B$101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E6" i="2" l="1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7" i="2"/>
  <c r="AP8" i="2"/>
  <c r="AP6" i="2"/>
  <c r="AO6" i="2"/>
  <c r="AN6" i="2"/>
  <c r="AM6" i="2"/>
  <c r="AL6" i="2"/>
  <c r="AK6" i="2"/>
  <c r="AJ7" i="2"/>
  <c r="AJ8" i="2"/>
  <c r="AJ9" i="2"/>
  <c r="AJ10" i="2"/>
  <c r="AJ14" i="2"/>
  <c r="AJ15" i="2"/>
  <c r="AJ16" i="2"/>
  <c r="AJ17" i="2"/>
  <c r="AJ18" i="2"/>
  <c r="AJ19" i="2"/>
  <c r="AJ20" i="2"/>
  <c r="AJ21" i="2"/>
  <c r="AJ25" i="2"/>
  <c r="AJ26" i="2"/>
  <c r="AJ27" i="2"/>
  <c r="AJ28" i="2"/>
  <c r="AJ29" i="2"/>
  <c r="AJ30" i="2"/>
  <c r="AJ31" i="2"/>
  <c r="AJ32" i="2"/>
  <c r="AJ33" i="2"/>
  <c r="AJ35" i="2"/>
  <c r="AI7" i="2"/>
  <c r="AI8" i="2"/>
  <c r="AI9" i="2"/>
  <c r="AI10" i="2"/>
  <c r="AI14" i="2"/>
  <c r="AI15" i="2"/>
  <c r="AI16" i="2"/>
  <c r="AI17" i="2"/>
  <c r="AI18" i="2"/>
  <c r="AI19" i="2"/>
  <c r="AI20" i="2"/>
  <c r="AI21" i="2"/>
  <c r="AI25" i="2"/>
  <c r="AI26" i="2"/>
  <c r="AI27" i="2"/>
  <c r="AI28" i="2"/>
  <c r="AI29" i="2"/>
  <c r="AI30" i="2"/>
  <c r="AI31" i="2"/>
  <c r="AI32" i="2"/>
  <c r="AI33" i="2"/>
  <c r="AI35" i="2"/>
  <c r="AH7" i="2"/>
  <c r="AH8" i="2"/>
  <c r="AH9" i="2"/>
  <c r="AH10" i="2"/>
  <c r="AH14" i="2"/>
  <c r="AH15" i="2"/>
  <c r="AH16" i="2"/>
  <c r="AH17" i="2"/>
  <c r="AH18" i="2"/>
  <c r="AH19" i="2"/>
  <c r="AH20" i="2"/>
  <c r="AH21" i="2"/>
  <c r="AH25" i="2"/>
  <c r="AH26" i="2"/>
  <c r="AH27" i="2"/>
  <c r="AH28" i="2"/>
  <c r="AH29" i="2"/>
  <c r="AH30" i="2"/>
  <c r="AH31" i="2"/>
  <c r="AH32" i="2"/>
  <c r="AH33" i="2"/>
  <c r="AH35" i="2"/>
  <c r="AG7" i="2"/>
  <c r="AG8" i="2"/>
  <c r="AG9" i="2"/>
  <c r="AG10" i="2"/>
  <c r="AG14" i="2"/>
  <c r="AG15" i="2"/>
  <c r="AG16" i="2"/>
  <c r="AG17" i="2"/>
  <c r="AG18" i="2"/>
  <c r="AG19" i="2"/>
  <c r="AG20" i="2"/>
  <c r="AG21" i="2"/>
  <c r="AG25" i="2"/>
  <c r="AG26" i="2"/>
  <c r="AG27" i="2"/>
  <c r="AG28" i="2"/>
  <c r="AG29" i="2"/>
  <c r="AG30" i="2"/>
  <c r="AG31" i="2"/>
  <c r="AG32" i="2"/>
  <c r="AG33" i="2"/>
  <c r="AG35" i="2"/>
  <c r="AF7" i="2"/>
  <c r="AF8" i="2"/>
  <c r="AF9" i="2"/>
  <c r="AF10" i="2"/>
  <c r="AF14" i="2"/>
  <c r="AF15" i="2"/>
  <c r="AF16" i="2"/>
  <c r="AF17" i="2"/>
  <c r="AF18" i="2"/>
  <c r="AF19" i="2"/>
  <c r="AF20" i="2"/>
  <c r="AF21" i="2"/>
  <c r="AF25" i="2"/>
  <c r="AF26" i="2"/>
  <c r="AF27" i="2"/>
  <c r="AF28" i="2"/>
  <c r="AF29" i="2"/>
  <c r="AF30" i="2"/>
  <c r="AF31" i="2"/>
  <c r="AF32" i="2"/>
  <c r="AF33" i="2"/>
  <c r="AF35" i="2"/>
  <c r="AE7" i="2"/>
  <c r="AE8" i="2"/>
  <c r="AE9" i="2"/>
  <c r="AE10" i="2"/>
  <c r="AE14" i="2"/>
  <c r="AE15" i="2"/>
  <c r="AE16" i="2"/>
  <c r="AE17" i="2"/>
  <c r="AE18" i="2"/>
  <c r="AE19" i="2"/>
  <c r="AE20" i="2"/>
  <c r="AE21" i="2"/>
  <c r="AE25" i="2"/>
  <c r="AE26" i="2"/>
  <c r="AE27" i="2"/>
  <c r="AE28" i="2"/>
  <c r="AE29" i="2"/>
  <c r="AE30" i="2"/>
  <c r="AE31" i="2"/>
  <c r="AE32" i="2"/>
  <c r="AE33" i="2"/>
  <c r="AE35" i="2"/>
  <c r="AD7" i="2"/>
  <c r="AD8" i="2"/>
  <c r="AD9" i="2"/>
  <c r="AD10" i="2"/>
  <c r="AD14" i="2"/>
  <c r="AD15" i="2"/>
  <c r="AD16" i="2"/>
  <c r="AD17" i="2"/>
  <c r="AD18" i="2"/>
  <c r="AD19" i="2"/>
  <c r="AD20" i="2"/>
  <c r="AD21" i="2"/>
  <c r="AD25" i="2"/>
  <c r="AD26" i="2"/>
  <c r="AD27" i="2"/>
  <c r="AD28" i="2"/>
  <c r="AD29" i="2"/>
  <c r="AD30" i="2"/>
  <c r="AD31" i="2"/>
  <c r="AD32" i="2"/>
  <c r="AD33" i="2"/>
  <c r="AD35" i="2"/>
  <c r="AC7" i="2"/>
  <c r="AC8" i="2"/>
  <c r="AC9" i="2"/>
  <c r="AC10" i="2"/>
  <c r="AC14" i="2"/>
  <c r="AC15" i="2"/>
  <c r="AC16" i="2"/>
  <c r="AC17" i="2"/>
  <c r="AC18" i="2"/>
  <c r="AC19" i="2"/>
  <c r="AC20" i="2"/>
  <c r="AC21" i="2"/>
  <c r="AC25" i="2"/>
  <c r="AC26" i="2"/>
  <c r="AC27" i="2"/>
  <c r="AC28" i="2"/>
  <c r="AC29" i="2"/>
  <c r="AC30" i="2"/>
  <c r="AC31" i="2"/>
  <c r="AC32" i="2"/>
  <c r="AC33" i="2"/>
  <c r="AC35" i="2"/>
  <c r="AB7" i="2"/>
  <c r="AB8" i="2"/>
  <c r="AB9" i="2"/>
  <c r="AB10" i="2"/>
  <c r="AB14" i="2"/>
  <c r="AB15" i="2"/>
  <c r="AB16" i="2"/>
  <c r="AB17" i="2"/>
  <c r="AB18" i="2"/>
  <c r="AB19" i="2"/>
  <c r="AB20" i="2"/>
  <c r="AB21" i="2"/>
  <c r="AB25" i="2"/>
  <c r="AB26" i="2"/>
  <c r="AB27" i="2"/>
  <c r="AB28" i="2"/>
  <c r="AB29" i="2"/>
  <c r="AB30" i="2"/>
  <c r="AB31" i="2"/>
  <c r="AB32" i="2"/>
  <c r="AB33" i="2"/>
  <c r="AB35" i="2"/>
  <c r="AA7" i="2"/>
  <c r="AA8" i="2"/>
  <c r="AA9" i="2"/>
  <c r="AA10" i="2"/>
  <c r="AA14" i="2"/>
  <c r="AA15" i="2"/>
  <c r="AA16" i="2"/>
  <c r="AA17" i="2"/>
  <c r="AA18" i="2"/>
  <c r="AA19" i="2"/>
  <c r="AA20" i="2"/>
  <c r="AA21" i="2"/>
  <c r="AA25" i="2"/>
  <c r="AA26" i="2"/>
  <c r="AA27" i="2"/>
  <c r="AA28" i="2"/>
  <c r="AA29" i="2"/>
  <c r="AA30" i="2"/>
  <c r="AA31" i="2"/>
  <c r="AA32" i="2"/>
  <c r="AA33" i="2"/>
  <c r="AA35" i="2"/>
  <c r="Z7" i="2"/>
  <c r="Z8" i="2"/>
  <c r="Z9" i="2"/>
  <c r="Z10" i="2"/>
  <c r="Z14" i="2"/>
  <c r="Z15" i="2"/>
  <c r="Z16" i="2"/>
  <c r="Z17" i="2"/>
  <c r="Z18" i="2"/>
  <c r="Z19" i="2"/>
  <c r="Z20" i="2"/>
  <c r="Z21" i="2"/>
  <c r="Z25" i="2"/>
  <c r="Z26" i="2"/>
  <c r="Z27" i="2"/>
  <c r="Z28" i="2"/>
  <c r="Z29" i="2"/>
  <c r="Z30" i="2"/>
  <c r="Z31" i="2"/>
  <c r="Z32" i="2"/>
  <c r="Z33" i="2"/>
  <c r="Z35" i="2"/>
  <c r="Y7" i="2"/>
  <c r="Y8" i="2"/>
  <c r="Y9" i="2"/>
  <c r="Y10" i="2"/>
  <c r="Y14" i="2"/>
  <c r="Y15" i="2"/>
  <c r="Y16" i="2"/>
  <c r="Y17" i="2"/>
  <c r="Y18" i="2"/>
  <c r="Y19" i="2"/>
  <c r="Y20" i="2"/>
  <c r="Y21" i="2"/>
  <c r="Y25" i="2"/>
  <c r="Y26" i="2"/>
  <c r="Y27" i="2"/>
  <c r="Y28" i="2"/>
  <c r="Y29" i="2"/>
  <c r="Y30" i="2"/>
  <c r="Y31" i="2"/>
  <c r="Y32" i="2"/>
  <c r="Y33" i="2"/>
  <c r="Y35" i="2"/>
  <c r="X7" i="2"/>
  <c r="X8" i="2"/>
  <c r="X9" i="2"/>
  <c r="X10" i="2"/>
  <c r="X14" i="2"/>
  <c r="X15" i="2"/>
  <c r="X16" i="2"/>
  <c r="X17" i="2"/>
  <c r="X18" i="2"/>
  <c r="X19" i="2"/>
  <c r="X20" i="2"/>
  <c r="X21" i="2"/>
  <c r="X25" i="2"/>
  <c r="X26" i="2"/>
  <c r="X27" i="2"/>
  <c r="X28" i="2"/>
  <c r="X29" i="2"/>
  <c r="X30" i="2"/>
  <c r="X31" i="2"/>
  <c r="X32" i="2"/>
  <c r="X33" i="2"/>
  <c r="X35" i="2"/>
  <c r="W7" i="2"/>
  <c r="W8" i="2"/>
  <c r="W9" i="2"/>
  <c r="W10" i="2"/>
  <c r="W14" i="2"/>
  <c r="W15" i="2"/>
  <c r="W16" i="2"/>
  <c r="W17" i="2"/>
  <c r="W18" i="2"/>
  <c r="W19" i="2"/>
  <c r="W20" i="2"/>
  <c r="W21" i="2"/>
  <c r="W25" i="2"/>
  <c r="W26" i="2"/>
  <c r="W27" i="2"/>
  <c r="W28" i="2"/>
  <c r="W29" i="2"/>
  <c r="W30" i="2"/>
  <c r="W31" i="2"/>
  <c r="W32" i="2"/>
  <c r="W33" i="2"/>
  <c r="W35" i="2"/>
  <c r="V7" i="2"/>
  <c r="V8" i="2"/>
  <c r="V9" i="2"/>
  <c r="V10" i="2"/>
  <c r="V14" i="2"/>
  <c r="V15" i="2"/>
  <c r="V16" i="2"/>
  <c r="V17" i="2"/>
  <c r="V18" i="2"/>
  <c r="V19" i="2"/>
  <c r="V20" i="2"/>
  <c r="V21" i="2"/>
  <c r="V25" i="2"/>
  <c r="V26" i="2"/>
  <c r="V27" i="2"/>
  <c r="V28" i="2"/>
  <c r="V29" i="2"/>
  <c r="V30" i="2"/>
  <c r="V31" i="2"/>
  <c r="V32" i="2"/>
  <c r="V33" i="2"/>
  <c r="V35" i="2"/>
  <c r="U7" i="2"/>
  <c r="U8" i="2"/>
  <c r="U9" i="2"/>
  <c r="U10" i="2"/>
  <c r="U14" i="2"/>
  <c r="U15" i="2"/>
  <c r="U16" i="2"/>
  <c r="U17" i="2"/>
  <c r="U18" i="2"/>
  <c r="U19" i="2"/>
  <c r="U20" i="2"/>
  <c r="U21" i="2"/>
  <c r="U25" i="2"/>
  <c r="U26" i="2"/>
  <c r="U27" i="2"/>
  <c r="U28" i="2"/>
  <c r="U29" i="2"/>
  <c r="U30" i="2"/>
  <c r="U31" i="2"/>
  <c r="U32" i="2"/>
  <c r="U33" i="2"/>
  <c r="U35" i="2"/>
  <c r="T7" i="2"/>
  <c r="T8" i="2"/>
  <c r="T9" i="2"/>
  <c r="T10" i="2"/>
  <c r="T14" i="2"/>
  <c r="T15" i="2"/>
  <c r="T16" i="2"/>
  <c r="T17" i="2"/>
  <c r="T18" i="2"/>
  <c r="T19" i="2"/>
  <c r="T20" i="2"/>
  <c r="T21" i="2"/>
  <c r="T25" i="2"/>
  <c r="T26" i="2"/>
  <c r="T27" i="2"/>
  <c r="T28" i="2"/>
  <c r="T29" i="2"/>
  <c r="T30" i="2"/>
  <c r="T31" i="2"/>
  <c r="T32" i="2"/>
  <c r="T33" i="2"/>
  <c r="T35" i="2"/>
  <c r="S7" i="2"/>
  <c r="S8" i="2"/>
  <c r="S9" i="2"/>
  <c r="S10" i="2"/>
  <c r="S14" i="2"/>
  <c r="S15" i="2"/>
  <c r="S16" i="2"/>
  <c r="S17" i="2"/>
  <c r="S18" i="2"/>
  <c r="S19" i="2"/>
  <c r="S20" i="2"/>
  <c r="S21" i="2"/>
  <c r="S25" i="2"/>
  <c r="S26" i="2"/>
  <c r="S27" i="2"/>
  <c r="S28" i="2"/>
  <c r="S29" i="2"/>
  <c r="S30" i="2"/>
  <c r="S31" i="2"/>
  <c r="S32" i="2"/>
  <c r="S33" i="2"/>
  <c r="S35" i="2"/>
  <c r="J7" i="2"/>
  <c r="J8" i="2"/>
  <c r="J9" i="2"/>
  <c r="J10" i="2"/>
  <c r="J14" i="2"/>
  <c r="J15" i="2"/>
  <c r="J16" i="2"/>
  <c r="J17" i="2"/>
  <c r="J18" i="2"/>
  <c r="J19" i="2"/>
  <c r="J20" i="2"/>
  <c r="J21" i="2"/>
  <c r="J25" i="2"/>
  <c r="J26" i="2"/>
  <c r="J27" i="2"/>
  <c r="J28" i="2"/>
  <c r="J29" i="2"/>
  <c r="J30" i="2"/>
  <c r="J31" i="2"/>
  <c r="J32" i="2"/>
  <c r="J33" i="2"/>
  <c r="J35" i="2"/>
  <c r="J6" i="2"/>
  <c r="C6" i="2"/>
  <c r="R7" i="2"/>
  <c r="R8" i="2"/>
  <c r="R9" i="2"/>
  <c r="R10" i="2"/>
  <c r="R14" i="2"/>
  <c r="R15" i="2"/>
  <c r="R16" i="2"/>
  <c r="R17" i="2"/>
  <c r="R18" i="2"/>
  <c r="R19" i="2"/>
  <c r="R20" i="2"/>
  <c r="R21" i="2"/>
  <c r="R25" i="2"/>
  <c r="R26" i="2"/>
  <c r="R27" i="2"/>
  <c r="R28" i="2"/>
  <c r="R29" i="2"/>
  <c r="R30" i="2"/>
  <c r="R31" i="2"/>
  <c r="R32" i="2"/>
  <c r="R33" i="2"/>
  <c r="R35" i="2"/>
  <c r="Q7" i="2"/>
  <c r="Q8" i="2"/>
  <c r="Q9" i="2"/>
  <c r="Q10" i="2"/>
  <c r="Q14" i="2"/>
  <c r="Q15" i="2"/>
  <c r="Q16" i="2"/>
  <c r="Q17" i="2"/>
  <c r="Q18" i="2"/>
  <c r="Q19" i="2"/>
  <c r="Q20" i="2"/>
  <c r="Q21" i="2"/>
  <c r="Q25" i="2"/>
  <c r="Q26" i="2"/>
  <c r="Q27" i="2"/>
  <c r="Q28" i="2"/>
  <c r="Q29" i="2"/>
  <c r="Q30" i="2"/>
  <c r="Q31" i="2"/>
  <c r="Q32" i="2"/>
  <c r="Q33" i="2"/>
  <c r="Q35" i="2"/>
  <c r="P7" i="2"/>
  <c r="P8" i="2"/>
  <c r="P9" i="2"/>
  <c r="P10" i="2"/>
  <c r="P14" i="2"/>
  <c r="P15" i="2"/>
  <c r="P16" i="2"/>
  <c r="P17" i="2"/>
  <c r="P18" i="2"/>
  <c r="P19" i="2"/>
  <c r="P20" i="2"/>
  <c r="P21" i="2"/>
  <c r="P25" i="2"/>
  <c r="P26" i="2"/>
  <c r="P27" i="2"/>
  <c r="P28" i="2"/>
  <c r="P29" i="2"/>
  <c r="P30" i="2"/>
  <c r="P31" i="2"/>
  <c r="P32" i="2"/>
  <c r="P33" i="2"/>
  <c r="P35" i="2"/>
  <c r="O7" i="2"/>
  <c r="O8" i="2"/>
  <c r="O9" i="2"/>
  <c r="O10" i="2"/>
  <c r="O14" i="2"/>
  <c r="O15" i="2"/>
  <c r="O16" i="2"/>
  <c r="O17" i="2"/>
  <c r="O18" i="2"/>
  <c r="O19" i="2"/>
  <c r="O20" i="2"/>
  <c r="O21" i="2"/>
  <c r="O25" i="2"/>
  <c r="O26" i="2"/>
  <c r="O27" i="2"/>
  <c r="O28" i="2"/>
  <c r="O29" i="2"/>
  <c r="O30" i="2"/>
  <c r="O31" i="2"/>
  <c r="O32" i="2"/>
  <c r="O33" i="2"/>
  <c r="O35" i="2"/>
  <c r="N7" i="2"/>
  <c r="N8" i="2"/>
  <c r="N9" i="2"/>
  <c r="N10" i="2"/>
  <c r="N14" i="2"/>
  <c r="N15" i="2"/>
  <c r="N16" i="2"/>
  <c r="N17" i="2"/>
  <c r="N18" i="2"/>
  <c r="N19" i="2"/>
  <c r="N20" i="2"/>
  <c r="N21" i="2"/>
  <c r="N25" i="2"/>
  <c r="N26" i="2"/>
  <c r="N27" i="2"/>
  <c r="N28" i="2"/>
  <c r="N29" i="2"/>
  <c r="N30" i="2"/>
  <c r="N31" i="2"/>
  <c r="N32" i="2"/>
  <c r="N33" i="2"/>
  <c r="N35" i="2"/>
  <c r="M7" i="2"/>
  <c r="M8" i="2"/>
  <c r="M9" i="2"/>
  <c r="M10" i="2"/>
  <c r="M14" i="2"/>
  <c r="M15" i="2"/>
  <c r="M16" i="2"/>
  <c r="M17" i="2"/>
  <c r="M18" i="2"/>
  <c r="M19" i="2"/>
  <c r="M20" i="2"/>
  <c r="M21" i="2"/>
  <c r="M25" i="2"/>
  <c r="M26" i="2"/>
  <c r="M27" i="2"/>
  <c r="M28" i="2"/>
  <c r="M29" i="2"/>
  <c r="M30" i="2"/>
  <c r="M31" i="2"/>
  <c r="M32" i="2"/>
  <c r="M33" i="2"/>
  <c r="M35" i="2"/>
  <c r="L7" i="2"/>
  <c r="L8" i="2"/>
  <c r="L9" i="2"/>
  <c r="L10" i="2"/>
  <c r="L14" i="2"/>
  <c r="L15" i="2"/>
  <c r="L16" i="2"/>
  <c r="L17" i="2"/>
  <c r="L18" i="2"/>
  <c r="L19" i="2"/>
  <c r="L20" i="2"/>
  <c r="L21" i="2"/>
  <c r="L25" i="2"/>
  <c r="L26" i="2"/>
  <c r="L27" i="2"/>
  <c r="L28" i="2"/>
  <c r="L29" i="2"/>
  <c r="L30" i="2"/>
  <c r="L31" i="2"/>
  <c r="L32" i="2"/>
  <c r="L33" i="2"/>
  <c r="L35" i="2"/>
  <c r="K7" i="2"/>
  <c r="K8" i="2"/>
  <c r="K9" i="2"/>
  <c r="K10" i="2"/>
  <c r="K14" i="2"/>
  <c r="K15" i="2"/>
  <c r="K16" i="2"/>
  <c r="K17" i="2"/>
  <c r="K18" i="2"/>
  <c r="K19" i="2"/>
  <c r="K20" i="2"/>
  <c r="K21" i="2"/>
  <c r="K25" i="2"/>
  <c r="K26" i="2"/>
  <c r="K27" i="2"/>
  <c r="K28" i="2"/>
  <c r="K29" i="2"/>
  <c r="K30" i="2"/>
  <c r="K31" i="2"/>
  <c r="K32" i="2"/>
  <c r="K33" i="2"/>
  <c r="K35" i="2"/>
  <c r="I7" i="2"/>
  <c r="I8" i="2"/>
  <c r="I9" i="2"/>
  <c r="I10" i="2"/>
  <c r="I14" i="2"/>
  <c r="I15" i="2"/>
  <c r="I16" i="2"/>
  <c r="I17" i="2"/>
  <c r="I18" i="2"/>
  <c r="I19" i="2"/>
  <c r="I20" i="2"/>
  <c r="I21" i="2"/>
  <c r="I25" i="2"/>
  <c r="I26" i="2"/>
  <c r="I27" i="2"/>
  <c r="I28" i="2"/>
  <c r="I29" i="2"/>
  <c r="I30" i="2"/>
  <c r="I31" i="2"/>
  <c r="I32" i="2"/>
  <c r="I33" i="2"/>
  <c r="I35" i="2"/>
  <c r="H7" i="2"/>
  <c r="H8" i="2"/>
  <c r="H9" i="2"/>
  <c r="H10" i="2"/>
  <c r="H14" i="2"/>
  <c r="H15" i="2"/>
  <c r="H16" i="2"/>
  <c r="H17" i="2"/>
  <c r="H18" i="2"/>
  <c r="H19" i="2"/>
  <c r="H20" i="2"/>
  <c r="H21" i="2"/>
  <c r="H25" i="2"/>
  <c r="H26" i="2"/>
  <c r="H27" i="2"/>
  <c r="H28" i="2"/>
  <c r="H29" i="2"/>
  <c r="H30" i="2"/>
  <c r="H31" i="2"/>
  <c r="H32" i="2"/>
  <c r="H33" i="2"/>
  <c r="H35" i="2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B2" i="2"/>
  <c r="G7" i="2" l="1"/>
  <c r="G8" i="2"/>
  <c r="G9" i="2"/>
  <c r="G10" i="2"/>
  <c r="G14" i="2"/>
  <c r="G15" i="2"/>
  <c r="G16" i="2"/>
  <c r="G17" i="2"/>
  <c r="G18" i="2"/>
  <c r="G19" i="2"/>
  <c r="G20" i="2"/>
  <c r="G21" i="2"/>
  <c r="G25" i="2"/>
  <c r="G26" i="2"/>
  <c r="G27" i="2"/>
  <c r="G28" i="2"/>
  <c r="G29" i="2"/>
  <c r="G30" i="2"/>
  <c r="G31" i="2"/>
  <c r="G32" i="2"/>
  <c r="G33" i="2"/>
  <c r="G35" i="2"/>
  <c r="F7" i="2"/>
  <c r="F8" i="2"/>
  <c r="F9" i="2"/>
  <c r="F10" i="2"/>
  <c r="F14" i="2"/>
  <c r="F15" i="2"/>
  <c r="F16" i="2"/>
  <c r="F17" i="2"/>
  <c r="F18" i="2"/>
  <c r="F19" i="2"/>
  <c r="F20" i="2"/>
  <c r="F21" i="2"/>
  <c r="F25" i="2"/>
  <c r="F26" i="2"/>
  <c r="F27" i="2"/>
  <c r="F28" i="2"/>
  <c r="F29" i="2"/>
  <c r="F30" i="2"/>
  <c r="F31" i="2"/>
  <c r="F32" i="2"/>
  <c r="F33" i="2"/>
  <c r="F35" i="2"/>
  <c r="E7" i="2"/>
  <c r="E8" i="2"/>
  <c r="E9" i="2"/>
  <c r="E10" i="2"/>
  <c r="E14" i="2"/>
  <c r="E15" i="2"/>
  <c r="E16" i="2"/>
  <c r="E17" i="2"/>
  <c r="E18" i="2"/>
  <c r="E19" i="2"/>
  <c r="E20" i="2"/>
  <c r="E21" i="2"/>
  <c r="E25" i="2"/>
  <c r="E26" i="2"/>
  <c r="E27" i="2"/>
  <c r="E28" i="2"/>
  <c r="E29" i="2"/>
  <c r="E30" i="2"/>
  <c r="E31" i="2"/>
  <c r="E32" i="2"/>
  <c r="E33" i="2"/>
  <c r="E35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K6" i="2"/>
  <c r="L6" i="2"/>
  <c r="I6" i="2"/>
  <c r="H6" i="2"/>
  <c r="G6" i="2"/>
  <c r="F6" i="2"/>
  <c r="E6" i="2"/>
  <c r="D7" i="2"/>
  <c r="D8" i="2"/>
  <c r="D9" i="2"/>
  <c r="D10" i="2"/>
  <c r="D14" i="2"/>
  <c r="D15" i="2"/>
  <c r="D16" i="2"/>
  <c r="D17" i="2"/>
  <c r="D18" i="2"/>
  <c r="D19" i="2"/>
  <c r="D20" i="2"/>
  <c r="D21" i="2"/>
  <c r="D25" i="2"/>
  <c r="D26" i="2"/>
  <c r="D27" i="2"/>
  <c r="D28" i="2"/>
  <c r="D29" i="2"/>
  <c r="D30" i="2"/>
  <c r="D31" i="2"/>
  <c r="D32" i="2"/>
  <c r="D33" i="2"/>
  <c r="D35" i="2"/>
  <c r="D6" i="2"/>
  <c r="B6" i="2" l="1"/>
  <c r="B25" i="2"/>
  <c r="B10" i="2" l="1"/>
  <c r="C26" i="2"/>
  <c r="C27" i="2"/>
  <c r="C28" i="2"/>
  <c r="C29" i="2"/>
  <c r="C30" i="2"/>
  <c r="C31" i="2"/>
  <c r="C32" i="2"/>
  <c r="C33" i="2"/>
  <c r="C7" i="2"/>
  <c r="C8" i="2"/>
  <c r="C9" i="2"/>
  <c r="C10" i="2"/>
  <c r="C14" i="2"/>
  <c r="C15" i="2"/>
  <c r="C16" i="2"/>
  <c r="C17" i="2"/>
  <c r="C18" i="2"/>
  <c r="C19" i="2"/>
  <c r="C20" i="2"/>
  <c r="C21" i="2"/>
  <c r="C25" i="2"/>
  <c r="C35" i="2"/>
  <c r="B26" i="2"/>
  <c r="B27" i="2"/>
  <c r="B28" i="2"/>
  <c r="B29" i="2"/>
  <c r="B30" i="2"/>
  <c r="B31" i="2"/>
  <c r="B32" i="2"/>
  <c r="B33" i="2"/>
  <c r="B35" i="2"/>
  <c r="B7" i="2"/>
  <c r="B8" i="2"/>
  <c r="B9" i="2"/>
  <c r="B14" i="2"/>
  <c r="B15" i="2"/>
  <c r="B16" i="2"/>
  <c r="B17" i="2"/>
  <c r="B18" i="2"/>
  <c r="B19" i="2"/>
  <c r="B20" i="2"/>
  <c r="B21" i="2"/>
  <c r="B6" i="1" l="1" a="1"/>
  <c r="C2" i="2" l="1"/>
  <c r="B6" i="1"/>
  <c r="D2" i="2" l="1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W2" i="2"/>
  <c r="CX2" i="2"/>
  <c r="CY2" i="2"/>
  <c r="CZ2" i="2"/>
</calcChain>
</file>

<file path=xl/sharedStrings.xml><?xml version="1.0" encoding="utf-8"?>
<sst xmlns="http://schemas.openxmlformats.org/spreadsheetml/2006/main" count="884" uniqueCount="139">
  <si>
    <t>ENTER QTR</t>
  </si>
  <si>
    <t>ENTER YEAR</t>
  </si>
  <si>
    <t>TOTALS</t>
  </si>
  <si>
    <t>= Number of Projects</t>
  </si>
  <si>
    <t>Project Name</t>
  </si>
  <si>
    <t>Project Losses @ 100%</t>
  </si>
  <si>
    <t>Project Losses @ Project Level</t>
  </si>
  <si>
    <t>Project Id</t>
  </si>
  <si>
    <t>Stm Year</t>
  </si>
  <si>
    <t>Qtr</t>
  </si>
  <si>
    <t>Supplemental Category</t>
  </si>
  <si>
    <t>Supplemental Sub-category</t>
  </si>
  <si>
    <t>Amount</t>
  </si>
  <si>
    <t>Accumulated depreciation</t>
  </si>
  <si>
    <t>Building and improvements</t>
  </si>
  <si>
    <t>Construction in progress</t>
  </si>
  <si>
    <t>Furnishings and equipment</t>
  </si>
  <si>
    <t>Land</t>
  </si>
  <si>
    <t>INVESTMENT IN REAL ESTATE - AT COST</t>
  </si>
  <si>
    <t>OTHER ASSETS</t>
  </si>
  <si>
    <t>Accounts receivable</t>
  </si>
  <si>
    <t>Accounts receivable - affiliates</t>
  </si>
  <si>
    <t>Cash and cash equivalents</t>
  </si>
  <si>
    <t>Funded reserves and restricted cash</t>
  </si>
  <si>
    <t>Intangible assets - net</t>
  </si>
  <si>
    <t>Investment in Operating Partnerships</t>
  </si>
  <si>
    <t>Other assets</t>
  </si>
  <si>
    <t>Prepaid expense - other</t>
  </si>
  <si>
    <t>LIABILITIES</t>
  </si>
  <si>
    <t>Accounts payable - construction</t>
  </si>
  <si>
    <t>Accounts payable - trade</t>
  </si>
  <si>
    <t>Accrued expenses</t>
  </si>
  <si>
    <t>Accrued interest</t>
  </si>
  <si>
    <t>Deferred rental income</t>
  </si>
  <si>
    <t>Due to partner and affiliates</t>
  </si>
  <si>
    <t>Land lease obligation</t>
  </si>
  <si>
    <t>Mortgages payable</t>
  </si>
  <si>
    <t>Tenant security deposits</t>
  </si>
  <si>
    <t>PARTNERS' CAPITAL</t>
  </si>
  <si>
    <t>Ownership %</t>
  </si>
  <si>
    <t>Project Status</t>
  </si>
  <si>
    <t>70340</t>
  </si>
  <si>
    <t>70341</t>
  </si>
  <si>
    <t>70416</t>
  </si>
  <si>
    <t>test_project</t>
  </si>
  <si>
    <t>2017</t>
  </si>
  <si>
    <t>Investment in Real Estate - At Cost</t>
  </si>
  <si>
    <t>Liabilities</t>
  </si>
  <si>
    <t>Other Assets</t>
  </si>
  <si>
    <t>Partners' Capital</t>
  </si>
  <si>
    <t>Park View at Catonsville</t>
  </si>
  <si>
    <t>Operations/Asset Management</t>
  </si>
  <si>
    <t>Park View at South Pantops</t>
  </si>
  <si>
    <t>70342</t>
  </si>
  <si>
    <t>Park View at Tyler Run</t>
  </si>
  <si>
    <t>70343</t>
  </si>
  <si>
    <t>Park View at Manchester Heights</t>
  </si>
  <si>
    <t>70344</t>
  </si>
  <si>
    <t>Park View at Naaman's Creek</t>
  </si>
  <si>
    <t>70345</t>
  </si>
  <si>
    <t>York Commons</t>
  </si>
  <si>
    <t>70346</t>
  </si>
  <si>
    <t>Park View at Oak Crest</t>
  </si>
  <si>
    <t>70347</t>
  </si>
  <si>
    <t>Park View at Cheltenham</t>
  </si>
  <si>
    <t>70348</t>
  </si>
  <si>
    <t>Park View at Bethlehem</t>
  </si>
  <si>
    <t>70349</t>
  </si>
  <si>
    <t>Westbrook Commons</t>
  </si>
  <si>
    <t>70350</t>
  </si>
  <si>
    <t>Park View at Easton</t>
  </si>
  <si>
    <t>70352</t>
  </si>
  <si>
    <t>Somerset Commons</t>
  </si>
  <si>
    <t>70354</t>
  </si>
  <si>
    <t>Park View at Laurel I</t>
  </si>
  <si>
    <t>70357</t>
  </si>
  <si>
    <t>Park View at Emerson</t>
  </si>
  <si>
    <t>70358</t>
  </si>
  <si>
    <t>Park View at Ellicott City II</t>
  </si>
  <si>
    <t>70361</t>
  </si>
  <si>
    <t>Hickory Ridge</t>
  </si>
  <si>
    <t>Pending Business Committee Approval</t>
  </si>
  <si>
    <t>70362</t>
  </si>
  <si>
    <t>Park View at Snowden River</t>
  </si>
  <si>
    <t>70363</t>
  </si>
  <si>
    <t>Park View at Columbia</t>
  </si>
  <si>
    <t>70364</t>
  </si>
  <si>
    <t>Woodbridge Commons</t>
  </si>
  <si>
    <t>70365</t>
  </si>
  <si>
    <t>Park View at Bel Air</t>
  </si>
  <si>
    <t>70366</t>
  </si>
  <si>
    <t>Park View at Box Hill</t>
  </si>
  <si>
    <t>70367</t>
  </si>
  <si>
    <t>College Parkway Place</t>
  </si>
  <si>
    <t>70368</t>
  </si>
  <si>
    <t>Park View at Furnace Branch</t>
  </si>
  <si>
    <t>70369</t>
  </si>
  <si>
    <t>Park View at Severna Park</t>
  </si>
  <si>
    <t>70370</t>
  </si>
  <si>
    <t>Ashland Commons</t>
  </si>
  <si>
    <t>70371</t>
  </si>
  <si>
    <t>Park View at Fullerton</t>
  </si>
  <si>
    <t>70372</t>
  </si>
  <si>
    <t>Park View at Ashland Terrace</t>
  </si>
  <si>
    <t>70373</t>
  </si>
  <si>
    <t>Park View at Coldspring</t>
  </si>
  <si>
    <t>Loan Closing/Construction</t>
  </si>
  <si>
    <t>70374</t>
  </si>
  <si>
    <t>Park View at Taylor</t>
  </si>
  <si>
    <t>Pre-Development</t>
  </si>
  <si>
    <t>70375</t>
  </si>
  <si>
    <t>Park View at Woodlawn</t>
  </si>
  <si>
    <t>70376</t>
  </si>
  <si>
    <t>Park View at Miramar Landing</t>
  </si>
  <si>
    <t>70377</t>
  </si>
  <si>
    <t>Park View at Randallstown</t>
  </si>
  <si>
    <t>70378</t>
  </si>
  <si>
    <t>Park View at Rosedale</t>
  </si>
  <si>
    <t>70379</t>
  </si>
  <si>
    <t>Park View at Towson</t>
  </si>
  <si>
    <t>70381</t>
  </si>
  <si>
    <t>Highland Commons</t>
  </si>
  <si>
    <t>Financial Close-out/Lease-up</t>
  </si>
  <si>
    <t>Operating Expense</t>
  </si>
  <si>
    <t>Administrative</t>
  </si>
  <si>
    <t>Depreciation &amp; amortization</t>
  </si>
  <si>
    <t>Interest expense</t>
  </si>
  <si>
    <t>Management fees</t>
  </si>
  <si>
    <t>Miscellaneous expense</t>
  </si>
  <si>
    <t>Professional fees</t>
  </si>
  <si>
    <t>Repairs &amp; maintenance</t>
  </si>
  <si>
    <t>Taxes &amp; insurance</t>
  </si>
  <si>
    <t>Utilities</t>
  </si>
  <si>
    <t>Revenue</t>
  </si>
  <si>
    <t>Interest Income</t>
  </si>
  <si>
    <t>Other Income</t>
  </si>
  <si>
    <t>Rental Income</t>
  </si>
  <si>
    <t>OPERATING EXPENSE</t>
  </si>
  <si>
    <t>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</si>
</sst>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 applyProtection="1">
      <protection locked="0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left" indent="1"/>
    </xf>
    <xf numFmtId="0" fontId="2" fillId="0" borderId="0" xfId="0" quotePrefix="1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104775</xdr:rowOff>
        </xdr:from>
        <xdr:to>
          <xdr:col>4</xdr:col>
          <xdr:colOff>9525</xdr:colOff>
          <xdr:row>4</xdr:row>
          <xdr:rowOff>161925</xdr:rowOff>
        </xdr:to>
        <xdr:sp macro="" textlink="">
          <xdr:nvSpPr>
            <xdr:cNvPr id="1025" name="GetData" descr="Get 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Selected Supplemental and Apportionment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51"/>
  <sheetViews>
    <sheetView topLeftCell="A7" workbookViewId="0">
      <selection activeCell="A33" sqref="A33"/>
    </sheetView>
  </sheetViews>
  <sheetFormatPr defaultRowHeight="15" x14ac:dyDescent="0.25"/>
  <cols>
    <col min="1" max="1" width="9.140625" bestFit="1" customWidth="1"/>
    <col min="2" max="2" width="15.5703125" bestFit="1" customWidth="1"/>
    <col min="3" max="3" width="12.42578125" customWidth="1"/>
    <col min="4" max="4" width="24.42578125" customWidth="1"/>
    <col min="5" max="5" width="20.5703125" customWidth="1"/>
    <col min="6" max="6" width="26.5703125" bestFit="1" customWidth="1"/>
  </cols>
  <sheetData>
    <row r="1" spans="1:6" ht="18.75" x14ac:dyDescent="0.3">
      <c r="C1" s="7" t="s">
        <v>6</v>
      </c>
    </row>
    <row r="3" spans="1:6" x14ac:dyDescent="0.25">
      <c r="A3" s="1">
        <v>2</v>
      </c>
      <c r="B3" s="1" t="s">
        <v>0</v>
      </c>
      <c r="C3" s="1"/>
    </row>
    <row r="4" spans="1:6" x14ac:dyDescent="0.25">
      <c r="A4" s="1">
        <v>2017</v>
      </c>
      <c r="B4" s="1" t="s">
        <v>1</v>
      </c>
      <c r="C4" s="1"/>
    </row>
    <row r="5" spans="1:6" x14ac:dyDescent="0.25">
      <c r="A5" s="1"/>
      <c r="B5" s="1"/>
      <c r="C5" s="1"/>
    </row>
    <row r="6" spans="1:6" x14ac:dyDescent="0.25">
      <c r="A6" s="1" t="s">
        <v>2</v>
      </c>
      <c r="B6" s="1">
        <f t="array" ref="B6">SUBTOTAL(2,A9:A120)</f>
        <v>36</v>
      </c>
      <c r="C6" s="6" t="s">
        <v>3</v>
      </c>
    </row>
    <row r="8" spans="1:6" x14ac:dyDescent="0.25">
      <c r="A8" s="1" t="s">
        <v>7</v>
      </c>
      <c r="B8" s="1" t="s">
        <v>4</v>
      </c>
      <c r="C8" s="1" t="s">
        <v>39</v>
      </c>
      <c r="D8" s="1" t="s">
        <v>40</v>
      </c>
      <c r="E8" s="1" t="s">
        <v>5</v>
      </c>
      <c r="F8" s="1" t="s">
        <v>6</v>
      </c>
    </row>
    <row r="9" spans="1:6" ht="13.5" customHeight="1" x14ac:dyDescent="0.25">
      <c r="A9">
        <v>70340</v>
      </c>
      <c r="B9" t="s">
        <v>50</v>
      </c>
      <c r="C9">
        <v>0.01</v>
      </c>
      <c r="D9" t="s">
        <v>51</v>
      </c>
    </row>
    <row r="10" spans="1:6" ht="13.5" customHeight="1" x14ac:dyDescent="0.25">
      <c r="A10">
        <v>70341</v>
      </c>
      <c r="B10" t="s">
        <v>52</v>
      </c>
      <c r="C10">
        <v>8.5000000000000006E-3</v>
      </c>
      <c r="D10" t="s">
        <v>51</v>
      </c>
    </row>
    <row r="11" spans="1:6" ht="13.5" customHeight="1" x14ac:dyDescent="0.25">
      <c r="A11">
        <v>70342</v>
      </c>
      <c r="B11" t="s">
        <v>54</v>
      </c>
      <c r="C11">
        <v>99.99</v>
      </c>
      <c r="D11" t="s">
        <v>51</v>
      </c>
    </row>
    <row r="12" spans="1:6" ht="13.5" customHeight="1" x14ac:dyDescent="0.25">
      <c r="A12">
        <v>70343</v>
      </c>
      <c r="B12" t="s">
        <v>56</v>
      </c>
      <c r="C12">
        <v>99.99</v>
      </c>
      <c r="D12" t="s">
        <v>51</v>
      </c>
    </row>
    <row r="13" spans="1:6" ht="13.5" customHeight="1" x14ac:dyDescent="0.25">
      <c r="A13">
        <v>70344</v>
      </c>
      <c r="B13" t="s">
        <v>58</v>
      </c>
      <c r="C13">
        <v>99.99</v>
      </c>
      <c r="D13" t="s">
        <v>51</v>
      </c>
    </row>
    <row r="14" spans="1:6" ht="13.5" customHeight="1" x14ac:dyDescent="0.25">
      <c r="A14">
        <v>70345</v>
      </c>
      <c r="B14" t="s">
        <v>60</v>
      </c>
      <c r="C14">
        <v>7.0000000000000001E-3</v>
      </c>
      <c r="D14" t="s">
        <v>51</v>
      </c>
    </row>
    <row r="15" spans="1:6" ht="13.5" customHeight="1" x14ac:dyDescent="0.25">
      <c r="A15">
        <v>70346</v>
      </c>
      <c r="B15" t="s">
        <v>62</v>
      </c>
      <c r="C15">
        <v>99.99</v>
      </c>
      <c r="D15" t="s">
        <v>51</v>
      </c>
    </row>
    <row r="16" spans="1:6" ht="13.5" customHeight="1" x14ac:dyDescent="0.25">
      <c r="A16">
        <v>70347</v>
      </c>
      <c r="B16" t="s">
        <v>64</v>
      </c>
      <c r="C16">
        <v>7.0000000000000001E-3</v>
      </c>
      <c r="D16" t="s">
        <v>51</v>
      </c>
    </row>
    <row r="17" spans="1:4" ht="13.5" customHeight="1" x14ac:dyDescent="0.25">
      <c r="A17">
        <v>70348</v>
      </c>
      <c r="B17" t="s">
        <v>66</v>
      </c>
      <c r="C17">
        <v>99.99</v>
      </c>
      <c r="D17" t="s">
        <v>51</v>
      </c>
    </row>
    <row r="18" spans="1:4" ht="13.5" customHeight="1" x14ac:dyDescent="0.25">
      <c r="A18">
        <v>70349</v>
      </c>
      <c r="B18" t="s">
        <v>68</v>
      </c>
      <c r="C18">
        <v>0.01</v>
      </c>
      <c r="D18" t="s">
        <v>51</v>
      </c>
    </row>
    <row r="19" spans="1:4" ht="13.5" customHeight="1" x14ac:dyDescent="0.25">
      <c r="A19">
        <v>70350</v>
      </c>
      <c r="B19" t="s">
        <v>70</v>
      </c>
      <c r="C19">
        <v>99.99</v>
      </c>
      <c r="D19" t="s">
        <v>51</v>
      </c>
    </row>
    <row r="20" spans="1:4" ht="13.5" customHeight="1" x14ac:dyDescent="0.25">
      <c r="A20">
        <v>70352</v>
      </c>
      <c r="B20" t="s">
        <v>72</v>
      </c>
      <c r="C20">
        <v>99.99</v>
      </c>
      <c r="D20" t="s">
        <v>51</v>
      </c>
    </row>
    <row r="21" spans="1:4" ht="13.5" customHeight="1" x14ac:dyDescent="0.25">
      <c r="A21">
        <v>70354</v>
      </c>
      <c r="B21" t="s">
        <v>74</v>
      </c>
      <c r="C21">
        <v>9.0010000000000003E-3</v>
      </c>
      <c r="D21" t="s">
        <v>51</v>
      </c>
    </row>
    <row r="22" spans="1:4" ht="13.5" customHeight="1" x14ac:dyDescent="0.25">
      <c r="A22">
        <v>70357</v>
      </c>
      <c r="B22" t="s">
        <v>76</v>
      </c>
      <c r="C22">
        <v>9.0010000000000003E-3</v>
      </c>
      <c r="D22" t="s">
        <v>51</v>
      </c>
    </row>
    <row r="23" spans="1:4" ht="13.5" customHeight="1" x14ac:dyDescent="0.25">
      <c r="A23">
        <v>70358</v>
      </c>
      <c r="B23" t="s">
        <v>78</v>
      </c>
      <c r="C23">
        <v>99.99</v>
      </c>
      <c r="D23" t="s">
        <v>51</v>
      </c>
    </row>
    <row r="24" spans="1:4" ht="13.5" customHeight="1" x14ac:dyDescent="0.25">
      <c r="A24">
        <v>70361</v>
      </c>
      <c r="B24" t="s">
        <v>80</v>
      </c>
      <c r="C24">
        <v>99.99</v>
      </c>
      <c r="D24" t="s">
        <v>81</v>
      </c>
    </row>
    <row r="25" spans="1:4" ht="13.5" customHeight="1" x14ac:dyDescent="0.25">
      <c r="A25">
        <v>70362</v>
      </c>
      <c r="B25" t="s">
        <v>83</v>
      </c>
      <c r="C25">
        <v>0.01</v>
      </c>
      <c r="D25" t="s">
        <v>51</v>
      </c>
    </row>
    <row r="26" spans="1:4" ht="13.5" customHeight="1" x14ac:dyDescent="0.25">
      <c r="A26">
        <v>70363</v>
      </c>
      <c r="B26" t="s">
        <v>85</v>
      </c>
      <c r="C26">
        <v>9.1000000000000004E-3</v>
      </c>
      <c r="D26" t="s">
        <v>51</v>
      </c>
    </row>
    <row r="27" spans="1:4" ht="13.5" customHeight="1" x14ac:dyDescent="0.25">
      <c r="A27">
        <v>70364</v>
      </c>
      <c r="B27" t="s">
        <v>87</v>
      </c>
      <c r="C27">
        <v>99.99</v>
      </c>
      <c r="D27" t="s">
        <v>51</v>
      </c>
    </row>
    <row r="28" spans="1:4" ht="13.5" customHeight="1" x14ac:dyDescent="0.25">
      <c r="A28">
        <v>70365</v>
      </c>
      <c r="B28" t="s">
        <v>89</v>
      </c>
      <c r="C28">
        <v>99.99</v>
      </c>
      <c r="D28" t="s">
        <v>51</v>
      </c>
    </row>
    <row r="29" spans="1:4" ht="13.5" customHeight="1" x14ac:dyDescent="0.25">
      <c r="A29">
        <v>70366</v>
      </c>
      <c r="B29" t="s">
        <v>91</v>
      </c>
      <c r="C29">
        <v>99.99</v>
      </c>
      <c r="D29" t="s">
        <v>51</v>
      </c>
    </row>
    <row r="30" spans="1:4" ht="13.5" customHeight="1" x14ac:dyDescent="0.25">
      <c r="A30">
        <v>70367</v>
      </c>
      <c r="B30" t="s">
        <v>93</v>
      </c>
      <c r="C30">
        <v>99.99</v>
      </c>
      <c r="D30" t="s">
        <v>51</v>
      </c>
    </row>
    <row r="31" spans="1:4" ht="13.5" customHeight="1" x14ac:dyDescent="0.25">
      <c r="A31">
        <v>70368</v>
      </c>
      <c r="B31" t="s">
        <v>95</v>
      </c>
      <c r="C31">
        <v>99.99</v>
      </c>
      <c r="D31" t="s">
        <v>51</v>
      </c>
    </row>
    <row r="32" spans="1:4" ht="13.5" customHeight="1" x14ac:dyDescent="0.25">
      <c r="A32">
        <v>70369</v>
      </c>
      <c r="B32" t="s">
        <v>97</v>
      </c>
      <c r="C32">
        <v>9.0010000000000003E-3</v>
      </c>
      <c r="D32" t="s">
        <v>51</v>
      </c>
    </row>
    <row r="33" spans="1:4" ht="13.5" customHeight="1" x14ac:dyDescent="0.25">
      <c r="A33">
        <v>70370</v>
      </c>
      <c r="B33" t="s">
        <v>99</v>
      </c>
      <c r="C33">
        <v>0.01</v>
      </c>
      <c r="D33" t="s">
        <v>51</v>
      </c>
    </row>
    <row r="34" spans="1:4" ht="13.5" customHeight="1" x14ac:dyDescent="0.25">
      <c r="A34">
        <v>70371</v>
      </c>
      <c r="B34" t="s">
        <v>101</v>
      </c>
      <c r="C34">
        <v>0.01</v>
      </c>
      <c r="D34" t="s">
        <v>51</v>
      </c>
    </row>
    <row r="35" spans="1:4" ht="13.5" customHeight="1" x14ac:dyDescent="0.25">
      <c r="A35">
        <v>70372</v>
      </c>
      <c r="B35" t="s">
        <v>103</v>
      </c>
      <c r="C35">
        <v>0.01</v>
      </c>
      <c r="D35" t="s">
        <v>51</v>
      </c>
    </row>
    <row r="36" spans="1:4" ht="13.5" customHeight="1" x14ac:dyDescent="0.25">
      <c r="A36">
        <v>70373</v>
      </c>
      <c r="B36" t="s">
        <v>105</v>
      </c>
      <c r="C36">
        <v>99.99</v>
      </c>
      <c r="D36" t="s">
        <v>106</v>
      </c>
    </row>
    <row r="37" spans="1:4" ht="13.5" customHeight="1" x14ac:dyDescent="0.25">
      <c r="A37">
        <v>70374</v>
      </c>
      <c r="B37" t="s">
        <v>108</v>
      </c>
      <c r="C37">
        <v>99.99</v>
      </c>
      <c r="D37" t="s">
        <v>109</v>
      </c>
    </row>
    <row r="38" spans="1:4" ht="13.5" customHeight="1" x14ac:dyDescent="0.25">
      <c r="A38">
        <v>70375</v>
      </c>
      <c r="B38" t="s">
        <v>111</v>
      </c>
      <c r="C38">
        <v>99.99</v>
      </c>
      <c r="D38" t="s">
        <v>109</v>
      </c>
    </row>
    <row r="39" spans="1:4" ht="13.5" customHeight="1" x14ac:dyDescent="0.25">
      <c r="A39">
        <v>70376</v>
      </c>
      <c r="B39" t="s">
        <v>113</v>
      </c>
      <c r="C39">
        <v>9.4999999999999998E-3</v>
      </c>
      <c r="D39" t="s">
        <v>51</v>
      </c>
    </row>
    <row r="40" spans="1:4" ht="13.5" customHeight="1" x14ac:dyDescent="0.25">
      <c r="A40">
        <v>70377</v>
      </c>
      <c r="B40" t="s">
        <v>115</v>
      </c>
      <c r="C40">
        <v>0.01</v>
      </c>
      <c r="D40" t="s">
        <v>51</v>
      </c>
    </row>
    <row r="41" spans="1:4" ht="13.5" customHeight="1" x14ac:dyDescent="0.25">
      <c r="A41">
        <v>70378</v>
      </c>
      <c r="B41" t="s">
        <v>117</v>
      </c>
      <c r="C41">
        <v>0.01</v>
      </c>
      <c r="D41" t="s">
        <v>51</v>
      </c>
    </row>
    <row r="42" spans="1:4" ht="13.5" customHeight="1" x14ac:dyDescent="0.25">
      <c r="A42">
        <v>70379</v>
      </c>
      <c r="B42" t="s">
        <v>119</v>
      </c>
      <c r="C42">
        <v>9.4000000000000004E-3</v>
      </c>
      <c r="D42" t="s">
        <v>51</v>
      </c>
    </row>
    <row r="43" spans="1:4" ht="13.5" customHeight="1" x14ac:dyDescent="0.25">
      <c r="A43">
        <v>70381</v>
      </c>
      <c r="B43" t="s">
        <v>121</v>
      </c>
      <c r="C43">
        <v>9.2499999999999995E-3</v>
      </c>
      <c r="D43" t="s">
        <v>51</v>
      </c>
    </row>
    <row r="44" spans="1:4" ht="13.5" customHeight="1" x14ac:dyDescent="0.25">
      <c r="A44">
        <v>70416</v>
      </c>
      <c r="B44" t="s">
        <v>44</v>
      </c>
      <c r="C44">
        <v>0.1</v>
      </c>
      <c r="D44" t="s">
        <v>122</v>
      </c>
    </row>
    <row r="45" spans="1:4" ht="13.5" customHeight="1" x14ac:dyDescent="0.25"/>
    <row r="46" spans="1:4" ht="13.5" customHeight="1" x14ac:dyDescent="0.25"/>
    <row r="47" spans="1:4" ht="13.5" customHeight="1" x14ac:dyDescent="0.25"/>
    <row r="48" spans="1:4" ht="13.5" customHeight="1" x14ac:dyDescent="0.25"/>
    <row r="49" ht="13.5" customHeight="1" x14ac:dyDescent="0.25"/>
    <row r="50" ht="13.5" customHeight="1" x14ac:dyDescent="0.25"/>
    <row r="51" ht="13.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etData">
              <controlPr defaultSize="0" print="0" autoFill="0" autoPict="0" macro="[0]!GetData_Click" altText="Get Data">
                <anchor moveWithCells="1" sizeWithCells="1">
                  <from>
                    <xdr:col>3</xdr:col>
                    <xdr:colOff>0</xdr:colOff>
                    <xdr:row>1</xdr:row>
                    <xdr:rowOff>104775</xdr:rowOff>
                  </from>
                  <to>
                    <xdr:col>4</xdr:col>
                    <xdr:colOff>9525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D37"/>
  <sheetViews>
    <sheetView topLeftCell="A13" workbookViewId="0">
      <selection activeCell="A37" sqref="A37"/>
    </sheetView>
  </sheetViews>
  <sheetFormatPr defaultRowHeight="15" x14ac:dyDescent="0.25"/>
  <sheetData>
    <row r="2" spans="1:4" x14ac:dyDescent="0.25">
      <c r="A2" t="s">
        <v>41</v>
      </c>
      <c r="B2" t="s">
        <v>50</v>
      </c>
      <c r="C2">
        <v>0.01</v>
      </c>
      <c r="D2" t="s">
        <v>51</v>
      </c>
    </row>
    <row r="3" spans="1:4" x14ac:dyDescent="0.25">
      <c r="A3" t="s">
        <v>42</v>
      </c>
      <c r="B3" t="s">
        <v>52</v>
      </c>
      <c r="C3">
        <v>8.5000000000000006E-3</v>
      </c>
      <c r="D3" t="s">
        <v>51</v>
      </c>
    </row>
    <row r="4" spans="1:4" x14ac:dyDescent="0.25">
      <c r="A4" t="s">
        <v>53</v>
      </c>
      <c r="B4" t="s">
        <v>54</v>
      </c>
      <c r="C4">
        <v>99.99</v>
      </c>
      <c r="D4" t="s">
        <v>51</v>
      </c>
    </row>
    <row r="5" spans="1:4" x14ac:dyDescent="0.25">
      <c r="A5" t="s">
        <v>55</v>
      </c>
      <c r="B5" t="s">
        <v>56</v>
      </c>
      <c r="C5">
        <v>99.99</v>
      </c>
      <c r="D5" t="s">
        <v>51</v>
      </c>
    </row>
    <row r="6" spans="1:4" x14ac:dyDescent="0.25">
      <c r="A6" t="s">
        <v>57</v>
      </c>
      <c r="B6" t="s">
        <v>58</v>
      </c>
      <c r="C6">
        <v>99.99</v>
      </c>
      <c r="D6" t="s">
        <v>51</v>
      </c>
    </row>
    <row r="7" spans="1:4" x14ac:dyDescent="0.25">
      <c r="A7" t="s">
        <v>59</v>
      </c>
      <c r="B7" t="s">
        <v>60</v>
      </c>
      <c r="C7">
        <v>7.0000000000000001E-3</v>
      </c>
      <c r="D7" t="s">
        <v>51</v>
      </c>
    </row>
    <row r="8" spans="1:4" x14ac:dyDescent="0.25">
      <c r="A8" t="s">
        <v>61</v>
      </c>
      <c r="B8" t="s">
        <v>62</v>
      </c>
      <c r="C8">
        <v>99.99</v>
      </c>
      <c r="D8" t="s">
        <v>51</v>
      </c>
    </row>
    <row r="9" spans="1:4" x14ac:dyDescent="0.25">
      <c r="A9" t="s">
        <v>63</v>
      </c>
      <c r="B9" t="s">
        <v>64</v>
      </c>
      <c r="C9">
        <v>7.0000000000000001E-3</v>
      </c>
      <c r="D9" t="s">
        <v>51</v>
      </c>
    </row>
    <row r="10" spans="1:4" x14ac:dyDescent="0.25">
      <c r="A10" t="s">
        <v>65</v>
      </c>
      <c r="B10" t="s">
        <v>66</v>
      </c>
      <c r="C10">
        <v>99.99</v>
      </c>
      <c r="D10" t="s">
        <v>51</v>
      </c>
    </row>
    <row r="11" spans="1:4" x14ac:dyDescent="0.25">
      <c r="A11" t="s">
        <v>67</v>
      </c>
      <c r="B11" t="s">
        <v>68</v>
      </c>
      <c r="C11">
        <v>0.01</v>
      </c>
      <c r="D11" t="s">
        <v>51</v>
      </c>
    </row>
    <row r="12" spans="1:4" x14ac:dyDescent="0.25">
      <c r="A12" t="s">
        <v>69</v>
      </c>
      <c r="B12" t="s">
        <v>70</v>
      </c>
      <c r="C12">
        <v>99.99</v>
      </c>
      <c r="D12" t="s">
        <v>51</v>
      </c>
    </row>
    <row r="13" spans="1:4" x14ac:dyDescent="0.25">
      <c r="A13" t="s">
        <v>71</v>
      </c>
      <c r="B13" t="s">
        <v>72</v>
      </c>
      <c r="C13">
        <v>99.99</v>
      </c>
      <c r="D13" t="s">
        <v>51</v>
      </c>
    </row>
    <row r="14" spans="1:4" x14ac:dyDescent="0.25">
      <c r="A14" t="s">
        <v>73</v>
      </c>
      <c r="B14" t="s">
        <v>74</v>
      </c>
      <c r="C14">
        <v>9.0010000000000003E-3</v>
      </c>
      <c r="D14" t="s">
        <v>51</v>
      </c>
    </row>
    <row r="15" spans="1:4" x14ac:dyDescent="0.25">
      <c r="A15" t="s">
        <v>75</v>
      </c>
      <c r="B15" t="s">
        <v>76</v>
      </c>
      <c r="C15">
        <v>9.0010000000000003E-3</v>
      </c>
      <c r="D15" t="s">
        <v>51</v>
      </c>
    </row>
    <row r="16" spans="1:4" x14ac:dyDescent="0.25">
      <c r="A16" t="s">
        <v>77</v>
      </c>
      <c r="B16" t="s">
        <v>78</v>
      </c>
      <c r="C16">
        <v>99.99</v>
      </c>
      <c r="D16" t="s">
        <v>51</v>
      </c>
    </row>
    <row r="17" spans="1:4" x14ac:dyDescent="0.25">
      <c r="A17" t="s">
        <v>79</v>
      </c>
      <c r="B17" t="s">
        <v>80</v>
      </c>
      <c r="C17">
        <v>99.99</v>
      </c>
      <c r="D17" t="s">
        <v>81</v>
      </c>
    </row>
    <row r="18" spans="1:4" x14ac:dyDescent="0.25">
      <c r="A18" t="s">
        <v>82</v>
      </c>
      <c r="B18" t="s">
        <v>83</v>
      </c>
      <c r="C18">
        <v>0.01</v>
      </c>
      <c r="D18" t="s">
        <v>51</v>
      </c>
    </row>
    <row r="19" spans="1:4" x14ac:dyDescent="0.25">
      <c r="A19" t="s">
        <v>84</v>
      </c>
      <c r="B19" t="s">
        <v>85</v>
      </c>
      <c r="C19">
        <v>9.1000000000000004E-3</v>
      </c>
      <c r="D19" t="s">
        <v>51</v>
      </c>
    </row>
    <row r="20" spans="1:4" x14ac:dyDescent="0.25">
      <c r="A20" t="s">
        <v>86</v>
      </c>
      <c r="B20" t="s">
        <v>87</v>
      </c>
      <c r="C20">
        <v>99.99</v>
      </c>
      <c r="D20" t="s">
        <v>51</v>
      </c>
    </row>
    <row r="21" spans="1:4" x14ac:dyDescent="0.25">
      <c r="A21" t="s">
        <v>88</v>
      </c>
      <c r="B21" t="s">
        <v>89</v>
      </c>
      <c r="C21">
        <v>99.99</v>
      </c>
      <c r="D21" t="s">
        <v>51</v>
      </c>
    </row>
    <row r="22" spans="1:4" x14ac:dyDescent="0.25">
      <c r="A22" t="s">
        <v>90</v>
      </c>
      <c r="B22" t="s">
        <v>91</v>
      </c>
      <c r="C22">
        <v>99.99</v>
      </c>
      <c r="D22" t="s">
        <v>51</v>
      </c>
    </row>
    <row r="23" spans="1:4" x14ac:dyDescent="0.25">
      <c r="A23" t="s">
        <v>92</v>
      </c>
      <c r="B23" t="s">
        <v>93</v>
      </c>
      <c r="C23">
        <v>99.99</v>
      </c>
      <c r="D23" t="s">
        <v>51</v>
      </c>
    </row>
    <row r="24" spans="1:4" x14ac:dyDescent="0.25">
      <c r="A24" t="s">
        <v>94</v>
      </c>
      <c r="B24" t="s">
        <v>95</v>
      </c>
      <c r="C24">
        <v>99.99</v>
      </c>
      <c r="D24" t="s">
        <v>51</v>
      </c>
    </row>
    <row r="25" spans="1:4" x14ac:dyDescent="0.25">
      <c r="A25" t="s">
        <v>96</v>
      </c>
      <c r="B25" t="s">
        <v>97</v>
      </c>
      <c r="C25">
        <v>9.0010000000000003E-3</v>
      </c>
      <c r="D25" t="s">
        <v>51</v>
      </c>
    </row>
    <row r="26" spans="1:4" x14ac:dyDescent="0.25">
      <c r="A26" t="s">
        <v>98</v>
      </c>
      <c r="B26" t="s">
        <v>99</v>
      </c>
      <c r="C26">
        <v>0.01</v>
      </c>
      <c r="D26" t="s">
        <v>51</v>
      </c>
    </row>
    <row r="27" spans="1:4" x14ac:dyDescent="0.25">
      <c r="A27" t="s">
        <v>100</v>
      </c>
      <c r="B27" t="s">
        <v>101</v>
      </c>
      <c r="C27">
        <v>0.01</v>
      </c>
      <c r="D27" t="s">
        <v>51</v>
      </c>
    </row>
    <row r="28" spans="1:4" x14ac:dyDescent="0.25">
      <c r="A28" t="s">
        <v>102</v>
      </c>
      <c r="B28" t="s">
        <v>103</v>
      </c>
      <c r="C28">
        <v>0.01</v>
      </c>
      <c r="D28" t="s">
        <v>51</v>
      </c>
    </row>
    <row r="29" spans="1:4" x14ac:dyDescent="0.25">
      <c r="A29" t="s">
        <v>104</v>
      </c>
      <c r="B29" t="s">
        <v>105</v>
      </c>
      <c r="C29">
        <v>99.99</v>
      </c>
      <c r="D29" t="s">
        <v>106</v>
      </c>
    </row>
    <row r="30" spans="1:4" x14ac:dyDescent="0.25">
      <c r="A30" t="s">
        <v>107</v>
      </c>
      <c r="B30" t="s">
        <v>108</v>
      </c>
      <c r="C30">
        <v>99.99</v>
      </c>
      <c r="D30" t="s">
        <v>109</v>
      </c>
    </row>
    <row r="31" spans="1:4" x14ac:dyDescent="0.25">
      <c r="A31" t="s">
        <v>110</v>
      </c>
      <c r="B31" t="s">
        <v>111</v>
      </c>
      <c r="C31">
        <v>99.99</v>
      </c>
      <c r="D31" t="s">
        <v>109</v>
      </c>
    </row>
    <row r="32" spans="1:4" x14ac:dyDescent="0.25">
      <c r="A32" t="s">
        <v>112</v>
      </c>
      <c r="B32" t="s">
        <v>113</v>
      </c>
      <c r="C32">
        <v>9.4999999999999998E-3</v>
      </c>
      <c r="D32" t="s">
        <v>51</v>
      </c>
    </row>
    <row r="33" spans="1:4" x14ac:dyDescent="0.25">
      <c r="A33" t="s">
        <v>114</v>
      </c>
      <c r="B33" t="s">
        <v>115</v>
      </c>
      <c r="C33">
        <v>0.01</v>
      </c>
      <c r="D33" t="s">
        <v>51</v>
      </c>
    </row>
    <row r="34" spans="1:4" x14ac:dyDescent="0.25">
      <c r="A34" t="s">
        <v>116</v>
      </c>
      <c r="B34" t="s">
        <v>117</v>
      </c>
      <c r="C34">
        <v>0.01</v>
      </c>
      <c r="D34" t="s">
        <v>51</v>
      </c>
    </row>
    <row r="35" spans="1:4" x14ac:dyDescent="0.25">
      <c r="A35" t="s">
        <v>118</v>
      </c>
      <c r="B35" t="s">
        <v>119</v>
      </c>
      <c r="C35">
        <v>9.4000000000000004E-3</v>
      </c>
      <c r="D35" t="s">
        <v>51</v>
      </c>
    </row>
    <row r="36" spans="1:4" x14ac:dyDescent="0.25">
      <c r="A36" t="s">
        <v>120</v>
      </c>
      <c r="B36" t="s">
        <v>121</v>
      </c>
      <c r="C36">
        <v>9.2499999999999995E-3</v>
      </c>
      <c r="D36" t="s">
        <v>51</v>
      </c>
    </row>
    <row r="37" spans="1:4" x14ac:dyDescent="0.25">
      <c r="A37" t="s">
        <v>43</v>
      </c>
      <c r="B37" t="s">
        <v>44</v>
      </c>
      <c r="C37">
        <v>0.1</v>
      </c>
      <c r="D37" t="s">
        <v>122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Z35"/>
  <sheetViews>
    <sheetView workbookViewId="0">
      <selection activeCell="G20" sqref="G20"/>
    </sheetView>
  </sheetViews>
  <sheetFormatPr defaultColWidth="8.85546875" defaultRowHeight="12.75" x14ac:dyDescent="0.2"/>
  <cols>
    <col min="1" max="1" width="41.42578125" style="3" customWidth="1"/>
    <col min="2" max="2" width="11.42578125" style="3" customWidth="1"/>
    <col min="3" max="3" width="11.140625" style="3" customWidth="1"/>
    <col min="4" max="16384" width="8.85546875" style="3"/>
  </cols>
  <sheetData>
    <row r="1" spans="1:104" ht="15" x14ac:dyDescent="0.25">
      <c r="B1" s="5">
        <v>70340</v>
      </c>
      <c r="C1" s="5">
        <v>70341</v>
      </c>
      <c r="D1" s="5">
        <v>70342</v>
      </c>
      <c r="E1" s="5">
        <v>70343</v>
      </c>
      <c r="F1" s="5">
        <v>70344</v>
      </c>
      <c r="G1" s="5">
        <v>70345</v>
      </c>
      <c r="H1" s="5">
        <v>70346</v>
      </c>
      <c r="I1" s="5">
        <v>70347</v>
      </c>
      <c r="J1" s="5">
        <v>70348</v>
      </c>
      <c r="K1" s="5">
        <v>70349</v>
      </c>
      <c r="L1" s="5">
        <v>70350</v>
      </c>
      <c r="M1" s="5">
        <v>70352</v>
      </c>
      <c r="N1" s="5">
        <v>70354</v>
      </c>
      <c r="O1" s="3">
        <v>70357</v>
      </c>
      <c r="P1" s="2">
        <v>70358</v>
      </c>
      <c r="Q1" s="3">
        <v>70361</v>
      </c>
      <c r="R1" s="5">
        <v>70362</v>
      </c>
      <c r="S1" s="5">
        <v>70363</v>
      </c>
      <c r="T1" s="5">
        <v>70364</v>
      </c>
      <c r="U1" s="5">
        <v>70365</v>
      </c>
      <c r="V1" s="5">
        <v>70366</v>
      </c>
      <c r="W1" s="5">
        <v>70367</v>
      </c>
      <c r="X1" s="5">
        <v>70368</v>
      </c>
      <c r="Y1" s="5">
        <v>70369</v>
      </c>
      <c r="Z1" s="5">
        <v>70370</v>
      </c>
      <c r="AA1" s="3">
        <v>70371</v>
      </c>
      <c r="AB1" s="2">
        <v>70372</v>
      </c>
      <c r="AC1" s="3">
        <v>70373</v>
      </c>
      <c r="AD1" s="3">
        <v>70374</v>
      </c>
      <c r="AE1" s="3">
        <v>70375</v>
      </c>
      <c r="AF1" s="3">
        <v>70376</v>
      </c>
      <c r="AG1" s="3">
        <v>70377</v>
      </c>
      <c r="AH1" s="3">
        <v>70378</v>
      </c>
      <c r="AI1" s="3">
        <v>70379</v>
      </c>
      <c r="AJ1" s="3">
        <v>70381</v>
      </c>
      <c r="AK1" s="3">
        <v>70416</v>
      </c>
      <c r="CP1"/>
    </row>
    <row r="2" spans="1:104" x14ac:dyDescent="0.2">
      <c r="B2" s="4" t="str">
        <f>VLOOKUP(B$1,ProjectNames,2,FALSE)</f>
        <v>Park View at Catonsville</v>
      </c>
      <c r="C2" s="4" t="str">
        <f>VLOOKUP(C$1,ProjectNames,2,FALSE)</f>
        <v>Park View at South Pantops</v>
      </c>
      <c r="D2" s="4" t="str">
        <f t="shared" ref="D2:AG2" si="0">VLOOKUP(D$1,ProjectNames,2,FALSE)</f>
        <v>Park View at Tyler Run</v>
      </c>
      <c r="E2" s="4" t="str">
        <f t="shared" si="0"/>
        <v>Park View at Manchester Heights</v>
      </c>
      <c r="F2" s="4" t="str">
        <f t="shared" si="0"/>
        <v>Park View at Naaman's Creek</v>
      </c>
      <c r="G2" s="4" t="str">
        <f t="shared" si="0"/>
        <v>York Commons</v>
      </c>
      <c r="H2" s="4" t="str">
        <f t="shared" si="0"/>
        <v>Park View at Oak Crest</v>
      </c>
      <c r="I2" s="4" t="str">
        <f t="shared" si="0"/>
        <v>Park View at Cheltenham</v>
      </c>
      <c r="J2" s="4" t="str">
        <f t="shared" si="0"/>
        <v>Park View at Bethlehem</v>
      </c>
      <c r="K2" s="4" t="str">
        <f t="shared" si="0"/>
        <v>Westbrook Commons</v>
      </c>
      <c r="L2" s="4" t="str">
        <f t="shared" si="0"/>
        <v>Park View at Easton</v>
      </c>
      <c r="M2" s="4" t="str">
        <f t="shared" si="0"/>
        <v>Somerset Commons</v>
      </c>
      <c r="N2" s="4" t="str">
        <f t="shared" si="0"/>
        <v>Park View at Laurel I</v>
      </c>
      <c r="O2" s="4" t="str">
        <f t="shared" si="0"/>
        <v>Park View at Emerson</v>
      </c>
      <c r="P2" s="4" t="str">
        <f t="shared" si="0"/>
        <v>Park View at Ellicott City II</v>
      </c>
      <c r="Q2" s="4" t="str">
        <f t="shared" si="0"/>
        <v>Hickory Ridge</v>
      </c>
      <c r="R2" s="4" t="str">
        <f t="shared" si="0"/>
        <v>Park View at Snowden River</v>
      </c>
      <c r="S2" s="4" t="str">
        <f t="shared" si="0"/>
        <v>Park View at Columbia</v>
      </c>
      <c r="T2" s="4" t="str">
        <f t="shared" si="0"/>
        <v>Woodbridge Commons</v>
      </c>
      <c r="U2" s="4" t="str">
        <f t="shared" si="0"/>
        <v>Park View at Bel Air</v>
      </c>
      <c r="V2" s="4" t="str">
        <f t="shared" si="0"/>
        <v>Park View at Box Hill</v>
      </c>
      <c r="W2" s="4" t="str">
        <f t="shared" si="0"/>
        <v>College Parkway Place</v>
      </c>
      <c r="X2" s="4" t="str">
        <f t="shared" si="0"/>
        <v>Park View at Furnace Branch</v>
      </c>
      <c r="Y2" s="4" t="str">
        <f t="shared" si="0"/>
        <v>Park View at Severna Park</v>
      </c>
      <c r="Z2" s="4" t="str">
        <f t="shared" si="0"/>
        <v>Ashland Commons</v>
      </c>
      <c r="AA2" s="4" t="str">
        <f t="shared" si="0"/>
        <v>Park View at Fullerton</v>
      </c>
      <c r="AB2" s="4" t="str">
        <f t="shared" si="0"/>
        <v>Park View at Ashland Terrace</v>
      </c>
      <c r="AC2" s="4" t="str">
        <f t="shared" si="0"/>
        <v>Park View at Coldspring</v>
      </c>
      <c r="AD2" s="4" t="str">
        <f t="shared" si="0"/>
        <v>Park View at Taylor</v>
      </c>
      <c r="AE2" s="4" t="str">
        <f t="shared" si="0"/>
        <v>Park View at Woodlawn</v>
      </c>
      <c r="AF2" s="4" t="str">
        <f t="shared" si="0"/>
        <v>Park View at Miramar Landing</v>
      </c>
      <c r="AG2" s="4" t="str">
        <f t="shared" si="0"/>
        <v>Park View at Randallstown</v>
      </c>
      <c r="AH2" s="4" t="str">
        <f t="shared" ref="AH2:BM2" si="1">VLOOKUP(AH$1,ProjectNames,2,FALSE)</f>
        <v>Park View at Rosedale</v>
      </c>
      <c r="AI2" s="4" t="str">
        <f t="shared" si="1"/>
        <v>Park View at Towson</v>
      </c>
      <c r="AJ2" s="4" t="str">
        <f t="shared" si="1"/>
        <v>Highland Commons</v>
      </c>
      <c r="AK2" s="4" t="str">
        <f t="shared" si="1"/>
        <v>test_project</v>
      </c>
      <c r="AL2" s="4" t="e">
        <f t="shared" si="1"/>
        <v>#N/A</v>
      </c>
      <c r="AM2" s="4" t="e">
        <f t="shared" si="1"/>
        <v>#N/A</v>
      </c>
      <c r="AN2" s="4" t="e">
        <f t="shared" si="1"/>
        <v>#N/A</v>
      </c>
      <c r="AO2" s="4" t="e">
        <f t="shared" si="1"/>
        <v>#N/A</v>
      </c>
      <c r="AP2" s="4" t="e">
        <f t="shared" si="1"/>
        <v>#N/A</v>
      </c>
      <c r="AQ2" s="4" t="e">
        <f t="shared" si="1"/>
        <v>#N/A</v>
      </c>
      <c r="AR2" s="4" t="e">
        <f t="shared" si="1"/>
        <v>#N/A</v>
      </c>
      <c r="AS2" s="4" t="e">
        <f t="shared" si="1"/>
        <v>#N/A</v>
      </c>
      <c r="AT2" s="4" t="e">
        <f t="shared" si="1"/>
        <v>#N/A</v>
      </c>
      <c r="AU2" s="4" t="e">
        <f t="shared" si="1"/>
        <v>#N/A</v>
      </c>
      <c r="AV2" s="4" t="e">
        <f t="shared" si="1"/>
        <v>#N/A</v>
      </c>
      <c r="AW2" s="4" t="e">
        <f t="shared" si="1"/>
        <v>#N/A</v>
      </c>
      <c r="AX2" s="4" t="e">
        <f t="shared" si="1"/>
        <v>#N/A</v>
      </c>
      <c r="AY2" s="4" t="e">
        <f t="shared" si="1"/>
        <v>#N/A</v>
      </c>
      <c r="AZ2" s="4" t="e">
        <f t="shared" si="1"/>
        <v>#N/A</v>
      </c>
      <c r="BA2" s="4" t="e">
        <f t="shared" si="1"/>
        <v>#N/A</v>
      </c>
      <c r="BB2" s="4" t="e">
        <f t="shared" si="1"/>
        <v>#N/A</v>
      </c>
      <c r="BC2" s="4" t="e">
        <f t="shared" si="1"/>
        <v>#N/A</v>
      </c>
      <c r="BD2" s="4" t="e">
        <f t="shared" si="1"/>
        <v>#N/A</v>
      </c>
      <c r="BE2" s="4" t="e">
        <f t="shared" si="1"/>
        <v>#N/A</v>
      </c>
      <c r="BF2" s="4" t="e">
        <f t="shared" si="1"/>
        <v>#N/A</v>
      </c>
      <c r="BG2" s="4" t="e">
        <f t="shared" si="1"/>
        <v>#N/A</v>
      </c>
      <c r="BH2" s="4" t="e">
        <f t="shared" si="1"/>
        <v>#N/A</v>
      </c>
      <c r="BI2" s="4" t="e">
        <f t="shared" si="1"/>
        <v>#N/A</v>
      </c>
      <c r="BJ2" s="4" t="e">
        <f t="shared" si="1"/>
        <v>#N/A</v>
      </c>
      <c r="BK2" s="4" t="e">
        <f t="shared" si="1"/>
        <v>#N/A</v>
      </c>
      <c r="BL2" s="4" t="e">
        <f t="shared" si="1"/>
        <v>#N/A</v>
      </c>
      <c r="BM2" s="4" t="e">
        <f t="shared" si="1"/>
        <v>#N/A</v>
      </c>
      <c r="BN2" s="4" t="e">
        <f t="shared" ref="BN2:CS2" si="2">VLOOKUP(BN$1,ProjectNames,2,FALSE)</f>
        <v>#N/A</v>
      </c>
      <c r="BO2" s="4" t="e">
        <f t="shared" si="2"/>
        <v>#N/A</v>
      </c>
      <c r="BP2" s="4" t="e">
        <f t="shared" si="2"/>
        <v>#N/A</v>
      </c>
      <c r="BQ2" s="4" t="e">
        <f t="shared" si="2"/>
        <v>#N/A</v>
      </c>
      <c r="BR2" s="4" t="e">
        <f t="shared" si="2"/>
        <v>#N/A</v>
      </c>
      <c r="BS2" s="4" t="e">
        <f t="shared" si="2"/>
        <v>#N/A</v>
      </c>
      <c r="BT2" s="4" t="e">
        <f t="shared" si="2"/>
        <v>#N/A</v>
      </c>
      <c r="BU2" s="4" t="e">
        <f t="shared" si="2"/>
        <v>#N/A</v>
      </c>
      <c r="BV2" s="4" t="e">
        <f t="shared" si="2"/>
        <v>#N/A</v>
      </c>
      <c r="BW2" s="4" t="e">
        <f t="shared" si="2"/>
        <v>#N/A</v>
      </c>
      <c r="BX2" s="4" t="e">
        <f t="shared" si="2"/>
        <v>#N/A</v>
      </c>
      <c r="BY2" s="4" t="e">
        <f t="shared" si="2"/>
        <v>#N/A</v>
      </c>
      <c r="BZ2" s="4" t="e">
        <f t="shared" si="2"/>
        <v>#N/A</v>
      </c>
      <c r="CA2" s="4" t="e">
        <f t="shared" si="2"/>
        <v>#N/A</v>
      </c>
      <c r="CB2" s="4" t="e">
        <f t="shared" si="2"/>
        <v>#N/A</v>
      </c>
      <c r="CC2" s="4" t="e">
        <f t="shared" si="2"/>
        <v>#N/A</v>
      </c>
      <c r="CD2" s="4" t="e">
        <f t="shared" si="2"/>
        <v>#N/A</v>
      </c>
      <c r="CE2" s="4" t="e">
        <f t="shared" si="2"/>
        <v>#N/A</v>
      </c>
      <c r="CF2" s="4" t="e">
        <f t="shared" si="2"/>
        <v>#N/A</v>
      </c>
      <c r="CG2" s="4" t="e">
        <f t="shared" si="2"/>
        <v>#N/A</v>
      </c>
      <c r="CH2" s="4" t="e">
        <f t="shared" si="2"/>
        <v>#N/A</v>
      </c>
      <c r="CI2" s="4" t="e">
        <f t="shared" si="2"/>
        <v>#N/A</v>
      </c>
      <c r="CJ2" s="4" t="e">
        <f t="shared" si="2"/>
        <v>#N/A</v>
      </c>
      <c r="CK2" s="4" t="e">
        <f t="shared" si="2"/>
        <v>#N/A</v>
      </c>
      <c r="CL2" s="4" t="e">
        <f t="shared" si="2"/>
        <v>#N/A</v>
      </c>
      <c r="CM2" s="4" t="e">
        <f t="shared" si="2"/>
        <v>#N/A</v>
      </c>
      <c r="CN2" s="4" t="e">
        <f t="shared" si="2"/>
        <v>#N/A</v>
      </c>
      <c r="CO2" s="4" t="e">
        <f t="shared" si="2"/>
        <v>#N/A</v>
      </c>
      <c r="CP2" s="4" t="e">
        <f t="shared" si="2"/>
        <v>#N/A</v>
      </c>
      <c r="CQ2" s="4" t="e">
        <f t="shared" si="2"/>
        <v>#N/A</v>
      </c>
      <c r="CR2" s="4" t="e">
        <f t="shared" si="2"/>
        <v>#N/A</v>
      </c>
      <c r="CS2" s="4" t="e">
        <f t="shared" si="2"/>
        <v>#N/A</v>
      </c>
      <c r="CT2" s="4" t="e">
        <f t="shared" ref="CT2:CZ2" si="3">VLOOKUP(CT$1,ProjectNames,2,FALSE)</f>
        <v>#N/A</v>
      </c>
      <c r="CU2" s="4" t="e">
        <f t="shared" si="3"/>
        <v>#N/A</v>
      </c>
      <c r="CV2" s="4" t="e">
        <f t="shared" si="3"/>
        <v>#N/A</v>
      </c>
      <c r="CW2" s="4" t="e">
        <f t="shared" si="3"/>
        <v>#N/A</v>
      </c>
      <c r="CX2" s="4" t="e">
        <f t="shared" si="3"/>
        <v>#N/A</v>
      </c>
      <c r="CY2" s="4" t="e">
        <f t="shared" si="3"/>
        <v>#N/A</v>
      </c>
      <c r="CZ2" s="4" t="e">
        <f t="shared" si="3"/>
        <v>#N/A</v>
      </c>
    </row>
    <row r="4" spans="1:104" x14ac:dyDescent="0.2">
      <c r="A4" s="2" t="s">
        <v>18</v>
      </c>
    </row>
    <row r="6" spans="1:104" x14ac:dyDescent="0.2">
      <c r="A6" s="5" t="s">
        <v>13</v>
      </c>
      <c r="B6" s="3">
        <f>INDEX('BalSht Data'!H$2:H$2999,MATCH(A6,IF('BalSht Data'!A$2:A$2999=B$1,'BalSht Data'!G$2:G$2999),0))</f>
        <v>0</v>
      </c>
      <c r="C6" s="3">
        <f>INDEX('BalSht Data'!H$25:H$2999,MATCH(A6,IF('BalSht Data'!A$25=C$1,'BalSht Data'!G$2:G$2999),0))</f>
        <v>999</v>
      </c>
      <c r="D6" s="3">
        <f>INDEX('BalSht Data'!H$48:H$2999,MATCH(A6,IF('BalSht Data'!A$48=D$1,'BalSht Data'!G$48:G$2999),0))</f>
        <v>7878787</v>
      </c>
      <c r="E6" s="3">
        <f>INDEX('BalSht Data'!H$71:H$2999,MATCH(A6,IF('BalSht Data'!A$71=E$1,'BalSht Data'!G$71:G$2999),0))</f>
        <v>36333</v>
      </c>
      <c r="F6" s="3">
        <f>INDEX('BalSht Data'!H$94:H$2999,MATCH(A6,IF('BalSht Data'!A$94=F$1,'BalSht Data'!G$94:G$2999),0))</f>
        <v>88888</v>
      </c>
      <c r="G6" s="3">
        <f>INDEX('BalSht Data'!H$117:H$2999,MATCH(A6,IF('BalSht Data'!A$117=G$1,'BalSht Data'!G$117:G$2999),0))</f>
        <v>22222</v>
      </c>
      <c r="H6" s="3">
        <f>INDEX('BalSht Data'!H$140:H$2999,MATCH(A6,IF('BalSht Data'!A$140=H$1,'BalSht Data'!G$140:G$2999),0))</f>
        <v>33333</v>
      </c>
      <c r="I6" s="3">
        <f>INDEX('BalSht Data'!H$163:H$2999,MATCH(A6,IF('BalSht Data'!A$163=I$1,'BalSht Data'!G$163:G$2999),0))</f>
        <v>44444</v>
      </c>
      <c r="J6" s="3" t="e">
        <f>INDEX('BalSht Data'!H$186:H$2999,MATCH(A6,IF('BalSht Data'!A$186=J$1,'BalSht Data'!G$186:G$2999),0))</f>
        <v>#N/A</v>
      </c>
      <c r="K6" s="3" t="e">
        <f>INDEX('BalSht Data'!H$209:H$2999,MATCH(A6,IF('BalSht Data'!A$209=K$1,'BalSht Data'!G$209:G$2999),0))</f>
        <v>#N/A</v>
      </c>
      <c r="L6" s="3" t="e">
        <f>INDEX('BalSht Data'!H$232:H$2999,MATCH(A6,IF('BalSht Data'!A$232=L$1,'BalSht Data'!G$232:G$2999),0))</f>
        <v>#N/A</v>
      </c>
      <c r="M6" s="3" t="e">
        <f>INDEX('BalSht Data'!H$255:H$2999,MATCH(A6,IF('BalSht Data'!A$255=M$1,'BalSht Data'!G$255:G$2999),0))</f>
        <v>#N/A</v>
      </c>
      <c r="N6" s="3" t="e">
        <f>INDEX('BalSht Data'!H$278:H$2999,MATCH(A6,IF('BalSht Data'!A$278=N$1,'BalSht Data'!G$278:G$2999),0))</f>
        <v>#N/A</v>
      </c>
      <c r="O6" s="3" t="e">
        <f>INDEX('BalSht Data'!H$301:H$2999,MATCH(A6,IF('BalSht Data'!A$301=O$1,'BalSht Data'!G$301:G$2999),0))</f>
        <v>#N/A</v>
      </c>
      <c r="P6" s="3" t="e">
        <f>INDEX('BalSht Data'!H$324:H$2999,MATCH(A6,IF('BalSht Data'!A$324=P$1,'BalSht Data'!G$324:G$2999),0))</f>
        <v>#N/A</v>
      </c>
      <c r="Q6" s="3" t="e">
        <f>INDEX('BalSht Data'!H$347:H$2999,MATCH(A6,IF('BalSht Data'!A$347=Q$1,'BalSht Data'!G$347:G$2999),0))</f>
        <v>#N/A</v>
      </c>
      <c r="R6" s="3" t="e">
        <f>INDEX('BalSht Data'!H$370:H$2999,MATCH(A6,IF('BalSht Data'!A$370=R$1,'BalSht Data'!G$370:G$2999),0))</f>
        <v>#N/A</v>
      </c>
      <c r="S6" s="3" t="e">
        <f>INDEX('BalSht Data'!H$393:H$2999,MATCH(A6,IF('BalSht Data'!A$393=S$1,'BalSht Data'!G$393:G$2999),0))</f>
        <v>#N/A</v>
      </c>
      <c r="T6" s="3" t="e">
        <f>INDEX('BalSht Data'!H$416:H$2999,MATCH(A6,IF('BalSht Data'!A$416=T$1,'BalSht Data'!G$416:G$2999),0))</f>
        <v>#N/A</v>
      </c>
      <c r="U6" s="3" t="e">
        <f>INDEX('BalSht Data'!H$439:H$2999,MATCH(A6,IF('BalSht Data'!A$439=U$1,'BalSht Data'!G$439:G$2999),0))</f>
        <v>#N/A</v>
      </c>
      <c r="V6" s="3" t="e">
        <f>INDEX('BalSht Data'!H$462:H$2999,MATCH(A6,IF('BalSht Data'!A$462=V$1,'BalSht Data'!G$462:G$2999),0))</f>
        <v>#N/A</v>
      </c>
      <c r="W6" s="3" t="e">
        <f>INDEX('BalSht Data'!H$485:H$2999,MATCH(A6,IF('BalSht Data'!A$485=W$1,'BalSht Data'!G$485:G$2999),0))</f>
        <v>#N/A</v>
      </c>
      <c r="X6" s="3" t="e">
        <f>INDEX('BalSht Data'!H$508:H$2999,MATCH(A6,IF('BalSht Data'!A$508=X$1,'BalSht Data'!G$508:G$2999),0))</f>
        <v>#N/A</v>
      </c>
      <c r="Y6" s="3" t="e">
        <f>INDEX('BalSht Data'!H$531:H$2999,MATCH(A6,IF('BalSht Data'!A$531=Y$1,'BalSht Data'!G$531:G$2999),0))</f>
        <v>#N/A</v>
      </c>
      <c r="Z6" s="3" t="e">
        <f>INDEX('BalSht Data'!H$554:H$2999,MATCH(A6,IF('BalSht Data'!A$554=Z$1,'BalSht Data'!G$554:G$2999),0))</f>
        <v>#N/A</v>
      </c>
      <c r="AA6" s="3" t="e">
        <f>INDEX('BalSht Data'!H$577:H$2999,MATCH(A6,IF('BalSht Data'!A$577=AA$1,'BalSht Data'!G$577:G$2999),0))</f>
        <v>#N/A</v>
      </c>
      <c r="AB6" s="3" t="e">
        <f>INDEX('BalSht Data'!H$600:H$2999,MATCH(A6,IF('BalSht Data'!A$600=AB$1,'BalSht Data'!G$600:G$2999),0))</f>
        <v>#N/A</v>
      </c>
      <c r="AC6" s="3" t="e">
        <f>INDEX('BalSht Data'!H$623:H$2999,MATCH(A6,IF('BalSht Data'!A$623=AC$1,'BalSht Data'!G$623:G$2999),0))</f>
        <v>#N/A</v>
      </c>
      <c r="AD6" s="3" t="e">
        <f>INDEX('BalSht Data'!H$646:H$2999,MATCH(A6,IF('BalSht Data'!A$646=AD$1,'BalSht Data'!G$646:G$2999),0))</f>
        <v>#N/A</v>
      </c>
      <c r="AE6" s="3" t="e">
        <f>INDEX('BalSht Data'!H$669:H$2999,MATCH(A6,IF('BalSht Data'!A$669=AE$1,'BalSht Data'!G$669:G$2999),0))</f>
        <v>#N/A</v>
      </c>
      <c r="AF6" s="3" t="e">
        <f>INDEX('BalSht Data'!H$692:H$2999,MATCH(A6,IF('BalSht Data'!A$692=AF$1,'BalSht Data'!G$692:G$2999),0))</f>
        <v>#N/A</v>
      </c>
      <c r="AG6" s="3" t="e">
        <f>INDEX('BalSht Data'!H$715:H$2999,MATCH(A6,IF('BalSht Data'!A$715=AG$1,'BalSht Data'!G$715:G$2999),0))</f>
        <v>#N/A</v>
      </c>
      <c r="AH6" s="3" t="e">
        <f>INDEX('BalSht Data'!H$738:H$2999,MATCH(A6,IF('BalSht Data'!A$738=AH$1,'BalSht Data'!G$738:G$2999),0))</f>
        <v>#N/A</v>
      </c>
      <c r="AI6" s="3" t="e">
        <f>INDEX('BalSht Data'!H$761:H$2999,MATCH(A6,IF('BalSht Data'!A$761=AI$1,'BalSht Data'!G$761:G$2999),0))</f>
        <v>#N/A</v>
      </c>
      <c r="AJ6" s="3" t="e">
        <f>INDEX('BalSht Data'!H$784:H$2999,MATCH(A6,IF('BalSht Data'!A$784=AJ$1,'BalSht Data'!G$784:G$2999),0))</f>
        <v>#N/A</v>
      </c>
      <c r="AK6" s="3" t="e">
        <f>INDEX('BalSht Data'!H$807:H$2999,MATCH(A6,IF('BalSht Data'!A$807=AK$1,'BalSht Data'!G$807:G$2999),0))</f>
        <v>#N/A</v>
      </c>
      <c r="AL6" s="3" t="e">
        <f>INDEX('BalSht Data'!H$830:H$2999,MATCH(A6,IF('BalSht Data'!A$830=AL$1,'BalSht Data'!G$830:G$2999),0))</f>
        <v>#N/A</v>
      </c>
      <c r="AM6" s="3" t="e">
        <f>INDEX('BalSht Data'!H$853:H$2999,MATCH(A6,IF('BalSht Data'!A$853=AM$1,'BalSht Data'!G$853:G$2999),0))</f>
        <v>#N/A</v>
      </c>
      <c r="AN6" s="3" t="e">
        <f>INDEX('BalSht Data'!H$876:H$2999,MATCH(A6,IF('BalSht Data'!A$876=AN$1,'BalSht Data'!G$876:G$2999),0))</f>
        <v>#N/A</v>
      </c>
      <c r="AO6" s="3" t="e">
        <f>INDEX('BalSht Data'!H$899:H$2999,MATCH(A6,IF('BalSht Data'!A$899=AO$1,'BalSht Data'!G$899:G$2999),0))</f>
        <v>#N/A</v>
      </c>
      <c r="AP6" s="3" t="e">
        <f>INDEX('BalSht Data'!H$922:H$2999,MATCH(A6,IF('BalSht Data'!A$922=AP$1,'BalSht Data'!G$922:G$2999),0))</f>
        <v>#N/A</v>
      </c>
      <c r="AQ6" s="3" t="e">
        <f>INDEX('BalSht Data'!H$945:H$2999,MATCH(A6,IF('BalSht Data'!A$945=AQ$1,'BalSht Data'!G$945:G$2999),0))</f>
        <v>#N/A</v>
      </c>
      <c r="AR6" s="3" t="e">
        <f>INDEX('BalSht Data'!H$968:H$2999,MATCH(A6,IF('BalSht Data'!A$968=AR$1,'BalSht Data'!G$968:G$2999),0))</f>
        <v>#N/A</v>
      </c>
      <c r="AS6" s="3" t="e">
        <f>INDEX('BalSht Data'!H$991:H$2999,MATCH(A6,IF('BalSht Data'!A$991=AS$1,'BalSht Data'!G$991:G$2999),0))</f>
        <v>#N/A</v>
      </c>
      <c r="AT6" s="3" t="e">
        <f>INDEX('BalSht Data'!H$1014:H$2999,MATCH(A6,IF('BalSht Data'!A$1014=AT$1,'BalSht Data'!G$1014:G$2999),0))</f>
        <v>#N/A</v>
      </c>
      <c r="AU6" s="3" t="e">
        <f>INDEX('BalSht Data'!H$1037:H$2999,MATCH(A6,IF('BalSht Data'!A$1037=AU$1,'BalSht Data'!G$1037:G$2999),0))</f>
        <v>#N/A</v>
      </c>
      <c r="AV6" s="3" t="e">
        <f>INDEX('BalSht Data'!H$1060:H$2999,MATCH(A6,IF('BalSht Data'!A$1060=AV$1,'BalSht Data'!G$1060:G$2999),0))</f>
        <v>#N/A</v>
      </c>
      <c r="AW6" s="3" t="e">
        <f>INDEX('BalSht Data'!H$1083:H$2999,MATCH(A6,IF('BalSht Data'!A$1083=AW$1,'BalSht Data'!G$1083:G$2999),0))</f>
        <v>#N/A</v>
      </c>
      <c r="AX6" s="3" t="e">
        <f>INDEX('BalSht Data'!H$1106:H$2999,MATCH(A6,IF('BalSht Data'!A$1106=AX$1,'BalSht Data'!G$1106:G$2999),0))</f>
        <v>#N/A</v>
      </c>
      <c r="AY6" s="3" t="e">
        <f>INDEX('BalSht Data'!H$1129:H$2999,MATCH(A6,IF('BalSht Data'!A$1129=AY$1,'BalSht Data'!G$1129:G$2999),0))</f>
        <v>#N/A</v>
      </c>
      <c r="AZ6" s="3" t="e">
        <f>INDEX('BalSht Data'!H$1152:H$2999,MATCH(A6,IF('BalSht Data'!A$1152=AZ$1,'BalSht Data'!G$1152:G$2999),0))</f>
        <v>#N/A</v>
      </c>
      <c r="BA6" s="3" t="e">
        <f>INDEX('BalSht Data'!H$1175:H$2999,MATCH(A6,IF('BalSht Data'!A$1175=BA$1,'BalSht Data'!G$1175:G$2999),0))</f>
        <v>#N/A</v>
      </c>
      <c r="BB6" s="3" t="e">
        <f>INDEX('BalSht Data'!H$1198:H$2999,MATCH(A6,IF('BalSht Data'!A$1198=BB$1,'BalSht Data'!G$1198:G$2999),0))</f>
        <v>#N/A</v>
      </c>
      <c r="BC6" s="3" t="e">
        <f>INDEX('BalSht Data'!H$1221:H$2999,MATCH(A6,IF('BalSht Data'!A$1221=BC$1,'BalSht Data'!G$1221:G$2999),0))</f>
        <v>#N/A</v>
      </c>
      <c r="BD6" s="3" t="e">
        <f>INDEX('BalSht Data'!H$1244:H$2999,MATCH(A6,IF('BalSht Data'!A$1244=BD$1,'BalSht Data'!G$1244:G$2999),0))</f>
        <v>#N/A</v>
      </c>
      <c r="BE6" s="3" t="e">
        <f>INDEX('BalSht Data'!H$1267:H$2999,MATCH(A6,IF('BalSht Data'!A$1267=BE$1,'BalSht Data'!G$1267:G$2999),0))</f>
        <v>#N/A</v>
      </c>
    </row>
    <row r="7" spans="1:104" x14ac:dyDescent="0.2">
      <c r="A7" s="5" t="s">
        <v>14</v>
      </c>
      <c r="B7" s="3">
        <f>INDEX('BalSht Data'!H$2:H$2999,MATCH(A7,IF('BalSht Data'!A$2:A$2999=B$1,'BalSht Data'!G$2:G$2999),0))</f>
        <v>0</v>
      </c>
      <c r="C7" s="3">
        <f>INDEX('BalSht Data'!H$25:H$2999,MATCH(A7,IF('BalSht Data'!A$25=C$1,'BalSht Data'!G$2:G$2999),0))</f>
        <v>999</v>
      </c>
      <c r="D7" s="3">
        <f>INDEX('BalSht Data'!H$48:H$2999,MATCH(A7,IF('BalSht Data'!A$48=D$1,'BalSht Data'!G$48:G$2999),0))</f>
        <v>7878787</v>
      </c>
      <c r="E7" s="3">
        <f>INDEX('BalSht Data'!H$71:H$2999,MATCH(A7,IF('BalSht Data'!A$71=E$1,'BalSht Data'!G$71:G$2999),0))</f>
        <v>36333</v>
      </c>
      <c r="F7" s="3">
        <f>INDEX('BalSht Data'!H$94:H$2999,MATCH(A7,IF('BalSht Data'!A$94=F$1,'BalSht Data'!G$94:G$2999),0))</f>
        <v>88888</v>
      </c>
      <c r="G7" s="3">
        <f>INDEX('BalSht Data'!H$117:H$2999,MATCH(A7,IF('BalSht Data'!A$117=G$1,'BalSht Data'!G$117:G$2999),0))</f>
        <v>22222</v>
      </c>
      <c r="H7" s="3" t="e">
        <f>INDEX('BalSht Data'!H$140:H$2999,MATCH(A7,IF('BalSht Data'!A$140=H$1,'BalSht Data'!G$140:G$2999),0))</f>
        <v>#N/A</v>
      </c>
      <c r="I7" s="3" t="e">
        <f>INDEX('BalSht Data'!H$163:H$2999,MATCH(A7,IF('BalSht Data'!A$163=I$1,'BalSht Data'!G$163:G$2999),0))</f>
        <v>#N/A</v>
      </c>
      <c r="J7" s="3" t="e">
        <f>INDEX('BalSht Data'!H$186:H$2999,MATCH(A7,IF('BalSht Data'!A$186=J$1,'BalSht Data'!G$186:G$2999),0))</f>
        <v>#N/A</v>
      </c>
      <c r="K7" s="3" t="e">
        <f>INDEX('BalSht Data'!H$209:H$2999,MATCH(A7,IF('BalSht Data'!A$209=K$1,'BalSht Data'!G$209:G$2999),0))</f>
        <v>#N/A</v>
      </c>
      <c r="L7" s="3" t="e">
        <f>INDEX('BalSht Data'!H$232:H$2999,MATCH(A7,IF('BalSht Data'!A$232=L$1,'BalSht Data'!G$232:G$2999),0))</f>
        <v>#N/A</v>
      </c>
      <c r="M7" s="3" t="e">
        <f>INDEX('BalSht Data'!H$255:H$2999,MATCH(A7,IF('BalSht Data'!A$255=M$1,'BalSht Data'!G$255:G$2999),0))</f>
        <v>#N/A</v>
      </c>
      <c r="N7" s="3" t="e">
        <f>INDEX('BalSht Data'!H$278:H$2999,MATCH(A7,IF('BalSht Data'!A$278=N$1,'BalSht Data'!G$278:G$2999),0))</f>
        <v>#N/A</v>
      </c>
      <c r="O7" s="3" t="e">
        <f>INDEX('BalSht Data'!H$301:H$2999,MATCH(A7,IF('BalSht Data'!A$301=O$1,'BalSht Data'!G$301:G$2999),0))</f>
        <v>#N/A</v>
      </c>
      <c r="P7" s="3" t="e">
        <f>INDEX('BalSht Data'!H$324:H$2999,MATCH(A7,IF('BalSht Data'!A$324=P$1,'BalSht Data'!G$324:G$2999),0))</f>
        <v>#N/A</v>
      </c>
      <c r="Q7" s="3" t="e">
        <f>INDEX('BalSht Data'!H$347:H$2999,MATCH(A7,IF('BalSht Data'!A$347=Q$1,'BalSht Data'!G$347:G$2999),0))</f>
        <v>#N/A</v>
      </c>
      <c r="R7" s="3" t="e">
        <f>INDEX('BalSht Data'!H$370:H$2999,MATCH(A7,IF('BalSht Data'!A$370=R$1,'BalSht Data'!G$370:G$2999),0))</f>
        <v>#N/A</v>
      </c>
      <c r="S7" s="3" t="e">
        <f>INDEX('BalSht Data'!H$393:H$2999,MATCH(A7,IF('BalSht Data'!A$393=S$1,'BalSht Data'!G$393:G$2999),0))</f>
        <v>#N/A</v>
      </c>
      <c r="T7" s="3" t="e">
        <f>INDEX('BalSht Data'!H$416:H$2999,MATCH(A7,IF('BalSht Data'!A$416=T$1,'BalSht Data'!G$416:G$2999),0))</f>
        <v>#N/A</v>
      </c>
      <c r="U7" s="3" t="e">
        <f>INDEX('BalSht Data'!H$439:H$2999,MATCH(A7,IF('BalSht Data'!A$439=U$1,'BalSht Data'!G$439:G$2999),0))</f>
        <v>#N/A</v>
      </c>
      <c r="V7" s="3" t="e">
        <f>INDEX('BalSht Data'!H$462:H$2999,MATCH(A7,IF('BalSht Data'!A$462=V$1,'BalSht Data'!G$462:G$2999),0))</f>
        <v>#N/A</v>
      </c>
      <c r="W7" s="3" t="e">
        <f>INDEX('BalSht Data'!H$485:H$2999,MATCH(A7,IF('BalSht Data'!A$485=W$1,'BalSht Data'!G$485:G$2999),0))</f>
        <v>#N/A</v>
      </c>
      <c r="X7" s="3" t="e">
        <f>INDEX('BalSht Data'!H$508:H$2999,MATCH(A7,IF('BalSht Data'!A$508=X$1,'BalSht Data'!G$508:G$2999),0))</f>
        <v>#N/A</v>
      </c>
      <c r="Y7" s="3" t="e">
        <f>INDEX('BalSht Data'!H$531:H$2999,MATCH(A7,IF('BalSht Data'!A$531=Y$1,'BalSht Data'!G$531:G$2999),0))</f>
        <v>#N/A</v>
      </c>
      <c r="Z7" s="3" t="e">
        <f>INDEX('BalSht Data'!H$554:H$2999,MATCH(A7,IF('BalSht Data'!A$554=Z$1,'BalSht Data'!G$554:G$2999),0))</f>
        <v>#N/A</v>
      </c>
      <c r="AA7" s="3" t="e">
        <f>INDEX('BalSht Data'!H$577:H$2999,MATCH(A7,IF('BalSht Data'!A$577=AA$1,'BalSht Data'!G$577:G$2999),0))</f>
        <v>#N/A</v>
      </c>
      <c r="AB7" s="3" t="e">
        <f>INDEX('BalSht Data'!H$600:H$2999,MATCH(A7,IF('BalSht Data'!A$600=AB$1,'BalSht Data'!G$600:G$2999),0))</f>
        <v>#N/A</v>
      </c>
      <c r="AC7" s="3" t="e">
        <f>INDEX('BalSht Data'!H$623:H$2999,MATCH(A7,IF('BalSht Data'!A$623=AC$1,'BalSht Data'!G$623:G$2999),0))</f>
        <v>#N/A</v>
      </c>
      <c r="AD7" s="3" t="e">
        <f>INDEX('BalSht Data'!H$646:H$2999,MATCH(A7,IF('BalSht Data'!A$646=AD$1,'BalSht Data'!G$646:G$2999),0))</f>
        <v>#N/A</v>
      </c>
      <c r="AE7" s="3" t="e">
        <f>INDEX('BalSht Data'!H$669:H$2999,MATCH(A7,IF('BalSht Data'!A$669=AE$1,'BalSht Data'!G$669:G$2999),0))</f>
        <v>#N/A</v>
      </c>
      <c r="AF7" s="3" t="e">
        <f>INDEX('BalSht Data'!H$692:H$2999,MATCH(A7,IF('BalSht Data'!A$692=AF$1,'BalSht Data'!G$692:G$2999),0))</f>
        <v>#N/A</v>
      </c>
      <c r="AG7" s="3" t="e">
        <f>INDEX('BalSht Data'!H$715:H$2999,MATCH(A7,IF('BalSht Data'!A$715=AG$1,'BalSht Data'!G$715:G$2999),0))</f>
        <v>#N/A</v>
      </c>
      <c r="AH7" s="3" t="e">
        <f>INDEX('BalSht Data'!H$738:H$2999,MATCH(A7,IF('BalSht Data'!A$738=AH$1,'BalSht Data'!G$738:G$2999),0))</f>
        <v>#N/A</v>
      </c>
      <c r="AI7" s="3" t="e">
        <f>INDEX('BalSht Data'!H$761:H$2999,MATCH(A7,IF('BalSht Data'!A$761=AI$1,'BalSht Data'!G$761:G$2999),0))</f>
        <v>#N/A</v>
      </c>
      <c r="AJ7" s="3" t="e">
        <f>INDEX('BalSht Data'!H$784:H$2999,MATCH(A7,IF('BalSht Data'!A$784=AJ$1,'BalSht Data'!G$784:G$2999),0))</f>
        <v>#N/A</v>
      </c>
      <c r="AP7" s="3" t="e">
        <f>INDEX('BalSht Data'!H$922:H$2999,MATCH(A7,IF('BalSht Data'!A$922=AP$1,'BalSht Data'!G$922:G$2999),0))</f>
        <v>#N/A</v>
      </c>
    </row>
    <row r="8" spans="1:104" x14ac:dyDescent="0.2">
      <c r="A8" s="5" t="s">
        <v>15</v>
      </c>
      <c r="B8" s="3">
        <f>INDEX('BalSht Data'!H$2:H$2999,MATCH(A8,IF('BalSht Data'!A$2:A$2999=B$1,'BalSht Data'!G$2:G$2999),0))</f>
        <v>0</v>
      </c>
      <c r="C8" s="3">
        <f>INDEX('BalSht Data'!H$25:H$2999,MATCH(A8,IF('BalSht Data'!A$25=C$1,'BalSht Data'!G$2:G$2999),0))</f>
        <v>999</v>
      </c>
      <c r="D8" s="3">
        <f>INDEX('BalSht Data'!H$48:H$2999,MATCH(A8,IF('BalSht Data'!A$48=D$1,'BalSht Data'!G$48:G$2999),0))</f>
        <v>7878787</v>
      </c>
      <c r="E8" s="3">
        <f>INDEX('BalSht Data'!H$71:H$2999,MATCH(A8,IF('BalSht Data'!A$71=E$1,'BalSht Data'!G$71:G$2999),0))</f>
        <v>36333</v>
      </c>
      <c r="F8" s="3">
        <f>INDEX('BalSht Data'!H$94:H$2999,MATCH(A8,IF('BalSht Data'!A$94=F$1,'BalSht Data'!G$94:G$2999),0))</f>
        <v>88888</v>
      </c>
      <c r="G8" s="3">
        <f>INDEX('BalSht Data'!H$117:H$2999,MATCH(A8,IF('BalSht Data'!A$117=G$1,'BalSht Data'!G$117:G$2999),0))</f>
        <v>22222</v>
      </c>
      <c r="H8" s="3" t="e">
        <f>INDEX('BalSht Data'!H$140:H$2999,MATCH(A8,IF('BalSht Data'!A$140=H$1,'BalSht Data'!G$140:G$2999),0))</f>
        <v>#N/A</v>
      </c>
      <c r="I8" s="3" t="e">
        <f>INDEX('BalSht Data'!H$163:H$2999,MATCH(A8,IF('BalSht Data'!A$163=I$1,'BalSht Data'!G$163:G$2999),0))</f>
        <v>#N/A</v>
      </c>
      <c r="J8" s="3" t="e">
        <f>INDEX('BalSht Data'!H$186:H$2999,MATCH(A8,IF('BalSht Data'!A$186=J$1,'BalSht Data'!G$186:G$2999),0))</f>
        <v>#N/A</v>
      </c>
      <c r="K8" s="3" t="e">
        <f>INDEX('BalSht Data'!H$209:H$2999,MATCH(A8,IF('BalSht Data'!A$209=K$1,'BalSht Data'!G$209:G$2999),0))</f>
        <v>#N/A</v>
      </c>
      <c r="L8" s="3" t="e">
        <f>INDEX('BalSht Data'!H$232:H$2999,MATCH(A8,IF('BalSht Data'!A$232=L$1,'BalSht Data'!G$232:G$2999),0))</f>
        <v>#N/A</v>
      </c>
      <c r="M8" s="3" t="e">
        <f>INDEX('BalSht Data'!H$255:H$2999,MATCH(A8,IF('BalSht Data'!A$255=M$1,'BalSht Data'!G$255:G$2999),0))</f>
        <v>#N/A</v>
      </c>
      <c r="N8" s="3" t="e">
        <f>INDEX('BalSht Data'!H$278:H$2999,MATCH(A8,IF('BalSht Data'!A$278=N$1,'BalSht Data'!G$278:G$2999),0))</f>
        <v>#N/A</v>
      </c>
      <c r="O8" s="3" t="e">
        <f>INDEX('BalSht Data'!H$301:H$2999,MATCH(A8,IF('BalSht Data'!A$301=O$1,'BalSht Data'!G$301:G$2999),0))</f>
        <v>#N/A</v>
      </c>
      <c r="P8" s="3" t="e">
        <f>INDEX('BalSht Data'!H$324:H$2999,MATCH(A8,IF('BalSht Data'!A$324=P$1,'BalSht Data'!G$324:G$2999),0))</f>
        <v>#N/A</v>
      </c>
      <c r="Q8" s="3" t="e">
        <f>INDEX('BalSht Data'!H$347:H$2999,MATCH(A8,IF('BalSht Data'!A$347=Q$1,'BalSht Data'!G$347:G$2999),0))</f>
        <v>#N/A</v>
      </c>
      <c r="R8" s="3" t="e">
        <f>INDEX('BalSht Data'!H$370:H$2999,MATCH(A8,IF('BalSht Data'!A$370=R$1,'BalSht Data'!G$370:G$2999),0))</f>
        <v>#N/A</v>
      </c>
      <c r="S8" s="3" t="e">
        <f>INDEX('BalSht Data'!H$393:H$2999,MATCH(A8,IF('BalSht Data'!A$393=S$1,'BalSht Data'!G$393:G$2999),0))</f>
        <v>#N/A</v>
      </c>
      <c r="T8" s="3" t="e">
        <f>INDEX('BalSht Data'!H$416:H$2999,MATCH(A8,IF('BalSht Data'!A$416=T$1,'BalSht Data'!G$416:G$2999),0))</f>
        <v>#N/A</v>
      </c>
      <c r="U8" s="3" t="e">
        <f>INDEX('BalSht Data'!H$439:H$2999,MATCH(A8,IF('BalSht Data'!A$439=U$1,'BalSht Data'!G$439:G$2999),0))</f>
        <v>#N/A</v>
      </c>
      <c r="V8" s="3" t="e">
        <f>INDEX('BalSht Data'!H$462:H$2999,MATCH(A8,IF('BalSht Data'!A$462=V$1,'BalSht Data'!G$462:G$2999),0))</f>
        <v>#N/A</v>
      </c>
      <c r="W8" s="3" t="e">
        <f>INDEX('BalSht Data'!H$485:H$2999,MATCH(A8,IF('BalSht Data'!A$485=W$1,'BalSht Data'!G$485:G$2999),0))</f>
        <v>#N/A</v>
      </c>
      <c r="X8" s="3" t="e">
        <f>INDEX('BalSht Data'!H$508:H$2999,MATCH(A8,IF('BalSht Data'!A$508=X$1,'BalSht Data'!G$508:G$2999),0))</f>
        <v>#N/A</v>
      </c>
      <c r="Y8" s="3" t="e">
        <f>INDEX('BalSht Data'!H$531:H$2999,MATCH(A8,IF('BalSht Data'!A$531=Y$1,'BalSht Data'!G$531:G$2999),0))</f>
        <v>#N/A</v>
      </c>
      <c r="Z8" s="3" t="e">
        <f>INDEX('BalSht Data'!H$554:H$2999,MATCH(A8,IF('BalSht Data'!A$554=Z$1,'BalSht Data'!G$554:G$2999),0))</f>
        <v>#N/A</v>
      </c>
      <c r="AA8" s="3" t="e">
        <f>INDEX('BalSht Data'!H$577:H$2999,MATCH(A8,IF('BalSht Data'!A$577=AA$1,'BalSht Data'!G$577:G$2999),0))</f>
        <v>#N/A</v>
      </c>
      <c r="AB8" s="3" t="e">
        <f>INDEX('BalSht Data'!H$600:H$2999,MATCH(A8,IF('BalSht Data'!A$600=AB$1,'BalSht Data'!G$600:G$2999),0))</f>
        <v>#N/A</v>
      </c>
      <c r="AC8" s="3" t="e">
        <f>INDEX('BalSht Data'!H$623:H$2999,MATCH(A8,IF('BalSht Data'!A$623=AC$1,'BalSht Data'!G$623:G$2999),0))</f>
        <v>#N/A</v>
      </c>
      <c r="AD8" s="3" t="e">
        <f>INDEX('BalSht Data'!H$646:H$2999,MATCH(A8,IF('BalSht Data'!A$646=AD$1,'BalSht Data'!G$646:G$2999),0))</f>
        <v>#N/A</v>
      </c>
      <c r="AE8" s="3" t="e">
        <f>INDEX('BalSht Data'!H$669:H$2999,MATCH(A8,IF('BalSht Data'!A$669=AE$1,'BalSht Data'!G$669:G$2999),0))</f>
        <v>#N/A</v>
      </c>
      <c r="AF8" s="3" t="e">
        <f>INDEX('BalSht Data'!H$692:H$2999,MATCH(A8,IF('BalSht Data'!A$692=AF$1,'BalSht Data'!G$692:G$2999),0))</f>
        <v>#N/A</v>
      </c>
      <c r="AG8" s="3" t="e">
        <f>INDEX('BalSht Data'!H$715:H$2999,MATCH(A8,IF('BalSht Data'!A$715=AG$1,'BalSht Data'!G$715:G$2999),0))</f>
        <v>#N/A</v>
      </c>
      <c r="AH8" s="3" t="e">
        <f>INDEX('BalSht Data'!H$738:H$2999,MATCH(A8,IF('BalSht Data'!A$738=AH$1,'BalSht Data'!G$738:G$2999),0))</f>
        <v>#N/A</v>
      </c>
      <c r="AI8" s="3" t="e">
        <f>INDEX('BalSht Data'!H$761:H$2999,MATCH(A8,IF('BalSht Data'!A$761=AI$1,'BalSht Data'!G$761:G$2999),0))</f>
        <v>#N/A</v>
      </c>
      <c r="AJ8" s="3" t="e">
        <f>INDEX('BalSht Data'!H$784:H$2999,MATCH(A8,IF('BalSht Data'!A$784=AJ$1,'BalSht Data'!G$784:G$2999),0))</f>
        <v>#N/A</v>
      </c>
      <c r="AP8" s="3" t="e">
        <f>INDEX('BalSht Data'!H$922:H$2999,MATCH(A8,IF('BalSht Data'!A$922=AP$1,'BalSht Data'!G$922:G$2999),0))</f>
        <v>#N/A</v>
      </c>
    </row>
    <row r="9" spans="1:104" x14ac:dyDescent="0.2">
      <c r="A9" s="5" t="s">
        <v>16</v>
      </c>
      <c r="B9" s="3">
        <f>INDEX('BalSht Data'!H$2:H$2999,MATCH(A9,IF('BalSht Data'!A$2:A$2999=B$1,'BalSht Data'!G$2:G$2999),0))</f>
        <v>0</v>
      </c>
      <c r="C9" s="3">
        <f>INDEX('BalSht Data'!H$25:H$2999,MATCH(A9,IF('BalSht Data'!A$25=C$1,'BalSht Data'!G$2:G$2999),0))</f>
        <v>999</v>
      </c>
      <c r="D9" s="3">
        <f>INDEX('BalSht Data'!H$48:H$2999,MATCH(A9,IF('BalSht Data'!A$48=D$1,'BalSht Data'!G$48:G$2999),0))</f>
        <v>7878787</v>
      </c>
      <c r="E9" s="3">
        <f>INDEX('BalSht Data'!H$71:H$2999,MATCH(A9,IF('BalSht Data'!A$71=E$1,'BalSht Data'!G$71:G$2999),0))</f>
        <v>36333</v>
      </c>
      <c r="F9" s="3">
        <f>INDEX('BalSht Data'!H$94:H$2999,MATCH(A9,IF('BalSht Data'!A$94=F$1,'BalSht Data'!G$94:G$2999),0))</f>
        <v>88888</v>
      </c>
      <c r="G9" s="3">
        <f>INDEX('BalSht Data'!H$117:H$2999,MATCH(A9,IF('BalSht Data'!A$117=G$1,'BalSht Data'!G$117:G$2999),0))</f>
        <v>22222</v>
      </c>
      <c r="H9" s="3" t="e">
        <f>INDEX('BalSht Data'!H$140:H$2999,MATCH(A9,IF('BalSht Data'!A$140=H$1,'BalSht Data'!G$140:G$2999),0))</f>
        <v>#N/A</v>
      </c>
      <c r="I9" s="3" t="e">
        <f>INDEX('BalSht Data'!H$163:H$2999,MATCH(A9,IF('BalSht Data'!A$163=I$1,'BalSht Data'!G$163:G$2999),0))</f>
        <v>#N/A</v>
      </c>
      <c r="J9" s="3" t="e">
        <f>INDEX('BalSht Data'!H$186:H$2999,MATCH(A9,IF('BalSht Data'!A$186=J$1,'BalSht Data'!G$186:G$2999),0))</f>
        <v>#N/A</v>
      </c>
      <c r="K9" s="3" t="e">
        <f>INDEX('BalSht Data'!H$209:H$2999,MATCH(A9,IF('BalSht Data'!A$209=K$1,'BalSht Data'!G$209:G$2999),0))</f>
        <v>#N/A</v>
      </c>
      <c r="L9" s="3" t="e">
        <f>INDEX('BalSht Data'!H$232:H$2999,MATCH(A9,IF('BalSht Data'!A$232=L$1,'BalSht Data'!G$232:G$2999),0))</f>
        <v>#N/A</v>
      </c>
      <c r="M9" s="3" t="e">
        <f>INDEX('BalSht Data'!H$255:H$2999,MATCH(A9,IF('BalSht Data'!A$255=M$1,'BalSht Data'!G$255:G$2999),0))</f>
        <v>#N/A</v>
      </c>
      <c r="N9" s="3" t="e">
        <f>INDEX('BalSht Data'!H$278:H$2999,MATCH(A9,IF('BalSht Data'!A$278=N$1,'BalSht Data'!G$278:G$2999),0))</f>
        <v>#N/A</v>
      </c>
      <c r="O9" s="3" t="e">
        <f>INDEX('BalSht Data'!H$301:H$2999,MATCH(A9,IF('BalSht Data'!A$301=O$1,'BalSht Data'!G$301:G$2999),0))</f>
        <v>#N/A</v>
      </c>
      <c r="P9" s="3" t="e">
        <f>INDEX('BalSht Data'!H$324:H$2999,MATCH(A9,IF('BalSht Data'!A$324=P$1,'BalSht Data'!G$324:G$2999),0))</f>
        <v>#N/A</v>
      </c>
      <c r="Q9" s="3" t="e">
        <f>INDEX('BalSht Data'!H$347:H$2999,MATCH(A9,IF('BalSht Data'!A$347=Q$1,'BalSht Data'!G$347:G$2999),0))</f>
        <v>#N/A</v>
      </c>
      <c r="R9" s="3" t="e">
        <f>INDEX('BalSht Data'!H$370:H$2999,MATCH(A9,IF('BalSht Data'!A$370=R$1,'BalSht Data'!G$370:G$2999),0))</f>
        <v>#N/A</v>
      </c>
      <c r="S9" s="3" t="e">
        <f>INDEX('BalSht Data'!H$393:H$2999,MATCH(A9,IF('BalSht Data'!A$393=S$1,'BalSht Data'!G$393:G$2999),0))</f>
        <v>#N/A</v>
      </c>
      <c r="T9" s="3" t="e">
        <f>INDEX('BalSht Data'!H$416:H$2999,MATCH(A9,IF('BalSht Data'!A$416=T$1,'BalSht Data'!G$416:G$2999),0))</f>
        <v>#N/A</v>
      </c>
      <c r="U9" s="3" t="e">
        <f>INDEX('BalSht Data'!H$439:H$2999,MATCH(A9,IF('BalSht Data'!A$439=U$1,'BalSht Data'!G$439:G$2999),0))</f>
        <v>#N/A</v>
      </c>
      <c r="V9" s="3" t="e">
        <f>INDEX('BalSht Data'!H$462:H$2999,MATCH(A9,IF('BalSht Data'!A$462=V$1,'BalSht Data'!G$462:G$2999),0))</f>
        <v>#N/A</v>
      </c>
      <c r="W9" s="3" t="e">
        <f>INDEX('BalSht Data'!H$485:H$2999,MATCH(A9,IF('BalSht Data'!A$485=W$1,'BalSht Data'!G$485:G$2999),0))</f>
        <v>#N/A</v>
      </c>
      <c r="X9" s="3" t="e">
        <f>INDEX('BalSht Data'!H$508:H$2999,MATCH(A9,IF('BalSht Data'!A$508=X$1,'BalSht Data'!G$508:G$2999),0))</f>
        <v>#N/A</v>
      </c>
      <c r="Y9" s="3" t="e">
        <f>INDEX('BalSht Data'!H$531:H$2999,MATCH(A9,IF('BalSht Data'!A$531=Y$1,'BalSht Data'!G$531:G$2999),0))</f>
        <v>#N/A</v>
      </c>
      <c r="Z9" s="3" t="e">
        <f>INDEX('BalSht Data'!H$554:H$2999,MATCH(A9,IF('BalSht Data'!A$554=Z$1,'BalSht Data'!G$554:G$2999),0))</f>
        <v>#N/A</v>
      </c>
      <c r="AA9" s="3" t="e">
        <f>INDEX('BalSht Data'!H$577:H$2999,MATCH(A9,IF('BalSht Data'!A$577=AA$1,'BalSht Data'!G$577:G$2999),0))</f>
        <v>#N/A</v>
      </c>
      <c r="AB9" s="3" t="e">
        <f>INDEX('BalSht Data'!H$600:H$2999,MATCH(A9,IF('BalSht Data'!A$600=AB$1,'BalSht Data'!G$600:G$2999),0))</f>
        <v>#N/A</v>
      </c>
      <c r="AC9" s="3" t="e">
        <f>INDEX('BalSht Data'!H$623:H$2999,MATCH(A9,IF('BalSht Data'!A$623=AC$1,'BalSht Data'!G$623:G$2999),0))</f>
        <v>#N/A</v>
      </c>
      <c r="AD9" s="3" t="e">
        <f>INDEX('BalSht Data'!H$646:H$2999,MATCH(A9,IF('BalSht Data'!A$646=AD$1,'BalSht Data'!G$646:G$2999),0))</f>
        <v>#N/A</v>
      </c>
      <c r="AE9" s="3" t="e">
        <f>INDEX('BalSht Data'!H$669:H$2999,MATCH(A9,IF('BalSht Data'!A$669=AE$1,'BalSht Data'!G$669:G$2999),0))</f>
        <v>#N/A</v>
      </c>
      <c r="AF9" s="3" t="e">
        <f>INDEX('BalSht Data'!H$692:H$2999,MATCH(A9,IF('BalSht Data'!A$692=AF$1,'BalSht Data'!G$692:G$2999),0))</f>
        <v>#N/A</v>
      </c>
      <c r="AG9" s="3" t="e">
        <f>INDEX('BalSht Data'!H$715:H$2999,MATCH(A9,IF('BalSht Data'!A$715=AG$1,'BalSht Data'!G$715:G$2999),0))</f>
        <v>#N/A</v>
      </c>
      <c r="AH9" s="3" t="e">
        <f>INDEX('BalSht Data'!H$738:H$2999,MATCH(A9,IF('BalSht Data'!A$738=AH$1,'BalSht Data'!G$738:G$2999),0))</f>
        <v>#N/A</v>
      </c>
      <c r="AI9" s="3" t="e">
        <f>INDEX('BalSht Data'!H$761:H$2999,MATCH(A9,IF('BalSht Data'!A$761=AI$1,'BalSht Data'!G$761:G$2999),0))</f>
        <v>#N/A</v>
      </c>
      <c r="AJ9" s="3" t="e">
        <f>INDEX('BalSht Data'!H$784:H$2999,MATCH(A9,IF('BalSht Data'!A$784=AJ$1,'BalSht Data'!G$784:G$2999),0))</f>
        <v>#N/A</v>
      </c>
    </row>
    <row r="10" spans="1:104" x14ac:dyDescent="0.2">
      <c r="A10" s="5" t="s">
        <v>17</v>
      </c>
      <c r="B10" s="3">
        <f>(INDEX('BalSht Data'!H$2:H$2999,MATCH(A10,IF('BalSht Data'!A$2:A$2999=B$1,'BalSht Data'!G$2:G$2999),0)))</f>
        <v>0</v>
      </c>
      <c r="C10" s="3">
        <f>INDEX('BalSht Data'!H$25:H$2999,MATCH(A10,IF('BalSht Data'!A$25=C$1,'BalSht Data'!G$2:G$2999),0))</f>
        <v>999</v>
      </c>
      <c r="D10" s="3">
        <f>INDEX('BalSht Data'!H$48:H$2999,MATCH(A10,IF('BalSht Data'!A$48=D$1,'BalSht Data'!G$48:G$2999),0))</f>
        <v>7878787</v>
      </c>
      <c r="E10" s="3">
        <f>INDEX('BalSht Data'!H$71:H$2999,MATCH(A10,IF('BalSht Data'!A$71=E$1,'BalSht Data'!G$71:G$2999),0))</f>
        <v>36333</v>
      </c>
      <c r="F10" s="3">
        <f>INDEX('BalSht Data'!H$94:H$2999,MATCH(A10,IF('BalSht Data'!A$94=F$1,'BalSht Data'!G$94:G$2999),0))</f>
        <v>88888</v>
      </c>
      <c r="G10" s="3">
        <f>INDEX('BalSht Data'!H$117:H$2999,MATCH(A10,IF('BalSht Data'!A$117=G$1,'BalSht Data'!G$117:G$2999),0))</f>
        <v>22222</v>
      </c>
      <c r="H10" s="3" t="e">
        <f>INDEX('BalSht Data'!H$140:H$2999,MATCH(A10,IF('BalSht Data'!A$140=H$1,'BalSht Data'!G$140:G$2999),0))</f>
        <v>#N/A</v>
      </c>
      <c r="I10" s="3" t="e">
        <f>INDEX('BalSht Data'!H$163:H$2999,MATCH(A10,IF('BalSht Data'!A$163=I$1,'BalSht Data'!G$163:G$2999),0))</f>
        <v>#N/A</v>
      </c>
      <c r="J10" s="3" t="e">
        <f>INDEX('BalSht Data'!H$186:H$2999,MATCH(A10,IF('BalSht Data'!A$186=J$1,'BalSht Data'!G$186:G$2999),0))</f>
        <v>#N/A</v>
      </c>
      <c r="K10" s="3" t="e">
        <f>INDEX('BalSht Data'!H$209:H$2999,MATCH(A10,IF('BalSht Data'!A$209=K$1,'BalSht Data'!G$209:G$2999),0))</f>
        <v>#N/A</v>
      </c>
      <c r="L10" s="3" t="e">
        <f>INDEX('BalSht Data'!H$232:H$2999,MATCH(A10,IF('BalSht Data'!A$232=L$1,'BalSht Data'!G$232:G$2999),0))</f>
        <v>#N/A</v>
      </c>
      <c r="M10" s="3" t="e">
        <f>INDEX('BalSht Data'!H$255:H$2999,MATCH(A10,IF('BalSht Data'!A$255=M$1,'BalSht Data'!G$255:G$2999),0))</f>
        <v>#N/A</v>
      </c>
      <c r="N10" s="3" t="e">
        <f>INDEX('BalSht Data'!H$278:H$2999,MATCH(A10,IF('BalSht Data'!A$278=N$1,'BalSht Data'!G$278:G$2999),0))</f>
        <v>#N/A</v>
      </c>
      <c r="O10" s="3" t="e">
        <f>INDEX('BalSht Data'!H$301:H$2999,MATCH(A10,IF('BalSht Data'!A$301=O$1,'BalSht Data'!G$301:G$2999),0))</f>
        <v>#N/A</v>
      </c>
      <c r="P10" s="3" t="e">
        <f>INDEX('BalSht Data'!H$324:H$2999,MATCH(A10,IF('BalSht Data'!A$324=P$1,'BalSht Data'!G$324:G$2999),0))</f>
        <v>#N/A</v>
      </c>
      <c r="Q10" s="3" t="e">
        <f>INDEX('BalSht Data'!H$347:H$2999,MATCH(A10,IF('BalSht Data'!A$347=Q$1,'BalSht Data'!G$347:G$2999),0))</f>
        <v>#N/A</v>
      </c>
      <c r="R10" s="3" t="e">
        <f>INDEX('BalSht Data'!H$370:H$2999,MATCH(A10,IF('BalSht Data'!A$370=R$1,'BalSht Data'!G$370:G$2999),0))</f>
        <v>#N/A</v>
      </c>
      <c r="S10" s="3" t="e">
        <f>INDEX('BalSht Data'!H$393:H$2999,MATCH(A10,IF('BalSht Data'!A$393=S$1,'BalSht Data'!G$393:G$2999),0))</f>
        <v>#N/A</v>
      </c>
      <c r="T10" s="3" t="e">
        <f>INDEX('BalSht Data'!H$416:H$2999,MATCH(A10,IF('BalSht Data'!A$416=T$1,'BalSht Data'!G$416:G$2999),0))</f>
        <v>#N/A</v>
      </c>
      <c r="U10" s="3" t="e">
        <f>INDEX('BalSht Data'!H$439:H$2999,MATCH(A10,IF('BalSht Data'!A$439=U$1,'BalSht Data'!G$439:G$2999),0))</f>
        <v>#N/A</v>
      </c>
      <c r="V10" s="3" t="e">
        <f>INDEX('BalSht Data'!H$462:H$2999,MATCH(A10,IF('BalSht Data'!A$462=V$1,'BalSht Data'!G$462:G$2999),0))</f>
        <v>#N/A</v>
      </c>
      <c r="W10" s="3" t="e">
        <f>INDEX('BalSht Data'!H$485:H$2999,MATCH(A10,IF('BalSht Data'!A$485=W$1,'BalSht Data'!G$485:G$2999),0))</f>
        <v>#N/A</v>
      </c>
      <c r="X10" s="3" t="e">
        <f>INDEX('BalSht Data'!H$508:H$2999,MATCH(A10,IF('BalSht Data'!A$508=X$1,'BalSht Data'!G$508:G$2999),0))</f>
        <v>#N/A</v>
      </c>
      <c r="Y10" s="3" t="e">
        <f>INDEX('BalSht Data'!H$531:H$2999,MATCH(A10,IF('BalSht Data'!A$531=Y$1,'BalSht Data'!G$531:G$2999),0))</f>
        <v>#N/A</v>
      </c>
      <c r="Z10" s="3" t="e">
        <f>INDEX('BalSht Data'!H$554:H$2999,MATCH(A10,IF('BalSht Data'!A$554=Z$1,'BalSht Data'!G$554:G$2999),0))</f>
        <v>#N/A</v>
      </c>
      <c r="AA10" s="3" t="e">
        <f>INDEX('BalSht Data'!H$577:H$2999,MATCH(A10,IF('BalSht Data'!A$577=AA$1,'BalSht Data'!G$577:G$2999),0))</f>
        <v>#N/A</v>
      </c>
      <c r="AB10" s="3" t="e">
        <f>INDEX('BalSht Data'!H$600:H$2999,MATCH(A10,IF('BalSht Data'!A$600=AB$1,'BalSht Data'!G$600:G$2999),0))</f>
        <v>#N/A</v>
      </c>
      <c r="AC10" s="3" t="e">
        <f>INDEX('BalSht Data'!H$623:H$2999,MATCH(A10,IF('BalSht Data'!A$623=AC$1,'BalSht Data'!G$623:G$2999),0))</f>
        <v>#N/A</v>
      </c>
      <c r="AD10" s="3" t="e">
        <f>INDEX('BalSht Data'!H$646:H$2999,MATCH(A10,IF('BalSht Data'!A$646=AD$1,'BalSht Data'!G$646:G$2999),0))</f>
        <v>#N/A</v>
      </c>
      <c r="AE10" s="3" t="e">
        <f>INDEX('BalSht Data'!H$669:H$2999,MATCH(A10,IF('BalSht Data'!A$669=AE$1,'BalSht Data'!G$669:G$2999),0))</f>
        <v>#N/A</v>
      </c>
      <c r="AF10" s="3" t="e">
        <f>INDEX('BalSht Data'!H$692:H$2999,MATCH(A10,IF('BalSht Data'!A$692=AF$1,'BalSht Data'!G$692:G$2999),0))</f>
        <v>#N/A</v>
      </c>
      <c r="AG10" s="3" t="e">
        <f>INDEX('BalSht Data'!H$715:H$2999,MATCH(A10,IF('BalSht Data'!A$715=AG$1,'BalSht Data'!G$715:G$2999),0))</f>
        <v>#N/A</v>
      </c>
      <c r="AH10" s="3" t="e">
        <f>INDEX('BalSht Data'!H$738:H$2999,MATCH(A10,IF('BalSht Data'!A$738=AH$1,'BalSht Data'!G$738:G$2999),0))</f>
        <v>#N/A</v>
      </c>
      <c r="AI10" s="3" t="e">
        <f>INDEX('BalSht Data'!H$761:H$2999,MATCH(A10,IF('BalSht Data'!A$761=AI$1,'BalSht Data'!G$761:G$2999),0))</f>
        <v>#N/A</v>
      </c>
      <c r="AJ10" s="3" t="e">
        <f>INDEX('BalSht Data'!H$784:H$2999,MATCH(A10,IF('BalSht Data'!A$784=AJ$1,'BalSht Data'!G$784:G$2999),0))</f>
        <v>#N/A</v>
      </c>
    </row>
    <row r="12" spans="1:104" x14ac:dyDescent="0.2">
      <c r="A12" s="4" t="s">
        <v>19</v>
      </c>
    </row>
    <row r="14" spans="1:104" x14ac:dyDescent="0.2">
      <c r="A14" s="5" t="s">
        <v>20</v>
      </c>
      <c r="B14" s="3">
        <f>INDEX('BalSht Data'!H$2:H$2999,MATCH(A14,IF('BalSht Data'!A$2:A$2999=B$1,'BalSht Data'!G$2:G$2999),0))</f>
        <v>0</v>
      </c>
      <c r="C14" s="3">
        <f>INDEX('BalSht Data'!H$25:H$2999,MATCH(A14,IF('BalSht Data'!A$25=C$1,'BalSht Data'!G$2:G$2999),0))</f>
        <v>999</v>
      </c>
      <c r="D14" s="3">
        <f>INDEX('BalSht Data'!H$48:H$2999,MATCH(A14,IF('BalSht Data'!A$48=D$1,'BalSht Data'!G$48:G$2999),0))</f>
        <v>7878787</v>
      </c>
      <c r="E14" s="3">
        <f>INDEX('BalSht Data'!H$71:H$2999,MATCH(A14,IF('BalSht Data'!A$71=E$1,'BalSht Data'!G$71:G$2999),0))</f>
        <v>36333</v>
      </c>
      <c r="F14" s="3">
        <f>INDEX('BalSht Data'!H$94:H$2999,MATCH(A14,IF('BalSht Data'!A$94=F$1,'BalSht Data'!G$94:G$2999),0))</f>
        <v>88888</v>
      </c>
      <c r="G14" s="3">
        <f>INDEX('BalSht Data'!H$117:H$2999,MATCH(A14,IF('BalSht Data'!A$117=G$1,'BalSht Data'!G$117:G$2999),0))</f>
        <v>22222</v>
      </c>
      <c r="H14" s="3" t="e">
        <f>INDEX('BalSht Data'!H$140:H$2999,MATCH(A14,IF('BalSht Data'!A$140=H$1,'BalSht Data'!G$140:G$2999),0))</f>
        <v>#N/A</v>
      </c>
      <c r="I14" s="3" t="e">
        <f>INDEX('BalSht Data'!H$163:H$2999,MATCH(A14,IF('BalSht Data'!A$163=I$1,'BalSht Data'!G$163:G$2999),0))</f>
        <v>#N/A</v>
      </c>
      <c r="J14" s="3" t="e">
        <f>INDEX('BalSht Data'!H$186:H$2999,MATCH(A14,IF('BalSht Data'!A$186=J$1,'BalSht Data'!G$186:G$2999),0))</f>
        <v>#N/A</v>
      </c>
      <c r="K14" s="3" t="e">
        <f>INDEX('BalSht Data'!H$209:H$2999,MATCH(A14,IF('BalSht Data'!A$209=K$1,'BalSht Data'!G$209:G$2999),0))</f>
        <v>#N/A</v>
      </c>
      <c r="L14" s="3" t="e">
        <f>INDEX('BalSht Data'!H$232:H$2999,MATCH(A14,IF('BalSht Data'!A$232=L$1,'BalSht Data'!G$232:G$2999),0))</f>
        <v>#N/A</v>
      </c>
      <c r="M14" s="3" t="e">
        <f>INDEX('BalSht Data'!H$255:H$2999,MATCH(A14,IF('BalSht Data'!A$255=M$1,'BalSht Data'!G$255:G$2999),0))</f>
        <v>#N/A</v>
      </c>
      <c r="N14" s="3" t="e">
        <f>INDEX('BalSht Data'!H$278:H$2999,MATCH(A14,IF('BalSht Data'!A$278=N$1,'BalSht Data'!G$278:G$2999),0))</f>
        <v>#N/A</v>
      </c>
      <c r="O14" s="3" t="e">
        <f>INDEX('BalSht Data'!H$301:H$2999,MATCH(A14,IF('BalSht Data'!A$301=O$1,'BalSht Data'!G$301:G$2999),0))</f>
        <v>#N/A</v>
      </c>
      <c r="P14" s="3" t="e">
        <f>INDEX('BalSht Data'!H$324:H$2999,MATCH(A14,IF('BalSht Data'!A$324=P$1,'BalSht Data'!G$324:G$2999),0))</f>
        <v>#N/A</v>
      </c>
      <c r="Q14" s="3" t="e">
        <f>INDEX('BalSht Data'!H$347:H$2999,MATCH(A14,IF('BalSht Data'!A$347=Q$1,'BalSht Data'!G$347:G$2999),0))</f>
        <v>#N/A</v>
      </c>
      <c r="R14" s="3" t="e">
        <f>INDEX('BalSht Data'!H$370:H$2999,MATCH(A14,IF('BalSht Data'!A$370=R$1,'BalSht Data'!G$370:G$2999),0))</f>
        <v>#N/A</v>
      </c>
      <c r="S14" s="3" t="e">
        <f>INDEX('BalSht Data'!H$393:H$2999,MATCH(A14,IF('BalSht Data'!A$393=S$1,'BalSht Data'!G$393:G$2999),0))</f>
        <v>#N/A</v>
      </c>
      <c r="T14" s="3" t="e">
        <f>INDEX('BalSht Data'!H$416:H$2999,MATCH(A14,IF('BalSht Data'!A$416=T$1,'BalSht Data'!G$416:G$2999),0))</f>
        <v>#N/A</v>
      </c>
      <c r="U14" s="3" t="e">
        <f>INDEX('BalSht Data'!H$439:H$2999,MATCH(A14,IF('BalSht Data'!A$439=U$1,'BalSht Data'!G$439:G$2999),0))</f>
        <v>#N/A</v>
      </c>
      <c r="V14" s="3" t="e">
        <f>INDEX('BalSht Data'!H$462:H$2999,MATCH(A14,IF('BalSht Data'!A$462=V$1,'BalSht Data'!G$462:G$2999),0))</f>
        <v>#N/A</v>
      </c>
      <c r="W14" s="3" t="e">
        <f>INDEX('BalSht Data'!H$485:H$2999,MATCH(A14,IF('BalSht Data'!A$485=W$1,'BalSht Data'!G$485:G$2999),0))</f>
        <v>#N/A</v>
      </c>
      <c r="X14" s="3" t="e">
        <f>INDEX('BalSht Data'!H$508:H$2999,MATCH(A14,IF('BalSht Data'!A$508=X$1,'BalSht Data'!G$508:G$2999),0))</f>
        <v>#N/A</v>
      </c>
      <c r="Y14" s="3" t="e">
        <f>INDEX('BalSht Data'!H$531:H$2999,MATCH(A14,IF('BalSht Data'!A$531=Y$1,'BalSht Data'!G$531:G$2999),0))</f>
        <v>#N/A</v>
      </c>
      <c r="Z14" s="3" t="e">
        <f>INDEX('BalSht Data'!H$554:H$2999,MATCH(A14,IF('BalSht Data'!A$554=Z$1,'BalSht Data'!G$554:G$2999),0))</f>
        <v>#N/A</v>
      </c>
      <c r="AA14" s="3" t="e">
        <f>INDEX('BalSht Data'!H$577:H$2999,MATCH(A14,IF('BalSht Data'!A$577=AA$1,'BalSht Data'!G$577:G$2999),0))</f>
        <v>#N/A</v>
      </c>
      <c r="AB14" s="3" t="e">
        <f>INDEX('BalSht Data'!H$600:H$2999,MATCH(A14,IF('BalSht Data'!A$600=AB$1,'BalSht Data'!G$600:G$2999),0))</f>
        <v>#N/A</v>
      </c>
      <c r="AC14" s="3" t="e">
        <f>INDEX('BalSht Data'!H$623:H$2999,MATCH(A14,IF('BalSht Data'!A$623=AC$1,'BalSht Data'!G$623:G$2999),0))</f>
        <v>#N/A</v>
      </c>
      <c r="AD14" s="3" t="e">
        <f>INDEX('BalSht Data'!H$646:H$2999,MATCH(A14,IF('BalSht Data'!A$646=AD$1,'BalSht Data'!G$646:G$2999),0))</f>
        <v>#N/A</v>
      </c>
      <c r="AE14" s="3" t="e">
        <f>INDEX('BalSht Data'!H$669:H$2999,MATCH(A14,IF('BalSht Data'!A$669=AE$1,'BalSht Data'!G$669:G$2999),0))</f>
        <v>#N/A</v>
      </c>
      <c r="AF14" s="3" t="e">
        <f>INDEX('BalSht Data'!H$692:H$2999,MATCH(A14,IF('BalSht Data'!A$692=AF$1,'BalSht Data'!G$692:G$2999),0))</f>
        <v>#N/A</v>
      </c>
      <c r="AG14" s="3" t="e">
        <f>INDEX('BalSht Data'!H$715:H$2999,MATCH(A14,IF('BalSht Data'!A$715=AG$1,'BalSht Data'!G$715:G$2999),0))</f>
        <v>#N/A</v>
      </c>
      <c r="AH14" s="3" t="e">
        <f>INDEX('BalSht Data'!H$738:H$2999,MATCH(A14,IF('BalSht Data'!A$738=AH$1,'BalSht Data'!G$738:G$2999),0))</f>
        <v>#N/A</v>
      </c>
      <c r="AI14" s="3" t="e">
        <f>INDEX('BalSht Data'!H$761:H$2999,MATCH(A14,IF('BalSht Data'!A$761=AI$1,'BalSht Data'!G$761:G$2999),0))</f>
        <v>#N/A</v>
      </c>
      <c r="AJ14" s="3" t="e">
        <f>INDEX('BalSht Data'!H$784:H$2999,MATCH(A14,IF('BalSht Data'!A$784=AJ$1,'BalSht Data'!G$784:G$2999),0))</f>
        <v>#N/A</v>
      </c>
    </row>
    <row r="15" spans="1:104" x14ac:dyDescent="0.2">
      <c r="A15" s="5" t="s">
        <v>21</v>
      </c>
      <c r="B15" s="3">
        <f>INDEX('BalSht Data'!H$2:H$2999,MATCH(A15,IF('BalSht Data'!A$2:A$2999=B$1,'BalSht Data'!G$2:G$2999),0))</f>
        <v>0</v>
      </c>
      <c r="C15" s="3">
        <f>INDEX('BalSht Data'!H$25:H$2999,MATCH(A15,IF('BalSht Data'!A$25=C$1,'BalSht Data'!G$2:G$2999),0))</f>
        <v>999</v>
      </c>
      <c r="D15" s="3">
        <f>INDEX('BalSht Data'!H$48:H$2999,MATCH(A15,IF('BalSht Data'!A$48=D$1,'BalSht Data'!G$48:G$2999),0))</f>
        <v>7878787</v>
      </c>
      <c r="E15" s="3">
        <f>INDEX('BalSht Data'!H$71:H$2999,MATCH(A15,IF('BalSht Data'!A$71=E$1,'BalSht Data'!G$71:G$2999),0))</f>
        <v>36333</v>
      </c>
      <c r="F15" s="3">
        <f>INDEX('BalSht Data'!H$94:H$2999,MATCH(A15,IF('BalSht Data'!A$94=F$1,'BalSht Data'!G$94:G$2999),0))</f>
        <v>88888</v>
      </c>
      <c r="G15" s="3">
        <f>INDEX('BalSht Data'!H$117:H$2999,MATCH(A15,IF('BalSht Data'!A$117=G$1,'BalSht Data'!G$117:G$2999),0))</f>
        <v>22222</v>
      </c>
      <c r="H15" s="3" t="e">
        <f>INDEX('BalSht Data'!H$140:H$2999,MATCH(A15,IF('BalSht Data'!A$140=H$1,'BalSht Data'!G$140:G$2999),0))</f>
        <v>#N/A</v>
      </c>
      <c r="I15" s="3" t="e">
        <f>INDEX('BalSht Data'!H$163:H$2999,MATCH(A15,IF('BalSht Data'!A$163=I$1,'BalSht Data'!G$163:G$2999),0))</f>
        <v>#N/A</v>
      </c>
      <c r="J15" s="3" t="e">
        <f>INDEX('BalSht Data'!H$186:H$2999,MATCH(A15,IF('BalSht Data'!A$186=J$1,'BalSht Data'!G$186:G$2999),0))</f>
        <v>#N/A</v>
      </c>
      <c r="K15" s="3" t="e">
        <f>INDEX('BalSht Data'!H$209:H$2999,MATCH(A15,IF('BalSht Data'!A$209=K$1,'BalSht Data'!G$209:G$2999),0))</f>
        <v>#N/A</v>
      </c>
      <c r="L15" s="3" t="e">
        <f>INDEX('BalSht Data'!H$232:H$2999,MATCH(A15,IF('BalSht Data'!A$232=L$1,'BalSht Data'!G$232:G$2999),0))</f>
        <v>#N/A</v>
      </c>
      <c r="M15" s="3" t="e">
        <f>INDEX('BalSht Data'!H$255:H$2999,MATCH(A15,IF('BalSht Data'!A$255=M$1,'BalSht Data'!G$255:G$2999),0))</f>
        <v>#N/A</v>
      </c>
      <c r="N15" s="3" t="e">
        <f>INDEX('BalSht Data'!H$278:H$2999,MATCH(A15,IF('BalSht Data'!A$278=N$1,'BalSht Data'!G$278:G$2999),0))</f>
        <v>#N/A</v>
      </c>
      <c r="O15" s="3" t="e">
        <f>INDEX('BalSht Data'!H$301:H$2999,MATCH(A15,IF('BalSht Data'!A$301=O$1,'BalSht Data'!G$301:G$2999),0))</f>
        <v>#N/A</v>
      </c>
      <c r="P15" s="3" t="e">
        <f>INDEX('BalSht Data'!H$324:H$2999,MATCH(A15,IF('BalSht Data'!A$324=P$1,'BalSht Data'!G$324:G$2999),0))</f>
        <v>#N/A</v>
      </c>
      <c r="Q15" s="3" t="e">
        <f>INDEX('BalSht Data'!H$347:H$2999,MATCH(A15,IF('BalSht Data'!A$347=Q$1,'BalSht Data'!G$347:G$2999),0))</f>
        <v>#N/A</v>
      </c>
      <c r="R15" s="3" t="e">
        <f>INDEX('BalSht Data'!H$370:H$2999,MATCH(A15,IF('BalSht Data'!A$370=R$1,'BalSht Data'!G$370:G$2999),0))</f>
        <v>#N/A</v>
      </c>
      <c r="S15" s="3" t="e">
        <f>INDEX('BalSht Data'!H$393:H$2999,MATCH(A15,IF('BalSht Data'!A$393=S$1,'BalSht Data'!G$393:G$2999),0))</f>
        <v>#N/A</v>
      </c>
      <c r="T15" s="3" t="e">
        <f>INDEX('BalSht Data'!H$416:H$2999,MATCH(A15,IF('BalSht Data'!A$416=T$1,'BalSht Data'!G$416:G$2999),0))</f>
        <v>#N/A</v>
      </c>
      <c r="U15" s="3" t="e">
        <f>INDEX('BalSht Data'!H$439:H$2999,MATCH(A15,IF('BalSht Data'!A$439=U$1,'BalSht Data'!G$439:G$2999),0))</f>
        <v>#N/A</v>
      </c>
      <c r="V15" s="3" t="e">
        <f>INDEX('BalSht Data'!H$462:H$2999,MATCH(A15,IF('BalSht Data'!A$462=V$1,'BalSht Data'!G$462:G$2999),0))</f>
        <v>#N/A</v>
      </c>
      <c r="W15" s="3" t="e">
        <f>INDEX('BalSht Data'!H$485:H$2999,MATCH(A15,IF('BalSht Data'!A$485=W$1,'BalSht Data'!G$485:G$2999),0))</f>
        <v>#N/A</v>
      </c>
      <c r="X15" s="3" t="e">
        <f>INDEX('BalSht Data'!H$508:H$2999,MATCH(A15,IF('BalSht Data'!A$508=X$1,'BalSht Data'!G$508:G$2999),0))</f>
        <v>#N/A</v>
      </c>
      <c r="Y15" s="3" t="e">
        <f>INDEX('BalSht Data'!H$531:H$2999,MATCH(A15,IF('BalSht Data'!A$531=Y$1,'BalSht Data'!G$531:G$2999),0))</f>
        <v>#N/A</v>
      </c>
      <c r="Z15" s="3" t="e">
        <f>INDEX('BalSht Data'!H$554:H$2999,MATCH(A15,IF('BalSht Data'!A$554=Z$1,'BalSht Data'!G$554:G$2999),0))</f>
        <v>#N/A</v>
      </c>
      <c r="AA15" s="3" t="e">
        <f>INDEX('BalSht Data'!H$577:H$2999,MATCH(A15,IF('BalSht Data'!A$577=AA$1,'BalSht Data'!G$577:G$2999),0))</f>
        <v>#N/A</v>
      </c>
      <c r="AB15" s="3" t="e">
        <f>INDEX('BalSht Data'!H$600:H$2999,MATCH(A15,IF('BalSht Data'!A$600=AB$1,'BalSht Data'!G$600:G$2999),0))</f>
        <v>#N/A</v>
      </c>
      <c r="AC15" s="3" t="e">
        <f>INDEX('BalSht Data'!H$623:H$2999,MATCH(A15,IF('BalSht Data'!A$623=AC$1,'BalSht Data'!G$623:G$2999),0))</f>
        <v>#N/A</v>
      </c>
      <c r="AD15" s="3" t="e">
        <f>INDEX('BalSht Data'!H$646:H$2999,MATCH(A15,IF('BalSht Data'!A$646=AD$1,'BalSht Data'!G$646:G$2999),0))</f>
        <v>#N/A</v>
      </c>
      <c r="AE15" s="3" t="e">
        <f>INDEX('BalSht Data'!H$669:H$2999,MATCH(A15,IF('BalSht Data'!A$669=AE$1,'BalSht Data'!G$669:G$2999),0))</f>
        <v>#N/A</v>
      </c>
      <c r="AF15" s="3" t="e">
        <f>INDEX('BalSht Data'!H$692:H$2999,MATCH(A15,IF('BalSht Data'!A$692=AF$1,'BalSht Data'!G$692:G$2999),0))</f>
        <v>#N/A</v>
      </c>
      <c r="AG15" s="3" t="e">
        <f>INDEX('BalSht Data'!H$715:H$2999,MATCH(A15,IF('BalSht Data'!A$715=AG$1,'BalSht Data'!G$715:G$2999),0))</f>
        <v>#N/A</v>
      </c>
      <c r="AH15" s="3" t="e">
        <f>INDEX('BalSht Data'!H$738:H$2999,MATCH(A15,IF('BalSht Data'!A$738=AH$1,'BalSht Data'!G$738:G$2999),0))</f>
        <v>#N/A</v>
      </c>
      <c r="AI15" s="3" t="e">
        <f>INDEX('BalSht Data'!H$761:H$2999,MATCH(A15,IF('BalSht Data'!A$761=AI$1,'BalSht Data'!G$761:G$2999),0))</f>
        <v>#N/A</v>
      </c>
      <c r="AJ15" s="3" t="e">
        <f>INDEX('BalSht Data'!H$784:H$2999,MATCH(A15,IF('BalSht Data'!A$784=AJ$1,'BalSht Data'!G$784:G$2999),0))</f>
        <v>#N/A</v>
      </c>
    </row>
    <row r="16" spans="1:104" x14ac:dyDescent="0.2">
      <c r="A16" s="5" t="s">
        <v>22</v>
      </c>
      <c r="B16" s="3">
        <f>INDEX('BalSht Data'!H$2:H$2999,MATCH(A16,IF('BalSht Data'!A$2:A$2999=B$1,'BalSht Data'!G$2:G$2999),0))</f>
        <v>0</v>
      </c>
      <c r="C16" s="3">
        <f>INDEX('BalSht Data'!H$25:H$2999,MATCH(A16,IF('BalSht Data'!A$25=C$1,'BalSht Data'!G$2:G$2999),0))</f>
        <v>999</v>
      </c>
      <c r="D16" s="3">
        <f>INDEX('BalSht Data'!H$48:H$2999,MATCH(A16,IF('BalSht Data'!A$48=D$1,'BalSht Data'!G$48:G$2999),0))</f>
        <v>7878787</v>
      </c>
      <c r="E16" s="3">
        <f>INDEX('BalSht Data'!H$71:H$2999,MATCH(A16,IF('BalSht Data'!A$71=E$1,'BalSht Data'!G$71:G$2999),0))</f>
        <v>36333</v>
      </c>
      <c r="F16" s="3">
        <f>INDEX('BalSht Data'!H$94:H$2999,MATCH(A16,IF('BalSht Data'!A$94=F$1,'BalSht Data'!G$94:G$2999),0))</f>
        <v>88888</v>
      </c>
      <c r="G16" s="3">
        <f>INDEX('BalSht Data'!H$117:H$2999,MATCH(A16,IF('BalSht Data'!A$117=G$1,'BalSht Data'!G$117:G$2999),0))</f>
        <v>22222</v>
      </c>
      <c r="H16" s="3" t="e">
        <f>INDEX('BalSht Data'!H$140:H$2999,MATCH(A16,IF('BalSht Data'!A$140=H$1,'BalSht Data'!G$140:G$2999),0))</f>
        <v>#N/A</v>
      </c>
      <c r="I16" s="3" t="e">
        <f>INDEX('BalSht Data'!H$163:H$2999,MATCH(A16,IF('BalSht Data'!A$163=I$1,'BalSht Data'!G$163:G$2999),0))</f>
        <v>#N/A</v>
      </c>
      <c r="J16" s="3" t="e">
        <f>INDEX('BalSht Data'!H$186:H$2999,MATCH(A16,IF('BalSht Data'!A$186=J$1,'BalSht Data'!G$186:G$2999),0))</f>
        <v>#N/A</v>
      </c>
      <c r="K16" s="3" t="e">
        <f>INDEX('BalSht Data'!H$209:H$2999,MATCH(A16,IF('BalSht Data'!A$209=K$1,'BalSht Data'!G$209:G$2999),0))</f>
        <v>#N/A</v>
      </c>
      <c r="L16" s="3" t="e">
        <f>INDEX('BalSht Data'!H$232:H$2999,MATCH(A16,IF('BalSht Data'!A$232=L$1,'BalSht Data'!G$232:G$2999),0))</f>
        <v>#N/A</v>
      </c>
      <c r="M16" s="3" t="e">
        <f>INDEX('BalSht Data'!H$255:H$2999,MATCH(A16,IF('BalSht Data'!A$255=M$1,'BalSht Data'!G$255:G$2999),0))</f>
        <v>#N/A</v>
      </c>
      <c r="N16" s="3" t="e">
        <f>INDEX('BalSht Data'!H$278:H$2999,MATCH(A16,IF('BalSht Data'!A$278=N$1,'BalSht Data'!G$278:G$2999),0))</f>
        <v>#N/A</v>
      </c>
      <c r="O16" s="3" t="e">
        <f>INDEX('BalSht Data'!H$301:H$2999,MATCH(A16,IF('BalSht Data'!A$301=O$1,'BalSht Data'!G$301:G$2999),0))</f>
        <v>#N/A</v>
      </c>
      <c r="P16" s="3" t="e">
        <f>INDEX('BalSht Data'!H$324:H$2999,MATCH(A16,IF('BalSht Data'!A$324=P$1,'BalSht Data'!G$324:G$2999),0))</f>
        <v>#N/A</v>
      </c>
      <c r="Q16" s="3" t="e">
        <f>INDEX('BalSht Data'!H$347:H$2999,MATCH(A16,IF('BalSht Data'!A$347=Q$1,'BalSht Data'!G$347:G$2999),0))</f>
        <v>#N/A</v>
      </c>
      <c r="R16" s="3" t="e">
        <f>INDEX('BalSht Data'!H$370:H$2999,MATCH(A16,IF('BalSht Data'!A$370=R$1,'BalSht Data'!G$370:G$2999),0))</f>
        <v>#N/A</v>
      </c>
      <c r="S16" s="3" t="e">
        <f>INDEX('BalSht Data'!H$393:H$2999,MATCH(A16,IF('BalSht Data'!A$393=S$1,'BalSht Data'!G$393:G$2999),0))</f>
        <v>#N/A</v>
      </c>
      <c r="T16" s="3" t="e">
        <f>INDEX('BalSht Data'!H$416:H$2999,MATCH(A16,IF('BalSht Data'!A$416=T$1,'BalSht Data'!G$416:G$2999),0))</f>
        <v>#N/A</v>
      </c>
      <c r="U16" s="3" t="e">
        <f>INDEX('BalSht Data'!H$439:H$2999,MATCH(A16,IF('BalSht Data'!A$439=U$1,'BalSht Data'!G$439:G$2999),0))</f>
        <v>#N/A</v>
      </c>
      <c r="V16" s="3" t="e">
        <f>INDEX('BalSht Data'!H$462:H$2999,MATCH(A16,IF('BalSht Data'!A$462=V$1,'BalSht Data'!G$462:G$2999),0))</f>
        <v>#N/A</v>
      </c>
      <c r="W16" s="3" t="e">
        <f>INDEX('BalSht Data'!H$485:H$2999,MATCH(A16,IF('BalSht Data'!A$485=W$1,'BalSht Data'!G$485:G$2999),0))</f>
        <v>#N/A</v>
      </c>
      <c r="X16" s="3" t="e">
        <f>INDEX('BalSht Data'!H$508:H$2999,MATCH(A16,IF('BalSht Data'!A$508=X$1,'BalSht Data'!G$508:G$2999),0))</f>
        <v>#N/A</v>
      </c>
      <c r="Y16" s="3" t="e">
        <f>INDEX('BalSht Data'!H$531:H$2999,MATCH(A16,IF('BalSht Data'!A$531=Y$1,'BalSht Data'!G$531:G$2999),0))</f>
        <v>#N/A</v>
      </c>
      <c r="Z16" s="3" t="e">
        <f>INDEX('BalSht Data'!H$554:H$2999,MATCH(A16,IF('BalSht Data'!A$554=Z$1,'BalSht Data'!G$554:G$2999),0))</f>
        <v>#N/A</v>
      </c>
      <c r="AA16" s="3" t="e">
        <f>INDEX('BalSht Data'!H$577:H$2999,MATCH(A16,IF('BalSht Data'!A$577=AA$1,'BalSht Data'!G$577:G$2999),0))</f>
        <v>#N/A</v>
      </c>
      <c r="AB16" s="3" t="e">
        <f>INDEX('BalSht Data'!H$600:H$2999,MATCH(A16,IF('BalSht Data'!A$600=AB$1,'BalSht Data'!G$600:G$2999),0))</f>
        <v>#N/A</v>
      </c>
      <c r="AC16" s="3" t="e">
        <f>INDEX('BalSht Data'!H$623:H$2999,MATCH(A16,IF('BalSht Data'!A$623=AC$1,'BalSht Data'!G$623:G$2999),0))</f>
        <v>#N/A</v>
      </c>
      <c r="AD16" s="3" t="e">
        <f>INDEX('BalSht Data'!H$646:H$2999,MATCH(A16,IF('BalSht Data'!A$646=AD$1,'BalSht Data'!G$646:G$2999),0))</f>
        <v>#N/A</v>
      </c>
      <c r="AE16" s="3" t="e">
        <f>INDEX('BalSht Data'!H$669:H$2999,MATCH(A16,IF('BalSht Data'!A$669=AE$1,'BalSht Data'!G$669:G$2999),0))</f>
        <v>#N/A</v>
      </c>
      <c r="AF16" s="3" t="e">
        <f>INDEX('BalSht Data'!H$692:H$2999,MATCH(A16,IF('BalSht Data'!A$692=AF$1,'BalSht Data'!G$692:G$2999),0))</f>
        <v>#N/A</v>
      </c>
      <c r="AG16" s="3" t="e">
        <f>INDEX('BalSht Data'!H$715:H$2999,MATCH(A16,IF('BalSht Data'!A$715=AG$1,'BalSht Data'!G$715:G$2999),0))</f>
        <v>#N/A</v>
      </c>
      <c r="AH16" s="3" t="e">
        <f>INDEX('BalSht Data'!H$738:H$2999,MATCH(A16,IF('BalSht Data'!A$738=AH$1,'BalSht Data'!G$738:G$2999),0))</f>
        <v>#N/A</v>
      </c>
      <c r="AI16" s="3" t="e">
        <f>INDEX('BalSht Data'!H$761:H$2999,MATCH(A16,IF('BalSht Data'!A$761=AI$1,'BalSht Data'!G$761:G$2999),0))</f>
        <v>#N/A</v>
      </c>
      <c r="AJ16" s="3" t="e">
        <f>INDEX('BalSht Data'!H$784:H$2999,MATCH(A16,IF('BalSht Data'!A$784=AJ$1,'BalSht Data'!G$784:G$2999),0))</f>
        <v>#N/A</v>
      </c>
    </row>
    <row r="17" spans="1:36" x14ac:dyDescent="0.2">
      <c r="A17" s="5" t="s">
        <v>23</v>
      </c>
      <c r="B17" s="3">
        <f>INDEX('BalSht Data'!H$2:H$2999,MATCH(A17,IF('BalSht Data'!A$2:A$2999=B$1,'BalSht Data'!G$2:G$2999),0))</f>
        <v>0</v>
      </c>
      <c r="C17" s="3">
        <f>INDEX('BalSht Data'!H$25:H$2999,MATCH(A17,IF('BalSht Data'!A$25=C$1,'BalSht Data'!G$2:G$2999),0))</f>
        <v>999</v>
      </c>
      <c r="D17" s="3">
        <f>INDEX('BalSht Data'!H$48:H$2999,MATCH(A17,IF('BalSht Data'!A$48=D$1,'BalSht Data'!G$48:G$2999),0))</f>
        <v>7878787</v>
      </c>
      <c r="E17" s="3">
        <f>INDEX('BalSht Data'!H$71:H$2999,MATCH(A17,IF('BalSht Data'!A$71=E$1,'BalSht Data'!G$71:G$2999),0))</f>
        <v>36333</v>
      </c>
      <c r="F17" s="3">
        <f>INDEX('BalSht Data'!H$94:H$2999,MATCH(A17,IF('BalSht Data'!A$94=F$1,'BalSht Data'!G$94:G$2999),0))</f>
        <v>88888</v>
      </c>
      <c r="G17" s="3">
        <f>INDEX('BalSht Data'!H$117:H$2999,MATCH(A17,IF('BalSht Data'!A$117=G$1,'BalSht Data'!G$117:G$2999),0))</f>
        <v>22222</v>
      </c>
      <c r="H17" s="3" t="e">
        <f>INDEX('BalSht Data'!H$140:H$2999,MATCH(A17,IF('BalSht Data'!A$140=H$1,'BalSht Data'!G$140:G$2999),0))</f>
        <v>#N/A</v>
      </c>
      <c r="I17" s="3" t="e">
        <f>INDEX('BalSht Data'!H$163:H$2999,MATCH(A17,IF('BalSht Data'!A$163=I$1,'BalSht Data'!G$163:G$2999),0))</f>
        <v>#N/A</v>
      </c>
      <c r="J17" s="3" t="e">
        <f>INDEX('BalSht Data'!H$186:H$2999,MATCH(A17,IF('BalSht Data'!A$186=J$1,'BalSht Data'!G$186:G$2999),0))</f>
        <v>#N/A</v>
      </c>
      <c r="K17" s="3" t="e">
        <f>INDEX('BalSht Data'!H$209:H$2999,MATCH(A17,IF('BalSht Data'!A$209=K$1,'BalSht Data'!G$209:G$2999),0))</f>
        <v>#N/A</v>
      </c>
      <c r="L17" s="3" t="e">
        <f>INDEX('BalSht Data'!H$232:H$2999,MATCH(A17,IF('BalSht Data'!A$232=L$1,'BalSht Data'!G$232:G$2999),0))</f>
        <v>#N/A</v>
      </c>
      <c r="M17" s="3" t="e">
        <f>INDEX('BalSht Data'!H$255:H$2999,MATCH(A17,IF('BalSht Data'!A$255=M$1,'BalSht Data'!G$255:G$2999),0))</f>
        <v>#N/A</v>
      </c>
      <c r="N17" s="3" t="e">
        <f>INDEX('BalSht Data'!H$278:H$2999,MATCH(A17,IF('BalSht Data'!A$278=N$1,'BalSht Data'!G$278:G$2999),0))</f>
        <v>#N/A</v>
      </c>
      <c r="O17" s="3" t="e">
        <f>INDEX('BalSht Data'!H$301:H$2999,MATCH(A17,IF('BalSht Data'!A$301=O$1,'BalSht Data'!G$301:G$2999),0))</f>
        <v>#N/A</v>
      </c>
      <c r="P17" s="3" t="e">
        <f>INDEX('BalSht Data'!H$324:H$2999,MATCH(A17,IF('BalSht Data'!A$324=P$1,'BalSht Data'!G$324:G$2999),0))</f>
        <v>#N/A</v>
      </c>
      <c r="Q17" s="3" t="e">
        <f>INDEX('BalSht Data'!H$347:H$2999,MATCH(A17,IF('BalSht Data'!A$347=Q$1,'BalSht Data'!G$347:G$2999),0))</f>
        <v>#N/A</v>
      </c>
      <c r="R17" s="3" t="e">
        <f>INDEX('BalSht Data'!H$370:H$2999,MATCH(A17,IF('BalSht Data'!A$370=R$1,'BalSht Data'!G$370:G$2999),0))</f>
        <v>#N/A</v>
      </c>
      <c r="S17" s="3" t="e">
        <f>INDEX('BalSht Data'!H$393:H$2999,MATCH(A17,IF('BalSht Data'!A$393=S$1,'BalSht Data'!G$393:G$2999),0))</f>
        <v>#N/A</v>
      </c>
      <c r="T17" s="3" t="e">
        <f>INDEX('BalSht Data'!H$416:H$2999,MATCH(A17,IF('BalSht Data'!A$416=T$1,'BalSht Data'!G$416:G$2999),0))</f>
        <v>#N/A</v>
      </c>
      <c r="U17" s="3" t="e">
        <f>INDEX('BalSht Data'!H$439:H$2999,MATCH(A17,IF('BalSht Data'!A$439=U$1,'BalSht Data'!G$439:G$2999),0))</f>
        <v>#N/A</v>
      </c>
      <c r="V17" s="3" t="e">
        <f>INDEX('BalSht Data'!H$462:H$2999,MATCH(A17,IF('BalSht Data'!A$462=V$1,'BalSht Data'!G$462:G$2999),0))</f>
        <v>#N/A</v>
      </c>
      <c r="W17" s="3" t="e">
        <f>INDEX('BalSht Data'!H$485:H$2999,MATCH(A17,IF('BalSht Data'!A$485=W$1,'BalSht Data'!G$485:G$2999),0))</f>
        <v>#N/A</v>
      </c>
      <c r="X17" s="3" t="e">
        <f>INDEX('BalSht Data'!H$508:H$2999,MATCH(A17,IF('BalSht Data'!A$508=X$1,'BalSht Data'!G$508:G$2999),0))</f>
        <v>#N/A</v>
      </c>
      <c r="Y17" s="3" t="e">
        <f>INDEX('BalSht Data'!H$531:H$2999,MATCH(A17,IF('BalSht Data'!A$531=Y$1,'BalSht Data'!G$531:G$2999),0))</f>
        <v>#N/A</v>
      </c>
      <c r="Z17" s="3" t="e">
        <f>INDEX('BalSht Data'!H$554:H$2999,MATCH(A17,IF('BalSht Data'!A$554=Z$1,'BalSht Data'!G$554:G$2999),0))</f>
        <v>#N/A</v>
      </c>
      <c r="AA17" s="3" t="e">
        <f>INDEX('BalSht Data'!H$577:H$2999,MATCH(A17,IF('BalSht Data'!A$577=AA$1,'BalSht Data'!G$577:G$2999),0))</f>
        <v>#N/A</v>
      </c>
      <c r="AB17" s="3" t="e">
        <f>INDEX('BalSht Data'!H$600:H$2999,MATCH(A17,IF('BalSht Data'!A$600=AB$1,'BalSht Data'!G$600:G$2999),0))</f>
        <v>#N/A</v>
      </c>
      <c r="AC17" s="3" t="e">
        <f>INDEX('BalSht Data'!H$623:H$2999,MATCH(A17,IF('BalSht Data'!A$623=AC$1,'BalSht Data'!G$623:G$2999),0))</f>
        <v>#N/A</v>
      </c>
      <c r="AD17" s="3" t="e">
        <f>INDEX('BalSht Data'!H$646:H$2999,MATCH(A17,IF('BalSht Data'!A$646=AD$1,'BalSht Data'!G$646:G$2999),0))</f>
        <v>#N/A</v>
      </c>
      <c r="AE17" s="3" t="e">
        <f>INDEX('BalSht Data'!H$669:H$2999,MATCH(A17,IF('BalSht Data'!A$669=AE$1,'BalSht Data'!G$669:G$2999),0))</f>
        <v>#N/A</v>
      </c>
      <c r="AF17" s="3" t="e">
        <f>INDEX('BalSht Data'!H$692:H$2999,MATCH(A17,IF('BalSht Data'!A$692=AF$1,'BalSht Data'!G$692:G$2999),0))</f>
        <v>#N/A</v>
      </c>
      <c r="AG17" s="3" t="e">
        <f>INDEX('BalSht Data'!H$715:H$2999,MATCH(A17,IF('BalSht Data'!A$715=AG$1,'BalSht Data'!G$715:G$2999),0))</f>
        <v>#N/A</v>
      </c>
      <c r="AH17" s="3" t="e">
        <f>INDEX('BalSht Data'!H$738:H$2999,MATCH(A17,IF('BalSht Data'!A$738=AH$1,'BalSht Data'!G$738:G$2999),0))</f>
        <v>#N/A</v>
      </c>
      <c r="AI17" s="3" t="e">
        <f>INDEX('BalSht Data'!H$761:H$2999,MATCH(A17,IF('BalSht Data'!A$761=AI$1,'BalSht Data'!G$761:G$2999),0))</f>
        <v>#N/A</v>
      </c>
      <c r="AJ17" s="3" t="e">
        <f>INDEX('BalSht Data'!H$784:H$2999,MATCH(A17,IF('BalSht Data'!A$784=AJ$1,'BalSht Data'!G$784:G$2999),0))</f>
        <v>#N/A</v>
      </c>
    </row>
    <row r="18" spans="1:36" x14ac:dyDescent="0.2">
      <c r="A18" s="5" t="s">
        <v>24</v>
      </c>
      <c r="B18" s="3">
        <f>INDEX('BalSht Data'!H$2:H$2999,MATCH(A18,IF('BalSht Data'!A$2:A$2999=B$1,'BalSht Data'!G$2:G$2999),0))</f>
        <v>0</v>
      </c>
      <c r="C18" s="3">
        <f>INDEX('BalSht Data'!H$25:H$2999,MATCH(A18,IF('BalSht Data'!A$25=C$1,'BalSht Data'!G$2:G$2999),0))</f>
        <v>999</v>
      </c>
      <c r="D18" s="3">
        <f>INDEX('BalSht Data'!H$48:H$2999,MATCH(A18,IF('BalSht Data'!A$48=D$1,'BalSht Data'!G$48:G$2999),0))</f>
        <v>7878787</v>
      </c>
      <c r="E18" s="3">
        <f>INDEX('BalSht Data'!H$71:H$2999,MATCH(A18,IF('BalSht Data'!A$71=E$1,'BalSht Data'!G$71:G$2999),0))</f>
        <v>36333</v>
      </c>
      <c r="F18" s="3">
        <f>INDEX('BalSht Data'!H$94:H$2999,MATCH(A18,IF('BalSht Data'!A$94=F$1,'BalSht Data'!G$94:G$2999),0))</f>
        <v>88888</v>
      </c>
      <c r="G18" s="3">
        <f>INDEX('BalSht Data'!H$117:H$2999,MATCH(A18,IF('BalSht Data'!A$117=G$1,'BalSht Data'!G$117:G$2999),0))</f>
        <v>22222</v>
      </c>
      <c r="H18" s="3" t="e">
        <f>INDEX('BalSht Data'!H$140:H$2999,MATCH(A18,IF('BalSht Data'!A$140=H$1,'BalSht Data'!G$140:G$2999),0))</f>
        <v>#N/A</v>
      </c>
      <c r="I18" s="3" t="e">
        <f>INDEX('BalSht Data'!H$163:H$2999,MATCH(A18,IF('BalSht Data'!A$163=I$1,'BalSht Data'!G$163:G$2999),0))</f>
        <v>#N/A</v>
      </c>
      <c r="J18" s="3" t="e">
        <f>INDEX('BalSht Data'!H$186:H$2999,MATCH(A18,IF('BalSht Data'!A$186=J$1,'BalSht Data'!G$186:G$2999),0))</f>
        <v>#N/A</v>
      </c>
      <c r="K18" s="3" t="e">
        <f>INDEX('BalSht Data'!H$209:H$2999,MATCH(A18,IF('BalSht Data'!A$209=K$1,'BalSht Data'!G$209:G$2999),0))</f>
        <v>#N/A</v>
      </c>
      <c r="L18" s="3" t="e">
        <f>INDEX('BalSht Data'!H$232:H$2999,MATCH(A18,IF('BalSht Data'!A$232=L$1,'BalSht Data'!G$232:G$2999),0))</f>
        <v>#N/A</v>
      </c>
      <c r="M18" s="3" t="e">
        <f>INDEX('BalSht Data'!H$255:H$2999,MATCH(A18,IF('BalSht Data'!A$255=M$1,'BalSht Data'!G$255:G$2999),0))</f>
        <v>#N/A</v>
      </c>
      <c r="N18" s="3" t="e">
        <f>INDEX('BalSht Data'!H$278:H$2999,MATCH(A18,IF('BalSht Data'!A$278=N$1,'BalSht Data'!G$278:G$2999),0))</f>
        <v>#N/A</v>
      </c>
      <c r="O18" s="3" t="e">
        <f>INDEX('BalSht Data'!H$301:H$2999,MATCH(A18,IF('BalSht Data'!A$301=O$1,'BalSht Data'!G$301:G$2999),0))</f>
        <v>#N/A</v>
      </c>
      <c r="P18" s="3" t="e">
        <f>INDEX('BalSht Data'!H$324:H$2999,MATCH(A18,IF('BalSht Data'!A$324=P$1,'BalSht Data'!G$324:G$2999),0))</f>
        <v>#N/A</v>
      </c>
      <c r="Q18" s="3" t="e">
        <f>INDEX('BalSht Data'!H$347:H$2999,MATCH(A18,IF('BalSht Data'!A$347=Q$1,'BalSht Data'!G$347:G$2999),0))</f>
        <v>#N/A</v>
      </c>
      <c r="R18" s="3" t="e">
        <f>INDEX('BalSht Data'!H$370:H$2999,MATCH(A18,IF('BalSht Data'!A$370=R$1,'BalSht Data'!G$370:G$2999),0))</f>
        <v>#N/A</v>
      </c>
      <c r="S18" s="3" t="e">
        <f>INDEX('BalSht Data'!H$393:H$2999,MATCH(A18,IF('BalSht Data'!A$393=S$1,'BalSht Data'!G$393:G$2999),0))</f>
        <v>#N/A</v>
      </c>
      <c r="T18" s="3" t="e">
        <f>INDEX('BalSht Data'!H$416:H$2999,MATCH(A18,IF('BalSht Data'!A$416=T$1,'BalSht Data'!G$416:G$2999),0))</f>
        <v>#N/A</v>
      </c>
      <c r="U18" s="3" t="e">
        <f>INDEX('BalSht Data'!H$439:H$2999,MATCH(A18,IF('BalSht Data'!A$439=U$1,'BalSht Data'!G$439:G$2999),0))</f>
        <v>#N/A</v>
      </c>
      <c r="V18" s="3" t="e">
        <f>INDEX('BalSht Data'!H$462:H$2999,MATCH(A18,IF('BalSht Data'!A$462=V$1,'BalSht Data'!G$462:G$2999),0))</f>
        <v>#N/A</v>
      </c>
      <c r="W18" s="3" t="e">
        <f>INDEX('BalSht Data'!H$485:H$2999,MATCH(A18,IF('BalSht Data'!A$485=W$1,'BalSht Data'!G$485:G$2999),0))</f>
        <v>#N/A</v>
      </c>
      <c r="X18" s="3" t="e">
        <f>INDEX('BalSht Data'!H$508:H$2999,MATCH(A18,IF('BalSht Data'!A$508=X$1,'BalSht Data'!G$508:G$2999),0))</f>
        <v>#N/A</v>
      </c>
      <c r="Y18" s="3" t="e">
        <f>INDEX('BalSht Data'!H$531:H$2999,MATCH(A18,IF('BalSht Data'!A$531=Y$1,'BalSht Data'!G$531:G$2999),0))</f>
        <v>#N/A</v>
      </c>
      <c r="Z18" s="3" t="e">
        <f>INDEX('BalSht Data'!H$554:H$2999,MATCH(A18,IF('BalSht Data'!A$554=Z$1,'BalSht Data'!G$554:G$2999),0))</f>
        <v>#N/A</v>
      </c>
      <c r="AA18" s="3" t="e">
        <f>INDEX('BalSht Data'!H$577:H$2999,MATCH(A18,IF('BalSht Data'!A$577=AA$1,'BalSht Data'!G$577:G$2999),0))</f>
        <v>#N/A</v>
      </c>
      <c r="AB18" s="3" t="e">
        <f>INDEX('BalSht Data'!H$600:H$2999,MATCH(A18,IF('BalSht Data'!A$600=AB$1,'BalSht Data'!G$600:G$2999),0))</f>
        <v>#N/A</v>
      </c>
      <c r="AC18" s="3" t="e">
        <f>INDEX('BalSht Data'!H$623:H$2999,MATCH(A18,IF('BalSht Data'!A$623=AC$1,'BalSht Data'!G$623:G$2999),0))</f>
        <v>#N/A</v>
      </c>
      <c r="AD18" s="3" t="e">
        <f>INDEX('BalSht Data'!H$646:H$2999,MATCH(A18,IF('BalSht Data'!A$646=AD$1,'BalSht Data'!G$646:G$2999),0))</f>
        <v>#N/A</v>
      </c>
      <c r="AE18" s="3" t="e">
        <f>INDEX('BalSht Data'!H$669:H$2999,MATCH(A18,IF('BalSht Data'!A$669=AE$1,'BalSht Data'!G$669:G$2999),0))</f>
        <v>#N/A</v>
      </c>
      <c r="AF18" s="3" t="e">
        <f>INDEX('BalSht Data'!H$692:H$2999,MATCH(A18,IF('BalSht Data'!A$692=AF$1,'BalSht Data'!G$692:G$2999),0))</f>
        <v>#N/A</v>
      </c>
      <c r="AG18" s="3" t="e">
        <f>INDEX('BalSht Data'!H$715:H$2999,MATCH(A18,IF('BalSht Data'!A$715=AG$1,'BalSht Data'!G$715:G$2999),0))</f>
        <v>#N/A</v>
      </c>
      <c r="AH18" s="3" t="e">
        <f>INDEX('BalSht Data'!H$738:H$2999,MATCH(A18,IF('BalSht Data'!A$738=AH$1,'BalSht Data'!G$738:G$2999),0))</f>
        <v>#N/A</v>
      </c>
      <c r="AI18" s="3" t="e">
        <f>INDEX('BalSht Data'!H$761:H$2999,MATCH(A18,IF('BalSht Data'!A$761=AI$1,'BalSht Data'!G$761:G$2999),0))</f>
        <v>#N/A</v>
      </c>
      <c r="AJ18" s="3" t="e">
        <f>INDEX('BalSht Data'!H$784:H$2999,MATCH(A18,IF('BalSht Data'!A$784=AJ$1,'BalSht Data'!G$784:G$2999),0))</f>
        <v>#N/A</v>
      </c>
    </row>
    <row r="19" spans="1:36" x14ac:dyDescent="0.2">
      <c r="A19" s="5" t="s">
        <v>25</v>
      </c>
      <c r="B19" s="3">
        <f>INDEX('BalSht Data'!H$2:H$2999,MATCH(A19,IF('BalSht Data'!A$2:A$2999=B$1,'BalSht Data'!G$2:G$2999),0))</f>
        <v>0</v>
      </c>
      <c r="C19" s="3">
        <f>INDEX('BalSht Data'!H$25:H$2999,MATCH(A19,IF('BalSht Data'!A$25=C$1,'BalSht Data'!G$2:G$2999),0))</f>
        <v>999</v>
      </c>
      <c r="D19" s="3">
        <f>INDEX('BalSht Data'!H$48:H$2999,MATCH(A19,IF('BalSht Data'!A$48=D$1,'BalSht Data'!G$48:G$2999),0))</f>
        <v>7878787</v>
      </c>
      <c r="E19" s="3">
        <f>INDEX('BalSht Data'!H$71:H$2999,MATCH(A19,IF('BalSht Data'!A$71=E$1,'BalSht Data'!G$71:G$2999),0))</f>
        <v>36333</v>
      </c>
      <c r="F19" s="3">
        <f>INDEX('BalSht Data'!H$94:H$2999,MATCH(A19,IF('BalSht Data'!A$94=F$1,'BalSht Data'!G$94:G$2999),0))</f>
        <v>88888</v>
      </c>
      <c r="G19" s="3">
        <f>INDEX('BalSht Data'!H$117:H$2999,MATCH(A19,IF('BalSht Data'!A$117=G$1,'BalSht Data'!G$117:G$2999),0))</f>
        <v>22222</v>
      </c>
      <c r="H19" s="3" t="e">
        <f>INDEX('BalSht Data'!H$140:H$2999,MATCH(A19,IF('BalSht Data'!A$140=H$1,'BalSht Data'!G$140:G$2999),0))</f>
        <v>#N/A</v>
      </c>
      <c r="I19" s="3" t="e">
        <f>INDEX('BalSht Data'!H$163:H$2999,MATCH(A19,IF('BalSht Data'!A$163=I$1,'BalSht Data'!G$163:G$2999),0))</f>
        <v>#N/A</v>
      </c>
      <c r="J19" s="3" t="e">
        <f>INDEX('BalSht Data'!H$186:H$2999,MATCH(A19,IF('BalSht Data'!A$186=J$1,'BalSht Data'!G$186:G$2999),0))</f>
        <v>#N/A</v>
      </c>
      <c r="K19" s="3" t="e">
        <f>INDEX('BalSht Data'!H$209:H$2999,MATCH(A19,IF('BalSht Data'!A$209=K$1,'BalSht Data'!G$209:G$2999),0))</f>
        <v>#N/A</v>
      </c>
      <c r="L19" s="3" t="e">
        <f>INDEX('BalSht Data'!H$232:H$2999,MATCH(A19,IF('BalSht Data'!A$232=L$1,'BalSht Data'!G$232:G$2999),0))</f>
        <v>#N/A</v>
      </c>
      <c r="M19" s="3" t="e">
        <f>INDEX('BalSht Data'!H$255:H$2999,MATCH(A19,IF('BalSht Data'!A$255=M$1,'BalSht Data'!G$255:G$2999),0))</f>
        <v>#N/A</v>
      </c>
      <c r="N19" s="3" t="e">
        <f>INDEX('BalSht Data'!H$278:H$2999,MATCH(A19,IF('BalSht Data'!A$278=N$1,'BalSht Data'!G$278:G$2999),0))</f>
        <v>#N/A</v>
      </c>
      <c r="O19" s="3" t="e">
        <f>INDEX('BalSht Data'!H$301:H$2999,MATCH(A19,IF('BalSht Data'!A$301=O$1,'BalSht Data'!G$301:G$2999),0))</f>
        <v>#N/A</v>
      </c>
      <c r="P19" s="3" t="e">
        <f>INDEX('BalSht Data'!H$324:H$2999,MATCH(A19,IF('BalSht Data'!A$324=P$1,'BalSht Data'!G$324:G$2999),0))</f>
        <v>#N/A</v>
      </c>
      <c r="Q19" s="3" t="e">
        <f>INDEX('BalSht Data'!H$347:H$2999,MATCH(A19,IF('BalSht Data'!A$347=Q$1,'BalSht Data'!G$347:G$2999),0))</f>
        <v>#N/A</v>
      </c>
      <c r="R19" s="3" t="e">
        <f>INDEX('BalSht Data'!H$370:H$2999,MATCH(A19,IF('BalSht Data'!A$370=R$1,'BalSht Data'!G$370:G$2999),0))</f>
        <v>#N/A</v>
      </c>
      <c r="S19" s="3" t="e">
        <f>INDEX('BalSht Data'!H$393:H$2999,MATCH(A19,IF('BalSht Data'!A$393=S$1,'BalSht Data'!G$393:G$2999),0))</f>
        <v>#N/A</v>
      </c>
      <c r="T19" s="3" t="e">
        <f>INDEX('BalSht Data'!H$416:H$2999,MATCH(A19,IF('BalSht Data'!A$416=T$1,'BalSht Data'!G$416:G$2999),0))</f>
        <v>#N/A</v>
      </c>
      <c r="U19" s="3" t="e">
        <f>INDEX('BalSht Data'!H$439:H$2999,MATCH(A19,IF('BalSht Data'!A$439=U$1,'BalSht Data'!G$439:G$2999),0))</f>
        <v>#N/A</v>
      </c>
      <c r="V19" s="3" t="e">
        <f>INDEX('BalSht Data'!H$462:H$2999,MATCH(A19,IF('BalSht Data'!A$462=V$1,'BalSht Data'!G$462:G$2999),0))</f>
        <v>#N/A</v>
      </c>
      <c r="W19" s="3" t="e">
        <f>INDEX('BalSht Data'!H$485:H$2999,MATCH(A19,IF('BalSht Data'!A$485=W$1,'BalSht Data'!G$485:G$2999),0))</f>
        <v>#N/A</v>
      </c>
      <c r="X19" s="3" t="e">
        <f>INDEX('BalSht Data'!H$508:H$2999,MATCH(A19,IF('BalSht Data'!A$508=X$1,'BalSht Data'!G$508:G$2999),0))</f>
        <v>#N/A</v>
      </c>
      <c r="Y19" s="3" t="e">
        <f>INDEX('BalSht Data'!H$531:H$2999,MATCH(A19,IF('BalSht Data'!A$531=Y$1,'BalSht Data'!G$531:G$2999),0))</f>
        <v>#N/A</v>
      </c>
      <c r="Z19" s="3" t="e">
        <f>INDEX('BalSht Data'!H$554:H$2999,MATCH(A19,IF('BalSht Data'!A$554=Z$1,'BalSht Data'!G$554:G$2999),0))</f>
        <v>#N/A</v>
      </c>
      <c r="AA19" s="3" t="e">
        <f>INDEX('BalSht Data'!H$577:H$2999,MATCH(A19,IF('BalSht Data'!A$577=AA$1,'BalSht Data'!G$577:G$2999),0))</f>
        <v>#N/A</v>
      </c>
      <c r="AB19" s="3" t="e">
        <f>INDEX('BalSht Data'!H$600:H$2999,MATCH(A19,IF('BalSht Data'!A$600=AB$1,'BalSht Data'!G$600:G$2999),0))</f>
        <v>#N/A</v>
      </c>
      <c r="AC19" s="3" t="e">
        <f>INDEX('BalSht Data'!H$623:H$2999,MATCH(A19,IF('BalSht Data'!A$623=AC$1,'BalSht Data'!G$623:G$2999),0))</f>
        <v>#N/A</v>
      </c>
      <c r="AD19" s="3" t="e">
        <f>INDEX('BalSht Data'!H$646:H$2999,MATCH(A19,IF('BalSht Data'!A$646=AD$1,'BalSht Data'!G$646:G$2999),0))</f>
        <v>#N/A</v>
      </c>
      <c r="AE19" s="3" t="e">
        <f>INDEX('BalSht Data'!H$669:H$2999,MATCH(A19,IF('BalSht Data'!A$669=AE$1,'BalSht Data'!G$669:G$2999),0))</f>
        <v>#N/A</v>
      </c>
      <c r="AF19" s="3" t="e">
        <f>INDEX('BalSht Data'!H$692:H$2999,MATCH(A19,IF('BalSht Data'!A$692=AF$1,'BalSht Data'!G$692:G$2999),0))</f>
        <v>#N/A</v>
      </c>
      <c r="AG19" s="3" t="e">
        <f>INDEX('BalSht Data'!H$715:H$2999,MATCH(A19,IF('BalSht Data'!A$715=AG$1,'BalSht Data'!G$715:G$2999),0))</f>
        <v>#N/A</v>
      </c>
      <c r="AH19" s="3" t="e">
        <f>INDEX('BalSht Data'!H$738:H$2999,MATCH(A19,IF('BalSht Data'!A$738=AH$1,'BalSht Data'!G$738:G$2999),0))</f>
        <v>#N/A</v>
      </c>
      <c r="AI19" s="3" t="e">
        <f>INDEX('BalSht Data'!H$761:H$2999,MATCH(A19,IF('BalSht Data'!A$761=AI$1,'BalSht Data'!G$761:G$2999),0))</f>
        <v>#N/A</v>
      </c>
      <c r="AJ19" s="3" t="e">
        <f>INDEX('BalSht Data'!H$784:H$2999,MATCH(A19,IF('BalSht Data'!A$784=AJ$1,'BalSht Data'!G$784:G$2999),0))</f>
        <v>#N/A</v>
      </c>
    </row>
    <row r="20" spans="1:36" x14ac:dyDescent="0.2">
      <c r="A20" s="5" t="s">
        <v>26</v>
      </c>
      <c r="B20" s="3">
        <f>INDEX('BalSht Data'!H$2:H$2999,MATCH(A20,IF('BalSht Data'!A$2:A$2999=B$1,'BalSht Data'!G$2:G$2999),0))</f>
        <v>0</v>
      </c>
      <c r="C20" s="3">
        <f>INDEX('BalSht Data'!H$25:H$2999,MATCH(A20,IF('BalSht Data'!A$25=C$1,'BalSht Data'!G$2:G$2999),0))</f>
        <v>999</v>
      </c>
      <c r="D20" s="3">
        <f>INDEX('BalSht Data'!H$48:H$2999,MATCH(A20,IF('BalSht Data'!A$48=D$1,'BalSht Data'!G$48:G$2999),0))</f>
        <v>7878787</v>
      </c>
      <c r="E20" s="3">
        <f>INDEX('BalSht Data'!H$71:H$2999,MATCH(A20,IF('BalSht Data'!A$71=E$1,'BalSht Data'!G$71:G$2999),0))</f>
        <v>36333</v>
      </c>
      <c r="F20" s="3">
        <f>INDEX('BalSht Data'!H$94:H$2999,MATCH(A20,IF('BalSht Data'!A$94=F$1,'BalSht Data'!G$94:G$2999),0))</f>
        <v>88888</v>
      </c>
      <c r="G20" s="3">
        <f>INDEX('BalSht Data'!H$117:H$2999,MATCH(A20,IF('BalSht Data'!A$117=G$1,'BalSht Data'!G$117:G$2999),0))</f>
        <v>22222</v>
      </c>
      <c r="H20" s="3" t="e">
        <f>INDEX('BalSht Data'!H$140:H$2999,MATCH(A20,IF('BalSht Data'!A$140=H$1,'BalSht Data'!G$140:G$2999),0))</f>
        <v>#N/A</v>
      </c>
      <c r="I20" s="3" t="e">
        <f>INDEX('BalSht Data'!H$163:H$2999,MATCH(A20,IF('BalSht Data'!A$163=I$1,'BalSht Data'!G$163:G$2999),0))</f>
        <v>#N/A</v>
      </c>
      <c r="J20" s="3" t="e">
        <f>INDEX('BalSht Data'!H$186:H$2999,MATCH(A20,IF('BalSht Data'!A$186=J$1,'BalSht Data'!G$186:G$2999),0))</f>
        <v>#N/A</v>
      </c>
      <c r="K20" s="3" t="e">
        <f>INDEX('BalSht Data'!H$209:H$2999,MATCH(A20,IF('BalSht Data'!A$209=K$1,'BalSht Data'!G$209:G$2999),0))</f>
        <v>#N/A</v>
      </c>
      <c r="L20" s="3" t="e">
        <f>INDEX('BalSht Data'!H$232:H$2999,MATCH(A20,IF('BalSht Data'!A$232=L$1,'BalSht Data'!G$232:G$2999),0))</f>
        <v>#N/A</v>
      </c>
      <c r="M20" s="3" t="e">
        <f>INDEX('BalSht Data'!H$255:H$2999,MATCH(A20,IF('BalSht Data'!A$255=M$1,'BalSht Data'!G$255:G$2999),0))</f>
        <v>#N/A</v>
      </c>
      <c r="N20" s="3" t="e">
        <f>INDEX('BalSht Data'!H$278:H$2999,MATCH(A20,IF('BalSht Data'!A$278=N$1,'BalSht Data'!G$278:G$2999),0))</f>
        <v>#N/A</v>
      </c>
      <c r="O20" s="3" t="e">
        <f>INDEX('BalSht Data'!H$301:H$2999,MATCH(A20,IF('BalSht Data'!A$301=O$1,'BalSht Data'!G$301:G$2999),0))</f>
        <v>#N/A</v>
      </c>
      <c r="P20" s="3" t="e">
        <f>INDEX('BalSht Data'!H$324:H$2999,MATCH(A20,IF('BalSht Data'!A$324=P$1,'BalSht Data'!G$324:G$2999),0))</f>
        <v>#N/A</v>
      </c>
      <c r="Q20" s="3" t="e">
        <f>INDEX('BalSht Data'!H$347:H$2999,MATCH(A20,IF('BalSht Data'!A$347=Q$1,'BalSht Data'!G$347:G$2999),0))</f>
        <v>#N/A</v>
      </c>
      <c r="R20" s="3" t="e">
        <f>INDEX('BalSht Data'!H$370:H$2999,MATCH(A20,IF('BalSht Data'!A$370=R$1,'BalSht Data'!G$370:G$2999),0))</f>
        <v>#N/A</v>
      </c>
      <c r="S20" s="3" t="e">
        <f>INDEX('BalSht Data'!H$393:H$2999,MATCH(A20,IF('BalSht Data'!A$393=S$1,'BalSht Data'!G$393:G$2999),0))</f>
        <v>#N/A</v>
      </c>
      <c r="T20" s="3" t="e">
        <f>INDEX('BalSht Data'!H$416:H$2999,MATCH(A20,IF('BalSht Data'!A$416=T$1,'BalSht Data'!G$416:G$2999),0))</f>
        <v>#N/A</v>
      </c>
      <c r="U20" s="3" t="e">
        <f>INDEX('BalSht Data'!H$439:H$2999,MATCH(A20,IF('BalSht Data'!A$439=U$1,'BalSht Data'!G$439:G$2999),0))</f>
        <v>#N/A</v>
      </c>
      <c r="V20" s="3" t="e">
        <f>INDEX('BalSht Data'!H$462:H$2999,MATCH(A20,IF('BalSht Data'!A$462=V$1,'BalSht Data'!G$462:G$2999),0))</f>
        <v>#N/A</v>
      </c>
      <c r="W20" s="3" t="e">
        <f>INDEX('BalSht Data'!H$485:H$2999,MATCH(A20,IF('BalSht Data'!A$485=W$1,'BalSht Data'!G$485:G$2999),0))</f>
        <v>#N/A</v>
      </c>
      <c r="X20" s="3" t="e">
        <f>INDEX('BalSht Data'!H$508:H$2999,MATCH(A20,IF('BalSht Data'!A$508=X$1,'BalSht Data'!G$508:G$2999),0))</f>
        <v>#N/A</v>
      </c>
      <c r="Y20" s="3" t="e">
        <f>INDEX('BalSht Data'!H$531:H$2999,MATCH(A20,IF('BalSht Data'!A$531=Y$1,'BalSht Data'!G$531:G$2999),0))</f>
        <v>#N/A</v>
      </c>
      <c r="Z20" s="3" t="e">
        <f>INDEX('BalSht Data'!H$554:H$2999,MATCH(A20,IF('BalSht Data'!A$554=Z$1,'BalSht Data'!G$554:G$2999),0))</f>
        <v>#N/A</v>
      </c>
      <c r="AA20" s="3" t="e">
        <f>INDEX('BalSht Data'!H$577:H$2999,MATCH(A20,IF('BalSht Data'!A$577=AA$1,'BalSht Data'!G$577:G$2999),0))</f>
        <v>#N/A</v>
      </c>
      <c r="AB20" s="3" t="e">
        <f>INDEX('BalSht Data'!H$600:H$2999,MATCH(A20,IF('BalSht Data'!A$600=AB$1,'BalSht Data'!G$600:G$2999),0))</f>
        <v>#N/A</v>
      </c>
      <c r="AC20" s="3" t="e">
        <f>INDEX('BalSht Data'!H$623:H$2999,MATCH(A20,IF('BalSht Data'!A$623=AC$1,'BalSht Data'!G$623:G$2999),0))</f>
        <v>#N/A</v>
      </c>
      <c r="AD20" s="3" t="e">
        <f>INDEX('BalSht Data'!H$646:H$2999,MATCH(A20,IF('BalSht Data'!A$646=AD$1,'BalSht Data'!G$646:G$2999),0))</f>
        <v>#N/A</v>
      </c>
      <c r="AE20" s="3" t="e">
        <f>INDEX('BalSht Data'!H$669:H$2999,MATCH(A20,IF('BalSht Data'!A$669=AE$1,'BalSht Data'!G$669:G$2999),0))</f>
        <v>#N/A</v>
      </c>
      <c r="AF20" s="3" t="e">
        <f>INDEX('BalSht Data'!H$692:H$2999,MATCH(A20,IF('BalSht Data'!A$692=AF$1,'BalSht Data'!G$692:G$2999),0))</f>
        <v>#N/A</v>
      </c>
      <c r="AG20" s="3" t="e">
        <f>INDEX('BalSht Data'!H$715:H$2999,MATCH(A20,IF('BalSht Data'!A$715=AG$1,'BalSht Data'!G$715:G$2999),0))</f>
        <v>#N/A</v>
      </c>
      <c r="AH20" s="3" t="e">
        <f>INDEX('BalSht Data'!H$738:H$2999,MATCH(A20,IF('BalSht Data'!A$738=AH$1,'BalSht Data'!G$738:G$2999),0))</f>
        <v>#N/A</v>
      </c>
      <c r="AI20" s="3" t="e">
        <f>INDEX('BalSht Data'!H$761:H$2999,MATCH(A20,IF('BalSht Data'!A$761=AI$1,'BalSht Data'!G$761:G$2999),0))</f>
        <v>#N/A</v>
      </c>
      <c r="AJ20" s="3" t="e">
        <f>INDEX('BalSht Data'!H$784:H$2999,MATCH(A20,IF('BalSht Data'!A$784=AJ$1,'BalSht Data'!G$784:G$2999),0))</f>
        <v>#N/A</v>
      </c>
    </row>
    <row r="21" spans="1:36" x14ac:dyDescent="0.2">
      <c r="A21" s="5" t="s">
        <v>27</v>
      </c>
      <c r="B21" s="3">
        <f>INDEX('BalSht Data'!H$2:H$2999,MATCH(A21,IF('BalSht Data'!A$2:A$2999=B$1,'BalSht Data'!G$2:G$2999),0))</f>
        <v>0</v>
      </c>
      <c r="C21" s="3">
        <f>INDEX('BalSht Data'!H$25:H$2999,MATCH(A21,IF('BalSht Data'!A$25=C$1,'BalSht Data'!G$2:G$2999),0))</f>
        <v>999</v>
      </c>
      <c r="D21" s="3">
        <f>INDEX('BalSht Data'!H$48:H$2999,MATCH(A21,IF('BalSht Data'!A$48=D$1,'BalSht Data'!G$48:G$2999),0))</f>
        <v>7878787</v>
      </c>
      <c r="E21" s="3">
        <f>INDEX('BalSht Data'!H$71:H$2999,MATCH(A21,IF('BalSht Data'!A$71=E$1,'BalSht Data'!G$71:G$2999),0))</f>
        <v>36333</v>
      </c>
      <c r="F21" s="3">
        <f>INDEX('BalSht Data'!H$94:H$2999,MATCH(A21,IF('BalSht Data'!A$94=F$1,'BalSht Data'!G$94:G$2999),0))</f>
        <v>88888</v>
      </c>
      <c r="G21" s="3">
        <f>INDEX('BalSht Data'!H$117:H$2999,MATCH(A21,IF('BalSht Data'!A$117=G$1,'BalSht Data'!G$117:G$2999),0))</f>
        <v>22222</v>
      </c>
      <c r="H21" s="3" t="e">
        <f>INDEX('BalSht Data'!H$140:H$2999,MATCH(A21,IF('BalSht Data'!A$140=H$1,'BalSht Data'!G$140:G$2999),0))</f>
        <v>#N/A</v>
      </c>
      <c r="I21" s="3" t="e">
        <f>INDEX('BalSht Data'!H$163:H$2999,MATCH(A21,IF('BalSht Data'!A$163=I$1,'BalSht Data'!G$163:G$2999),0))</f>
        <v>#N/A</v>
      </c>
      <c r="J21" s="3" t="e">
        <f>INDEX('BalSht Data'!H$186:H$2999,MATCH(A21,IF('BalSht Data'!A$186=J$1,'BalSht Data'!G$186:G$2999),0))</f>
        <v>#N/A</v>
      </c>
      <c r="K21" s="3" t="e">
        <f>INDEX('BalSht Data'!H$209:H$2999,MATCH(A21,IF('BalSht Data'!A$209=K$1,'BalSht Data'!G$209:G$2999),0))</f>
        <v>#N/A</v>
      </c>
      <c r="L21" s="3" t="e">
        <f>INDEX('BalSht Data'!H$232:H$2999,MATCH(A21,IF('BalSht Data'!A$232=L$1,'BalSht Data'!G$232:G$2999),0))</f>
        <v>#N/A</v>
      </c>
      <c r="M21" s="3" t="e">
        <f>INDEX('BalSht Data'!H$255:H$2999,MATCH(A21,IF('BalSht Data'!A$255=M$1,'BalSht Data'!G$255:G$2999),0))</f>
        <v>#N/A</v>
      </c>
      <c r="N21" s="3" t="e">
        <f>INDEX('BalSht Data'!H$278:H$2999,MATCH(A21,IF('BalSht Data'!A$278=N$1,'BalSht Data'!G$278:G$2999),0))</f>
        <v>#N/A</v>
      </c>
      <c r="O21" s="3" t="e">
        <f>INDEX('BalSht Data'!H$301:H$2999,MATCH(A21,IF('BalSht Data'!A$301=O$1,'BalSht Data'!G$301:G$2999),0))</f>
        <v>#N/A</v>
      </c>
      <c r="P21" s="3" t="e">
        <f>INDEX('BalSht Data'!H$324:H$2999,MATCH(A21,IF('BalSht Data'!A$324=P$1,'BalSht Data'!G$324:G$2999),0))</f>
        <v>#N/A</v>
      </c>
      <c r="Q21" s="3" t="e">
        <f>INDEX('BalSht Data'!H$347:H$2999,MATCH(A21,IF('BalSht Data'!A$347=Q$1,'BalSht Data'!G$347:G$2999),0))</f>
        <v>#N/A</v>
      </c>
      <c r="R21" s="3" t="e">
        <f>INDEX('BalSht Data'!H$370:H$2999,MATCH(A21,IF('BalSht Data'!A$370=R$1,'BalSht Data'!G$370:G$2999),0))</f>
        <v>#N/A</v>
      </c>
      <c r="S21" s="3" t="e">
        <f>INDEX('BalSht Data'!H$393:H$2999,MATCH(A21,IF('BalSht Data'!A$393=S$1,'BalSht Data'!G$393:G$2999),0))</f>
        <v>#N/A</v>
      </c>
      <c r="T21" s="3" t="e">
        <f>INDEX('BalSht Data'!H$416:H$2999,MATCH(A21,IF('BalSht Data'!A$416=T$1,'BalSht Data'!G$416:G$2999),0))</f>
        <v>#N/A</v>
      </c>
      <c r="U21" s="3" t="e">
        <f>INDEX('BalSht Data'!H$439:H$2999,MATCH(A21,IF('BalSht Data'!A$439=U$1,'BalSht Data'!G$439:G$2999),0))</f>
        <v>#N/A</v>
      </c>
      <c r="V21" s="3" t="e">
        <f>INDEX('BalSht Data'!H$462:H$2999,MATCH(A21,IF('BalSht Data'!A$462=V$1,'BalSht Data'!G$462:G$2999),0))</f>
        <v>#N/A</v>
      </c>
      <c r="W21" s="3" t="e">
        <f>INDEX('BalSht Data'!H$485:H$2999,MATCH(A21,IF('BalSht Data'!A$485=W$1,'BalSht Data'!G$485:G$2999),0))</f>
        <v>#N/A</v>
      </c>
      <c r="X21" s="3" t="e">
        <f>INDEX('BalSht Data'!H$508:H$2999,MATCH(A21,IF('BalSht Data'!A$508=X$1,'BalSht Data'!G$508:G$2999),0))</f>
        <v>#N/A</v>
      </c>
      <c r="Y21" s="3" t="e">
        <f>INDEX('BalSht Data'!H$531:H$2999,MATCH(A21,IF('BalSht Data'!A$531=Y$1,'BalSht Data'!G$531:G$2999),0))</f>
        <v>#N/A</v>
      </c>
      <c r="Z21" s="3" t="e">
        <f>INDEX('BalSht Data'!H$554:H$2999,MATCH(A21,IF('BalSht Data'!A$554=Z$1,'BalSht Data'!G$554:G$2999),0))</f>
        <v>#N/A</v>
      </c>
      <c r="AA21" s="3" t="e">
        <f>INDEX('BalSht Data'!H$577:H$2999,MATCH(A21,IF('BalSht Data'!A$577=AA$1,'BalSht Data'!G$577:G$2999),0))</f>
        <v>#N/A</v>
      </c>
      <c r="AB21" s="3" t="e">
        <f>INDEX('BalSht Data'!H$600:H$2999,MATCH(A21,IF('BalSht Data'!A$600=AB$1,'BalSht Data'!G$600:G$2999),0))</f>
        <v>#N/A</v>
      </c>
      <c r="AC21" s="3" t="e">
        <f>INDEX('BalSht Data'!H$623:H$2999,MATCH(A21,IF('BalSht Data'!A$623=AC$1,'BalSht Data'!G$623:G$2999),0))</f>
        <v>#N/A</v>
      </c>
      <c r="AD21" s="3" t="e">
        <f>INDEX('BalSht Data'!H$646:H$2999,MATCH(A21,IF('BalSht Data'!A$646=AD$1,'BalSht Data'!G$646:G$2999),0))</f>
        <v>#N/A</v>
      </c>
      <c r="AE21" s="3" t="e">
        <f>INDEX('BalSht Data'!H$669:H$2999,MATCH(A21,IF('BalSht Data'!A$669=AE$1,'BalSht Data'!G$669:G$2999),0))</f>
        <v>#N/A</v>
      </c>
      <c r="AF21" s="3" t="e">
        <f>INDEX('BalSht Data'!H$692:H$2999,MATCH(A21,IF('BalSht Data'!A$692=AF$1,'BalSht Data'!G$692:G$2999),0))</f>
        <v>#N/A</v>
      </c>
      <c r="AG21" s="3" t="e">
        <f>INDEX('BalSht Data'!H$715:H$2999,MATCH(A21,IF('BalSht Data'!A$715=AG$1,'BalSht Data'!G$715:G$2999),0))</f>
        <v>#N/A</v>
      </c>
      <c r="AH21" s="3" t="e">
        <f>INDEX('BalSht Data'!H$738:H$2999,MATCH(A21,IF('BalSht Data'!A$738=AH$1,'BalSht Data'!G$738:G$2999),0))</f>
        <v>#N/A</v>
      </c>
      <c r="AI21" s="3" t="e">
        <f>INDEX('BalSht Data'!H$761:H$2999,MATCH(A21,IF('BalSht Data'!A$761=AI$1,'BalSht Data'!G$761:G$2999),0))</f>
        <v>#N/A</v>
      </c>
      <c r="AJ21" s="3" t="e">
        <f>INDEX('BalSht Data'!H$784:H$2999,MATCH(A21,IF('BalSht Data'!A$784=AJ$1,'BalSht Data'!G$784:G$2999),0))</f>
        <v>#N/A</v>
      </c>
    </row>
    <row r="23" spans="1:36" x14ac:dyDescent="0.2">
      <c r="A23" s="2" t="s">
        <v>28</v>
      </c>
    </row>
    <row r="25" spans="1:36" x14ac:dyDescent="0.2">
      <c r="A25" s="5" t="s">
        <v>29</v>
      </c>
      <c r="B25" s="3">
        <f>INDEX('BalSht Data'!H$2:H$2999,MATCH(A25,IF('BalSht Data'!A$2=B$1,'BalSht Data'!G$2:G$2999),0))</f>
        <v>0</v>
      </c>
      <c r="C25" s="3">
        <f>INDEX('BalSht Data'!H$25:H$2999,MATCH(A25,IF('BalSht Data'!A$25=C$1,'BalSht Data'!G$2:G$2999),0))</f>
        <v>999</v>
      </c>
      <c r="D25" s="3">
        <f>INDEX('BalSht Data'!H$48:H$2999,MATCH(A25,IF('BalSht Data'!A$48=D$1,'BalSht Data'!G$48:G$2999),0))</f>
        <v>7878787</v>
      </c>
      <c r="E25" s="3">
        <f>INDEX('BalSht Data'!H$71:H$2999,MATCH(A25,IF('BalSht Data'!A$71=E$1,'BalSht Data'!G$71:G$2999),0))</f>
        <v>36333</v>
      </c>
      <c r="F25" s="3">
        <f>INDEX('BalSht Data'!H$94:H$2999,MATCH(A25,IF('BalSht Data'!A$94=F$1,'BalSht Data'!G$94:G$2999),0))</f>
        <v>88888</v>
      </c>
      <c r="G25" s="3">
        <f>INDEX('BalSht Data'!H$117:H$2999,MATCH(A25,IF('BalSht Data'!A$117=G$1,'BalSht Data'!G$117:G$2999),0))</f>
        <v>22222</v>
      </c>
      <c r="H25" s="3" t="e">
        <f>INDEX('BalSht Data'!H$140:H$2999,MATCH(A25,IF('BalSht Data'!A$140=H$1,'BalSht Data'!G$140:G$2999),0))</f>
        <v>#N/A</v>
      </c>
      <c r="I25" s="3" t="e">
        <f>INDEX('BalSht Data'!H$163:H$2999,MATCH(A25,IF('BalSht Data'!A$163=I$1,'BalSht Data'!G$163:G$2999),0))</f>
        <v>#N/A</v>
      </c>
      <c r="J25" s="3" t="e">
        <f>INDEX('BalSht Data'!H$186:H$2999,MATCH(A25,IF('BalSht Data'!A$186=J$1,'BalSht Data'!G$186:G$2999),0))</f>
        <v>#N/A</v>
      </c>
      <c r="K25" s="3" t="e">
        <f>INDEX('BalSht Data'!H$209:H$2999,MATCH(A25,IF('BalSht Data'!A$209=K$1,'BalSht Data'!G$209:G$2999),0))</f>
        <v>#N/A</v>
      </c>
      <c r="L25" s="3" t="e">
        <f>INDEX('BalSht Data'!H$232:H$2999,MATCH(A25,IF('BalSht Data'!A$232=L$1,'BalSht Data'!G$232:G$2999),0))</f>
        <v>#N/A</v>
      </c>
      <c r="M25" s="3" t="e">
        <f>INDEX('BalSht Data'!H$255:H$2999,MATCH(A25,IF('BalSht Data'!A$255=M$1,'BalSht Data'!G$255:G$2999),0))</f>
        <v>#N/A</v>
      </c>
      <c r="N25" s="3" t="e">
        <f>INDEX('BalSht Data'!H$278:H$2999,MATCH(A25,IF('BalSht Data'!A$278=N$1,'BalSht Data'!G$278:G$2999),0))</f>
        <v>#N/A</v>
      </c>
      <c r="O25" s="3" t="e">
        <f>INDEX('BalSht Data'!H$301:H$2999,MATCH(A25,IF('BalSht Data'!A$301=O$1,'BalSht Data'!G$301:G$2999),0))</f>
        <v>#N/A</v>
      </c>
      <c r="P25" s="3" t="e">
        <f>INDEX('BalSht Data'!H$324:H$2999,MATCH(A25,IF('BalSht Data'!A$324=P$1,'BalSht Data'!G$324:G$2999),0))</f>
        <v>#N/A</v>
      </c>
      <c r="Q25" s="3" t="e">
        <f>INDEX('BalSht Data'!H$347:H$2999,MATCH(A25,IF('BalSht Data'!A$347=Q$1,'BalSht Data'!G$347:G$2999),0))</f>
        <v>#N/A</v>
      </c>
      <c r="R25" s="3" t="e">
        <f>INDEX('BalSht Data'!H$370:H$2999,MATCH(A25,IF('BalSht Data'!A$370=R$1,'BalSht Data'!G$370:G$2999),0))</f>
        <v>#N/A</v>
      </c>
      <c r="S25" s="3" t="e">
        <f>INDEX('BalSht Data'!H$393:H$2999,MATCH(A25,IF('BalSht Data'!A$393=S$1,'BalSht Data'!G$393:G$2999),0))</f>
        <v>#N/A</v>
      </c>
      <c r="T25" s="3" t="e">
        <f>INDEX('BalSht Data'!H$416:H$2999,MATCH(A25,IF('BalSht Data'!A$416=T$1,'BalSht Data'!G$416:G$2999),0))</f>
        <v>#N/A</v>
      </c>
      <c r="U25" s="3" t="e">
        <f>INDEX('BalSht Data'!H$439:H$2999,MATCH(A25,IF('BalSht Data'!A$439=U$1,'BalSht Data'!G$439:G$2999),0))</f>
        <v>#N/A</v>
      </c>
      <c r="V25" s="3" t="e">
        <f>INDEX('BalSht Data'!H$462:H$2999,MATCH(A25,IF('BalSht Data'!A$462=V$1,'BalSht Data'!G$462:G$2999),0))</f>
        <v>#N/A</v>
      </c>
      <c r="W25" s="3" t="e">
        <f>INDEX('BalSht Data'!H$485:H$2999,MATCH(A25,IF('BalSht Data'!A$485=W$1,'BalSht Data'!G$485:G$2999),0))</f>
        <v>#N/A</v>
      </c>
      <c r="X25" s="3" t="e">
        <f>INDEX('BalSht Data'!H$508:H$2999,MATCH(A25,IF('BalSht Data'!A$508=X$1,'BalSht Data'!G$508:G$2999),0))</f>
        <v>#N/A</v>
      </c>
      <c r="Y25" s="3" t="e">
        <f>INDEX('BalSht Data'!H$531:H$2999,MATCH(A25,IF('BalSht Data'!A$531=Y$1,'BalSht Data'!G$531:G$2999),0))</f>
        <v>#N/A</v>
      </c>
      <c r="Z25" s="3" t="e">
        <f>INDEX('BalSht Data'!H$554:H$2999,MATCH(A25,IF('BalSht Data'!A$554=Z$1,'BalSht Data'!G$554:G$2999),0))</f>
        <v>#N/A</v>
      </c>
      <c r="AA25" s="3" t="e">
        <f>INDEX('BalSht Data'!H$577:H$2999,MATCH(A25,IF('BalSht Data'!A$577=AA$1,'BalSht Data'!G$577:G$2999),0))</f>
        <v>#N/A</v>
      </c>
      <c r="AB25" s="3" t="e">
        <f>INDEX('BalSht Data'!H$600:H$2999,MATCH(A25,IF('BalSht Data'!A$600=AB$1,'BalSht Data'!G$600:G$2999),0))</f>
        <v>#N/A</v>
      </c>
      <c r="AC25" s="3" t="e">
        <f>INDEX('BalSht Data'!H$623:H$2999,MATCH(A25,IF('BalSht Data'!A$623=AC$1,'BalSht Data'!G$623:G$2999),0))</f>
        <v>#N/A</v>
      </c>
      <c r="AD25" s="3" t="e">
        <f>INDEX('BalSht Data'!H$646:H$2999,MATCH(A25,IF('BalSht Data'!A$646=AD$1,'BalSht Data'!G$646:G$2999),0))</f>
        <v>#N/A</v>
      </c>
      <c r="AE25" s="3" t="e">
        <f>INDEX('BalSht Data'!H$669:H$2999,MATCH(A25,IF('BalSht Data'!A$669=AE$1,'BalSht Data'!G$669:G$2999),0))</f>
        <v>#N/A</v>
      </c>
      <c r="AF25" s="3" t="e">
        <f>INDEX('BalSht Data'!H$692:H$2999,MATCH(A25,IF('BalSht Data'!A$692=AF$1,'BalSht Data'!G$692:G$2999),0))</f>
        <v>#N/A</v>
      </c>
      <c r="AG25" s="3" t="e">
        <f>INDEX('BalSht Data'!H$715:H$2999,MATCH(A25,IF('BalSht Data'!A$715=AG$1,'BalSht Data'!G$715:G$2999),0))</f>
        <v>#N/A</v>
      </c>
      <c r="AH25" s="3" t="e">
        <f>INDEX('BalSht Data'!H$738:H$2999,MATCH(A25,IF('BalSht Data'!A$738=AH$1,'BalSht Data'!G$738:G$2999),0))</f>
        <v>#N/A</v>
      </c>
      <c r="AI25" s="3" t="e">
        <f>INDEX('BalSht Data'!H$761:H$2999,MATCH(A25,IF('BalSht Data'!A$761=AI$1,'BalSht Data'!G$761:G$2999),0))</f>
        <v>#N/A</v>
      </c>
      <c r="AJ25" s="3" t="e">
        <f>INDEX('BalSht Data'!H$784:H$2999,MATCH(A25,IF('BalSht Data'!A$784=AJ$1,'BalSht Data'!G$784:G$2999),0))</f>
        <v>#N/A</v>
      </c>
    </row>
    <row r="26" spans="1:36" x14ac:dyDescent="0.2">
      <c r="A26" s="5" t="s">
        <v>30</v>
      </c>
      <c r="B26" s="3">
        <f>INDEX('BalSht Data'!H$2:H$2999,MATCH(A26,IF('BalSht Data'!A$2=B$1,'BalSht Data'!G$2:G$2999),0))</f>
        <v>0</v>
      </c>
      <c r="C26" s="3">
        <f>INDEX('BalSht Data'!H$25:H$2999,MATCH(A26,IF('BalSht Data'!A$25=C$1,'BalSht Data'!G$2:G$2999),0))</f>
        <v>999</v>
      </c>
      <c r="D26" s="3">
        <f>INDEX('BalSht Data'!H$48:H$2999,MATCH(A26,IF('BalSht Data'!A$48=D$1,'BalSht Data'!G$48:G$2999),0))</f>
        <v>7878787</v>
      </c>
      <c r="E26" s="3">
        <f>INDEX('BalSht Data'!H$71:H$2999,MATCH(A26,IF('BalSht Data'!A$71=E$1,'BalSht Data'!G$71:G$2999),0))</f>
        <v>36333</v>
      </c>
      <c r="F26" s="3">
        <f>INDEX('BalSht Data'!H$94:H$2999,MATCH(A26,IF('BalSht Data'!A$94=F$1,'BalSht Data'!G$94:G$2999),0))</f>
        <v>88888</v>
      </c>
      <c r="G26" s="3">
        <f>INDEX('BalSht Data'!H$117:H$2999,MATCH(A26,IF('BalSht Data'!A$117=G$1,'BalSht Data'!G$117:G$2999),0))</f>
        <v>22222</v>
      </c>
      <c r="H26" s="3" t="e">
        <f>INDEX('BalSht Data'!H$140:H$2999,MATCH(A26,IF('BalSht Data'!A$140=H$1,'BalSht Data'!G$140:G$2999),0))</f>
        <v>#N/A</v>
      </c>
      <c r="I26" s="3" t="e">
        <f>INDEX('BalSht Data'!H$163:H$2999,MATCH(A26,IF('BalSht Data'!A$163=I$1,'BalSht Data'!G$163:G$2999),0))</f>
        <v>#N/A</v>
      </c>
      <c r="J26" s="3" t="e">
        <f>INDEX('BalSht Data'!H$186:H$2999,MATCH(A26,IF('BalSht Data'!A$186=J$1,'BalSht Data'!G$186:G$2999),0))</f>
        <v>#N/A</v>
      </c>
      <c r="K26" s="3" t="e">
        <f>INDEX('BalSht Data'!H$209:H$2999,MATCH(A26,IF('BalSht Data'!A$209=K$1,'BalSht Data'!G$209:G$2999),0))</f>
        <v>#N/A</v>
      </c>
      <c r="L26" s="3" t="e">
        <f>INDEX('BalSht Data'!H$232:H$2999,MATCH(A26,IF('BalSht Data'!A$232=L$1,'BalSht Data'!G$232:G$2999),0))</f>
        <v>#N/A</v>
      </c>
      <c r="M26" s="3" t="e">
        <f>INDEX('BalSht Data'!H$255:H$2999,MATCH(A26,IF('BalSht Data'!A$255=M$1,'BalSht Data'!G$255:G$2999),0))</f>
        <v>#N/A</v>
      </c>
      <c r="N26" s="3" t="e">
        <f>INDEX('BalSht Data'!H$278:H$2999,MATCH(A26,IF('BalSht Data'!A$278=N$1,'BalSht Data'!G$278:G$2999),0))</f>
        <v>#N/A</v>
      </c>
      <c r="O26" s="3" t="e">
        <f>INDEX('BalSht Data'!H$301:H$2999,MATCH(A26,IF('BalSht Data'!A$301=O$1,'BalSht Data'!G$301:G$2999),0))</f>
        <v>#N/A</v>
      </c>
      <c r="P26" s="3" t="e">
        <f>INDEX('BalSht Data'!H$324:H$2999,MATCH(A26,IF('BalSht Data'!A$324=P$1,'BalSht Data'!G$324:G$2999),0))</f>
        <v>#N/A</v>
      </c>
      <c r="Q26" s="3" t="e">
        <f>INDEX('BalSht Data'!H$347:H$2999,MATCH(A26,IF('BalSht Data'!A$347=Q$1,'BalSht Data'!G$347:G$2999),0))</f>
        <v>#N/A</v>
      </c>
      <c r="R26" s="3" t="e">
        <f>INDEX('BalSht Data'!H$370:H$2999,MATCH(A26,IF('BalSht Data'!A$370=R$1,'BalSht Data'!G$370:G$2999),0))</f>
        <v>#N/A</v>
      </c>
      <c r="S26" s="3" t="e">
        <f>INDEX('BalSht Data'!H$393:H$2999,MATCH(A26,IF('BalSht Data'!A$393=S$1,'BalSht Data'!G$393:G$2999),0))</f>
        <v>#N/A</v>
      </c>
      <c r="T26" s="3" t="e">
        <f>INDEX('BalSht Data'!H$416:H$2999,MATCH(A26,IF('BalSht Data'!A$416=T$1,'BalSht Data'!G$416:G$2999),0))</f>
        <v>#N/A</v>
      </c>
      <c r="U26" s="3" t="e">
        <f>INDEX('BalSht Data'!H$439:H$2999,MATCH(A26,IF('BalSht Data'!A$439=U$1,'BalSht Data'!G$439:G$2999),0))</f>
        <v>#N/A</v>
      </c>
      <c r="V26" s="3" t="e">
        <f>INDEX('BalSht Data'!H$462:H$2999,MATCH(A26,IF('BalSht Data'!A$462=V$1,'BalSht Data'!G$462:G$2999),0))</f>
        <v>#N/A</v>
      </c>
      <c r="W26" s="3" t="e">
        <f>INDEX('BalSht Data'!H$485:H$2999,MATCH(A26,IF('BalSht Data'!A$485=W$1,'BalSht Data'!G$485:G$2999),0))</f>
        <v>#N/A</v>
      </c>
      <c r="X26" s="3" t="e">
        <f>INDEX('BalSht Data'!H$508:H$2999,MATCH(A26,IF('BalSht Data'!A$508=X$1,'BalSht Data'!G$508:G$2999),0))</f>
        <v>#N/A</v>
      </c>
      <c r="Y26" s="3" t="e">
        <f>INDEX('BalSht Data'!H$531:H$2999,MATCH(A26,IF('BalSht Data'!A$531=Y$1,'BalSht Data'!G$531:G$2999),0))</f>
        <v>#N/A</v>
      </c>
      <c r="Z26" s="3" t="e">
        <f>INDEX('BalSht Data'!H$554:H$2999,MATCH(A26,IF('BalSht Data'!A$554=Z$1,'BalSht Data'!G$554:G$2999),0))</f>
        <v>#N/A</v>
      </c>
      <c r="AA26" s="3" t="e">
        <f>INDEX('BalSht Data'!H$577:H$2999,MATCH(A26,IF('BalSht Data'!A$577=AA$1,'BalSht Data'!G$577:G$2999),0))</f>
        <v>#N/A</v>
      </c>
      <c r="AB26" s="3" t="e">
        <f>INDEX('BalSht Data'!H$600:H$2999,MATCH(A26,IF('BalSht Data'!A$600=AB$1,'BalSht Data'!G$600:G$2999),0))</f>
        <v>#N/A</v>
      </c>
      <c r="AC26" s="3" t="e">
        <f>INDEX('BalSht Data'!H$623:H$2999,MATCH(A26,IF('BalSht Data'!A$623=AC$1,'BalSht Data'!G$623:G$2999),0))</f>
        <v>#N/A</v>
      </c>
      <c r="AD26" s="3" t="e">
        <f>INDEX('BalSht Data'!H$646:H$2999,MATCH(A26,IF('BalSht Data'!A$646=AD$1,'BalSht Data'!G$646:G$2999),0))</f>
        <v>#N/A</v>
      </c>
      <c r="AE26" s="3" t="e">
        <f>INDEX('BalSht Data'!H$669:H$2999,MATCH(A26,IF('BalSht Data'!A$669=AE$1,'BalSht Data'!G$669:G$2999),0))</f>
        <v>#N/A</v>
      </c>
      <c r="AF26" s="3" t="e">
        <f>INDEX('BalSht Data'!H$692:H$2999,MATCH(A26,IF('BalSht Data'!A$692=AF$1,'BalSht Data'!G$692:G$2999),0))</f>
        <v>#N/A</v>
      </c>
      <c r="AG26" s="3" t="e">
        <f>INDEX('BalSht Data'!H$715:H$2999,MATCH(A26,IF('BalSht Data'!A$715=AG$1,'BalSht Data'!G$715:G$2999),0))</f>
        <v>#N/A</v>
      </c>
      <c r="AH26" s="3" t="e">
        <f>INDEX('BalSht Data'!H$738:H$2999,MATCH(A26,IF('BalSht Data'!A$738=AH$1,'BalSht Data'!G$738:G$2999),0))</f>
        <v>#N/A</v>
      </c>
      <c r="AI26" s="3" t="e">
        <f>INDEX('BalSht Data'!H$761:H$2999,MATCH(A26,IF('BalSht Data'!A$761=AI$1,'BalSht Data'!G$761:G$2999),0))</f>
        <v>#N/A</v>
      </c>
      <c r="AJ26" s="3" t="e">
        <f>INDEX('BalSht Data'!H$784:H$2999,MATCH(A26,IF('BalSht Data'!A$784=AJ$1,'BalSht Data'!G$784:G$2999),0))</f>
        <v>#N/A</v>
      </c>
    </row>
    <row r="27" spans="1:36" x14ac:dyDescent="0.2">
      <c r="A27" s="5" t="s">
        <v>31</v>
      </c>
      <c r="B27" s="3">
        <f>INDEX('BalSht Data'!H$2:H$2999,MATCH(A27,IF('BalSht Data'!A$2=B$1,'BalSht Data'!G$2:G$2999),0))</f>
        <v>0</v>
      </c>
      <c r="C27" s="3">
        <f>INDEX('BalSht Data'!H$25:H$2999,MATCH(A27,IF('BalSht Data'!A$25=C$1,'BalSht Data'!G$2:G$2999),0))</f>
        <v>999</v>
      </c>
      <c r="D27" s="3">
        <f>INDEX('BalSht Data'!H$48:H$2999,MATCH(A27,IF('BalSht Data'!A$48=D$1,'BalSht Data'!G$48:G$2999),0))</f>
        <v>7878787</v>
      </c>
      <c r="E27" s="3">
        <f>INDEX('BalSht Data'!H$71:H$2999,MATCH(A27,IF('BalSht Data'!A$71=E$1,'BalSht Data'!G$71:G$2999),0))</f>
        <v>36333</v>
      </c>
      <c r="F27" s="3">
        <f>INDEX('BalSht Data'!H$94:H$2999,MATCH(A27,IF('BalSht Data'!A$94=F$1,'BalSht Data'!G$94:G$2999),0))</f>
        <v>88888</v>
      </c>
      <c r="G27" s="3">
        <f>INDEX('BalSht Data'!H$117:H$2999,MATCH(A27,IF('BalSht Data'!A$117=G$1,'BalSht Data'!G$117:G$2999),0))</f>
        <v>22222</v>
      </c>
      <c r="H27" s="3" t="e">
        <f>INDEX('BalSht Data'!H$140:H$2999,MATCH(A27,IF('BalSht Data'!A$140=H$1,'BalSht Data'!G$140:G$2999),0))</f>
        <v>#N/A</v>
      </c>
      <c r="I27" s="3" t="e">
        <f>INDEX('BalSht Data'!H$163:H$2999,MATCH(A27,IF('BalSht Data'!A$163=I$1,'BalSht Data'!G$163:G$2999),0))</f>
        <v>#N/A</v>
      </c>
      <c r="J27" s="3" t="e">
        <f>INDEX('BalSht Data'!H$186:H$2999,MATCH(A27,IF('BalSht Data'!A$186=J$1,'BalSht Data'!G$186:G$2999),0))</f>
        <v>#N/A</v>
      </c>
      <c r="K27" s="3" t="e">
        <f>INDEX('BalSht Data'!H$209:H$2999,MATCH(A27,IF('BalSht Data'!A$209=K$1,'BalSht Data'!G$209:G$2999),0))</f>
        <v>#N/A</v>
      </c>
      <c r="L27" s="3" t="e">
        <f>INDEX('BalSht Data'!H$232:H$2999,MATCH(A27,IF('BalSht Data'!A$232=L$1,'BalSht Data'!G$232:G$2999),0))</f>
        <v>#N/A</v>
      </c>
      <c r="M27" s="3" t="e">
        <f>INDEX('BalSht Data'!H$255:H$2999,MATCH(A27,IF('BalSht Data'!A$255=M$1,'BalSht Data'!G$255:G$2999),0))</f>
        <v>#N/A</v>
      </c>
      <c r="N27" s="3" t="e">
        <f>INDEX('BalSht Data'!H$278:H$2999,MATCH(A27,IF('BalSht Data'!A$278=N$1,'BalSht Data'!G$278:G$2999),0))</f>
        <v>#N/A</v>
      </c>
      <c r="O27" s="3" t="e">
        <f>INDEX('BalSht Data'!H$301:H$2999,MATCH(A27,IF('BalSht Data'!A$301=O$1,'BalSht Data'!G$301:G$2999),0))</f>
        <v>#N/A</v>
      </c>
      <c r="P27" s="3" t="e">
        <f>INDEX('BalSht Data'!H$324:H$2999,MATCH(A27,IF('BalSht Data'!A$324=P$1,'BalSht Data'!G$324:G$2999),0))</f>
        <v>#N/A</v>
      </c>
      <c r="Q27" s="3" t="e">
        <f>INDEX('BalSht Data'!H$347:H$2999,MATCH(A27,IF('BalSht Data'!A$347=Q$1,'BalSht Data'!G$347:G$2999),0))</f>
        <v>#N/A</v>
      </c>
      <c r="R27" s="3" t="e">
        <f>INDEX('BalSht Data'!H$370:H$2999,MATCH(A27,IF('BalSht Data'!A$370=R$1,'BalSht Data'!G$370:G$2999),0))</f>
        <v>#N/A</v>
      </c>
      <c r="S27" s="3" t="e">
        <f>INDEX('BalSht Data'!H$393:H$2999,MATCH(A27,IF('BalSht Data'!A$393=S$1,'BalSht Data'!G$393:G$2999),0))</f>
        <v>#N/A</v>
      </c>
      <c r="T27" s="3" t="e">
        <f>INDEX('BalSht Data'!H$416:H$2999,MATCH(A27,IF('BalSht Data'!A$416=T$1,'BalSht Data'!G$416:G$2999),0))</f>
        <v>#N/A</v>
      </c>
      <c r="U27" s="3" t="e">
        <f>INDEX('BalSht Data'!H$439:H$2999,MATCH(A27,IF('BalSht Data'!A$439=U$1,'BalSht Data'!G$439:G$2999),0))</f>
        <v>#N/A</v>
      </c>
      <c r="V27" s="3" t="e">
        <f>INDEX('BalSht Data'!H$462:H$2999,MATCH(A27,IF('BalSht Data'!A$462=V$1,'BalSht Data'!G$462:G$2999),0))</f>
        <v>#N/A</v>
      </c>
      <c r="W27" s="3" t="e">
        <f>INDEX('BalSht Data'!H$485:H$2999,MATCH(A27,IF('BalSht Data'!A$485=W$1,'BalSht Data'!G$485:G$2999),0))</f>
        <v>#N/A</v>
      </c>
      <c r="X27" s="3" t="e">
        <f>INDEX('BalSht Data'!H$508:H$2999,MATCH(A27,IF('BalSht Data'!A$508=X$1,'BalSht Data'!G$508:G$2999),0))</f>
        <v>#N/A</v>
      </c>
      <c r="Y27" s="3" t="e">
        <f>INDEX('BalSht Data'!H$531:H$2999,MATCH(A27,IF('BalSht Data'!A$531=Y$1,'BalSht Data'!G$531:G$2999),0))</f>
        <v>#N/A</v>
      </c>
      <c r="Z27" s="3" t="e">
        <f>INDEX('BalSht Data'!H$554:H$2999,MATCH(A27,IF('BalSht Data'!A$554=Z$1,'BalSht Data'!G$554:G$2999),0))</f>
        <v>#N/A</v>
      </c>
      <c r="AA27" s="3" t="e">
        <f>INDEX('BalSht Data'!H$577:H$2999,MATCH(A27,IF('BalSht Data'!A$577=AA$1,'BalSht Data'!G$577:G$2999),0))</f>
        <v>#N/A</v>
      </c>
      <c r="AB27" s="3" t="e">
        <f>INDEX('BalSht Data'!H$600:H$2999,MATCH(A27,IF('BalSht Data'!A$600=AB$1,'BalSht Data'!G$600:G$2999),0))</f>
        <v>#N/A</v>
      </c>
      <c r="AC27" s="3" t="e">
        <f>INDEX('BalSht Data'!H$623:H$2999,MATCH(A27,IF('BalSht Data'!A$623=AC$1,'BalSht Data'!G$623:G$2999),0))</f>
        <v>#N/A</v>
      </c>
      <c r="AD27" s="3" t="e">
        <f>INDEX('BalSht Data'!H$646:H$2999,MATCH(A27,IF('BalSht Data'!A$646=AD$1,'BalSht Data'!G$646:G$2999),0))</f>
        <v>#N/A</v>
      </c>
      <c r="AE27" s="3" t="e">
        <f>INDEX('BalSht Data'!H$669:H$2999,MATCH(A27,IF('BalSht Data'!A$669=AE$1,'BalSht Data'!G$669:G$2999),0))</f>
        <v>#N/A</v>
      </c>
      <c r="AF27" s="3" t="e">
        <f>INDEX('BalSht Data'!H$692:H$2999,MATCH(A27,IF('BalSht Data'!A$692=AF$1,'BalSht Data'!G$692:G$2999),0))</f>
        <v>#N/A</v>
      </c>
      <c r="AG27" s="3" t="e">
        <f>INDEX('BalSht Data'!H$715:H$2999,MATCH(A27,IF('BalSht Data'!A$715=AG$1,'BalSht Data'!G$715:G$2999),0))</f>
        <v>#N/A</v>
      </c>
      <c r="AH27" s="3" t="e">
        <f>INDEX('BalSht Data'!H$738:H$2999,MATCH(A27,IF('BalSht Data'!A$738=AH$1,'BalSht Data'!G$738:G$2999),0))</f>
        <v>#N/A</v>
      </c>
      <c r="AI27" s="3" t="e">
        <f>INDEX('BalSht Data'!H$761:H$2999,MATCH(A27,IF('BalSht Data'!A$761=AI$1,'BalSht Data'!G$761:G$2999),0))</f>
        <v>#N/A</v>
      </c>
      <c r="AJ27" s="3" t="e">
        <f>INDEX('BalSht Data'!H$784:H$2999,MATCH(A27,IF('BalSht Data'!A$784=AJ$1,'BalSht Data'!G$784:G$2999),0))</f>
        <v>#N/A</v>
      </c>
    </row>
    <row r="28" spans="1:36" x14ac:dyDescent="0.2">
      <c r="A28" s="5" t="s">
        <v>32</v>
      </c>
      <c r="B28" s="3">
        <f>INDEX('BalSht Data'!H$2:H$2999,MATCH(A28,IF('BalSht Data'!A$2=B$1,'BalSht Data'!G$2:G$2999),0))</f>
        <v>0</v>
      </c>
      <c r="C28" s="3">
        <f>INDEX('BalSht Data'!H$25:H$2999,MATCH(A28,IF('BalSht Data'!A$25=C$1,'BalSht Data'!G$2:G$2999),0))</f>
        <v>999</v>
      </c>
      <c r="D28" s="3">
        <f>INDEX('BalSht Data'!H$48:H$2999,MATCH(A28,IF('BalSht Data'!A$48=D$1,'BalSht Data'!G$48:G$2999),0))</f>
        <v>7878787</v>
      </c>
      <c r="E28" s="3">
        <f>INDEX('BalSht Data'!H$71:H$2999,MATCH(A28,IF('BalSht Data'!A$71=E$1,'BalSht Data'!G$71:G$2999),0))</f>
        <v>36333</v>
      </c>
      <c r="F28" s="3">
        <f>INDEX('BalSht Data'!H$94:H$2999,MATCH(A28,IF('BalSht Data'!A$94=F$1,'BalSht Data'!G$94:G$2999),0))</f>
        <v>88888</v>
      </c>
      <c r="G28" s="3">
        <f>INDEX('BalSht Data'!H$117:H$2999,MATCH(A28,IF('BalSht Data'!A$117=G$1,'BalSht Data'!G$117:G$2999),0))</f>
        <v>22222</v>
      </c>
      <c r="H28" s="3" t="e">
        <f>INDEX('BalSht Data'!H$140:H$2999,MATCH(A28,IF('BalSht Data'!A$140=H$1,'BalSht Data'!G$140:G$2999),0))</f>
        <v>#N/A</v>
      </c>
      <c r="I28" s="3" t="e">
        <f>INDEX('BalSht Data'!H$163:H$2999,MATCH(A28,IF('BalSht Data'!A$163=I$1,'BalSht Data'!G$163:G$2999),0))</f>
        <v>#N/A</v>
      </c>
      <c r="J28" s="3" t="e">
        <f>INDEX('BalSht Data'!H$186:H$2999,MATCH(A28,IF('BalSht Data'!A$186=J$1,'BalSht Data'!G$186:G$2999),0))</f>
        <v>#N/A</v>
      </c>
      <c r="K28" s="3" t="e">
        <f>INDEX('BalSht Data'!H$209:H$2999,MATCH(A28,IF('BalSht Data'!A$209=K$1,'BalSht Data'!G$209:G$2999),0))</f>
        <v>#N/A</v>
      </c>
      <c r="L28" s="3" t="e">
        <f>INDEX('BalSht Data'!H$232:H$2999,MATCH(A28,IF('BalSht Data'!A$232=L$1,'BalSht Data'!G$232:G$2999),0))</f>
        <v>#N/A</v>
      </c>
      <c r="M28" s="3" t="e">
        <f>INDEX('BalSht Data'!H$255:H$2999,MATCH(A28,IF('BalSht Data'!A$255=M$1,'BalSht Data'!G$255:G$2999),0))</f>
        <v>#N/A</v>
      </c>
      <c r="N28" s="3" t="e">
        <f>INDEX('BalSht Data'!H$278:H$2999,MATCH(A28,IF('BalSht Data'!A$278=N$1,'BalSht Data'!G$278:G$2999),0))</f>
        <v>#N/A</v>
      </c>
      <c r="O28" s="3" t="e">
        <f>INDEX('BalSht Data'!H$301:H$2999,MATCH(A28,IF('BalSht Data'!A$301=O$1,'BalSht Data'!G$301:G$2999),0))</f>
        <v>#N/A</v>
      </c>
      <c r="P28" s="3" t="e">
        <f>INDEX('BalSht Data'!H$324:H$2999,MATCH(A28,IF('BalSht Data'!A$324=P$1,'BalSht Data'!G$324:G$2999),0))</f>
        <v>#N/A</v>
      </c>
      <c r="Q28" s="3" t="e">
        <f>INDEX('BalSht Data'!H$347:H$2999,MATCH(A28,IF('BalSht Data'!A$347=Q$1,'BalSht Data'!G$347:G$2999),0))</f>
        <v>#N/A</v>
      </c>
      <c r="R28" s="3" t="e">
        <f>INDEX('BalSht Data'!H$370:H$2999,MATCH(A28,IF('BalSht Data'!A$370=R$1,'BalSht Data'!G$370:G$2999),0))</f>
        <v>#N/A</v>
      </c>
      <c r="S28" s="3" t="e">
        <f>INDEX('BalSht Data'!H$393:H$2999,MATCH(A28,IF('BalSht Data'!A$393=S$1,'BalSht Data'!G$393:G$2999),0))</f>
        <v>#N/A</v>
      </c>
      <c r="T28" s="3" t="e">
        <f>INDEX('BalSht Data'!H$416:H$2999,MATCH(A28,IF('BalSht Data'!A$416=T$1,'BalSht Data'!G$416:G$2999),0))</f>
        <v>#N/A</v>
      </c>
      <c r="U28" s="3" t="e">
        <f>INDEX('BalSht Data'!H$439:H$2999,MATCH(A28,IF('BalSht Data'!A$439=U$1,'BalSht Data'!G$439:G$2999),0))</f>
        <v>#N/A</v>
      </c>
      <c r="V28" s="3" t="e">
        <f>INDEX('BalSht Data'!H$462:H$2999,MATCH(A28,IF('BalSht Data'!A$462=V$1,'BalSht Data'!G$462:G$2999),0))</f>
        <v>#N/A</v>
      </c>
      <c r="W28" s="3" t="e">
        <f>INDEX('BalSht Data'!H$485:H$2999,MATCH(A28,IF('BalSht Data'!A$485=W$1,'BalSht Data'!G$485:G$2999),0))</f>
        <v>#N/A</v>
      </c>
      <c r="X28" s="3" t="e">
        <f>INDEX('BalSht Data'!H$508:H$2999,MATCH(A28,IF('BalSht Data'!A$508=X$1,'BalSht Data'!G$508:G$2999),0))</f>
        <v>#N/A</v>
      </c>
      <c r="Y28" s="3" t="e">
        <f>INDEX('BalSht Data'!H$531:H$2999,MATCH(A28,IF('BalSht Data'!A$531=Y$1,'BalSht Data'!G$531:G$2999),0))</f>
        <v>#N/A</v>
      </c>
      <c r="Z28" s="3" t="e">
        <f>INDEX('BalSht Data'!H$554:H$2999,MATCH(A28,IF('BalSht Data'!A$554=Z$1,'BalSht Data'!G$554:G$2999),0))</f>
        <v>#N/A</v>
      </c>
      <c r="AA28" s="3" t="e">
        <f>INDEX('BalSht Data'!H$577:H$2999,MATCH(A28,IF('BalSht Data'!A$577=AA$1,'BalSht Data'!G$577:G$2999),0))</f>
        <v>#N/A</v>
      </c>
      <c r="AB28" s="3" t="e">
        <f>INDEX('BalSht Data'!H$600:H$2999,MATCH(A28,IF('BalSht Data'!A$600=AB$1,'BalSht Data'!G$600:G$2999),0))</f>
        <v>#N/A</v>
      </c>
      <c r="AC28" s="3" t="e">
        <f>INDEX('BalSht Data'!H$623:H$2999,MATCH(A28,IF('BalSht Data'!A$623=AC$1,'BalSht Data'!G$623:G$2999),0))</f>
        <v>#N/A</v>
      </c>
      <c r="AD28" s="3" t="e">
        <f>INDEX('BalSht Data'!H$646:H$2999,MATCH(A28,IF('BalSht Data'!A$646=AD$1,'BalSht Data'!G$646:G$2999),0))</f>
        <v>#N/A</v>
      </c>
      <c r="AE28" s="3" t="e">
        <f>INDEX('BalSht Data'!H$669:H$2999,MATCH(A28,IF('BalSht Data'!A$669=AE$1,'BalSht Data'!G$669:G$2999),0))</f>
        <v>#N/A</v>
      </c>
      <c r="AF28" s="3" t="e">
        <f>INDEX('BalSht Data'!H$692:H$2999,MATCH(A28,IF('BalSht Data'!A$692=AF$1,'BalSht Data'!G$692:G$2999),0))</f>
        <v>#N/A</v>
      </c>
      <c r="AG28" s="3" t="e">
        <f>INDEX('BalSht Data'!H$715:H$2999,MATCH(A28,IF('BalSht Data'!A$715=AG$1,'BalSht Data'!G$715:G$2999),0))</f>
        <v>#N/A</v>
      </c>
      <c r="AH28" s="3" t="e">
        <f>INDEX('BalSht Data'!H$738:H$2999,MATCH(A28,IF('BalSht Data'!A$738=AH$1,'BalSht Data'!G$738:G$2999),0))</f>
        <v>#N/A</v>
      </c>
      <c r="AI28" s="3" t="e">
        <f>INDEX('BalSht Data'!H$761:H$2999,MATCH(A28,IF('BalSht Data'!A$761=AI$1,'BalSht Data'!G$761:G$2999),0))</f>
        <v>#N/A</v>
      </c>
      <c r="AJ28" s="3" t="e">
        <f>INDEX('BalSht Data'!H$784:H$2999,MATCH(A28,IF('BalSht Data'!A$784=AJ$1,'BalSht Data'!G$784:G$2999),0))</f>
        <v>#N/A</v>
      </c>
    </row>
    <row r="29" spans="1:36" x14ac:dyDescent="0.2">
      <c r="A29" s="5" t="s">
        <v>33</v>
      </c>
      <c r="B29" s="3">
        <f>INDEX('BalSht Data'!H$2:H$2999,MATCH(A29,IF('BalSht Data'!A$2=B$1,'BalSht Data'!G$2:G$2999),0))</f>
        <v>0</v>
      </c>
      <c r="C29" s="3">
        <f>INDEX('BalSht Data'!H$25:H$2999,MATCH(A29,IF('BalSht Data'!A$25=C$1,'BalSht Data'!G$2:G$2999),0))</f>
        <v>999</v>
      </c>
      <c r="D29" s="3">
        <f>INDEX('BalSht Data'!H$48:H$2999,MATCH(A29,IF('BalSht Data'!A$48=D$1,'BalSht Data'!G$48:G$2999),0))</f>
        <v>7878787</v>
      </c>
      <c r="E29" s="3">
        <f>INDEX('BalSht Data'!H$71:H$2999,MATCH(A29,IF('BalSht Data'!A$71=E$1,'BalSht Data'!G$71:G$2999),0))</f>
        <v>36333</v>
      </c>
      <c r="F29" s="3">
        <f>INDEX('BalSht Data'!H$94:H$2999,MATCH(A29,IF('BalSht Data'!A$94=F$1,'BalSht Data'!G$94:G$2999),0))</f>
        <v>88888</v>
      </c>
      <c r="G29" s="3">
        <f>INDEX('BalSht Data'!H$117:H$2999,MATCH(A29,IF('BalSht Data'!A$117=G$1,'BalSht Data'!G$117:G$2999),0))</f>
        <v>22222</v>
      </c>
      <c r="H29" s="3" t="e">
        <f>INDEX('BalSht Data'!H$140:H$2999,MATCH(A29,IF('BalSht Data'!A$140=H$1,'BalSht Data'!G$140:G$2999),0))</f>
        <v>#N/A</v>
      </c>
      <c r="I29" s="3" t="e">
        <f>INDEX('BalSht Data'!H$163:H$2999,MATCH(A29,IF('BalSht Data'!A$163=I$1,'BalSht Data'!G$163:G$2999),0))</f>
        <v>#N/A</v>
      </c>
      <c r="J29" s="3" t="e">
        <f>INDEX('BalSht Data'!H$186:H$2999,MATCH(A29,IF('BalSht Data'!A$186=J$1,'BalSht Data'!G$186:G$2999),0))</f>
        <v>#N/A</v>
      </c>
      <c r="K29" s="3" t="e">
        <f>INDEX('BalSht Data'!H$209:H$2999,MATCH(A29,IF('BalSht Data'!A$209=K$1,'BalSht Data'!G$209:G$2999),0))</f>
        <v>#N/A</v>
      </c>
      <c r="L29" s="3" t="e">
        <f>INDEX('BalSht Data'!H$232:H$2999,MATCH(A29,IF('BalSht Data'!A$232=L$1,'BalSht Data'!G$232:G$2999),0))</f>
        <v>#N/A</v>
      </c>
      <c r="M29" s="3" t="e">
        <f>INDEX('BalSht Data'!H$255:H$2999,MATCH(A29,IF('BalSht Data'!A$255=M$1,'BalSht Data'!G$255:G$2999),0))</f>
        <v>#N/A</v>
      </c>
      <c r="N29" s="3" t="e">
        <f>INDEX('BalSht Data'!H$278:H$2999,MATCH(A29,IF('BalSht Data'!A$278=N$1,'BalSht Data'!G$278:G$2999),0))</f>
        <v>#N/A</v>
      </c>
      <c r="O29" s="3" t="e">
        <f>INDEX('BalSht Data'!H$301:H$2999,MATCH(A29,IF('BalSht Data'!A$301=O$1,'BalSht Data'!G$301:G$2999),0))</f>
        <v>#N/A</v>
      </c>
      <c r="P29" s="3" t="e">
        <f>INDEX('BalSht Data'!H$324:H$2999,MATCH(A29,IF('BalSht Data'!A$324=P$1,'BalSht Data'!G$324:G$2999),0))</f>
        <v>#N/A</v>
      </c>
      <c r="Q29" s="3" t="e">
        <f>INDEX('BalSht Data'!H$347:H$2999,MATCH(A29,IF('BalSht Data'!A$347=Q$1,'BalSht Data'!G$347:G$2999),0))</f>
        <v>#N/A</v>
      </c>
      <c r="R29" s="3" t="e">
        <f>INDEX('BalSht Data'!H$370:H$2999,MATCH(A29,IF('BalSht Data'!A$370=R$1,'BalSht Data'!G$370:G$2999),0))</f>
        <v>#N/A</v>
      </c>
      <c r="S29" s="3" t="e">
        <f>INDEX('BalSht Data'!H$393:H$2999,MATCH(A29,IF('BalSht Data'!A$393=S$1,'BalSht Data'!G$393:G$2999),0))</f>
        <v>#N/A</v>
      </c>
      <c r="T29" s="3" t="e">
        <f>INDEX('BalSht Data'!H$416:H$2999,MATCH(A29,IF('BalSht Data'!A$416=T$1,'BalSht Data'!G$416:G$2999),0))</f>
        <v>#N/A</v>
      </c>
      <c r="U29" s="3" t="e">
        <f>INDEX('BalSht Data'!H$439:H$2999,MATCH(A29,IF('BalSht Data'!A$439=U$1,'BalSht Data'!G$439:G$2999),0))</f>
        <v>#N/A</v>
      </c>
      <c r="V29" s="3" t="e">
        <f>INDEX('BalSht Data'!H$462:H$2999,MATCH(A29,IF('BalSht Data'!A$462=V$1,'BalSht Data'!G$462:G$2999),0))</f>
        <v>#N/A</v>
      </c>
      <c r="W29" s="3" t="e">
        <f>INDEX('BalSht Data'!H$485:H$2999,MATCH(A29,IF('BalSht Data'!A$485=W$1,'BalSht Data'!G$485:G$2999),0))</f>
        <v>#N/A</v>
      </c>
      <c r="X29" s="3" t="e">
        <f>INDEX('BalSht Data'!H$508:H$2999,MATCH(A29,IF('BalSht Data'!A$508=X$1,'BalSht Data'!G$508:G$2999),0))</f>
        <v>#N/A</v>
      </c>
      <c r="Y29" s="3" t="e">
        <f>INDEX('BalSht Data'!H$531:H$2999,MATCH(A29,IF('BalSht Data'!A$531=Y$1,'BalSht Data'!G$531:G$2999),0))</f>
        <v>#N/A</v>
      </c>
      <c r="Z29" s="3" t="e">
        <f>INDEX('BalSht Data'!H$554:H$2999,MATCH(A29,IF('BalSht Data'!A$554=Z$1,'BalSht Data'!G$554:G$2999),0))</f>
        <v>#N/A</v>
      </c>
      <c r="AA29" s="3" t="e">
        <f>INDEX('BalSht Data'!H$577:H$2999,MATCH(A29,IF('BalSht Data'!A$577=AA$1,'BalSht Data'!G$577:G$2999),0))</f>
        <v>#N/A</v>
      </c>
      <c r="AB29" s="3" t="e">
        <f>INDEX('BalSht Data'!H$600:H$2999,MATCH(A29,IF('BalSht Data'!A$600=AB$1,'BalSht Data'!G$600:G$2999),0))</f>
        <v>#N/A</v>
      </c>
      <c r="AC29" s="3" t="e">
        <f>INDEX('BalSht Data'!H$623:H$2999,MATCH(A29,IF('BalSht Data'!A$623=AC$1,'BalSht Data'!G$623:G$2999),0))</f>
        <v>#N/A</v>
      </c>
      <c r="AD29" s="3" t="e">
        <f>INDEX('BalSht Data'!H$646:H$2999,MATCH(A29,IF('BalSht Data'!A$646=AD$1,'BalSht Data'!G$646:G$2999),0))</f>
        <v>#N/A</v>
      </c>
      <c r="AE29" s="3" t="e">
        <f>INDEX('BalSht Data'!H$669:H$2999,MATCH(A29,IF('BalSht Data'!A$669=AE$1,'BalSht Data'!G$669:G$2999),0))</f>
        <v>#N/A</v>
      </c>
      <c r="AF29" s="3" t="e">
        <f>INDEX('BalSht Data'!H$692:H$2999,MATCH(A29,IF('BalSht Data'!A$692=AF$1,'BalSht Data'!G$692:G$2999),0))</f>
        <v>#N/A</v>
      </c>
      <c r="AG29" s="3" t="e">
        <f>INDEX('BalSht Data'!H$715:H$2999,MATCH(A29,IF('BalSht Data'!A$715=AG$1,'BalSht Data'!G$715:G$2999),0))</f>
        <v>#N/A</v>
      </c>
      <c r="AH29" s="3" t="e">
        <f>INDEX('BalSht Data'!H$738:H$2999,MATCH(A29,IF('BalSht Data'!A$738=AH$1,'BalSht Data'!G$738:G$2999),0))</f>
        <v>#N/A</v>
      </c>
      <c r="AI29" s="3" t="e">
        <f>INDEX('BalSht Data'!H$761:H$2999,MATCH(A29,IF('BalSht Data'!A$761=AI$1,'BalSht Data'!G$761:G$2999),0))</f>
        <v>#N/A</v>
      </c>
      <c r="AJ29" s="3" t="e">
        <f>INDEX('BalSht Data'!H$784:H$2999,MATCH(A29,IF('BalSht Data'!A$784=AJ$1,'BalSht Data'!G$784:G$2999),0))</f>
        <v>#N/A</v>
      </c>
    </row>
    <row r="30" spans="1:36" x14ac:dyDescent="0.2">
      <c r="A30" s="5" t="s">
        <v>34</v>
      </c>
      <c r="B30" s="3">
        <f>INDEX('BalSht Data'!H$2:H$2999,MATCH(A30,IF('BalSht Data'!A$2=B$1,'BalSht Data'!G$2:G$2999),0))</f>
        <v>0</v>
      </c>
      <c r="C30" s="3">
        <f>INDEX('BalSht Data'!H$25:H$2999,MATCH(A30,IF('BalSht Data'!A$25=C$1,'BalSht Data'!G$2:G$2999),0))</f>
        <v>999</v>
      </c>
      <c r="D30" s="3">
        <f>INDEX('BalSht Data'!H$48:H$2999,MATCH(A30,IF('BalSht Data'!A$48=D$1,'BalSht Data'!G$48:G$2999),0))</f>
        <v>7878787</v>
      </c>
      <c r="E30" s="3">
        <f>INDEX('BalSht Data'!H$71:H$2999,MATCH(A30,IF('BalSht Data'!A$71=E$1,'BalSht Data'!G$71:G$2999),0))</f>
        <v>36333</v>
      </c>
      <c r="F30" s="3">
        <f>INDEX('BalSht Data'!H$94:H$2999,MATCH(A30,IF('BalSht Data'!A$94=F$1,'BalSht Data'!G$94:G$2999),0))</f>
        <v>88888</v>
      </c>
      <c r="G30" s="3">
        <f>INDEX('BalSht Data'!H$117:H$2999,MATCH(A30,IF('BalSht Data'!A$117=G$1,'BalSht Data'!G$117:G$2999),0))</f>
        <v>22222</v>
      </c>
      <c r="H30" s="3" t="e">
        <f>INDEX('BalSht Data'!H$140:H$2999,MATCH(A30,IF('BalSht Data'!A$140=H$1,'BalSht Data'!G$140:G$2999),0))</f>
        <v>#N/A</v>
      </c>
      <c r="I30" s="3" t="e">
        <f>INDEX('BalSht Data'!H$163:H$2999,MATCH(A30,IF('BalSht Data'!A$163=I$1,'BalSht Data'!G$163:G$2999),0))</f>
        <v>#N/A</v>
      </c>
      <c r="J30" s="3" t="e">
        <f>INDEX('BalSht Data'!H$186:H$2999,MATCH(A30,IF('BalSht Data'!A$186=J$1,'BalSht Data'!G$186:G$2999),0))</f>
        <v>#N/A</v>
      </c>
      <c r="K30" s="3" t="e">
        <f>INDEX('BalSht Data'!H$209:H$2999,MATCH(A30,IF('BalSht Data'!A$209=K$1,'BalSht Data'!G$209:G$2999),0))</f>
        <v>#N/A</v>
      </c>
      <c r="L30" s="3" t="e">
        <f>INDEX('BalSht Data'!H$232:H$2999,MATCH(A30,IF('BalSht Data'!A$232=L$1,'BalSht Data'!G$232:G$2999),0))</f>
        <v>#N/A</v>
      </c>
      <c r="M30" s="3" t="e">
        <f>INDEX('BalSht Data'!H$255:H$2999,MATCH(A30,IF('BalSht Data'!A$255=M$1,'BalSht Data'!G$255:G$2999),0))</f>
        <v>#N/A</v>
      </c>
      <c r="N30" s="3" t="e">
        <f>INDEX('BalSht Data'!H$278:H$2999,MATCH(A30,IF('BalSht Data'!A$278=N$1,'BalSht Data'!G$278:G$2999),0))</f>
        <v>#N/A</v>
      </c>
      <c r="O30" s="3" t="e">
        <f>INDEX('BalSht Data'!H$301:H$2999,MATCH(A30,IF('BalSht Data'!A$301=O$1,'BalSht Data'!G$301:G$2999),0))</f>
        <v>#N/A</v>
      </c>
      <c r="P30" s="3" t="e">
        <f>INDEX('BalSht Data'!H$324:H$2999,MATCH(A30,IF('BalSht Data'!A$324=P$1,'BalSht Data'!G$324:G$2999),0))</f>
        <v>#N/A</v>
      </c>
      <c r="Q30" s="3" t="e">
        <f>INDEX('BalSht Data'!H$347:H$2999,MATCH(A30,IF('BalSht Data'!A$347=Q$1,'BalSht Data'!G$347:G$2999),0))</f>
        <v>#N/A</v>
      </c>
      <c r="R30" s="3" t="e">
        <f>INDEX('BalSht Data'!H$370:H$2999,MATCH(A30,IF('BalSht Data'!A$370=R$1,'BalSht Data'!G$370:G$2999),0))</f>
        <v>#N/A</v>
      </c>
      <c r="S30" s="3" t="e">
        <f>INDEX('BalSht Data'!H$393:H$2999,MATCH(A30,IF('BalSht Data'!A$393=S$1,'BalSht Data'!G$393:G$2999),0))</f>
        <v>#N/A</v>
      </c>
      <c r="T30" s="3" t="e">
        <f>INDEX('BalSht Data'!H$416:H$2999,MATCH(A30,IF('BalSht Data'!A$416=T$1,'BalSht Data'!G$416:G$2999),0))</f>
        <v>#N/A</v>
      </c>
      <c r="U30" s="3" t="e">
        <f>INDEX('BalSht Data'!H$439:H$2999,MATCH(A30,IF('BalSht Data'!A$439=U$1,'BalSht Data'!G$439:G$2999),0))</f>
        <v>#N/A</v>
      </c>
      <c r="V30" s="3" t="e">
        <f>INDEX('BalSht Data'!H$462:H$2999,MATCH(A30,IF('BalSht Data'!A$462=V$1,'BalSht Data'!G$462:G$2999),0))</f>
        <v>#N/A</v>
      </c>
      <c r="W30" s="3" t="e">
        <f>INDEX('BalSht Data'!H$485:H$2999,MATCH(A30,IF('BalSht Data'!A$485=W$1,'BalSht Data'!G$485:G$2999),0))</f>
        <v>#N/A</v>
      </c>
      <c r="X30" s="3" t="e">
        <f>INDEX('BalSht Data'!H$508:H$2999,MATCH(A30,IF('BalSht Data'!A$508=X$1,'BalSht Data'!G$508:G$2999),0))</f>
        <v>#N/A</v>
      </c>
      <c r="Y30" s="3" t="e">
        <f>INDEX('BalSht Data'!H$531:H$2999,MATCH(A30,IF('BalSht Data'!A$531=Y$1,'BalSht Data'!G$531:G$2999),0))</f>
        <v>#N/A</v>
      </c>
      <c r="Z30" s="3" t="e">
        <f>INDEX('BalSht Data'!H$554:H$2999,MATCH(A30,IF('BalSht Data'!A$554=Z$1,'BalSht Data'!G$554:G$2999),0))</f>
        <v>#N/A</v>
      </c>
      <c r="AA30" s="3" t="e">
        <f>INDEX('BalSht Data'!H$577:H$2999,MATCH(A30,IF('BalSht Data'!A$577=AA$1,'BalSht Data'!G$577:G$2999),0))</f>
        <v>#N/A</v>
      </c>
      <c r="AB30" s="3" t="e">
        <f>INDEX('BalSht Data'!H$600:H$2999,MATCH(A30,IF('BalSht Data'!A$600=AB$1,'BalSht Data'!G$600:G$2999),0))</f>
        <v>#N/A</v>
      </c>
      <c r="AC30" s="3" t="e">
        <f>INDEX('BalSht Data'!H$623:H$2999,MATCH(A30,IF('BalSht Data'!A$623=AC$1,'BalSht Data'!G$623:G$2999),0))</f>
        <v>#N/A</v>
      </c>
      <c r="AD30" s="3" t="e">
        <f>INDEX('BalSht Data'!H$646:H$2999,MATCH(A30,IF('BalSht Data'!A$646=AD$1,'BalSht Data'!G$646:G$2999),0))</f>
        <v>#N/A</v>
      </c>
      <c r="AE30" s="3" t="e">
        <f>INDEX('BalSht Data'!H$669:H$2999,MATCH(A30,IF('BalSht Data'!A$669=AE$1,'BalSht Data'!G$669:G$2999),0))</f>
        <v>#N/A</v>
      </c>
      <c r="AF30" s="3" t="e">
        <f>INDEX('BalSht Data'!H$692:H$2999,MATCH(A30,IF('BalSht Data'!A$692=AF$1,'BalSht Data'!G$692:G$2999),0))</f>
        <v>#N/A</v>
      </c>
      <c r="AG30" s="3" t="e">
        <f>INDEX('BalSht Data'!H$715:H$2999,MATCH(A30,IF('BalSht Data'!A$715=AG$1,'BalSht Data'!G$715:G$2999),0))</f>
        <v>#N/A</v>
      </c>
      <c r="AH30" s="3" t="e">
        <f>INDEX('BalSht Data'!H$738:H$2999,MATCH(A30,IF('BalSht Data'!A$738=AH$1,'BalSht Data'!G$738:G$2999),0))</f>
        <v>#N/A</v>
      </c>
      <c r="AI30" s="3" t="e">
        <f>INDEX('BalSht Data'!H$761:H$2999,MATCH(A30,IF('BalSht Data'!A$761=AI$1,'BalSht Data'!G$761:G$2999),0))</f>
        <v>#N/A</v>
      </c>
      <c r="AJ30" s="3" t="e">
        <f>INDEX('BalSht Data'!H$784:H$2999,MATCH(A30,IF('BalSht Data'!A$784=AJ$1,'BalSht Data'!G$784:G$2999),0))</f>
        <v>#N/A</v>
      </c>
    </row>
    <row r="31" spans="1:36" x14ac:dyDescent="0.2">
      <c r="A31" s="5" t="s">
        <v>35</v>
      </c>
      <c r="B31" s="3">
        <f>INDEX('BalSht Data'!H$2:H$2999,MATCH(A31,IF('BalSht Data'!A$2=B$1,'BalSht Data'!G$2:G$2999),0))</f>
        <v>0</v>
      </c>
      <c r="C31" s="3">
        <f>INDEX('BalSht Data'!H$25:H$2999,MATCH(A31,IF('BalSht Data'!A$25=C$1,'BalSht Data'!G$2:G$2999),0))</f>
        <v>999</v>
      </c>
      <c r="D31" s="3">
        <f>INDEX('BalSht Data'!H$48:H$2999,MATCH(A31,IF('BalSht Data'!A$48=D$1,'BalSht Data'!G$48:G$2999),0))</f>
        <v>7878787</v>
      </c>
      <c r="E31" s="3">
        <f>INDEX('BalSht Data'!H$71:H$2999,MATCH(A31,IF('BalSht Data'!A$71=E$1,'BalSht Data'!G$71:G$2999),0))</f>
        <v>36333</v>
      </c>
      <c r="F31" s="3">
        <f>INDEX('BalSht Data'!H$94:H$2999,MATCH(A31,IF('BalSht Data'!A$94=F$1,'BalSht Data'!G$94:G$2999),0))</f>
        <v>88888</v>
      </c>
      <c r="G31" s="3">
        <f>INDEX('BalSht Data'!H$117:H$2999,MATCH(A31,IF('BalSht Data'!A$117=G$1,'BalSht Data'!G$117:G$2999),0))</f>
        <v>22222</v>
      </c>
      <c r="H31" s="3" t="e">
        <f>INDEX('BalSht Data'!H$140:H$2999,MATCH(A31,IF('BalSht Data'!A$140=H$1,'BalSht Data'!G$140:G$2999),0))</f>
        <v>#N/A</v>
      </c>
      <c r="I31" s="3" t="e">
        <f>INDEX('BalSht Data'!H$163:H$2999,MATCH(A31,IF('BalSht Data'!A$163=I$1,'BalSht Data'!G$163:G$2999),0))</f>
        <v>#N/A</v>
      </c>
      <c r="J31" s="3" t="e">
        <f>INDEX('BalSht Data'!H$186:H$2999,MATCH(A31,IF('BalSht Data'!A$186=J$1,'BalSht Data'!G$186:G$2999),0))</f>
        <v>#N/A</v>
      </c>
      <c r="K31" s="3" t="e">
        <f>INDEX('BalSht Data'!H$209:H$2999,MATCH(A31,IF('BalSht Data'!A$209=K$1,'BalSht Data'!G$209:G$2999),0))</f>
        <v>#N/A</v>
      </c>
      <c r="L31" s="3" t="e">
        <f>INDEX('BalSht Data'!H$232:H$2999,MATCH(A31,IF('BalSht Data'!A$232=L$1,'BalSht Data'!G$232:G$2999),0))</f>
        <v>#N/A</v>
      </c>
      <c r="M31" s="3" t="e">
        <f>INDEX('BalSht Data'!H$255:H$2999,MATCH(A31,IF('BalSht Data'!A$255=M$1,'BalSht Data'!G$255:G$2999),0))</f>
        <v>#N/A</v>
      </c>
      <c r="N31" s="3" t="e">
        <f>INDEX('BalSht Data'!H$278:H$2999,MATCH(A31,IF('BalSht Data'!A$278=N$1,'BalSht Data'!G$278:G$2999),0))</f>
        <v>#N/A</v>
      </c>
      <c r="O31" s="3" t="e">
        <f>INDEX('BalSht Data'!H$301:H$2999,MATCH(A31,IF('BalSht Data'!A$301=O$1,'BalSht Data'!G$301:G$2999),0))</f>
        <v>#N/A</v>
      </c>
      <c r="P31" s="3" t="e">
        <f>INDEX('BalSht Data'!H$324:H$2999,MATCH(A31,IF('BalSht Data'!A$324=P$1,'BalSht Data'!G$324:G$2999),0))</f>
        <v>#N/A</v>
      </c>
      <c r="Q31" s="3" t="e">
        <f>INDEX('BalSht Data'!H$347:H$2999,MATCH(A31,IF('BalSht Data'!A$347=Q$1,'BalSht Data'!G$347:G$2999),0))</f>
        <v>#N/A</v>
      </c>
      <c r="R31" s="3" t="e">
        <f>INDEX('BalSht Data'!H$370:H$2999,MATCH(A31,IF('BalSht Data'!A$370=R$1,'BalSht Data'!G$370:G$2999),0))</f>
        <v>#N/A</v>
      </c>
      <c r="S31" s="3" t="e">
        <f>INDEX('BalSht Data'!H$393:H$2999,MATCH(A31,IF('BalSht Data'!A$393=S$1,'BalSht Data'!G$393:G$2999),0))</f>
        <v>#N/A</v>
      </c>
      <c r="T31" s="3" t="e">
        <f>INDEX('BalSht Data'!H$416:H$2999,MATCH(A31,IF('BalSht Data'!A$416=T$1,'BalSht Data'!G$416:G$2999),0))</f>
        <v>#N/A</v>
      </c>
      <c r="U31" s="3" t="e">
        <f>INDEX('BalSht Data'!H$439:H$2999,MATCH(A31,IF('BalSht Data'!A$439=U$1,'BalSht Data'!G$439:G$2999),0))</f>
        <v>#N/A</v>
      </c>
      <c r="V31" s="3" t="e">
        <f>INDEX('BalSht Data'!H$462:H$2999,MATCH(A31,IF('BalSht Data'!A$462=V$1,'BalSht Data'!G$462:G$2999),0))</f>
        <v>#N/A</v>
      </c>
      <c r="W31" s="3" t="e">
        <f>INDEX('BalSht Data'!H$485:H$2999,MATCH(A31,IF('BalSht Data'!A$485=W$1,'BalSht Data'!G$485:G$2999),0))</f>
        <v>#N/A</v>
      </c>
      <c r="X31" s="3" t="e">
        <f>INDEX('BalSht Data'!H$508:H$2999,MATCH(A31,IF('BalSht Data'!A$508=X$1,'BalSht Data'!G$508:G$2999),0))</f>
        <v>#N/A</v>
      </c>
      <c r="Y31" s="3" t="e">
        <f>INDEX('BalSht Data'!H$531:H$2999,MATCH(A31,IF('BalSht Data'!A$531=Y$1,'BalSht Data'!G$531:G$2999),0))</f>
        <v>#N/A</v>
      </c>
      <c r="Z31" s="3" t="e">
        <f>INDEX('BalSht Data'!H$554:H$2999,MATCH(A31,IF('BalSht Data'!A$554=Z$1,'BalSht Data'!G$554:G$2999),0))</f>
        <v>#N/A</v>
      </c>
      <c r="AA31" s="3" t="e">
        <f>INDEX('BalSht Data'!H$577:H$2999,MATCH(A31,IF('BalSht Data'!A$577=AA$1,'BalSht Data'!G$577:G$2999),0))</f>
        <v>#N/A</v>
      </c>
      <c r="AB31" s="3" t="e">
        <f>INDEX('BalSht Data'!H$600:H$2999,MATCH(A31,IF('BalSht Data'!A$600=AB$1,'BalSht Data'!G$600:G$2999),0))</f>
        <v>#N/A</v>
      </c>
      <c r="AC31" s="3" t="e">
        <f>INDEX('BalSht Data'!H$623:H$2999,MATCH(A31,IF('BalSht Data'!A$623=AC$1,'BalSht Data'!G$623:G$2999),0))</f>
        <v>#N/A</v>
      </c>
      <c r="AD31" s="3" t="e">
        <f>INDEX('BalSht Data'!H$646:H$2999,MATCH(A31,IF('BalSht Data'!A$646=AD$1,'BalSht Data'!G$646:G$2999),0))</f>
        <v>#N/A</v>
      </c>
      <c r="AE31" s="3" t="e">
        <f>INDEX('BalSht Data'!H$669:H$2999,MATCH(A31,IF('BalSht Data'!A$669=AE$1,'BalSht Data'!G$669:G$2999),0))</f>
        <v>#N/A</v>
      </c>
      <c r="AF31" s="3" t="e">
        <f>INDEX('BalSht Data'!H$692:H$2999,MATCH(A31,IF('BalSht Data'!A$692=AF$1,'BalSht Data'!G$692:G$2999),0))</f>
        <v>#N/A</v>
      </c>
      <c r="AG31" s="3" t="e">
        <f>INDEX('BalSht Data'!H$715:H$2999,MATCH(A31,IF('BalSht Data'!A$715=AG$1,'BalSht Data'!G$715:G$2999),0))</f>
        <v>#N/A</v>
      </c>
      <c r="AH31" s="3" t="e">
        <f>INDEX('BalSht Data'!H$738:H$2999,MATCH(A31,IF('BalSht Data'!A$738=AH$1,'BalSht Data'!G$738:G$2999),0))</f>
        <v>#N/A</v>
      </c>
      <c r="AI31" s="3" t="e">
        <f>INDEX('BalSht Data'!H$761:H$2999,MATCH(A31,IF('BalSht Data'!A$761=AI$1,'BalSht Data'!G$761:G$2999),0))</f>
        <v>#N/A</v>
      </c>
      <c r="AJ31" s="3" t="e">
        <f>INDEX('BalSht Data'!H$784:H$2999,MATCH(A31,IF('BalSht Data'!A$784=AJ$1,'BalSht Data'!G$784:G$2999),0))</f>
        <v>#N/A</v>
      </c>
    </row>
    <row r="32" spans="1:36" x14ac:dyDescent="0.2">
      <c r="A32" s="5" t="s">
        <v>36</v>
      </c>
      <c r="B32" s="3">
        <f>INDEX('BalSht Data'!H$2:H$2999,MATCH(A32,IF('BalSht Data'!A$2=B$1,'BalSht Data'!G$2:G$2999),0))</f>
        <v>0</v>
      </c>
      <c r="C32" s="3">
        <f>INDEX('BalSht Data'!H$25:H$2999,MATCH(A32,IF('BalSht Data'!A$25=C$1,'BalSht Data'!G$2:G$2999),0))</f>
        <v>999</v>
      </c>
      <c r="D32" s="3">
        <f>INDEX('BalSht Data'!H$48:H$2999,MATCH(A32,IF('BalSht Data'!A$48=D$1,'BalSht Data'!G$48:G$2999),0))</f>
        <v>7878787</v>
      </c>
      <c r="E32" s="3">
        <f>INDEX('BalSht Data'!H$71:H$2999,MATCH(A32,IF('BalSht Data'!A$71=E$1,'BalSht Data'!G$71:G$2999),0))</f>
        <v>36333</v>
      </c>
      <c r="F32" s="3">
        <f>INDEX('BalSht Data'!H$94:H$2999,MATCH(A32,IF('BalSht Data'!A$94=F$1,'BalSht Data'!G$94:G$2999),0))</f>
        <v>88888</v>
      </c>
      <c r="G32" s="3">
        <f>INDEX('BalSht Data'!H$117:H$2999,MATCH(A32,IF('BalSht Data'!A$117=G$1,'BalSht Data'!G$117:G$2999),0))</f>
        <v>22222</v>
      </c>
      <c r="H32" s="3" t="e">
        <f>INDEX('BalSht Data'!H$140:H$2999,MATCH(A32,IF('BalSht Data'!A$140=H$1,'BalSht Data'!G$140:G$2999),0))</f>
        <v>#N/A</v>
      </c>
      <c r="I32" s="3" t="e">
        <f>INDEX('BalSht Data'!H$163:H$2999,MATCH(A32,IF('BalSht Data'!A$163=I$1,'BalSht Data'!G$163:G$2999),0))</f>
        <v>#N/A</v>
      </c>
      <c r="J32" s="3" t="e">
        <f>INDEX('BalSht Data'!H$186:H$2999,MATCH(A32,IF('BalSht Data'!A$186=J$1,'BalSht Data'!G$186:G$2999),0))</f>
        <v>#N/A</v>
      </c>
      <c r="K32" s="3" t="e">
        <f>INDEX('BalSht Data'!H$209:H$2999,MATCH(A32,IF('BalSht Data'!A$209=K$1,'BalSht Data'!G$209:G$2999),0))</f>
        <v>#N/A</v>
      </c>
      <c r="L32" s="3" t="e">
        <f>INDEX('BalSht Data'!H$232:H$2999,MATCH(A32,IF('BalSht Data'!A$232=L$1,'BalSht Data'!G$232:G$2999),0))</f>
        <v>#N/A</v>
      </c>
      <c r="M32" s="3" t="e">
        <f>INDEX('BalSht Data'!H$255:H$2999,MATCH(A32,IF('BalSht Data'!A$255=M$1,'BalSht Data'!G$255:G$2999),0))</f>
        <v>#N/A</v>
      </c>
      <c r="N32" s="3" t="e">
        <f>INDEX('BalSht Data'!H$278:H$2999,MATCH(A32,IF('BalSht Data'!A$278=N$1,'BalSht Data'!G$278:G$2999),0))</f>
        <v>#N/A</v>
      </c>
      <c r="O32" s="3" t="e">
        <f>INDEX('BalSht Data'!H$301:H$2999,MATCH(A32,IF('BalSht Data'!A$301=O$1,'BalSht Data'!G$301:G$2999),0))</f>
        <v>#N/A</v>
      </c>
      <c r="P32" s="3" t="e">
        <f>INDEX('BalSht Data'!H$324:H$2999,MATCH(A32,IF('BalSht Data'!A$324=P$1,'BalSht Data'!G$324:G$2999),0))</f>
        <v>#N/A</v>
      </c>
      <c r="Q32" s="3" t="e">
        <f>INDEX('BalSht Data'!H$347:H$2999,MATCH(A32,IF('BalSht Data'!A$347=Q$1,'BalSht Data'!G$347:G$2999),0))</f>
        <v>#N/A</v>
      </c>
      <c r="R32" s="3" t="e">
        <f>INDEX('BalSht Data'!H$370:H$2999,MATCH(A32,IF('BalSht Data'!A$370=R$1,'BalSht Data'!G$370:G$2999),0))</f>
        <v>#N/A</v>
      </c>
      <c r="S32" s="3" t="e">
        <f>INDEX('BalSht Data'!H$393:H$2999,MATCH(A32,IF('BalSht Data'!A$393=S$1,'BalSht Data'!G$393:G$2999),0))</f>
        <v>#N/A</v>
      </c>
      <c r="T32" s="3" t="e">
        <f>INDEX('BalSht Data'!H$416:H$2999,MATCH(A32,IF('BalSht Data'!A$416=T$1,'BalSht Data'!G$416:G$2999),0))</f>
        <v>#N/A</v>
      </c>
      <c r="U32" s="3" t="e">
        <f>INDEX('BalSht Data'!H$439:H$2999,MATCH(A32,IF('BalSht Data'!A$439=U$1,'BalSht Data'!G$439:G$2999),0))</f>
        <v>#N/A</v>
      </c>
      <c r="V32" s="3" t="e">
        <f>INDEX('BalSht Data'!H$462:H$2999,MATCH(A32,IF('BalSht Data'!A$462=V$1,'BalSht Data'!G$462:G$2999),0))</f>
        <v>#N/A</v>
      </c>
      <c r="W32" s="3" t="e">
        <f>INDEX('BalSht Data'!H$485:H$2999,MATCH(A32,IF('BalSht Data'!A$485=W$1,'BalSht Data'!G$485:G$2999),0))</f>
        <v>#N/A</v>
      </c>
      <c r="X32" s="3" t="e">
        <f>INDEX('BalSht Data'!H$508:H$2999,MATCH(A32,IF('BalSht Data'!A$508=X$1,'BalSht Data'!G$508:G$2999),0))</f>
        <v>#N/A</v>
      </c>
      <c r="Y32" s="3" t="e">
        <f>INDEX('BalSht Data'!H$531:H$2999,MATCH(A32,IF('BalSht Data'!A$531=Y$1,'BalSht Data'!G$531:G$2999),0))</f>
        <v>#N/A</v>
      </c>
      <c r="Z32" s="3" t="e">
        <f>INDEX('BalSht Data'!H$554:H$2999,MATCH(A32,IF('BalSht Data'!A$554=Z$1,'BalSht Data'!G$554:G$2999),0))</f>
        <v>#N/A</v>
      </c>
      <c r="AA32" s="3" t="e">
        <f>INDEX('BalSht Data'!H$577:H$2999,MATCH(A32,IF('BalSht Data'!A$577=AA$1,'BalSht Data'!G$577:G$2999),0))</f>
        <v>#N/A</v>
      </c>
      <c r="AB32" s="3" t="e">
        <f>INDEX('BalSht Data'!H$600:H$2999,MATCH(A32,IF('BalSht Data'!A$600=AB$1,'BalSht Data'!G$600:G$2999),0))</f>
        <v>#N/A</v>
      </c>
      <c r="AC32" s="3" t="e">
        <f>INDEX('BalSht Data'!H$623:H$2999,MATCH(A32,IF('BalSht Data'!A$623=AC$1,'BalSht Data'!G$623:G$2999),0))</f>
        <v>#N/A</v>
      </c>
      <c r="AD32" s="3" t="e">
        <f>INDEX('BalSht Data'!H$646:H$2999,MATCH(A32,IF('BalSht Data'!A$646=AD$1,'BalSht Data'!G$646:G$2999),0))</f>
        <v>#N/A</v>
      </c>
      <c r="AE32" s="3" t="e">
        <f>INDEX('BalSht Data'!H$669:H$2999,MATCH(A32,IF('BalSht Data'!A$669=AE$1,'BalSht Data'!G$669:G$2999),0))</f>
        <v>#N/A</v>
      </c>
      <c r="AF32" s="3" t="e">
        <f>INDEX('BalSht Data'!H$692:H$2999,MATCH(A32,IF('BalSht Data'!A$692=AF$1,'BalSht Data'!G$692:G$2999),0))</f>
        <v>#N/A</v>
      </c>
      <c r="AG32" s="3" t="e">
        <f>INDEX('BalSht Data'!H$715:H$2999,MATCH(A32,IF('BalSht Data'!A$715=AG$1,'BalSht Data'!G$715:G$2999),0))</f>
        <v>#N/A</v>
      </c>
      <c r="AH32" s="3" t="e">
        <f>INDEX('BalSht Data'!H$738:H$2999,MATCH(A32,IF('BalSht Data'!A$738=AH$1,'BalSht Data'!G$738:G$2999),0))</f>
        <v>#N/A</v>
      </c>
      <c r="AI32" s="3" t="e">
        <f>INDEX('BalSht Data'!H$761:H$2999,MATCH(A32,IF('BalSht Data'!A$761=AI$1,'BalSht Data'!G$761:G$2999),0))</f>
        <v>#N/A</v>
      </c>
      <c r="AJ32" s="3" t="e">
        <f>INDEX('BalSht Data'!H$784:H$2999,MATCH(A32,IF('BalSht Data'!A$784=AJ$1,'BalSht Data'!G$784:G$2999),0))</f>
        <v>#N/A</v>
      </c>
    </row>
    <row r="33" spans="1:36" x14ac:dyDescent="0.2">
      <c r="A33" s="5" t="s">
        <v>37</v>
      </c>
      <c r="B33" s="3">
        <f>INDEX('BalSht Data'!H$2:H$2999,MATCH(A33,IF('BalSht Data'!A$2=B$1,'BalSht Data'!G$2:G$2999),0))</f>
        <v>0</v>
      </c>
      <c r="C33" s="3">
        <f>INDEX('BalSht Data'!H$25:H$2999,MATCH(A33,IF('BalSht Data'!A$25=C$1,'BalSht Data'!G$2:G$2999),0))</f>
        <v>999</v>
      </c>
      <c r="D33" s="3">
        <f>INDEX('BalSht Data'!H$48:H$2999,MATCH(A33,IF('BalSht Data'!A$48=D$1,'BalSht Data'!G$48:G$2999),0))</f>
        <v>7878787</v>
      </c>
      <c r="E33" s="3">
        <f>INDEX('BalSht Data'!H$71:H$2999,MATCH(A33,IF('BalSht Data'!A$71=E$1,'BalSht Data'!G$71:G$2999),0))</f>
        <v>36333</v>
      </c>
      <c r="F33" s="3">
        <f>INDEX('BalSht Data'!H$94:H$2999,MATCH(A33,IF('BalSht Data'!A$94=F$1,'BalSht Data'!G$94:G$2999),0))</f>
        <v>88888</v>
      </c>
      <c r="G33" s="3">
        <f>INDEX('BalSht Data'!H$117:H$2999,MATCH(A33,IF('BalSht Data'!A$117=G$1,'BalSht Data'!G$117:G$2999),0))</f>
        <v>22222</v>
      </c>
      <c r="H33" s="3" t="e">
        <f>INDEX('BalSht Data'!H$140:H$2999,MATCH(A33,IF('BalSht Data'!A$140=H$1,'BalSht Data'!G$140:G$2999),0))</f>
        <v>#N/A</v>
      </c>
      <c r="I33" s="3" t="e">
        <f>INDEX('BalSht Data'!H$163:H$2999,MATCH(A33,IF('BalSht Data'!A$163=I$1,'BalSht Data'!G$163:G$2999),0))</f>
        <v>#N/A</v>
      </c>
      <c r="J33" s="3" t="e">
        <f>INDEX('BalSht Data'!H$186:H$2999,MATCH(A33,IF('BalSht Data'!A$186=J$1,'BalSht Data'!G$186:G$2999),0))</f>
        <v>#N/A</v>
      </c>
      <c r="K33" s="3" t="e">
        <f>INDEX('BalSht Data'!H$209:H$2999,MATCH(A33,IF('BalSht Data'!A$209=K$1,'BalSht Data'!G$209:G$2999),0))</f>
        <v>#N/A</v>
      </c>
      <c r="L33" s="3" t="e">
        <f>INDEX('BalSht Data'!H$232:H$2999,MATCH(A33,IF('BalSht Data'!A$232=L$1,'BalSht Data'!G$232:G$2999),0))</f>
        <v>#N/A</v>
      </c>
      <c r="M33" s="3" t="e">
        <f>INDEX('BalSht Data'!H$255:H$2999,MATCH(A33,IF('BalSht Data'!A$255=M$1,'BalSht Data'!G$255:G$2999),0))</f>
        <v>#N/A</v>
      </c>
      <c r="N33" s="3" t="e">
        <f>INDEX('BalSht Data'!H$278:H$2999,MATCH(A33,IF('BalSht Data'!A$278=N$1,'BalSht Data'!G$278:G$2999),0))</f>
        <v>#N/A</v>
      </c>
      <c r="O33" s="3" t="e">
        <f>INDEX('BalSht Data'!H$301:H$2999,MATCH(A33,IF('BalSht Data'!A$301=O$1,'BalSht Data'!G$301:G$2999),0))</f>
        <v>#N/A</v>
      </c>
      <c r="P33" s="3" t="e">
        <f>INDEX('BalSht Data'!H$324:H$2999,MATCH(A33,IF('BalSht Data'!A$324=P$1,'BalSht Data'!G$324:G$2999),0))</f>
        <v>#N/A</v>
      </c>
      <c r="Q33" s="3" t="e">
        <f>INDEX('BalSht Data'!H$347:H$2999,MATCH(A33,IF('BalSht Data'!A$347=Q$1,'BalSht Data'!G$347:G$2999),0))</f>
        <v>#N/A</v>
      </c>
      <c r="R33" s="3" t="e">
        <f>INDEX('BalSht Data'!H$370:H$2999,MATCH(A33,IF('BalSht Data'!A$370=R$1,'BalSht Data'!G$370:G$2999),0))</f>
        <v>#N/A</v>
      </c>
      <c r="S33" s="3" t="e">
        <f>INDEX('BalSht Data'!H$393:H$2999,MATCH(A33,IF('BalSht Data'!A$393=S$1,'BalSht Data'!G$393:G$2999),0))</f>
        <v>#N/A</v>
      </c>
      <c r="T33" s="3" t="e">
        <f>INDEX('BalSht Data'!H$416:H$2999,MATCH(A33,IF('BalSht Data'!A$416=T$1,'BalSht Data'!G$416:G$2999),0))</f>
        <v>#N/A</v>
      </c>
      <c r="U33" s="3" t="e">
        <f>INDEX('BalSht Data'!H$439:H$2999,MATCH(A33,IF('BalSht Data'!A$439=U$1,'BalSht Data'!G$439:G$2999),0))</f>
        <v>#N/A</v>
      </c>
      <c r="V33" s="3" t="e">
        <f>INDEX('BalSht Data'!H$462:H$2999,MATCH(A33,IF('BalSht Data'!A$462=V$1,'BalSht Data'!G$462:G$2999),0))</f>
        <v>#N/A</v>
      </c>
      <c r="W33" s="3" t="e">
        <f>INDEX('BalSht Data'!H$485:H$2999,MATCH(A33,IF('BalSht Data'!A$485=W$1,'BalSht Data'!G$485:G$2999),0))</f>
        <v>#N/A</v>
      </c>
      <c r="X33" s="3" t="e">
        <f>INDEX('BalSht Data'!H$508:H$2999,MATCH(A33,IF('BalSht Data'!A$508=X$1,'BalSht Data'!G$508:G$2999),0))</f>
        <v>#N/A</v>
      </c>
      <c r="Y33" s="3" t="e">
        <f>INDEX('BalSht Data'!H$531:H$2999,MATCH(A33,IF('BalSht Data'!A$531=Y$1,'BalSht Data'!G$531:G$2999),0))</f>
        <v>#N/A</v>
      </c>
      <c r="Z33" s="3" t="e">
        <f>INDEX('BalSht Data'!H$554:H$2999,MATCH(A33,IF('BalSht Data'!A$554=Z$1,'BalSht Data'!G$554:G$2999),0))</f>
        <v>#N/A</v>
      </c>
      <c r="AA33" s="3" t="e">
        <f>INDEX('BalSht Data'!H$577:H$2999,MATCH(A33,IF('BalSht Data'!A$577=AA$1,'BalSht Data'!G$577:G$2999),0))</f>
        <v>#N/A</v>
      </c>
      <c r="AB33" s="3" t="e">
        <f>INDEX('BalSht Data'!H$600:H$2999,MATCH(A33,IF('BalSht Data'!A$600=AB$1,'BalSht Data'!G$600:G$2999),0))</f>
        <v>#N/A</v>
      </c>
      <c r="AC33" s="3" t="e">
        <f>INDEX('BalSht Data'!H$623:H$2999,MATCH(A33,IF('BalSht Data'!A$623=AC$1,'BalSht Data'!G$623:G$2999),0))</f>
        <v>#N/A</v>
      </c>
      <c r="AD33" s="3" t="e">
        <f>INDEX('BalSht Data'!H$646:H$2999,MATCH(A33,IF('BalSht Data'!A$646=AD$1,'BalSht Data'!G$646:G$2999),0))</f>
        <v>#N/A</v>
      </c>
      <c r="AE33" s="3" t="e">
        <f>INDEX('BalSht Data'!H$669:H$2999,MATCH(A33,IF('BalSht Data'!A$669=AE$1,'BalSht Data'!G$669:G$2999),0))</f>
        <v>#N/A</v>
      </c>
      <c r="AF33" s="3" t="e">
        <f>INDEX('BalSht Data'!H$692:H$2999,MATCH(A33,IF('BalSht Data'!A$692=AF$1,'BalSht Data'!G$692:G$2999),0))</f>
        <v>#N/A</v>
      </c>
      <c r="AG33" s="3" t="e">
        <f>INDEX('BalSht Data'!H$715:H$2999,MATCH(A33,IF('BalSht Data'!A$715=AG$1,'BalSht Data'!G$715:G$2999),0))</f>
        <v>#N/A</v>
      </c>
      <c r="AH33" s="3" t="e">
        <f>INDEX('BalSht Data'!H$738:H$2999,MATCH(A33,IF('BalSht Data'!A$738=AH$1,'BalSht Data'!G$738:G$2999),0))</f>
        <v>#N/A</v>
      </c>
      <c r="AI33" s="3" t="e">
        <f>INDEX('BalSht Data'!H$761:H$2999,MATCH(A33,IF('BalSht Data'!A$761=AI$1,'BalSht Data'!G$761:G$2999),0))</f>
        <v>#N/A</v>
      </c>
      <c r="AJ33" s="3" t="e">
        <f>INDEX('BalSht Data'!H$784:H$2999,MATCH(A33,IF('BalSht Data'!A$784=AJ$1,'BalSht Data'!G$784:G$2999),0))</f>
        <v>#N/A</v>
      </c>
    </row>
    <row r="35" spans="1:36" x14ac:dyDescent="0.2">
      <c r="A35" s="2" t="s">
        <v>38</v>
      </c>
      <c r="B35" s="3">
        <f>INDEX('BalSht Data'!H$2:H$2999,MATCH(A35,IF('BalSht Data'!A$2=B$1,'BalSht Data'!G$2:G$2999),0))</f>
        <v>0</v>
      </c>
      <c r="C35" s="3">
        <f>INDEX('BalSht Data'!H$25:H$2999,MATCH(A35,IF('BalSht Data'!A$25=C$1,'BalSht Data'!G$2:G$2999),0))</f>
        <v>999</v>
      </c>
      <c r="D35" s="3">
        <f>INDEX('BalSht Data'!H$48:H$2999,MATCH(A35,IF('BalSht Data'!A$48=D$1,'BalSht Data'!G$48:G$2999),0))</f>
        <v>7878787</v>
      </c>
      <c r="E35" s="3">
        <f>INDEX('BalSht Data'!H$71:H$2999,MATCH(A35,IF('BalSht Data'!A$71=E$1,'BalSht Data'!G$71:G$2999),0))</f>
        <v>36333</v>
      </c>
      <c r="F35" s="3">
        <f>INDEX('BalSht Data'!H$94:H$2999,MATCH(A35,IF('BalSht Data'!A$94=F$1,'BalSht Data'!G$94:G$2999),0))</f>
        <v>88888</v>
      </c>
      <c r="G35" s="3">
        <f>INDEX('BalSht Data'!H$117:H$2999,MATCH(A35,IF('BalSht Data'!A$117=G$1,'BalSht Data'!G$117:G$2999),0))</f>
        <v>22222</v>
      </c>
      <c r="H35" s="3" t="e">
        <f>INDEX('BalSht Data'!H$140:H$2999,MATCH(A35,IF('BalSht Data'!A$140=H$1,'BalSht Data'!G$140:G$2999),0))</f>
        <v>#N/A</v>
      </c>
      <c r="I35" s="3" t="e">
        <f>INDEX('BalSht Data'!H$163:H$2999,MATCH(A35,IF('BalSht Data'!A$163=I$1,'BalSht Data'!G$163:G$2999),0))</f>
        <v>#N/A</v>
      </c>
      <c r="J35" s="3" t="e">
        <f>INDEX('BalSht Data'!H$186:H$2999,MATCH(A35,IF('BalSht Data'!A$186=J$1,'BalSht Data'!G$186:G$2999),0))</f>
        <v>#N/A</v>
      </c>
      <c r="K35" s="3" t="e">
        <f>INDEX('BalSht Data'!H$209:H$2999,MATCH(A35,IF('BalSht Data'!A$209=K$1,'BalSht Data'!G$209:G$2999),0))</f>
        <v>#N/A</v>
      </c>
      <c r="L35" s="3" t="e">
        <f>INDEX('BalSht Data'!H$232:H$2999,MATCH(A35,IF('BalSht Data'!A$232=L$1,'BalSht Data'!G$232:G$2999),0))</f>
        <v>#N/A</v>
      </c>
      <c r="M35" s="3" t="e">
        <f>INDEX('BalSht Data'!H$255:H$2999,MATCH(A35,IF('BalSht Data'!A$255=M$1,'BalSht Data'!G$255:G$2999),0))</f>
        <v>#N/A</v>
      </c>
      <c r="N35" s="3" t="e">
        <f>INDEX('BalSht Data'!H$278:H$2999,MATCH(A35,IF('BalSht Data'!A$278=N$1,'BalSht Data'!G$278:G$2999),0))</f>
        <v>#N/A</v>
      </c>
      <c r="O35" s="3" t="e">
        <f>INDEX('BalSht Data'!H$301:H$2999,MATCH(A35,IF('BalSht Data'!A$301=O$1,'BalSht Data'!G$301:G$2999),0))</f>
        <v>#N/A</v>
      </c>
      <c r="P35" s="3" t="e">
        <f>INDEX('BalSht Data'!H$324:H$2999,MATCH(A35,IF('BalSht Data'!A$324=P$1,'BalSht Data'!G$324:G$2999),0))</f>
        <v>#N/A</v>
      </c>
      <c r="Q35" s="3" t="e">
        <f>INDEX('BalSht Data'!H$347:H$2999,MATCH(A35,IF('BalSht Data'!A$347=Q$1,'BalSht Data'!G$347:G$2999),0))</f>
        <v>#N/A</v>
      </c>
      <c r="R35" s="3" t="e">
        <f>INDEX('BalSht Data'!H$370:H$2999,MATCH(A35,IF('BalSht Data'!A$370=R$1,'BalSht Data'!G$370:G$2999),0))</f>
        <v>#N/A</v>
      </c>
      <c r="S35" s="3" t="e">
        <f>INDEX('BalSht Data'!H$393:H$2999,MATCH(A35,IF('BalSht Data'!A$393=S$1,'BalSht Data'!G$393:G$2999),0))</f>
        <v>#N/A</v>
      </c>
      <c r="T35" s="3" t="e">
        <f>INDEX('BalSht Data'!H$416:H$2999,MATCH(A35,IF('BalSht Data'!A$416=T$1,'BalSht Data'!G$416:G$2999),0))</f>
        <v>#N/A</v>
      </c>
      <c r="U35" s="3" t="e">
        <f>INDEX('BalSht Data'!H$439:H$2999,MATCH(A35,IF('BalSht Data'!A$439=U$1,'BalSht Data'!G$439:G$2999),0))</f>
        <v>#N/A</v>
      </c>
      <c r="V35" s="3" t="e">
        <f>INDEX('BalSht Data'!H$462:H$2999,MATCH(A35,IF('BalSht Data'!A$462=V$1,'BalSht Data'!G$462:G$2999),0))</f>
        <v>#N/A</v>
      </c>
      <c r="W35" s="3" t="e">
        <f>INDEX('BalSht Data'!H$485:H$2999,MATCH(A35,IF('BalSht Data'!A$485=W$1,'BalSht Data'!G$485:G$2999),0))</f>
        <v>#N/A</v>
      </c>
      <c r="X35" s="3" t="e">
        <f>INDEX('BalSht Data'!H$508:H$2999,MATCH(A35,IF('BalSht Data'!A$508=X$1,'BalSht Data'!G$508:G$2999),0))</f>
        <v>#N/A</v>
      </c>
      <c r="Y35" s="3" t="e">
        <f>INDEX('BalSht Data'!H$531:H$2999,MATCH(A35,IF('BalSht Data'!A$531=Y$1,'BalSht Data'!G$531:G$2999),0))</f>
        <v>#N/A</v>
      </c>
      <c r="Z35" s="3" t="e">
        <f>INDEX('BalSht Data'!H$554:H$2999,MATCH(A35,IF('BalSht Data'!A$554=Z$1,'BalSht Data'!G$554:G$2999),0))</f>
        <v>#N/A</v>
      </c>
      <c r="AA35" s="3" t="e">
        <f>INDEX('BalSht Data'!H$577:H$2999,MATCH(A35,IF('BalSht Data'!A$577=AA$1,'BalSht Data'!G$577:G$2999),0))</f>
        <v>#N/A</v>
      </c>
      <c r="AB35" s="3" t="e">
        <f>INDEX('BalSht Data'!H$600:H$2999,MATCH(A35,IF('BalSht Data'!A$600=AB$1,'BalSht Data'!G$600:G$2999),0))</f>
        <v>#N/A</v>
      </c>
      <c r="AC35" s="3" t="e">
        <f>INDEX('BalSht Data'!H$623:H$2999,MATCH(A35,IF('BalSht Data'!A$623=AC$1,'BalSht Data'!G$623:G$2999),0))</f>
        <v>#N/A</v>
      </c>
      <c r="AD35" s="3" t="e">
        <f>INDEX('BalSht Data'!H$646:H$2999,MATCH(A35,IF('BalSht Data'!A$646=AD$1,'BalSht Data'!G$646:G$2999),0))</f>
        <v>#N/A</v>
      </c>
      <c r="AE35" s="3" t="e">
        <f>INDEX('BalSht Data'!H$669:H$2999,MATCH(A35,IF('BalSht Data'!A$669=AE$1,'BalSht Data'!G$669:G$2999),0))</f>
        <v>#N/A</v>
      </c>
      <c r="AF35" s="3" t="e">
        <f>INDEX('BalSht Data'!H$692:H$2999,MATCH(A35,IF('BalSht Data'!A$692=AF$1,'BalSht Data'!G$692:G$2999),0))</f>
        <v>#N/A</v>
      </c>
      <c r="AG35" s="3" t="e">
        <f>INDEX('BalSht Data'!H$715:H$2999,MATCH(A35,IF('BalSht Data'!A$715=AG$1,'BalSht Data'!G$715:G$2999),0))</f>
        <v>#N/A</v>
      </c>
      <c r="AH35" s="3" t="e">
        <f>INDEX('BalSht Data'!H$738:H$2999,MATCH(A35,IF('BalSht Data'!A$738=AH$1,'BalSht Data'!G$738:G$2999),0))</f>
        <v>#N/A</v>
      </c>
      <c r="AI35" s="3" t="e">
        <f>INDEX('BalSht Data'!H$761:H$2999,MATCH(A35,IF('BalSht Data'!A$761=AI$1,'BalSht Data'!G$761:G$2999),0))</f>
        <v>#N/A</v>
      </c>
      <c r="AJ35" s="3" t="e">
        <f>INDEX('BalSht Data'!H$784:H$2999,MATCH(A35,IF('BalSht Data'!A$784=AJ$1,'BalSht Data'!G$784:G$2999),0))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3"/>
  <sheetViews>
    <sheetView workbookViewId="0">
      <selection sqref="A1:XFD1"/>
    </sheetView>
  </sheetViews>
  <sheetFormatPr defaultRowHeight="15" x14ac:dyDescent="0.25"/>
  <cols>
    <col min="1" max="1" width="9.140625" bestFit="1" customWidth="1"/>
    <col min="2" max="2" width="12.42578125" bestFit="1" customWidth="1"/>
    <col min="3" max="3" width="8.42578125" bestFit="1" customWidth="1"/>
    <col min="4" max="4" width="3.5703125" bestFit="1" customWidth="1"/>
    <col min="5" max="5" width="19.85546875" bestFit="1" customWidth="1"/>
    <col min="6" max="6" width="32" bestFit="1" customWidth="1"/>
    <col min="7" max="7" width="35" bestFit="1" customWidth="1"/>
    <col min="8" max="8" width="7.85546875" bestFit="1" customWidth="1"/>
  </cols>
  <sheetData>
    <row r="1" spans="1:8" x14ac:dyDescent="0.25">
      <c r="A1" s="1" t="s">
        <v>7</v>
      </c>
      <c r="B1" s="1" t="s">
        <v>4</v>
      </c>
      <c r="C1" s="1" t="s">
        <v>8</v>
      </c>
      <c r="D1" s="1" t="s">
        <v>9</v>
      </c>
      <c r="E1" s="1" t="s">
        <v>5</v>
      </c>
      <c r="F1" s="1" t="s">
        <v>10</v>
      </c>
      <c r="G1" s="1" t="s">
        <v>11</v>
      </c>
      <c r="H1" s="1" t="s">
        <v>12</v>
      </c>
    </row>
    <row r="2" spans="1:8" x14ac:dyDescent="0.25">
      <c r="A2">
        <v>70340</v>
      </c>
      <c r="B2" t="s">
        <v>44</v>
      </c>
      <c r="C2" t="s">
        <v>45</v>
      </c>
      <c r="D2">
        <v>2</v>
      </c>
      <c r="E2">
        <v>0</v>
      </c>
      <c r="F2" t="s">
        <v>46</v>
      </c>
      <c r="G2" t="s">
        <v>13</v>
      </c>
    </row>
    <row r="3" spans="1:8" x14ac:dyDescent="0.25">
      <c r="A3">
        <v>70340</v>
      </c>
      <c r="B3" t="s">
        <v>44</v>
      </c>
      <c r="C3" t="s">
        <v>45</v>
      </c>
      <c r="D3">
        <v>2</v>
      </c>
      <c r="E3">
        <v>0</v>
      </c>
      <c r="F3" t="s">
        <v>46</v>
      </c>
      <c r="G3" t="s">
        <v>14</v>
      </c>
    </row>
    <row r="4" spans="1:8" x14ac:dyDescent="0.25">
      <c r="A4">
        <v>70340</v>
      </c>
      <c r="B4" t="s">
        <v>44</v>
      </c>
      <c r="C4" t="s">
        <v>45</v>
      </c>
      <c r="D4">
        <v>2</v>
      </c>
      <c r="E4">
        <v>0</v>
      </c>
      <c r="F4" t="s">
        <v>46</v>
      </c>
      <c r="G4" t="s">
        <v>15</v>
      </c>
    </row>
    <row r="5" spans="1:8" x14ac:dyDescent="0.25">
      <c r="A5">
        <v>70340</v>
      </c>
      <c r="B5" t="s">
        <v>44</v>
      </c>
      <c r="C5" t="s">
        <v>45</v>
      </c>
      <c r="D5">
        <v>2</v>
      </c>
      <c r="E5">
        <v>0</v>
      </c>
      <c r="F5" t="s">
        <v>46</v>
      </c>
      <c r="G5" t="s">
        <v>16</v>
      </c>
    </row>
    <row r="6" spans="1:8" x14ac:dyDescent="0.25">
      <c r="A6">
        <v>70340</v>
      </c>
      <c r="B6" t="s">
        <v>44</v>
      </c>
      <c r="C6" t="s">
        <v>45</v>
      </c>
      <c r="D6">
        <v>2</v>
      </c>
      <c r="E6">
        <v>0</v>
      </c>
      <c r="F6" t="s">
        <v>46</v>
      </c>
      <c r="G6" t="s">
        <v>17</v>
      </c>
    </row>
    <row r="7" spans="1:8" x14ac:dyDescent="0.25">
      <c r="A7">
        <v>70340</v>
      </c>
      <c r="B7" t="s">
        <v>44</v>
      </c>
      <c r="C7" t="s">
        <v>45</v>
      </c>
      <c r="D7">
        <v>2</v>
      </c>
      <c r="E7">
        <v>0</v>
      </c>
      <c r="F7" t="s">
        <v>47</v>
      </c>
      <c r="G7" t="s">
        <v>29</v>
      </c>
    </row>
    <row r="8" spans="1:8" x14ac:dyDescent="0.25">
      <c r="A8">
        <v>70340</v>
      </c>
      <c r="B8" t="s">
        <v>44</v>
      </c>
      <c r="C8" t="s">
        <v>45</v>
      </c>
      <c r="D8">
        <v>2</v>
      </c>
      <c r="E8">
        <v>0</v>
      </c>
      <c r="F8" t="s">
        <v>47</v>
      </c>
      <c r="G8" t="s">
        <v>30</v>
      </c>
    </row>
    <row r="9" spans="1:8" x14ac:dyDescent="0.25">
      <c r="A9">
        <v>70340</v>
      </c>
      <c r="B9" t="s">
        <v>44</v>
      </c>
      <c r="C9" t="s">
        <v>45</v>
      </c>
      <c r="D9">
        <v>2</v>
      </c>
      <c r="E9">
        <v>0</v>
      </c>
      <c r="F9" t="s">
        <v>47</v>
      </c>
      <c r="G9" t="s">
        <v>31</v>
      </c>
    </row>
    <row r="10" spans="1:8" x14ac:dyDescent="0.25">
      <c r="A10">
        <v>70340</v>
      </c>
      <c r="B10" t="s">
        <v>44</v>
      </c>
      <c r="C10" t="s">
        <v>45</v>
      </c>
      <c r="D10">
        <v>2</v>
      </c>
      <c r="E10">
        <v>0</v>
      </c>
      <c r="F10" t="s">
        <v>47</v>
      </c>
      <c r="G10" t="s">
        <v>32</v>
      </c>
    </row>
    <row r="11" spans="1:8" x14ac:dyDescent="0.25">
      <c r="A11">
        <v>70340</v>
      </c>
      <c r="B11" t="s">
        <v>44</v>
      </c>
      <c r="C11" t="s">
        <v>45</v>
      </c>
      <c r="D11">
        <v>2</v>
      </c>
      <c r="E11">
        <v>0</v>
      </c>
      <c r="F11" t="s">
        <v>47</v>
      </c>
      <c r="G11" t="s">
        <v>33</v>
      </c>
    </row>
    <row r="12" spans="1:8" x14ac:dyDescent="0.25">
      <c r="A12">
        <v>70340</v>
      </c>
      <c r="B12" t="s">
        <v>44</v>
      </c>
      <c r="C12" t="s">
        <v>45</v>
      </c>
      <c r="D12">
        <v>2</v>
      </c>
      <c r="E12">
        <v>0</v>
      </c>
      <c r="F12" t="s">
        <v>47</v>
      </c>
      <c r="G12" t="s">
        <v>34</v>
      </c>
    </row>
    <row r="13" spans="1:8" x14ac:dyDescent="0.25">
      <c r="A13">
        <v>70340</v>
      </c>
      <c r="B13" t="s">
        <v>44</v>
      </c>
      <c r="C13" t="s">
        <v>45</v>
      </c>
      <c r="D13">
        <v>2</v>
      </c>
      <c r="E13">
        <v>0</v>
      </c>
      <c r="F13" t="s">
        <v>47</v>
      </c>
      <c r="G13" t="s">
        <v>35</v>
      </c>
    </row>
    <row r="14" spans="1:8" x14ac:dyDescent="0.25">
      <c r="A14">
        <v>70340</v>
      </c>
      <c r="B14" t="s">
        <v>44</v>
      </c>
      <c r="C14" t="s">
        <v>45</v>
      </c>
      <c r="D14">
        <v>2</v>
      </c>
      <c r="E14">
        <v>0</v>
      </c>
      <c r="F14" t="s">
        <v>47</v>
      </c>
      <c r="G14" t="s">
        <v>36</v>
      </c>
    </row>
    <row r="15" spans="1:8" x14ac:dyDescent="0.25">
      <c r="A15">
        <v>70340</v>
      </c>
      <c r="B15" t="s">
        <v>44</v>
      </c>
      <c r="C15" t="s">
        <v>45</v>
      </c>
      <c r="D15">
        <v>2</v>
      </c>
      <c r="E15">
        <v>0</v>
      </c>
      <c r="F15" t="s">
        <v>47</v>
      </c>
      <c r="G15" t="s">
        <v>37</v>
      </c>
    </row>
    <row r="16" spans="1:8" x14ac:dyDescent="0.25">
      <c r="A16">
        <v>70340</v>
      </c>
      <c r="B16" t="s">
        <v>44</v>
      </c>
      <c r="C16" t="s">
        <v>45</v>
      </c>
      <c r="D16">
        <v>2</v>
      </c>
      <c r="E16">
        <v>0</v>
      </c>
      <c r="F16" t="s">
        <v>48</v>
      </c>
      <c r="G16" t="s">
        <v>20</v>
      </c>
    </row>
    <row r="17" spans="1:8" x14ac:dyDescent="0.25">
      <c r="A17">
        <v>70340</v>
      </c>
      <c r="B17" t="s">
        <v>44</v>
      </c>
      <c r="C17" t="s">
        <v>45</v>
      </c>
      <c r="D17">
        <v>2</v>
      </c>
      <c r="E17">
        <v>0</v>
      </c>
      <c r="F17" t="s">
        <v>48</v>
      </c>
      <c r="G17" t="s">
        <v>21</v>
      </c>
    </row>
    <row r="18" spans="1:8" x14ac:dyDescent="0.25">
      <c r="A18">
        <v>70340</v>
      </c>
      <c r="B18" t="s">
        <v>44</v>
      </c>
      <c r="C18" t="s">
        <v>45</v>
      </c>
      <c r="D18">
        <v>2</v>
      </c>
      <c r="E18">
        <v>0</v>
      </c>
      <c r="F18" t="s">
        <v>48</v>
      </c>
      <c r="G18" t="s">
        <v>22</v>
      </c>
    </row>
    <row r="19" spans="1:8" x14ac:dyDescent="0.25">
      <c r="A19">
        <v>70340</v>
      </c>
      <c r="B19" t="s">
        <v>44</v>
      </c>
      <c r="C19" t="s">
        <v>45</v>
      </c>
      <c r="D19">
        <v>2</v>
      </c>
      <c r="E19">
        <v>0</v>
      </c>
      <c r="F19" t="s">
        <v>48</v>
      </c>
      <c r="G19" t="s">
        <v>23</v>
      </c>
    </row>
    <row r="20" spans="1:8" x14ac:dyDescent="0.25">
      <c r="A20">
        <v>70340</v>
      </c>
      <c r="B20" t="s">
        <v>44</v>
      </c>
      <c r="C20" t="s">
        <v>45</v>
      </c>
      <c r="D20">
        <v>2</v>
      </c>
      <c r="E20">
        <v>0</v>
      </c>
      <c r="F20" t="s">
        <v>48</v>
      </c>
      <c r="G20" t="s">
        <v>24</v>
      </c>
    </row>
    <row r="21" spans="1:8" x14ac:dyDescent="0.25">
      <c r="A21">
        <v>70340</v>
      </c>
      <c r="B21" t="s">
        <v>44</v>
      </c>
      <c r="C21" t="s">
        <v>45</v>
      </c>
      <c r="D21">
        <v>2</v>
      </c>
      <c r="E21">
        <v>0</v>
      </c>
      <c r="F21" t="s">
        <v>48</v>
      </c>
      <c r="G21" t="s">
        <v>25</v>
      </c>
    </row>
    <row r="22" spans="1:8" x14ac:dyDescent="0.25">
      <c r="A22">
        <v>70340</v>
      </c>
      <c r="B22" t="s">
        <v>44</v>
      </c>
      <c r="C22" t="s">
        <v>45</v>
      </c>
      <c r="D22">
        <v>2</v>
      </c>
      <c r="E22">
        <v>0</v>
      </c>
      <c r="F22" t="s">
        <v>48</v>
      </c>
      <c r="G22" t="s">
        <v>26</v>
      </c>
    </row>
    <row r="23" spans="1:8" x14ac:dyDescent="0.25">
      <c r="A23">
        <v>70340</v>
      </c>
      <c r="B23" t="s">
        <v>44</v>
      </c>
      <c r="C23" t="s">
        <v>45</v>
      </c>
      <c r="D23">
        <v>2</v>
      </c>
      <c r="E23">
        <v>0</v>
      </c>
      <c r="F23" t="s">
        <v>48</v>
      </c>
      <c r="G23" t="s">
        <v>27</v>
      </c>
    </row>
    <row r="24" spans="1:8" x14ac:dyDescent="0.25">
      <c r="A24">
        <v>70340</v>
      </c>
      <c r="B24" t="s">
        <v>44</v>
      </c>
      <c r="C24" t="s">
        <v>45</v>
      </c>
      <c r="D24">
        <v>2</v>
      </c>
      <c r="E24">
        <v>0</v>
      </c>
      <c r="F24" t="s">
        <v>49</v>
      </c>
      <c r="G24" t="s">
        <v>49</v>
      </c>
    </row>
    <row r="25" spans="1:8" x14ac:dyDescent="0.25">
      <c r="A25">
        <v>70341</v>
      </c>
      <c r="B25" t="s">
        <v>44</v>
      </c>
      <c r="C25" t="s">
        <v>45</v>
      </c>
      <c r="D25">
        <v>2</v>
      </c>
      <c r="E25">
        <v>0</v>
      </c>
      <c r="F25" t="s">
        <v>46</v>
      </c>
      <c r="G25" t="s">
        <v>13</v>
      </c>
      <c r="H25">
        <v>999</v>
      </c>
    </row>
    <row r="26" spans="1:8" x14ac:dyDescent="0.25">
      <c r="A26">
        <v>70341</v>
      </c>
      <c r="B26" t="s">
        <v>44</v>
      </c>
      <c r="C26" t="s">
        <v>45</v>
      </c>
      <c r="D26">
        <v>2</v>
      </c>
      <c r="E26">
        <v>0</v>
      </c>
      <c r="F26" t="s">
        <v>46</v>
      </c>
      <c r="G26" t="s">
        <v>14</v>
      </c>
      <c r="H26">
        <v>999</v>
      </c>
    </row>
    <row r="27" spans="1:8" x14ac:dyDescent="0.25">
      <c r="A27">
        <v>70341</v>
      </c>
      <c r="B27" t="s">
        <v>44</v>
      </c>
      <c r="C27" t="s">
        <v>45</v>
      </c>
      <c r="D27">
        <v>2</v>
      </c>
      <c r="E27">
        <v>0</v>
      </c>
      <c r="F27" t="s">
        <v>46</v>
      </c>
      <c r="G27" t="s">
        <v>15</v>
      </c>
      <c r="H27">
        <v>999</v>
      </c>
    </row>
    <row r="28" spans="1:8" x14ac:dyDescent="0.25">
      <c r="A28">
        <v>70341</v>
      </c>
      <c r="B28" t="s">
        <v>44</v>
      </c>
      <c r="C28" t="s">
        <v>45</v>
      </c>
      <c r="D28">
        <v>2</v>
      </c>
      <c r="E28">
        <v>0</v>
      </c>
      <c r="F28" t="s">
        <v>46</v>
      </c>
      <c r="G28" t="s">
        <v>16</v>
      </c>
      <c r="H28">
        <v>999</v>
      </c>
    </row>
    <row r="29" spans="1:8" x14ac:dyDescent="0.25">
      <c r="A29">
        <v>70341</v>
      </c>
      <c r="B29" t="s">
        <v>44</v>
      </c>
      <c r="C29" t="s">
        <v>45</v>
      </c>
      <c r="D29">
        <v>2</v>
      </c>
      <c r="E29">
        <v>0</v>
      </c>
      <c r="F29" t="s">
        <v>46</v>
      </c>
      <c r="G29" t="s">
        <v>17</v>
      </c>
      <c r="H29">
        <v>999</v>
      </c>
    </row>
    <row r="30" spans="1:8" x14ac:dyDescent="0.25">
      <c r="A30">
        <v>70341</v>
      </c>
      <c r="B30" t="s">
        <v>44</v>
      </c>
      <c r="C30" t="s">
        <v>45</v>
      </c>
      <c r="D30">
        <v>2</v>
      </c>
      <c r="E30">
        <v>0</v>
      </c>
      <c r="F30" t="s">
        <v>47</v>
      </c>
      <c r="G30" t="s">
        <v>29</v>
      </c>
      <c r="H30">
        <v>999</v>
      </c>
    </row>
    <row r="31" spans="1:8" x14ac:dyDescent="0.25">
      <c r="A31">
        <v>70341</v>
      </c>
      <c r="B31" t="s">
        <v>44</v>
      </c>
      <c r="C31" t="s">
        <v>45</v>
      </c>
      <c r="D31">
        <v>2</v>
      </c>
      <c r="E31">
        <v>0</v>
      </c>
      <c r="F31" t="s">
        <v>47</v>
      </c>
      <c r="G31" t="s">
        <v>30</v>
      </c>
      <c r="H31">
        <v>999</v>
      </c>
    </row>
    <row r="32" spans="1:8" x14ac:dyDescent="0.25">
      <c r="A32">
        <v>70341</v>
      </c>
      <c r="B32" t="s">
        <v>44</v>
      </c>
      <c r="C32" t="s">
        <v>45</v>
      </c>
      <c r="D32">
        <v>2</v>
      </c>
      <c r="E32">
        <v>0</v>
      </c>
      <c r="F32" t="s">
        <v>47</v>
      </c>
      <c r="G32" t="s">
        <v>31</v>
      </c>
      <c r="H32">
        <v>999</v>
      </c>
    </row>
    <row r="33" spans="1:8" x14ac:dyDescent="0.25">
      <c r="A33">
        <v>70341</v>
      </c>
      <c r="B33" t="s">
        <v>44</v>
      </c>
      <c r="C33" t="s">
        <v>45</v>
      </c>
      <c r="D33">
        <v>2</v>
      </c>
      <c r="E33">
        <v>0</v>
      </c>
      <c r="F33" t="s">
        <v>47</v>
      </c>
      <c r="G33" t="s">
        <v>32</v>
      </c>
      <c r="H33">
        <v>999</v>
      </c>
    </row>
    <row r="34" spans="1:8" x14ac:dyDescent="0.25">
      <c r="A34">
        <v>70341</v>
      </c>
      <c r="B34" t="s">
        <v>44</v>
      </c>
      <c r="C34" t="s">
        <v>45</v>
      </c>
      <c r="D34">
        <v>2</v>
      </c>
      <c r="E34">
        <v>0</v>
      </c>
      <c r="F34" t="s">
        <v>47</v>
      </c>
      <c r="G34" t="s">
        <v>33</v>
      </c>
      <c r="H34">
        <v>999</v>
      </c>
    </row>
    <row r="35" spans="1:8" x14ac:dyDescent="0.25">
      <c r="A35">
        <v>70341</v>
      </c>
      <c r="B35" t="s">
        <v>44</v>
      </c>
      <c r="C35" t="s">
        <v>45</v>
      </c>
      <c r="D35">
        <v>2</v>
      </c>
      <c r="E35">
        <v>0</v>
      </c>
      <c r="F35" t="s">
        <v>47</v>
      </c>
      <c r="G35" t="s">
        <v>34</v>
      </c>
      <c r="H35">
        <v>999</v>
      </c>
    </row>
    <row r="36" spans="1:8" x14ac:dyDescent="0.25">
      <c r="A36">
        <v>70341</v>
      </c>
      <c r="B36" t="s">
        <v>44</v>
      </c>
      <c r="C36" t="s">
        <v>45</v>
      </c>
      <c r="D36">
        <v>2</v>
      </c>
      <c r="E36">
        <v>0</v>
      </c>
      <c r="F36" t="s">
        <v>47</v>
      </c>
      <c r="G36" t="s">
        <v>35</v>
      </c>
      <c r="H36">
        <v>999</v>
      </c>
    </row>
    <row r="37" spans="1:8" x14ac:dyDescent="0.25">
      <c r="A37">
        <v>70341</v>
      </c>
      <c r="B37" t="s">
        <v>44</v>
      </c>
      <c r="C37" t="s">
        <v>45</v>
      </c>
      <c r="D37">
        <v>2</v>
      </c>
      <c r="E37">
        <v>0</v>
      </c>
      <c r="F37" t="s">
        <v>47</v>
      </c>
      <c r="G37" t="s">
        <v>36</v>
      </c>
      <c r="H37">
        <v>999</v>
      </c>
    </row>
    <row r="38" spans="1:8" x14ac:dyDescent="0.25">
      <c r="A38">
        <v>70341</v>
      </c>
      <c r="B38" t="s">
        <v>44</v>
      </c>
      <c r="C38" t="s">
        <v>45</v>
      </c>
      <c r="D38">
        <v>2</v>
      </c>
      <c r="E38">
        <v>0</v>
      </c>
      <c r="F38" t="s">
        <v>47</v>
      </c>
      <c r="G38" t="s">
        <v>37</v>
      </c>
      <c r="H38">
        <v>999</v>
      </c>
    </row>
    <row r="39" spans="1:8" x14ac:dyDescent="0.25">
      <c r="A39">
        <v>70341</v>
      </c>
      <c r="B39" t="s">
        <v>44</v>
      </c>
      <c r="C39" t="s">
        <v>45</v>
      </c>
      <c r="D39">
        <v>2</v>
      </c>
      <c r="E39">
        <v>0</v>
      </c>
      <c r="F39" t="s">
        <v>48</v>
      </c>
      <c r="G39" t="s">
        <v>20</v>
      </c>
      <c r="H39">
        <v>999</v>
      </c>
    </row>
    <row r="40" spans="1:8" x14ac:dyDescent="0.25">
      <c r="A40">
        <v>70341</v>
      </c>
      <c r="B40" t="s">
        <v>44</v>
      </c>
      <c r="C40" t="s">
        <v>45</v>
      </c>
      <c r="D40">
        <v>2</v>
      </c>
      <c r="E40">
        <v>0</v>
      </c>
      <c r="F40" t="s">
        <v>48</v>
      </c>
      <c r="G40" t="s">
        <v>21</v>
      </c>
      <c r="H40">
        <v>999</v>
      </c>
    </row>
    <row r="41" spans="1:8" x14ac:dyDescent="0.25">
      <c r="A41">
        <v>70341</v>
      </c>
      <c r="B41" t="s">
        <v>44</v>
      </c>
      <c r="C41" t="s">
        <v>45</v>
      </c>
      <c r="D41">
        <v>2</v>
      </c>
      <c r="E41">
        <v>0</v>
      </c>
      <c r="F41" t="s">
        <v>48</v>
      </c>
      <c r="G41" t="s">
        <v>22</v>
      </c>
      <c r="H41">
        <v>999</v>
      </c>
    </row>
    <row r="42" spans="1:8" x14ac:dyDescent="0.25">
      <c r="A42">
        <v>70341</v>
      </c>
      <c r="B42" t="s">
        <v>44</v>
      </c>
      <c r="C42" t="s">
        <v>45</v>
      </c>
      <c r="D42">
        <v>2</v>
      </c>
      <c r="E42">
        <v>0</v>
      </c>
      <c r="F42" t="s">
        <v>48</v>
      </c>
      <c r="G42" t="s">
        <v>23</v>
      </c>
      <c r="H42">
        <v>999</v>
      </c>
    </row>
    <row r="43" spans="1:8" x14ac:dyDescent="0.25">
      <c r="A43">
        <v>70341</v>
      </c>
      <c r="B43" t="s">
        <v>44</v>
      </c>
      <c r="C43" t="s">
        <v>45</v>
      </c>
      <c r="D43">
        <v>2</v>
      </c>
      <c r="E43">
        <v>0</v>
      </c>
      <c r="F43" t="s">
        <v>48</v>
      </c>
      <c r="G43" t="s">
        <v>24</v>
      </c>
      <c r="H43">
        <v>999</v>
      </c>
    </row>
    <row r="44" spans="1:8" x14ac:dyDescent="0.25">
      <c r="A44">
        <v>70341</v>
      </c>
      <c r="B44" t="s">
        <v>44</v>
      </c>
      <c r="C44" t="s">
        <v>45</v>
      </c>
      <c r="D44">
        <v>2</v>
      </c>
      <c r="E44">
        <v>0</v>
      </c>
      <c r="F44" t="s">
        <v>48</v>
      </c>
      <c r="G44" t="s">
        <v>25</v>
      </c>
      <c r="H44">
        <v>999</v>
      </c>
    </row>
    <row r="45" spans="1:8" x14ac:dyDescent="0.25">
      <c r="A45">
        <v>70341</v>
      </c>
      <c r="B45" t="s">
        <v>44</v>
      </c>
      <c r="C45" t="s">
        <v>45</v>
      </c>
      <c r="D45">
        <v>2</v>
      </c>
      <c r="E45">
        <v>0</v>
      </c>
      <c r="F45" t="s">
        <v>48</v>
      </c>
      <c r="G45" t="s">
        <v>26</v>
      </c>
      <c r="H45">
        <v>999</v>
      </c>
    </row>
    <row r="46" spans="1:8" x14ac:dyDescent="0.25">
      <c r="A46">
        <v>70341</v>
      </c>
      <c r="B46" t="s">
        <v>44</v>
      </c>
      <c r="C46" t="s">
        <v>45</v>
      </c>
      <c r="D46">
        <v>2</v>
      </c>
      <c r="E46">
        <v>0</v>
      </c>
      <c r="F46" t="s">
        <v>48</v>
      </c>
      <c r="G46" t="s">
        <v>27</v>
      </c>
      <c r="H46">
        <v>999</v>
      </c>
    </row>
    <row r="47" spans="1:8" x14ac:dyDescent="0.25">
      <c r="A47">
        <v>70341</v>
      </c>
      <c r="B47" t="s">
        <v>44</v>
      </c>
      <c r="C47" t="s">
        <v>45</v>
      </c>
      <c r="D47">
        <v>2</v>
      </c>
      <c r="E47">
        <v>0</v>
      </c>
      <c r="F47" t="s">
        <v>49</v>
      </c>
      <c r="G47" t="s">
        <v>49</v>
      </c>
      <c r="H47">
        <v>999</v>
      </c>
    </row>
    <row r="48" spans="1:8" x14ac:dyDescent="0.25">
      <c r="A48">
        <v>70342</v>
      </c>
      <c r="B48" t="s">
        <v>44</v>
      </c>
      <c r="C48" t="s">
        <v>45</v>
      </c>
      <c r="D48">
        <v>2</v>
      </c>
      <c r="E48">
        <v>0</v>
      </c>
      <c r="F48" t="s">
        <v>46</v>
      </c>
      <c r="G48" t="s">
        <v>13</v>
      </c>
      <c r="H48">
        <v>7878787</v>
      </c>
    </row>
    <row r="49" spans="1:8" x14ac:dyDescent="0.25">
      <c r="A49">
        <v>70342</v>
      </c>
      <c r="B49" t="s">
        <v>44</v>
      </c>
      <c r="C49" t="s">
        <v>45</v>
      </c>
      <c r="D49">
        <v>2</v>
      </c>
      <c r="E49">
        <v>0</v>
      </c>
      <c r="F49" t="s">
        <v>46</v>
      </c>
      <c r="G49" t="s">
        <v>14</v>
      </c>
      <c r="H49">
        <v>7878787</v>
      </c>
    </row>
    <row r="50" spans="1:8" x14ac:dyDescent="0.25">
      <c r="A50">
        <v>70342</v>
      </c>
      <c r="B50" t="s">
        <v>44</v>
      </c>
      <c r="C50" t="s">
        <v>45</v>
      </c>
      <c r="D50">
        <v>2</v>
      </c>
      <c r="E50">
        <v>0</v>
      </c>
      <c r="F50" t="s">
        <v>46</v>
      </c>
      <c r="G50" t="s">
        <v>15</v>
      </c>
      <c r="H50">
        <v>7878787</v>
      </c>
    </row>
    <row r="51" spans="1:8" x14ac:dyDescent="0.25">
      <c r="A51">
        <v>70342</v>
      </c>
      <c r="B51" t="s">
        <v>44</v>
      </c>
      <c r="C51" t="s">
        <v>45</v>
      </c>
      <c r="D51">
        <v>2</v>
      </c>
      <c r="E51">
        <v>0</v>
      </c>
      <c r="F51" t="s">
        <v>46</v>
      </c>
      <c r="G51" t="s">
        <v>16</v>
      </c>
      <c r="H51">
        <v>7878787</v>
      </c>
    </row>
    <row r="52" spans="1:8" x14ac:dyDescent="0.25">
      <c r="A52">
        <v>70342</v>
      </c>
      <c r="B52" t="s">
        <v>44</v>
      </c>
      <c r="C52" t="s">
        <v>45</v>
      </c>
      <c r="D52">
        <v>2</v>
      </c>
      <c r="E52">
        <v>0</v>
      </c>
      <c r="F52" t="s">
        <v>46</v>
      </c>
      <c r="G52" t="s">
        <v>17</v>
      </c>
      <c r="H52">
        <v>7878787</v>
      </c>
    </row>
    <row r="53" spans="1:8" x14ac:dyDescent="0.25">
      <c r="A53">
        <v>70342</v>
      </c>
      <c r="B53" t="s">
        <v>44</v>
      </c>
      <c r="C53" t="s">
        <v>45</v>
      </c>
      <c r="D53">
        <v>2</v>
      </c>
      <c r="E53">
        <v>0</v>
      </c>
      <c r="F53" t="s">
        <v>47</v>
      </c>
      <c r="G53" t="s">
        <v>29</v>
      </c>
      <c r="H53">
        <v>7878787</v>
      </c>
    </row>
    <row r="54" spans="1:8" x14ac:dyDescent="0.25">
      <c r="A54">
        <v>70342</v>
      </c>
      <c r="B54" t="s">
        <v>44</v>
      </c>
      <c r="C54" t="s">
        <v>45</v>
      </c>
      <c r="D54">
        <v>2</v>
      </c>
      <c r="E54">
        <v>0</v>
      </c>
      <c r="F54" t="s">
        <v>47</v>
      </c>
      <c r="G54" t="s">
        <v>30</v>
      </c>
      <c r="H54">
        <v>7878787</v>
      </c>
    </row>
    <row r="55" spans="1:8" x14ac:dyDescent="0.25">
      <c r="A55">
        <v>70342</v>
      </c>
      <c r="B55" t="s">
        <v>44</v>
      </c>
      <c r="C55" t="s">
        <v>45</v>
      </c>
      <c r="D55">
        <v>2</v>
      </c>
      <c r="E55">
        <v>0</v>
      </c>
      <c r="F55" t="s">
        <v>47</v>
      </c>
      <c r="G55" t="s">
        <v>31</v>
      </c>
      <c r="H55">
        <v>7878787</v>
      </c>
    </row>
    <row r="56" spans="1:8" x14ac:dyDescent="0.25">
      <c r="A56">
        <v>70342</v>
      </c>
      <c r="B56" t="s">
        <v>44</v>
      </c>
      <c r="C56" t="s">
        <v>45</v>
      </c>
      <c r="D56">
        <v>2</v>
      </c>
      <c r="E56">
        <v>0</v>
      </c>
      <c r="F56" t="s">
        <v>47</v>
      </c>
      <c r="G56" t="s">
        <v>32</v>
      </c>
      <c r="H56">
        <v>7878787</v>
      </c>
    </row>
    <row r="57" spans="1:8" x14ac:dyDescent="0.25">
      <c r="A57">
        <v>70342</v>
      </c>
      <c r="B57" t="s">
        <v>44</v>
      </c>
      <c r="C57" t="s">
        <v>45</v>
      </c>
      <c r="D57">
        <v>2</v>
      </c>
      <c r="E57">
        <v>0</v>
      </c>
      <c r="F57" t="s">
        <v>47</v>
      </c>
      <c r="G57" t="s">
        <v>33</v>
      </c>
      <c r="H57">
        <v>7878787</v>
      </c>
    </row>
    <row r="58" spans="1:8" x14ac:dyDescent="0.25">
      <c r="A58">
        <v>70342</v>
      </c>
      <c r="B58" t="s">
        <v>44</v>
      </c>
      <c r="C58" t="s">
        <v>45</v>
      </c>
      <c r="D58">
        <v>2</v>
      </c>
      <c r="E58">
        <v>0</v>
      </c>
      <c r="F58" t="s">
        <v>47</v>
      </c>
      <c r="G58" t="s">
        <v>34</v>
      </c>
      <c r="H58">
        <v>7878787</v>
      </c>
    </row>
    <row r="59" spans="1:8" x14ac:dyDescent="0.25">
      <c r="A59">
        <v>70342</v>
      </c>
      <c r="B59" t="s">
        <v>44</v>
      </c>
      <c r="C59" t="s">
        <v>45</v>
      </c>
      <c r="D59">
        <v>2</v>
      </c>
      <c r="E59">
        <v>0</v>
      </c>
      <c r="F59" t="s">
        <v>47</v>
      </c>
      <c r="G59" t="s">
        <v>35</v>
      </c>
      <c r="H59">
        <v>7878787</v>
      </c>
    </row>
    <row r="60" spans="1:8" x14ac:dyDescent="0.25">
      <c r="A60">
        <v>70342</v>
      </c>
      <c r="B60" t="s">
        <v>44</v>
      </c>
      <c r="C60" t="s">
        <v>45</v>
      </c>
      <c r="D60">
        <v>2</v>
      </c>
      <c r="E60">
        <v>0</v>
      </c>
      <c r="F60" t="s">
        <v>47</v>
      </c>
      <c r="G60" t="s">
        <v>36</v>
      </c>
      <c r="H60">
        <v>7878787</v>
      </c>
    </row>
    <row r="61" spans="1:8" x14ac:dyDescent="0.25">
      <c r="A61">
        <v>70342</v>
      </c>
      <c r="B61" t="s">
        <v>44</v>
      </c>
      <c r="C61" t="s">
        <v>45</v>
      </c>
      <c r="D61">
        <v>2</v>
      </c>
      <c r="E61">
        <v>0</v>
      </c>
      <c r="F61" t="s">
        <v>47</v>
      </c>
      <c r="G61" t="s">
        <v>37</v>
      </c>
      <c r="H61">
        <v>7878787</v>
      </c>
    </row>
    <row r="62" spans="1:8" x14ac:dyDescent="0.25">
      <c r="A62">
        <v>70342</v>
      </c>
      <c r="B62" t="s">
        <v>44</v>
      </c>
      <c r="C62" t="s">
        <v>45</v>
      </c>
      <c r="D62">
        <v>2</v>
      </c>
      <c r="E62">
        <v>0</v>
      </c>
      <c r="F62" t="s">
        <v>48</v>
      </c>
      <c r="G62" t="s">
        <v>20</v>
      </c>
      <c r="H62">
        <v>7878787</v>
      </c>
    </row>
    <row r="63" spans="1:8" x14ac:dyDescent="0.25">
      <c r="A63">
        <v>70342</v>
      </c>
      <c r="B63" t="s">
        <v>44</v>
      </c>
      <c r="C63" t="s">
        <v>45</v>
      </c>
      <c r="D63">
        <v>2</v>
      </c>
      <c r="E63">
        <v>0</v>
      </c>
      <c r="F63" t="s">
        <v>48</v>
      </c>
      <c r="G63" t="s">
        <v>21</v>
      </c>
      <c r="H63">
        <v>7878787</v>
      </c>
    </row>
    <row r="64" spans="1:8" x14ac:dyDescent="0.25">
      <c r="A64">
        <v>70342</v>
      </c>
      <c r="B64" t="s">
        <v>44</v>
      </c>
      <c r="C64" t="s">
        <v>45</v>
      </c>
      <c r="D64">
        <v>2</v>
      </c>
      <c r="E64">
        <v>0</v>
      </c>
      <c r="F64" t="s">
        <v>48</v>
      </c>
      <c r="G64" t="s">
        <v>22</v>
      </c>
      <c r="H64">
        <v>7878787</v>
      </c>
    </row>
    <row r="65" spans="1:8" x14ac:dyDescent="0.25">
      <c r="A65">
        <v>70342</v>
      </c>
      <c r="B65" t="s">
        <v>44</v>
      </c>
      <c r="C65" t="s">
        <v>45</v>
      </c>
      <c r="D65">
        <v>2</v>
      </c>
      <c r="E65">
        <v>0</v>
      </c>
      <c r="F65" t="s">
        <v>48</v>
      </c>
      <c r="G65" t="s">
        <v>23</v>
      </c>
      <c r="H65">
        <v>7878787</v>
      </c>
    </row>
    <row r="66" spans="1:8" x14ac:dyDescent="0.25">
      <c r="A66">
        <v>70342</v>
      </c>
      <c r="B66" t="s">
        <v>44</v>
      </c>
      <c r="C66" t="s">
        <v>45</v>
      </c>
      <c r="D66">
        <v>2</v>
      </c>
      <c r="E66">
        <v>0</v>
      </c>
      <c r="F66" t="s">
        <v>48</v>
      </c>
      <c r="G66" t="s">
        <v>24</v>
      </c>
      <c r="H66">
        <v>7878787</v>
      </c>
    </row>
    <row r="67" spans="1:8" x14ac:dyDescent="0.25">
      <c r="A67">
        <v>70342</v>
      </c>
      <c r="B67" t="s">
        <v>44</v>
      </c>
      <c r="C67" t="s">
        <v>45</v>
      </c>
      <c r="D67">
        <v>2</v>
      </c>
      <c r="E67">
        <v>0</v>
      </c>
      <c r="F67" t="s">
        <v>48</v>
      </c>
      <c r="G67" t="s">
        <v>25</v>
      </c>
      <c r="H67">
        <v>7878787</v>
      </c>
    </row>
    <row r="68" spans="1:8" x14ac:dyDescent="0.25">
      <c r="A68">
        <v>70342</v>
      </c>
      <c r="B68" t="s">
        <v>44</v>
      </c>
      <c r="C68" t="s">
        <v>45</v>
      </c>
      <c r="D68">
        <v>2</v>
      </c>
      <c r="E68">
        <v>0</v>
      </c>
      <c r="F68" t="s">
        <v>48</v>
      </c>
      <c r="G68" t="s">
        <v>26</v>
      </c>
      <c r="H68">
        <v>7878787</v>
      </c>
    </row>
    <row r="69" spans="1:8" x14ac:dyDescent="0.25">
      <c r="A69">
        <v>70342</v>
      </c>
      <c r="B69" t="s">
        <v>44</v>
      </c>
      <c r="C69" t="s">
        <v>45</v>
      </c>
      <c r="D69">
        <v>2</v>
      </c>
      <c r="E69">
        <v>0</v>
      </c>
      <c r="F69" t="s">
        <v>48</v>
      </c>
      <c r="G69" t="s">
        <v>27</v>
      </c>
      <c r="H69">
        <v>7878787</v>
      </c>
    </row>
    <row r="70" spans="1:8" x14ac:dyDescent="0.25">
      <c r="A70">
        <v>70342</v>
      </c>
      <c r="B70" t="s">
        <v>44</v>
      </c>
      <c r="C70" t="s">
        <v>45</v>
      </c>
      <c r="D70">
        <v>2</v>
      </c>
      <c r="E70">
        <v>0</v>
      </c>
      <c r="F70" t="s">
        <v>49</v>
      </c>
      <c r="G70" t="s">
        <v>49</v>
      </c>
      <c r="H70">
        <v>7878787</v>
      </c>
    </row>
    <row r="71" spans="1:8" x14ac:dyDescent="0.25">
      <c r="A71">
        <v>70343</v>
      </c>
      <c r="B71" t="s">
        <v>44</v>
      </c>
      <c r="C71" t="s">
        <v>45</v>
      </c>
      <c r="D71">
        <v>2</v>
      </c>
      <c r="E71">
        <v>0</v>
      </c>
      <c r="F71" t="s">
        <v>46</v>
      </c>
      <c r="G71" t="s">
        <v>13</v>
      </c>
      <c r="H71">
        <v>36333</v>
      </c>
    </row>
    <row r="72" spans="1:8" x14ac:dyDescent="0.25">
      <c r="A72">
        <v>70343</v>
      </c>
      <c r="B72" t="s">
        <v>44</v>
      </c>
      <c r="C72" t="s">
        <v>45</v>
      </c>
      <c r="D72">
        <v>2</v>
      </c>
      <c r="E72">
        <v>0</v>
      </c>
      <c r="F72" t="s">
        <v>46</v>
      </c>
      <c r="G72" t="s">
        <v>14</v>
      </c>
      <c r="H72">
        <v>36333</v>
      </c>
    </row>
    <row r="73" spans="1:8" x14ac:dyDescent="0.25">
      <c r="A73">
        <v>70343</v>
      </c>
      <c r="B73" t="s">
        <v>44</v>
      </c>
      <c r="C73" t="s">
        <v>45</v>
      </c>
      <c r="D73">
        <v>2</v>
      </c>
      <c r="E73">
        <v>0</v>
      </c>
      <c r="F73" t="s">
        <v>46</v>
      </c>
      <c r="G73" t="s">
        <v>15</v>
      </c>
      <c r="H73">
        <v>36333</v>
      </c>
    </row>
    <row r="74" spans="1:8" x14ac:dyDescent="0.25">
      <c r="A74">
        <v>70343</v>
      </c>
      <c r="B74" t="s">
        <v>44</v>
      </c>
      <c r="C74" t="s">
        <v>45</v>
      </c>
      <c r="D74">
        <v>2</v>
      </c>
      <c r="E74">
        <v>0</v>
      </c>
      <c r="F74" t="s">
        <v>46</v>
      </c>
      <c r="G74" t="s">
        <v>16</v>
      </c>
      <c r="H74">
        <v>36333</v>
      </c>
    </row>
    <row r="75" spans="1:8" x14ac:dyDescent="0.25">
      <c r="A75">
        <v>70343</v>
      </c>
      <c r="B75" t="s">
        <v>44</v>
      </c>
      <c r="C75" t="s">
        <v>45</v>
      </c>
      <c r="D75">
        <v>2</v>
      </c>
      <c r="E75">
        <v>0</v>
      </c>
      <c r="F75" t="s">
        <v>46</v>
      </c>
      <c r="G75" t="s">
        <v>17</v>
      </c>
      <c r="H75">
        <v>36333</v>
      </c>
    </row>
    <row r="76" spans="1:8" x14ac:dyDescent="0.25">
      <c r="A76">
        <v>70343</v>
      </c>
      <c r="B76" t="s">
        <v>44</v>
      </c>
      <c r="C76" t="s">
        <v>45</v>
      </c>
      <c r="D76">
        <v>2</v>
      </c>
      <c r="E76">
        <v>0</v>
      </c>
      <c r="F76" t="s">
        <v>47</v>
      </c>
      <c r="G76" t="s">
        <v>29</v>
      </c>
      <c r="H76">
        <v>36333</v>
      </c>
    </row>
    <row r="77" spans="1:8" x14ac:dyDescent="0.25">
      <c r="A77">
        <v>70343</v>
      </c>
      <c r="B77" t="s">
        <v>44</v>
      </c>
      <c r="C77" t="s">
        <v>45</v>
      </c>
      <c r="D77">
        <v>2</v>
      </c>
      <c r="E77">
        <v>0</v>
      </c>
      <c r="F77" t="s">
        <v>47</v>
      </c>
      <c r="G77" t="s">
        <v>30</v>
      </c>
      <c r="H77">
        <v>36333</v>
      </c>
    </row>
    <row r="78" spans="1:8" x14ac:dyDescent="0.25">
      <c r="A78">
        <v>70343</v>
      </c>
      <c r="B78" t="s">
        <v>44</v>
      </c>
      <c r="C78" t="s">
        <v>45</v>
      </c>
      <c r="D78">
        <v>2</v>
      </c>
      <c r="E78">
        <v>0</v>
      </c>
      <c r="F78" t="s">
        <v>47</v>
      </c>
      <c r="G78" t="s">
        <v>31</v>
      </c>
      <c r="H78">
        <v>36333</v>
      </c>
    </row>
    <row r="79" spans="1:8" x14ac:dyDescent="0.25">
      <c r="A79">
        <v>70343</v>
      </c>
      <c r="B79" t="s">
        <v>44</v>
      </c>
      <c r="C79" t="s">
        <v>45</v>
      </c>
      <c r="D79">
        <v>2</v>
      </c>
      <c r="E79">
        <v>0</v>
      </c>
      <c r="F79" t="s">
        <v>47</v>
      </c>
      <c r="G79" t="s">
        <v>32</v>
      </c>
      <c r="H79">
        <v>36333</v>
      </c>
    </row>
    <row r="80" spans="1:8" x14ac:dyDescent="0.25">
      <c r="A80">
        <v>70343</v>
      </c>
      <c r="B80" t="s">
        <v>44</v>
      </c>
      <c r="C80" t="s">
        <v>45</v>
      </c>
      <c r="D80">
        <v>2</v>
      </c>
      <c r="E80">
        <v>0</v>
      </c>
      <c r="F80" t="s">
        <v>47</v>
      </c>
      <c r="G80" t="s">
        <v>33</v>
      </c>
      <c r="H80">
        <v>36333</v>
      </c>
    </row>
    <row r="81" spans="1:8" x14ac:dyDescent="0.25">
      <c r="A81">
        <v>70343</v>
      </c>
      <c r="B81" t="s">
        <v>44</v>
      </c>
      <c r="C81" t="s">
        <v>45</v>
      </c>
      <c r="D81">
        <v>2</v>
      </c>
      <c r="E81">
        <v>0</v>
      </c>
      <c r="F81" t="s">
        <v>47</v>
      </c>
      <c r="G81" t="s">
        <v>34</v>
      </c>
      <c r="H81">
        <v>36333</v>
      </c>
    </row>
    <row r="82" spans="1:8" x14ac:dyDescent="0.25">
      <c r="A82">
        <v>70343</v>
      </c>
      <c r="B82" t="s">
        <v>44</v>
      </c>
      <c r="C82" t="s">
        <v>45</v>
      </c>
      <c r="D82">
        <v>2</v>
      </c>
      <c r="E82">
        <v>0</v>
      </c>
      <c r="F82" t="s">
        <v>47</v>
      </c>
      <c r="G82" t="s">
        <v>35</v>
      </c>
      <c r="H82">
        <v>36333</v>
      </c>
    </row>
    <row r="83" spans="1:8" x14ac:dyDescent="0.25">
      <c r="A83">
        <v>70343</v>
      </c>
      <c r="B83" t="s">
        <v>44</v>
      </c>
      <c r="C83" t="s">
        <v>45</v>
      </c>
      <c r="D83">
        <v>2</v>
      </c>
      <c r="E83">
        <v>0</v>
      </c>
      <c r="F83" t="s">
        <v>47</v>
      </c>
      <c r="G83" t="s">
        <v>36</v>
      </c>
      <c r="H83">
        <v>36333</v>
      </c>
    </row>
    <row r="84" spans="1:8" x14ac:dyDescent="0.25">
      <c r="A84">
        <v>70343</v>
      </c>
      <c r="B84" t="s">
        <v>44</v>
      </c>
      <c r="C84" t="s">
        <v>45</v>
      </c>
      <c r="D84">
        <v>2</v>
      </c>
      <c r="E84">
        <v>0</v>
      </c>
      <c r="F84" t="s">
        <v>47</v>
      </c>
      <c r="G84" t="s">
        <v>37</v>
      </c>
      <c r="H84">
        <v>36333</v>
      </c>
    </row>
    <row r="85" spans="1:8" x14ac:dyDescent="0.25">
      <c r="A85">
        <v>70343</v>
      </c>
      <c r="B85" t="s">
        <v>44</v>
      </c>
      <c r="C85" t="s">
        <v>45</v>
      </c>
      <c r="D85">
        <v>2</v>
      </c>
      <c r="E85">
        <v>0</v>
      </c>
      <c r="F85" t="s">
        <v>48</v>
      </c>
      <c r="G85" t="s">
        <v>20</v>
      </c>
      <c r="H85">
        <v>36333</v>
      </c>
    </row>
    <row r="86" spans="1:8" x14ac:dyDescent="0.25">
      <c r="A86">
        <v>70343</v>
      </c>
      <c r="B86" t="s">
        <v>44</v>
      </c>
      <c r="C86" t="s">
        <v>45</v>
      </c>
      <c r="D86">
        <v>2</v>
      </c>
      <c r="E86">
        <v>0</v>
      </c>
      <c r="F86" t="s">
        <v>48</v>
      </c>
      <c r="G86" t="s">
        <v>21</v>
      </c>
      <c r="H86">
        <v>36333</v>
      </c>
    </row>
    <row r="87" spans="1:8" x14ac:dyDescent="0.25">
      <c r="A87">
        <v>70343</v>
      </c>
      <c r="B87" t="s">
        <v>44</v>
      </c>
      <c r="C87" t="s">
        <v>45</v>
      </c>
      <c r="D87">
        <v>2</v>
      </c>
      <c r="E87">
        <v>0</v>
      </c>
      <c r="F87" t="s">
        <v>48</v>
      </c>
      <c r="G87" t="s">
        <v>22</v>
      </c>
      <c r="H87">
        <v>36333</v>
      </c>
    </row>
    <row r="88" spans="1:8" x14ac:dyDescent="0.25">
      <c r="A88">
        <v>70343</v>
      </c>
      <c r="B88" t="s">
        <v>44</v>
      </c>
      <c r="C88" t="s">
        <v>45</v>
      </c>
      <c r="D88">
        <v>2</v>
      </c>
      <c r="E88">
        <v>0</v>
      </c>
      <c r="F88" t="s">
        <v>48</v>
      </c>
      <c r="G88" t="s">
        <v>23</v>
      </c>
      <c r="H88">
        <v>36333</v>
      </c>
    </row>
    <row r="89" spans="1:8" x14ac:dyDescent="0.25">
      <c r="A89">
        <v>70343</v>
      </c>
      <c r="B89" t="s">
        <v>44</v>
      </c>
      <c r="C89" t="s">
        <v>45</v>
      </c>
      <c r="D89">
        <v>2</v>
      </c>
      <c r="E89">
        <v>0</v>
      </c>
      <c r="F89" t="s">
        <v>48</v>
      </c>
      <c r="G89" t="s">
        <v>24</v>
      </c>
      <c r="H89">
        <v>36333</v>
      </c>
    </row>
    <row r="90" spans="1:8" x14ac:dyDescent="0.25">
      <c r="A90">
        <v>70343</v>
      </c>
      <c r="B90" t="s">
        <v>44</v>
      </c>
      <c r="C90" t="s">
        <v>45</v>
      </c>
      <c r="D90">
        <v>2</v>
      </c>
      <c r="E90">
        <v>0</v>
      </c>
      <c r="F90" t="s">
        <v>48</v>
      </c>
      <c r="G90" t="s">
        <v>25</v>
      </c>
      <c r="H90">
        <v>36333</v>
      </c>
    </row>
    <row r="91" spans="1:8" x14ac:dyDescent="0.25">
      <c r="A91">
        <v>70343</v>
      </c>
      <c r="B91" t="s">
        <v>44</v>
      </c>
      <c r="C91" t="s">
        <v>45</v>
      </c>
      <c r="D91">
        <v>2</v>
      </c>
      <c r="E91">
        <v>0</v>
      </c>
      <c r="F91" t="s">
        <v>48</v>
      </c>
      <c r="G91" t="s">
        <v>26</v>
      </c>
      <c r="H91">
        <v>36333</v>
      </c>
    </row>
    <row r="92" spans="1:8" x14ac:dyDescent="0.25">
      <c r="A92">
        <v>70343</v>
      </c>
      <c r="B92" t="s">
        <v>44</v>
      </c>
      <c r="C92" t="s">
        <v>45</v>
      </c>
      <c r="D92">
        <v>2</v>
      </c>
      <c r="E92">
        <v>0</v>
      </c>
      <c r="F92" t="s">
        <v>48</v>
      </c>
      <c r="G92" t="s">
        <v>27</v>
      </c>
      <c r="H92">
        <v>36333</v>
      </c>
    </row>
    <row r="93" spans="1:8" x14ac:dyDescent="0.25">
      <c r="A93">
        <v>70343</v>
      </c>
      <c r="B93" t="s">
        <v>44</v>
      </c>
      <c r="C93" t="s">
        <v>45</v>
      </c>
      <c r="D93">
        <v>2</v>
      </c>
      <c r="E93">
        <v>0</v>
      </c>
      <c r="F93" t="s">
        <v>49</v>
      </c>
      <c r="G93" t="s">
        <v>49</v>
      </c>
      <c r="H93">
        <v>36333</v>
      </c>
    </row>
    <row r="94" spans="1:8" x14ac:dyDescent="0.25">
      <c r="A94">
        <v>70344</v>
      </c>
      <c r="B94" t="s">
        <v>44</v>
      </c>
      <c r="C94" t="s">
        <v>45</v>
      </c>
      <c r="D94">
        <v>2</v>
      </c>
      <c r="E94">
        <v>0</v>
      </c>
      <c r="F94" t="s">
        <v>46</v>
      </c>
      <c r="G94" t="s">
        <v>13</v>
      </c>
      <c r="H94">
        <v>88888</v>
      </c>
    </row>
    <row r="95" spans="1:8" x14ac:dyDescent="0.25">
      <c r="A95">
        <v>70344</v>
      </c>
      <c r="B95" t="s">
        <v>44</v>
      </c>
      <c r="C95" t="s">
        <v>45</v>
      </c>
      <c r="D95">
        <v>2</v>
      </c>
      <c r="E95">
        <v>0</v>
      </c>
      <c r="F95" t="s">
        <v>46</v>
      </c>
      <c r="G95" t="s">
        <v>14</v>
      </c>
      <c r="H95">
        <v>88888</v>
      </c>
    </row>
    <row r="96" spans="1:8" x14ac:dyDescent="0.25">
      <c r="A96">
        <v>70344</v>
      </c>
      <c r="B96" t="s">
        <v>44</v>
      </c>
      <c r="C96" t="s">
        <v>45</v>
      </c>
      <c r="D96">
        <v>2</v>
      </c>
      <c r="E96">
        <v>0</v>
      </c>
      <c r="F96" t="s">
        <v>46</v>
      </c>
      <c r="G96" t="s">
        <v>15</v>
      </c>
      <c r="H96">
        <v>88888</v>
      </c>
    </row>
    <row r="97" spans="1:8" x14ac:dyDescent="0.25">
      <c r="A97">
        <v>70344</v>
      </c>
      <c r="B97" t="s">
        <v>44</v>
      </c>
      <c r="C97" t="s">
        <v>45</v>
      </c>
      <c r="D97">
        <v>2</v>
      </c>
      <c r="E97">
        <v>0</v>
      </c>
      <c r="F97" t="s">
        <v>46</v>
      </c>
      <c r="G97" t="s">
        <v>16</v>
      </c>
      <c r="H97">
        <v>88888</v>
      </c>
    </row>
    <row r="98" spans="1:8" x14ac:dyDescent="0.25">
      <c r="A98">
        <v>70344</v>
      </c>
      <c r="B98" t="s">
        <v>44</v>
      </c>
      <c r="C98" t="s">
        <v>45</v>
      </c>
      <c r="D98">
        <v>2</v>
      </c>
      <c r="E98">
        <v>0</v>
      </c>
      <c r="F98" t="s">
        <v>46</v>
      </c>
      <c r="G98" t="s">
        <v>17</v>
      </c>
      <c r="H98">
        <v>88888</v>
      </c>
    </row>
    <row r="99" spans="1:8" x14ac:dyDescent="0.25">
      <c r="A99">
        <v>70344</v>
      </c>
      <c r="B99" t="s">
        <v>44</v>
      </c>
      <c r="C99" t="s">
        <v>45</v>
      </c>
      <c r="D99">
        <v>2</v>
      </c>
      <c r="E99">
        <v>0</v>
      </c>
      <c r="F99" t="s">
        <v>47</v>
      </c>
      <c r="G99" t="s">
        <v>29</v>
      </c>
      <c r="H99">
        <v>88888</v>
      </c>
    </row>
    <row r="100" spans="1:8" x14ac:dyDescent="0.25">
      <c r="A100">
        <v>70344</v>
      </c>
      <c r="B100" t="s">
        <v>44</v>
      </c>
      <c r="C100" t="s">
        <v>45</v>
      </c>
      <c r="D100">
        <v>2</v>
      </c>
      <c r="E100">
        <v>0</v>
      </c>
      <c r="F100" t="s">
        <v>47</v>
      </c>
      <c r="G100" t="s">
        <v>30</v>
      </c>
      <c r="H100">
        <v>88888</v>
      </c>
    </row>
    <row r="101" spans="1:8" x14ac:dyDescent="0.25">
      <c r="A101">
        <v>70344</v>
      </c>
      <c r="B101" t="s">
        <v>44</v>
      </c>
      <c r="C101" t="s">
        <v>45</v>
      </c>
      <c r="D101">
        <v>2</v>
      </c>
      <c r="E101">
        <v>0</v>
      </c>
      <c r="F101" t="s">
        <v>47</v>
      </c>
      <c r="G101" t="s">
        <v>31</v>
      </c>
      <c r="H101">
        <v>88888</v>
      </c>
    </row>
    <row r="102" spans="1:8" x14ac:dyDescent="0.25">
      <c r="A102">
        <v>70344</v>
      </c>
      <c r="B102" t="s">
        <v>44</v>
      </c>
      <c r="C102" t="s">
        <v>45</v>
      </c>
      <c r="D102">
        <v>2</v>
      </c>
      <c r="E102">
        <v>0</v>
      </c>
      <c r="F102" t="s">
        <v>47</v>
      </c>
      <c r="G102" t="s">
        <v>32</v>
      </c>
      <c r="H102">
        <v>88888</v>
      </c>
    </row>
    <row r="103" spans="1:8" x14ac:dyDescent="0.25">
      <c r="A103">
        <v>70344</v>
      </c>
      <c r="B103" t="s">
        <v>44</v>
      </c>
      <c r="C103" t="s">
        <v>45</v>
      </c>
      <c r="D103">
        <v>2</v>
      </c>
      <c r="E103">
        <v>0</v>
      </c>
      <c r="F103" t="s">
        <v>47</v>
      </c>
      <c r="G103" t="s">
        <v>33</v>
      </c>
      <c r="H103">
        <v>88888</v>
      </c>
    </row>
    <row r="104" spans="1:8" x14ac:dyDescent="0.25">
      <c r="A104">
        <v>70344</v>
      </c>
      <c r="B104" t="s">
        <v>44</v>
      </c>
      <c r="C104" t="s">
        <v>45</v>
      </c>
      <c r="D104">
        <v>2</v>
      </c>
      <c r="E104">
        <v>0</v>
      </c>
      <c r="F104" t="s">
        <v>47</v>
      </c>
      <c r="G104" t="s">
        <v>34</v>
      </c>
      <c r="H104">
        <v>88888</v>
      </c>
    </row>
    <row r="105" spans="1:8" x14ac:dyDescent="0.25">
      <c r="A105">
        <v>70344</v>
      </c>
      <c r="B105" t="s">
        <v>44</v>
      </c>
      <c r="C105" t="s">
        <v>45</v>
      </c>
      <c r="D105">
        <v>2</v>
      </c>
      <c r="E105">
        <v>0</v>
      </c>
      <c r="F105" t="s">
        <v>47</v>
      </c>
      <c r="G105" t="s">
        <v>35</v>
      </c>
      <c r="H105">
        <v>88888</v>
      </c>
    </row>
    <row r="106" spans="1:8" x14ac:dyDescent="0.25">
      <c r="A106">
        <v>70344</v>
      </c>
      <c r="B106" t="s">
        <v>44</v>
      </c>
      <c r="C106" t="s">
        <v>45</v>
      </c>
      <c r="D106">
        <v>2</v>
      </c>
      <c r="E106">
        <v>0</v>
      </c>
      <c r="F106" t="s">
        <v>47</v>
      </c>
      <c r="G106" t="s">
        <v>36</v>
      </c>
      <c r="H106">
        <v>88888</v>
      </c>
    </row>
    <row r="107" spans="1:8" x14ac:dyDescent="0.25">
      <c r="A107">
        <v>70344</v>
      </c>
      <c r="B107" t="s">
        <v>44</v>
      </c>
      <c r="C107" t="s">
        <v>45</v>
      </c>
      <c r="D107">
        <v>2</v>
      </c>
      <c r="E107">
        <v>0</v>
      </c>
      <c r="F107" t="s">
        <v>47</v>
      </c>
      <c r="G107" t="s">
        <v>37</v>
      </c>
      <c r="H107">
        <v>88888</v>
      </c>
    </row>
    <row r="108" spans="1:8" x14ac:dyDescent="0.25">
      <c r="A108">
        <v>70344</v>
      </c>
      <c r="B108" t="s">
        <v>44</v>
      </c>
      <c r="C108" t="s">
        <v>45</v>
      </c>
      <c r="D108">
        <v>2</v>
      </c>
      <c r="E108">
        <v>0</v>
      </c>
      <c r="F108" t="s">
        <v>48</v>
      </c>
      <c r="G108" t="s">
        <v>20</v>
      </c>
      <c r="H108">
        <v>88888</v>
      </c>
    </row>
    <row r="109" spans="1:8" x14ac:dyDescent="0.25">
      <c r="A109">
        <v>70344</v>
      </c>
      <c r="B109" t="s">
        <v>44</v>
      </c>
      <c r="C109" t="s">
        <v>45</v>
      </c>
      <c r="D109">
        <v>2</v>
      </c>
      <c r="E109">
        <v>0</v>
      </c>
      <c r="F109" t="s">
        <v>48</v>
      </c>
      <c r="G109" t="s">
        <v>21</v>
      </c>
      <c r="H109">
        <v>88888</v>
      </c>
    </row>
    <row r="110" spans="1:8" x14ac:dyDescent="0.25">
      <c r="A110">
        <v>70344</v>
      </c>
      <c r="B110" t="s">
        <v>44</v>
      </c>
      <c r="C110" t="s">
        <v>45</v>
      </c>
      <c r="D110">
        <v>2</v>
      </c>
      <c r="E110">
        <v>0</v>
      </c>
      <c r="F110" t="s">
        <v>48</v>
      </c>
      <c r="G110" t="s">
        <v>22</v>
      </c>
      <c r="H110">
        <v>88888</v>
      </c>
    </row>
    <row r="111" spans="1:8" x14ac:dyDescent="0.25">
      <c r="A111">
        <v>70344</v>
      </c>
      <c r="B111" t="s">
        <v>44</v>
      </c>
      <c r="C111" t="s">
        <v>45</v>
      </c>
      <c r="D111">
        <v>2</v>
      </c>
      <c r="E111">
        <v>0</v>
      </c>
      <c r="F111" t="s">
        <v>48</v>
      </c>
      <c r="G111" t="s">
        <v>23</v>
      </c>
      <c r="H111">
        <v>88888</v>
      </c>
    </row>
    <row r="112" spans="1:8" x14ac:dyDescent="0.25">
      <c r="A112">
        <v>70344</v>
      </c>
      <c r="B112" t="s">
        <v>44</v>
      </c>
      <c r="C112" t="s">
        <v>45</v>
      </c>
      <c r="D112">
        <v>2</v>
      </c>
      <c r="E112">
        <v>0</v>
      </c>
      <c r="F112" t="s">
        <v>48</v>
      </c>
      <c r="G112" t="s">
        <v>24</v>
      </c>
      <c r="H112">
        <v>88888</v>
      </c>
    </row>
    <row r="113" spans="1:8" x14ac:dyDescent="0.25">
      <c r="A113">
        <v>70344</v>
      </c>
      <c r="B113" t="s">
        <v>44</v>
      </c>
      <c r="C113" t="s">
        <v>45</v>
      </c>
      <c r="D113">
        <v>2</v>
      </c>
      <c r="E113">
        <v>0</v>
      </c>
      <c r="F113" t="s">
        <v>48</v>
      </c>
      <c r="G113" t="s">
        <v>25</v>
      </c>
      <c r="H113">
        <v>88888</v>
      </c>
    </row>
    <row r="114" spans="1:8" x14ac:dyDescent="0.25">
      <c r="A114">
        <v>70344</v>
      </c>
      <c r="B114" t="s">
        <v>44</v>
      </c>
      <c r="C114" t="s">
        <v>45</v>
      </c>
      <c r="D114">
        <v>2</v>
      </c>
      <c r="E114">
        <v>0</v>
      </c>
      <c r="F114" t="s">
        <v>48</v>
      </c>
      <c r="G114" t="s">
        <v>26</v>
      </c>
      <c r="H114">
        <v>88888</v>
      </c>
    </row>
    <row r="115" spans="1:8" x14ac:dyDescent="0.25">
      <c r="A115">
        <v>70344</v>
      </c>
      <c r="B115" t="s">
        <v>44</v>
      </c>
      <c r="C115" t="s">
        <v>45</v>
      </c>
      <c r="D115">
        <v>2</v>
      </c>
      <c r="E115">
        <v>0</v>
      </c>
      <c r="F115" t="s">
        <v>48</v>
      </c>
      <c r="G115" t="s">
        <v>27</v>
      </c>
      <c r="H115">
        <v>88888</v>
      </c>
    </row>
    <row r="116" spans="1:8" x14ac:dyDescent="0.25">
      <c r="A116">
        <v>70344</v>
      </c>
      <c r="B116" t="s">
        <v>44</v>
      </c>
      <c r="C116" t="s">
        <v>45</v>
      </c>
      <c r="D116">
        <v>2</v>
      </c>
      <c r="E116">
        <v>0</v>
      </c>
      <c r="F116" t="s">
        <v>49</v>
      </c>
      <c r="G116" t="s">
        <v>49</v>
      </c>
      <c r="H116">
        <v>88888</v>
      </c>
    </row>
    <row r="117" spans="1:8" x14ac:dyDescent="0.25">
      <c r="A117">
        <v>70345</v>
      </c>
      <c r="B117" t="s">
        <v>44</v>
      </c>
      <c r="C117" t="s">
        <v>45</v>
      </c>
      <c r="D117">
        <v>2</v>
      </c>
      <c r="E117">
        <v>0</v>
      </c>
      <c r="F117" t="s">
        <v>46</v>
      </c>
      <c r="G117" t="s">
        <v>13</v>
      </c>
      <c r="H117">
        <v>22222</v>
      </c>
    </row>
    <row r="118" spans="1:8" x14ac:dyDescent="0.25">
      <c r="A118">
        <v>70345</v>
      </c>
      <c r="B118" t="s">
        <v>44</v>
      </c>
      <c r="C118" t="s">
        <v>45</v>
      </c>
      <c r="D118">
        <v>2</v>
      </c>
      <c r="E118">
        <v>0</v>
      </c>
      <c r="F118" t="s">
        <v>46</v>
      </c>
      <c r="G118" t="s">
        <v>14</v>
      </c>
      <c r="H118">
        <v>22222</v>
      </c>
    </row>
    <row r="119" spans="1:8" x14ac:dyDescent="0.25">
      <c r="A119">
        <v>70345</v>
      </c>
      <c r="B119" t="s">
        <v>44</v>
      </c>
      <c r="C119" t="s">
        <v>45</v>
      </c>
      <c r="D119">
        <v>2</v>
      </c>
      <c r="E119">
        <v>0</v>
      </c>
      <c r="F119" t="s">
        <v>46</v>
      </c>
      <c r="G119" t="s">
        <v>15</v>
      </c>
      <c r="H119">
        <v>22222</v>
      </c>
    </row>
    <row r="120" spans="1:8" x14ac:dyDescent="0.25">
      <c r="A120">
        <v>70345</v>
      </c>
      <c r="B120" t="s">
        <v>44</v>
      </c>
      <c r="C120" t="s">
        <v>45</v>
      </c>
      <c r="D120">
        <v>2</v>
      </c>
      <c r="E120">
        <v>0</v>
      </c>
      <c r="F120" t="s">
        <v>46</v>
      </c>
      <c r="G120" t="s">
        <v>16</v>
      </c>
      <c r="H120">
        <v>22222</v>
      </c>
    </row>
    <row r="121" spans="1:8" x14ac:dyDescent="0.25">
      <c r="A121">
        <v>70345</v>
      </c>
      <c r="B121" t="s">
        <v>44</v>
      </c>
      <c r="C121" t="s">
        <v>45</v>
      </c>
      <c r="D121">
        <v>2</v>
      </c>
      <c r="E121">
        <v>0</v>
      </c>
      <c r="F121" t="s">
        <v>46</v>
      </c>
      <c r="G121" t="s">
        <v>17</v>
      </c>
      <c r="H121">
        <v>22222</v>
      </c>
    </row>
    <row r="122" spans="1:8" x14ac:dyDescent="0.25">
      <c r="A122">
        <v>70345</v>
      </c>
      <c r="B122" t="s">
        <v>44</v>
      </c>
      <c r="C122" t="s">
        <v>45</v>
      </c>
      <c r="D122">
        <v>2</v>
      </c>
      <c r="E122">
        <v>0</v>
      </c>
      <c r="F122" t="s">
        <v>47</v>
      </c>
      <c r="G122" t="s">
        <v>29</v>
      </c>
      <c r="H122">
        <v>22222</v>
      </c>
    </row>
    <row r="123" spans="1:8" x14ac:dyDescent="0.25">
      <c r="A123">
        <v>70345</v>
      </c>
      <c r="B123" t="s">
        <v>44</v>
      </c>
      <c r="C123" t="s">
        <v>45</v>
      </c>
      <c r="D123">
        <v>2</v>
      </c>
      <c r="E123">
        <v>0</v>
      </c>
      <c r="F123" t="s">
        <v>47</v>
      </c>
      <c r="G123" t="s">
        <v>30</v>
      </c>
      <c r="H123">
        <v>22222</v>
      </c>
    </row>
    <row r="124" spans="1:8" x14ac:dyDescent="0.25">
      <c r="A124">
        <v>70345</v>
      </c>
      <c r="B124" t="s">
        <v>44</v>
      </c>
      <c r="C124" t="s">
        <v>45</v>
      </c>
      <c r="D124">
        <v>2</v>
      </c>
      <c r="E124">
        <v>0</v>
      </c>
      <c r="F124" t="s">
        <v>47</v>
      </c>
      <c r="G124" t="s">
        <v>31</v>
      </c>
      <c r="H124">
        <v>22222</v>
      </c>
    </row>
    <row r="125" spans="1:8" x14ac:dyDescent="0.25">
      <c r="A125">
        <v>70345</v>
      </c>
      <c r="B125" t="s">
        <v>44</v>
      </c>
      <c r="C125" t="s">
        <v>45</v>
      </c>
      <c r="D125">
        <v>2</v>
      </c>
      <c r="E125">
        <v>0</v>
      </c>
      <c r="F125" t="s">
        <v>47</v>
      </c>
      <c r="G125" t="s">
        <v>32</v>
      </c>
      <c r="H125">
        <v>22222</v>
      </c>
    </row>
    <row r="126" spans="1:8" x14ac:dyDescent="0.25">
      <c r="A126">
        <v>70345</v>
      </c>
      <c r="B126" t="s">
        <v>44</v>
      </c>
      <c r="C126" t="s">
        <v>45</v>
      </c>
      <c r="D126">
        <v>2</v>
      </c>
      <c r="E126">
        <v>0</v>
      </c>
      <c r="F126" t="s">
        <v>47</v>
      </c>
      <c r="G126" t="s">
        <v>33</v>
      </c>
      <c r="H126">
        <v>22222</v>
      </c>
    </row>
    <row r="127" spans="1:8" x14ac:dyDescent="0.25">
      <c r="A127">
        <v>70345</v>
      </c>
      <c r="B127" t="s">
        <v>44</v>
      </c>
      <c r="C127" t="s">
        <v>45</v>
      </c>
      <c r="D127">
        <v>2</v>
      </c>
      <c r="E127">
        <v>0</v>
      </c>
      <c r="F127" t="s">
        <v>47</v>
      </c>
      <c r="G127" t="s">
        <v>34</v>
      </c>
      <c r="H127">
        <v>22222</v>
      </c>
    </row>
    <row r="128" spans="1:8" x14ac:dyDescent="0.25">
      <c r="A128">
        <v>70345</v>
      </c>
      <c r="B128" t="s">
        <v>44</v>
      </c>
      <c r="C128" t="s">
        <v>45</v>
      </c>
      <c r="D128">
        <v>2</v>
      </c>
      <c r="E128">
        <v>0</v>
      </c>
      <c r="F128" t="s">
        <v>47</v>
      </c>
      <c r="G128" t="s">
        <v>35</v>
      </c>
      <c r="H128">
        <v>22222</v>
      </c>
    </row>
    <row r="129" spans="1:8" x14ac:dyDescent="0.25">
      <c r="A129">
        <v>70345</v>
      </c>
      <c r="B129" t="s">
        <v>44</v>
      </c>
      <c r="C129" t="s">
        <v>45</v>
      </c>
      <c r="D129">
        <v>2</v>
      </c>
      <c r="E129">
        <v>0</v>
      </c>
      <c r="F129" t="s">
        <v>47</v>
      </c>
      <c r="G129" t="s">
        <v>36</v>
      </c>
      <c r="H129">
        <v>22222</v>
      </c>
    </row>
    <row r="130" spans="1:8" x14ac:dyDescent="0.25">
      <c r="A130">
        <v>70345</v>
      </c>
      <c r="B130" t="s">
        <v>44</v>
      </c>
      <c r="C130" t="s">
        <v>45</v>
      </c>
      <c r="D130">
        <v>2</v>
      </c>
      <c r="E130">
        <v>0</v>
      </c>
      <c r="F130" t="s">
        <v>47</v>
      </c>
      <c r="G130" t="s">
        <v>37</v>
      </c>
      <c r="H130">
        <v>22222</v>
      </c>
    </row>
    <row r="131" spans="1:8" x14ac:dyDescent="0.25">
      <c r="A131">
        <v>70345</v>
      </c>
      <c r="B131" t="s">
        <v>44</v>
      </c>
      <c r="C131" t="s">
        <v>45</v>
      </c>
      <c r="D131">
        <v>2</v>
      </c>
      <c r="E131">
        <v>0</v>
      </c>
      <c r="F131" t="s">
        <v>48</v>
      </c>
      <c r="G131" t="s">
        <v>20</v>
      </c>
      <c r="H131">
        <v>22222</v>
      </c>
    </row>
    <row r="132" spans="1:8" x14ac:dyDescent="0.25">
      <c r="A132">
        <v>70345</v>
      </c>
      <c r="B132" t="s">
        <v>44</v>
      </c>
      <c r="C132" t="s">
        <v>45</v>
      </c>
      <c r="D132">
        <v>2</v>
      </c>
      <c r="E132">
        <v>0</v>
      </c>
      <c r="F132" t="s">
        <v>48</v>
      </c>
      <c r="G132" t="s">
        <v>21</v>
      </c>
      <c r="H132">
        <v>22222</v>
      </c>
    </row>
    <row r="133" spans="1:8" x14ac:dyDescent="0.25">
      <c r="A133">
        <v>70345</v>
      </c>
      <c r="B133" t="s">
        <v>44</v>
      </c>
      <c r="C133" t="s">
        <v>45</v>
      </c>
      <c r="D133">
        <v>2</v>
      </c>
      <c r="E133">
        <v>0</v>
      </c>
      <c r="F133" t="s">
        <v>48</v>
      </c>
      <c r="G133" t="s">
        <v>22</v>
      </c>
      <c r="H133">
        <v>22222</v>
      </c>
    </row>
    <row r="134" spans="1:8" x14ac:dyDescent="0.25">
      <c r="A134">
        <v>70345</v>
      </c>
      <c r="B134" t="s">
        <v>44</v>
      </c>
      <c r="C134" t="s">
        <v>45</v>
      </c>
      <c r="D134">
        <v>2</v>
      </c>
      <c r="E134">
        <v>0</v>
      </c>
      <c r="F134" t="s">
        <v>48</v>
      </c>
      <c r="G134" t="s">
        <v>23</v>
      </c>
      <c r="H134">
        <v>22222</v>
      </c>
    </row>
    <row r="135" spans="1:8" x14ac:dyDescent="0.25">
      <c r="A135">
        <v>70345</v>
      </c>
      <c r="B135" t="s">
        <v>44</v>
      </c>
      <c r="C135" t="s">
        <v>45</v>
      </c>
      <c r="D135">
        <v>2</v>
      </c>
      <c r="E135">
        <v>0</v>
      </c>
      <c r="F135" t="s">
        <v>48</v>
      </c>
      <c r="G135" t="s">
        <v>24</v>
      </c>
      <c r="H135">
        <v>22222</v>
      </c>
    </row>
    <row r="136" spans="1:8" x14ac:dyDescent="0.25">
      <c r="A136">
        <v>70345</v>
      </c>
      <c r="B136" t="s">
        <v>44</v>
      </c>
      <c r="C136" t="s">
        <v>45</v>
      </c>
      <c r="D136">
        <v>2</v>
      </c>
      <c r="E136">
        <v>0</v>
      </c>
      <c r="F136" t="s">
        <v>48</v>
      </c>
      <c r="G136" t="s">
        <v>25</v>
      </c>
      <c r="H136">
        <v>22222</v>
      </c>
    </row>
    <row r="137" spans="1:8" x14ac:dyDescent="0.25">
      <c r="A137">
        <v>70345</v>
      </c>
      <c r="B137" t="s">
        <v>44</v>
      </c>
      <c r="C137" t="s">
        <v>45</v>
      </c>
      <c r="D137">
        <v>2</v>
      </c>
      <c r="E137">
        <v>0</v>
      </c>
      <c r="F137" t="s">
        <v>48</v>
      </c>
      <c r="G137" t="s">
        <v>26</v>
      </c>
      <c r="H137">
        <v>22222</v>
      </c>
    </row>
    <row r="138" spans="1:8" x14ac:dyDescent="0.25">
      <c r="A138">
        <v>70345</v>
      </c>
      <c r="B138" t="s">
        <v>44</v>
      </c>
      <c r="C138" t="s">
        <v>45</v>
      </c>
      <c r="D138">
        <v>2</v>
      </c>
      <c r="E138">
        <v>0</v>
      </c>
      <c r="F138" t="s">
        <v>48</v>
      </c>
      <c r="G138" t="s">
        <v>27</v>
      </c>
      <c r="H138">
        <v>22222</v>
      </c>
    </row>
    <row r="139" spans="1:8" x14ac:dyDescent="0.25">
      <c r="A139">
        <v>70345</v>
      </c>
      <c r="B139" t="s">
        <v>44</v>
      </c>
      <c r="C139" t="s">
        <v>45</v>
      </c>
      <c r="D139">
        <v>2</v>
      </c>
      <c r="E139">
        <v>0</v>
      </c>
      <c r="F139" t="s">
        <v>49</v>
      </c>
      <c r="G139" t="s">
        <v>49</v>
      </c>
      <c r="H139">
        <v>22222</v>
      </c>
    </row>
    <row r="140" spans="1:8" x14ac:dyDescent="0.25">
      <c r="A140">
        <v>70346</v>
      </c>
      <c r="B140" t="s">
        <v>44</v>
      </c>
      <c r="C140" t="s">
        <v>45</v>
      </c>
      <c r="D140">
        <v>2</v>
      </c>
      <c r="E140">
        <v>0</v>
      </c>
      <c r="F140" t="s">
        <v>46</v>
      </c>
      <c r="G140" t="s">
        <v>13</v>
      </c>
      <c r="H140">
        <v>33333</v>
      </c>
    </row>
    <row r="163" spans="1:8" x14ac:dyDescent="0.25">
      <c r="A163">
        <v>70347</v>
      </c>
      <c r="B163" t="s">
        <v>44</v>
      </c>
      <c r="C163" t="s">
        <v>45</v>
      </c>
      <c r="D163">
        <v>2</v>
      </c>
      <c r="E163">
        <v>0</v>
      </c>
      <c r="F163" t="s">
        <v>46</v>
      </c>
      <c r="G163" t="s">
        <v>13</v>
      </c>
      <c r="H163">
        <v>44444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Z22"/>
  <sheetViews>
    <sheetView workbookViewId="0">
      <selection activeCell="B1" sqref="B1:AK1"/>
    </sheetView>
  </sheetViews>
  <sheetFormatPr defaultRowHeight="15" x14ac:dyDescent="0.25"/>
  <cols>
    <col min="1" max="1" width="26.7109375" bestFit="1" customWidth="1"/>
    <col min="6" max="6" width="9.42578125" customWidth="1"/>
    <col min="7" max="7" width="12" customWidth="1"/>
  </cols>
  <sheetData>
    <row r="1" spans="1:104" x14ac:dyDescent="0.25">
      <c r="B1">
        <v>70340</v>
      </c>
      <c r="C1">
        <v>70341</v>
      </c>
      <c r="D1">
        <v>70342</v>
      </c>
      <c r="E1">
        <v>70343</v>
      </c>
      <c r="F1">
        <v>70344</v>
      </c>
      <c r="G1">
        <v>70345</v>
      </c>
      <c r="H1">
        <v>70346</v>
      </c>
      <c r="I1">
        <v>70347</v>
      </c>
      <c r="J1">
        <v>70348</v>
      </c>
      <c r="K1">
        <v>70349</v>
      </c>
      <c r="L1">
        <v>70350</v>
      </c>
      <c r="M1">
        <v>70352</v>
      </c>
      <c r="N1">
        <v>70354</v>
      </c>
      <c r="O1">
        <v>70357</v>
      </c>
      <c r="P1">
        <v>70358</v>
      </c>
      <c r="Q1">
        <v>70361</v>
      </c>
      <c r="R1">
        <v>70362</v>
      </c>
      <c r="S1">
        <v>70363</v>
      </c>
      <c r="T1">
        <v>70364</v>
      </c>
      <c r="U1">
        <v>70365</v>
      </c>
      <c r="V1">
        <v>70366</v>
      </c>
      <c r="W1">
        <v>70367</v>
      </c>
      <c r="X1">
        <v>70368</v>
      </c>
      <c r="Y1">
        <v>70369</v>
      </c>
      <c r="Z1">
        <v>70370</v>
      </c>
      <c r="AA1">
        <v>70371</v>
      </c>
      <c r="AB1">
        <v>70372</v>
      </c>
      <c r="AC1">
        <v>70373</v>
      </c>
      <c r="AD1">
        <v>70374</v>
      </c>
      <c r="AE1">
        <v>70375</v>
      </c>
      <c r="AF1">
        <v>70376</v>
      </c>
      <c r="AG1">
        <v>70377</v>
      </c>
      <c r="AH1">
        <v>70378</v>
      </c>
      <c r="AI1">
        <v>70379</v>
      </c>
      <c r="AJ1">
        <v>70381</v>
      </c>
      <c r="AK1">
        <v>70416</v>
      </c>
    </row>
    <row r="2" spans="1:104" x14ac:dyDescent="0.25">
      <c r="B2" s="4" t="str">
        <f>VLOOKUP(B$1,ProjectNames,2,FALSE)</f>
        <v>Park View at Catonsville</v>
      </c>
      <c r="C2" s="4" t="str">
        <f>VLOOKUP(C$1,ProjectNames,2,FALSE)</f>
        <v>Park View at South Pantops</v>
      </c>
      <c r="D2" s="4" t="str">
        <f t="shared" ref="D2:BO2" si="0">VLOOKUP(D$1,ProjectNames,2,FALSE)</f>
        <v>Park View at Tyler Run</v>
      </c>
      <c r="E2" s="4" t="str">
        <f t="shared" si="0"/>
        <v>Park View at Manchester Heights</v>
      </c>
      <c r="F2" s="4" t="str">
        <f t="shared" si="0"/>
        <v>Park View at Naaman's Creek</v>
      </c>
      <c r="G2" s="4" t="str">
        <f t="shared" si="0"/>
        <v>York Commons</v>
      </c>
      <c r="H2" s="4" t="str">
        <f t="shared" si="0"/>
        <v>Park View at Oak Crest</v>
      </c>
      <c r="I2" s="4" t="str">
        <f t="shared" si="0"/>
        <v>Park View at Cheltenham</v>
      </c>
      <c r="J2" s="4" t="str">
        <f t="shared" si="0"/>
        <v>Park View at Bethlehem</v>
      </c>
      <c r="K2" s="4" t="str">
        <f t="shared" si="0"/>
        <v>Westbrook Commons</v>
      </c>
      <c r="L2" s="4" t="str">
        <f t="shared" si="0"/>
        <v>Park View at Easton</v>
      </c>
      <c r="M2" s="4" t="str">
        <f t="shared" si="0"/>
        <v>Somerset Commons</v>
      </c>
      <c r="N2" s="4" t="str">
        <f t="shared" si="0"/>
        <v>Park View at Laurel I</v>
      </c>
      <c r="O2" s="4" t="str">
        <f t="shared" si="0"/>
        <v>Park View at Emerson</v>
      </c>
      <c r="P2" s="4" t="str">
        <f t="shared" si="0"/>
        <v>Park View at Ellicott City II</v>
      </c>
      <c r="Q2" s="4" t="str">
        <f t="shared" si="0"/>
        <v>Hickory Ridge</v>
      </c>
      <c r="R2" s="4" t="str">
        <f t="shared" si="0"/>
        <v>Park View at Snowden River</v>
      </c>
      <c r="S2" s="4" t="str">
        <f t="shared" si="0"/>
        <v>Park View at Columbia</v>
      </c>
      <c r="T2" s="4" t="str">
        <f t="shared" si="0"/>
        <v>Woodbridge Commons</v>
      </c>
      <c r="U2" s="4" t="str">
        <f t="shared" si="0"/>
        <v>Park View at Bel Air</v>
      </c>
      <c r="V2" s="4" t="str">
        <f t="shared" si="0"/>
        <v>Park View at Box Hill</v>
      </c>
      <c r="W2" s="4" t="str">
        <f t="shared" si="0"/>
        <v>College Parkway Place</v>
      </c>
      <c r="X2" s="4" t="str">
        <f t="shared" si="0"/>
        <v>Park View at Furnace Branch</v>
      </c>
      <c r="Y2" s="4" t="str">
        <f t="shared" si="0"/>
        <v>Park View at Severna Park</v>
      </c>
      <c r="Z2" s="4" t="str">
        <f t="shared" si="0"/>
        <v>Ashland Commons</v>
      </c>
      <c r="AA2" s="4" t="str">
        <f t="shared" si="0"/>
        <v>Park View at Fullerton</v>
      </c>
      <c r="AB2" s="4" t="str">
        <f t="shared" si="0"/>
        <v>Park View at Ashland Terrace</v>
      </c>
      <c r="AC2" s="4" t="str">
        <f t="shared" si="0"/>
        <v>Park View at Coldspring</v>
      </c>
      <c r="AD2" s="4" t="str">
        <f t="shared" si="0"/>
        <v>Park View at Taylor</v>
      </c>
      <c r="AE2" s="4" t="str">
        <f t="shared" si="0"/>
        <v>Park View at Woodlawn</v>
      </c>
      <c r="AF2" s="4" t="str">
        <f t="shared" si="0"/>
        <v>Park View at Miramar Landing</v>
      </c>
      <c r="AG2" s="4" t="str">
        <f t="shared" si="0"/>
        <v>Park View at Randallstown</v>
      </c>
      <c r="AH2" s="4" t="str">
        <f t="shared" si="0"/>
        <v>Park View at Rosedale</v>
      </c>
      <c r="AI2" s="4" t="str">
        <f t="shared" si="0"/>
        <v>Park View at Towson</v>
      </c>
      <c r="AJ2" s="4" t="str">
        <f t="shared" si="0"/>
        <v>Highland Commons</v>
      </c>
      <c r="AK2" s="4" t="str">
        <f t="shared" si="0"/>
        <v>test_project</v>
      </c>
      <c r="AL2" s="4" t="e">
        <f t="shared" si="0"/>
        <v>#N/A</v>
      </c>
      <c r="AM2" s="4" t="e">
        <f t="shared" si="0"/>
        <v>#N/A</v>
      </c>
      <c r="AN2" s="4" t="e">
        <f t="shared" si="0"/>
        <v>#N/A</v>
      </c>
      <c r="AO2" s="4" t="e">
        <f t="shared" si="0"/>
        <v>#N/A</v>
      </c>
      <c r="AP2" s="4" t="e">
        <f t="shared" si="0"/>
        <v>#N/A</v>
      </c>
      <c r="AQ2" s="4" t="e">
        <f t="shared" si="0"/>
        <v>#N/A</v>
      </c>
      <c r="AR2" s="4" t="e">
        <f t="shared" si="0"/>
        <v>#N/A</v>
      </c>
      <c r="AS2" s="4" t="e">
        <f t="shared" si="0"/>
        <v>#N/A</v>
      </c>
      <c r="AT2" s="4" t="e">
        <f t="shared" si="0"/>
        <v>#N/A</v>
      </c>
      <c r="AU2" s="4" t="e">
        <f t="shared" si="0"/>
        <v>#N/A</v>
      </c>
      <c r="AV2" s="4" t="e">
        <f t="shared" si="0"/>
        <v>#N/A</v>
      </c>
      <c r="AW2" s="4" t="e">
        <f t="shared" si="0"/>
        <v>#N/A</v>
      </c>
      <c r="AX2" s="4" t="e">
        <f t="shared" si="0"/>
        <v>#N/A</v>
      </c>
      <c r="AY2" s="4" t="e">
        <f t="shared" si="0"/>
        <v>#N/A</v>
      </c>
      <c r="AZ2" s="4" t="e">
        <f t="shared" si="0"/>
        <v>#N/A</v>
      </c>
      <c r="BA2" s="4" t="e">
        <f t="shared" si="0"/>
        <v>#N/A</v>
      </c>
      <c r="BB2" s="4" t="e">
        <f t="shared" si="0"/>
        <v>#N/A</v>
      </c>
      <c r="BC2" s="4" t="e">
        <f t="shared" si="0"/>
        <v>#N/A</v>
      </c>
      <c r="BD2" s="4" t="e">
        <f t="shared" si="0"/>
        <v>#N/A</v>
      </c>
      <c r="BE2" s="4" t="e">
        <f t="shared" si="0"/>
        <v>#N/A</v>
      </c>
      <c r="BF2" s="4" t="e">
        <f t="shared" si="0"/>
        <v>#N/A</v>
      </c>
      <c r="BG2" s="4" t="e">
        <f t="shared" si="0"/>
        <v>#N/A</v>
      </c>
      <c r="BH2" s="4" t="e">
        <f t="shared" si="0"/>
        <v>#N/A</v>
      </c>
      <c r="BI2" s="4" t="e">
        <f t="shared" si="0"/>
        <v>#N/A</v>
      </c>
      <c r="BJ2" s="4" t="e">
        <f t="shared" si="0"/>
        <v>#N/A</v>
      </c>
      <c r="BK2" s="4" t="e">
        <f t="shared" si="0"/>
        <v>#N/A</v>
      </c>
      <c r="BL2" s="4" t="e">
        <f t="shared" si="0"/>
        <v>#N/A</v>
      </c>
      <c r="BM2" s="4" t="e">
        <f t="shared" si="0"/>
        <v>#N/A</v>
      </c>
      <c r="BN2" s="4" t="e">
        <f t="shared" si="0"/>
        <v>#N/A</v>
      </c>
      <c r="BO2" s="4" t="e">
        <f t="shared" si="0"/>
        <v>#N/A</v>
      </c>
      <c r="BP2" s="4" t="e">
        <f t="shared" ref="BP2:CZ2" si="1">VLOOKUP(BP$1,ProjectNames,2,FALSE)</f>
        <v>#N/A</v>
      </c>
      <c r="BQ2" s="4" t="e">
        <f t="shared" si="1"/>
        <v>#N/A</v>
      </c>
      <c r="BR2" s="4" t="e">
        <f t="shared" si="1"/>
        <v>#N/A</v>
      </c>
      <c r="BS2" s="4" t="e">
        <f t="shared" si="1"/>
        <v>#N/A</v>
      </c>
      <c r="BT2" s="4" t="e">
        <f t="shared" si="1"/>
        <v>#N/A</v>
      </c>
      <c r="BU2" s="4" t="e">
        <f t="shared" si="1"/>
        <v>#N/A</v>
      </c>
      <c r="BV2" s="4" t="e">
        <f t="shared" si="1"/>
        <v>#N/A</v>
      </c>
      <c r="BW2" s="4" t="e">
        <f t="shared" si="1"/>
        <v>#N/A</v>
      </c>
      <c r="BX2" s="4" t="e">
        <f t="shared" si="1"/>
        <v>#N/A</v>
      </c>
      <c r="BY2" s="4" t="e">
        <f t="shared" si="1"/>
        <v>#N/A</v>
      </c>
      <c r="BZ2" s="4" t="e">
        <f t="shared" si="1"/>
        <v>#N/A</v>
      </c>
      <c r="CA2" s="4" t="e">
        <f t="shared" si="1"/>
        <v>#N/A</v>
      </c>
      <c r="CB2" s="4" t="e">
        <f t="shared" si="1"/>
        <v>#N/A</v>
      </c>
      <c r="CC2" s="4" t="e">
        <f t="shared" si="1"/>
        <v>#N/A</v>
      </c>
      <c r="CD2" s="4" t="e">
        <f t="shared" si="1"/>
        <v>#N/A</v>
      </c>
      <c r="CE2" s="4" t="e">
        <f t="shared" si="1"/>
        <v>#N/A</v>
      </c>
      <c r="CF2" s="4" t="e">
        <f t="shared" si="1"/>
        <v>#N/A</v>
      </c>
      <c r="CG2" s="4" t="e">
        <f t="shared" si="1"/>
        <v>#N/A</v>
      </c>
      <c r="CH2" s="4" t="e">
        <f t="shared" si="1"/>
        <v>#N/A</v>
      </c>
      <c r="CI2" s="4" t="e">
        <f t="shared" si="1"/>
        <v>#N/A</v>
      </c>
      <c r="CJ2" s="4" t="e">
        <f t="shared" si="1"/>
        <v>#N/A</v>
      </c>
      <c r="CK2" s="4" t="e">
        <f t="shared" si="1"/>
        <v>#N/A</v>
      </c>
      <c r="CL2" s="4" t="e">
        <f t="shared" si="1"/>
        <v>#N/A</v>
      </c>
      <c r="CM2" s="4" t="e">
        <f t="shared" si="1"/>
        <v>#N/A</v>
      </c>
      <c r="CN2" s="4" t="e">
        <f t="shared" si="1"/>
        <v>#N/A</v>
      </c>
      <c r="CO2" s="4" t="e">
        <f t="shared" si="1"/>
        <v>#N/A</v>
      </c>
      <c r="CP2" s="4" t="e">
        <f t="shared" si="1"/>
        <v>#N/A</v>
      </c>
      <c r="CQ2" s="4" t="e">
        <f t="shared" si="1"/>
        <v>#N/A</v>
      </c>
      <c r="CR2" s="4" t="e">
        <f t="shared" si="1"/>
        <v>#N/A</v>
      </c>
      <c r="CS2" s="4" t="e">
        <f t="shared" si="1"/>
        <v>#N/A</v>
      </c>
      <c r="CT2" s="4" t="e">
        <f t="shared" si="1"/>
        <v>#N/A</v>
      </c>
      <c r="CU2" s="4" t="e">
        <f t="shared" si="1"/>
        <v>#N/A</v>
      </c>
      <c r="CV2" s="4" t="e">
        <f t="shared" si="1"/>
        <v>#N/A</v>
      </c>
      <c r="CW2" s="4" t="e">
        <f t="shared" si="1"/>
        <v>#N/A</v>
      </c>
      <c r="CX2" s="4" t="e">
        <f t="shared" si="1"/>
        <v>#N/A</v>
      </c>
      <c r="CY2" s="4" t="e">
        <f t="shared" si="1"/>
        <v>#N/A</v>
      </c>
      <c r="CZ2" s="4" t="e">
        <f t="shared" si="1"/>
        <v>#N/A</v>
      </c>
    </row>
    <row r="4" spans="1:104" x14ac:dyDescent="0.25">
      <c r="A4" s="1" t="s">
        <v>137</v>
      </c>
    </row>
    <row r="6" spans="1:104" x14ac:dyDescent="0.25">
      <c r="A6" s="1" t="s">
        <v>124</v>
      </c>
    </row>
    <row r="7" spans="1:104" x14ac:dyDescent="0.25">
      <c r="A7" s="1" t="s">
        <v>124</v>
      </c>
    </row>
    <row r="8" spans="1:104" x14ac:dyDescent="0.25">
      <c r="A8" s="1" t="s">
        <v>125</v>
      </c>
    </row>
    <row r="9" spans="1:104" x14ac:dyDescent="0.25">
      <c r="A9" s="1" t="s">
        <v>126</v>
      </c>
    </row>
    <row r="10" spans="1:104" x14ac:dyDescent="0.25">
      <c r="A10" s="1" t="s">
        <v>127</v>
      </c>
    </row>
    <row r="11" spans="1:104" x14ac:dyDescent="0.25">
      <c r="A11" s="1" t="s">
        <v>127</v>
      </c>
    </row>
    <row r="12" spans="1:104" x14ac:dyDescent="0.25">
      <c r="A12" s="1" t="s">
        <v>128</v>
      </c>
    </row>
    <row r="13" spans="1:104" x14ac:dyDescent="0.25">
      <c r="A13" s="1" t="s">
        <v>129</v>
      </c>
    </row>
    <row r="14" spans="1:104" x14ac:dyDescent="0.25">
      <c r="A14" s="1" t="s">
        <v>130</v>
      </c>
    </row>
    <row r="15" spans="1:104" x14ac:dyDescent="0.25">
      <c r="A15" s="1" t="s">
        <v>131</v>
      </c>
    </row>
    <row r="16" spans="1:104" x14ac:dyDescent="0.25">
      <c r="A16" s="1" t="s">
        <v>131</v>
      </c>
    </row>
    <row r="17" spans="1:1" x14ac:dyDescent="0.25">
      <c r="A17" s="1" t="s">
        <v>132</v>
      </c>
    </row>
    <row r="19" spans="1:1" x14ac:dyDescent="0.25">
      <c r="A19" s="1" t="s">
        <v>138</v>
      </c>
    </row>
    <row r="21" spans="1:1" x14ac:dyDescent="0.25">
      <c r="A21" s="1" t="s">
        <v>135</v>
      </c>
    </row>
    <row r="22" spans="1:1" x14ac:dyDescent="0.25">
      <c r="A22" s="1" t="s">
        <v>136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6"/>
  <sheetViews>
    <sheetView tabSelected="1" workbookViewId="0">
      <selection activeCell="E6" sqref="E6"/>
    </sheetView>
  </sheetViews>
  <sheetFormatPr defaultRowHeight="15" x14ac:dyDescent="0.25"/>
  <cols>
    <col min="1" max="1" width="9.42578125" bestFit="1" customWidth="1"/>
    <col min="2" max="2" width="13.140625" bestFit="1" customWidth="1"/>
    <col min="3" max="3" width="8.85546875" bestFit="1" customWidth="1"/>
    <col min="5" max="5" width="21" bestFit="1" customWidth="1"/>
    <col min="6" max="6" width="22.140625" bestFit="1" customWidth="1"/>
    <col min="7" max="7" width="26.5703125" bestFit="1" customWidth="1"/>
  </cols>
  <sheetData>
    <row r="1" spans="1:8" x14ac:dyDescent="0.25">
      <c r="A1" s="1" t="s">
        <v>7</v>
      </c>
      <c r="B1" s="1" t="s">
        <v>4</v>
      </c>
      <c r="C1" s="1" t="s">
        <v>8</v>
      </c>
      <c r="D1" s="1" t="s">
        <v>9</v>
      </c>
      <c r="E1" s="1" t="s">
        <v>5</v>
      </c>
      <c r="F1" s="1" t="s">
        <v>10</v>
      </c>
      <c r="G1" s="1" t="s">
        <v>11</v>
      </c>
      <c r="H1" s="1" t="s">
        <v>12</v>
      </c>
    </row>
    <row r="2" spans="1:8" x14ac:dyDescent="0.25">
      <c r="A2" t="s">
        <v>43</v>
      </c>
      <c r="B2" t="s">
        <v>44</v>
      </c>
      <c r="C2" t="s">
        <v>45</v>
      </c>
      <c r="D2">
        <v>2</v>
      </c>
      <c r="E2">
        <v>0</v>
      </c>
      <c r="F2" t="s">
        <v>123</v>
      </c>
      <c r="G2" t="s">
        <v>124</v>
      </c>
    </row>
    <row r="3" spans="1:8" x14ac:dyDescent="0.25">
      <c r="A3" t="s">
        <v>43</v>
      </c>
      <c r="B3" t="s">
        <v>44</v>
      </c>
      <c r="C3" t="s">
        <v>45</v>
      </c>
      <c r="D3">
        <v>2</v>
      </c>
      <c r="E3">
        <v>0</v>
      </c>
      <c r="F3" t="s">
        <v>123</v>
      </c>
      <c r="G3" t="s">
        <v>124</v>
      </c>
      <c r="H3">
        <v>0</v>
      </c>
    </row>
    <row r="4" spans="1:8" x14ac:dyDescent="0.25">
      <c r="A4" t="s">
        <v>43</v>
      </c>
      <c r="B4" t="s">
        <v>44</v>
      </c>
      <c r="C4" t="s">
        <v>45</v>
      </c>
      <c r="D4">
        <v>2</v>
      </c>
      <c r="E4">
        <v>0</v>
      </c>
      <c r="F4" t="s">
        <v>123</v>
      </c>
      <c r="G4" t="s">
        <v>125</v>
      </c>
    </row>
    <row r="5" spans="1:8" x14ac:dyDescent="0.25">
      <c r="A5" t="s">
        <v>43</v>
      </c>
      <c r="B5" t="s">
        <v>44</v>
      </c>
      <c r="C5" t="s">
        <v>45</v>
      </c>
      <c r="D5">
        <v>2</v>
      </c>
      <c r="E5">
        <v>0</v>
      </c>
      <c r="F5" t="s">
        <v>123</v>
      </c>
      <c r="G5" t="s">
        <v>126</v>
      </c>
    </row>
    <row r="6" spans="1:8" x14ac:dyDescent="0.25">
      <c r="A6" t="s">
        <v>43</v>
      </c>
      <c r="B6" t="s">
        <v>44</v>
      </c>
      <c r="C6" t="s">
        <v>45</v>
      </c>
      <c r="D6">
        <v>2</v>
      </c>
      <c r="E6">
        <v>0</v>
      </c>
      <c r="F6" t="s">
        <v>123</v>
      </c>
      <c r="G6" t="s">
        <v>127</v>
      </c>
    </row>
    <row r="7" spans="1:8" x14ac:dyDescent="0.25">
      <c r="A7" t="s">
        <v>43</v>
      </c>
      <c r="B7" t="s">
        <v>44</v>
      </c>
      <c r="C7" t="s">
        <v>45</v>
      </c>
      <c r="D7">
        <v>2</v>
      </c>
      <c r="E7">
        <v>0</v>
      </c>
      <c r="F7" t="s">
        <v>123</v>
      </c>
      <c r="G7" t="s">
        <v>127</v>
      </c>
      <c r="H7">
        <v>0</v>
      </c>
    </row>
    <row r="8" spans="1:8" x14ac:dyDescent="0.25">
      <c r="A8" t="s">
        <v>43</v>
      </c>
      <c r="B8" t="s">
        <v>44</v>
      </c>
      <c r="C8" t="s">
        <v>45</v>
      </c>
      <c r="D8">
        <v>2</v>
      </c>
      <c r="E8">
        <v>0</v>
      </c>
      <c r="F8" t="s">
        <v>123</v>
      </c>
      <c r="G8" t="s">
        <v>128</v>
      </c>
    </row>
    <row r="9" spans="1:8" x14ac:dyDescent="0.25">
      <c r="A9" t="s">
        <v>43</v>
      </c>
      <c r="B9" t="s">
        <v>44</v>
      </c>
      <c r="C9" t="s">
        <v>45</v>
      </c>
      <c r="D9">
        <v>2</v>
      </c>
      <c r="E9">
        <v>0</v>
      </c>
      <c r="F9" t="s">
        <v>123</v>
      </c>
      <c r="G9" t="s">
        <v>129</v>
      </c>
    </row>
    <row r="10" spans="1:8" x14ac:dyDescent="0.25">
      <c r="A10" t="s">
        <v>43</v>
      </c>
      <c r="B10" t="s">
        <v>44</v>
      </c>
      <c r="C10" t="s">
        <v>45</v>
      </c>
      <c r="D10">
        <v>2</v>
      </c>
      <c r="E10">
        <v>0</v>
      </c>
      <c r="F10" t="s">
        <v>123</v>
      </c>
      <c r="G10" t="s">
        <v>130</v>
      </c>
    </row>
    <row r="11" spans="1:8" x14ac:dyDescent="0.25">
      <c r="A11" t="s">
        <v>43</v>
      </c>
      <c r="B11" t="s">
        <v>44</v>
      </c>
      <c r="C11" t="s">
        <v>45</v>
      </c>
      <c r="D11">
        <v>2</v>
      </c>
      <c r="E11">
        <v>0</v>
      </c>
      <c r="F11" t="s">
        <v>123</v>
      </c>
      <c r="G11" t="s">
        <v>131</v>
      </c>
    </row>
    <row r="12" spans="1:8" x14ac:dyDescent="0.25">
      <c r="A12" t="s">
        <v>43</v>
      </c>
      <c r="B12" t="s">
        <v>44</v>
      </c>
      <c r="C12" t="s">
        <v>45</v>
      </c>
      <c r="D12">
        <v>2</v>
      </c>
      <c r="E12">
        <v>0</v>
      </c>
      <c r="F12" t="s">
        <v>123</v>
      </c>
      <c r="G12" t="s">
        <v>131</v>
      </c>
      <c r="H12">
        <v>0</v>
      </c>
    </row>
    <row r="13" spans="1:8" x14ac:dyDescent="0.25">
      <c r="A13" t="s">
        <v>43</v>
      </c>
      <c r="B13" t="s">
        <v>44</v>
      </c>
      <c r="C13" t="s">
        <v>45</v>
      </c>
      <c r="D13">
        <v>2</v>
      </c>
      <c r="E13">
        <v>0</v>
      </c>
      <c r="F13" t="s">
        <v>123</v>
      </c>
      <c r="G13" t="s">
        <v>132</v>
      </c>
    </row>
    <row r="14" spans="1:8" x14ac:dyDescent="0.25">
      <c r="A14" t="s">
        <v>43</v>
      </c>
      <c r="B14" t="s">
        <v>44</v>
      </c>
      <c r="C14" t="s">
        <v>45</v>
      </c>
      <c r="D14">
        <v>2</v>
      </c>
      <c r="E14">
        <v>0</v>
      </c>
      <c r="F14" t="s">
        <v>133</v>
      </c>
      <c r="G14" t="s">
        <v>134</v>
      </c>
    </row>
    <row r="15" spans="1:8" x14ac:dyDescent="0.25">
      <c r="A15" t="s">
        <v>43</v>
      </c>
      <c r="B15" t="s">
        <v>44</v>
      </c>
      <c r="C15" t="s">
        <v>45</v>
      </c>
      <c r="D15">
        <v>2</v>
      </c>
      <c r="E15">
        <v>0</v>
      </c>
      <c r="F15" t="s">
        <v>133</v>
      </c>
      <c r="G15" t="s">
        <v>135</v>
      </c>
    </row>
    <row r="16" spans="1:8" x14ac:dyDescent="0.25">
      <c r="A16" t="s">
        <v>43</v>
      </c>
      <c r="B16" t="s">
        <v>44</v>
      </c>
      <c r="C16" t="s">
        <v>45</v>
      </c>
      <c r="D16">
        <v>2</v>
      </c>
      <c r="E16">
        <v>0</v>
      </c>
      <c r="F16" t="s">
        <v>133</v>
      </c>
      <c r="G16" t="s">
        <v>136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Main</vt:lpstr>
      <vt:lpstr>Main Data</vt:lpstr>
      <vt:lpstr>BalSht</vt:lpstr>
      <vt:lpstr>BalSht Data</vt:lpstr>
      <vt:lpstr>IncStmt</vt:lpstr>
      <vt:lpstr>IncStmt Data</vt:lpstr>
      <vt:lpstr>ProjectNames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2018-01-25T11:25:13Z</dcterms:modified>
</cp:coreProperties>
</file>