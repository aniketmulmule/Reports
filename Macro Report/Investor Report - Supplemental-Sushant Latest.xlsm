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Main" sheetId="1" r:id="rId1"/>
    <sheet name="Main Data" sheetId="6" r:id="rId2"/>
    <sheet name="BalSht" sheetId="2" r:id="rId3"/>
    <sheet name="IncStmt" sheetId="3" r:id="rId4"/>
    <sheet name="BalSht Data" sheetId="4" r:id="rId5"/>
    <sheet name="IncStmt Data" sheetId="5" r:id="rId6"/>
  </sheets>
  <definedNames>
    <definedName name="ProjectNames">Main!$A$8:$B$101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/>
  <c r="C46" i="1" a="1"/>
  <c r="C46" i="1" s="1"/>
  <c r="C47" i="1" a="1"/>
  <c r="C47" i="1"/>
  <c r="C48" i="1" a="1"/>
  <c r="C48" i="1" s="1"/>
  <c r="C49" i="1" a="1"/>
  <c r="C49" i="1"/>
  <c r="C50" i="1" a="1"/>
  <c r="C50" i="1" s="1"/>
  <c r="C51" i="1" a="1"/>
  <c r="C51" i="1"/>
  <c r="C52" i="1" a="1"/>
  <c r="C52" i="1" s="1"/>
  <c r="C53" i="1" a="1"/>
  <c r="C53" i="1"/>
  <c r="C54" i="1" a="1"/>
  <c r="C54" i="1" s="1"/>
  <c r="C55" i="1" a="1"/>
  <c r="C55" i="1"/>
  <c r="C56" i="1" a="1"/>
  <c r="C56" i="1" s="1"/>
  <c r="C57" i="1" a="1"/>
  <c r="C57" i="1"/>
  <c r="C58" i="1" a="1"/>
  <c r="C58" i="1" s="1"/>
  <c r="C59" i="1" a="1"/>
  <c r="C59" i="1"/>
  <c r="C60" i="1" a="1"/>
  <c r="C60" i="1" s="1"/>
  <c r="C61" i="1" a="1"/>
  <c r="C61" i="1"/>
  <c r="C62" i="1" a="1"/>
  <c r="C62" i="1" s="1"/>
  <c r="C63" i="1" a="1"/>
  <c r="C63" i="1"/>
  <c r="C64" i="1" a="1"/>
  <c r="C64" i="1" s="1"/>
  <c r="C65" i="1" a="1"/>
  <c r="C65" i="1"/>
  <c r="C66" i="1" a="1"/>
  <c r="C66" i="1" s="1"/>
  <c r="C67" i="1" a="1"/>
  <c r="C67" i="1"/>
  <c r="C68" i="1" a="1"/>
  <c r="C68" i="1" s="1"/>
  <c r="C69" i="1" a="1"/>
  <c r="C69" i="1"/>
  <c r="C70" i="1" a="1"/>
  <c r="C70" i="1" s="1"/>
  <c r="C71" i="1" a="1"/>
  <c r="C71" i="1"/>
  <c r="C72" i="1" a="1"/>
  <c r="C72" i="1" s="1"/>
  <c r="C73" i="1" a="1"/>
  <c r="C73" i="1"/>
  <c r="C74" i="1" a="1"/>
  <c r="C74" i="1" s="1"/>
  <c r="C75" i="1" a="1"/>
  <c r="C75" i="1"/>
  <c r="C76" i="1" a="1"/>
  <c r="C76" i="1" s="1"/>
  <c r="C77" i="1" a="1"/>
  <c r="C77" i="1"/>
  <c r="C78" i="1" a="1"/>
  <c r="C78" i="1" s="1"/>
  <c r="C79" i="1" a="1"/>
  <c r="C79" i="1"/>
  <c r="C80" i="1" a="1"/>
  <c r="C80" i="1" s="1"/>
  <c r="C81" i="1" a="1"/>
  <c r="C81" i="1"/>
  <c r="C82" i="1" a="1"/>
  <c r="C82" i="1" s="1"/>
  <c r="C83" i="1" a="1"/>
  <c r="C83" i="1"/>
  <c r="C84" i="1" a="1"/>
  <c r="C84" i="1" s="1"/>
  <c r="C85" i="1" a="1"/>
  <c r="C85" i="1"/>
  <c r="C86" i="1" a="1"/>
  <c r="C86" i="1" s="1"/>
  <c r="C87" i="1" a="1"/>
  <c r="C87" i="1"/>
  <c r="C88" i="1" a="1"/>
  <c r="C88" i="1" s="1"/>
  <c r="C89" i="1" a="1"/>
  <c r="C89" i="1"/>
  <c r="C90" i="1" a="1"/>
  <c r="C90" i="1" s="1"/>
  <c r="C91" i="1" a="1"/>
  <c r="C91" i="1"/>
  <c r="C92" i="1" a="1"/>
  <c r="C92" i="1" s="1"/>
  <c r="C93" i="1" a="1"/>
  <c r="C93" i="1"/>
  <c r="C94" i="1" a="1"/>
  <c r="C94" i="1" s="1"/>
  <c r="C95" i="1" a="1"/>
  <c r="C95" i="1"/>
  <c r="C96" i="1" a="1"/>
  <c r="C96" i="1" s="1"/>
  <c r="C97" i="1" a="1"/>
  <c r="C97" i="1"/>
  <c r="C98" i="1" a="1"/>
  <c r="C98" i="1" s="1"/>
  <c r="C99" i="1" a="1"/>
  <c r="C99" i="1"/>
  <c r="C100" i="1" a="1"/>
  <c r="C100" i="1" s="1"/>
  <c r="C9" i="1" a="1"/>
  <c r="C9" i="1" s="1"/>
  <c r="B10" i="1" l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/>
  <c r="B46" i="1" a="1"/>
  <c r="B46" i="1" s="1"/>
  <c r="B47" i="1" a="1"/>
  <c r="B47" i="1"/>
  <c r="B48" i="1" a="1"/>
  <c r="B48" i="1" s="1"/>
  <c r="B49" i="1" a="1"/>
  <c r="B49" i="1"/>
  <c r="B50" i="1" a="1"/>
  <c r="B50" i="1" s="1"/>
  <c r="B51" i="1" a="1"/>
  <c r="B51" i="1"/>
  <c r="B52" i="1" a="1"/>
  <c r="B52" i="1" s="1"/>
  <c r="B53" i="1" a="1"/>
  <c r="B53" i="1"/>
  <c r="B54" i="1" a="1"/>
  <c r="B54" i="1" s="1"/>
  <c r="B55" i="1" a="1"/>
  <c r="B55" i="1"/>
  <c r="B56" i="1" a="1"/>
  <c r="B56" i="1" s="1"/>
  <c r="B57" i="1" a="1"/>
  <c r="B57" i="1"/>
  <c r="B58" i="1" a="1"/>
  <c r="B58" i="1" s="1"/>
  <c r="B59" i="1" a="1"/>
  <c r="B59" i="1"/>
  <c r="B60" i="1" a="1"/>
  <c r="B60" i="1" s="1"/>
  <c r="B61" i="1" a="1"/>
  <c r="B61" i="1"/>
  <c r="B62" i="1" a="1"/>
  <c r="B62" i="1" s="1"/>
  <c r="B63" i="1" a="1"/>
  <c r="B63" i="1"/>
  <c r="B64" i="1" a="1"/>
  <c r="B64" i="1" s="1"/>
  <c r="B65" i="1" a="1"/>
  <c r="B65" i="1"/>
  <c r="B66" i="1" a="1"/>
  <c r="B66" i="1" s="1"/>
  <c r="B67" i="1" a="1"/>
  <c r="B67" i="1"/>
  <c r="B68" i="1" a="1"/>
  <c r="B68" i="1" s="1"/>
  <c r="B69" i="1" a="1"/>
  <c r="B69" i="1"/>
  <c r="B70" i="1" a="1"/>
  <c r="B70" i="1" s="1"/>
  <c r="B71" i="1" a="1"/>
  <c r="B71" i="1"/>
  <c r="B72" i="1" a="1"/>
  <c r="B72" i="1" s="1"/>
  <c r="B73" i="1" a="1"/>
  <c r="B73" i="1"/>
  <c r="B74" i="1" a="1"/>
  <c r="B74" i="1" s="1"/>
  <c r="B75" i="1" a="1"/>
  <c r="B75" i="1"/>
  <c r="B76" i="1" a="1"/>
  <c r="B76" i="1" s="1"/>
  <c r="B77" i="1" a="1"/>
  <c r="B77" i="1"/>
  <c r="B78" i="1" a="1"/>
  <c r="B78" i="1" s="1"/>
  <c r="B79" i="1" a="1"/>
  <c r="B79" i="1"/>
  <c r="B80" i="1" a="1"/>
  <c r="B80" i="1" s="1"/>
  <c r="B81" i="1" a="1"/>
  <c r="B81" i="1"/>
  <c r="B82" i="1" a="1"/>
  <c r="B82" i="1" s="1"/>
  <c r="B83" i="1" a="1"/>
  <c r="B83" i="1"/>
  <c r="B84" i="1" a="1"/>
  <c r="B84" i="1" s="1"/>
  <c r="B85" i="1" a="1"/>
  <c r="B85" i="1"/>
  <c r="B86" i="1" a="1"/>
  <c r="B86" i="1" s="1"/>
  <c r="B87" i="1" a="1"/>
  <c r="B87" i="1"/>
  <c r="B88" i="1" a="1"/>
  <c r="B88" i="1" s="1"/>
  <c r="B89" i="1" a="1"/>
  <c r="B89" i="1"/>
  <c r="B90" i="1" a="1"/>
  <c r="B90" i="1" s="1"/>
  <c r="B91" i="1" a="1"/>
  <c r="B91" i="1"/>
  <c r="B92" i="1" a="1"/>
  <c r="B92" i="1" s="1"/>
  <c r="B93" i="1" a="1"/>
  <c r="B93" i="1"/>
  <c r="B94" i="1" a="1"/>
  <c r="B94" i="1" s="1"/>
  <c r="B95" i="1" a="1"/>
  <c r="B95" i="1"/>
  <c r="B96" i="1" a="1"/>
  <c r="B96" i="1" s="1"/>
  <c r="B97" i="1" a="1"/>
  <c r="B97" i="1"/>
  <c r="B98" i="1" a="1"/>
  <c r="B98" i="1" s="1"/>
  <c r="B99" i="1" a="1"/>
  <c r="B99" i="1"/>
  <c r="B100" i="1" a="1"/>
  <c r="B100" i="1" s="1"/>
  <c r="B101" i="1" a="1"/>
  <c r="B101" i="1"/>
  <c r="B102" i="1" a="1"/>
  <c r="B102" i="1" s="1"/>
  <c r="B103" i="1" a="1"/>
  <c r="B103" i="1"/>
  <c r="B104" i="1" a="1"/>
  <c r="B104" i="1" s="1"/>
  <c r="B105" i="1" a="1"/>
  <c r="B105" i="1"/>
  <c r="B106" i="1" a="1"/>
  <c r="B106" i="1" s="1"/>
  <c r="B107" i="1" a="1"/>
  <c r="B107" i="1"/>
  <c r="B108" i="1" a="1"/>
  <c r="B108" i="1" s="1"/>
  <c r="B109" i="1" a="1"/>
  <c r="B109" i="1"/>
  <c r="B110" i="1" a="1"/>
  <c r="B110" i="1" s="1"/>
  <c r="B111" i="1" a="1"/>
  <c r="B111" i="1"/>
  <c r="B112" i="1" a="1"/>
  <c r="B112" i="1" s="1"/>
  <c r="B113" i="1" a="1"/>
  <c r="B113" i="1"/>
  <c r="B114" i="1" a="1"/>
  <c r="B114" i="1" s="1"/>
  <c r="B115" i="1" a="1"/>
  <c r="B115" i="1"/>
  <c r="B116" i="1" a="1"/>
  <c r="B116" i="1" s="1"/>
  <c r="B117" i="1" a="1"/>
  <c r="B117" i="1"/>
  <c r="B118" i="1" a="1"/>
  <c r="B118" i="1" s="1"/>
  <c r="B119" i="1" a="1"/>
  <c r="B119" i="1"/>
  <c r="B120" i="1" a="1"/>
  <c r="B120" i="1" s="1"/>
  <c r="B9" i="1" a="1"/>
  <c r="B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  <c r="A17" i="1" a="1"/>
  <c r="A17" i="1" s="1"/>
  <c r="A18" i="1" a="1"/>
  <c r="A18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5" i="1" a="1"/>
  <c r="A25" i="1" s="1"/>
  <c r="A26" i="1" a="1"/>
  <c r="A26" i="1" s="1"/>
  <c r="A27" i="1" a="1"/>
  <c r="A27" i="1" s="1"/>
  <c r="A28" i="1" a="1"/>
  <c r="A28" i="1" s="1"/>
  <c r="A29" i="1" a="1"/>
  <c r="A29" i="1" s="1"/>
  <c r="A30" i="1" a="1"/>
  <c r="A30" i="1" s="1"/>
  <c r="A31" i="1" a="1"/>
  <c r="A31" i="1" s="1"/>
  <c r="A32" i="1" a="1"/>
  <c r="A32" i="1" s="1"/>
  <c r="A33" i="1" a="1"/>
  <c r="A33" i="1" s="1"/>
  <c r="A34" i="1" a="1"/>
  <c r="A34" i="1" s="1"/>
  <c r="A35" i="1" a="1"/>
  <c r="A35" i="1" s="1"/>
  <c r="A36" i="1" a="1"/>
  <c r="A36" i="1" s="1"/>
  <c r="A37" i="1" a="1"/>
  <c r="A37" i="1" s="1"/>
  <c r="A38" i="1" a="1"/>
  <c r="A38" i="1" s="1"/>
  <c r="A39" i="1" a="1"/>
  <c r="A39" i="1" s="1"/>
  <c r="A40" i="1" a="1"/>
  <c r="A40" i="1" s="1"/>
  <c r="A41" i="1" a="1"/>
  <c r="A41" i="1" s="1"/>
  <c r="A42" i="1" a="1"/>
  <c r="A42" i="1" s="1"/>
  <c r="A43" i="1" a="1"/>
  <c r="A43" i="1" s="1"/>
  <c r="A44" i="1" a="1"/>
  <c r="A44" i="1" s="1"/>
  <c r="A45" i="1" a="1"/>
  <c r="A45" i="1"/>
  <c r="A46" i="1" a="1"/>
  <c r="A46" i="1" s="1"/>
  <c r="A47" i="1" a="1"/>
  <c r="A47" i="1"/>
  <c r="A48" i="1" a="1"/>
  <c r="A48" i="1" s="1"/>
  <c r="A49" i="1" a="1"/>
  <c r="A49" i="1"/>
  <c r="A50" i="1" a="1"/>
  <c r="A50" i="1" s="1"/>
  <c r="A51" i="1" a="1"/>
  <c r="A51" i="1"/>
  <c r="A52" i="1" a="1"/>
  <c r="A52" i="1" s="1"/>
  <c r="A53" i="1" a="1"/>
  <c r="A53" i="1"/>
  <c r="A54" i="1" a="1"/>
  <c r="A54" i="1" s="1"/>
  <c r="A55" i="1" a="1"/>
  <c r="A55" i="1"/>
  <c r="A56" i="1" a="1"/>
  <c r="A56" i="1" s="1"/>
  <c r="A57" i="1" a="1"/>
  <c r="A57" i="1"/>
  <c r="A58" i="1" a="1"/>
  <c r="A58" i="1" s="1"/>
  <c r="A59" i="1" a="1"/>
  <c r="A59" i="1"/>
  <c r="A60" i="1" a="1"/>
  <c r="A60" i="1" s="1"/>
  <c r="A61" i="1" a="1"/>
  <c r="A61" i="1"/>
  <c r="A62" i="1" a="1"/>
  <c r="A62" i="1" s="1"/>
  <c r="A63" i="1" a="1"/>
  <c r="A63" i="1"/>
  <c r="A64" i="1" a="1"/>
  <c r="A64" i="1" s="1"/>
  <c r="A65" i="1" a="1"/>
  <c r="A65" i="1"/>
  <c r="A66" i="1" a="1"/>
  <c r="A66" i="1" s="1"/>
  <c r="A67" i="1" a="1"/>
  <c r="A67" i="1"/>
  <c r="A68" i="1" a="1"/>
  <c r="A68" i="1" s="1"/>
  <c r="A69" i="1" a="1"/>
  <c r="A69" i="1"/>
  <c r="A70" i="1" a="1"/>
  <c r="A70" i="1" s="1"/>
  <c r="A71" i="1" a="1"/>
  <c r="A71" i="1"/>
  <c r="A72" i="1" a="1"/>
  <c r="A72" i="1" s="1"/>
  <c r="A73" i="1" a="1"/>
  <c r="A73" i="1"/>
  <c r="A74" i="1" a="1"/>
  <c r="A74" i="1" s="1"/>
  <c r="A75" i="1" a="1"/>
  <c r="A75" i="1"/>
  <c r="A76" i="1" a="1"/>
  <c r="A76" i="1" s="1"/>
  <c r="A77" i="1" a="1"/>
  <c r="A77" i="1"/>
  <c r="A78" i="1" a="1"/>
  <c r="A78" i="1" s="1"/>
  <c r="A79" i="1" a="1"/>
  <c r="A79" i="1"/>
  <c r="A80" i="1" a="1"/>
  <c r="A80" i="1" s="1"/>
  <c r="A81" i="1" a="1"/>
  <c r="A81" i="1"/>
  <c r="A82" i="1" a="1"/>
  <c r="A82" i="1" s="1"/>
  <c r="A83" i="1" a="1"/>
  <c r="A83" i="1"/>
  <c r="A84" i="1" a="1"/>
  <c r="A84" i="1" s="1"/>
  <c r="A85" i="1" a="1"/>
  <c r="A85" i="1"/>
  <c r="A86" i="1" a="1"/>
  <c r="A86" i="1" s="1"/>
  <c r="A87" i="1" a="1"/>
  <c r="A87" i="1"/>
  <c r="A88" i="1" a="1"/>
  <c r="A88" i="1" s="1"/>
  <c r="A89" i="1" a="1"/>
  <c r="A89" i="1"/>
  <c r="A90" i="1" a="1"/>
  <c r="A90" i="1" s="1"/>
  <c r="A91" i="1" a="1"/>
  <c r="A91" i="1"/>
  <c r="A92" i="1" a="1"/>
  <c r="A92" i="1" s="1"/>
  <c r="A93" i="1" a="1"/>
  <c r="A93" i="1"/>
  <c r="A94" i="1" a="1"/>
  <c r="A94" i="1" s="1"/>
  <c r="A95" i="1" a="1"/>
  <c r="A95" i="1"/>
  <c r="A96" i="1" a="1"/>
  <c r="A96" i="1" s="1"/>
  <c r="A97" i="1" a="1"/>
  <c r="A97" i="1"/>
  <c r="A98" i="1" a="1"/>
  <c r="A98" i="1" s="1"/>
  <c r="A99" i="1" a="1"/>
  <c r="A99" i="1"/>
  <c r="A100" i="1" a="1"/>
  <c r="A100" i="1" s="1"/>
  <c r="A101" i="1" a="1"/>
  <c r="A101" i="1"/>
  <c r="A102" i="1" a="1"/>
  <c r="A102" i="1" s="1"/>
  <c r="A103" i="1" a="1"/>
  <c r="A103" i="1"/>
  <c r="A104" i="1" a="1"/>
  <c r="A104" i="1" s="1"/>
  <c r="A105" i="1" a="1"/>
  <c r="A105" i="1"/>
  <c r="A106" i="1" a="1"/>
  <c r="A106" i="1" s="1"/>
  <c r="A107" i="1" a="1"/>
  <c r="A107" i="1"/>
  <c r="A108" i="1" a="1"/>
  <c r="A108" i="1" s="1"/>
  <c r="A109" i="1" a="1"/>
  <c r="A109" i="1"/>
  <c r="A110" i="1" a="1"/>
  <c r="A110" i="1" s="1"/>
  <c r="A111" i="1" a="1"/>
  <c r="A111" i="1"/>
  <c r="A112" i="1" a="1"/>
  <c r="A112" i="1" s="1"/>
  <c r="A113" i="1" a="1"/>
  <c r="A113" i="1"/>
  <c r="A114" i="1" a="1"/>
  <c r="A114" i="1" s="1"/>
  <c r="A115" i="1" a="1"/>
  <c r="A115" i="1"/>
  <c r="A116" i="1" a="1"/>
  <c r="A116" i="1" s="1"/>
  <c r="A117" i="1" a="1"/>
  <c r="A117" i="1"/>
  <c r="A118" i="1" a="1"/>
  <c r="A118" i="1" s="1"/>
  <c r="A119" i="1" a="1"/>
  <c r="A119" i="1"/>
  <c r="A120" i="1" a="1"/>
  <c r="A120" i="1" s="1"/>
  <c r="A9" i="1" a="1"/>
  <c r="A9" i="1" s="1"/>
  <c r="C101" i="1" a="1"/>
  <c r="C101" i="1"/>
  <c r="C102" i="1" a="1"/>
  <c r="C102" i="1" s="1"/>
  <c r="C103" i="1" a="1"/>
  <c r="C103" i="1"/>
  <c r="C104" i="1" a="1"/>
  <c r="C104" i="1" s="1"/>
  <c r="C105" i="1" a="1"/>
  <c r="C105" i="1"/>
  <c r="C106" i="1" a="1"/>
  <c r="C106" i="1" s="1"/>
  <c r="C107" i="1" a="1"/>
  <c r="C107" i="1"/>
  <c r="C108" i="1" a="1"/>
  <c r="C108" i="1" s="1"/>
  <c r="C109" i="1" a="1"/>
  <c r="C109" i="1"/>
  <c r="C110" i="1" a="1"/>
  <c r="C110" i="1" s="1"/>
  <c r="C111" i="1" a="1"/>
  <c r="C111" i="1"/>
  <c r="C112" i="1" a="1"/>
  <c r="C112" i="1" s="1"/>
  <c r="C113" i="1" a="1"/>
  <c r="C113" i="1"/>
  <c r="C114" i="1" a="1"/>
  <c r="C114" i="1" s="1"/>
  <c r="C115" i="1" a="1"/>
  <c r="C115" i="1"/>
  <c r="C116" i="1" a="1"/>
  <c r="C116" i="1" s="1"/>
  <c r="C117" i="1" a="1"/>
  <c r="C117" i="1"/>
  <c r="C118" i="1" a="1"/>
  <c r="C118" i="1" s="1"/>
  <c r="C119" i="1" a="1"/>
  <c r="C119" i="1"/>
  <c r="C120" i="1" a="1"/>
  <c r="C120" i="1" s="1"/>
  <c r="B6" i="1" a="1"/>
  <c r="B6" i="1" l="1"/>
  <c r="B7" i="2"/>
  <c r="B8" i="2"/>
  <c r="B9" i="2"/>
  <c r="B10" i="2"/>
  <c r="B6" i="2"/>
  <c r="C2" i="2" l="1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B2" i="2"/>
</calcChain>
</file>

<file path=xl/sharedStrings.xml><?xml version="1.0" encoding="utf-8"?>
<sst xmlns="http://schemas.openxmlformats.org/spreadsheetml/2006/main" count="150" uniqueCount="115">
  <si>
    <t>ENTER QTR</t>
  </si>
  <si>
    <t>ENTER YEAR</t>
  </si>
  <si>
    <t>TOTALS</t>
  </si>
  <si>
    <t>= Number of Projects</t>
  </si>
  <si>
    <t>Project Name</t>
  </si>
  <si>
    <t>Project Losses @ 100%</t>
  </si>
  <si>
    <t>Project Losses @ Project Level</t>
  </si>
  <si>
    <t>Project Id</t>
  </si>
  <si>
    <t>Stm Year</t>
  </si>
  <si>
    <t>Qtr</t>
  </si>
  <si>
    <t>Supplemental Category</t>
  </si>
  <si>
    <t>Supplemental Sub-category</t>
  </si>
  <si>
    <t>Amount</t>
  </si>
  <si>
    <t>Accumulated depreciation</t>
  </si>
  <si>
    <t>Building and improvements</t>
  </si>
  <si>
    <t>Construction in progress</t>
  </si>
  <si>
    <t>Furnishings and equipment</t>
  </si>
  <si>
    <t>Land</t>
  </si>
  <si>
    <t>INVESTMENT IN REAL ESTATE - AT COST</t>
  </si>
  <si>
    <t>OTHER ASSETS</t>
  </si>
  <si>
    <t>Accounts receivable</t>
  </si>
  <si>
    <t>Accounts receivable - affiliates</t>
  </si>
  <si>
    <t>Cash and cash equivalents</t>
  </si>
  <si>
    <t>Funded reserves and restricted cash</t>
  </si>
  <si>
    <t>Intangible assets - net</t>
  </si>
  <si>
    <t>Investment in Operating Partnerships</t>
  </si>
  <si>
    <t>Other assets</t>
  </si>
  <si>
    <t>Prepaid expense - other</t>
  </si>
  <si>
    <t>LIABILITIES</t>
  </si>
  <si>
    <t>Accounts payable - construction</t>
  </si>
  <si>
    <t>Accounts payable - trade</t>
  </si>
  <si>
    <t>Accrued expenses</t>
  </si>
  <si>
    <t>Accrued interest</t>
  </si>
  <si>
    <t>Deferred rental income</t>
  </si>
  <si>
    <t>Due to partner and affiliates</t>
  </si>
  <si>
    <t>Land lease obligation</t>
  </si>
  <si>
    <t>Mortgages payable</t>
  </si>
  <si>
    <t>Tenant security deposits</t>
  </si>
  <si>
    <t>PARTNERS' CAPITAL</t>
  </si>
  <si>
    <t>Ownership %</t>
  </si>
  <si>
    <t>Project Status</t>
  </si>
  <si>
    <t>70354</t>
  </si>
  <si>
    <t>Park View at Laurel I</t>
  </si>
  <si>
    <t>Loan Closing/Construction</t>
  </si>
  <si>
    <t>Pre-Development</t>
  </si>
  <si>
    <t>70340</t>
  </si>
  <si>
    <t>Park View at Catonsville</t>
  </si>
  <si>
    <t>Operations/Asset Management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</si>
  <si>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</si>
  <si>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</si>
  <si>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</si>
  <si>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</si>
  <si>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</si>
  <si>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</si>
  <si>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</si>
  <si>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</si>
  <si>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</si>
  <si>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</si>
  <si>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</si>
  <si>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</si>
  <si>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</si>
  <si>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</si>
  <si>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</si>
  <si>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</si>
  <si>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</si>
  <si>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</si>
  <si>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</si>
  <si>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</si>
  <si>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70352</t>
  </si>
  <si>
    <t>Somerset Commons</t>
  </si>
  <si>
    <t>70357</t>
  </si>
  <si>
    <t>Park View at Emerson</t>
  </si>
  <si>
    <t>70358</t>
  </si>
  <si>
    <t>Park View at Ellicott City II</t>
  </si>
  <si>
    <t>70361</t>
  </si>
  <si>
    <t>Hickory Ridge</t>
  </si>
  <si>
    <t>Pending Business Committee Approval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</si>
  <si>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</si>
  <si>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</si>
  <si>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</si>
  <si>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</si>
  <si>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</si>
  <si>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</si>
  <si>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</si>
  <si>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</si>
  <si>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</si>
  <si>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</si>
  <si>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</si>
  <si>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</si>
  <si>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</si>
  <si>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</si>
  <si>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</si>
  <si>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</si>
  <si>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</si>
  <si>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</si>
  <si>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</si>
  <si>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</si>
  <si>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</si>
  <si>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</si>
  <si>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</si>
  <si>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</si>
  <si>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</si>
  <si>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</si>
  <si>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</si>
  <si>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</si>
  <si>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</si>
  <si>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</si>
  <si>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</si>
  <si>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</si>
  <si>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</si>
  <si>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</si>
  <si>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</si>
  <si>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</si>
  <si>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70381</t>
  </si>
  <si>
    <t>Highland Commons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</si>
</sst>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 applyProtection="1">
      <protection locked="0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 indent="1"/>
    </xf>
    <xf numFmtId="0" fontId="2" fillId="0" borderId="0" xfId="0" quotePrefix="1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107950</xdr:rowOff>
        </xdr:from>
        <xdr:to>
          <xdr:col>4</xdr:col>
          <xdr:colOff>6350</xdr:colOff>
          <xdr:row>4</xdr:row>
          <xdr:rowOff>165100</xdr:rowOff>
        </xdr:to>
        <xdr:sp macro="" textlink="">
          <xdr:nvSpPr>
            <xdr:cNvPr id="1025" name="GetData" descr="Ge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Supplemental and Apportionment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20"/>
  <sheetViews>
    <sheetView tabSelected="1" topLeftCell="A12" workbookViewId="0">
      <selection activeCell="E13" sqref="E13"/>
    </sheetView>
  </sheetViews>
  <sheetFormatPr defaultRowHeight="14.5" x14ac:dyDescent="0.35"/>
  <cols>
    <col min="1" max="1" width="9.1796875" bestFit="1" customWidth="1"/>
    <col min="2" max="2" width="15.6328125" bestFit="1" customWidth="1"/>
    <col min="3" max="3" width="12.453125" customWidth="1"/>
    <col min="4" max="4" width="24.453125" customWidth="1"/>
    <col min="5" max="5" width="20.6328125" customWidth="1"/>
    <col min="6" max="6" width="26.6328125" bestFit="1" customWidth="1"/>
  </cols>
  <sheetData>
    <row r="1" spans="1:6" ht="18.5" x14ac:dyDescent="0.45">
      <c r="C1" s="7" t="s">
        <v>6</v>
      </c>
    </row>
    <row r="3" spans="1:6" x14ac:dyDescent="0.35">
      <c r="A3" s="1">
        <v>2</v>
      </c>
      <c r="B3" s="1" t="s">
        <v>0</v>
      </c>
      <c r="C3" s="1"/>
    </row>
    <row r="4" spans="1:6" x14ac:dyDescent="0.35">
      <c r="A4" s="1">
        <v>2017</v>
      </c>
      <c r="B4" s="1" t="s">
        <v>1</v>
      </c>
      <c r="C4" s="1"/>
    </row>
    <row r="5" spans="1:6" x14ac:dyDescent="0.35">
      <c r="A5" s="1"/>
      <c r="B5" s="1"/>
      <c r="C5" s="1"/>
    </row>
    <row r="6" spans="1:6" x14ac:dyDescent="0.35">
      <c r="A6" s="1" t="s">
        <v>2</v>
      </c>
      <c r="B6" s="1">
        <f t="array" ref="B6">SUBTOTAL(2,A9:A120)</f>
        <v>0</v>
      </c>
      <c r="C6" s="6" t="s">
        <v>3</v>
      </c>
    </row>
    <row r="8" spans="1:6" x14ac:dyDescent="0.35">
      <c r="A8" s="1" t="s">
        <v>7</v>
      </c>
      <c r="B8" s="1" t="s">
        <v>4</v>
      </c>
      <c r="C8" s="1" t="s">
        <v>39</v>
      </c>
      <c r="D8" s="1" t="s">
        <v>40</v>
      </c>
      <c r="E8" s="1" t="s">
        <v>5</v>
      </c>
      <c r="F8" s="1" t="s">
        <v>6</v>
      </c>
    </row>
    <row r="9" spans="1:6" x14ac:dyDescent="0.35">
      <c r="A9" t="str">
        <f t="array" ref="A9">IF('Main Data'!A2=0,"",'Main Data'!A2)</f>
        <v>70340</v>
      </c>
      <c r="B9" t="str">
        <f t="array" ref="B9">IF('Main Data'!B2=0,"",'Main Data'!B2)</f>
        <v>Park View at Catonsville</v>
      </c>
      <c r="C9">
        <f t="array" ref="C9">IF('Main Data'!C2=0,"",'Main Data'!C2)</f>
        <v>0.01</v>
      </c>
    </row>
    <row r="10" spans="1:6" x14ac:dyDescent="0.35">
      <c r="A10" t="str">
        <f t="array" ref="A10">IF('Main Data'!A3=0,"",'Main Data'!A3)</f>
        <v>70341</v>
      </c>
      <c r="B10" t="str">
        <f t="array" ref="B10">IF('Main Data'!B3=0,"",'Main Data'!B3)</f>
        <v>Park View at South Pantops</v>
      </c>
      <c r="C10">
        <f t="array" ref="C10">IF('Main Data'!C3=0,"",'Main Data'!C3)</f>
        <v>8.5000000000000006E-3</v>
      </c>
    </row>
    <row r="11" spans="1:6" x14ac:dyDescent="0.35">
      <c r="A11" t="str">
        <f t="array" ref="A11">IF('Main Data'!A4=0,"",'Main Data'!A4)</f>
        <v>70342</v>
      </c>
      <c r="B11" t="str">
        <f t="array" ref="B11">IF('Main Data'!B4=0,"",'Main Data'!B4)</f>
        <v>Park View at Tyler Run</v>
      </c>
      <c r="C11">
        <f t="array" ref="C11">IF('Main Data'!C4=0,"",'Main Data'!C4)</f>
        <v>99.99</v>
      </c>
    </row>
    <row r="12" spans="1:6" x14ac:dyDescent="0.35">
      <c r="A12" t="str">
        <f t="array" ref="A12">IF('Main Data'!A5=0,"",'Main Data'!A5)</f>
        <v>70343</v>
      </c>
      <c r="B12" t="str">
        <f t="array" ref="B12">IF('Main Data'!B5=0,"",'Main Data'!B5)</f>
        <v>Park View at Manchester Heights</v>
      </c>
      <c r="C12">
        <f t="array" ref="C12">IF('Main Data'!C5=0,"",'Main Data'!C5)</f>
        <v>99.99</v>
      </c>
    </row>
    <row r="13" spans="1:6" x14ac:dyDescent="0.35">
      <c r="A13" t="str">
        <f t="array" ref="A13">IF('Main Data'!A6=0,"",'Main Data'!A6)</f>
        <v>70344</v>
      </c>
      <c r="B13" t="str">
        <f t="array" ref="B13">IF('Main Data'!B6=0,"",'Main Data'!B6)</f>
        <v>Park View at Naaman's Creek</v>
      </c>
      <c r="C13">
        <f t="array" ref="C13">IF('Main Data'!C6=0,"",'Main Data'!C6)</f>
        <v>99.99</v>
      </c>
    </row>
    <row r="14" spans="1:6" x14ac:dyDescent="0.35">
      <c r="A14" t="str">
        <f t="array" ref="A14">IF('Main Data'!A7=0,"",'Main Data'!A7)</f>
        <v>70345</v>
      </c>
      <c r="B14" t="str">
        <f t="array" ref="B14">IF('Main Data'!B7=0,"",'Main Data'!B7)</f>
        <v>York Commons</v>
      </c>
      <c r="C14">
        <f t="array" ref="C14">IF('Main Data'!C7=0,"",'Main Data'!C7)</f>
        <v>7.0000000000000001E-3</v>
      </c>
    </row>
    <row r="15" spans="1:6" x14ac:dyDescent="0.35">
      <c r="A15" t="str">
        <f t="array" ref="A15">IF('Main Data'!A8=0,"",'Main Data'!A8)</f>
        <v>70346</v>
      </c>
      <c r="B15" t="str">
        <f t="array" ref="B15">IF('Main Data'!B8=0,"",'Main Data'!B8)</f>
        <v>Park View at Oak Crest</v>
      </c>
      <c r="C15">
        <f t="array" ref="C15">IF('Main Data'!C8=0,"",'Main Data'!C8)</f>
        <v>99.99</v>
      </c>
    </row>
    <row r="16" spans="1:6" x14ac:dyDescent="0.35">
      <c r="A16" t="str">
        <f t="array" ref="A16">IF('Main Data'!A9=0,"",'Main Data'!A9)</f>
        <v>70347</v>
      </c>
      <c r="B16" t="str">
        <f t="array" ref="B16">IF('Main Data'!B9=0,"",'Main Data'!B9)</f>
        <v>Park View at Cheltenham</v>
      </c>
      <c r="C16">
        <f t="array" ref="C16">IF('Main Data'!C9=0,"",'Main Data'!C9)</f>
        <v>7.0000000000000001E-3</v>
      </c>
    </row>
    <row r="17" spans="1:3" x14ac:dyDescent="0.35">
      <c r="A17" t="str">
        <f t="array" ref="A17">IF('Main Data'!A10=0,"",'Main Data'!A10)</f>
        <v>70348</v>
      </c>
      <c r="B17" t="str">
        <f t="array" ref="B17">IF('Main Data'!B10=0,"",'Main Data'!B10)</f>
        <v>Park View at Bethlehem</v>
      </c>
      <c r="C17">
        <f t="array" ref="C17">IF('Main Data'!C10=0,"",'Main Data'!C10)</f>
        <v>99.99</v>
      </c>
    </row>
    <row r="18" spans="1:3" x14ac:dyDescent="0.35">
      <c r="A18" t="str">
        <f t="array" ref="A18">IF('Main Data'!A11=0,"",'Main Data'!A11)</f>
        <v>70349</v>
      </c>
      <c r="B18" t="str">
        <f t="array" ref="B18">IF('Main Data'!B11=0,"",'Main Data'!B11)</f>
        <v>Westbrook Commons</v>
      </c>
      <c r="C18">
        <f t="array" ref="C18">IF('Main Data'!C11=0,"",'Main Data'!C11)</f>
        <v>0.01</v>
      </c>
    </row>
    <row r="19" spans="1:3" x14ac:dyDescent="0.35">
      <c r="A19" t="str">
        <f t="array" ref="A19">IF('Main Data'!A12=0,"",'Main Data'!A12)</f>
        <v>70350</v>
      </c>
      <c r="B19" t="str">
        <f t="array" ref="B19">IF('Main Data'!B12=0,"",'Main Data'!B12)</f>
        <v>Park View at Easton</v>
      </c>
      <c r="C19">
        <f t="array" ref="C19">IF('Main Data'!C12=0,"",'Main Data'!C12)</f>
        <v>99.99</v>
      </c>
    </row>
    <row r="20" spans="1:3" x14ac:dyDescent="0.35">
      <c r="A20" t="str">
        <f t="array" ref="A20">IF('Main Data'!A13=0,"",'Main Data'!A13)</f>
        <v>70352</v>
      </c>
      <c r="B20" t="str">
        <f t="array" ref="B20">IF('Main Data'!B13=0,"",'Main Data'!B13)</f>
        <v>Somerset Commons</v>
      </c>
      <c r="C20">
        <f t="array" ref="C20">IF('Main Data'!C13=0,"",'Main Data'!C13)</f>
        <v>99.99</v>
      </c>
    </row>
    <row r="21" spans="1:3" x14ac:dyDescent="0.35">
      <c r="A21" t="str">
        <f t="array" ref="A21">IF('Main Data'!A14=0,"",'Main Data'!A14)</f>
        <v>70354</v>
      </c>
      <c r="B21" t="str">
        <f t="array" ref="B21">IF('Main Data'!B14=0,"",'Main Data'!B14)</f>
        <v>Park View at Laurel I</v>
      </c>
      <c r="C21">
        <f t="array" ref="C21">IF('Main Data'!C14=0,"",'Main Data'!C14)</f>
        <v>9.0010000000000003E-3</v>
      </c>
    </row>
    <row r="22" spans="1:3" x14ac:dyDescent="0.35">
      <c r="A22" t="str">
        <f t="array" ref="A22">IF('Main Data'!A15=0,"",'Main Data'!A15)</f>
        <v>70357</v>
      </c>
      <c r="B22" t="str">
        <f t="array" ref="B22">IF('Main Data'!B15=0,"",'Main Data'!B15)</f>
        <v>Park View at Emerson</v>
      </c>
      <c r="C22">
        <f t="array" ref="C22">IF('Main Data'!C15=0,"",'Main Data'!C15)</f>
        <v>9.0010000000000003E-3</v>
      </c>
    </row>
    <row r="23" spans="1:3" x14ac:dyDescent="0.35">
      <c r="A23" t="str">
        <f t="array" ref="A23">IF('Main Data'!A16=0,"",'Main Data'!A16)</f>
        <v>70358</v>
      </c>
      <c r="B23" t="str">
        <f t="array" ref="B23">IF('Main Data'!B16=0,"",'Main Data'!B16)</f>
        <v>Park View at Ellicott City II</v>
      </c>
      <c r="C23">
        <f t="array" ref="C23">IF('Main Data'!C16=0,"",'Main Data'!C16)</f>
        <v>99.99</v>
      </c>
    </row>
    <row r="24" spans="1:3" x14ac:dyDescent="0.35">
      <c r="A24" t="str">
        <f t="array" ref="A24">IF('Main Data'!A17=0,"",'Main Data'!A17)</f>
        <v>70361</v>
      </c>
      <c r="B24" t="str">
        <f t="array" ref="B24">IF('Main Data'!B17=0,"",'Main Data'!B17)</f>
        <v>Hickory Ridge</v>
      </c>
      <c r="C24">
        <f t="array" ref="C24">IF('Main Data'!C17=0,"",'Main Data'!C17)</f>
        <v>99.99</v>
      </c>
    </row>
    <row r="25" spans="1:3" x14ac:dyDescent="0.35">
      <c r="A25" t="str">
        <f t="array" ref="A25">IF('Main Data'!A18=0,"",'Main Data'!A18)</f>
        <v>70362</v>
      </c>
      <c r="B25" t="str">
        <f t="array" ref="B25">IF('Main Data'!B18=0,"",'Main Data'!B18)</f>
        <v>Park View at Snowden River</v>
      </c>
      <c r="C25">
        <f t="array" ref="C25">IF('Main Data'!C18=0,"",'Main Data'!C18)</f>
        <v>0.01</v>
      </c>
    </row>
    <row r="26" spans="1:3" x14ac:dyDescent="0.35">
      <c r="A26" t="str">
        <f t="array" ref="A26">IF('Main Data'!A19=0,"",'Main Data'!A19)</f>
        <v>70363</v>
      </c>
      <c r="B26" t="str">
        <f t="array" ref="B26">IF('Main Data'!B19=0,"",'Main Data'!B19)</f>
        <v>Park View at Columbia</v>
      </c>
      <c r="C26">
        <f t="array" ref="C26">IF('Main Data'!C19=0,"",'Main Data'!C19)</f>
        <v>9.1000000000000004E-3</v>
      </c>
    </row>
    <row r="27" spans="1:3" x14ac:dyDescent="0.35">
      <c r="A27" t="str">
        <f t="array" ref="A27">IF('Main Data'!A20=0,"",'Main Data'!A20)</f>
        <v>70364</v>
      </c>
      <c r="B27" t="str">
        <f t="array" ref="B27">IF('Main Data'!B20=0,"",'Main Data'!B20)</f>
        <v>Woodbridge Commons</v>
      </c>
      <c r="C27">
        <f t="array" ref="C27">IF('Main Data'!C20=0,"",'Main Data'!C20)</f>
        <v>99.99</v>
      </c>
    </row>
    <row r="28" spans="1:3" x14ac:dyDescent="0.35">
      <c r="A28" t="str">
        <f t="array" ref="A28">IF('Main Data'!A21=0,"",'Main Data'!A21)</f>
        <v>70365</v>
      </c>
      <c r="B28" t="str">
        <f t="array" ref="B28">IF('Main Data'!B21=0,"",'Main Data'!B21)</f>
        <v>Park View at Bel Air</v>
      </c>
      <c r="C28">
        <f t="array" ref="C28">IF('Main Data'!C21=0,"",'Main Data'!C21)</f>
        <v>99.99</v>
      </c>
    </row>
    <row r="29" spans="1:3" x14ac:dyDescent="0.35">
      <c r="A29" t="str">
        <f t="array" ref="A29">IF('Main Data'!A22=0,"",'Main Data'!A22)</f>
        <v>70366</v>
      </c>
      <c r="B29" t="str">
        <f t="array" ref="B29">IF('Main Data'!B22=0,"",'Main Data'!B22)</f>
        <v>Park View at Box Hill</v>
      </c>
      <c r="C29">
        <f t="array" ref="C29">IF('Main Data'!C22=0,"",'Main Data'!C22)</f>
        <v>99.99</v>
      </c>
    </row>
    <row r="30" spans="1:3" x14ac:dyDescent="0.35">
      <c r="A30" t="str">
        <f t="array" ref="A30">IF('Main Data'!A23=0,"",'Main Data'!A23)</f>
        <v>70367</v>
      </c>
      <c r="B30" t="str">
        <f t="array" ref="B30">IF('Main Data'!B23=0,"",'Main Data'!B23)</f>
        <v>College Parkway Place</v>
      </c>
      <c r="C30">
        <f t="array" ref="C30">IF('Main Data'!C23=0,"",'Main Data'!C23)</f>
        <v>99.99</v>
      </c>
    </row>
    <row r="31" spans="1:3" x14ac:dyDescent="0.35">
      <c r="A31" t="str">
        <f t="array" ref="A31">IF('Main Data'!A24=0,"",'Main Data'!A24)</f>
        <v>70368</v>
      </c>
      <c r="B31" t="str">
        <f t="array" ref="B31">IF('Main Data'!B24=0,"",'Main Data'!B24)</f>
        <v>Park View at Furnace Branch</v>
      </c>
      <c r="C31">
        <f t="array" ref="C31">IF('Main Data'!C24=0,"",'Main Data'!C24)</f>
        <v>99.99</v>
      </c>
    </row>
    <row r="32" spans="1:3" x14ac:dyDescent="0.35">
      <c r="A32" t="str">
        <f t="array" ref="A32">IF('Main Data'!A25=0,"",'Main Data'!A25)</f>
        <v>70369</v>
      </c>
      <c r="B32" t="str">
        <f t="array" ref="B32">IF('Main Data'!B25=0,"",'Main Data'!B25)</f>
        <v>Park View at Severna Park</v>
      </c>
      <c r="C32">
        <f t="array" ref="C32">IF('Main Data'!C25=0,"",'Main Data'!C25)</f>
        <v>9.0010000000000003E-3</v>
      </c>
    </row>
    <row r="33" spans="1:3" x14ac:dyDescent="0.35">
      <c r="A33" t="str">
        <f t="array" ref="A33">IF('Main Data'!A26=0,"",'Main Data'!A26)</f>
        <v>70370</v>
      </c>
      <c r="B33" t="str">
        <f t="array" ref="B33">IF('Main Data'!B26=0,"",'Main Data'!B26)</f>
        <v>Ashland Commons</v>
      </c>
      <c r="C33">
        <f t="array" ref="C33">IF('Main Data'!C26=0,"",'Main Data'!C26)</f>
        <v>0.01</v>
      </c>
    </row>
    <row r="34" spans="1:3" x14ac:dyDescent="0.35">
      <c r="A34" t="str">
        <f t="array" ref="A34">IF('Main Data'!A27=0,"",'Main Data'!A27)</f>
        <v>70371</v>
      </c>
      <c r="B34" t="str">
        <f t="array" ref="B34">IF('Main Data'!B27=0,"",'Main Data'!B27)</f>
        <v>Park View at Fullerton</v>
      </c>
      <c r="C34">
        <f t="array" ref="C34">IF('Main Data'!C27=0,"",'Main Data'!C27)</f>
        <v>0.01</v>
      </c>
    </row>
    <row r="35" spans="1:3" x14ac:dyDescent="0.35">
      <c r="A35" t="str">
        <f t="array" ref="A35">IF('Main Data'!A28=0,"",'Main Data'!A28)</f>
        <v>70372</v>
      </c>
      <c r="B35" t="str">
        <f t="array" ref="B35">IF('Main Data'!B28=0,"",'Main Data'!B28)</f>
        <v>Park View at Ashland Terrace</v>
      </c>
      <c r="C35">
        <f t="array" ref="C35">IF('Main Data'!C28=0,"",'Main Data'!C28)</f>
        <v>0.01</v>
      </c>
    </row>
    <row r="36" spans="1:3" x14ac:dyDescent="0.35">
      <c r="A36" t="str">
        <f t="array" ref="A36">IF('Main Data'!A29=0,"",'Main Data'!A29)</f>
        <v>70373</v>
      </c>
      <c r="B36" t="str">
        <f t="array" ref="B36">IF('Main Data'!B29=0,"",'Main Data'!B29)</f>
        <v>Park View at Coldspring</v>
      </c>
      <c r="C36">
        <f t="array" ref="C36">IF('Main Data'!C29=0,"",'Main Data'!C29)</f>
        <v>99.99</v>
      </c>
    </row>
    <row r="37" spans="1:3" x14ac:dyDescent="0.35">
      <c r="A37" t="str">
        <f t="array" ref="A37">IF('Main Data'!A30=0,"",'Main Data'!A30)</f>
        <v>70374</v>
      </c>
      <c r="B37" t="str">
        <f t="array" ref="B37">IF('Main Data'!B30=0,"",'Main Data'!B30)</f>
        <v>Park View at Taylor</v>
      </c>
      <c r="C37">
        <f t="array" ref="C37">IF('Main Data'!C30=0,"",'Main Data'!C30)</f>
        <v>99.99</v>
      </c>
    </row>
    <row r="38" spans="1:3" x14ac:dyDescent="0.35">
      <c r="A38" t="str">
        <f t="array" ref="A38">IF('Main Data'!A31=0,"",'Main Data'!A31)</f>
        <v>70375</v>
      </c>
      <c r="B38" t="str">
        <f t="array" ref="B38">IF('Main Data'!B31=0,"",'Main Data'!B31)</f>
        <v>Park View at Woodlawn</v>
      </c>
      <c r="C38">
        <f t="array" ref="C38">IF('Main Data'!C31=0,"",'Main Data'!C31)</f>
        <v>99.99</v>
      </c>
    </row>
    <row r="39" spans="1:3" x14ac:dyDescent="0.35">
      <c r="A39" t="str">
        <f t="array" ref="A39">IF('Main Data'!A32=0,"",'Main Data'!A32)</f>
        <v>70376</v>
      </c>
      <c r="B39" t="str">
        <f t="array" ref="B39">IF('Main Data'!B32=0,"",'Main Data'!B32)</f>
        <v>Park View at Miramar Landing</v>
      </c>
      <c r="C39">
        <f t="array" ref="C39">IF('Main Data'!C32=0,"",'Main Data'!C32)</f>
        <v>9.4999999999999998E-3</v>
      </c>
    </row>
    <row r="40" spans="1:3" x14ac:dyDescent="0.35">
      <c r="A40" t="str">
        <f t="array" ref="A40">IF('Main Data'!A33=0,"",'Main Data'!A33)</f>
        <v>70377</v>
      </c>
      <c r="B40" t="str">
        <f t="array" ref="B40">IF('Main Data'!B33=0,"",'Main Data'!B33)</f>
        <v>Park View at Randallstown</v>
      </c>
      <c r="C40">
        <f t="array" ref="C40">IF('Main Data'!C33=0,"",'Main Data'!C33)</f>
        <v>0.01</v>
      </c>
    </row>
    <row r="41" spans="1:3" x14ac:dyDescent="0.35">
      <c r="A41" t="str">
        <f t="array" ref="A41">IF('Main Data'!A34=0,"",'Main Data'!A34)</f>
        <v>70378</v>
      </c>
      <c r="B41" t="str">
        <f t="array" ref="B41">IF('Main Data'!B34=0,"",'Main Data'!B34)</f>
        <v>Park View at Rosedale</v>
      </c>
      <c r="C41">
        <f t="array" ref="C41">IF('Main Data'!C34=0,"",'Main Data'!C34)</f>
        <v>0.01</v>
      </c>
    </row>
    <row r="42" spans="1:3" x14ac:dyDescent="0.35">
      <c r="A42" t="str">
        <f t="array" ref="A42">IF('Main Data'!A35=0,"",'Main Data'!A35)</f>
        <v>70379</v>
      </c>
      <c r="B42" t="str">
        <f t="array" ref="B42">IF('Main Data'!B35=0,"",'Main Data'!B35)</f>
        <v>Park View at Towson</v>
      </c>
      <c r="C42">
        <f t="array" ref="C42">IF('Main Data'!C35=0,"",'Main Data'!C35)</f>
        <v>9.4000000000000004E-3</v>
      </c>
    </row>
    <row r="43" spans="1:3" x14ac:dyDescent="0.35">
      <c r="A43" t="str">
        <f t="array" ref="A43">IF('Main Data'!A36=0,"",'Main Data'!A36)</f>
        <v>70381</v>
      </c>
      <c r="B43" t="str">
        <f t="array" ref="B43">IF('Main Data'!B36=0,"",'Main Data'!B36)</f>
        <v>Highland Commons</v>
      </c>
      <c r="C43">
        <f t="array" ref="C43">IF('Main Data'!C36=0,"",'Main Data'!C36)</f>
        <v>9.2499999999999995E-3</v>
      </c>
    </row>
    <row r="44" spans="1:3" x14ac:dyDescent="0.35">
      <c r="A44" t="str">
        <f t="array" ref="A44">IF('Main Data'!A37=0,"",'Main Data'!A37)</f>
        <v/>
      </c>
      <c r="B44" t="str">
        <f t="array" ref="B44">IF('Main Data'!B37=0,"",'Main Data'!B37)</f>
        <v/>
      </c>
      <c r="C44" t="str">
        <f t="array" ref="C44">IF('Main Data'!C37=0,"",'Main Data'!C37)</f>
        <v/>
      </c>
    </row>
    <row r="45" spans="1:3" x14ac:dyDescent="0.35">
      <c r="A45" t="str">
        <f t="array" ref="A45">IF('Main Data'!A38=0,"",'Main Data'!A38)</f>
        <v/>
      </c>
      <c r="B45" t="str">
        <f t="array" ref="B45">IF('Main Data'!B38=0,"",'Main Data'!B38)</f>
        <v/>
      </c>
      <c r="C45" t="str">
        <f t="array" ref="C45">IF('Main Data'!C38=0,"",'Main Data'!C38)</f>
        <v/>
      </c>
    </row>
    <row r="46" spans="1:3" x14ac:dyDescent="0.35">
      <c r="A46" t="str">
        <f t="array" ref="A46">IF('Main Data'!A39=0,"",'Main Data'!A39)</f>
        <v/>
      </c>
      <c r="B46" t="str">
        <f t="array" ref="B46">IF('Main Data'!B39=0,"",'Main Data'!B39)</f>
        <v/>
      </c>
      <c r="C46" t="str">
        <f t="array" ref="C46">IF('Main Data'!C39=0,"",'Main Data'!C39)</f>
        <v/>
      </c>
    </row>
    <row r="47" spans="1:3" x14ac:dyDescent="0.35">
      <c r="A47" t="str">
        <f t="array" ref="A47">IF('Main Data'!A40=0,"",'Main Data'!A40)</f>
        <v/>
      </c>
      <c r="B47" t="str">
        <f t="array" ref="B47">IF('Main Data'!B40=0,"",'Main Data'!B40)</f>
        <v/>
      </c>
      <c r="C47" t="str">
        <f t="array" ref="C47">IF('Main Data'!C40=0,"",'Main Data'!C40)</f>
        <v/>
      </c>
    </row>
    <row r="48" spans="1:3" x14ac:dyDescent="0.35">
      <c r="A48" t="str">
        <f t="array" ref="A48">IF('Main Data'!A41=0,"",'Main Data'!A41)</f>
        <v/>
      </c>
      <c r="B48" t="str">
        <f t="array" ref="B48">IF('Main Data'!B41=0,"",'Main Data'!B41)</f>
        <v/>
      </c>
      <c r="C48" t="str">
        <f t="array" ref="C48">IF('Main Data'!C41=0,"",'Main Data'!C41)</f>
        <v/>
      </c>
    </row>
    <row r="49" spans="1:3" x14ac:dyDescent="0.35">
      <c r="A49" t="str">
        <f t="array" ref="A49">IF('Main Data'!A42=0,"",'Main Data'!A42)</f>
        <v/>
      </c>
      <c r="B49" t="str">
        <f t="array" ref="B49">IF('Main Data'!B42=0,"",'Main Data'!B42)</f>
        <v/>
      </c>
      <c r="C49" t="str">
        <f t="array" ref="C49">IF('Main Data'!C42=0,"",'Main Data'!C42)</f>
        <v/>
      </c>
    </row>
    <row r="50" spans="1:3" x14ac:dyDescent="0.35">
      <c r="A50" t="str">
        <f t="array" ref="A50">IF('Main Data'!A43=0,"",'Main Data'!A43)</f>
        <v/>
      </c>
      <c r="B50" t="str">
        <f t="array" ref="B50">IF('Main Data'!B43=0,"",'Main Data'!B43)</f>
        <v/>
      </c>
      <c r="C50" t="str">
        <f t="array" ref="C50">IF('Main Data'!C43=0,"",'Main Data'!C43)</f>
        <v/>
      </c>
    </row>
    <row r="51" spans="1:3" x14ac:dyDescent="0.35">
      <c r="A51" t="str">
        <f t="array" ref="A51">IF('Main Data'!A44=0,"",'Main Data'!A44)</f>
        <v/>
      </c>
      <c r="B51" t="str">
        <f t="array" ref="B51">IF('Main Data'!B44=0,"",'Main Data'!B44)</f>
        <v/>
      </c>
      <c r="C51" t="str">
        <f t="array" ref="C51">IF('Main Data'!C44=0,"",'Main Data'!C44)</f>
        <v/>
      </c>
    </row>
    <row r="52" spans="1:3" x14ac:dyDescent="0.35">
      <c r="A52" t="str">
        <f t="array" ref="A52">IF('Main Data'!A45=0,"",'Main Data'!A45)</f>
        <v/>
      </c>
      <c r="B52" t="str">
        <f t="array" ref="B52">IF('Main Data'!B45=0,"",'Main Data'!B45)</f>
        <v/>
      </c>
      <c r="C52" t="str">
        <f t="array" ref="C52">IF('Main Data'!C45=0,"",'Main Data'!C45)</f>
        <v/>
      </c>
    </row>
    <row r="53" spans="1:3" x14ac:dyDescent="0.35">
      <c r="A53" t="str">
        <f t="array" ref="A53">IF('Main Data'!A46=0,"",'Main Data'!A46)</f>
        <v/>
      </c>
      <c r="B53" t="str">
        <f t="array" ref="B53">IF('Main Data'!B46=0,"",'Main Data'!B46)</f>
        <v/>
      </c>
      <c r="C53" t="str">
        <f t="array" ref="C53">IF('Main Data'!C46=0,"",'Main Data'!C46)</f>
        <v/>
      </c>
    </row>
    <row r="54" spans="1:3" x14ac:dyDescent="0.35">
      <c r="A54" t="str">
        <f t="array" ref="A54">IF('Main Data'!A47=0,"",'Main Data'!A47)</f>
        <v/>
      </c>
      <c r="B54" t="str">
        <f t="array" ref="B54">IF('Main Data'!B47=0,"",'Main Data'!B47)</f>
        <v/>
      </c>
      <c r="C54" t="str">
        <f t="array" ref="C54">IF('Main Data'!C47=0,"",'Main Data'!C47)</f>
        <v/>
      </c>
    </row>
    <row r="55" spans="1:3" x14ac:dyDescent="0.35">
      <c r="A55" t="str">
        <f t="array" ref="A55">IF('Main Data'!A48=0,"",'Main Data'!A48)</f>
        <v/>
      </c>
      <c r="B55" t="str">
        <f t="array" ref="B55">IF('Main Data'!B48=0,"",'Main Data'!B48)</f>
        <v/>
      </c>
      <c r="C55" t="str">
        <f t="array" ref="C55">IF('Main Data'!C48=0,"",'Main Data'!C48)</f>
        <v/>
      </c>
    </row>
    <row r="56" spans="1:3" x14ac:dyDescent="0.35">
      <c r="A56" t="str">
        <f t="array" ref="A56">IF('Main Data'!A49=0,"",'Main Data'!A49)</f>
        <v/>
      </c>
      <c r="B56" t="str">
        <f t="array" ref="B56">IF('Main Data'!B49=0,"",'Main Data'!B49)</f>
        <v/>
      </c>
      <c r="C56" t="str">
        <f t="array" ref="C56">IF('Main Data'!C49=0,"",'Main Data'!C49)</f>
        <v/>
      </c>
    </row>
    <row r="57" spans="1:3" x14ac:dyDescent="0.35">
      <c r="A57" t="str">
        <f t="array" ref="A57">IF('Main Data'!A50=0,"",'Main Data'!A50)</f>
        <v/>
      </c>
      <c r="B57" t="str">
        <f t="array" ref="B57">IF('Main Data'!B50=0,"",'Main Data'!B50)</f>
        <v/>
      </c>
      <c r="C57" t="str">
        <f t="array" ref="C57">IF('Main Data'!C50=0,"",'Main Data'!C50)</f>
        <v/>
      </c>
    </row>
    <row r="58" spans="1:3" x14ac:dyDescent="0.35">
      <c r="A58" t="str">
        <f t="array" ref="A58">IF('Main Data'!A51=0,"",'Main Data'!A51)</f>
        <v/>
      </c>
      <c r="B58" t="str">
        <f t="array" ref="B58">IF('Main Data'!B51=0,"",'Main Data'!B51)</f>
        <v/>
      </c>
      <c r="C58" t="str">
        <f t="array" ref="C58">IF('Main Data'!C51=0,"",'Main Data'!C51)</f>
        <v/>
      </c>
    </row>
    <row r="59" spans="1:3" x14ac:dyDescent="0.35">
      <c r="A59" t="str">
        <f t="array" ref="A59">IF('Main Data'!A52=0,"",'Main Data'!A52)</f>
        <v/>
      </c>
      <c r="B59" t="str">
        <f t="array" ref="B59">IF('Main Data'!B52=0,"",'Main Data'!B52)</f>
        <v/>
      </c>
      <c r="C59" t="str">
        <f t="array" ref="C59">IF('Main Data'!C52=0,"",'Main Data'!C52)</f>
        <v/>
      </c>
    </row>
    <row r="60" spans="1:3" x14ac:dyDescent="0.35">
      <c r="A60" t="str">
        <f t="array" ref="A60">IF('Main Data'!A53=0,"",'Main Data'!A53)</f>
        <v/>
      </c>
      <c r="B60" t="str">
        <f t="array" ref="B60">IF('Main Data'!B53=0,"",'Main Data'!B53)</f>
        <v/>
      </c>
      <c r="C60" t="str">
        <f t="array" ref="C60">IF('Main Data'!C53=0,"",'Main Data'!C53)</f>
        <v/>
      </c>
    </row>
    <row r="61" spans="1:3" x14ac:dyDescent="0.35">
      <c r="A61" t="str">
        <f t="array" ref="A61">IF('Main Data'!A54=0,"",'Main Data'!A54)</f>
        <v/>
      </c>
      <c r="B61" t="str">
        <f t="array" ref="B61">IF('Main Data'!B54=0,"",'Main Data'!B54)</f>
        <v/>
      </c>
      <c r="C61" t="str">
        <f t="array" ref="C61">IF('Main Data'!C54=0,"",'Main Data'!C54)</f>
        <v/>
      </c>
    </row>
    <row r="62" spans="1:3" x14ac:dyDescent="0.35">
      <c r="A62" t="str">
        <f t="array" ref="A62">IF('Main Data'!A55=0,"",'Main Data'!A55)</f>
        <v/>
      </c>
      <c r="B62" t="str">
        <f t="array" ref="B62">IF('Main Data'!B55=0,"",'Main Data'!B55)</f>
        <v/>
      </c>
      <c r="C62" t="str">
        <f t="array" ref="C62">IF('Main Data'!C55=0,"",'Main Data'!C55)</f>
        <v/>
      </c>
    </row>
    <row r="63" spans="1:3" x14ac:dyDescent="0.35">
      <c r="A63" t="str">
        <f t="array" ref="A63">IF('Main Data'!A56=0,"",'Main Data'!A56)</f>
        <v/>
      </c>
      <c r="B63" t="str">
        <f t="array" ref="B63">IF('Main Data'!B56=0,"",'Main Data'!B56)</f>
        <v/>
      </c>
      <c r="C63" t="str">
        <f t="array" ref="C63">IF('Main Data'!C56=0,"",'Main Data'!C56)</f>
        <v/>
      </c>
    </row>
    <row r="64" spans="1:3" x14ac:dyDescent="0.35">
      <c r="A64" t="str">
        <f t="array" ref="A64">IF('Main Data'!A57=0,"",'Main Data'!A57)</f>
        <v/>
      </c>
      <c r="B64" t="str">
        <f t="array" ref="B64">IF('Main Data'!B57=0,"",'Main Data'!B57)</f>
        <v/>
      </c>
      <c r="C64" t="str">
        <f t="array" ref="C64">IF('Main Data'!C57=0,"",'Main Data'!C57)</f>
        <v/>
      </c>
    </row>
    <row r="65" spans="1:3" x14ac:dyDescent="0.35">
      <c r="A65" t="str">
        <f t="array" ref="A65">IF('Main Data'!A58=0,"",'Main Data'!A58)</f>
        <v/>
      </c>
      <c r="B65" t="str">
        <f t="array" ref="B65">IF('Main Data'!B58=0,"",'Main Data'!B58)</f>
        <v/>
      </c>
      <c r="C65" t="str">
        <f t="array" ref="C65">IF('Main Data'!C58=0,"",'Main Data'!C58)</f>
        <v/>
      </c>
    </row>
    <row r="66" spans="1:3" x14ac:dyDescent="0.35">
      <c r="A66" t="str">
        <f t="array" ref="A66">IF('Main Data'!A59=0,"",'Main Data'!A59)</f>
        <v/>
      </c>
      <c r="B66" t="str">
        <f t="array" ref="B66">IF('Main Data'!B59=0,"",'Main Data'!B59)</f>
        <v/>
      </c>
      <c r="C66" t="str">
        <f t="array" ref="C66">IF('Main Data'!C59=0,"",'Main Data'!C59)</f>
        <v/>
      </c>
    </row>
    <row r="67" spans="1:3" x14ac:dyDescent="0.35">
      <c r="A67" t="str">
        <f t="array" ref="A67">IF('Main Data'!A60=0,"",'Main Data'!A60)</f>
        <v/>
      </c>
      <c r="B67" t="str">
        <f t="array" ref="B67">IF('Main Data'!B60=0,"",'Main Data'!B60)</f>
        <v/>
      </c>
      <c r="C67" t="str">
        <f t="array" ref="C67">IF('Main Data'!C60=0,"",'Main Data'!C60)</f>
        <v/>
      </c>
    </row>
    <row r="68" spans="1:3" x14ac:dyDescent="0.35">
      <c r="A68" t="str">
        <f t="array" ref="A68">IF('Main Data'!A61=0,"",'Main Data'!A61)</f>
        <v/>
      </c>
      <c r="B68" t="str">
        <f t="array" ref="B68">IF('Main Data'!B61=0,"",'Main Data'!B61)</f>
        <v/>
      </c>
      <c r="C68" t="str">
        <f t="array" ref="C68">IF('Main Data'!C61=0,"",'Main Data'!C61)</f>
        <v/>
      </c>
    </row>
    <row r="69" spans="1:3" x14ac:dyDescent="0.35">
      <c r="A69" t="str">
        <f t="array" ref="A69">IF('Main Data'!A62=0,"",'Main Data'!A62)</f>
        <v/>
      </c>
      <c r="B69" t="str">
        <f t="array" ref="B69">IF('Main Data'!B62=0,"",'Main Data'!B62)</f>
        <v/>
      </c>
      <c r="C69" t="str">
        <f t="array" ref="C69">IF('Main Data'!C62=0,"",'Main Data'!C62)</f>
        <v/>
      </c>
    </row>
    <row r="70" spans="1:3" x14ac:dyDescent="0.35">
      <c r="A70" t="str">
        <f t="array" ref="A70">IF('Main Data'!A63=0,"",'Main Data'!A63)</f>
        <v/>
      </c>
      <c r="B70" t="str">
        <f t="array" ref="B70">IF('Main Data'!B63=0,"",'Main Data'!B63)</f>
        <v/>
      </c>
      <c r="C70" t="str">
        <f t="array" ref="C70">IF('Main Data'!C63=0,"",'Main Data'!C63)</f>
        <v/>
      </c>
    </row>
    <row r="71" spans="1:3" x14ac:dyDescent="0.35">
      <c r="A71" t="str">
        <f t="array" ref="A71">IF('Main Data'!A64=0,"",'Main Data'!A64)</f>
        <v/>
      </c>
      <c r="B71" t="str">
        <f t="array" ref="B71">IF('Main Data'!B64=0,"",'Main Data'!B64)</f>
        <v/>
      </c>
      <c r="C71" t="str">
        <f t="array" ref="C71">IF('Main Data'!C64=0,"",'Main Data'!C64)</f>
        <v/>
      </c>
    </row>
    <row r="72" spans="1:3" x14ac:dyDescent="0.35">
      <c r="A72" t="str">
        <f t="array" ref="A72">IF('Main Data'!A65=0,"",'Main Data'!A65)</f>
        <v/>
      </c>
      <c r="B72" t="str">
        <f t="array" ref="B72">IF('Main Data'!B65=0,"",'Main Data'!B65)</f>
        <v/>
      </c>
      <c r="C72" t="str">
        <f t="array" ref="C72">IF('Main Data'!C65=0,"",'Main Data'!C65)</f>
        <v/>
      </c>
    </row>
    <row r="73" spans="1:3" x14ac:dyDescent="0.35">
      <c r="A73" t="str">
        <f t="array" ref="A73">IF('Main Data'!A66=0,"",'Main Data'!A66)</f>
        <v/>
      </c>
      <c r="B73" t="str">
        <f t="array" ref="B73">IF('Main Data'!B66=0,"",'Main Data'!B66)</f>
        <v/>
      </c>
      <c r="C73" t="str">
        <f t="array" ref="C73">IF('Main Data'!C66=0,"",'Main Data'!C66)</f>
        <v/>
      </c>
    </row>
    <row r="74" spans="1:3" x14ac:dyDescent="0.35">
      <c r="A74" t="str">
        <f t="array" ref="A74">IF('Main Data'!A67=0,"",'Main Data'!A67)</f>
        <v/>
      </c>
      <c r="B74" t="str">
        <f t="array" ref="B74">IF('Main Data'!B67=0,"",'Main Data'!B67)</f>
        <v/>
      </c>
      <c r="C74" t="str">
        <f t="array" ref="C74">IF('Main Data'!C67=0,"",'Main Data'!C67)</f>
        <v/>
      </c>
    </row>
    <row r="75" spans="1:3" x14ac:dyDescent="0.35">
      <c r="A75" t="str">
        <f t="array" ref="A75">IF('Main Data'!A68=0,"",'Main Data'!A68)</f>
        <v/>
      </c>
      <c r="B75" t="str">
        <f t="array" ref="B75">IF('Main Data'!B68=0,"",'Main Data'!B68)</f>
        <v/>
      </c>
      <c r="C75" t="str">
        <f t="array" ref="C75">IF('Main Data'!C68=0,"",'Main Data'!C68)</f>
        <v/>
      </c>
    </row>
    <row r="76" spans="1:3" x14ac:dyDescent="0.35">
      <c r="A76" t="str">
        <f t="array" ref="A76">IF('Main Data'!A69=0,"",'Main Data'!A69)</f>
        <v/>
      </c>
      <c r="B76" t="str">
        <f t="array" ref="B76">IF('Main Data'!B69=0,"",'Main Data'!B69)</f>
        <v/>
      </c>
      <c r="C76" t="str">
        <f t="array" ref="C76">IF('Main Data'!C69=0,"",'Main Data'!C69)</f>
        <v/>
      </c>
    </row>
    <row r="77" spans="1:3" x14ac:dyDescent="0.35">
      <c r="A77" t="str">
        <f t="array" ref="A77">IF('Main Data'!A70=0,"",'Main Data'!A70)</f>
        <v/>
      </c>
      <c r="B77" t="str">
        <f t="array" ref="B77">IF('Main Data'!B70=0,"",'Main Data'!B70)</f>
        <v/>
      </c>
      <c r="C77" t="str">
        <f t="array" ref="C77">IF('Main Data'!C70=0,"",'Main Data'!C70)</f>
        <v/>
      </c>
    </row>
    <row r="78" spans="1:3" x14ac:dyDescent="0.35">
      <c r="A78" t="str">
        <f t="array" ref="A78">IF('Main Data'!A71=0,"",'Main Data'!A71)</f>
        <v/>
      </c>
      <c r="B78" t="str">
        <f t="array" ref="B78">IF('Main Data'!B71=0,"",'Main Data'!B71)</f>
        <v/>
      </c>
      <c r="C78" t="str">
        <f t="array" ref="C78">IF('Main Data'!C71=0,"",'Main Data'!C71)</f>
        <v/>
      </c>
    </row>
    <row r="79" spans="1:3" x14ac:dyDescent="0.35">
      <c r="A79" t="str">
        <f t="array" ref="A79">IF('Main Data'!A72=0,"",'Main Data'!A72)</f>
        <v/>
      </c>
      <c r="B79" t="str">
        <f t="array" ref="B79">IF('Main Data'!B72=0,"",'Main Data'!B72)</f>
        <v/>
      </c>
      <c r="C79" t="str">
        <f t="array" ref="C79">IF('Main Data'!C72=0,"",'Main Data'!C72)</f>
        <v/>
      </c>
    </row>
    <row r="80" spans="1:3" x14ac:dyDescent="0.35">
      <c r="A80" t="str">
        <f t="array" ref="A80">IF('Main Data'!A73=0,"",'Main Data'!A73)</f>
        <v/>
      </c>
      <c r="B80" t="str">
        <f t="array" ref="B80">IF('Main Data'!B73=0,"",'Main Data'!B73)</f>
        <v/>
      </c>
      <c r="C80" t="str">
        <f t="array" ref="C80">IF('Main Data'!C73=0,"",'Main Data'!C73)</f>
        <v/>
      </c>
    </row>
    <row r="81" spans="1:3" x14ac:dyDescent="0.35">
      <c r="A81" t="str">
        <f t="array" ref="A81">IF('Main Data'!A74=0,"",'Main Data'!A74)</f>
        <v/>
      </c>
      <c r="B81" t="str">
        <f t="array" ref="B81">IF('Main Data'!B74=0,"",'Main Data'!B74)</f>
        <v/>
      </c>
      <c r="C81" t="str">
        <f t="array" ref="C81">IF('Main Data'!C74=0,"",'Main Data'!C74)</f>
        <v/>
      </c>
    </row>
    <row r="82" spans="1:3" x14ac:dyDescent="0.35">
      <c r="A82" t="str">
        <f t="array" ref="A82">IF('Main Data'!A75=0,"",'Main Data'!A75)</f>
        <v/>
      </c>
      <c r="B82" t="str">
        <f t="array" ref="B82">IF('Main Data'!B75=0,"",'Main Data'!B75)</f>
        <v/>
      </c>
      <c r="C82" t="str">
        <f t="array" ref="C82">IF('Main Data'!C75=0,"",'Main Data'!C75)</f>
        <v/>
      </c>
    </row>
    <row r="83" spans="1:3" x14ac:dyDescent="0.35">
      <c r="A83" t="str">
        <f t="array" ref="A83">IF('Main Data'!A76=0,"",'Main Data'!A76)</f>
        <v/>
      </c>
      <c r="B83" t="str">
        <f t="array" ref="B83">IF('Main Data'!B76=0,"",'Main Data'!B76)</f>
        <v/>
      </c>
      <c r="C83" t="str">
        <f t="array" ref="C83">IF('Main Data'!C76=0,"",'Main Data'!C76)</f>
        <v/>
      </c>
    </row>
    <row r="84" spans="1:3" x14ac:dyDescent="0.35">
      <c r="A84" t="str">
        <f t="array" ref="A84">IF('Main Data'!A77=0,"",'Main Data'!A77)</f>
        <v/>
      </c>
      <c r="B84" t="str">
        <f t="array" ref="B84">IF('Main Data'!B77=0,"",'Main Data'!B77)</f>
        <v/>
      </c>
      <c r="C84" t="str">
        <f t="array" ref="C84">IF('Main Data'!C77=0,"",'Main Data'!C77)</f>
        <v/>
      </c>
    </row>
    <row r="85" spans="1:3" x14ac:dyDescent="0.35">
      <c r="A85" t="str">
        <f t="array" ref="A85">IF('Main Data'!A78=0,"",'Main Data'!A78)</f>
        <v/>
      </c>
      <c r="B85" t="str">
        <f t="array" ref="B85">IF('Main Data'!B78=0,"",'Main Data'!B78)</f>
        <v/>
      </c>
      <c r="C85" t="str">
        <f t="array" ref="C85">IF('Main Data'!C78=0,"",'Main Data'!C78)</f>
        <v/>
      </c>
    </row>
    <row r="86" spans="1:3" x14ac:dyDescent="0.35">
      <c r="A86" t="str">
        <f t="array" ref="A86">IF('Main Data'!A79=0,"",'Main Data'!A79)</f>
        <v/>
      </c>
      <c r="B86" t="str">
        <f t="array" ref="B86">IF('Main Data'!B79=0,"",'Main Data'!B79)</f>
        <v/>
      </c>
      <c r="C86" t="str">
        <f t="array" ref="C86">IF('Main Data'!C79=0,"",'Main Data'!C79)</f>
        <v/>
      </c>
    </row>
    <row r="87" spans="1:3" x14ac:dyDescent="0.35">
      <c r="A87" t="str">
        <f t="array" ref="A87">IF('Main Data'!A80=0,"",'Main Data'!A80)</f>
        <v/>
      </c>
      <c r="B87" t="str">
        <f t="array" ref="B87">IF('Main Data'!B80=0,"",'Main Data'!B80)</f>
        <v/>
      </c>
      <c r="C87" t="str">
        <f t="array" ref="C87">IF('Main Data'!C80=0,"",'Main Data'!C80)</f>
        <v/>
      </c>
    </row>
    <row r="88" spans="1:3" x14ac:dyDescent="0.35">
      <c r="A88" t="str">
        <f t="array" ref="A88">IF('Main Data'!A81=0,"",'Main Data'!A81)</f>
        <v/>
      </c>
      <c r="B88" t="str">
        <f t="array" ref="B88">IF('Main Data'!B81=0,"",'Main Data'!B81)</f>
        <v/>
      </c>
      <c r="C88" t="str">
        <f t="array" ref="C88">IF('Main Data'!C81=0,"",'Main Data'!C81)</f>
        <v/>
      </c>
    </row>
    <row r="89" spans="1:3" x14ac:dyDescent="0.35">
      <c r="A89" t="str">
        <f t="array" ref="A89">IF('Main Data'!A82=0,"",'Main Data'!A82)</f>
        <v/>
      </c>
      <c r="B89" t="str">
        <f t="array" ref="B89">IF('Main Data'!B82=0,"",'Main Data'!B82)</f>
        <v/>
      </c>
      <c r="C89" t="str">
        <f t="array" ref="C89">IF('Main Data'!C82=0,"",'Main Data'!C82)</f>
        <v/>
      </c>
    </row>
    <row r="90" spans="1:3" x14ac:dyDescent="0.35">
      <c r="A90" t="str">
        <f t="array" ref="A90">IF('Main Data'!A83=0,"",'Main Data'!A83)</f>
        <v/>
      </c>
      <c r="B90" t="str">
        <f t="array" ref="B90">IF('Main Data'!B83=0,"",'Main Data'!B83)</f>
        <v/>
      </c>
      <c r="C90" t="str">
        <f t="array" ref="C90">IF('Main Data'!C83=0,"",'Main Data'!C83)</f>
        <v/>
      </c>
    </row>
    <row r="91" spans="1:3" x14ac:dyDescent="0.35">
      <c r="A91" t="str">
        <f t="array" ref="A91">IF('Main Data'!A84=0,"",'Main Data'!A84)</f>
        <v/>
      </c>
      <c r="B91" t="str">
        <f t="array" ref="B91">IF('Main Data'!B84=0,"",'Main Data'!B84)</f>
        <v/>
      </c>
      <c r="C91" t="str">
        <f t="array" ref="C91">IF('Main Data'!C84=0,"",'Main Data'!C84)</f>
        <v/>
      </c>
    </row>
    <row r="92" spans="1:3" x14ac:dyDescent="0.35">
      <c r="A92" t="str">
        <f t="array" ref="A92">IF('Main Data'!A85=0,"",'Main Data'!A85)</f>
        <v/>
      </c>
      <c r="B92" t="str">
        <f t="array" ref="B92">IF('Main Data'!B85=0,"",'Main Data'!B85)</f>
        <v/>
      </c>
      <c r="C92" t="str">
        <f t="array" ref="C92">IF('Main Data'!C85=0,"",'Main Data'!C85)</f>
        <v/>
      </c>
    </row>
    <row r="93" spans="1:3" x14ac:dyDescent="0.35">
      <c r="A93" t="str">
        <f t="array" ref="A93">IF('Main Data'!A86=0,"",'Main Data'!A86)</f>
        <v/>
      </c>
      <c r="B93" t="str">
        <f t="array" ref="B93">IF('Main Data'!B86=0,"",'Main Data'!B86)</f>
        <v/>
      </c>
      <c r="C93" t="str">
        <f t="array" ref="C93">IF('Main Data'!C86=0,"",'Main Data'!C86)</f>
        <v/>
      </c>
    </row>
    <row r="94" spans="1:3" x14ac:dyDescent="0.35">
      <c r="A94" t="str">
        <f t="array" ref="A94">IF('Main Data'!A87=0,"",'Main Data'!A87)</f>
        <v/>
      </c>
      <c r="B94" t="str">
        <f t="array" ref="B94">IF('Main Data'!B87=0,"",'Main Data'!B87)</f>
        <v/>
      </c>
      <c r="C94" t="str">
        <f t="array" ref="C94">IF('Main Data'!C87=0,"",'Main Data'!C87)</f>
        <v/>
      </c>
    </row>
    <row r="95" spans="1:3" x14ac:dyDescent="0.35">
      <c r="A95" t="str">
        <f t="array" ref="A95">IF('Main Data'!A88=0,"",'Main Data'!A88)</f>
        <v/>
      </c>
      <c r="B95" t="str">
        <f t="array" ref="B95">IF('Main Data'!B88=0,"",'Main Data'!B88)</f>
        <v/>
      </c>
      <c r="C95" t="str">
        <f t="array" ref="C95">IF('Main Data'!C88=0,"",'Main Data'!C88)</f>
        <v/>
      </c>
    </row>
    <row r="96" spans="1:3" x14ac:dyDescent="0.35">
      <c r="A96" t="str">
        <f t="array" ref="A96">IF('Main Data'!A89=0,"",'Main Data'!A89)</f>
        <v/>
      </c>
      <c r="B96" t="str">
        <f t="array" ref="B96">IF('Main Data'!B89=0,"",'Main Data'!B89)</f>
        <v/>
      </c>
      <c r="C96" t="str">
        <f t="array" ref="C96">IF('Main Data'!C89=0,"",'Main Data'!C89)</f>
        <v/>
      </c>
    </row>
    <row r="97" spans="1:3" x14ac:dyDescent="0.35">
      <c r="A97" t="str">
        <f t="array" ref="A97">IF('Main Data'!A90=0,"",'Main Data'!A90)</f>
        <v/>
      </c>
      <c r="B97" t="str">
        <f t="array" ref="B97">IF('Main Data'!B90=0,"",'Main Data'!B90)</f>
        <v/>
      </c>
      <c r="C97" t="str">
        <f t="array" ref="C97">IF('Main Data'!C90=0,"",'Main Data'!C90)</f>
        <v/>
      </c>
    </row>
    <row r="98" spans="1:3" x14ac:dyDescent="0.35">
      <c r="A98" t="str">
        <f t="array" ref="A98">IF('Main Data'!A91=0,"",'Main Data'!A91)</f>
        <v/>
      </c>
      <c r="B98" t="str">
        <f t="array" ref="B98">IF('Main Data'!B91=0,"",'Main Data'!B91)</f>
        <v/>
      </c>
      <c r="C98" t="str">
        <f t="array" ref="C98">IF('Main Data'!C91=0,"",'Main Data'!C91)</f>
        <v/>
      </c>
    </row>
    <row r="99" spans="1:3" x14ac:dyDescent="0.35">
      <c r="A99" t="str">
        <f t="array" ref="A99">IF('Main Data'!A92=0,"",'Main Data'!A92)</f>
        <v/>
      </c>
      <c r="B99" t="str">
        <f t="array" ref="B99">IF('Main Data'!B92=0,"",'Main Data'!B92)</f>
        <v/>
      </c>
      <c r="C99" t="str">
        <f t="array" ref="C99">IF('Main Data'!C92=0,"",'Main Data'!C92)</f>
        <v/>
      </c>
    </row>
    <row r="100" spans="1:3" x14ac:dyDescent="0.35">
      <c r="A100" t="str">
        <f t="array" ref="A100">IF('Main Data'!A93=0,"",'Main Data'!A93)</f>
        <v/>
      </c>
      <c r="B100" t="str">
        <f t="array" ref="B100">IF('Main Data'!B93=0,"",'Main Data'!B93)</f>
        <v/>
      </c>
      <c r="C100" t="str">
        <f t="array" ref="C100">IF('Main Data'!C93=0,"",'Main Data'!C93)</f>
        <v/>
      </c>
    </row>
    <row r="101" spans="1:3" x14ac:dyDescent="0.35">
      <c r="A101" t="str">
        <f t="array" ref="A101">IF('Main Data'!A94=0,"",'Main Data'!A94)</f>
        <v/>
      </c>
      <c r="B101" t="str">
        <f t="array" ref="B101">IF('Main Data'!B94=0,"",'Main Data'!B94)</f>
        <v/>
      </c>
      <c r="C101" t="str">
        <f t="array" ref="C101">IF('Main Data'!B94=0,"",'Main Data'!B94/100)</f>
        <v/>
      </c>
    </row>
    <row r="102" spans="1:3" x14ac:dyDescent="0.35">
      <c r="A102" t="str">
        <f t="array" ref="A102">IF('Main Data'!A95=0,"",'Main Data'!A95)</f>
        <v/>
      </c>
      <c r="B102" t="str">
        <f t="array" ref="B102">IF('Main Data'!B95=0,"",'Main Data'!B95)</f>
        <v/>
      </c>
      <c r="C102" t="str">
        <f t="array" ref="C102">IF('Main Data'!B95=0,"",'Main Data'!B95/100)</f>
        <v/>
      </c>
    </row>
    <row r="103" spans="1:3" x14ac:dyDescent="0.35">
      <c r="A103" t="str">
        <f t="array" ref="A103">IF('Main Data'!A96=0,"",'Main Data'!A96)</f>
        <v/>
      </c>
      <c r="B103" t="str">
        <f t="array" ref="B103">IF('Main Data'!B96=0,"",'Main Data'!B96)</f>
        <v/>
      </c>
      <c r="C103" t="str">
        <f t="array" ref="C103">IF('Main Data'!B96=0,"",'Main Data'!B96/100)</f>
        <v/>
      </c>
    </row>
    <row r="104" spans="1:3" x14ac:dyDescent="0.35">
      <c r="A104" t="str">
        <f t="array" ref="A104">IF('Main Data'!A97=0,"",'Main Data'!A97)</f>
        <v/>
      </c>
      <c r="B104" t="str">
        <f t="array" ref="B104">IF('Main Data'!B97=0,"",'Main Data'!B97)</f>
        <v/>
      </c>
      <c r="C104" t="str">
        <f t="array" ref="C104">IF('Main Data'!B97=0,"",'Main Data'!B97/100)</f>
        <v/>
      </c>
    </row>
    <row r="105" spans="1:3" x14ac:dyDescent="0.35">
      <c r="A105" t="str">
        <f t="array" ref="A105">IF('Main Data'!A98=0,"",'Main Data'!A98)</f>
        <v/>
      </c>
      <c r="B105" t="str">
        <f t="array" ref="B105">IF('Main Data'!B98=0,"",'Main Data'!B98)</f>
        <v/>
      </c>
      <c r="C105" t="str">
        <f t="array" ref="C105">IF('Main Data'!B98=0,"",'Main Data'!B98/100)</f>
        <v/>
      </c>
    </row>
    <row r="106" spans="1:3" x14ac:dyDescent="0.35">
      <c r="A106" t="str">
        <f t="array" ref="A106">IF('Main Data'!A99=0,"",'Main Data'!A99)</f>
        <v/>
      </c>
      <c r="B106" t="str">
        <f t="array" ref="B106">IF('Main Data'!B99=0,"",'Main Data'!B99)</f>
        <v/>
      </c>
      <c r="C106" t="str">
        <f t="array" ref="C106">IF('Main Data'!B99=0,"",'Main Data'!B99/100)</f>
        <v/>
      </c>
    </row>
    <row r="107" spans="1:3" x14ac:dyDescent="0.35">
      <c r="A107" t="str">
        <f t="array" ref="A107">IF('Main Data'!A100=0,"",'Main Data'!A100)</f>
        <v/>
      </c>
      <c r="B107" t="str">
        <f t="array" ref="B107">IF('Main Data'!B100=0,"",'Main Data'!B100)</f>
        <v/>
      </c>
      <c r="C107" t="str">
        <f t="array" ref="C107">IF('Main Data'!B100=0,"",'Main Data'!B100/100)</f>
        <v/>
      </c>
    </row>
    <row r="108" spans="1:3" x14ac:dyDescent="0.35">
      <c r="A108" t="str">
        <f t="array" ref="A108">IF('Main Data'!A101=0,"",'Main Data'!A101)</f>
        <v/>
      </c>
      <c r="B108" t="str">
        <f t="array" ref="B108">IF('Main Data'!B101=0,"",'Main Data'!B101)</f>
        <v/>
      </c>
      <c r="C108" t="str">
        <f t="array" ref="C108">IF('Main Data'!B101=0,"",'Main Data'!B101/100)</f>
        <v/>
      </c>
    </row>
    <row r="109" spans="1:3" x14ac:dyDescent="0.35">
      <c r="A109" t="str">
        <f t="array" ref="A109">IF('Main Data'!A102=0,"",'Main Data'!A102)</f>
        <v/>
      </c>
      <c r="B109" t="str">
        <f t="array" ref="B109">IF('Main Data'!B102=0,"",'Main Data'!B102)</f>
        <v/>
      </c>
      <c r="C109" t="str">
        <f t="array" ref="C109">IF('Main Data'!B102=0,"",'Main Data'!B102/100)</f>
        <v/>
      </c>
    </row>
    <row r="110" spans="1:3" x14ac:dyDescent="0.35">
      <c r="A110" t="str">
        <f t="array" ref="A110">IF('Main Data'!A103=0,"",'Main Data'!A103)</f>
        <v/>
      </c>
      <c r="B110" t="str">
        <f t="array" ref="B110">IF('Main Data'!B103=0,"",'Main Data'!B103)</f>
        <v/>
      </c>
      <c r="C110" t="str">
        <f t="array" ref="C110">IF('Main Data'!B103=0,"",'Main Data'!B103/100)</f>
        <v/>
      </c>
    </row>
    <row r="111" spans="1:3" x14ac:dyDescent="0.35">
      <c r="A111" t="str">
        <f t="array" ref="A111">IF('Main Data'!A104=0,"",'Main Data'!A104)</f>
        <v/>
      </c>
      <c r="B111" t="str">
        <f t="array" ref="B111">IF('Main Data'!B104=0,"",'Main Data'!B104)</f>
        <v/>
      </c>
      <c r="C111" t="str">
        <f t="array" ref="C111">IF('Main Data'!B104=0,"",'Main Data'!B104/100)</f>
        <v/>
      </c>
    </row>
    <row r="112" spans="1:3" x14ac:dyDescent="0.35">
      <c r="A112" t="str">
        <f t="array" ref="A112">IF('Main Data'!A105=0,"",'Main Data'!A105)</f>
        <v/>
      </c>
      <c r="B112" t="str">
        <f t="array" ref="B112">IF('Main Data'!B105=0,"",'Main Data'!B105)</f>
        <v/>
      </c>
      <c r="C112" t="str">
        <f t="array" ref="C112">IF('Main Data'!B105=0,"",'Main Data'!B105/100)</f>
        <v/>
      </c>
    </row>
    <row r="113" spans="1:3" x14ac:dyDescent="0.35">
      <c r="A113" t="str">
        <f t="array" ref="A113">IF('Main Data'!A106=0,"",'Main Data'!A106)</f>
        <v/>
      </c>
      <c r="B113" t="str">
        <f t="array" ref="B113">IF('Main Data'!B106=0,"",'Main Data'!B106)</f>
        <v/>
      </c>
      <c r="C113" t="str">
        <f t="array" ref="C113">IF('Main Data'!B106=0,"",'Main Data'!B106/100)</f>
        <v/>
      </c>
    </row>
    <row r="114" spans="1:3" x14ac:dyDescent="0.35">
      <c r="A114" t="str">
        <f t="array" ref="A114">IF('Main Data'!A107=0,"",'Main Data'!A107)</f>
        <v/>
      </c>
      <c r="B114" t="str">
        <f t="array" ref="B114">IF('Main Data'!B107=0,"",'Main Data'!B107)</f>
        <v/>
      </c>
      <c r="C114" t="str">
        <f t="array" ref="C114">IF('Main Data'!B107=0,"",'Main Data'!B107/100)</f>
        <v/>
      </c>
    </row>
    <row r="115" spans="1:3" x14ac:dyDescent="0.35">
      <c r="A115" t="str">
        <f t="array" ref="A115">IF('Main Data'!A108=0,"",'Main Data'!A108)</f>
        <v/>
      </c>
      <c r="B115" t="str">
        <f t="array" ref="B115">IF('Main Data'!B108=0,"",'Main Data'!B108)</f>
        <v/>
      </c>
      <c r="C115" t="str">
        <f t="array" ref="C115">IF('Main Data'!B108=0,"",'Main Data'!B108/100)</f>
        <v/>
      </c>
    </row>
    <row r="116" spans="1:3" x14ac:dyDescent="0.35">
      <c r="A116" t="str">
        <f t="array" ref="A116">IF('Main Data'!A109=0,"",'Main Data'!A109)</f>
        <v/>
      </c>
      <c r="B116" t="str">
        <f t="array" ref="B116">IF('Main Data'!B109=0,"",'Main Data'!B109)</f>
        <v/>
      </c>
      <c r="C116" t="str">
        <f t="array" ref="C116">IF('Main Data'!B109=0,"",'Main Data'!B109/100)</f>
        <v/>
      </c>
    </row>
    <row r="117" spans="1:3" x14ac:dyDescent="0.35">
      <c r="A117" t="str">
        <f t="array" ref="A117">IF('Main Data'!A110=0,"",'Main Data'!A110)</f>
        <v/>
      </c>
      <c r="B117" t="str">
        <f t="array" ref="B117">IF('Main Data'!B110=0,"",'Main Data'!B110)</f>
        <v/>
      </c>
      <c r="C117" t="str">
        <f t="array" ref="C117">IF('Main Data'!B110=0,"",'Main Data'!B110/100)</f>
        <v/>
      </c>
    </row>
    <row r="118" spans="1:3" x14ac:dyDescent="0.35">
      <c r="A118" t="str">
        <f t="array" ref="A118">IF('Main Data'!A111=0,"",'Main Data'!A111)</f>
        <v/>
      </c>
      <c r="B118" t="str">
        <f t="array" ref="B118">IF('Main Data'!B111=0,"",'Main Data'!B111)</f>
        <v/>
      </c>
      <c r="C118" t="str">
        <f t="array" ref="C118">IF('Main Data'!B111=0,"",'Main Data'!B111/100)</f>
        <v/>
      </c>
    </row>
    <row r="119" spans="1:3" x14ac:dyDescent="0.35">
      <c r="A119" t="str">
        <f t="array" ref="A119">IF('Main Data'!A112=0,"",'Main Data'!A112)</f>
        <v/>
      </c>
      <c r="B119" t="str">
        <f t="array" ref="B119">IF('Main Data'!B112=0,"",'Main Data'!B112)</f>
        <v/>
      </c>
      <c r="C119" t="str">
        <f t="array" ref="C119">IF('Main Data'!B112=0,"",'Main Data'!B112/100)</f>
        <v/>
      </c>
    </row>
    <row r="120" spans="1:3" x14ac:dyDescent="0.35">
      <c r="A120" t="str">
        <f t="array" ref="A120">IF('Main Data'!A113=0,"",'Main Data'!A113)</f>
        <v/>
      </c>
      <c r="B120" t="str">
        <f t="array" ref="B120">IF('Main Data'!B113=0,"",'Main Data'!B113)</f>
        <v/>
      </c>
      <c r="C120" t="str">
        <f t="array" ref="C120">IF('Main Data'!B113=0,"",'Main Data'!B113/100)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etData">
              <controlPr defaultSize="0" print="0" autoFill="0" autoPict="0" macro="[0]!GetData_Click" altText="Get Data">
                <anchor moveWithCells="1" sizeWithCells="1">
                  <from>
                    <xdr:col>3</xdr:col>
                    <xdr:colOff>0</xdr:colOff>
                    <xdr:row>1</xdr:row>
                    <xdr:rowOff>107950</xdr:rowOff>
                  </from>
                  <to>
                    <xdr:col>4</xdr:col>
                    <xdr:colOff>6350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D36"/>
  <sheetViews>
    <sheetView workbookViewId="0"/>
  </sheetViews>
  <sheetFormatPr defaultRowHeight="14.5" x14ac:dyDescent="0.35"/>
  <sheetData>
    <row r="2" spans="1:4" x14ac:dyDescent="0.35">
      <c r="A2" t="s">
        <v>45</v>
      </c>
      <c r="B2" t="s">
        <v>46</v>
      </c>
      <c r="C2">
        <v>0.01</v>
      </c>
      <c r="D2" t="s">
        <v>47</v>
      </c>
    </row>
    <row r="3" spans="1:4" x14ac:dyDescent="0.35">
      <c r="A3" t="s">
        <v>48</v>
      </c>
      <c r="B3" t="s">
        <v>49</v>
      </c>
      <c r="C3">
        <v>8.5000000000000006E-3</v>
      </c>
      <c r="D3" t="s">
        <v>47</v>
      </c>
    </row>
    <row r="4" spans="1:4" x14ac:dyDescent="0.35">
      <c r="A4" t="s">
        <v>50</v>
      </c>
      <c r="B4" t="s">
        <v>51</v>
      </c>
      <c r="C4">
        <v>99.99</v>
      </c>
      <c r="D4" t="s">
        <v>47</v>
      </c>
    </row>
    <row r="5" spans="1:4" x14ac:dyDescent="0.35">
      <c r="A5" t="s">
        <v>52</v>
      </c>
      <c r="B5" t="s">
        <v>53</v>
      </c>
      <c r="C5">
        <v>99.99</v>
      </c>
      <c r="D5" t="s">
        <v>47</v>
      </c>
    </row>
    <row r="6" spans="1:4" x14ac:dyDescent="0.35">
      <c r="A6" t="s">
        <v>54</v>
      </c>
      <c r="B6" t="s">
        <v>55</v>
      </c>
      <c r="C6">
        <v>99.99</v>
      </c>
      <c r="D6" t="s">
        <v>47</v>
      </c>
    </row>
    <row r="7" spans="1:4" x14ac:dyDescent="0.35">
      <c r="A7" t="s">
        <v>56</v>
      </c>
      <c r="B7" t="s">
        <v>57</v>
      </c>
      <c r="C7">
        <v>7.0000000000000001E-3</v>
      </c>
      <c r="D7" t="s">
        <v>47</v>
      </c>
    </row>
    <row r="8" spans="1:4" x14ac:dyDescent="0.35">
      <c r="A8" t="s">
        <v>58</v>
      </c>
      <c r="B8" t="s">
        <v>59</v>
      </c>
      <c r="C8">
        <v>99.99</v>
      </c>
      <c r="D8" t="s">
        <v>47</v>
      </c>
    </row>
    <row r="9" spans="1:4" x14ac:dyDescent="0.35">
      <c r="A9" t="s">
        <v>60</v>
      </c>
      <c r="B9" t="s">
        <v>61</v>
      </c>
      <c r="C9">
        <v>7.0000000000000001E-3</v>
      </c>
      <c r="D9" t="s">
        <v>47</v>
      </c>
    </row>
    <row r="10" spans="1:4" x14ac:dyDescent="0.35">
      <c r="A10" t="s">
        <v>62</v>
      </c>
      <c r="B10" t="s">
        <v>63</v>
      </c>
      <c r="C10">
        <v>99.99</v>
      </c>
      <c r="D10" t="s">
        <v>47</v>
      </c>
    </row>
    <row r="11" spans="1:4" x14ac:dyDescent="0.35">
      <c r="A11" t="s">
        <v>64</v>
      </c>
      <c r="B11" t="s">
        <v>65</v>
      </c>
      <c r="C11">
        <v>0.01</v>
      </c>
      <c r="D11" t="s">
        <v>47</v>
      </c>
    </row>
    <row r="12" spans="1:4" x14ac:dyDescent="0.35">
      <c r="A12" t="s">
        <v>66</v>
      </c>
      <c r="B12" t="s">
        <v>67</v>
      </c>
      <c r="C12">
        <v>99.99</v>
      </c>
      <c r="D12" t="s">
        <v>47</v>
      </c>
    </row>
    <row r="13" spans="1:4" x14ac:dyDescent="0.35">
      <c r="A13" t="s">
        <v>68</v>
      </c>
      <c r="B13" t="s">
        <v>69</v>
      </c>
      <c r="C13">
        <v>99.99</v>
      </c>
      <c r="D13" t="s">
        <v>47</v>
      </c>
    </row>
    <row r="14" spans="1:4" x14ac:dyDescent="0.35">
      <c r="A14" t="s">
        <v>41</v>
      </c>
      <c r="B14" t="s">
        <v>42</v>
      </c>
      <c r="C14">
        <v>9.0010000000000003E-3</v>
      </c>
      <c r="D14" t="s">
        <v>47</v>
      </c>
    </row>
    <row r="15" spans="1:4" x14ac:dyDescent="0.35">
      <c r="A15" t="s">
        <v>70</v>
      </c>
      <c r="B15" t="s">
        <v>71</v>
      </c>
      <c r="C15">
        <v>9.0010000000000003E-3</v>
      </c>
      <c r="D15" t="s">
        <v>47</v>
      </c>
    </row>
    <row r="16" spans="1:4" x14ac:dyDescent="0.35">
      <c r="A16" t="s">
        <v>72</v>
      </c>
      <c r="B16" t="s">
        <v>73</v>
      </c>
      <c r="C16">
        <v>99.99</v>
      </c>
      <c r="D16" t="s">
        <v>47</v>
      </c>
    </row>
    <row r="17" spans="1:4" x14ac:dyDescent="0.35">
      <c r="A17" t="s">
        <v>74</v>
      </c>
      <c r="B17" t="s">
        <v>75</v>
      </c>
      <c r="C17">
        <v>99.99</v>
      </c>
      <c r="D17" t="s">
        <v>76</v>
      </c>
    </row>
    <row r="18" spans="1:4" x14ac:dyDescent="0.35">
      <c r="A18" t="s">
        <v>77</v>
      </c>
      <c r="B18" t="s">
        <v>78</v>
      </c>
      <c r="C18">
        <v>0.01</v>
      </c>
      <c r="D18" t="s">
        <v>47</v>
      </c>
    </row>
    <row r="19" spans="1:4" x14ac:dyDescent="0.35">
      <c r="A19" t="s">
        <v>79</v>
      </c>
      <c r="B19" t="s">
        <v>80</v>
      </c>
      <c r="C19">
        <v>9.1000000000000004E-3</v>
      </c>
      <c r="D19" t="s">
        <v>47</v>
      </c>
    </row>
    <row r="20" spans="1:4" x14ac:dyDescent="0.35">
      <c r="A20" t="s">
        <v>81</v>
      </c>
      <c r="B20" t="s">
        <v>82</v>
      </c>
      <c r="C20">
        <v>99.99</v>
      </c>
      <c r="D20" t="s">
        <v>47</v>
      </c>
    </row>
    <row r="21" spans="1:4" x14ac:dyDescent="0.35">
      <c r="A21" t="s">
        <v>83</v>
      </c>
      <c r="B21" t="s">
        <v>84</v>
      </c>
      <c r="C21">
        <v>99.99</v>
      </c>
      <c r="D21" t="s">
        <v>47</v>
      </c>
    </row>
    <row r="22" spans="1:4" x14ac:dyDescent="0.35">
      <c r="A22" t="s">
        <v>85</v>
      </c>
      <c r="B22" t="s">
        <v>86</v>
      </c>
      <c r="C22">
        <v>99.99</v>
      </c>
      <c r="D22" t="s">
        <v>47</v>
      </c>
    </row>
    <row r="23" spans="1:4" x14ac:dyDescent="0.35">
      <c r="A23" t="s">
        <v>87</v>
      </c>
      <c r="B23" t="s">
        <v>88</v>
      </c>
      <c r="C23">
        <v>99.99</v>
      </c>
      <c r="D23" t="s">
        <v>47</v>
      </c>
    </row>
    <row r="24" spans="1:4" x14ac:dyDescent="0.35">
      <c r="A24" t="s">
        <v>89</v>
      </c>
      <c r="B24" t="s">
        <v>90</v>
      </c>
      <c r="C24">
        <v>99.99</v>
      </c>
      <c r="D24" t="s">
        <v>47</v>
      </c>
    </row>
    <row r="25" spans="1:4" x14ac:dyDescent="0.35">
      <c r="A25" t="s">
        <v>91</v>
      </c>
      <c r="B25" t="s">
        <v>92</v>
      </c>
      <c r="C25">
        <v>9.0010000000000003E-3</v>
      </c>
      <c r="D25" t="s">
        <v>47</v>
      </c>
    </row>
    <row r="26" spans="1:4" x14ac:dyDescent="0.35">
      <c r="A26" t="s">
        <v>93</v>
      </c>
      <c r="B26" t="s">
        <v>94</v>
      </c>
      <c r="C26">
        <v>0.01</v>
      </c>
      <c r="D26" t="s">
        <v>47</v>
      </c>
    </row>
    <row r="27" spans="1:4" x14ac:dyDescent="0.35">
      <c r="A27" t="s">
        <v>95</v>
      </c>
      <c r="B27" t="s">
        <v>96</v>
      </c>
      <c r="C27">
        <v>0.01</v>
      </c>
      <c r="D27" t="s">
        <v>47</v>
      </c>
    </row>
    <row r="28" spans="1:4" x14ac:dyDescent="0.35">
      <c r="A28" t="s">
        <v>97</v>
      </c>
      <c r="B28" t="s">
        <v>98</v>
      </c>
      <c r="C28">
        <v>0.01</v>
      </c>
      <c r="D28" t="s">
        <v>47</v>
      </c>
    </row>
    <row r="29" spans="1:4" x14ac:dyDescent="0.35">
      <c r="A29" t="s">
        <v>99</v>
      </c>
      <c r="B29" t="s">
        <v>100</v>
      </c>
      <c r="C29">
        <v>99.99</v>
      </c>
      <c r="D29" t="s">
        <v>43</v>
      </c>
    </row>
    <row r="30" spans="1:4" x14ac:dyDescent="0.35">
      <c r="A30" t="s">
        <v>101</v>
      </c>
      <c r="B30" t="s">
        <v>102</v>
      </c>
      <c r="C30">
        <v>99.99</v>
      </c>
      <c r="D30" t="s">
        <v>44</v>
      </c>
    </row>
    <row r="31" spans="1:4" x14ac:dyDescent="0.35">
      <c r="A31" t="s">
        <v>103</v>
      </c>
      <c r="B31" t="s">
        <v>104</v>
      </c>
      <c r="C31">
        <v>99.99</v>
      </c>
      <c r="D31" t="s">
        <v>44</v>
      </c>
    </row>
    <row r="32" spans="1:4" x14ac:dyDescent="0.35">
      <c r="A32" t="s">
        <v>105</v>
      </c>
      <c r="B32" t="s">
        <v>106</v>
      </c>
      <c r="C32">
        <v>9.4999999999999998E-3</v>
      </c>
      <c r="D32" t="s">
        <v>47</v>
      </c>
    </row>
    <row r="33" spans="1:4" x14ac:dyDescent="0.35">
      <c r="A33" t="s">
        <v>107</v>
      </c>
      <c r="B33" t="s">
        <v>108</v>
      </c>
      <c r="C33">
        <v>0.01</v>
      </c>
      <c r="D33" t="s">
        <v>47</v>
      </c>
    </row>
    <row r="34" spans="1:4" x14ac:dyDescent="0.35">
      <c r="A34" t="s">
        <v>109</v>
      </c>
      <c r="B34" t="s">
        <v>110</v>
      </c>
      <c r="C34">
        <v>0.01</v>
      </c>
      <c r="D34" t="s">
        <v>47</v>
      </c>
    </row>
    <row r="35" spans="1:4" x14ac:dyDescent="0.35">
      <c r="A35" t="s">
        <v>111</v>
      </c>
      <c r="B35" t="s">
        <v>112</v>
      </c>
      <c r="C35">
        <v>9.4000000000000004E-3</v>
      </c>
      <c r="D35" t="s">
        <v>47</v>
      </c>
    </row>
    <row r="36" spans="1:4" x14ac:dyDescent="0.35">
      <c r="A36" t="s">
        <v>113</v>
      </c>
      <c r="B36" t="s">
        <v>114</v>
      </c>
      <c r="C36">
        <v>9.2499999999999995E-3</v>
      </c>
      <c r="D3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35"/>
  <sheetViews>
    <sheetView workbookViewId="0">
      <selection activeCell="B1" sqref="B1"/>
    </sheetView>
  </sheetViews>
  <sheetFormatPr defaultColWidth="8.90625" defaultRowHeight="12.5" x14ac:dyDescent="0.25"/>
  <cols>
    <col min="1" max="1" width="41.36328125" style="3" customWidth="1"/>
    <col min="2" max="2" width="11.453125" style="3" customWidth="1"/>
    <col min="3" max="3" width="16.453125" style="3" customWidth="1"/>
    <col min="4" max="16384" width="8.90625" style="3"/>
  </cols>
  <sheetData>
    <row r="1" spans="1:104" ht="14.5" x14ac:dyDescent="0.35">
      <c r="B1" s="5"/>
      <c r="C1" s="5"/>
      <c r="E1" s="4"/>
      <c r="G1" s="5"/>
      <c r="H1" s="5"/>
      <c r="I1" s="5"/>
      <c r="J1" s="5"/>
      <c r="K1" s="5"/>
      <c r="L1" s="5"/>
      <c r="M1" s="5"/>
      <c r="N1" s="5"/>
      <c r="P1" s="2"/>
      <c r="R1" s="5"/>
      <c r="S1" s="5"/>
      <c r="T1" s="5"/>
      <c r="U1" s="5"/>
      <c r="V1" s="5"/>
      <c r="W1" s="5"/>
      <c r="X1" s="5"/>
      <c r="Y1" s="5"/>
      <c r="Z1" s="5"/>
      <c r="AB1" s="2"/>
      <c r="CP1"/>
    </row>
    <row r="2" spans="1:104" ht="13" x14ac:dyDescent="0.3">
      <c r="B2" s="4" t="e">
        <f t="shared" ref="B2:AG2" si="0">VLOOKUP(B$1,ProjectNames,2,FALSE)</f>
        <v>#N/A</v>
      </c>
      <c r="C2" s="4" t="e">
        <f t="shared" si="0"/>
        <v>#N/A</v>
      </c>
      <c r="D2" s="4" t="e">
        <f t="shared" si="0"/>
        <v>#N/A</v>
      </c>
      <c r="E2" s="4" t="e">
        <f t="shared" si="0"/>
        <v>#N/A</v>
      </c>
      <c r="F2" s="4" t="e">
        <f t="shared" si="0"/>
        <v>#N/A</v>
      </c>
      <c r="G2" s="4" t="e">
        <f t="shared" si="0"/>
        <v>#N/A</v>
      </c>
      <c r="H2" s="4" t="e">
        <f t="shared" si="0"/>
        <v>#N/A</v>
      </c>
      <c r="I2" s="4" t="e">
        <f t="shared" si="0"/>
        <v>#N/A</v>
      </c>
      <c r="J2" s="4" t="e">
        <f t="shared" si="0"/>
        <v>#N/A</v>
      </c>
      <c r="K2" s="4" t="e">
        <f t="shared" si="0"/>
        <v>#N/A</v>
      </c>
      <c r="L2" s="4" t="e">
        <f t="shared" si="0"/>
        <v>#N/A</v>
      </c>
      <c r="M2" s="4" t="e">
        <f t="shared" si="0"/>
        <v>#N/A</v>
      </c>
      <c r="N2" s="4" t="e">
        <f t="shared" si="0"/>
        <v>#N/A</v>
      </c>
      <c r="O2" s="4" t="e">
        <f t="shared" si="0"/>
        <v>#N/A</v>
      </c>
      <c r="P2" s="4" t="e">
        <f t="shared" si="0"/>
        <v>#N/A</v>
      </c>
      <c r="Q2" s="4" t="e">
        <f t="shared" si="0"/>
        <v>#N/A</v>
      </c>
      <c r="R2" s="4" t="e">
        <f t="shared" si="0"/>
        <v>#N/A</v>
      </c>
      <c r="S2" s="4" t="e">
        <f t="shared" si="0"/>
        <v>#N/A</v>
      </c>
      <c r="T2" s="4" t="e">
        <f t="shared" si="0"/>
        <v>#N/A</v>
      </c>
      <c r="U2" s="4" t="e">
        <f t="shared" si="0"/>
        <v>#N/A</v>
      </c>
      <c r="V2" s="4" t="e">
        <f t="shared" si="0"/>
        <v>#N/A</v>
      </c>
      <c r="W2" s="4" t="e">
        <f t="shared" si="0"/>
        <v>#N/A</v>
      </c>
      <c r="X2" s="4" t="e">
        <f t="shared" si="0"/>
        <v>#N/A</v>
      </c>
      <c r="Y2" s="4" t="e">
        <f t="shared" si="0"/>
        <v>#N/A</v>
      </c>
      <c r="Z2" s="4" t="e">
        <f t="shared" si="0"/>
        <v>#N/A</v>
      </c>
      <c r="AA2" s="4" t="e">
        <f t="shared" si="0"/>
        <v>#N/A</v>
      </c>
      <c r="AB2" s="4" t="e">
        <f t="shared" si="0"/>
        <v>#N/A</v>
      </c>
      <c r="AC2" s="4" t="e">
        <f t="shared" si="0"/>
        <v>#N/A</v>
      </c>
      <c r="AD2" s="4" t="e">
        <f t="shared" si="0"/>
        <v>#N/A</v>
      </c>
      <c r="AE2" s="4" t="e">
        <f t="shared" si="0"/>
        <v>#N/A</v>
      </c>
      <c r="AF2" s="4" t="e">
        <f t="shared" si="0"/>
        <v>#N/A</v>
      </c>
      <c r="AG2" s="4" t="e">
        <f t="shared" si="0"/>
        <v>#N/A</v>
      </c>
      <c r="AH2" s="4" t="e">
        <f t="shared" ref="AH2:BM2" si="1">VLOOKUP(AH$1,ProjectNames,2,FALSE)</f>
        <v>#N/A</v>
      </c>
      <c r="AI2" s="4" t="e">
        <f t="shared" si="1"/>
        <v>#N/A</v>
      </c>
      <c r="AJ2" s="4" t="e">
        <f t="shared" si="1"/>
        <v>#N/A</v>
      </c>
      <c r="AK2" s="4" t="e">
        <f t="shared" si="1"/>
        <v>#N/A</v>
      </c>
      <c r="AL2" s="4" t="e">
        <f t="shared" si="1"/>
        <v>#N/A</v>
      </c>
      <c r="AM2" s="4" t="e">
        <f t="shared" si="1"/>
        <v>#N/A</v>
      </c>
      <c r="AN2" s="4" t="e">
        <f t="shared" si="1"/>
        <v>#N/A</v>
      </c>
      <c r="AO2" s="4" t="e">
        <f t="shared" si="1"/>
        <v>#N/A</v>
      </c>
      <c r="AP2" s="4" t="e">
        <f t="shared" si="1"/>
        <v>#N/A</v>
      </c>
      <c r="AQ2" s="4" t="e">
        <f t="shared" si="1"/>
        <v>#N/A</v>
      </c>
      <c r="AR2" s="4" t="e">
        <f t="shared" si="1"/>
        <v>#N/A</v>
      </c>
      <c r="AS2" s="4" t="e">
        <f t="shared" si="1"/>
        <v>#N/A</v>
      </c>
      <c r="AT2" s="4" t="e">
        <f t="shared" si="1"/>
        <v>#N/A</v>
      </c>
      <c r="AU2" s="4" t="e">
        <f t="shared" si="1"/>
        <v>#N/A</v>
      </c>
      <c r="AV2" s="4" t="e">
        <f t="shared" si="1"/>
        <v>#N/A</v>
      </c>
      <c r="AW2" s="4" t="e">
        <f t="shared" si="1"/>
        <v>#N/A</v>
      </c>
      <c r="AX2" s="4" t="e">
        <f t="shared" si="1"/>
        <v>#N/A</v>
      </c>
      <c r="AY2" s="4" t="e">
        <f t="shared" si="1"/>
        <v>#N/A</v>
      </c>
      <c r="AZ2" s="4" t="e">
        <f t="shared" si="1"/>
        <v>#N/A</v>
      </c>
      <c r="BA2" s="4" t="e">
        <f t="shared" si="1"/>
        <v>#N/A</v>
      </c>
      <c r="BB2" s="4" t="e">
        <f t="shared" si="1"/>
        <v>#N/A</v>
      </c>
      <c r="BC2" s="4" t="e">
        <f t="shared" si="1"/>
        <v>#N/A</v>
      </c>
      <c r="BD2" s="4" t="e">
        <f t="shared" si="1"/>
        <v>#N/A</v>
      </c>
      <c r="BE2" s="4" t="e">
        <f t="shared" si="1"/>
        <v>#N/A</v>
      </c>
      <c r="BF2" s="4" t="e">
        <f t="shared" si="1"/>
        <v>#N/A</v>
      </c>
      <c r="BG2" s="4" t="e">
        <f t="shared" si="1"/>
        <v>#N/A</v>
      </c>
      <c r="BH2" s="4" t="e">
        <f t="shared" si="1"/>
        <v>#N/A</v>
      </c>
      <c r="BI2" s="4" t="e">
        <f t="shared" si="1"/>
        <v>#N/A</v>
      </c>
      <c r="BJ2" s="4" t="e">
        <f t="shared" si="1"/>
        <v>#N/A</v>
      </c>
      <c r="BK2" s="4" t="e">
        <f t="shared" si="1"/>
        <v>#N/A</v>
      </c>
      <c r="BL2" s="4" t="e">
        <f t="shared" si="1"/>
        <v>#N/A</v>
      </c>
      <c r="BM2" s="4" t="e">
        <f t="shared" si="1"/>
        <v>#N/A</v>
      </c>
      <c r="BN2" s="4" t="e">
        <f t="shared" ref="BN2:CS2" si="2">VLOOKUP(BN$1,ProjectNames,2,FALSE)</f>
        <v>#N/A</v>
      </c>
      <c r="BO2" s="4" t="e">
        <f t="shared" si="2"/>
        <v>#N/A</v>
      </c>
      <c r="BP2" s="4" t="e">
        <f t="shared" si="2"/>
        <v>#N/A</v>
      </c>
      <c r="BQ2" s="4" t="e">
        <f t="shared" si="2"/>
        <v>#N/A</v>
      </c>
      <c r="BR2" s="4" t="e">
        <f t="shared" si="2"/>
        <v>#N/A</v>
      </c>
      <c r="BS2" s="4" t="e">
        <f t="shared" si="2"/>
        <v>#N/A</v>
      </c>
      <c r="BT2" s="4" t="e">
        <f t="shared" si="2"/>
        <v>#N/A</v>
      </c>
      <c r="BU2" s="4" t="e">
        <f t="shared" si="2"/>
        <v>#N/A</v>
      </c>
      <c r="BV2" s="4" t="e">
        <f t="shared" si="2"/>
        <v>#N/A</v>
      </c>
      <c r="BW2" s="4" t="e">
        <f t="shared" si="2"/>
        <v>#N/A</v>
      </c>
      <c r="BX2" s="4" t="e">
        <f t="shared" si="2"/>
        <v>#N/A</v>
      </c>
      <c r="BY2" s="4" t="e">
        <f t="shared" si="2"/>
        <v>#N/A</v>
      </c>
      <c r="BZ2" s="4" t="e">
        <f t="shared" si="2"/>
        <v>#N/A</v>
      </c>
      <c r="CA2" s="4" t="e">
        <f t="shared" si="2"/>
        <v>#N/A</v>
      </c>
      <c r="CB2" s="4" t="e">
        <f t="shared" si="2"/>
        <v>#N/A</v>
      </c>
      <c r="CC2" s="4" t="e">
        <f t="shared" si="2"/>
        <v>#N/A</v>
      </c>
      <c r="CD2" s="4" t="e">
        <f t="shared" si="2"/>
        <v>#N/A</v>
      </c>
      <c r="CE2" s="4" t="e">
        <f t="shared" si="2"/>
        <v>#N/A</v>
      </c>
      <c r="CF2" s="4" t="e">
        <f t="shared" si="2"/>
        <v>#N/A</v>
      </c>
      <c r="CG2" s="4" t="e">
        <f t="shared" si="2"/>
        <v>#N/A</v>
      </c>
      <c r="CH2" s="4" t="e">
        <f t="shared" si="2"/>
        <v>#N/A</v>
      </c>
      <c r="CI2" s="4" t="e">
        <f t="shared" si="2"/>
        <v>#N/A</v>
      </c>
      <c r="CJ2" s="4" t="e">
        <f t="shared" si="2"/>
        <v>#N/A</v>
      </c>
      <c r="CK2" s="4" t="e">
        <f t="shared" si="2"/>
        <v>#N/A</v>
      </c>
      <c r="CL2" s="4" t="e">
        <f t="shared" si="2"/>
        <v>#N/A</v>
      </c>
      <c r="CM2" s="4" t="e">
        <f t="shared" si="2"/>
        <v>#N/A</v>
      </c>
      <c r="CN2" s="4" t="e">
        <f t="shared" si="2"/>
        <v>#N/A</v>
      </c>
      <c r="CO2" s="4" t="e">
        <f t="shared" si="2"/>
        <v>#N/A</v>
      </c>
      <c r="CP2" s="4" t="e">
        <f t="shared" si="2"/>
        <v>#N/A</v>
      </c>
      <c r="CQ2" s="4" t="e">
        <f t="shared" si="2"/>
        <v>#N/A</v>
      </c>
      <c r="CR2" s="4" t="e">
        <f t="shared" si="2"/>
        <v>#N/A</v>
      </c>
      <c r="CS2" s="4" t="e">
        <f t="shared" si="2"/>
        <v>#N/A</v>
      </c>
      <c r="CT2" s="4" t="e">
        <f t="shared" ref="CT2:CZ2" si="3">VLOOKUP(CT$1,ProjectNames,2,FALSE)</f>
        <v>#N/A</v>
      </c>
      <c r="CU2" s="4" t="e">
        <f t="shared" si="3"/>
        <v>#N/A</v>
      </c>
      <c r="CV2" s="4" t="e">
        <f t="shared" si="3"/>
        <v>#N/A</v>
      </c>
      <c r="CW2" s="4" t="e">
        <f t="shared" si="3"/>
        <v>#N/A</v>
      </c>
      <c r="CX2" s="4" t="e">
        <f t="shared" si="3"/>
        <v>#N/A</v>
      </c>
      <c r="CY2" s="4" t="e">
        <f t="shared" si="3"/>
        <v>#N/A</v>
      </c>
      <c r="CZ2" s="4" t="e">
        <f t="shared" si="3"/>
        <v>#N/A</v>
      </c>
    </row>
    <row r="4" spans="1:104" ht="13" x14ac:dyDescent="0.3">
      <c r="A4" s="2" t="s">
        <v>18</v>
      </c>
    </row>
    <row r="6" spans="1:104" ht="13" x14ac:dyDescent="0.3">
      <c r="A6" s="5" t="s">
        <v>13</v>
      </c>
      <c r="B6" s="3" t="e">
        <f>INDEX('BalSht Data'!H$2:H$2999,MATCH(A6,IF('BalSht Data'!A$2:A$2999=B$1,'BalSht Data'!G$2:G$2999),0))</f>
        <v>#N/A</v>
      </c>
    </row>
    <row r="7" spans="1:104" ht="13" x14ac:dyDescent="0.3">
      <c r="A7" s="5" t="s">
        <v>14</v>
      </c>
      <c r="B7" s="3" t="e">
        <f>INDEX('BalSht Data'!H$2:H$2999,MATCH(A7,IF('BalSht Data'!A$2:A$2999=B$1,'BalSht Data'!G$2:G$2999),0))</f>
        <v>#N/A</v>
      </c>
    </row>
    <row r="8" spans="1:104" ht="13" x14ac:dyDescent="0.3">
      <c r="A8" s="5" t="s">
        <v>15</v>
      </c>
      <c r="B8" s="3" t="e">
        <f>INDEX('BalSht Data'!H$2:H$2999,MATCH(A8,IF('BalSht Data'!A$2:A$2999=B$1,'BalSht Data'!G$2:G$2999),0))</f>
        <v>#N/A</v>
      </c>
    </row>
    <row r="9" spans="1:104" ht="13" x14ac:dyDescent="0.3">
      <c r="A9" s="5" t="s">
        <v>16</v>
      </c>
      <c r="B9" s="3" t="e">
        <f>INDEX('BalSht Data'!H$2:H$2999,MATCH(A9,IF('BalSht Data'!A$2:A$2999=B$1,'BalSht Data'!G$2:G$2999),0))</f>
        <v>#N/A</v>
      </c>
    </row>
    <row r="10" spans="1:104" ht="13" x14ac:dyDescent="0.3">
      <c r="A10" s="5" t="s">
        <v>17</v>
      </c>
      <c r="B10" s="3" t="e">
        <f>INDEX('BalSht Data'!H$2:H$2999,MATCH(A10,IF('BalSht Data'!A$2:A$2999=B$1,'BalSht Data'!G$2:G$2999),0))</f>
        <v>#N/A</v>
      </c>
    </row>
    <row r="12" spans="1:104" ht="13" x14ac:dyDescent="0.3">
      <c r="A12" s="4" t="s">
        <v>19</v>
      </c>
    </row>
    <row r="14" spans="1:104" ht="13" x14ac:dyDescent="0.3">
      <c r="A14" s="5" t="s">
        <v>20</v>
      </c>
    </row>
    <row r="15" spans="1:104" ht="13" x14ac:dyDescent="0.3">
      <c r="A15" s="5" t="s">
        <v>21</v>
      </c>
    </row>
    <row r="16" spans="1:104" ht="13" x14ac:dyDescent="0.3">
      <c r="A16" s="5" t="s">
        <v>22</v>
      </c>
    </row>
    <row r="17" spans="1:1" ht="13" x14ac:dyDescent="0.3">
      <c r="A17" s="5" t="s">
        <v>23</v>
      </c>
    </row>
    <row r="18" spans="1:1" ht="13" x14ac:dyDescent="0.3">
      <c r="A18" s="5" t="s">
        <v>24</v>
      </c>
    </row>
    <row r="19" spans="1:1" ht="13" x14ac:dyDescent="0.3">
      <c r="A19" s="5" t="s">
        <v>25</v>
      </c>
    </row>
    <row r="20" spans="1:1" ht="13" x14ac:dyDescent="0.3">
      <c r="A20" s="5" t="s">
        <v>26</v>
      </c>
    </row>
    <row r="21" spans="1:1" ht="13" x14ac:dyDescent="0.3">
      <c r="A21" s="5" t="s">
        <v>27</v>
      </c>
    </row>
    <row r="23" spans="1:1" ht="13" x14ac:dyDescent="0.3">
      <c r="A23" s="2" t="s">
        <v>28</v>
      </c>
    </row>
    <row r="25" spans="1:1" ht="13" x14ac:dyDescent="0.3">
      <c r="A25" s="5" t="s">
        <v>29</v>
      </c>
    </row>
    <row r="26" spans="1:1" ht="13" x14ac:dyDescent="0.3">
      <c r="A26" s="5" t="s">
        <v>30</v>
      </c>
    </row>
    <row r="27" spans="1:1" ht="13" x14ac:dyDescent="0.3">
      <c r="A27" s="5" t="s">
        <v>31</v>
      </c>
    </row>
    <row r="28" spans="1:1" ht="13" x14ac:dyDescent="0.3">
      <c r="A28" s="5" t="s">
        <v>32</v>
      </c>
    </row>
    <row r="29" spans="1:1" ht="13" x14ac:dyDescent="0.3">
      <c r="A29" s="5" t="s">
        <v>33</v>
      </c>
    </row>
    <row r="30" spans="1:1" ht="13" x14ac:dyDescent="0.3">
      <c r="A30" s="5" t="s">
        <v>34</v>
      </c>
    </row>
    <row r="31" spans="1:1" ht="13" x14ac:dyDescent="0.3">
      <c r="A31" s="5" t="s">
        <v>35</v>
      </c>
    </row>
    <row r="32" spans="1:1" ht="13" x14ac:dyDescent="0.3">
      <c r="A32" s="5" t="s">
        <v>36</v>
      </c>
    </row>
    <row r="33" spans="1:1" ht="13" x14ac:dyDescent="0.3">
      <c r="A33" s="5" t="s">
        <v>37</v>
      </c>
    </row>
    <row r="35" spans="1:1" ht="13" x14ac:dyDescent="0.3">
      <c r="A35" s="2" t="s">
        <v>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"/>
  <sheetViews>
    <sheetView workbookViewId="0">
      <selection activeCell="E5" sqref="E5"/>
    </sheetView>
  </sheetViews>
  <sheetFormatPr defaultRowHeight="14.5" x14ac:dyDescent="0.35"/>
  <cols>
    <col min="1" max="1" width="9.08984375" bestFit="1" customWidth="1"/>
    <col min="2" max="2" width="12.453125" bestFit="1" customWidth="1"/>
    <col min="3" max="3" width="8.453125" bestFit="1" customWidth="1"/>
    <col min="4" max="4" width="3.6328125" bestFit="1" customWidth="1"/>
    <col min="5" max="5" width="19.90625" bestFit="1" customWidth="1"/>
    <col min="6" max="6" width="20.90625" bestFit="1" customWidth="1"/>
    <col min="7" max="7" width="24.6328125" bestFit="1" customWidth="1"/>
    <col min="8" max="8" width="7.90625" bestFit="1" customWidth="1"/>
  </cols>
  <sheetData>
    <row r="1" spans="1:8" x14ac:dyDescent="0.35">
      <c r="A1" s="1" t="s">
        <v>7</v>
      </c>
      <c r="B1" s="1" t="s">
        <v>4</v>
      </c>
      <c r="C1" s="1" t="s">
        <v>8</v>
      </c>
      <c r="D1" s="1" t="s">
        <v>9</v>
      </c>
      <c r="E1" s="1" t="s">
        <v>5</v>
      </c>
      <c r="F1" s="1" t="s">
        <v>10</v>
      </c>
      <c r="G1" s="1" t="s">
        <v>11</v>
      </c>
      <c r="H1" s="1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</vt:lpstr>
      <vt:lpstr>Main Data</vt:lpstr>
      <vt:lpstr>BalSht</vt:lpstr>
      <vt:lpstr>IncStmt</vt:lpstr>
      <vt:lpstr>BalSht Data</vt:lpstr>
      <vt:lpstr>IncStmt Data</vt:lpstr>
      <vt:lpstr>ProjectNames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2018-01-08T06:20:37Z</dcterms:modified>
</cp:coreProperties>
</file>