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4000" windowHeight="9600"/>
  </bookViews>
  <sheets>
    <sheet name="Disbursement Request" sheetId="1" r:id="rId1"/>
    <sheet name="Grant Details" sheetId="2" state="hidden" r:id="rId2"/>
    <sheet name="Budget Details" sheetId="3" state="hidden" r:id="rId3"/>
  </sheets>
  <definedNames>
    <definedName name="Ab_cell1">'Disbursement Request'!$I$20</definedName>
    <definedName name="Ab_cell2">'Disbursement Request'!$I$38</definedName>
    <definedName name="Ab_cell3">'Disbursement Request'!$J$38</definedName>
    <definedName name="_xlnm.Print_Area" localSheetId="0">'Disbursement Request'!$A$1:$J$81</definedName>
    <definedName name="temp">#REF!</definedName>
    <definedName name="temp_cell1">'Disbursement Request'!$L$20</definedName>
    <definedName name="temp_cell2">'Disbursement Request'!$L$38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1" i="1" l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20" i="1"/>
  <c r="I66" i="1" l="1"/>
  <c r="I44" i="1"/>
  <c r="I38" i="1"/>
  <c r="I41" i="1"/>
  <c r="B13" i="2" l="1"/>
  <c r="I77" i="1"/>
  <c r="I73" i="1"/>
  <c r="H71" i="1"/>
  <c r="F71" i="1"/>
  <c r="C71" i="1"/>
  <c r="I70" i="1"/>
  <c r="I69" i="1"/>
  <c r="I68" i="1"/>
  <c r="I67" i="1"/>
  <c r="I71" i="1"/>
  <c r="I63" i="1"/>
  <c r="H63" i="1"/>
  <c r="F63" i="1"/>
  <c r="H51" i="1"/>
  <c r="F51" i="1"/>
  <c r="C51" i="1"/>
  <c r="I50" i="1"/>
  <c r="I51" i="1"/>
  <c r="H39" i="1"/>
  <c r="H75" i="1" s="1"/>
  <c r="H79" i="1" s="1"/>
  <c r="F39" i="1"/>
  <c r="F75" i="1" s="1"/>
  <c r="F79" i="1" s="1"/>
  <c r="C39" i="1"/>
  <c r="C75" i="1" s="1"/>
  <c r="C79" i="1" s="1"/>
  <c r="I39" i="1"/>
  <c r="I75" i="1" s="1"/>
  <c r="I79" i="1" s="1"/>
  <c r="H14" i="1"/>
  <c r="F14" i="1"/>
  <c r="D14" i="1"/>
  <c r="G14" i="1" s="1"/>
  <c r="B12" i="1"/>
  <c r="B11" i="1"/>
  <c r="B10" i="1"/>
  <c r="B9" i="1"/>
  <c r="B8" i="1"/>
  <c r="B7" i="1"/>
  <c r="B6" i="1"/>
</calcChain>
</file>

<file path=xl/sharedStrings.xml><?xml version="1.0" encoding="utf-8"?>
<sst xmlns="http://schemas.openxmlformats.org/spreadsheetml/2006/main" count="125" uniqueCount="89">
  <si>
    <t>Budget</t>
  </si>
  <si>
    <t>Current Request</t>
  </si>
  <si>
    <t>Total Amount Previously Requested</t>
  </si>
  <si>
    <t>Available Budget</t>
  </si>
  <si>
    <t>Total Salaries:</t>
  </si>
  <si>
    <t>Salaries (by position)</t>
  </si>
  <si>
    <t>Fringe Benefits
(% of salaries or actual costs)</t>
  </si>
  <si>
    <t>Total Consultants:</t>
  </si>
  <si>
    <t>Travel</t>
  </si>
  <si>
    <t>Airfare</t>
  </si>
  <si>
    <t>Lodging</t>
  </si>
  <si>
    <t>Lodging Taxes</t>
  </si>
  <si>
    <t>Meals</t>
  </si>
  <si>
    <t>Parking</t>
  </si>
  <si>
    <t>Rental Car</t>
  </si>
  <si>
    <t>Taxi</t>
  </si>
  <si>
    <t>Other</t>
  </si>
  <si>
    <t>Mileage</t>
  </si>
  <si>
    <t>Total Travel:</t>
  </si>
  <si>
    <t>Other Direct Costs</t>
  </si>
  <si>
    <t>Computers/Equipment</t>
  </si>
  <si>
    <t>Computer Software</t>
  </si>
  <si>
    <t>Printing</t>
  </si>
  <si>
    <t>Training</t>
  </si>
  <si>
    <t>Other Direct  Costs</t>
  </si>
  <si>
    <t>Total Other Direct Costs:</t>
  </si>
  <si>
    <t>Indirect Costs</t>
  </si>
  <si>
    <t>Section 4 Totals:</t>
  </si>
  <si>
    <t>Match Totals:</t>
  </si>
  <si>
    <t>Project/Program Totals:</t>
  </si>
  <si>
    <t>City,  State, Zip:</t>
  </si>
  <si>
    <t>Address:</t>
  </si>
  <si>
    <t>Grantee Name:</t>
  </si>
  <si>
    <t>Grant Number:</t>
  </si>
  <si>
    <t>Contact  Name:</t>
  </si>
  <si>
    <t>Telephone  Number:</t>
  </si>
  <si>
    <t>e-mail  Address:</t>
  </si>
  <si>
    <t>Account  Name:</t>
  </si>
  <si>
    <t>Account Number:</t>
  </si>
  <si>
    <t>Bank  ABA Number:</t>
  </si>
  <si>
    <t>Bank Name:
(If applicable</t>
  </si>
  <si>
    <t>Period of Performance:</t>
  </si>
  <si>
    <t>through</t>
  </si>
  <si>
    <r>
      <t xml:space="preserve">Beneficiary Name:
</t>
    </r>
    <r>
      <rPr>
        <sz val="12"/>
        <color theme="1"/>
        <rFont val="Calibri"/>
        <family val="2"/>
        <scheme val="minor"/>
      </rPr>
      <t>(if applicable)</t>
    </r>
  </si>
  <si>
    <r>
      <t xml:space="preserve">Billing Period:
</t>
    </r>
    <r>
      <rPr>
        <sz val="12"/>
        <color theme="1"/>
        <rFont val="Calibri"/>
        <family val="2"/>
        <scheme val="minor"/>
      </rPr>
      <t>(should match period of Activity Report)</t>
    </r>
  </si>
  <si>
    <t>Subcontracted Consultants 
(by type)</t>
  </si>
  <si>
    <t>%</t>
  </si>
  <si>
    <t>Modified Budget
Modification #</t>
  </si>
  <si>
    <t>If any changes to your budget are required, please contact your Grant Specialist.</t>
  </si>
  <si>
    <t>15SG0013</t>
  </si>
  <si>
    <t>Project Homecoming, Inc</t>
  </si>
  <si>
    <t>2221 Filmore Ave</t>
  </si>
  <si>
    <t>Kris Pottharst</t>
  </si>
  <si>
    <t>(504) 905-8314</t>
  </si>
  <si>
    <t>kris@projecthomecoming.net.uat</t>
  </si>
  <si>
    <t>Field Name</t>
  </si>
  <si>
    <t>Merge Field</t>
  </si>
  <si>
    <t>City:</t>
  </si>
  <si>
    <t>State:</t>
  </si>
  <si>
    <t>Zip:</t>
  </si>
  <si>
    <t>LA</t>
  </si>
  <si>
    <t>New Orleans</t>
  </si>
  <si>
    <t>70122</t>
  </si>
  <si>
    <t>Fields</t>
  </si>
  <si>
    <t>Merge Fields</t>
  </si>
  <si>
    <t>Budget Details Position</t>
  </si>
  <si>
    <t>Budget Details Total Budget Cost</t>
  </si>
  <si>
    <t>Marketing and Sales Director</t>
  </si>
  <si>
    <t>3850.0</t>
  </si>
  <si>
    <t>Legal</t>
  </si>
  <si>
    <t>4000.0</t>
  </si>
  <si>
    <t>Operations Director</t>
  </si>
  <si>
    <t>3443.0</t>
  </si>
  <si>
    <t>Finance Director</t>
  </si>
  <si>
    <t>2750.0</t>
  </si>
  <si>
    <t>Office Manager</t>
  </si>
  <si>
    <t>3900.0</t>
  </si>
  <si>
    <t>Construction and Development Associate</t>
  </si>
  <si>
    <t>7280.0</t>
  </si>
  <si>
    <t>Construction Director</t>
  </si>
  <si>
    <t>2146.65</t>
  </si>
  <si>
    <t>11955.36</t>
  </si>
  <si>
    <t>858.66</t>
  </si>
  <si>
    <t>9653.57</t>
  </si>
  <si>
    <t>4988.93</t>
  </si>
  <si>
    <t>Graphic Design and Marketing</t>
  </si>
  <si>
    <t>1800.0</t>
  </si>
  <si>
    <t>0.0</t>
  </si>
  <si>
    <t>9340.0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</si>
</sst>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/d/yyyy;@"/>
  </numFmts>
  <fonts count="1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5117038483843"/>
        <bgColor indexed="64"/>
      </patternFill>
    </fill>
    <fill>
      <patternFill patternType="solid">
        <fgColor theme="0" tint="-0.49995422223578601"/>
        <bgColor indexed="64"/>
      </patternFill>
    </fill>
    <fill>
      <patternFill patternType="gray0625">
        <bgColor theme="0"/>
      </patternFill>
    </fill>
  </fills>
  <borders count="49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</borders>
  <cellStyleXfs count="7">
    <xf numFmtId="0" fontId="0" fillId="0" borderId="0"/>
    <xf numFmtId="9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1" fillId="0" borderId="0"/>
  </cellStyleXfs>
  <cellXfs count="219">
    <xf numFmtId="0" fontId="0" fillId="0" borderId="0" xfId="0"/>
    <xf numFmtId="0" fontId="3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2" fillId="2" borderId="0" xfId="0" applyFont="1" applyFill="1" applyProtection="1">
      <protection locked="0"/>
    </xf>
    <xf numFmtId="0" fontId="2" fillId="0" borderId="0" xfId="0" applyFont="1" applyAlignment="1" applyProtection="1">
      <alignment horizontal="left" wrapText="1"/>
      <protection locked="0"/>
    </xf>
    <xf numFmtId="0" fontId="3" fillId="0" borderId="0" xfId="0" applyFont="1" applyAlignment="1" applyProtection="1">
      <alignment horizontal="left" wrapText="1"/>
      <protection locked="0"/>
    </xf>
    <xf numFmtId="0" fontId="2" fillId="0" borderId="0" xfId="0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center" wrapText="1"/>
      <protection locked="0"/>
    </xf>
    <xf numFmtId="164" fontId="8" fillId="2" borderId="0" xfId="0" applyNumberFormat="1" applyFont="1" applyFill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center"/>
      <protection locked="0"/>
    </xf>
    <xf numFmtId="164" fontId="3" fillId="0" borderId="0" xfId="0" applyNumberFormat="1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/>
      <protection locked="0"/>
    </xf>
    <xf numFmtId="44" fontId="2" fillId="3" borderId="3" xfId="2" applyFont="1" applyFill="1" applyBorder="1" applyProtection="1">
      <protection locked="0"/>
    </xf>
    <xf numFmtId="44" fontId="3" fillId="3" borderId="4" xfId="2" applyFont="1" applyFill="1" applyBorder="1" applyProtection="1">
      <protection locked="0"/>
    </xf>
    <xf numFmtId="44" fontId="8" fillId="2" borderId="5" xfId="2" applyFont="1" applyFill="1" applyBorder="1" applyProtection="1">
      <protection locked="0"/>
    </xf>
    <xf numFmtId="44" fontId="3" fillId="0" borderId="5" xfId="2" applyFont="1" applyFill="1" applyBorder="1" applyProtection="1">
      <protection locked="0"/>
    </xf>
    <xf numFmtId="44" fontId="8" fillId="2" borderId="6" xfId="2" applyFont="1" applyFill="1" applyBorder="1" applyProtection="1">
      <protection locked="0"/>
    </xf>
    <xf numFmtId="44" fontId="3" fillId="0" borderId="6" xfId="2" applyFont="1" applyFill="1" applyBorder="1" applyProtection="1">
      <protection locked="0"/>
    </xf>
    <xf numFmtId="44" fontId="2" fillId="2" borderId="1" xfId="0" applyNumberFormat="1" applyFont="1" applyFill="1" applyBorder="1" applyProtection="1">
      <protection locked="0"/>
    </xf>
    <xf numFmtId="44" fontId="2" fillId="0" borderId="1" xfId="0" applyNumberFormat="1" applyFont="1" applyFill="1" applyBorder="1" applyProtection="1">
      <protection locked="0"/>
    </xf>
    <xf numFmtId="0" fontId="2" fillId="3" borderId="7" xfId="0" applyFont="1" applyFill="1" applyBorder="1" applyAlignment="1" applyProtection="1">
      <alignment horizontal="right"/>
      <protection locked="0"/>
    </xf>
    <xf numFmtId="0" fontId="2" fillId="3" borderId="4" xfId="0" applyFont="1" applyFill="1" applyBorder="1" applyAlignment="1" applyProtection="1">
      <alignment horizontal="right"/>
      <protection locked="0"/>
    </xf>
    <xf numFmtId="44" fontId="2" fillId="3" borderId="4" xfId="0" applyNumberFormat="1" applyFont="1" applyFill="1" applyBorder="1" applyProtection="1">
      <protection locked="0"/>
    </xf>
    <xf numFmtId="44" fontId="2" fillId="2" borderId="8" xfId="2" applyFont="1" applyFill="1" applyBorder="1" applyProtection="1">
      <protection locked="0"/>
    </xf>
    <xf numFmtId="44" fontId="2" fillId="0" borderId="8" xfId="2" applyFont="1" applyFill="1" applyBorder="1" applyProtection="1">
      <protection locked="0"/>
    </xf>
    <xf numFmtId="0" fontId="3" fillId="3" borderId="7" xfId="0" applyFont="1" applyFill="1" applyBorder="1" applyProtection="1">
      <protection locked="0"/>
    </xf>
    <xf numFmtId="0" fontId="3" fillId="3" borderId="4" xfId="0" applyFont="1" applyFill="1" applyBorder="1" applyProtection="1">
      <protection locked="0"/>
    </xf>
    <xf numFmtId="0" fontId="2" fillId="3" borderId="9" xfId="0" applyFont="1" applyFill="1" applyBorder="1" applyProtection="1">
      <protection locked="0"/>
    </xf>
    <xf numFmtId="0" fontId="3" fillId="3" borderId="9" xfId="0" applyFont="1" applyFill="1" applyBorder="1" applyProtection="1">
      <protection locked="0"/>
    </xf>
    <xf numFmtId="0" fontId="2" fillId="3" borderId="10" xfId="0" applyFont="1" applyFill="1" applyBorder="1" applyProtection="1">
      <protection locked="0"/>
    </xf>
    <xf numFmtId="0" fontId="3" fillId="3" borderId="10" xfId="0" applyFont="1" applyFill="1" applyBorder="1" applyProtection="1">
      <protection locked="0"/>
    </xf>
    <xf numFmtId="44" fontId="5" fillId="0" borderId="5" xfId="2" applyFont="1" applyFill="1" applyBorder="1" applyProtection="1">
      <protection locked="0"/>
    </xf>
    <xf numFmtId="44" fontId="5" fillId="0" borderId="6" xfId="2" applyFont="1" applyFill="1" applyBorder="1" applyProtection="1">
      <protection locked="0"/>
    </xf>
    <xf numFmtId="44" fontId="6" fillId="2" borderId="1" xfId="2" applyFont="1" applyFill="1" applyBorder="1" applyProtection="1">
      <protection locked="0"/>
    </xf>
    <xf numFmtId="44" fontId="6" fillId="0" borderId="1" xfId="2" applyFont="1" applyFill="1" applyBorder="1" applyProtection="1">
      <protection locked="0"/>
    </xf>
    <xf numFmtId="0" fontId="2" fillId="3" borderId="0" xfId="0" applyFont="1" applyFill="1" applyBorder="1" applyProtection="1">
      <protection locked="0"/>
    </xf>
    <xf numFmtId="44" fontId="3" fillId="3" borderId="0" xfId="2" applyFont="1" applyFill="1" applyBorder="1" applyProtection="1">
      <protection locked="0"/>
    </xf>
    <xf numFmtId="44" fontId="3" fillId="0" borderId="11" xfId="2" applyFont="1" applyFill="1" applyBorder="1" applyProtection="1">
      <protection locked="0"/>
    </xf>
    <xf numFmtId="44" fontId="3" fillId="0" borderId="12" xfId="2" applyFont="1" applyFill="1" applyBorder="1" applyProtection="1">
      <protection locked="0"/>
    </xf>
    <xf numFmtId="44" fontId="3" fillId="3" borderId="10" xfId="2" applyFont="1" applyFill="1" applyBorder="1" applyProtection="1">
      <protection locked="0"/>
    </xf>
    <xf numFmtId="44" fontId="9" fillId="2" borderId="1" xfId="2" applyFont="1" applyFill="1" applyBorder="1" applyProtection="1">
      <protection locked="0"/>
    </xf>
    <xf numFmtId="44" fontId="2" fillId="0" borderId="13" xfId="2" applyFont="1" applyFill="1" applyBorder="1" applyProtection="1">
      <protection locked="0"/>
    </xf>
    <xf numFmtId="44" fontId="2" fillId="0" borderId="0" xfId="2" applyFont="1" applyProtection="1">
      <protection locked="0"/>
    </xf>
    <xf numFmtId="0" fontId="2" fillId="3" borderId="14" xfId="0" applyFont="1" applyFill="1" applyBorder="1" applyProtection="1">
      <protection locked="0"/>
    </xf>
    <xf numFmtId="44" fontId="8" fillId="2" borderId="12" xfId="2" applyFont="1" applyFill="1" applyBorder="1" applyProtection="1">
      <protection locked="0"/>
    </xf>
    <xf numFmtId="44" fontId="8" fillId="2" borderId="6" xfId="2" applyFont="1" applyFill="1" applyBorder="1" applyAlignment="1" applyProtection="1">
      <protection locked="0"/>
    </xf>
    <xf numFmtId="44" fontId="2" fillId="2" borderId="1" xfId="2" applyFont="1" applyFill="1" applyBorder="1" applyProtection="1">
      <protection locked="0"/>
    </xf>
    <xf numFmtId="44" fontId="2" fillId="0" borderId="1" xfId="2" applyFont="1" applyFill="1" applyBorder="1" applyProtection="1">
      <protection locked="0"/>
    </xf>
    <xf numFmtId="0" fontId="2" fillId="3" borderId="4" xfId="0" applyFont="1" applyFill="1" applyBorder="1" applyProtection="1">
      <protection locked="0"/>
    </xf>
    <xf numFmtId="0" fontId="2" fillId="2" borderId="15" xfId="0" applyFont="1" applyFill="1" applyBorder="1" applyAlignment="1" applyProtection="1">
      <protection locked="0"/>
    </xf>
    <xf numFmtId="9" fontId="2" fillId="2" borderId="8" xfId="1" applyFont="1" applyFill="1" applyBorder="1" applyAlignment="1" applyProtection="1">
      <alignment horizontal="right"/>
      <protection locked="0"/>
    </xf>
    <xf numFmtId="44" fontId="9" fillId="2" borderId="8" xfId="2" applyFont="1" applyFill="1" applyBorder="1" applyProtection="1">
      <protection locked="0"/>
    </xf>
    <xf numFmtId="44" fontId="7" fillId="2" borderId="8" xfId="2" applyFont="1" applyFill="1" applyBorder="1" applyProtection="1">
      <protection locked="0"/>
    </xf>
    <xf numFmtId="44" fontId="7" fillId="0" borderId="8" xfId="2" applyFont="1" applyFill="1" applyBorder="1" applyProtection="1">
      <protection locked="0"/>
    </xf>
    <xf numFmtId="0" fontId="7" fillId="0" borderId="0" xfId="0" applyFont="1" applyProtection="1">
      <protection locked="0"/>
    </xf>
    <xf numFmtId="0" fontId="3" fillId="4" borderId="7" xfId="0" applyFont="1" applyFill="1" applyBorder="1" applyProtection="1">
      <protection locked="0"/>
    </xf>
    <xf numFmtId="0" fontId="3" fillId="4" borderId="4" xfId="0" applyFont="1" applyFill="1" applyBorder="1" applyProtection="1">
      <protection locked="0"/>
    </xf>
    <xf numFmtId="0" fontId="2" fillId="4" borderId="4" xfId="0" applyFont="1" applyFill="1" applyBorder="1" applyProtection="1">
      <protection locked="0"/>
    </xf>
    <xf numFmtId="44" fontId="2" fillId="2" borderId="16" xfId="0" applyNumberFormat="1" applyFont="1" applyFill="1" applyBorder="1" applyProtection="1">
      <protection locked="0"/>
    </xf>
    <xf numFmtId="44" fontId="2" fillId="0" borderId="16" xfId="0" applyNumberFormat="1" applyFont="1" applyFill="1" applyBorder="1" applyProtection="1">
      <protection locked="0"/>
    </xf>
    <xf numFmtId="44" fontId="3" fillId="0" borderId="0" xfId="0" applyNumberFormat="1" applyFont="1" applyProtection="1">
      <protection locked="0"/>
    </xf>
    <xf numFmtId="0" fontId="8" fillId="2" borderId="0" xfId="0" applyFont="1" applyFill="1" applyProtection="1">
      <protection locked="0"/>
    </xf>
    <xf numFmtId="0" fontId="6" fillId="2" borderId="0" xfId="0" applyFont="1" applyFill="1" applyAlignment="1" applyProtection="1">
      <alignment horizontal="center"/>
      <protection locked="0"/>
    </xf>
    <xf numFmtId="164" fontId="8" fillId="2" borderId="0" xfId="0" applyNumberFormat="1" applyFont="1" applyFill="1" applyAlignment="1" applyProtection="1">
      <alignment horizontal="center"/>
      <protection locked="0"/>
    </xf>
    <xf numFmtId="164" fontId="3" fillId="0" borderId="0" xfId="0" applyNumberFormat="1" applyFont="1" applyAlignment="1" applyProtection="1">
      <alignment horizontal="center"/>
      <protection locked="0"/>
    </xf>
    <xf numFmtId="0" fontId="3" fillId="3" borderId="9" xfId="0" applyFont="1" applyFill="1" applyBorder="1" applyProtection="1">
      <protection locked="0"/>
    </xf>
    <xf numFmtId="0" fontId="3" fillId="3" borderId="44" xfId="0" applyFont="1" applyFill="1" applyBorder="1" applyProtection="1">
      <protection locked="0"/>
    </xf>
    <xf numFmtId="44" fontId="7" fillId="2" borderId="13" xfId="2" applyFont="1" applyFill="1" applyBorder="1" applyProtection="1">
      <protection locked="0"/>
    </xf>
    <xf numFmtId="44" fontId="7" fillId="2" borderId="38" xfId="2" applyFont="1" applyFill="1" applyBorder="1" applyProtection="1">
      <protection locked="0"/>
    </xf>
    <xf numFmtId="0" fontId="3" fillId="4" borderId="0" xfId="0" applyFont="1" applyFill="1" applyBorder="1" applyProtection="1">
      <protection locked="0"/>
    </xf>
    <xf numFmtId="0" fontId="3" fillId="4" borderId="39" xfId="0" applyFont="1" applyFill="1" applyBorder="1" applyProtection="1">
      <protection locked="0"/>
    </xf>
    <xf numFmtId="44" fontId="2" fillId="2" borderId="13" xfId="2" applyFont="1" applyFill="1" applyBorder="1" applyProtection="1">
      <protection locked="0"/>
    </xf>
    <xf numFmtId="44" fontId="2" fillId="2" borderId="38" xfId="2" applyFont="1" applyFill="1" applyBorder="1" applyProtection="1">
      <protection locked="0"/>
    </xf>
    <xf numFmtId="44" fontId="2" fillId="3" borderId="9" xfId="0" applyNumberFormat="1" applyFont="1" applyFill="1" applyBorder="1" applyProtection="1">
      <protection locked="0"/>
    </xf>
    <xf numFmtId="44" fontId="2" fillId="3" borderId="44" xfId="0" applyNumberFormat="1" applyFont="1" applyFill="1" applyBorder="1" applyProtection="1">
      <protection locked="0"/>
    </xf>
    <xf numFmtId="44" fontId="2" fillId="2" borderId="1" xfId="2" applyFont="1" applyFill="1" applyBorder="1" applyProtection="1">
      <protection locked="0"/>
    </xf>
    <xf numFmtId="44" fontId="2" fillId="2" borderId="43" xfId="2" applyFont="1" applyFill="1" applyBorder="1" applyProtection="1">
      <protection locked="0"/>
    </xf>
    <xf numFmtId="0" fontId="3" fillId="3" borderId="0" xfId="0" applyFont="1" applyFill="1" applyBorder="1" applyProtection="1">
      <protection locked="0"/>
    </xf>
    <xf numFmtId="0" fontId="3" fillId="3" borderId="39" xfId="0" applyFont="1" applyFill="1" applyBorder="1" applyProtection="1">
      <protection locked="0"/>
    </xf>
    <xf numFmtId="44" fontId="5" fillId="2" borderId="11" xfId="2" applyFont="1" applyFill="1" applyBorder="1" applyProtection="1">
      <protection locked="0"/>
    </xf>
    <xf numFmtId="44" fontId="5" fillId="2" borderId="40" xfId="2" applyFont="1" applyFill="1" applyBorder="1" applyProtection="1">
      <protection locked="0"/>
    </xf>
    <xf numFmtId="44" fontId="5" fillId="2" borderId="6" xfId="2" applyFont="1" applyFill="1" applyBorder="1" applyProtection="1">
      <protection locked="0"/>
    </xf>
    <xf numFmtId="44" fontId="5" fillId="2" borderId="42" xfId="2" applyFont="1" applyFill="1" applyBorder="1" applyProtection="1">
      <protection locked="0"/>
    </xf>
    <xf numFmtId="44" fontId="6" fillId="2" borderId="1" xfId="2" applyFont="1" applyFill="1" applyBorder="1" applyProtection="1">
      <protection locked="0"/>
    </xf>
    <xf numFmtId="44" fontId="6" fillId="2" borderId="43" xfId="2" applyFont="1" applyFill="1" applyBorder="1" applyProtection="1"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2" fillId="2" borderId="43" xfId="0" applyFont="1" applyFill="1" applyBorder="1" applyAlignment="1" applyProtection="1">
      <alignment horizontal="center" vertical="center"/>
      <protection locked="0"/>
    </xf>
    <xf numFmtId="44" fontId="3" fillId="3" borderId="9" xfId="2" applyFont="1" applyFill="1" applyBorder="1" applyProtection="1">
      <protection locked="0"/>
    </xf>
    <xf numFmtId="44" fontId="3" fillId="3" borderId="44" xfId="2" applyFont="1" applyFill="1" applyBorder="1" applyProtection="1">
      <protection locked="0"/>
    </xf>
    <xf numFmtId="44" fontId="3" fillId="2" borderId="22" xfId="2" applyFont="1" applyFill="1" applyBorder="1" applyAlignment="1" applyProtection="1">
      <alignment horizontal="center"/>
      <protection locked="0"/>
    </xf>
    <xf numFmtId="44" fontId="3" fillId="2" borderId="48" xfId="2" applyFont="1" applyFill="1" applyBorder="1" applyAlignment="1" applyProtection="1">
      <alignment horizontal="center"/>
      <protection locked="0"/>
    </xf>
    <xf numFmtId="44" fontId="2" fillId="2" borderId="8" xfId="0" applyNumberFormat="1" applyFont="1" applyFill="1" applyBorder="1" applyProtection="1">
      <protection locked="0"/>
    </xf>
    <xf numFmtId="44" fontId="2" fillId="2" borderId="47" xfId="0" applyNumberFormat="1" applyFont="1" applyFill="1" applyBorder="1" applyProtection="1">
      <protection locked="0"/>
    </xf>
    <xf numFmtId="0" fontId="2" fillId="0" borderId="0" xfId="0" applyFont="1" applyAlignment="1" applyProtection="1">
      <alignment horizontal="center" wrapText="1"/>
      <protection locked="0"/>
    </xf>
    <xf numFmtId="0" fontId="3" fillId="3" borderId="10" xfId="0" applyFont="1" applyFill="1" applyBorder="1" applyProtection="1">
      <protection locked="0"/>
    </xf>
    <xf numFmtId="0" fontId="3" fillId="3" borderId="4" xfId="0" applyFont="1" applyFill="1" applyBorder="1" applyProtection="1">
      <protection locked="0"/>
    </xf>
    <xf numFmtId="44" fontId="3" fillId="3" borderId="45" xfId="2" applyFont="1" applyFill="1" applyBorder="1" applyProtection="1">
      <protection locked="0"/>
    </xf>
    <xf numFmtId="44" fontId="3" fillId="3" borderId="39" xfId="2" applyFont="1" applyFill="1" applyBorder="1" applyProtection="1">
      <protection locked="0"/>
    </xf>
    <xf numFmtId="44" fontId="3" fillId="3" borderId="14" xfId="2" applyFont="1" applyFill="1" applyBorder="1" applyProtection="1">
      <protection locked="0"/>
    </xf>
    <xf numFmtId="44" fontId="3" fillId="3" borderId="46" xfId="2" applyFont="1" applyFill="1" applyBorder="1" applyProtection="1">
      <protection locked="0"/>
    </xf>
    <xf numFmtId="44" fontId="2" fillId="2" borderId="8" xfId="2" applyFont="1" applyFill="1" applyBorder="1" applyProtection="1">
      <protection locked="0"/>
    </xf>
    <xf numFmtId="44" fontId="2" fillId="2" borderId="47" xfId="2" applyFont="1" applyFill="1" applyBorder="1" applyProtection="1">
      <protection locked="0"/>
    </xf>
    <xf numFmtId="44" fontId="3" fillId="0" borderId="34" xfId="2" applyFont="1" applyBorder="1" applyProtection="1">
      <protection locked="0"/>
    </xf>
    <xf numFmtId="44" fontId="3" fillId="0" borderId="21" xfId="2" applyFont="1" applyBorder="1" applyProtection="1">
      <protection locked="0"/>
    </xf>
    <xf numFmtId="44" fontId="2" fillId="2" borderId="13" xfId="0" applyNumberFormat="1" applyFont="1" applyFill="1" applyBorder="1" applyProtection="1">
      <protection locked="0"/>
    </xf>
    <xf numFmtId="44" fontId="2" fillId="2" borderId="38" xfId="0" applyNumberFormat="1" applyFont="1" applyFill="1" applyBorder="1" applyProtection="1">
      <protection locked="0"/>
    </xf>
    <xf numFmtId="44" fontId="3" fillId="2" borderId="11" xfId="2" applyFont="1" applyFill="1" applyBorder="1" applyProtection="1">
      <protection locked="0"/>
    </xf>
    <xf numFmtId="44" fontId="3" fillId="2" borderId="40" xfId="2" applyFont="1" applyFill="1" applyBorder="1" applyProtection="1">
      <protection locked="0"/>
    </xf>
    <xf numFmtId="44" fontId="3" fillId="2" borderId="12" xfId="2" applyFont="1" applyFill="1" applyBorder="1" applyProtection="1">
      <protection locked="0"/>
    </xf>
    <xf numFmtId="44" fontId="3" fillId="2" borderId="41" xfId="2" applyFont="1" applyFill="1" applyBorder="1" applyProtection="1">
      <protection locked="0"/>
    </xf>
    <xf numFmtId="44" fontId="3" fillId="2" borderId="6" xfId="2" applyFont="1" applyFill="1" applyBorder="1" applyProtection="1">
      <protection locked="0"/>
    </xf>
    <xf numFmtId="44" fontId="3" fillId="2" borderId="42" xfId="2" applyFont="1" applyFill="1" applyBorder="1" applyProtection="1">
      <protection locked="0"/>
    </xf>
    <xf numFmtId="44" fontId="3" fillId="2" borderId="1" xfId="2" applyFont="1" applyFill="1" applyBorder="1" applyProtection="1">
      <protection locked="0"/>
    </xf>
    <xf numFmtId="44" fontId="3" fillId="2" borderId="43" xfId="2" applyFont="1" applyFill="1" applyBorder="1" applyProtection="1">
      <protection locked="0"/>
    </xf>
    <xf numFmtId="0" fontId="2" fillId="0" borderId="0" xfId="0" applyFont="1" applyAlignment="1" applyProtection="1">
      <alignment wrapText="1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" fillId="0" borderId="0" xfId="0" applyFont="1" applyAlignment="1" applyProtection="1">
      <alignment horizontal="left" vertical="center" wrapText="1"/>
      <protection locked="0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horizontal="left" wrapText="1"/>
      <protection locked="0"/>
    </xf>
    <xf numFmtId="44" fontId="5" fillId="0" borderId="18" xfId="2" applyFont="1" applyFill="1" applyBorder="1" applyProtection="1">
      <protection locked="0"/>
    </xf>
    <xf numFmtId="44" fontId="5" fillId="0" borderId="19" xfId="2" applyFont="1" applyFill="1" applyBorder="1" applyProtection="1">
      <protection locked="0"/>
    </xf>
    <xf numFmtId="44" fontId="5" fillId="0" borderId="22" xfId="2" applyFont="1" applyFill="1" applyBorder="1" applyProtection="1">
      <protection locked="0"/>
    </xf>
    <xf numFmtId="44" fontId="5" fillId="0" borderId="23" xfId="2" applyFont="1" applyFill="1" applyBorder="1" applyProtection="1">
      <protection locked="0"/>
    </xf>
    <xf numFmtId="44" fontId="6" fillId="0" borderId="3" xfId="2" applyFont="1" applyFill="1" applyBorder="1" applyProtection="1">
      <protection locked="0"/>
    </xf>
    <xf numFmtId="44" fontId="6" fillId="0" borderId="17" xfId="2" applyFont="1" applyFill="1" applyBorder="1" applyProtection="1">
      <protection locked="0"/>
    </xf>
    <xf numFmtId="0" fontId="3" fillId="2" borderId="24" xfId="0" applyFont="1" applyFill="1" applyBorder="1" applyProtection="1">
      <protection locked="0"/>
    </xf>
    <xf numFmtId="0" fontId="3" fillId="2" borderId="12" xfId="0" applyFont="1" applyFill="1" applyBorder="1" applyProtection="1">
      <protection locked="0"/>
    </xf>
    <xf numFmtId="0" fontId="2" fillId="2" borderId="32" xfId="0" applyFont="1" applyFill="1" applyBorder="1" applyAlignment="1" applyProtection="1">
      <alignment horizontal="center" wrapText="1"/>
      <protection locked="0"/>
    </xf>
    <xf numFmtId="0" fontId="2" fillId="2" borderId="13" xfId="0" applyFont="1" applyFill="1" applyBorder="1" applyAlignment="1" applyProtection="1">
      <alignment horizontal="center" wrapText="1"/>
      <protection locked="0"/>
    </xf>
    <xf numFmtId="0" fontId="8" fillId="2" borderId="33" xfId="0" applyFont="1" applyFill="1" applyBorder="1" applyAlignment="1" applyProtection="1">
      <alignment horizontal="center" wrapText="1"/>
      <protection locked="0"/>
    </xf>
    <xf numFmtId="0" fontId="8" fillId="2" borderId="5" xfId="0" applyFont="1" applyFill="1" applyBorder="1" applyAlignment="1" applyProtection="1">
      <alignment horizontal="center" wrapText="1"/>
      <protection locked="0"/>
    </xf>
    <xf numFmtId="0" fontId="8" fillId="2" borderId="26" xfId="0" applyFont="1" applyFill="1" applyBorder="1" applyAlignment="1" applyProtection="1">
      <alignment horizontal="center" wrapText="1"/>
      <protection locked="0"/>
    </xf>
    <xf numFmtId="0" fontId="8" fillId="2" borderId="6" xfId="0" applyFont="1" applyFill="1" applyBorder="1" applyAlignment="1" applyProtection="1">
      <alignment horizontal="center" wrapText="1"/>
      <protection locked="0"/>
    </xf>
    <xf numFmtId="0" fontId="6" fillId="2" borderId="27" xfId="0" applyFont="1" applyFill="1" applyBorder="1" applyAlignment="1" applyProtection="1">
      <alignment horizontal="right"/>
      <protection locked="0"/>
    </xf>
    <xf numFmtId="0" fontId="6" fillId="2" borderId="1" xfId="0" applyFont="1" applyFill="1" applyBorder="1" applyAlignment="1" applyProtection="1">
      <alignment horizontal="right"/>
      <protection locked="0"/>
    </xf>
    <xf numFmtId="0" fontId="2" fillId="2" borderId="32" xfId="0" applyFont="1" applyFill="1" applyBorder="1" applyAlignment="1" applyProtection="1">
      <alignment horizontal="center"/>
      <protection locked="0"/>
    </xf>
    <xf numFmtId="0" fontId="2" fillId="2" borderId="13" xfId="0" applyFont="1" applyFill="1" applyBorder="1" applyAlignment="1" applyProtection="1">
      <alignment horizontal="center"/>
      <protection locked="0"/>
    </xf>
    <xf numFmtId="0" fontId="3" fillId="2" borderId="37" xfId="0" applyFont="1" applyFill="1" applyBorder="1" applyProtection="1">
      <protection locked="0"/>
    </xf>
    <xf numFmtId="0" fontId="3" fillId="2" borderId="11" xfId="0" applyFont="1" applyFill="1" applyBorder="1" applyProtection="1">
      <protection locked="0"/>
    </xf>
    <xf numFmtId="44" fontId="5" fillId="2" borderId="18" xfId="2" applyFont="1" applyFill="1" applyBorder="1" applyProtection="1">
      <protection locked="0"/>
    </xf>
    <xf numFmtId="44" fontId="5" fillId="2" borderId="19" xfId="2" applyFont="1" applyFill="1" applyBorder="1" applyProtection="1">
      <protection locked="0"/>
    </xf>
    <xf numFmtId="0" fontId="2" fillId="2" borderId="3" xfId="0" applyFont="1" applyFill="1" applyBorder="1" applyAlignment="1" applyProtection="1">
      <alignment horizontal="center"/>
      <protection locked="0"/>
    </xf>
    <xf numFmtId="0" fontId="2" fillId="2" borderId="27" xfId="0" applyFont="1" applyFill="1" applyBorder="1" applyAlignment="1" applyProtection="1">
      <alignment horizontal="center"/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44" fontId="2" fillId="0" borderId="3" xfId="0" applyNumberFormat="1" applyFont="1" applyFill="1" applyBorder="1" applyProtection="1">
      <protection locked="0"/>
    </xf>
    <xf numFmtId="44" fontId="2" fillId="0" borderId="17" xfId="0" applyNumberFormat="1" applyFont="1" applyFill="1" applyBorder="1" applyProtection="1">
      <protection locked="0"/>
    </xf>
    <xf numFmtId="44" fontId="2" fillId="0" borderId="3" xfId="2" applyFont="1" applyFill="1" applyBorder="1" applyProtection="1">
      <protection locked="0"/>
    </xf>
    <xf numFmtId="44" fontId="2" fillId="0" borderId="17" xfId="2" applyFont="1" applyFill="1" applyBorder="1" applyProtection="1">
      <protection locked="0"/>
    </xf>
    <xf numFmtId="44" fontId="7" fillId="0" borderId="3" xfId="2" applyFont="1" applyFill="1" applyBorder="1" applyProtection="1">
      <protection locked="0"/>
    </xf>
    <xf numFmtId="44" fontId="7" fillId="0" borderId="17" xfId="2" applyFont="1" applyFill="1" applyBorder="1" applyProtection="1">
      <protection locked="0"/>
    </xf>
    <xf numFmtId="0" fontId="3" fillId="4" borderId="4" xfId="0" applyFont="1" applyFill="1" applyBorder="1" applyProtection="1">
      <protection locked="0"/>
    </xf>
    <xf numFmtId="44" fontId="3" fillId="0" borderId="18" xfId="2" applyFont="1" applyFill="1" applyBorder="1" applyProtection="1">
      <protection locked="0"/>
    </xf>
    <xf numFmtId="44" fontId="3" fillId="0" borderId="19" xfId="2" applyFont="1" applyFill="1" applyBorder="1" applyProtection="1">
      <protection locked="0"/>
    </xf>
    <xf numFmtId="44" fontId="3" fillId="0" borderId="20" xfId="2" applyFont="1" applyFill="1" applyBorder="1" applyProtection="1">
      <protection locked="0"/>
    </xf>
    <xf numFmtId="44" fontId="3" fillId="0" borderId="21" xfId="2" applyFont="1" applyFill="1" applyBorder="1" applyProtection="1">
      <protection locked="0"/>
    </xf>
    <xf numFmtId="44" fontId="3" fillId="0" borderId="22" xfId="2" applyFont="1" applyFill="1" applyBorder="1" applyProtection="1">
      <protection locked="0"/>
    </xf>
    <xf numFmtId="44" fontId="3" fillId="0" borderId="23" xfId="2" applyFont="1" applyFill="1" applyBorder="1" applyProtection="1">
      <protection locked="0"/>
    </xf>
    <xf numFmtId="44" fontId="3" fillId="0" borderId="35" xfId="2" applyFont="1" applyBorder="1" applyProtection="1">
      <protection locked="0"/>
    </xf>
    <xf numFmtId="44" fontId="3" fillId="0" borderId="23" xfId="2" applyFont="1" applyBorder="1" applyProtection="1">
      <protection locked="0"/>
    </xf>
    <xf numFmtId="44" fontId="2" fillId="0" borderId="3" xfId="2" applyFont="1" applyBorder="1" applyProtection="1">
      <protection locked="0"/>
    </xf>
    <xf numFmtId="44" fontId="2" fillId="0" borderId="17" xfId="2" applyFont="1" applyBorder="1" applyProtection="1">
      <protection locked="0"/>
    </xf>
    <xf numFmtId="44" fontId="3" fillId="0" borderId="36" xfId="2" applyFont="1" applyBorder="1" applyProtection="1">
      <protection locked="0"/>
    </xf>
    <xf numFmtId="44" fontId="3" fillId="0" borderId="19" xfId="2" applyFont="1" applyBorder="1" applyProtection="1">
      <protection locked="0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44" fontId="3" fillId="3" borderId="4" xfId="2" applyFont="1" applyFill="1" applyBorder="1" applyProtection="1">
      <protection locked="0"/>
    </xf>
    <xf numFmtId="44" fontId="2" fillId="3" borderId="4" xfId="0" applyNumberFormat="1" applyFont="1" applyFill="1" applyBorder="1" applyProtection="1">
      <protection locked="0"/>
    </xf>
    <xf numFmtId="0" fontId="2" fillId="2" borderId="25" xfId="0" applyFont="1" applyFill="1" applyBorder="1" applyAlignment="1" applyProtection="1">
      <alignment horizontal="right"/>
      <protection locked="0"/>
    </xf>
    <xf numFmtId="0" fontId="2" fillId="2" borderId="16" xfId="0" applyFont="1" applyFill="1" applyBorder="1" applyAlignment="1" applyProtection="1">
      <alignment horizontal="right"/>
      <protection locked="0"/>
    </xf>
    <xf numFmtId="0" fontId="3" fillId="2" borderId="26" xfId="0" applyFont="1" applyFill="1" applyBorder="1" applyProtection="1">
      <protection locked="0"/>
    </xf>
    <xf numFmtId="0" fontId="3" fillId="2" borderId="6" xfId="0" applyFont="1" applyFill="1" applyBorder="1" applyProtection="1">
      <protection locked="0"/>
    </xf>
    <xf numFmtId="0" fontId="2" fillId="2" borderId="27" xfId="0" applyFont="1" applyFill="1" applyBorder="1" applyAlignment="1" applyProtection="1">
      <alignment horizontal="right"/>
      <protection locked="0"/>
    </xf>
    <xf numFmtId="0" fontId="2" fillId="2" borderId="1" xfId="0" applyFont="1" applyFill="1" applyBorder="1" applyAlignment="1" applyProtection="1">
      <alignment horizontal="right"/>
      <protection locked="0"/>
    </xf>
    <xf numFmtId="0" fontId="7" fillId="2" borderId="15" xfId="0" applyFont="1" applyFill="1" applyBorder="1" applyAlignment="1" applyProtection="1">
      <alignment horizontal="right"/>
      <protection locked="0"/>
    </xf>
    <xf numFmtId="0" fontId="7" fillId="2" borderId="8" xfId="0" applyFont="1" applyFill="1" applyBorder="1" applyAlignment="1" applyProtection="1">
      <alignment horizontal="right"/>
      <protection locked="0"/>
    </xf>
    <xf numFmtId="0" fontId="2" fillId="2" borderId="15" xfId="0" applyFont="1" applyFill="1" applyBorder="1" applyAlignment="1" applyProtection="1">
      <alignment horizontal="right"/>
      <protection locked="0"/>
    </xf>
    <xf numFmtId="0" fontId="2" fillId="2" borderId="8" xfId="0" applyFont="1" applyFill="1" applyBorder="1" applyAlignment="1" applyProtection="1">
      <alignment horizontal="right"/>
      <protection locked="0"/>
    </xf>
    <xf numFmtId="0" fontId="3" fillId="2" borderId="28" xfId="0" applyFont="1" applyFill="1" applyBorder="1" applyProtection="1">
      <protection locked="0"/>
    </xf>
    <xf numFmtId="0" fontId="3" fillId="2" borderId="29" xfId="0" applyFont="1" applyFill="1" applyBorder="1" applyProtection="1">
      <protection locked="0"/>
    </xf>
    <xf numFmtId="44" fontId="2" fillId="2" borderId="27" xfId="2" applyFont="1" applyFill="1" applyBorder="1" applyAlignment="1" applyProtection="1">
      <alignment horizontal="right"/>
      <protection locked="0"/>
    </xf>
    <xf numFmtId="44" fontId="2" fillId="2" borderId="1" xfId="2" applyFont="1" applyFill="1" applyBorder="1" applyAlignment="1" applyProtection="1">
      <alignment horizontal="right"/>
      <protection locked="0"/>
    </xf>
    <xf numFmtId="0" fontId="2" fillId="2" borderId="25" xfId="0" applyFont="1" applyFill="1" applyBorder="1" applyAlignment="1" applyProtection="1">
      <alignment horizontal="center"/>
      <protection locked="0"/>
    </xf>
    <xf numFmtId="0" fontId="2" fillId="2" borderId="14" xfId="0" applyFont="1" applyFill="1" applyBorder="1" applyAlignment="1" applyProtection="1">
      <alignment horizontal="center"/>
      <protection locked="0"/>
    </xf>
    <xf numFmtId="0" fontId="3" fillId="2" borderId="30" xfId="0" applyFont="1" applyFill="1" applyBorder="1" applyProtection="1">
      <protection locked="0"/>
    </xf>
    <xf numFmtId="0" fontId="3" fillId="2" borderId="31" xfId="0" applyFont="1" applyFill="1" applyBorder="1" applyProtection="1">
      <protection locked="0"/>
    </xf>
    <xf numFmtId="0" fontId="2" fillId="2" borderId="15" xfId="0" applyFont="1" applyFill="1" applyBorder="1" applyAlignment="1" applyProtection="1">
      <alignment horizontal="center" wrapText="1"/>
      <protection locked="0"/>
    </xf>
    <xf numFmtId="0" fontId="2" fillId="2" borderId="8" xfId="0" applyFont="1" applyFill="1" applyBorder="1" applyAlignment="1" applyProtection="1">
      <alignment horizontal="center" wrapText="1"/>
      <protection locked="0"/>
    </xf>
    <xf numFmtId="0" fontId="3" fillId="0" borderId="0" xfId="0" applyFont="1" applyAlignment="1" applyProtection="1">
      <alignment horizontal="left"/>
      <protection locked="0"/>
    </xf>
    <xf numFmtId="0" fontId="3" fillId="0" borderId="0" xfId="0" applyFont="1" applyAlignment="1" applyProtection="1">
      <alignment horizontal="center"/>
      <protection locked="0"/>
    </xf>
    <xf numFmtId="49" fontId="3" fillId="0" borderId="0" xfId="0" applyNumberFormat="1" applyFont="1" applyAlignment="1" applyProtection="1">
      <alignment horizontal="left"/>
      <protection locked="0"/>
    </xf>
    <xf numFmtId="0" fontId="2" fillId="2" borderId="3" xfId="0" applyFont="1" applyFill="1" applyBorder="1" applyAlignment="1" applyProtection="1">
      <alignment horizontal="center" vertical="center" wrapText="1"/>
      <protection locked="0"/>
    </xf>
    <xf numFmtId="44" fontId="2" fillId="3" borderId="4" xfId="2" applyFont="1" applyFill="1" applyBorder="1" applyProtection="1">
      <protection locked="0"/>
    </xf>
    <xf numFmtId="44" fontId="8" fillId="2" borderId="18" xfId="2" applyFont="1" applyFill="1" applyBorder="1" applyProtection="1">
      <protection locked="0"/>
    </xf>
    <xf numFmtId="44" fontId="8" fillId="2" borderId="19" xfId="2" applyFont="1" applyFill="1" applyBorder="1" applyProtection="1">
      <protection locked="0"/>
    </xf>
    <xf numFmtId="44" fontId="8" fillId="2" borderId="22" xfId="2" applyFont="1" applyFill="1" applyBorder="1" applyProtection="1">
      <protection locked="0"/>
    </xf>
    <xf numFmtId="44" fontId="8" fillId="2" borderId="23" xfId="2" applyFont="1" applyFill="1" applyBorder="1" applyProtection="1">
      <protection locked="0"/>
    </xf>
    <xf numFmtId="44" fontId="2" fillId="2" borderId="3" xfId="0" applyNumberFormat="1" applyFont="1" applyFill="1" applyBorder="1" applyProtection="1">
      <protection locked="0"/>
    </xf>
    <xf numFmtId="44" fontId="2" fillId="2" borderId="17" xfId="0" applyNumberFormat="1" applyFont="1" applyFill="1" applyBorder="1" applyProtection="1">
      <protection locked="0"/>
    </xf>
    <xf numFmtId="44" fontId="2" fillId="2" borderId="3" xfId="2" applyFont="1" applyFill="1" applyBorder="1" applyProtection="1">
      <protection locked="0"/>
    </xf>
    <xf numFmtId="44" fontId="2" fillId="2" borderId="17" xfId="2" applyFont="1" applyFill="1" applyBorder="1" applyProtection="1">
      <protection locked="0"/>
    </xf>
    <xf numFmtId="0" fontId="2" fillId="3" borderId="9" xfId="0" applyFont="1" applyFill="1" applyBorder="1" applyProtection="1">
      <protection locked="0"/>
    </xf>
    <xf numFmtId="0" fontId="2" fillId="3" borderId="10" xfId="0" applyFont="1" applyFill="1" applyBorder="1" applyProtection="1">
      <protection locked="0"/>
    </xf>
    <xf numFmtId="44" fontId="5" fillId="2" borderId="22" xfId="2" applyFont="1" applyFill="1" applyBorder="1" applyProtection="1">
      <protection locked="0"/>
    </xf>
    <xf numFmtId="44" fontId="5" fillId="2" borderId="23" xfId="2" applyFont="1" applyFill="1" applyBorder="1" applyProtection="1">
      <protection locked="0"/>
    </xf>
    <xf numFmtId="44" fontId="6" fillId="2" borderId="3" xfId="2" applyFont="1" applyFill="1" applyBorder="1" applyProtection="1">
      <protection locked="0"/>
    </xf>
    <xf numFmtId="44" fontId="6" fillId="2" borderId="17" xfId="2" applyFont="1" applyFill="1" applyBorder="1" applyProtection="1">
      <protection locked="0"/>
    </xf>
    <xf numFmtId="0" fontId="2" fillId="3" borderId="0" xfId="0" applyFont="1" applyFill="1" applyBorder="1" applyProtection="1">
      <protection locked="0"/>
    </xf>
    <xf numFmtId="44" fontId="3" fillId="3" borderId="0" xfId="2" applyFont="1" applyFill="1" applyBorder="1" applyProtection="1">
      <protection locked="0"/>
    </xf>
    <xf numFmtId="44" fontId="3" fillId="3" borderId="10" xfId="2" applyFont="1" applyFill="1" applyBorder="1" applyProtection="1">
      <protection locked="0"/>
    </xf>
    <xf numFmtId="0" fontId="2" fillId="3" borderId="4" xfId="0" applyFont="1" applyFill="1" applyBorder="1" applyProtection="1">
      <protection locked="0"/>
    </xf>
    <xf numFmtId="44" fontId="7" fillId="2" borderId="3" xfId="2" applyFont="1" applyFill="1" applyBorder="1" applyProtection="1">
      <protection locked="0"/>
    </xf>
    <xf numFmtId="44" fontId="7" fillId="2" borderId="17" xfId="2" applyFont="1" applyFill="1" applyBorder="1" applyProtection="1">
      <protection locked="0"/>
    </xf>
    <xf numFmtId="0" fontId="2" fillId="4" borderId="4" xfId="0" applyFont="1" applyFill="1" applyBorder="1" applyProtection="1">
      <protection locked="0"/>
    </xf>
    <xf numFmtId="44" fontId="5" fillId="2" borderId="20" xfId="2" applyFont="1" applyFill="1" applyBorder="1" applyProtection="1">
      <protection locked="0"/>
    </xf>
    <xf numFmtId="44" fontId="5" fillId="2" borderId="21" xfId="2" applyFont="1" applyFill="1" applyBorder="1" applyProtection="1">
      <protection locked="0"/>
    </xf>
  </cellXfs>
  <cellStyles count="7">
    <cellStyle name="Comma" xfId="4"/>
    <cellStyle name="Comma [0]" xfId="5"/>
    <cellStyle name="Currency" xfId="2"/>
    <cellStyle name="Currency [0]" xfId="3"/>
    <cellStyle name="Normal" xfId="0" builtinId="0"/>
    <cellStyle name="Normal 2" xfId="6"/>
    <cellStyle name="Percent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190500</xdr:rowOff>
        </xdr:from>
        <xdr:to>
          <xdr:col>4</xdr:col>
          <xdr:colOff>66675</xdr:colOff>
          <xdr:row>4</xdr:row>
          <xdr:rowOff>66675</xdr:rowOff>
        </xdr:to>
        <xdr:sp macro="" textlink="">
          <xdr:nvSpPr>
            <xdr:cNvPr id="1027" name="Check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9525</xdr:rowOff>
        </xdr:from>
        <xdr:to>
          <xdr:col>7</xdr:col>
          <xdr:colOff>1123950</xdr:colOff>
          <xdr:row>3</xdr:row>
          <xdr:rowOff>161925</xdr:rowOff>
        </xdr:to>
        <xdr:sp macro="" textlink="">
          <xdr:nvSpPr>
            <xdr:cNvPr id="1028" name="Check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</xdr:row>
          <xdr:rowOff>0</xdr:rowOff>
        </xdr:from>
        <xdr:to>
          <xdr:col>7</xdr:col>
          <xdr:colOff>1019175</xdr:colOff>
          <xdr:row>4</xdr:row>
          <xdr:rowOff>161925</xdr:rowOff>
        </xdr:to>
        <xdr:sp macro="" textlink="">
          <xdr:nvSpPr>
            <xdr:cNvPr id="1029" name="Check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L81"/>
  <sheetViews>
    <sheetView tabSelected="1" topLeftCell="A18" workbookViewId="0">
      <selection activeCell="I24" sqref="I24:J24"/>
    </sheetView>
  </sheetViews>
  <sheetFormatPr defaultColWidth="9.140625" defaultRowHeight="15.75" x14ac:dyDescent="0.25"/>
  <cols>
    <col min="1" max="1" width="21.42578125" style="1" bestFit="1" customWidth="1"/>
    <col min="2" max="2" width="7.42578125" style="1" customWidth="1"/>
    <col min="3" max="3" width="22" style="1" customWidth="1"/>
    <col min="4" max="4" width="13.140625" style="2" customWidth="1"/>
    <col min="5" max="5" width="11.140625" style="2" customWidth="1"/>
    <col min="6" max="6" width="20.7109375" style="2" customWidth="1"/>
    <col min="7" max="7" width="3" style="2" customWidth="1"/>
    <col min="8" max="8" width="20.42578125" style="1" customWidth="1"/>
    <col min="9" max="9" width="12.140625" style="1" customWidth="1"/>
    <col min="10" max="10" width="11.140625" style="1" customWidth="1"/>
    <col min="11" max="11" width="9.140625" style="1"/>
    <col min="12" max="12" width="12.7109375" style="1" bestFit="1" customWidth="1"/>
    <col min="13" max="16384" width="9.140625" style="1"/>
  </cols>
  <sheetData>
    <row r="1" spans="1:10" x14ac:dyDescent="0.25">
      <c r="G1" s="1"/>
    </row>
    <row r="2" spans="1:10" x14ac:dyDescent="0.25">
      <c r="G2" s="1"/>
    </row>
    <row r="3" spans="1:10" x14ac:dyDescent="0.25">
      <c r="G3" s="1"/>
    </row>
    <row r="4" spans="1:10" x14ac:dyDescent="0.25">
      <c r="G4" s="1"/>
    </row>
    <row r="5" spans="1:10" x14ac:dyDescent="0.25">
      <c r="B5" s="121"/>
      <c r="C5" s="121"/>
      <c r="D5" s="121"/>
      <c r="E5" s="121"/>
      <c r="G5" s="1"/>
    </row>
    <row r="6" spans="1:10" ht="15.75" customHeight="1" x14ac:dyDescent="0.25">
      <c r="A6" s="3" t="s">
        <v>33</v>
      </c>
      <c r="B6" s="64" t="str">
        <f>VLOOKUP(A6,'Grant Details'!$A$2:$B$13,2,0)</f>
        <v>15SG0013</v>
      </c>
      <c r="C6" s="64"/>
      <c r="D6" s="64"/>
      <c r="E6" s="64"/>
      <c r="F6" s="4" t="s">
        <v>40</v>
      </c>
      <c r="G6" s="122"/>
      <c r="H6" s="122"/>
      <c r="I6" s="117"/>
      <c r="J6" s="117"/>
    </row>
    <row r="7" spans="1:10" ht="15.75" customHeight="1" x14ac:dyDescent="0.25">
      <c r="A7" s="3" t="s">
        <v>32</v>
      </c>
      <c r="B7" s="64" t="str">
        <f>VLOOKUP(A7,'Grant Details'!$A$2:$B$13,2,0)</f>
        <v>Project Homecoming, Inc</v>
      </c>
      <c r="C7" s="64"/>
      <c r="D7" s="64"/>
      <c r="E7" s="64"/>
      <c r="F7" s="4" t="s">
        <v>43</v>
      </c>
      <c r="G7" s="122"/>
      <c r="H7" s="122"/>
      <c r="I7" s="120"/>
      <c r="J7" s="120"/>
    </row>
    <row r="8" spans="1:10" ht="15.6" customHeight="1" x14ac:dyDescent="0.25">
      <c r="A8" s="3" t="s">
        <v>31</v>
      </c>
      <c r="B8" s="64" t="str">
        <f>VLOOKUP(A8,'Grant Details'!$A$2:$B$13,2,0)</f>
        <v>2221 Filmore Ave</v>
      </c>
      <c r="C8" s="64"/>
      <c r="D8" s="64"/>
      <c r="E8" s="64"/>
      <c r="F8" s="4"/>
      <c r="G8" s="5"/>
      <c r="I8" s="120"/>
      <c r="J8" s="120"/>
    </row>
    <row r="9" spans="1:10" x14ac:dyDescent="0.25">
      <c r="A9" s="3" t="s">
        <v>30</v>
      </c>
      <c r="B9" s="64" t="str">
        <f>VLOOKUP(A9,'Grant Details'!$A$2:$B$13,2,0)</f>
        <v>New Orleans, LA, 70122</v>
      </c>
      <c r="C9" s="64"/>
      <c r="D9" s="64"/>
      <c r="E9" s="64"/>
      <c r="F9" s="6" t="s">
        <v>37</v>
      </c>
      <c r="G9" s="191"/>
      <c r="H9" s="191"/>
      <c r="I9" s="118"/>
      <c r="J9" s="118"/>
    </row>
    <row r="10" spans="1:10" x14ac:dyDescent="0.25">
      <c r="A10" s="3" t="s">
        <v>34</v>
      </c>
      <c r="B10" s="64" t="str">
        <f>VLOOKUP(A10,'Grant Details'!$A$2:$B$13,2,0)</f>
        <v>Kris Pottharst</v>
      </c>
      <c r="C10" s="64"/>
      <c r="D10" s="64"/>
      <c r="E10" s="64"/>
      <c r="F10" s="6" t="s">
        <v>38</v>
      </c>
      <c r="G10" s="192"/>
      <c r="H10" s="192"/>
      <c r="I10" s="119"/>
      <c r="J10" s="119"/>
    </row>
    <row r="11" spans="1:10" x14ac:dyDescent="0.25">
      <c r="A11" s="3" t="s">
        <v>35</v>
      </c>
      <c r="B11" s="64" t="str">
        <f>VLOOKUP(A11,'Grant Details'!$A$2:$B$13,2,0)</f>
        <v>(504) 905-8314</v>
      </c>
      <c r="C11" s="64"/>
      <c r="D11" s="64"/>
      <c r="E11" s="64"/>
      <c r="F11" s="6" t="s">
        <v>39</v>
      </c>
      <c r="G11" s="193"/>
      <c r="H11" s="193"/>
    </row>
    <row r="12" spans="1:10" x14ac:dyDescent="0.25">
      <c r="A12" s="3" t="s">
        <v>36</v>
      </c>
      <c r="B12" s="64" t="str">
        <f>VLOOKUP(A12,'Grant Details'!$A$2:$B$13,2,0)</f>
        <v>kris@projecthomecoming.net.uat</v>
      </c>
      <c r="C12" s="64"/>
      <c r="D12" s="64"/>
      <c r="E12" s="64"/>
      <c r="F12" s="1"/>
      <c r="G12" s="7"/>
      <c r="H12" s="7"/>
      <c r="I12" s="7"/>
      <c r="J12" s="7"/>
    </row>
    <row r="13" spans="1:10" x14ac:dyDescent="0.25">
      <c r="G13" s="7"/>
      <c r="H13" s="7"/>
      <c r="I13" s="7"/>
    </row>
    <row r="14" spans="1:10" x14ac:dyDescent="0.25">
      <c r="A14" s="65" t="s">
        <v>41</v>
      </c>
      <c r="B14" s="65"/>
      <c r="C14" s="65"/>
      <c r="D14" s="8">
        <f>VLOOKUP(A14,'Grant Details'!$A$2:$B$13,2,0)</f>
        <v>42095</v>
      </c>
      <c r="E14" s="9" t="s">
        <v>42</v>
      </c>
      <c r="F14" s="66">
        <f>VLOOKUP(E14,'Grant Details'!$A$2:$B$13,2,0)</f>
        <v>42735</v>
      </c>
      <c r="G14" s="66" t="e">
        <f>VLOOKUP(D14,'Grant Details'!$A$2:$B$13,2,0)</f>
        <v>#N/A</v>
      </c>
      <c r="H14" s="66">
        <f>VLOOKUP(E14,'Grant Details'!$A$2:$B$13,2,0)</f>
        <v>42735</v>
      </c>
      <c r="J14" s="7"/>
    </row>
    <row r="15" spans="1:10" x14ac:dyDescent="0.25">
      <c r="D15" s="1"/>
      <c r="G15" s="7"/>
      <c r="H15" s="7"/>
      <c r="I15" s="7"/>
      <c r="J15" s="7"/>
    </row>
    <row r="16" spans="1:10" ht="45" customHeight="1" x14ac:dyDescent="0.25">
      <c r="A16" s="96" t="s">
        <v>44</v>
      </c>
      <c r="B16" s="96"/>
      <c r="C16" s="96"/>
      <c r="D16" s="10"/>
      <c r="E16" s="11" t="s">
        <v>42</v>
      </c>
      <c r="F16" s="67"/>
      <c r="G16" s="67"/>
      <c r="H16" s="67"/>
      <c r="I16" s="7"/>
    </row>
    <row r="17" spans="1:12" ht="16.5" thickBot="1" x14ac:dyDescent="0.3"/>
    <row r="18" spans="1:12" s="14" customFormat="1" ht="60.75" customHeight="1" thickBot="1" x14ac:dyDescent="0.3">
      <c r="A18" s="146"/>
      <c r="B18" s="147"/>
      <c r="C18" s="12" t="s">
        <v>0</v>
      </c>
      <c r="D18" s="194" t="s">
        <v>47</v>
      </c>
      <c r="E18" s="168"/>
      <c r="F18" s="167" t="s">
        <v>1</v>
      </c>
      <c r="G18" s="168"/>
      <c r="H18" s="13" t="s">
        <v>2</v>
      </c>
      <c r="I18" s="88" t="s">
        <v>3</v>
      </c>
      <c r="J18" s="89"/>
    </row>
    <row r="19" spans="1:12" ht="16.5" thickBot="1" x14ac:dyDescent="0.3">
      <c r="A19" s="139" t="s">
        <v>5</v>
      </c>
      <c r="B19" s="145"/>
      <c r="C19" s="15"/>
      <c r="D19" s="195"/>
      <c r="E19" s="195"/>
      <c r="F19" s="169"/>
      <c r="G19" s="169"/>
      <c r="H19" s="16"/>
      <c r="I19" s="90"/>
      <c r="J19" s="91"/>
    </row>
    <row r="20" spans="1:12" ht="16.5" thickBot="1" x14ac:dyDescent="0.3">
      <c r="A20" s="133" t="s">
        <v>67</v>
      </c>
      <c r="B20" s="134"/>
      <c r="C20" s="17" t="s">
        <v>68</v>
      </c>
      <c r="D20" s="196"/>
      <c r="E20" s="197"/>
      <c r="F20" s="155"/>
      <c r="G20" s="156"/>
      <c r="H20" s="18"/>
      <c r="I20" s="109">
        <v>3850</v>
      </c>
      <c r="J20" s="110"/>
      <c r="K20" s="63"/>
      <c r="L20" s="63">
        <f>C20-F20-H20</f>
        <v>3850</v>
      </c>
    </row>
    <row r="21" spans="1:12" ht="16.5" thickBot="1" x14ac:dyDescent="0.3">
      <c r="A21" s="133" t="s">
        <v>71</v>
      </c>
      <c r="B21" s="134"/>
      <c r="C21" s="17" t="s">
        <v>72</v>
      </c>
      <c r="D21" s="196"/>
      <c r="E21" s="197"/>
      <c r="F21" s="155"/>
      <c r="G21" s="156"/>
      <c r="H21" s="18"/>
      <c r="I21" s="109">
        <v>3443</v>
      </c>
      <c r="J21" s="110"/>
      <c r="L21" s="63">
        <f t="shared" ref="L21:L38" si="0">C21-F21-H21</f>
        <v>3443</v>
      </c>
    </row>
    <row r="22" spans="1:12" ht="16.5" thickBot="1" x14ac:dyDescent="0.3">
      <c r="A22" s="133" t="s">
        <v>73</v>
      </c>
      <c r="B22" s="134"/>
      <c r="C22" s="17" t="s">
        <v>74</v>
      </c>
      <c r="D22" s="196"/>
      <c r="E22" s="197"/>
      <c r="F22" s="155"/>
      <c r="G22" s="156"/>
      <c r="H22" s="18"/>
      <c r="I22" s="109">
        <v>2750</v>
      </c>
      <c r="J22" s="110"/>
      <c r="L22" s="63">
        <f t="shared" si="0"/>
        <v>2750</v>
      </c>
    </row>
    <row r="23" spans="1:12" ht="16.5" thickBot="1" x14ac:dyDescent="0.3">
      <c r="A23" s="133" t="s">
        <v>75</v>
      </c>
      <c r="B23" s="134"/>
      <c r="C23" s="17" t="s">
        <v>76</v>
      </c>
      <c r="D23" s="196"/>
      <c r="E23" s="197"/>
      <c r="F23" s="155"/>
      <c r="G23" s="156"/>
      <c r="H23" s="18"/>
      <c r="I23" s="109">
        <v>3900</v>
      </c>
      <c r="J23" s="110"/>
      <c r="L23" s="63">
        <f t="shared" si="0"/>
        <v>3900</v>
      </c>
    </row>
    <row r="24" spans="1:12" ht="16.5" thickBot="1" x14ac:dyDescent="0.3">
      <c r="A24" s="133" t="s">
        <v>77</v>
      </c>
      <c r="B24" s="134"/>
      <c r="C24" s="17" t="s">
        <v>78</v>
      </c>
      <c r="D24" s="196"/>
      <c r="E24" s="197"/>
      <c r="F24" s="155"/>
      <c r="G24" s="156"/>
      <c r="H24" s="18"/>
      <c r="I24" s="109">
        <v>7280</v>
      </c>
      <c r="J24" s="110"/>
      <c r="L24" s="63">
        <f t="shared" si="0"/>
        <v>7280</v>
      </c>
    </row>
    <row r="25" spans="1:12" ht="16.5" thickBot="1" x14ac:dyDescent="0.3">
      <c r="A25" s="133" t="s">
        <v>79</v>
      </c>
      <c r="B25" s="134"/>
      <c r="C25" s="17" t="s">
        <v>80</v>
      </c>
      <c r="D25" s="196"/>
      <c r="E25" s="197"/>
      <c r="F25" s="155"/>
      <c r="G25" s="156"/>
      <c r="H25" s="18"/>
      <c r="I25" s="109">
        <v>2146.65</v>
      </c>
      <c r="J25" s="110"/>
      <c r="L25" s="63">
        <f t="shared" si="0"/>
        <v>2146.65</v>
      </c>
    </row>
    <row r="26" spans="1:12" ht="16.5" thickBot="1" x14ac:dyDescent="0.3">
      <c r="A26" s="133" t="s">
        <v>67</v>
      </c>
      <c r="B26" s="134"/>
      <c r="C26" s="17" t="s">
        <v>68</v>
      </c>
      <c r="D26" s="196"/>
      <c r="E26" s="197"/>
      <c r="F26" s="155"/>
      <c r="G26" s="156"/>
      <c r="H26" s="18"/>
      <c r="I26" s="109">
        <v>3850</v>
      </c>
      <c r="J26" s="110"/>
      <c r="L26" s="63">
        <f t="shared" si="0"/>
        <v>3850</v>
      </c>
    </row>
    <row r="27" spans="1:12" ht="16.5" thickBot="1" x14ac:dyDescent="0.3">
      <c r="A27" s="133" t="s">
        <v>71</v>
      </c>
      <c r="B27" s="134"/>
      <c r="C27" s="17" t="s">
        <v>81</v>
      </c>
      <c r="D27" s="196"/>
      <c r="E27" s="197"/>
      <c r="F27" s="155"/>
      <c r="G27" s="156"/>
      <c r="H27" s="18"/>
      <c r="I27" s="109">
        <v>11955.36</v>
      </c>
      <c r="J27" s="110"/>
      <c r="L27" s="63">
        <f t="shared" si="0"/>
        <v>11955.36</v>
      </c>
    </row>
    <row r="28" spans="1:12" ht="16.5" thickBot="1" x14ac:dyDescent="0.3">
      <c r="A28" s="133" t="s">
        <v>73</v>
      </c>
      <c r="B28" s="134"/>
      <c r="C28" s="17" t="s">
        <v>74</v>
      </c>
      <c r="D28" s="196"/>
      <c r="E28" s="197"/>
      <c r="F28" s="155"/>
      <c r="G28" s="156"/>
      <c r="H28" s="18"/>
      <c r="I28" s="109">
        <v>2750</v>
      </c>
      <c r="J28" s="110"/>
      <c r="L28" s="63">
        <f t="shared" si="0"/>
        <v>2750</v>
      </c>
    </row>
    <row r="29" spans="1:12" ht="16.5" thickBot="1" x14ac:dyDescent="0.3">
      <c r="A29" s="133" t="s">
        <v>79</v>
      </c>
      <c r="B29" s="134"/>
      <c r="C29" s="17" t="s">
        <v>82</v>
      </c>
      <c r="D29" s="196"/>
      <c r="E29" s="197"/>
      <c r="F29" s="155"/>
      <c r="G29" s="156"/>
      <c r="H29" s="18"/>
      <c r="I29" s="109">
        <v>858.66</v>
      </c>
      <c r="J29" s="110"/>
      <c r="L29" s="63">
        <f t="shared" si="0"/>
        <v>858.66</v>
      </c>
    </row>
    <row r="30" spans="1:12" ht="16.5" thickBot="1" x14ac:dyDescent="0.3">
      <c r="A30" s="133" t="s">
        <v>77</v>
      </c>
      <c r="B30" s="134"/>
      <c r="C30" s="17" t="s">
        <v>83</v>
      </c>
      <c r="D30" s="196"/>
      <c r="E30" s="197"/>
      <c r="F30" s="155"/>
      <c r="G30" s="156"/>
      <c r="H30" s="18"/>
      <c r="I30" s="109">
        <v>9653.57</v>
      </c>
      <c r="J30" s="110"/>
      <c r="L30" s="63">
        <f t="shared" si="0"/>
        <v>9653.57</v>
      </c>
    </row>
    <row r="31" spans="1:12" ht="16.5" thickBot="1" x14ac:dyDescent="0.3">
      <c r="A31" s="133" t="s">
        <v>75</v>
      </c>
      <c r="B31" s="134"/>
      <c r="C31" s="17" t="s">
        <v>76</v>
      </c>
      <c r="D31" s="196"/>
      <c r="E31" s="197"/>
      <c r="F31" s="155"/>
      <c r="G31" s="156"/>
      <c r="H31" s="18"/>
      <c r="I31" s="109"/>
      <c r="J31" s="110"/>
      <c r="L31" s="63">
        <f t="shared" si="0"/>
        <v>3900</v>
      </c>
    </row>
    <row r="32" spans="1:12" ht="16.5" thickBot="1" x14ac:dyDescent="0.3">
      <c r="A32" s="133" t="s">
        <v>71</v>
      </c>
      <c r="B32" s="134"/>
      <c r="C32" s="17" t="s">
        <v>84</v>
      </c>
      <c r="D32" s="196"/>
      <c r="E32" s="197"/>
      <c r="F32" s="155"/>
      <c r="G32" s="156"/>
      <c r="H32" s="18"/>
      <c r="I32" s="109"/>
      <c r="J32" s="110"/>
      <c r="L32" s="63">
        <f t="shared" si="0"/>
        <v>4988.93</v>
      </c>
    </row>
    <row r="33" spans="1:12" ht="16.5" thickBot="1" x14ac:dyDescent="0.3">
      <c r="A33" s="133" t="s">
        <v>67</v>
      </c>
      <c r="B33" s="134"/>
      <c r="C33" s="17" t="s">
        <v>68</v>
      </c>
      <c r="D33" s="196"/>
      <c r="E33" s="197"/>
      <c r="F33" s="155"/>
      <c r="G33" s="156"/>
      <c r="H33" s="18"/>
      <c r="I33" s="109"/>
      <c r="J33" s="110"/>
      <c r="L33" s="63">
        <f t="shared" si="0"/>
        <v>3850</v>
      </c>
    </row>
    <row r="34" spans="1:12" ht="16.5" thickBot="1" x14ac:dyDescent="0.3">
      <c r="A34" s="133" t="s">
        <v>77</v>
      </c>
      <c r="B34" s="134"/>
      <c r="C34" s="17" t="s">
        <v>78</v>
      </c>
      <c r="D34" s="196"/>
      <c r="E34" s="197"/>
      <c r="F34" s="155"/>
      <c r="G34" s="156"/>
      <c r="H34" s="18"/>
      <c r="I34" s="109"/>
      <c r="J34" s="110"/>
      <c r="L34" s="63">
        <f t="shared" si="0"/>
        <v>7280</v>
      </c>
    </row>
    <row r="35" spans="1:12" ht="16.5" thickBot="1" x14ac:dyDescent="0.3">
      <c r="A35" s="133" t="s">
        <v>75</v>
      </c>
      <c r="B35" s="134"/>
      <c r="C35" s="17" t="s">
        <v>76</v>
      </c>
      <c r="D35" s="196"/>
      <c r="E35" s="197"/>
      <c r="F35" s="155"/>
      <c r="G35" s="156"/>
      <c r="H35" s="18"/>
      <c r="I35" s="109"/>
      <c r="J35" s="110"/>
      <c r="L35" s="63">
        <f t="shared" si="0"/>
        <v>3900</v>
      </c>
    </row>
    <row r="36" spans="1:12" ht="16.5" thickBot="1" x14ac:dyDescent="0.3">
      <c r="A36" s="133" t="s">
        <v>73</v>
      </c>
      <c r="B36" s="134"/>
      <c r="C36" s="17" t="s">
        <v>74</v>
      </c>
      <c r="D36" s="196"/>
      <c r="E36" s="197"/>
      <c r="F36" s="155"/>
      <c r="G36" s="156"/>
      <c r="H36" s="18"/>
      <c r="I36" s="109"/>
      <c r="J36" s="110"/>
      <c r="L36" s="63">
        <f t="shared" si="0"/>
        <v>2750</v>
      </c>
    </row>
    <row r="37" spans="1:12" x14ac:dyDescent="0.25">
      <c r="A37" s="133" t="s">
        <v>79</v>
      </c>
      <c r="B37" s="134"/>
      <c r="C37" s="17" t="s">
        <v>82</v>
      </c>
      <c r="D37" s="196"/>
      <c r="E37" s="197"/>
      <c r="F37" s="155"/>
      <c r="G37" s="156"/>
      <c r="H37" s="18"/>
      <c r="I37" s="109"/>
      <c r="J37" s="110"/>
      <c r="L37" s="63">
        <f t="shared" si="0"/>
        <v>858.66</v>
      </c>
    </row>
    <row r="38" spans="1:12" ht="16.5" thickBot="1" x14ac:dyDescent="0.3">
      <c r="A38" s="135"/>
      <c r="B38" s="136"/>
      <c r="C38" s="19"/>
      <c r="D38" s="198"/>
      <c r="E38" s="199"/>
      <c r="F38" s="159"/>
      <c r="G38" s="160"/>
      <c r="H38" s="20"/>
      <c r="I38" s="92">
        <f>C38-F38-H38</f>
        <v>0</v>
      </c>
      <c r="J38" s="93"/>
      <c r="L38" s="63">
        <f t="shared" si="0"/>
        <v>0</v>
      </c>
    </row>
    <row r="39" spans="1:12" s="2" customFormat="1" ht="16.5" thickBot="1" x14ac:dyDescent="0.3">
      <c r="A39" s="175" t="s">
        <v>4</v>
      </c>
      <c r="B39" s="176"/>
      <c r="C39" s="21">
        <f>SUM(C20:C38)</f>
        <v>0</v>
      </c>
      <c r="D39" s="200"/>
      <c r="E39" s="201"/>
      <c r="F39" s="148">
        <f>SUM(F20:F38)</f>
        <v>0</v>
      </c>
      <c r="G39" s="149"/>
      <c r="H39" s="22">
        <f>SUM(H20:H38)</f>
        <v>0</v>
      </c>
      <c r="I39" s="94">
        <f>SUM(I20:I38)</f>
        <v>52437.240000000005</v>
      </c>
      <c r="J39" s="95"/>
    </row>
    <row r="40" spans="1:12" s="2" customFormat="1" ht="16.5" thickBot="1" x14ac:dyDescent="0.3">
      <c r="A40" s="23"/>
      <c r="B40" s="24"/>
      <c r="C40" s="25"/>
      <c r="D40" s="170"/>
      <c r="E40" s="170"/>
      <c r="F40" s="170"/>
      <c r="G40" s="170"/>
      <c r="H40" s="25"/>
      <c r="I40" s="76"/>
      <c r="J40" s="77"/>
    </row>
    <row r="41" spans="1:12" s="2" customFormat="1" ht="50.25" customHeight="1" thickBot="1" x14ac:dyDescent="0.3">
      <c r="A41" s="189" t="s">
        <v>6</v>
      </c>
      <c r="B41" s="190"/>
      <c r="C41" s="26">
        <v>0</v>
      </c>
      <c r="D41" s="202"/>
      <c r="E41" s="203"/>
      <c r="F41" s="150">
        <v>0</v>
      </c>
      <c r="G41" s="151"/>
      <c r="H41" s="27">
        <v>0</v>
      </c>
      <c r="I41" s="78">
        <f>C41-F41-H41</f>
        <v>0</v>
      </c>
      <c r="J41" s="79"/>
    </row>
    <row r="42" spans="1:12" ht="16.5" thickBot="1" x14ac:dyDescent="0.3">
      <c r="A42" s="28"/>
      <c r="B42" s="29"/>
      <c r="C42" s="30"/>
      <c r="D42" s="204"/>
      <c r="E42" s="204"/>
      <c r="F42" s="68"/>
      <c r="G42" s="68"/>
      <c r="H42" s="31"/>
      <c r="I42" s="68"/>
      <c r="J42" s="69"/>
    </row>
    <row r="43" spans="1:12" ht="33" customHeight="1" thickBot="1" x14ac:dyDescent="0.3">
      <c r="A43" s="131" t="s">
        <v>45</v>
      </c>
      <c r="B43" s="132"/>
      <c r="C43" s="32"/>
      <c r="D43" s="205"/>
      <c r="E43" s="205"/>
      <c r="F43" s="97"/>
      <c r="G43" s="97"/>
      <c r="H43" s="33"/>
      <c r="I43" s="80"/>
      <c r="J43" s="81"/>
    </row>
    <row r="44" spans="1:12" ht="16.5" thickBot="1" x14ac:dyDescent="0.3">
      <c r="A44" s="133" t="s">
        <v>69</v>
      </c>
      <c r="B44" s="134"/>
      <c r="C44" s="17" t="s">
        <v>70</v>
      </c>
      <c r="D44" s="143"/>
      <c r="E44" s="144"/>
      <c r="F44" s="123"/>
      <c r="G44" s="124"/>
      <c r="H44" s="34"/>
      <c r="I44" s="82">
        <f>C44:C49-F44:F49-H44:H49</f>
        <v>4000</v>
      </c>
      <c r="J44" s="83"/>
    </row>
    <row r="45" spans="1:12" ht="16.5" thickBot="1" x14ac:dyDescent="0.3">
      <c r="A45" s="133" t="s">
        <v>85</v>
      </c>
      <c r="B45" s="134"/>
      <c r="C45" s="17" t="s">
        <v>86</v>
      </c>
      <c r="D45" s="143"/>
      <c r="E45" s="144"/>
      <c r="F45" s="123"/>
      <c r="G45" s="124"/>
      <c r="H45" s="34"/>
      <c r="I45" s="82"/>
      <c r="J45" s="83"/>
    </row>
    <row r="46" spans="1:12" ht="16.5" thickBot="1" x14ac:dyDescent="0.3">
      <c r="A46" s="133" t="s">
        <v>69</v>
      </c>
      <c r="B46" s="134"/>
      <c r="C46" s="17" t="s">
        <v>87</v>
      </c>
      <c r="D46" s="143"/>
      <c r="E46" s="144"/>
      <c r="F46" s="123"/>
      <c r="G46" s="124"/>
      <c r="H46" s="34"/>
      <c r="I46" s="82"/>
      <c r="J46" s="83"/>
    </row>
    <row r="47" spans="1:12" ht="16.5" thickBot="1" x14ac:dyDescent="0.3">
      <c r="A47" s="133" t="s">
        <v>85</v>
      </c>
      <c r="B47" s="134"/>
      <c r="C47" s="17" t="s">
        <v>87</v>
      </c>
      <c r="D47" s="143"/>
      <c r="E47" s="144"/>
      <c r="F47" s="123"/>
      <c r="G47" s="124"/>
      <c r="H47" s="34"/>
      <c r="I47" s="82"/>
      <c r="J47" s="83"/>
    </row>
    <row r="48" spans="1:12" ht="16.5" thickBot="1" x14ac:dyDescent="0.3">
      <c r="A48" s="133" t="s">
        <v>69</v>
      </c>
      <c r="B48" s="134"/>
      <c r="C48" s="17" t="s">
        <v>88</v>
      </c>
      <c r="D48" s="143"/>
      <c r="E48" s="144"/>
      <c r="F48" s="123"/>
      <c r="G48" s="124"/>
      <c r="H48" s="34"/>
      <c r="I48" s="82"/>
      <c r="J48" s="83"/>
    </row>
    <row r="49" spans="1:10" x14ac:dyDescent="0.25">
      <c r="A49" s="133" t="s">
        <v>85</v>
      </c>
      <c r="B49" s="134"/>
      <c r="C49" s="17" t="s">
        <v>87</v>
      </c>
      <c r="D49" s="143"/>
      <c r="E49" s="144"/>
      <c r="F49" s="123"/>
      <c r="G49" s="124"/>
      <c r="H49" s="34"/>
      <c r="I49" s="82"/>
      <c r="J49" s="83"/>
    </row>
    <row r="50" spans="1:10" ht="16.5" thickBot="1" x14ac:dyDescent="0.3">
      <c r="A50" s="135"/>
      <c r="B50" s="136"/>
      <c r="C50" s="19"/>
      <c r="D50" s="206"/>
      <c r="E50" s="207"/>
      <c r="F50" s="125"/>
      <c r="G50" s="126"/>
      <c r="H50" s="35"/>
      <c r="I50" s="84">
        <f>C50-F50-H50</f>
        <v>0</v>
      </c>
      <c r="J50" s="85"/>
    </row>
    <row r="51" spans="1:10" ht="16.5" thickBot="1" x14ac:dyDescent="0.3">
      <c r="A51" s="137" t="s">
        <v>7</v>
      </c>
      <c r="B51" s="138"/>
      <c r="C51" s="36">
        <f>SUM(C44:C50)</f>
        <v>0</v>
      </c>
      <c r="D51" s="208"/>
      <c r="E51" s="209"/>
      <c r="F51" s="127">
        <f>SUM(F44:F50)</f>
        <v>0</v>
      </c>
      <c r="G51" s="128"/>
      <c r="H51" s="37">
        <f>SUM(H44:H50)</f>
        <v>0</v>
      </c>
      <c r="I51" s="86">
        <f>SUM(I44:I50)</f>
        <v>4000</v>
      </c>
      <c r="J51" s="87"/>
    </row>
    <row r="52" spans="1:10" ht="16.5" thickBot="1" x14ac:dyDescent="0.3">
      <c r="A52" s="28"/>
      <c r="B52" s="29"/>
      <c r="C52" s="30"/>
      <c r="D52" s="204"/>
      <c r="E52" s="204"/>
      <c r="F52" s="68"/>
      <c r="G52" s="68"/>
      <c r="H52" s="31"/>
      <c r="I52" s="68"/>
      <c r="J52" s="69"/>
    </row>
    <row r="53" spans="1:10" ht="16.5" thickBot="1" x14ac:dyDescent="0.3">
      <c r="A53" s="139" t="s">
        <v>8</v>
      </c>
      <c r="B53" s="140"/>
      <c r="C53" s="38"/>
      <c r="D53" s="210"/>
      <c r="E53" s="210"/>
      <c r="F53" s="97"/>
      <c r="G53" s="97"/>
      <c r="H53" s="33"/>
      <c r="I53" s="81"/>
      <c r="J53" s="81"/>
    </row>
    <row r="54" spans="1:10" x14ac:dyDescent="0.25">
      <c r="A54" s="141" t="s">
        <v>9</v>
      </c>
      <c r="B54" s="142"/>
      <c r="C54" s="39"/>
      <c r="D54" s="211"/>
      <c r="E54" s="211"/>
      <c r="F54" s="165"/>
      <c r="G54" s="166"/>
      <c r="H54" s="40"/>
      <c r="I54" s="99"/>
      <c r="J54" s="100"/>
    </row>
    <row r="55" spans="1:10" x14ac:dyDescent="0.25">
      <c r="A55" s="129" t="s">
        <v>10</v>
      </c>
      <c r="B55" s="130"/>
      <c r="C55" s="39"/>
      <c r="D55" s="211"/>
      <c r="E55" s="211"/>
      <c r="F55" s="105"/>
      <c r="G55" s="106"/>
      <c r="H55" s="41"/>
      <c r="I55" s="99"/>
      <c r="J55" s="100"/>
    </row>
    <row r="56" spans="1:10" x14ac:dyDescent="0.25">
      <c r="A56" s="129" t="s">
        <v>11</v>
      </c>
      <c r="B56" s="130"/>
      <c r="C56" s="39"/>
      <c r="D56" s="211"/>
      <c r="E56" s="211"/>
      <c r="F56" s="105"/>
      <c r="G56" s="106"/>
      <c r="H56" s="41"/>
      <c r="I56" s="99"/>
      <c r="J56" s="100"/>
    </row>
    <row r="57" spans="1:10" x14ac:dyDescent="0.25">
      <c r="A57" s="129" t="s">
        <v>12</v>
      </c>
      <c r="B57" s="130"/>
      <c r="C57" s="39"/>
      <c r="D57" s="211"/>
      <c r="E57" s="211"/>
      <c r="F57" s="105"/>
      <c r="G57" s="106"/>
      <c r="H57" s="41"/>
      <c r="I57" s="99"/>
      <c r="J57" s="100"/>
    </row>
    <row r="58" spans="1:10" x14ac:dyDescent="0.25">
      <c r="A58" s="129" t="s">
        <v>17</v>
      </c>
      <c r="B58" s="130"/>
      <c r="C58" s="39"/>
      <c r="D58" s="211"/>
      <c r="E58" s="211"/>
      <c r="F58" s="105"/>
      <c r="G58" s="106"/>
      <c r="H58" s="41"/>
      <c r="I58" s="99"/>
      <c r="J58" s="100"/>
    </row>
    <row r="59" spans="1:10" x14ac:dyDescent="0.25">
      <c r="A59" s="129" t="s">
        <v>13</v>
      </c>
      <c r="B59" s="130"/>
      <c r="C59" s="39"/>
      <c r="D59" s="211"/>
      <c r="E59" s="211"/>
      <c r="F59" s="105"/>
      <c r="G59" s="106"/>
      <c r="H59" s="41"/>
      <c r="I59" s="99"/>
      <c r="J59" s="100"/>
    </row>
    <row r="60" spans="1:10" x14ac:dyDescent="0.25">
      <c r="A60" s="129" t="s">
        <v>14</v>
      </c>
      <c r="B60" s="130"/>
      <c r="C60" s="39"/>
      <c r="D60" s="211"/>
      <c r="E60" s="211"/>
      <c r="F60" s="105"/>
      <c r="G60" s="106"/>
      <c r="H60" s="41"/>
      <c r="I60" s="99"/>
      <c r="J60" s="100"/>
    </row>
    <row r="61" spans="1:10" x14ac:dyDescent="0.25">
      <c r="A61" s="129" t="s">
        <v>15</v>
      </c>
      <c r="B61" s="130"/>
      <c r="C61" s="39"/>
      <c r="D61" s="211"/>
      <c r="E61" s="211"/>
      <c r="F61" s="105"/>
      <c r="G61" s="106"/>
      <c r="H61" s="41"/>
      <c r="I61" s="99"/>
      <c r="J61" s="100"/>
    </row>
    <row r="62" spans="1:10" ht="16.5" thickBot="1" x14ac:dyDescent="0.3">
      <c r="A62" s="181" t="s">
        <v>16</v>
      </c>
      <c r="B62" s="182"/>
      <c r="C62" s="42"/>
      <c r="D62" s="212"/>
      <c r="E62" s="212"/>
      <c r="F62" s="161"/>
      <c r="G62" s="162"/>
      <c r="H62" s="20"/>
      <c r="I62" s="101"/>
      <c r="J62" s="102"/>
    </row>
    <row r="63" spans="1:10" s="45" customFormat="1" ht="16.5" thickBot="1" x14ac:dyDescent="0.3">
      <c r="A63" s="183" t="s">
        <v>18</v>
      </c>
      <c r="B63" s="184"/>
      <c r="C63" s="43"/>
      <c r="D63" s="208"/>
      <c r="E63" s="209"/>
      <c r="F63" s="163">
        <f>SUM(F54:H62)</f>
        <v>0</v>
      </c>
      <c r="G63" s="164"/>
      <c r="H63" s="44">
        <f>SUM(H54:I62)</f>
        <v>0</v>
      </c>
      <c r="I63" s="103">
        <f>C63-F63-H63</f>
        <v>0</v>
      </c>
      <c r="J63" s="104"/>
    </row>
    <row r="64" spans="1:10" ht="16.5" thickBot="1" x14ac:dyDescent="0.3">
      <c r="A64" s="28"/>
      <c r="B64" s="29"/>
      <c r="C64" s="30"/>
      <c r="D64" s="204"/>
      <c r="E64" s="204"/>
      <c r="F64" s="68"/>
      <c r="G64" s="68"/>
      <c r="H64" s="31"/>
      <c r="I64" s="68"/>
      <c r="J64" s="69"/>
    </row>
    <row r="65" spans="1:10" ht="16.5" thickBot="1" x14ac:dyDescent="0.3">
      <c r="A65" s="185" t="s">
        <v>19</v>
      </c>
      <c r="B65" s="186"/>
      <c r="C65" s="46"/>
      <c r="D65" s="205"/>
      <c r="E65" s="205"/>
      <c r="F65" s="97"/>
      <c r="G65" s="97"/>
      <c r="H65" s="33"/>
      <c r="I65" s="80"/>
      <c r="J65" s="81"/>
    </row>
    <row r="66" spans="1:10" x14ac:dyDescent="0.25">
      <c r="A66" s="187" t="s">
        <v>20</v>
      </c>
      <c r="B66" s="188"/>
      <c r="C66" s="17"/>
      <c r="D66" s="143"/>
      <c r="E66" s="144"/>
      <c r="F66" s="155"/>
      <c r="G66" s="156"/>
      <c r="H66" s="18"/>
      <c r="I66" s="109">
        <f>C66-F66-H66</f>
        <v>0</v>
      </c>
      <c r="J66" s="110"/>
    </row>
    <row r="67" spans="1:10" x14ac:dyDescent="0.25">
      <c r="A67" s="129" t="s">
        <v>21</v>
      </c>
      <c r="B67" s="130"/>
      <c r="C67" s="47"/>
      <c r="D67" s="217"/>
      <c r="E67" s="218"/>
      <c r="F67" s="157"/>
      <c r="G67" s="158"/>
      <c r="H67" s="41"/>
      <c r="I67" s="111">
        <f>C67-F67-H67</f>
        <v>0</v>
      </c>
      <c r="J67" s="112"/>
    </row>
    <row r="68" spans="1:10" x14ac:dyDescent="0.25">
      <c r="A68" s="129" t="s">
        <v>22</v>
      </c>
      <c r="B68" s="130"/>
      <c r="C68" s="47"/>
      <c r="D68" s="217"/>
      <c r="E68" s="218"/>
      <c r="F68" s="157"/>
      <c r="G68" s="158"/>
      <c r="H68" s="41"/>
      <c r="I68" s="111">
        <f>C68-F68-H68</f>
        <v>0</v>
      </c>
      <c r="J68" s="112"/>
    </row>
    <row r="69" spans="1:10" x14ac:dyDescent="0.25">
      <c r="A69" s="129" t="s">
        <v>23</v>
      </c>
      <c r="B69" s="130"/>
      <c r="C69" s="47"/>
      <c r="D69" s="217"/>
      <c r="E69" s="218"/>
      <c r="F69" s="157"/>
      <c r="G69" s="158"/>
      <c r="H69" s="41"/>
      <c r="I69" s="111">
        <f>C69-F69-H69</f>
        <v>0</v>
      </c>
      <c r="J69" s="112"/>
    </row>
    <row r="70" spans="1:10" ht="16.5" thickBot="1" x14ac:dyDescent="0.3">
      <c r="A70" s="173" t="s">
        <v>24</v>
      </c>
      <c r="B70" s="174"/>
      <c r="C70" s="48"/>
      <c r="D70" s="206"/>
      <c r="E70" s="207"/>
      <c r="F70" s="159"/>
      <c r="G70" s="160"/>
      <c r="H70" s="20"/>
      <c r="I70" s="113">
        <f>C70-F70-H70</f>
        <v>0</v>
      </c>
      <c r="J70" s="114"/>
    </row>
    <row r="71" spans="1:10" s="2" customFormat="1" ht="16.5" thickBot="1" x14ac:dyDescent="0.3">
      <c r="A71" s="175" t="s">
        <v>25</v>
      </c>
      <c r="B71" s="176"/>
      <c r="C71" s="49">
        <f>SUM(C66:C70)</f>
        <v>0</v>
      </c>
      <c r="D71" s="202"/>
      <c r="E71" s="203"/>
      <c r="F71" s="150">
        <f>SUM(F66:F70)</f>
        <v>0</v>
      </c>
      <c r="G71" s="151"/>
      <c r="H71" s="50">
        <f>SUM(H66:H70)</f>
        <v>0</v>
      </c>
      <c r="I71" s="78">
        <f>SUM(I66:I70)</f>
        <v>0</v>
      </c>
      <c r="J71" s="79"/>
    </row>
    <row r="72" spans="1:10" ht="16.5" thickBot="1" x14ac:dyDescent="0.3">
      <c r="A72" s="28"/>
      <c r="B72" s="29"/>
      <c r="C72" s="51"/>
      <c r="D72" s="213"/>
      <c r="E72" s="213"/>
      <c r="F72" s="98"/>
      <c r="G72" s="98"/>
      <c r="H72" s="29"/>
      <c r="I72" s="68"/>
      <c r="J72" s="69"/>
    </row>
    <row r="73" spans="1:10" s="2" customFormat="1" ht="16.5" thickBot="1" x14ac:dyDescent="0.3">
      <c r="A73" s="52" t="s">
        <v>26</v>
      </c>
      <c r="B73" s="53" t="s">
        <v>46</v>
      </c>
      <c r="C73" s="54"/>
      <c r="D73" s="208"/>
      <c r="E73" s="209"/>
      <c r="F73" s="150">
        <v>0</v>
      </c>
      <c r="G73" s="151"/>
      <c r="H73" s="27">
        <v>0</v>
      </c>
      <c r="I73" s="115">
        <f>C73-F73-H73</f>
        <v>0</v>
      </c>
      <c r="J73" s="116"/>
    </row>
    <row r="74" spans="1:10" ht="16.5" thickBot="1" x14ac:dyDescent="0.3">
      <c r="A74" s="28"/>
      <c r="B74" s="29"/>
      <c r="C74" s="51"/>
      <c r="D74" s="213"/>
      <c r="E74" s="213"/>
      <c r="F74" s="98"/>
      <c r="G74" s="98"/>
      <c r="H74" s="29"/>
      <c r="I74" s="68"/>
      <c r="J74" s="69"/>
    </row>
    <row r="75" spans="1:10" s="57" customFormat="1" ht="19.5" thickBot="1" x14ac:dyDescent="0.35">
      <c r="A75" s="177" t="s">
        <v>27</v>
      </c>
      <c r="B75" s="178"/>
      <c r="C75" s="55">
        <f>SUM(C39,C41,C51,C63,C71,C73)</f>
        <v>0</v>
      </c>
      <c r="D75" s="214"/>
      <c r="E75" s="215"/>
      <c r="F75" s="152">
        <f>SUM(F39,F41,F51,F63,F71,F73)</f>
        <v>0</v>
      </c>
      <c r="G75" s="153"/>
      <c r="H75" s="56">
        <f>SUM(H39,H41,H51,H63,H71,H73)</f>
        <v>0</v>
      </c>
      <c r="I75" s="70">
        <f>SUM(I39,I41,I51,I63,I71,I73)</f>
        <v>56437.240000000005</v>
      </c>
      <c r="J75" s="71"/>
    </row>
    <row r="76" spans="1:10" ht="32.25" customHeight="1" thickBot="1" x14ac:dyDescent="0.3">
      <c r="A76" s="58"/>
      <c r="B76" s="59"/>
      <c r="C76" s="60"/>
      <c r="D76" s="216"/>
      <c r="E76" s="216"/>
      <c r="F76" s="154"/>
      <c r="G76" s="154"/>
      <c r="H76" s="59"/>
      <c r="I76" s="72"/>
      <c r="J76" s="73"/>
    </row>
    <row r="77" spans="1:10" s="2" customFormat="1" ht="16.5" thickBot="1" x14ac:dyDescent="0.3">
      <c r="A77" s="179" t="s">
        <v>28</v>
      </c>
      <c r="B77" s="180"/>
      <c r="C77" s="54">
        <v>344000</v>
      </c>
      <c r="D77" s="208"/>
      <c r="E77" s="209"/>
      <c r="F77" s="150">
        <v>0</v>
      </c>
      <c r="G77" s="151"/>
      <c r="H77" s="27">
        <v>0</v>
      </c>
      <c r="I77" s="74">
        <f>C77-F77-H77</f>
        <v>344000</v>
      </c>
      <c r="J77" s="75"/>
    </row>
    <row r="78" spans="1:10" ht="16.5" thickBot="1" x14ac:dyDescent="0.3">
      <c r="A78" s="28"/>
      <c r="B78" s="29"/>
      <c r="C78" s="51"/>
      <c r="D78" s="213"/>
      <c r="E78" s="213"/>
      <c r="F78" s="98"/>
      <c r="G78" s="98"/>
      <c r="H78" s="29"/>
      <c r="I78" s="80"/>
      <c r="J78" s="81"/>
    </row>
    <row r="79" spans="1:10" s="2" customFormat="1" ht="16.5" thickBot="1" x14ac:dyDescent="0.3">
      <c r="A79" s="171" t="s">
        <v>29</v>
      </c>
      <c r="B79" s="172"/>
      <c r="C79" s="61">
        <f>SUM(C75,C77)</f>
        <v>344000</v>
      </c>
      <c r="D79" s="200"/>
      <c r="E79" s="201"/>
      <c r="F79" s="148">
        <f>SUM(F75,F77)</f>
        <v>0</v>
      </c>
      <c r="G79" s="149"/>
      <c r="H79" s="62">
        <f>SUM(H75,H77)</f>
        <v>0</v>
      </c>
      <c r="I79" s="107">
        <f>SUM(I75,I77)</f>
        <v>400437.24</v>
      </c>
      <c r="J79" s="108"/>
    </row>
    <row r="81" spans="1:1" x14ac:dyDescent="0.25">
      <c r="A81" s="1" t="s">
        <v>48</v>
      </c>
    </row>
  </sheetData>
  <sheetProtection selectLockedCells="1"/>
  <mergeCells count="260">
    <mergeCell ref="D36:E36"/>
    <mergeCell ref="D37:E37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A37:B37"/>
    <mergeCell ref="F21:G21"/>
    <mergeCell ref="F22:G22"/>
    <mergeCell ref="F23:G23"/>
    <mergeCell ref="F24:G24"/>
    <mergeCell ref="F25:G25"/>
    <mergeCell ref="F26:G26"/>
    <mergeCell ref="F27:G27"/>
    <mergeCell ref="F28:G28"/>
    <mergeCell ref="F29:G29"/>
    <mergeCell ref="F30:G30"/>
    <mergeCell ref="F31:G31"/>
    <mergeCell ref="F32:G32"/>
    <mergeCell ref="F33:G33"/>
    <mergeCell ref="F34:G34"/>
    <mergeCell ref="F35:G35"/>
    <mergeCell ref="F36:G36"/>
    <mergeCell ref="F37:G37"/>
    <mergeCell ref="D21:E21"/>
    <mergeCell ref="D22:E22"/>
    <mergeCell ref="D23:E23"/>
    <mergeCell ref="D24:E24"/>
    <mergeCell ref="D25:E25"/>
    <mergeCell ref="D26:E26"/>
    <mergeCell ref="I30:J30"/>
    <mergeCell ref="I31:J31"/>
    <mergeCell ref="I32:J32"/>
    <mergeCell ref="I33:J33"/>
    <mergeCell ref="I34:J34"/>
    <mergeCell ref="I35:J35"/>
    <mergeCell ref="I36:J36"/>
    <mergeCell ref="I37:J37"/>
    <mergeCell ref="A21:B21"/>
    <mergeCell ref="A22:B22"/>
    <mergeCell ref="A23:B23"/>
    <mergeCell ref="A24:B24"/>
    <mergeCell ref="A25:B25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B36"/>
    <mergeCell ref="I21:J21"/>
    <mergeCell ref="I22:J22"/>
    <mergeCell ref="I23:J23"/>
    <mergeCell ref="I24:J24"/>
    <mergeCell ref="I25:J25"/>
    <mergeCell ref="I26:J26"/>
    <mergeCell ref="I27:J27"/>
    <mergeCell ref="I28:J28"/>
    <mergeCell ref="I29:J29"/>
    <mergeCell ref="I45:J45"/>
    <mergeCell ref="I46:J46"/>
    <mergeCell ref="I47:J47"/>
    <mergeCell ref="I48:J48"/>
    <mergeCell ref="I49:J49"/>
    <mergeCell ref="F45:G45"/>
    <mergeCell ref="F46:G46"/>
    <mergeCell ref="F47:G47"/>
    <mergeCell ref="F48:G48"/>
    <mergeCell ref="F49:G49"/>
    <mergeCell ref="D76:E76"/>
    <mergeCell ref="D77:E77"/>
    <mergeCell ref="D78:E78"/>
    <mergeCell ref="D79:E79"/>
    <mergeCell ref="D64:E64"/>
    <mergeCell ref="D65:E65"/>
    <mergeCell ref="D66:E66"/>
    <mergeCell ref="D67:E67"/>
    <mergeCell ref="D68:E68"/>
    <mergeCell ref="D69:E69"/>
    <mergeCell ref="D70:E70"/>
    <mergeCell ref="D71:E71"/>
    <mergeCell ref="D72:E72"/>
    <mergeCell ref="D58:E58"/>
    <mergeCell ref="D59:E59"/>
    <mergeCell ref="D60:E60"/>
    <mergeCell ref="D61:E61"/>
    <mergeCell ref="D62:E62"/>
    <mergeCell ref="D63:E63"/>
    <mergeCell ref="D73:E73"/>
    <mergeCell ref="D74:E74"/>
    <mergeCell ref="D75:E75"/>
    <mergeCell ref="A59:B59"/>
    <mergeCell ref="A60:B60"/>
    <mergeCell ref="A57:B57"/>
    <mergeCell ref="G9:H9"/>
    <mergeCell ref="G10:H10"/>
    <mergeCell ref="G11:H11"/>
    <mergeCell ref="D18:E18"/>
    <mergeCell ref="D19:E19"/>
    <mergeCell ref="D20:E20"/>
    <mergeCell ref="D38:E38"/>
    <mergeCell ref="D39:E39"/>
    <mergeCell ref="D40:E40"/>
    <mergeCell ref="D41:E41"/>
    <mergeCell ref="D42:E42"/>
    <mergeCell ref="D43:E43"/>
    <mergeCell ref="D44:E44"/>
    <mergeCell ref="D50:E50"/>
    <mergeCell ref="D51:E51"/>
    <mergeCell ref="D52:E52"/>
    <mergeCell ref="D53:E53"/>
    <mergeCell ref="D54:E54"/>
    <mergeCell ref="D55:E55"/>
    <mergeCell ref="D56:E56"/>
    <mergeCell ref="D57:E57"/>
    <mergeCell ref="F18:G18"/>
    <mergeCell ref="F19:G19"/>
    <mergeCell ref="F20:G20"/>
    <mergeCell ref="F38:G38"/>
    <mergeCell ref="F39:G39"/>
    <mergeCell ref="F40:G40"/>
    <mergeCell ref="F41:G41"/>
    <mergeCell ref="F42:G42"/>
    <mergeCell ref="A79:B79"/>
    <mergeCell ref="A69:B69"/>
    <mergeCell ref="A70:B70"/>
    <mergeCell ref="A71:B71"/>
    <mergeCell ref="A75:B75"/>
    <mergeCell ref="A77:B77"/>
    <mergeCell ref="A61:B61"/>
    <mergeCell ref="A62:B62"/>
    <mergeCell ref="A63:B63"/>
    <mergeCell ref="A65:B65"/>
    <mergeCell ref="A67:B67"/>
    <mergeCell ref="A68:B68"/>
    <mergeCell ref="A66:B66"/>
    <mergeCell ref="A39:B39"/>
    <mergeCell ref="A41:B41"/>
    <mergeCell ref="A58:B58"/>
    <mergeCell ref="A19:B19"/>
    <mergeCell ref="A18:B18"/>
    <mergeCell ref="A20:B20"/>
    <mergeCell ref="A38:B38"/>
    <mergeCell ref="F79:G79"/>
    <mergeCell ref="F72:G72"/>
    <mergeCell ref="F73:G73"/>
    <mergeCell ref="F74:G74"/>
    <mergeCell ref="F75:G75"/>
    <mergeCell ref="F76:G76"/>
    <mergeCell ref="F77:G77"/>
    <mergeCell ref="F66:G66"/>
    <mergeCell ref="F67:G67"/>
    <mergeCell ref="F68:G68"/>
    <mergeCell ref="F69:G69"/>
    <mergeCell ref="F70:G70"/>
    <mergeCell ref="F71:G71"/>
    <mergeCell ref="F60:G60"/>
    <mergeCell ref="F61:G61"/>
    <mergeCell ref="F62:G62"/>
    <mergeCell ref="F63:G63"/>
    <mergeCell ref="F64:G64"/>
    <mergeCell ref="F65:G65"/>
    <mergeCell ref="F54:G54"/>
    <mergeCell ref="F44:G44"/>
    <mergeCell ref="F50:G50"/>
    <mergeCell ref="F51:G51"/>
    <mergeCell ref="F52:G52"/>
    <mergeCell ref="F53:G53"/>
    <mergeCell ref="A55:B55"/>
    <mergeCell ref="A56:B56"/>
    <mergeCell ref="A43:B43"/>
    <mergeCell ref="A44:B44"/>
    <mergeCell ref="A50:B50"/>
    <mergeCell ref="A51:B51"/>
    <mergeCell ref="A53:B53"/>
    <mergeCell ref="A54:B54"/>
    <mergeCell ref="A45:B45"/>
    <mergeCell ref="A46:B46"/>
    <mergeCell ref="A47:B47"/>
    <mergeCell ref="A48:B48"/>
    <mergeCell ref="A49:B49"/>
    <mergeCell ref="D45:E45"/>
    <mergeCell ref="D46:E46"/>
    <mergeCell ref="D47:E47"/>
    <mergeCell ref="D48:E48"/>
    <mergeCell ref="D49:E49"/>
    <mergeCell ref="I6:J6"/>
    <mergeCell ref="I9:J9"/>
    <mergeCell ref="I10:J10"/>
    <mergeCell ref="I7:J8"/>
    <mergeCell ref="B5:E5"/>
    <mergeCell ref="B6:E6"/>
    <mergeCell ref="B7:E7"/>
    <mergeCell ref="B8:E8"/>
    <mergeCell ref="B9:E9"/>
    <mergeCell ref="B10:E10"/>
    <mergeCell ref="G6:H6"/>
    <mergeCell ref="G7:H7"/>
    <mergeCell ref="I79:J79"/>
    <mergeCell ref="I65:J65"/>
    <mergeCell ref="I66:J66"/>
    <mergeCell ref="I67:J67"/>
    <mergeCell ref="I68:J68"/>
    <mergeCell ref="I69:J69"/>
    <mergeCell ref="I70:J70"/>
    <mergeCell ref="I71:J71"/>
    <mergeCell ref="I72:J72"/>
    <mergeCell ref="I73:J73"/>
    <mergeCell ref="I78:J78"/>
    <mergeCell ref="F78:G78"/>
    <mergeCell ref="I53:J53"/>
    <mergeCell ref="I54:J54"/>
    <mergeCell ref="I55:J55"/>
    <mergeCell ref="I56:J56"/>
    <mergeCell ref="I57:J57"/>
    <mergeCell ref="I58:J58"/>
    <mergeCell ref="I59:J59"/>
    <mergeCell ref="I60:J60"/>
    <mergeCell ref="I61:J61"/>
    <mergeCell ref="I62:J62"/>
    <mergeCell ref="I63:J63"/>
    <mergeCell ref="I64:J64"/>
    <mergeCell ref="F55:G55"/>
    <mergeCell ref="F56:G56"/>
    <mergeCell ref="F57:G57"/>
    <mergeCell ref="F58:G58"/>
    <mergeCell ref="F59:G59"/>
    <mergeCell ref="B11:E11"/>
    <mergeCell ref="B12:E12"/>
    <mergeCell ref="A14:C14"/>
    <mergeCell ref="F14:H14"/>
    <mergeCell ref="F16:H16"/>
    <mergeCell ref="I74:J74"/>
    <mergeCell ref="I75:J75"/>
    <mergeCell ref="I76:J76"/>
    <mergeCell ref="I77:J77"/>
    <mergeCell ref="I40:J40"/>
    <mergeCell ref="I41:J41"/>
    <mergeCell ref="I42:J42"/>
    <mergeCell ref="I43:J43"/>
    <mergeCell ref="I44:J44"/>
    <mergeCell ref="I50:J50"/>
    <mergeCell ref="I51:J51"/>
    <mergeCell ref="I52:J52"/>
    <mergeCell ref="I18:J18"/>
    <mergeCell ref="I19:J19"/>
    <mergeCell ref="I20:J20"/>
    <mergeCell ref="I38:J38"/>
    <mergeCell ref="I39:J39"/>
    <mergeCell ref="A16:C16"/>
    <mergeCell ref="F43:G43"/>
  </mergeCells>
  <dataValidations count="1">
    <dataValidation type="textLength" operator="equal" allowBlank="1" showInputMessage="1" showErrorMessage="1" errorTitle="Bank ABA Number Error" error="Bank ABA Number is not 9 digits. Please correct." promptTitle="Bank ABA Number" prompt="The Bank ABA Number must be nine digits. Please check for leading zero." sqref="G11">
      <formula1>9</formula1>
    </dataValidation>
  </dataValidations>
  <pageMargins left="0.7" right="0.7" top="0.75" bottom="0.75" header="0.3" footer="0.3"/>
  <pageSetup scale="63" orientation="portrait" r:id="rId1"/>
  <headerFooter>
    <oddHeader>&amp;C&amp;"-,Bold"&amp;18Enterprise  Community Partners, Inc.&amp;16
Exhibit B - Disbursement Request Form</oddHeader>
    <oddFooter>&amp;L&amp;8Rev. 09/20/2017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CheckBox3">
          <controlPr defaultSize="0" autoLine="0" autoPict="0" r:id="rId5">
            <anchor moveWithCells="1">
              <from>
                <xdr:col>5</xdr:col>
                <xdr:colOff>19050</xdr:colOff>
                <xdr:row>3</xdr:row>
                <xdr:rowOff>0</xdr:rowOff>
              </from>
              <to>
                <xdr:col>7</xdr:col>
                <xdr:colOff>1019175</xdr:colOff>
                <xdr:row>4</xdr:row>
                <xdr:rowOff>161925</xdr:rowOff>
              </to>
            </anchor>
          </controlPr>
        </control>
      </mc:Choice>
      <mc:Fallback>
        <control shapeId="1029" r:id="rId4" name="CheckBox3"/>
      </mc:Fallback>
    </mc:AlternateContent>
    <mc:AlternateContent xmlns:mc="http://schemas.openxmlformats.org/markup-compatibility/2006">
      <mc:Choice Requires="x14">
        <control shapeId="1028" r:id="rId6" name="CheckBox2">
          <controlPr defaultSize="0" autoLine="0" autoPict="0" r:id="rId7">
            <anchor moveWithCells="1">
              <from>
                <xdr:col>5</xdr:col>
                <xdr:colOff>9525</xdr:colOff>
                <xdr:row>0</xdr:row>
                <xdr:rowOff>9525</xdr:rowOff>
              </from>
              <to>
                <xdr:col>7</xdr:col>
                <xdr:colOff>1123950</xdr:colOff>
                <xdr:row>3</xdr:row>
                <xdr:rowOff>161925</xdr:rowOff>
              </to>
            </anchor>
          </controlPr>
        </control>
      </mc:Choice>
      <mc:Fallback>
        <control shapeId="1028" r:id="rId6" name="CheckBox2"/>
      </mc:Fallback>
    </mc:AlternateContent>
    <mc:AlternateContent xmlns:mc="http://schemas.openxmlformats.org/markup-compatibility/2006">
      <mc:Choice Requires="x14">
        <control shapeId="1027" r:id="rId8" name="CheckBox1">
          <controlPr defaultSize="0" autoLine="0" autoPict="0" r:id="rId9">
            <anchor moveWithCells="1">
              <from>
                <xdr:col>0</xdr:col>
                <xdr:colOff>0</xdr:colOff>
                <xdr:row>0</xdr:row>
                <xdr:rowOff>190500</xdr:rowOff>
              </from>
              <to>
                <xdr:col>4</xdr:col>
                <xdr:colOff>66675</xdr:colOff>
                <xdr:row>4</xdr:row>
                <xdr:rowOff>66675</xdr:rowOff>
              </to>
            </anchor>
          </controlPr>
        </control>
      </mc:Choice>
      <mc:Fallback>
        <control shapeId="1027" r:id="rId8" name="Check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3"/>
  <sheetViews>
    <sheetView workbookViewId="0">
      <selection activeCell="A13" sqref="A13"/>
    </sheetView>
  </sheetViews>
  <sheetFormatPr defaultRowHeight="15" x14ac:dyDescent="0.25"/>
  <cols>
    <col min="1" max="1" width="27.7109375" bestFit="1" customWidth="1"/>
    <col min="2" max="2" width="35.7109375" bestFit="1" customWidth="1"/>
  </cols>
  <sheetData>
    <row r="1" spans="1:2" x14ac:dyDescent="0.25">
      <c r="A1" t="s">
        <v>55</v>
      </c>
      <c r="B1" t="s">
        <v>56</v>
      </c>
    </row>
    <row r="2" spans="1:2" x14ac:dyDescent="0.25">
      <c r="A2" t="s">
        <v>33</v>
      </c>
      <c r="B2" t="s">
        <v>49</v>
      </c>
    </row>
    <row r="3" spans="1:2" x14ac:dyDescent="0.25">
      <c r="A3" t="s">
        <v>32</v>
      </c>
      <c r="B3" t="s">
        <v>50</v>
      </c>
    </row>
    <row r="4" spans="1:2" x14ac:dyDescent="0.25">
      <c r="A4" t="s">
        <v>31</v>
      </c>
      <c r="B4" t="s">
        <v>51</v>
      </c>
    </row>
    <row r="5" spans="1:2" x14ac:dyDescent="0.25">
      <c r="A5" t="s">
        <v>57</v>
      </c>
      <c r="B5" t="s">
        <v>61</v>
      </c>
    </row>
    <row r="6" spans="1:2" x14ac:dyDescent="0.25">
      <c r="A6" t="s">
        <v>58</v>
      </c>
      <c r="B6" t="s">
        <v>60</v>
      </c>
    </row>
    <row r="7" spans="1:2" x14ac:dyDescent="0.25">
      <c r="A7" t="s">
        <v>59</v>
      </c>
      <c r="B7" t="s">
        <v>62</v>
      </c>
    </row>
    <row r="8" spans="1:2" x14ac:dyDescent="0.25">
      <c r="A8" t="s">
        <v>34</v>
      </c>
      <c r="B8" t="s">
        <v>52</v>
      </c>
    </row>
    <row r="9" spans="1:2" x14ac:dyDescent="0.25">
      <c r="A9" t="s">
        <v>35</v>
      </c>
      <c r="B9" t="s">
        <v>53</v>
      </c>
    </row>
    <row r="10" spans="1:2" x14ac:dyDescent="0.25">
      <c r="A10" t="s">
        <v>36</v>
      </c>
      <c r="B10" t="s">
        <v>54</v>
      </c>
    </row>
    <row r="11" spans="1:2" x14ac:dyDescent="0.25">
      <c r="A11" t="s">
        <v>41</v>
      </c>
      <c r="B11">
        <v>42095</v>
      </c>
    </row>
    <row r="12" spans="1:2" x14ac:dyDescent="0.25">
      <c r="A12" t="s">
        <v>42</v>
      </c>
      <c r="B12">
        <v>42735</v>
      </c>
    </row>
    <row r="13" spans="1:2" x14ac:dyDescent="0.25">
      <c r="A13" t="s">
        <v>30</v>
      </c>
      <c r="B13" t="str">
        <f>CONCATENATE(B5,", ",B6,", ",B7)</f>
        <v>New Orleans, LA, 70122</v>
      </c>
    </row>
  </sheetData>
  <pageMargins left="0.7" right="0.7" top="0.75" bottom="0.75" header="0.3" footer="0.3"/>
  <pageSetup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workbookViewId="0">
      <selection activeCell="B3" sqref="B3"/>
    </sheetView>
  </sheetViews>
  <sheetFormatPr defaultRowHeight="15" x14ac:dyDescent="0.25"/>
  <cols>
    <col min="1" max="1" width="19.85546875" bestFit="1" customWidth="1"/>
    <col min="2" max="2" width="63.85546875" bestFit="1" customWidth="1"/>
  </cols>
  <sheetData>
    <row r="1" spans="1:2" x14ac:dyDescent="0.25">
      <c r="A1" t="s">
        <v>63</v>
      </c>
      <c r="B1" t="s">
        <v>64</v>
      </c>
    </row>
    <row r="2" spans="1:2" x14ac:dyDescent="0.25">
      <c r="A2" t="s">
        <v>65</v>
      </c>
    </row>
    <row r="3" spans="1:2" x14ac:dyDescent="0.25">
      <c r="A3" t="s">
        <v>66</v>
      </c>
    </row>
  </sheetData>
  <pageMargins left="0.7" right="0.7" top="0.75" bottom="0.75" header="0.3" footer="0.3"/>
  <pageSetup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Disbursement Request</vt:lpstr>
      <vt:lpstr>Grant Details</vt:lpstr>
      <vt:lpstr>Budget Details</vt:lpstr>
      <vt:lpstr>Ab_cell1</vt:lpstr>
      <vt:lpstr>Ab_cell2</vt:lpstr>
      <vt:lpstr>Ab_cell3</vt:lpstr>
      <vt:lpstr>'Disbursement Request'!Print_Area</vt:lpstr>
      <vt:lpstr>temp_cell1</vt:lpstr>
      <vt:lpstr>temp_cell2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Woods, Elise</dc:creator>
  <cp:keywords/>
  <dc:description/>
  <cp:lastModifiedBy>Aniket Mulmule</cp:lastModifiedBy>
  <cp:lastPrinted>2018-02-11T14:56:03Z</cp:lastPrinted>
  <dcterms:created xsi:type="dcterms:W3CDTF">2017-09-20T14:30:57Z</dcterms:created>
  <dcterms:modified xsi:type="dcterms:W3CDTF">2018-05-28T13:06:18Z</dcterms:modified>
  <cp:category/>
  <cp:contentStatus/>
</cp:coreProperties>
</file>