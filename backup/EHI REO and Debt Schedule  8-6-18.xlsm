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Participant" sheetId="7" r:id="rId3"/>
    <sheet name="Building" sheetId="10" r:id="rId4"/>
    <sheet name="Occupancy" sheetId="3" r:id="rId5"/>
    <sheet name="AnnualDebtService" sheetId="6" r:id="rId6"/>
    <sheet name="Loan" sheetId="8" r:id="rId7"/>
    <sheet name="Filters" sheetId="9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EHI!$AM$2</definedName>
    <definedName name="Reo_Claims_End">EHI!$AM$5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EHI!$AH$3</definedName>
    <definedName name="Reo_Loan_Type_End">EHI!$AH$5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EHI!$AL$3</definedName>
    <definedName name="Reo_Recourse_End">EHI!$AL$5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L4" i="1" l="1"/>
  <c r="AJ4" i="1"/>
  <c r="AI4" i="1"/>
  <c r="AH4" i="1"/>
  <c r="AG4" i="1"/>
  <c r="AF4" i="1"/>
  <c r="AD4" i="1"/>
  <c r="AB4" i="1"/>
  <c r="U4" i="1"/>
  <c r="T4" i="1"/>
  <c r="S4" i="1"/>
  <c r="R4" i="1"/>
  <c r="Q4" i="1"/>
  <c r="N4" i="1"/>
  <c r="M4" i="1"/>
  <c r="L4" i="1"/>
  <c r="K4" i="1"/>
  <c r="J4" i="1"/>
  <c r="I4" i="1"/>
  <c r="H4" i="1"/>
  <c r="G4" i="1"/>
  <c r="F4" i="1"/>
  <c r="E4" i="1"/>
  <c r="D4" i="1"/>
  <c r="N5" i="1" l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X4" i="1" l="1"/>
  <c r="Y4" i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comments1.xml><?xml version="1.0" encoding="utf-8"?>
<comments xmlns="http://schemas.openxmlformats.org/spreadsheetml/2006/main">
  <authors>
    <author>Aniket Mulmule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 xml:space="preserve">Aniket Mulmule:
handle 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
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handle 0
</t>
        </r>
      </text>
    </comment>
    <comment ref="AE3" authorId="0" shapeId="0">
      <text>
        <r>
          <rPr>
            <b/>
            <sz val="9"/>
            <color indexed="81"/>
            <rFont val="Tahoma"/>
            <charset val="1"/>
          </rPr>
          <t>Aniket Mulmule:</t>
        </r>
        <r>
          <rPr>
            <sz val="9"/>
            <color indexed="81"/>
            <rFont val="Tahoma"/>
            <charset val="1"/>
          </rPr>
          <t xml:space="preserve">
still remaining</t>
        </r>
      </text>
    </comment>
    <comment ref="AH3" authorId="0" shapeId="0">
      <text>
        <r>
          <rPr>
            <b/>
            <sz val="9"/>
            <color indexed="81"/>
            <rFont val="Tahoma"/>
            <charset val="1"/>
          </rPr>
          <t>Aniket Mulmule:</t>
        </r>
        <r>
          <rPr>
            <sz val="9"/>
            <color indexed="81"/>
            <rFont val="Tahoma"/>
            <charset val="1"/>
          </rPr>
          <t xml:space="preserve">
need fixing</t>
        </r>
      </text>
    </comment>
    <comment ref="AI3" authorId="0" shapeId="0">
      <text>
        <r>
          <rPr>
            <b/>
            <sz val="9"/>
            <color indexed="81"/>
            <rFont val="Tahoma"/>
            <charset val="1"/>
          </rPr>
          <t>Aniket Mulmule:</t>
        </r>
        <r>
          <rPr>
            <sz val="9"/>
            <color indexed="81"/>
            <rFont val="Tahoma"/>
            <charset val="1"/>
          </rPr>
          <t xml:space="preserve">
need fixing</t>
        </r>
      </text>
    </comment>
  </commentList>
</comments>
</file>

<file path=xl/sharedStrings.xml><?xml version="1.0" encoding="utf-8"?>
<sst xmlns="http://schemas.openxmlformats.org/spreadsheetml/2006/main" count="206" uniqueCount="197">
  <si>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</si>
  <si>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</si>
  <si>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</si>
  <si>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</si>
  <si>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</si>
  <si>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</si>
  <si>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</si>
  <si>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</si>
  <si>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</si>
  <si>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</si>
  <si>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</si>
  <si>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</si>
  <si>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</si>
  <si>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</si>
  <si>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</si>
  <si>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</si>
  <si>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</si>
  <si>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</si>
  <si>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</si>
  <si>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</si>
  <si>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</si>
  <si>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</si>
  <si>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</si>
  <si>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</si>
  <si>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</si>
  <si>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</si>
  <si>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</si>
  <si>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</si>
  <si>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</si>
  <si>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</si>
  <si>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</si>
  <si>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</si>
  <si>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</si>
  <si>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</si>
  <si>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</si>
  <si>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</si>
  <si>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</si>
  <si>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</si>
  <si>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</si>
  <si>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</si>
  <si>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</si>
  <si>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</si>
  <si>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</si>
  <si>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</si>
  <si>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</si>
  <si>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</si>
  <si>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</si>
  <si>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</si>
  <si>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</si>
  <si>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</si>
  <si>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</si>
  <si>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</si>
  <si>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</si>
  <si>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</si>
  <si>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</si>
  <si>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</si>
  <si>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</si>
  <si>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</si>
  <si>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</si>
  <si>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</si>
  <si>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</si>
  <si>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</si>
  <si>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</si>
  <si>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</si>
  <si>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</si>
  <si>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</si>
  <si>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</si>
  <si>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</si>
  <si>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</si>
  <si>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</si>
  <si>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</si>
  <si>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</si>
  <si>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</si>
  <si>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</si>
  <si>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</si>
  <si>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</si>
  <si>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</si>
  <si>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</si>
  <si>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</si>
  <si>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</si>
  <si>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</si>
  <si>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</si>
  <si>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</si>
  <si>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</si>
  <si>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</si>
  <si>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</si>
  <si>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</si>
  <si>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</si>
  <si>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</si>
  <si>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</si>
  <si>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</si>
  <si>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</si>
  <si>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</si>
  <si>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</si>
  <si>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</si>
  <si>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</si>
  <si>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</si>
  <si>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</si>
  <si>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</si>
  <si>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</si>
  <si>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</si>
  <si>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</si>
  <si>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</si>
  <si>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</si>
  <si>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</si>
  <si>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</si>
  <si>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</si>
  <si>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</si>
  <si>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</si>
  <si>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</si>
  <si>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</si>
  <si>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</si>
  <si>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</si>
  <si>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</si>
  <si>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</si>
  <si>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</si>
  <si>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</si>
  <si>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</si>
  <si>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</si>
  <si>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Ent Eh Unit Occupancy Units Occupied</t>
  </si>
  <si>
    <t>&amp;=Occupancy.EH_PROPERTY__REH_PROJECT_PROJECT_ID__R</t>
  </si>
  <si>
    <t>&amp;=Occupancy.ENT_EH_UNIT_OCCUPANCY_UNITS_OCCUPIED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</si>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</sst>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&quot;$&quot;#,##0"/>
    <numFmt numFmtId="169" formatCode="m/d/yy;@"/>
    <numFmt numFmtId="170" formatCode="[$-409]mmm\-yy;@"/>
    <numFmt numFmtId="171" formatCode="_(* #,##0_);_(* \(#,##0\);_(* &quot;-&quot;??_);_(@_)"/>
    <numFmt numFmtId="172" formatCode="[$-409]mmmm\ d\,\ yyyy;@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36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1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8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2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8" fontId="12" fillId="5" borderId="2" xfId="2" quotePrefix="1" applyNumberFormat="1" applyFont="1" applyFill="1" applyBorder="1" applyAlignment="1" applyProtection="1">
      <alignment horizontal="right" wrapText="1"/>
    </xf>
    <xf numFmtId="169" fontId="12" fillId="5" borderId="2" xfId="2" applyNumberFormat="1" applyFont="1" applyFill="1" applyBorder="1" applyAlignment="1" applyProtection="1">
      <alignment horizontal="right" wrapText="1"/>
    </xf>
    <xf numFmtId="168" fontId="12" fillId="0" borderId="2" xfId="2" quotePrefix="1" applyNumberFormat="1" applyFont="1" applyFill="1" applyBorder="1" applyAlignment="1" applyProtection="1">
      <alignment horizontal="right" wrapText="1"/>
    </xf>
    <xf numFmtId="170" fontId="12" fillId="5" borderId="2" xfId="2" applyNumberFormat="1" applyFont="1" applyFill="1" applyBorder="1" applyAlignment="1" applyProtection="1">
      <alignment horizontal="center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5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0" fontId="12" fillId="0" borderId="2" xfId="3" quotePrefix="1" applyNumberFormat="1" applyFont="1" applyFill="1" applyBorder="1" applyAlignment="1" applyProtection="1">
      <alignment horizontal="center" wrapText="1"/>
    </xf>
    <xf numFmtId="168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0" fontId="6" fillId="4" borderId="6" xfId="4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0" fontId="12" fillId="5" borderId="2" xfId="4" applyNumberFormat="1" applyFont="1" applyFill="1" applyBorder="1" applyAlignment="1" applyProtection="1">
      <alignment vertical="center" wrapText="1"/>
      <protection locked="0"/>
    </xf>
    <xf numFmtId="172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0" fontId="12" fillId="5" borderId="2" xfId="2" quotePrefix="1" applyNumberFormat="1" applyFont="1" applyFill="1" applyBorder="1" applyAlignment="1" applyProtection="1">
      <alignment horizontal="right" wrapText="1"/>
    </xf>
    <xf numFmtId="2" fontId="27" fillId="7" borderId="13" xfId="0" applyNumberFormat="1" applyFont="1" applyFill="1" applyBorder="1" applyAlignment="1">
      <alignment vertical="center" wrapText="1"/>
    </xf>
    <xf numFmtId="0" fontId="8" fillId="0" borderId="2" xfId="2" applyNumberFormat="1" applyFont="1" applyFill="1" applyBorder="1" applyAlignment="1" applyProtection="1">
      <alignment horizontal="right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N4" sqref="N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8" customWidth="1"/>
    <col min="17" max="17" width="16.28515625" style="9" customWidth="1"/>
    <col min="18" max="18" width="9.5703125" style="9" customWidth="1"/>
    <col min="19" max="20" width="10" style="11" customWidth="1"/>
    <col min="21" max="21" width="12.5703125" style="102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81"/>
      <c r="B1" s="81"/>
      <c r="C1" s="82"/>
      <c r="D1" s="82"/>
      <c r="E1" s="82"/>
      <c r="F1" s="82"/>
      <c r="G1" s="82"/>
      <c r="H1" s="22"/>
      <c r="I1" s="23"/>
      <c r="J1" s="23"/>
      <c r="K1" s="22"/>
      <c r="L1" s="22"/>
      <c r="M1" s="22"/>
      <c r="N1" s="22"/>
      <c r="O1" s="22"/>
      <c r="P1" s="22" t="s">
        <v>0</v>
      </c>
      <c r="Q1" s="24"/>
      <c r="R1" s="24"/>
      <c r="S1" s="25"/>
      <c r="T1" s="25"/>
      <c r="U1" s="99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83"/>
      <c r="B2" s="84" t="s">
        <v>1</v>
      </c>
      <c r="C2" s="85"/>
      <c r="D2" s="85"/>
      <c r="E2" s="85"/>
      <c r="F2" s="85"/>
      <c r="G2" s="85"/>
      <c r="H2" s="32"/>
      <c r="I2" s="32"/>
      <c r="J2" s="32"/>
      <c r="K2" s="32"/>
      <c r="L2" s="32"/>
      <c r="M2" s="32"/>
      <c r="N2" s="32"/>
      <c r="O2" s="32"/>
      <c r="P2" s="33"/>
      <c r="Q2" s="126" t="s">
        <v>2</v>
      </c>
      <c r="R2" s="127"/>
      <c r="S2" s="128" t="s">
        <v>3</v>
      </c>
      <c r="T2" s="129"/>
      <c r="U2" s="130"/>
      <c r="V2" s="118" t="s">
        <v>4</v>
      </c>
      <c r="W2" s="119"/>
      <c r="X2" s="119"/>
      <c r="Y2" s="119"/>
      <c r="Z2" s="119"/>
      <c r="AA2" s="131"/>
      <c r="AB2" s="132" t="s">
        <v>5</v>
      </c>
      <c r="AC2" s="122" t="s">
        <v>6</v>
      </c>
      <c r="AD2" s="118" t="s">
        <v>7</v>
      </c>
      <c r="AE2" s="119"/>
      <c r="AF2" s="118" t="s">
        <v>8</v>
      </c>
      <c r="AG2" s="119"/>
      <c r="AH2" s="119"/>
      <c r="AI2" s="119"/>
      <c r="AJ2" s="119"/>
      <c r="AK2" s="119"/>
      <c r="AL2" s="119"/>
      <c r="AM2" s="120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86"/>
      <c r="B3" s="87" t="s">
        <v>10</v>
      </c>
      <c r="C3" s="34" t="s">
        <v>80</v>
      </c>
      <c r="D3" s="87" t="s">
        <v>78</v>
      </c>
      <c r="E3" s="87" t="s">
        <v>77</v>
      </c>
      <c r="F3" s="87" t="s">
        <v>76</v>
      </c>
      <c r="G3" s="87" t="s">
        <v>79</v>
      </c>
      <c r="H3" s="34" t="s">
        <v>75</v>
      </c>
      <c r="I3" s="35" t="s">
        <v>11</v>
      </c>
      <c r="J3" s="35" t="s">
        <v>72</v>
      </c>
      <c r="K3" s="35" t="s">
        <v>41</v>
      </c>
      <c r="L3" s="35" t="s">
        <v>42</v>
      </c>
      <c r="M3" s="35" t="s">
        <v>40</v>
      </c>
      <c r="N3" s="35" t="s">
        <v>73</v>
      </c>
      <c r="O3" s="35" t="s">
        <v>71</v>
      </c>
      <c r="P3" s="36" t="s">
        <v>74</v>
      </c>
      <c r="Q3" s="36" t="s">
        <v>12</v>
      </c>
      <c r="R3" s="36" t="s">
        <v>13</v>
      </c>
      <c r="S3" s="37" t="s">
        <v>56</v>
      </c>
      <c r="T3" s="37" t="s">
        <v>57</v>
      </c>
      <c r="U3" s="100" t="s">
        <v>58</v>
      </c>
      <c r="V3" s="38" t="s">
        <v>52</v>
      </c>
      <c r="W3" s="38" t="s">
        <v>30</v>
      </c>
      <c r="X3" s="39" t="s">
        <v>14</v>
      </c>
      <c r="Y3" s="40" t="s">
        <v>53</v>
      </c>
      <c r="Z3" s="40" t="s">
        <v>15</v>
      </c>
      <c r="AA3" s="40" t="s">
        <v>16</v>
      </c>
      <c r="AB3" s="133"/>
      <c r="AC3" s="123"/>
      <c r="AD3" s="38" t="s">
        <v>17</v>
      </c>
      <c r="AE3" s="38" t="s">
        <v>18</v>
      </c>
      <c r="AF3" s="38" t="s">
        <v>50</v>
      </c>
      <c r="AG3" s="114" t="s">
        <v>154</v>
      </c>
      <c r="AH3" s="114" t="s">
        <v>155</v>
      </c>
      <c r="AI3" s="41" t="s">
        <v>19</v>
      </c>
      <c r="AJ3" s="38" t="s">
        <v>127</v>
      </c>
      <c r="AK3" s="38" t="s">
        <v>20</v>
      </c>
      <c r="AL3" s="41" t="s">
        <v>21</v>
      </c>
      <c r="AM3" s="121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5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75" customFormat="1" ht="39" customHeight="1" thickTop="1">
      <c r="A4" s="88">
        <v>1</v>
      </c>
      <c r="B4" s="78" t="s">
        <v>97</v>
      </c>
      <c r="C4" s="78" t="s">
        <v>98</v>
      </c>
      <c r="D4" s="79" t="e">
        <f>CONCATENATE(INDEX(Building!$D$2:$D$2,MATCH(B4:B10,Building!$K$2:$K$2,0),),", ",INDEX(Building!$E$2:$E$2,MATCH(B4:B10,Building!$K$2:$K$2,0),))</f>
        <v>#N/A</v>
      </c>
      <c r="E4" s="78" t="e">
        <f>INDEX(Building!$H$2:$H$2,MATCH(B4:B10,Building!$K$2:$K$2,0),)</f>
        <v>#N/A</v>
      </c>
      <c r="F4" s="78" t="e">
        <f>INDEX(Building!$F$2:$F$2,MATCH(B4:B10,Building!$K$2:$K$2,0),)</f>
        <v>#N/A</v>
      </c>
      <c r="G4" s="78" t="e">
        <f>INDEX(Building!$A$2:$A$2,MATCH(B4:B10,Building!$K$2:$K$2,0),)</f>
        <v>#N/A</v>
      </c>
      <c r="H4" s="78" t="str">
        <f>IF(ISNONTEXT(INDEX(Participants!$C$2:$C$2,MATCH(B4,Participants!$B$2:$B$2,0),)),"-",INDEX(Participants!$C$2:$C$2,MATCH(B4,Participants!$B$2:$B$2,0),))</f>
        <v>-</v>
      </c>
      <c r="I4" s="78" t="e">
        <f>CONCATENATE(IF(ISNONTEXT(INDEX(Participants!$G$2:$G$2,MATCH(B4,Participants!$B$2:$B$2,0),)),"-",INDEX(Participants!$G$2:$G$2,MATCH(B4,Participants!$B$2:$B$2,0),)),IF(INDEX(Participants!$H$2:$H$2,MATCH(B4,Participants!$B$2:$B$2,0)),"/ Disabled",""))</f>
        <v>#N/A</v>
      </c>
      <c r="J4" s="78" t="str">
        <f>IF(ISNONTEXT(INDEX(Participants!$I$2:$I$2,MATCH(B4,Participants!$B$2:$B$2,0),)),"-",INDEX(Participants!$I$2:$I$2,MATCH(B4,Participants!$B$2:$B$2,0),))</f>
        <v>-</v>
      </c>
      <c r="K4" s="110" t="e">
        <f>INDEX(Building!$C$2:$C$2,MATCH(B4:B10,Building!$K$2:$K$2,0),)</f>
        <v>#N/A</v>
      </c>
      <c r="L4" s="110" t="e">
        <f>INDEX(Building!$B$2:$B$2,MATCH(B4:B10,Building!$K$2:$K$2,0),)</f>
        <v>#N/A</v>
      </c>
      <c r="M4" s="111" t="e">
        <f>IF(ISTEXT(K4),K4+14,L4+14)</f>
        <v>#N/A</v>
      </c>
      <c r="N4" s="78" t="str">
        <f>IF(ISNONTEXT(INDEX(Participants!$F$2:$F$2,MATCH(B4,Participants!$B$2:$B$2,0),)),"-",INDEX(Participants!$F$2:$F$2,MATCH(B4,Participants!$B$2:$B$2,0),))</f>
        <v>-</v>
      </c>
      <c r="O4" s="94"/>
      <c r="P4" s="66"/>
      <c r="Q4" s="77" t="str">
        <f>IF(ISNONTEXT(INDEX(Participants!$E$2:$E$2,MATCH(B4,Participants!$B$2:$B$2,0),)),"-",INDEX(Participants!$E$2:$E$2,MATCH(B4,Participants!$B$2:$B$2,0),))</f>
        <v>-</v>
      </c>
      <c r="R4" s="77" t="str">
        <f>CONCATENATE(SUMIFS(Participants!$D$2:$D$2,Participants!$B$2:$B$2,B4),"%")</f>
        <v>0%</v>
      </c>
      <c r="S4" s="112" t="str">
        <f>CONCATENATE(IF(ISERROR(MATCH(C4,Filters!$A$2:$A$3,0)),SUMIFS(Occupancy!$C$2:$C$2,Occupancy!$B$2:$B$2,B4,Occupancy!$D$2:$D$2,MAX(Occupancy!$D$2:$D$2)),"N/A"),"%")</f>
        <v>0%</v>
      </c>
      <c r="T4" s="112" t="str">
        <f>CONCATENATE(IF(ISERROR(MATCH(C4,Filters!$A$2:$A$3,0)),SUMIFS(Occupancy!$E$2:$E$2,Occupancy!$B$2:$B$2,B4,Occupancy!$D$2:$D$2,MAX(Occupancy!$D$2:$D$2)),"N/A"),"%")</f>
        <v>0%</v>
      </c>
      <c r="U4" s="113">
        <f>IF(ISERROR(MATCH(C4,Filters!$A$2:$A$3,0)),SUMIFS(Occupancy!$D$2:$D$2,Occupancy!$B$2:$B$2,B4,Occupancy!$D$2:$D$2,MAX(Occupancy!$D$2:$D$2)),"#N/A")</f>
        <v>0</v>
      </c>
      <c r="V4" s="67"/>
      <c r="W4" s="67"/>
      <c r="X4" s="106" t="e">
        <f>+W4/V4</f>
        <v>#DIV/0!</v>
      </c>
      <c r="Y4" s="67">
        <f>+V4-W4</f>
        <v>0</v>
      </c>
      <c r="Z4" s="68"/>
      <c r="AA4" s="63"/>
      <c r="AB4" s="69">
        <f>SUMIFS(AnnualDebtService!$A$2:$A$6000,AnnualDebtService!$C$2:$C$6000,B4,AnnualDebtService!$B$2:$B$6000,"2018")</f>
        <v>0</v>
      </c>
      <c r="AC4" s="92">
        <f>IF(Y4&gt;0,Y4/AB4,0)</f>
        <v>0</v>
      </c>
      <c r="AD4" s="42" t="e">
        <f>INDEX(Loan!$B$2:$B$3,MATCH(B4,Loan!$A$2:$A$3,0),)</f>
        <v>#N/A</v>
      </c>
      <c r="AE4" s="43"/>
      <c r="AF4" s="67">
        <f>SUMIFS(Loan!$C$2:$C$2,Loan!$A$2:$A$2,B4,Loan!$D$2:$D$2,"Q1_2018",Loan!$F$2:$F$2,"1st Mortgage")</f>
        <v>0</v>
      </c>
      <c r="AG4" s="115">
        <f>SUMIFS(Loan!$G$2:$G$2,Loan!$A$2:$A$2,B4,Loan!$D$2:$D$2,"Q1_2018",Loan!$F$2:$F$2,"1st Mortgage")</f>
        <v>0</v>
      </c>
      <c r="AH4" s="115">
        <f>SUMIFS(Loan!$H$2:$H$2,Loan!$A$2:$A$2,B4,Loan!$D$2:$D$2,"Q1_2018",Loan!$F$2:$F$2,"1st Mortgage")</f>
        <v>0</v>
      </c>
      <c r="AI4" s="70">
        <f>SUMIFS(Loan!$E$2:$E$2,Loan!$A$2:$A$2,B4,Loan!$D$2:$D$2,"Q1_2018",Loan!$F$2:$F$2,"1st Mortgage")</f>
        <v>0</v>
      </c>
      <c r="AJ4" s="67">
        <f>SUMIFS(Loan!$C$2:$C$2,Loan!$A$2:$A$2,B4,Loan!$D$2:$D$2,"Q3_2018",Loan!$F$2:$F$2,Filters!E3)+SUMIFS(Loan!$C$2:$C$2,Loan!$A$2:$A$2,B4,Loan!$D$2:$D$2,"Q3_2018",Loan!$F$2:$F$2,Filters!E4)+SUMIFS(Loan!$C$2:$C$2,Loan!$A$2:$A$2,B4,Loan!$D$2:$D$2,"Q3_2018",Loan!$F$2:$F$2,Filters!E5)+SUMIFS(Loan!$C$2:$C$2,Loan!$A$2:$A$2,B4,Loan!$D$2:$D$2,"Q3_2018",Loan!$F$2:$F$2,Filters!E6)+SUMIFS(Loan!$C$2:$C$2,Loan!$A$2:$A$2,B4,Loan!$D$2:$D$2,"Q3_2018",Loan!$F$2:$F$2,Filters!E7)+SUMIFS(Loan!$C$2:$C$2,Loan!$A$2:$A$2,B4,Loan!$D$2:$D$2,"Q3_2018",Loan!$F$2:$F$2,Filters!E8)+SUMIFS(Loan!$C$2:$C$2,Loan!$A$2:$A$2,B4,Loan!$D$2:$D$2,"Q3_2018",Loan!$F$2:$F$2,Filters!E9)+SUMIFS(Loan!$C$2:$C$2,Loan!$A$2:$A$2,B4,Loan!$D$2:$D$2,"Q3_2018",Loan!$F$2:$F$2,Filters!E10)+SUMIFS(Loan!$C$2:$C$2,Loan!$A$2:$A$2,B4,Loan!$D$2:$D$2,"Q3_2018",Loan!$F$2:$F$2,Filters!E11)</f>
        <v>0</v>
      </c>
      <c r="AK4" s="69">
        <f>+AF4+AJ4</f>
        <v>0</v>
      </c>
      <c r="AL4" s="117" t="str">
        <f>CONCATENATE(SUMIFS(Loan!$I$2:$I$2,Loan!$A$2:$A$2,B4,Loan!$D$2:$D$2,"Q1_2018",Loan!$F$2:$F$2,"1st Mortgage"),"%")</f>
        <v>0%</v>
      </c>
      <c r="AM4" s="71" t="s">
        <v>174</v>
      </c>
      <c r="AN4" s="72"/>
      <c r="AO4" s="73"/>
      <c r="AP4" s="73"/>
      <c r="AQ4" s="73"/>
      <c r="AR4" s="73"/>
      <c r="AS4" s="74"/>
      <c r="AT4" s="73"/>
      <c r="AU4" s="74"/>
      <c r="AV4" s="73"/>
      <c r="AW4" s="73">
        <f>SUM($AO4:$AV4)</f>
        <v>0</v>
      </c>
      <c r="AX4" s="73"/>
      <c r="AY4" s="73">
        <f>AW4-AV4-AT4-AS4</f>
        <v>0</v>
      </c>
      <c r="AZ4" s="73">
        <f>AS4</f>
        <v>0</v>
      </c>
      <c r="BA4" s="74"/>
      <c r="BB4" s="73">
        <f>BA4+AZ4</f>
        <v>0</v>
      </c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</row>
    <row r="5" spans="1:111" s="7" customFormat="1">
      <c r="A5" s="89"/>
      <c r="B5" s="90" t="s">
        <v>22</v>
      </c>
      <c r="C5" s="76" t="s">
        <v>64</v>
      </c>
      <c r="D5" s="91"/>
      <c r="E5" s="91"/>
      <c r="F5" s="91"/>
      <c r="G5" s="91"/>
      <c r="H5" s="44"/>
      <c r="I5" s="45"/>
      <c r="J5" s="45"/>
      <c r="K5" s="46"/>
      <c r="L5" s="46"/>
      <c r="M5" s="46"/>
      <c r="N5" s="47">
        <f>+SUM(N4:N4)</f>
        <v>0</v>
      </c>
      <c r="O5" s="93"/>
      <c r="P5" s="46"/>
      <c r="Q5" s="48"/>
      <c r="R5" s="76" t="s">
        <v>64</v>
      </c>
      <c r="S5" s="108" t="e">
        <f>AVERAGE(S4:S4)</f>
        <v>#DIV/0!</v>
      </c>
      <c r="T5" s="109" t="e">
        <f>AVERAGE(T4:T4)</f>
        <v>#DIV/0!</v>
      </c>
      <c r="U5" s="101"/>
      <c r="V5" s="49">
        <f>SUM(V4:V4)</f>
        <v>0</v>
      </c>
      <c r="W5" s="49">
        <f>SUM(W4:W4)</f>
        <v>0</v>
      </c>
      <c r="X5" s="50" t="e">
        <f>+W5/V5</f>
        <v>#DIV/0!</v>
      </c>
      <c r="Y5" s="49">
        <f>SUM(Y4:Y4)</f>
        <v>0</v>
      </c>
      <c r="Z5" s="51"/>
      <c r="AA5" s="51"/>
      <c r="AB5" s="49">
        <f>SUM(AB4:AB4)</f>
        <v>0</v>
      </c>
      <c r="AC5" s="52">
        <f>IF(Y5&gt;0,Y5/AB5,0)</f>
        <v>0</v>
      </c>
      <c r="AD5" s="53"/>
      <c r="AE5" s="53"/>
      <c r="AF5" s="49">
        <f>SUM(AF4:AF4)</f>
        <v>0</v>
      </c>
      <c r="AG5" s="107"/>
      <c r="AH5" s="107"/>
      <c r="AI5" s="54"/>
      <c r="AJ5" s="49">
        <f>SUM(AJ4:AJ4)</f>
        <v>0</v>
      </c>
      <c r="AK5" s="49">
        <f>SUM(AK4:AK4)</f>
        <v>0</v>
      </c>
      <c r="AL5" s="55"/>
      <c r="AM5" s="56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24"/>
      <c r="E6" s="124"/>
      <c r="F6" s="124"/>
      <c r="G6" s="124"/>
      <c r="H6" s="124"/>
      <c r="I6" s="125"/>
      <c r="J6" s="125"/>
      <c r="K6" s="125"/>
      <c r="L6" s="125"/>
      <c r="M6" s="125"/>
      <c r="N6" s="125"/>
      <c r="O6" s="125"/>
      <c r="P6" s="125"/>
      <c r="Q6" s="125"/>
      <c r="R6" s="9"/>
      <c r="S6" s="10"/>
      <c r="T6" s="10"/>
      <c r="U6" s="102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7" t="s">
        <v>34</v>
      </c>
      <c r="C7" s="57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102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153</v>
      </c>
      <c r="AJ7" s="19">
        <f>SUMIFS(Loan!$C$2:$C$2,Loan!$A$2:$A$2,"PK Quarterly report",Loan!$D$2:$D$2,"Q1_2018",Loan!$G$2:$G$2,"1st Mortgage")</f>
        <v>0</v>
      </c>
    </row>
    <row r="8" spans="1:111" hidden="1">
      <c r="B8" s="58" t="s">
        <v>35</v>
      </c>
      <c r="C8" s="58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9">
        <f>N5</f>
        <v>0</v>
      </c>
      <c r="O12" s="59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60" t="e">
        <f>-#REF!</f>
        <v>#REF!</v>
      </c>
      <c r="O13" s="60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60" t="e">
        <f>-#REF!</f>
        <v>#REF!</v>
      </c>
      <c r="O14" s="60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60" t="e">
        <f>-#REF!</f>
        <v>#REF!</v>
      </c>
      <c r="O15" s="60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4" t="s">
        <v>54</v>
      </c>
      <c r="E23" s="64"/>
      <c r="F23" s="64"/>
      <c r="G23" s="64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61">
        <v>42844</v>
      </c>
      <c r="E26" s="61"/>
      <c r="F26" s="61"/>
      <c r="G26" s="61"/>
    </row>
    <row r="29" spans="2:19">
      <c r="H29" s="8" t="s">
        <v>51</v>
      </c>
      <c r="I29" s="62">
        <v>0.06</v>
      </c>
      <c r="J29" s="62"/>
    </row>
    <row r="32" spans="2:19">
      <c r="B32" s="76" t="s">
        <v>64</v>
      </c>
      <c r="C32" s="76"/>
      <c r="D32"/>
      <c r="E32"/>
      <c r="F32"/>
      <c r="G32"/>
      <c r="H32"/>
      <c r="I32"/>
      <c r="J32"/>
      <c r="K32"/>
      <c r="L32"/>
    </row>
    <row r="34" spans="2:7">
      <c r="B34" s="76" t="s">
        <v>64</v>
      </c>
      <c r="C34" s="76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zoomScale="80" zoomScaleNormal="80" workbookViewId="0">
      <selection activeCell="C2" sqref="C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</cols>
  <sheetData>
    <row r="1" spans="1:9" s="80" customFormat="1" ht="48">
      <c r="A1" s="95" t="s">
        <v>66</v>
      </c>
      <c r="B1" s="95" t="s">
        <v>67</v>
      </c>
      <c r="C1" s="95" t="s">
        <v>70</v>
      </c>
      <c r="D1" s="95" t="s">
        <v>65</v>
      </c>
      <c r="E1" s="95" t="s">
        <v>63</v>
      </c>
      <c r="F1" s="95" t="s">
        <v>69</v>
      </c>
      <c r="G1" s="95" t="s">
        <v>68</v>
      </c>
      <c r="H1" s="95" t="s">
        <v>116</v>
      </c>
      <c r="I1" s="95" t="s">
        <v>123</v>
      </c>
    </row>
    <row r="2" spans="1:9" s="80" customFormat="1" ht="60">
      <c r="A2" s="78" t="s">
        <v>106</v>
      </c>
      <c r="B2" s="78" t="s">
        <v>105</v>
      </c>
      <c r="C2" s="78" t="s">
        <v>109</v>
      </c>
      <c r="D2" s="78" t="s">
        <v>110</v>
      </c>
      <c r="E2" s="78" t="s">
        <v>111</v>
      </c>
      <c r="F2" s="78" t="s">
        <v>108</v>
      </c>
      <c r="G2" s="78" t="s">
        <v>107</v>
      </c>
      <c r="H2" s="78" t="s">
        <v>117</v>
      </c>
      <c r="I2" s="78" t="s">
        <v>124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F2" sqref="F2"/>
    </sheetView>
  </sheetViews>
  <sheetFormatPr defaultRowHeight="15"/>
  <cols>
    <col min="1" max="1" width="38" bestFit="1" customWidth="1"/>
  </cols>
  <sheetData>
    <row r="1" spans="1:12" s="80" customFormat="1" ht="96">
      <c r="A1" s="95" t="s">
        <v>81</v>
      </c>
      <c r="B1" s="95" t="s">
        <v>82</v>
      </c>
      <c r="C1" s="95" t="s">
        <v>83</v>
      </c>
      <c r="D1" s="95" t="s">
        <v>84</v>
      </c>
      <c r="E1" s="95" t="s">
        <v>85</v>
      </c>
      <c r="F1" s="95" t="s">
        <v>86</v>
      </c>
      <c r="G1" s="95" t="s">
        <v>87</v>
      </c>
      <c r="H1" s="95" t="s">
        <v>88</v>
      </c>
      <c r="I1" s="95" t="s">
        <v>89</v>
      </c>
      <c r="J1" s="95" t="s">
        <v>90</v>
      </c>
      <c r="K1" s="95" t="s">
        <v>91</v>
      </c>
      <c r="L1" s="95" t="s">
        <v>92</v>
      </c>
    </row>
    <row r="2" spans="1:12" s="80" customFormat="1" ht="120">
      <c r="A2" s="78" t="s">
        <v>93</v>
      </c>
      <c r="B2" s="78" t="s">
        <v>94</v>
      </c>
      <c r="C2" s="78" t="s">
        <v>95</v>
      </c>
      <c r="D2" s="78" t="s">
        <v>96</v>
      </c>
      <c r="E2" s="78" t="s">
        <v>97</v>
      </c>
      <c r="F2" s="78" t="s">
        <v>98</v>
      </c>
      <c r="G2" s="78" t="s">
        <v>99</v>
      </c>
      <c r="H2" s="78" t="s">
        <v>100</v>
      </c>
      <c r="I2" s="78" t="s">
        <v>101</v>
      </c>
      <c r="J2" s="78" t="s">
        <v>102</v>
      </c>
      <c r="K2" s="78" t="s">
        <v>103</v>
      </c>
      <c r="L2" s="78" t="s">
        <v>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"/>
  <sheetViews>
    <sheetView workbookViewId="0">
      <selection activeCell="K2" sqref="K2"/>
    </sheetView>
  </sheetViews>
  <sheetFormatPr defaultRowHeight="15"/>
  <sheetData>
    <row r="1" spans="1:11" ht="60">
      <c r="A1" s="95" t="s">
        <v>191</v>
      </c>
      <c r="B1" s="95" t="s">
        <v>175</v>
      </c>
      <c r="C1" s="95" t="s">
        <v>176</v>
      </c>
      <c r="D1" s="95" t="s">
        <v>177</v>
      </c>
      <c r="E1" s="95" t="s">
        <v>178</v>
      </c>
      <c r="F1" s="95" t="s">
        <v>179</v>
      </c>
      <c r="G1" s="95" t="s">
        <v>180</v>
      </c>
      <c r="H1" s="95" t="s">
        <v>181</v>
      </c>
      <c r="I1" s="95" t="s">
        <v>182</v>
      </c>
      <c r="J1" s="95" t="s">
        <v>193</v>
      </c>
      <c r="K1" s="95" t="s">
        <v>195</v>
      </c>
    </row>
    <row r="2" spans="1:11" ht="84">
      <c r="A2" s="78" t="s">
        <v>192</v>
      </c>
      <c r="B2" s="78" t="s">
        <v>183</v>
      </c>
      <c r="C2" s="78" t="s">
        <v>184</v>
      </c>
      <c r="D2" s="78" t="s">
        <v>185</v>
      </c>
      <c r="E2" s="78" t="s">
        <v>186</v>
      </c>
      <c r="F2" s="78" t="s">
        <v>187</v>
      </c>
      <c r="G2" s="78" t="s">
        <v>188</v>
      </c>
      <c r="H2" s="78" t="s">
        <v>189</v>
      </c>
      <c r="I2" s="78" t="s">
        <v>190</v>
      </c>
      <c r="J2" s="78" t="s">
        <v>194</v>
      </c>
      <c r="K2" s="78" t="s">
        <v>196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6" sqref="C6"/>
    </sheetView>
  </sheetViews>
  <sheetFormatPr defaultRowHeight="15"/>
  <cols>
    <col min="1" max="1" width="16.85546875" customWidth="1"/>
    <col min="3" max="3" width="21.85546875" bestFit="1" customWidth="1"/>
    <col min="4" max="4" width="9.140625" style="98"/>
  </cols>
  <sheetData>
    <row r="1" spans="1:5" s="80" customFormat="1" ht="60">
      <c r="A1" s="95" t="s">
        <v>118</v>
      </c>
      <c r="B1" s="95" t="s">
        <v>67</v>
      </c>
      <c r="C1" s="95" t="s">
        <v>112</v>
      </c>
      <c r="D1" s="96" t="s">
        <v>113</v>
      </c>
      <c r="E1" s="95" t="s">
        <v>119</v>
      </c>
    </row>
    <row r="2" spans="1:5" s="80" customFormat="1" ht="84">
      <c r="A2" s="78" t="s">
        <v>120</v>
      </c>
      <c r="B2" s="78" t="s">
        <v>122</v>
      </c>
      <c r="C2" s="78" t="s">
        <v>114</v>
      </c>
      <c r="D2" s="97" t="s">
        <v>115</v>
      </c>
      <c r="E2" s="78" t="s">
        <v>121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5" sqref="D5"/>
    </sheetView>
  </sheetViews>
  <sheetFormatPr defaultRowHeight="15"/>
  <sheetData>
    <row r="1" spans="1:6" ht="72">
      <c r="A1" s="95" t="s">
        <v>160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</row>
    <row r="2" spans="1:6" ht="108">
      <c r="A2" s="78" t="s">
        <v>166</v>
      </c>
      <c r="B2" s="78" t="s">
        <v>167</v>
      </c>
      <c r="C2" s="78" t="s">
        <v>168</v>
      </c>
      <c r="D2" s="78" t="s">
        <v>169</v>
      </c>
      <c r="E2" s="78" t="s">
        <v>170</v>
      </c>
      <c r="F2" s="78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135"/>
    <col min="9" max="9" width="9.140625" style="135"/>
  </cols>
  <sheetData>
    <row r="1" spans="1:9" s="80" customFormat="1" ht="96">
      <c r="A1" s="116" t="s">
        <v>128</v>
      </c>
      <c r="B1" s="116" t="s">
        <v>129</v>
      </c>
      <c r="C1" s="116" t="s">
        <v>130</v>
      </c>
      <c r="D1" s="116" t="s">
        <v>131</v>
      </c>
      <c r="E1" s="116" t="s">
        <v>132</v>
      </c>
      <c r="F1" s="116" t="s">
        <v>138</v>
      </c>
      <c r="G1" s="134" t="s">
        <v>156</v>
      </c>
      <c r="H1" s="116" t="s">
        <v>158</v>
      </c>
      <c r="I1" s="134" t="s">
        <v>173</v>
      </c>
    </row>
    <row r="2" spans="1:9" s="80" customFormat="1" ht="108">
      <c r="A2" s="110" t="s">
        <v>133</v>
      </c>
      <c r="B2" s="110" t="s">
        <v>134</v>
      </c>
      <c r="C2" s="110" t="s">
        <v>135</v>
      </c>
      <c r="D2" s="110" t="s">
        <v>136</v>
      </c>
      <c r="E2" s="110" t="s">
        <v>137</v>
      </c>
      <c r="F2" s="110" t="s">
        <v>139</v>
      </c>
      <c r="G2" s="111" t="s">
        <v>157</v>
      </c>
      <c r="H2" s="110" t="s">
        <v>159</v>
      </c>
      <c r="I2" s="111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103" t="s">
        <v>80</v>
      </c>
      <c r="C1" s="105" t="s">
        <v>140</v>
      </c>
      <c r="E1" s="105" t="s">
        <v>142</v>
      </c>
    </row>
    <row r="2" spans="1:5">
      <c r="A2" s="104" t="s">
        <v>125</v>
      </c>
      <c r="C2" s="105" t="s">
        <v>141</v>
      </c>
      <c r="E2" s="105" t="s">
        <v>143</v>
      </c>
    </row>
    <row r="3" spans="1:5">
      <c r="A3" s="104" t="s">
        <v>126</v>
      </c>
      <c r="E3" s="105" t="s">
        <v>144</v>
      </c>
    </row>
    <row r="4" spans="1:5">
      <c r="E4" s="105" t="s">
        <v>145</v>
      </c>
    </row>
    <row r="5" spans="1:5">
      <c r="E5" s="105" t="s">
        <v>146</v>
      </c>
    </row>
    <row r="6" spans="1:5">
      <c r="E6" s="105" t="s">
        <v>147</v>
      </c>
    </row>
    <row r="7" spans="1:5">
      <c r="E7" s="105" t="s">
        <v>148</v>
      </c>
    </row>
    <row r="8" spans="1:5">
      <c r="E8" s="105" t="s">
        <v>149</v>
      </c>
    </row>
    <row r="9" spans="1:5">
      <c r="E9" s="105" t="s">
        <v>150</v>
      </c>
    </row>
    <row r="10" spans="1:5">
      <c r="E10" s="105" t="s">
        <v>151</v>
      </c>
    </row>
    <row r="11" spans="1:5">
      <c r="E11" s="105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77</vt:i4>
      </vt:variant>
    </vt:vector>
  </HeadingPairs>
  <TitlesOfParts>
    <vt:vector size="85" baseType="lpstr">
      <vt:lpstr>EHI</vt:lpstr>
      <vt:lpstr>Participants</vt:lpstr>
      <vt:lpstr>Participant</vt:lpstr>
      <vt:lpstr>Building</vt:lpstr>
      <vt:lpstr>Occupancy</vt:lpstr>
      <vt:lpstr>AnnualDebtService</vt:lpstr>
      <vt:lpstr>Loan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Reo_Loan_Type</vt:lpstr>
      <vt:lpstr>Reo_Loan_Type_End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2018-08-08T10:53:09Z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