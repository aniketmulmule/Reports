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Occupancy" sheetId="3" r:id="rId3"/>
    <sheet name="Financial" sheetId="6" r:id="rId4"/>
    <sheet name="Loan" sheetId="8" r:id="rId5"/>
    <sheet name="Sheet6" sheetId="7" r:id="rId6"/>
    <sheet name="Filters" sheetId="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EHI!$B$2:$BA$26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EHI!$AY$3</definedName>
    <definedName name="Reo_Borrower_Share_End">EHI!$AY$5</definedName>
    <definedName name="Reo_Cap_Rate">EHI!$AE$3</definedName>
    <definedName name="Reo_Cap_Rate_End">EHI!$AE$5</definedName>
    <definedName name="Reo_Cash_Flow">EHI!$AX$3</definedName>
    <definedName name="Reo_Cash_Flow_End">EHI!$AX$5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EHI!$AZ$2</definedName>
    <definedName name="Reo_Current_Equity_End">EHI!$AZ$5</definedName>
    <definedName name="Reo_Date_Validation">EHI!$AF$3</definedName>
    <definedName name="Reo_Date_Validation_End">EHI!$AF$5</definedName>
    <definedName name="Reo_DSC">EHI!$AC$2</definedName>
    <definedName name="Reo_DSC_End">EHI!$AC$5</definedName>
    <definedName name="Reo_Fair_Market_Value">EHI!$AD$3</definedName>
    <definedName name="Reo_Fair_Market_Value_End">EHI!$AD$5</definedName>
    <definedName name="Reo_Interest">EHI!$BN$3</definedName>
    <definedName name="Reo_Interest_End">EHI!$BN$5</definedName>
    <definedName name="Reo_Land">EHI!$J$3</definedName>
    <definedName name="Reo_Land_End">EHI!$J$5</definedName>
    <definedName name="Reo_Location">EHI!$D$3</definedName>
    <definedName name="Reo_Location_End">EHI!$D$5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EHI!$BM$3</definedName>
    <definedName name="Reo_Operating_Expenses_End">EHI!$BM$5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Total">EHI!$BK$3</definedName>
    <definedName name="Reo_Total_DS">EHI!$BP$3</definedName>
    <definedName name="Reo_Total_DS_End">EHI!$BP$5</definedName>
    <definedName name="Reo_Total_End">EHI!$BK$5</definedName>
    <definedName name="Reo_Total_Loan">EHI!$AO$3</definedName>
    <definedName name="Reo_Total_Loan_End">EHI!$AO$5</definedName>
    <definedName name="Reo_Type">EHI!$I$3</definedName>
    <definedName name="Reo_Type_End">EHI!$I$5</definedName>
    <definedName name="Reo_Units">EHI!$N$3</definedName>
    <definedName name="Reo_Units_End">EHI!$N$5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K4" i="1" l="1"/>
  <c r="AM4" i="1"/>
  <c r="AL4" i="1"/>
  <c r="AH4" i="1" l="1"/>
  <c r="AG4" i="1"/>
  <c r="U4" i="1" l="1"/>
  <c r="T4" i="1"/>
  <c r="S4" i="1"/>
  <c r="R4" i="1" l="1"/>
  <c r="Q4" i="1"/>
  <c r="N4" i="1"/>
  <c r="J4" i="1"/>
  <c r="I4" i="1"/>
  <c r="H4" i="1"/>
  <c r="BK4" i="1" l="1"/>
  <c r="AI5" i="1"/>
  <c r="BN4" i="1"/>
  <c r="BP4" i="1" s="1"/>
  <c r="BM4" i="1"/>
  <c r="S5" i="1" l="1"/>
  <c r="T5" i="1" l="1"/>
  <c r="N5" i="1"/>
  <c r="V5" i="1" l="1"/>
  <c r="AK5" i="1" l="1"/>
  <c r="K12" i="1" l="1"/>
  <c r="K20" i="1" s="1"/>
  <c r="N14" i="1"/>
  <c r="N15" i="1"/>
  <c r="N13" i="1"/>
  <c r="B15" i="1"/>
  <c r="B14" i="1"/>
  <c r="B13" i="1"/>
  <c r="N12" i="1"/>
  <c r="AO5" i="1" l="1"/>
  <c r="AM5" i="1"/>
  <c r="N20" i="1"/>
  <c r="AB5" i="1" l="1"/>
  <c r="W5" i="1"/>
  <c r="X5" i="1" s="1"/>
  <c r="Y5" i="1" l="1"/>
  <c r="AC5" i="1" s="1"/>
  <c r="AX5" i="1" l="1"/>
  <c r="AY5" i="1"/>
  <c r="AD5" i="1"/>
  <c r="AZ5" i="1"/>
</calcChain>
</file>

<file path=xl/comments1.xml><?xml version="1.0" encoding="utf-8"?>
<comments xmlns="http://schemas.openxmlformats.org/spreadsheetml/2006/main">
  <authors>
    <author>Aniket Mulmule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disabled not coming
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New field -owned or leased
Type?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filed is created, but not mapped
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cant find field on Salesforce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cant find field on Salesforce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Field present on EH property.
Not sure about relation</t>
        </r>
      </text>
    </comment>
    <comment ref="U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Field present on EH property.
Not sure about relation</t>
        </r>
      </text>
    </comment>
  </commentList>
</comments>
</file>

<file path=xl/sharedStrings.xml><?xml version="1.0" encoding="utf-8"?>
<sst xmlns="http://schemas.openxmlformats.org/spreadsheetml/2006/main" count="187" uniqueCount="170">
  <si>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</si>
  <si>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</si>
  <si>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</si>
  <si>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</si>
  <si>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</si>
  <si>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</si>
  <si>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</si>
  <si>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Present Market Value (F)</t>
  </si>
  <si>
    <t>Original Debt (G)</t>
  </si>
  <si>
    <t>Current Balance (H)</t>
  </si>
  <si>
    <t>Interest Rate (I)</t>
  </si>
  <si>
    <t>Current Equity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</si>
  <si>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</si>
  <si>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</si>
  <si>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</si>
  <si>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</si>
  <si>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</si>
  <si>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</si>
  <si>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</si>
  <si>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</si>
  <si>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>Fair Market Value</t>
  </si>
  <si>
    <t>Cap Rate</t>
  </si>
  <si>
    <t>Date of Valuation</t>
  </si>
  <si>
    <t xml:space="preserve">Name of Lender </t>
  </si>
  <si>
    <t xml:space="preserve">Type of Debt </t>
  </si>
  <si>
    <t>Original Amt</t>
  </si>
  <si>
    <t>Inception or Transfer Date</t>
  </si>
  <si>
    <t>Maturity Date</t>
  </si>
  <si>
    <t>Total Loan</t>
  </si>
  <si>
    <t>Balloon Payment</t>
  </si>
  <si>
    <t>Collateral</t>
  </si>
  <si>
    <t>% Recourse</t>
  </si>
  <si>
    <t>Current or Delinquent</t>
  </si>
  <si>
    <t>Fixed</t>
  </si>
  <si>
    <t>Adjustable</t>
  </si>
  <si>
    <t>Interest Only</t>
  </si>
  <si>
    <t>Set Date for Rate</t>
  </si>
  <si>
    <t>Cash Flow</t>
  </si>
  <si>
    <t>Borrower Share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</si>
  <si>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</si>
  <si>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</si>
  <si>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</si>
  <si>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</si>
  <si>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</si>
  <si>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</si>
  <si>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</si>
  <si>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</si>
  <si>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</si>
  <si>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</si>
  <si>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</si>
  <si>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</si>
  <si>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</si>
  <si>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</si>
  <si>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</si>
  <si>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</si>
  <si>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</si>
  <si>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</si>
  <si>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</si>
  <si>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</si>
  <si>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</si>
  <si>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</si>
  <si>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</si>
  <si>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</si>
  <si>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</si>
  <si>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</si>
  <si>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</si>
  <si>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</si>
  <si>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</si>
  <si>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</si>
  <si>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</si>
  <si>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</si>
  <si>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</si>
  <si>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</si>
  <si>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</si>
  <si>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</si>
  <si>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</si>
  <si>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</si>
  <si>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</si>
  <si>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</si>
  <si>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</si>
  <si>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</si>
  <si>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</si>
  <si>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</si>
  <si>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</si>
  <si>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</si>
  <si>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</si>
  <si>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</si>
  <si>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</si>
  <si>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</si>
  <si>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</si>
  <si>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</si>
  <si>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</si>
  <si>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</si>
  <si>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</si>
  <si>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</si>
  <si>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</si>
  <si>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</si>
  <si>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</si>
  <si>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</si>
  <si>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</si>
  <si>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</si>
  <si>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</si>
  <si>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</si>
  <si>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</si>
  <si>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</si>
  <si>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</si>
  <si>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</si>
  <si>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</si>
  <si>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</si>
  <si>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</si>
  <si>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&amp;=Participant.ENT_EH_PARTICIPANT_STATE</t>
  </si>
  <si>
    <t>&amp;=Participant.ENT_EH_PARTICIPANT_CITY</t>
  </si>
  <si>
    <t>&amp;=Participant.ENT_EH_PARTICIPANT_ID</t>
  </si>
  <si>
    <t>&amp;=Participant.ENT_EH_PARTICIPANT_IS_THIS_YEAR_15_HOME_OWNERSHIP_PROGRAM</t>
  </si>
  <si>
    <t>&amp;=Participant.ENT_EH_PARTICIPANT_NAME</t>
  </si>
  <si>
    <t>&amp;=Participant.ENT_EH_PARTICIPANT_PROJECT_STATUS</t>
  </si>
  <si>
    <t>&amp;=Participant.ENT_EH_PARTICIPANT_COUNTY</t>
  </si>
  <si>
    <t>&amp;=Participant.ENT_EH_PARTICIPANT_STREET_ADDRESS_LINE_1</t>
  </si>
  <si>
    <t>&amp;=Participant.ENT_EH_PARTICIPANT_STREET_ADDRESS_LINE_2</t>
  </si>
  <si>
    <t>&amp;=Participant.ENT_EH_PARTICIPANT_YEAR_BUILT</t>
  </si>
  <si>
    <t>&amp;=Participant.ENT_EH_PARTICIPANT_YEAR_RENOVATED</t>
  </si>
  <si>
    <t>&amp;=Participant.ENT_EH_PARTICIPANT_ZIP_CODE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</si>
  <si>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</si>
  <si>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</si>
  <si>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</si>
  <si>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</si>
  <si>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</si>
  <si>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</si>
  <si>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</si>
  <si>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</si>
  <si>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</si>
  <si>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</si>
  <si>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</si>
  <si>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</si>
  <si>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</si>
  <si>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</si>
  <si>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Ent Eh Unit Occupancy Units Occupied</t>
  </si>
  <si>
    <t>&amp;=Occupancy.EH_PROPERTY__REH_PROJECT_PROJECT_ID__R</t>
  </si>
  <si>
    <t>&amp;=Occupancy.ENT_EH_UNIT_OCCUPANCY_UNITS_OCCUPIED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</si>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</sst>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mm/dd/yy"/>
    <numFmt numFmtId="169" formatCode="[$-409]d\-mmm\-yy;@"/>
    <numFmt numFmtId="170" formatCode="&quot;$&quot;#,##0"/>
    <numFmt numFmtId="171" formatCode="m/d/yy;@"/>
    <numFmt numFmtId="172" formatCode="mm/dd/yy;@"/>
    <numFmt numFmtId="173" formatCode="[$-409]mmm\-yy;@"/>
    <numFmt numFmtId="174" formatCode="_(&quot;$&quot;* #,##0_);_(&quot;$&quot;* \(#,##0\);_(&quot;$&quot;* &quot;-&quot;??_);_(@_)"/>
    <numFmt numFmtId="175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sz val="10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b/>
      <u val="double"/>
      <sz val="10"/>
      <color indexed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2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56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5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6" fontId="2" fillId="0" borderId="0" xfId="4" applyNumberFormat="1" applyFont="1" applyBorder="1" applyAlignment="1"/>
    <xf numFmtId="167" fontId="2" fillId="0" borderId="0" xfId="4" applyNumberFormat="1" applyFont="1" applyBorder="1" applyAlignment="1"/>
    <xf numFmtId="166" fontId="2" fillId="0" borderId="0" xfId="4" applyNumberFormat="1" applyFont="1" applyBorder="1" applyAlignment="1">
      <alignment horizontal="center"/>
    </xf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5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5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6" fontId="8" fillId="2" borderId="0" xfId="4" applyNumberFormat="1" applyFont="1" applyFill="1" applyBorder="1" applyAlignment="1"/>
    <xf numFmtId="167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>
      <alignment horizontal="center"/>
    </xf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5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5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6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168" fontId="6" fillId="3" borderId="8" xfId="4" applyNumberFormat="1" applyFont="1" applyFill="1" applyBorder="1" applyAlignment="1">
      <alignment horizontal="center" wrapText="1"/>
    </xf>
    <xf numFmtId="6" fontId="12" fillId="0" borderId="6" xfId="0" applyNumberFormat="1" applyFont="1" applyFill="1" applyBorder="1" applyAlignment="1">
      <alignment wrapText="1"/>
    </xf>
    <xf numFmtId="6" fontId="12" fillId="0" borderId="2" xfId="0" applyNumberFormat="1" applyFont="1" applyFill="1" applyBorder="1" applyAlignment="1">
      <alignment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5" fontId="8" fillId="0" borderId="12" xfId="4" applyNumberFormat="1" applyFont="1" applyFill="1" applyBorder="1" applyAlignment="1"/>
    <xf numFmtId="165" fontId="6" fillId="4" borderId="6" xfId="3" applyNumberFormat="1" applyFont="1" applyFill="1" applyBorder="1" applyAlignment="1">
      <alignment horizontal="right"/>
    </xf>
    <xf numFmtId="170" fontId="6" fillId="4" borderId="6" xfId="2" quotePrefix="1" applyNumberFormat="1" applyFont="1" applyFill="1" applyBorder="1" applyAlignment="1" applyProtection="1">
      <alignment horizontal="right"/>
    </xf>
    <xf numFmtId="165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7" fontId="6" fillId="4" borderId="6" xfId="2" applyNumberFormat="1" applyFont="1" applyFill="1" applyBorder="1" applyAlignment="1" applyProtection="1">
      <alignment horizontal="right"/>
    </xf>
    <xf numFmtId="174" fontId="6" fillId="0" borderId="12" xfId="4" applyNumberFormat="1" applyFont="1" applyFill="1" applyBorder="1" applyAlignment="1"/>
    <xf numFmtId="6" fontId="6" fillId="0" borderId="12" xfId="4" applyNumberFormat="1" applyFont="1" applyFill="1" applyBorder="1" applyAlignment="1">
      <alignment horizontal="center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5" fontId="6" fillId="0" borderId="12" xfId="4" applyNumberFormat="1" applyFont="1" applyFill="1" applyBorder="1" applyAlignment="1">
      <alignment horizontal="right"/>
    </xf>
    <xf numFmtId="0" fontId="7" fillId="0" borderId="12" xfId="5" applyFont="1" applyFill="1" applyBorder="1" applyAlignment="1"/>
    <xf numFmtId="0" fontId="20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5" fontId="23" fillId="6" borderId="0" xfId="3" applyNumberFormat="1" applyFont="1" applyFill="1" applyBorder="1" applyAlignment="1"/>
    <xf numFmtId="6" fontId="12" fillId="5" borderId="6" xfId="0" applyNumberFormat="1" applyFont="1" applyFill="1" applyBorder="1" applyAlignment="1">
      <alignment horizontal="center" wrapText="1"/>
    </xf>
    <xf numFmtId="165" fontId="6" fillId="4" borderId="6" xfId="4" applyNumberFormat="1" applyFont="1" applyFill="1" applyBorder="1" applyAlignment="1">
      <alignment horizontal="right"/>
    </xf>
    <xf numFmtId="0" fontId="24" fillId="0" borderId="0" xfId="4" applyFont="1" applyBorder="1" applyAlignment="1"/>
    <xf numFmtId="0" fontId="4" fillId="5" borderId="0" xfId="5" applyFont="1" applyFill="1" applyAlignment="1">
      <alignment horizontal="center" wrapText="1"/>
    </xf>
    <xf numFmtId="164" fontId="18" fillId="0" borderId="1" xfId="0" applyNumberFormat="1" applyFont="1" applyBorder="1" applyAlignment="1">
      <alignment wrapText="1"/>
    </xf>
    <xf numFmtId="165" fontId="12" fillId="5" borderId="2" xfId="4" applyNumberFormat="1" applyFont="1" applyFill="1" applyBorder="1" applyAlignment="1" applyProtection="1">
      <alignment horizontal="center" wrapText="1"/>
      <protection locked="0"/>
    </xf>
    <xf numFmtId="170" fontId="12" fillId="5" borderId="2" xfId="2" quotePrefix="1" applyNumberFormat="1" applyFont="1" applyFill="1" applyBorder="1" applyAlignment="1" applyProtection="1">
      <alignment horizontal="right" wrapText="1"/>
    </xf>
    <xf numFmtId="165" fontId="12" fillId="0" borderId="2" xfId="3" quotePrefix="1" applyNumberFormat="1" applyFont="1" applyFill="1" applyBorder="1" applyAlignment="1" applyProtection="1">
      <alignment horizontal="center" wrapText="1"/>
    </xf>
    <xf numFmtId="171" fontId="12" fillId="5" borderId="2" xfId="2" applyNumberFormat="1" applyFont="1" applyFill="1" applyBorder="1" applyAlignment="1" applyProtection="1">
      <alignment horizontal="right" wrapText="1"/>
    </xf>
    <xf numFmtId="170" fontId="12" fillId="0" borderId="2" xfId="2" quotePrefix="1" applyNumberFormat="1" applyFont="1" applyFill="1" applyBorder="1" applyAlignment="1" applyProtection="1">
      <alignment horizontal="right" wrapText="1"/>
    </xf>
    <xf numFmtId="10" fontId="12" fillId="0" borderId="2" xfId="3" quotePrefix="1" applyNumberFormat="1" applyFont="1" applyFill="1" applyBorder="1" applyAlignment="1" applyProtection="1">
      <alignment horizontal="center" wrapText="1"/>
    </xf>
    <xf numFmtId="169" fontId="12" fillId="0" borderId="2" xfId="2" applyNumberFormat="1" applyFont="1" applyFill="1" applyBorder="1" applyAlignment="1" applyProtection="1">
      <alignment horizontal="right" wrapText="1"/>
    </xf>
    <xf numFmtId="172" fontId="19" fillId="0" borderId="1" xfId="0" applyNumberFormat="1" applyFont="1" applyBorder="1" applyAlignment="1">
      <alignment wrapText="1"/>
    </xf>
    <xf numFmtId="173" fontId="12" fillId="5" borderId="2" xfId="2" applyNumberFormat="1" applyFont="1" applyFill="1" applyBorder="1" applyAlignment="1" applyProtection="1">
      <alignment horizontal="center" wrapText="1"/>
    </xf>
    <xf numFmtId="42" fontId="12" fillId="0" borderId="2" xfId="2" applyNumberFormat="1" applyFont="1" applyFill="1" applyBorder="1" applyAlignment="1" applyProtection="1">
      <alignment horizontal="right" wrapText="1"/>
    </xf>
    <xf numFmtId="10" fontId="8" fillId="0" borderId="2" xfId="2" applyNumberFormat="1" applyFont="1" applyFill="1" applyBorder="1" applyAlignment="1" applyProtection="1">
      <alignment horizontal="right" wrapText="1"/>
    </xf>
    <xf numFmtId="0" fontId="8" fillId="0" borderId="2" xfId="2" applyNumberFormat="1" applyFont="1" applyFill="1" applyBorder="1" applyAlignment="1" applyProtection="1">
      <alignment horizontal="center" wrapText="1"/>
    </xf>
    <xf numFmtId="10" fontId="8" fillId="0" borderId="2" xfId="4" applyNumberFormat="1" applyFont="1" applyFill="1" applyBorder="1" applyAlignment="1" applyProtection="1">
      <alignment horizontal="center" wrapText="1"/>
      <protection locked="0"/>
    </xf>
    <xf numFmtId="171" fontId="8" fillId="0" borderId="2" xfId="2" applyNumberFormat="1" applyFont="1" applyFill="1" applyBorder="1" applyAlignment="1" applyProtection="1">
      <alignment horizontal="right" wrapText="1"/>
    </xf>
    <xf numFmtId="170" fontId="8" fillId="0" borderId="2" xfId="2" quotePrefix="1" applyNumberFormat="1" applyFont="1" applyFill="1" applyBorder="1" applyAlignment="1" applyProtection="1">
      <alignment horizontal="right" wrapText="1"/>
    </xf>
    <xf numFmtId="0" fontId="7" fillId="0" borderId="2" xfId="5" applyFont="1" applyBorder="1" applyAlignment="1">
      <alignment horizontal="center" wrapText="1"/>
    </xf>
    <xf numFmtId="0" fontId="4" fillId="0" borderId="0" xfId="5" applyFont="1" applyBorder="1" applyAlignment="1">
      <alignment wrapText="1"/>
    </xf>
    <xf numFmtId="3" fontId="7" fillId="0" borderId="0" xfId="5" applyNumberFormat="1" applyFont="1" applyBorder="1" applyAlignment="1">
      <alignment wrapText="1"/>
    </xf>
    <xf numFmtId="3" fontId="7" fillId="5" borderId="0" xfId="5" applyNumberFormat="1" applyFont="1" applyFill="1" applyBorder="1" applyAlignment="1">
      <alignment wrapText="1"/>
    </xf>
    <xf numFmtId="0" fontId="2" fillId="0" borderId="2" xfId="4" applyFont="1" applyBorder="1" applyAlignment="1">
      <alignment wrapText="1"/>
    </xf>
    <xf numFmtId="0" fontId="26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0" fontId="25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0" borderId="2" xfId="2" quotePrefix="1" applyNumberFormat="1" applyFont="1" applyFill="1" applyBorder="1" applyAlignment="1" applyProtection="1">
      <alignment horizontal="right"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6" fillId="0" borderId="2" xfId="4" applyFont="1" applyBorder="1" applyAlignment="1" applyProtection="1">
      <alignment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167" fontId="12" fillId="0" borderId="2" xfId="2" applyNumberFormat="1" applyFont="1" applyFill="1" applyBorder="1" applyAlignment="1" applyProtection="1">
      <alignment horizontal="right" wrapText="1"/>
    </xf>
    <xf numFmtId="38" fontId="6" fillId="4" borderId="12" xfId="4" applyNumberFormat="1" applyFont="1" applyFill="1" applyBorder="1" applyAlignment="1">
      <alignment horizontal="right"/>
    </xf>
    <xf numFmtId="0" fontId="25" fillId="0" borderId="14" xfId="0" applyFont="1" applyBorder="1" applyAlignment="1">
      <alignment vertical="center" wrapText="1"/>
    </xf>
    <xf numFmtId="166" fontId="29" fillId="3" borderId="6" xfId="4" applyNumberFormat="1" applyFont="1" applyFill="1" applyBorder="1" applyAlignment="1">
      <alignment horizontal="center" wrapText="1"/>
    </xf>
    <xf numFmtId="166" fontId="29" fillId="3" borderId="2" xfId="4" applyNumberFormat="1" applyFont="1" applyFill="1" applyBorder="1" applyAlignment="1">
      <alignment horizontal="center" wrapText="1"/>
    </xf>
    <xf numFmtId="7" fontId="29" fillId="3" borderId="2" xfId="4" applyNumberFormat="1" applyFont="1" applyFill="1" applyBorder="1" applyAlignment="1">
      <alignment horizontal="center" wrapText="1"/>
    </xf>
    <xf numFmtId="7" fontId="29" fillId="3" borderId="6" xfId="4" applyNumberFormat="1" applyFont="1" applyFill="1" applyBorder="1" applyAlignment="1">
      <alignment horizontal="center" wrapText="1"/>
    </xf>
    <xf numFmtId="49" fontId="29" fillId="3" borderId="2" xfId="4" applyNumberFormat="1" applyFont="1" applyFill="1" applyBorder="1" applyAlignment="1">
      <alignment horizontal="center" wrapText="1"/>
    </xf>
    <xf numFmtId="168" fontId="29" fillId="3" borderId="8" xfId="4" applyNumberFormat="1" applyFont="1" applyFill="1" applyBorder="1" applyAlignment="1">
      <alignment horizontal="center" wrapText="1"/>
    </xf>
    <xf numFmtId="166" fontId="29" fillId="3" borderId="9" xfId="4" applyNumberFormat="1" applyFont="1" applyFill="1" applyBorder="1" applyAlignment="1">
      <alignment horizontal="center" wrapText="1"/>
    </xf>
    <xf numFmtId="0" fontId="28" fillId="7" borderId="13" xfId="0" applyFont="1" applyFill="1" applyBorder="1" applyAlignment="1">
      <alignment vertical="center" wrapText="1"/>
    </xf>
    <xf numFmtId="14" fontId="28" fillId="7" borderId="13" xfId="0" applyNumberFormat="1" applyFont="1" applyFill="1" applyBorder="1" applyAlignment="1">
      <alignment vertical="center" wrapText="1"/>
    </xf>
    <xf numFmtId="14" fontId="25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12" fillId="5" borderId="2" xfId="4" applyNumberFormat="1" applyFont="1" applyFill="1" applyBorder="1" applyAlignment="1" applyProtection="1">
      <alignment horizontal="center" wrapText="1"/>
      <protection locked="0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7" fontId="6" fillId="3" borderId="5" xfId="4" applyNumberFormat="1" applyFont="1" applyFill="1" applyBorder="1" applyAlignment="1">
      <alignment horizontal="center" wrapText="1"/>
    </xf>
    <xf numFmtId="168" fontId="6" fillId="3" borderId="3" xfId="4" applyNumberFormat="1" applyFont="1" applyFill="1" applyBorder="1" applyAlignment="1">
      <alignment horizontal="center"/>
    </xf>
    <xf numFmtId="168" fontId="6" fillId="3" borderId="4" xfId="4" applyNumberFormat="1" applyFont="1" applyFill="1" applyBorder="1" applyAlignment="1">
      <alignment horizontal="center"/>
    </xf>
    <xf numFmtId="168" fontId="6" fillId="3" borderId="5" xfId="4" applyNumberFormat="1" applyFont="1" applyFill="1" applyBorder="1" applyAlignment="1">
      <alignment horizontal="center"/>
    </xf>
    <xf numFmtId="7" fontId="29" fillId="3" borderId="2" xfId="4" applyNumberFormat="1" applyFont="1" applyFill="1" applyBorder="1" applyAlignment="1">
      <alignment horizontal="center" wrapText="1"/>
    </xf>
    <xf numFmtId="7" fontId="29" fillId="3" borderId="9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7" fontId="6" fillId="3" borderId="2" xfId="4" applyNumberFormat="1" applyFont="1" applyFill="1" applyBorder="1" applyAlignment="1">
      <alignment horizontal="center" wrapText="1"/>
    </xf>
    <xf numFmtId="167" fontId="6" fillId="3" borderId="9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styles" Target="styles.xml"/><Relationship Id="rId8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U34"/>
  <sheetViews>
    <sheetView showGridLines="0" tabSelected="1" topLeftCell="A2" zoomScaleNormal="100" zoomScaleSheetLayoutView="50" workbookViewId="0">
      <pane xSplit="2" ySplit="2" topLeftCell="AB4" activePane="bottomRight" state="frozen"/>
      <selection activeCell="A2" sqref="A2"/>
      <selection pane="topRight" activeCell="C2" sqref="C2"/>
      <selection pane="bottomLeft" activeCell="A4" sqref="A4"/>
      <selection pane="bottomRight" activeCell="AL4" sqref="AL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10" width="7.5703125" style="21" customWidth="1"/>
    <col min="11" max="11" width="16" style="8" customWidth="1"/>
    <col min="12" max="13" width="13.5703125" style="8" customWidth="1"/>
    <col min="14" max="15" width="6.85546875" style="8" customWidth="1"/>
    <col min="16" max="16" width="10.42578125" style="8" customWidth="1"/>
    <col min="17" max="17" width="13.42578125" style="9" customWidth="1"/>
    <col min="18" max="18" width="9.5703125" style="9" customWidth="1"/>
    <col min="19" max="20" width="10" style="11" customWidth="1"/>
    <col min="21" max="21" width="11.7109375" style="130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2.5703125" style="13" customWidth="1"/>
    <col min="31" max="31" width="7.85546875" style="13" customWidth="1"/>
    <col min="32" max="32" width="10.5703125" style="15" customWidth="1"/>
    <col min="33" max="33" width="15.42578125" style="12" customWidth="1"/>
    <col min="34" max="34" width="15.140625" style="12" customWidth="1"/>
    <col min="35" max="35" width="12.42578125" style="12" bestFit="1" customWidth="1"/>
    <col min="36" max="36" width="10.42578125" style="12" customWidth="1"/>
    <col min="37" max="37" width="12.7109375" style="12" bestFit="1" customWidth="1"/>
    <col min="38" max="38" width="10.140625" style="19" customWidth="1"/>
    <col min="39" max="39" width="11.42578125" style="20" customWidth="1"/>
    <col min="40" max="40" width="10.5703125" style="19" customWidth="1"/>
    <col min="41" max="41" width="13.7109375" style="12" customWidth="1"/>
    <col min="42" max="42" width="9.7109375" style="19" customWidth="1"/>
    <col min="43" max="43" width="10.42578125" style="19" customWidth="1"/>
    <col min="44" max="44" width="9.42578125" style="19" customWidth="1"/>
    <col min="45" max="45" width="12.5703125" style="19" customWidth="1"/>
    <col min="46" max="46" width="8.140625" style="12" customWidth="1"/>
    <col min="47" max="47" width="10.42578125" style="12" customWidth="1"/>
    <col min="48" max="48" width="8.5703125" style="12" customWidth="1"/>
    <col min="49" max="49" width="8.85546875" style="12" customWidth="1"/>
    <col min="50" max="50" width="11.140625" style="13" customWidth="1"/>
    <col min="51" max="51" width="9.85546875" style="13" customWidth="1"/>
    <col min="52" max="52" width="11.28515625" style="12" customWidth="1"/>
    <col min="53" max="53" width="14.42578125" style="2" customWidth="1"/>
    <col min="54" max="54" width="50.140625" style="2" customWidth="1"/>
    <col min="55" max="60" width="9.28515625" style="2" customWidth="1"/>
    <col min="61" max="61" width="8.7109375" style="2" customWidth="1"/>
    <col min="62" max="62" width="12" style="2" customWidth="1"/>
    <col min="63" max="64" width="10.85546875" style="2" customWidth="1"/>
    <col min="65" max="65" width="11.5703125" style="2" customWidth="1"/>
    <col min="66" max="66" width="9.28515625" style="2" customWidth="1"/>
    <col min="67" max="67" width="10.85546875" style="2" customWidth="1"/>
    <col min="68" max="68" width="9.28515625" style="2" customWidth="1"/>
    <col min="69" max="71" width="8.85546875" style="2" customWidth="1"/>
    <col min="72" max="72" width="14.5703125" style="2" customWidth="1"/>
    <col min="73" max="125" width="8.85546875" style="2" customWidth="1"/>
    <col min="126" max="16384" width="9.140625" style="8"/>
  </cols>
  <sheetData>
    <row r="1" spans="1:125" s="1" customFormat="1">
      <c r="A1" s="101"/>
      <c r="B1" s="101"/>
      <c r="C1" s="102"/>
      <c r="D1" s="102"/>
      <c r="E1" s="102"/>
      <c r="F1" s="102"/>
      <c r="G1" s="102"/>
      <c r="H1" s="23"/>
      <c r="I1" s="24"/>
      <c r="J1" s="24"/>
      <c r="K1" s="23"/>
      <c r="L1" s="23"/>
      <c r="M1" s="23"/>
      <c r="N1" s="23"/>
      <c r="O1" s="23"/>
      <c r="P1" s="23" t="s">
        <v>0</v>
      </c>
      <c r="Q1" s="25"/>
      <c r="R1" s="25"/>
      <c r="S1" s="26"/>
      <c r="T1" s="26"/>
      <c r="U1" s="126"/>
      <c r="V1" s="27"/>
      <c r="W1" s="27"/>
      <c r="X1" s="27"/>
      <c r="Y1" s="28"/>
      <c r="Z1" s="28"/>
      <c r="AA1" s="28"/>
      <c r="AB1" s="28"/>
      <c r="AC1" s="29"/>
      <c r="AD1" s="28"/>
      <c r="AE1" s="28"/>
      <c r="AF1" s="30"/>
      <c r="AG1" s="27"/>
      <c r="AH1" s="27"/>
      <c r="AI1" s="27"/>
      <c r="AJ1" s="27"/>
      <c r="AK1" s="27"/>
      <c r="AL1" s="31"/>
      <c r="AM1" s="32"/>
      <c r="AN1" s="31"/>
      <c r="AO1" s="27"/>
      <c r="AP1" s="31"/>
      <c r="AQ1" s="31"/>
      <c r="AR1" s="31"/>
      <c r="AS1" s="31"/>
      <c r="AT1" s="27"/>
      <c r="AU1" s="27"/>
      <c r="AV1" s="27"/>
      <c r="AW1" s="27"/>
      <c r="AX1" s="28"/>
      <c r="AY1" s="28"/>
      <c r="AZ1" s="27"/>
      <c r="BA1" s="33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</row>
    <row r="2" spans="1:125" s="4" customFormat="1" ht="14.25">
      <c r="A2" s="103"/>
      <c r="B2" s="104" t="s">
        <v>1</v>
      </c>
      <c r="C2" s="105"/>
      <c r="D2" s="105"/>
      <c r="E2" s="105"/>
      <c r="F2" s="105"/>
      <c r="G2" s="105"/>
      <c r="H2" s="34"/>
      <c r="I2" s="34"/>
      <c r="J2" s="34"/>
      <c r="K2" s="34"/>
      <c r="L2" s="34"/>
      <c r="M2" s="34"/>
      <c r="N2" s="34"/>
      <c r="O2" s="34"/>
      <c r="P2" s="35"/>
      <c r="Q2" s="146" t="s">
        <v>2</v>
      </c>
      <c r="R2" s="147"/>
      <c r="S2" s="148" t="s">
        <v>3</v>
      </c>
      <c r="T2" s="149"/>
      <c r="U2" s="150"/>
      <c r="V2" s="131" t="s">
        <v>4</v>
      </c>
      <c r="W2" s="132"/>
      <c r="X2" s="132"/>
      <c r="Y2" s="132"/>
      <c r="Z2" s="132"/>
      <c r="AA2" s="133"/>
      <c r="AB2" s="151" t="s">
        <v>5</v>
      </c>
      <c r="AC2" s="141" t="s">
        <v>6</v>
      </c>
      <c r="AD2" s="143" t="s">
        <v>7</v>
      </c>
      <c r="AE2" s="143"/>
      <c r="AF2" s="143"/>
      <c r="AG2" s="131" t="s">
        <v>8</v>
      </c>
      <c r="AH2" s="132"/>
      <c r="AI2" s="132"/>
      <c r="AJ2" s="132"/>
      <c r="AK2" s="131" t="s">
        <v>9</v>
      </c>
      <c r="AL2" s="132"/>
      <c r="AM2" s="132"/>
      <c r="AN2" s="132"/>
      <c r="AO2" s="132"/>
      <c r="AP2" s="132"/>
      <c r="AQ2" s="132"/>
      <c r="AR2" s="132"/>
      <c r="AS2" s="133"/>
      <c r="AT2" s="134" t="s">
        <v>10</v>
      </c>
      <c r="AU2" s="135"/>
      <c r="AV2" s="135"/>
      <c r="AW2" s="136"/>
      <c r="AX2" s="116"/>
      <c r="AY2" s="116"/>
      <c r="AZ2" s="137" t="s">
        <v>11</v>
      </c>
      <c r="BA2" s="139" t="s">
        <v>12</v>
      </c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</row>
    <row r="3" spans="1:125" s="6" customFormat="1" ht="57.75" thickBot="1">
      <c r="A3" s="106"/>
      <c r="B3" s="107" t="s">
        <v>13</v>
      </c>
      <c r="C3" s="36" t="s">
        <v>97</v>
      </c>
      <c r="D3" s="107" t="s">
        <v>95</v>
      </c>
      <c r="E3" s="107" t="s">
        <v>94</v>
      </c>
      <c r="F3" s="107" t="s">
        <v>93</v>
      </c>
      <c r="G3" s="107" t="s">
        <v>96</v>
      </c>
      <c r="H3" s="36" t="s">
        <v>92</v>
      </c>
      <c r="I3" s="37" t="s">
        <v>14</v>
      </c>
      <c r="J3" s="37" t="s">
        <v>89</v>
      </c>
      <c r="K3" s="37" t="s">
        <v>58</v>
      </c>
      <c r="L3" s="37" t="s">
        <v>59</v>
      </c>
      <c r="M3" s="37" t="s">
        <v>57</v>
      </c>
      <c r="N3" s="37" t="s">
        <v>90</v>
      </c>
      <c r="O3" s="37" t="s">
        <v>88</v>
      </c>
      <c r="P3" s="38" t="s">
        <v>91</v>
      </c>
      <c r="Q3" s="38" t="s">
        <v>15</v>
      </c>
      <c r="R3" s="38" t="s">
        <v>16</v>
      </c>
      <c r="S3" s="39" t="s">
        <v>73</v>
      </c>
      <c r="T3" s="39" t="s">
        <v>74</v>
      </c>
      <c r="U3" s="127" t="s">
        <v>75</v>
      </c>
      <c r="V3" s="40" t="s">
        <v>69</v>
      </c>
      <c r="W3" s="40" t="s">
        <v>47</v>
      </c>
      <c r="X3" s="41" t="s">
        <v>17</v>
      </c>
      <c r="Y3" s="42" t="s">
        <v>70</v>
      </c>
      <c r="Z3" s="42" t="s">
        <v>18</v>
      </c>
      <c r="AA3" s="42" t="s">
        <v>19</v>
      </c>
      <c r="AB3" s="152"/>
      <c r="AC3" s="142"/>
      <c r="AD3" s="115" t="s">
        <v>20</v>
      </c>
      <c r="AE3" s="116" t="s">
        <v>21</v>
      </c>
      <c r="AF3" s="116" t="s">
        <v>22</v>
      </c>
      <c r="AG3" s="40" t="s">
        <v>23</v>
      </c>
      <c r="AH3" s="40" t="s">
        <v>24</v>
      </c>
      <c r="AI3" s="117" t="s">
        <v>25</v>
      </c>
      <c r="AJ3" s="118" t="s">
        <v>26</v>
      </c>
      <c r="AK3" s="40" t="s">
        <v>67</v>
      </c>
      <c r="AL3" s="43" t="s">
        <v>27</v>
      </c>
      <c r="AM3" s="40" t="s">
        <v>144</v>
      </c>
      <c r="AN3" s="119" t="s">
        <v>27</v>
      </c>
      <c r="AO3" s="40" t="s">
        <v>28</v>
      </c>
      <c r="AP3" s="119" t="s">
        <v>29</v>
      </c>
      <c r="AQ3" s="119" t="s">
        <v>30</v>
      </c>
      <c r="AR3" s="43" t="s">
        <v>31</v>
      </c>
      <c r="AS3" s="119" t="s">
        <v>32</v>
      </c>
      <c r="AT3" s="44" t="s">
        <v>33</v>
      </c>
      <c r="AU3" s="120" t="s">
        <v>34</v>
      </c>
      <c r="AV3" s="120" t="s">
        <v>35</v>
      </c>
      <c r="AW3" s="120" t="s">
        <v>36</v>
      </c>
      <c r="AX3" s="121" t="s">
        <v>37</v>
      </c>
      <c r="AY3" s="121" t="s">
        <v>38</v>
      </c>
      <c r="AZ3" s="138"/>
      <c r="BA3" s="140"/>
      <c r="BB3" s="5"/>
      <c r="BC3" s="5" t="s">
        <v>40</v>
      </c>
      <c r="BD3" s="5" t="s">
        <v>41</v>
      </c>
      <c r="BE3" s="5" t="s">
        <v>42</v>
      </c>
      <c r="BF3" s="5" t="s">
        <v>43</v>
      </c>
      <c r="BG3" s="5" t="s">
        <v>76</v>
      </c>
      <c r="BH3" s="5" t="s">
        <v>44</v>
      </c>
      <c r="BI3" s="73" t="s">
        <v>45</v>
      </c>
      <c r="BJ3" s="5" t="s">
        <v>46</v>
      </c>
      <c r="BK3" s="5" t="s">
        <v>39</v>
      </c>
      <c r="BL3" s="5" t="s">
        <v>77</v>
      </c>
      <c r="BM3" s="5" t="s">
        <v>47</v>
      </c>
      <c r="BN3" s="5" t="s">
        <v>48</v>
      </c>
      <c r="BO3" s="5" t="s">
        <v>49</v>
      </c>
      <c r="BP3" s="5" t="s">
        <v>50</v>
      </c>
      <c r="BQ3" s="5" t="s">
        <v>78</v>
      </c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</row>
    <row r="4" spans="1:125" s="94" customFormat="1" ht="39" customHeight="1" thickTop="1">
      <c r="A4" s="108">
        <v>1</v>
      </c>
      <c r="B4" s="97" t="s">
        <v>114</v>
      </c>
      <c r="C4" s="97" t="s">
        <v>115</v>
      </c>
      <c r="D4" s="98" t="s">
        <v>117</v>
      </c>
      <c r="E4" s="97" t="s">
        <v>111</v>
      </c>
      <c r="F4" s="97" t="s">
        <v>110</v>
      </c>
      <c r="G4" s="97" t="s">
        <v>121</v>
      </c>
      <c r="H4" s="97" t="str">
        <f>IF(ISNONTEXT(INDEX(Participants!$C$2:$C$50,MATCH(B4,Participants!$B$2:$B$50,0),)),"-",INDEX(Participants!$C$2:$C$50,MATCH(B4,Participants!$B$2:$B$50,0),))</f>
        <v>-</v>
      </c>
      <c r="I4" s="97" t="str">
        <f>IF(ISNONTEXT(INDEX(Participants!$G$2:$G$50,MATCH(B4,Participants!$B$2:$B$50,0),)),"-",INDEX(Participants!$G$2:$G$50,MATCH(B4,Participants!$B$2:$B$50,0),))</f>
        <v>-</v>
      </c>
      <c r="J4" s="97" t="str">
        <f>IF(ISNONTEXT(INDEX(Participants!$I$2:$I$50,MATCH(B4,Participants!$B$2:$B$50,0),)),"-",INDEX(Participants!$I$2:$I$50,MATCH(B4,Participants!$B$2:$B$50,0),))</f>
        <v>-</v>
      </c>
      <c r="K4" s="97" t="s">
        <v>119</v>
      </c>
      <c r="L4" s="97" t="s">
        <v>120</v>
      </c>
      <c r="M4" s="97" t="s">
        <v>113</v>
      </c>
      <c r="N4" s="97" t="str">
        <f>IF(ISNONTEXT(INDEX(Participants!$F$2:$F$50,MATCH(B4,Participants!$B$2:$B$50,0),)),"-",INDEX(Participants!$F$2:$F$50,MATCH(B4,Participants!$B$2:$B$50,0),))</f>
        <v>-</v>
      </c>
      <c r="O4" s="114"/>
      <c r="P4" s="74"/>
      <c r="Q4" s="96" t="str">
        <f>IF(ISNONTEXT(INDEX(Participants!$E$2:$E$50,MATCH(B4,Participants!$B$2:$B$50,0),)),"-",INDEX(Participants!$E$2:$E$50,MATCH(B4,Participants!$B$2:$B$50,0),))</f>
        <v>-</v>
      </c>
      <c r="R4" s="96">
        <f>SUMIFS(Participants!$D$2:$D$50,Participants!$B$2:$B$50,B4)</f>
        <v>0</v>
      </c>
      <c r="S4" s="75">
        <f>IF(ISERROR(MATCH(C$4,Filters!$A$2:$A$3,0)),SUMIFS(Occupancy!$C$2:$C$7000,Occupancy!$B$2:$B$7000,B$4,Occupancy!$D$2:$D$7000,MAX(Occupancy!$D$2:$D$7000)),"#N/A")</f>
        <v>0</v>
      </c>
      <c r="T4" s="75">
        <f>IF(ISERROR(MATCH(C$4,Filters!$A$2:$A$3,0)),SUMIFS(Occupancy!$E$2:$E$7000,Occupancy!$B$2:$B$7000,B$4,Occupancy!$D$2:$D$7000,MAX(Occupancy!$D$2:$D$7000)),"#N/A")</f>
        <v>0</v>
      </c>
      <c r="U4" s="128">
        <f>IF(ISERROR(MATCH(C$4,Filters!$A$2:$A$3,0)),SUMIFS(Occupancy!$D$2:$D$7000,Occupancy!$B$2:$B$7000,B$4,Occupancy!$D$2:$D$7000,MAX(Occupancy!$D$2:$D$7000)),"#N/A")</f>
        <v>0</v>
      </c>
      <c r="V4" s="76"/>
      <c r="W4" s="76"/>
      <c r="X4" s="77"/>
      <c r="Y4" s="76"/>
      <c r="Z4" s="78"/>
      <c r="AA4" s="70"/>
      <c r="AB4" s="79"/>
      <c r="AC4" s="112"/>
      <c r="AD4" s="79"/>
      <c r="AE4" s="80"/>
      <c r="AF4" s="81"/>
      <c r="AG4" s="45" t="e">
        <f>INDEX(Loan!$B$3:$B$50,MATCH(B$4,Loan!$A$3:$A$50,0),)</f>
        <v>#N/A</v>
      </c>
      <c r="AH4" s="46" t="e">
        <f>INDEX(Loan!$C$3:$C$50,MATCH(B$4,Loan!$A$3:$A$50,0),)</f>
        <v>#N/A</v>
      </c>
      <c r="AI4" s="79"/>
      <c r="AJ4" s="82"/>
      <c r="AK4" s="76">
        <f>SUMIFS(Loan!$C$2:$C$500,Loan!$A$2:$A$500,"PK Quarterly report",Loan!$D$2:$D$500,"Q1_2018",Loan!$G$2:$G$500,"1st Mortgage")</f>
        <v>0</v>
      </c>
      <c r="AL4" s="83">
        <f>SUMIFS(Loan!$E$2:$E$500,Loan!$A$2:$A$500,"PK Quarterly report",Loan!$D$2:$D$500,"Q1_2018",Loan!$G$2:$G$500,"1st Mortgage")</f>
        <v>0</v>
      </c>
      <c r="AM4" s="76">
        <f>SUMIFS(Loan!$C$2:$C$500,Loan!$A$2:$A$500,"PK Quarterly report",Loan!$D$2:$D$500,"Q1_2018",Loan!$G$2:$G$500,"1st Mortgage")</f>
        <v>0</v>
      </c>
      <c r="AN4" s="83"/>
      <c r="AO4" s="79"/>
      <c r="AP4" s="84"/>
      <c r="AQ4" s="84"/>
      <c r="AR4" s="85"/>
      <c r="AS4" s="86"/>
      <c r="AT4" s="87"/>
      <c r="AU4" s="87"/>
      <c r="AV4" s="87"/>
      <c r="AW4" s="88"/>
      <c r="AX4" s="89"/>
      <c r="AY4" s="89"/>
      <c r="AZ4" s="100"/>
      <c r="BA4" s="90"/>
      <c r="BB4" s="91"/>
      <c r="BC4" s="92"/>
      <c r="BD4" s="92"/>
      <c r="BE4" s="92"/>
      <c r="BF4" s="92"/>
      <c r="BG4" s="93"/>
      <c r="BH4" s="92"/>
      <c r="BI4" s="93"/>
      <c r="BJ4" s="92"/>
      <c r="BK4" s="92">
        <f>SUM($BC4:$BJ4)</f>
        <v>0</v>
      </c>
      <c r="BL4" s="92"/>
      <c r="BM4" s="92">
        <f>BK4-BJ4-BH4-BG4</f>
        <v>0</v>
      </c>
      <c r="BN4" s="92">
        <f>BG4</f>
        <v>0</v>
      </c>
      <c r="BO4" s="93"/>
      <c r="BP4" s="92">
        <f>BO4+BN4</f>
        <v>0</v>
      </c>
      <c r="BQ4" s="91"/>
      <c r="BR4" s="91"/>
      <c r="BS4" s="91"/>
      <c r="BT4" s="91"/>
      <c r="BU4" s="91"/>
      <c r="BV4" s="91"/>
      <c r="BW4" s="91"/>
      <c r="BX4" s="91"/>
      <c r="BY4" s="91"/>
      <c r="BZ4" s="91"/>
      <c r="CA4" s="91"/>
      <c r="CB4" s="91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91"/>
      <c r="CN4" s="91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1"/>
      <c r="CZ4" s="91"/>
      <c r="DA4" s="91"/>
      <c r="DB4" s="91"/>
      <c r="DC4" s="91"/>
      <c r="DD4" s="91"/>
      <c r="DE4" s="91"/>
      <c r="DF4" s="91"/>
      <c r="DG4" s="91"/>
      <c r="DH4" s="91"/>
      <c r="DI4" s="91"/>
      <c r="DJ4" s="91"/>
      <c r="DK4" s="91"/>
      <c r="DL4" s="91"/>
      <c r="DM4" s="91"/>
      <c r="DN4" s="91"/>
      <c r="DO4" s="91"/>
      <c r="DP4" s="91"/>
      <c r="DQ4" s="91"/>
      <c r="DR4" s="91"/>
      <c r="DS4" s="91"/>
      <c r="DT4" s="91"/>
    </row>
    <row r="5" spans="1:125" s="7" customFormat="1">
      <c r="A5" s="109"/>
      <c r="B5" s="110" t="s">
        <v>39</v>
      </c>
      <c r="C5" s="95" t="s">
        <v>81</v>
      </c>
      <c r="D5" s="111"/>
      <c r="E5" s="111"/>
      <c r="F5" s="111"/>
      <c r="G5" s="111"/>
      <c r="H5" s="47"/>
      <c r="I5" s="48"/>
      <c r="J5" s="48"/>
      <c r="K5" s="49"/>
      <c r="L5" s="49"/>
      <c r="M5" s="49"/>
      <c r="N5" s="50">
        <f>SUM(N4:N4)</f>
        <v>0</v>
      </c>
      <c r="O5" s="113"/>
      <c r="P5" s="49"/>
      <c r="Q5" s="51"/>
      <c r="R5" s="95" t="s">
        <v>81</v>
      </c>
      <c r="S5" s="52">
        <f>AVERAGE(S4:S4)</f>
        <v>0</v>
      </c>
      <c r="T5" s="71">
        <f>AVERAGE(T4:T4)</f>
        <v>0</v>
      </c>
      <c r="U5" s="129"/>
      <c r="V5" s="53">
        <f>SUM(V4:V4)</f>
        <v>0</v>
      </c>
      <c r="W5" s="53">
        <f>SUM(W4:W4)</f>
        <v>0</v>
      </c>
      <c r="X5" s="54" t="e">
        <f>+W5/V5</f>
        <v>#DIV/0!</v>
      </c>
      <c r="Y5" s="53">
        <f>SUM(Y4:Y4)</f>
        <v>0</v>
      </c>
      <c r="Z5" s="55"/>
      <c r="AA5" s="55"/>
      <c r="AB5" s="53">
        <f>SUM(AB4:AB4)</f>
        <v>0</v>
      </c>
      <c r="AC5" s="56">
        <f>IF(Y5&gt;0,Y5/AB5,0)</f>
        <v>0</v>
      </c>
      <c r="AD5" s="53">
        <f>SUM(AD4:AD4)</f>
        <v>0</v>
      </c>
      <c r="AE5" s="57"/>
      <c r="AF5" s="58"/>
      <c r="AG5" s="59"/>
      <c r="AH5" s="59"/>
      <c r="AI5" s="53">
        <f>SUM(AI4:AI4)</f>
        <v>0</v>
      </c>
      <c r="AJ5" s="59"/>
      <c r="AK5" s="53">
        <f>SUM(AK4:AK4)</f>
        <v>0</v>
      </c>
      <c r="AL5" s="60"/>
      <c r="AM5" s="53">
        <f>SUM(AM4:AM4)</f>
        <v>0</v>
      </c>
      <c r="AN5" s="60"/>
      <c r="AO5" s="53">
        <f>SUM(AO4:AO4)</f>
        <v>0</v>
      </c>
      <c r="AP5" s="61"/>
      <c r="AQ5" s="61"/>
      <c r="AR5" s="61"/>
      <c r="AS5" s="61"/>
      <c r="AT5" s="62"/>
      <c r="AU5" s="62"/>
      <c r="AV5" s="62"/>
      <c r="AW5" s="62"/>
      <c r="AX5" s="53">
        <f>SUM(AX4:AX4)</f>
        <v>0</v>
      </c>
      <c r="AY5" s="53">
        <f>SUM(AY4:AY4)</f>
        <v>0</v>
      </c>
      <c r="AZ5" s="53">
        <f>SUM(AZ4:AZ4)</f>
        <v>0</v>
      </c>
      <c r="BA5" s="63"/>
      <c r="BB5" s="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</row>
    <row r="6" spans="1:125" s="7" customFormat="1" hidden="1">
      <c r="A6" s="8"/>
      <c r="B6" s="8"/>
      <c r="C6" s="8"/>
      <c r="D6" s="144"/>
      <c r="E6" s="144"/>
      <c r="F6" s="144"/>
      <c r="G6" s="144"/>
      <c r="H6" s="144"/>
      <c r="I6" s="145"/>
      <c r="J6" s="145"/>
      <c r="K6" s="145"/>
      <c r="L6" s="145"/>
      <c r="M6" s="145"/>
      <c r="N6" s="145"/>
      <c r="O6" s="145"/>
      <c r="P6" s="145"/>
      <c r="Q6" s="145"/>
      <c r="R6" s="9"/>
      <c r="S6" s="10"/>
      <c r="T6" s="10"/>
      <c r="U6" s="130"/>
      <c r="V6" s="12"/>
      <c r="W6" s="12"/>
      <c r="X6" s="12"/>
      <c r="Y6" s="13"/>
      <c r="Z6" s="13"/>
      <c r="AA6" s="13"/>
      <c r="AB6" s="13"/>
      <c r="AC6" s="14"/>
      <c r="AD6" s="13"/>
      <c r="AE6" s="13"/>
      <c r="AF6" s="15"/>
      <c r="AG6" s="12"/>
      <c r="AH6" s="12"/>
      <c r="AI6" s="12"/>
      <c r="AJ6" s="12"/>
      <c r="AK6" s="12"/>
      <c r="AL6" s="16"/>
      <c r="AM6" s="17"/>
      <c r="AN6" s="16"/>
      <c r="AO6" s="18"/>
      <c r="AP6" s="16"/>
      <c r="AQ6" s="16"/>
      <c r="AR6" s="16"/>
      <c r="AS6" s="16"/>
      <c r="AT6" s="12"/>
      <c r="AU6" s="12"/>
      <c r="AV6" s="12"/>
      <c r="AW6" s="12"/>
      <c r="AX6" s="13"/>
      <c r="AY6" s="13"/>
      <c r="AZ6" s="1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</row>
    <row r="7" spans="1:125" hidden="1">
      <c r="B7" s="64" t="s">
        <v>51</v>
      </c>
      <c r="C7" s="64"/>
      <c r="D7" s="2"/>
      <c r="E7" s="2"/>
      <c r="F7" s="2"/>
      <c r="G7" s="2"/>
      <c r="H7" s="2"/>
      <c r="I7" s="3"/>
      <c r="J7" s="3"/>
      <c r="K7" s="2"/>
      <c r="L7" s="2"/>
      <c r="M7" s="2"/>
      <c r="N7" s="2"/>
      <c r="O7" s="2"/>
    </row>
    <row r="8" spans="1:125" hidden="1">
      <c r="B8" s="65" t="s">
        <v>52</v>
      </c>
      <c r="C8" s="6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25" hidden="1">
      <c r="B9" s="2" t="s">
        <v>60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25" hidden="1">
      <c r="B10" s="2" t="s">
        <v>61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25" hidden="1">
      <c r="B11" s="2" t="s">
        <v>53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25" hidden="1">
      <c r="B12" s="2" t="s">
        <v>54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66">
        <f>N5</f>
        <v>0</v>
      </c>
      <c r="O12" s="66"/>
    </row>
    <row r="13" spans="1:125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67" t="e">
        <f>-#REF!</f>
        <v>#REF!</v>
      </c>
      <c r="O13" s="67"/>
    </row>
    <row r="14" spans="1:125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67" t="e">
        <f>-#REF!</f>
        <v>#REF!</v>
      </c>
      <c r="O14" s="67"/>
    </row>
    <row r="15" spans="1:125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67" t="e">
        <f>-#REF!</f>
        <v>#REF!</v>
      </c>
      <c r="O15" s="67"/>
    </row>
    <row r="16" spans="1:125" hidden="1">
      <c r="B16" s="2" t="s">
        <v>55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56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79</v>
      </c>
    </row>
    <row r="23" spans="2:19" ht="18.75">
      <c r="B23" s="8" t="s">
        <v>63</v>
      </c>
      <c r="D23" s="72" t="s">
        <v>71</v>
      </c>
      <c r="E23" s="72"/>
      <c r="F23" s="72"/>
      <c r="G23" s="72"/>
    </row>
    <row r="24" spans="2:19">
      <c r="B24" s="8" t="s">
        <v>62</v>
      </c>
      <c r="D24" s="8" t="s">
        <v>66</v>
      </c>
    </row>
    <row r="25" spans="2:19">
      <c r="B25" s="8" t="s">
        <v>64</v>
      </c>
      <c r="D25" s="8" t="s">
        <v>72</v>
      </c>
    </row>
    <row r="26" spans="2:19">
      <c r="B26" s="8" t="s">
        <v>65</v>
      </c>
      <c r="D26" s="68">
        <v>42844</v>
      </c>
      <c r="E26" s="68"/>
      <c r="F26" s="68"/>
      <c r="G26" s="68"/>
    </row>
    <row r="29" spans="2:19">
      <c r="H29" s="8" t="s">
        <v>68</v>
      </c>
      <c r="I29" s="69">
        <v>0.06</v>
      </c>
      <c r="J29" s="69"/>
    </row>
    <row r="32" spans="2:19">
      <c r="B32" s="95" t="s">
        <v>81</v>
      </c>
      <c r="C32" s="95"/>
      <c r="D32"/>
      <c r="E32"/>
      <c r="F32"/>
      <c r="G32"/>
      <c r="H32"/>
      <c r="I32"/>
      <c r="J32"/>
      <c r="K32"/>
      <c r="L32"/>
    </row>
    <row r="34" spans="2:7">
      <c r="B34" s="95" t="s">
        <v>81</v>
      </c>
      <c r="C34" s="95"/>
      <c r="D34"/>
      <c r="E34"/>
      <c r="F34"/>
      <c r="G34"/>
    </row>
  </sheetData>
  <mergeCells count="12">
    <mergeCell ref="AC2:AC3"/>
    <mergeCell ref="AD2:AF2"/>
    <mergeCell ref="D6:Q6"/>
    <mergeCell ref="Q2:R2"/>
    <mergeCell ref="S2:U2"/>
    <mergeCell ref="V2:AA2"/>
    <mergeCell ref="AB2:AB3"/>
    <mergeCell ref="AG2:AJ2"/>
    <mergeCell ref="AK2:AS2"/>
    <mergeCell ref="AT2:AW2"/>
    <mergeCell ref="AZ2:AZ3"/>
    <mergeCell ref="BA2:BA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zoomScale="80" zoomScaleNormal="80" workbookViewId="0">
      <selection activeCell="C7" sqref="C7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</cols>
  <sheetData>
    <row r="1" spans="1:9" s="99" customFormat="1" ht="48">
      <c r="A1" s="122" t="s">
        <v>83</v>
      </c>
      <c r="B1" s="122" t="s">
        <v>84</v>
      </c>
      <c r="C1" s="122" t="s">
        <v>87</v>
      </c>
      <c r="D1" s="122" t="s">
        <v>82</v>
      </c>
      <c r="E1" s="122" t="s">
        <v>80</v>
      </c>
      <c r="F1" s="122" t="s">
        <v>86</v>
      </c>
      <c r="G1" s="122" t="s">
        <v>85</v>
      </c>
      <c r="H1" s="122" t="s">
        <v>133</v>
      </c>
      <c r="I1" s="122" t="s">
        <v>140</v>
      </c>
    </row>
    <row r="2" spans="1:9" s="99" customFormat="1" ht="60">
      <c r="A2" s="97" t="s">
        <v>123</v>
      </c>
      <c r="B2" s="97" t="s">
        <v>122</v>
      </c>
      <c r="C2" s="97" t="s">
        <v>126</v>
      </c>
      <c r="D2" s="97" t="s">
        <v>127</v>
      </c>
      <c r="E2" s="97" t="s">
        <v>128</v>
      </c>
      <c r="F2" s="97" t="s">
        <v>125</v>
      </c>
      <c r="G2" s="97" t="s">
        <v>124</v>
      </c>
      <c r="H2" s="97" t="s">
        <v>134</v>
      </c>
      <c r="I2" s="97" t="s">
        <v>141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6" sqref="C6"/>
    </sheetView>
  </sheetViews>
  <sheetFormatPr defaultRowHeight="15"/>
  <cols>
    <col min="1" max="1" width="16.85546875" customWidth="1"/>
    <col min="3" max="3" width="21.85546875" bestFit="1" customWidth="1"/>
    <col min="4" max="4" width="9.140625" style="125"/>
  </cols>
  <sheetData>
    <row r="1" spans="1:5" s="99" customFormat="1" ht="60">
      <c r="A1" s="122" t="s">
        <v>135</v>
      </c>
      <c r="B1" s="122" t="s">
        <v>84</v>
      </c>
      <c r="C1" s="122" t="s">
        <v>129</v>
      </c>
      <c r="D1" s="123" t="s">
        <v>130</v>
      </c>
      <c r="E1" s="122" t="s">
        <v>136</v>
      </c>
    </row>
    <row r="2" spans="1:5" s="99" customFormat="1" ht="84">
      <c r="A2" s="97" t="s">
        <v>137</v>
      </c>
      <c r="B2" s="97" t="s">
        <v>139</v>
      </c>
      <c r="C2" s="97" t="s">
        <v>131</v>
      </c>
      <c r="D2" s="124" t="s">
        <v>132</v>
      </c>
      <c r="E2" s="97" t="s">
        <v>138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8" sqref="E18"/>
    </sheetView>
  </sheetViews>
  <sheetFormatPr defaultRowHeight="1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activeCell="C16" sqref="C16"/>
    </sheetView>
  </sheetViews>
  <sheetFormatPr defaultRowHeight="15"/>
  <sheetData>
    <row r="1" spans="1:6" s="99" customFormat="1" ht="96">
      <c r="A1" s="122" t="s">
        <v>145</v>
      </c>
      <c r="B1" s="122" t="s">
        <v>146</v>
      </c>
      <c r="C1" s="122" t="s">
        <v>147</v>
      </c>
      <c r="D1" s="122" t="s">
        <v>148</v>
      </c>
      <c r="E1" s="122" t="s">
        <v>149</v>
      </c>
      <c r="F1" s="122" t="s">
        <v>155</v>
      </c>
    </row>
    <row r="2" spans="1:6" s="99" customFormat="1" ht="108">
      <c r="A2" s="97" t="s">
        <v>150</v>
      </c>
      <c r="B2" s="97" t="s">
        <v>151</v>
      </c>
      <c r="C2" s="97" t="s">
        <v>152</v>
      </c>
      <c r="D2" s="97" t="s">
        <v>153</v>
      </c>
      <c r="E2" s="97" t="s">
        <v>154</v>
      </c>
      <c r="F2" s="97" t="s">
        <v>156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"/>
  <sheetViews>
    <sheetView workbookViewId="0">
      <selection activeCell="D5" sqref="D5"/>
    </sheetView>
  </sheetViews>
  <sheetFormatPr defaultRowHeight="15"/>
  <cols>
    <col min="1" max="1" width="38" bestFit="1" customWidth="1"/>
  </cols>
  <sheetData>
    <row r="1" spans="1:12" s="99" customFormat="1" ht="96">
      <c r="A1" s="122" t="s">
        <v>98</v>
      </c>
      <c r="B1" s="122" t="s">
        <v>99</v>
      </c>
      <c r="C1" s="122" t="s">
        <v>100</v>
      </c>
      <c r="D1" s="122" t="s">
        <v>101</v>
      </c>
      <c r="E1" s="122" t="s">
        <v>102</v>
      </c>
      <c r="F1" s="122" t="s">
        <v>103</v>
      </c>
      <c r="G1" s="122" t="s">
        <v>104</v>
      </c>
      <c r="H1" s="122" t="s">
        <v>105</v>
      </c>
      <c r="I1" s="122" t="s">
        <v>106</v>
      </c>
      <c r="J1" s="122" t="s">
        <v>107</v>
      </c>
      <c r="K1" s="122" t="s">
        <v>108</v>
      </c>
      <c r="L1" s="122" t="s">
        <v>109</v>
      </c>
    </row>
    <row r="2" spans="1:12" s="99" customFormat="1" ht="120">
      <c r="A2" s="97" t="s">
        <v>110</v>
      </c>
      <c r="B2" s="97" t="s">
        <v>111</v>
      </c>
      <c r="C2" s="97" t="s">
        <v>112</v>
      </c>
      <c r="D2" s="97" t="s">
        <v>113</v>
      </c>
      <c r="E2" s="97" t="s">
        <v>114</v>
      </c>
      <c r="F2" s="97" t="s">
        <v>115</v>
      </c>
      <c r="G2" s="97" t="s">
        <v>116</v>
      </c>
      <c r="H2" s="97" t="s">
        <v>117</v>
      </c>
      <c r="I2" s="97" t="s">
        <v>118</v>
      </c>
      <c r="J2" s="97" t="s">
        <v>119</v>
      </c>
      <c r="K2" s="97" t="s">
        <v>120</v>
      </c>
      <c r="L2" s="97" t="s">
        <v>121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153" t="s">
        <v>97</v>
      </c>
      <c r="C1" s="155" t="s">
        <v>157</v>
      </c>
      <c r="E1" s="155" t="s">
        <v>159</v>
      </c>
    </row>
    <row r="2" spans="1:5">
      <c r="A2" s="154" t="s">
        <v>142</v>
      </c>
      <c r="C2" s="155" t="s">
        <v>158</v>
      </c>
      <c r="E2" s="155" t="s">
        <v>160</v>
      </c>
    </row>
    <row r="3" spans="1:5">
      <c r="A3" s="154" t="s">
        <v>143</v>
      </c>
      <c r="E3" s="155" t="s">
        <v>161</v>
      </c>
    </row>
    <row r="4" spans="1:5">
      <c r="E4" s="155" t="s">
        <v>162</v>
      </c>
    </row>
    <row r="5" spans="1:5">
      <c r="E5" s="155" t="s">
        <v>163</v>
      </c>
    </row>
    <row r="6" spans="1:5">
      <c r="E6" s="155" t="s">
        <v>164</v>
      </c>
    </row>
    <row r="7" spans="1:5">
      <c r="E7" s="155" t="s">
        <v>165</v>
      </c>
    </row>
    <row r="8" spans="1:5">
      <c r="E8" s="155" t="s">
        <v>166</v>
      </c>
    </row>
    <row r="9" spans="1:5">
      <c r="E9" s="155" t="s">
        <v>167</v>
      </c>
    </row>
    <row r="10" spans="1:5">
      <c r="E10" s="155" t="s">
        <v>168</v>
      </c>
    </row>
    <row r="11" spans="1:5">
      <c r="E11" s="155" t="s">
        <v>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59</vt:i4>
      </vt:variant>
    </vt:vector>
  </HeadingPairs>
  <TitlesOfParts>
    <vt:vector size="66" baseType="lpstr">
      <vt:lpstr>EHI</vt:lpstr>
      <vt:lpstr>Participants</vt:lpstr>
      <vt:lpstr>Occupancy</vt:lpstr>
      <vt:lpstr>Financial</vt:lpstr>
      <vt:lpstr>Loan</vt:lpstr>
      <vt:lpstr>Sheet6</vt:lpstr>
      <vt:lpstr>Filters</vt:lpstr>
      <vt:lpstr>exit_cap_rate</vt:lpstr>
      <vt:lpstr>EHI!Print_Area</vt:lpstr>
      <vt:lpstr>EHI!Print_Titles</vt:lpstr>
      <vt:lpstr>Reo_Ann_Debt_Serv</vt:lpstr>
      <vt:lpstr>Reo_Ann_Debt_Serv_End</vt:lpstr>
      <vt:lpstr>Reo_Avg_Weekly_Occup</vt:lpstr>
      <vt:lpstr>Reo_Avg_Weekly_Occup_End</vt:lpstr>
      <vt:lpstr>Reo_Borrower_Share</vt:lpstr>
      <vt:lpstr>Reo_Borrower_Share_End</vt:lpstr>
      <vt:lpstr>Reo_Cap_Rate</vt:lpstr>
      <vt:lpstr>Reo_Cap_Rate_End</vt:lpstr>
      <vt:lpstr>Reo_Cash_Flow</vt:lpstr>
      <vt:lpstr>Reo_Cash_Flow_End</vt:lpstr>
      <vt:lpstr>Reo_Curr_Occu</vt:lpstr>
      <vt:lpstr>Reo_Curr_Occu_Date</vt:lpstr>
      <vt:lpstr>Reo_Curr_Occu_Date_End</vt:lpstr>
      <vt:lpstr>Reo_Curr_Occu_End</vt:lpstr>
      <vt:lpstr>Reo_Current_Equity</vt:lpstr>
      <vt:lpstr>Reo_Current_Equity_End</vt:lpstr>
      <vt:lpstr>Reo_Date_Validation</vt:lpstr>
      <vt:lpstr>Reo_Date_Validation_End</vt:lpstr>
      <vt:lpstr>Reo_DSC</vt:lpstr>
      <vt:lpstr>Reo_DSC_End</vt:lpstr>
      <vt:lpstr>Reo_Fair_Market_Value</vt:lpstr>
      <vt:lpstr>Reo_Fair_Market_Value_End</vt:lpstr>
      <vt:lpstr>Reo_Interest</vt:lpstr>
      <vt:lpstr>Reo_Interest_End</vt:lpstr>
      <vt:lpstr>Reo_Land</vt:lpstr>
      <vt:lpstr>Reo_Land_End</vt:lpstr>
      <vt:lpstr>Reo_Location</vt:lpstr>
      <vt:lpstr>Reo_Location_End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Reo_Revenues</vt:lpstr>
      <vt:lpstr>Reo_Revenues_End</vt:lpstr>
      <vt:lpstr>Reo_Role</vt:lpstr>
      <vt:lpstr>Reo_Role_End</vt:lpstr>
      <vt:lpstr>Reo_Sr_No</vt:lpstr>
      <vt:lpstr>Reo_Sr_No_End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Reo_Type_End</vt:lpstr>
      <vt:lpstr>Reo_Units</vt:lpstr>
      <vt:lpstr>Reo_Units_End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2018-07-24T12:32:02Z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