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bookViews>
    <workbookView xWindow="0" yWindow="0" windowWidth="22260" windowHeight="12645" tabRatio="596" activeTab="1"/>
  </bookViews>
  <sheets>
    <sheet name="Instructions" sheetId="7" r:id="rId1"/>
    <sheet name="Main" sheetId="10" r:id="rId2"/>
    <sheet name="Main Data" sheetId="6" r:id="rId3"/>
    <sheet name="BalSht" sheetId="2" r:id="rId4"/>
    <sheet name="BalSht Data" sheetId="4" r:id="rId5"/>
    <sheet name="IncStmt" sheetId="3" r:id="rId6"/>
    <sheet name="IncStmt Data" sheetId="5" r:id="rId7"/>
  </sheets>
  <externalReferences>
    <externalReference r:id="rId8"/>
  </externalReferences>
  <definedNames>
    <definedName name="_xlnm._FilterDatabase" localSheetId="1" hidden="1">Main!$B$10:$G$51</definedName>
    <definedName name="FundList">'[1]Fund Names'!$A$2:$A$326</definedName>
    <definedName name="ProjectNames">#REF!</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6" i="10" l="1"/>
  <c r="B2" i="2" l="1"/>
  <c r="B6" i="2"/>
  <c r="B7" i="2"/>
  <c r="B8" i="2"/>
  <c r="B9" i="2"/>
  <c r="B13" i="2"/>
  <c r="B18" i="2"/>
  <c r="B19" i="2"/>
  <c r="B20" i="2"/>
  <c r="B21" i="2"/>
  <c r="B22" i="2"/>
  <c r="B23" i="2"/>
  <c r="B24" i="2"/>
  <c r="B25" i="2"/>
  <c r="B26" i="2"/>
  <c r="B31" i="2"/>
  <c r="B32" i="2"/>
  <c r="B33" i="2"/>
  <c r="B34" i="2"/>
  <c r="B35" i="2"/>
  <c r="B36" i="2"/>
  <c r="B37" i="2"/>
  <c r="B38" i="2"/>
  <c r="B39" i="2"/>
  <c r="B40" i="2"/>
  <c r="B41" i="2"/>
  <c r="B42" i="2"/>
  <c r="B43" i="2"/>
  <c r="B11" i="2" l="1"/>
  <c r="B15" i="2" s="1"/>
  <c r="B28" i="2" s="1"/>
  <c r="B45" i="2"/>
  <c r="B22" i="3"/>
  <c r="B21" i="3"/>
  <c r="B20" i="3"/>
  <c r="B19" i="3"/>
  <c r="B18" i="3"/>
  <c r="B17" i="3"/>
  <c r="B16" i="3"/>
  <c r="B15" i="3"/>
  <c r="B14" i="3"/>
  <c r="B13" i="3"/>
  <c r="B12" i="3"/>
  <c r="B11" i="3"/>
  <c r="B7" i="3"/>
  <c r="B6" i="3"/>
  <c r="B5" i="3"/>
  <c r="B2" i="3"/>
  <c r="B8" i="3" l="1"/>
  <c r="B23" i="3"/>
  <c r="CZ47" i="2"/>
  <c r="CY47" i="2"/>
  <c r="CX47" i="2"/>
  <c r="CW47" i="2"/>
  <c r="CV47" i="2"/>
  <c r="CU47" i="2"/>
  <c r="CT47" i="2"/>
  <c r="CS47" i="2"/>
  <c r="CR47" i="2"/>
  <c r="CQ47" i="2"/>
  <c r="CP47" i="2"/>
  <c r="CO47" i="2"/>
  <c r="CN47" i="2"/>
  <c r="CM47" i="2"/>
  <c r="CL47" i="2"/>
  <c r="CK47" i="2"/>
  <c r="CJ47" i="2"/>
  <c r="CI47" i="2"/>
  <c r="CH47" i="2"/>
  <c r="CG47" i="2"/>
  <c r="CF47" i="2"/>
  <c r="CE47" i="2"/>
  <c r="CD47" i="2"/>
  <c r="CC47" i="2"/>
  <c r="CB47" i="2"/>
  <c r="CA47" i="2"/>
  <c r="BZ47" i="2"/>
  <c r="BY47" i="2"/>
  <c r="BX47" i="2"/>
  <c r="BW47" i="2"/>
  <c r="BV47" i="2"/>
  <c r="BU47" i="2"/>
  <c r="BT47" i="2"/>
  <c r="BS47" i="2"/>
  <c r="BR47" i="2"/>
  <c r="BQ47" i="2"/>
  <c r="BP47" i="2"/>
  <c r="BO47" i="2"/>
  <c r="BN47" i="2"/>
  <c r="BM47" i="2"/>
  <c r="BL47" i="2"/>
  <c r="BK47" i="2"/>
  <c r="BJ47" i="2"/>
  <c r="BI47" i="2"/>
  <c r="BH47" i="2"/>
  <c r="BG47" i="2"/>
  <c r="BF47" i="2"/>
  <c r="BE47" i="2"/>
  <c r="BD47" i="2"/>
  <c r="BC47" i="2"/>
  <c r="BB47" i="2"/>
  <c r="BA47" i="2"/>
  <c r="AZ47" i="2"/>
  <c r="AY47" i="2"/>
  <c r="AX47" i="2"/>
  <c r="AW47" i="2"/>
  <c r="AV47" i="2"/>
  <c r="AU47" i="2"/>
  <c r="AT47" i="2"/>
  <c r="AS47" i="2"/>
  <c r="AR47" i="2"/>
  <c r="C6" i="2" l="1"/>
  <c r="B47" i="2" l="1"/>
  <c r="B49" i="2" s="1"/>
  <c r="C13" i="3"/>
  <c r="CZ21" i="3" l="1"/>
  <c r="CY21" i="3"/>
  <c r="CX21" i="3"/>
  <c r="CW21" i="3"/>
  <c r="CV21" i="3"/>
  <c r="CU21" i="3"/>
  <c r="CT21" i="3"/>
  <c r="CS21" i="3"/>
  <c r="CR21" i="3"/>
  <c r="CQ21" i="3"/>
  <c r="CP21" i="3"/>
  <c r="CO21" i="3"/>
  <c r="CN21" i="3"/>
  <c r="CM21" i="3"/>
  <c r="CL21" i="3"/>
  <c r="CK21" i="3"/>
  <c r="CJ21" i="3"/>
  <c r="CI21" i="3"/>
  <c r="CH21" i="3"/>
  <c r="CG21" i="3"/>
  <c r="CF21" i="3"/>
  <c r="CE21" i="3"/>
  <c r="CD21" i="3"/>
  <c r="CC21" i="3"/>
  <c r="CB21" i="3"/>
  <c r="CA21" i="3"/>
  <c r="BZ21" i="3"/>
  <c r="BY21" i="3"/>
  <c r="BX21" i="3"/>
  <c r="BW21" i="3"/>
  <c r="BV21" i="3"/>
  <c r="BU21" i="3"/>
  <c r="BT21" i="3"/>
  <c r="BS21" i="3"/>
  <c r="BR21" i="3"/>
  <c r="BQ21" i="3"/>
  <c r="BP21" i="3"/>
  <c r="BO21" i="3"/>
  <c r="BN21" i="3"/>
  <c r="BM21" i="3"/>
  <c r="BL21" i="3"/>
  <c r="BK21" i="3"/>
  <c r="BJ21" i="3"/>
  <c r="BI21" i="3"/>
  <c r="BH21" i="3"/>
  <c r="BG21" i="3"/>
  <c r="BF21" i="3"/>
  <c r="BE21" i="3"/>
  <c r="BD21" i="3"/>
  <c r="BC21" i="3"/>
  <c r="BB21" i="3"/>
  <c r="BA21" i="3"/>
  <c r="AZ21" i="3"/>
  <c r="AY21" i="3"/>
  <c r="AX21" i="3"/>
  <c r="AW21" i="3"/>
  <c r="AV21" i="3"/>
  <c r="AU21" i="3"/>
  <c r="AT21" i="3"/>
  <c r="AS21" i="3"/>
  <c r="AR21" i="3"/>
  <c r="AQ21" i="3"/>
  <c r="AP21" i="3"/>
  <c r="AO21" i="3"/>
  <c r="AN21" i="3"/>
  <c r="AM21" i="3"/>
  <c r="AL21" i="3"/>
  <c r="AK21" i="3"/>
  <c r="AJ21" i="3"/>
  <c r="AI21" i="3"/>
  <c r="AH21" i="3"/>
  <c r="AG21" i="3"/>
  <c r="AF21" i="3"/>
  <c r="AE21" i="3"/>
  <c r="AD21" i="3"/>
  <c r="AC21" i="3"/>
  <c r="AB21" i="3"/>
  <c r="AA21" i="3"/>
  <c r="Z21" i="3"/>
  <c r="Y21" i="3"/>
  <c r="X21" i="3"/>
  <c r="W21" i="3"/>
  <c r="V21" i="3"/>
  <c r="U21" i="3"/>
  <c r="T21" i="3"/>
  <c r="S21" i="3"/>
  <c r="R21" i="3"/>
  <c r="Q21" i="3"/>
  <c r="P21" i="3"/>
  <c r="O21" i="3"/>
  <c r="N21" i="3"/>
  <c r="M21" i="3"/>
  <c r="L21" i="3"/>
  <c r="K21" i="3"/>
  <c r="J21" i="3"/>
  <c r="I21" i="3"/>
  <c r="H21" i="3"/>
  <c r="G21" i="3"/>
  <c r="F21" i="3"/>
  <c r="E21" i="3"/>
  <c r="D21" i="3"/>
  <c r="C21" i="3"/>
  <c r="CZ20" i="3"/>
  <c r="CY20" i="3"/>
  <c r="CX20" i="3"/>
  <c r="CW20" i="3"/>
  <c r="CV20" i="3"/>
  <c r="CU20" i="3"/>
  <c r="CT20" i="3"/>
  <c r="CS20" i="3"/>
  <c r="CR20" i="3"/>
  <c r="CQ20" i="3"/>
  <c r="CP20" i="3"/>
  <c r="CO20" i="3"/>
  <c r="CN20" i="3"/>
  <c r="CM20" i="3"/>
  <c r="CL20" i="3"/>
  <c r="CK20" i="3"/>
  <c r="CJ20" i="3"/>
  <c r="CI20" i="3"/>
  <c r="CH20" i="3"/>
  <c r="CG20" i="3"/>
  <c r="CF20" i="3"/>
  <c r="CE20" i="3"/>
  <c r="CD20" i="3"/>
  <c r="CC20" i="3"/>
  <c r="CB20" i="3"/>
  <c r="CA20" i="3"/>
  <c r="BZ20" i="3"/>
  <c r="BY20" i="3"/>
  <c r="BX20" i="3"/>
  <c r="BW20" i="3"/>
  <c r="BV20" i="3"/>
  <c r="BU20" i="3"/>
  <c r="BT20" i="3"/>
  <c r="BS20" i="3"/>
  <c r="BR20" i="3"/>
  <c r="BQ20" i="3"/>
  <c r="BP20" i="3"/>
  <c r="BO20" i="3"/>
  <c r="BN20" i="3"/>
  <c r="BM20" i="3"/>
  <c r="BL20" i="3"/>
  <c r="BK20" i="3"/>
  <c r="BJ20" i="3"/>
  <c r="BI20" i="3"/>
  <c r="BH20" i="3"/>
  <c r="BG20" i="3"/>
  <c r="BF20" i="3"/>
  <c r="BE20" i="3"/>
  <c r="BD20" i="3"/>
  <c r="BC20" i="3"/>
  <c r="BB20" i="3"/>
  <c r="BA20" i="3"/>
  <c r="AZ20" i="3"/>
  <c r="AY20" i="3"/>
  <c r="AX20" i="3"/>
  <c r="AW20" i="3"/>
  <c r="AV20" i="3"/>
  <c r="AU20" i="3"/>
  <c r="AT20" i="3"/>
  <c r="AS20" i="3"/>
  <c r="AR20" i="3"/>
  <c r="AQ20" i="3"/>
  <c r="AP20" i="3"/>
  <c r="AO20" i="3"/>
  <c r="AN20" i="3"/>
  <c r="AM20" i="3"/>
  <c r="AL20" i="3"/>
  <c r="AK20" i="3"/>
  <c r="AJ20" i="3"/>
  <c r="AI20" i="3"/>
  <c r="AH20" i="3"/>
  <c r="AG20" i="3"/>
  <c r="AF20" i="3"/>
  <c r="AE20" i="3"/>
  <c r="AD20" i="3"/>
  <c r="AC20" i="3"/>
  <c r="AB20" i="3"/>
  <c r="AA20" i="3"/>
  <c r="Z20" i="3"/>
  <c r="Y20" i="3"/>
  <c r="X20" i="3"/>
  <c r="W20" i="3"/>
  <c r="V20" i="3"/>
  <c r="U20" i="3"/>
  <c r="T20" i="3"/>
  <c r="S20" i="3"/>
  <c r="R20" i="3"/>
  <c r="Q20" i="3"/>
  <c r="P20" i="3"/>
  <c r="O20" i="3"/>
  <c r="N20" i="3"/>
  <c r="M20" i="3"/>
  <c r="L20" i="3"/>
  <c r="K20" i="3"/>
  <c r="J20" i="3"/>
  <c r="I20" i="3"/>
  <c r="H20" i="3"/>
  <c r="G20" i="3"/>
  <c r="F20" i="3"/>
  <c r="E20" i="3"/>
  <c r="D20" i="3"/>
  <c r="C20" i="3"/>
  <c r="CZ19" i="3"/>
  <c r="CY19" i="3"/>
  <c r="CX19" i="3"/>
  <c r="CW19" i="3"/>
  <c r="CV19" i="3"/>
  <c r="CU19" i="3"/>
  <c r="CT19" i="3"/>
  <c r="CS19" i="3"/>
  <c r="CR19" i="3"/>
  <c r="CQ19" i="3"/>
  <c r="CP19" i="3"/>
  <c r="CO19" i="3"/>
  <c r="CN19" i="3"/>
  <c r="CM19" i="3"/>
  <c r="CL19" i="3"/>
  <c r="CK19" i="3"/>
  <c r="CJ19" i="3"/>
  <c r="CI19" i="3"/>
  <c r="CH19" i="3"/>
  <c r="CG19" i="3"/>
  <c r="CF19" i="3"/>
  <c r="CE19" i="3"/>
  <c r="CD19" i="3"/>
  <c r="CC19" i="3"/>
  <c r="CB19" i="3"/>
  <c r="CA19" i="3"/>
  <c r="BZ19" i="3"/>
  <c r="BY19" i="3"/>
  <c r="BX19" i="3"/>
  <c r="BW19" i="3"/>
  <c r="BV19" i="3"/>
  <c r="BU19" i="3"/>
  <c r="BT19" i="3"/>
  <c r="BS19" i="3"/>
  <c r="BR19" i="3"/>
  <c r="BQ19" i="3"/>
  <c r="BP19" i="3"/>
  <c r="BO19" i="3"/>
  <c r="BN19" i="3"/>
  <c r="BM19" i="3"/>
  <c r="BL19" i="3"/>
  <c r="BK19" i="3"/>
  <c r="BJ19" i="3"/>
  <c r="BI19" i="3"/>
  <c r="BH19" i="3"/>
  <c r="BG19" i="3"/>
  <c r="BF19" i="3"/>
  <c r="BE19" i="3"/>
  <c r="BD19" i="3"/>
  <c r="BC19" i="3"/>
  <c r="BB19" i="3"/>
  <c r="BA19" i="3"/>
  <c r="AZ19" i="3"/>
  <c r="AY19" i="3"/>
  <c r="AX19" i="3"/>
  <c r="AW19" i="3"/>
  <c r="AV19" i="3"/>
  <c r="AU19" i="3"/>
  <c r="AT19" i="3"/>
  <c r="AS19" i="3"/>
  <c r="AR19" i="3"/>
  <c r="AQ19" i="3"/>
  <c r="AP19" i="3"/>
  <c r="AO19" i="3"/>
  <c r="AN19" i="3"/>
  <c r="AM19" i="3"/>
  <c r="AL19" i="3"/>
  <c r="AK19" i="3"/>
  <c r="AJ19" i="3"/>
  <c r="AI19" i="3"/>
  <c r="AH19" i="3"/>
  <c r="AG19" i="3"/>
  <c r="AF19" i="3"/>
  <c r="AE19" i="3"/>
  <c r="AD19" i="3"/>
  <c r="AC19" i="3"/>
  <c r="AB19" i="3"/>
  <c r="AA19" i="3"/>
  <c r="Z19" i="3"/>
  <c r="Y19" i="3"/>
  <c r="X19" i="3"/>
  <c r="W19" i="3"/>
  <c r="V19" i="3"/>
  <c r="U19" i="3"/>
  <c r="T19" i="3"/>
  <c r="S19" i="3"/>
  <c r="R19" i="3"/>
  <c r="Q19" i="3"/>
  <c r="P19" i="3"/>
  <c r="O19" i="3"/>
  <c r="N19" i="3"/>
  <c r="M19" i="3"/>
  <c r="L19" i="3"/>
  <c r="K19" i="3"/>
  <c r="J19" i="3"/>
  <c r="I19" i="3"/>
  <c r="H19" i="3"/>
  <c r="G19" i="3"/>
  <c r="F19" i="3"/>
  <c r="E19" i="3"/>
  <c r="D19" i="3"/>
  <c r="C19" i="3"/>
  <c r="CZ22" i="3"/>
  <c r="CY22" i="3"/>
  <c r="CX22" i="3"/>
  <c r="CW22" i="3"/>
  <c r="CV22" i="3"/>
  <c r="CU22" i="3"/>
  <c r="CT22" i="3"/>
  <c r="CS22" i="3"/>
  <c r="CR22" i="3"/>
  <c r="CQ22" i="3"/>
  <c r="CP22" i="3"/>
  <c r="CO22" i="3"/>
  <c r="CN22" i="3"/>
  <c r="CM22" i="3"/>
  <c r="CL22" i="3"/>
  <c r="CK22" i="3"/>
  <c r="CJ22" i="3"/>
  <c r="CI22" i="3"/>
  <c r="CH22" i="3"/>
  <c r="CG22" i="3"/>
  <c r="CF22" i="3"/>
  <c r="CE22" i="3"/>
  <c r="CD22" i="3"/>
  <c r="CC22" i="3"/>
  <c r="CB22" i="3"/>
  <c r="CA22" i="3"/>
  <c r="BZ22" i="3"/>
  <c r="BY22" i="3"/>
  <c r="BX22" i="3"/>
  <c r="BW22" i="3"/>
  <c r="BV22" i="3"/>
  <c r="BU22" i="3"/>
  <c r="BT22" i="3"/>
  <c r="BS22" i="3"/>
  <c r="BR22" i="3"/>
  <c r="BQ22" i="3"/>
  <c r="BP22" i="3"/>
  <c r="BO22" i="3"/>
  <c r="BN22" i="3"/>
  <c r="BM22" i="3"/>
  <c r="BL22" i="3"/>
  <c r="BK22" i="3"/>
  <c r="BJ22" i="3"/>
  <c r="BI22" i="3"/>
  <c r="BH22" i="3"/>
  <c r="BG22" i="3"/>
  <c r="BF22" i="3"/>
  <c r="BE22" i="3"/>
  <c r="BD22" i="3"/>
  <c r="BC22" i="3"/>
  <c r="BB22" i="3"/>
  <c r="BA22" i="3"/>
  <c r="AZ22" i="3"/>
  <c r="AY22" i="3"/>
  <c r="AX22" i="3"/>
  <c r="AW22" i="3"/>
  <c r="AV22" i="3"/>
  <c r="AU22" i="3"/>
  <c r="AT22" i="3"/>
  <c r="AS22" i="3"/>
  <c r="AR22" i="3"/>
  <c r="AQ22" i="3"/>
  <c r="AP22" i="3"/>
  <c r="AO22" i="3"/>
  <c r="AN22" i="3"/>
  <c r="AM22" i="3"/>
  <c r="AL22" i="3"/>
  <c r="AK22" i="3"/>
  <c r="AJ22" i="3"/>
  <c r="AI22" i="3"/>
  <c r="AH22" i="3"/>
  <c r="AG22" i="3"/>
  <c r="AF22" i="3"/>
  <c r="AE22" i="3"/>
  <c r="AD22" i="3"/>
  <c r="AC22" i="3"/>
  <c r="AB22" i="3"/>
  <c r="AA22" i="3"/>
  <c r="Z22" i="3"/>
  <c r="Y22" i="3"/>
  <c r="X22" i="3"/>
  <c r="W22" i="3"/>
  <c r="V22" i="3"/>
  <c r="U22" i="3"/>
  <c r="T22" i="3"/>
  <c r="S22" i="3"/>
  <c r="R22" i="3"/>
  <c r="Q22" i="3"/>
  <c r="P22" i="3"/>
  <c r="O22" i="3"/>
  <c r="N22" i="3"/>
  <c r="M22" i="3"/>
  <c r="L22" i="3"/>
  <c r="K22" i="3"/>
  <c r="J22" i="3"/>
  <c r="I22" i="3"/>
  <c r="H22" i="3"/>
  <c r="G22" i="3"/>
  <c r="F22" i="3"/>
  <c r="E22" i="3"/>
  <c r="D22" i="3"/>
  <c r="C22" i="3"/>
  <c r="CZ26" i="2"/>
  <c r="CY26" i="2"/>
  <c r="CX26" i="2"/>
  <c r="CW26" i="2"/>
  <c r="CV26" i="2"/>
  <c r="CU26" i="2"/>
  <c r="CT26" i="2"/>
  <c r="CS26" i="2"/>
  <c r="CR26" i="2"/>
  <c r="CQ26" i="2"/>
  <c r="CP26" i="2"/>
  <c r="CO26" i="2"/>
  <c r="CN26" i="2"/>
  <c r="CM26" i="2"/>
  <c r="CL26" i="2"/>
  <c r="CK26" i="2"/>
  <c r="CJ26" i="2"/>
  <c r="CI26" i="2"/>
  <c r="CH26" i="2"/>
  <c r="CG26" i="2"/>
  <c r="CF26" i="2"/>
  <c r="CE26" i="2"/>
  <c r="CD26" i="2"/>
  <c r="CC26" i="2"/>
  <c r="CB26" i="2"/>
  <c r="CA26" i="2"/>
  <c r="BZ26" i="2"/>
  <c r="BY26" i="2"/>
  <c r="BX26" i="2"/>
  <c r="BW26" i="2"/>
  <c r="BV26" i="2"/>
  <c r="BU26" i="2"/>
  <c r="BT26" i="2"/>
  <c r="BS26" i="2"/>
  <c r="BR26" i="2"/>
  <c r="BQ26" i="2"/>
  <c r="BP26" i="2"/>
  <c r="BO26" i="2"/>
  <c r="BN26" i="2"/>
  <c r="BM26" i="2"/>
  <c r="BL26" i="2"/>
  <c r="BK26" i="2"/>
  <c r="BJ26" i="2"/>
  <c r="BI26" i="2"/>
  <c r="BH26" i="2"/>
  <c r="BG26" i="2"/>
  <c r="BF26" i="2"/>
  <c r="BE26" i="2"/>
  <c r="BD26" i="2"/>
  <c r="BC26" i="2"/>
  <c r="BB26" i="2"/>
  <c r="BA26" i="2"/>
  <c r="AZ26" i="2"/>
  <c r="AY26" i="2"/>
  <c r="AX26" i="2"/>
  <c r="AW26" i="2"/>
  <c r="AV26" i="2"/>
  <c r="AU26" i="2"/>
  <c r="AT26" i="2"/>
  <c r="AS26" i="2"/>
  <c r="AR26" i="2"/>
  <c r="AQ26" i="2"/>
  <c r="AP26" i="2"/>
  <c r="AO26" i="2"/>
  <c r="AN26" i="2"/>
  <c r="AM26" i="2"/>
  <c r="AL26" i="2"/>
  <c r="AK26" i="2"/>
  <c r="AJ26" i="2"/>
  <c r="AI26" i="2"/>
  <c r="AH26" i="2"/>
  <c r="AG26" i="2"/>
  <c r="AF26" i="2"/>
  <c r="AE26" i="2"/>
  <c r="AD26" i="2"/>
  <c r="AC26" i="2"/>
  <c r="AB26" i="2"/>
  <c r="AA26" i="2"/>
  <c r="Z26" i="2"/>
  <c r="Y26" i="2"/>
  <c r="X26" i="2"/>
  <c r="W26" i="2"/>
  <c r="V26" i="2"/>
  <c r="U26" i="2"/>
  <c r="T26" i="2"/>
  <c r="S26" i="2"/>
  <c r="R26" i="2"/>
  <c r="Q26" i="2"/>
  <c r="P26" i="2"/>
  <c r="O26" i="2"/>
  <c r="N26" i="2"/>
  <c r="M26" i="2"/>
  <c r="L26" i="2"/>
  <c r="K26" i="2"/>
  <c r="J26" i="2"/>
  <c r="I26" i="2"/>
  <c r="H26" i="2"/>
  <c r="G26" i="2"/>
  <c r="F26" i="2"/>
  <c r="E26" i="2"/>
  <c r="D26" i="2"/>
  <c r="C26" i="2"/>
  <c r="CZ43" i="2" l="1"/>
  <c r="CY43" i="2"/>
  <c r="CX43" i="2"/>
  <c r="CW43" i="2"/>
  <c r="CV43" i="2"/>
  <c r="CU43" i="2"/>
  <c r="CT43" i="2"/>
  <c r="CS43" i="2"/>
  <c r="CR43" i="2"/>
  <c r="CQ43" i="2"/>
  <c r="CP43" i="2"/>
  <c r="CO43" i="2"/>
  <c r="CN43" i="2"/>
  <c r="CM43" i="2"/>
  <c r="CL43" i="2"/>
  <c r="CK43" i="2"/>
  <c r="CJ43" i="2"/>
  <c r="CI43" i="2"/>
  <c r="CH43" i="2"/>
  <c r="CG43" i="2"/>
  <c r="CF43" i="2"/>
  <c r="CE43" i="2"/>
  <c r="CD43" i="2"/>
  <c r="CC43" i="2"/>
  <c r="CB43" i="2"/>
  <c r="CA43" i="2"/>
  <c r="BZ43" i="2"/>
  <c r="BY43" i="2"/>
  <c r="BX43" i="2"/>
  <c r="BW43" i="2"/>
  <c r="BV43" i="2"/>
  <c r="BU43" i="2"/>
  <c r="BT43" i="2"/>
  <c r="BS43" i="2"/>
  <c r="BR43" i="2"/>
  <c r="BQ43" i="2"/>
  <c r="BP43" i="2"/>
  <c r="BO43" i="2"/>
  <c r="BN43" i="2"/>
  <c r="BM43" i="2"/>
  <c r="BL43" i="2"/>
  <c r="BK43" i="2"/>
  <c r="BJ43" i="2"/>
  <c r="BI43" i="2"/>
  <c r="BH43" i="2"/>
  <c r="BG43" i="2"/>
  <c r="BF43" i="2"/>
  <c r="BE43" i="2"/>
  <c r="BD43" i="2"/>
  <c r="BC43" i="2"/>
  <c r="BB43" i="2"/>
  <c r="BA43" i="2"/>
  <c r="AZ43" i="2"/>
  <c r="AY43" i="2"/>
  <c r="AX43" i="2"/>
  <c r="AW43" i="2"/>
  <c r="AV43" i="2"/>
  <c r="AU43" i="2"/>
  <c r="AT43" i="2"/>
  <c r="AS43" i="2"/>
  <c r="AR43" i="2"/>
  <c r="AQ43" i="2"/>
  <c r="AP43" i="2"/>
  <c r="AO43" i="2"/>
  <c r="AN43" i="2"/>
  <c r="AM43" i="2"/>
  <c r="AL43" i="2"/>
  <c r="AK43" i="2"/>
  <c r="AJ43" i="2"/>
  <c r="AI43" i="2"/>
  <c r="AH43" i="2"/>
  <c r="AG43" i="2"/>
  <c r="AF43" i="2"/>
  <c r="AE43" i="2"/>
  <c r="AD43" i="2"/>
  <c r="AC43" i="2"/>
  <c r="AB43" i="2"/>
  <c r="AA43" i="2"/>
  <c r="Z43" i="2"/>
  <c r="Y43" i="2"/>
  <c r="X43" i="2"/>
  <c r="W43" i="2"/>
  <c r="V43" i="2"/>
  <c r="U43" i="2"/>
  <c r="T43" i="2"/>
  <c r="S43" i="2"/>
  <c r="R43" i="2"/>
  <c r="Q43" i="2"/>
  <c r="P43" i="2"/>
  <c r="O43" i="2"/>
  <c r="N43" i="2"/>
  <c r="M43" i="2"/>
  <c r="L43" i="2"/>
  <c r="K43" i="2"/>
  <c r="J43" i="2"/>
  <c r="I43" i="2"/>
  <c r="H43" i="2"/>
  <c r="G43" i="2"/>
  <c r="F43" i="2"/>
  <c r="E43" i="2"/>
  <c r="D43" i="2"/>
  <c r="C43" i="2"/>
  <c r="CZ42" i="2"/>
  <c r="CY42" i="2"/>
  <c r="CX42" i="2"/>
  <c r="CW42" i="2"/>
  <c r="CV42" i="2"/>
  <c r="CU42" i="2"/>
  <c r="CT42" i="2"/>
  <c r="CS42" i="2"/>
  <c r="CR42" i="2"/>
  <c r="CQ42" i="2"/>
  <c r="CP42" i="2"/>
  <c r="CO42" i="2"/>
  <c r="CN42" i="2"/>
  <c r="CM42" i="2"/>
  <c r="CL42" i="2"/>
  <c r="CK42" i="2"/>
  <c r="CJ42" i="2"/>
  <c r="CI42" i="2"/>
  <c r="CH42" i="2"/>
  <c r="CG42" i="2"/>
  <c r="CF42" i="2"/>
  <c r="CE42" i="2"/>
  <c r="CD42" i="2"/>
  <c r="CC42" i="2"/>
  <c r="CB42" i="2"/>
  <c r="CA42" i="2"/>
  <c r="BZ42" i="2"/>
  <c r="BY42" i="2"/>
  <c r="BX42" i="2"/>
  <c r="BW42" i="2"/>
  <c r="BV42" i="2"/>
  <c r="BU42" i="2"/>
  <c r="BT42" i="2"/>
  <c r="BS42" i="2"/>
  <c r="BR42" i="2"/>
  <c r="BQ42" i="2"/>
  <c r="BP42" i="2"/>
  <c r="BO42" i="2"/>
  <c r="BN42" i="2"/>
  <c r="BM42" i="2"/>
  <c r="BL42" i="2"/>
  <c r="BK42" i="2"/>
  <c r="BJ42" i="2"/>
  <c r="BI42" i="2"/>
  <c r="BH42" i="2"/>
  <c r="BG42" i="2"/>
  <c r="BF42" i="2"/>
  <c r="BE42" i="2"/>
  <c r="BD42" i="2"/>
  <c r="BC42" i="2"/>
  <c r="BB42" i="2"/>
  <c r="BA42" i="2"/>
  <c r="AZ42" i="2"/>
  <c r="AY42" i="2"/>
  <c r="AX42" i="2"/>
  <c r="AW42" i="2"/>
  <c r="AV42" i="2"/>
  <c r="AU42" i="2"/>
  <c r="AT42" i="2"/>
  <c r="AS42" i="2"/>
  <c r="AR42" i="2"/>
  <c r="AQ42" i="2"/>
  <c r="AP42" i="2"/>
  <c r="AO42" i="2"/>
  <c r="AN42" i="2"/>
  <c r="AM42" i="2"/>
  <c r="AL42" i="2"/>
  <c r="AK42" i="2"/>
  <c r="AJ42" i="2"/>
  <c r="AI42" i="2"/>
  <c r="AH42" i="2"/>
  <c r="AG42" i="2"/>
  <c r="AF42" i="2"/>
  <c r="AE42" i="2"/>
  <c r="AD42" i="2"/>
  <c r="AC42" i="2"/>
  <c r="AB42" i="2"/>
  <c r="AA42" i="2"/>
  <c r="Z42" i="2"/>
  <c r="Y42" i="2"/>
  <c r="X42" i="2"/>
  <c r="W42" i="2"/>
  <c r="V42" i="2"/>
  <c r="U42" i="2"/>
  <c r="T42" i="2"/>
  <c r="S42" i="2"/>
  <c r="R42" i="2"/>
  <c r="Q42" i="2"/>
  <c r="P42" i="2"/>
  <c r="O42" i="2"/>
  <c r="N42" i="2"/>
  <c r="M42" i="2"/>
  <c r="L42" i="2"/>
  <c r="K42" i="2"/>
  <c r="J42" i="2"/>
  <c r="I42" i="2"/>
  <c r="H42" i="2"/>
  <c r="G42" i="2"/>
  <c r="F42" i="2"/>
  <c r="E42" i="2"/>
  <c r="D42" i="2"/>
  <c r="C42" i="2"/>
  <c r="CZ41" i="2"/>
  <c r="CY41" i="2"/>
  <c r="CX41" i="2"/>
  <c r="CW41" i="2"/>
  <c r="CV41" i="2"/>
  <c r="CU41" i="2"/>
  <c r="CT41" i="2"/>
  <c r="CS41" i="2"/>
  <c r="CR41" i="2"/>
  <c r="CQ41" i="2"/>
  <c r="CP41" i="2"/>
  <c r="CO41" i="2"/>
  <c r="CN41" i="2"/>
  <c r="CM41" i="2"/>
  <c r="CL41" i="2"/>
  <c r="CK41" i="2"/>
  <c r="CJ41" i="2"/>
  <c r="CI41" i="2"/>
  <c r="CH41" i="2"/>
  <c r="CG41" i="2"/>
  <c r="CF41" i="2"/>
  <c r="CE41" i="2"/>
  <c r="CD41" i="2"/>
  <c r="CC41" i="2"/>
  <c r="CB41" i="2"/>
  <c r="CA41" i="2"/>
  <c r="BZ41" i="2"/>
  <c r="BY41" i="2"/>
  <c r="BX41" i="2"/>
  <c r="BW41" i="2"/>
  <c r="BV41" i="2"/>
  <c r="BU41" i="2"/>
  <c r="BT41" i="2"/>
  <c r="BS41" i="2"/>
  <c r="BR41" i="2"/>
  <c r="BQ41" i="2"/>
  <c r="BP41" i="2"/>
  <c r="BO41" i="2"/>
  <c r="BN41" i="2"/>
  <c r="BM41" i="2"/>
  <c r="BL41" i="2"/>
  <c r="BK41" i="2"/>
  <c r="BJ41" i="2"/>
  <c r="BI41" i="2"/>
  <c r="BH41" i="2"/>
  <c r="BG41" i="2"/>
  <c r="BF41" i="2"/>
  <c r="BE41" i="2"/>
  <c r="BD41" i="2"/>
  <c r="BC41" i="2"/>
  <c r="BB41" i="2"/>
  <c r="BA41" i="2"/>
  <c r="AZ41" i="2"/>
  <c r="AY41" i="2"/>
  <c r="AX41" i="2"/>
  <c r="AW41" i="2"/>
  <c r="AV41" i="2"/>
  <c r="AU41" i="2"/>
  <c r="AT41" i="2"/>
  <c r="AS41" i="2"/>
  <c r="AR41" i="2"/>
  <c r="AQ41" i="2"/>
  <c r="AP41" i="2"/>
  <c r="AO41" i="2"/>
  <c r="AN41" i="2"/>
  <c r="AM41" i="2"/>
  <c r="AL41" i="2"/>
  <c r="AK41" i="2"/>
  <c r="AJ41" i="2"/>
  <c r="AI41" i="2"/>
  <c r="AH41" i="2"/>
  <c r="AG41" i="2"/>
  <c r="AF41" i="2"/>
  <c r="AE41" i="2"/>
  <c r="AD41" i="2"/>
  <c r="AC41" i="2"/>
  <c r="AB41" i="2"/>
  <c r="AA41" i="2"/>
  <c r="Z41" i="2"/>
  <c r="Y41" i="2"/>
  <c r="X41" i="2"/>
  <c r="W41" i="2"/>
  <c r="V41" i="2"/>
  <c r="U41" i="2"/>
  <c r="T41" i="2"/>
  <c r="S41" i="2"/>
  <c r="R41" i="2"/>
  <c r="Q41" i="2"/>
  <c r="P41" i="2"/>
  <c r="O41" i="2"/>
  <c r="N41" i="2"/>
  <c r="M41" i="2"/>
  <c r="L41" i="2"/>
  <c r="K41" i="2"/>
  <c r="J41" i="2"/>
  <c r="I41" i="2"/>
  <c r="H41" i="2"/>
  <c r="G41" i="2"/>
  <c r="F41" i="2"/>
  <c r="E41" i="2"/>
  <c r="D41" i="2"/>
  <c r="C41" i="2"/>
  <c r="CZ40" i="2"/>
  <c r="CY40" i="2"/>
  <c r="CX40" i="2"/>
  <c r="CW40" i="2"/>
  <c r="CV40" i="2"/>
  <c r="CU40" i="2"/>
  <c r="CT40" i="2"/>
  <c r="CS40" i="2"/>
  <c r="CR40" i="2"/>
  <c r="CQ40" i="2"/>
  <c r="CP40" i="2"/>
  <c r="CO40" i="2"/>
  <c r="CN40" i="2"/>
  <c r="CM40" i="2"/>
  <c r="CL40" i="2"/>
  <c r="CK40" i="2"/>
  <c r="CJ40" i="2"/>
  <c r="CI40" i="2"/>
  <c r="CH40" i="2"/>
  <c r="CG40" i="2"/>
  <c r="CF40" i="2"/>
  <c r="CE40" i="2"/>
  <c r="CD40" i="2"/>
  <c r="CC40" i="2"/>
  <c r="CB40" i="2"/>
  <c r="CA40" i="2"/>
  <c r="BZ40" i="2"/>
  <c r="BY40" i="2"/>
  <c r="BX40" i="2"/>
  <c r="BW40" i="2"/>
  <c r="BV40" i="2"/>
  <c r="BU40" i="2"/>
  <c r="BT40" i="2"/>
  <c r="BS40" i="2"/>
  <c r="BR40" i="2"/>
  <c r="BQ40" i="2"/>
  <c r="BP40" i="2"/>
  <c r="BO40" i="2"/>
  <c r="BN40" i="2"/>
  <c r="BM40" i="2"/>
  <c r="BL40" i="2"/>
  <c r="BK40" i="2"/>
  <c r="BJ40" i="2"/>
  <c r="BI40" i="2"/>
  <c r="BH40" i="2"/>
  <c r="BG40" i="2"/>
  <c r="BF40" i="2"/>
  <c r="BE40" i="2"/>
  <c r="BD40" i="2"/>
  <c r="BC40" i="2"/>
  <c r="BB40" i="2"/>
  <c r="BA40" i="2"/>
  <c r="AZ40" i="2"/>
  <c r="AY40" i="2"/>
  <c r="AX40" i="2"/>
  <c r="AW40" i="2"/>
  <c r="AV40" i="2"/>
  <c r="AU40" i="2"/>
  <c r="AT40" i="2"/>
  <c r="AS40" i="2"/>
  <c r="AR40" i="2"/>
  <c r="AQ40" i="2"/>
  <c r="AP40" i="2"/>
  <c r="AO40" i="2"/>
  <c r="AN40" i="2"/>
  <c r="AM40" i="2"/>
  <c r="AL40" i="2"/>
  <c r="AK40" i="2"/>
  <c r="AJ40" i="2"/>
  <c r="AI40" i="2"/>
  <c r="AH40" i="2"/>
  <c r="AG40" i="2"/>
  <c r="AF40" i="2"/>
  <c r="AE40" i="2"/>
  <c r="AD40" i="2"/>
  <c r="AC40" i="2"/>
  <c r="AB40" i="2"/>
  <c r="AA40" i="2"/>
  <c r="Z40" i="2"/>
  <c r="Y40" i="2"/>
  <c r="X40" i="2"/>
  <c r="W40" i="2"/>
  <c r="V40" i="2"/>
  <c r="U40" i="2"/>
  <c r="T40" i="2"/>
  <c r="S40" i="2"/>
  <c r="R40" i="2"/>
  <c r="Q40" i="2"/>
  <c r="P40" i="2"/>
  <c r="O40" i="2"/>
  <c r="N40" i="2"/>
  <c r="M40" i="2"/>
  <c r="L40" i="2"/>
  <c r="K40" i="2"/>
  <c r="J40" i="2"/>
  <c r="I40" i="2"/>
  <c r="H40" i="2"/>
  <c r="G40" i="2"/>
  <c r="F40" i="2"/>
  <c r="E40" i="2"/>
  <c r="D40" i="2"/>
  <c r="C40" i="2"/>
  <c r="CZ39" i="2"/>
  <c r="CY39" i="2"/>
  <c r="CX39" i="2"/>
  <c r="CW39" i="2"/>
  <c r="CV39" i="2"/>
  <c r="CU39" i="2"/>
  <c r="CT39" i="2"/>
  <c r="CS39" i="2"/>
  <c r="CR39" i="2"/>
  <c r="CQ39" i="2"/>
  <c r="CP39" i="2"/>
  <c r="CO39" i="2"/>
  <c r="CN39" i="2"/>
  <c r="CM39" i="2"/>
  <c r="CL39" i="2"/>
  <c r="CK39" i="2"/>
  <c r="CJ39" i="2"/>
  <c r="CI39" i="2"/>
  <c r="CH39" i="2"/>
  <c r="CG39" i="2"/>
  <c r="CF39" i="2"/>
  <c r="CE39" i="2"/>
  <c r="CD39" i="2"/>
  <c r="CC39" i="2"/>
  <c r="CB39" i="2"/>
  <c r="CA39" i="2"/>
  <c r="BZ39" i="2"/>
  <c r="BY39" i="2"/>
  <c r="BX39" i="2"/>
  <c r="BW39" i="2"/>
  <c r="BV39" i="2"/>
  <c r="BU39" i="2"/>
  <c r="BT39" i="2"/>
  <c r="BS39" i="2"/>
  <c r="BR39" i="2"/>
  <c r="BQ39" i="2"/>
  <c r="BP39" i="2"/>
  <c r="BO39" i="2"/>
  <c r="BN39" i="2"/>
  <c r="BM39" i="2"/>
  <c r="BL39" i="2"/>
  <c r="BK39" i="2"/>
  <c r="BJ39" i="2"/>
  <c r="BI39" i="2"/>
  <c r="BH39" i="2"/>
  <c r="BG39" i="2"/>
  <c r="BF39" i="2"/>
  <c r="BE39" i="2"/>
  <c r="BD39" i="2"/>
  <c r="BC39" i="2"/>
  <c r="BB39" i="2"/>
  <c r="BA39" i="2"/>
  <c r="AZ39" i="2"/>
  <c r="AY39" i="2"/>
  <c r="AX39" i="2"/>
  <c r="AW39" i="2"/>
  <c r="AV39" i="2"/>
  <c r="AU39" i="2"/>
  <c r="AT39" i="2"/>
  <c r="AS39" i="2"/>
  <c r="AR39" i="2"/>
  <c r="AQ39" i="2"/>
  <c r="AP39" i="2"/>
  <c r="AO39" i="2"/>
  <c r="AN39" i="2"/>
  <c r="AM39" i="2"/>
  <c r="AL39" i="2"/>
  <c r="AK39" i="2"/>
  <c r="AJ39" i="2"/>
  <c r="AI39" i="2"/>
  <c r="AH39" i="2"/>
  <c r="AG39" i="2"/>
  <c r="AF39" i="2"/>
  <c r="AE39" i="2"/>
  <c r="AD39" i="2"/>
  <c r="AC39" i="2"/>
  <c r="AB39" i="2"/>
  <c r="AA39" i="2"/>
  <c r="Z39" i="2"/>
  <c r="Y39" i="2"/>
  <c r="X39" i="2"/>
  <c r="W39" i="2"/>
  <c r="V39" i="2"/>
  <c r="U39" i="2"/>
  <c r="T39" i="2"/>
  <c r="S39" i="2"/>
  <c r="R39" i="2"/>
  <c r="Q39" i="2"/>
  <c r="P39" i="2"/>
  <c r="O39" i="2"/>
  <c r="N39" i="2"/>
  <c r="M39" i="2"/>
  <c r="L39" i="2"/>
  <c r="K39" i="2"/>
  <c r="J39" i="2"/>
  <c r="I39" i="2"/>
  <c r="H39" i="2"/>
  <c r="G39" i="2"/>
  <c r="F39" i="2"/>
  <c r="E39" i="2"/>
  <c r="D39" i="2"/>
  <c r="C39" i="2"/>
  <c r="CZ38" i="2" l="1"/>
  <c r="CY38" i="2"/>
  <c r="CX38" i="2"/>
  <c r="CW38" i="2"/>
  <c r="CV38" i="2"/>
  <c r="CU38" i="2"/>
  <c r="CT38" i="2"/>
  <c r="CS38" i="2"/>
  <c r="CR38" i="2"/>
  <c r="CQ38" i="2"/>
  <c r="CP38" i="2"/>
  <c r="CO38" i="2"/>
  <c r="CN38" i="2"/>
  <c r="CM38" i="2"/>
  <c r="CL38" i="2"/>
  <c r="CK38" i="2"/>
  <c r="CJ38" i="2"/>
  <c r="CI38" i="2"/>
  <c r="CH38" i="2"/>
  <c r="CG38" i="2"/>
  <c r="CF38" i="2"/>
  <c r="CE38" i="2"/>
  <c r="CD38" i="2"/>
  <c r="CC38" i="2"/>
  <c r="CB38" i="2"/>
  <c r="CA38" i="2"/>
  <c r="BZ38" i="2"/>
  <c r="BY38" i="2"/>
  <c r="BX38" i="2"/>
  <c r="BW38" i="2"/>
  <c r="BV38" i="2"/>
  <c r="BU38" i="2"/>
  <c r="BT38" i="2"/>
  <c r="BS38" i="2"/>
  <c r="BR38" i="2"/>
  <c r="BQ38" i="2"/>
  <c r="BP38" i="2"/>
  <c r="BO38" i="2"/>
  <c r="BN38" i="2"/>
  <c r="BM38" i="2"/>
  <c r="BL38" i="2"/>
  <c r="BK38" i="2"/>
  <c r="BJ38" i="2"/>
  <c r="BI38" i="2"/>
  <c r="BH38" i="2"/>
  <c r="BG38" i="2"/>
  <c r="BF38" i="2"/>
  <c r="BE38" i="2"/>
  <c r="BD38" i="2"/>
  <c r="BC38" i="2"/>
  <c r="BB38" i="2"/>
  <c r="BA38" i="2"/>
  <c r="AZ38" i="2"/>
  <c r="AY38" i="2"/>
  <c r="AX38" i="2"/>
  <c r="AW38" i="2"/>
  <c r="AV38" i="2"/>
  <c r="AU38" i="2"/>
  <c r="AT38" i="2"/>
  <c r="AS38" i="2"/>
  <c r="AR38" i="2"/>
  <c r="AQ38" i="2"/>
  <c r="AP38" i="2"/>
  <c r="AO38" i="2"/>
  <c r="AN38" i="2"/>
  <c r="AM38" i="2"/>
  <c r="AL38" i="2"/>
  <c r="AK38" i="2"/>
  <c r="AJ38" i="2"/>
  <c r="AI38" i="2"/>
  <c r="AH38" i="2"/>
  <c r="AG38" i="2"/>
  <c r="AF38" i="2"/>
  <c r="AE38" i="2"/>
  <c r="AD38" i="2"/>
  <c r="AC38" i="2"/>
  <c r="AB38" i="2"/>
  <c r="AA38" i="2"/>
  <c r="Z38" i="2"/>
  <c r="Y38" i="2"/>
  <c r="X38" i="2"/>
  <c r="W38" i="2"/>
  <c r="V38" i="2"/>
  <c r="U38" i="2"/>
  <c r="T38" i="2"/>
  <c r="S38" i="2"/>
  <c r="R38" i="2"/>
  <c r="Q38" i="2"/>
  <c r="P38" i="2"/>
  <c r="O38" i="2"/>
  <c r="N38" i="2"/>
  <c r="M38" i="2"/>
  <c r="L38" i="2"/>
  <c r="K38" i="2"/>
  <c r="J38" i="2"/>
  <c r="I38" i="2"/>
  <c r="H38" i="2"/>
  <c r="G38" i="2"/>
  <c r="F38" i="2"/>
  <c r="E38" i="2"/>
  <c r="D38" i="2"/>
  <c r="CZ37" i="2"/>
  <c r="CY37" i="2"/>
  <c r="CX37" i="2"/>
  <c r="CW37" i="2"/>
  <c r="CV37" i="2"/>
  <c r="CU37" i="2"/>
  <c r="CT37" i="2"/>
  <c r="CS37" i="2"/>
  <c r="CR37" i="2"/>
  <c r="CQ37" i="2"/>
  <c r="CP37" i="2"/>
  <c r="CO37" i="2"/>
  <c r="CN37" i="2"/>
  <c r="CM37" i="2"/>
  <c r="CL37" i="2"/>
  <c r="CK37" i="2"/>
  <c r="CJ37" i="2"/>
  <c r="CI37" i="2"/>
  <c r="CH37" i="2"/>
  <c r="CG37" i="2"/>
  <c r="CF37" i="2"/>
  <c r="CE37" i="2"/>
  <c r="CD37" i="2"/>
  <c r="CC37" i="2"/>
  <c r="CB37" i="2"/>
  <c r="CA37" i="2"/>
  <c r="BZ37" i="2"/>
  <c r="BY37" i="2"/>
  <c r="BX37" i="2"/>
  <c r="BW37" i="2"/>
  <c r="BV37" i="2"/>
  <c r="BU37" i="2"/>
  <c r="BT37" i="2"/>
  <c r="BS37" i="2"/>
  <c r="BR37" i="2"/>
  <c r="BQ37" i="2"/>
  <c r="BP37" i="2"/>
  <c r="BO37" i="2"/>
  <c r="BN37" i="2"/>
  <c r="BM37" i="2"/>
  <c r="BL37" i="2"/>
  <c r="BK37" i="2"/>
  <c r="BJ37" i="2"/>
  <c r="BI37" i="2"/>
  <c r="BH37" i="2"/>
  <c r="BG37" i="2"/>
  <c r="BF37" i="2"/>
  <c r="BE37" i="2"/>
  <c r="BD37" i="2"/>
  <c r="BC37" i="2"/>
  <c r="BB37" i="2"/>
  <c r="BA37" i="2"/>
  <c r="AZ37" i="2"/>
  <c r="AY37" i="2"/>
  <c r="AX37" i="2"/>
  <c r="AW37" i="2"/>
  <c r="AV37" i="2"/>
  <c r="AU37" i="2"/>
  <c r="AT37" i="2"/>
  <c r="AS37" i="2"/>
  <c r="AR37" i="2"/>
  <c r="AQ37" i="2"/>
  <c r="AP37" i="2"/>
  <c r="AO37" i="2"/>
  <c r="AN37" i="2"/>
  <c r="AM37" i="2"/>
  <c r="AL37" i="2"/>
  <c r="AK37" i="2"/>
  <c r="AJ37" i="2"/>
  <c r="AI37" i="2"/>
  <c r="AH37" i="2"/>
  <c r="AG37" i="2"/>
  <c r="AF37" i="2"/>
  <c r="AE37" i="2"/>
  <c r="AD37" i="2"/>
  <c r="AC37" i="2"/>
  <c r="AB37" i="2"/>
  <c r="AA37" i="2"/>
  <c r="Z37" i="2"/>
  <c r="Y37" i="2"/>
  <c r="X37" i="2"/>
  <c r="W37" i="2"/>
  <c r="V37" i="2"/>
  <c r="U37" i="2"/>
  <c r="T37" i="2"/>
  <c r="S37" i="2"/>
  <c r="R37" i="2"/>
  <c r="Q37" i="2"/>
  <c r="P37" i="2"/>
  <c r="O37" i="2"/>
  <c r="N37" i="2"/>
  <c r="M37" i="2"/>
  <c r="L37" i="2"/>
  <c r="K37" i="2"/>
  <c r="J37" i="2"/>
  <c r="I37" i="2"/>
  <c r="H37" i="2"/>
  <c r="G37" i="2"/>
  <c r="F37" i="2"/>
  <c r="E37" i="2"/>
  <c r="D37" i="2"/>
  <c r="CZ36" i="2"/>
  <c r="CY36" i="2"/>
  <c r="CX36" i="2"/>
  <c r="CW36" i="2"/>
  <c r="CV36" i="2"/>
  <c r="CU36" i="2"/>
  <c r="CT36" i="2"/>
  <c r="CS36" i="2"/>
  <c r="CR36" i="2"/>
  <c r="CQ36" i="2"/>
  <c r="CP36" i="2"/>
  <c r="CO36" i="2"/>
  <c r="CN36" i="2"/>
  <c r="CM36" i="2"/>
  <c r="CL36" i="2"/>
  <c r="CK36" i="2"/>
  <c r="CJ36" i="2"/>
  <c r="CI36" i="2"/>
  <c r="CH36" i="2"/>
  <c r="CG36" i="2"/>
  <c r="CF36" i="2"/>
  <c r="CE36" i="2"/>
  <c r="CD36" i="2"/>
  <c r="CC36" i="2"/>
  <c r="CB36" i="2"/>
  <c r="CA36" i="2"/>
  <c r="BZ36" i="2"/>
  <c r="BY36" i="2"/>
  <c r="BX36" i="2"/>
  <c r="BW36" i="2"/>
  <c r="BV36" i="2"/>
  <c r="BU36" i="2"/>
  <c r="BT36" i="2"/>
  <c r="BS36" i="2"/>
  <c r="BR36" i="2"/>
  <c r="BQ36" i="2"/>
  <c r="BP36" i="2"/>
  <c r="BO36" i="2"/>
  <c r="BN36" i="2"/>
  <c r="BM36" i="2"/>
  <c r="BL36" i="2"/>
  <c r="BK36" i="2"/>
  <c r="BJ36" i="2"/>
  <c r="BI36" i="2"/>
  <c r="BH36" i="2"/>
  <c r="BG36" i="2"/>
  <c r="BF36" i="2"/>
  <c r="BE36" i="2"/>
  <c r="BD36" i="2"/>
  <c r="BC36" i="2"/>
  <c r="BB36" i="2"/>
  <c r="BA36" i="2"/>
  <c r="AZ36" i="2"/>
  <c r="AY36" i="2"/>
  <c r="AX36" i="2"/>
  <c r="AW36" i="2"/>
  <c r="AV36" i="2"/>
  <c r="AU36" i="2"/>
  <c r="AT36" i="2"/>
  <c r="AS36" i="2"/>
  <c r="AR36" i="2"/>
  <c r="AQ36" i="2"/>
  <c r="AP36" i="2"/>
  <c r="AO36" i="2"/>
  <c r="AN36" i="2"/>
  <c r="AM36" i="2"/>
  <c r="AL36" i="2"/>
  <c r="AK36" i="2"/>
  <c r="AJ36" i="2"/>
  <c r="AI36" i="2"/>
  <c r="AH36" i="2"/>
  <c r="AG36" i="2"/>
  <c r="AF36" i="2"/>
  <c r="AE36" i="2"/>
  <c r="AD36" i="2"/>
  <c r="AC36" i="2"/>
  <c r="AB36" i="2"/>
  <c r="AA36" i="2"/>
  <c r="Z36" i="2"/>
  <c r="Y36" i="2"/>
  <c r="X36" i="2"/>
  <c r="W36" i="2"/>
  <c r="V36" i="2"/>
  <c r="U36" i="2"/>
  <c r="T36" i="2"/>
  <c r="S36" i="2"/>
  <c r="R36" i="2"/>
  <c r="Q36" i="2"/>
  <c r="P36" i="2"/>
  <c r="O36" i="2"/>
  <c r="N36" i="2"/>
  <c r="M36" i="2"/>
  <c r="L36" i="2"/>
  <c r="K36" i="2"/>
  <c r="J36" i="2"/>
  <c r="I36" i="2"/>
  <c r="H36" i="2"/>
  <c r="G36" i="2"/>
  <c r="F36" i="2"/>
  <c r="E36" i="2"/>
  <c r="D36" i="2"/>
  <c r="CZ35" i="2"/>
  <c r="CY35" i="2"/>
  <c r="CX35" i="2"/>
  <c r="CW35" i="2"/>
  <c r="CV35" i="2"/>
  <c r="CU35" i="2"/>
  <c r="CT35" i="2"/>
  <c r="CS35" i="2"/>
  <c r="CR35" i="2"/>
  <c r="CQ35" i="2"/>
  <c r="CP35" i="2"/>
  <c r="CO35" i="2"/>
  <c r="CN35" i="2"/>
  <c r="CM35" i="2"/>
  <c r="CL35" i="2"/>
  <c r="CK35" i="2"/>
  <c r="CJ35" i="2"/>
  <c r="CI35" i="2"/>
  <c r="CH35" i="2"/>
  <c r="CG35" i="2"/>
  <c r="CF35" i="2"/>
  <c r="CE35" i="2"/>
  <c r="CD35" i="2"/>
  <c r="CC35" i="2"/>
  <c r="CB35" i="2"/>
  <c r="CA35" i="2"/>
  <c r="BZ35" i="2"/>
  <c r="BY35" i="2"/>
  <c r="BX35" i="2"/>
  <c r="BW35" i="2"/>
  <c r="BV35" i="2"/>
  <c r="BU35" i="2"/>
  <c r="BT35" i="2"/>
  <c r="BS35" i="2"/>
  <c r="BR35" i="2"/>
  <c r="BQ35" i="2"/>
  <c r="BP35" i="2"/>
  <c r="BO35" i="2"/>
  <c r="BN35" i="2"/>
  <c r="BM35" i="2"/>
  <c r="BL35" i="2"/>
  <c r="BK35" i="2"/>
  <c r="BJ35" i="2"/>
  <c r="BI35" i="2"/>
  <c r="BH35" i="2"/>
  <c r="BG35" i="2"/>
  <c r="BF35" i="2"/>
  <c r="BE35" i="2"/>
  <c r="BD35" i="2"/>
  <c r="BC35" i="2"/>
  <c r="BB35" i="2"/>
  <c r="BA35" i="2"/>
  <c r="AZ35" i="2"/>
  <c r="AY35" i="2"/>
  <c r="AX35" i="2"/>
  <c r="AW35" i="2"/>
  <c r="AV35" i="2"/>
  <c r="AU35" i="2"/>
  <c r="AT35" i="2"/>
  <c r="AS35" i="2"/>
  <c r="AR35" i="2"/>
  <c r="AQ35" i="2"/>
  <c r="AP35" i="2"/>
  <c r="AO35" i="2"/>
  <c r="AN35" i="2"/>
  <c r="AM35" i="2"/>
  <c r="AL35" i="2"/>
  <c r="AK35" i="2"/>
  <c r="AJ35" i="2"/>
  <c r="AI35" i="2"/>
  <c r="AH35" i="2"/>
  <c r="AG35" i="2"/>
  <c r="AF35" i="2"/>
  <c r="AE35" i="2"/>
  <c r="AD35" i="2"/>
  <c r="AC35" i="2"/>
  <c r="AB35" i="2"/>
  <c r="AA35" i="2"/>
  <c r="Z35" i="2"/>
  <c r="Y35" i="2"/>
  <c r="X35" i="2"/>
  <c r="W35" i="2"/>
  <c r="V35" i="2"/>
  <c r="U35" i="2"/>
  <c r="T35" i="2"/>
  <c r="S35" i="2"/>
  <c r="R35" i="2"/>
  <c r="Q35" i="2"/>
  <c r="P35" i="2"/>
  <c r="O35" i="2"/>
  <c r="N35" i="2"/>
  <c r="M35" i="2"/>
  <c r="L35" i="2"/>
  <c r="K35" i="2"/>
  <c r="J35" i="2"/>
  <c r="I35" i="2"/>
  <c r="H35" i="2"/>
  <c r="G35" i="2"/>
  <c r="F35" i="2"/>
  <c r="E35" i="2"/>
  <c r="D35" i="2"/>
  <c r="CZ34" i="2"/>
  <c r="CY34" i="2"/>
  <c r="CX34" i="2"/>
  <c r="CW34" i="2"/>
  <c r="CV34" i="2"/>
  <c r="CU34" i="2"/>
  <c r="CT34" i="2"/>
  <c r="CS34" i="2"/>
  <c r="CR34" i="2"/>
  <c r="CQ34" i="2"/>
  <c r="CP34" i="2"/>
  <c r="CO34" i="2"/>
  <c r="CN34" i="2"/>
  <c r="CM34" i="2"/>
  <c r="CL34" i="2"/>
  <c r="CK34" i="2"/>
  <c r="CJ34" i="2"/>
  <c r="CI34" i="2"/>
  <c r="CH34" i="2"/>
  <c r="CG34" i="2"/>
  <c r="CF34" i="2"/>
  <c r="CE34" i="2"/>
  <c r="CD34" i="2"/>
  <c r="CC34" i="2"/>
  <c r="CB34" i="2"/>
  <c r="CA34" i="2"/>
  <c r="BZ34" i="2"/>
  <c r="BY34" i="2"/>
  <c r="BX34" i="2"/>
  <c r="BW34" i="2"/>
  <c r="BV34" i="2"/>
  <c r="BU34" i="2"/>
  <c r="BT34" i="2"/>
  <c r="BS34" i="2"/>
  <c r="BR34" i="2"/>
  <c r="BQ34" i="2"/>
  <c r="BP34" i="2"/>
  <c r="BO34" i="2"/>
  <c r="BN34" i="2"/>
  <c r="BM34" i="2"/>
  <c r="BL34" i="2"/>
  <c r="BK34" i="2"/>
  <c r="BJ34" i="2"/>
  <c r="BI34" i="2"/>
  <c r="BH34" i="2"/>
  <c r="BG34" i="2"/>
  <c r="BF34" i="2"/>
  <c r="BE34" i="2"/>
  <c r="BD34" i="2"/>
  <c r="BC34" i="2"/>
  <c r="BB34" i="2"/>
  <c r="BA34" i="2"/>
  <c r="AZ34" i="2"/>
  <c r="AY34" i="2"/>
  <c r="AX34" i="2"/>
  <c r="AW34" i="2"/>
  <c r="AV34" i="2"/>
  <c r="AU34" i="2"/>
  <c r="AT34" i="2"/>
  <c r="AS34" i="2"/>
  <c r="AR34" i="2"/>
  <c r="AQ34" i="2"/>
  <c r="AP34" i="2"/>
  <c r="AO34" i="2"/>
  <c r="AN34" i="2"/>
  <c r="AM34" i="2"/>
  <c r="AL34" i="2"/>
  <c r="AK34" i="2"/>
  <c r="AJ34" i="2"/>
  <c r="AI34" i="2"/>
  <c r="AH34" i="2"/>
  <c r="AG34" i="2"/>
  <c r="AF34" i="2"/>
  <c r="AE34" i="2"/>
  <c r="AD34" i="2"/>
  <c r="AC34" i="2"/>
  <c r="AB34" i="2"/>
  <c r="AA34" i="2"/>
  <c r="Z34" i="2"/>
  <c r="Y34" i="2"/>
  <c r="X34" i="2"/>
  <c r="W34" i="2"/>
  <c r="V34" i="2"/>
  <c r="U34" i="2"/>
  <c r="T34" i="2"/>
  <c r="S34" i="2"/>
  <c r="R34" i="2"/>
  <c r="Q34" i="2"/>
  <c r="P34" i="2"/>
  <c r="O34" i="2"/>
  <c r="N34" i="2"/>
  <c r="M34" i="2"/>
  <c r="L34" i="2"/>
  <c r="K34" i="2"/>
  <c r="J34" i="2"/>
  <c r="I34" i="2"/>
  <c r="H34" i="2"/>
  <c r="G34" i="2"/>
  <c r="F34" i="2"/>
  <c r="E34" i="2"/>
  <c r="D34" i="2"/>
  <c r="CZ33" i="2"/>
  <c r="CY33" i="2"/>
  <c r="CX33" i="2"/>
  <c r="CW33" i="2"/>
  <c r="CV33" i="2"/>
  <c r="CU33" i="2"/>
  <c r="CT33" i="2"/>
  <c r="CS33" i="2"/>
  <c r="CR33" i="2"/>
  <c r="CQ33" i="2"/>
  <c r="CP33" i="2"/>
  <c r="CO33" i="2"/>
  <c r="CN33" i="2"/>
  <c r="CM33" i="2"/>
  <c r="CL33" i="2"/>
  <c r="CK33" i="2"/>
  <c r="CJ33" i="2"/>
  <c r="CI33" i="2"/>
  <c r="CH33" i="2"/>
  <c r="CG33" i="2"/>
  <c r="CF33" i="2"/>
  <c r="CE33" i="2"/>
  <c r="CD33" i="2"/>
  <c r="CC33" i="2"/>
  <c r="CB33" i="2"/>
  <c r="CA33" i="2"/>
  <c r="BZ33" i="2"/>
  <c r="BY33" i="2"/>
  <c r="BX33" i="2"/>
  <c r="BW33" i="2"/>
  <c r="BV33" i="2"/>
  <c r="BU33" i="2"/>
  <c r="BT33" i="2"/>
  <c r="BS33" i="2"/>
  <c r="BR33" i="2"/>
  <c r="BQ33" i="2"/>
  <c r="BP33" i="2"/>
  <c r="BO33" i="2"/>
  <c r="BN33" i="2"/>
  <c r="BM33" i="2"/>
  <c r="BL33" i="2"/>
  <c r="BK33" i="2"/>
  <c r="BJ33" i="2"/>
  <c r="BI33" i="2"/>
  <c r="BH33" i="2"/>
  <c r="BG33" i="2"/>
  <c r="BF33" i="2"/>
  <c r="BE33" i="2"/>
  <c r="BD33" i="2"/>
  <c r="BC33" i="2"/>
  <c r="BB33" i="2"/>
  <c r="BA33" i="2"/>
  <c r="AZ33" i="2"/>
  <c r="AY33" i="2"/>
  <c r="AX33" i="2"/>
  <c r="AW33" i="2"/>
  <c r="AV33" i="2"/>
  <c r="AU33" i="2"/>
  <c r="AT33" i="2"/>
  <c r="AS33" i="2"/>
  <c r="AR33" i="2"/>
  <c r="AQ33" i="2"/>
  <c r="AP33" i="2"/>
  <c r="AO33" i="2"/>
  <c r="AN33" i="2"/>
  <c r="AM33" i="2"/>
  <c r="AL33" i="2"/>
  <c r="AK33" i="2"/>
  <c r="AJ33" i="2"/>
  <c r="AI33" i="2"/>
  <c r="AH33" i="2"/>
  <c r="AG33" i="2"/>
  <c r="AF33" i="2"/>
  <c r="AE33" i="2"/>
  <c r="AD33" i="2"/>
  <c r="AC33" i="2"/>
  <c r="AB33" i="2"/>
  <c r="AA33" i="2"/>
  <c r="Z33" i="2"/>
  <c r="Y33" i="2"/>
  <c r="X33" i="2"/>
  <c r="W33" i="2"/>
  <c r="V33" i="2"/>
  <c r="U33" i="2"/>
  <c r="T33" i="2"/>
  <c r="S33" i="2"/>
  <c r="R33" i="2"/>
  <c r="Q33" i="2"/>
  <c r="P33" i="2"/>
  <c r="O33" i="2"/>
  <c r="N33" i="2"/>
  <c r="M33" i="2"/>
  <c r="L33" i="2"/>
  <c r="K33" i="2"/>
  <c r="J33" i="2"/>
  <c r="I33" i="2"/>
  <c r="H33" i="2"/>
  <c r="G33" i="2"/>
  <c r="F33" i="2"/>
  <c r="E33" i="2"/>
  <c r="D33" i="2"/>
  <c r="CZ32" i="2"/>
  <c r="CY32" i="2"/>
  <c r="CX32" i="2"/>
  <c r="CW32" i="2"/>
  <c r="CV32" i="2"/>
  <c r="CU32" i="2"/>
  <c r="CT32" i="2"/>
  <c r="CS32" i="2"/>
  <c r="CR32" i="2"/>
  <c r="CQ32" i="2"/>
  <c r="CP32" i="2"/>
  <c r="CO32" i="2"/>
  <c r="CN32" i="2"/>
  <c r="CM32" i="2"/>
  <c r="CL32" i="2"/>
  <c r="CK32" i="2"/>
  <c r="CJ32" i="2"/>
  <c r="CI32" i="2"/>
  <c r="CH32" i="2"/>
  <c r="CG32" i="2"/>
  <c r="CF32" i="2"/>
  <c r="CE32" i="2"/>
  <c r="CD32" i="2"/>
  <c r="CC32" i="2"/>
  <c r="CB32" i="2"/>
  <c r="CA32" i="2"/>
  <c r="BZ32" i="2"/>
  <c r="BY32" i="2"/>
  <c r="BX32" i="2"/>
  <c r="BW32" i="2"/>
  <c r="BV32" i="2"/>
  <c r="BU32" i="2"/>
  <c r="BT32" i="2"/>
  <c r="BS32" i="2"/>
  <c r="BR32" i="2"/>
  <c r="BQ32" i="2"/>
  <c r="BP32" i="2"/>
  <c r="BO32" i="2"/>
  <c r="BN32" i="2"/>
  <c r="BM32" i="2"/>
  <c r="BL32" i="2"/>
  <c r="BK32" i="2"/>
  <c r="BJ32" i="2"/>
  <c r="BI32" i="2"/>
  <c r="BH32" i="2"/>
  <c r="BG32" i="2"/>
  <c r="BF32" i="2"/>
  <c r="BE32" i="2"/>
  <c r="BD32" i="2"/>
  <c r="BC32" i="2"/>
  <c r="BB32" i="2"/>
  <c r="BA32" i="2"/>
  <c r="AZ32" i="2"/>
  <c r="AY32" i="2"/>
  <c r="AX32" i="2"/>
  <c r="AW32" i="2"/>
  <c r="AV32" i="2"/>
  <c r="AU32" i="2"/>
  <c r="AT32" i="2"/>
  <c r="AS32" i="2"/>
  <c r="AR32" i="2"/>
  <c r="AQ32" i="2"/>
  <c r="AP32" i="2"/>
  <c r="AO32" i="2"/>
  <c r="AN32" i="2"/>
  <c r="AM32" i="2"/>
  <c r="AL32" i="2"/>
  <c r="AK32" i="2"/>
  <c r="AJ32" i="2"/>
  <c r="AI32" i="2"/>
  <c r="AH32" i="2"/>
  <c r="AG32" i="2"/>
  <c r="AF32" i="2"/>
  <c r="AE32" i="2"/>
  <c r="AD32" i="2"/>
  <c r="AC32" i="2"/>
  <c r="AB32" i="2"/>
  <c r="AA32" i="2"/>
  <c r="Z32" i="2"/>
  <c r="Y32" i="2"/>
  <c r="X32" i="2"/>
  <c r="W32" i="2"/>
  <c r="V32" i="2"/>
  <c r="U32" i="2"/>
  <c r="T32" i="2"/>
  <c r="S32" i="2"/>
  <c r="R32" i="2"/>
  <c r="Q32" i="2"/>
  <c r="P32" i="2"/>
  <c r="O32" i="2"/>
  <c r="N32" i="2"/>
  <c r="M32" i="2"/>
  <c r="L32" i="2"/>
  <c r="K32" i="2"/>
  <c r="J32" i="2"/>
  <c r="I32" i="2"/>
  <c r="H32" i="2"/>
  <c r="G32" i="2"/>
  <c r="F32" i="2"/>
  <c r="E32" i="2"/>
  <c r="D32" i="2"/>
  <c r="CZ31" i="2"/>
  <c r="CZ45" i="2" s="1"/>
  <c r="CY31" i="2"/>
  <c r="CY45" i="2" s="1"/>
  <c r="CX31" i="2"/>
  <c r="CX45" i="2" s="1"/>
  <c r="CW31" i="2"/>
  <c r="CW45" i="2" s="1"/>
  <c r="CV31" i="2"/>
  <c r="CV45" i="2" s="1"/>
  <c r="CU31" i="2"/>
  <c r="CU45" i="2" s="1"/>
  <c r="CT31" i="2"/>
  <c r="CT45" i="2" s="1"/>
  <c r="CS31" i="2"/>
  <c r="CS45" i="2" s="1"/>
  <c r="CR31" i="2"/>
  <c r="CR45" i="2" s="1"/>
  <c r="CQ31" i="2"/>
  <c r="CQ45" i="2" s="1"/>
  <c r="CP31" i="2"/>
  <c r="CP45" i="2" s="1"/>
  <c r="CO31" i="2"/>
  <c r="CO45" i="2" s="1"/>
  <c r="CN31" i="2"/>
  <c r="CN45" i="2" s="1"/>
  <c r="CM31" i="2"/>
  <c r="CM45" i="2" s="1"/>
  <c r="CL31" i="2"/>
  <c r="CL45" i="2" s="1"/>
  <c r="CK31" i="2"/>
  <c r="CK45" i="2" s="1"/>
  <c r="CJ31" i="2"/>
  <c r="CJ45" i="2" s="1"/>
  <c r="CI31" i="2"/>
  <c r="CI45" i="2" s="1"/>
  <c r="CH31" i="2"/>
  <c r="CH45" i="2" s="1"/>
  <c r="CG31" i="2"/>
  <c r="CG45" i="2" s="1"/>
  <c r="CF31" i="2"/>
  <c r="CF45" i="2" s="1"/>
  <c r="CE31" i="2"/>
  <c r="CE45" i="2" s="1"/>
  <c r="CD31" i="2"/>
  <c r="CD45" i="2" s="1"/>
  <c r="CC31" i="2"/>
  <c r="CC45" i="2" s="1"/>
  <c r="CB31" i="2"/>
  <c r="CB45" i="2" s="1"/>
  <c r="CA31" i="2"/>
  <c r="CA45" i="2" s="1"/>
  <c r="BZ31" i="2"/>
  <c r="BZ45" i="2" s="1"/>
  <c r="BY31" i="2"/>
  <c r="BY45" i="2" s="1"/>
  <c r="BX31" i="2"/>
  <c r="BX45" i="2" s="1"/>
  <c r="BW31" i="2"/>
  <c r="BW45" i="2" s="1"/>
  <c r="BV31" i="2"/>
  <c r="BV45" i="2" s="1"/>
  <c r="BU31" i="2"/>
  <c r="BU45" i="2" s="1"/>
  <c r="BT31" i="2"/>
  <c r="BT45" i="2" s="1"/>
  <c r="BS31" i="2"/>
  <c r="BS45" i="2" s="1"/>
  <c r="BR31" i="2"/>
  <c r="BR45" i="2" s="1"/>
  <c r="BQ31" i="2"/>
  <c r="BQ45" i="2" s="1"/>
  <c r="BP31" i="2"/>
  <c r="BP45" i="2" s="1"/>
  <c r="BO31" i="2"/>
  <c r="BO45" i="2" s="1"/>
  <c r="BN31" i="2"/>
  <c r="BN45" i="2" s="1"/>
  <c r="BM31" i="2"/>
  <c r="BM45" i="2" s="1"/>
  <c r="BL31" i="2"/>
  <c r="BL45" i="2" s="1"/>
  <c r="BK31" i="2"/>
  <c r="BK45" i="2" s="1"/>
  <c r="BJ31" i="2"/>
  <c r="BJ45" i="2" s="1"/>
  <c r="BI31" i="2"/>
  <c r="BI45" i="2" s="1"/>
  <c r="BH31" i="2"/>
  <c r="BH45" i="2" s="1"/>
  <c r="BG31" i="2"/>
  <c r="BG45" i="2" s="1"/>
  <c r="BF31" i="2"/>
  <c r="BF45" i="2" s="1"/>
  <c r="BE31" i="2"/>
  <c r="BE45" i="2" s="1"/>
  <c r="BD31" i="2"/>
  <c r="BD45" i="2" s="1"/>
  <c r="BC31" i="2"/>
  <c r="BC45" i="2" s="1"/>
  <c r="BB31" i="2"/>
  <c r="BB45" i="2" s="1"/>
  <c r="BA31" i="2"/>
  <c r="BA45" i="2" s="1"/>
  <c r="AZ31" i="2"/>
  <c r="AZ45" i="2" s="1"/>
  <c r="AY31" i="2"/>
  <c r="AY45" i="2" s="1"/>
  <c r="AX31" i="2"/>
  <c r="AX45" i="2" s="1"/>
  <c r="AW31" i="2"/>
  <c r="AW45" i="2" s="1"/>
  <c r="AV31" i="2"/>
  <c r="AV45" i="2" s="1"/>
  <c r="AU31" i="2"/>
  <c r="AU45" i="2" s="1"/>
  <c r="AT31" i="2"/>
  <c r="AT45" i="2" s="1"/>
  <c r="AS31" i="2"/>
  <c r="AS45" i="2" s="1"/>
  <c r="AR31" i="2"/>
  <c r="AR45" i="2" s="1"/>
  <c r="AQ31" i="2"/>
  <c r="AP31" i="2"/>
  <c r="AO31" i="2"/>
  <c r="AN31" i="2"/>
  <c r="AM31" i="2"/>
  <c r="AL31" i="2"/>
  <c r="AK31" i="2"/>
  <c r="AJ31" i="2"/>
  <c r="AI31" i="2"/>
  <c r="AH31" i="2"/>
  <c r="AG31" i="2"/>
  <c r="AF31" i="2"/>
  <c r="AE31" i="2"/>
  <c r="AD31" i="2"/>
  <c r="AC31" i="2"/>
  <c r="AB31" i="2"/>
  <c r="AA31" i="2"/>
  <c r="Z31" i="2"/>
  <c r="Y31" i="2"/>
  <c r="X31" i="2"/>
  <c r="W31" i="2"/>
  <c r="V31" i="2"/>
  <c r="U31" i="2"/>
  <c r="T31" i="2"/>
  <c r="S31" i="2"/>
  <c r="R31" i="2"/>
  <c r="Q31" i="2"/>
  <c r="P31" i="2"/>
  <c r="O31" i="2"/>
  <c r="N31" i="2"/>
  <c r="M31" i="2"/>
  <c r="L31" i="2"/>
  <c r="K31" i="2"/>
  <c r="J31" i="2"/>
  <c r="I31" i="2"/>
  <c r="H31" i="2"/>
  <c r="G31" i="2"/>
  <c r="F31" i="2"/>
  <c r="E31" i="2"/>
  <c r="D31" i="2"/>
  <c r="CZ25" i="2"/>
  <c r="CY25" i="2"/>
  <c r="CX25" i="2"/>
  <c r="CW25" i="2"/>
  <c r="CV25" i="2"/>
  <c r="CU25" i="2"/>
  <c r="CT25" i="2"/>
  <c r="CS25" i="2"/>
  <c r="CR25" i="2"/>
  <c r="CQ25" i="2"/>
  <c r="CP25" i="2"/>
  <c r="CO25" i="2"/>
  <c r="CN25" i="2"/>
  <c r="CM25" i="2"/>
  <c r="CL25" i="2"/>
  <c r="CK25" i="2"/>
  <c r="CJ25" i="2"/>
  <c r="CI25" i="2"/>
  <c r="CH25" i="2"/>
  <c r="CG25" i="2"/>
  <c r="CF25" i="2"/>
  <c r="CE25" i="2"/>
  <c r="CD25" i="2"/>
  <c r="CC25" i="2"/>
  <c r="CB25" i="2"/>
  <c r="CA25" i="2"/>
  <c r="BZ25" i="2"/>
  <c r="BY25" i="2"/>
  <c r="BX25" i="2"/>
  <c r="BW25" i="2"/>
  <c r="BV25" i="2"/>
  <c r="BU25" i="2"/>
  <c r="BT25" i="2"/>
  <c r="BS25" i="2"/>
  <c r="BR25" i="2"/>
  <c r="BQ25" i="2"/>
  <c r="BP25" i="2"/>
  <c r="BO25" i="2"/>
  <c r="BN25" i="2"/>
  <c r="BM25" i="2"/>
  <c r="BL25" i="2"/>
  <c r="BK25" i="2"/>
  <c r="BJ25" i="2"/>
  <c r="BI25" i="2"/>
  <c r="BH25" i="2"/>
  <c r="BG25" i="2"/>
  <c r="BF25" i="2"/>
  <c r="BE25" i="2"/>
  <c r="BD25" i="2"/>
  <c r="BC25" i="2"/>
  <c r="BB25" i="2"/>
  <c r="BA25" i="2"/>
  <c r="AZ25" i="2"/>
  <c r="AY25" i="2"/>
  <c r="AX25" i="2"/>
  <c r="AW25" i="2"/>
  <c r="AV25" i="2"/>
  <c r="AU25" i="2"/>
  <c r="AT25" i="2"/>
  <c r="AS25" i="2"/>
  <c r="AR25" i="2"/>
  <c r="AQ25" i="2"/>
  <c r="AP25" i="2"/>
  <c r="AO25" i="2"/>
  <c r="AN25" i="2"/>
  <c r="AM25" i="2"/>
  <c r="AL25" i="2"/>
  <c r="AK25" i="2"/>
  <c r="AJ25" i="2"/>
  <c r="AI25" i="2"/>
  <c r="AH25" i="2"/>
  <c r="AG25" i="2"/>
  <c r="AF25" i="2"/>
  <c r="AE25" i="2"/>
  <c r="AD25" i="2"/>
  <c r="AC25" i="2"/>
  <c r="AB25" i="2"/>
  <c r="AA25" i="2"/>
  <c r="Z25" i="2"/>
  <c r="Y25" i="2"/>
  <c r="X25" i="2"/>
  <c r="W25" i="2"/>
  <c r="V25" i="2"/>
  <c r="U25" i="2"/>
  <c r="T25" i="2"/>
  <c r="S25" i="2"/>
  <c r="R25" i="2"/>
  <c r="Q25" i="2"/>
  <c r="P25" i="2"/>
  <c r="O25" i="2"/>
  <c r="N25" i="2"/>
  <c r="M25" i="2"/>
  <c r="L25" i="2"/>
  <c r="K25" i="2"/>
  <c r="J25" i="2"/>
  <c r="I25" i="2"/>
  <c r="H25" i="2"/>
  <c r="G25" i="2"/>
  <c r="F25" i="2"/>
  <c r="E25" i="2"/>
  <c r="D25" i="2"/>
  <c r="CZ24" i="2"/>
  <c r="CY24" i="2"/>
  <c r="CX24" i="2"/>
  <c r="CW24" i="2"/>
  <c r="CV24" i="2"/>
  <c r="CU24" i="2"/>
  <c r="CT24" i="2"/>
  <c r="CS24" i="2"/>
  <c r="CR24" i="2"/>
  <c r="CQ24" i="2"/>
  <c r="CP24" i="2"/>
  <c r="CO24" i="2"/>
  <c r="CN24" i="2"/>
  <c r="CM24" i="2"/>
  <c r="CL24" i="2"/>
  <c r="CK24" i="2"/>
  <c r="CJ24" i="2"/>
  <c r="CI24" i="2"/>
  <c r="CH24" i="2"/>
  <c r="CG24" i="2"/>
  <c r="CF24" i="2"/>
  <c r="CE24" i="2"/>
  <c r="CD24" i="2"/>
  <c r="CC24" i="2"/>
  <c r="CB24" i="2"/>
  <c r="CA24" i="2"/>
  <c r="BZ24" i="2"/>
  <c r="BY24" i="2"/>
  <c r="BX24" i="2"/>
  <c r="BW24" i="2"/>
  <c r="BV24" i="2"/>
  <c r="BU24" i="2"/>
  <c r="BT24" i="2"/>
  <c r="BS24" i="2"/>
  <c r="BR24" i="2"/>
  <c r="BQ24" i="2"/>
  <c r="BP24" i="2"/>
  <c r="BO24" i="2"/>
  <c r="BN24" i="2"/>
  <c r="BM24" i="2"/>
  <c r="BL24" i="2"/>
  <c r="BK24" i="2"/>
  <c r="BJ24" i="2"/>
  <c r="BI24" i="2"/>
  <c r="BH24" i="2"/>
  <c r="BG24" i="2"/>
  <c r="BF24" i="2"/>
  <c r="BE24" i="2"/>
  <c r="BD24" i="2"/>
  <c r="BC24" i="2"/>
  <c r="BB24" i="2"/>
  <c r="BA24" i="2"/>
  <c r="AZ24" i="2"/>
  <c r="AY24" i="2"/>
  <c r="AX24" i="2"/>
  <c r="AW24" i="2"/>
  <c r="AV24" i="2"/>
  <c r="AU24" i="2"/>
  <c r="AT24" i="2"/>
  <c r="AS24" i="2"/>
  <c r="AR24" i="2"/>
  <c r="AQ24" i="2"/>
  <c r="AP24" i="2"/>
  <c r="AO24" i="2"/>
  <c r="AN24" i="2"/>
  <c r="AM24" i="2"/>
  <c r="AL24" i="2"/>
  <c r="AK24" i="2"/>
  <c r="AJ24" i="2"/>
  <c r="AI24" i="2"/>
  <c r="AH24" i="2"/>
  <c r="AG24" i="2"/>
  <c r="AF24" i="2"/>
  <c r="AE24" i="2"/>
  <c r="AD24" i="2"/>
  <c r="AC24" i="2"/>
  <c r="AB24" i="2"/>
  <c r="AA24" i="2"/>
  <c r="Z24" i="2"/>
  <c r="Y24" i="2"/>
  <c r="X24" i="2"/>
  <c r="W24" i="2"/>
  <c r="V24" i="2"/>
  <c r="U24" i="2"/>
  <c r="T24" i="2"/>
  <c r="S24" i="2"/>
  <c r="R24" i="2"/>
  <c r="Q24" i="2"/>
  <c r="P24" i="2"/>
  <c r="O24" i="2"/>
  <c r="N24" i="2"/>
  <c r="M24" i="2"/>
  <c r="L24" i="2"/>
  <c r="K24" i="2"/>
  <c r="J24" i="2"/>
  <c r="I24" i="2"/>
  <c r="H24" i="2"/>
  <c r="G24" i="2"/>
  <c r="F24" i="2"/>
  <c r="E24" i="2"/>
  <c r="D24" i="2"/>
  <c r="CZ23" i="2"/>
  <c r="CY23" i="2"/>
  <c r="CX23" i="2"/>
  <c r="CW23" i="2"/>
  <c r="CV23" i="2"/>
  <c r="CU23" i="2"/>
  <c r="CT23" i="2"/>
  <c r="CS23" i="2"/>
  <c r="CR23" i="2"/>
  <c r="CQ23" i="2"/>
  <c r="CP23" i="2"/>
  <c r="CO23" i="2"/>
  <c r="CN23" i="2"/>
  <c r="CM23" i="2"/>
  <c r="CL23" i="2"/>
  <c r="CK23" i="2"/>
  <c r="CJ23" i="2"/>
  <c r="CI23" i="2"/>
  <c r="CH23" i="2"/>
  <c r="CG23" i="2"/>
  <c r="CF23" i="2"/>
  <c r="CE23" i="2"/>
  <c r="CD23" i="2"/>
  <c r="CC23" i="2"/>
  <c r="CB23" i="2"/>
  <c r="CA23" i="2"/>
  <c r="BZ23" i="2"/>
  <c r="BY23" i="2"/>
  <c r="BX23" i="2"/>
  <c r="BW23" i="2"/>
  <c r="BV23" i="2"/>
  <c r="BU23" i="2"/>
  <c r="BT23" i="2"/>
  <c r="BS23" i="2"/>
  <c r="BR23" i="2"/>
  <c r="BQ23" i="2"/>
  <c r="BP23" i="2"/>
  <c r="BO23" i="2"/>
  <c r="BN23" i="2"/>
  <c r="BM23" i="2"/>
  <c r="BL23" i="2"/>
  <c r="BK23" i="2"/>
  <c r="BJ23" i="2"/>
  <c r="BI23" i="2"/>
  <c r="BH23" i="2"/>
  <c r="BG23" i="2"/>
  <c r="BF23" i="2"/>
  <c r="BE23" i="2"/>
  <c r="BD23" i="2"/>
  <c r="BC23" i="2"/>
  <c r="BB23" i="2"/>
  <c r="BA23" i="2"/>
  <c r="AZ23" i="2"/>
  <c r="AY23" i="2"/>
  <c r="AX23" i="2"/>
  <c r="AW23" i="2"/>
  <c r="AV23" i="2"/>
  <c r="AU23" i="2"/>
  <c r="AT23" i="2"/>
  <c r="AS23" i="2"/>
  <c r="AR23" i="2"/>
  <c r="AQ23" i="2"/>
  <c r="AP23" i="2"/>
  <c r="AO23" i="2"/>
  <c r="AN23" i="2"/>
  <c r="AM23" i="2"/>
  <c r="AL23" i="2"/>
  <c r="AK23" i="2"/>
  <c r="AJ23" i="2"/>
  <c r="AI23" i="2"/>
  <c r="AH23" i="2"/>
  <c r="AG23" i="2"/>
  <c r="AF23" i="2"/>
  <c r="AE23" i="2"/>
  <c r="AD23" i="2"/>
  <c r="AC23" i="2"/>
  <c r="AB23" i="2"/>
  <c r="AA23" i="2"/>
  <c r="Z23" i="2"/>
  <c r="Y23" i="2"/>
  <c r="X23" i="2"/>
  <c r="W23" i="2"/>
  <c r="V23" i="2"/>
  <c r="U23" i="2"/>
  <c r="T23" i="2"/>
  <c r="S23" i="2"/>
  <c r="R23" i="2"/>
  <c r="Q23" i="2"/>
  <c r="P23" i="2"/>
  <c r="O23" i="2"/>
  <c r="N23" i="2"/>
  <c r="M23" i="2"/>
  <c r="L23" i="2"/>
  <c r="K23" i="2"/>
  <c r="J23" i="2"/>
  <c r="I23" i="2"/>
  <c r="H23" i="2"/>
  <c r="G23" i="2"/>
  <c r="F23" i="2"/>
  <c r="E23" i="2"/>
  <c r="D23" i="2"/>
  <c r="CZ22" i="2"/>
  <c r="CY22" i="2"/>
  <c r="CX22" i="2"/>
  <c r="CW22" i="2"/>
  <c r="CV22" i="2"/>
  <c r="CU22" i="2"/>
  <c r="CT22" i="2"/>
  <c r="CS22" i="2"/>
  <c r="CR22" i="2"/>
  <c r="CQ22" i="2"/>
  <c r="CP22" i="2"/>
  <c r="CO22" i="2"/>
  <c r="CN22" i="2"/>
  <c r="CM22" i="2"/>
  <c r="CL22" i="2"/>
  <c r="CK22" i="2"/>
  <c r="CJ22" i="2"/>
  <c r="CI22" i="2"/>
  <c r="CH22" i="2"/>
  <c r="CG22" i="2"/>
  <c r="CF22" i="2"/>
  <c r="CE22" i="2"/>
  <c r="CD22" i="2"/>
  <c r="CC22" i="2"/>
  <c r="CB22" i="2"/>
  <c r="CA22" i="2"/>
  <c r="BZ22" i="2"/>
  <c r="BY22" i="2"/>
  <c r="BX22" i="2"/>
  <c r="BW22" i="2"/>
  <c r="BV22" i="2"/>
  <c r="BU22" i="2"/>
  <c r="BT22" i="2"/>
  <c r="BS22" i="2"/>
  <c r="BR22" i="2"/>
  <c r="BQ22" i="2"/>
  <c r="BP22" i="2"/>
  <c r="BO22" i="2"/>
  <c r="BN22" i="2"/>
  <c r="BM22" i="2"/>
  <c r="BL22" i="2"/>
  <c r="BK22" i="2"/>
  <c r="BJ22" i="2"/>
  <c r="BI22" i="2"/>
  <c r="BH22" i="2"/>
  <c r="BG22" i="2"/>
  <c r="BF22" i="2"/>
  <c r="BE22" i="2"/>
  <c r="BD22" i="2"/>
  <c r="BC22" i="2"/>
  <c r="BB22" i="2"/>
  <c r="BA22" i="2"/>
  <c r="AZ22" i="2"/>
  <c r="AY22" i="2"/>
  <c r="AX22" i="2"/>
  <c r="AW22" i="2"/>
  <c r="AV22" i="2"/>
  <c r="AU22" i="2"/>
  <c r="AT22" i="2"/>
  <c r="AS22" i="2"/>
  <c r="AR22" i="2"/>
  <c r="AQ22" i="2"/>
  <c r="AP22" i="2"/>
  <c r="AO22" i="2"/>
  <c r="AN22" i="2"/>
  <c r="AM22" i="2"/>
  <c r="AL22" i="2"/>
  <c r="AK22" i="2"/>
  <c r="AJ22" i="2"/>
  <c r="AI22" i="2"/>
  <c r="AH22" i="2"/>
  <c r="AG22" i="2"/>
  <c r="AF22" i="2"/>
  <c r="AE22" i="2"/>
  <c r="AD22" i="2"/>
  <c r="AC22" i="2"/>
  <c r="AB22" i="2"/>
  <c r="AA22" i="2"/>
  <c r="Z22" i="2"/>
  <c r="Y22" i="2"/>
  <c r="X22" i="2"/>
  <c r="W22" i="2"/>
  <c r="V22" i="2"/>
  <c r="U22" i="2"/>
  <c r="T22" i="2"/>
  <c r="S22" i="2"/>
  <c r="R22" i="2"/>
  <c r="Q22" i="2"/>
  <c r="P22" i="2"/>
  <c r="O22" i="2"/>
  <c r="N22" i="2"/>
  <c r="M22" i="2"/>
  <c r="L22" i="2"/>
  <c r="K22" i="2"/>
  <c r="J22" i="2"/>
  <c r="I22" i="2"/>
  <c r="H22" i="2"/>
  <c r="G22" i="2"/>
  <c r="F22" i="2"/>
  <c r="E22" i="2"/>
  <c r="D22" i="2"/>
  <c r="CZ21" i="2"/>
  <c r="CY21" i="2"/>
  <c r="CX21" i="2"/>
  <c r="CW21" i="2"/>
  <c r="CV21" i="2"/>
  <c r="CU21" i="2"/>
  <c r="CT21" i="2"/>
  <c r="CS21" i="2"/>
  <c r="CR21" i="2"/>
  <c r="CQ21" i="2"/>
  <c r="CP21" i="2"/>
  <c r="CO21" i="2"/>
  <c r="CN21" i="2"/>
  <c r="CM21" i="2"/>
  <c r="CL21" i="2"/>
  <c r="CK21" i="2"/>
  <c r="CJ21" i="2"/>
  <c r="CI21" i="2"/>
  <c r="CH21" i="2"/>
  <c r="CG21" i="2"/>
  <c r="CF21" i="2"/>
  <c r="CE21" i="2"/>
  <c r="CD21" i="2"/>
  <c r="CC21" i="2"/>
  <c r="CB21" i="2"/>
  <c r="CA21" i="2"/>
  <c r="BZ21" i="2"/>
  <c r="BY21" i="2"/>
  <c r="BX21" i="2"/>
  <c r="BW21" i="2"/>
  <c r="BV21" i="2"/>
  <c r="BU21" i="2"/>
  <c r="BT21" i="2"/>
  <c r="BS21" i="2"/>
  <c r="BR21" i="2"/>
  <c r="BQ21" i="2"/>
  <c r="BP21" i="2"/>
  <c r="BO21" i="2"/>
  <c r="BN21" i="2"/>
  <c r="BM21" i="2"/>
  <c r="BL21" i="2"/>
  <c r="BK21" i="2"/>
  <c r="BJ21" i="2"/>
  <c r="BI21" i="2"/>
  <c r="BH21" i="2"/>
  <c r="BG21" i="2"/>
  <c r="BF21" i="2"/>
  <c r="BE21" i="2"/>
  <c r="BD21" i="2"/>
  <c r="BC21" i="2"/>
  <c r="BB21" i="2"/>
  <c r="BA21" i="2"/>
  <c r="AZ21" i="2"/>
  <c r="AY21" i="2"/>
  <c r="AX21" i="2"/>
  <c r="AW21" i="2"/>
  <c r="AV21" i="2"/>
  <c r="AU21" i="2"/>
  <c r="AT21" i="2"/>
  <c r="AS21" i="2"/>
  <c r="AR21" i="2"/>
  <c r="AQ21" i="2"/>
  <c r="AP21" i="2"/>
  <c r="AO21" i="2"/>
  <c r="AN21" i="2"/>
  <c r="AM21" i="2"/>
  <c r="AL21" i="2"/>
  <c r="AK21" i="2"/>
  <c r="AJ21" i="2"/>
  <c r="AI21" i="2"/>
  <c r="AH21" i="2"/>
  <c r="AG21" i="2"/>
  <c r="AF21" i="2"/>
  <c r="AE21" i="2"/>
  <c r="AD21" i="2"/>
  <c r="AC21" i="2"/>
  <c r="AB21" i="2"/>
  <c r="AA21" i="2"/>
  <c r="Z21" i="2"/>
  <c r="Y21" i="2"/>
  <c r="X21" i="2"/>
  <c r="W21" i="2"/>
  <c r="V21" i="2"/>
  <c r="U21" i="2"/>
  <c r="T21" i="2"/>
  <c r="S21" i="2"/>
  <c r="R21" i="2"/>
  <c r="Q21" i="2"/>
  <c r="P21" i="2"/>
  <c r="O21" i="2"/>
  <c r="N21" i="2"/>
  <c r="M21" i="2"/>
  <c r="L21" i="2"/>
  <c r="K21" i="2"/>
  <c r="J21" i="2"/>
  <c r="I21" i="2"/>
  <c r="H21" i="2"/>
  <c r="G21" i="2"/>
  <c r="F21" i="2"/>
  <c r="E21" i="2"/>
  <c r="D21" i="2"/>
  <c r="CZ20" i="2"/>
  <c r="CY20" i="2"/>
  <c r="CX20" i="2"/>
  <c r="CW20" i="2"/>
  <c r="CV20" i="2"/>
  <c r="CU20" i="2"/>
  <c r="CT20" i="2"/>
  <c r="CS20" i="2"/>
  <c r="CR20" i="2"/>
  <c r="CQ20" i="2"/>
  <c r="CP20" i="2"/>
  <c r="CO20" i="2"/>
  <c r="CN20" i="2"/>
  <c r="CM20" i="2"/>
  <c r="CL20" i="2"/>
  <c r="CK20" i="2"/>
  <c r="CJ20" i="2"/>
  <c r="CI20" i="2"/>
  <c r="CH20" i="2"/>
  <c r="CG20" i="2"/>
  <c r="CF20" i="2"/>
  <c r="CE20" i="2"/>
  <c r="CD20" i="2"/>
  <c r="CC20" i="2"/>
  <c r="CB20" i="2"/>
  <c r="CA20" i="2"/>
  <c r="BZ20" i="2"/>
  <c r="BY20" i="2"/>
  <c r="BX20" i="2"/>
  <c r="BW20" i="2"/>
  <c r="BV20" i="2"/>
  <c r="BU20" i="2"/>
  <c r="BT20" i="2"/>
  <c r="BS20" i="2"/>
  <c r="BR20" i="2"/>
  <c r="BQ20" i="2"/>
  <c r="BP20" i="2"/>
  <c r="BO20" i="2"/>
  <c r="BN20" i="2"/>
  <c r="BM20" i="2"/>
  <c r="BL20" i="2"/>
  <c r="BK20" i="2"/>
  <c r="BJ20" i="2"/>
  <c r="BI20" i="2"/>
  <c r="BH20" i="2"/>
  <c r="BG20" i="2"/>
  <c r="BF20" i="2"/>
  <c r="BE20" i="2"/>
  <c r="BD20" i="2"/>
  <c r="BC20" i="2"/>
  <c r="BB20" i="2"/>
  <c r="BA20" i="2"/>
  <c r="AZ20" i="2"/>
  <c r="AY20" i="2"/>
  <c r="AX20" i="2"/>
  <c r="AW20" i="2"/>
  <c r="AV20" i="2"/>
  <c r="AU20" i="2"/>
  <c r="AT20" i="2"/>
  <c r="AS20" i="2"/>
  <c r="AR20" i="2"/>
  <c r="AQ20" i="2"/>
  <c r="AP20" i="2"/>
  <c r="AO20" i="2"/>
  <c r="AN20" i="2"/>
  <c r="AM20" i="2"/>
  <c r="AL20" i="2"/>
  <c r="AK20" i="2"/>
  <c r="AJ20" i="2"/>
  <c r="AI20" i="2"/>
  <c r="AH20" i="2"/>
  <c r="AG20" i="2"/>
  <c r="AF20" i="2"/>
  <c r="AE20" i="2"/>
  <c r="AD20" i="2"/>
  <c r="AC20" i="2"/>
  <c r="AB20" i="2"/>
  <c r="AA20" i="2"/>
  <c r="Z20" i="2"/>
  <c r="Y20" i="2"/>
  <c r="X20" i="2"/>
  <c r="W20" i="2"/>
  <c r="V20" i="2"/>
  <c r="U20" i="2"/>
  <c r="T20" i="2"/>
  <c r="S20" i="2"/>
  <c r="R20" i="2"/>
  <c r="Q20" i="2"/>
  <c r="P20" i="2"/>
  <c r="O20" i="2"/>
  <c r="N20" i="2"/>
  <c r="M20" i="2"/>
  <c r="L20" i="2"/>
  <c r="K20" i="2"/>
  <c r="J20" i="2"/>
  <c r="I20" i="2"/>
  <c r="H20" i="2"/>
  <c r="G20" i="2"/>
  <c r="F20" i="2"/>
  <c r="E20" i="2"/>
  <c r="D20" i="2"/>
  <c r="CZ19" i="2"/>
  <c r="CY19" i="2"/>
  <c r="CX19" i="2"/>
  <c r="CW19" i="2"/>
  <c r="CV19" i="2"/>
  <c r="CU19" i="2"/>
  <c r="CT19" i="2"/>
  <c r="CS19" i="2"/>
  <c r="CR19" i="2"/>
  <c r="CQ19" i="2"/>
  <c r="CP19" i="2"/>
  <c r="CO19" i="2"/>
  <c r="CN19" i="2"/>
  <c r="CM19" i="2"/>
  <c r="CL19" i="2"/>
  <c r="CK19" i="2"/>
  <c r="CJ19" i="2"/>
  <c r="CI19" i="2"/>
  <c r="CH19" i="2"/>
  <c r="CG19" i="2"/>
  <c r="CF19" i="2"/>
  <c r="CE19" i="2"/>
  <c r="CD19" i="2"/>
  <c r="CC19" i="2"/>
  <c r="CB19" i="2"/>
  <c r="CA19" i="2"/>
  <c r="BZ19" i="2"/>
  <c r="BY19" i="2"/>
  <c r="BX19" i="2"/>
  <c r="BW19" i="2"/>
  <c r="BV19" i="2"/>
  <c r="BU19" i="2"/>
  <c r="BT19" i="2"/>
  <c r="BS19" i="2"/>
  <c r="BR19" i="2"/>
  <c r="BQ19" i="2"/>
  <c r="BP19" i="2"/>
  <c r="BO19" i="2"/>
  <c r="BN19" i="2"/>
  <c r="BM19" i="2"/>
  <c r="BL19" i="2"/>
  <c r="BK19" i="2"/>
  <c r="BJ19" i="2"/>
  <c r="BI19" i="2"/>
  <c r="BH19" i="2"/>
  <c r="BG19" i="2"/>
  <c r="BF19" i="2"/>
  <c r="BE19" i="2"/>
  <c r="BD19" i="2"/>
  <c r="BC19" i="2"/>
  <c r="BB19" i="2"/>
  <c r="BA19" i="2"/>
  <c r="AZ19" i="2"/>
  <c r="AY19" i="2"/>
  <c r="AX19" i="2"/>
  <c r="AW19" i="2"/>
  <c r="AV19" i="2"/>
  <c r="AU19" i="2"/>
  <c r="AT19" i="2"/>
  <c r="AS19" i="2"/>
  <c r="AR19" i="2"/>
  <c r="AQ19" i="2"/>
  <c r="AP19" i="2"/>
  <c r="AO19" i="2"/>
  <c r="AN19" i="2"/>
  <c r="AM19" i="2"/>
  <c r="AL19" i="2"/>
  <c r="AK19" i="2"/>
  <c r="AJ19" i="2"/>
  <c r="AI19" i="2"/>
  <c r="AH19" i="2"/>
  <c r="AG19" i="2"/>
  <c r="AF19" i="2"/>
  <c r="AE19" i="2"/>
  <c r="AD19" i="2"/>
  <c r="AC19" i="2"/>
  <c r="AB19" i="2"/>
  <c r="AA19" i="2"/>
  <c r="Z19" i="2"/>
  <c r="Y19" i="2"/>
  <c r="X19" i="2"/>
  <c r="W19" i="2"/>
  <c r="V19" i="2"/>
  <c r="U19" i="2"/>
  <c r="T19" i="2"/>
  <c r="S19" i="2"/>
  <c r="R19" i="2"/>
  <c r="Q19" i="2"/>
  <c r="P19" i="2"/>
  <c r="O19" i="2"/>
  <c r="N19" i="2"/>
  <c r="M19" i="2"/>
  <c r="L19" i="2"/>
  <c r="K19" i="2"/>
  <c r="J19" i="2"/>
  <c r="I19" i="2"/>
  <c r="H19" i="2"/>
  <c r="G19" i="2"/>
  <c r="F19" i="2"/>
  <c r="E19" i="2"/>
  <c r="D19" i="2"/>
  <c r="CZ18" i="2"/>
  <c r="CY18" i="2"/>
  <c r="CX18" i="2"/>
  <c r="CW18" i="2"/>
  <c r="CV18" i="2"/>
  <c r="CU18" i="2"/>
  <c r="CT18" i="2"/>
  <c r="CS18" i="2"/>
  <c r="CR18" i="2"/>
  <c r="CQ18" i="2"/>
  <c r="CP18" i="2"/>
  <c r="CO18" i="2"/>
  <c r="CN18" i="2"/>
  <c r="CM18" i="2"/>
  <c r="CL18" i="2"/>
  <c r="CK18" i="2"/>
  <c r="CJ18" i="2"/>
  <c r="CI18" i="2"/>
  <c r="CH18" i="2"/>
  <c r="CG18" i="2"/>
  <c r="CF18" i="2"/>
  <c r="CE18" i="2"/>
  <c r="CD18" i="2"/>
  <c r="CC18" i="2"/>
  <c r="CB18" i="2"/>
  <c r="CA18" i="2"/>
  <c r="BZ18" i="2"/>
  <c r="BY18" i="2"/>
  <c r="BX18" i="2"/>
  <c r="BW18" i="2"/>
  <c r="BV18" i="2"/>
  <c r="BU18" i="2"/>
  <c r="BT18" i="2"/>
  <c r="BS18" i="2"/>
  <c r="BR18" i="2"/>
  <c r="BQ18" i="2"/>
  <c r="BP18" i="2"/>
  <c r="BO18" i="2"/>
  <c r="BN18" i="2"/>
  <c r="BM18" i="2"/>
  <c r="BL18" i="2"/>
  <c r="BK18" i="2"/>
  <c r="BJ18" i="2"/>
  <c r="BI18" i="2"/>
  <c r="BH18" i="2"/>
  <c r="BG18" i="2"/>
  <c r="BF18" i="2"/>
  <c r="BE18" i="2"/>
  <c r="BD18" i="2"/>
  <c r="BC18" i="2"/>
  <c r="BB18" i="2"/>
  <c r="BA18" i="2"/>
  <c r="AZ18" i="2"/>
  <c r="AY18" i="2"/>
  <c r="AX18" i="2"/>
  <c r="AW18" i="2"/>
  <c r="AV18" i="2"/>
  <c r="AU18" i="2"/>
  <c r="AT18" i="2"/>
  <c r="AS18" i="2"/>
  <c r="AR18" i="2"/>
  <c r="AQ18" i="2"/>
  <c r="AP18" i="2"/>
  <c r="AO18" i="2"/>
  <c r="AN18" i="2"/>
  <c r="AM18" i="2"/>
  <c r="AL18" i="2"/>
  <c r="AK18" i="2"/>
  <c r="AJ18" i="2"/>
  <c r="AI18" i="2"/>
  <c r="AH18" i="2"/>
  <c r="AG18" i="2"/>
  <c r="AF18" i="2"/>
  <c r="AE18" i="2"/>
  <c r="AD18" i="2"/>
  <c r="AC18" i="2"/>
  <c r="AB18" i="2"/>
  <c r="AA18" i="2"/>
  <c r="Z18" i="2"/>
  <c r="Y18" i="2"/>
  <c r="X18" i="2"/>
  <c r="W18" i="2"/>
  <c r="V18" i="2"/>
  <c r="U18" i="2"/>
  <c r="T18" i="2"/>
  <c r="S18" i="2"/>
  <c r="R18" i="2"/>
  <c r="Q18" i="2"/>
  <c r="P18" i="2"/>
  <c r="O18" i="2"/>
  <c r="N18" i="2"/>
  <c r="M18" i="2"/>
  <c r="L18" i="2"/>
  <c r="K18" i="2"/>
  <c r="J18" i="2"/>
  <c r="I18" i="2"/>
  <c r="H18" i="2"/>
  <c r="G18" i="2"/>
  <c r="F18" i="2"/>
  <c r="E18" i="2"/>
  <c r="D18" i="2"/>
  <c r="CZ13" i="2"/>
  <c r="CY13" i="2"/>
  <c r="CX13" i="2"/>
  <c r="CW13" i="2"/>
  <c r="CV13" i="2"/>
  <c r="CU13" i="2"/>
  <c r="CT13" i="2"/>
  <c r="CS13" i="2"/>
  <c r="CR13" i="2"/>
  <c r="CQ13" i="2"/>
  <c r="CP13" i="2"/>
  <c r="CO13" i="2"/>
  <c r="CN13" i="2"/>
  <c r="CM13" i="2"/>
  <c r="CL13" i="2"/>
  <c r="CK13" i="2"/>
  <c r="CJ13" i="2"/>
  <c r="CI13" i="2"/>
  <c r="CH13" i="2"/>
  <c r="CG13" i="2"/>
  <c r="CF13" i="2"/>
  <c r="CE13" i="2"/>
  <c r="CD13" i="2"/>
  <c r="CC13" i="2"/>
  <c r="CB13" i="2"/>
  <c r="CA13" i="2"/>
  <c r="BZ13" i="2"/>
  <c r="BY13" i="2"/>
  <c r="BX13" i="2"/>
  <c r="BW13" i="2"/>
  <c r="BV13" i="2"/>
  <c r="BU13" i="2"/>
  <c r="BT13" i="2"/>
  <c r="BS13" i="2"/>
  <c r="BR13" i="2"/>
  <c r="BQ13" i="2"/>
  <c r="BP13" i="2"/>
  <c r="BO13" i="2"/>
  <c r="BN13" i="2"/>
  <c r="BM13" i="2"/>
  <c r="BL13" i="2"/>
  <c r="BK13" i="2"/>
  <c r="BJ13" i="2"/>
  <c r="BI13" i="2"/>
  <c r="BH13" i="2"/>
  <c r="BG13" i="2"/>
  <c r="BF13" i="2"/>
  <c r="BE13" i="2"/>
  <c r="BD13" i="2"/>
  <c r="BC13" i="2"/>
  <c r="BB13" i="2"/>
  <c r="BA13" i="2"/>
  <c r="AZ13" i="2"/>
  <c r="AY13" i="2"/>
  <c r="AX13" i="2"/>
  <c r="AW13" i="2"/>
  <c r="AV13" i="2"/>
  <c r="AU13" i="2"/>
  <c r="AT13" i="2"/>
  <c r="AS13" i="2"/>
  <c r="AR13" i="2"/>
  <c r="AQ13" i="2"/>
  <c r="AP13" i="2"/>
  <c r="AO13" i="2"/>
  <c r="AN13" i="2"/>
  <c r="AM13" i="2"/>
  <c r="AL13" i="2"/>
  <c r="AK13" i="2"/>
  <c r="AJ13" i="2"/>
  <c r="AI13" i="2"/>
  <c r="AH13" i="2"/>
  <c r="AG13" i="2"/>
  <c r="AF13" i="2"/>
  <c r="AE13" i="2"/>
  <c r="AD13" i="2"/>
  <c r="AC13" i="2"/>
  <c r="AB13" i="2"/>
  <c r="AA13" i="2"/>
  <c r="Z13" i="2"/>
  <c r="Y13" i="2"/>
  <c r="X13" i="2"/>
  <c r="W13" i="2"/>
  <c r="V13" i="2"/>
  <c r="U13" i="2"/>
  <c r="T13" i="2"/>
  <c r="S13" i="2"/>
  <c r="R13" i="2"/>
  <c r="Q13" i="2"/>
  <c r="P13" i="2"/>
  <c r="O13" i="2"/>
  <c r="N13" i="2"/>
  <c r="M13" i="2"/>
  <c r="L13" i="2"/>
  <c r="K13" i="2"/>
  <c r="J13" i="2"/>
  <c r="I13" i="2"/>
  <c r="H13" i="2"/>
  <c r="G13" i="2"/>
  <c r="F13" i="2"/>
  <c r="E13" i="2"/>
  <c r="D13" i="2"/>
  <c r="CZ9" i="2"/>
  <c r="CY9" i="2"/>
  <c r="CX9" i="2"/>
  <c r="CW9" i="2"/>
  <c r="CV9" i="2"/>
  <c r="CU9" i="2"/>
  <c r="CT9" i="2"/>
  <c r="CS9" i="2"/>
  <c r="CR9" i="2"/>
  <c r="CQ9" i="2"/>
  <c r="CP9" i="2"/>
  <c r="CO9" i="2"/>
  <c r="CN9" i="2"/>
  <c r="CM9" i="2"/>
  <c r="CL9" i="2"/>
  <c r="CK9" i="2"/>
  <c r="CJ9" i="2"/>
  <c r="CI9" i="2"/>
  <c r="CH9" i="2"/>
  <c r="CG9" i="2"/>
  <c r="CF9" i="2"/>
  <c r="CE9" i="2"/>
  <c r="CD9" i="2"/>
  <c r="CC9" i="2"/>
  <c r="CB9" i="2"/>
  <c r="CA9" i="2"/>
  <c r="BZ9" i="2"/>
  <c r="BY9" i="2"/>
  <c r="BX9" i="2"/>
  <c r="BW9" i="2"/>
  <c r="BV9" i="2"/>
  <c r="BU9" i="2"/>
  <c r="BT9" i="2"/>
  <c r="BS9" i="2"/>
  <c r="BR9" i="2"/>
  <c r="BQ9" i="2"/>
  <c r="BP9" i="2"/>
  <c r="BO9" i="2"/>
  <c r="BN9" i="2"/>
  <c r="BM9" i="2"/>
  <c r="BL9" i="2"/>
  <c r="BK9" i="2"/>
  <c r="BJ9" i="2"/>
  <c r="BI9" i="2"/>
  <c r="BH9" i="2"/>
  <c r="BG9" i="2"/>
  <c r="BF9" i="2"/>
  <c r="BE9" i="2"/>
  <c r="BD9" i="2"/>
  <c r="BC9" i="2"/>
  <c r="BB9" i="2"/>
  <c r="BA9" i="2"/>
  <c r="AZ9" i="2"/>
  <c r="AY9" i="2"/>
  <c r="AX9" i="2"/>
  <c r="AW9" i="2"/>
  <c r="AV9" i="2"/>
  <c r="AU9" i="2"/>
  <c r="AT9" i="2"/>
  <c r="AS9" i="2"/>
  <c r="AR9" i="2"/>
  <c r="AQ9" i="2"/>
  <c r="AP9" i="2"/>
  <c r="AO9" i="2"/>
  <c r="AN9" i="2"/>
  <c r="AM9" i="2"/>
  <c r="AL9" i="2"/>
  <c r="AK9" i="2"/>
  <c r="AJ9" i="2"/>
  <c r="AI9" i="2"/>
  <c r="AH9" i="2"/>
  <c r="AG9" i="2"/>
  <c r="AF9" i="2"/>
  <c r="AE9" i="2"/>
  <c r="AD9" i="2"/>
  <c r="AC9" i="2"/>
  <c r="AB9" i="2"/>
  <c r="AA9" i="2"/>
  <c r="Z9" i="2"/>
  <c r="Y9" i="2"/>
  <c r="X9" i="2"/>
  <c r="W9" i="2"/>
  <c r="V9" i="2"/>
  <c r="U9" i="2"/>
  <c r="T9" i="2"/>
  <c r="S9" i="2"/>
  <c r="R9" i="2"/>
  <c r="Q9" i="2"/>
  <c r="P9" i="2"/>
  <c r="O9" i="2"/>
  <c r="N9" i="2"/>
  <c r="M9" i="2"/>
  <c r="L9" i="2"/>
  <c r="K9" i="2"/>
  <c r="J9" i="2"/>
  <c r="I9" i="2"/>
  <c r="H9" i="2"/>
  <c r="G9" i="2"/>
  <c r="F9" i="2"/>
  <c r="E9" i="2"/>
  <c r="D9" i="2"/>
  <c r="CZ8" i="2"/>
  <c r="CY8" i="2"/>
  <c r="CX8" i="2"/>
  <c r="CW8" i="2"/>
  <c r="CV8" i="2"/>
  <c r="CU8" i="2"/>
  <c r="CT8" i="2"/>
  <c r="CS8" i="2"/>
  <c r="CR8" i="2"/>
  <c r="CQ8" i="2"/>
  <c r="CP8" i="2"/>
  <c r="CO8" i="2"/>
  <c r="CN8" i="2"/>
  <c r="CM8" i="2"/>
  <c r="CL8" i="2"/>
  <c r="CK8" i="2"/>
  <c r="CJ8" i="2"/>
  <c r="CI8" i="2"/>
  <c r="CH8" i="2"/>
  <c r="CG8" i="2"/>
  <c r="CF8" i="2"/>
  <c r="CE8" i="2"/>
  <c r="CD8" i="2"/>
  <c r="CC8" i="2"/>
  <c r="CB8" i="2"/>
  <c r="CA8" i="2"/>
  <c r="BZ8" i="2"/>
  <c r="BY8" i="2"/>
  <c r="BX8" i="2"/>
  <c r="BW8" i="2"/>
  <c r="BV8" i="2"/>
  <c r="BU8" i="2"/>
  <c r="BT8" i="2"/>
  <c r="BS8" i="2"/>
  <c r="BR8" i="2"/>
  <c r="BQ8" i="2"/>
  <c r="BP8" i="2"/>
  <c r="BO8" i="2"/>
  <c r="BN8" i="2"/>
  <c r="BM8" i="2"/>
  <c r="BL8" i="2"/>
  <c r="BK8" i="2"/>
  <c r="BJ8" i="2"/>
  <c r="BI8" i="2"/>
  <c r="BH8" i="2"/>
  <c r="BG8" i="2"/>
  <c r="BF8" i="2"/>
  <c r="BE8" i="2"/>
  <c r="BD8" i="2"/>
  <c r="BC8" i="2"/>
  <c r="BB8" i="2"/>
  <c r="BA8" i="2"/>
  <c r="AZ8" i="2"/>
  <c r="AY8" i="2"/>
  <c r="AX8" i="2"/>
  <c r="AW8" i="2"/>
  <c r="AV8" i="2"/>
  <c r="AU8" i="2"/>
  <c r="AT8" i="2"/>
  <c r="AS8" i="2"/>
  <c r="AR8" i="2"/>
  <c r="AQ8" i="2"/>
  <c r="AP8" i="2"/>
  <c r="AO8" i="2"/>
  <c r="AN8" i="2"/>
  <c r="AM8" i="2"/>
  <c r="AL8" i="2"/>
  <c r="AK8" i="2"/>
  <c r="AJ8" i="2"/>
  <c r="AI8" i="2"/>
  <c r="AH8" i="2"/>
  <c r="AG8" i="2"/>
  <c r="AF8" i="2"/>
  <c r="AE8" i="2"/>
  <c r="AD8" i="2"/>
  <c r="AC8" i="2"/>
  <c r="AB8" i="2"/>
  <c r="AA8" i="2"/>
  <c r="Z8" i="2"/>
  <c r="Y8" i="2"/>
  <c r="X8" i="2"/>
  <c r="W8" i="2"/>
  <c r="V8" i="2"/>
  <c r="U8" i="2"/>
  <c r="T8" i="2"/>
  <c r="S8" i="2"/>
  <c r="R8" i="2"/>
  <c r="Q8" i="2"/>
  <c r="P8" i="2"/>
  <c r="O8" i="2"/>
  <c r="N8" i="2"/>
  <c r="M8" i="2"/>
  <c r="L8" i="2"/>
  <c r="K8" i="2"/>
  <c r="J8" i="2"/>
  <c r="I8" i="2"/>
  <c r="H8" i="2"/>
  <c r="G8" i="2"/>
  <c r="F8" i="2"/>
  <c r="E8" i="2"/>
  <c r="D8" i="2"/>
  <c r="CZ7" i="2"/>
  <c r="CY7" i="2"/>
  <c r="CX7" i="2"/>
  <c r="CW7" i="2"/>
  <c r="CV7" i="2"/>
  <c r="CU7" i="2"/>
  <c r="CT7" i="2"/>
  <c r="CS7" i="2"/>
  <c r="CR7" i="2"/>
  <c r="CQ7" i="2"/>
  <c r="CP7" i="2"/>
  <c r="CO7" i="2"/>
  <c r="CN7" i="2"/>
  <c r="CM7" i="2"/>
  <c r="CL7" i="2"/>
  <c r="CK7" i="2"/>
  <c r="CJ7" i="2"/>
  <c r="CI7" i="2"/>
  <c r="CH7" i="2"/>
  <c r="CG7" i="2"/>
  <c r="CF7" i="2"/>
  <c r="CE7" i="2"/>
  <c r="CD7" i="2"/>
  <c r="CC7" i="2"/>
  <c r="CB7" i="2"/>
  <c r="CA7" i="2"/>
  <c r="BZ7" i="2"/>
  <c r="BY7" i="2"/>
  <c r="BX7" i="2"/>
  <c r="BW7" i="2"/>
  <c r="BV7" i="2"/>
  <c r="BU7" i="2"/>
  <c r="BT7" i="2"/>
  <c r="BS7" i="2"/>
  <c r="BR7" i="2"/>
  <c r="BQ7" i="2"/>
  <c r="BP7" i="2"/>
  <c r="BO7" i="2"/>
  <c r="BN7" i="2"/>
  <c r="BM7" i="2"/>
  <c r="BL7" i="2"/>
  <c r="BK7" i="2"/>
  <c r="BJ7" i="2"/>
  <c r="BI7" i="2"/>
  <c r="BH7" i="2"/>
  <c r="BG7" i="2"/>
  <c r="BF7" i="2"/>
  <c r="BE7" i="2"/>
  <c r="BD7" i="2"/>
  <c r="BC7" i="2"/>
  <c r="BB7" i="2"/>
  <c r="BA7" i="2"/>
  <c r="AZ7" i="2"/>
  <c r="AY7" i="2"/>
  <c r="AX7" i="2"/>
  <c r="AW7" i="2"/>
  <c r="AV7" i="2"/>
  <c r="AU7" i="2"/>
  <c r="AT7" i="2"/>
  <c r="AS7" i="2"/>
  <c r="AR7" i="2"/>
  <c r="AQ7" i="2"/>
  <c r="AP7" i="2"/>
  <c r="AO7" i="2"/>
  <c r="AN7" i="2"/>
  <c r="AM7" i="2"/>
  <c r="AL7" i="2"/>
  <c r="AK7" i="2"/>
  <c r="AJ7" i="2"/>
  <c r="AI7" i="2"/>
  <c r="AH7" i="2"/>
  <c r="AG7" i="2"/>
  <c r="AF7" i="2"/>
  <c r="AE7" i="2"/>
  <c r="AD7" i="2"/>
  <c r="AC7" i="2"/>
  <c r="AB7" i="2"/>
  <c r="AA7" i="2"/>
  <c r="Z7" i="2"/>
  <c r="Y7" i="2"/>
  <c r="X7" i="2"/>
  <c r="W7" i="2"/>
  <c r="V7" i="2"/>
  <c r="U7" i="2"/>
  <c r="T7" i="2"/>
  <c r="S7" i="2"/>
  <c r="R7" i="2"/>
  <c r="Q7" i="2"/>
  <c r="P7" i="2"/>
  <c r="O7" i="2"/>
  <c r="N7" i="2"/>
  <c r="M7" i="2"/>
  <c r="L7" i="2"/>
  <c r="K7" i="2"/>
  <c r="J7" i="2"/>
  <c r="I7" i="2"/>
  <c r="H7" i="2"/>
  <c r="G7" i="2"/>
  <c r="F7" i="2"/>
  <c r="E7" i="2"/>
  <c r="D7" i="2"/>
  <c r="CZ6" i="2"/>
  <c r="CY6" i="2"/>
  <c r="CX6" i="2"/>
  <c r="CW6" i="2"/>
  <c r="CV6" i="2"/>
  <c r="CU6" i="2"/>
  <c r="CT6" i="2"/>
  <c r="CS6" i="2"/>
  <c r="CR6" i="2"/>
  <c r="CQ6" i="2"/>
  <c r="CP6" i="2"/>
  <c r="CO6" i="2"/>
  <c r="CN6" i="2"/>
  <c r="CM6" i="2"/>
  <c r="CL6" i="2"/>
  <c r="CK6" i="2"/>
  <c r="CJ6" i="2"/>
  <c r="CI6" i="2"/>
  <c r="CH6" i="2"/>
  <c r="CG6" i="2"/>
  <c r="CF6" i="2"/>
  <c r="CE6" i="2"/>
  <c r="CD6" i="2"/>
  <c r="CC6" i="2"/>
  <c r="CB6" i="2"/>
  <c r="CA6" i="2"/>
  <c r="BZ6" i="2"/>
  <c r="BY6" i="2"/>
  <c r="BX6" i="2"/>
  <c r="BW6" i="2"/>
  <c r="BV6" i="2"/>
  <c r="BU6" i="2"/>
  <c r="BT6" i="2"/>
  <c r="BS6" i="2"/>
  <c r="BR6" i="2"/>
  <c r="BQ6" i="2"/>
  <c r="BP6" i="2"/>
  <c r="BO6" i="2"/>
  <c r="BN6" i="2"/>
  <c r="BM6" i="2"/>
  <c r="BL6" i="2"/>
  <c r="BK6" i="2"/>
  <c r="BJ6" i="2"/>
  <c r="BI6" i="2"/>
  <c r="BH6" i="2"/>
  <c r="BG6" i="2"/>
  <c r="BF6" i="2"/>
  <c r="BE6" i="2"/>
  <c r="BD6" i="2"/>
  <c r="BC6" i="2"/>
  <c r="BB6" i="2"/>
  <c r="BA6" i="2"/>
  <c r="AZ6" i="2"/>
  <c r="AY6" i="2"/>
  <c r="AX6" i="2"/>
  <c r="AW6" i="2"/>
  <c r="AV6" i="2"/>
  <c r="AU6" i="2"/>
  <c r="AT6" i="2"/>
  <c r="AS6" i="2"/>
  <c r="AR6" i="2"/>
  <c r="AQ6" i="2"/>
  <c r="AP6" i="2"/>
  <c r="AO6" i="2"/>
  <c r="AN6" i="2"/>
  <c r="AM6" i="2"/>
  <c r="AL6" i="2"/>
  <c r="AK6" i="2"/>
  <c r="AJ6" i="2"/>
  <c r="AI6" i="2"/>
  <c r="AH6" i="2"/>
  <c r="AG6" i="2"/>
  <c r="AF6" i="2"/>
  <c r="AE6" i="2"/>
  <c r="AD6" i="2"/>
  <c r="AC6" i="2"/>
  <c r="AB6" i="2"/>
  <c r="AA6" i="2"/>
  <c r="Z6" i="2"/>
  <c r="Y6" i="2"/>
  <c r="X6" i="2"/>
  <c r="W6" i="2"/>
  <c r="V6" i="2"/>
  <c r="U6" i="2"/>
  <c r="T6" i="2"/>
  <c r="S6" i="2"/>
  <c r="R6" i="2"/>
  <c r="Q6" i="2"/>
  <c r="P6" i="2"/>
  <c r="O6" i="2"/>
  <c r="N6" i="2"/>
  <c r="M6" i="2"/>
  <c r="L6" i="2"/>
  <c r="K6" i="2"/>
  <c r="J6" i="2"/>
  <c r="I6" i="2"/>
  <c r="H6" i="2"/>
  <c r="G6" i="2"/>
  <c r="F6" i="2"/>
  <c r="E6" i="2"/>
  <c r="D6" i="2"/>
  <c r="C33" i="2"/>
  <c r="C34" i="2"/>
  <c r="C35" i="2"/>
  <c r="C36" i="2"/>
  <c r="C37" i="2"/>
  <c r="C38" i="2"/>
  <c r="C32" i="2"/>
  <c r="C31" i="2"/>
  <c r="C19" i="2"/>
  <c r="C20" i="2"/>
  <c r="C21" i="2"/>
  <c r="C22" i="2"/>
  <c r="C23" i="2"/>
  <c r="C24" i="2"/>
  <c r="C25" i="2"/>
  <c r="C18" i="2"/>
  <c r="C13" i="2"/>
  <c r="C8" i="2"/>
  <c r="C9" i="2"/>
  <c r="C7" i="2"/>
  <c r="AQ45" i="2" l="1"/>
  <c r="C45" i="2"/>
  <c r="F45" i="2"/>
  <c r="J45" i="2"/>
  <c r="N45" i="2"/>
  <c r="R45" i="2"/>
  <c r="V45" i="2"/>
  <c r="Z45" i="2"/>
  <c r="AD45" i="2"/>
  <c r="AH45" i="2"/>
  <c r="AL45" i="2"/>
  <c r="AP45" i="2"/>
  <c r="C11" i="2"/>
  <c r="D45" i="2"/>
  <c r="H45" i="2"/>
  <c r="L45" i="2"/>
  <c r="P45" i="2"/>
  <c r="T45" i="2"/>
  <c r="X45" i="2"/>
  <c r="AB45" i="2"/>
  <c r="AF45" i="2"/>
  <c r="AJ45" i="2"/>
  <c r="AN45" i="2"/>
  <c r="E45" i="2"/>
  <c r="I45" i="2"/>
  <c r="M45" i="2"/>
  <c r="Q45" i="2"/>
  <c r="U45" i="2"/>
  <c r="Y45" i="2"/>
  <c r="AC45" i="2"/>
  <c r="AG45" i="2"/>
  <c r="AK45" i="2"/>
  <c r="AO45" i="2"/>
  <c r="G45" i="2"/>
  <c r="K45" i="2"/>
  <c r="O45" i="2"/>
  <c r="S45" i="2"/>
  <c r="W45" i="2"/>
  <c r="AA45" i="2"/>
  <c r="AE45" i="2"/>
  <c r="AI45" i="2"/>
  <c r="AM45" i="2"/>
  <c r="CZ18" i="3"/>
  <c r="CY18" i="3"/>
  <c r="CX18" i="3"/>
  <c r="CW18" i="3"/>
  <c r="CV18" i="3"/>
  <c r="CU18" i="3"/>
  <c r="CT18" i="3"/>
  <c r="CS18" i="3"/>
  <c r="CR18" i="3"/>
  <c r="CQ18" i="3"/>
  <c r="CP18" i="3"/>
  <c r="CO18" i="3"/>
  <c r="CN18" i="3"/>
  <c r="CM18" i="3"/>
  <c r="CL18" i="3"/>
  <c r="CK18" i="3"/>
  <c r="CJ18" i="3"/>
  <c r="CI18" i="3"/>
  <c r="CH18" i="3"/>
  <c r="CG18" i="3"/>
  <c r="CF18" i="3"/>
  <c r="CE18" i="3"/>
  <c r="CD18" i="3"/>
  <c r="CC18" i="3"/>
  <c r="CB18" i="3"/>
  <c r="CA18" i="3"/>
  <c r="BZ18" i="3"/>
  <c r="BY18" i="3"/>
  <c r="BX18" i="3"/>
  <c r="BW18" i="3"/>
  <c r="BV18" i="3"/>
  <c r="BU18" i="3"/>
  <c r="BT18" i="3"/>
  <c r="BS18" i="3"/>
  <c r="BR18" i="3"/>
  <c r="BQ18" i="3"/>
  <c r="BP18" i="3"/>
  <c r="BO18" i="3"/>
  <c r="BN18" i="3"/>
  <c r="BM18" i="3"/>
  <c r="BL18" i="3"/>
  <c r="BK18" i="3"/>
  <c r="BJ18" i="3"/>
  <c r="BI18" i="3"/>
  <c r="BH18" i="3"/>
  <c r="BG18" i="3"/>
  <c r="BF18" i="3"/>
  <c r="BE18" i="3"/>
  <c r="BD18" i="3"/>
  <c r="BC18" i="3"/>
  <c r="BB18" i="3"/>
  <c r="BA18" i="3"/>
  <c r="AZ18" i="3"/>
  <c r="AY18" i="3"/>
  <c r="AX18" i="3"/>
  <c r="AW18" i="3"/>
  <c r="AV18" i="3"/>
  <c r="AU18" i="3"/>
  <c r="AT18" i="3"/>
  <c r="AS18" i="3"/>
  <c r="AR18" i="3"/>
  <c r="AQ18" i="3"/>
  <c r="AP18" i="3"/>
  <c r="AO18" i="3"/>
  <c r="AN18" i="3"/>
  <c r="AM18" i="3"/>
  <c r="AL18" i="3"/>
  <c r="AK18" i="3"/>
  <c r="AJ18" i="3"/>
  <c r="AI18" i="3"/>
  <c r="AH18" i="3"/>
  <c r="AG18" i="3"/>
  <c r="AF18" i="3"/>
  <c r="AE18" i="3"/>
  <c r="AD18" i="3"/>
  <c r="AC18" i="3"/>
  <c r="AB18" i="3"/>
  <c r="AA18" i="3"/>
  <c r="Z18" i="3"/>
  <c r="Y18" i="3"/>
  <c r="X18" i="3"/>
  <c r="W18" i="3"/>
  <c r="V18" i="3"/>
  <c r="U18" i="3"/>
  <c r="T18" i="3"/>
  <c r="S18" i="3"/>
  <c r="R18" i="3"/>
  <c r="Q18" i="3"/>
  <c r="P18" i="3"/>
  <c r="O18" i="3"/>
  <c r="N18" i="3"/>
  <c r="M18" i="3"/>
  <c r="L18" i="3"/>
  <c r="K18" i="3"/>
  <c r="J18" i="3"/>
  <c r="I18" i="3"/>
  <c r="H18" i="3"/>
  <c r="G18" i="3"/>
  <c r="F18" i="3"/>
  <c r="E18" i="3"/>
  <c r="D18" i="3"/>
  <c r="C18" i="3"/>
  <c r="CZ17" i="3"/>
  <c r="CY17" i="3"/>
  <c r="CX17" i="3"/>
  <c r="CW17" i="3"/>
  <c r="CV17" i="3"/>
  <c r="CU17" i="3"/>
  <c r="CT17" i="3"/>
  <c r="CS17" i="3"/>
  <c r="CR17" i="3"/>
  <c r="CQ17" i="3"/>
  <c r="CP17" i="3"/>
  <c r="CO17" i="3"/>
  <c r="CN17" i="3"/>
  <c r="CM17" i="3"/>
  <c r="CL17" i="3"/>
  <c r="CK17" i="3"/>
  <c r="CJ17" i="3"/>
  <c r="CI17" i="3"/>
  <c r="CH17" i="3"/>
  <c r="CG17" i="3"/>
  <c r="CF17" i="3"/>
  <c r="CE17" i="3"/>
  <c r="CD17" i="3"/>
  <c r="CC17" i="3"/>
  <c r="CB17" i="3"/>
  <c r="CA17" i="3"/>
  <c r="BZ17" i="3"/>
  <c r="BY17" i="3"/>
  <c r="BX17" i="3"/>
  <c r="BW17" i="3"/>
  <c r="BV17" i="3"/>
  <c r="BU17" i="3"/>
  <c r="BT17" i="3"/>
  <c r="BS17" i="3"/>
  <c r="BR17" i="3"/>
  <c r="BQ17" i="3"/>
  <c r="BP17" i="3"/>
  <c r="BO17" i="3"/>
  <c r="BN17" i="3"/>
  <c r="BM17" i="3"/>
  <c r="BL17" i="3"/>
  <c r="BK17" i="3"/>
  <c r="BJ17" i="3"/>
  <c r="BI17" i="3"/>
  <c r="BH17" i="3"/>
  <c r="BG17" i="3"/>
  <c r="BF17" i="3"/>
  <c r="BE17" i="3"/>
  <c r="BD17" i="3"/>
  <c r="BC17" i="3"/>
  <c r="BB17" i="3"/>
  <c r="BA17" i="3"/>
  <c r="AZ17" i="3"/>
  <c r="AY17" i="3"/>
  <c r="AX17" i="3"/>
  <c r="AW17" i="3"/>
  <c r="AV17" i="3"/>
  <c r="AU17" i="3"/>
  <c r="AT17" i="3"/>
  <c r="AS17" i="3"/>
  <c r="AR17" i="3"/>
  <c r="AQ17" i="3"/>
  <c r="AP17" i="3"/>
  <c r="AO17" i="3"/>
  <c r="AN17" i="3"/>
  <c r="AM17" i="3"/>
  <c r="AL17" i="3"/>
  <c r="AK17" i="3"/>
  <c r="AJ17" i="3"/>
  <c r="AI17" i="3"/>
  <c r="AH17" i="3"/>
  <c r="AG17" i="3"/>
  <c r="AF17" i="3"/>
  <c r="AE17" i="3"/>
  <c r="AD17" i="3"/>
  <c r="AC17" i="3"/>
  <c r="AB17" i="3"/>
  <c r="AA17" i="3"/>
  <c r="Z17" i="3"/>
  <c r="Y17" i="3"/>
  <c r="X17" i="3"/>
  <c r="W17" i="3"/>
  <c r="V17" i="3"/>
  <c r="U17" i="3"/>
  <c r="T17" i="3"/>
  <c r="S17" i="3"/>
  <c r="R17" i="3"/>
  <c r="Q17" i="3"/>
  <c r="P17" i="3"/>
  <c r="O17" i="3"/>
  <c r="N17" i="3"/>
  <c r="M17" i="3"/>
  <c r="L17" i="3"/>
  <c r="K17" i="3"/>
  <c r="J17" i="3"/>
  <c r="I17" i="3"/>
  <c r="H17" i="3"/>
  <c r="G17" i="3"/>
  <c r="F17" i="3"/>
  <c r="E17" i="3"/>
  <c r="D17" i="3"/>
  <c r="C17" i="3"/>
  <c r="CZ16" i="3"/>
  <c r="CY16" i="3"/>
  <c r="CX16" i="3"/>
  <c r="CW16" i="3"/>
  <c r="CV16" i="3"/>
  <c r="CU16" i="3"/>
  <c r="CT16" i="3"/>
  <c r="CS16" i="3"/>
  <c r="CR16" i="3"/>
  <c r="CQ16" i="3"/>
  <c r="CP16" i="3"/>
  <c r="CO16" i="3"/>
  <c r="CN16" i="3"/>
  <c r="CM16" i="3"/>
  <c r="CL16" i="3"/>
  <c r="CK16" i="3"/>
  <c r="CJ16" i="3"/>
  <c r="CI16" i="3"/>
  <c r="CH16" i="3"/>
  <c r="CG16" i="3"/>
  <c r="CF16" i="3"/>
  <c r="CE16" i="3"/>
  <c r="CD16" i="3"/>
  <c r="CC16" i="3"/>
  <c r="CB16" i="3"/>
  <c r="CA16" i="3"/>
  <c r="BZ16" i="3"/>
  <c r="BY16" i="3"/>
  <c r="BX16" i="3"/>
  <c r="BW16" i="3"/>
  <c r="BV16" i="3"/>
  <c r="BU16" i="3"/>
  <c r="BT16" i="3"/>
  <c r="BS16" i="3"/>
  <c r="BR16" i="3"/>
  <c r="BQ16" i="3"/>
  <c r="BP16" i="3"/>
  <c r="BO16" i="3"/>
  <c r="BN16" i="3"/>
  <c r="BM16" i="3"/>
  <c r="BL16" i="3"/>
  <c r="BK16" i="3"/>
  <c r="BJ16" i="3"/>
  <c r="BI16" i="3"/>
  <c r="BH16" i="3"/>
  <c r="BG16" i="3"/>
  <c r="BF16" i="3"/>
  <c r="BE16" i="3"/>
  <c r="BD16" i="3"/>
  <c r="BC16" i="3"/>
  <c r="BB16" i="3"/>
  <c r="BA16" i="3"/>
  <c r="AZ16" i="3"/>
  <c r="AY16" i="3"/>
  <c r="AX16" i="3"/>
  <c r="AW16" i="3"/>
  <c r="AV16" i="3"/>
  <c r="AU16" i="3"/>
  <c r="AT16" i="3"/>
  <c r="AS16" i="3"/>
  <c r="AR16" i="3"/>
  <c r="AQ16" i="3"/>
  <c r="AP16" i="3"/>
  <c r="AO16" i="3"/>
  <c r="AN16" i="3"/>
  <c r="AM16" i="3"/>
  <c r="AL16" i="3"/>
  <c r="AK16" i="3"/>
  <c r="AJ16" i="3"/>
  <c r="AI16" i="3"/>
  <c r="AH16" i="3"/>
  <c r="AG16" i="3"/>
  <c r="AF16" i="3"/>
  <c r="AE16" i="3"/>
  <c r="AD16" i="3"/>
  <c r="AC16" i="3"/>
  <c r="AB16" i="3"/>
  <c r="AA16" i="3"/>
  <c r="Z16" i="3"/>
  <c r="Y16" i="3"/>
  <c r="X16" i="3"/>
  <c r="W16" i="3"/>
  <c r="V16" i="3"/>
  <c r="U16" i="3"/>
  <c r="T16" i="3"/>
  <c r="S16" i="3"/>
  <c r="R16" i="3"/>
  <c r="Q16" i="3"/>
  <c r="P16" i="3"/>
  <c r="O16" i="3"/>
  <c r="N16" i="3"/>
  <c r="M16" i="3"/>
  <c r="L16" i="3"/>
  <c r="K16" i="3"/>
  <c r="J16" i="3"/>
  <c r="I16" i="3"/>
  <c r="H16" i="3"/>
  <c r="G16" i="3"/>
  <c r="F16" i="3"/>
  <c r="E16" i="3"/>
  <c r="D16" i="3"/>
  <c r="C16" i="3"/>
  <c r="CZ15" i="3"/>
  <c r="CY15" i="3"/>
  <c r="CX15" i="3"/>
  <c r="CW15" i="3"/>
  <c r="CV15" i="3"/>
  <c r="CU15" i="3"/>
  <c r="CT15" i="3"/>
  <c r="CS15" i="3"/>
  <c r="CR15" i="3"/>
  <c r="CQ15" i="3"/>
  <c r="CP15" i="3"/>
  <c r="CO15" i="3"/>
  <c r="CN15" i="3"/>
  <c r="CM15" i="3"/>
  <c r="CL15" i="3"/>
  <c r="CK15" i="3"/>
  <c r="CJ15" i="3"/>
  <c r="CI15" i="3"/>
  <c r="CH15" i="3"/>
  <c r="CG15" i="3"/>
  <c r="CF15" i="3"/>
  <c r="CE15" i="3"/>
  <c r="CD15" i="3"/>
  <c r="CC15" i="3"/>
  <c r="CB15" i="3"/>
  <c r="CA15" i="3"/>
  <c r="BZ15" i="3"/>
  <c r="BY15" i="3"/>
  <c r="BX15" i="3"/>
  <c r="BW15" i="3"/>
  <c r="BV15" i="3"/>
  <c r="BU15" i="3"/>
  <c r="BT15" i="3"/>
  <c r="BS15" i="3"/>
  <c r="BR15" i="3"/>
  <c r="BQ15" i="3"/>
  <c r="BP15" i="3"/>
  <c r="BO15" i="3"/>
  <c r="BN15" i="3"/>
  <c r="BM15" i="3"/>
  <c r="BL15" i="3"/>
  <c r="BK15" i="3"/>
  <c r="BJ15" i="3"/>
  <c r="BI15" i="3"/>
  <c r="BH15" i="3"/>
  <c r="BG15" i="3"/>
  <c r="BF15" i="3"/>
  <c r="BE15" i="3"/>
  <c r="BD15" i="3"/>
  <c r="BC15" i="3"/>
  <c r="BB15" i="3"/>
  <c r="BA15" i="3"/>
  <c r="AZ15" i="3"/>
  <c r="AY15" i="3"/>
  <c r="AX15" i="3"/>
  <c r="AW15" i="3"/>
  <c r="AV15" i="3"/>
  <c r="AU15" i="3"/>
  <c r="AT15" i="3"/>
  <c r="AS15" i="3"/>
  <c r="AR15" i="3"/>
  <c r="AQ15" i="3"/>
  <c r="AP15" i="3"/>
  <c r="AO15" i="3"/>
  <c r="AN15" i="3"/>
  <c r="AM15" i="3"/>
  <c r="AL15" i="3"/>
  <c r="AK15" i="3"/>
  <c r="AJ15" i="3"/>
  <c r="AI15" i="3"/>
  <c r="AH15" i="3"/>
  <c r="AG15" i="3"/>
  <c r="AF15" i="3"/>
  <c r="AE15" i="3"/>
  <c r="AD15" i="3"/>
  <c r="AC15" i="3"/>
  <c r="AB15" i="3"/>
  <c r="AA15" i="3"/>
  <c r="Z15" i="3"/>
  <c r="Y15" i="3"/>
  <c r="X15" i="3"/>
  <c r="W15" i="3"/>
  <c r="V15" i="3"/>
  <c r="U15" i="3"/>
  <c r="T15" i="3"/>
  <c r="S15" i="3"/>
  <c r="R15" i="3"/>
  <c r="Q15" i="3"/>
  <c r="P15" i="3"/>
  <c r="O15" i="3"/>
  <c r="N15" i="3"/>
  <c r="M15" i="3"/>
  <c r="L15" i="3"/>
  <c r="K15" i="3"/>
  <c r="J15" i="3"/>
  <c r="I15" i="3"/>
  <c r="H15" i="3"/>
  <c r="G15" i="3"/>
  <c r="F15" i="3"/>
  <c r="E15" i="3"/>
  <c r="D15" i="3"/>
  <c r="C15" i="3"/>
  <c r="CZ14" i="3"/>
  <c r="CY14" i="3"/>
  <c r="CX14" i="3"/>
  <c r="CW14" i="3"/>
  <c r="CV14" i="3"/>
  <c r="CU14" i="3"/>
  <c r="CT14" i="3"/>
  <c r="CS14" i="3"/>
  <c r="CR14" i="3"/>
  <c r="CQ14" i="3"/>
  <c r="CP14" i="3"/>
  <c r="CO14" i="3"/>
  <c r="CN14" i="3"/>
  <c r="CM14" i="3"/>
  <c r="CL14" i="3"/>
  <c r="CK14" i="3"/>
  <c r="CJ14" i="3"/>
  <c r="CI14" i="3"/>
  <c r="CH14" i="3"/>
  <c r="CG14" i="3"/>
  <c r="CF14" i="3"/>
  <c r="CE14" i="3"/>
  <c r="CD14" i="3"/>
  <c r="CC14" i="3"/>
  <c r="CB14" i="3"/>
  <c r="CA14" i="3"/>
  <c r="BZ14" i="3"/>
  <c r="BY14" i="3"/>
  <c r="BX14" i="3"/>
  <c r="BW14" i="3"/>
  <c r="BV14" i="3"/>
  <c r="BU14" i="3"/>
  <c r="BT14" i="3"/>
  <c r="BS14" i="3"/>
  <c r="BR14" i="3"/>
  <c r="BQ14" i="3"/>
  <c r="BP14" i="3"/>
  <c r="BO14" i="3"/>
  <c r="BN14" i="3"/>
  <c r="BM14" i="3"/>
  <c r="BL14" i="3"/>
  <c r="BK14" i="3"/>
  <c r="BJ14" i="3"/>
  <c r="BI14" i="3"/>
  <c r="BH14" i="3"/>
  <c r="BG14" i="3"/>
  <c r="BF14" i="3"/>
  <c r="BE14" i="3"/>
  <c r="BD14" i="3"/>
  <c r="BC14" i="3"/>
  <c r="BB14" i="3"/>
  <c r="BA14" i="3"/>
  <c r="AZ14" i="3"/>
  <c r="AY14" i="3"/>
  <c r="AX14" i="3"/>
  <c r="AW14" i="3"/>
  <c r="AV14" i="3"/>
  <c r="AU14" i="3"/>
  <c r="AT14" i="3"/>
  <c r="AS14" i="3"/>
  <c r="AR14" i="3"/>
  <c r="AQ14" i="3"/>
  <c r="AP14" i="3"/>
  <c r="AO14" i="3"/>
  <c r="AN14" i="3"/>
  <c r="AM14" i="3"/>
  <c r="AL14" i="3"/>
  <c r="AK14" i="3"/>
  <c r="AJ14" i="3"/>
  <c r="AI14" i="3"/>
  <c r="AH14" i="3"/>
  <c r="AG14" i="3"/>
  <c r="AF14" i="3"/>
  <c r="AE14" i="3"/>
  <c r="AD14" i="3"/>
  <c r="AC14" i="3"/>
  <c r="AB14" i="3"/>
  <c r="AA14" i="3"/>
  <c r="Z14" i="3"/>
  <c r="Y14" i="3"/>
  <c r="X14" i="3"/>
  <c r="W14" i="3"/>
  <c r="V14" i="3"/>
  <c r="U14" i="3"/>
  <c r="T14" i="3"/>
  <c r="S14" i="3"/>
  <c r="R14" i="3"/>
  <c r="Q14" i="3"/>
  <c r="P14" i="3"/>
  <c r="O14" i="3"/>
  <c r="N14" i="3"/>
  <c r="M14" i="3"/>
  <c r="L14" i="3"/>
  <c r="K14" i="3"/>
  <c r="J14" i="3"/>
  <c r="I14" i="3"/>
  <c r="H14" i="3"/>
  <c r="G14" i="3"/>
  <c r="F14" i="3"/>
  <c r="E14" i="3"/>
  <c r="D14" i="3"/>
  <c r="C14" i="3"/>
  <c r="CZ13" i="3"/>
  <c r="CY13" i="3"/>
  <c r="CX13" i="3"/>
  <c r="CW13" i="3"/>
  <c r="CV13" i="3"/>
  <c r="CU13" i="3"/>
  <c r="CT13" i="3"/>
  <c r="CS13" i="3"/>
  <c r="CR13" i="3"/>
  <c r="CQ13" i="3"/>
  <c r="CP13" i="3"/>
  <c r="CO13" i="3"/>
  <c r="CN13" i="3"/>
  <c r="CM13" i="3"/>
  <c r="CL13" i="3"/>
  <c r="CK13" i="3"/>
  <c r="CJ13" i="3"/>
  <c r="CI13" i="3"/>
  <c r="CH13" i="3"/>
  <c r="CG13" i="3"/>
  <c r="CF13" i="3"/>
  <c r="CE13" i="3"/>
  <c r="CD13" i="3"/>
  <c r="CC13" i="3"/>
  <c r="CB13" i="3"/>
  <c r="CA13" i="3"/>
  <c r="BZ13" i="3"/>
  <c r="BY13" i="3"/>
  <c r="BX13" i="3"/>
  <c r="BW13" i="3"/>
  <c r="BV13" i="3"/>
  <c r="BU13" i="3"/>
  <c r="BT13" i="3"/>
  <c r="BS13" i="3"/>
  <c r="BR13" i="3"/>
  <c r="BQ13" i="3"/>
  <c r="BP13" i="3"/>
  <c r="BO13" i="3"/>
  <c r="BN13" i="3"/>
  <c r="BM13" i="3"/>
  <c r="BL13" i="3"/>
  <c r="BK13" i="3"/>
  <c r="BJ13" i="3"/>
  <c r="BI13" i="3"/>
  <c r="BH13" i="3"/>
  <c r="BG13" i="3"/>
  <c r="BF13" i="3"/>
  <c r="BE13" i="3"/>
  <c r="BD13" i="3"/>
  <c r="BC13" i="3"/>
  <c r="BB13" i="3"/>
  <c r="BA13" i="3"/>
  <c r="AZ13" i="3"/>
  <c r="AY13" i="3"/>
  <c r="AX13" i="3"/>
  <c r="AW13" i="3"/>
  <c r="AV13" i="3"/>
  <c r="AU13" i="3"/>
  <c r="AT13" i="3"/>
  <c r="AS13" i="3"/>
  <c r="AR13" i="3"/>
  <c r="AQ13" i="3"/>
  <c r="AP13" i="3"/>
  <c r="AO13" i="3"/>
  <c r="AN13" i="3"/>
  <c r="AM13" i="3"/>
  <c r="AL13" i="3"/>
  <c r="AK13" i="3"/>
  <c r="AJ13" i="3"/>
  <c r="AI13" i="3"/>
  <c r="AH13" i="3"/>
  <c r="AG13" i="3"/>
  <c r="AF13" i="3"/>
  <c r="AE13" i="3"/>
  <c r="AD13" i="3"/>
  <c r="AC13" i="3"/>
  <c r="AB13" i="3"/>
  <c r="AA13" i="3"/>
  <c r="Z13" i="3"/>
  <c r="Y13" i="3"/>
  <c r="X13" i="3"/>
  <c r="W13" i="3"/>
  <c r="V13" i="3"/>
  <c r="U13" i="3"/>
  <c r="T13" i="3"/>
  <c r="S13" i="3"/>
  <c r="R13" i="3"/>
  <c r="Q13" i="3"/>
  <c r="P13" i="3"/>
  <c r="O13" i="3"/>
  <c r="N13" i="3"/>
  <c r="M13" i="3"/>
  <c r="L13" i="3"/>
  <c r="K13" i="3"/>
  <c r="J13" i="3"/>
  <c r="I13" i="3"/>
  <c r="H13" i="3"/>
  <c r="G13" i="3"/>
  <c r="F13" i="3"/>
  <c r="E13" i="3"/>
  <c r="D13" i="3"/>
  <c r="CZ12" i="3"/>
  <c r="CY12" i="3"/>
  <c r="CX12" i="3"/>
  <c r="CW12" i="3"/>
  <c r="CV12" i="3"/>
  <c r="CU12" i="3"/>
  <c r="CT12" i="3"/>
  <c r="CS12" i="3"/>
  <c r="CR12" i="3"/>
  <c r="CQ12" i="3"/>
  <c r="CP12" i="3"/>
  <c r="CO12" i="3"/>
  <c r="CN12" i="3"/>
  <c r="CM12" i="3"/>
  <c r="CL12" i="3"/>
  <c r="CK12" i="3"/>
  <c r="CJ12" i="3"/>
  <c r="CI12" i="3"/>
  <c r="CH12" i="3"/>
  <c r="CG12" i="3"/>
  <c r="CF12" i="3"/>
  <c r="CE12" i="3"/>
  <c r="CD12" i="3"/>
  <c r="CC12" i="3"/>
  <c r="CB12" i="3"/>
  <c r="CA12" i="3"/>
  <c r="BZ12" i="3"/>
  <c r="BY12" i="3"/>
  <c r="BX12" i="3"/>
  <c r="BW12" i="3"/>
  <c r="BV12" i="3"/>
  <c r="BU12" i="3"/>
  <c r="BT12" i="3"/>
  <c r="BS12" i="3"/>
  <c r="BR12" i="3"/>
  <c r="BQ12" i="3"/>
  <c r="BP12" i="3"/>
  <c r="BO12" i="3"/>
  <c r="BN12" i="3"/>
  <c r="BM12" i="3"/>
  <c r="BL12" i="3"/>
  <c r="BK12" i="3"/>
  <c r="BJ12" i="3"/>
  <c r="BI12" i="3"/>
  <c r="BH12" i="3"/>
  <c r="BG12" i="3"/>
  <c r="BF12" i="3"/>
  <c r="BE12" i="3"/>
  <c r="BD12" i="3"/>
  <c r="BC12" i="3"/>
  <c r="BB12" i="3"/>
  <c r="BA12" i="3"/>
  <c r="AZ12" i="3"/>
  <c r="AY12" i="3"/>
  <c r="AX12" i="3"/>
  <c r="AW12" i="3"/>
  <c r="AV12" i="3"/>
  <c r="AU12" i="3"/>
  <c r="AT12" i="3"/>
  <c r="AS12" i="3"/>
  <c r="AR12" i="3"/>
  <c r="AQ12" i="3"/>
  <c r="AP12" i="3"/>
  <c r="AO12" i="3"/>
  <c r="AN12" i="3"/>
  <c r="AM12" i="3"/>
  <c r="AL12" i="3"/>
  <c r="AK12" i="3"/>
  <c r="AJ12" i="3"/>
  <c r="AI12" i="3"/>
  <c r="AH12" i="3"/>
  <c r="AG12" i="3"/>
  <c r="AF12" i="3"/>
  <c r="AE12" i="3"/>
  <c r="AD12" i="3"/>
  <c r="AC12" i="3"/>
  <c r="AB12" i="3"/>
  <c r="AA12" i="3"/>
  <c r="Z12" i="3"/>
  <c r="Y12" i="3"/>
  <c r="X12" i="3"/>
  <c r="W12" i="3"/>
  <c r="V12" i="3"/>
  <c r="U12" i="3"/>
  <c r="T12" i="3"/>
  <c r="S12" i="3"/>
  <c r="R12" i="3"/>
  <c r="Q12" i="3"/>
  <c r="P12" i="3"/>
  <c r="O12" i="3"/>
  <c r="N12" i="3"/>
  <c r="M12" i="3"/>
  <c r="L12" i="3"/>
  <c r="K12" i="3"/>
  <c r="J12" i="3"/>
  <c r="I12" i="3"/>
  <c r="H12" i="3"/>
  <c r="G12" i="3"/>
  <c r="F12" i="3"/>
  <c r="E12" i="3"/>
  <c r="D12" i="3"/>
  <c r="C12" i="3"/>
  <c r="CZ11" i="3"/>
  <c r="CZ23" i="3" s="1"/>
  <c r="CY11" i="3"/>
  <c r="CY23" i="3" s="1"/>
  <c r="CX11" i="3"/>
  <c r="CX23" i="3" s="1"/>
  <c r="CW11" i="3"/>
  <c r="CW23" i="3" s="1"/>
  <c r="CV11" i="3"/>
  <c r="CV23" i="3" s="1"/>
  <c r="CU11" i="3"/>
  <c r="CU23" i="3" s="1"/>
  <c r="CT11" i="3"/>
  <c r="CT23" i="3" s="1"/>
  <c r="CS11" i="3"/>
  <c r="CS23" i="3" s="1"/>
  <c r="CR11" i="3"/>
  <c r="CR23" i="3" s="1"/>
  <c r="CQ11" i="3"/>
  <c r="CQ23" i="3" s="1"/>
  <c r="CP11" i="3"/>
  <c r="CP23" i="3" s="1"/>
  <c r="CO11" i="3"/>
  <c r="CO23" i="3" s="1"/>
  <c r="CN11" i="3"/>
  <c r="CN23" i="3" s="1"/>
  <c r="CM11" i="3"/>
  <c r="CM23" i="3" s="1"/>
  <c r="CL11" i="3"/>
  <c r="CL23" i="3" s="1"/>
  <c r="CK11" i="3"/>
  <c r="CK23" i="3" s="1"/>
  <c r="CJ11" i="3"/>
  <c r="CJ23" i="3" s="1"/>
  <c r="CI11" i="3"/>
  <c r="CI23" i="3" s="1"/>
  <c r="CH11" i="3"/>
  <c r="CH23" i="3" s="1"/>
  <c r="CG11" i="3"/>
  <c r="CG23" i="3" s="1"/>
  <c r="CF11" i="3"/>
  <c r="CF23" i="3" s="1"/>
  <c r="CE11" i="3"/>
  <c r="CE23" i="3" s="1"/>
  <c r="CD11" i="3"/>
  <c r="CD23" i="3" s="1"/>
  <c r="CC11" i="3"/>
  <c r="CC23" i="3" s="1"/>
  <c r="CB11" i="3"/>
  <c r="CB23" i="3" s="1"/>
  <c r="CA11" i="3"/>
  <c r="CA23" i="3" s="1"/>
  <c r="BZ11" i="3"/>
  <c r="BZ23" i="3" s="1"/>
  <c r="BY11" i="3"/>
  <c r="BY23" i="3" s="1"/>
  <c r="BX11" i="3"/>
  <c r="BX23" i="3" s="1"/>
  <c r="BW11" i="3"/>
  <c r="BW23" i="3" s="1"/>
  <c r="BV11" i="3"/>
  <c r="BV23" i="3" s="1"/>
  <c r="BU11" i="3"/>
  <c r="BU23" i="3" s="1"/>
  <c r="BT11" i="3"/>
  <c r="BT23" i="3" s="1"/>
  <c r="BS11" i="3"/>
  <c r="BS23" i="3" s="1"/>
  <c r="BR11" i="3"/>
  <c r="BR23" i="3" s="1"/>
  <c r="BQ11" i="3"/>
  <c r="BQ23" i="3" s="1"/>
  <c r="BP11" i="3"/>
  <c r="BP23" i="3" s="1"/>
  <c r="BO11" i="3"/>
  <c r="BO23" i="3" s="1"/>
  <c r="BN11" i="3"/>
  <c r="BN23" i="3" s="1"/>
  <c r="BM11" i="3"/>
  <c r="BM23" i="3" s="1"/>
  <c r="BL11" i="3"/>
  <c r="BL23" i="3" s="1"/>
  <c r="BK11" i="3"/>
  <c r="BK23" i="3" s="1"/>
  <c r="BJ11" i="3"/>
  <c r="BJ23" i="3" s="1"/>
  <c r="BI11" i="3"/>
  <c r="BI23" i="3" s="1"/>
  <c r="BH11" i="3"/>
  <c r="BH23" i="3" s="1"/>
  <c r="BG11" i="3"/>
  <c r="BG23" i="3" s="1"/>
  <c r="BF11" i="3"/>
  <c r="BF23" i="3" s="1"/>
  <c r="BE11" i="3"/>
  <c r="BE23" i="3" s="1"/>
  <c r="BD11" i="3"/>
  <c r="BD23" i="3" s="1"/>
  <c r="BC11" i="3"/>
  <c r="BC23" i="3" s="1"/>
  <c r="BB11" i="3"/>
  <c r="BB23" i="3" s="1"/>
  <c r="BA11" i="3"/>
  <c r="BA23" i="3" s="1"/>
  <c r="AZ11" i="3"/>
  <c r="AZ23" i="3" s="1"/>
  <c r="AY11" i="3"/>
  <c r="AY23" i="3" s="1"/>
  <c r="AX11" i="3"/>
  <c r="AX23" i="3" s="1"/>
  <c r="AW11" i="3"/>
  <c r="AW23" i="3" s="1"/>
  <c r="AV11" i="3"/>
  <c r="AV23" i="3" s="1"/>
  <c r="AU11" i="3"/>
  <c r="AU23" i="3" s="1"/>
  <c r="AT11" i="3"/>
  <c r="AT23" i="3" s="1"/>
  <c r="AS11" i="3"/>
  <c r="AS23" i="3" s="1"/>
  <c r="AR11" i="3"/>
  <c r="AR23" i="3" s="1"/>
  <c r="AQ11" i="3"/>
  <c r="AP11" i="3"/>
  <c r="AO11" i="3"/>
  <c r="AN11" i="3"/>
  <c r="AM11" i="3"/>
  <c r="AL11" i="3"/>
  <c r="AK11" i="3"/>
  <c r="AJ11" i="3"/>
  <c r="AI11" i="3"/>
  <c r="AH11" i="3"/>
  <c r="AG11" i="3"/>
  <c r="AF11" i="3"/>
  <c r="AE11" i="3"/>
  <c r="AD11" i="3"/>
  <c r="AC11" i="3"/>
  <c r="AB11" i="3"/>
  <c r="AA11" i="3"/>
  <c r="Z11" i="3"/>
  <c r="Y11" i="3"/>
  <c r="X11" i="3"/>
  <c r="W11" i="3"/>
  <c r="V11" i="3"/>
  <c r="U11" i="3"/>
  <c r="T11" i="3"/>
  <c r="S11" i="3"/>
  <c r="R11" i="3"/>
  <c r="Q11" i="3"/>
  <c r="P11" i="3"/>
  <c r="O11" i="3"/>
  <c r="N11" i="3"/>
  <c r="M11" i="3"/>
  <c r="L11" i="3"/>
  <c r="K11" i="3"/>
  <c r="J11" i="3"/>
  <c r="I11" i="3"/>
  <c r="H11" i="3"/>
  <c r="G11" i="3"/>
  <c r="F11" i="3"/>
  <c r="E11" i="3"/>
  <c r="D11" i="3"/>
  <c r="C11" i="3"/>
  <c r="CZ7" i="3"/>
  <c r="CY7" i="3"/>
  <c r="CX7" i="3"/>
  <c r="CW7" i="3"/>
  <c r="CV7" i="3"/>
  <c r="CU7" i="3"/>
  <c r="CT7" i="3"/>
  <c r="CS7" i="3"/>
  <c r="CR7" i="3"/>
  <c r="CQ7" i="3"/>
  <c r="CP7" i="3"/>
  <c r="CO7" i="3"/>
  <c r="CN7" i="3"/>
  <c r="CM7" i="3"/>
  <c r="CL7" i="3"/>
  <c r="CK7" i="3"/>
  <c r="CJ7" i="3"/>
  <c r="CI7" i="3"/>
  <c r="CH7" i="3"/>
  <c r="CG7" i="3"/>
  <c r="CF7" i="3"/>
  <c r="CE7" i="3"/>
  <c r="CD7" i="3"/>
  <c r="CC7" i="3"/>
  <c r="CB7" i="3"/>
  <c r="CA7" i="3"/>
  <c r="BZ7" i="3"/>
  <c r="BY7" i="3"/>
  <c r="BX7" i="3"/>
  <c r="BW7" i="3"/>
  <c r="BV7" i="3"/>
  <c r="BU7" i="3"/>
  <c r="BT7" i="3"/>
  <c r="BS7" i="3"/>
  <c r="BR7" i="3"/>
  <c r="BQ7" i="3"/>
  <c r="BP7" i="3"/>
  <c r="BO7" i="3"/>
  <c r="BN7" i="3"/>
  <c r="BM7" i="3"/>
  <c r="BL7" i="3"/>
  <c r="BK7" i="3"/>
  <c r="BJ7" i="3"/>
  <c r="BI7" i="3"/>
  <c r="BH7" i="3"/>
  <c r="BG7" i="3"/>
  <c r="BF7" i="3"/>
  <c r="BE7" i="3"/>
  <c r="BD7" i="3"/>
  <c r="BC7" i="3"/>
  <c r="BB7" i="3"/>
  <c r="BA7" i="3"/>
  <c r="AZ7" i="3"/>
  <c r="AY7" i="3"/>
  <c r="AX7" i="3"/>
  <c r="AW7" i="3"/>
  <c r="AV7" i="3"/>
  <c r="AU7" i="3"/>
  <c r="AT7" i="3"/>
  <c r="AS7" i="3"/>
  <c r="AR7" i="3"/>
  <c r="AQ7" i="3"/>
  <c r="AP7" i="3"/>
  <c r="AO7" i="3"/>
  <c r="AN7" i="3"/>
  <c r="AM7" i="3"/>
  <c r="AL7" i="3"/>
  <c r="AK7" i="3"/>
  <c r="AJ7" i="3"/>
  <c r="AI7" i="3"/>
  <c r="AH7" i="3"/>
  <c r="AG7" i="3"/>
  <c r="AF7" i="3"/>
  <c r="AE7" i="3"/>
  <c r="AD7" i="3"/>
  <c r="AC7" i="3"/>
  <c r="AB7" i="3"/>
  <c r="AA7" i="3"/>
  <c r="Z7" i="3"/>
  <c r="Y7" i="3"/>
  <c r="X7" i="3"/>
  <c r="W7" i="3"/>
  <c r="V7" i="3"/>
  <c r="U7" i="3"/>
  <c r="T7" i="3"/>
  <c r="S7" i="3"/>
  <c r="R7" i="3"/>
  <c r="Q7" i="3"/>
  <c r="P7" i="3"/>
  <c r="O7" i="3"/>
  <c r="N7" i="3"/>
  <c r="M7" i="3"/>
  <c r="L7" i="3"/>
  <c r="K7" i="3"/>
  <c r="J7" i="3"/>
  <c r="I7" i="3"/>
  <c r="H7" i="3"/>
  <c r="G7" i="3"/>
  <c r="F7" i="3"/>
  <c r="E7" i="3"/>
  <c r="D7" i="3"/>
  <c r="C7" i="3"/>
  <c r="CZ6" i="3"/>
  <c r="CY6" i="3"/>
  <c r="CX6" i="3"/>
  <c r="CW6" i="3"/>
  <c r="CV6" i="3"/>
  <c r="CU6" i="3"/>
  <c r="CT6" i="3"/>
  <c r="CS6" i="3"/>
  <c r="CR6" i="3"/>
  <c r="CQ6" i="3"/>
  <c r="CP6" i="3"/>
  <c r="CO6" i="3"/>
  <c r="CN6" i="3"/>
  <c r="CM6" i="3"/>
  <c r="CL6" i="3"/>
  <c r="CK6" i="3"/>
  <c r="CJ6" i="3"/>
  <c r="CI6" i="3"/>
  <c r="CH6" i="3"/>
  <c r="CG6" i="3"/>
  <c r="CF6" i="3"/>
  <c r="CE6" i="3"/>
  <c r="CD6" i="3"/>
  <c r="CC6" i="3"/>
  <c r="CB6" i="3"/>
  <c r="CA6" i="3"/>
  <c r="BZ6" i="3"/>
  <c r="BY6" i="3"/>
  <c r="BX6" i="3"/>
  <c r="BW6" i="3"/>
  <c r="BV6" i="3"/>
  <c r="BU6" i="3"/>
  <c r="BT6" i="3"/>
  <c r="BS6" i="3"/>
  <c r="BR6" i="3"/>
  <c r="BQ6" i="3"/>
  <c r="BP6" i="3"/>
  <c r="BO6" i="3"/>
  <c r="BN6" i="3"/>
  <c r="BM6" i="3"/>
  <c r="BL6" i="3"/>
  <c r="BK6" i="3"/>
  <c r="BJ6" i="3"/>
  <c r="BI6" i="3"/>
  <c r="BH6" i="3"/>
  <c r="BG6" i="3"/>
  <c r="BF6" i="3"/>
  <c r="BE6" i="3"/>
  <c r="BD6" i="3"/>
  <c r="BC6" i="3"/>
  <c r="BB6" i="3"/>
  <c r="BA6" i="3"/>
  <c r="AZ6" i="3"/>
  <c r="AY6" i="3"/>
  <c r="AX6" i="3"/>
  <c r="AW6" i="3"/>
  <c r="AV6" i="3"/>
  <c r="AU6" i="3"/>
  <c r="AT6" i="3"/>
  <c r="AS6" i="3"/>
  <c r="AR6" i="3"/>
  <c r="AQ6" i="3"/>
  <c r="AP6" i="3"/>
  <c r="AO6" i="3"/>
  <c r="AN6" i="3"/>
  <c r="AM6" i="3"/>
  <c r="AL6" i="3"/>
  <c r="AK6" i="3"/>
  <c r="AJ6" i="3"/>
  <c r="AI6" i="3"/>
  <c r="AH6" i="3"/>
  <c r="AG6" i="3"/>
  <c r="AF6" i="3"/>
  <c r="AE6" i="3"/>
  <c r="AD6" i="3"/>
  <c r="AC6" i="3"/>
  <c r="AB6" i="3"/>
  <c r="AA6" i="3"/>
  <c r="Z6" i="3"/>
  <c r="Y6" i="3"/>
  <c r="X6" i="3"/>
  <c r="W6" i="3"/>
  <c r="V6" i="3"/>
  <c r="U6" i="3"/>
  <c r="T6" i="3"/>
  <c r="S6" i="3"/>
  <c r="R6" i="3"/>
  <c r="Q6" i="3"/>
  <c r="P6" i="3"/>
  <c r="O6" i="3"/>
  <c r="N6" i="3"/>
  <c r="M6" i="3"/>
  <c r="L6" i="3"/>
  <c r="K6" i="3"/>
  <c r="J6" i="3"/>
  <c r="I6" i="3"/>
  <c r="H6" i="3"/>
  <c r="G6" i="3"/>
  <c r="F6" i="3"/>
  <c r="E6" i="3"/>
  <c r="D6" i="3"/>
  <c r="C6" i="3"/>
  <c r="CZ5" i="3"/>
  <c r="CY5" i="3"/>
  <c r="CX5" i="3"/>
  <c r="CW5" i="3"/>
  <c r="CV5" i="3"/>
  <c r="CU5" i="3"/>
  <c r="CT5" i="3"/>
  <c r="CS5" i="3"/>
  <c r="CR5" i="3"/>
  <c r="CQ5" i="3"/>
  <c r="CP5" i="3"/>
  <c r="CO5" i="3"/>
  <c r="CN5" i="3"/>
  <c r="CM5" i="3"/>
  <c r="CL5" i="3"/>
  <c r="CK5" i="3"/>
  <c r="CJ5" i="3"/>
  <c r="CI5" i="3"/>
  <c r="CH5" i="3"/>
  <c r="CG5" i="3"/>
  <c r="CF5" i="3"/>
  <c r="CE5" i="3"/>
  <c r="CD5" i="3"/>
  <c r="CC5" i="3"/>
  <c r="CB5" i="3"/>
  <c r="CA5" i="3"/>
  <c r="BZ5" i="3"/>
  <c r="BY5" i="3"/>
  <c r="BX5" i="3"/>
  <c r="BW5" i="3"/>
  <c r="BV5" i="3"/>
  <c r="BU5" i="3"/>
  <c r="BT5" i="3"/>
  <c r="BS5" i="3"/>
  <c r="BR5" i="3"/>
  <c r="BQ5" i="3"/>
  <c r="BP5" i="3"/>
  <c r="BO5" i="3"/>
  <c r="BN5" i="3"/>
  <c r="BM5" i="3"/>
  <c r="BL5" i="3"/>
  <c r="BK5" i="3"/>
  <c r="BJ5" i="3"/>
  <c r="BI5" i="3"/>
  <c r="BH5" i="3"/>
  <c r="BG5" i="3"/>
  <c r="BF5" i="3"/>
  <c r="BE5" i="3"/>
  <c r="BD5" i="3"/>
  <c r="BC5" i="3"/>
  <c r="BB5" i="3"/>
  <c r="BA5" i="3"/>
  <c r="AZ5" i="3"/>
  <c r="AY5" i="3"/>
  <c r="AX5" i="3"/>
  <c r="AW5" i="3"/>
  <c r="AV5" i="3"/>
  <c r="AU5" i="3"/>
  <c r="AT5" i="3"/>
  <c r="AS5" i="3"/>
  <c r="AR5" i="3"/>
  <c r="AQ5" i="3"/>
  <c r="AP5" i="3"/>
  <c r="AO5" i="3"/>
  <c r="AN5" i="3"/>
  <c r="AM5" i="3"/>
  <c r="AL5" i="3"/>
  <c r="AK5" i="3"/>
  <c r="AJ5" i="3"/>
  <c r="AI5" i="3"/>
  <c r="AH5" i="3"/>
  <c r="AG5" i="3"/>
  <c r="AF5" i="3"/>
  <c r="AE5" i="3"/>
  <c r="AD5" i="3"/>
  <c r="AC5" i="3"/>
  <c r="AB5" i="3"/>
  <c r="AA5" i="3"/>
  <c r="Z5" i="3"/>
  <c r="Y5" i="3"/>
  <c r="X5" i="3"/>
  <c r="W5" i="3"/>
  <c r="V5" i="3"/>
  <c r="U5" i="3"/>
  <c r="T5" i="3"/>
  <c r="S5" i="3"/>
  <c r="R5" i="3"/>
  <c r="Q5" i="3"/>
  <c r="P5" i="3"/>
  <c r="O5" i="3"/>
  <c r="N5" i="3"/>
  <c r="M5" i="3"/>
  <c r="L5" i="3"/>
  <c r="K5" i="3"/>
  <c r="J5" i="3"/>
  <c r="I5" i="3"/>
  <c r="H5" i="3"/>
  <c r="G5" i="3"/>
  <c r="F5" i="3"/>
  <c r="E5" i="3"/>
  <c r="D5" i="3"/>
  <c r="C5" i="3"/>
  <c r="AQ23" i="3" l="1"/>
  <c r="AE23" i="3"/>
  <c r="E8" i="3"/>
  <c r="C23" i="3"/>
  <c r="F23" i="3"/>
  <c r="J23" i="3"/>
  <c r="N23" i="3"/>
  <c r="R23" i="3"/>
  <c r="V23" i="3"/>
  <c r="Z23" i="3"/>
  <c r="AD23" i="3"/>
  <c r="AH23" i="3"/>
  <c r="AL23" i="3"/>
  <c r="AP23" i="3"/>
  <c r="C8" i="3"/>
  <c r="G23" i="3"/>
  <c r="K23" i="3"/>
  <c r="O23" i="3"/>
  <c r="S23" i="3"/>
  <c r="W23" i="3"/>
  <c r="AA23" i="3"/>
  <c r="AI23" i="3"/>
  <c r="AM23" i="3"/>
  <c r="D8" i="3"/>
  <c r="D23" i="3"/>
  <c r="H23" i="3"/>
  <c r="L23" i="3"/>
  <c r="P23" i="3"/>
  <c r="T23" i="3"/>
  <c r="X23" i="3"/>
  <c r="AB23" i="3"/>
  <c r="AF23" i="3"/>
  <c r="AJ23" i="3"/>
  <c r="AN23" i="3"/>
  <c r="E23" i="3"/>
  <c r="I23" i="3"/>
  <c r="M23" i="3"/>
  <c r="Q23" i="3"/>
  <c r="U23" i="3"/>
  <c r="Y23" i="3"/>
  <c r="AC23" i="3"/>
  <c r="AG23" i="3"/>
  <c r="AK23" i="3"/>
  <c r="AO23" i="3"/>
  <c r="CZ8" i="3"/>
  <c r="CZ27" i="3" s="1"/>
  <c r="CY8" i="3"/>
  <c r="CY27" i="3" s="1"/>
  <c r="CX8" i="3"/>
  <c r="CX27" i="3" s="1"/>
  <c r="CW8" i="3"/>
  <c r="CW27" i="3" s="1"/>
  <c r="CV8" i="3"/>
  <c r="CV27" i="3" s="1"/>
  <c r="CU8" i="3"/>
  <c r="CU27" i="3" s="1"/>
  <c r="CT8" i="3"/>
  <c r="CT27" i="3" s="1"/>
  <c r="CS8" i="3"/>
  <c r="CS27" i="3" s="1"/>
  <c r="CR8" i="3"/>
  <c r="CR27" i="3" s="1"/>
  <c r="CQ8" i="3"/>
  <c r="CQ27" i="3" s="1"/>
  <c r="CP8" i="3"/>
  <c r="CP27" i="3" s="1"/>
  <c r="CO8" i="3"/>
  <c r="CO27" i="3" s="1"/>
  <c r="CN8" i="3"/>
  <c r="CN27" i="3" s="1"/>
  <c r="CM8" i="3"/>
  <c r="CM27" i="3" s="1"/>
  <c r="CL8" i="3"/>
  <c r="CL27" i="3" s="1"/>
  <c r="CK8" i="3"/>
  <c r="CK27" i="3" s="1"/>
  <c r="CJ8" i="3"/>
  <c r="CJ27" i="3" s="1"/>
  <c r="CI8" i="3"/>
  <c r="CI27" i="3" s="1"/>
  <c r="CH8" i="3"/>
  <c r="CH27" i="3" s="1"/>
  <c r="CG8" i="3"/>
  <c r="CG27" i="3" s="1"/>
  <c r="CF8" i="3"/>
  <c r="CF27" i="3" s="1"/>
  <c r="CE8" i="3"/>
  <c r="CE27" i="3" s="1"/>
  <c r="CD8" i="3"/>
  <c r="CD27" i="3" s="1"/>
  <c r="CC8" i="3"/>
  <c r="CC27" i="3" s="1"/>
  <c r="CB8" i="3"/>
  <c r="CB27" i="3" s="1"/>
  <c r="CA8" i="3"/>
  <c r="CA27" i="3" s="1"/>
  <c r="BZ8" i="3"/>
  <c r="BZ27" i="3" s="1"/>
  <c r="BY8" i="3"/>
  <c r="BY27" i="3" s="1"/>
  <c r="BX8" i="3"/>
  <c r="BX27" i="3" s="1"/>
  <c r="BW8" i="3"/>
  <c r="BW27" i="3" s="1"/>
  <c r="BV8" i="3"/>
  <c r="BV27" i="3" s="1"/>
  <c r="BU8" i="3"/>
  <c r="BU27" i="3" s="1"/>
  <c r="BT8" i="3"/>
  <c r="BT27" i="3" s="1"/>
  <c r="BS8" i="3"/>
  <c r="BS27" i="3" s="1"/>
  <c r="BR8" i="3"/>
  <c r="BR27" i="3" s="1"/>
  <c r="BQ8" i="3"/>
  <c r="BQ27" i="3" s="1"/>
  <c r="BP8" i="3"/>
  <c r="BP27" i="3" s="1"/>
  <c r="BO8" i="3"/>
  <c r="BO27" i="3" s="1"/>
  <c r="BN8" i="3"/>
  <c r="BN27" i="3" s="1"/>
  <c r="BM8" i="3"/>
  <c r="BM27" i="3" s="1"/>
  <c r="BL8" i="3"/>
  <c r="BL27" i="3" s="1"/>
  <c r="BK8" i="3"/>
  <c r="BK27" i="3" s="1"/>
  <c r="BJ8" i="3"/>
  <c r="BJ27" i="3" s="1"/>
  <c r="BI8" i="3"/>
  <c r="BI27" i="3" s="1"/>
  <c r="BH8" i="3"/>
  <c r="BH27" i="3" s="1"/>
  <c r="BG8" i="3"/>
  <c r="BG27" i="3" s="1"/>
  <c r="BF8" i="3"/>
  <c r="BF27" i="3" s="1"/>
  <c r="BE8" i="3"/>
  <c r="BE27" i="3" s="1"/>
  <c r="BD8" i="3"/>
  <c r="BD27" i="3" s="1"/>
  <c r="BC8" i="3"/>
  <c r="BC27" i="3" s="1"/>
  <c r="BB8" i="3"/>
  <c r="BB27" i="3" s="1"/>
  <c r="BA8" i="3"/>
  <c r="BA27" i="3" s="1"/>
  <c r="AZ8" i="3"/>
  <c r="AZ27" i="3" s="1"/>
  <c r="AY8" i="3"/>
  <c r="AY27" i="3" s="1"/>
  <c r="AX8" i="3"/>
  <c r="AX27" i="3" s="1"/>
  <c r="AW8" i="3"/>
  <c r="AW27" i="3" s="1"/>
  <c r="AV8" i="3"/>
  <c r="AV27" i="3" s="1"/>
  <c r="AU8" i="3"/>
  <c r="AU27" i="3" s="1"/>
  <c r="AT8" i="3"/>
  <c r="AT27" i="3" s="1"/>
  <c r="AS8" i="3"/>
  <c r="AS27" i="3" s="1"/>
  <c r="AR8" i="3"/>
  <c r="AR27" i="3" s="1"/>
  <c r="AQ8" i="3"/>
  <c r="AP8" i="3"/>
  <c r="AO8" i="3"/>
  <c r="AJ8" i="3"/>
  <c r="AI8" i="3"/>
  <c r="AH8" i="3"/>
  <c r="AG8" i="3"/>
  <c r="AF8" i="3"/>
  <c r="AE8" i="3"/>
  <c r="AD8" i="3"/>
  <c r="AC8" i="3"/>
  <c r="AB8" i="3"/>
  <c r="AA8" i="3"/>
  <c r="Z8" i="3"/>
  <c r="Y8" i="3"/>
  <c r="X8" i="3"/>
  <c r="W8" i="3"/>
  <c r="V8" i="3"/>
  <c r="U8" i="3"/>
  <c r="T8" i="3"/>
  <c r="S8" i="3"/>
  <c r="R8" i="3"/>
  <c r="Q8" i="3"/>
  <c r="P8" i="3"/>
  <c r="O8" i="3"/>
  <c r="N8" i="3"/>
  <c r="M8" i="3"/>
  <c r="L8" i="3"/>
  <c r="K8" i="3"/>
  <c r="J8" i="3"/>
  <c r="I8" i="3"/>
  <c r="H8" i="3"/>
  <c r="G8" i="3"/>
  <c r="F8" i="3"/>
  <c r="CZ11" i="2"/>
  <c r="CZ15" i="2" s="1"/>
  <c r="CZ28" i="2" s="1"/>
  <c r="CY11" i="2"/>
  <c r="CY15" i="2" s="1"/>
  <c r="CY28" i="2" s="1"/>
  <c r="CX11" i="2"/>
  <c r="CX15" i="2" s="1"/>
  <c r="CX28" i="2" s="1"/>
  <c r="CW11" i="2"/>
  <c r="CW15" i="2" s="1"/>
  <c r="CW28" i="2" s="1"/>
  <c r="CV11" i="2"/>
  <c r="CV15" i="2" s="1"/>
  <c r="CV28" i="2" s="1"/>
  <c r="CU11" i="2"/>
  <c r="CU15" i="2" s="1"/>
  <c r="CU28" i="2" s="1"/>
  <c r="CT11" i="2"/>
  <c r="CT15" i="2" s="1"/>
  <c r="CT28" i="2" s="1"/>
  <c r="CS11" i="2"/>
  <c r="CS15" i="2" s="1"/>
  <c r="CS28" i="2" s="1"/>
  <c r="CR11" i="2"/>
  <c r="CR15" i="2" s="1"/>
  <c r="CR28" i="2" s="1"/>
  <c r="CQ11" i="2"/>
  <c r="CQ15" i="2" s="1"/>
  <c r="CQ28" i="2" s="1"/>
  <c r="CP11" i="2"/>
  <c r="CP15" i="2" s="1"/>
  <c r="CP28" i="2" s="1"/>
  <c r="CO11" i="2"/>
  <c r="CO15" i="2" s="1"/>
  <c r="CO28" i="2" s="1"/>
  <c r="CN11" i="2"/>
  <c r="CN15" i="2" s="1"/>
  <c r="CN28" i="2" s="1"/>
  <c r="CM11" i="2"/>
  <c r="CM15" i="2" s="1"/>
  <c r="CM28" i="2" s="1"/>
  <c r="CL11" i="2"/>
  <c r="CL15" i="2" s="1"/>
  <c r="CL28" i="2" s="1"/>
  <c r="CK11" i="2"/>
  <c r="CK15" i="2" s="1"/>
  <c r="CK28" i="2" s="1"/>
  <c r="CJ11" i="2"/>
  <c r="CJ15" i="2" s="1"/>
  <c r="CJ28" i="2" s="1"/>
  <c r="CI11" i="2"/>
  <c r="CI15" i="2" s="1"/>
  <c r="CI28" i="2" s="1"/>
  <c r="CH11" i="2"/>
  <c r="CH15" i="2" s="1"/>
  <c r="CH28" i="2" s="1"/>
  <c r="CG11" i="2"/>
  <c r="CG15" i="2" s="1"/>
  <c r="CG28" i="2" s="1"/>
  <c r="CF11" i="2"/>
  <c r="CF15" i="2" s="1"/>
  <c r="CF28" i="2" s="1"/>
  <c r="CE11" i="2"/>
  <c r="CE15" i="2" s="1"/>
  <c r="CE28" i="2" s="1"/>
  <c r="CD11" i="2"/>
  <c r="CD15" i="2" s="1"/>
  <c r="CD28" i="2" s="1"/>
  <c r="CC11" i="2"/>
  <c r="CC15" i="2" s="1"/>
  <c r="CC28" i="2" s="1"/>
  <c r="CB11" i="2"/>
  <c r="CB15" i="2" s="1"/>
  <c r="CB28" i="2" s="1"/>
  <c r="CA11" i="2"/>
  <c r="CA15" i="2" s="1"/>
  <c r="CA28" i="2" s="1"/>
  <c r="BZ11" i="2"/>
  <c r="BZ15" i="2" s="1"/>
  <c r="BZ28" i="2" s="1"/>
  <c r="BY11" i="2"/>
  <c r="BY15" i="2" s="1"/>
  <c r="BY28" i="2" s="1"/>
  <c r="BX11" i="2"/>
  <c r="BX15" i="2" s="1"/>
  <c r="BX28" i="2" s="1"/>
  <c r="BW11" i="2"/>
  <c r="BW15" i="2" s="1"/>
  <c r="BW28" i="2" s="1"/>
  <c r="BV11" i="2"/>
  <c r="BV15" i="2" s="1"/>
  <c r="BV28" i="2" s="1"/>
  <c r="BU11" i="2"/>
  <c r="BU15" i="2" s="1"/>
  <c r="BU28" i="2" s="1"/>
  <c r="BT11" i="2"/>
  <c r="BT15" i="2" s="1"/>
  <c r="BT28" i="2" s="1"/>
  <c r="BS11" i="2"/>
  <c r="BS15" i="2" s="1"/>
  <c r="BS28" i="2" s="1"/>
  <c r="BR11" i="2"/>
  <c r="BR15" i="2" s="1"/>
  <c r="BR28" i="2" s="1"/>
  <c r="BQ11" i="2"/>
  <c r="BQ15" i="2" s="1"/>
  <c r="BQ28" i="2" s="1"/>
  <c r="BP11" i="2"/>
  <c r="BP15" i="2" s="1"/>
  <c r="BP28" i="2" s="1"/>
  <c r="BO11" i="2"/>
  <c r="BO15" i="2" s="1"/>
  <c r="BO28" i="2" s="1"/>
  <c r="BN11" i="2"/>
  <c r="BN15" i="2" s="1"/>
  <c r="BN28" i="2" s="1"/>
  <c r="BM11" i="2"/>
  <c r="BM15" i="2" s="1"/>
  <c r="BM28" i="2" s="1"/>
  <c r="BL11" i="2"/>
  <c r="BL15" i="2" s="1"/>
  <c r="BL28" i="2" s="1"/>
  <c r="BK11" i="2"/>
  <c r="BK15" i="2" s="1"/>
  <c r="BK28" i="2" s="1"/>
  <c r="BJ11" i="2"/>
  <c r="BJ15" i="2" s="1"/>
  <c r="BJ28" i="2" s="1"/>
  <c r="BI11" i="2"/>
  <c r="BI15" i="2" s="1"/>
  <c r="BI28" i="2" s="1"/>
  <c r="BH11" i="2"/>
  <c r="BH15" i="2" s="1"/>
  <c r="BH28" i="2" s="1"/>
  <c r="BG11" i="2"/>
  <c r="BG15" i="2" s="1"/>
  <c r="BG28" i="2" s="1"/>
  <c r="BF11" i="2"/>
  <c r="BF15" i="2" s="1"/>
  <c r="BF28" i="2" s="1"/>
  <c r="BE11" i="2"/>
  <c r="BE15" i="2" s="1"/>
  <c r="BE28" i="2" s="1"/>
  <c r="BD11" i="2"/>
  <c r="BD15" i="2" s="1"/>
  <c r="BD28" i="2" s="1"/>
  <c r="BC11" i="2"/>
  <c r="BC15" i="2" s="1"/>
  <c r="BC28" i="2" s="1"/>
  <c r="BB11" i="2"/>
  <c r="BB15" i="2" s="1"/>
  <c r="BB28" i="2" s="1"/>
  <c r="BA11" i="2"/>
  <c r="BA15" i="2" s="1"/>
  <c r="BA28" i="2" s="1"/>
  <c r="AZ11" i="2"/>
  <c r="AZ15" i="2" s="1"/>
  <c r="AZ28" i="2" s="1"/>
  <c r="AY11" i="2"/>
  <c r="AY15" i="2" s="1"/>
  <c r="AY28" i="2" s="1"/>
  <c r="AX11" i="2"/>
  <c r="AX15" i="2" s="1"/>
  <c r="AX28" i="2" s="1"/>
  <c r="AW11" i="2"/>
  <c r="AW15" i="2" s="1"/>
  <c r="AW28" i="2" s="1"/>
  <c r="AV11" i="2"/>
  <c r="AV15" i="2" s="1"/>
  <c r="AV28" i="2" s="1"/>
  <c r="AU11" i="2"/>
  <c r="AU15" i="2" s="1"/>
  <c r="AU28" i="2" s="1"/>
  <c r="AT11" i="2"/>
  <c r="AT15" i="2" s="1"/>
  <c r="AT28" i="2" s="1"/>
  <c r="AS11" i="2"/>
  <c r="AS15" i="2" s="1"/>
  <c r="AS28" i="2" s="1"/>
  <c r="AR11" i="2"/>
  <c r="AR15" i="2" s="1"/>
  <c r="AR28" i="2" s="1"/>
  <c r="AQ11" i="2"/>
  <c r="AQ15" i="2" s="1"/>
  <c r="AQ28" i="2" s="1"/>
  <c r="AJ11" i="2"/>
  <c r="AJ15" i="2" s="1"/>
  <c r="AJ28" i="2" s="1"/>
  <c r="AI11" i="2"/>
  <c r="AI15" i="2" s="1"/>
  <c r="AI28" i="2" s="1"/>
  <c r="AH11" i="2"/>
  <c r="AH15" i="2" s="1"/>
  <c r="AH28" i="2" s="1"/>
  <c r="AG11" i="2"/>
  <c r="AG15" i="2" s="1"/>
  <c r="AG28" i="2" s="1"/>
  <c r="AF11" i="2"/>
  <c r="AF15" i="2" s="1"/>
  <c r="AF28" i="2" s="1"/>
  <c r="AE11" i="2"/>
  <c r="AE15" i="2" s="1"/>
  <c r="AE28" i="2" s="1"/>
  <c r="AD11" i="2"/>
  <c r="AD15" i="2" s="1"/>
  <c r="AD28" i="2" s="1"/>
  <c r="AC11" i="2"/>
  <c r="AC15" i="2" s="1"/>
  <c r="AC28" i="2" s="1"/>
  <c r="AB11" i="2"/>
  <c r="AB15" i="2" s="1"/>
  <c r="AB28" i="2" s="1"/>
  <c r="AA11" i="2"/>
  <c r="AA15" i="2" s="1"/>
  <c r="AA28" i="2" s="1"/>
  <c r="Z11" i="2"/>
  <c r="Z15" i="2" s="1"/>
  <c r="Z28" i="2" s="1"/>
  <c r="Y11" i="2"/>
  <c r="Y15" i="2" s="1"/>
  <c r="Y28" i="2" s="1"/>
  <c r="X11" i="2"/>
  <c r="X15" i="2" s="1"/>
  <c r="X28" i="2" s="1"/>
  <c r="W11" i="2"/>
  <c r="W15" i="2" s="1"/>
  <c r="W28" i="2" s="1"/>
  <c r="V11" i="2"/>
  <c r="V15" i="2" s="1"/>
  <c r="V28" i="2" s="1"/>
  <c r="U11" i="2"/>
  <c r="U15" i="2" s="1"/>
  <c r="U28" i="2" s="1"/>
  <c r="T11" i="2"/>
  <c r="T15" i="2" s="1"/>
  <c r="T28" i="2" s="1"/>
  <c r="S11" i="2"/>
  <c r="S15" i="2" s="1"/>
  <c r="S28" i="2" s="1"/>
  <c r="R11" i="2"/>
  <c r="R15" i="2" s="1"/>
  <c r="R28" i="2" s="1"/>
  <c r="Q11" i="2"/>
  <c r="Q15" i="2" s="1"/>
  <c r="Q28" i="2" s="1"/>
  <c r="P11" i="2"/>
  <c r="P15" i="2" s="1"/>
  <c r="P28" i="2" s="1"/>
  <c r="O11" i="2"/>
  <c r="O15" i="2" s="1"/>
  <c r="O28" i="2" s="1"/>
  <c r="N11" i="2"/>
  <c r="N15" i="2" s="1"/>
  <c r="N28" i="2" s="1"/>
  <c r="M11" i="2"/>
  <c r="M15" i="2" s="1"/>
  <c r="M28" i="2" s="1"/>
  <c r="L11" i="2"/>
  <c r="L15" i="2" s="1"/>
  <c r="L28" i="2" s="1"/>
  <c r="K11" i="2"/>
  <c r="K15" i="2" s="1"/>
  <c r="K28" i="2" s="1"/>
  <c r="J11" i="2"/>
  <c r="J15" i="2" s="1"/>
  <c r="J28" i="2" s="1"/>
  <c r="I11" i="2"/>
  <c r="I15" i="2" s="1"/>
  <c r="I28" i="2" s="1"/>
  <c r="H11" i="2"/>
  <c r="H15" i="2" s="1"/>
  <c r="H28" i="2" s="1"/>
  <c r="G11" i="2"/>
  <c r="G15" i="2" s="1"/>
  <c r="G28" i="2" s="1"/>
  <c r="F11" i="2"/>
  <c r="F15" i="2" s="1"/>
  <c r="F28" i="2" s="1"/>
  <c r="E11" i="2"/>
  <c r="E15" i="2" s="1"/>
  <c r="E28" i="2" s="1"/>
  <c r="C15" i="2"/>
  <c r="C28" i="2" s="1"/>
  <c r="AQ27" i="3" l="1"/>
  <c r="C27" i="3"/>
  <c r="K27" i="3"/>
  <c r="AA27" i="3"/>
  <c r="E27" i="3"/>
  <c r="Q27" i="3"/>
  <c r="D27" i="3"/>
  <c r="J27" i="3"/>
  <c r="Z27" i="3"/>
  <c r="AP27" i="3"/>
  <c r="P27" i="3"/>
  <c r="AF27" i="3"/>
  <c r="F27" i="3"/>
  <c r="R27" i="3"/>
  <c r="V27" i="3"/>
  <c r="AH27" i="3"/>
  <c r="S27" i="3"/>
  <c r="AI27" i="3"/>
  <c r="G27" i="3"/>
  <c r="O27" i="3"/>
  <c r="W27" i="3"/>
  <c r="AE27" i="3"/>
  <c r="M27" i="3"/>
  <c r="U27" i="3"/>
  <c r="AC27" i="3"/>
  <c r="I27" i="3"/>
  <c r="Y27" i="3"/>
  <c r="AO27" i="3"/>
  <c r="N27" i="3"/>
  <c r="AD27" i="3"/>
  <c r="H27" i="3"/>
  <c r="X27" i="3"/>
  <c r="L27" i="3"/>
  <c r="T27" i="3"/>
  <c r="AB27" i="3"/>
  <c r="AJ27" i="3"/>
  <c r="AG27" i="3"/>
  <c r="AP11" i="2"/>
  <c r="AP15" i="2" s="1"/>
  <c r="AP28" i="2" s="1"/>
  <c r="AO11" i="2"/>
  <c r="AO15" i="2" s="1"/>
  <c r="AO28" i="2" s="1"/>
  <c r="AN8" i="3"/>
  <c r="AN27" i="3" s="1"/>
  <c r="AN11" i="2"/>
  <c r="AN15" i="2" s="1"/>
  <c r="AN28" i="2" s="1"/>
  <c r="D11" i="2"/>
  <c r="D15" i="2" s="1"/>
  <c r="D28" i="2" s="1"/>
  <c r="AK8" i="3"/>
  <c r="AK27" i="3" s="1"/>
  <c r="AM8" i="3"/>
  <c r="AM27" i="3" s="1"/>
  <c r="AM11" i="2"/>
  <c r="AM15" i="2" s="1"/>
  <c r="AM28" i="2" s="1"/>
  <c r="AL8" i="3"/>
  <c r="AL27" i="3" s="1"/>
  <c r="AL11" i="2"/>
  <c r="AL15" i="2" s="1"/>
  <c r="AL28" i="2" s="1"/>
  <c r="AK11" i="2"/>
  <c r="AK15" i="2" s="1"/>
  <c r="AK28" i="2" s="1"/>
  <c r="BG49" i="2"/>
  <c r="BH49" i="2"/>
  <c r="BI49" i="2"/>
  <c r="BK49" i="2"/>
  <c r="BL49" i="2"/>
  <c r="BM49" i="2"/>
  <c r="BO49" i="2"/>
  <c r="BP49" i="2"/>
  <c r="BQ49" i="2"/>
  <c r="BS49" i="2"/>
  <c r="BT49" i="2"/>
  <c r="BU49" i="2"/>
  <c r="BW49" i="2"/>
  <c r="BX49" i="2"/>
  <c r="BY49" i="2"/>
  <c r="CA49" i="2"/>
  <c r="CB49" i="2"/>
  <c r="CC49" i="2"/>
  <c r="CE49" i="2"/>
  <c r="CF49" i="2"/>
  <c r="CG49" i="2"/>
  <c r="CI49" i="2"/>
  <c r="CJ49" i="2"/>
  <c r="CK49" i="2"/>
  <c r="CM49" i="2"/>
  <c r="CN49" i="2"/>
  <c r="CO49" i="2"/>
  <c r="CQ49" i="2"/>
  <c r="CR49" i="2"/>
  <c r="CS49" i="2"/>
  <c r="CU49" i="2"/>
  <c r="CV49" i="2"/>
  <c r="CW49" i="2"/>
  <c r="CY49" i="2"/>
  <c r="CZ49" i="2"/>
  <c r="BF49" i="2"/>
  <c r="BJ49" i="2"/>
  <c r="BN49" i="2"/>
  <c r="BR49" i="2"/>
  <c r="BV49" i="2"/>
  <c r="BZ49" i="2"/>
  <c r="CD49" i="2"/>
  <c r="CH49" i="2"/>
  <c r="CL49" i="2"/>
  <c r="CP49" i="2"/>
  <c r="CT49" i="2"/>
  <c r="CX49" i="2"/>
  <c r="AQ47" i="2" l="1"/>
  <c r="AN47" i="2"/>
  <c r="C47" i="2"/>
  <c r="C49" i="2" s="1"/>
  <c r="Y47" i="2"/>
  <c r="AH47" i="2"/>
  <c r="J47" i="2"/>
  <c r="AL47" i="2"/>
  <c r="T47" i="2"/>
  <c r="AD47" i="2"/>
  <c r="I47" i="2"/>
  <c r="AE47" i="2"/>
  <c r="AI47" i="2"/>
  <c r="V47" i="2"/>
  <c r="P47" i="2"/>
  <c r="D47" i="2"/>
  <c r="AA47" i="2"/>
  <c r="AK47" i="2"/>
  <c r="AB47" i="2"/>
  <c r="M47" i="2"/>
  <c r="E47" i="2"/>
  <c r="AG47" i="2"/>
  <c r="L47" i="2"/>
  <c r="N47" i="2"/>
  <c r="AC47" i="2"/>
  <c r="W47" i="2"/>
  <c r="S47" i="2"/>
  <c r="R47" i="2"/>
  <c r="AP47" i="2"/>
  <c r="Q47" i="2"/>
  <c r="K47" i="2"/>
  <c r="H47" i="2"/>
  <c r="G47" i="2"/>
  <c r="AF47" i="2"/>
  <c r="AM47" i="2"/>
  <c r="AJ47" i="2"/>
  <c r="X47" i="2"/>
  <c r="AO47" i="2"/>
  <c r="U47" i="2"/>
  <c r="O47" i="2"/>
  <c r="F47" i="2"/>
  <c r="Z47" i="2"/>
  <c r="C2" i="3"/>
  <c r="D2" i="3"/>
  <c r="E2" i="3"/>
  <c r="F2" i="3"/>
  <c r="G2" i="3"/>
  <c r="H2" i="3"/>
  <c r="I2" i="3"/>
  <c r="J2" i="3"/>
  <c r="K2" i="3"/>
  <c r="L2" i="3"/>
  <c r="M2" i="3"/>
  <c r="N2" i="3"/>
  <c r="O2" i="3"/>
  <c r="P2" i="3"/>
  <c r="Q2" i="3"/>
  <c r="R2" i="3"/>
  <c r="S2" i="3"/>
  <c r="T2" i="3"/>
  <c r="U2" i="3"/>
  <c r="V2" i="3"/>
  <c r="W2" i="3"/>
  <c r="X2" i="3"/>
  <c r="Y2" i="3"/>
  <c r="Z2" i="3"/>
  <c r="AA2" i="3"/>
  <c r="AB2" i="3"/>
  <c r="AC2" i="3"/>
  <c r="AD2" i="3"/>
  <c r="AE2" i="3"/>
  <c r="AF2" i="3"/>
  <c r="AG2" i="3"/>
  <c r="AH2" i="3"/>
  <c r="AI2" i="3"/>
  <c r="AJ2" i="3"/>
  <c r="AK2" i="3"/>
  <c r="AL2" i="3"/>
  <c r="AM2" i="3"/>
  <c r="AN2" i="3"/>
  <c r="AO2" i="3"/>
  <c r="AP2" i="3"/>
  <c r="AQ2" i="3"/>
  <c r="AR2" i="3"/>
  <c r="AS2" i="3"/>
  <c r="AT2" i="3"/>
  <c r="AU2" i="3"/>
  <c r="AV2" i="3"/>
  <c r="AW2" i="3"/>
  <c r="AX2" i="3"/>
  <c r="AY2" i="3"/>
  <c r="AZ2" i="3"/>
  <c r="BA2" i="3"/>
  <c r="BB2" i="3"/>
  <c r="BC2" i="3"/>
  <c r="BD2" i="3"/>
  <c r="BE2" i="3"/>
  <c r="BF2" i="3"/>
  <c r="BG2" i="3"/>
  <c r="BH2" i="3"/>
  <c r="BI2" i="3"/>
  <c r="BJ2" i="3"/>
  <c r="BK2" i="3"/>
  <c r="BL2" i="3"/>
  <c r="BM2" i="3"/>
  <c r="BN2" i="3"/>
  <c r="BO2" i="3"/>
  <c r="BP2" i="3"/>
  <c r="BQ2" i="3"/>
  <c r="BR2" i="3"/>
  <c r="BS2" i="3"/>
  <c r="BT2" i="3"/>
  <c r="BU2" i="3"/>
  <c r="BV2" i="3"/>
  <c r="BW2" i="3"/>
  <c r="BX2" i="3"/>
  <c r="BY2" i="3"/>
  <c r="BZ2" i="3"/>
  <c r="CA2" i="3"/>
  <c r="CB2" i="3"/>
  <c r="CC2" i="3"/>
  <c r="CD2" i="3"/>
  <c r="CE2" i="3"/>
  <c r="CF2" i="3"/>
  <c r="CG2" i="3"/>
  <c r="CH2" i="3"/>
  <c r="CI2" i="3"/>
  <c r="CJ2" i="3"/>
  <c r="CK2" i="3"/>
  <c r="CL2" i="3"/>
  <c r="CM2" i="3"/>
  <c r="CN2" i="3"/>
  <c r="CO2" i="3"/>
  <c r="CP2" i="3"/>
  <c r="CQ2" i="3"/>
  <c r="CR2" i="3"/>
  <c r="CS2" i="3"/>
  <c r="CT2" i="3"/>
  <c r="CU2" i="3"/>
  <c r="CV2" i="3"/>
  <c r="CW2" i="3"/>
  <c r="CX2" i="3"/>
  <c r="CY2" i="3"/>
  <c r="CZ2" i="3"/>
  <c r="BG2" i="2"/>
  <c r="BH2" i="2"/>
  <c r="BI2" i="2"/>
  <c r="BJ2" i="2"/>
  <c r="BK2" i="2"/>
  <c r="BL2" i="2"/>
  <c r="BM2" i="2"/>
  <c r="BN2" i="2"/>
  <c r="BO2" i="2"/>
  <c r="BP2" i="2"/>
  <c r="BQ2" i="2"/>
  <c r="BR2" i="2"/>
  <c r="BS2" i="2"/>
  <c r="BT2" i="2"/>
  <c r="BU2" i="2"/>
  <c r="BV2" i="2"/>
  <c r="BW2" i="2"/>
  <c r="BX2" i="2"/>
  <c r="BY2" i="2"/>
  <c r="BZ2" i="2"/>
  <c r="CA2" i="2"/>
  <c r="CB2" i="2"/>
  <c r="CC2" i="2"/>
  <c r="CD2" i="2"/>
  <c r="CE2" i="2"/>
  <c r="CF2" i="2"/>
  <c r="CG2" i="2"/>
  <c r="CH2" i="2"/>
  <c r="CI2" i="2"/>
  <c r="CJ2" i="2"/>
  <c r="CK2" i="2"/>
  <c r="CL2" i="2"/>
  <c r="CM2" i="2"/>
  <c r="CN2" i="2"/>
  <c r="CO2" i="2"/>
  <c r="CP2" i="2"/>
  <c r="CQ2" i="2"/>
  <c r="CR2" i="2"/>
  <c r="CS2" i="2"/>
  <c r="CT2" i="2"/>
  <c r="CU2" i="2"/>
  <c r="CV2" i="2"/>
  <c r="CW2" i="2"/>
  <c r="CX2" i="2"/>
  <c r="CY2" i="2"/>
  <c r="CZ2" i="2"/>
  <c r="E2" i="2"/>
  <c r="F2" i="2"/>
  <c r="G2" i="2"/>
  <c r="H2" i="2"/>
  <c r="I2" i="2"/>
  <c r="J2" i="2"/>
  <c r="K2" i="2"/>
  <c r="L2" i="2"/>
  <c r="M2" i="2"/>
  <c r="N2" i="2"/>
  <c r="O2" i="2"/>
  <c r="P2" i="2"/>
  <c r="Q2" i="2"/>
  <c r="R2" i="2"/>
  <c r="S2" i="2"/>
  <c r="T2" i="2"/>
  <c r="U2" i="2"/>
  <c r="V2" i="2"/>
  <c r="W2" i="2"/>
  <c r="X2" i="2"/>
  <c r="Y2" i="2"/>
  <c r="Z2" i="2"/>
  <c r="AA2" i="2"/>
  <c r="AB2" i="2"/>
  <c r="AC2" i="2"/>
  <c r="AD2" i="2"/>
  <c r="AE2" i="2"/>
  <c r="AF2" i="2"/>
  <c r="AG2" i="2"/>
  <c r="AH2" i="2"/>
  <c r="AI2" i="2"/>
  <c r="AJ2" i="2"/>
  <c r="AK2" i="2"/>
  <c r="AL2" i="2"/>
  <c r="AM2" i="2"/>
  <c r="AN2" i="2"/>
  <c r="AO2" i="2"/>
  <c r="AP2" i="2"/>
  <c r="AQ2" i="2"/>
  <c r="AR2" i="2"/>
  <c r="AS2" i="2"/>
  <c r="AT2" i="2"/>
  <c r="AU2" i="2"/>
  <c r="AV2" i="2"/>
  <c r="AW2" i="2"/>
  <c r="AX2" i="2"/>
  <c r="AY2" i="2"/>
  <c r="AZ2" i="2"/>
  <c r="BA2" i="2"/>
  <c r="BB2" i="2"/>
  <c r="BC2" i="2"/>
  <c r="BD2" i="2"/>
  <c r="BE2" i="2"/>
  <c r="BF2" i="2"/>
  <c r="D2" i="2"/>
  <c r="C2" i="2"/>
  <c r="G3" i="10" l="1"/>
  <c r="AR49" i="2" l="1"/>
  <c r="AV49" i="2"/>
  <c r="AZ49" i="2"/>
  <c r="BD49" i="2"/>
  <c r="AN49" i="2"/>
  <c r="AP49" i="2"/>
  <c r="AT49" i="2"/>
  <c r="AX49" i="2"/>
  <c r="BB49" i="2"/>
  <c r="AQ49" i="2"/>
  <c r="AM49" i="2"/>
  <c r="AO49" i="2"/>
  <c r="AS49" i="2"/>
  <c r="AU49" i="2"/>
  <c r="AW49" i="2"/>
  <c r="AY49" i="2"/>
  <c r="BA49" i="2"/>
  <c r="BC49" i="2"/>
  <c r="BE49" i="2"/>
  <c r="D49" i="2"/>
  <c r="F49" i="2"/>
  <c r="N49" i="2"/>
  <c r="T49" i="2"/>
  <c r="X49" i="2"/>
  <c r="Z49" i="2"/>
  <c r="AD49" i="2"/>
  <c r="H49" i="2"/>
  <c r="J49" i="2"/>
  <c r="L49" i="2"/>
  <c r="P49" i="2"/>
  <c r="R49" i="2"/>
  <c r="V49" i="2"/>
  <c r="AB49" i="2"/>
  <c r="AF49" i="2"/>
  <c r="AH49" i="2"/>
  <c r="AJ49" i="2"/>
  <c r="AL49" i="2"/>
  <c r="E49" i="2"/>
  <c r="G49" i="2"/>
  <c r="I49" i="2"/>
  <c r="K49" i="2"/>
  <c r="M49" i="2"/>
  <c r="O49" i="2"/>
  <c r="Q49" i="2"/>
  <c r="S49" i="2"/>
  <c r="U49" i="2"/>
  <c r="W49" i="2"/>
  <c r="Y49" i="2"/>
  <c r="AA49" i="2"/>
  <c r="AC49" i="2"/>
  <c r="AE49" i="2"/>
  <c r="AG49" i="2"/>
  <c r="AI49" i="2"/>
  <c r="AK49" i="2"/>
  <c r="G8" i="10" l="1"/>
  <c r="F8" i="10" l="1"/>
</calcChain>
</file>

<file path=xl/sharedStrings.xml><?xml version="1.0" encoding="utf-8"?>
<sst xmlns="http://schemas.openxmlformats.org/spreadsheetml/2006/main" count="300" uniqueCount="240">
  <si>
    <t>ENTER QTR</t>
  </si>
  <si>
    <t>ENTER YEAR</t>
  </si>
  <si>
    <t>TOTALS</t>
  </si>
  <si>
    <t>= Number of Projects</t>
  </si>
  <si>
    <t>Project Name</t>
  </si>
  <si>
    <t>Project Losses @ 100%</t>
  </si>
  <si>
    <t>Project Id</t>
  </si>
  <si>
    <t>Stm Year</t>
  </si>
  <si>
    <t>Qtr</t>
  </si>
  <si>
    <t>Supplemental Category</t>
  </si>
  <si>
    <t>Supplemental Sub-category</t>
  </si>
  <si>
    <t>Amount</t>
  </si>
  <si>
    <t>Accumulated depreciation</t>
  </si>
  <si>
    <t>Building and improvements</t>
  </si>
  <si>
    <t>Construction in progress</t>
  </si>
  <si>
    <t>Furnishings and equipment</t>
  </si>
  <si>
    <t>Land</t>
  </si>
  <si>
    <t>INVESTMENT IN REAL ESTATE - AT COST</t>
  </si>
  <si>
    <t>OTHER ASSETS</t>
  </si>
  <si>
    <t>Accounts receivable</t>
  </si>
  <si>
    <t>Accounts receivable - affiliates</t>
  </si>
  <si>
    <t>Cash and cash equivalents</t>
  </si>
  <si>
    <t>Funded reserves and restricted cash</t>
  </si>
  <si>
    <t>Intangible assets - net</t>
  </si>
  <si>
    <t>Investment in Operating Partnerships</t>
  </si>
  <si>
    <t>Other assets</t>
  </si>
  <si>
    <t>Prepaid expense - other</t>
  </si>
  <si>
    <t>LIABILITIES</t>
  </si>
  <si>
    <t>Accounts payable - construction</t>
  </si>
  <si>
    <t>Accounts payable - trade</t>
  </si>
  <si>
    <t>Accrued expenses</t>
  </si>
  <si>
    <t>Accrued interest</t>
  </si>
  <si>
    <t>Deferred rental income</t>
  </si>
  <si>
    <t>Due to partner and affiliates</t>
  </si>
  <si>
    <t>Land lease obligation</t>
  </si>
  <si>
    <t>Mortgages payable</t>
  </si>
  <si>
    <t>Tenant security deposits</t>
  </si>
  <si>
    <t>PARTNERS' CAPITAL</t>
  </si>
  <si>
    <t>Ownership %</t>
  </si>
  <si>
    <t>Administrative</t>
  </si>
  <si>
    <t>Depreciation &amp; amortization</t>
  </si>
  <si>
    <t>Interest expense</t>
  </si>
  <si>
    <t>Management fees</t>
  </si>
  <si>
    <t>Miscellaneous expense</t>
  </si>
  <si>
    <t>Professional fees</t>
  </si>
  <si>
    <t>Repairs &amp; maintenance</t>
  </si>
  <si>
    <t>Taxes &amp; insurance</t>
  </si>
  <si>
    <t>Utilities</t>
  </si>
  <si>
    <t>OPERATING EXPENSE</t>
  </si>
  <si>
    <t>REVENUE</t>
  </si>
  <si>
    <t>NET INCOME / LOSS</t>
  </si>
  <si>
    <t>As of 6/16/16</t>
  </si>
  <si>
    <t>The Supplemental Template is included with Quarterly Unaudited Fund Financials Statements provided to Investors.</t>
  </si>
  <si>
    <t>General Notes:</t>
  </si>
  <si>
    <t xml:space="preserve"> * All information in this report is gathered from the ODS Database. </t>
  </si>
  <si>
    <t xml:space="preserve"> * ENABLE when you first open the spreadsheet, sometimes you have to click enable 2 times</t>
  </si>
  <si>
    <t xml:space="preserve"> * Only have 1 supplemental spreadsheet open at a time, be sure to close any other supplemental spreadsheets before opening another one</t>
  </si>
  <si>
    <t xml:space="preserve"> * You can keep the Master spreadsheet open and run supplementals continuosly, but as soon as you get a bug, you have to get out and get back in the spreadsheet (and don’t save)</t>
  </si>
  <si>
    <t xml:space="preserve"> * When you are working on the actual fund supplemental, not the master, DO NOT ENABLE! </t>
  </si>
  <si>
    <t>In the CONS directory, create a folder for the current quarter. Within that folder, create another fold called PDFS</t>
  </si>
  <si>
    <t>Refresh all Queries to update all new Funds and Deals from EPIC. DATA/Refresh All</t>
  </si>
  <si>
    <t xml:space="preserve">Change the Current Reporting Period before saving it to the Current Period Shared Directory created in the CONS directory (above).  </t>
  </si>
  <si>
    <t>Correct M&amp;T funds to read M and T on the FUNDS tab</t>
  </si>
  <si>
    <t>Prior to running this report by Fund, you must check the Quarterly Control Checklist to verify all projects financials within the fund have been completed under the status column of the report.</t>
  </si>
  <si>
    <t>Sort the QCC by fund with Custom Sort of Contains "FundName"</t>
  </si>
  <si>
    <t>If all projects complete, run the supplemental.</t>
  </si>
  <si>
    <t>If all projects received have been approved and all others are not on the Watch list, estimate project financials in EPIC.  Only with Director Approval.</t>
  </si>
  <si>
    <t xml:space="preserve">To run Supplemental </t>
  </si>
  <si>
    <t>On Main Tab, Cell A2, Select Fund</t>
  </si>
  <si>
    <t>Cells A 3 and A 4 should display Current Reporting Period (changed and saved as per #2 above)</t>
  </si>
  <si>
    <t>Click Run Supplemental Button, once the world stops turning in the lower right corner of the screen, the report is finished processing.</t>
  </si>
  <si>
    <t>The Report will be saved in F:\Files\123 Data\PA\Cons Directory with the appropriate Reporting Period.  The naming convention should be Reporting Period Fund Name, Ie, 2Q08 HOF 10</t>
  </si>
  <si>
    <t>A PDF report will also be automatically saved in the directory created in #2 above.</t>
  </si>
  <si>
    <t xml:space="preserve">CLOSE the quarterly supplemental spreadsheet and DO NOT save it. </t>
  </si>
  <si>
    <t>Open the draft report that was created in the CONS directory. Do not have more than one supplemental schedule open at any time. DO NOT enable.</t>
  </si>
  <si>
    <t>Verify the number of deals on the main tab equal the number of deals sorted on the QC for the Fund</t>
  </si>
  <si>
    <t>Sold Deals within the Current Reporting Period should not show on the report, they should already be removed automtically.</t>
  </si>
  <si>
    <t xml:space="preserve">If the remaining number of deals do not agree, check Disposition Dates in EPIC to see if the Project on the Sup was sold prior to Current Year or closed after Current Quarter.   </t>
  </si>
  <si>
    <t>If any deals fall in this category, delete these Projects from the IncStmt and BalSht Tabs.</t>
  </si>
  <si>
    <t>All deals should now tie between the QCC and Sup</t>
  </si>
  <si>
    <t>FOR TD BANK DEALS - you have to change the quarter end date!! In the View tab, click page layout to edit the balance sheet and income statement headers.</t>
  </si>
  <si>
    <t>Go to the BalSht  Tab</t>
  </si>
  <si>
    <t>Delete all N/A columns to the right of the deals listed on the report.  These columns should not have a Project_ID number in  row 9.</t>
  </si>
  <si>
    <t>Row 60 should equal zero.  If not, Assets do not equal Liab and Partnrs Cap.  Check the financial in SMT to see if it is in balance.</t>
  </si>
  <si>
    <t>If SMT balance sheet is in balance, check the Net Org Cost Balance on the Financial.  This amount may need to be added to Other Assets on the BalSht on the Sup.</t>
  </si>
  <si>
    <t>IF SMT balance sheet is not in balance, check with Reviewer of Actual Financial Statement.  If the financial was estimated, check with Director.</t>
  </si>
  <si>
    <t>Print Preview Setup-select center vertically and horizontally.  Do not adjust below 55%.</t>
  </si>
  <si>
    <t>Center titles above financials.</t>
  </si>
  <si>
    <t>Hide rows which zero totals</t>
  </si>
  <si>
    <t>Correct any negative amounts within the spreadsheet, other than accumulated depreciation.</t>
  </si>
  <si>
    <t>Hide row 9 which shows the SMT project number.</t>
  </si>
  <si>
    <t>Go to the IncStmt Tab</t>
  </si>
  <si>
    <t>Delete all N/A columns to the right of the deals listed on the report.  These columns should not have a SMT number in  row 9.</t>
  </si>
  <si>
    <t>Row 39 should equal zero.  If not, The Net Loss on the template does not equal SMT.  Check the financial in SMT to see what is this difference and how the report needs to be adjusted.</t>
  </si>
  <si>
    <t>Other Gains/losses, line 32, should be zero.  If an amount is shown, negative should be added to Misc Income and positive number should be added to Misc Expense above the line.</t>
  </si>
  <si>
    <t>If the above amount is large &gt; 25, 000, see Director.</t>
  </si>
  <si>
    <t>To review Supplemental</t>
  </si>
  <si>
    <t>Mature Funds</t>
  </si>
  <si>
    <t xml:space="preserve"> * The most common negative will be on the balance sheet in the deferred costs because too much amortization was taken on the income statement. To correct, you need to </t>
  </si>
  <si>
    <t xml:space="preserve">    adjust the amortization expense on the income statement and the accumulated amortization on the balance sheet directly in EPIC. You can either manually correct on the supplemental or re-run the following day.</t>
  </si>
  <si>
    <t>Overall review of format.  Are titles centered?  Is font legible?  Are there any negative numbers other than A/D? Have zero Total Rows been hidden?  Does title include Unaudited?</t>
  </si>
  <si>
    <t xml:space="preserve">IncSmt Tab-verify all deals have depreciation and interest expense.  </t>
  </si>
  <si>
    <t xml:space="preserve">Compare current period Total Loss with audited supplemental Total Loss.  Does the loss approximate half of prior year audit?  </t>
  </si>
  <si>
    <t xml:space="preserve">If not, was there an impairment loss from prior year audit? If so, deduct this amount. </t>
  </si>
  <si>
    <t>Look at Total Depreciation, Interest, Mgt Fees, Tax &amp; Insurance.  If these are comparable, assume the variance is due to operating expenses unless something stands out.</t>
  </si>
  <si>
    <t>If above is not true, look at deal by deal variance to prior year by analyzing the Budget vs Actual in SMT excel spreadsheet in the Current Period Directory.</t>
  </si>
  <si>
    <t>If any adjustments are necessary, see Director to fix SMT and Supplemental.</t>
  </si>
  <si>
    <t>BalSht Tab-Compare Total Assets to Prior Year Audit Assets.  Compare A/D to Prior Year Audit.  Compare Net Assets to Prior Year Assets for reasonableness.  They should be similar.</t>
  </si>
  <si>
    <t>If not, compare deal by deal and see Director if adjustment necessary.</t>
  </si>
  <si>
    <t xml:space="preserve">Make sure each project has a cash balance.  </t>
  </si>
  <si>
    <t>Compare estimated Project Funded reserves and restricted cash to Prior Year Audit balances.  These should be the same amount.</t>
  </si>
  <si>
    <t xml:space="preserve">If any changes were made in SMT to correct the financials, the report needs to be run again and saved. </t>
  </si>
  <si>
    <t>New Funds</t>
  </si>
  <si>
    <t>Identify which projects have been estimated from the QC and write E above the deal name on both BS and I/S.</t>
  </si>
  <si>
    <t>If project does not have A/D, is there depreciation expense on the BS?</t>
  </si>
  <si>
    <t xml:space="preserve">If Project is in construction on BS, does the IS show an operating loss? </t>
  </si>
  <si>
    <t xml:space="preserve">If any of the above are true, you need to look in SMT at the development page to see where the project is in construction.  </t>
  </si>
  <si>
    <t>You need to look at the Property summary tab to see how many buildings are in the project.</t>
  </si>
  <si>
    <t>You need to look at the information page to see if the project is a Mod Rehab or New Construction.</t>
  </si>
  <si>
    <t>Based on the findings, you will need to determine which way the estimate should be adjusted.  Either move some $$ to building on BS or remove the operating IS in SMT.</t>
  </si>
  <si>
    <t>Apportionment Schedule</t>
  </si>
  <si>
    <t>The Apportionment Schedule will run during the macro that runs the Supplemental.</t>
  </si>
  <si>
    <t>The user need only select the Investor on the "App by State" tab and hide the columns where row 11 = 0 to complete the report.</t>
  </si>
  <si>
    <t>Hide row 11 when printing.</t>
  </si>
  <si>
    <t>Report does not currently work for Funds owned by Funds (such as BOA4A).</t>
  </si>
  <si>
    <t>Estimates in EPIC</t>
  </si>
  <si>
    <t>Go to LIHTC Links on the left column</t>
  </si>
  <si>
    <t>Generate FS Estimates</t>
  </si>
  <si>
    <t>Select Quarter, then the year that you want to run estimates</t>
  </si>
  <si>
    <t>Type - you can run by:</t>
  </si>
  <si>
    <t>By Portfolio - this is used if you need to run only NYEF, SLEF (regional funds), EMI or Consulting deals</t>
  </si>
  <si>
    <t>By Fund - this is used when you only want to select certain funds. This is used when the entire portfolio needs to be estimated, like in 1st quarter</t>
  </si>
  <si>
    <t>By Deal Type - this is used if you only want to run for either new or mature deals</t>
  </si>
  <si>
    <t>By LIHTC Deal - this is the most commonly used. You have to further select the AM team in order to get a complete list of deals.</t>
  </si>
  <si>
    <t>Once you have the list you want, check the Select box. You can sort the list by Deal ID, LIHTC Deal or Partnership by clicking on the column header. Click again to reverse the order.</t>
  </si>
  <si>
    <t>Hit the Generate button to run the estimate</t>
  </si>
  <si>
    <t>A separate screen will pop up with the status of Pending. Right click to refresh the page and see the change in status.</t>
  </si>
  <si>
    <t>To see the status of previously generated estimates, on the main page click Show Queue at the top right of the page. This will show all estimates that have been run.</t>
  </si>
  <si>
    <t>* Click on the ID number to see the status of all previously run estimates.</t>
  </si>
  <si>
    <t>Project ID</t>
  </si>
  <si>
    <t>Project Legal Name</t>
  </si>
  <si>
    <t>ProjectStatus</t>
  </si>
  <si>
    <t>Print Date:</t>
  </si>
  <si>
    <t>Project Losses @ Project level</t>
  </si>
  <si>
    <t>Rental income</t>
  </si>
  <si>
    <t>Interest income</t>
  </si>
  <si>
    <t>Other income</t>
  </si>
  <si>
    <t>Net property</t>
  </si>
  <si>
    <t>TOTAL ASSETS</t>
  </si>
  <si>
    <t>TOTAL LIABILITIES</t>
  </si>
  <si>
    <t>TOTAL LIABILITIES &amp; PARTNERS' CAPITAL</t>
  </si>
  <si>
    <t>Project Losses @ Project Level</t>
  </si>
  <si>
    <t>Deferred interest</t>
  </si>
  <si>
    <t>Notes payable</t>
  </si>
  <si>
    <t>Notes payable, affiliates</t>
  </si>
  <si>
    <t>Prepaid interest</t>
  </si>
  <si>
    <t>Deferred interest expense</t>
  </si>
  <si>
    <t>Organization expense</t>
  </si>
  <si>
    <t>Impairment</t>
  </si>
  <si>
    <t>Mortgages payable,affiliates</t>
  </si>
  <si>
    <t>70373</t>
  </si>
  <si>
    <t>Park View at Coldspring</t>
  </si>
  <si>
    <t>Loan Closing/Construction</t>
  </si>
  <si>
    <t>Operations/Asset Management</t>
  </si>
  <si>
    <t>70340</t>
  </si>
  <si>
    <t>Park View at Catonsville</t>
  </si>
  <si>
    <t>70341</t>
  </si>
  <si>
    <t>Park View at South Pantops</t>
  </si>
  <si>
    <t>70342</t>
  </si>
  <si>
    <t>Park View at Tyler Run</t>
  </si>
  <si>
    <t>70343</t>
  </si>
  <si>
    <t>Park View at Manchester Heights</t>
  </si>
  <si>
    <t>70344</t>
  </si>
  <si>
    <t>Park View at Naaman's Creek</t>
  </si>
  <si>
    <t>70345</t>
  </si>
  <si>
    <t>York Commons</t>
  </si>
  <si>
    <t>70346</t>
  </si>
  <si>
    <t>Park View at Oak Crest</t>
  </si>
  <si>
    <t>70347</t>
  </si>
  <si>
    <t>Park View at Cheltenham</t>
  </si>
  <si>
    <t>70348</t>
  </si>
  <si>
    <t>Park View at Bethlehem</t>
  </si>
  <si>
    <t>70349</t>
  </si>
  <si>
    <t>Westbrook Commons</t>
  </si>
  <si>
    <t>70350</t>
  </si>
  <si>
    <t>Park View at Easton</t>
  </si>
  <si>
    <t>70352</t>
  </si>
  <si>
    <t>Somerset Commons</t>
  </si>
  <si>
    <t>70354</t>
  </si>
  <si>
    <t>Park View at Laurel I</t>
  </si>
  <si>
    <t>70357</t>
  </si>
  <si>
    <t>Park View at Emerson</t>
  </si>
  <si>
    <t>70358</t>
  </si>
  <si>
    <t>Park View at Ellicott City II</t>
  </si>
  <si>
    <t>70361</t>
  </si>
  <si>
    <t>Hickory Ridge</t>
  </si>
  <si>
    <t>Pending Business Committee Approval</t>
  </si>
  <si>
    <t>70362</t>
  </si>
  <si>
    <t>Park View at Snowden River</t>
  </si>
  <si>
    <t>70363</t>
  </si>
  <si>
    <t>Park View at Columbia</t>
  </si>
  <si>
    <t>70364</t>
  </si>
  <si>
    <t>Woodbridge Commons</t>
  </si>
  <si>
    <t>70365</t>
  </si>
  <si>
    <t>Park View at Bel Air</t>
  </si>
  <si>
    <t>70366</t>
  </si>
  <si>
    <t>Park View at Box Hill</t>
  </si>
  <si>
    <t>70367</t>
  </si>
  <si>
    <t>College Parkway Place</t>
  </si>
  <si>
    <t>70368</t>
  </si>
  <si>
    <t>Park View at Furnace Branch</t>
  </si>
  <si>
    <t>70369</t>
  </si>
  <si>
    <t>Park View at Severna Park</t>
  </si>
  <si>
    <t>70370</t>
  </si>
  <si>
    <t>Ashland Commons</t>
  </si>
  <si>
    <t>70371</t>
  </si>
  <si>
    <t>Park View at Fullerton</t>
  </si>
  <si>
    <t>70372</t>
  </si>
  <si>
    <t>Park View at Ashland Terrace</t>
  </si>
  <si>
    <t>70374</t>
  </si>
  <si>
    <t>Park View at Taylor</t>
  </si>
  <si>
    <t>Pre-Development</t>
  </si>
  <si>
    <t>70375</t>
  </si>
  <si>
    <t>Park View at Woodlawn</t>
  </si>
  <si>
    <t>70376</t>
  </si>
  <si>
    <t>Park View at Miramar Landing</t>
  </si>
  <si>
    <t>70377</t>
  </si>
  <si>
    <t>Park View at Randallstown</t>
  </si>
  <si>
    <t>70378</t>
  </si>
  <si>
    <t>Park View at Rosedale</t>
  </si>
  <si>
    <t>70379</t>
  </si>
  <si>
    <t>Park View at Towson</t>
  </si>
  <si>
    <t>70381</t>
  </si>
  <si>
    <t>Highland Commons</t>
  </si>
  <si>
    <t>Account Number</t>
  </si>
  <si>
    <t>70458</t>
  </si>
  <si>
    <t>pk investors report 4</t>
  </si>
  <si>
    <t>FUND</t>
  </si>
  <si>
    <t>Fund Abbreviation</t>
  </si>
  <si>
    <t>EHPF,LLC</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</si>
</sst>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 #,##0_);_(* \(#,##0\);_(* &quot;-&quot;??_);_(@_)"/>
    <numFmt numFmtId="165" formatCode="_([$$-409]* #,##0_);_([$$-409]* \(#,##0\);_([$$-409]* &quot;-&quot;_);_(@_)"/>
    <numFmt numFmtId="166" formatCode="0.000000%"/>
    <numFmt numFmtId="167" formatCode="m/d/yy;@"/>
    <numFmt numFmtId="168" formatCode="[$-409]mmmm\ d\,\ yyyy;@"/>
  </numFmts>
  <fonts count="17" x14ac:knownFonts="1">
    <font>
      <sz val="11"/>
      <color theme="1"/>
      <name val="Calibri"/>
      <family val="2"/>
      <scheme val="minor"/>
    </font>
    <font>
      <b/>
      <sz val="11"/>
      <color theme="1"/>
      <name val="Calibri"/>
      <family val="2"/>
      <scheme val="minor"/>
    </font>
    <font>
      <b/>
      <sz val="10"/>
      <name val="Arial"/>
      <family val="2"/>
    </font>
    <font>
      <sz val="10"/>
      <color theme="1"/>
      <name val="Arial"/>
      <family val="2"/>
    </font>
    <font>
      <b/>
      <sz val="10"/>
      <color theme="1"/>
      <name val="Arial"/>
      <family val="2"/>
    </font>
    <font>
      <sz val="11"/>
      <color theme="1"/>
      <name val="Calibri"/>
      <family val="2"/>
      <scheme val="minor"/>
    </font>
    <font>
      <u/>
      <sz val="10"/>
      <color theme="1"/>
      <name val="Arial"/>
      <family val="2"/>
    </font>
    <font>
      <sz val="10"/>
      <name val="Arial"/>
      <family val="2"/>
    </font>
    <font>
      <b/>
      <sz val="8"/>
      <color rgb="FF000080"/>
      <name val="Arial"/>
      <family val="2"/>
    </font>
    <font>
      <sz val="10"/>
      <color indexed="8"/>
      <name val="MS Sans Serif"/>
      <family val="2"/>
    </font>
    <font>
      <sz val="10"/>
      <color indexed="8"/>
      <name val="Arial"/>
      <family val="2"/>
    </font>
    <font>
      <b/>
      <u/>
      <sz val="14"/>
      <color indexed="8"/>
      <name val="Arial"/>
      <family val="2"/>
    </font>
    <font>
      <b/>
      <u/>
      <sz val="10"/>
      <color indexed="8"/>
      <name val="Arial"/>
      <family val="2"/>
    </font>
    <font>
      <b/>
      <sz val="10"/>
      <color indexed="8"/>
      <name val="Arial"/>
      <family val="2"/>
    </font>
    <font>
      <b/>
      <sz val="9"/>
      <color indexed="8"/>
      <name val="Arial"/>
      <family val="2"/>
    </font>
    <font>
      <b/>
      <sz val="8"/>
      <color indexed="8"/>
      <name val="ARIAL"/>
      <family val="2"/>
    </font>
    <font>
      <u val="singleAccounting"/>
      <sz val="10"/>
      <color theme="1"/>
      <name val="Arial"/>
      <family val="2"/>
    </font>
  </fonts>
  <fills count="3">
    <fill>
      <patternFill patternType="none"/>
    </fill>
    <fill>
      <patternFill patternType="gray125"/>
    </fill>
    <fill>
      <patternFill patternType="solid">
        <fgColor indexed="4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double">
        <color indexed="64"/>
      </bottom>
      <diagonal/>
    </border>
    <border>
      <left/>
      <right/>
      <top style="thin">
        <color indexed="64"/>
      </top>
      <bottom/>
      <diagonal/>
    </border>
    <border>
      <left/>
      <right/>
      <top style="thin">
        <color auto="1"/>
      </top>
      <bottom style="thin">
        <color auto="1"/>
      </bottom>
      <diagonal/>
    </border>
  </borders>
  <cellStyleXfs count="5">
    <xf numFmtId="0" fontId="0" fillId="0" borderId="0"/>
    <xf numFmtId="44"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9" fillId="0" borderId="0"/>
  </cellStyleXfs>
  <cellXfs count="69">
    <xf numFmtId="0" fontId="0" fillId="0" borderId="0" xfId="0"/>
    <xf numFmtId="0" fontId="1" fillId="0" borderId="0" xfId="0" applyFont="1"/>
    <xf numFmtId="0" fontId="2" fillId="0" borderId="0" xfId="0" applyFont="1" applyProtection="1">
      <protection locked="0"/>
    </xf>
    <xf numFmtId="0" fontId="3" fillId="0" borderId="0" xfId="0" applyFont="1"/>
    <xf numFmtId="0" fontId="4" fillId="0" borderId="0" xfId="0" applyFont="1"/>
    <xf numFmtId="0" fontId="4" fillId="0" borderId="0" xfId="0" applyFont="1" applyAlignment="1">
      <alignment horizontal="left" indent="1"/>
    </xf>
    <xf numFmtId="164" fontId="0" fillId="0" borderId="0" xfId="0" applyNumberFormat="1"/>
    <xf numFmtId="0" fontId="4" fillId="0" borderId="0" xfId="0" applyFont="1" applyAlignment="1">
      <alignment horizontal="center" vertical="center" wrapText="1"/>
    </xf>
    <xf numFmtId="0" fontId="0" fillId="0" borderId="0" xfId="0" applyAlignment="1">
      <alignment horizontal="center" vertical="center" wrapText="1"/>
    </xf>
    <xf numFmtId="0" fontId="3" fillId="0" borderId="0" xfId="0" applyFont="1" applyBorder="1" applyAlignment="1">
      <alignment horizontal="center" vertical="center" wrapText="1"/>
    </xf>
    <xf numFmtId="166" fontId="0" fillId="0" borderId="0" xfId="0" applyNumberFormat="1"/>
    <xf numFmtId="0" fontId="3" fillId="0" borderId="0" xfId="0" applyFont="1" applyAlignment="1">
      <alignment horizontal="center" vertical="center" wrapText="1"/>
    </xf>
    <xf numFmtId="0" fontId="2" fillId="0" borderId="0" xfId="0" applyFont="1" applyAlignment="1" applyProtection="1">
      <alignment horizontal="center" vertical="center" wrapText="1"/>
      <protection locked="0"/>
    </xf>
    <xf numFmtId="0" fontId="2" fillId="0" borderId="0" xfId="0" applyFont="1"/>
    <xf numFmtId="0" fontId="7" fillId="0" borderId="0" xfId="0" applyFont="1"/>
    <xf numFmtId="0" fontId="0" fillId="0" borderId="0" xfId="0" applyAlignment="1">
      <alignment horizontal="center"/>
    </xf>
    <xf numFmtId="0" fontId="7" fillId="0" borderId="0" xfId="0" applyFont="1" applyAlignment="1">
      <alignment horizontal="left"/>
    </xf>
    <xf numFmtId="0" fontId="10" fillId="0" borderId="0" xfId="4" applyNumberFormat="1" applyFont="1" applyFill="1" applyBorder="1" applyAlignment="1" applyProtection="1">
      <alignment horizontal="center" vertical="center"/>
    </xf>
    <xf numFmtId="0" fontId="11" fillId="0" borderId="0" xfId="4" applyFont="1" applyAlignment="1">
      <alignment horizontal="center" vertical="center"/>
    </xf>
    <xf numFmtId="166" fontId="12" fillId="0" borderId="0" xfId="2" applyNumberFormat="1" applyFont="1" applyAlignment="1">
      <alignment horizontal="center" vertical="center"/>
    </xf>
    <xf numFmtId="167" fontId="10" fillId="0" borderId="0" xfId="4" applyNumberFormat="1" applyFont="1" applyFill="1" applyBorder="1" applyAlignment="1" applyProtection="1">
      <alignment horizontal="center" vertical="center"/>
    </xf>
    <xf numFmtId="164" fontId="10" fillId="0" borderId="0" xfId="3" applyNumberFormat="1" applyFont="1" applyFill="1" applyBorder="1" applyAlignment="1" applyProtection="1">
      <alignment horizontal="center" vertical="center"/>
    </xf>
    <xf numFmtId="0" fontId="13" fillId="2" borderId="1" xfId="4" applyNumberFormat="1" applyFont="1" applyFill="1" applyBorder="1" applyAlignment="1" applyProtection="1">
      <alignment horizontal="center" vertical="center"/>
    </xf>
    <xf numFmtId="0" fontId="14" fillId="0" borderId="0" xfId="4" applyNumberFormat="1" applyFont="1" applyFill="1" applyBorder="1" applyAlignment="1" applyProtection="1">
      <alignment horizontal="center" vertical="center"/>
    </xf>
    <xf numFmtId="0" fontId="10" fillId="0" borderId="0" xfId="4" applyNumberFormat="1" applyFont="1" applyFill="1" applyBorder="1" applyAlignment="1" applyProtection="1">
      <alignment horizontal="left" vertical="center"/>
    </xf>
    <xf numFmtId="166" fontId="10" fillId="0" borderId="0" xfId="2" applyNumberFormat="1" applyFont="1" applyFill="1" applyBorder="1" applyAlignment="1" applyProtection="1">
      <alignment horizontal="center" vertical="center"/>
    </xf>
    <xf numFmtId="167" fontId="15" fillId="0" borderId="0" xfId="4" applyNumberFormat="1" applyFont="1" applyAlignment="1">
      <alignment horizontal="center" vertical="center"/>
    </xf>
    <xf numFmtId="167" fontId="15" fillId="0" borderId="0" xfId="3" applyNumberFormat="1" applyFont="1" applyBorder="1" applyAlignment="1">
      <alignment horizontal="center" vertical="center"/>
    </xf>
    <xf numFmtId="168" fontId="13" fillId="0" borderId="0" xfId="4" applyNumberFormat="1" applyFont="1" applyFill="1" applyBorder="1" applyAlignment="1" applyProtection="1">
      <alignment horizontal="center" vertical="center"/>
    </xf>
    <xf numFmtId="0" fontId="13" fillId="0" borderId="0" xfId="4" applyNumberFormat="1" applyFont="1" applyFill="1" applyBorder="1" applyAlignment="1" applyProtection="1">
      <alignment horizontal="center" vertical="center"/>
    </xf>
    <xf numFmtId="0" fontId="13" fillId="0" borderId="2" xfId="4" applyNumberFormat="1" applyFont="1" applyFill="1" applyBorder="1" applyAlignment="1" applyProtection="1">
      <alignment horizontal="center" vertical="center"/>
    </xf>
    <xf numFmtId="0" fontId="13" fillId="0" borderId="2" xfId="4" applyNumberFormat="1" applyFont="1" applyFill="1" applyBorder="1" applyAlignment="1" applyProtection="1"/>
    <xf numFmtId="0" fontId="13" fillId="0" borderId="0" xfId="4" quotePrefix="1" applyNumberFormat="1" applyFont="1" applyFill="1" applyBorder="1" applyAlignment="1" applyProtection="1">
      <alignment horizontal="left" vertical="center"/>
    </xf>
    <xf numFmtId="166" fontId="13" fillId="0" borderId="0" xfId="2" applyNumberFormat="1" applyFont="1" applyFill="1" applyBorder="1" applyAlignment="1" applyProtection="1">
      <alignment horizontal="center" vertical="center"/>
    </xf>
    <xf numFmtId="167" fontId="13" fillId="0" borderId="0" xfId="2" applyNumberFormat="1" applyFont="1" applyFill="1" applyBorder="1" applyAlignment="1" applyProtection="1">
      <alignment horizontal="center" vertical="center"/>
    </xf>
    <xf numFmtId="164" fontId="13" fillId="0" borderId="0" xfId="3" applyNumberFormat="1" applyFont="1" applyFill="1" applyBorder="1" applyAlignment="1" applyProtection="1">
      <alignment horizontal="center" vertical="center"/>
    </xf>
    <xf numFmtId="0" fontId="13" fillId="0" borderId="3" xfId="4" applyNumberFormat="1" applyFont="1" applyFill="1" applyBorder="1" applyAlignment="1" applyProtection="1">
      <alignment horizontal="center" vertical="center"/>
    </xf>
    <xf numFmtId="164" fontId="10" fillId="0" borderId="0" xfId="4" applyNumberFormat="1" applyFont="1" applyFill="1" applyBorder="1" applyAlignment="1" applyProtection="1">
      <alignment horizontal="center" vertical="center"/>
    </xf>
    <xf numFmtId="164" fontId="13" fillId="0" borderId="0" xfId="2" applyNumberFormat="1" applyFont="1" applyFill="1" applyBorder="1" applyAlignment="1" applyProtection="1">
      <alignment horizontal="center" vertical="center"/>
    </xf>
    <xf numFmtId="165" fontId="3" fillId="0" borderId="0" xfId="0" applyNumberFormat="1" applyFont="1"/>
    <xf numFmtId="42" fontId="3" fillId="0" borderId="0" xfId="0" applyNumberFormat="1" applyFont="1"/>
    <xf numFmtId="42" fontId="3" fillId="0" borderId="0" xfId="1" applyNumberFormat="1" applyFont="1"/>
    <xf numFmtId="41" fontId="3" fillId="0" borderId="0" xfId="0" applyNumberFormat="1" applyFont="1"/>
    <xf numFmtId="41" fontId="3" fillId="0" borderId="0" xfId="0" applyNumberFormat="1" applyFont="1" applyAlignment="1">
      <alignment wrapText="1"/>
    </xf>
    <xf numFmtId="41" fontId="6" fillId="0" borderId="0" xfId="0" applyNumberFormat="1" applyFont="1"/>
    <xf numFmtId="41" fontId="3" fillId="0" borderId="0" xfId="1" applyNumberFormat="1" applyFont="1"/>
    <xf numFmtId="42" fontId="16" fillId="0" borderId="0" xfId="1" applyNumberFormat="1" applyFont="1"/>
    <xf numFmtId="0" fontId="4" fillId="0" borderId="0" xfId="0" applyNumberFormat="1" applyFont="1"/>
    <xf numFmtId="0" fontId="4" fillId="0" borderId="4" xfId="0" applyFont="1" applyBorder="1" applyAlignment="1">
      <alignment horizontal="center" vertical="center" wrapText="1"/>
    </xf>
    <xf numFmtId="0" fontId="4" fillId="0" borderId="0" xfId="1" applyNumberFormat="1" applyFont="1" applyAlignment="1">
      <alignment horizontal="left" indent="1"/>
    </xf>
    <xf numFmtId="42" fontId="6" fillId="0" borderId="0" xfId="1" applyNumberFormat="1" applyFont="1"/>
    <xf numFmtId="41" fontId="16" fillId="0" borderId="0" xfId="0" applyNumberFormat="1" applyFont="1"/>
    <xf numFmtId="41" fontId="16" fillId="0" borderId="0" xfId="1" applyNumberFormat="1" applyFont="1"/>
    <xf numFmtId="41" fontId="6" fillId="0" borderId="0" xfId="1" applyNumberFormat="1" applyFont="1"/>
    <xf numFmtId="42" fontId="16" fillId="0" borderId="0" xfId="0" applyNumberFormat="1" applyFont="1"/>
    <xf numFmtId="164" fontId="13" fillId="0" borderId="2" xfId="3" applyNumberFormat="1" applyFont="1" applyFill="1" applyBorder="1" applyAlignment="1" applyProtection="1">
      <alignment horizontal="center" vertical="center"/>
    </xf>
    <xf numFmtId="0" fontId="2" fillId="0" borderId="0" xfId="0" applyFont="1" applyAlignment="1" applyProtection="1">
      <alignment horizontal="left" indent="2"/>
      <protection locked="0"/>
    </xf>
    <xf numFmtId="0" fontId="4" fillId="0" borderId="0" xfId="0" applyFont="1" applyAlignment="1">
      <alignment horizontal="left" indent="2"/>
    </xf>
    <xf numFmtId="0" fontId="4" fillId="0" borderId="0" xfId="1" applyNumberFormat="1" applyFont="1" applyAlignment="1">
      <alignment horizontal="left" indent="2"/>
    </xf>
    <xf numFmtId="0" fontId="4" fillId="0" borderId="0" xfId="0" applyFont="1" applyAlignment="1">
      <alignment horizontal="left"/>
    </xf>
    <xf numFmtId="0" fontId="2" fillId="0" borderId="0" xfId="0" applyFont="1" applyFill="1" applyAlignment="1" applyProtection="1">
      <alignment horizontal="left" indent="2"/>
      <protection locked="0"/>
    </xf>
    <xf numFmtId="0" fontId="4" fillId="0" borderId="0" xfId="1" applyNumberFormat="1" applyFont="1" applyAlignment="1">
      <alignment horizontal="left"/>
    </xf>
    <xf numFmtId="0" fontId="4" fillId="0" borderId="0" xfId="0" applyNumberFormat="1" applyFont="1" applyAlignment="1">
      <alignment horizontal="left" indent="2"/>
    </xf>
    <xf numFmtId="0" fontId="2" fillId="0" borderId="1" xfId="0" applyFont="1" applyFill="1" applyBorder="1" applyAlignment="1">
      <alignment horizontal="center" vertical="center" wrapText="1"/>
    </xf>
    <xf numFmtId="166" fontId="2" fillId="0" borderId="1" xfId="2" applyNumberFormat="1" applyFont="1" applyFill="1" applyBorder="1" applyAlignment="1">
      <alignment horizontal="center" vertical="center" wrapText="1"/>
    </xf>
    <xf numFmtId="167" fontId="2" fillId="0" borderId="1" xfId="0" applyNumberFormat="1"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1" fillId="0" borderId="0" xfId="0" applyFont="1" applyAlignment="1">
      <alignment horizontal="right"/>
    </xf>
    <xf numFmtId="0" fontId="0" fillId="0" borderId="0" xfId="0" applyFill="1" applyAlignment="1">
      <alignment horizontal="center" vertical="center"/>
    </xf>
  </cellXfs>
  <cellStyles count="5">
    <cellStyle name="Comma" xfId="3" builtinId="3"/>
    <cellStyle name="Currency" xfId="1" builtinId="4"/>
    <cellStyle name="Normal" xfId="0" builtinId="0"/>
    <cellStyle name="Normal_Project Ownership Percentages and Losses" xfId="4"/>
    <cellStyle name="Percent" xfId="2" builtinId="5"/>
  </cellStyles>
  <dxfs count="2">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1</xdr:row>
          <xdr:rowOff>152400</xdr:rowOff>
        </xdr:from>
        <xdr:to>
          <xdr:col>4</xdr:col>
          <xdr:colOff>1200150</xdr:colOff>
          <xdr:row>4</xdr:row>
          <xdr:rowOff>133350</xdr:rowOff>
        </xdr:to>
        <xdr:sp macro="" textlink="">
          <xdr:nvSpPr>
            <xdr:cNvPr id="8194" name="GetData" descr="Get Data"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80"/>
                  </a:solidFill>
                  <a:latin typeface="Arial"/>
                  <a:cs typeface="Arial"/>
                </a:rPr>
                <a:t>Run Selected Supplemental and Apportionment Schedule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Work\Macro%20Report%20202\template\Copy%20of%20Quarterly%20Supplemental%20and%20Apportionment%20Schedule%20MASTER%20v2016.09.14%2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Main"/>
      <sheetName val="BalSht"/>
      <sheetName val="IncStmt"/>
      <sheetName val="App by State"/>
      <sheetName val="Query ODS FS"/>
      <sheetName val="Query ODS FS PYE"/>
      <sheetName val="Fund Names"/>
      <sheetName val="All Projects Losses"/>
      <sheetName val="Funds win Funds"/>
      <sheetName val="Notes for Mary"/>
      <sheetName val="App by Deal"/>
      <sheetName val="Query ODS States"/>
      <sheetName val="Query ODS Investors"/>
      <sheetName val="Query ODS Pcts"/>
      <sheetName val="Fund Listing"/>
    </sheetNames>
    <sheetDataSet>
      <sheetData sheetId="0"/>
      <sheetData sheetId="1"/>
      <sheetData sheetId="2"/>
      <sheetData sheetId="3"/>
      <sheetData sheetId="4"/>
      <sheetData sheetId="5"/>
      <sheetData sheetId="6"/>
      <sheetData sheetId="7">
        <row r="2">
          <cell r="A2" t="str">
            <v>1070 Washington Bridge, LLC</v>
          </cell>
        </row>
        <row r="3">
          <cell r="A3" t="str">
            <v>481 - Potential Deals</v>
          </cell>
        </row>
        <row r="4">
          <cell r="A4" t="str">
            <v>481 EAHF</v>
          </cell>
        </row>
        <row r="5">
          <cell r="A5" t="str">
            <v>481 EAHF II</v>
          </cell>
        </row>
        <row r="6">
          <cell r="A6" t="str">
            <v>481 EAHF III</v>
          </cell>
        </row>
        <row r="7">
          <cell r="A7" t="str">
            <v>481 EAHF IV</v>
          </cell>
        </row>
        <row r="8">
          <cell r="A8" t="str">
            <v>5th3rd - Potential Deals</v>
          </cell>
        </row>
        <row r="9">
          <cell r="A9" t="str">
            <v>ACELA II</v>
          </cell>
        </row>
        <row r="10">
          <cell r="A10" t="str">
            <v>AEUEF</v>
          </cell>
        </row>
        <row r="11">
          <cell r="A11" t="str">
            <v>AEUEF II</v>
          </cell>
        </row>
        <row r="12">
          <cell r="A12" t="str">
            <v>AHEF</v>
          </cell>
        </row>
        <row r="13">
          <cell r="A13" t="str">
            <v>AHEF 2</v>
          </cell>
        </row>
        <row r="14">
          <cell r="A14" t="str">
            <v>ALLY - Potential Deals</v>
          </cell>
        </row>
        <row r="15">
          <cell r="A15" t="str">
            <v>AMEXWEST</v>
          </cell>
        </row>
        <row r="16">
          <cell r="A16" t="str">
            <v>AMEXWEST II</v>
          </cell>
        </row>
        <row r="17">
          <cell r="A17" t="str">
            <v>Arthur Ave Bridge, LLC</v>
          </cell>
        </row>
        <row r="18">
          <cell r="A18" t="str">
            <v>Benchmark Fund</v>
          </cell>
        </row>
        <row r="19">
          <cell r="A19" t="str">
            <v>BOA</v>
          </cell>
        </row>
        <row r="20">
          <cell r="A20" t="str">
            <v>BOA - Potential Deals</v>
          </cell>
        </row>
        <row r="21">
          <cell r="A21" t="str">
            <v>BOA1</v>
          </cell>
        </row>
        <row r="22">
          <cell r="A22" t="str">
            <v>BOA10</v>
          </cell>
        </row>
        <row r="23">
          <cell r="A23" t="str">
            <v>BOA11</v>
          </cell>
        </row>
        <row r="24">
          <cell r="A24" t="str">
            <v>BOA2</v>
          </cell>
        </row>
        <row r="25">
          <cell r="A25" t="str">
            <v>BOA3</v>
          </cell>
        </row>
        <row r="26">
          <cell r="A26" t="str">
            <v>BOA3A</v>
          </cell>
        </row>
        <row r="27">
          <cell r="A27" t="str">
            <v>BOA3B</v>
          </cell>
        </row>
        <row r="28">
          <cell r="A28" t="str">
            <v>BOA3C</v>
          </cell>
        </row>
        <row r="29">
          <cell r="A29" t="str">
            <v>BOA3D</v>
          </cell>
        </row>
        <row r="30">
          <cell r="A30" t="str">
            <v>BOA3E</v>
          </cell>
        </row>
        <row r="31">
          <cell r="A31" t="str">
            <v>BOA3F</v>
          </cell>
        </row>
        <row r="32">
          <cell r="A32" t="str">
            <v>BOA3G</v>
          </cell>
        </row>
        <row r="33">
          <cell r="A33" t="str">
            <v>BOA3H</v>
          </cell>
        </row>
        <row r="34">
          <cell r="A34" t="str">
            <v>BOA4</v>
          </cell>
        </row>
        <row r="35">
          <cell r="A35" t="str">
            <v>BOA4A</v>
          </cell>
        </row>
        <row r="36">
          <cell r="A36" t="str">
            <v>BOA4B</v>
          </cell>
        </row>
        <row r="37">
          <cell r="A37" t="str">
            <v>BOA5</v>
          </cell>
        </row>
        <row r="38">
          <cell r="A38" t="str">
            <v>BOA6</v>
          </cell>
        </row>
        <row r="39">
          <cell r="A39" t="str">
            <v>BOA7</v>
          </cell>
        </row>
        <row r="40">
          <cell r="A40" t="str">
            <v>BOA8</v>
          </cell>
        </row>
        <row r="41">
          <cell r="A41" t="str">
            <v>BOA9</v>
          </cell>
        </row>
        <row r="42">
          <cell r="A42" t="str">
            <v>BofNY - Potential Deals</v>
          </cell>
        </row>
        <row r="43">
          <cell r="A43" t="str">
            <v>CCHF</v>
          </cell>
        </row>
        <row r="44">
          <cell r="A44" t="str">
            <v>CEHEF</v>
          </cell>
        </row>
        <row r="45">
          <cell r="A45" t="str">
            <v>CHA</v>
          </cell>
        </row>
        <row r="46">
          <cell r="A46" t="str">
            <v>CHA 2</v>
          </cell>
        </row>
        <row r="47">
          <cell r="A47" t="str">
            <v>CHA 3</v>
          </cell>
        </row>
        <row r="48">
          <cell r="A48" t="str">
            <v>CHASE</v>
          </cell>
        </row>
        <row r="49">
          <cell r="A49" t="str">
            <v>CHEF88</v>
          </cell>
        </row>
        <row r="50">
          <cell r="A50" t="str">
            <v>CHEF89</v>
          </cell>
        </row>
        <row r="51">
          <cell r="A51" t="str">
            <v>CHI</v>
          </cell>
        </row>
        <row r="52">
          <cell r="A52" t="str">
            <v>CHI 2</v>
          </cell>
        </row>
        <row r="53">
          <cell r="A53" t="str">
            <v>CHI 3</v>
          </cell>
        </row>
        <row r="54">
          <cell r="A54" t="str">
            <v>CINCI1</v>
          </cell>
        </row>
        <row r="55">
          <cell r="A55" t="str">
            <v>CINCI2</v>
          </cell>
        </row>
        <row r="56">
          <cell r="A56" t="str">
            <v>CIP 1</v>
          </cell>
        </row>
        <row r="57">
          <cell r="A57" t="str">
            <v>CITIBANK</v>
          </cell>
        </row>
        <row r="58">
          <cell r="A58" t="str">
            <v>CITIZENS - Potential Deals</v>
          </cell>
        </row>
        <row r="59">
          <cell r="A59" t="str">
            <v>CNE 3</v>
          </cell>
        </row>
        <row r="60">
          <cell r="A60" t="str">
            <v>DELEF</v>
          </cell>
        </row>
        <row r="61">
          <cell r="A61" t="str">
            <v>DELVAL</v>
          </cell>
        </row>
        <row r="62">
          <cell r="A62" t="str">
            <v>DISCOVER - Potential Deals</v>
          </cell>
        </row>
        <row r="63">
          <cell r="A63" t="str">
            <v>DMLP</v>
          </cell>
        </row>
        <row r="64">
          <cell r="A64" t="str">
            <v>DOLLAR - Potential Deals</v>
          </cell>
        </row>
        <row r="65">
          <cell r="A65" t="str">
            <v>EAHF I</v>
          </cell>
        </row>
        <row r="66">
          <cell r="A66" t="str">
            <v>ECGC</v>
          </cell>
        </row>
        <row r="67">
          <cell r="A67" t="str">
            <v>ECOF</v>
          </cell>
        </row>
        <row r="68">
          <cell r="A68" t="str">
            <v>ECOF - Potential Deals</v>
          </cell>
        </row>
        <row r="69">
          <cell r="A69" t="str">
            <v>ECOF II</v>
          </cell>
        </row>
        <row r="70">
          <cell r="A70" t="str">
            <v>EFNAHF I</v>
          </cell>
        </row>
        <row r="71">
          <cell r="A71" t="str">
            <v>EGCW</v>
          </cell>
        </row>
        <row r="72">
          <cell r="A72" t="str">
            <v>EGCW2</v>
          </cell>
        </row>
        <row r="73">
          <cell r="A73" t="str">
            <v>EGS</v>
          </cell>
        </row>
        <row r="74">
          <cell r="A74" t="str">
            <v>EHA</v>
          </cell>
        </row>
        <row r="75">
          <cell r="A75" t="str">
            <v>EHA 2</v>
          </cell>
        </row>
        <row r="76">
          <cell r="A76" t="str">
            <v>EHCF</v>
          </cell>
        </row>
        <row r="77">
          <cell r="A77" t="str">
            <v>EHCF II</v>
          </cell>
        </row>
        <row r="78">
          <cell r="A78" t="str">
            <v>EHCF III</v>
          </cell>
        </row>
        <row r="79">
          <cell r="A79" t="str">
            <v>EHCF IV</v>
          </cell>
        </row>
        <row r="80">
          <cell r="A80" t="str">
            <v>EHCF V</v>
          </cell>
        </row>
        <row r="81">
          <cell r="A81" t="str">
            <v>EHEF I</v>
          </cell>
        </row>
        <row r="82">
          <cell r="A82" t="str">
            <v>EHHPF I</v>
          </cell>
        </row>
        <row r="83">
          <cell r="A83" t="str">
            <v>EHOF I</v>
          </cell>
        </row>
        <row r="84">
          <cell r="A84" t="str">
            <v>EHP</v>
          </cell>
        </row>
        <row r="85">
          <cell r="A85" t="str">
            <v>EHP 10</v>
          </cell>
        </row>
        <row r="86">
          <cell r="A86" t="str">
            <v>EHP 11</v>
          </cell>
        </row>
        <row r="87">
          <cell r="A87" t="str">
            <v>EHP 12</v>
          </cell>
        </row>
        <row r="88">
          <cell r="A88" t="str">
            <v>EHP 13</v>
          </cell>
        </row>
        <row r="89">
          <cell r="A89" t="str">
            <v>EHP 14</v>
          </cell>
        </row>
        <row r="90">
          <cell r="A90" t="str">
            <v>EHP 15</v>
          </cell>
        </row>
        <row r="91">
          <cell r="A91" t="str">
            <v>EHP 15 Investor</v>
          </cell>
        </row>
        <row r="92">
          <cell r="A92" t="str">
            <v>EHP 16</v>
          </cell>
        </row>
        <row r="93">
          <cell r="A93" t="str">
            <v>EHP 16 Investor</v>
          </cell>
        </row>
        <row r="94">
          <cell r="A94" t="str">
            <v>EHP 17</v>
          </cell>
        </row>
        <row r="95">
          <cell r="A95" t="str">
            <v>EHP 18</v>
          </cell>
        </row>
        <row r="96">
          <cell r="A96" t="str">
            <v>EHP 19</v>
          </cell>
        </row>
        <row r="97">
          <cell r="A97" t="str">
            <v>EHP 2</v>
          </cell>
        </row>
        <row r="98">
          <cell r="A98" t="str">
            <v>EHP 20</v>
          </cell>
        </row>
        <row r="99">
          <cell r="A99" t="str">
            <v>EHP 21</v>
          </cell>
        </row>
        <row r="100">
          <cell r="A100" t="str">
            <v>EHP 22</v>
          </cell>
        </row>
        <row r="101">
          <cell r="A101" t="str">
            <v>EHP 23</v>
          </cell>
        </row>
        <row r="102">
          <cell r="A102" t="str">
            <v>EHP 24</v>
          </cell>
        </row>
        <row r="103">
          <cell r="A103" t="str">
            <v>EHP 25</v>
          </cell>
        </row>
        <row r="104">
          <cell r="A104" t="str">
            <v>EHP 26</v>
          </cell>
        </row>
        <row r="105">
          <cell r="A105" t="str">
            <v>EHP 27</v>
          </cell>
        </row>
        <row r="106">
          <cell r="A106" t="str">
            <v>EHP 28</v>
          </cell>
        </row>
        <row r="107">
          <cell r="A107" t="str">
            <v>EHP 29</v>
          </cell>
        </row>
        <row r="108">
          <cell r="A108" t="str">
            <v>EHP 3</v>
          </cell>
        </row>
        <row r="109">
          <cell r="A109" t="str">
            <v>EHP 3-II</v>
          </cell>
        </row>
        <row r="110">
          <cell r="A110" t="str">
            <v>EHP 30</v>
          </cell>
        </row>
        <row r="111">
          <cell r="A111" t="str">
            <v>EHP 31</v>
          </cell>
        </row>
        <row r="112">
          <cell r="A112" t="str">
            <v>EHP 7</v>
          </cell>
        </row>
        <row r="113">
          <cell r="A113" t="str">
            <v>EHP 8</v>
          </cell>
        </row>
        <row r="114">
          <cell r="A114" t="str">
            <v>EHP 9</v>
          </cell>
        </row>
        <row r="115">
          <cell r="A115" t="str">
            <v>EHP92</v>
          </cell>
        </row>
        <row r="116">
          <cell r="A116" t="str">
            <v>EHP94</v>
          </cell>
        </row>
        <row r="117">
          <cell r="A117" t="str">
            <v>EHP95</v>
          </cell>
        </row>
        <row r="118">
          <cell r="A118" t="str">
            <v>EHPF</v>
          </cell>
        </row>
        <row r="119">
          <cell r="A119" t="str">
            <v>EHPNYF I</v>
          </cell>
        </row>
        <row r="120">
          <cell r="A120" t="str">
            <v>EHPPNF</v>
          </cell>
        </row>
        <row r="121">
          <cell r="A121" t="str">
            <v>EHPPNF II</v>
          </cell>
        </row>
        <row r="122">
          <cell r="A122" t="str">
            <v>EKHF I</v>
          </cell>
        </row>
        <row r="123">
          <cell r="A123" t="str">
            <v>EKIF</v>
          </cell>
        </row>
        <row r="124">
          <cell r="A124" t="str">
            <v>ELF I</v>
          </cell>
        </row>
        <row r="125">
          <cell r="A125" t="str">
            <v>EMOF 1</v>
          </cell>
        </row>
        <row r="126">
          <cell r="A126" t="str">
            <v>EMOF 2</v>
          </cell>
        </row>
        <row r="127">
          <cell r="A127" t="str">
            <v>EMSLF</v>
          </cell>
        </row>
        <row r="128">
          <cell r="A128" t="str">
            <v>ENIF I</v>
          </cell>
        </row>
        <row r="129">
          <cell r="A129" t="str">
            <v>ENIF II</v>
          </cell>
        </row>
        <row r="130">
          <cell r="A130" t="str">
            <v>ENP I</v>
          </cell>
        </row>
        <row r="131">
          <cell r="A131" t="str">
            <v>ENP I-II</v>
          </cell>
        </row>
        <row r="132">
          <cell r="A132" t="str">
            <v>ENP II</v>
          </cell>
        </row>
        <row r="133">
          <cell r="A133" t="str">
            <v>ENP III</v>
          </cell>
        </row>
        <row r="134">
          <cell r="A134" t="str">
            <v>ENP IV</v>
          </cell>
        </row>
        <row r="135">
          <cell r="A135" t="str">
            <v>ENP IV Bridge, LLC</v>
          </cell>
        </row>
        <row r="136">
          <cell r="A136" t="str">
            <v>ENP V</v>
          </cell>
        </row>
        <row r="137">
          <cell r="A137" t="str">
            <v>ENP VI</v>
          </cell>
        </row>
        <row r="138">
          <cell r="A138" t="str">
            <v>ENP VII</v>
          </cell>
        </row>
        <row r="139">
          <cell r="A139" t="str">
            <v>ENP VIII</v>
          </cell>
        </row>
        <row r="140">
          <cell r="A140" t="str">
            <v>ENYH09</v>
          </cell>
        </row>
        <row r="141">
          <cell r="A141" t="str">
            <v>EOF</v>
          </cell>
        </row>
        <row r="142">
          <cell r="A142" t="str">
            <v>EPM</v>
          </cell>
        </row>
        <row r="143">
          <cell r="A143" t="str">
            <v>ERB 1</v>
          </cell>
        </row>
        <row r="144">
          <cell r="A144" t="str">
            <v>ERB 2</v>
          </cell>
        </row>
        <row r="145">
          <cell r="A145" t="str">
            <v>ESNBHF I</v>
          </cell>
        </row>
        <row r="146">
          <cell r="A146" t="str">
            <v>EUIGAHF</v>
          </cell>
        </row>
        <row r="147">
          <cell r="A147" t="str">
            <v>EWFEF</v>
          </cell>
        </row>
        <row r="148">
          <cell r="A148" t="str">
            <v>FHTCF</v>
          </cell>
        </row>
        <row r="149">
          <cell r="A149" t="str">
            <v>FHTCF2</v>
          </cell>
        </row>
        <row r="150">
          <cell r="A150" t="str">
            <v>FIRST NIAGARA - Potential</v>
          </cell>
        </row>
        <row r="151">
          <cell r="A151" t="str">
            <v>FIRSTBANK - Potential Deals</v>
          </cell>
        </row>
        <row r="152">
          <cell r="A152" t="str">
            <v>FREDDIE</v>
          </cell>
        </row>
        <row r="153">
          <cell r="A153" t="str">
            <v>FREDDIE 2</v>
          </cell>
        </row>
        <row r="154">
          <cell r="A154" t="str">
            <v>Grayslake Senior Housing Bridge, LLC</v>
          </cell>
        </row>
        <row r="155">
          <cell r="A155" t="str">
            <v>GRLKS X</v>
          </cell>
        </row>
        <row r="156">
          <cell r="A156" t="str">
            <v>GRLKS XI</v>
          </cell>
        </row>
        <row r="157">
          <cell r="A157" t="str">
            <v>GRLKS XII</v>
          </cell>
        </row>
        <row r="158">
          <cell r="A158" t="str">
            <v>GRLKS XIV</v>
          </cell>
        </row>
        <row r="159">
          <cell r="A159" t="str">
            <v>GRLKS XV</v>
          </cell>
        </row>
        <row r="160">
          <cell r="A160" t="str">
            <v>Harlem Bridge, LLC</v>
          </cell>
        </row>
        <row r="161">
          <cell r="A161" t="str">
            <v>HBF 1</v>
          </cell>
        </row>
        <row r="162">
          <cell r="A162" t="str">
            <v>HERITAGE - Potential Deals</v>
          </cell>
        </row>
        <row r="163">
          <cell r="A163" t="str">
            <v>HOF 10</v>
          </cell>
        </row>
        <row r="164">
          <cell r="A164" t="str">
            <v>HOF 11</v>
          </cell>
        </row>
        <row r="165">
          <cell r="A165" t="str">
            <v>HOF 12</v>
          </cell>
        </row>
        <row r="166">
          <cell r="A166" t="str">
            <v>HOF 13</v>
          </cell>
        </row>
        <row r="167">
          <cell r="A167" t="str">
            <v>HOF 14</v>
          </cell>
        </row>
        <row r="168">
          <cell r="A168" t="str">
            <v>HOF 4</v>
          </cell>
        </row>
        <row r="169">
          <cell r="A169" t="str">
            <v>HOF 5</v>
          </cell>
        </row>
        <row r="170">
          <cell r="A170" t="str">
            <v>HOF 6</v>
          </cell>
        </row>
        <row r="171">
          <cell r="A171" t="str">
            <v>HOF 7</v>
          </cell>
        </row>
        <row r="172">
          <cell r="A172" t="str">
            <v>HOF 8</v>
          </cell>
        </row>
        <row r="173">
          <cell r="A173" t="str">
            <v>HOF 9</v>
          </cell>
        </row>
        <row r="174">
          <cell r="A174" t="str">
            <v>HOF-1</v>
          </cell>
        </row>
        <row r="175">
          <cell r="A175" t="str">
            <v>HOF-2</v>
          </cell>
        </row>
        <row r="176">
          <cell r="A176" t="str">
            <v>HOF-3</v>
          </cell>
        </row>
        <row r="177">
          <cell r="A177" t="str">
            <v>HTN</v>
          </cell>
        </row>
        <row r="178">
          <cell r="A178" t="str">
            <v>Hypothetical Fund #1</v>
          </cell>
        </row>
        <row r="179">
          <cell r="A179" t="str">
            <v>Hypothetical Fund #2</v>
          </cell>
        </row>
        <row r="180">
          <cell r="A180" t="str">
            <v>IBAHF</v>
          </cell>
        </row>
        <row r="181">
          <cell r="A181" t="str">
            <v>IBERIA - Potential Deals</v>
          </cell>
        </row>
        <row r="182">
          <cell r="A182" t="str">
            <v>IND I</v>
          </cell>
        </row>
        <row r="183">
          <cell r="A183" t="str">
            <v>JPMCC - Potential Deals</v>
          </cell>
        </row>
        <row r="184">
          <cell r="A184" t="str">
            <v>KEY - Potential Deals</v>
          </cell>
        </row>
        <row r="185">
          <cell r="A185" t="str">
            <v>M and T</v>
          </cell>
        </row>
        <row r="186">
          <cell r="A186" t="str">
            <v>M and T - Potential Deals</v>
          </cell>
        </row>
        <row r="187">
          <cell r="A187" t="str">
            <v>M and T 2</v>
          </cell>
        </row>
        <row r="188">
          <cell r="A188" t="str">
            <v>MHEF 1</v>
          </cell>
        </row>
        <row r="189">
          <cell r="A189" t="str">
            <v>MHEF 2</v>
          </cell>
        </row>
        <row r="190">
          <cell r="A190" t="str">
            <v>MHEF 3</v>
          </cell>
        </row>
        <row r="191">
          <cell r="A191" t="str">
            <v>MICH 2</v>
          </cell>
        </row>
        <row r="192">
          <cell r="A192" t="str">
            <v>MICH 3</v>
          </cell>
        </row>
        <row r="193">
          <cell r="A193" t="str">
            <v>MICH 4</v>
          </cell>
        </row>
        <row r="194">
          <cell r="A194" t="str">
            <v>MICH 5</v>
          </cell>
        </row>
        <row r="195">
          <cell r="A195" t="str">
            <v>MICH 6</v>
          </cell>
        </row>
        <row r="196">
          <cell r="A196" t="str">
            <v>MICH 7</v>
          </cell>
        </row>
        <row r="197">
          <cell r="A197" t="str">
            <v>MICH 8</v>
          </cell>
        </row>
        <row r="198">
          <cell r="A198" t="str">
            <v>MICHEF</v>
          </cell>
        </row>
        <row r="199">
          <cell r="A199" t="str">
            <v>MICROSOFT - Potential Deals</v>
          </cell>
        </row>
        <row r="200">
          <cell r="A200" t="str">
            <v>MNEEF</v>
          </cell>
        </row>
        <row r="201">
          <cell r="A201" t="str">
            <v>Mt Sharon Bridge, LLC</v>
          </cell>
        </row>
        <row r="202">
          <cell r="A202" t="str">
            <v>NAHF1</v>
          </cell>
        </row>
        <row r="203">
          <cell r="A203" t="str">
            <v>NAHF2</v>
          </cell>
        </row>
        <row r="204">
          <cell r="A204" t="str">
            <v>NCEF</v>
          </cell>
        </row>
        <row r="205">
          <cell r="A205" t="str">
            <v>NORTHERN TRUST - Potential</v>
          </cell>
        </row>
        <row r="206">
          <cell r="A206" t="str">
            <v>NYEF00-I</v>
          </cell>
        </row>
        <row r="207">
          <cell r="A207" t="str">
            <v>NYEF00-II</v>
          </cell>
        </row>
        <row r="208">
          <cell r="A208" t="str">
            <v>NYEF01</v>
          </cell>
        </row>
        <row r="209">
          <cell r="A209" t="str">
            <v>NYEF02</v>
          </cell>
        </row>
        <row r="210">
          <cell r="A210" t="str">
            <v>NYEF03</v>
          </cell>
        </row>
        <row r="211">
          <cell r="A211" t="str">
            <v>NYEF04</v>
          </cell>
        </row>
        <row r="212">
          <cell r="A212" t="str">
            <v>NYEF05</v>
          </cell>
        </row>
        <row r="213">
          <cell r="A213" t="str">
            <v>NYEF06</v>
          </cell>
        </row>
        <row r="214">
          <cell r="A214" t="str">
            <v>NYEF07</v>
          </cell>
        </row>
        <row r="215">
          <cell r="A215" t="str">
            <v>NYEF08</v>
          </cell>
        </row>
        <row r="216">
          <cell r="A216" t="str">
            <v>NYEF09</v>
          </cell>
        </row>
        <row r="217">
          <cell r="A217" t="str">
            <v>NYEF89</v>
          </cell>
        </row>
        <row r="218">
          <cell r="A218" t="str">
            <v>NYEF90</v>
          </cell>
        </row>
        <row r="219">
          <cell r="A219" t="str">
            <v>NYEF92</v>
          </cell>
        </row>
        <row r="220">
          <cell r="A220" t="str">
            <v>NYEF93</v>
          </cell>
        </row>
        <row r="221">
          <cell r="A221" t="str">
            <v>NYEF94</v>
          </cell>
        </row>
        <row r="222">
          <cell r="A222" t="str">
            <v>NYEF95-I</v>
          </cell>
        </row>
        <row r="223">
          <cell r="A223" t="str">
            <v>NYEF95-II</v>
          </cell>
        </row>
        <row r="224">
          <cell r="A224" t="str">
            <v>NYSTC</v>
          </cell>
        </row>
        <row r="225">
          <cell r="A225" t="str">
            <v>NYSTC2</v>
          </cell>
        </row>
        <row r="226">
          <cell r="A226" t="str">
            <v>OEF</v>
          </cell>
        </row>
        <row r="227">
          <cell r="A227" t="str">
            <v>OHIO 1</v>
          </cell>
        </row>
        <row r="228">
          <cell r="A228" t="str">
            <v>OHIO 2</v>
          </cell>
        </row>
        <row r="229">
          <cell r="A229" t="str">
            <v>OHIO 3</v>
          </cell>
        </row>
        <row r="230">
          <cell r="A230" t="str">
            <v>PITT</v>
          </cell>
        </row>
        <row r="231">
          <cell r="A231" t="str">
            <v>PRU</v>
          </cell>
        </row>
        <row r="232">
          <cell r="A232" t="str">
            <v>RIEF 1</v>
          </cell>
        </row>
        <row r="233">
          <cell r="A233" t="str">
            <v>RIEF 2</v>
          </cell>
        </row>
        <row r="234">
          <cell r="A234" t="str">
            <v>SANANM</v>
          </cell>
        </row>
        <row r="235">
          <cell r="A235" t="str">
            <v>SNB - Potential Deals</v>
          </cell>
        </row>
        <row r="236">
          <cell r="A236" t="str">
            <v>STEP 1</v>
          </cell>
        </row>
        <row r="237">
          <cell r="A237" t="str">
            <v>SUNTRUST - Potential Deals</v>
          </cell>
        </row>
        <row r="238">
          <cell r="A238" t="str">
            <v>USAHF</v>
          </cell>
        </row>
        <row r="239">
          <cell r="A239" t="str">
            <v>WAMU</v>
          </cell>
        </row>
        <row r="240">
          <cell r="A240" t="str">
            <v>West Farm Bridge, LLC</v>
          </cell>
        </row>
        <row r="241">
          <cell r="A241" t="str">
            <v>WINCOPIN</v>
          </cell>
        </row>
      </sheetData>
      <sheetData sheetId="8"/>
      <sheetData sheetId="9"/>
      <sheetData sheetId="10"/>
      <sheetData sheetId="11"/>
      <sheetData sheetId="12"/>
      <sheetData sheetId="13"/>
      <sheetData sheetId="14"/>
      <sheetData sheetId="1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116"/>
  <sheetViews>
    <sheetView topLeftCell="A10" workbookViewId="0">
      <selection activeCell="D25" sqref="D25"/>
    </sheetView>
  </sheetViews>
  <sheetFormatPr defaultRowHeight="15" x14ac:dyDescent="0.25"/>
  <sheetData>
    <row r="1" spans="1:2" x14ac:dyDescent="0.25">
      <c r="A1" s="13" t="s">
        <v>51</v>
      </c>
    </row>
    <row r="2" spans="1:2" x14ac:dyDescent="0.25">
      <c r="A2" t="s">
        <v>52</v>
      </c>
    </row>
    <row r="4" spans="1:2" x14ac:dyDescent="0.25">
      <c r="A4" s="14" t="s">
        <v>53</v>
      </c>
    </row>
    <row r="5" spans="1:2" x14ac:dyDescent="0.25">
      <c r="A5" s="14" t="s">
        <v>54</v>
      </c>
    </row>
    <row r="6" spans="1:2" x14ac:dyDescent="0.25">
      <c r="A6" s="14" t="s">
        <v>55</v>
      </c>
    </row>
    <row r="7" spans="1:2" x14ac:dyDescent="0.25">
      <c r="A7" s="14" t="s">
        <v>56</v>
      </c>
    </row>
    <row r="8" spans="1:2" x14ac:dyDescent="0.25">
      <c r="A8" s="14" t="s">
        <v>57</v>
      </c>
    </row>
    <row r="9" spans="1:2" x14ac:dyDescent="0.25">
      <c r="A9" s="14" t="s">
        <v>58</v>
      </c>
    </row>
    <row r="11" spans="1:2" x14ac:dyDescent="0.25">
      <c r="A11" s="15">
        <v>1</v>
      </c>
      <c r="B11" s="14" t="s">
        <v>59</v>
      </c>
    </row>
    <row r="12" spans="1:2" x14ac:dyDescent="0.25">
      <c r="A12" s="15">
        <v>2</v>
      </c>
      <c r="B12" s="14" t="s">
        <v>60</v>
      </c>
    </row>
    <row r="13" spans="1:2" x14ac:dyDescent="0.25">
      <c r="A13" s="15">
        <v>3</v>
      </c>
      <c r="B13" s="14" t="s">
        <v>61</v>
      </c>
    </row>
    <row r="14" spans="1:2" x14ac:dyDescent="0.25">
      <c r="A14" s="15">
        <v>4</v>
      </c>
      <c r="B14" s="14" t="s">
        <v>62</v>
      </c>
    </row>
    <row r="15" spans="1:2" x14ac:dyDescent="0.25">
      <c r="A15" s="15">
        <v>5</v>
      </c>
      <c r="B15" s="14" t="s">
        <v>63</v>
      </c>
    </row>
    <row r="16" spans="1:2" x14ac:dyDescent="0.25">
      <c r="A16" s="15">
        <v>6</v>
      </c>
      <c r="B16" s="14" t="s">
        <v>64</v>
      </c>
    </row>
    <row r="17" spans="1:2" x14ac:dyDescent="0.25">
      <c r="A17" s="15">
        <v>7</v>
      </c>
      <c r="B17" t="s">
        <v>65</v>
      </c>
    </row>
    <row r="18" spans="1:2" x14ac:dyDescent="0.25">
      <c r="A18" s="15">
        <v>8</v>
      </c>
      <c r="B18" s="14" t="s">
        <v>66</v>
      </c>
    </row>
    <row r="20" spans="1:2" x14ac:dyDescent="0.25">
      <c r="A20" s="13" t="s">
        <v>67</v>
      </c>
    </row>
    <row r="21" spans="1:2" x14ac:dyDescent="0.25">
      <c r="A21" s="15">
        <v>1</v>
      </c>
      <c r="B21" t="s">
        <v>68</v>
      </c>
    </row>
    <row r="22" spans="1:2" x14ac:dyDescent="0.25">
      <c r="A22" s="15">
        <v>2</v>
      </c>
      <c r="B22" s="14" t="s">
        <v>69</v>
      </c>
    </row>
    <row r="23" spans="1:2" x14ac:dyDescent="0.25">
      <c r="A23" s="15">
        <v>3</v>
      </c>
      <c r="B23" t="s">
        <v>70</v>
      </c>
    </row>
    <row r="24" spans="1:2" x14ac:dyDescent="0.25">
      <c r="A24" s="15">
        <v>4</v>
      </c>
      <c r="B24" s="14" t="s">
        <v>71</v>
      </c>
    </row>
    <row r="25" spans="1:2" x14ac:dyDescent="0.25">
      <c r="A25" s="15">
        <v>5</v>
      </c>
      <c r="B25" s="14" t="s">
        <v>72</v>
      </c>
    </row>
    <row r="26" spans="1:2" x14ac:dyDescent="0.25">
      <c r="A26" s="15">
        <v>6</v>
      </c>
      <c r="B26" s="14" t="s">
        <v>73</v>
      </c>
    </row>
    <row r="27" spans="1:2" x14ac:dyDescent="0.25">
      <c r="A27" s="15">
        <v>7</v>
      </c>
      <c r="B27" s="14" t="s">
        <v>74</v>
      </c>
    </row>
    <row r="28" spans="1:2" x14ac:dyDescent="0.25">
      <c r="A28" s="15">
        <v>8</v>
      </c>
      <c r="B28" t="s">
        <v>75</v>
      </c>
    </row>
    <row r="29" spans="1:2" x14ac:dyDescent="0.25">
      <c r="A29" s="15">
        <v>9</v>
      </c>
      <c r="B29" s="14" t="s">
        <v>76</v>
      </c>
    </row>
    <row r="30" spans="1:2" x14ac:dyDescent="0.25">
      <c r="A30" s="15">
        <v>10</v>
      </c>
      <c r="B30" s="14" t="s">
        <v>77</v>
      </c>
    </row>
    <row r="31" spans="1:2" x14ac:dyDescent="0.25">
      <c r="A31" s="15">
        <v>11</v>
      </c>
      <c r="B31" t="s">
        <v>78</v>
      </c>
    </row>
    <row r="32" spans="1:2" x14ac:dyDescent="0.25">
      <c r="A32" s="15">
        <v>12</v>
      </c>
      <c r="B32" s="14" t="s">
        <v>79</v>
      </c>
    </row>
    <row r="33" spans="1:2" x14ac:dyDescent="0.25">
      <c r="A33" s="15">
        <v>13</v>
      </c>
      <c r="B33" s="14" t="s">
        <v>80</v>
      </c>
    </row>
    <row r="35" spans="1:2" x14ac:dyDescent="0.25">
      <c r="A35" t="s">
        <v>81</v>
      </c>
    </row>
    <row r="36" spans="1:2" x14ac:dyDescent="0.25">
      <c r="A36" t="s">
        <v>82</v>
      </c>
    </row>
    <row r="37" spans="1:2" x14ac:dyDescent="0.25">
      <c r="A37" t="s">
        <v>83</v>
      </c>
    </row>
    <row r="38" spans="1:2" x14ac:dyDescent="0.25">
      <c r="B38" t="s">
        <v>84</v>
      </c>
    </row>
    <row r="39" spans="1:2" x14ac:dyDescent="0.25">
      <c r="B39" t="s">
        <v>85</v>
      </c>
    </row>
    <row r="40" spans="1:2" x14ac:dyDescent="0.25">
      <c r="A40" t="s">
        <v>86</v>
      </c>
    </row>
    <row r="41" spans="1:2" x14ac:dyDescent="0.25">
      <c r="A41" t="s">
        <v>87</v>
      </c>
    </row>
    <row r="42" spans="1:2" x14ac:dyDescent="0.25">
      <c r="A42" t="s">
        <v>88</v>
      </c>
    </row>
    <row r="43" spans="1:2" x14ac:dyDescent="0.25">
      <c r="A43" t="s">
        <v>89</v>
      </c>
    </row>
    <row r="44" spans="1:2" x14ac:dyDescent="0.25">
      <c r="A44" t="s">
        <v>90</v>
      </c>
    </row>
    <row r="46" spans="1:2" x14ac:dyDescent="0.25">
      <c r="A46" t="s">
        <v>91</v>
      </c>
    </row>
    <row r="47" spans="1:2" x14ac:dyDescent="0.25">
      <c r="A47" t="s">
        <v>92</v>
      </c>
    </row>
    <row r="48" spans="1:2" x14ac:dyDescent="0.25">
      <c r="A48" t="s">
        <v>93</v>
      </c>
    </row>
    <row r="49" spans="1:2" x14ac:dyDescent="0.25">
      <c r="A49" t="s">
        <v>94</v>
      </c>
    </row>
    <row r="50" spans="1:2" x14ac:dyDescent="0.25">
      <c r="B50" t="s">
        <v>95</v>
      </c>
    </row>
    <row r="51" spans="1:2" x14ac:dyDescent="0.25">
      <c r="A51" t="s">
        <v>86</v>
      </c>
    </row>
    <row r="52" spans="1:2" x14ac:dyDescent="0.25">
      <c r="A52" t="s">
        <v>87</v>
      </c>
    </row>
    <row r="53" spans="1:2" x14ac:dyDescent="0.25">
      <c r="A53" t="s">
        <v>88</v>
      </c>
    </row>
    <row r="54" spans="1:2" x14ac:dyDescent="0.25">
      <c r="A54" t="s">
        <v>89</v>
      </c>
    </row>
    <row r="55" spans="1:2" x14ac:dyDescent="0.25">
      <c r="A55" t="s">
        <v>90</v>
      </c>
    </row>
    <row r="58" spans="1:2" s="13" customFormat="1" ht="12.75" x14ac:dyDescent="0.2">
      <c r="A58" s="13" t="s">
        <v>96</v>
      </c>
    </row>
    <row r="59" spans="1:2" x14ac:dyDescent="0.25">
      <c r="A59" t="s">
        <v>97</v>
      </c>
    </row>
    <row r="60" spans="1:2" x14ac:dyDescent="0.25">
      <c r="A60" s="14" t="s">
        <v>98</v>
      </c>
    </row>
    <row r="61" spans="1:2" x14ac:dyDescent="0.25">
      <c r="A61" s="14" t="s">
        <v>99</v>
      </c>
    </row>
    <row r="62" spans="1:2" x14ac:dyDescent="0.25">
      <c r="A62" t="s">
        <v>100</v>
      </c>
    </row>
    <row r="63" spans="1:2" x14ac:dyDescent="0.25">
      <c r="A63" t="s">
        <v>101</v>
      </c>
    </row>
    <row r="64" spans="1:2" x14ac:dyDescent="0.25">
      <c r="B64" t="s">
        <v>102</v>
      </c>
    </row>
    <row r="65" spans="1:3" x14ac:dyDescent="0.25">
      <c r="B65" t="s">
        <v>103</v>
      </c>
    </row>
    <row r="66" spans="1:3" x14ac:dyDescent="0.25">
      <c r="B66" t="s">
        <v>104</v>
      </c>
    </row>
    <row r="67" spans="1:3" x14ac:dyDescent="0.25">
      <c r="B67" t="s">
        <v>105</v>
      </c>
    </row>
    <row r="68" spans="1:3" x14ac:dyDescent="0.25">
      <c r="C68" t="s">
        <v>106</v>
      </c>
    </row>
    <row r="69" spans="1:3" x14ac:dyDescent="0.25">
      <c r="A69" t="s">
        <v>107</v>
      </c>
    </row>
    <row r="70" spans="1:3" x14ac:dyDescent="0.25">
      <c r="C70" t="s">
        <v>108</v>
      </c>
    </row>
    <row r="71" spans="1:3" x14ac:dyDescent="0.25">
      <c r="B71" t="s">
        <v>109</v>
      </c>
    </row>
    <row r="72" spans="1:3" x14ac:dyDescent="0.25">
      <c r="B72" t="s">
        <v>110</v>
      </c>
    </row>
    <row r="73" spans="1:3" x14ac:dyDescent="0.25">
      <c r="A73" t="s">
        <v>111</v>
      </c>
    </row>
    <row r="75" spans="1:3" x14ac:dyDescent="0.25">
      <c r="A75" t="s">
        <v>112</v>
      </c>
    </row>
    <row r="76" spans="1:3" x14ac:dyDescent="0.25">
      <c r="A76" t="s">
        <v>100</v>
      </c>
    </row>
    <row r="77" spans="1:3" x14ac:dyDescent="0.25">
      <c r="A77" t="s">
        <v>113</v>
      </c>
    </row>
    <row r="78" spans="1:3" x14ac:dyDescent="0.25">
      <c r="B78" t="s">
        <v>114</v>
      </c>
    </row>
    <row r="79" spans="1:3" x14ac:dyDescent="0.25">
      <c r="B79" t="s">
        <v>115</v>
      </c>
    </row>
    <row r="80" spans="1:3" x14ac:dyDescent="0.25">
      <c r="B80" t="s">
        <v>116</v>
      </c>
    </row>
    <row r="81" spans="1:3" x14ac:dyDescent="0.25">
      <c r="B81" t="s">
        <v>117</v>
      </c>
    </row>
    <row r="82" spans="1:3" x14ac:dyDescent="0.25">
      <c r="B82" t="s">
        <v>118</v>
      </c>
    </row>
    <row r="83" spans="1:3" x14ac:dyDescent="0.25">
      <c r="B83" t="s">
        <v>119</v>
      </c>
    </row>
    <row r="85" spans="1:3" x14ac:dyDescent="0.25">
      <c r="A85" t="s">
        <v>101</v>
      </c>
    </row>
    <row r="86" spans="1:3" x14ac:dyDescent="0.25">
      <c r="B86" t="s">
        <v>102</v>
      </c>
    </row>
    <row r="87" spans="1:3" x14ac:dyDescent="0.25">
      <c r="B87" t="s">
        <v>103</v>
      </c>
    </row>
    <row r="88" spans="1:3" x14ac:dyDescent="0.25">
      <c r="B88" t="s">
        <v>104</v>
      </c>
    </row>
    <row r="89" spans="1:3" x14ac:dyDescent="0.25">
      <c r="B89" t="s">
        <v>105</v>
      </c>
    </row>
    <row r="90" spans="1:3" x14ac:dyDescent="0.25">
      <c r="C90" t="s">
        <v>106</v>
      </c>
    </row>
    <row r="91" spans="1:3" x14ac:dyDescent="0.25">
      <c r="A91" t="s">
        <v>107</v>
      </c>
    </row>
    <row r="92" spans="1:3" x14ac:dyDescent="0.25">
      <c r="C92" t="s">
        <v>108</v>
      </c>
    </row>
    <row r="93" spans="1:3" x14ac:dyDescent="0.25">
      <c r="B93" t="s">
        <v>109</v>
      </c>
    </row>
    <row r="94" spans="1:3" x14ac:dyDescent="0.25">
      <c r="B94" t="s">
        <v>110</v>
      </c>
    </row>
    <row r="95" spans="1:3" x14ac:dyDescent="0.25">
      <c r="A95" t="s">
        <v>111</v>
      </c>
    </row>
    <row r="97" spans="1:2" x14ac:dyDescent="0.25">
      <c r="A97" s="13" t="s">
        <v>120</v>
      </c>
    </row>
    <row r="98" spans="1:2" x14ac:dyDescent="0.25">
      <c r="A98" t="s">
        <v>121</v>
      </c>
    </row>
    <row r="99" spans="1:2" x14ac:dyDescent="0.25">
      <c r="A99" t="s">
        <v>122</v>
      </c>
    </row>
    <row r="100" spans="1:2" x14ac:dyDescent="0.25">
      <c r="A100" t="s">
        <v>123</v>
      </c>
    </row>
    <row r="101" spans="1:2" x14ac:dyDescent="0.25">
      <c r="A101" t="s">
        <v>124</v>
      </c>
    </row>
    <row r="103" spans="1:2" x14ac:dyDescent="0.25">
      <c r="A103" s="13" t="s">
        <v>125</v>
      </c>
    </row>
    <row r="104" spans="1:2" x14ac:dyDescent="0.25">
      <c r="A104" s="14" t="s">
        <v>126</v>
      </c>
    </row>
    <row r="105" spans="1:2" x14ac:dyDescent="0.25">
      <c r="A105" s="14" t="s">
        <v>127</v>
      </c>
    </row>
    <row r="106" spans="1:2" x14ac:dyDescent="0.25">
      <c r="A106" s="14" t="s">
        <v>128</v>
      </c>
    </row>
    <row r="107" spans="1:2" x14ac:dyDescent="0.25">
      <c r="A107" s="14" t="s">
        <v>129</v>
      </c>
    </row>
    <row r="108" spans="1:2" x14ac:dyDescent="0.25">
      <c r="B108" s="14" t="s">
        <v>130</v>
      </c>
    </row>
    <row r="109" spans="1:2" x14ac:dyDescent="0.25">
      <c r="B109" s="14" t="s">
        <v>131</v>
      </c>
    </row>
    <row r="110" spans="1:2" x14ac:dyDescent="0.25">
      <c r="B110" s="14" t="s">
        <v>132</v>
      </c>
    </row>
    <row r="111" spans="1:2" x14ac:dyDescent="0.25">
      <c r="B111" s="14" t="s">
        <v>133</v>
      </c>
    </row>
    <row r="112" spans="1:2" x14ac:dyDescent="0.25">
      <c r="A112" s="14" t="s">
        <v>134</v>
      </c>
    </row>
    <row r="113" spans="1:2" x14ac:dyDescent="0.25">
      <c r="A113" s="14" t="s">
        <v>135</v>
      </c>
    </row>
    <row r="114" spans="1:2" x14ac:dyDescent="0.25">
      <c r="A114" s="14" t="s">
        <v>136</v>
      </c>
    </row>
    <row r="115" spans="1:2" x14ac:dyDescent="0.25">
      <c r="A115" s="16" t="s">
        <v>137</v>
      </c>
    </row>
    <row r="116" spans="1:2" x14ac:dyDescent="0.25">
      <c r="B116" s="14" t="s">
        <v>138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J10"/>
  <sheetViews>
    <sheetView tabSelected="1" zoomScale="90" zoomScaleNormal="90" workbookViewId="0">
      <selection activeCell="A11" sqref="A11"/>
    </sheetView>
  </sheetViews>
  <sheetFormatPr defaultRowHeight="15" x14ac:dyDescent="0.25"/>
  <cols>
    <col min="1" max="1" width="22.5703125" customWidth="1"/>
    <col min="2" max="2" width="15.140625" customWidth="1"/>
    <col min="3" max="3" width="53.28515625" customWidth="1"/>
    <col min="4" max="4" width="17.85546875" customWidth="1"/>
    <col min="5" max="5" width="36.140625" bestFit="1" customWidth="1"/>
    <col min="6" max="6" width="27.7109375" customWidth="1"/>
    <col min="7" max="7" width="32.7109375" customWidth="1"/>
    <col min="8" max="9" width="11.85546875" bestFit="1" customWidth="1"/>
  </cols>
  <sheetData>
    <row r="1" spans="1:10" ht="18" x14ac:dyDescent="0.25">
      <c r="A1" s="17"/>
      <c r="B1" s="17"/>
      <c r="C1" s="17"/>
      <c r="D1" s="18" t="s">
        <v>143</v>
      </c>
      <c r="E1" s="19"/>
      <c r="F1" s="37"/>
      <c r="G1" s="37"/>
      <c r="H1" s="20"/>
      <c r="I1" s="20"/>
      <c r="J1" s="21"/>
    </row>
    <row r="2" spans="1:10" ht="18" x14ac:dyDescent="0.25">
      <c r="A2" s="22" t="s">
        <v>239</v>
      </c>
      <c r="B2" s="23" t="s">
        <v>237</v>
      </c>
      <c r="C2" s="23"/>
      <c r="D2" s="18"/>
      <c r="E2" s="19"/>
      <c r="F2" s="37"/>
      <c r="G2" s="37"/>
      <c r="H2" s="20"/>
      <c r="I2" s="20"/>
      <c r="J2" s="21"/>
    </row>
    <row r="3" spans="1:10" x14ac:dyDescent="0.25">
      <c r="A3" s="22">
        <v>3</v>
      </c>
      <c r="B3" s="23" t="s">
        <v>0</v>
      </c>
      <c r="C3" s="23"/>
      <c r="D3" s="24"/>
      <c r="E3" s="25"/>
      <c r="F3" s="26" t="s">
        <v>142</v>
      </c>
      <c r="G3" s="27">
        <f ca="1">NOW()</f>
        <v>43165.707146527777</v>
      </c>
    </row>
    <row r="4" spans="1:10" x14ac:dyDescent="0.25">
      <c r="A4" s="22">
        <v>2017</v>
      </c>
      <c r="B4" s="23" t="s">
        <v>1</v>
      </c>
      <c r="C4" s="23"/>
      <c r="D4" s="24"/>
      <c r="E4" s="25"/>
      <c r="F4" s="37"/>
      <c r="G4" s="37"/>
      <c r="H4" s="20"/>
      <c r="I4" s="20"/>
      <c r="J4" s="21"/>
    </row>
    <row r="5" spans="1:10" x14ac:dyDescent="0.25">
      <c r="A5" s="28"/>
      <c r="B5" s="29"/>
      <c r="C5" s="29"/>
      <c r="D5" s="24"/>
      <c r="E5" s="25"/>
      <c r="F5" s="37"/>
      <c r="G5" s="37"/>
      <c r="H5" s="20"/>
      <c r="I5" s="20"/>
      <c r="J5" s="21"/>
    </row>
    <row r="6" spans="1:10" ht="15.75" thickBot="1" x14ac:dyDescent="0.3">
      <c r="A6" s="30" t="s">
        <v>2</v>
      </c>
      <c r="B6" s="31">
        <f>SUBTOTAL(2,B11:B2501)</f>
        <v>0</v>
      </c>
      <c r="C6" s="32" t="s">
        <v>3</v>
      </c>
      <c r="D6" s="32"/>
      <c r="E6" s="33"/>
      <c r="F6" s="38"/>
      <c r="G6" s="38"/>
      <c r="H6" s="34"/>
      <c r="I6" s="34"/>
      <c r="J6" s="35"/>
    </row>
    <row r="7" spans="1:10" ht="15.75" thickTop="1" x14ac:dyDescent="0.25">
      <c r="A7" s="36"/>
      <c r="B7" s="29"/>
      <c r="C7" s="29"/>
      <c r="D7" s="24"/>
      <c r="E7" s="25"/>
      <c r="F7" s="37"/>
      <c r="G7" s="37"/>
      <c r="H7" s="20"/>
      <c r="I7" s="20"/>
      <c r="J7" s="21"/>
    </row>
    <row r="8" spans="1:10" ht="15.75" thickBot="1" x14ac:dyDescent="0.3">
      <c r="F8" s="35">
        <f>SUBTOTAL(9,F11:F2541)</f>
        <v>0</v>
      </c>
      <c r="G8" s="55">
        <f>SUBTOTAL(9,G11:G2541)</f>
        <v>0</v>
      </c>
    </row>
    <row r="9" spans="1:10" ht="15.75" thickTop="1" x14ac:dyDescent="0.25">
      <c r="A9" s="68"/>
      <c r="D9" s="10"/>
      <c r="F9" s="6"/>
      <c r="G9" s="6"/>
    </row>
    <row r="10" spans="1:10" ht="43.5" customHeight="1" x14ac:dyDescent="0.25">
      <c r="A10" s="63" t="s">
        <v>238</v>
      </c>
      <c r="B10" s="63" t="s">
        <v>139</v>
      </c>
      <c r="C10" s="63" t="s">
        <v>140</v>
      </c>
      <c r="D10" s="64" t="s">
        <v>38</v>
      </c>
      <c r="E10" s="65" t="s">
        <v>141</v>
      </c>
      <c r="F10" s="66" t="s">
        <v>5</v>
      </c>
      <c r="G10" s="66" t="s">
        <v>151</v>
      </c>
    </row>
  </sheetData>
  <autoFilter ref="B10:G51">
    <sortState ref="B11:G51">
      <sortCondition descending="1" ref="D10:D46"/>
    </sortState>
  </autoFilter>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GetData">
              <controlPr defaultSize="0" print="0" autoFill="0" autoPict="0" macro="[0]!GetData_Click" altText="Get Data">
                <anchor moveWithCells="1" sizeWithCells="1">
                  <from>
                    <xdr:col>4</xdr:col>
                    <xdr:colOff>47625</xdr:colOff>
                    <xdr:row>1</xdr:row>
                    <xdr:rowOff>152400</xdr:rowOff>
                  </from>
                  <to>
                    <xdr:col>4</xdr:col>
                    <xdr:colOff>1200150</xdr:colOff>
                    <xdr:row>4</xdr:row>
                    <xdr:rowOff>133350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E37"/>
  <sheetViews>
    <sheetView workbookViewId="0">
      <selection activeCell="A2" sqref="A2"/>
    </sheetView>
  </sheetViews>
  <sheetFormatPr defaultRowHeight="15" x14ac:dyDescent="0.25"/>
  <sheetData>
    <row r="2" spans="1:5" x14ac:dyDescent="0.25">
      <c r="A2" t="s">
        <v>239</v>
      </c>
      <c r="B2" t="s">
        <v>164</v>
      </c>
      <c r="C2" t="s">
        <v>165</v>
      </c>
      <c r="D2">
        <v>0.01</v>
      </c>
      <c r="E2" t="s">
        <v>163</v>
      </c>
    </row>
    <row r="3" spans="1:5" x14ac:dyDescent="0.25">
      <c r="B3" t="s">
        <v>166</v>
      </c>
      <c r="C3" t="s">
        <v>167</v>
      </c>
      <c r="D3">
        <v>8.5000000000000006E-3</v>
      </c>
      <c r="E3" t="s">
        <v>163</v>
      </c>
    </row>
    <row r="4" spans="1:5" x14ac:dyDescent="0.25">
      <c r="B4" t="s">
        <v>168</v>
      </c>
      <c r="C4" t="s">
        <v>169</v>
      </c>
      <c r="D4">
        <v>99.99</v>
      </c>
      <c r="E4" t="s">
        <v>163</v>
      </c>
    </row>
    <row r="5" spans="1:5" x14ac:dyDescent="0.25">
      <c r="B5" t="s">
        <v>170</v>
      </c>
      <c r="C5" t="s">
        <v>171</v>
      </c>
      <c r="D5">
        <v>99.99</v>
      </c>
      <c r="E5" t="s">
        <v>163</v>
      </c>
    </row>
    <row r="6" spans="1:5" x14ac:dyDescent="0.25">
      <c r="B6" t="s">
        <v>172</v>
      </c>
      <c r="C6" t="s">
        <v>173</v>
      </c>
      <c r="D6">
        <v>99.99</v>
      </c>
      <c r="E6" t="s">
        <v>163</v>
      </c>
    </row>
    <row r="7" spans="1:5" x14ac:dyDescent="0.25">
      <c r="B7" t="s">
        <v>174</v>
      </c>
      <c r="C7" t="s">
        <v>175</v>
      </c>
      <c r="D7">
        <v>7.0000000000000001E-3</v>
      </c>
      <c r="E7" t="s">
        <v>163</v>
      </c>
    </row>
    <row r="8" spans="1:5" x14ac:dyDescent="0.25">
      <c r="B8" t="s">
        <v>176</v>
      </c>
      <c r="C8" t="s">
        <v>177</v>
      </c>
      <c r="D8">
        <v>99.99</v>
      </c>
      <c r="E8" t="s">
        <v>163</v>
      </c>
    </row>
    <row r="9" spans="1:5" x14ac:dyDescent="0.25">
      <c r="B9" t="s">
        <v>178</v>
      </c>
      <c r="C9" t="s">
        <v>179</v>
      </c>
      <c r="D9">
        <v>7.0000000000000001E-3</v>
      </c>
      <c r="E9" t="s">
        <v>163</v>
      </c>
    </row>
    <row r="10" spans="1:5" x14ac:dyDescent="0.25">
      <c r="B10" t="s">
        <v>180</v>
      </c>
      <c r="C10" t="s">
        <v>181</v>
      </c>
      <c r="D10">
        <v>99.99</v>
      </c>
      <c r="E10" t="s">
        <v>163</v>
      </c>
    </row>
    <row r="11" spans="1:5" x14ac:dyDescent="0.25">
      <c r="B11" t="s">
        <v>182</v>
      </c>
      <c r="C11" t="s">
        <v>183</v>
      </c>
      <c r="D11">
        <v>0.01</v>
      </c>
      <c r="E11" t="s">
        <v>163</v>
      </c>
    </row>
    <row r="12" spans="1:5" x14ac:dyDescent="0.25">
      <c r="B12" t="s">
        <v>184</v>
      </c>
      <c r="C12" t="s">
        <v>185</v>
      </c>
      <c r="D12">
        <v>99.99</v>
      </c>
      <c r="E12" t="s">
        <v>163</v>
      </c>
    </row>
    <row r="13" spans="1:5" x14ac:dyDescent="0.25">
      <c r="B13" t="s">
        <v>186</v>
      </c>
      <c r="C13" t="s">
        <v>187</v>
      </c>
      <c r="D13">
        <v>99.99</v>
      </c>
      <c r="E13" t="s">
        <v>163</v>
      </c>
    </row>
    <row r="14" spans="1:5" x14ac:dyDescent="0.25">
      <c r="B14" t="s">
        <v>188</v>
      </c>
      <c r="C14" t="s">
        <v>189</v>
      </c>
      <c r="D14">
        <v>9.0010000000000003E-3</v>
      </c>
      <c r="E14" t="s">
        <v>163</v>
      </c>
    </row>
    <row r="15" spans="1:5" x14ac:dyDescent="0.25">
      <c r="B15" t="s">
        <v>190</v>
      </c>
      <c r="C15" t="s">
        <v>191</v>
      </c>
      <c r="D15">
        <v>9.0010000000000003E-3</v>
      </c>
      <c r="E15" t="s">
        <v>163</v>
      </c>
    </row>
    <row r="16" spans="1:5" x14ac:dyDescent="0.25">
      <c r="B16" t="s">
        <v>192</v>
      </c>
      <c r="C16" t="s">
        <v>193</v>
      </c>
      <c r="D16">
        <v>99.99</v>
      </c>
      <c r="E16" t="s">
        <v>163</v>
      </c>
    </row>
    <row r="17" spans="2:5" x14ac:dyDescent="0.25">
      <c r="B17" t="s">
        <v>194</v>
      </c>
      <c r="C17" t="s">
        <v>195</v>
      </c>
      <c r="D17">
        <v>99.99</v>
      </c>
      <c r="E17" t="s">
        <v>196</v>
      </c>
    </row>
    <row r="18" spans="2:5" x14ac:dyDescent="0.25">
      <c r="B18" t="s">
        <v>197</v>
      </c>
      <c r="C18" t="s">
        <v>198</v>
      </c>
      <c r="D18">
        <v>0.01</v>
      </c>
      <c r="E18" t="s">
        <v>163</v>
      </c>
    </row>
    <row r="19" spans="2:5" x14ac:dyDescent="0.25">
      <c r="B19" t="s">
        <v>199</v>
      </c>
      <c r="C19" t="s">
        <v>200</v>
      </c>
      <c r="D19">
        <v>9.1000000000000004E-3</v>
      </c>
      <c r="E19" t="s">
        <v>163</v>
      </c>
    </row>
    <row r="20" spans="2:5" x14ac:dyDescent="0.25">
      <c r="B20" t="s">
        <v>201</v>
      </c>
      <c r="C20" t="s">
        <v>202</v>
      </c>
      <c r="D20">
        <v>99.99</v>
      </c>
      <c r="E20" t="s">
        <v>163</v>
      </c>
    </row>
    <row r="21" spans="2:5" x14ac:dyDescent="0.25">
      <c r="B21" t="s">
        <v>203</v>
      </c>
      <c r="C21" t="s">
        <v>204</v>
      </c>
      <c r="D21">
        <v>99.99</v>
      </c>
      <c r="E21" t="s">
        <v>163</v>
      </c>
    </row>
    <row r="22" spans="2:5" x14ac:dyDescent="0.25">
      <c r="B22" t="s">
        <v>205</v>
      </c>
      <c r="C22" t="s">
        <v>206</v>
      </c>
      <c r="D22">
        <v>99.99</v>
      </c>
      <c r="E22" t="s">
        <v>163</v>
      </c>
    </row>
    <row r="23" spans="2:5" x14ac:dyDescent="0.25">
      <c r="B23" t="s">
        <v>207</v>
      </c>
      <c r="C23" t="s">
        <v>208</v>
      </c>
      <c r="D23">
        <v>99.99</v>
      </c>
      <c r="E23" t="s">
        <v>163</v>
      </c>
    </row>
    <row r="24" spans="2:5" x14ac:dyDescent="0.25">
      <c r="B24" t="s">
        <v>209</v>
      </c>
      <c r="C24" t="s">
        <v>210</v>
      </c>
      <c r="D24">
        <v>99.99</v>
      </c>
      <c r="E24" t="s">
        <v>163</v>
      </c>
    </row>
    <row r="25" spans="2:5" x14ac:dyDescent="0.25">
      <c r="B25" t="s">
        <v>211</v>
      </c>
      <c r="C25" t="s">
        <v>212</v>
      </c>
      <c r="D25">
        <v>9.0010000000000003E-3</v>
      </c>
      <c r="E25" t="s">
        <v>163</v>
      </c>
    </row>
    <row r="26" spans="2:5" x14ac:dyDescent="0.25">
      <c r="B26" t="s">
        <v>213</v>
      </c>
      <c r="C26" t="s">
        <v>214</v>
      </c>
      <c r="D26">
        <v>0.01</v>
      </c>
      <c r="E26" t="s">
        <v>163</v>
      </c>
    </row>
    <row r="27" spans="2:5" x14ac:dyDescent="0.25">
      <c r="B27" t="s">
        <v>215</v>
      </c>
      <c r="C27" t="s">
        <v>216</v>
      </c>
      <c r="D27">
        <v>0.01</v>
      </c>
      <c r="E27" t="s">
        <v>163</v>
      </c>
    </row>
    <row r="28" spans="2:5" x14ac:dyDescent="0.25">
      <c r="B28" t="s">
        <v>217</v>
      </c>
      <c r="C28" t="s">
        <v>218</v>
      </c>
      <c r="D28">
        <v>0.01</v>
      </c>
      <c r="E28" t="s">
        <v>163</v>
      </c>
    </row>
    <row r="29" spans="2:5" x14ac:dyDescent="0.25">
      <c r="B29" t="s">
        <v>160</v>
      </c>
      <c r="C29" t="s">
        <v>161</v>
      </c>
      <c r="D29">
        <v>0.01</v>
      </c>
      <c r="E29" t="s">
        <v>162</v>
      </c>
    </row>
    <row r="30" spans="2:5" x14ac:dyDescent="0.25">
      <c r="B30" t="s">
        <v>219</v>
      </c>
      <c r="C30" t="s">
        <v>220</v>
      </c>
      <c r="D30">
        <v>99.99</v>
      </c>
      <c r="E30" t="s">
        <v>221</v>
      </c>
    </row>
    <row r="31" spans="2:5" x14ac:dyDescent="0.25">
      <c r="B31" t="s">
        <v>222</v>
      </c>
      <c r="C31" t="s">
        <v>223</v>
      </c>
      <c r="D31">
        <v>99.99</v>
      </c>
      <c r="E31" t="s">
        <v>221</v>
      </c>
    </row>
    <row r="32" spans="2:5" x14ac:dyDescent="0.25">
      <c r="B32" t="s">
        <v>224</v>
      </c>
      <c r="C32" t="s">
        <v>225</v>
      </c>
      <c r="D32">
        <v>9.4999999999999998E-3</v>
      </c>
      <c r="E32" t="s">
        <v>163</v>
      </c>
    </row>
    <row r="33" spans="2:5" x14ac:dyDescent="0.25">
      <c r="B33" t="s">
        <v>226</v>
      </c>
      <c r="C33" t="s">
        <v>227</v>
      </c>
      <c r="D33">
        <v>0.01</v>
      </c>
      <c r="E33" t="s">
        <v>163</v>
      </c>
    </row>
    <row r="34" spans="2:5" x14ac:dyDescent="0.25">
      <c r="B34" t="s">
        <v>228</v>
      </c>
      <c r="C34" t="s">
        <v>229</v>
      </c>
      <c r="D34">
        <v>0.01</v>
      </c>
      <c r="E34" t="s">
        <v>163</v>
      </c>
    </row>
    <row r="35" spans="2:5" x14ac:dyDescent="0.25">
      <c r="B35" t="s">
        <v>230</v>
      </c>
      <c r="C35" t="s">
        <v>231</v>
      </c>
      <c r="D35">
        <v>9.4000000000000004E-3</v>
      </c>
      <c r="E35" t="s">
        <v>163</v>
      </c>
    </row>
    <row r="36" spans="2:5" x14ac:dyDescent="0.25">
      <c r="B36" t="s">
        <v>232</v>
      </c>
      <c r="C36" t="s">
        <v>233</v>
      </c>
      <c r="D36">
        <v>9.2499999999999995E-3</v>
      </c>
      <c r="E36" t="s">
        <v>163</v>
      </c>
    </row>
    <row r="37" spans="2:5" x14ac:dyDescent="0.25">
      <c r="B37" t="s">
        <v>235</v>
      </c>
      <c r="C37" t="s">
        <v>236</v>
      </c>
      <c r="D37">
        <v>12.634</v>
      </c>
      <c r="E37" t="s">
        <v>221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B55"/>
  <sheetViews>
    <sheetView topLeftCell="A2" zoomScale="75" zoomScaleNormal="75" workbookViewId="0">
      <selection activeCell="B1" sqref="B1:CZ1"/>
    </sheetView>
  </sheetViews>
  <sheetFormatPr defaultColWidth="8.85546875" defaultRowHeight="12.75" x14ac:dyDescent="0.2"/>
  <cols>
    <col min="1" max="1" width="44" style="3" customWidth="1"/>
    <col min="2" max="104" width="16.5703125" style="3" customWidth="1"/>
    <col min="105" max="16384" width="8.85546875" style="3"/>
  </cols>
  <sheetData>
    <row r="1" spans="1:104" s="11" customFormat="1" ht="15" hidden="1" x14ac:dyDescent="0.25">
      <c r="C1" s="7"/>
      <c r="D1" s="7"/>
      <c r="E1" s="7"/>
      <c r="F1" s="7"/>
      <c r="G1" s="7"/>
      <c r="H1" s="7"/>
      <c r="I1" s="7"/>
      <c r="J1" s="7"/>
      <c r="K1" s="7"/>
      <c r="L1" s="7"/>
      <c r="M1" s="7"/>
      <c r="N1" s="7"/>
      <c r="P1" s="12"/>
      <c r="R1" s="7"/>
      <c r="S1" s="7"/>
      <c r="T1" s="7"/>
      <c r="U1" s="7"/>
      <c r="V1" s="7"/>
      <c r="W1" s="7"/>
      <c r="X1" s="7"/>
      <c r="Y1" s="7"/>
      <c r="Z1" s="7"/>
      <c r="AB1" s="12"/>
      <c r="CP1" s="8"/>
    </row>
    <row r="2" spans="1:104" s="9" customFormat="1" ht="99.75" customHeight="1" x14ac:dyDescent="0.25">
      <c r="B2" s="48" t="e">
        <f>VLOOKUP(B$1,Main!$B$10:$C$2542,2,FALSE)</f>
        <v>#N/A</v>
      </c>
      <c r="C2" s="48" t="e">
        <f>VLOOKUP(C$1,Main!$B$10:$C$2542,2,FALSE)</f>
        <v>#N/A</v>
      </c>
      <c r="D2" s="48" t="e">
        <f>VLOOKUP(D$1,Main!$B$10:$C$2542,2,FALSE)</f>
        <v>#N/A</v>
      </c>
      <c r="E2" s="48" t="e">
        <f>VLOOKUP(E$1,Main!$B$10:$C$2542,2,FALSE)</f>
        <v>#N/A</v>
      </c>
      <c r="F2" s="48" t="e">
        <f>VLOOKUP(F$1,Main!$B$10:$C$2542,2,FALSE)</f>
        <v>#N/A</v>
      </c>
      <c r="G2" s="48" t="e">
        <f>VLOOKUP(G$1,Main!$B$10:$C$2542,2,FALSE)</f>
        <v>#N/A</v>
      </c>
      <c r="H2" s="48" t="e">
        <f>VLOOKUP(H$1,Main!$B$10:$C$2542,2,FALSE)</f>
        <v>#N/A</v>
      </c>
      <c r="I2" s="48" t="e">
        <f>VLOOKUP(I$1,Main!$B$10:$C$2542,2,FALSE)</f>
        <v>#N/A</v>
      </c>
      <c r="J2" s="48" t="e">
        <f>VLOOKUP(J$1,Main!$B$10:$C$2542,2,FALSE)</f>
        <v>#N/A</v>
      </c>
      <c r="K2" s="48" t="e">
        <f>VLOOKUP(K$1,Main!$B$10:$C$2542,2,FALSE)</f>
        <v>#N/A</v>
      </c>
      <c r="L2" s="48" t="e">
        <f>VLOOKUP(L$1,Main!$B$10:$C$2542,2,FALSE)</f>
        <v>#N/A</v>
      </c>
      <c r="M2" s="48" t="e">
        <f>VLOOKUP(M$1,Main!$B$10:$C$2542,2,FALSE)</f>
        <v>#N/A</v>
      </c>
      <c r="N2" s="48" t="e">
        <f>VLOOKUP(N$1,Main!$B$10:$C$2542,2,FALSE)</f>
        <v>#N/A</v>
      </c>
      <c r="O2" s="48" t="e">
        <f>VLOOKUP(O$1,Main!$B$10:$C$2542,2,FALSE)</f>
        <v>#N/A</v>
      </c>
      <c r="P2" s="48" t="e">
        <f>VLOOKUP(P$1,Main!$B$10:$C$2542,2,FALSE)</f>
        <v>#N/A</v>
      </c>
      <c r="Q2" s="48" t="e">
        <f>VLOOKUP(Q$1,Main!$B$10:$C$2542,2,FALSE)</f>
        <v>#N/A</v>
      </c>
      <c r="R2" s="48" t="e">
        <f>VLOOKUP(R$1,Main!$B$10:$C$2542,2,FALSE)</f>
        <v>#N/A</v>
      </c>
      <c r="S2" s="48" t="e">
        <f>VLOOKUP(S$1,Main!$B$10:$C$2542,2,FALSE)</f>
        <v>#N/A</v>
      </c>
      <c r="T2" s="48" t="e">
        <f>VLOOKUP(T$1,Main!$B$10:$C$2542,2,FALSE)</f>
        <v>#N/A</v>
      </c>
      <c r="U2" s="48" t="e">
        <f>VLOOKUP(U$1,Main!$B$10:$C$2542,2,FALSE)</f>
        <v>#N/A</v>
      </c>
      <c r="V2" s="48" t="e">
        <f>VLOOKUP(V$1,Main!$B$10:$C$2542,2,FALSE)</f>
        <v>#N/A</v>
      </c>
      <c r="W2" s="48" t="e">
        <f>VLOOKUP(W$1,Main!$B$10:$C$2542,2,FALSE)</f>
        <v>#N/A</v>
      </c>
      <c r="X2" s="48" t="e">
        <f>VLOOKUP(X$1,Main!$B$10:$C$2542,2,FALSE)</f>
        <v>#N/A</v>
      </c>
      <c r="Y2" s="48" t="e">
        <f>VLOOKUP(Y$1,Main!$B$10:$C$2542,2,FALSE)</f>
        <v>#N/A</v>
      </c>
      <c r="Z2" s="48" t="e">
        <f>VLOOKUP(Z$1,Main!$B$10:$C$2542,2,FALSE)</f>
        <v>#N/A</v>
      </c>
      <c r="AA2" s="48" t="e">
        <f>VLOOKUP(AA$1,Main!$B$10:$C$2542,2,FALSE)</f>
        <v>#N/A</v>
      </c>
      <c r="AB2" s="48" t="e">
        <f>VLOOKUP(AB$1,Main!$B$10:$C$2542,2,FALSE)</f>
        <v>#N/A</v>
      </c>
      <c r="AC2" s="48" t="e">
        <f>VLOOKUP(AC$1,Main!$B$10:$C$2542,2,FALSE)</f>
        <v>#N/A</v>
      </c>
      <c r="AD2" s="48" t="e">
        <f>VLOOKUP(AD$1,Main!$B$10:$C$2542,2,FALSE)</f>
        <v>#N/A</v>
      </c>
      <c r="AE2" s="48" t="e">
        <f>VLOOKUP(AE$1,Main!$B$10:$C$2542,2,FALSE)</f>
        <v>#N/A</v>
      </c>
      <c r="AF2" s="48" t="e">
        <f>VLOOKUP(AF$1,Main!$B$10:$C$2542,2,FALSE)</f>
        <v>#N/A</v>
      </c>
      <c r="AG2" s="48" t="e">
        <f>VLOOKUP(AG$1,Main!$B$10:$C$2542,2,FALSE)</f>
        <v>#N/A</v>
      </c>
      <c r="AH2" s="48" t="e">
        <f>VLOOKUP(AH$1,Main!$B$10:$C$2542,2,FALSE)</f>
        <v>#N/A</v>
      </c>
      <c r="AI2" s="48" t="e">
        <f>VLOOKUP(AI$1,Main!$B$10:$C$2542,2,FALSE)</f>
        <v>#N/A</v>
      </c>
      <c r="AJ2" s="48" t="e">
        <f>VLOOKUP(AJ$1,Main!$B$10:$C$2542,2,FALSE)</f>
        <v>#N/A</v>
      </c>
      <c r="AK2" s="48" t="e">
        <f>VLOOKUP(AK$1,Main!$B$10:$C$2542,2,FALSE)</f>
        <v>#N/A</v>
      </c>
      <c r="AL2" s="48" t="e">
        <f>VLOOKUP(AL$1,Main!$B$10:$C$2542,2,FALSE)</f>
        <v>#N/A</v>
      </c>
      <c r="AM2" s="48" t="e">
        <f>VLOOKUP(AM$1,Main!$B$10:$C$2542,2,FALSE)</f>
        <v>#N/A</v>
      </c>
      <c r="AN2" s="48" t="e">
        <f>VLOOKUP(AN$1,Main!$B$10:$C$2542,2,FALSE)</f>
        <v>#N/A</v>
      </c>
      <c r="AO2" s="48" t="e">
        <f>VLOOKUP(AO$1,Main!$B$10:$C$2542,2,FALSE)</f>
        <v>#N/A</v>
      </c>
      <c r="AP2" s="48" t="e">
        <f>VLOOKUP(AP$1,Main!$B$10:$C$2542,2,FALSE)</f>
        <v>#N/A</v>
      </c>
      <c r="AQ2" s="48" t="e">
        <f>VLOOKUP(AQ$1,Main!$B$10:$C$2542,2,FALSE)</f>
        <v>#N/A</v>
      </c>
      <c r="AR2" s="48" t="e">
        <f>VLOOKUP(AR$1,Main!$B$10:$C$2542,2,FALSE)</f>
        <v>#N/A</v>
      </c>
      <c r="AS2" s="48" t="e">
        <f>VLOOKUP(AS$1,Main!$B$10:$C$2542,2,FALSE)</f>
        <v>#N/A</v>
      </c>
      <c r="AT2" s="48" t="e">
        <f>VLOOKUP(AT$1,Main!$B$10:$C$2542,2,FALSE)</f>
        <v>#N/A</v>
      </c>
      <c r="AU2" s="48" t="e">
        <f>VLOOKUP(AU$1,Main!$B$10:$C$2542,2,FALSE)</f>
        <v>#N/A</v>
      </c>
      <c r="AV2" s="48" t="e">
        <f>VLOOKUP(AV$1,Main!$B$10:$C$2542,2,FALSE)</f>
        <v>#N/A</v>
      </c>
      <c r="AW2" s="48" t="e">
        <f>VLOOKUP(AW$1,Main!$B$10:$C$2542,2,FALSE)</f>
        <v>#N/A</v>
      </c>
      <c r="AX2" s="48" t="e">
        <f>VLOOKUP(AX$1,Main!$B$10:$C$2542,2,FALSE)</f>
        <v>#N/A</v>
      </c>
      <c r="AY2" s="48" t="e">
        <f>VLOOKUP(AY$1,Main!$B$10:$C$2542,2,FALSE)</f>
        <v>#N/A</v>
      </c>
      <c r="AZ2" s="48" t="e">
        <f>VLOOKUP(AZ$1,Main!$B$10:$C$2542,2,FALSE)</f>
        <v>#N/A</v>
      </c>
      <c r="BA2" s="48" t="e">
        <f>VLOOKUP(BA$1,Main!$B$10:$C$2542,2,FALSE)</f>
        <v>#N/A</v>
      </c>
      <c r="BB2" s="48" t="e">
        <f>VLOOKUP(BB$1,Main!$B$10:$C$2542,2,FALSE)</f>
        <v>#N/A</v>
      </c>
      <c r="BC2" s="48" t="e">
        <f>VLOOKUP(BC$1,Main!$B$10:$C$2542,2,FALSE)</f>
        <v>#N/A</v>
      </c>
      <c r="BD2" s="48" t="e">
        <f>VLOOKUP(BD$1,Main!$B$10:$C$2542,2,FALSE)</f>
        <v>#N/A</v>
      </c>
      <c r="BE2" s="48" t="e">
        <f>VLOOKUP(BE$1,Main!$B$10:$C$2542,2,FALSE)</f>
        <v>#N/A</v>
      </c>
      <c r="BF2" s="48" t="e">
        <f>VLOOKUP(BF$1,Main!$B$10:$C$2542,2,FALSE)</f>
        <v>#N/A</v>
      </c>
      <c r="BG2" s="48" t="e">
        <f>VLOOKUP(BG$1,Main!$B$10:$C$2542,2,FALSE)</f>
        <v>#N/A</v>
      </c>
      <c r="BH2" s="48" t="e">
        <f>VLOOKUP(BH$1,Main!$B$10:$C$2542,2,FALSE)</f>
        <v>#N/A</v>
      </c>
      <c r="BI2" s="48" t="e">
        <f>VLOOKUP(BI$1,Main!$B$10:$C$2542,2,FALSE)</f>
        <v>#N/A</v>
      </c>
      <c r="BJ2" s="48" t="e">
        <f>VLOOKUP(BJ$1,Main!$B$10:$C$2542,2,FALSE)</f>
        <v>#N/A</v>
      </c>
      <c r="BK2" s="48" t="e">
        <f>VLOOKUP(BK$1,Main!$B$10:$C$2542,2,FALSE)</f>
        <v>#N/A</v>
      </c>
      <c r="BL2" s="48" t="e">
        <f>VLOOKUP(BL$1,Main!$B$10:$C$2542,2,FALSE)</f>
        <v>#N/A</v>
      </c>
      <c r="BM2" s="48" t="e">
        <f>VLOOKUP(BM$1,Main!$B$10:$C$2542,2,FALSE)</f>
        <v>#N/A</v>
      </c>
      <c r="BN2" s="48" t="e">
        <f>VLOOKUP(BN$1,Main!$B$10:$C$2542,2,FALSE)</f>
        <v>#N/A</v>
      </c>
      <c r="BO2" s="48" t="e">
        <f>VLOOKUP(BO$1,Main!$B$10:$C$2542,2,FALSE)</f>
        <v>#N/A</v>
      </c>
      <c r="BP2" s="48" t="e">
        <f>VLOOKUP(BP$1,Main!$B$10:$C$2542,2,FALSE)</f>
        <v>#N/A</v>
      </c>
      <c r="BQ2" s="48" t="e">
        <f>VLOOKUP(BQ$1,Main!$B$10:$C$2542,2,FALSE)</f>
        <v>#N/A</v>
      </c>
      <c r="BR2" s="48" t="e">
        <f>VLOOKUP(BR$1,Main!$B$10:$C$2542,2,FALSE)</f>
        <v>#N/A</v>
      </c>
      <c r="BS2" s="48" t="e">
        <f>VLOOKUP(BS$1,Main!$B$10:$C$2542,2,FALSE)</f>
        <v>#N/A</v>
      </c>
      <c r="BT2" s="48" t="e">
        <f>VLOOKUP(BT$1,Main!$B$10:$C$2542,2,FALSE)</f>
        <v>#N/A</v>
      </c>
      <c r="BU2" s="48" t="e">
        <f>VLOOKUP(BU$1,Main!$B$10:$C$2542,2,FALSE)</f>
        <v>#N/A</v>
      </c>
      <c r="BV2" s="48" t="e">
        <f>VLOOKUP(BV$1,Main!$B$10:$C$2542,2,FALSE)</f>
        <v>#N/A</v>
      </c>
      <c r="BW2" s="48" t="e">
        <f>VLOOKUP(BW$1,Main!$B$10:$C$2542,2,FALSE)</f>
        <v>#N/A</v>
      </c>
      <c r="BX2" s="48" t="e">
        <f>VLOOKUP(BX$1,Main!$B$10:$C$2542,2,FALSE)</f>
        <v>#N/A</v>
      </c>
      <c r="BY2" s="48" t="e">
        <f>VLOOKUP(BY$1,Main!$B$10:$C$2542,2,FALSE)</f>
        <v>#N/A</v>
      </c>
      <c r="BZ2" s="48" t="e">
        <f>VLOOKUP(BZ$1,Main!$B$10:$C$2542,2,FALSE)</f>
        <v>#N/A</v>
      </c>
      <c r="CA2" s="48" t="e">
        <f>VLOOKUP(CA$1,Main!$B$10:$C$2542,2,FALSE)</f>
        <v>#N/A</v>
      </c>
      <c r="CB2" s="48" t="e">
        <f>VLOOKUP(CB$1,Main!$B$10:$C$2542,2,FALSE)</f>
        <v>#N/A</v>
      </c>
      <c r="CC2" s="48" t="e">
        <f>VLOOKUP(CC$1,Main!$B$10:$C$2542,2,FALSE)</f>
        <v>#N/A</v>
      </c>
      <c r="CD2" s="48" t="e">
        <f>VLOOKUP(CD$1,Main!$B$10:$C$2542,2,FALSE)</f>
        <v>#N/A</v>
      </c>
      <c r="CE2" s="48" t="e">
        <f>VLOOKUP(CE$1,Main!$B$10:$C$2542,2,FALSE)</f>
        <v>#N/A</v>
      </c>
      <c r="CF2" s="48" t="e">
        <f>VLOOKUP(CF$1,Main!$B$10:$C$2542,2,FALSE)</f>
        <v>#N/A</v>
      </c>
      <c r="CG2" s="48" t="e">
        <f>VLOOKUP(CG$1,Main!$B$10:$C$2542,2,FALSE)</f>
        <v>#N/A</v>
      </c>
      <c r="CH2" s="48" t="e">
        <f>VLOOKUP(CH$1,Main!$B$10:$C$2542,2,FALSE)</f>
        <v>#N/A</v>
      </c>
      <c r="CI2" s="48" t="e">
        <f>VLOOKUP(CI$1,Main!$B$10:$C$2542,2,FALSE)</f>
        <v>#N/A</v>
      </c>
      <c r="CJ2" s="48" t="e">
        <f>VLOOKUP(CJ$1,Main!$B$10:$C$2542,2,FALSE)</f>
        <v>#N/A</v>
      </c>
      <c r="CK2" s="48" t="e">
        <f>VLOOKUP(CK$1,Main!$B$10:$C$2542,2,FALSE)</f>
        <v>#N/A</v>
      </c>
      <c r="CL2" s="48" t="e">
        <f>VLOOKUP(CL$1,Main!$B$10:$C$2542,2,FALSE)</f>
        <v>#N/A</v>
      </c>
      <c r="CM2" s="48" t="e">
        <f>VLOOKUP(CM$1,Main!$B$10:$C$2542,2,FALSE)</f>
        <v>#N/A</v>
      </c>
      <c r="CN2" s="48" t="e">
        <f>VLOOKUP(CN$1,Main!$B$10:$C$2542,2,FALSE)</f>
        <v>#N/A</v>
      </c>
      <c r="CO2" s="48" t="e">
        <f>VLOOKUP(CO$1,Main!$B$10:$C$2542,2,FALSE)</f>
        <v>#N/A</v>
      </c>
      <c r="CP2" s="48" t="e">
        <f>VLOOKUP(CP$1,Main!$B$10:$C$2542,2,FALSE)</f>
        <v>#N/A</v>
      </c>
      <c r="CQ2" s="48" t="e">
        <f>VLOOKUP(CQ$1,Main!$B$10:$C$2542,2,FALSE)</f>
        <v>#N/A</v>
      </c>
      <c r="CR2" s="48" t="e">
        <f>VLOOKUP(CR$1,Main!$B$10:$C$2542,2,FALSE)</f>
        <v>#N/A</v>
      </c>
      <c r="CS2" s="48" t="e">
        <f>VLOOKUP(CS$1,Main!$B$10:$C$2542,2,FALSE)</f>
        <v>#N/A</v>
      </c>
      <c r="CT2" s="48" t="e">
        <f>VLOOKUP(CT$1,Main!$B$10:$C$2542,2,FALSE)</f>
        <v>#N/A</v>
      </c>
      <c r="CU2" s="48" t="e">
        <f>VLOOKUP(CU$1,Main!$B$10:$C$2542,2,FALSE)</f>
        <v>#N/A</v>
      </c>
      <c r="CV2" s="48" t="e">
        <f>VLOOKUP(CV$1,Main!$B$10:$C$2542,2,FALSE)</f>
        <v>#N/A</v>
      </c>
      <c r="CW2" s="48" t="e">
        <f>VLOOKUP(CW$1,Main!$B$10:$C$2542,2,FALSE)</f>
        <v>#N/A</v>
      </c>
      <c r="CX2" s="48" t="e">
        <f>VLOOKUP(CX$1,Main!$B$10:$C$2542,2,FALSE)</f>
        <v>#N/A</v>
      </c>
      <c r="CY2" s="48" t="e">
        <f>VLOOKUP(CY$1,Main!$B$10:$C$2542,2,FALSE)</f>
        <v>#N/A</v>
      </c>
      <c r="CZ2" s="48" t="e">
        <f>VLOOKUP(CZ$1,Main!$B$10:$C$2542,2,FALSE)</f>
        <v>#N/A</v>
      </c>
    </row>
    <row r="4" spans="1:104" x14ac:dyDescent="0.2">
      <c r="A4" s="2" t="s">
        <v>17</v>
      </c>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2"/>
      <c r="AX4" s="42"/>
      <c r="AY4" s="42"/>
      <c r="AZ4" s="42"/>
      <c r="BA4" s="42"/>
      <c r="BB4" s="42"/>
      <c r="BC4" s="42"/>
      <c r="BD4" s="42"/>
      <c r="BE4" s="42"/>
      <c r="BF4" s="42"/>
      <c r="BG4" s="42"/>
      <c r="BH4" s="42"/>
      <c r="BI4" s="42"/>
      <c r="BJ4" s="42"/>
      <c r="BK4" s="42"/>
      <c r="BL4" s="42"/>
      <c r="BM4" s="42"/>
      <c r="BN4" s="42"/>
      <c r="BO4" s="42"/>
      <c r="BP4" s="42"/>
      <c r="BQ4" s="42"/>
      <c r="BR4" s="42"/>
      <c r="BS4" s="42"/>
      <c r="BT4" s="42"/>
      <c r="BU4" s="42"/>
      <c r="BV4" s="42"/>
      <c r="BW4" s="42"/>
      <c r="BX4" s="42"/>
      <c r="BY4" s="42"/>
      <c r="BZ4" s="42"/>
      <c r="CA4" s="42"/>
      <c r="CB4" s="42"/>
      <c r="CC4" s="42"/>
      <c r="CD4" s="42"/>
      <c r="CE4" s="42"/>
      <c r="CF4" s="42"/>
      <c r="CG4" s="42"/>
      <c r="CH4" s="42"/>
      <c r="CI4" s="42"/>
      <c r="CJ4" s="42"/>
      <c r="CK4" s="42"/>
      <c r="CL4" s="42"/>
      <c r="CM4" s="42"/>
      <c r="CN4" s="42"/>
      <c r="CO4" s="42"/>
      <c r="CP4" s="42"/>
      <c r="CQ4" s="42"/>
      <c r="CR4" s="42"/>
      <c r="CS4" s="42"/>
      <c r="CT4" s="42"/>
      <c r="CU4" s="42"/>
      <c r="CV4" s="42"/>
      <c r="CW4" s="42"/>
      <c r="CX4" s="42"/>
      <c r="CY4" s="42"/>
      <c r="CZ4" s="42"/>
    </row>
    <row r="5" spans="1:104" s="42" customFormat="1" x14ac:dyDescent="0.2">
      <c r="A5" s="3"/>
    </row>
    <row r="6" spans="1:104" s="45" customFormat="1" x14ac:dyDescent="0.2">
      <c r="A6" s="58" t="s">
        <v>16</v>
      </c>
      <c r="B6" s="41" t="e">
        <f>IF(B$1,SUMIFS('BalSht Data'!$H$2:$H$2050,'BalSht Data'!$G$2:$G$2050,$A6,'BalSht Data'!$A$2:$A$2050,B$1),#N/A)</f>
        <v>#N/A</v>
      </c>
      <c r="C6" s="41" t="e">
        <f>IF(C$1,SUMIFS('BalSht Data'!$H$2:$H$2050,'BalSht Data'!$G$2:$G$2050,$A6,'BalSht Data'!$A$2:$A$2050,C$1),#N/A)</f>
        <v>#N/A</v>
      </c>
      <c r="D6" s="41" t="e">
        <f>IF(D$1,SUMIFS('BalSht Data'!$H$2:$H$2050,'BalSht Data'!$G$2:$G$2050,$A6,'BalSht Data'!$A$2:$A$2050,D$1),#N/A)</f>
        <v>#N/A</v>
      </c>
      <c r="E6" s="41" t="e">
        <f>IF(E$1,SUMIFS('BalSht Data'!$H$2:$H$2050,'BalSht Data'!$G$2:$G$2050,$A6,'BalSht Data'!$A$2:$A$2050,E$1),#N/A)</f>
        <v>#N/A</v>
      </c>
      <c r="F6" s="41" t="e">
        <f>IF(F$1,SUMIFS('BalSht Data'!$H$2:$H$2050,'BalSht Data'!$G$2:$G$2050,$A6,'BalSht Data'!$A$2:$A$2050,F$1),#N/A)</f>
        <v>#N/A</v>
      </c>
      <c r="G6" s="41" t="e">
        <f>IF(G$1,SUMIFS('BalSht Data'!$H$2:$H$2050,'BalSht Data'!$G$2:$G$2050,$A6,'BalSht Data'!$A$2:$A$2050,G$1),#N/A)</f>
        <v>#N/A</v>
      </c>
      <c r="H6" s="41" t="e">
        <f>IF(H$1,SUMIFS('BalSht Data'!$H$2:$H$2050,'BalSht Data'!$G$2:$G$2050,$A6,'BalSht Data'!$A$2:$A$2050,H$1),#N/A)</f>
        <v>#N/A</v>
      </c>
      <c r="I6" s="41" t="e">
        <f>IF(I$1,SUMIFS('BalSht Data'!$H$2:$H$2050,'BalSht Data'!$G$2:$G$2050,$A6,'BalSht Data'!$A$2:$A$2050,I$1),#N/A)</f>
        <v>#N/A</v>
      </c>
      <c r="J6" s="41" t="e">
        <f>IF(J$1,SUMIFS('BalSht Data'!$H$2:$H$2050,'BalSht Data'!$G$2:$G$2050,$A6,'BalSht Data'!$A$2:$A$2050,J$1),#N/A)</f>
        <v>#N/A</v>
      </c>
      <c r="K6" s="41" t="e">
        <f>IF(K$1,SUMIFS('BalSht Data'!$H$2:$H$2050,'BalSht Data'!$G$2:$G$2050,$A6,'BalSht Data'!$A$2:$A$2050,K$1),#N/A)</f>
        <v>#N/A</v>
      </c>
      <c r="L6" s="41" t="e">
        <f>IF(L$1,SUMIFS('BalSht Data'!$H$2:$H$2050,'BalSht Data'!$G$2:$G$2050,$A6,'BalSht Data'!$A$2:$A$2050,L$1),#N/A)</f>
        <v>#N/A</v>
      </c>
      <c r="M6" s="41" t="e">
        <f>IF(M$1,SUMIFS('BalSht Data'!$H$2:$H$2050,'BalSht Data'!$G$2:$G$2050,$A6,'BalSht Data'!$A$2:$A$2050,M$1),#N/A)</f>
        <v>#N/A</v>
      </c>
      <c r="N6" s="41" t="e">
        <f>IF(N$1,SUMIFS('BalSht Data'!$H$2:$H$2050,'BalSht Data'!$G$2:$G$2050,$A6,'BalSht Data'!$A$2:$A$2050,N$1),#N/A)</f>
        <v>#N/A</v>
      </c>
      <c r="O6" s="41" t="e">
        <f>IF(O$1,SUMIFS('BalSht Data'!$H$2:$H$2050,'BalSht Data'!$G$2:$G$2050,$A6,'BalSht Data'!$A$2:$A$2050,O$1),#N/A)</f>
        <v>#N/A</v>
      </c>
      <c r="P6" s="41" t="e">
        <f>IF(P$1,SUMIFS('BalSht Data'!$H$2:$H$2050,'BalSht Data'!$G$2:$G$2050,$A6,'BalSht Data'!$A$2:$A$2050,P$1),#N/A)</f>
        <v>#N/A</v>
      </c>
      <c r="Q6" s="41" t="e">
        <f>IF(Q$1,SUMIFS('BalSht Data'!$H$2:$H$2050,'BalSht Data'!$G$2:$G$2050,$A6,'BalSht Data'!$A$2:$A$2050,Q$1),#N/A)</f>
        <v>#N/A</v>
      </c>
      <c r="R6" s="41" t="e">
        <f>IF(R$1,SUMIFS('BalSht Data'!$H$2:$H$2050,'BalSht Data'!$G$2:$G$2050,$A6,'BalSht Data'!$A$2:$A$2050,R$1),#N/A)</f>
        <v>#N/A</v>
      </c>
      <c r="S6" s="41" t="e">
        <f>IF(S$1,SUMIFS('BalSht Data'!$H$2:$H$2050,'BalSht Data'!$G$2:$G$2050,$A6,'BalSht Data'!$A$2:$A$2050,S$1),#N/A)</f>
        <v>#N/A</v>
      </c>
      <c r="T6" s="41" t="e">
        <f>IF(T$1,SUMIFS('BalSht Data'!$H$2:$H$2050,'BalSht Data'!$G$2:$G$2050,$A6,'BalSht Data'!$A$2:$A$2050,T$1),#N/A)</f>
        <v>#N/A</v>
      </c>
      <c r="U6" s="41" t="e">
        <f>IF(U$1,SUMIFS('BalSht Data'!$H$2:$H$2050,'BalSht Data'!$G$2:$G$2050,$A6,'BalSht Data'!$A$2:$A$2050,U$1),#N/A)</f>
        <v>#N/A</v>
      </c>
      <c r="V6" s="41" t="e">
        <f>IF(V$1,SUMIFS('BalSht Data'!$H$2:$H$2050,'BalSht Data'!$G$2:$G$2050,$A6,'BalSht Data'!$A$2:$A$2050,V$1),#N/A)</f>
        <v>#N/A</v>
      </c>
      <c r="W6" s="41" t="e">
        <f>IF(W$1,SUMIFS('BalSht Data'!$H$2:$H$2050,'BalSht Data'!$G$2:$G$2050,$A6,'BalSht Data'!$A$2:$A$2050,W$1),#N/A)</f>
        <v>#N/A</v>
      </c>
      <c r="X6" s="41" t="e">
        <f>IF(X$1,SUMIFS('BalSht Data'!$H$2:$H$2050,'BalSht Data'!$G$2:$G$2050,$A6,'BalSht Data'!$A$2:$A$2050,X$1),#N/A)</f>
        <v>#N/A</v>
      </c>
      <c r="Y6" s="41" t="e">
        <f>IF(Y$1,SUMIFS('BalSht Data'!$H$2:$H$2050,'BalSht Data'!$G$2:$G$2050,$A6,'BalSht Data'!$A$2:$A$2050,Y$1),#N/A)</f>
        <v>#N/A</v>
      </c>
      <c r="Z6" s="41" t="e">
        <f>IF(Z$1,SUMIFS('BalSht Data'!$H$2:$H$2050,'BalSht Data'!$G$2:$G$2050,$A6,'BalSht Data'!$A$2:$A$2050,Z$1),#N/A)</f>
        <v>#N/A</v>
      </c>
      <c r="AA6" s="41" t="e">
        <f>IF(AA$1,SUMIFS('BalSht Data'!$H$2:$H$2050,'BalSht Data'!$G$2:$G$2050,$A6,'BalSht Data'!$A$2:$A$2050,AA$1),#N/A)</f>
        <v>#N/A</v>
      </c>
      <c r="AB6" s="41" t="e">
        <f>IF(AB$1,SUMIFS('BalSht Data'!$H$2:$H$2050,'BalSht Data'!$G$2:$G$2050,$A6,'BalSht Data'!$A$2:$A$2050,AB$1),#N/A)</f>
        <v>#N/A</v>
      </c>
      <c r="AC6" s="41" t="e">
        <f>IF(AC$1,SUMIFS('BalSht Data'!$H$2:$H$2050,'BalSht Data'!$G$2:$G$2050,$A6,'BalSht Data'!$A$2:$A$2050,AC$1),#N/A)</f>
        <v>#N/A</v>
      </c>
      <c r="AD6" s="41" t="e">
        <f>IF(AD$1,SUMIFS('BalSht Data'!$H$2:$H$2050,'BalSht Data'!$G$2:$G$2050,$A6,'BalSht Data'!$A$2:$A$2050,AD$1),#N/A)</f>
        <v>#N/A</v>
      </c>
      <c r="AE6" s="41" t="e">
        <f>IF(AE$1,SUMIFS('BalSht Data'!$H$2:$H$2050,'BalSht Data'!$G$2:$G$2050,$A6,'BalSht Data'!$A$2:$A$2050,AE$1),#N/A)</f>
        <v>#N/A</v>
      </c>
      <c r="AF6" s="41" t="e">
        <f>IF(AF$1,SUMIFS('BalSht Data'!$H$2:$H$2050,'BalSht Data'!$G$2:$G$2050,$A6,'BalSht Data'!$A$2:$A$2050,AF$1),#N/A)</f>
        <v>#N/A</v>
      </c>
      <c r="AG6" s="41" t="e">
        <f>IF(AG$1,SUMIFS('BalSht Data'!$H$2:$H$2050,'BalSht Data'!$G$2:$G$2050,$A6,'BalSht Data'!$A$2:$A$2050,AG$1),#N/A)</f>
        <v>#N/A</v>
      </c>
      <c r="AH6" s="41" t="e">
        <f>IF(AH$1,SUMIFS('BalSht Data'!$H$2:$H$2050,'BalSht Data'!$G$2:$G$2050,$A6,'BalSht Data'!$A$2:$A$2050,AH$1),#N/A)</f>
        <v>#N/A</v>
      </c>
      <c r="AI6" s="41" t="e">
        <f>IF(AI$1,SUMIFS('BalSht Data'!$H$2:$H$2050,'BalSht Data'!$G$2:$G$2050,$A6,'BalSht Data'!$A$2:$A$2050,AI$1),#N/A)</f>
        <v>#N/A</v>
      </c>
      <c r="AJ6" s="41" t="e">
        <f>IF(AJ$1,SUMIFS('BalSht Data'!$H$2:$H$2050,'BalSht Data'!$G$2:$G$2050,$A6,'BalSht Data'!$A$2:$A$2050,AJ$1),#N/A)</f>
        <v>#N/A</v>
      </c>
      <c r="AK6" s="41" t="e">
        <f>IF(AK$1,SUMIFS('BalSht Data'!$H$2:$H$2050,'BalSht Data'!$G$2:$G$2050,$A6,'BalSht Data'!$A$2:$A$2050,AK$1),#N/A)</f>
        <v>#N/A</v>
      </c>
      <c r="AL6" s="41" t="e">
        <f>IF(AL$1,SUMIFS('BalSht Data'!$H$2:$H$2050,'BalSht Data'!$G$2:$G$2050,$A6,'BalSht Data'!$A$2:$A$2050,AL$1),#N/A)</f>
        <v>#N/A</v>
      </c>
      <c r="AM6" s="41" t="e">
        <f>IF(AM$1,SUMIFS('BalSht Data'!$H$2:$H$2050,'BalSht Data'!$G$2:$G$2050,$A6,'BalSht Data'!$A$2:$A$2050,AM$1),#N/A)</f>
        <v>#N/A</v>
      </c>
      <c r="AN6" s="41" t="e">
        <f>IF(AN$1,SUMIFS('BalSht Data'!$H$2:$H$2050,'BalSht Data'!$G$2:$G$2050,$A6,'BalSht Data'!$A$2:$A$2050,AN$1),#N/A)</f>
        <v>#N/A</v>
      </c>
      <c r="AO6" s="41" t="e">
        <f>IF(AO$1,SUMIFS('BalSht Data'!$H$2:$H$2050,'BalSht Data'!$G$2:$G$2050,$A6,'BalSht Data'!$A$2:$A$2050,AO$1),#N/A)</f>
        <v>#N/A</v>
      </c>
      <c r="AP6" s="41" t="e">
        <f>IF(AP$1,SUMIFS('BalSht Data'!$H$2:$H$2050,'BalSht Data'!$G$2:$G$2050,$A6,'BalSht Data'!$A$2:$A$2050,AP$1),#N/A)</f>
        <v>#N/A</v>
      </c>
      <c r="AQ6" s="41" t="e">
        <f>IF(AQ$1,SUMIFS('BalSht Data'!$H$2:$H$2050,'BalSht Data'!$G$2:$G$2050,$A6,'BalSht Data'!$A$2:$A$2050,AQ$1),#N/A)</f>
        <v>#N/A</v>
      </c>
      <c r="AR6" s="41" t="e">
        <f>IF(AR$1,SUMIFS('BalSht Data'!$H$2:$H$2050,'BalSht Data'!$G$2:$G$2050,$A6,'BalSht Data'!$A$2:$A$2050,AR$1),#N/A)</f>
        <v>#N/A</v>
      </c>
      <c r="AS6" s="41" t="e">
        <f>IF(AS$1,SUMIFS('BalSht Data'!$H$2:$H$2050,'BalSht Data'!$G$2:$G$2050,$A6,'BalSht Data'!$A$2:$A$2050,AS$1),#N/A)</f>
        <v>#N/A</v>
      </c>
      <c r="AT6" s="41" t="e">
        <f>IF(AT$1,SUMIFS('BalSht Data'!$H$2:$H$2050,'BalSht Data'!$G$2:$G$2050,$A6,'BalSht Data'!$A$2:$A$2050,AT$1),#N/A)</f>
        <v>#N/A</v>
      </c>
      <c r="AU6" s="41" t="e">
        <f>IF(AU$1,SUMIFS('BalSht Data'!$H$2:$H$2050,'BalSht Data'!$G$2:$G$2050,$A6,'BalSht Data'!$A$2:$A$2050,AU$1),#N/A)</f>
        <v>#N/A</v>
      </c>
      <c r="AV6" s="41" t="e">
        <f>IF(AV$1,SUMIFS('BalSht Data'!$H$2:$H$2050,'BalSht Data'!$G$2:$G$2050,$A6,'BalSht Data'!$A$2:$A$2050,AV$1),#N/A)</f>
        <v>#N/A</v>
      </c>
      <c r="AW6" s="41" t="e">
        <f>IF(AW$1,SUMIFS('BalSht Data'!$H$2:$H$2050,'BalSht Data'!$G$2:$G$2050,$A6,'BalSht Data'!$A$2:$A$2050,AW$1),#N/A)</f>
        <v>#N/A</v>
      </c>
      <c r="AX6" s="41" t="e">
        <f>IF(AX$1,SUMIFS('BalSht Data'!$H$2:$H$2050,'BalSht Data'!$G$2:$G$2050,$A6,'BalSht Data'!$A$2:$A$2050,AX$1),#N/A)</f>
        <v>#N/A</v>
      </c>
      <c r="AY6" s="41" t="e">
        <f>IF(AY$1,SUMIFS('BalSht Data'!$H$2:$H$2050,'BalSht Data'!$G$2:$G$2050,$A6,'BalSht Data'!$A$2:$A$2050,AY$1),#N/A)</f>
        <v>#N/A</v>
      </c>
      <c r="AZ6" s="41" t="e">
        <f>IF(AZ$1,SUMIFS('BalSht Data'!$H$2:$H$2050,'BalSht Data'!$G$2:$G$2050,$A6,'BalSht Data'!$A$2:$A$2050,AZ$1),#N/A)</f>
        <v>#N/A</v>
      </c>
      <c r="BA6" s="41" t="e">
        <f>IF(BA$1,SUMIFS('BalSht Data'!$H$2:$H$2050,'BalSht Data'!$G$2:$G$2050,$A6,'BalSht Data'!$A$2:$A$2050,BA$1),#N/A)</f>
        <v>#N/A</v>
      </c>
      <c r="BB6" s="41" t="e">
        <f>IF(BB$1,SUMIFS('BalSht Data'!$H$2:$H$2050,'BalSht Data'!$G$2:$G$2050,$A6,'BalSht Data'!$A$2:$A$2050,BB$1),#N/A)</f>
        <v>#N/A</v>
      </c>
      <c r="BC6" s="41" t="e">
        <f>IF(BC$1,SUMIFS('BalSht Data'!$H$2:$H$2050,'BalSht Data'!$G$2:$G$2050,$A6,'BalSht Data'!$A$2:$A$2050,BC$1),#N/A)</f>
        <v>#N/A</v>
      </c>
      <c r="BD6" s="41" t="e">
        <f>IF(BD$1,SUMIFS('BalSht Data'!$H$2:$H$2050,'BalSht Data'!$G$2:$G$2050,$A6,'BalSht Data'!$A$2:$A$2050,BD$1),#N/A)</f>
        <v>#N/A</v>
      </c>
      <c r="BE6" s="41" t="e">
        <f>IF(BE$1,SUMIFS('BalSht Data'!$H$2:$H$2050,'BalSht Data'!$G$2:$G$2050,$A6,'BalSht Data'!$A$2:$A$2050,BE$1),#N/A)</f>
        <v>#N/A</v>
      </c>
      <c r="BF6" s="41" t="e">
        <f>IF(BF$1,SUMIFS('BalSht Data'!$H$2:$H$2050,'BalSht Data'!$G$2:$G$2050,$A6,'BalSht Data'!$A$2:$A$2050,BF$1),#N/A)</f>
        <v>#N/A</v>
      </c>
      <c r="BG6" s="41" t="e">
        <f>IF(BG$1,SUMIFS('BalSht Data'!$H$2:$H$2050,'BalSht Data'!$G$2:$G$2050,$A6,'BalSht Data'!$A$2:$A$2050,BG$1),#N/A)</f>
        <v>#N/A</v>
      </c>
      <c r="BH6" s="41" t="e">
        <f>IF(BH$1,SUMIFS('BalSht Data'!$H$2:$H$2050,'BalSht Data'!$G$2:$G$2050,$A6,'BalSht Data'!$A$2:$A$2050,BH$1),#N/A)</f>
        <v>#N/A</v>
      </c>
      <c r="BI6" s="41" t="e">
        <f>IF(BI$1,SUMIFS('BalSht Data'!$H$2:$H$2050,'BalSht Data'!$G$2:$G$2050,$A6,'BalSht Data'!$A$2:$A$2050,BI$1),#N/A)</f>
        <v>#N/A</v>
      </c>
      <c r="BJ6" s="41" t="e">
        <f>IF(BJ$1,SUMIFS('BalSht Data'!$H$2:$H$2050,'BalSht Data'!$G$2:$G$2050,$A6,'BalSht Data'!$A$2:$A$2050,BJ$1),#N/A)</f>
        <v>#N/A</v>
      </c>
      <c r="BK6" s="41" t="e">
        <f>IF(BK$1,SUMIFS('BalSht Data'!$H$2:$H$2050,'BalSht Data'!$G$2:$G$2050,$A6,'BalSht Data'!$A$2:$A$2050,BK$1),#N/A)</f>
        <v>#N/A</v>
      </c>
      <c r="BL6" s="41" t="e">
        <f>IF(BL$1,SUMIFS('BalSht Data'!$H$2:$H$2050,'BalSht Data'!$G$2:$G$2050,$A6,'BalSht Data'!$A$2:$A$2050,BL$1),#N/A)</f>
        <v>#N/A</v>
      </c>
      <c r="BM6" s="41" t="e">
        <f>IF(BM$1,SUMIFS('BalSht Data'!$H$2:$H$2050,'BalSht Data'!$G$2:$G$2050,$A6,'BalSht Data'!$A$2:$A$2050,BM$1),#N/A)</f>
        <v>#N/A</v>
      </c>
      <c r="BN6" s="41" t="e">
        <f>IF(BN$1,SUMIFS('BalSht Data'!$H$2:$H$2050,'BalSht Data'!$G$2:$G$2050,$A6,'BalSht Data'!$A$2:$A$2050,BN$1),#N/A)</f>
        <v>#N/A</v>
      </c>
      <c r="BO6" s="41" t="e">
        <f>IF(BO$1,SUMIFS('BalSht Data'!$H$2:$H$2050,'BalSht Data'!$G$2:$G$2050,$A6,'BalSht Data'!$A$2:$A$2050,BO$1),#N/A)</f>
        <v>#N/A</v>
      </c>
      <c r="BP6" s="41" t="e">
        <f>IF(BP$1,SUMIFS('BalSht Data'!$H$2:$H$2050,'BalSht Data'!$G$2:$G$2050,$A6,'BalSht Data'!$A$2:$A$2050,BP$1),#N/A)</f>
        <v>#N/A</v>
      </c>
      <c r="BQ6" s="41" t="e">
        <f>IF(BQ$1,SUMIFS('BalSht Data'!$H$2:$H$2050,'BalSht Data'!$G$2:$G$2050,$A6,'BalSht Data'!$A$2:$A$2050,BQ$1),#N/A)</f>
        <v>#N/A</v>
      </c>
      <c r="BR6" s="41" t="e">
        <f>IF(BR$1,SUMIFS('BalSht Data'!$H$2:$H$2050,'BalSht Data'!$G$2:$G$2050,$A6,'BalSht Data'!$A$2:$A$2050,BR$1),#N/A)</f>
        <v>#N/A</v>
      </c>
      <c r="BS6" s="41" t="e">
        <f>IF(BS$1,SUMIFS('BalSht Data'!$H$2:$H$2050,'BalSht Data'!$G$2:$G$2050,$A6,'BalSht Data'!$A$2:$A$2050,BS$1),#N/A)</f>
        <v>#N/A</v>
      </c>
      <c r="BT6" s="41" t="e">
        <f>IF(BT$1,SUMIFS('BalSht Data'!$H$2:$H$2050,'BalSht Data'!$G$2:$G$2050,$A6,'BalSht Data'!$A$2:$A$2050,BT$1),#N/A)</f>
        <v>#N/A</v>
      </c>
      <c r="BU6" s="41" t="e">
        <f>IF(BU$1,SUMIFS('BalSht Data'!$H$2:$H$2050,'BalSht Data'!$G$2:$G$2050,$A6,'BalSht Data'!$A$2:$A$2050,BU$1),#N/A)</f>
        <v>#N/A</v>
      </c>
      <c r="BV6" s="41" t="e">
        <f>IF(BV$1,SUMIFS('BalSht Data'!$H$2:$H$2050,'BalSht Data'!$G$2:$G$2050,$A6,'BalSht Data'!$A$2:$A$2050,BV$1),#N/A)</f>
        <v>#N/A</v>
      </c>
      <c r="BW6" s="41" t="e">
        <f>IF(BW$1,SUMIFS('BalSht Data'!$H$2:$H$2050,'BalSht Data'!$G$2:$G$2050,$A6,'BalSht Data'!$A$2:$A$2050,BW$1),#N/A)</f>
        <v>#N/A</v>
      </c>
      <c r="BX6" s="41" t="e">
        <f>IF(BX$1,SUMIFS('BalSht Data'!$H$2:$H$2050,'BalSht Data'!$G$2:$G$2050,$A6,'BalSht Data'!$A$2:$A$2050,BX$1),#N/A)</f>
        <v>#N/A</v>
      </c>
      <c r="BY6" s="41" t="e">
        <f>IF(BY$1,SUMIFS('BalSht Data'!$H$2:$H$2050,'BalSht Data'!$G$2:$G$2050,$A6,'BalSht Data'!$A$2:$A$2050,BY$1),#N/A)</f>
        <v>#N/A</v>
      </c>
      <c r="BZ6" s="41" t="e">
        <f>IF(BZ$1,SUMIFS('BalSht Data'!$H$2:$H$2050,'BalSht Data'!$G$2:$G$2050,$A6,'BalSht Data'!$A$2:$A$2050,BZ$1),#N/A)</f>
        <v>#N/A</v>
      </c>
      <c r="CA6" s="41" t="e">
        <f>IF(CA$1,SUMIFS('BalSht Data'!$H$2:$H$2050,'BalSht Data'!$G$2:$G$2050,$A6,'BalSht Data'!$A$2:$A$2050,CA$1),#N/A)</f>
        <v>#N/A</v>
      </c>
      <c r="CB6" s="41" t="e">
        <f>IF(CB$1,SUMIFS('BalSht Data'!$H$2:$H$2050,'BalSht Data'!$G$2:$G$2050,$A6,'BalSht Data'!$A$2:$A$2050,CB$1),#N/A)</f>
        <v>#N/A</v>
      </c>
      <c r="CC6" s="41" t="e">
        <f>IF(CC$1,SUMIFS('BalSht Data'!$H$2:$H$2050,'BalSht Data'!$G$2:$G$2050,$A6,'BalSht Data'!$A$2:$A$2050,CC$1),#N/A)</f>
        <v>#N/A</v>
      </c>
      <c r="CD6" s="41" t="e">
        <f>IF(CD$1,SUMIFS('BalSht Data'!$H$2:$H$2050,'BalSht Data'!$G$2:$G$2050,$A6,'BalSht Data'!$A$2:$A$2050,CD$1),#N/A)</f>
        <v>#N/A</v>
      </c>
      <c r="CE6" s="41" t="e">
        <f>IF(CE$1,SUMIFS('BalSht Data'!$H$2:$H$2050,'BalSht Data'!$G$2:$G$2050,$A6,'BalSht Data'!$A$2:$A$2050,CE$1),#N/A)</f>
        <v>#N/A</v>
      </c>
      <c r="CF6" s="41" t="e">
        <f>IF(CF$1,SUMIFS('BalSht Data'!$H$2:$H$2050,'BalSht Data'!$G$2:$G$2050,$A6,'BalSht Data'!$A$2:$A$2050,CF$1),#N/A)</f>
        <v>#N/A</v>
      </c>
      <c r="CG6" s="41" t="e">
        <f>IF(CG$1,SUMIFS('BalSht Data'!$H$2:$H$2050,'BalSht Data'!$G$2:$G$2050,$A6,'BalSht Data'!$A$2:$A$2050,CG$1),#N/A)</f>
        <v>#N/A</v>
      </c>
      <c r="CH6" s="41" t="e">
        <f>IF(CH$1,SUMIFS('BalSht Data'!$H$2:$H$2050,'BalSht Data'!$G$2:$G$2050,$A6,'BalSht Data'!$A$2:$A$2050,CH$1),#N/A)</f>
        <v>#N/A</v>
      </c>
      <c r="CI6" s="41" t="e">
        <f>IF(CI$1,SUMIFS('BalSht Data'!$H$2:$H$2050,'BalSht Data'!$G$2:$G$2050,$A6,'BalSht Data'!$A$2:$A$2050,CI$1),#N/A)</f>
        <v>#N/A</v>
      </c>
      <c r="CJ6" s="41" t="e">
        <f>IF(CJ$1,SUMIFS('BalSht Data'!$H$2:$H$2050,'BalSht Data'!$G$2:$G$2050,$A6,'BalSht Data'!$A$2:$A$2050,CJ$1),#N/A)</f>
        <v>#N/A</v>
      </c>
      <c r="CK6" s="41" t="e">
        <f>IF(CK$1,SUMIFS('BalSht Data'!$H$2:$H$2050,'BalSht Data'!$G$2:$G$2050,$A6,'BalSht Data'!$A$2:$A$2050,CK$1),#N/A)</f>
        <v>#N/A</v>
      </c>
      <c r="CL6" s="41" t="e">
        <f>IF(CL$1,SUMIFS('BalSht Data'!$H$2:$H$2050,'BalSht Data'!$G$2:$G$2050,$A6,'BalSht Data'!$A$2:$A$2050,CL$1),#N/A)</f>
        <v>#N/A</v>
      </c>
      <c r="CM6" s="41" t="e">
        <f>IF(CM$1,SUMIFS('BalSht Data'!$H$2:$H$2050,'BalSht Data'!$G$2:$G$2050,$A6,'BalSht Data'!$A$2:$A$2050,CM$1),#N/A)</f>
        <v>#N/A</v>
      </c>
      <c r="CN6" s="41" t="e">
        <f>IF(CN$1,SUMIFS('BalSht Data'!$H$2:$H$2050,'BalSht Data'!$G$2:$G$2050,$A6,'BalSht Data'!$A$2:$A$2050,CN$1),#N/A)</f>
        <v>#N/A</v>
      </c>
      <c r="CO6" s="41" t="e">
        <f>IF(CO$1,SUMIFS('BalSht Data'!$H$2:$H$2050,'BalSht Data'!$G$2:$G$2050,$A6,'BalSht Data'!$A$2:$A$2050,CO$1),#N/A)</f>
        <v>#N/A</v>
      </c>
      <c r="CP6" s="41" t="e">
        <f>IF(CP$1,SUMIFS('BalSht Data'!$H$2:$H$2050,'BalSht Data'!$G$2:$G$2050,$A6,'BalSht Data'!$A$2:$A$2050,CP$1),#N/A)</f>
        <v>#N/A</v>
      </c>
      <c r="CQ6" s="41" t="e">
        <f>IF(CQ$1,SUMIFS('BalSht Data'!$H$2:$H$2050,'BalSht Data'!$G$2:$G$2050,$A6,'BalSht Data'!$A$2:$A$2050,CQ$1),#N/A)</f>
        <v>#N/A</v>
      </c>
      <c r="CR6" s="41" t="e">
        <f>IF(CR$1,SUMIFS('BalSht Data'!$H$2:$H$2050,'BalSht Data'!$G$2:$G$2050,$A6,'BalSht Data'!$A$2:$A$2050,CR$1),#N/A)</f>
        <v>#N/A</v>
      </c>
      <c r="CS6" s="41" t="e">
        <f>IF(CS$1,SUMIFS('BalSht Data'!$H$2:$H$2050,'BalSht Data'!$G$2:$G$2050,$A6,'BalSht Data'!$A$2:$A$2050,CS$1),#N/A)</f>
        <v>#N/A</v>
      </c>
      <c r="CT6" s="41" t="e">
        <f>IF(CT$1,SUMIFS('BalSht Data'!$H$2:$H$2050,'BalSht Data'!$G$2:$G$2050,$A6,'BalSht Data'!$A$2:$A$2050,CT$1),#N/A)</f>
        <v>#N/A</v>
      </c>
      <c r="CU6" s="41" t="e">
        <f>IF(CU$1,SUMIFS('BalSht Data'!$H$2:$H$2050,'BalSht Data'!$G$2:$G$2050,$A6,'BalSht Data'!$A$2:$A$2050,CU$1),#N/A)</f>
        <v>#N/A</v>
      </c>
      <c r="CV6" s="41" t="e">
        <f>IF(CV$1,SUMIFS('BalSht Data'!$H$2:$H$2050,'BalSht Data'!$G$2:$G$2050,$A6,'BalSht Data'!$A$2:$A$2050,CV$1),#N/A)</f>
        <v>#N/A</v>
      </c>
      <c r="CW6" s="41" t="e">
        <f>IF(CW$1,SUMIFS('BalSht Data'!$H$2:$H$2050,'BalSht Data'!$G$2:$G$2050,$A6,'BalSht Data'!$A$2:$A$2050,CW$1),#N/A)</f>
        <v>#N/A</v>
      </c>
      <c r="CX6" s="41" t="e">
        <f>IF(CX$1,SUMIFS('BalSht Data'!$H$2:$H$2050,'BalSht Data'!$G$2:$G$2050,$A6,'BalSht Data'!$A$2:$A$2050,CX$1),#N/A)</f>
        <v>#N/A</v>
      </c>
      <c r="CY6" s="41" t="e">
        <f>IF(CY$1,SUMIFS('BalSht Data'!$H$2:$H$2050,'BalSht Data'!$G$2:$G$2050,$A6,'BalSht Data'!$A$2:$A$2050,CY$1),#N/A)</f>
        <v>#N/A</v>
      </c>
      <c r="CZ6" s="41" t="e">
        <f>IF(CZ$1,SUMIFS('BalSht Data'!$H$2:$H$2050,'BalSht Data'!$G$2:$G$2050,$A6,'BalSht Data'!$A$2:$A$2050,CZ$1),#N/A)</f>
        <v>#N/A</v>
      </c>
    </row>
    <row r="7" spans="1:104" s="42" customFormat="1" x14ac:dyDescent="0.2">
      <c r="A7" s="57" t="s">
        <v>13</v>
      </c>
      <c r="B7" s="45" t="e">
        <f>IF(B$1,SUMIFS('BalSht Data'!$H$2:$H$2050,'BalSht Data'!$G$2:$G$2050,$A7,'BalSht Data'!$A$2:$A$2050,B$1),#N/A)</f>
        <v>#N/A</v>
      </c>
      <c r="C7" s="45" t="e">
        <f>IF(C$1,SUMIFS('BalSht Data'!$H$2:$H$2050,'BalSht Data'!$G$2:$G$2050,$A7,'BalSht Data'!$A$2:$A$2050,C$1),#N/A)</f>
        <v>#N/A</v>
      </c>
      <c r="D7" s="45" t="e">
        <f>IF(D$1,SUMIFS('BalSht Data'!$H$2:$H$2050,'BalSht Data'!$G$2:$G$2050,$A7,'BalSht Data'!$A$2:$A$2050,D$1),#N/A)</f>
        <v>#N/A</v>
      </c>
      <c r="E7" s="45" t="e">
        <f>IF(E$1,SUMIFS('BalSht Data'!$H$2:$H$2050,'BalSht Data'!$G$2:$G$2050,$A7,'BalSht Data'!$A$2:$A$2050,E$1),#N/A)</f>
        <v>#N/A</v>
      </c>
      <c r="F7" s="45" t="e">
        <f>IF(F$1,SUMIFS('BalSht Data'!$H$2:$H$2050,'BalSht Data'!$G$2:$G$2050,$A7,'BalSht Data'!$A$2:$A$2050,F$1),#N/A)</f>
        <v>#N/A</v>
      </c>
      <c r="G7" s="45" t="e">
        <f>IF(G$1,SUMIFS('BalSht Data'!$H$2:$H$2050,'BalSht Data'!$G$2:$G$2050,$A7,'BalSht Data'!$A$2:$A$2050,G$1),#N/A)</f>
        <v>#N/A</v>
      </c>
      <c r="H7" s="45" t="e">
        <f>IF(H$1,SUMIFS('BalSht Data'!$H$2:$H$2050,'BalSht Data'!$G$2:$G$2050,$A7,'BalSht Data'!$A$2:$A$2050,H$1),#N/A)</f>
        <v>#N/A</v>
      </c>
      <c r="I7" s="45" t="e">
        <f>IF(I$1,SUMIFS('BalSht Data'!$H$2:$H$2050,'BalSht Data'!$G$2:$G$2050,$A7,'BalSht Data'!$A$2:$A$2050,I$1),#N/A)</f>
        <v>#N/A</v>
      </c>
      <c r="J7" s="45" t="e">
        <f>IF(J$1,SUMIFS('BalSht Data'!$H$2:$H$2050,'BalSht Data'!$G$2:$G$2050,$A7,'BalSht Data'!$A$2:$A$2050,J$1),#N/A)</f>
        <v>#N/A</v>
      </c>
      <c r="K7" s="45" t="e">
        <f>IF(K$1,SUMIFS('BalSht Data'!$H$2:$H$2050,'BalSht Data'!$G$2:$G$2050,$A7,'BalSht Data'!$A$2:$A$2050,K$1),#N/A)</f>
        <v>#N/A</v>
      </c>
      <c r="L7" s="45" t="e">
        <f>IF(L$1,SUMIFS('BalSht Data'!$H$2:$H$2050,'BalSht Data'!$G$2:$G$2050,$A7,'BalSht Data'!$A$2:$A$2050,L$1),#N/A)</f>
        <v>#N/A</v>
      </c>
      <c r="M7" s="45" t="e">
        <f>IF(M$1,SUMIFS('BalSht Data'!$H$2:$H$2050,'BalSht Data'!$G$2:$G$2050,$A7,'BalSht Data'!$A$2:$A$2050,M$1),#N/A)</f>
        <v>#N/A</v>
      </c>
      <c r="N7" s="45" t="e">
        <f>IF(N$1,SUMIFS('BalSht Data'!$H$2:$H$2050,'BalSht Data'!$G$2:$G$2050,$A7,'BalSht Data'!$A$2:$A$2050,N$1),#N/A)</f>
        <v>#N/A</v>
      </c>
      <c r="O7" s="45" t="e">
        <f>IF(O$1,SUMIFS('BalSht Data'!$H$2:$H$2050,'BalSht Data'!$G$2:$G$2050,$A7,'BalSht Data'!$A$2:$A$2050,O$1),#N/A)</f>
        <v>#N/A</v>
      </c>
      <c r="P7" s="45" t="e">
        <f>IF(P$1,SUMIFS('BalSht Data'!$H$2:$H$2050,'BalSht Data'!$G$2:$G$2050,$A7,'BalSht Data'!$A$2:$A$2050,P$1),#N/A)</f>
        <v>#N/A</v>
      </c>
      <c r="Q7" s="45" t="e">
        <f>IF(Q$1,SUMIFS('BalSht Data'!$H$2:$H$2050,'BalSht Data'!$G$2:$G$2050,$A7,'BalSht Data'!$A$2:$A$2050,Q$1),#N/A)</f>
        <v>#N/A</v>
      </c>
      <c r="R7" s="45" t="e">
        <f>IF(R$1,SUMIFS('BalSht Data'!$H$2:$H$2050,'BalSht Data'!$G$2:$G$2050,$A7,'BalSht Data'!$A$2:$A$2050,R$1),#N/A)</f>
        <v>#N/A</v>
      </c>
      <c r="S7" s="45" t="e">
        <f>IF(S$1,SUMIFS('BalSht Data'!$H$2:$H$2050,'BalSht Data'!$G$2:$G$2050,$A7,'BalSht Data'!$A$2:$A$2050,S$1),#N/A)</f>
        <v>#N/A</v>
      </c>
      <c r="T7" s="45" t="e">
        <f>IF(T$1,SUMIFS('BalSht Data'!$H$2:$H$2050,'BalSht Data'!$G$2:$G$2050,$A7,'BalSht Data'!$A$2:$A$2050,T$1),#N/A)</f>
        <v>#N/A</v>
      </c>
      <c r="U7" s="45" t="e">
        <f>IF(U$1,SUMIFS('BalSht Data'!$H$2:$H$2050,'BalSht Data'!$G$2:$G$2050,$A7,'BalSht Data'!$A$2:$A$2050,U$1),#N/A)</f>
        <v>#N/A</v>
      </c>
      <c r="V7" s="45" t="e">
        <f>IF(V$1,SUMIFS('BalSht Data'!$H$2:$H$2050,'BalSht Data'!$G$2:$G$2050,$A7,'BalSht Data'!$A$2:$A$2050,V$1),#N/A)</f>
        <v>#N/A</v>
      </c>
      <c r="W7" s="45" t="e">
        <f>IF(W$1,SUMIFS('BalSht Data'!$H$2:$H$2050,'BalSht Data'!$G$2:$G$2050,$A7,'BalSht Data'!$A$2:$A$2050,W$1),#N/A)</f>
        <v>#N/A</v>
      </c>
      <c r="X7" s="45" t="e">
        <f>IF(X$1,SUMIFS('BalSht Data'!$H$2:$H$2050,'BalSht Data'!$G$2:$G$2050,$A7,'BalSht Data'!$A$2:$A$2050,X$1),#N/A)</f>
        <v>#N/A</v>
      </c>
      <c r="Y7" s="45" t="e">
        <f>IF(Y$1,SUMIFS('BalSht Data'!$H$2:$H$2050,'BalSht Data'!$G$2:$G$2050,$A7,'BalSht Data'!$A$2:$A$2050,Y$1),#N/A)</f>
        <v>#N/A</v>
      </c>
      <c r="Z7" s="45" t="e">
        <f>IF(Z$1,SUMIFS('BalSht Data'!$H$2:$H$2050,'BalSht Data'!$G$2:$G$2050,$A7,'BalSht Data'!$A$2:$A$2050,Z$1),#N/A)</f>
        <v>#N/A</v>
      </c>
      <c r="AA7" s="45" t="e">
        <f>IF(AA$1,SUMIFS('BalSht Data'!$H$2:$H$2050,'BalSht Data'!$G$2:$G$2050,$A7,'BalSht Data'!$A$2:$A$2050,AA$1),#N/A)</f>
        <v>#N/A</v>
      </c>
      <c r="AB7" s="45" t="e">
        <f>IF(AB$1,SUMIFS('BalSht Data'!$H$2:$H$2050,'BalSht Data'!$G$2:$G$2050,$A7,'BalSht Data'!$A$2:$A$2050,AB$1),#N/A)</f>
        <v>#N/A</v>
      </c>
      <c r="AC7" s="45" t="e">
        <f>IF(AC$1,SUMIFS('BalSht Data'!$H$2:$H$2050,'BalSht Data'!$G$2:$G$2050,$A7,'BalSht Data'!$A$2:$A$2050,AC$1),#N/A)</f>
        <v>#N/A</v>
      </c>
      <c r="AD7" s="45" t="e">
        <f>IF(AD$1,SUMIFS('BalSht Data'!$H$2:$H$2050,'BalSht Data'!$G$2:$G$2050,$A7,'BalSht Data'!$A$2:$A$2050,AD$1),#N/A)</f>
        <v>#N/A</v>
      </c>
      <c r="AE7" s="45" t="e">
        <f>IF(AE$1,SUMIFS('BalSht Data'!$H$2:$H$2050,'BalSht Data'!$G$2:$G$2050,$A7,'BalSht Data'!$A$2:$A$2050,AE$1),#N/A)</f>
        <v>#N/A</v>
      </c>
      <c r="AF7" s="45" t="e">
        <f>IF(AF$1,SUMIFS('BalSht Data'!$H$2:$H$2050,'BalSht Data'!$G$2:$G$2050,$A7,'BalSht Data'!$A$2:$A$2050,AF$1),#N/A)</f>
        <v>#N/A</v>
      </c>
      <c r="AG7" s="45" t="e">
        <f>IF(AG$1,SUMIFS('BalSht Data'!$H$2:$H$2050,'BalSht Data'!$G$2:$G$2050,$A7,'BalSht Data'!$A$2:$A$2050,AG$1),#N/A)</f>
        <v>#N/A</v>
      </c>
      <c r="AH7" s="45" t="e">
        <f>IF(AH$1,SUMIFS('BalSht Data'!$H$2:$H$2050,'BalSht Data'!$G$2:$G$2050,$A7,'BalSht Data'!$A$2:$A$2050,AH$1),#N/A)</f>
        <v>#N/A</v>
      </c>
      <c r="AI7" s="45" t="e">
        <f>IF(AI$1,SUMIFS('BalSht Data'!$H$2:$H$2050,'BalSht Data'!$G$2:$G$2050,$A7,'BalSht Data'!$A$2:$A$2050,AI$1),#N/A)</f>
        <v>#N/A</v>
      </c>
      <c r="AJ7" s="45" t="e">
        <f>IF(AJ$1,SUMIFS('BalSht Data'!$H$2:$H$2050,'BalSht Data'!$G$2:$G$2050,$A7,'BalSht Data'!$A$2:$A$2050,AJ$1),#N/A)</f>
        <v>#N/A</v>
      </c>
      <c r="AK7" s="45" t="e">
        <f>IF(AK$1,SUMIFS('BalSht Data'!$H$2:$H$2050,'BalSht Data'!$G$2:$G$2050,$A7,'BalSht Data'!$A$2:$A$2050,AK$1),#N/A)</f>
        <v>#N/A</v>
      </c>
      <c r="AL7" s="45" t="e">
        <f>IF(AL$1,SUMIFS('BalSht Data'!$H$2:$H$2050,'BalSht Data'!$G$2:$G$2050,$A7,'BalSht Data'!$A$2:$A$2050,AL$1),#N/A)</f>
        <v>#N/A</v>
      </c>
      <c r="AM7" s="45" t="e">
        <f>IF(AM$1,SUMIFS('BalSht Data'!$H$2:$H$2050,'BalSht Data'!$G$2:$G$2050,$A7,'BalSht Data'!$A$2:$A$2050,AM$1),#N/A)</f>
        <v>#N/A</v>
      </c>
      <c r="AN7" s="45" t="e">
        <f>IF(AN$1,SUMIFS('BalSht Data'!$H$2:$H$2050,'BalSht Data'!$G$2:$G$2050,$A7,'BalSht Data'!$A$2:$A$2050,AN$1),#N/A)</f>
        <v>#N/A</v>
      </c>
      <c r="AO7" s="45" t="e">
        <f>IF(AO$1,SUMIFS('BalSht Data'!$H$2:$H$2050,'BalSht Data'!$G$2:$G$2050,$A7,'BalSht Data'!$A$2:$A$2050,AO$1),#N/A)</f>
        <v>#N/A</v>
      </c>
      <c r="AP7" s="45" t="e">
        <f>IF(AP$1,SUMIFS('BalSht Data'!$H$2:$H$2050,'BalSht Data'!$G$2:$G$2050,$A7,'BalSht Data'!$A$2:$A$2050,AP$1),#N/A)</f>
        <v>#N/A</v>
      </c>
      <c r="AQ7" s="45" t="e">
        <f>IF(AQ$1,SUMIFS('BalSht Data'!$H$2:$H$2050,'BalSht Data'!$G$2:$G$2050,$A7,'BalSht Data'!$A$2:$A$2050,AQ$1),#N/A)</f>
        <v>#N/A</v>
      </c>
      <c r="AR7" s="45" t="e">
        <f>IF(AR$1,SUMIFS('BalSht Data'!$H$2:$H$2050,'BalSht Data'!$G$2:$G$2050,$A7,'BalSht Data'!$A$2:$A$2050,AR$1),#N/A)</f>
        <v>#N/A</v>
      </c>
      <c r="AS7" s="45" t="e">
        <f>IF(AS$1,SUMIFS('BalSht Data'!$H$2:$H$2050,'BalSht Data'!$G$2:$G$2050,$A7,'BalSht Data'!$A$2:$A$2050,AS$1),#N/A)</f>
        <v>#N/A</v>
      </c>
      <c r="AT7" s="45" t="e">
        <f>IF(AT$1,SUMIFS('BalSht Data'!$H$2:$H$2050,'BalSht Data'!$G$2:$G$2050,$A7,'BalSht Data'!$A$2:$A$2050,AT$1),#N/A)</f>
        <v>#N/A</v>
      </c>
      <c r="AU7" s="45" t="e">
        <f>IF(AU$1,SUMIFS('BalSht Data'!$H$2:$H$2050,'BalSht Data'!$G$2:$G$2050,$A7,'BalSht Data'!$A$2:$A$2050,AU$1),#N/A)</f>
        <v>#N/A</v>
      </c>
      <c r="AV7" s="45" t="e">
        <f>IF(AV$1,SUMIFS('BalSht Data'!$H$2:$H$2050,'BalSht Data'!$G$2:$G$2050,$A7,'BalSht Data'!$A$2:$A$2050,AV$1),#N/A)</f>
        <v>#N/A</v>
      </c>
      <c r="AW7" s="45" t="e">
        <f>IF(AW$1,SUMIFS('BalSht Data'!$H$2:$H$2050,'BalSht Data'!$G$2:$G$2050,$A7,'BalSht Data'!$A$2:$A$2050,AW$1),#N/A)</f>
        <v>#N/A</v>
      </c>
      <c r="AX7" s="45" t="e">
        <f>IF(AX$1,SUMIFS('BalSht Data'!$H$2:$H$2050,'BalSht Data'!$G$2:$G$2050,$A7,'BalSht Data'!$A$2:$A$2050,AX$1),#N/A)</f>
        <v>#N/A</v>
      </c>
      <c r="AY7" s="45" t="e">
        <f>IF(AY$1,SUMIFS('BalSht Data'!$H$2:$H$2050,'BalSht Data'!$G$2:$G$2050,$A7,'BalSht Data'!$A$2:$A$2050,AY$1),#N/A)</f>
        <v>#N/A</v>
      </c>
      <c r="AZ7" s="45" t="e">
        <f>IF(AZ$1,SUMIFS('BalSht Data'!$H$2:$H$2050,'BalSht Data'!$G$2:$G$2050,$A7,'BalSht Data'!$A$2:$A$2050,AZ$1),#N/A)</f>
        <v>#N/A</v>
      </c>
      <c r="BA7" s="45" t="e">
        <f>IF(BA$1,SUMIFS('BalSht Data'!$H$2:$H$2050,'BalSht Data'!$G$2:$G$2050,$A7,'BalSht Data'!$A$2:$A$2050,BA$1),#N/A)</f>
        <v>#N/A</v>
      </c>
      <c r="BB7" s="45" t="e">
        <f>IF(BB$1,SUMIFS('BalSht Data'!$H$2:$H$2050,'BalSht Data'!$G$2:$G$2050,$A7,'BalSht Data'!$A$2:$A$2050,BB$1),#N/A)</f>
        <v>#N/A</v>
      </c>
      <c r="BC7" s="45" t="e">
        <f>IF(BC$1,SUMIFS('BalSht Data'!$H$2:$H$2050,'BalSht Data'!$G$2:$G$2050,$A7,'BalSht Data'!$A$2:$A$2050,BC$1),#N/A)</f>
        <v>#N/A</v>
      </c>
      <c r="BD7" s="45" t="e">
        <f>IF(BD$1,SUMIFS('BalSht Data'!$H$2:$H$2050,'BalSht Data'!$G$2:$G$2050,$A7,'BalSht Data'!$A$2:$A$2050,BD$1),#N/A)</f>
        <v>#N/A</v>
      </c>
      <c r="BE7" s="45" t="e">
        <f>IF(BE$1,SUMIFS('BalSht Data'!$H$2:$H$2050,'BalSht Data'!$G$2:$G$2050,$A7,'BalSht Data'!$A$2:$A$2050,BE$1),#N/A)</f>
        <v>#N/A</v>
      </c>
      <c r="BF7" s="45" t="e">
        <f>IF(BF$1,SUMIFS('BalSht Data'!$H$2:$H$2050,'BalSht Data'!$G$2:$G$2050,$A7,'BalSht Data'!$A$2:$A$2050,BF$1),#N/A)</f>
        <v>#N/A</v>
      </c>
      <c r="BG7" s="45" t="e">
        <f>IF(BG$1,SUMIFS('BalSht Data'!$H$2:$H$2050,'BalSht Data'!$G$2:$G$2050,$A7,'BalSht Data'!$A$2:$A$2050,BG$1),#N/A)</f>
        <v>#N/A</v>
      </c>
      <c r="BH7" s="45" t="e">
        <f>IF(BH$1,SUMIFS('BalSht Data'!$H$2:$H$2050,'BalSht Data'!$G$2:$G$2050,$A7,'BalSht Data'!$A$2:$A$2050,BH$1),#N/A)</f>
        <v>#N/A</v>
      </c>
      <c r="BI7" s="45" t="e">
        <f>IF(BI$1,SUMIFS('BalSht Data'!$H$2:$H$2050,'BalSht Data'!$G$2:$G$2050,$A7,'BalSht Data'!$A$2:$A$2050,BI$1),#N/A)</f>
        <v>#N/A</v>
      </c>
      <c r="BJ7" s="45" t="e">
        <f>IF(BJ$1,SUMIFS('BalSht Data'!$H$2:$H$2050,'BalSht Data'!$G$2:$G$2050,$A7,'BalSht Data'!$A$2:$A$2050,BJ$1),#N/A)</f>
        <v>#N/A</v>
      </c>
      <c r="BK7" s="45" t="e">
        <f>IF(BK$1,SUMIFS('BalSht Data'!$H$2:$H$2050,'BalSht Data'!$G$2:$G$2050,$A7,'BalSht Data'!$A$2:$A$2050,BK$1),#N/A)</f>
        <v>#N/A</v>
      </c>
      <c r="BL7" s="45" t="e">
        <f>IF(BL$1,SUMIFS('BalSht Data'!$H$2:$H$2050,'BalSht Data'!$G$2:$G$2050,$A7,'BalSht Data'!$A$2:$A$2050,BL$1),#N/A)</f>
        <v>#N/A</v>
      </c>
      <c r="BM7" s="45" t="e">
        <f>IF(BM$1,SUMIFS('BalSht Data'!$H$2:$H$2050,'BalSht Data'!$G$2:$G$2050,$A7,'BalSht Data'!$A$2:$A$2050,BM$1),#N/A)</f>
        <v>#N/A</v>
      </c>
      <c r="BN7" s="45" t="e">
        <f>IF(BN$1,SUMIFS('BalSht Data'!$H$2:$H$2050,'BalSht Data'!$G$2:$G$2050,$A7,'BalSht Data'!$A$2:$A$2050,BN$1),#N/A)</f>
        <v>#N/A</v>
      </c>
      <c r="BO7" s="45" t="e">
        <f>IF(BO$1,SUMIFS('BalSht Data'!$H$2:$H$2050,'BalSht Data'!$G$2:$G$2050,$A7,'BalSht Data'!$A$2:$A$2050,BO$1),#N/A)</f>
        <v>#N/A</v>
      </c>
      <c r="BP7" s="45" t="e">
        <f>IF(BP$1,SUMIFS('BalSht Data'!$H$2:$H$2050,'BalSht Data'!$G$2:$G$2050,$A7,'BalSht Data'!$A$2:$A$2050,BP$1),#N/A)</f>
        <v>#N/A</v>
      </c>
      <c r="BQ7" s="45" t="e">
        <f>IF(BQ$1,SUMIFS('BalSht Data'!$H$2:$H$2050,'BalSht Data'!$G$2:$G$2050,$A7,'BalSht Data'!$A$2:$A$2050,BQ$1),#N/A)</f>
        <v>#N/A</v>
      </c>
      <c r="BR7" s="45" t="e">
        <f>IF(BR$1,SUMIFS('BalSht Data'!$H$2:$H$2050,'BalSht Data'!$G$2:$G$2050,$A7,'BalSht Data'!$A$2:$A$2050,BR$1),#N/A)</f>
        <v>#N/A</v>
      </c>
      <c r="BS7" s="45" t="e">
        <f>IF(BS$1,SUMIFS('BalSht Data'!$H$2:$H$2050,'BalSht Data'!$G$2:$G$2050,$A7,'BalSht Data'!$A$2:$A$2050,BS$1),#N/A)</f>
        <v>#N/A</v>
      </c>
      <c r="BT7" s="45" t="e">
        <f>IF(BT$1,SUMIFS('BalSht Data'!$H$2:$H$2050,'BalSht Data'!$G$2:$G$2050,$A7,'BalSht Data'!$A$2:$A$2050,BT$1),#N/A)</f>
        <v>#N/A</v>
      </c>
      <c r="BU7" s="45" t="e">
        <f>IF(BU$1,SUMIFS('BalSht Data'!$H$2:$H$2050,'BalSht Data'!$G$2:$G$2050,$A7,'BalSht Data'!$A$2:$A$2050,BU$1),#N/A)</f>
        <v>#N/A</v>
      </c>
      <c r="BV7" s="45" t="e">
        <f>IF(BV$1,SUMIFS('BalSht Data'!$H$2:$H$2050,'BalSht Data'!$G$2:$G$2050,$A7,'BalSht Data'!$A$2:$A$2050,BV$1),#N/A)</f>
        <v>#N/A</v>
      </c>
      <c r="BW7" s="45" t="e">
        <f>IF(BW$1,SUMIFS('BalSht Data'!$H$2:$H$2050,'BalSht Data'!$G$2:$G$2050,$A7,'BalSht Data'!$A$2:$A$2050,BW$1),#N/A)</f>
        <v>#N/A</v>
      </c>
      <c r="BX7" s="45" t="e">
        <f>IF(BX$1,SUMIFS('BalSht Data'!$H$2:$H$2050,'BalSht Data'!$G$2:$G$2050,$A7,'BalSht Data'!$A$2:$A$2050,BX$1),#N/A)</f>
        <v>#N/A</v>
      </c>
      <c r="BY7" s="45" t="e">
        <f>IF(BY$1,SUMIFS('BalSht Data'!$H$2:$H$2050,'BalSht Data'!$G$2:$G$2050,$A7,'BalSht Data'!$A$2:$A$2050,BY$1),#N/A)</f>
        <v>#N/A</v>
      </c>
      <c r="BZ7" s="45" t="e">
        <f>IF(BZ$1,SUMIFS('BalSht Data'!$H$2:$H$2050,'BalSht Data'!$G$2:$G$2050,$A7,'BalSht Data'!$A$2:$A$2050,BZ$1),#N/A)</f>
        <v>#N/A</v>
      </c>
      <c r="CA7" s="45" t="e">
        <f>IF(CA$1,SUMIFS('BalSht Data'!$H$2:$H$2050,'BalSht Data'!$G$2:$G$2050,$A7,'BalSht Data'!$A$2:$A$2050,CA$1),#N/A)</f>
        <v>#N/A</v>
      </c>
      <c r="CB7" s="45" t="e">
        <f>IF(CB$1,SUMIFS('BalSht Data'!$H$2:$H$2050,'BalSht Data'!$G$2:$G$2050,$A7,'BalSht Data'!$A$2:$A$2050,CB$1),#N/A)</f>
        <v>#N/A</v>
      </c>
      <c r="CC7" s="45" t="e">
        <f>IF(CC$1,SUMIFS('BalSht Data'!$H$2:$H$2050,'BalSht Data'!$G$2:$G$2050,$A7,'BalSht Data'!$A$2:$A$2050,CC$1),#N/A)</f>
        <v>#N/A</v>
      </c>
      <c r="CD7" s="45" t="e">
        <f>IF(CD$1,SUMIFS('BalSht Data'!$H$2:$H$2050,'BalSht Data'!$G$2:$G$2050,$A7,'BalSht Data'!$A$2:$A$2050,CD$1),#N/A)</f>
        <v>#N/A</v>
      </c>
      <c r="CE7" s="45" t="e">
        <f>IF(CE$1,SUMIFS('BalSht Data'!$H$2:$H$2050,'BalSht Data'!$G$2:$G$2050,$A7,'BalSht Data'!$A$2:$A$2050,CE$1),#N/A)</f>
        <v>#N/A</v>
      </c>
      <c r="CF7" s="45" t="e">
        <f>IF(CF$1,SUMIFS('BalSht Data'!$H$2:$H$2050,'BalSht Data'!$G$2:$G$2050,$A7,'BalSht Data'!$A$2:$A$2050,CF$1),#N/A)</f>
        <v>#N/A</v>
      </c>
      <c r="CG7" s="45" t="e">
        <f>IF(CG$1,SUMIFS('BalSht Data'!$H$2:$H$2050,'BalSht Data'!$G$2:$G$2050,$A7,'BalSht Data'!$A$2:$A$2050,CG$1),#N/A)</f>
        <v>#N/A</v>
      </c>
      <c r="CH7" s="45" t="e">
        <f>IF(CH$1,SUMIFS('BalSht Data'!$H$2:$H$2050,'BalSht Data'!$G$2:$G$2050,$A7,'BalSht Data'!$A$2:$A$2050,CH$1),#N/A)</f>
        <v>#N/A</v>
      </c>
      <c r="CI7" s="45" t="e">
        <f>IF(CI$1,SUMIFS('BalSht Data'!$H$2:$H$2050,'BalSht Data'!$G$2:$G$2050,$A7,'BalSht Data'!$A$2:$A$2050,CI$1),#N/A)</f>
        <v>#N/A</v>
      </c>
      <c r="CJ7" s="45" t="e">
        <f>IF(CJ$1,SUMIFS('BalSht Data'!$H$2:$H$2050,'BalSht Data'!$G$2:$G$2050,$A7,'BalSht Data'!$A$2:$A$2050,CJ$1),#N/A)</f>
        <v>#N/A</v>
      </c>
      <c r="CK7" s="45" t="e">
        <f>IF(CK$1,SUMIFS('BalSht Data'!$H$2:$H$2050,'BalSht Data'!$G$2:$G$2050,$A7,'BalSht Data'!$A$2:$A$2050,CK$1),#N/A)</f>
        <v>#N/A</v>
      </c>
      <c r="CL7" s="45" t="e">
        <f>IF(CL$1,SUMIFS('BalSht Data'!$H$2:$H$2050,'BalSht Data'!$G$2:$G$2050,$A7,'BalSht Data'!$A$2:$A$2050,CL$1),#N/A)</f>
        <v>#N/A</v>
      </c>
      <c r="CM7" s="45" t="e">
        <f>IF(CM$1,SUMIFS('BalSht Data'!$H$2:$H$2050,'BalSht Data'!$G$2:$G$2050,$A7,'BalSht Data'!$A$2:$A$2050,CM$1),#N/A)</f>
        <v>#N/A</v>
      </c>
      <c r="CN7" s="45" t="e">
        <f>IF(CN$1,SUMIFS('BalSht Data'!$H$2:$H$2050,'BalSht Data'!$G$2:$G$2050,$A7,'BalSht Data'!$A$2:$A$2050,CN$1),#N/A)</f>
        <v>#N/A</v>
      </c>
      <c r="CO7" s="45" t="e">
        <f>IF(CO$1,SUMIFS('BalSht Data'!$H$2:$H$2050,'BalSht Data'!$G$2:$G$2050,$A7,'BalSht Data'!$A$2:$A$2050,CO$1),#N/A)</f>
        <v>#N/A</v>
      </c>
      <c r="CP7" s="45" t="e">
        <f>IF(CP$1,SUMIFS('BalSht Data'!$H$2:$H$2050,'BalSht Data'!$G$2:$G$2050,$A7,'BalSht Data'!$A$2:$A$2050,CP$1),#N/A)</f>
        <v>#N/A</v>
      </c>
      <c r="CQ7" s="45" t="e">
        <f>IF(CQ$1,SUMIFS('BalSht Data'!$H$2:$H$2050,'BalSht Data'!$G$2:$G$2050,$A7,'BalSht Data'!$A$2:$A$2050,CQ$1),#N/A)</f>
        <v>#N/A</v>
      </c>
      <c r="CR7" s="45" t="e">
        <f>IF(CR$1,SUMIFS('BalSht Data'!$H$2:$H$2050,'BalSht Data'!$G$2:$G$2050,$A7,'BalSht Data'!$A$2:$A$2050,CR$1),#N/A)</f>
        <v>#N/A</v>
      </c>
      <c r="CS7" s="45" t="e">
        <f>IF(CS$1,SUMIFS('BalSht Data'!$H$2:$H$2050,'BalSht Data'!$G$2:$G$2050,$A7,'BalSht Data'!$A$2:$A$2050,CS$1),#N/A)</f>
        <v>#N/A</v>
      </c>
      <c r="CT7" s="45" t="e">
        <f>IF(CT$1,SUMIFS('BalSht Data'!$H$2:$H$2050,'BalSht Data'!$G$2:$G$2050,$A7,'BalSht Data'!$A$2:$A$2050,CT$1),#N/A)</f>
        <v>#N/A</v>
      </c>
      <c r="CU7" s="45" t="e">
        <f>IF(CU$1,SUMIFS('BalSht Data'!$H$2:$H$2050,'BalSht Data'!$G$2:$G$2050,$A7,'BalSht Data'!$A$2:$A$2050,CU$1),#N/A)</f>
        <v>#N/A</v>
      </c>
      <c r="CV7" s="45" t="e">
        <f>IF(CV$1,SUMIFS('BalSht Data'!$H$2:$H$2050,'BalSht Data'!$G$2:$G$2050,$A7,'BalSht Data'!$A$2:$A$2050,CV$1),#N/A)</f>
        <v>#N/A</v>
      </c>
      <c r="CW7" s="45" t="e">
        <f>IF(CW$1,SUMIFS('BalSht Data'!$H$2:$H$2050,'BalSht Data'!$G$2:$G$2050,$A7,'BalSht Data'!$A$2:$A$2050,CW$1),#N/A)</f>
        <v>#N/A</v>
      </c>
      <c r="CX7" s="45" t="e">
        <f>IF(CX$1,SUMIFS('BalSht Data'!$H$2:$H$2050,'BalSht Data'!$G$2:$G$2050,$A7,'BalSht Data'!$A$2:$A$2050,CX$1),#N/A)</f>
        <v>#N/A</v>
      </c>
      <c r="CY7" s="45" t="e">
        <f>IF(CY$1,SUMIFS('BalSht Data'!$H$2:$H$2050,'BalSht Data'!$G$2:$G$2050,$A7,'BalSht Data'!$A$2:$A$2050,CY$1),#N/A)</f>
        <v>#N/A</v>
      </c>
      <c r="CZ7" s="45" t="e">
        <f>IF(CZ$1,SUMIFS('BalSht Data'!$H$2:$H$2050,'BalSht Data'!$G$2:$G$2050,$A7,'BalSht Data'!$A$2:$A$2050,CZ$1),#N/A)</f>
        <v>#N/A</v>
      </c>
    </row>
    <row r="8" spans="1:104" s="42" customFormat="1" x14ac:dyDescent="0.2">
      <c r="A8" s="57" t="s">
        <v>15</v>
      </c>
      <c r="B8" s="45" t="e">
        <f>IF(B$1,SUMIFS('BalSht Data'!$H$2:$H$2050,'BalSht Data'!$G$2:$G$2050,$A8,'BalSht Data'!$A$2:$A$2050,B$1),#N/A)</f>
        <v>#N/A</v>
      </c>
      <c r="C8" s="45" t="e">
        <f>IF(C$1,SUMIFS('BalSht Data'!$H$2:$H$2050,'BalSht Data'!$G$2:$G$2050,$A8,'BalSht Data'!$A$2:$A$2050,C$1),#N/A)</f>
        <v>#N/A</v>
      </c>
      <c r="D8" s="45" t="e">
        <f>IF(D$1,SUMIFS('BalSht Data'!$H$2:$H$2050,'BalSht Data'!$G$2:$G$2050,$A8,'BalSht Data'!$A$2:$A$2050,D$1),#N/A)</f>
        <v>#N/A</v>
      </c>
      <c r="E8" s="45" t="e">
        <f>IF(E$1,SUMIFS('BalSht Data'!$H$2:$H$2050,'BalSht Data'!$G$2:$G$2050,$A8,'BalSht Data'!$A$2:$A$2050,E$1),#N/A)</f>
        <v>#N/A</v>
      </c>
      <c r="F8" s="45" t="e">
        <f>IF(F$1,SUMIFS('BalSht Data'!$H$2:$H$2050,'BalSht Data'!$G$2:$G$2050,$A8,'BalSht Data'!$A$2:$A$2050,F$1),#N/A)</f>
        <v>#N/A</v>
      </c>
      <c r="G8" s="45" t="e">
        <f>IF(G$1,SUMIFS('BalSht Data'!$H$2:$H$2050,'BalSht Data'!$G$2:$G$2050,$A8,'BalSht Data'!$A$2:$A$2050,G$1),#N/A)</f>
        <v>#N/A</v>
      </c>
      <c r="H8" s="45" t="e">
        <f>IF(H$1,SUMIFS('BalSht Data'!$H$2:$H$2050,'BalSht Data'!$G$2:$G$2050,$A8,'BalSht Data'!$A$2:$A$2050,H$1),#N/A)</f>
        <v>#N/A</v>
      </c>
      <c r="I8" s="45" t="e">
        <f>IF(I$1,SUMIFS('BalSht Data'!$H$2:$H$2050,'BalSht Data'!$G$2:$G$2050,$A8,'BalSht Data'!$A$2:$A$2050,I$1),#N/A)</f>
        <v>#N/A</v>
      </c>
      <c r="J8" s="45" t="e">
        <f>IF(J$1,SUMIFS('BalSht Data'!$H$2:$H$2050,'BalSht Data'!$G$2:$G$2050,$A8,'BalSht Data'!$A$2:$A$2050,J$1),#N/A)</f>
        <v>#N/A</v>
      </c>
      <c r="K8" s="45" t="e">
        <f>IF(K$1,SUMIFS('BalSht Data'!$H$2:$H$2050,'BalSht Data'!$G$2:$G$2050,$A8,'BalSht Data'!$A$2:$A$2050,K$1),#N/A)</f>
        <v>#N/A</v>
      </c>
      <c r="L8" s="45" t="e">
        <f>IF(L$1,SUMIFS('BalSht Data'!$H$2:$H$2050,'BalSht Data'!$G$2:$G$2050,$A8,'BalSht Data'!$A$2:$A$2050,L$1),#N/A)</f>
        <v>#N/A</v>
      </c>
      <c r="M8" s="45" t="e">
        <f>IF(M$1,SUMIFS('BalSht Data'!$H$2:$H$2050,'BalSht Data'!$G$2:$G$2050,$A8,'BalSht Data'!$A$2:$A$2050,M$1),#N/A)</f>
        <v>#N/A</v>
      </c>
      <c r="N8" s="45" t="e">
        <f>IF(N$1,SUMIFS('BalSht Data'!$H$2:$H$2050,'BalSht Data'!$G$2:$G$2050,$A8,'BalSht Data'!$A$2:$A$2050,N$1),#N/A)</f>
        <v>#N/A</v>
      </c>
      <c r="O8" s="45" t="e">
        <f>IF(O$1,SUMIFS('BalSht Data'!$H$2:$H$2050,'BalSht Data'!$G$2:$G$2050,$A8,'BalSht Data'!$A$2:$A$2050,O$1),#N/A)</f>
        <v>#N/A</v>
      </c>
      <c r="P8" s="45" t="e">
        <f>IF(P$1,SUMIFS('BalSht Data'!$H$2:$H$2050,'BalSht Data'!$G$2:$G$2050,$A8,'BalSht Data'!$A$2:$A$2050,P$1),#N/A)</f>
        <v>#N/A</v>
      </c>
      <c r="Q8" s="45" t="e">
        <f>IF(Q$1,SUMIFS('BalSht Data'!$H$2:$H$2050,'BalSht Data'!$G$2:$G$2050,$A8,'BalSht Data'!$A$2:$A$2050,Q$1),#N/A)</f>
        <v>#N/A</v>
      </c>
      <c r="R8" s="45" t="e">
        <f>IF(R$1,SUMIFS('BalSht Data'!$H$2:$H$2050,'BalSht Data'!$G$2:$G$2050,$A8,'BalSht Data'!$A$2:$A$2050,R$1),#N/A)</f>
        <v>#N/A</v>
      </c>
      <c r="S8" s="45" t="e">
        <f>IF(S$1,SUMIFS('BalSht Data'!$H$2:$H$2050,'BalSht Data'!$G$2:$G$2050,$A8,'BalSht Data'!$A$2:$A$2050,S$1),#N/A)</f>
        <v>#N/A</v>
      </c>
      <c r="T8" s="45" t="e">
        <f>IF(T$1,SUMIFS('BalSht Data'!$H$2:$H$2050,'BalSht Data'!$G$2:$G$2050,$A8,'BalSht Data'!$A$2:$A$2050,T$1),#N/A)</f>
        <v>#N/A</v>
      </c>
      <c r="U8" s="45" t="e">
        <f>IF(U$1,SUMIFS('BalSht Data'!$H$2:$H$2050,'BalSht Data'!$G$2:$G$2050,$A8,'BalSht Data'!$A$2:$A$2050,U$1),#N/A)</f>
        <v>#N/A</v>
      </c>
      <c r="V8" s="45" t="e">
        <f>IF(V$1,SUMIFS('BalSht Data'!$H$2:$H$2050,'BalSht Data'!$G$2:$G$2050,$A8,'BalSht Data'!$A$2:$A$2050,V$1),#N/A)</f>
        <v>#N/A</v>
      </c>
      <c r="W8" s="45" t="e">
        <f>IF(W$1,SUMIFS('BalSht Data'!$H$2:$H$2050,'BalSht Data'!$G$2:$G$2050,$A8,'BalSht Data'!$A$2:$A$2050,W$1),#N/A)</f>
        <v>#N/A</v>
      </c>
      <c r="X8" s="45" t="e">
        <f>IF(X$1,SUMIFS('BalSht Data'!$H$2:$H$2050,'BalSht Data'!$G$2:$G$2050,$A8,'BalSht Data'!$A$2:$A$2050,X$1),#N/A)</f>
        <v>#N/A</v>
      </c>
      <c r="Y8" s="45" t="e">
        <f>IF(Y$1,SUMIFS('BalSht Data'!$H$2:$H$2050,'BalSht Data'!$G$2:$G$2050,$A8,'BalSht Data'!$A$2:$A$2050,Y$1),#N/A)</f>
        <v>#N/A</v>
      </c>
      <c r="Z8" s="45" t="e">
        <f>IF(Z$1,SUMIFS('BalSht Data'!$H$2:$H$2050,'BalSht Data'!$G$2:$G$2050,$A8,'BalSht Data'!$A$2:$A$2050,Z$1),#N/A)</f>
        <v>#N/A</v>
      </c>
      <c r="AA8" s="45" t="e">
        <f>IF(AA$1,SUMIFS('BalSht Data'!$H$2:$H$2050,'BalSht Data'!$G$2:$G$2050,$A8,'BalSht Data'!$A$2:$A$2050,AA$1),#N/A)</f>
        <v>#N/A</v>
      </c>
      <c r="AB8" s="45" t="e">
        <f>IF(AB$1,SUMIFS('BalSht Data'!$H$2:$H$2050,'BalSht Data'!$G$2:$G$2050,$A8,'BalSht Data'!$A$2:$A$2050,AB$1),#N/A)</f>
        <v>#N/A</v>
      </c>
      <c r="AC8" s="45" t="e">
        <f>IF(AC$1,SUMIFS('BalSht Data'!$H$2:$H$2050,'BalSht Data'!$G$2:$G$2050,$A8,'BalSht Data'!$A$2:$A$2050,AC$1),#N/A)</f>
        <v>#N/A</v>
      </c>
      <c r="AD8" s="45" t="e">
        <f>IF(AD$1,SUMIFS('BalSht Data'!$H$2:$H$2050,'BalSht Data'!$G$2:$G$2050,$A8,'BalSht Data'!$A$2:$A$2050,AD$1),#N/A)</f>
        <v>#N/A</v>
      </c>
      <c r="AE8" s="45" t="e">
        <f>IF(AE$1,SUMIFS('BalSht Data'!$H$2:$H$2050,'BalSht Data'!$G$2:$G$2050,$A8,'BalSht Data'!$A$2:$A$2050,AE$1),#N/A)</f>
        <v>#N/A</v>
      </c>
      <c r="AF8" s="45" t="e">
        <f>IF(AF$1,SUMIFS('BalSht Data'!$H$2:$H$2050,'BalSht Data'!$G$2:$G$2050,$A8,'BalSht Data'!$A$2:$A$2050,AF$1),#N/A)</f>
        <v>#N/A</v>
      </c>
      <c r="AG8" s="45" t="e">
        <f>IF(AG$1,SUMIFS('BalSht Data'!$H$2:$H$2050,'BalSht Data'!$G$2:$G$2050,$A8,'BalSht Data'!$A$2:$A$2050,AG$1),#N/A)</f>
        <v>#N/A</v>
      </c>
      <c r="AH8" s="45" t="e">
        <f>IF(AH$1,SUMIFS('BalSht Data'!$H$2:$H$2050,'BalSht Data'!$G$2:$G$2050,$A8,'BalSht Data'!$A$2:$A$2050,AH$1),#N/A)</f>
        <v>#N/A</v>
      </c>
      <c r="AI8" s="45" t="e">
        <f>IF(AI$1,SUMIFS('BalSht Data'!$H$2:$H$2050,'BalSht Data'!$G$2:$G$2050,$A8,'BalSht Data'!$A$2:$A$2050,AI$1),#N/A)</f>
        <v>#N/A</v>
      </c>
      <c r="AJ8" s="45" t="e">
        <f>IF(AJ$1,SUMIFS('BalSht Data'!$H$2:$H$2050,'BalSht Data'!$G$2:$G$2050,$A8,'BalSht Data'!$A$2:$A$2050,AJ$1),#N/A)</f>
        <v>#N/A</v>
      </c>
      <c r="AK8" s="45" t="e">
        <f>IF(AK$1,SUMIFS('BalSht Data'!$H$2:$H$2050,'BalSht Data'!$G$2:$G$2050,$A8,'BalSht Data'!$A$2:$A$2050,AK$1),#N/A)</f>
        <v>#N/A</v>
      </c>
      <c r="AL8" s="45" t="e">
        <f>IF(AL$1,SUMIFS('BalSht Data'!$H$2:$H$2050,'BalSht Data'!$G$2:$G$2050,$A8,'BalSht Data'!$A$2:$A$2050,AL$1),#N/A)</f>
        <v>#N/A</v>
      </c>
      <c r="AM8" s="45" t="e">
        <f>IF(AM$1,SUMIFS('BalSht Data'!$H$2:$H$2050,'BalSht Data'!$G$2:$G$2050,$A8,'BalSht Data'!$A$2:$A$2050,AM$1),#N/A)</f>
        <v>#N/A</v>
      </c>
      <c r="AN8" s="45" t="e">
        <f>IF(AN$1,SUMIFS('BalSht Data'!$H$2:$H$2050,'BalSht Data'!$G$2:$G$2050,$A8,'BalSht Data'!$A$2:$A$2050,AN$1),#N/A)</f>
        <v>#N/A</v>
      </c>
      <c r="AO8" s="45" t="e">
        <f>IF(AO$1,SUMIFS('BalSht Data'!$H$2:$H$2050,'BalSht Data'!$G$2:$G$2050,$A8,'BalSht Data'!$A$2:$A$2050,AO$1),#N/A)</f>
        <v>#N/A</v>
      </c>
      <c r="AP8" s="45" t="e">
        <f>IF(AP$1,SUMIFS('BalSht Data'!$H$2:$H$2050,'BalSht Data'!$G$2:$G$2050,$A8,'BalSht Data'!$A$2:$A$2050,AP$1),#N/A)</f>
        <v>#N/A</v>
      </c>
      <c r="AQ8" s="45" t="e">
        <f>IF(AQ$1,SUMIFS('BalSht Data'!$H$2:$H$2050,'BalSht Data'!$G$2:$G$2050,$A8,'BalSht Data'!$A$2:$A$2050,AQ$1),#N/A)</f>
        <v>#N/A</v>
      </c>
      <c r="AR8" s="45" t="e">
        <f>IF(AR$1,SUMIFS('BalSht Data'!$H$2:$H$2050,'BalSht Data'!$G$2:$G$2050,$A8,'BalSht Data'!$A$2:$A$2050,AR$1),#N/A)</f>
        <v>#N/A</v>
      </c>
      <c r="AS8" s="45" t="e">
        <f>IF(AS$1,SUMIFS('BalSht Data'!$H$2:$H$2050,'BalSht Data'!$G$2:$G$2050,$A8,'BalSht Data'!$A$2:$A$2050,AS$1),#N/A)</f>
        <v>#N/A</v>
      </c>
      <c r="AT8" s="45" t="e">
        <f>IF(AT$1,SUMIFS('BalSht Data'!$H$2:$H$2050,'BalSht Data'!$G$2:$G$2050,$A8,'BalSht Data'!$A$2:$A$2050,AT$1),#N/A)</f>
        <v>#N/A</v>
      </c>
      <c r="AU8" s="45" t="e">
        <f>IF(AU$1,SUMIFS('BalSht Data'!$H$2:$H$2050,'BalSht Data'!$G$2:$G$2050,$A8,'BalSht Data'!$A$2:$A$2050,AU$1),#N/A)</f>
        <v>#N/A</v>
      </c>
      <c r="AV8" s="45" t="e">
        <f>IF(AV$1,SUMIFS('BalSht Data'!$H$2:$H$2050,'BalSht Data'!$G$2:$G$2050,$A8,'BalSht Data'!$A$2:$A$2050,AV$1),#N/A)</f>
        <v>#N/A</v>
      </c>
      <c r="AW8" s="45" t="e">
        <f>IF(AW$1,SUMIFS('BalSht Data'!$H$2:$H$2050,'BalSht Data'!$G$2:$G$2050,$A8,'BalSht Data'!$A$2:$A$2050,AW$1),#N/A)</f>
        <v>#N/A</v>
      </c>
      <c r="AX8" s="45" t="e">
        <f>IF(AX$1,SUMIFS('BalSht Data'!$H$2:$H$2050,'BalSht Data'!$G$2:$G$2050,$A8,'BalSht Data'!$A$2:$A$2050,AX$1),#N/A)</f>
        <v>#N/A</v>
      </c>
      <c r="AY8" s="45" t="e">
        <f>IF(AY$1,SUMIFS('BalSht Data'!$H$2:$H$2050,'BalSht Data'!$G$2:$G$2050,$A8,'BalSht Data'!$A$2:$A$2050,AY$1),#N/A)</f>
        <v>#N/A</v>
      </c>
      <c r="AZ8" s="45" t="e">
        <f>IF(AZ$1,SUMIFS('BalSht Data'!$H$2:$H$2050,'BalSht Data'!$G$2:$G$2050,$A8,'BalSht Data'!$A$2:$A$2050,AZ$1),#N/A)</f>
        <v>#N/A</v>
      </c>
      <c r="BA8" s="45" t="e">
        <f>IF(BA$1,SUMIFS('BalSht Data'!$H$2:$H$2050,'BalSht Data'!$G$2:$G$2050,$A8,'BalSht Data'!$A$2:$A$2050,BA$1),#N/A)</f>
        <v>#N/A</v>
      </c>
      <c r="BB8" s="45" t="e">
        <f>IF(BB$1,SUMIFS('BalSht Data'!$H$2:$H$2050,'BalSht Data'!$G$2:$G$2050,$A8,'BalSht Data'!$A$2:$A$2050,BB$1),#N/A)</f>
        <v>#N/A</v>
      </c>
      <c r="BC8" s="45" t="e">
        <f>IF(BC$1,SUMIFS('BalSht Data'!$H$2:$H$2050,'BalSht Data'!$G$2:$G$2050,$A8,'BalSht Data'!$A$2:$A$2050,BC$1),#N/A)</f>
        <v>#N/A</v>
      </c>
      <c r="BD8" s="45" t="e">
        <f>IF(BD$1,SUMIFS('BalSht Data'!$H$2:$H$2050,'BalSht Data'!$G$2:$G$2050,$A8,'BalSht Data'!$A$2:$A$2050,BD$1),#N/A)</f>
        <v>#N/A</v>
      </c>
      <c r="BE8" s="45" t="e">
        <f>IF(BE$1,SUMIFS('BalSht Data'!$H$2:$H$2050,'BalSht Data'!$G$2:$G$2050,$A8,'BalSht Data'!$A$2:$A$2050,BE$1),#N/A)</f>
        <v>#N/A</v>
      </c>
      <c r="BF8" s="45" t="e">
        <f>IF(BF$1,SUMIFS('BalSht Data'!$H$2:$H$2050,'BalSht Data'!$G$2:$G$2050,$A8,'BalSht Data'!$A$2:$A$2050,BF$1),#N/A)</f>
        <v>#N/A</v>
      </c>
      <c r="BG8" s="45" t="e">
        <f>IF(BG$1,SUMIFS('BalSht Data'!$H$2:$H$2050,'BalSht Data'!$G$2:$G$2050,$A8,'BalSht Data'!$A$2:$A$2050,BG$1),#N/A)</f>
        <v>#N/A</v>
      </c>
      <c r="BH8" s="45" t="e">
        <f>IF(BH$1,SUMIFS('BalSht Data'!$H$2:$H$2050,'BalSht Data'!$G$2:$G$2050,$A8,'BalSht Data'!$A$2:$A$2050,BH$1),#N/A)</f>
        <v>#N/A</v>
      </c>
      <c r="BI8" s="45" t="e">
        <f>IF(BI$1,SUMIFS('BalSht Data'!$H$2:$H$2050,'BalSht Data'!$G$2:$G$2050,$A8,'BalSht Data'!$A$2:$A$2050,BI$1),#N/A)</f>
        <v>#N/A</v>
      </c>
      <c r="BJ8" s="45" t="e">
        <f>IF(BJ$1,SUMIFS('BalSht Data'!$H$2:$H$2050,'BalSht Data'!$G$2:$G$2050,$A8,'BalSht Data'!$A$2:$A$2050,BJ$1),#N/A)</f>
        <v>#N/A</v>
      </c>
      <c r="BK8" s="45" t="e">
        <f>IF(BK$1,SUMIFS('BalSht Data'!$H$2:$H$2050,'BalSht Data'!$G$2:$G$2050,$A8,'BalSht Data'!$A$2:$A$2050,BK$1),#N/A)</f>
        <v>#N/A</v>
      </c>
      <c r="BL8" s="45" t="e">
        <f>IF(BL$1,SUMIFS('BalSht Data'!$H$2:$H$2050,'BalSht Data'!$G$2:$G$2050,$A8,'BalSht Data'!$A$2:$A$2050,BL$1),#N/A)</f>
        <v>#N/A</v>
      </c>
      <c r="BM8" s="45" t="e">
        <f>IF(BM$1,SUMIFS('BalSht Data'!$H$2:$H$2050,'BalSht Data'!$G$2:$G$2050,$A8,'BalSht Data'!$A$2:$A$2050,BM$1),#N/A)</f>
        <v>#N/A</v>
      </c>
      <c r="BN8" s="45" t="e">
        <f>IF(BN$1,SUMIFS('BalSht Data'!$H$2:$H$2050,'BalSht Data'!$G$2:$G$2050,$A8,'BalSht Data'!$A$2:$A$2050,BN$1),#N/A)</f>
        <v>#N/A</v>
      </c>
      <c r="BO8" s="45" t="e">
        <f>IF(BO$1,SUMIFS('BalSht Data'!$H$2:$H$2050,'BalSht Data'!$G$2:$G$2050,$A8,'BalSht Data'!$A$2:$A$2050,BO$1),#N/A)</f>
        <v>#N/A</v>
      </c>
      <c r="BP8" s="45" t="e">
        <f>IF(BP$1,SUMIFS('BalSht Data'!$H$2:$H$2050,'BalSht Data'!$G$2:$G$2050,$A8,'BalSht Data'!$A$2:$A$2050,BP$1),#N/A)</f>
        <v>#N/A</v>
      </c>
      <c r="BQ8" s="45" t="e">
        <f>IF(BQ$1,SUMIFS('BalSht Data'!$H$2:$H$2050,'BalSht Data'!$G$2:$G$2050,$A8,'BalSht Data'!$A$2:$A$2050,BQ$1),#N/A)</f>
        <v>#N/A</v>
      </c>
      <c r="BR8" s="45" t="e">
        <f>IF(BR$1,SUMIFS('BalSht Data'!$H$2:$H$2050,'BalSht Data'!$G$2:$G$2050,$A8,'BalSht Data'!$A$2:$A$2050,BR$1),#N/A)</f>
        <v>#N/A</v>
      </c>
      <c r="BS8" s="45" t="e">
        <f>IF(BS$1,SUMIFS('BalSht Data'!$H$2:$H$2050,'BalSht Data'!$G$2:$G$2050,$A8,'BalSht Data'!$A$2:$A$2050,BS$1),#N/A)</f>
        <v>#N/A</v>
      </c>
      <c r="BT8" s="45" t="e">
        <f>IF(BT$1,SUMIFS('BalSht Data'!$H$2:$H$2050,'BalSht Data'!$G$2:$G$2050,$A8,'BalSht Data'!$A$2:$A$2050,BT$1),#N/A)</f>
        <v>#N/A</v>
      </c>
      <c r="BU8" s="45" t="e">
        <f>IF(BU$1,SUMIFS('BalSht Data'!$H$2:$H$2050,'BalSht Data'!$G$2:$G$2050,$A8,'BalSht Data'!$A$2:$A$2050,BU$1),#N/A)</f>
        <v>#N/A</v>
      </c>
      <c r="BV8" s="45" t="e">
        <f>IF(BV$1,SUMIFS('BalSht Data'!$H$2:$H$2050,'BalSht Data'!$G$2:$G$2050,$A8,'BalSht Data'!$A$2:$A$2050,BV$1),#N/A)</f>
        <v>#N/A</v>
      </c>
      <c r="BW8" s="45" t="e">
        <f>IF(BW$1,SUMIFS('BalSht Data'!$H$2:$H$2050,'BalSht Data'!$G$2:$G$2050,$A8,'BalSht Data'!$A$2:$A$2050,BW$1),#N/A)</f>
        <v>#N/A</v>
      </c>
      <c r="BX8" s="45" t="e">
        <f>IF(BX$1,SUMIFS('BalSht Data'!$H$2:$H$2050,'BalSht Data'!$G$2:$G$2050,$A8,'BalSht Data'!$A$2:$A$2050,BX$1),#N/A)</f>
        <v>#N/A</v>
      </c>
      <c r="BY8" s="45" t="e">
        <f>IF(BY$1,SUMIFS('BalSht Data'!$H$2:$H$2050,'BalSht Data'!$G$2:$G$2050,$A8,'BalSht Data'!$A$2:$A$2050,BY$1),#N/A)</f>
        <v>#N/A</v>
      </c>
      <c r="BZ8" s="45" t="e">
        <f>IF(BZ$1,SUMIFS('BalSht Data'!$H$2:$H$2050,'BalSht Data'!$G$2:$G$2050,$A8,'BalSht Data'!$A$2:$A$2050,BZ$1),#N/A)</f>
        <v>#N/A</v>
      </c>
      <c r="CA8" s="45" t="e">
        <f>IF(CA$1,SUMIFS('BalSht Data'!$H$2:$H$2050,'BalSht Data'!$G$2:$G$2050,$A8,'BalSht Data'!$A$2:$A$2050,CA$1),#N/A)</f>
        <v>#N/A</v>
      </c>
      <c r="CB8" s="45" t="e">
        <f>IF(CB$1,SUMIFS('BalSht Data'!$H$2:$H$2050,'BalSht Data'!$G$2:$G$2050,$A8,'BalSht Data'!$A$2:$A$2050,CB$1),#N/A)</f>
        <v>#N/A</v>
      </c>
      <c r="CC8" s="45" t="e">
        <f>IF(CC$1,SUMIFS('BalSht Data'!$H$2:$H$2050,'BalSht Data'!$G$2:$G$2050,$A8,'BalSht Data'!$A$2:$A$2050,CC$1),#N/A)</f>
        <v>#N/A</v>
      </c>
      <c r="CD8" s="45" t="e">
        <f>IF(CD$1,SUMIFS('BalSht Data'!$H$2:$H$2050,'BalSht Data'!$G$2:$G$2050,$A8,'BalSht Data'!$A$2:$A$2050,CD$1),#N/A)</f>
        <v>#N/A</v>
      </c>
      <c r="CE8" s="45" t="e">
        <f>IF(CE$1,SUMIFS('BalSht Data'!$H$2:$H$2050,'BalSht Data'!$G$2:$G$2050,$A8,'BalSht Data'!$A$2:$A$2050,CE$1),#N/A)</f>
        <v>#N/A</v>
      </c>
      <c r="CF8" s="45" t="e">
        <f>IF(CF$1,SUMIFS('BalSht Data'!$H$2:$H$2050,'BalSht Data'!$G$2:$G$2050,$A8,'BalSht Data'!$A$2:$A$2050,CF$1),#N/A)</f>
        <v>#N/A</v>
      </c>
      <c r="CG8" s="45" t="e">
        <f>IF(CG$1,SUMIFS('BalSht Data'!$H$2:$H$2050,'BalSht Data'!$G$2:$G$2050,$A8,'BalSht Data'!$A$2:$A$2050,CG$1),#N/A)</f>
        <v>#N/A</v>
      </c>
      <c r="CH8" s="45" t="e">
        <f>IF(CH$1,SUMIFS('BalSht Data'!$H$2:$H$2050,'BalSht Data'!$G$2:$G$2050,$A8,'BalSht Data'!$A$2:$A$2050,CH$1),#N/A)</f>
        <v>#N/A</v>
      </c>
      <c r="CI8" s="45" t="e">
        <f>IF(CI$1,SUMIFS('BalSht Data'!$H$2:$H$2050,'BalSht Data'!$G$2:$G$2050,$A8,'BalSht Data'!$A$2:$A$2050,CI$1),#N/A)</f>
        <v>#N/A</v>
      </c>
      <c r="CJ8" s="45" t="e">
        <f>IF(CJ$1,SUMIFS('BalSht Data'!$H$2:$H$2050,'BalSht Data'!$G$2:$G$2050,$A8,'BalSht Data'!$A$2:$A$2050,CJ$1),#N/A)</f>
        <v>#N/A</v>
      </c>
      <c r="CK8" s="45" t="e">
        <f>IF(CK$1,SUMIFS('BalSht Data'!$H$2:$H$2050,'BalSht Data'!$G$2:$G$2050,$A8,'BalSht Data'!$A$2:$A$2050,CK$1),#N/A)</f>
        <v>#N/A</v>
      </c>
      <c r="CL8" s="45" t="e">
        <f>IF(CL$1,SUMIFS('BalSht Data'!$H$2:$H$2050,'BalSht Data'!$G$2:$G$2050,$A8,'BalSht Data'!$A$2:$A$2050,CL$1),#N/A)</f>
        <v>#N/A</v>
      </c>
      <c r="CM8" s="45" t="e">
        <f>IF(CM$1,SUMIFS('BalSht Data'!$H$2:$H$2050,'BalSht Data'!$G$2:$G$2050,$A8,'BalSht Data'!$A$2:$A$2050,CM$1),#N/A)</f>
        <v>#N/A</v>
      </c>
      <c r="CN8" s="45" t="e">
        <f>IF(CN$1,SUMIFS('BalSht Data'!$H$2:$H$2050,'BalSht Data'!$G$2:$G$2050,$A8,'BalSht Data'!$A$2:$A$2050,CN$1),#N/A)</f>
        <v>#N/A</v>
      </c>
      <c r="CO8" s="45" t="e">
        <f>IF(CO$1,SUMIFS('BalSht Data'!$H$2:$H$2050,'BalSht Data'!$G$2:$G$2050,$A8,'BalSht Data'!$A$2:$A$2050,CO$1),#N/A)</f>
        <v>#N/A</v>
      </c>
      <c r="CP8" s="45" t="e">
        <f>IF(CP$1,SUMIFS('BalSht Data'!$H$2:$H$2050,'BalSht Data'!$G$2:$G$2050,$A8,'BalSht Data'!$A$2:$A$2050,CP$1),#N/A)</f>
        <v>#N/A</v>
      </c>
      <c r="CQ8" s="45" t="e">
        <f>IF(CQ$1,SUMIFS('BalSht Data'!$H$2:$H$2050,'BalSht Data'!$G$2:$G$2050,$A8,'BalSht Data'!$A$2:$A$2050,CQ$1),#N/A)</f>
        <v>#N/A</v>
      </c>
      <c r="CR8" s="45" t="e">
        <f>IF(CR$1,SUMIFS('BalSht Data'!$H$2:$H$2050,'BalSht Data'!$G$2:$G$2050,$A8,'BalSht Data'!$A$2:$A$2050,CR$1),#N/A)</f>
        <v>#N/A</v>
      </c>
      <c r="CS8" s="45" t="e">
        <f>IF(CS$1,SUMIFS('BalSht Data'!$H$2:$H$2050,'BalSht Data'!$G$2:$G$2050,$A8,'BalSht Data'!$A$2:$A$2050,CS$1),#N/A)</f>
        <v>#N/A</v>
      </c>
      <c r="CT8" s="45" t="e">
        <f>IF(CT$1,SUMIFS('BalSht Data'!$H$2:$H$2050,'BalSht Data'!$G$2:$G$2050,$A8,'BalSht Data'!$A$2:$A$2050,CT$1),#N/A)</f>
        <v>#N/A</v>
      </c>
      <c r="CU8" s="45" t="e">
        <f>IF(CU$1,SUMIFS('BalSht Data'!$H$2:$H$2050,'BalSht Data'!$G$2:$G$2050,$A8,'BalSht Data'!$A$2:$A$2050,CU$1),#N/A)</f>
        <v>#N/A</v>
      </c>
      <c r="CV8" s="45" t="e">
        <f>IF(CV$1,SUMIFS('BalSht Data'!$H$2:$H$2050,'BalSht Data'!$G$2:$G$2050,$A8,'BalSht Data'!$A$2:$A$2050,CV$1),#N/A)</f>
        <v>#N/A</v>
      </c>
      <c r="CW8" s="45" t="e">
        <f>IF(CW$1,SUMIFS('BalSht Data'!$H$2:$H$2050,'BalSht Data'!$G$2:$G$2050,$A8,'BalSht Data'!$A$2:$A$2050,CW$1),#N/A)</f>
        <v>#N/A</v>
      </c>
      <c r="CX8" s="45" t="e">
        <f>IF(CX$1,SUMIFS('BalSht Data'!$H$2:$H$2050,'BalSht Data'!$G$2:$G$2050,$A8,'BalSht Data'!$A$2:$A$2050,CX$1),#N/A)</f>
        <v>#N/A</v>
      </c>
      <c r="CY8" s="45" t="e">
        <f>IF(CY$1,SUMIFS('BalSht Data'!$H$2:$H$2050,'BalSht Data'!$G$2:$G$2050,$A8,'BalSht Data'!$A$2:$A$2050,CY$1),#N/A)</f>
        <v>#N/A</v>
      </c>
      <c r="CZ8" s="45" t="e">
        <f>IF(CZ$1,SUMIFS('BalSht Data'!$H$2:$H$2050,'BalSht Data'!$G$2:$G$2050,$A8,'BalSht Data'!$A$2:$A$2050,CZ$1),#N/A)</f>
        <v>#N/A</v>
      </c>
    </row>
    <row r="9" spans="1:104" s="44" customFormat="1" ht="15" x14ac:dyDescent="0.35">
      <c r="A9" s="57" t="s">
        <v>14</v>
      </c>
      <c r="B9" s="52" t="e">
        <f>IF(B$1,SUMIFS('BalSht Data'!$H$2:$H$2050,'BalSht Data'!$G$2:$G$2050,$A9,'BalSht Data'!$A$2:$A$2050,B$1),#N/A)</f>
        <v>#N/A</v>
      </c>
      <c r="C9" s="52" t="e">
        <f>IF(C$1,SUMIFS('BalSht Data'!$H$2:$H$2050,'BalSht Data'!$G$2:$G$2050,$A9,'BalSht Data'!$A$2:$A$2050,C$1),#N/A)</f>
        <v>#N/A</v>
      </c>
      <c r="D9" s="52" t="e">
        <f>IF(D$1,SUMIFS('BalSht Data'!$H$2:$H$2050,'BalSht Data'!$G$2:$G$2050,$A9,'BalSht Data'!$A$2:$A$2050,D$1),#N/A)</f>
        <v>#N/A</v>
      </c>
      <c r="E9" s="52" t="e">
        <f>IF(E$1,SUMIFS('BalSht Data'!$H$2:$H$2050,'BalSht Data'!$G$2:$G$2050,$A9,'BalSht Data'!$A$2:$A$2050,E$1),#N/A)</f>
        <v>#N/A</v>
      </c>
      <c r="F9" s="52" t="e">
        <f>IF(F$1,SUMIFS('BalSht Data'!$H$2:$H$2050,'BalSht Data'!$G$2:$G$2050,$A9,'BalSht Data'!$A$2:$A$2050,F$1),#N/A)</f>
        <v>#N/A</v>
      </c>
      <c r="G9" s="52" t="e">
        <f>IF(G$1,SUMIFS('BalSht Data'!$H$2:$H$2050,'BalSht Data'!$G$2:$G$2050,$A9,'BalSht Data'!$A$2:$A$2050,G$1),#N/A)</f>
        <v>#N/A</v>
      </c>
      <c r="H9" s="52" t="e">
        <f>IF(H$1,SUMIFS('BalSht Data'!$H$2:$H$2050,'BalSht Data'!$G$2:$G$2050,$A9,'BalSht Data'!$A$2:$A$2050,H$1),#N/A)</f>
        <v>#N/A</v>
      </c>
      <c r="I9" s="52" t="e">
        <f>IF(I$1,SUMIFS('BalSht Data'!$H$2:$H$2050,'BalSht Data'!$G$2:$G$2050,$A9,'BalSht Data'!$A$2:$A$2050,I$1),#N/A)</f>
        <v>#N/A</v>
      </c>
      <c r="J9" s="52" t="e">
        <f>IF(J$1,SUMIFS('BalSht Data'!$H$2:$H$2050,'BalSht Data'!$G$2:$G$2050,$A9,'BalSht Data'!$A$2:$A$2050,J$1),#N/A)</f>
        <v>#N/A</v>
      </c>
      <c r="K9" s="52" t="e">
        <f>IF(K$1,SUMIFS('BalSht Data'!$H$2:$H$2050,'BalSht Data'!$G$2:$G$2050,$A9,'BalSht Data'!$A$2:$A$2050,K$1),#N/A)</f>
        <v>#N/A</v>
      </c>
      <c r="L9" s="52" t="e">
        <f>IF(L$1,SUMIFS('BalSht Data'!$H$2:$H$2050,'BalSht Data'!$G$2:$G$2050,$A9,'BalSht Data'!$A$2:$A$2050,L$1),#N/A)</f>
        <v>#N/A</v>
      </c>
      <c r="M9" s="52" t="e">
        <f>IF(M$1,SUMIFS('BalSht Data'!$H$2:$H$2050,'BalSht Data'!$G$2:$G$2050,$A9,'BalSht Data'!$A$2:$A$2050,M$1),#N/A)</f>
        <v>#N/A</v>
      </c>
      <c r="N9" s="52" t="e">
        <f>IF(N$1,SUMIFS('BalSht Data'!$H$2:$H$2050,'BalSht Data'!$G$2:$G$2050,$A9,'BalSht Data'!$A$2:$A$2050,N$1),#N/A)</f>
        <v>#N/A</v>
      </c>
      <c r="O9" s="52" t="e">
        <f>IF(O$1,SUMIFS('BalSht Data'!$H$2:$H$2050,'BalSht Data'!$G$2:$G$2050,$A9,'BalSht Data'!$A$2:$A$2050,O$1),#N/A)</f>
        <v>#N/A</v>
      </c>
      <c r="P9" s="52" t="e">
        <f>IF(P$1,SUMIFS('BalSht Data'!$H$2:$H$2050,'BalSht Data'!$G$2:$G$2050,$A9,'BalSht Data'!$A$2:$A$2050,P$1),#N/A)</f>
        <v>#N/A</v>
      </c>
      <c r="Q9" s="52" t="e">
        <f>IF(Q$1,SUMIFS('BalSht Data'!$H$2:$H$2050,'BalSht Data'!$G$2:$G$2050,$A9,'BalSht Data'!$A$2:$A$2050,Q$1),#N/A)</f>
        <v>#N/A</v>
      </c>
      <c r="R9" s="52" t="e">
        <f>IF(R$1,SUMIFS('BalSht Data'!$H$2:$H$2050,'BalSht Data'!$G$2:$G$2050,$A9,'BalSht Data'!$A$2:$A$2050,R$1),#N/A)</f>
        <v>#N/A</v>
      </c>
      <c r="S9" s="52" t="e">
        <f>IF(S$1,SUMIFS('BalSht Data'!$H$2:$H$2050,'BalSht Data'!$G$2:$G$2050,$A9,'BalSht Data'!$A$2:$A$2050,S$1),#N/A)</f>
        <v>#N/A</v>
      </c>
      <c r="T9" s="52" t="e">
        <f>IF(T$1,SUMIFS('BalSht Data'!$H$2:$H$2050,'BalSht Data'!$G$2:$G$2050,$A9,'BalSht Data'!$A$2:$A$2050,T$1),#N/A)</f>
        <v>#N/A</v>
      </c>
      <c r="U9" s="52" t="e">
        <f>IF(U$1,SUMIFS('BalSht Data'!$H$2:$H$2050,'BalSht Data'!$G$2:$G$2050,$A9,'BalSht Data'!$A$2:$A$2050,U$1),#N/A)</f>
        <v>#N/A</v>
      </c>
      <c r="V9" s="52" t="e">
        <f>IF(V$1,SUMIFS('BalSht Data'!$H$2:$H$2050,'BalSht Data'!$G$2:$G$2050,$A9,'BalSht Data'!$A$2:$A$2050,V$1),#N/A)</f>
        <v>#N/A</v>
      </c>
      <c r="W9" s="52" t="e">
        <f>IF(W$1,SUMIFS('BalSht Data'!$H$2:$H$2050,'BalSht Data'!$G$2:$G$2050,$A9,'BalSht Data'!$A$2:$A$2050,W$1),#N/A)</f>
        <v>#N/A</v>
      </c>
      <c r="X9" s="52" t="e">
        <f>IF(X$1,SUMIFS('BalSht Data'!$H$2:$H$2050,'BalSht Data'!$G$2:$G$2050,$A9,'BalSht Data'!$A$2:$A$2050,X$1),#N/A)</f>
        <v>#N/A</v>
      </c>
      <c r="Y9" s="52" t="e">
        <f>IF(Y$1,SUMIFS('BalSht Data'!$H$2:$H$2050,'BalSht Data'!$G$2:$G$2050,$A9,'BalSht Data'!$A$2:$A$2050,Y$1),#N/A)</f>
        <v>#N/A</v>
      </c>
      <c r="Z9" s="52" t="e">
        <f>IF(Z$1,SUMIFS('BalSht Data'!$H$2:$H$2050,'BalSht Data'!$G$2:$G$2050,$A9,'BalSht Data'!$A$2:$A$2050,Z$1),#N/A)</f>
        <v>#N/A</v>
      </c>
      <c r="AA9" s="52" t="e">
        <f>IF(AA$1,SUMIFS('BalSht Data'!$H$2:$H$2050,'BalSht Data'!$G$2:$G$2050,$A9,'BalSht Data'!$A$2:$A$2050,AA$1),#N/A)</f>
        <v>#N/A</v>
      </c>
      <c r="AB9" s="52" t="e">
        <f>IF(AB$1,SUMIFS('BalSht Data'!$H$2:$H$2050,'BalSht Data'!$G$2:$G$2050,$A9,'BalSht Data'!$A$2:$A$2050,AB$1),#N/A)</f>
        <v>#N/A</v>
      </c>
      <c r="AC9" s="52" t="e">
        <f>IF(AC$1,SUMIFS('BalSht Data'!$H$2:$H$2050,'BalSht Data'!$G$2:$G$2050,$A9,'BalSht Data'!$A$2:$A$2050,AC$1),#N/A)</f>
        <v>#N/A</v>
      </c>
      <c r="AD9" s="52" t="e">
        <f>IF(AD$1,SUMIFS('BalSht Data'!$H$2:$H$2050,'BalSht Data'!$G$2:$G$2050,$A9,'BalSht Data'!$A$2:$A$2050,AD$1),#N/A)</f>
        <v>#N/A</v>
      </c>
      <c r="AE9" s="52" t="e">
        <f>IF(AE$1,SUMIFS('BalSht Data'!$H$2:$H$2050,'BalSht Data'!$G$2:$G$2050,$A9,'BalSht Data'!$A$2:$A$2050,AE$1),#N/A)</f>
        <v>#N/A</v>
      </c>
      <c r="AF9" s="52" t="e">
        <f>IF(AF$1,SUMIFS('BalSht Data'!$H$2:$H$2050,'BalSht Data'!$G$2:$G$2050,$A9,'BalSht Data'!$A$2:$A$2050,AF$1),#N/A)</f>
        <v>#N/A</v>
      </c>
      <c r="AG9" s="52" t="e">
        <f>IF(AG$1,SUMIFS('BalSht Data'!$H$2:$H$2050,'BalSht Data'!$G$2:$G$2050,$A9,'BalSht Data'!$A$2:$A$2050,AG$1),#N/A)</f>
        <v>#N/A</v>
      </c>
      <c r="AH9" s="52" t="e">
        <f>IF(AH$1,SUMIFS('BalSht Data'!$H$2:$H$2050,'BalSht Data'!$G$2:$G$2050,$A9,'BalSht Data'!$A$2:$A$2050,AH$1),#N/A)</f>
        <v>#N/A</v>
      </c>
      <c r="AI9" s="52" t="e">
        <f>IF(AI$1,SUMIFS('BalSht Data'!$H$2:$H$2050,'BalSht Data'!$G$2:$G$2050,$A9,'BalSht Data'!$A$2:$A$2050,AI$1),#N/A)</f>
        <v>#N/A</v>
      </c>
      <c r="AJ9" s="52" t="e">
        <f>IF(AJ$1,SUMIFS('BalSht Data'!$H$2:$H$2050,'BalSht Data'!$G$2:$G$2050,$A9,'BalSht Data'!$A$2:$A$2050,AJ$1),#N/A)</f>
        <v>#N/A</v>
      </c>
      <c r="AK9" s="52" t="e">
        <f>IF(AK$1,SUMIFS('BalSht Data'!$H$2:$H$2050,'BalSht Data'!$G$2:$G$2050,$A9,'BalSht Data'!$A$2:$A$2050,AK$1),#N/A)</f>
        <v>#N/A</v>
      </c>
      <c r="AL9" s="52" t="e">
        <f>IF(AL$1,SUMIFS('BalSht Data'!$H$2:$H$2050,'BalSht Data'!$G$2:$G$2050,$A9,'BalSht Data'!$A$2:$A$2050,AL$1),#N/A)</f>
        <v>#N/A</v>
      </c>
      <c r="AM9" s="52" t="e">
        <f>IF(AM$1,SUMIFS('BalSht Data'!$H$2:$H$2050,'BalSht Data'!$G$2:$G$2050,$A9,'BalSht Data'!$A$2:$A$2050,AM$1),#N/A)</f>
        <v>#N/A</v>
      </c>
      <c r="AN9" s="52" t="e">
        <f>IF(AN$1,SUMIFS('BalSht Data'!$H$2:$H$2050,'BalSht Data'!$G$2:$G$2050,$A9,'BalSht Data'!$A$2:$A$2050,AN$1),#N/A)</f>
        <v>#N/A</v>
      </c>
      <c r="AO9" s="52" t="e">
        <f>IF(AO$1,SUMIFS('BalSht Data'!$H$2:$H$2050,'BalSht Data'!$G$2:$G$2050,$A9,'BalSht Data'!$A$2:$A$2050,AO$1),#N/A)</f>
        <v>#N/A</v>
      </c>
      <c r="AP9" s="52" t="e">
        <f>IF(AP$1,SUMIFS('BalSht Data'!$H$2:$H$2050,'BalSht Data'!$G$2:$G$2050,$A9,'BalSht Data'!$A$2:$A$2050,AP$1),#N/A)</f>
        <v>#N/A</v>
      </c>
      <c r="AQ9" s="52" t="e">
        <f>IF(AQ$1,SUMIFS('BalSht Data'!$H$2:$H$2050,'BalSht Data'!$G$2:$G$2050,$A9,'BalSht Data'!$A$2:$A$2050,AQ$1),#N/A)</f>
        <v>#N/A</v>
      </c>
      <c r="AR9" s="52" t="e">
        <f>IF(AR$1,SUMIFS('BalSht Data'!$H$2:$H$2050,'BalSht Data'!$G$2:$G$2050,$A9,'BalSht Data'!$A$2:$A$2050,AR$1),#N/A)</f>
        <v>#N/A</v>
      </c>
      <c r="AS9" s="52" t="e">
        <f>IF(AS$1,SUMIFS('BalSht Data'!$H$2:$H$2050,'BalSht Data'!$G$2:$G$2050,$A9,'BalSht Data'!$A$2:$A$2050,AS$1),#N/A)</f>
        <v>#N/A</v>
      </c>
      <c r="AT9" s="52" t="e">
        <f>IF(AT$1,SUMIFS('BalSht Data'!$H$2:$H$2050,'BalSht Data'!$G$2:$G$2050,$A9,'BalSht Data'!$A$2:$A$2050,AT$1),#N/A)</f>
        <v>#N/A</v>
      </c>
      <c r="AU9" s="52" t="e">
        <f>IF(AU$1,SUMIFS('BalSht Data'!$H$2:$H$2050,'BalSht Data'!$G$2:$G$2050,$A9,'BalSht Data'!$A$2:$A$2050,AU$1),#N/A)</f>
        <v>#N/A</v>
      </c>
      <c r="AV9" s="52" t="e">
        <f>IF(AV$1,SUMIFS('BalSht Data'!$H$2:$H$2050,'BalSht Data'!$G$2:$G$2050,$A9,'BalSht Data'!$A$2:$A$2050,AV$1),#N/A)</f>
        <v>#N/A</v>
      </c>
      <c r="AW9" s="52" t="e">
        <f>IF(AW$1,SUMIFS('BalSht Data'!$H$2:$H$2050,'BalSht Data'!$G$2:$G$2050,$A9,'BalSht Data'!$A$2:$A$2050,AW$1),#N/A)</f>
        <v>#N/A</v>
      </c>
      <c r="AX9" s="52" t="e">
        <f>IF(AX$1,SUMIFS('BalSht Data'!$H$2:$H$2050,'BalSht Data'!$G$2:$G$2050,$A9,'BalSht Data'!$A$2:$A$2050,AX$1),#N/A)</f>
        <v>#N/A</v>
      </c>
      <c r="AY9" s="52" t="e">
        <f>IF(AY$1,SUMIFS('BalSht Data'!$H$2:$H$2050,'BalSht Data'!$G$2:$G$2050,$A9,'BalSht Data'!$A$2:$A$2050,AY$1),#N/A)</f>
        <v>#N/A</v>
      </c>
      <c r="AZ9" s="52" t="e">
        <f>IF(AZ$1,SUMIFS('BalSht Data'!$H$2:$H$2050,'BalSht Data'!$G$2:$G$2050,$A9,'BalSht Data'!$A$2:$A$2050,AZ$1),#N/A)</f>
        <v>#N/A</v>
      </c>
      <c r="BA9" s="52" t="e">
        <f>IF(BA$1,SUMIFS('BalSht Data'!$H$2:$H$2050,'BalSht Data'!$G$2:$G$2050,$A9,'BalSht Data'!$A$2:$A$2050,BA$1),#N/A)</f>
        <v>#N/A</v>
      </c>
      <c r="BB9" s="52" t="e">
        <f>IF(BB$1,SUMIFS('BalSht Data'!$H$2:$H$2050,'BalSht Data'!$G$2:$G$2050,$A9,'BalSht Data'!$A$2:$A$2050,BB$1),#N/A)</f>
        <v>#N/A</v>
      </c>
      <c r="BC9" s="52" t="e">
        <f>IF(BC$1,SUMIFS('BalSht Data'!$H$2:$H$2050,'BalSht Data'!$G$2:$G$2050,$A9,'BalSht Data'!$A$2:$A$2050,BC$1),#N/A)</f>
        <v>#N/A</v>
      </c>
      <c r="BD9" s="52" t="e">
        <f>IF(BD$1,SUMIFS('BalSht Data'!$H$2:$H$2050,'BalSht Data'!$G$2:$G$2050,$A9,'BalSht Data'!$A$2:$A$2050,BD$1),#N/A)</f>
        <v>#N/A</v>
      </c>
      <c r="BE9" s="52" t="e">
        <f>IF(BE$1,SUMIFS('BalSht Data'!$H$2:$H$2050,'BalSht Data'!$G$2:$G$2050,$A9,'BalSht Data'!$A$2:$A$2050,BE$1),#N/A)</f>
        <v>#N/A</v>
      </c>
      <c r="BF9" s="52" t="e">
        <f>IF(BF$1,SUMIFS('BalSht Data'!$H$2:$H$2050,'BalSht Data'!$G$2:$G$2050,$A9,'BalSht Data'!$A$2:$A$2050,BF$1),#N/A)</f>
        <v>#N/A</v>
      </c>
      <c r="BG9" s="52" t="e">
        <f>IF(BG$1,SUMIFS('BalSht Data'!$H$2:$H$2050,'BalSht Data'!$G$2:$G$2050,$A9,'BalSht Data'!$A$2:$A$2050,BG$1),#N/A)</f>
        <v>#N/A</v>
      </c>
      <c r="BH9" s="52" t="e">
        <f>IF(BH$1,SUMIFS('BalSht Data'!$H$2:$H$2050,'BalSht Data'!$G$2:$G$2050,$A9,'BalSht Data'!$A$2:$A$2050,BH$1),#N/A)</f>
        <v>#N/A</v>
      </c>
      <c r="BI9" s="52" t="e">
        <f>IF(BI$1,SUMIFS('BalSht Data'!$H$2:$H$2050,'BalSht Data'!$G$2:$G$2050,$A9,'BalSht Data'!$A$2:$A$2050,BI$1),#N/A)</f>
        <v>#N/A</v>
      </c>
      <c r="BJ9" s="52" t="e">
        <f>IF(BJ$1,SUMIFS('BalSht Data'!$H$2:$H$2050,'BalSht Data'!$G$2:$G$2050,$A9,'BalSht Data'!$A$2:$A$2050,BJ$1),#N/A)</f>
        <v>#N/A</v>
      </c>
      <c r="BK9" s="52" t="e">
        <f>IF(BK$1,SUMIFS('BalSht Data'!$H$2:$H$2050,'BalSht Data'!$G$2:$G$2050,$A9,'BalSht Data'!$A$2:$A$2050,BK$1),#N/A)</f>
        <v>#N/A</v>
      </c>
      <c r="BL9" s="52" t="e">
        <f>IF(BL$1,SUMIFS('BalSht Data'!$H$2:$H$2050,'BalSht Data'!$G$2:$G$2050,$A9,'BalSht Data'!$A$2:$A$2050,BL$1),#N/A)</f>
        <v>#N/A</v>
      </c>
      <c r="BM9" s="52" t="e">
        <f>IF(BM$1,SUMIFS('BalSht Data'!$H$2:$H$2050,'BalSht Data'!$G$2:$G$2050,$A9,'BalSht Data'!$A$2:$A$2050,BM$1),#N/A)</f>
        <v>#N/A</v>
      </c>
      <c r="BN9" s="52" t="e">
        <f>IF(BN$1,SUMIFS('BalSht Data'!$H$2:$H$2050,'BalSht Data'!$G$2:$G$2050,$A9,'BalSht Data'!$A$2:$A$2050,BN$1),#N/A)</f>
        <v>#N/A</v>
      </c>
      <c r="BO9" s="52" t="e">
        <f>IF(BO$1,SUMIFS('BalSht Data'!$H$2:$H$2050,'BalSht Data'!$G$2:$G$2050,$A9,'BalSht Data'!$A$2:$A$2050,BO$1),#N/A)</f>
        <v>#N/A</v>
      </c>
      <c r="BP9" s="52" t="e">
        <f>IF(BP$1,SUMIFS('BalSht Data'!$H$2:$H$2050,'BalSht Data'!$G$2:$G$2050,$A9,'BalSht Data'!$A$2:$A$2050,BP$1),#N/A)</f>
        <v>#N/A</v>
      </c>
      <c r="BQ9" s="52" t="e">
        <f>IF(BQ$1,SUMIFS('BalSht Data'!$H$2:$H$2050,'BalSht Data'!$G$2:$G$2050,$A9,'BalSht Data'!$A$2:$A$2050,BQ$1),#N/A)</f>
        <v>#N/A</v>
      </c>
      <c r="BR9" s="52" t="e">
        <f>IF(BR$1,SUMIFS('BalSht Data'!$H$2:$H$2050,'BalSht Data'!$G$2:$G$2050,$A9,'BalSht Data'!$A$2:$A$2050,BR$1),#N/A)</f>
        <v>#N/A</v>
      </c>
      <c r="BS9" s="52" t="e">
        <f>IF(BS$1,SUMIFS('BalSht Data'!$H$2:$H$2050,'BalSht Data'!$G$2:$G$2050,$A9,'BalSht Data'!$A$2:$A$2050,BS$1),#N/A)</f>
        <v>#N/A</v>
      </c>
      <c r="BT9" s="52" t="e">
        <f>IF(BT$1,SUMIFS('BalSht Data'!$H$2:$H$2050,'BalSht Data'!$G$2:$G$2050,$A9,'BalSht Data'!$A$2:$A$2050,BT$1),#N/A)</f>
        <v>#N/A</v>
      </c>
      <c r="BU9" s="52" t="e">
        <f>IF(BU$1,SUMIFS('BalSht Data'!$H$2:$H$2050,'BalSht Data'!$G$2:$G$2050,$A9,'BalSht Data'!$A$2:$A$2050,BU$1),#N/A)</f>
        <v>#N/A</v>
      </c>
      <c r="BV9" s="52" t="e">
        <f>IF(BV$1,SUMIFS('BalSht Data'!$H$2:$H$2050,'BalSht Data'!$G$2:$G$2050,$A9,'BalSht Data'!$A$2:$A$2050,BV$1),#N/A)</f>
        <v>#N/A</v>
      </c>
      <c r="BW9" s="52" t="e">
        <f>IF(BW$1,SUMIFS('BalSht Data'!$H$2:$H$2050,'BalSht Data'!$G$2:$G$2050,$A9,'BalSht Data'!$A$2:$A$2050,BW$1),#N/A)</f>
        <v>#N/A</v>
      </c>
      <c r="BX9" s="52" t="e">
        <f>IF(BX$1,SUMIFS('BalSht Data'!$H$2:$H$2050,'BalSht Data'!$G$2:$G$2050,$A9,'BalSht Data'!$A$2:$A$2050,BX$1),#N/A)</f>
        <v>#N/A</v>
      </c>
      <c r="BY9" s="52" t="e">
        <f>IF(BY$1,SUMIFS('BalSht Data'!$H$2:$H$2050,'BalSht Data'!$G$2:$G$2050,$A9,'BalSht Data'!$A$2:$A$2050,BY$1),#N/A)</f>
        <v>#N/A</v>
      </c>
      <c r="BZ9" s="52" t="e">
        <f>IF(BZ$1,SUMIFS('BalSht Data'!$H$2:$H$2050,'BalSht Data'!$G$2:$G$2050,$A9,'BalSht Data'!$A$2:$A$2050,BZ$1),#N/A)</f>
        <v>#N/A</v>
      </c>
      <c r="CA9" s="52" t="e">
        <f>IF(CA$1,SUMIFS('BalSht Data'!$H$2:$H$2050,'BalSht Data'!$G$2:$G$2050,$A9,'BalSht Data'!$A$2:$A$2050,CA$1),#N/A)</f>
        <v>#N/A</v>
      </c>
      <c r="CB9" s="52" t="e">
        <f>IF(CB$1,SUMIFS('BalSht Data'!$H$2:$H$2050,'BalSht Data'!$G$2:$G$2050,$A9,'BalSht Data'!$A$2:$A$2050,CB$1),#N/A)</f>
        <v>#N/A</v>
      </c>
      <c r="CC9" s="52" t="e">
        <f>IF(CC$1,SUMIFS('BalSht Data'!$H$2:$H$2050,'BalSht Data'!$G$2:$G$2050,$A9,'BalSht Data'!$A$2:$A$2050,CC$1),#N/A)</f>
        <v>#N/A</v>
      </c>
      <c r="CD9" s="52" t="e">
        <f>IF(CD$1,SUMIFS('BalSht Data'!$H$2:$H$2050,'BalSht Data'!$G$2:$G$2050,$A9,'BalSht Data'!$A$2:$A$2050,CD$1),#N/A)</f>
        <v>#N/A</v>
      </c>
      <c r="CE9" s="52" t="e">
        <f>IF(CE$1,SUMIFS('BalSht Data'!$H$2:$H$2050,'BalSht Data'!$G$2:$G$2050,$A9,'BalSht Data'!$A$2:$A$2050,CE$1),#N/A)</f>
        <v>#N/A</v>
      </c>
      <c r="CF9" s="52" t="e">
        <f>IF(CF$1,SUMIFS('BalSht Data'!$H$2:$H$2050,'BalSht Data'!$G$2:$G$2050,$A9,'BalSht Data'!$A$2:$A$2050,CF$1),#N/A)</f>
        <v>#N/A</v>
      </c>
      <c r="CG9" s="52" t="e">
        <f>IF(CG$1,SUMIFS('BalSht Data'!$H$2:$H$2050,'BalSht Data'!$G$2:$G$2050,$A9,'BalSht Data'!$A$2:$A$2050,CG$1),#N/A)</f>
        <v>#N/A</v>
      </c>
      <c r="CH9" s="52" t="e">
        <f>IF(CH$1,SUMIFS('BalSht Data'!$H$2:$H$2050,'BalSht Data'!$G$2:$G$2050,$A9,'BalSht Data'!$A$2:$A$2050,CH$1),#N/A)</f>
        <v>#N/A</v>
      </c>
      <c r="CI9" s="52" t="e">
        <f>IF(CI$1,SUMIFS('BalSht Data'!$H$2:$H$2050,'BalSht Data'!$G$2:$G$2050,$A9,'BalSht Data'!$A$2:$A$2050,CI$1),#N/A)</f>
        <v>#N/A</v>
      </c>
      <c r="CJ9" s="52" t="e">
        <f>IF(CJ$1,SUMIFS('BalSht Data'!$H$2:$H$2050,'BalSht Data'!$G$2:$G$2050,$A9,'BalSht Data'!$A$2:$A$2050,CJ$1),#N/A)</f>
        <v>#N/A</v>
      </c>
      <c r="CK9" s="52" t="e">
        <f>IF(CK$1,SUMIFS('BalSht Data'!$H$2:$H$2050,'BalSht Data'!$G$2:$G$2050,$A9,'BalSht Data'!$A$2:$A$2050,CK$1),#N/A)</f>
        <v>#N/A</v>
      </c>
      <c r="CL9" s="52" t="e">
        <f>IF(CL$1,SUMIFS('BalSht Data'!$H$2:$H$2050,'BalSht Data'!$G$2:$G$2050,$A9,'BalSht Data'!$A$2:$A$2050,CL$1),#N/A)</f>
        <v>#N/A</v>
      </c>
      <c r="CM9" s="52" t="e">
        <f>IF(CM$1,SUMIFS('BalSht Data'!$H$2:$H$2050,'BalSht Data'!$G$2:$G$2050,$A9,'BalSht Data'!$A$2:$A$2050,CM$1),#N/A)</f>
        <v>#N/A</v>
      </c>
      <c r="CN9" s="52" t="e">
        <f>IF(CN$1,SUMIFS('BalSht Data'!$H$2:$H$2050,'BalSht Data'!$G$2:$G$2050,$A9,'BalSht Data'!$A$2:$A$2050,CN$1),#N/A)</f>
        <v>#N/A</v>
      </c>
      <c r="CO9" s="52" t="e">
        <f>IF(CO$1,SUMIFS('BalSht Data'!$H$2:$H$2050,'BalSht Data'!$G$2:$G$2050,$A9,'BalSht Data'!$A$2:$A$2050,CO$1),#N/A)</f>
        <v>#N/A</v>
      </c>
      <c r="CP9" s="52" t="e">
        <f>IF(CP$1,SUMIFS('BalSht Data'!$H$2:$H$2050,'BalSht Data'!$G$2:$G$2050,$A9,'BalSht Data'!$A$2:$A$2050,CP$1),#N/A)</f>
        <v>#N/A</v>
      </c>
      <c r="CQ9" s="52" t="e">
        <f>IF(CQ$1,SUMIFS('BalSht Data'!$H$2:$H$2050,'BalSht Data'!$G$2:$G$2050,$A9,'BalSht Data'!$A$2:$A$2050,CQ$1),#N/A)</f>
        <v>#N/A</v>
      </c>
      <c r="CR9" s="52" t="e">
        <f>IF(CR$1,SUMIFS('BalSht Data'!$H$2:$H$2050,'BalSht Data'!$G$2:$G$2050,$A9,'BalSht Data'!$A$2:$A$2050,CR$1),#N/A)</f>
        <v>#N/A</v>
      </c>
      <c r="CS9" s="52" t="e">
        <f>IF(CS$1,SUMIFS('BalSht Data'!$H$2:$H$2050,'BalSht Data'!$G$2:$G$2050,$A9,'BalSht Data'!$A$2:$A$2050,CS$1),#N/A)</f>
        <v>#N/A</v>
      </c>
      <c r="CT9" s="52" t="e">
        <f>IF(CT$1,SUMIFS('BalSht Data'!$H$2:$H$2050,'BalSht Data'!$G$2:$G$2050,$A9,'BalSht Data'!$A$2:$A$2050,CT$1),#N/A)</f>
        <v>#N/A</v>
      </c>
      <c r="CU9" s="52" t="e">
        <f>IF(CU$1,SUMIFS('BalSht Data'!$H$2:$H$2050,'BalSht Data'!$G$2:$G$2050,$A9,'BalSht Data'!$A$2:$A$2050,CU$1),#N/A)</f>
        <v>#N/A</v>
      </c>
      <c r="CV9" s="52" t="e">
        <f>IF(CV$1,SUMIFS('BalSht Data'!$H$2:$H$2050,'BalSht Data'!$G$2:$G$2050,$A9,'BalSht Data'!$A$2:$A$2050,CV$1),#N/A)</f>
        <v>#N/A</v>
      </c>
      <c r="CW9" s="52" t="e">
        <f>IF(CW$1,SUMIFS('BalSht Data'!$H$2:$H$2050,'BalSht Data'!$G$2:$G$2050,$A9,'BalSht Data'!$A$2:$A$2050,CW$1),#N/A)</f>
        <v>#N/A</v>
      </c>
      <c r="CX9" s="52" t="e">
        <f>IF(CX$1,SUMIFS('BalSht Data'!$H$2:$H$2050,'BalSht Data'!$G$2:$G$2050,$A9,'BalSht Data'!$A$2:$A$2050,CX$1),#N/A)</f>
        <v>#N/A</v>
      </c>
      <c r="CY9" s="52" t="e">
        <f>IF(CY$1,SUMIFS('BalSht Data'!$H$2:$H$2050,'BalSht Data'!$G$2:$G$2050,$A9,'BalSht Data'!$A$2:$A$2050,CY$1),#N/A)</f>
        <v>#N/A</v>
      </c>
      <c r="CZ9" s="52" t="e">
        <f>IF(CZ$1,SUMIFS('BalSht Data'!$H$2:$H$2050,'BalSht Data'!$G$2:$G$2050,$A9,'BalSht Data'!$A$2:$A$2050,CZ$1),#N/A)</f>
        <v>#N/A</v>
      </c>
    </row>
    <row r="10" spans="1:104" s="42" customFormat="1" x14ac:dyDescent="0.2">
      <c r="A10" s="5"/>
      <c r="B10" s="45"/>
      <c r="C10" s="45"/>
      <c r="D10" s="45"/>
      <c r="E10" s="45"/>
      <c r="F10" s="45"/>
      <c r="G10" s="45"/>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c r="AT10" s="45"/>
      <c r="AU10" s="45"/>
      <c r="AV10" s="45"/>
      <c r="AW10" s="45"/>
      <c r="AX10" s="45"/>
      <c r="AY10" s="45"/>
      <c r="AZ10" s="45"/>
      <c r="BA10" s="45"/>
      <c r="BB10" s="45"/>
      <c r="BC10" s="45"/>
      <c r="BD10" s="45"/>
      <c r="BE10" s="45"/>
      <c r="BF10" s="45"/>
      <c r="BG10" s="45"/>
      <c r="BH10" s="45"/>
      <c r="BI10" s="45"/>
      <c r="BJ10" s="45"/>
      <c r="BK10" s="45"/>
      <c r="BL10" s="45"/>
      <c r="BM10" s="45"/>
      <c r="BN10" s="45"/>
      <c r="BO10" s="45"/>
      <c r="BP10" s="45"/>
      <c r="BQ10" s="45"/>
      <c r="BR10" s="45"/>
      <c r="BS10" s="45"/>
      <c r="BT10" s="45"/>
      <c r="BU10" s="45"/>
      <c r="BV10" s="45"/>
      <c r="BW10" s="45"/>
      <c r="BX10" s="45"/>
      <c r="BY10" s="45"/>
      <c r="BZ10" s="45"/>
      <c r="CA10" s="45"/>
      <c r="CB10" s="45"/>
      <c r="CC10" s="45"/>
      <c r="CD10" s="45"/>
      <c r="CE10" s="45"/>
      <c r="CF10" s="45"/>
      <c r="CG10" s="45"/>
      <c r="CH10" s="45"/>
      <c r="CI10" s="45"/>
      <c r="CJ10" s="45"/>
      <c r="CK10" s="45"/>
      <c r="CL10" s="45"/>
      <c r="CM10" s="45"/>
      <c r="CN10" s="45"/>
      <c r="CO10" s="45"/>
      <c r="CP10" s="45"/>
      <c r="CQ10" s="45"/>
      <c r="CR10" s="45"/>
      <c r="CS10" s="45"/>
      <c r="CT10" s="45"/>
      <c r="CU10" s="45"/>
      <c r="CV10" s="45"/>
      <c r="CW10" s="45"/>
      <c r="CX10" s="45"/>
      <c r="CY10" s="45"/>
      <c r="CZ10" s="45"/>
    </row>
    <row r="11" spans="1:104" s="42" customFormat="1" x14ac:dyDescent="0.2">
      <c r="A11" s="5"/>
      <c r="B11" s="42" t="e">
        <f t="shared" ref="B11" si="0">SUM(B6:B9)</f>
        <v>#N/A</v>
      </c>
      <c r="C11" s="42" t="e">
        <f>SUM(C6:C9)</f>
        <v>#N/A</v>
      </c>
      <c r="D11" s="42" t="e">
        <f>SUM(D6:D9)</f>
        <v>#N/A</v>
      </c>
      <c r="E11" s="42" t="e">
        <f t="shared" ref="E11:AG11" si="1">SUM(E6:E9)</f>
        <v>#N/A</v>
      </c>
      <c r="F11" s="42" t="e">
        <f t="shared" si="1"/>
        <v>#N/A</v>
      </c>
      <c r="G11" s="42" t="e">
        <f t="shared" si="1"/>
        <v>#N/A</v>
      </c>
      <c r="H11" s="42" t="e">
        <f t="shared" si="1"/>
        <v>#N/A</v>
      </c>
      <c r="I11" s="42" t="e">
        <f t="shared" si="1"/>
        <v>#N/A</v>
      </c>
      <c r="J11" s="42" t="e">
        <f t="shared" si="1"/>
        <v>#N/A</v>
      </c>
      <c r="K11" s="42" t="e">
        <f t="shared" si="1"/>
        <v>#N/A</v>
      </c>
      <c r="L11" s="42" t="e">
        <f t="shared" si="1"/>
        <v>#N/A</v>
      </c>
      <c r="M11" s="42" t="e">
        <f t="shared" si="1"/>
        <v>#N/A</v>
      </c>
      <c r="N11" s="42" t="e">
        <f t="shared" si="1"/>
        <v>#N/A</v>
      </c>
      <c r="O11" s="42" t="e">
        <f t="shared" si="1"/>
        <v>#N/A</v>
      </c>
      <c r="P11" s="42" t="e">
        <f t="shared" si="1"/>
        <v>#N/A</v>
      </c>
      <c r="Q11" s="42" t="e">
        <f t="shared" si="1"/>
        <v>#N/A</v>
      </c>
      <c r="R11" s="42" t="e">
        <f t="shared" si="1"/>
        <v>#N/A</v>
      </c>
      <c r="S11" s="42" t="e">
        <f t="shared" si="1"/>
        <v>#N/A</v>
      </c>
      <c r="T11" s="42" t="e">
        <f t="shared" si="1"/>
        <v>#N/A</v>
      </c>
      <c r="U11" s="42" t="e">
        <f t="shared" si="1"/>
        <v>#N/A</v>
      </c>
      <c r="V11" s="42" t="e">
        <f t="shared" si="1"/>
        <v>#N/A</v>
      </c>
      <c r="W11" s="42" t="e">
        <f t="shared" si="1"/>
        <v>#N/A</v>
      </c>
      <c r="X11" s="42" t="e">
        <f t="shared" si="1"/>
        <v>#N/A</v>
      </c>
      <c r="Y11" s="42" t="e">
        <f t="shared" si="1"/>
        <v>#N/A</v>
      </c>
      <c r="Z11" s="42" t="e">
        <f t="shared" si="1"/>
        <v>#N/A</v>
      </c>
      <c r="AA11" s="42" t="e">
        <f t="shared" si="1"/>
        <v>#N/A</v>
      </c>
      <c r="AB11" s="42" t="e">
        <f t="shared" si="1"/>
        <v>#N/A</v>
      </c>
      <c r="AC11" s="42" t="e">
        <f t="shared" si="1"/>
        <v>#N/A</v>
      </c>
      <c r="AD11" s="42" t="e">
        <f t="shared" si="1"/>
        <v>#N/A</v>
      </c>
      <c r="AE11" s="42" t="e">
        <f t="shared" si="1"/>
        <v>#N/A</v>
      </c>
      <c r="AF11" s="42" t="e">
        <f t="shared" si="1"/>
        <v>#N/A</v>
      </c>
      <c r="AG11" s="42" t="e">
        <f t="shared" si="1"/>
        <v>#N/A</v>
      </c>
      <c r="AH11" s="42" t="e">
        <f t="shared" ref="AH11:BM11" si="2">SUM(AH6:AH9)</f>
        <v>#N/A</v>
      </c>
      <c r="AI11" s="42" t="e">
        <f t="shared" si="2"/>
        <v>#N/A</v>
      </c>
      <c r="AJ11" s="42" t="e">
        <f t="shared" si="2"/>
        <v>#N/A</v>
      </c>
      <c r="AK11" s="42" t="e">
        <f t="shared" si="2"/>
        <v>#N/A</v>
      </c>
      <c r="AL11" s="42" t="e">
        <f t="shared" si="2"/>
        <v>#N/A</v>
      </c>
      <c r="AM11" s="42" t="e">
        <f t="shared" si="2"/>
        <v>#N/A</v>
      </c>
      <c r="AN11" s="42" t="e">
        <f t="shared" si="2"/>
        <v>#N/A</v>
      </c>
      <c r="AO11" s="42" t="e">
        <f t="shared" si="2"/>
        <v>#N/A</v>
      </c>
      <c r="AP11" s="42" t="e">
        <f t="shared" si="2"/>
        <v>#N/A</v>
      </c>
      <c r="AQ11" s="42" t="e">
        <f t="shared" si="2"/>
        <v>#N/A</v>
      </c>
      <c r="AR11" s="42" t="e">
        <f t="shared" si="2"/>
        <v>#N/A</v>
      </c>
      <c r="AS11" s="42" t="e">
        <f t="shared" si="2"/>
        <v>#N/A</v>
      </c>
      <c r="AT11" s="42" t="e">
        <f t="shared" si="2"/>
        <v>#N/A</v>
      </c>
      <c r="AU11" s="42" t="e">
        <f t="shared" si="2"/>
        <v>#N/A</v>
      </c>
      <c r="AV11" s="42" t="e">
        <f t="shared" si="2"/>
        <v>#N/A</v>
      </c>
      <c r="AW11" s="42" t="e">
        <f t="shared" si="2"/>
        <v>#N/A</v>
      </c>
      <c r="AX11" s="42" t="e">
        <f t="shared" si="2"/>
        <v>#N/A</v>
      </c>
      <c r="AY11" s="42" t="e">
        <f t="shared" si="2"/>
        <v>#N/A</v>
      </c>
      <c r="AZ11" s="42" t="e">
        <f t="shared" si="2"/>
        <v>#N/A</v>
      </c>
      <c r="BA11" s="42" t="e">
        <f t="shared" si="2"/>
        <v>#N/A</v>
      </c>
      <c r="BB11" s="42" t="e">
        <f t="shared" si="2"/>
        <v>#N/A</v>
      </c>
      <c r="BC11" s="42" t="e">
        <f t="shared" si="2"/>
        <v>#N/A</v>
      </c>
      <c r="BD11" s="42" t="e">
        <f t="shared" si="2"/>
        <v>#N/A</v>
      </c>
      <c r="BE11" s="42" t="e">
        <f t="shared" si="2"/>
        <v>#N/A</v>
      </c>
      <c r="BF11" s="42" t="e">
        <f t="shared" si="2"/>
        <v>#N/A</v>
      </c>
      <c r="BG11" s="42" t="e">
        <f t="shared" si="2"/>
        <v>#N/A</v>
      </c>
      <c r="BH11" s="42" t="e">
        <f t="shared" si="2"/>
        <v>#N/A</v>
      </c>
      <c r="BI11" s="42" t="e">
        <f t="shared" si="2"/>
        <v>#N/A</v>
      </c>
      <c r="BJ11" s="42" t="e">
        <f t="shared" si="2"/>
        <v>#N/A</v>
      </c>
      <c r="BK11" s="42" t="e">
        <f t="shared" si="2"/>
        <v>#N/A</v>
      </c>
      <c r="BL11" s="42" t="e">
        <f t="shared" si="2"/>
        <v>#N/A</v>
      </c>
      <c r="BM11" s="42" t="e">
        <f t="shared" si="2"/>
        <v>#N/A</v>
      </c>
      <c r="BN11" s="42" t="e">
        <f t="shared" ref="BN11:CS11" si="3">SUM(BN6:BN9)</f>
        <v>#N/A</v>
      </c>
      <c r="BO11" s="42" t="e">
        <f t="shared" si="3"/>
        <v>#N/A</v>
      </c>
      <c r="BP11" s="42" t="e">
        <f t="shared" si="3"/>
        <v>#N/A</v>
      </c>
      <c r="BQ11" s="42" t="e">
        <f t="shared" si="3"/>
        <v>#N/A</v>
      </c>
      <c r="BR11" s="42" t="e">
        <f t="shared" si="3"/>
        <v>#N/A</v>
      </c>
      <c r="BS11" s="42" t="e">
        <f t="shared" si="3"/>
        <v>#N/A</v>
      </c>
      <c r="BT11" s="42" t="e">
        <f t="shared" si="3"/>
        <v>#N/A</v>
      </c>
      <c r="BU11" s="42" t="e">
        <f t="shared" si="3"/>
        <v>#N/A</v>
      </c>
      <c r="BV11" s="42" t="e">
        <f t="shared" si="3"/>
        <v>#N/A</v>
      </c>
      <c r="BW11" s="42" t="e">
        <f t="shared" si="3"/>
        <v>#N/A</v>
      </c>
      <c r="BX11" s="42" t="e">
        <f t="shared" si="3"/>
        <v>#N/A</v>
      </c>
      <c r="BY11" s="42" t="e">
        <f t="shared" si="3"/>
        <v>#N/A</v>
      </c>
      <c r="BZ11" s="42" t="e">
        <f t="shared" si="3"/>
        <v>#N/A</v>
      </c>
      <c r="CA11" s="42" t="e">
        <f t="shared" si="3"/>
        <v>#N/A</v>
      </c>
      <c r="CB11" s="42" t="e">
        <f t="shared" si="3"/>
        <v>#N/A</v>
      </c>
      <c r="CC11" s="42" t="e">
        <f t="shared" si="3"/>
        <v>#N/A</v>
      </c>
      <c r="CD11" s="42" t="e">
        <f t="shared" si="3"/>
        <v>#N/A</v>
      </c>
      <c r="CE11" s="42" t="e">
        <f t="shared" si="3"/>
        <v>#N/A</v>
      </c>
      <c r="CF11" s="42" t="e">
        <f t="shared" si="3"/>
        <v>#N/A</v>
      </c>
      <c r="CG11" s="42" t="e">
        <f t="shared" si="3"/>
        <v>#N/A</v>
      </c>
      <c r="CH11" s="42" t="e">
        <f t="shared" si="3"/>
        <v>#N/A</v>
      </c>
      <c r="CI11" s="42" t="e">
        <f t="shared" si="3"/>
        <v>#N/A</v>
      </c>
      <c r="CJ11" s="42" t="e">
        <f t="shared" si="3"/>
        <v>#N/A</v>
      </c>
      <c r="CK11" s="42" t="e">
        <f t="shared" si="3"/>
        <v>#N/A</v>
      </c>
      <c r="CL11" s="42" t="e">
        <f t="shared" si="3"/>
        <v>#N/A</v>
      </c>
      <c r="CM11" s="42" t="e">
        <f t="shared" si="3"/>
        <v>#N/A</v>
      </c>
      <c r="CN11" s="42" t="e">
        <f t="shared" si="3"/>
        <v>#N/A</v>
      </c>
      <c r="CO11" s="42" t="e">
        <f t="shared" si="3"/>
        <v>#N/A</v>
      </c>
      <c r="CP11" s="42" t="e">
        <f t="shared" si="3"/>
        <v>#N/A</v>
      </c>
      <c r="CQ11" s="42" t="e">
        <f t="shared" si="3"/>
        <v>#N/A</v>
      </c>
      <c r="CR11" s="42" t="e">
        <f t="shared" si="3"/>
        <v>#N/A</v>
      </c>
      <c r="CS11" s="42" t="e">
        <f t="shared" si="3"/>
        <v>#N/A</v>
      </c>
      <c r="CT11" s="42" t="e">
        <f t="shared" ref="CT11:CZ11" si="4">SUM(CT6:CT9)</f>
        <v>#N/A</v>
      </c>
      <c r="CU11" s="42" t="e">
        <f t="shared" si="4"/>
        <v>#N/A</v>
      </c>
      <c r="CV11" s="42" t="e">
        <f t="shared" si="4"/>
        <v>#N/A</v>
      </c>
      <c r="CW11" s="42" t="e">
        <f t="shared" si="4"/>
        <v>#N/A</v>
      </c>
      <c r="CX11" s="42" t="e">
        <f t="shared" si="4"/>
        <v>#N/A</v>
      </c>
      <c r="CY11" s="42" t="e">
        <f t="shared" si="4"/>
        <v>#N/A</v>
      </c>
      <c r="CZ11" s="42" t="e">
        <f t="shared" si="4"/>
        <v>#N/A</v>
      </c>
    </row>
    <row r="12" spans="1:104" s="42" customFormat="1" x14ac:dyDescent="0.2">
      <c r="A12" s="5"/>
      <c r="B12" s="45"/>
      <c r="C12" s="45"/>
      <c r="D12" s="45"/>
      <c r="E12" s="45"/>
      <c r="F12" s="45"/>
      <c r="G12" s="45"/>
      <c r="H12" s="45"/>
      <c r="I12" s="45"/>
      <c r="J12" s="45"/>
      <c r="K12" s="45"/>
      <c r="L12" s="45"/>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c r="AV12" s="45"/>
      <c r="AW12" s="45"/>
      <c r="AX12" s="45"/>
      <c r="AY12" s="45"/>
      <c r="AZ12" s="45"/>
      <c r="BA12" s="45"/>
      <c r="BB12" s="45"/>
      <c r="BC12" s="45"/>
      <c r="BD12" s="45"/>
      <c r="BE12" s="45"/>
      <c r="BF12" s="45"/>
      <c r="BG12" s="45"/>
      <c r="BH12" s="45"/>
      <c r="BI12" s="45"/>
      <c r="BJ12" s="45"/>
      <c r="BK12" s="45"/>
      <c r="BL12" s="45"/>
      <c r="BM12" s="45"/>
      <c r="BN12" s="45"/>
      <c r="BO12" s="45"/>
      <c r="BP12" s="45"/>
      <c r="BQ12" s="45"/>
      <c r="BR12" s="45"/>
      <c r="BS12" s="45"/>
      <c r="BT12" s="45"/>
      <c r="BU12" s="45"/>
      <c r="BV12" s="45"/>
      <c r="BW12" s="45"/>
      <c r="BX12" s="45"/>
      <c r="BY12" s="45"/>
      <c r="BZ12" s="45"/>
      <c r="CA12" s="45"/>
      <c r="CB12" s="45"/>
      <c r="CC12" s="45"/>
      <c r="CD12" s="45"/>
      <c r="CE12" s="45"/>
      <c r="CF12" s="45"/>
      <c r="CG12" s="45"/>
      <c r="CH12" s="45"/>
      <c r="CI12" s="45"/>
      <c r="CJ12" s="45"/>
      <c r="CK12" s="45"/>
      <c r="CL12" s="45"/>
      <c r="CM12" s="45"/>
      <c r="CN12" s="45"/>
      <c r="CO12" s="45"/>
      <c r="CP12" s="45"/>
      <c r="CQ12" s="45"/>
      <c r="CR12" s="45"/>
      <c r="CS12" s="45"/>
      <c r="CT12" s="45"/>
      <c r="CU12" s="45"/>
      <c r="CV12" s="45"/>
      <c r="CW12" s="45"/>
      <c r="CX12" s="45"/>
      <c r="CY12" s="45"/>
      <c r="CZ12" s="45"/>
    </row>
    <row r="13" spans="1:104" s="44" customFormat="1" ht="15" x14ac:dyDescent="0.35">
      <c r="A13" s="57" t="s">
        <v>12</v>
      </c>
      <c r="B13" s="52" t="e">
        <f>IF(B$1,SUMIFS('BalSht Data'!$H$2:$H$2050,'BalSht Data'!$G$2:$G$2050,$A13,'BalSht Data'!$A$2:$A$2050,B$1),#N/A)</f>
        <v>#N/A</v>
      </c>
      <c r="C13" s="52" t="e">
        <f>IF(C$1,SUMIFS('BalSht Data'!$H$2:$H$2050,'BalSht Data'!$G$2:$G$2050,$A13,'BalSht Data'!$A$2:$A$2050,C$1),#N/A)</f>
        <v>#N/A</v>
      </c>
      <c r="D13" s="52" t="e">
        <f>IF(D$1,SUMIFS('BalSht Data'!$H$2:$H$2050,'BalSht Data'!$G$2:$G$2050,$A13,'BalSht Data'!$A$2:$A$2050,D$1),#N/A)</f>
        <v>#N/A</v>
      </c>
      <c r="E13" s="52" t="e">
        <f>IF(E$1,SUMIFS('BalSht Data'!$H$2:$H$2050,'BalSht Data'!$G$2:$G$2050,$A13,'BalSht Data'!$A$2:$A$2050,E$1),#N/A)</f>
        <v>#N/A</v>
      </c>
      <c r="F13" s="52" t="e">
        <f>IF(F$1,SUMIFS('BalSht Data'!$H$2:$H$2050,'BalSht Data'!$G$2:$G$2050,$A13,'BalSht Data'!$A$2:$A$2050,F$1),#N/A)</f>
        <v>#N/A</v>
      </c>
      <c r="G13" s="52" t="e">
        <f>IF(G$1,SUMIFS('BalSht Data'!$H$2:$H$2050,'BalSht Data'!$G$2:$G$2050,$A13,'BalSht Data'!$A$2:$A$2050,G$1),#N/A)</f>
        <v>#N/A</v>
      </c>
      <c r="H13" s="52" t="e">
        <f>IF(H$1,SUMIFS('BalSht Data'!$H$2:$H$2050,'BalSht Data'!$G$2:$G$2050,$A13,'BalSht Data'!$A$2:$A$2050,H$1),#N/A)</f>
        <v>#N/A</v>
      </c>
      <c r="I13" s="52" t="e">
        <f>IF(I$1,SUMIFS('BalSht Data'!$H$2:$H$2050,'BalSht Data'!$G$2:$G$2050,$A13,'BalSht Data'!$A$2:$A$2050,I$1),#N/A)</f>
        <v>#N/A</v>
      </c>
      <c r="J13" s="52" t="e">
        <f>IF(J$1,SUMIFS('BalSht Data'!$H$2:$H$2050,'BalSht Data'!$G$2:$G$2050,$A13,'BalSht Data'!$A$2:$A$2050,J$1),#N/A)</f>
        <v>#N/A</v>
      </c>
      <c r="K13" s="52" t="e">
        <f>IF(K$1,SUMIFS('BalSht Data'!$H$2:$H$2050,'BalSht Data'!$G$2:$G$2050,$A13,'BalSht Data'!$A$2:$A$2050,K$1),#N/A)</f>
        <v>#N/A</v>
      </c>
      <c r="L13" s="52" t="e">
        <f>IF(L$1,SUMIFS('BalSht Data'!$H$2:$H$2050,'BalSht Data'!$G$2:$G$2050,$A13,'BalSht Data'!$A$2:$A$2050,L$1),#N/A)</f>
        <v>#N/A</v>
      </c>
      <c r="M13" s="52" t="e">
        <f>IF(M$1,SUMIFS('BalSht Data'!$H$2:$H$2050,'BalSht Data'!$G$2:$G$2050,$A13,'BalSht Data'!$A$2:$A$2050,M$1),#N/A)</f>
        <v>#N/A</v>
      </c>
      <c r="N13" s="52" t="e">
        <f>IF(N$1,SUMIFS('BalSht Data'!$H$2:$H$2050,'BalSht Data'!$G$2:$G$2050,$A13,'BalSht Data'!$A$2:$A$2050,N$1),#N/A)</f>
        <v>#N/A</v>
      </c>
      <c r="O13" s="52" t="e">
        <f>IF(O$1,SUMIFS('BalSht Data'!$H$2:$H$2050,'BalSht Data'!$G$2:$G$2050,$A13,'BalSht Data'!$A$2:$A$2050,O$1),#N/A)</f>
        <v>#N/A</v>
      </c>
      <c r="P13" s="52" t="e">
        <f>IF(P$1,SUMIFS('BalSht Data'!$H$2:$H$2050,'BalSht Data'!$G$2:$G$2050,$A13,'BalSht Data'!$A$2:$A$2050,P$1),#N/A)</f>
        <v>#N/A</v>
      </c>
      <c r="Q13" s="52" t="e">
        <f>IF(Q$1,SUMIFS('BalSht Data'!$H$2:$H$2050,'BalSht Data'!$G$2:$G$2050,$A13,'BalSht Data'!$A$2:$A$2050,Q$1),#N/A)</f>
        <v>#N/A</v>
      </c>
      <c r="R13" s="52" t="e">
        <f>IF(R$1,SUMIFS('BalSht Data'!$H$2:$H$2050,'BalSht Data'!$G$2:$G$2050,$A13,'BalSht Data'!$A$2:$A$2050,R$1),#N/A)</f>
        <v>#N/A</v>
      </c>
      <c r="S13" s="52" t="e">
        <f>IF(S$1,SUMIFS('BalSht Data'!$H$2:$H$2050,'BalSht Data'!$G$2:$G$2050,$A13,'BalSht Data'!$A$2:$A$2050,S$1),#N/A)</f>
        <v>#N/A</v>
      </c>
      <c r="T13" s="52" t="e">
        <f>IF(T$1,SUMIFS('BalSht Data'!$H$2:$H$2050,'BalSht Data'!$G$2:$G$2050,$A13,'BalSht Data'!$A$2:$A$2050,T$1),#N/A)</f>
        <v>#N/A</v>
      </c>
      <c r="U13" s="52" t="e">
        <f>IF(U$1,SUMIFS('BalSht Data'!$H$2:$H$2050,'BalSht Data'!$G$2:$G$2050,$A13,'BalSht Data'!$A$2:$A$2050,U$1),#N/A)</f>
        <v>#N/A</v>
      </c>
      <c r="V13" s="52" t="e">
        <f>IF(V$1,SUMIFS('BalSht Data'!$H$2:$H$2050,'BalSht Data'!$G$2:$G$2050,$A13,'BalSht Data'!$A$2:$A$2050,V$1),#N/A)</f>
        <v>#N/A</v>
      </c>
      <c r="W13" s="52" t="e">
        <f>IF(W$1,SUMIFS('BalSht Data'!$H$2:$H$2050,'BalSht Data'!$G$2:$G$2050,$A13,'BalSht Data'!$A$2:$A$2050,W$1),#N/A)</f>
        <v>#N/A</v>
      </c>
      <c r="X13" s="52" t="e">
        <f>IF(X$1,SUMIFS('BalSht Data'!$H$2:$H$2050,'BalSht Data'!$G$2:$G$2050,$A13,'BalSht Data'!$A$2:$A$2050,X$1),#N/A)</f>
        <v>#N/A</v>
      </c>
      <c r="Y13" s="52" t="e">
        <f>IF(Y$1,SUMIFS('BalSht Data'!$H$2:$H$2050,'BalSht Data'!$G$2:$G$2050,$A13,'BalSht Data'!$A$2:$A$2050,Y$1),#N/A)</f>
        <v>#N/A</v>
      </c>
      <c r="Z13" s="52" t="e">
        <f>IF(Z$1,SUMIFS('BalSht Data'!$H$2:$H$2050,'BalSht Data'!$G$2:$G$2050,$A13,'BalSht Data'!$A$2:$A$2050,Z$1),#N/A)</f>
        <v>#N/A</v>
      </c>
      <c r="AA13" s="52" t="e">
        <f>IF(AA$1,SUMIFS('BalSht Data'!$H$2:$H$2050,'BalSht Data'!$G$2:$G$2050,$A13,'BalSht Data'!$A$2:$A$2050,AA$1),#N/A)</f>
        <v>#N/A</v>
      </c>
      <c r="AB13" s="52" t="e">
        <f>IF(AB$1,SUMIFS('BalSht Data'!$H$2:$H$2050,'BalSht Data'!$G$2:$G$2050,$A13,'BalSht Data'!$A$2:$A$2050,AB$1),#N/A)</f>
        <v>#N/A</v>
      </c>
      <c r="AC13" s="52" t="e">
        <f>IF(AC$1,SUMIFS('BalSht Data'!$H$2:$H$2050,'BalSht Data'!$G$2:$G$2050,$A13,'BalSht Data'!$A$2:$A$2050,AC$1),#N/A)</f>
        <v>#N/A</v>
      </c>
      <c r="AD13" s="52" t="e">
        <f>IF(AD$1,SUMIFS('BalSht Data'!$H$2:$H$2050,'BalSht Data'!$G$2:$G$2050,$A13,'BalSht Data'!$A$2:$A$2050,AD$1),#N/A)</f>
        <v>#N/A</v>
      </c>
      <c r="AE13" s="52" t="e">
        <f>IF(AE$1,SUMIFS('BalSht Data'!$H$2:$H$2050,'BalSht Data'!$G$2:$G$2050,$A13,'BalSht Data'!$A$2:$A$2050,AE$1),#N/A)</f>
        <v>#N/A</v>
      </c>
      <c r="AF13" s="52" t="e">
        <f>IF(AF$1,SUMIFS('BalSht Data'!$H$2:$H$2050,'BalSht Data'!$G$2:$G$2050,$A13,'BalSht Data'!$A$2:$A$2050,AF$1),#N/A)</f>
        <v>#N/A</v>
      </c>
      <c r="AG13" s="52" t="e">
        <f>IF(AG$1,SUMIFS('BalSht Data'!$H$2:$H$2050,'BalSht Data'!$G$2:$G$2050,$A13,'BalSht Data'!$A$2:$A$2050,AG$1),#N/A)</f>
        <v>#N/A</v>
      </c>
      <c r="AH13" s="52" t="e">
        <f>IF(AH$1,SUMIFS('BalSht Data'!$H$2:$H$2050,'BalSht Data'!$G$2:$G$2050,$A13,'BalSht Data'!$A$2:$A$2050,AH$1),#N/A)</f>
        <v>#N/A</v>
      </c>
      <c r="AI13" s="52" t="e">
        <f>IF(AI$1,SUMIFS('BalSht Data'!$H$2:$H$2050,'BalSht Data'!$G$2:$G$2050,$A13,'BalSht Data'!$A$2:$A$2050,AI$1),#N/A)</f>
        <v>#N/A</v>
      </c>
      <c r="AJ13" s="52" t="e">
        <f>IF(AJ$1,SUMIFS('BalSht Data'!$H$2:$H$2050,'BalSht Data'!$G$2:$G$2050,$A13,'BalSht Data'!$A$2:$A$2050,AJ$1),#N/A)</f>
        <v>#N/A</v>
      </c>
      <c r="AK13" s="52" t="e">
        <f>IF(AK$1,SUMIFS('BalSht Data'!$H$2:$H$2050,'BalSht Data'!$G$2:$G$2050,$A13,'BalSht Data'!$A$2:$A$2050,AK$1),#N/A)</f>
        <v>#N/A</v>
      </c>
      <c r="AL13" s="52" t="e">
        <f>IF(AL$1,SUMIFS('BalSht Data'!$H$2:$H$2050,'BalSht Data'!$G$2:$G$2050,$A13,'BalSht Data'!$A$2:$A$2050,AL$1),#N/A)</f>
        <v>#N/A</v>
      </c>
      <c r="AM13" s="52" t="e">
        <f>IF(AM$1,SUMIFS('BalSht Data'!$H$2:$H$2050,'BalSht Data'!$G$2:$G$2050,$A13,'BalSht Data'!$A$2:$A$2050,AM$1),#N/A)</f>
        <v>#N/A</v>
      </c>
      <c r="AN13" s="52" t="e">
        <f>IF(AN$1,SUMIFS('BalSht Data'!$H$2:$H$2050,'BalSht Data'!$G$2:$G$2050,$A13,'BalSht Data'!$A$2:$A$2050,AN$1),#N/A)</f>
        <v>#N/A</v>
      </c>
      <c r="AO13" s="52" t="e">
        <f>IF(AO$1,SUMIFS('BalSht Data'!$H$2:$H$2050,'BalSht Data'!$G$2:$G$2050,$A13,'BalSht Data'!$A$2:$A$2050,AO$1),#N/A)</f>
        <v>#N/A</v>
      </c>
      <c r="AP13" s="52" t="e">
        <f>IF(AP$1,SUMIFS('BalSht Data'!$H$2:$H$2050,'BalSht Data'!$G$2:$G$2050,$A13,'BalSht Data'!$A$2:$A$2050,AP$1),#N/A)</f>
        <v>#N/A</v>
      </c>
      <c r="AQ13" s="52" t="e">
        <f>IF(AQ$1,SUMIFS('BalSht Data'!$H$2:$H$2050,'BalSht Data'!$G$2:$G$2050,$A13,'BalSht Data'!$A$2:$A$2050,AQ$1),#N/A)</f>
        <v>#N/A</v>
      </c>
      <c r="AR13" s="52" t="e">
        <f>IF(AR$1,SUMIFS('BalSht Data'!$H$2:$H$2050,'BalSht Data'!$G$2:$G$2050,$A13,'BalSht Data'!$A$2:$A$2050,AR$1),#N/A)</f>
        <v>#N/A</v>
      </c>
      <c r="AS13" s="52" t="e">
        <f>IF(AS$1,SUMIFS('BalSht Data'!$H$2:$H$2050,'BalSht Data'!$G$2:$G$2050,$A13,'BalSht Data'!$A$2:$A$2050,AS$1),#N/A)</f>
        <v>#N/A</v>
      </c>
      <c r="AT13" s="52" t="e">
        <f>IF(AT$1,SUMIFS('BalSht Data'!$H$2:$H$2050,'BalSht Data'!$G$2:$G$2050,$A13,'BalSht Data'!$A$2:$A$2050,AT$1),#N/A)</f>
        <v>#N/A</v>
      </c>
      <c r="AU13" s="52" t="e">
        <f>IF(AU$1,SUMIFS('BalSht Data'!$H$2:$H$2050,'BalSht Data'!$G$2:$G$2050,$A13,'BalSht Data'!$A$2:$A$2050,AU$1),#N/A)</f>
        <v>#N/A</v>
      </c>
      <c r="AV13" s="52" t="e">
        <f>IF(AV$1,SUMIFS('BalSht Data'!$H$2:$H$2050,'BalSht Data'!$G$2:$G$2050,$A13,'BalSht Data'!$A$2:$A$2050,AV$1),#N/A)</f>
        <v>#N/A</v>
      </c>
      <c r="AW13" s="52" t="e">
        <f>IF(AW$1,SUMIFS('BalSht Data'!$H$2:$H$2050,'BalSht Data'!$G$2:$G$2050,$A13,'BalSht Data'!$A$2:$A$2050,AW$1),#N/A)</f>
        <v>#N/A</v>
      </c>
      <c r="AX13" s="52" t="e">
        <f>IF(AX$1,SUMIFS('BalSht Data'!$H$2:$H$2050,'BalSht Data'!$G$2:$G$2050,$A13,'BalSht Data'!$A$2:$A$2050,AX$1),#N/A)</f>
        <v>#N/A</v>
      </c>
      <c r="AY13" s="52" t="e">
        <f>IF(AY$1,SUMIFS('BalSht Data'!$H$2:$H$2050,'BalSht Data'!$G$2:$G$2050,$A13,'BalSht Data'!$A$2:$A$2050,AY$1),#N/A)</f>
        <v>#N/A</v>
      </c>
      <c r="AZ13" s="52" t="e">
        <f>IF(AZ$1,SUMIFS('BalSht Data'!$H$2:$H$2050,'BalSht Data'!$G$2:$G$2050,$A13,'BalSht Data'!$A$2:$A$2050,AZ$1),#N/A)</f>
        <v>#N/A</v>
      </c>
      <c r="BA13" s="52" t="e">
        <f>IF(BA$1,SUMIFS('BalSht Data'!$H$2:$H$2050,'BalSht Data'!$G$2:$G$2050,$A13,'BalSht Data'!$A$2:$A$2050,BA$1),#N/A)</f>
        <v>#N/A</v>
      </c>
      <c r="BB13" s="52" t="e">
        <f>IF(BB$1,SUMIFS('BalSht Data'!$H$2:$H$2050,'BalSht Data'!$G$2:$G$2050,$A13,'BalSht Data'!$A$2:$A$2050,BB$1),#N/A)</f>
        <v>#N/A</v>
      </c>
      <c r="BC13" s="52" t="e">
        <f>IF(BC$1,SUMIFS('BalSht Data'!$H$2:$H$2050,'BalSht Data'!$G$2:$G$2050,$A13,'BalSht Data'!$A$2:$A$2050,BC$1),#N/A)</f>
        <v>#N/A</v>
      </c>
      <c r="BD13" s="52" t="e">
        <f>IF(BD$1,SUMIFS('BalSht Data'!$H$2:$H$2050,'BalSht Data'!$G$2:$G$2050,$A13,'BalSht Data'!$A$2:$A$2050,BD$1),#N/A)</f>
        <v>#N/A</v>
      </c>
      <c r="BE13" s="52" t="e">
        <f>IF(BE$1,SUMIFS('BalSht Data'!$H$2:$H$2050,'BalSht Data'!$G$2:$G$2050,$A13,'BalSht Data'!$A$2:$A$2050,BE$1),#N/A)</f>
        <v>#N/A</v>
      </c>
      <c r="BF13" s="52" t="e">
        <f>IF(BF$1,SUMIFS('BalSht Data'!$H$2:$H$2050,'BalSht Data'!$G$2:$G$2050,$A13,'BalSht Data'!$A$2:$A$2050,BF$1),#N/A)</f>
        <v>#N/A</v>
      </c>
      <c r="BG13" s="52" t="e">
        <f>IF(BG$1,SUMIFS('BalSht Data'!$H$2:$H$2050,'BalSht Data'!$G$2:$G$2050,$A13,'BalSht Data'!$A$2:$A$2050,BG$1),#N/A)</f>
        <v>#N/A</v>
      </c>
      <c r="BH13" s="52" t="e">
        <f>IF(BH$1,SUMIFS('BalSht Data'!$H$2:$H$2050,'BalSht Data'!$G$2:$G$2050,$A13,'BalSht Data'!$A$2:$A$2050,BH$1),#N/A)</f>
        <v>#N/A</v>
      </c>
      <c r="BI13" s="52" t="e">
        <f>IF(BI$1,SUMIFS('BalSht Data'!$H$2:$H$2050,'BalSht Data'!$G$2:$G$2050,$A13,'BalSht Data'!$A$2:$A$2050,BI$1),#N/A)</f>
        <v>#N/A</v>
      </c>
      <c r="BJ13" s="52" t="e">
        <f>IF(BJ$1,SUMIFS('BalSht Data'!$H$2:$H$2050,'BalSht Data'!$G$2:$G$2050,$A13,'BalSht Data'!$A$2:$A$2050,BJ$1),#N/A)</f>
        <v>#N/A</v>
      </c>
      <c r="BK13" s="52" t="e">
        <f>IF(BK$1,SUMIFS('BalSht Data'!$H$2:$H$2050,'BalSht Data'!$G$2:$G$2050,$A13,'BalSht Data'!$A$2:$A$2050,BK$1),#N/A)</f>
        <v>#N/A</v>
      </c>
      <c r="BL13" s="52" t="e">
        <f>IF(BL$1,SUMIFS('BalSht Data'!$H$2:$H$2050,'BalSht Data'!$G$2:$G$2050,$A13,'BalSht Data'!$A$2:$A$2050,BL$1),#N/A)</f>
        <v>#N/A</v>
      </c>
      <c r="BM13" s="52" t="e">
        <f>IF(BM$1,SUMIFS('BalSht Data'!$H$2:$H$2050,'BalSht Data'!$G$2:$G$2050,$A13,'BalSht Data'!$A$2:$A$2050,BM$1),#N/A)</f>
        <v>#N/A</v>
      </c>
      <c r="BN13" s="52" t="e">
        <f>IF(BN$1,SUMIFS('BalSht Data'!$H$2:$H$2050,'BalSht Data'!$G$2:$G$2050,$A13,'BalSht Data'!$A$2:$A$2050,BN$1),#N/A)</f>
        <v>#N/A</v>
      </c>
      <c r="BO13" s="52" t="e">
        <f>IF(BO$1,SUMIFS('BalSht Data'!$H$2:$H$2050,'BalSht Data'!$G$2:$G$2050,$A13,'BalSht Data'!$A$2:$A$2050,BO$1),#N/A)</f>
        <v>#N/A</v>
      </c>
      <c r="BP13" s="52" t="e">
        <f>IF(BP$1,SUMIFS('BalSht Data'!$H$2:$H$2050,'BalSht Data'!$G$2:$G$2050,$A13,'BalSht Data'!$A$2:$A$2050,BP$1),#N/A)</f>
        <v>#N/A</v>
      </c>
      <c r="BQ13" s="52" t="e">
        <f>IF(BQ$1,SUMIFS('BalSht Data'!$H$2:$H$2050,'BalSht Data'!$G$2:$G$2050,$A13,'BalSht Data'!$A$2:$A$2050,BQ$1),#N/A)</f>
        <v>#N/A</v>
      </c>
      <c r="BR13" s="52" t="e">
        <f>IF(BR$1,SUMIFS('BalSht Data'!$H$2:$H$2050,'BalSht Data'!$G$2:$G$2050,$A13,'BalSht Data'!$A$2:$A$2050,BR$1),#N/A)</f>
        <v>#N/A</v>
      </c>
      <c r="BS13" s="52" t="e">
        <f>IF(BS$1,SUMIFS('BalSht Data'!$H$2:$H$2050,'BalSht Data'!$G$2:$G$2050,$A13,'BalSht Data'!$A$2:$A$2050,BS$1),#N/A)</f>
        <v>#N/A</v>
      </c>
      <c r="BT13" s="52" t="e">
        <f>IF(BT$1,SUMIFS('BalSht Data'!$H$2:$H$2050,'BalSht Data'!$G$2:$G$2050,$A13,'BalSht Data'!$A$2:$A$2050,BT$1),#N/A)</f>
        <v>#N/A</v>
      </c>
      <c r="BU13" s="52" t="e">
        <f>IF(BU$1,SUMIFS('BalSht Data'!$H$2:$H$2050,'BalSht Data'!$G$2:$G$2050,$A13,'BalSht Data'!$A$2:$A$2050,BU$1),#N/A)</f>
        <v>#N/A</v>
      </c>
      <c r="BV13" s="52" t="e">
        <f>IF(BV$1,SUMIFS('BalSht Data'!$H$2:$H$2050,'BalSht Data'!$G$2:$G$2050,$A13,'BalSht Data'!$A$2:$A$2050,BV$1),#N/A)</f>
        <v>#N/A</v>
      </c>
      <c r="BW13" s="52" t="e">
        <f>IF(BW$1,SUMIFS('BalSht Data'!$H$2:$H$2050,'BalSht Data'!$G$2:$G$2050,$A13,'BalSht Data'!$A$2:$A$2050,BW$1),#N/A)</f>
        <v>#N/A</v>
      </c>
      <c r="BX13" s="52" t="e">
        <f>IF(BX$1,SUMIFS('BalSht Data'!$H$2:$H$2050,'BalSht Data'!$G$2:$G$2050,$A13,'BalSht Data'!$A$2:$A$2050,BX$1),#N/A)</f>
        <v>#N/A</v>
      </c>
      <c r="BY13" s="52" t="e">
        <f>IF(BY$1,SUMIFS('BalSht Data'!$H$2:$H$2050,'BalSht Data'!$G$2:$G$2050,$A13,'BalSht Data'!$A$2:$A$2050,BY$1),#N/A)</f>
        <v>#N/A</v>
      </c>
      <c r="BZ13" s="52" t="e">
        <f>IF(BZ$1,SUMIFS('BalSht Data'!$H$2:$H$2050,'BalSht Data'!$G$2:$G$2050,$A13,'BalSht Data'!$A$2:$A$2050,BZ$1),#N/A)</f>
        <v>#N/A</v>
      </c>
      <c r="CA13" s="52" t="e">
        <f>IF(CA$1,SUMIFS('BalSht Data'!$H$2:$H$2050,'BalSht Data'!$G$2:$G$2050,$A13,'BalSht Data'!$A$2:$A$2050,CA$1),#N/A)</f>
        <v>#N/A</v>
      </c>
      <c r="CB13" s="52" t="e">
        <f>IF(CB$1,SUMIFS('BalSht Data'!$H$2:$H$2050,'BalSht Data'!$G$2:$G$2050,$A13,'BalSht Data'!$A$2:$A$2050,CB$1),#N/A)</f>
        <v>#N/A</v>
      </c>
      <c r="CC13" s="52" t="e">
        <f>IF(CC$1,SUMIFS('BalSht Data'!$H$2:$H$2050,'BalSht Data'!$G$2:$G$2050,$A13,'BalSht Data'!$A$2:$A$2050,CC$1),#N/A)</f>
        <v>#N/A</v>
      </c>
      <c r="CD13" s="52" t="e">
        <f>IF(CD$1,SUMIFS('BalSht Data'!$H$2:$H$2050,'BalSht Data'!$G$2:$G$2050,$A13,'BalSht Data'!$A$2:$A$2050,CD$1),#N/A)</f>
        <v>#N/A</v>
      </c>
      <c r="CE13" s="52" t="e">
        <f>IF(CE$1,SUMIFS('BalSht Data'!$H$2:$H$2050,'BalSht Data'!$G$2:$G$2050,$A13,'BalSht Data'!$A$2:$A$2050,CE$1),#N/A)</f>
        <v>#N/A</v>
      </c>
      <c r="CF13" s="52" t="e">
        <f>IF(CF$1,SUMIFS('BalSht Data'!$H$2:$H$2050,'BalSht Data'!$G$2:$G$2050,$A13,'BalSht Data'!$A$2:$A$2050,CF$1),#N/A)</f>
        <v>#N/A</v>
      </c>
      <c r="CG13" s="52" t="e">
        <f>IF(CG$1,SUMIFS('BalSht Data'!$H$2:$H$2050,'BalSht Data'!$G$2:$G$2050,$A13,'BalSht Data'!$A$2:$A$2050,CG$1),#N/A)</f>
        <v>#N/A</v>
      </c>
      <c r="CH13" s="52" t="e">
        <f>IF(CH$1,SUMIFS('BalSht Data'!$H$2:$H$2050,'BalSht Data'!$G$2:$G$2050,$A13,'BalSht Data'!$A$2:$A$2050,CH$1),#N/A)</f>
        <v>#N/A</v>
      </c>
      <c r="CI13" s="52" t="e">
        <f>IF(CI$1,SUMIFS('BalSht Data'!$H$2:$H$2050,'BalSht Data'!$G$2:$G$2050,$A13,'BalSht Data'!$A$2:$A$2050,CI$1),#N/A)</f>
        <v>#N/A</v>
      </c>
      <c r="CJ13" s="52" t="e">
        <f>IF(CJ$1,SUMIFS('BalSht Data'!$H$2:$H$2050,'BalSht Data'!$G$2:$G$2050,$A13,'BalSht Data'!$A$2:$A$2050,CJ$1),#N/A)</f>
        <v>#N/A</v>
      </c>
      <c r="CK13" s="52" t="e">
        <f>IF(CK$1,SUMIFS('BalSht Data'!$H$2:$H$2050,'BalSht Data'!$G$2:$G$2050,$A13,'BalSht Data'!$A$2:$A$2050,CK$1),#N/A)</f>
        <v>#N/A</v>
      </c>
      <c r="CL13" s="52" t="e">
        <f>IF(CL$1,SUMIFS('BalSht Data'!$H$2:$H$2050,'BalSht Data'!$G$2:$G$2050,$A13,'BalSht Data'!$A$2:$A$2050,CL$1),#N/A)</f>
        <v>#N/A</v>
      </c>
      <c r="CM13" s="52" t="e">
        <f>IF(CM$1,SUMIFS('BalSht Data'!$H$2:$H$2050,'BalSht Data'!$G$2:$G$2050,$A13,'BalSht Data'!$A$2:$A$2050,CM$1),#N/A)</f>
        <v>#N/A</v>
      </c>
      <c r="CN13" s="52" t="e">
        <f>IF(CN$1,SUMIFS('BalSht Data'!$H$2:$H$2050,'BalSht Data'!$G$2:$G$2050,$A13,'BalSht Data'!$A$2:$A$2050,CN$1),#N/A)</f>
        <v>#N/A</v>
      </c>
      <c r="CO13" s="52" t="e">
        <f>IF(CO$1,SUMIFS('BalSht Data'!$H$2:$H$2050,'BalSht Data'!$G$2:$G$2050,$A13,'BalSht Data'!$A$2:$A$2050,CO$1),#N/A)</f>
        <v>#N/A</v>
      </c>
      <c r="CP13" s="52" t="e">
        <f>IF(CP$1,SUMIFS('BalSht Data'!$H$2:$H$2050,'BalSht Data'!$G$2:$G$2050,$A13,'BalSht Data'!$A$2:$A$2050,CP$1),#N/A)</f>
        <v>#N/A</v>
      </c>
      <c r="CQ13" s="52" t="e">
        <f>IF(CQ$1,SUMIFS('BalSht Data'!$H$2:$H$2050,'BalSht Data'!$G$2:$G$2050,$A13,'BalSht Data'!$A$2:$A$2050,CQ$1),#N/A)</f>
        <v>#N/A</v>
      </c>
      <c r="CR13" s="52" t="e">
        <f>IF(CR$1,SUMIFS('BalSht Data'!$H$2:$H$2050,'BalSht Data'!$G$2:$G$2050,$A13,'BalSht Data'!$A$2:$A$2050,CR$1),#N/A)</f>
        <v>#N/A</v>
      </c>
      <c r="CS13" s="52" t="e">
        <f>IF(CS$1,SUMIFS('BalSht Data'!$H$2:$H$2050,'BalSht Data'!$G$2:$G$2050,$A13,'BalSht Data'!$A$2:$A$2050,CS$1),#N/A)</f>
        <v>#N/A</v>
      </c>
      <c r="CT13" s="52" t="e">
        <f>IF(CT$1,SUMIFS('BalSht Data'!$H$2:$H$2050,'BalSht Data'!$G$2:$G$2050,$A13,'BalSht Data'!$A$2:$A$2050,CT$1),#N/A)</f>
        <v>#N/A</v>
      </c>
      <c r="CU13" s="52" t="e">
        <f>IF(CU$1,SUMIFS('BalSht Data'!$H$2:$H$2050,'BalSht Data'!$G$2:$G$2050,$A13,'BalSht Data'!$A$2:$A$2050,CU$1),#N/A)</f>
        <v>#N/A</v>
      </c>
      <c r="CV13" s="52" t="e">
        <f>IF(CV$1,SUMIFS('BalSht Data'!$H$2:$H$2050,'BalSht Data'!$G$2:$G$2050,$A13,'BalSht Data'!$A$2:$A$2050,CV$1),#N/A)</f>
        <v>#N/A</v>
      </c>
      <c r="CW13" s="52" t="e">
        <f>IF(CW$1,SUMIFS('BalSht Data'!$H$2:$H$2050,'BalSht Data'!$G$2:$G$2050,$A13,'BalSht Data'!$A$2:$A$2050,CW$1),#N/A)</f>
        <v>#N/A</v>
      </c>
      <c r="CX13" s="52" t="e">
        <f>IF(CX$1,SUMIFS('BalSht Data'!$H$2:$H$2050,'BalSht Data'!$G$2:$G$2050,$A13,'BalSht Data'!$A$2:$A$2050,CX$1),#N/A)</f>
        <v>#N/A</v>
      </c>
      <c r="CY13" s="52" t="e">
        <f>IF(CY$1,SUMIFS('BalSht Data'!$H$2:$H$2050,'BalSht Data'!$G$2:$G$2050,$A13,'BalSht Data'!$A$2:$A$2050,CY$1),#N/A)</f>
        <v>#N/A</v>
      </c>
      <c r="CZ13" s="52" t="e">
        <f>IF(CZ$1,SUMIFS('BalSht Data'!$H$2:$H$2050,'BalSht Data'!$G$2:$G$2050,$A13,'BalSht Data'!$A$2:$A$2050,CZ$1),#N/A)</f>
        <v>#N/A</v>
      </c>
    </row>
    <row r="14" spans="1:104" s="42" customFormat="1" x14ac:dyDescent="0.2">
      <c r="A14" s="5"/>
      <c r="B14" s="45"/>
      <c r="C14" s="45"/>
      <c r="D14" s="45"/>
      <c r="E14" s="45"/>
      <c r="F14" s="45"/>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c r="AM14" s="45"/>
      <c r="AN14" s="45"/>
      <c r="AO14" s="45"/>
      <c r="AP14" s="45"/>
      <c r="AQ14" s="45"/>
      <c r="AR14" s="45"/>
      <c r="AS14" s="45"/>
      <c r="AT14" s="45"/>
      <c r="AU14" s="45"/>
      <c r="AV14" s="45"/>
      <c r="AW14" s="45"/>
      <c r="AX14" s="45"/>
      <c r="AY14" s="45"/>
      <c r="AZ14" s="45"/>
      <c r="BA14" s="45"/>
      <c r="BB14" s="45"/>
      <c r="BC14" s="45"/>
      <c r="BD14" s="45"/>
      <c r="BE14" s="45"/>
      <c r="BF14" s="45"/>
      <c r="BG14" s="45"/>
      <c r="BH14" s="45"/>
      <c r="BI14" s="45"/>
      <c r="BJ14" s="45"/>
      <c r="BK14" s="45"/>
      <c r="BL14" s="45"/>
      <c r="BM14" s="45"/>
      <c r="BN14" s="45"/>
      <c r="BO14" s="45"/>
      <c r="BP14" s="45"/>
      <c r="BQ14" s="45"/>
      <c r="BR14" s="45"/>
      <c r="BS14" s="45"/>
      <c r="BT14" s="45"/>
      <c r="BU14" s="45"/>
      <c r="BV14" s="45"/>
      <c r="BW14" s="45"/>
      <c r="BX14" s="45"/>
      <c r="BY14" s="45"/>
      <c r="BZ14" s="45"/>
      <c r="CA14" s="45"/>
      <c r="CB14" s="45"/>
      <c r="CC14" s="45"/>
      <c r="CD14" s="45"/>
      <c r="CE14" s="45"/>
      <c r="CF14" s="45"/>
      <c r="CG14" s="45"/>
      <c r="CH14" s="45"/>
      <c r="CI14" s="45"/>
      <c r="CJ14" s="45"/>
      <c r="CK14" s="45"/>
      <c r="CL14" s="45"/>
      <c r="CM14" s="45"/>
      <c r="CN14" s="45"/>
      <c r="CO14" s="45"/>
      <c r="CP14" s="45"/>
      <c r="CQ14" s="45"/>
      <c r="CR14" s="45"/>
      <c r="CS14" s="45"/>
      <c r="CT14" s="45"/>
      <c r="CU14" s="45"/>
      <c r="CV14" s="45"/>
      <c r="CW14" s="45"/>
      <c r="CX14" s="45"/>
      <c r="CY14" s="45"/>
      <c r="CZ14" s="45"/>
    </row>
    <row r="15" spans="1:104" s="42" customFormat="1" x14ac:dyDescent="0.2">
      <c r="A15" s="57" t="s">
        <v>147</v>
      </c>
      <c r="B15" s="42" t="e">
        <f t="shared" ref="B15" si="5">+SUM(B11:B13)</f>
        <v>#N/A</v>
      </c>
      <c r="C15" s="42" t="e">
        <f>+SUM(C11:C13)</f>
        <v>#N/A</v>
      </c>
      <c r="D15" s="42" t="e">
        <f t="shared" ref="D15:BN15" si="6">+SUM(D11:D13)</f>
        <v>#N/A</v>
      </c>
      <c r="E15" s="42" t="e">
        <f t="shared" si="6"/>
        <v>#N/A</v>
      </c>
      <c r="F15" s="42" t="e">
        <f t="shared" si="6"/>
        <v>#N/A</v>
      </c>
      <c r="G15" s="42" t="e">
        <f t="shared" si="6"/>
        <v>#N/A</v>
      </c>
      <c r="H15" s="42" t="e">
        <f t="shared" si="6"/>
        <v>#N/A</v>
      </c>
      <c r="I15" s="42" t="e">
        <f t="shared" si="6"/>
        <v>#N/A</v>
      </c>
      <c r="J15" s="42" t="e">
        <f t="shared" si="6"/>
        <v>#N/A</v>
      </c>
      <c r="K15" s="42" t="e">
        <f t="shared" si="6"/>
        <v>#N/A</v>
      </c>
      <c r="L15" s="42" t="e">
        <f t="shared" si="6"/>
        <v>#N/A</v>
      </c>
      <c r="M15" s="42" t="e">
        <f t="shared" si="6"/>
        <v>#N/A</v>
      </c>
      <c r="N15" s="42" t="e">
        <f t="shared" si="6"/>
        <v>#N/A</v>
      </c>
      <c r="O15" s="42" t="e">
        <f t="shared" si="6"/>
        <v>#N/A</v>
      </c>
      <c r="P15" s="42" t="e">
        <f t="shared" si="6"/>
        <v>#N/A</v>
      </c>
      <c r="Q15" s="42" t="e">
        <f t="shared" si="6"/>
        <v>#N/A</v>
      </c>
      <c r="R15" s="42" t="e">
        <f t="shared" si="6"/>
        <v>#N/A</v>
      </c>
      <c r="S15" s="42" t="e">
        <f t="shared" si="6"/>
        <v>#N/A</v>
      </c>
      <c r="T15" s="42" t="e">
        <f t="shared" si="6"/>
        <v>#N/A</v>
      </c>
      <c r="U15" s="42" t="e">
        <f t="shared" si="6"/>
        <v>#N/A</v>
      </c>
      <c r="V15" s="42" t="e">
        <f t="shared" si="6"/>
        <v>#N/A</v>
      </c>
      <c r="W15" s="42" t="e">
        <f t="shared" si="6"/>
        <v>#N/A</v>
      </c>
      <c r="X15" s="42" t="e">
        <f t="shared" si="6"/>
        <v>#N/A</v>
      </c>
      <c r="Y15" s="42" t="e">
        <f t="shared" si="6"/>
        <v>#N/A</v>
      </c>
      <c r="Z15" s="42" t="e">
        <f t="shared" si="6"/>
        <v>#N/A</v>
      </c>
      <c r="AA15" s="42" t="e">
        <f t="shared" si="6"/>
        <v>#N/A</v>
      </c>
      <c r="AB15" s="42" t="e">
        <f t="shared" si="6"/>
        <v>#N/A</v>
      </c>
      <c r="AC15" s="42" t="e">
        <f t="shared" si="6"/>
        <v>#N/A</v>
      </c>
      <c r="AD15" s="42" t="e">
        <f t="shared" si="6"/>
        <v>#N/A</v>
      </c>
      <c r="AE15" s="42" t="e">
        <f t="shared" si="6"/>
        <v>#N/A</v>
      </c>
      <c r="AF15" s="42" t="e">
        <f t="shared" si="6"/>
        <v>#N/A</v>
      </c>
      <c r="AG15" s="42" t="e">
        <f t="shared" si="6"/>
        <v>#N/A</v>
      </c>
      <c r="AH15" s="42" t="e">
        <f t="shared" si="6"/>
        <v>#N/A</v>
      </c>
      <c r="AI15" s="42" t="e">
        <f t="shared" si="6"/>
        <v>#N/A</v>
      </c>
      <c r="AJ15" s="42" t="e">
        <f t="shared" si="6"/>
        <v>#N/A</v>
      </c>
      <c r="AK15" s="42" t="e">
        <f t="shared" si="6"/>
        <v>#N/A</v>
      </c>
      <c r="AL15" s="42" t="e">
        <f t="shared" si="6"/>
        <v>#N/A</v>
      </c>
      <c r="AM15" s="42" t="e">
        <f t="shared" si="6"/>
        <v>#N/A</v>
      </c>
      <c r="AN15" s="42" t="e">
        <f t="shared" si="6"/>
        <v>#N/A</v>
      </c>
      <c r="AO15" s="42" t="e">
        <f t="shared" si="6"/>
        <v>#N/A</v>
      </c>
      <c r="AP15" s="42" t="e">
        <f t="shared" si="6"/>
        <v>#N/A</v>
      </c>
      <c r="AQ15" s="42" t="e">
        <f t="shared" si="6"/>
        <v>#N/A</v>
      </c>
      <c r="AR15" s="42" t="e">
        <f t="shared" si="6"/>
        <v>#N/A</v>
      </c>
      <c r="AS15" s="42" t="e">
        <f t="shared" si="6"/>
        <v>#N/A</v>
      </c>
      <c r="AT15" s="42" t="e">
        <f t="shared" si="6"/>
        <v>#N/A</v>
      </c>
      <c r="AU15" s="42" t="e">
        <f t="shared" si="6"/>
        <v>#N/A</v>
      </c>
      <c r="AV15" s="42" t="e">
        <f t="shared" si="6"/>
        <v>#N/A</v>
      </c>
      <c r="AW15" s="42" t="e">
        <f t="shared" si="6"/>
        <v>#N/A</v>
      </c>
      <c r="AX15" s="42" t="e">
        <f t="shared" si="6"/>
        <v>#N/A</v>
      </c>
      <c r="AY15" s="42" t="e">
        <f t="shared" si="6"/>
        <v>#N/A</v>
      </c>
      <c r="AZ15" s="42" t="e">
        <f t="shared" si="6"/>
        <v>#N/A</v>
      </c>
      <c r="BA15" s="42" t="e">
        <f t="shared" si="6"/>
        <v>#N/A</v>
      </c>
      <c r="BB15" s="42" t="e">
        <f t="shared" si="6"/>
        <v>#N/A</v>
      </c>
      <c r="BC15" s="42" t="e">
        <f t="shared" si="6"/>
        <v>#N/A</v>
      </c>
      <c r="BD15" s="42" t="e">
        <f t="shared" si="6"/>
        <v>#N/A</v>
      </c>
      <c r="BE15" s="42" t="e">
        <f t="shared" si="6"/>
        <v>#N/A</v>
      </c>
      <c r="BF15" s="42" t="e">
        <f t="shared" si="6"/>
        <v>#N/A</v>
      </c>
      <c r="BG15" s="42" t="e">
        <f t="shared" si="6"/>
        <v>#N/A</v>
      </c>
      <c r="BH15" s="42" t="e">
        <f t="shared" si="6"/>
        <v>#N/A</v>
      </c>
      <c r="BI15" s="42" t="e">
        <f t="shared" si="6"/>
        <v>#N/A</v>
      </c>
      <c r="BJ15" s="42" t="e">
        <f t="shared" si="6"/>
        <v>#N/A</v>
      </c>
      <c r="BK15" s="42" t="e">
        <f t="shared" si="6"/>
        <v>#N/A</v>
      </c>
      <c r="BL15" s="42" t="e">
        <f t="shared" si="6"/>
        <v>#N/A</v>
      </c>
      <c r="BM15" s="42" t="e">
        <f t="shared" si="6"/>
        <v>#N/A</v>
      </c>
      <c r="BN15" s="42" t="e">
        <f t="shared" si="6"/>
        <v>#N/A</v>
      </c>
      <c r="BO15" s="42" t="e">
        <f t="shared" ref="BO15:CZ15" si="7">+SUM(BO11:BO13)</f>
        <v>#N/A</v>
      </c>
      <c r="BP15" s="42" t="e">
        <f t="shared" si="7"/>
        <v>#N/A</v>
      </c>
      <c r="BQ15" s="42" t="e">
        <f t="shared" si="7"/>
        <v>#N/A</v>
      </c>
      <c r="BR15" s="42" t="e">
        <f t="shared" si="7"/>
        <v>#N/A</v>
      </c>
      <c r="BS15" s="42" t="e">
        <f t="shared" si="7"/>
        <v>#N/A</v>
      </c>
      <c r="BT15" s="42" t="e">
        <f t="shared" si="7"/>
        <v>#N/A</v>
      </c>
      <c r="BU15" s="42" t="e">
        <f t="shared" si="7"/>
        <v>#N/A</v>
      </c>
      <c r="BV15" s="42" t="e">
        <f t="shared" si="7"/>
        <v>#N/A</v>
      </c>
      <c r="BW15" s="42" t="e">
        <f t="shared" si="7"/>
        <v>#N/A</v>
      </c>
      <c r="BX15" s="42" t="e">
        <f t="shared" si="7"/>
        <v>#N/A</v>
      </c>
      <c r="BY15" s="42" t="e">
        <f t="shared" si="7"/>
        <v>#N/A</v>
      </c>
      <c r="BZ15" s="42" t="e">
        <f t="shared" si="7"/>
        <v>#N/A</v>
      </c>
      <c r="CA15" s="42" t="e">
        <f t="shared" si="7"/>
        <v>#N/A</v>
      </c>
      <c r="CB15" s="42" t="e">
        <f t="shared" si="7"/>
        <v>#N/A</v>
      </c>
      <c r="CC15" s="42" t="e">
        <f t="shared" si="7"/>
        <v>#N/A</v>
      </c>
      <c r="CD15" s="42" t="e">
        <f t="shared" si="7"/>
        <v>#N/A</v>
      </c>
      <c r="CE15" s="42" t="e">
        <f t="shared" si="7"/>
        <v>#N/A</v>
      </c>
      <c r="CF15" s="42" t="e">
        <f t="shared" si="7"/>
        <v>#N/A</v>
      </c>
      <c r="CG15" s="42" t="e">
        <f t="shared" si="7"/>
        <v>#N/A</v>
      </c>
      <c r="CH15" s="42" t="e">
        <f t="shared" si="7"/>
        <v>#N/A</v>
      </c>
      <c r="CI15" s="42" t="e">
        <f t="shared" si="7"/>
        <v>#N/A</v>
      </c>
      <c r="CJ15" s="42" t="e">
        <f t="shared" si="7"/>
        <v>#N/A</v>
      </c>
      <c r="CK15" s="42" t="e">
        <f t="shared" si="7"/>
        <v>#N/A</v>
      </c>
      <c r="CL15" s="42" t="e">
        <f t="shared" si="7"/>
        <v>#N/A</v>
      </c>
      <c r="CM15" s="42" t="e">
        <f t="shared" si="7"/>
        <v>#N/A</v>
      </c>
      <c r="CN15" s="42" t="e">
        <f t="shared" si="7"/>
        <v>#N/A</v>
      </c>
      <c r="CO15" s="42" t="e">
        <f t="shared" si="7"/>
        <v>#N/A</v>
      </c>
      <c r="CP15" s="42" t="e">
        <f t="shared" si="7"/>
        <v>#N/A</v>
      </c>
      <c r="CQ15" s="42" t="e">
        <f t="shared" si="7"/>
        <v>#N/A</v>
      </c>
      <c r="CR15" s="42" t="e">
        <f t="shared" si="7"/>
        <v>#N/A</v>
      </c>
      <c r="CS15" s="42" t="e">
        <f t="shared" si="7"/>
        <v>#N/A</v>
      </c>
      <c r="CT15" s="42" t="e">
        <f t="shared" si="7"/>
        <v>#N/A</v>
      </c>
      <c r="CU15" s="42" t="e">
        <f t="shared" si="7"/>
        <v>#N/A</v>
      </c>
      <c r="CV15" s="42" t="e">
        <f t="shared" si="7"/>
        <v>#N/A</v>
      </c>
      <c r="CW15" s="42" t="e">
        <f t="shared" si="7"/>
        <v>#N/A</v>
      </c>
      <c r="CX15" s="42" t="e">
        <f t="shared" si="7"/>
        <v>#N/A</v>
      </c>
      <c r="CY15" s="42" t="e">
        <f t="shared" si="7"/>
        <v>#N/A</v>
      </c>
      <c r="CZ15" s="42" t="e">
        <f t="shared" si="7"/>
        <v>#N/A</v>
      </c>
    </row>
    <row r="16" spans="1:104" s="42" customFormat="1" x14ac:dyDescent="0.2">
      <c r="A16" s="3"/>
      <c r="B16" s="45"/>
      <c r="C16" s="45"/>
      <c r="D16" s="45"/>
      <c r="E16" s="45"/>
      <c r="F16" s="45"/>
      <c r="G16" s="45"/>
      <c r="H16" s="45"/>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c r="BJ16" s="45"/>
      <c r="BK16" s="45"/>
      <c r="BL16" s="45"/>
      <c r="BM16" s="45"/>
      <c r="BN16" s="45"/>
      <c r="BO16" s="45"/>
      <c r="BP16" s="45"/>
      <c r="BQ16" s="45"/>
      <c r="BR16" s="45"/>
      <c r="BS16" s="45"/>
      <c r="BT16" s="45"/>
      <c r="BU16" s="45"/>
      <c r="BV16" s="45"/>
      <c r="BW16" s="45"/>
      <c r="BX16" s="45"/>
      <c r="BY16" s="45"/>
      <c r="BZ16" s="45"/>
      <c r="CA16" s="45"/>
      <c r="CB16" s="45"/>
      <c r="CC16" s="45"/>
      <c r="CD16" s="45"/>
      <c r="CE16" s="45"/>
      <c r="CF16" s="45"/>
      <c r="CG16" s="45"/>
      <c r="CH16" s="45"/>
      <c r="CI16" s="45"/>
      <c r="CJ16" s="45"/>
      <c r="CK16" s="45"/>
      <c r="CL16" s="45"/>
      <c r="CM16" s="45"/>
      <c r="CN16" s="45"/>
      <c r="CO16" s="45"/>
      <c r="CP16" s="45"/>
      <c r="CQ16" s="45"/>
      <c r="CR16" s="45"/>
      <c r="CS16" s="45"/>
      <c r="CT16" s="45"/>
      <c r="CU16" s="45"/>
      <c r="CV16" s="45"/>
      <c r="CW16" s="45"/>
      <c r="CX16" s="45"/>
      <c r="CY16" s="45"/>
      <c r="CZ16" s="45"/>
    </row>
    <row r="17" spans="1:104" s="42" customFormat="1" x14ac:dyDescent="0.2">
      <c r="A17" s="4" t="s">
        <v>18</v>
      </c>
      <c r="B17" s="45"/>
      <c r="C17" s="45"/>
      <c r="D17" s="45"/>
      <c r="E17" s="45"/>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c r="BJ17" s="45"/>
      <c r="BK17" s="45"/>
      <c r="BL17" s="45"/>
      <c r="BM17" s="45"/>
      <c r="BN17" s="45"/>
      <c r="BO17" s="45"/>
      <c r="BP17" s="45"/>
      <c r="BQ17" s="45"/>
      <c r="BR17" s="45"/>
      <c r="BS17" s="45"/>
      <c r="BT17" s="45"/>
      <c r="BU17" s="45"/>
      <c r="BV17" s="45"/>
      <c r="BW17" s="45"/>
      <c r="BX17" s="45"/>
      <c r="BY17" s="45"/>
      <c r="BZ17" s="45"/>
      <c r="CA17" s="45"/>
      <c r="CB17" s="45"/>
      <c r="CC17" s="45"/>
      <c r="CD17" s="45"/>
      <c r="CE17" s="45"/>
      <c r="CF17" s="45"/>
      <c r="CG17" s="45"/>
      <c r="CH17" s="45"/>
      <c r="CI17" s="45"/>
      <c r="CJ17" s="45"/>
      <c r="CK17" s="45"/>
      <c r="CL17" s="45"/>
      <c r="CM17" s="45"/>
      <c r="CN17" s="45"/>
      <c r="CO17" s="45"/>
      <c r="CP17" s="45"/>
      <c r="CQ17" s="45"/>
      <c r="CR17" s="45"/>
      <c r="CS17" s="45"/>
      <c r="CT17" s="45"/>
      <c r="CU17" s="45"/>
      <c r="CV17" s="45"/>
      <c r="CW17" s="45"/>
      <c r="CX17" s="45"/>
      <c r="CY17" s="45"/>
      <c r="CZ17" s="45"/>
    </row>
    <row r="18" spans="1:104" s="42" customFormat="1" x14ac:dyDescent="0.2">
      <c r="A18" s="56" t="s">
        <v>21</v>
      </c>
      <c r="B18" s="45" t="e">
        <f>IF(B$1,SUMIFS('BalSht Data'!$H$2:$H$2050,'BalSht Data'!$G$2:$G$2050,$A18,'BalSht Data'!$A$2:$A$2050,B$1),#N/A)</f>
        <v>#N/A</v>
      </c>
      <c r="C18" s="45" t="e">
        <f>IF(C$1,SUMIFS('BalSht Data'!$H$2:$H$2050,'BalSht Data'!$G$2:$G$2050,$A18,'BalSht Data'!$A$2:$A$2050,C$1),#N/A)</f>
        <v>#N/A</v>
      </c>
      <c r="D18" s="45" t="e">
        <f>IF(D$1,SUMIFS('BalSht Data'!$H$2:$H$2050,'BalSht Data'!$G$2:$G$2050,$A18,'BalSht Data'!$A$2:$A$2050,D$1),#N/A)</f>
        <v>#N/A</v>
      </c>
      <c r="E18" s="45" t="e">
        <f>IF(E$1,SUMIFS('BalSht Data'!$H$2:$H$2050,'BalSht Data'!$G$2:$G$2050,$A18,'BalSht Data'!$A$2:$A$2050,E$1),#N/A)</f>
        <v>#N/A</v>
      </c>
      <c r="F18" s="45" t="e">
        <f>IF(F$1,SUMIFS('BalSht Data'!$H$2:$H$2050,'BalSht Data'!$G$2:$G$2050,$A18,'BalSht Data'!$A$2:$A$2050,F$1),#N/A)</f>
        <v>#N/A</v>
      </c>
      <c r="G18" s="45" t="e">
        <f>IF(G$1,SUMIFS('BalSht Data'!$H$2:$H$2050,'BalSht Data'!$G$2:$G$2050,$A18,'BalSht Data'!$A$2:$A$2050,G$1),#N/A)</f>
        <v>#N/A</v>
      </c>
      <c r="H18" s="45" t="e">
        <f>IF(H$1,SUMIFS('BalSht Data'!$H$2:$H$2050,'BalSht Data'!$G$2:$G$2050,$A18,'BalSht Data'!$A$2:$A$2050,H$1),#N/A)</f>
        <v>#N/A</v>
      </c>
      <c r="I18" s="45" t="e">
        <f>IF(I$1,SUMIFS('BalSht Data'!$H$2:$H$2050,'BalSht Data'!$G$2:$G$2050,$A18,'BalSht Data'!$A$2:$A$2050,I$1),#N/A)</f>
        <v>#N/A</v>
      </c>
      <c r="J18" s="45" t="e">
        <f>IF(J$1,SUMIFS('BalSht Data'!$H$2:$H$2050,'BalSht Data'!$G$2:$G$2050,$A18,'BalSht Data'!$A$2:$A$2050,J$1),#N/A)</f>
        <v>#N/A</v>
      </c>
      <c r="K18" s="45" t="e">
        <f>IF(K$1,SUMIFS('BalSht Data'!$H$2:$H$2050,'BalSht Data'!$G$2:$G$2050,$A18,'BalSht Data'!$A$2:$A$2050,K$1),#N/A)</f>
        <v>#N/A</v>
      </c>
      <c r="L18" s="45" t="e">
        <f>IF(L$1,SUMIFS('BalSht Data'!$H$2:$H$2050,'BalSht Data'!$G$2:$G$2050,$A18,'BalSht Data'!$A$2:$A$2050,L$1),#N/A)</f>
        <v>#N/A</v>
      </c>
      <c r="M18" s="45" t="e">
        <f>IF(M$1,SUMIFS('BalSht Data'!$H$2:$H$2050,'BalSht Data'!$G$2:$G$2050,$A18,'BalSht Data'!$A$2:$A$2050,M$1),#N/A)</f>
        <v>#N/A</v>
      </c>
      <c r="N18" s="45" t="e">
        <f>IF(N$1,SUMIFS('BalSht Data'!$H$2:$H$2050,'BalSht Data'!$G$2:$G$2050,$A18,'BalSht Data'!$A$2:$A$2050,N$1),#N/A)</f>
        <v>#N/A</v>
      </c>
      <c r="O18" s="45" t="e">
        <f>IF(O$1,SUMIFS('BalSht Data'!$H$2:$H$2050,'BalSht Data'!$G$2:$G$2050,$A18,'BalSht Data'!$A$2:$A$2050,O$1),#N/A)</f>
        <v>#N/A</v>
      </c>
      <c r="P18" s="45" t="e">
        <f>IF(P$1,SUMIFS('BalSht Data'!$H$2:$H$2050,'BalSht Data'!$G$2:$G$2050,$A18,'BalSht Data'!$A$2:$A$2050,P$1),#N/A)</f>
        <v>#N/A</v>
      </c>
      <c r="Q18" s="45" t="e">
        <f>IF(Q$1,SUMIFS('BalSht Data'!$H$2:$H$2050,'BalSht Data'!$G$2:$G$2050,$A18,'BalSht Data'!$A$2:$A$2050,Q$1),#N/A)</f>
        <v>#N/A</v>
      </c>
      <c r="R18" s="45" t="e">
        <f>IF(R$1,SUMIFS('BalSht Data'!$H$2:$H$2050,'BalSht Data'!$G$2:$G$2050,$A18,'BalSht Data'!$A$2:$A$2050,R$1),#N/A)</f>
        <v>#N/A</v>
      </c>
      <c r="S18" s="45" t="e">
        <f>IF(S$1,SUMIFS('BalSht Data'!$H$2:$H$2050,'BalSht Data'!$G$2:$G$2050,$A18,'BalSht Data'!$A$2:$A$2050,S$1),#N/A)</f>
        <v>#N/A</v>
      </c>
      <c r="T18" s="45" t="e">
        <f>IF(T$1,SUMIFS('BalSht Data'!$H$2:$H$2050,'BalSht Data'!$G$2:$G$2050,$A18,'BalSht Data'!$A$2:$A$2050,T$1),#N/A)</f>
        <v>#N/A</v>
      </c>
      <c r="U18" s="45" t="e">
        <f>IF(U$1,SUMIFS('BalSht Data'!$H$2:$H$2050,'BalSht Data'!$G$2:$G$2050,$A18,'BalSht Data'!$A$2:$A$2050,U$1),#N/A)</f>
        <v>#N/A</v>
      </c>
      <c r="V18" s="45" t="e">
        <f>IF(V$1,SUMIFS('BalSht Data'!$H$2:$H$2050,'BalSht Data'!$G$2:$G$2050,$A18,'BalSht Data'!$A$2:$A$2050,V$1),#N/A)</f>
        <v>#N/A</v>
      </c>
      <c r="W18" s="45" t="e">
        <f>IF(W$1,SUMIFS('BalSht Data'!$H$2:$H$2050,'BalSht Data'!$G$2:$G$2050,$A18,'BalSht Data'!$A$2:$A$2050,W$1),#N/A)</f>
        <v>#N/A</v>
      </c>
      <c r="X18" s="45" t="e">
        <f>IF(X$1,SUMIFS('BalSht Data'!$H$2:$H$2050,'BalSht Data'!$G$2:$G$2050,$A18,'BalSht Data'!$A$2:$A$2050,X$1),#N/A)</f>
        <v>#N/A</v>
      </c>
      <c r="Y18" s="45" t="e">
        <f>IF(Y$1,SUMIFS('BalSht Data'!$H$2:$H$2050,'BalSht Data'!$G$2:$G$2050,$A18,'BalSht Data'!$A$2:$A$2050,Y$1),#N/A)</f>
        <v>#N/A</v>
      </c>
      <c r="Z18" s="45" t="e">
        <f>IF(Z$1,SUMIFS('BalSht Data'!$H$2:$H$2050,'BalSht Data'!$G$2:$G$2050,$A18,'BalSht Data'!$A$2:$A$2050,Z$1),#N/A)</f>
        <v>#N/A</v>
      </c>
      <c r="AA18" s="45" t="e">
        <f>IF(AA$1,SUMIFS('BalSht Data'!$H$2:$H$2050,'BalSht Data'!$G$2:$G$2050,$A18,'BalSht Data'!$A$2:$A$2050,AA$1),#N/A)</f>
        <v>#N/A</v>
      </c>
      <c r="AB18" s="45" t="e">
        <f>IF(AB$1,SUMIFS('BalSht Data'!$H$2:$H$2050,'BalSht Data'!$G$2:$G$2050,$A18,'BalSht Data'!$A$2:$A$2050,AB$1),#N/A)</f>
        <v>#N/A</v>
      </c>
      <c r="AC18" s="45" t="e">
        <f>IF(AC$1,SUMIFS('BalSht Data'!$H$2:$H$2050,'BalSht Data'!$G$2:$G$2050,$A18,'BalSht Data'!$A$2:$A$2050,AC$1),#N/A)</f>
        <v>#N/A</v>
      </c>
      <c r="AD18" s="45" t="e">
        <f>IF(AD$1,SUMIFS('BalSht Data'!$H$2:$H$2050,'BalSht Data'!$G$2:$G$2050,$A18,'BalSht Data'!$A$2:$A$2050,AD$1),#N/A)</f>
        <v>#N/A</v>
      </c>
      <c r="AE18" s="45" t="e">
        <f>IF(AE$1,SUMIFS('BalSht Data'!$H$2:$H$2050,'BalSht Data'!$G$2:$G$2050,$A18,'BalSht Data'!$A$2:$A$2050,AE$1),#N/A)</f>
        <v>#N/A</v>
      </c>
      <c r="AF18" s="45" t="e">
        <f>IF(AF$1,SUMIFS('BalSht Data'!$H$2:$H$2050,'BalSht Data'!$G$2:$G$2050,$A18,'BalSht Data'!$A$2:$A$2050,AF$1),#N/A)</f>
        <v>#N/A</v>
      </c>
      <c r="AG18" s="45" t="e">
        <f>IF(AG$1,SUMIFS('BalSht Data'!$H$2:$H$2050,'BalSht Data'!$G$2:$G$2050,$A18,'BalSht Data'!$A$2:$A$2050,AG$1),#N/A)</f>
        <v>#N/A</v>
      </c>
      <c r="AH18" s="45" t="e">
        <f>IF(AH$1,SUMIFS('BalSht Data'!$H$2:$H$2050,'BalSht Data'!$G$2:$G$2050,$A18,'BalSht Data'!$A$2:$A$2050,AH$1),#N/A)</f>
        <v>#N/A</v>
      </c>
      <c r="AI18" s="45" t="e">
        <f>IF(AI$1,SUMIFS('BalSht Data'!$H$2:$H$2050,'BalSht Data'!$G$2:$G$2050,$A18,'BalSht Data'!$A$2:$A$2050,AI$1),#N/A)</f>
        <v>#N/A</v>
      </c>
      <c r="AJ18" s="45" t="e">
        <f>IF(AJ$1,SUMIFS('BalSht Data'!$H$2:$H$2050,'BalSht Data'!$G$2:$G$2050,$A18,'BalSht Data'!$A$2:$A$2050,AJ$1),#N/A)</f>
        <v>#N/A</v>
      </c>
      <c r="AK18" s="45" t="e">
        <f>IF(AK$1,SUMIFS('BalSht Data'!$H$2:$H$2050,'BalSht Data'!$G$2:$G$2050,$A18,'BalSht Data'!$A$2:$A$2050,AK$1),#N/A)</f>
        <v>#N/A</v>
      </c>
      <c r="AL18" s="45" t="e">
        <f>IF(AL$1,SUMIFS('BalSht Data'!$H$2:$H$2050,'BalSht Data'!$G$2:$G$2050,$A18,'BalSht Data'!$A$2:$A$2050,AL$1),#N/A)</f>
        <v>#N/A</v>
      </c>
      <c r="AM18" s="45" t="e">
        <f>IF(AM$1,SUMIFS('BalSht Data'!$H$2:$H$2050,'BalSht Data'!$G$2:$G$2050,$A18,'BalSht Data'!$A$2:$A$2050,AM$1),#N/A)</f>
        <v>#N/A</v>
      </c>
      <c r="AN18" s="45" t="e">
        <f>IF(AN$1,SUMIFS('BalSht Data'!$H$2:$H$2050,'BalSht Data'!$G$2:$G$2050,$A18,'BalSht Data'!$A$2:$A$2050,AN$1),#N/A)</f>
        <v>#N/A</v>
      </c>
      <c r="AO18" s="45" t="e">
        <f>IF(AO$1,SUMIFS('BalSht Data'!$H$2:$H$2050,'BalSht Data'!$G$2:$G$2050,$A18,'BalSht Data'!$A$2:$A$2050,AO$1),#N/A)</f>
        <v>#N/A</v>
      </c>
      <c r="AP18" s="45" t="e">
        <f>IF(AP$1,SUMIFS('BalSht Data'!$H$2:$H$2050,'BalSht Data'!$G$2:$G$2050,$A18,'BalSht Data'!$A$2:$A$2050,AP$1),#N/A)</f>
        <v>#N/A</v>
      </c>
      <c r="AQ18" s="45" t="e">
        <f>IF(AQ$1,SUMIFS('BalSht Data'!$H$2:$H$2050,'BalSht Data'!$G$2:$G$2050,$A18,'BalSht Data'!$A$2:$A$2050,AQ$1),#N/A)</f>
        <v>#N/A</v>
      </c>
      <c r="AR18" s="45" t="e">
        <f>IF(AR$1,SUMIFS('BalSht Data'!$H$2:$H$2050,'BalSht Data'!$G$2:$G$2050,$A18,'BalSht Data'!$A$2:$A$2050,AR$1),#N/A)</f>
        <v>#N/A</v>
      </c>
      <c r="AS18" s="45" t="e">
        <f>IF(AS$1,SUMIFS('BalSht Data'!$H$2:$H$2050,'BalSht Data'!$G$2:$G$2050,$A18,'BalSht Data'!$A$2:$A$2050,AS$1),#N/A)</f>
        <v>#N/A</v>
      </c>
      <c r="AT18" s="45" t="e">
        <f>IF(AT$1,SUMIFS('BalSht Data'!$H$2:$H$2050,'BalSht Data'!$G$2:$G$2050,$A18,'BalSht Data'!$A$2:$A$2050,AT$1),#N/A)</f>
        <v>#N/A</v>
      </c>
      <c r="AU18" s="45" t="e">
        <f>IF(AU$1,SUMIFS('BalSht Data'!$H$2:$H$2050,'BalSht Data'!$G$2:$G$2050,$A18,'BalSht Data'!$A$2:$A$2050,AU$1),#N/A)</f>
        <v>#N/A</v>
      </c>
      <c r="AV18" s="45" t="e">
        <f>IF(AV$1,SUMIFS('BalSht Data'!$H$2:$H$2050,'BalSht Data'!$G$2:$G$2050,$A18,'BalSht Data'!$A$2:$A$2050,AV$1),#N/A)</f>
        <v>#N/A</v>
      </c>
      <c r="AW18" s="45" t="e">
        <f>IF(AW$1,SUMIFS('BalSht Data'!$H$2:$H$2050,'BalSht Data'!$G$2:$G$2050,$A18,'BalSht Data'!$A$2:$A$2050,AW$1),#N/A)</f>
        <v>#N/A</v>
      </c>
      <c r="AX18" s="45" t="e">
        <f>IF(AX$1,SUMIFS('BalSht Data'!$H$2:$H$2050,'BalSht Data'!$G$2:$G$2050,$A18,'BalSht Data'!$A$2:$A$2050,AX$1),#N/A)</f>
        <v>#N/A</v>
      </c>
      <c r="AY18" s="45" t="e">
        <f>IF(AY$1,SUMIFS('BalSht Data'!$H$2:$H$2050,'BalSht Data'!$G$2:$G$2050,$A18,'BalSht Data'!$A$2:$A$2050,AY$1),#N/A)</f>
        <v>#N/A</v>
      </c>
      <c r="AZ18" s="45" t="e">
        <f>IF(AZ$1,SUMIFS('BalSht Data'!$H$2:$H$2050,'BalSht Data'!$G$2:$G$2050,$A18,'BalSht Data'!$A$2:$A$2050,AZ$1),#N/A)</f>
        <v>#N/A</v>
      </c>
      <c r="BA18" s="45" t="e">
        <f>IF(BA$1,SUMIFS('BalSht Data'!$H$2:$H$2050,'BalSht Data'!$G$2:$G$2050,$A18,'BalSht Data'!$A$2:$A$2050,BA$1),#N/A)</f>
        <v>#N/A</v>
      </c>
      <c r="BB18" s="45" t="e">
        <f>IF(BB$1,SUMIFS('BalSht Data'!$H$2:$H$2050,'BalSht Data'!$G$2:$G$2050,$A18,'BalSht Data'!$A$2:$A$2050,BB$1),#N/A)</f>
        <v>#N/A</v>
      </c>
      <c r="BC18" s="45" t="e">
        <f>IF(BC$1,SUMIFS('BalSht Data'!$H$2:$H$2050,'BalSht Data'!$G$2:$G$2050,$A18,'BalSht Data'!$A$2:$A$2050,BC$1),#N/A)</f>
        <v>#N/A</v>
      </c>
      <c r="BD18" s="45" t="e">
        <f>IF(BD$1,SUMIFS('BalSht Data'!$H$2:$H$2050,'BalSht Data'!$G$2:$G$2050,$A18,'BalSht Data'!$A$2:$A$2050,BD$1),#N/A)</f>
        <v>#N/A</v>
      </c>
      <c r="BE18" s="45" t="e">
        <f>IF(BE$1,SUMIFS('BalSht Data'!$H$2:$H$2050,'BalSht Data'!$G$2:$G$2050,$A18,'BalSht Data'!$A$2:$A$2050,BE$1),#N/A)</f>
        <v>#N/A</v>
      </c>
      <c r="BF18" s="45" t="e">
        <f>IF(BF$1,SUMIFS('BalSht Data'!$H$2:$H$2050,'BalSht Data'!$G$2:$G$2050,$A18,'BalSht Data'!$A$2:$A$2050,BF$1),#N/A)</f>
        <v>#N/A</v>
      </c>
      <c r="BG18" s="45" t="e">
        <f>IF(BG$1,SUMIFS('BalSht Data'!$H$2:$H$2050,'BalSht Data'!$G$2:$G$2050,$A18,'BalSht Data'!$A$2:$A$2050,BG$1),#N/A)</f>
        <v>#N/A</v>
      </c>
      <c r="BH18" s="45" t="e">
        <f>IF(BH$1,SUMIFS('BalSht Data'!$H$2:$H$2050,'BalSht Data'!$G$2:$G$2050,$A18,'BalSht Data'!$A$2:$A$2050,BH$1),#N/A)</f>
        <v>#N/A</v>
      </c>
      <c r="BI18" s="45" t="e">
        <f>IF(BI$1,SUMIFS('BalSht Data'!$H$2:$H$2050,'BalSht Data'!$G$2:$G$2050,$A18,'BalSht Data'!$A$2:$A$2050,BI$1),#N/A)</f>
        <v>#N/A</v>
      </c>
      <c r="BJ18" s="45" t="e">
        <f>IF(BJ$1,SUMIFS('BalSht Data'!$H$2:$H$2050,'BalSht Data'!$G$2:$G$2050,$A18,'BalSht Data'!$A$2:$A$2050,BJ$1),#N/A)</f>
        <v>#N/A</v>
      </c>
      <c r="BK18" s="45" t="e">
        <f>IF(BK$1,SUMIFS('BalSht Data'!$H$2:$H$2050,'BalSht Data'!$G$2:$G$2050,$A18,'BalSht Data'!$A$2:$A$2050,BK$1),#N/A)</f>
        <v>#N/A</v>
      </c>
      <c r="BL18" s="45" t="e">
        <f>IF(BL$1,SUMIFS('BalSht Data'!$H$2:$H$2050,'BalSht Data'!$G$2:$G$2050,$A18,'BalSht Data'!$A$2:$A$2050,BL$1),#N/A)</f>
        <v>#N/A</v>
      </c>
      <c r="BM18" s="45" t="e">
        <f>IF(BM$1,SUMIFS('BalSht Data'!$H$2:$H$2050,'BalSht Data'!$G$2:$G$2050,$A18,'BalSht Data'!$A$2:$A$2050,BM$1),#N/A)</f>
        <v>#N/A</v>
      </c>
      <c r="BN18" s="45" t="e">
        <f>IF(BN$1,SUMIFS('BalSht Data'!$H$2:$H$2050,'BalSht Data'!$G$2:$G$2050,$A18,'BalSht Data'!$A$2:$A$2050,BN$1),#N/A)</f>
        <v>#N/A</v>
      </c>
      <c r="BO18" s="45" t="e">
        <f>IF(BO$1,SUMIFS('BalSht Data'!$H$2:$H$2050,'BalSht Data'!$G$2:$G$2050,$A18,'BalSht Data'!$A$2:$A$2050,BO$1),#N/A)</f>
        <v>#N/A</v>
      </c>
      <c r="BP18" s="45" t="e">
        <f>IF(BP$1,SUMIFS('BalSht Data'!$H$2:$H$2050,'BalSht Data'!$G$2:$G$2050,$A18,'BalSht Data'!$A$2:$A$2050,BP$1),#N/A)</f>
        <v>#N/A</v>
      </c>
      <c r="BQ18" s="45" t="e">
        <f>IF(BQ$1,SUMIFS('BalSht Data'!$H$2:$H$2050,'BalSht Data'!$G$2:$G$2050,$A18,'BalSht Data'!$A$2:$A$2050,BQ$1),#N/A)</f>
        <v>#N/A</v>
      </c>
      <c r="BR18" s="45" t="e">
        <f>IF(BR$1,SUMIFS('BalSht Data'!$H$2:$H$2050,'BalSht Data'!$G$2:$G$2050,$A18,'BalSht Data'!$A$2:$A$2050,BR$1),#N/A)</f>
        <v>#N/A</v>
      </c>
      <c r="BS18" s="45" t="e">
        <f>IF(BS$1,SUMIFS('BalSht Data'!$H$2:$H$2050,'BalSht Data'!$G$2:$G$2050,$A18,'BalSht Data'!$A$2:$A$2050,BS$1),#N/A)</f>
        <v>#N/A</v>
      </c>
      <c r="BT18" s="45" t="e">
        <f>IF(BT$1,SUMIFS('BalSht Data'!$H$2:$H$2050,'BalSht Data'!$G$2:$G$2050,$A18,'BalSht Data'!$A$2:$A$2050,BT$1),#N/A)</f>
        <v>#N/A</v>
      </c>
      <c r="BU18" s="45" t="e">
        <f>IF(BU$1,SUMIFS('BalSht Data'!$H$2:$H$2050,'BalSht Data'!$G$2:$G$2050,$A18,'BalSht Data'!$A$2:$A$2050,BU$1),#N/A)</f>
        <v>#N/A</v>
      </c>
      <c r="BV18" s="45" t="e">
        <f>IF(BV$1,SUMIFS('BalSht Data'!$H$2:$H$2050,'BalSht Data'!$G$2:$G$2050,$A18,'BalSht Data'!$A$2:$A$2050,BV$1),#N/A)</f>
        <v>#N/A</v>
      </c>
      <c r="BW18" s="45" t="e">
        <f>IF(BW$1,SUMIFS('BalSht Data'!$H$2:$H$2050,'BalSht Data'!$G$2:$G$2050,$A18,'BalSht Data'!$A$2:$A$2050,BW$1),#N/A)</f>
        <v>#N/A</v>
      </c>
      <c r="BX18" s="45" t="e">
        <f>IF(BX$1,SUMIFS('BalSht Data'!$H$2:$H$2050,'BalSht Data'!$G$2:$G$2050,$A18,'BalSht Data'!$A$2:$A$2050,BX$1),#N/A)</f>
        <v>#N/A</v>
      </c>
      <c r="BY18" s="45" t="e">
        <f>IF(BY$1,SUMIFS('BalSht Data'!$H$2:$H$2050,'BalSht Data'!$G$2:$G$2050,$A18,'BalSht Data'!$A$2:$A$2050,BY$1),#N/A)</f>
        <v>#N/A</v>
      </c>
      <c r="BZ18" s="45" t="e">
        <f>IF(BZ$1,SUMIFS('BalSht Data'!$H$2:$H$2050,'BalSht Data'!$G$2:$G$2050,$A18,'BalSht Data'!$A$2:$A$2050,BZ$1),#N/A)</f>
        <v>#N/A</v>
      </c>
      <c r="CA18" s="45" t="e">
        <f>IF(CA$1,SUMIFS('BalSht Data'!$H$2:$H$2050,'BalSht Data'!$G$2:$G$2050,$A18,'BalSht Data'!$A$2:$A$2050,CA$1),#N/A)</f>
        <v>#N/A</v>
      </c>
      <c r="CB18" s="45" t="e">
        <f>IF(CB$1,SUMIFS('BalSht Data'!$H$2:$H$2050,'BalSht Data'!$G$2:$G$2050,$A18,'BalSht Data'!$A$2:$A$2050,CB$1),#N/A)</f>
        <v>#N/A</v>
      </c>
      <c r="CC18" s="45" t="e">
        <f>IF(CC$1,SUMIFS('BalSht Data'!$H$2:$H$2050,'BalSht Data'!$G$2:$G$2050,$A18,'BalSht Data'!$A$2:$A$2050,CC$1),#N/A)</f>
        <v>#N/A</v>
      </c>
      <c r="CD18" s="45" t="e">
        <f>IF(CD$1,SUMIFS('BalSht Data'!$H$2:$H$2050,'BalSht Data'!$G$2:$G$2050,$A18,'BalSht Data'!$A$2:$A$2050,CD$1),#N/A)</f>
        <v>#N/A</v>
      </c>
      <c r="CE18" s="45" t="e">
        <f>IF(CE$1,SUMIFS('BalSht Data'!$H$2:$H$2050,'BalSht Data'!$G$2:$G$2050,$A18,'BalSht Data'!$A$2:$A$2050,CE$1),#N/A)</f>
        <v>#N/A</v>
      </c>
      <c r="CF18" s="45" t="e">
        <f>IF(CF$1,SUMIFS('BalSht Data'!$H$2:$H$2050,'BalSht Data'!$G$2:$G$2050,$A18,'BalSht Data'!$A$2:$A$2050,CF$1),#N/A)</f>
        <v>#N/A</v>
      </c>
      <c r="CG18" s="45" t="e">
        <f>IF(CG$1,SUMIFS('BalSht Data'!$H$2:$H$2050,'BalSht Data'!$G$2:$G$2050,$A18,'BalSht Data'!$A$2:$A$2050,CG$1),#N/A)</f>
        <v>#N/A</v>
      </c>
      <c r="CH18" s="45" t="e">
        <f>IF(CH$1,SUMIFS('BalSht Data'!$H$2:$H$2050,'BalSht Data'!$G$2:$G$2050,$A18,'BalSht Data'!$A$2:$A$2050,CH$1),#N/A)</f>
        <v>#N/A</v>
      </c>
      <c r="CI18" s="45" t="e">
        <f>IF(CI$1,SUMIFS('BalSht Data'!$H$2:$H$2050,'BalSht Data'!$G$2:$G$2050,$A18,'BalSht Data'!$A$2:$A$2050,CI$1),#N/A)</f>
        <v>#N/A</v>
      </c>
      <c r="CJ18" s="45" t="e">
        <f>IF(CJ$1,SUMIFS('BalSht Data'!$H$2:$H$2050,'BalSht Data'!$G$2:$G$2050,$A18,'BalSht Data'!$A$2:$A$2050,CJ$1),#N/A)</f>
        <v>#N/A</v>
      </c>
      <c r="CK18" s="45" t="e">
        <f>IF(CK$1,SUMIFS('BalSht Data'!$H$2:$H$2050,'BalSht Data'!$G$2:$G$2050,$A18,'BalSht Data'!$A$2:$A$2050,CK$1),#N/A)</f>
        <v>#N/A</v>
      </c>
      <c r="CL18" s="45" t="e">
        <f>IF(CL$1,SUMIFS('BalSht Data'!$H$2:$H$2050,'BalSht Data'!$G$2:$G$2050,$A18,'BalSht Data'!$A$2:$A$2050,CL$1),#N/A)</f>
        <v>#N/A</v>
      </c>
      <c r="CM18" s="45" t="e">
        <f>IF(CM$1,SUMIFS('BalSht Data'!$H$2:$H$2050,'BalSht Data'!$G$2:$G$2050,$A18,'BalSht Data'!$A$2:$A$2050,CM$1),#N/A)</f>
        <v>#N/A</v>
      </c>
      <c r="CN18" s="45" t="e">
        <f>IF(CN$1,SUMIFS('BalSht Data'!$H$2:$H$2050,'BalSht Data'!$G$2:$G$2050,$A18,'BalSht Data'!$A$2:$A$2050,CN$1),#N/A)</f>
        <v>#N/A</v>
      </c>
      <c r="CO18" s="45" t="e">
        <f>IF(CO$1,SUMIFS('BalSht Data'!$H$2:$H$2050,'BalSht Data'!$G$2:$G$2050,$A18,'BalSht Data'!$A$2:$A$2050,CO$1),#N/A)</f>
        <v>#N/A</v>
      </c>
      <c r="CP18" s="45" t="e">
        <f>IF(CP$1,SUMIFS('BalSht Data'!$H$2:$H$2050,'BalSht Data'!$G$2:$G$2050,$A18,'BalSht Data'!$A$2:$A$2050,CP$1),#N/A)</f>
        <v>#N/A</v>
      </c>
      <c r="CQ18" s="45" t="e">
        <f>IF(CQ$1,SUMIFS('BalSht Data'!$H$2:$H$2050,'BalSht Data'!$G$2:$G$2050,$A18,'BalSht Data'!$A$2:$A$2050,CQ$1),#N/A)</f>
        <v>#N/A</v>
      </c>
      <c r="CR18" s="45" t="e">
        <f>IF(CR$1,SUMIFS('BalSht Data'!$H$2:$H$2050,'BalSht Data'!$G$2:$G$2050,$A18,'BalSht Data'!$A$2:$A$2050,CR$1),#N/A)</f>
        <v>#N/A</v>
      </c>
      <c r="CS18" s="45" t="e">
        <f>IF(CS$1,SUMIFS('BalSht Data'!$H$2:$H$2050,'BalSht Data'!$G$2:$G$2050,$A18,'BalSht Data'!$A$2:$A$2050,CS$1),#N/A)</f>
        <v>#N/A</v>
      </c>
      <c r="CT18" s="45" t="e">
        <f>IF(CT$1,SUMIFS('BalSht Data'!$H$2:$H$2050,'BalSht Data'!$G$2:$G$2050,$A18,'BalSht Data'!$A$2:$A$2050,CT$1),#N/A)</f>
        <v>#N/A</v>
      </c>
      <c r="CU18" s="45" t="e">
        <f>IF(CU$1,SUMIFS('BalSht Data'!$H$2:$H$2050,'BalSht Data'!$G$2:$G$2050,$A18,'BalSht Data'!$A$2:$A$2050,CU$1),#N/A)</f>
        <v>#N/A</v>
      </c>
      <c r="CV18" s="45" t="e">
        <f>IF(CV$1,SUMIFS('BalSht Data'!$H$2:$H$2050,'BalSht Data'!$G$2:$G$2050,$A18,'BalSht Data'!$A$2:$A$2050,CV$1),#N/A)</f>
        <v>#N/A</v>
      </c>
      <c r="CW18" s="45" t="e">
        <f>IF(CW$1,SUMIFS('BalSht Data'!$H$2:$H$2050,'BalSht Data'!$G$2:$G$2050,$A18,'BalSht Data'!$A$2:$A$2050,CW$1),#N/A)</f>
        <v>#N/A</v>
      </c>
      <c r="CX18" s="45" t="e">
        <f>IF(CX$1,SUMIFS('BalSht Data'!$H$2:$H$2050,'BalSht Data'!$G$2:$G$2050,$A18,'BalSht Data'!$A$2:$A$2050,CX$1),#N/A)</f>
        <v>#N/A</v>
      </c>
      <c r="CY18" s="45" t="e">
        <f>IF(CY$1,SUMIFS('BalSht Data'!$H$2:$H$2050,'BalSht Data'!$G$2:$G$2050,$A18,'BalSht Data'!$A$2:$A$2050,CY$1),#N/A)</f>
        <v>#N/A</v>
      </c>
      <c r="CZ18" s="45" t="e">
        <f>IF(CZ$1,SUMIFS('BalSht Data'!$H$2:$H$2050,'BalSht Data'!$G$2:$G$2050,$A18,'BalSht Data'!$A$2:$A$2050,CZ$1),#N/A)</f>
        <v>#N/A</v>
      </c>
    </row>
    <row r="19" spans="1:104" s="42" customFormat="1" x14ac:dyDescent="0.2">
      <c r="A19" s="56" t="s">
        <v>22</v>
      </c>
      <c r="B19" s="45" t="e">
        <f>IF(B$1,SUMIFS('BalSht Data'!$H$2:$H$2050,'BalSht Data'!$G$2:$G$2050,$A19,'BalSht Data'!$A$2:$A$2050,B$1),#N/A)</f>
        <v>#N/A</v>
      </c>
      <c r="C19" s="45" t="e">
        <f>IF(C$1,SUMIFS('BalSht Data'!$H$2:$H$2050,'BalSht Data'!$G$2:$G$2050,$A19,'BalSht Data'!$A$2:$A$2050,C$1),#N/A)</f>
        <v>#N/A</v>
      </c>
      <c r="D19" s="45" t="e">
        <f>IF(D$1,SUMIFS('BalSht Data'!$H$2:$H$2050,'BalSht Data'!$G$2:$G$2050,$A19,'BalSht Data'!$A$2:$A$2050,D$1),#N/A)</f>
        <v>#N/A</v>
      </c>
      <c r="E19" s="45" t="e">
        <f>IF(E$1,SUMIFS('BalSht Data'!$H$2:$H$2050,'BalSht Data'!$G$2:$G$2050,$A19,'BalSht Data'!$A$2:$A$2050,E$1),#N/A)</f>
        <v>#N/A</v>
      </c>
      <c r="F19" s="45" t="e">
        <f>IF(F$1,SUMIFS('BalSht Data'!$H$2:$H$2050,'BalSht Data'!$G$2:$G$2050,$A19,'BalSht Data'!$A$2:$A$2050,F$1),#N/A)</f>
        <v>#N/A</v>
      </c>
      <c r="G19" s="45" t="e">
        <f>IF(G$1,SUMIFS('BalSht Data'!$H$2:$H$2050,'BalSht Data'!$G$2:$G$2050,$A19,'BalSht Data'!$A$2:$A$2050,G$1),#N/A)</f>
        <v>#N/A</v>
      </c>
      <c r="H19" s="45" t="e">
        <f>IF(H$1,SUMIFS('BalSht Data'!$H$2:$H$2050,'BalSht Data'!$G$2:$G$2050,$A19,'BalSht Data'!$A$2:$A$2050,H$1),#N/A)</f>
        <v>#N/A</v>
      </c>
      <c r="I19" s="45" t="e">
        <f>IF(I$1,SUMIFS('BalSht Data'!$H$2:$H$2050,'BalSht Data'!$G$2:$G$2050,$A19,'BalSht Data'!$A$2:$A$2050,I$1),#N/A)</f>
        <v>#N/A</v>
      </c>
      <c r="J19" s="45" t="e">
        <f>IF(J$1,SUMIFS('BalSht Data'!$H$2:$H$2050,'BalSht Data'!$G$2:$G$2050,$A19,'BalSht Data'!$A$2:$A$2050,J$1),#N/A)</f>
        <v>#N/A</v>
      </c>
      <c r="K19" s="45" t="e">
        <f>IF(K$1,SUMIFS('BalSht Data'!$H$2:$H$2050,'BalSht Data'!$G$2:$G$2050,$A19,'BalSht Data'!$A$2:$A$2050,K$1),#N/A)</f>
        <v>#N/A</v>
      </c>
      <c r="L19" s="45" t="e">
        <f>IF(L$1,SUMIFS('BalSht Data'!$H$2:$H$2050,'BalSht Data'!$G$2:$G$2050,$A19,'BalSht Data'!$A$2:$A$2050,L$1),#N/A)</f>
        <v>#N/A</v>
      </c>
      <c r="M19" s="45" t="e">
        <f>IF(M$1,SUMIFS('BalSht Data'!$H$2:$H$2050,'BalSht Data'!$G$2:$G$2050,$A19,'BalSht Data'!$A$2:$A$2050,M$1),#N/A)</f>
        <v>#N/A</v>
      </c>
      <c r="N19" s="45" t="e">
        <f>IF(N$1,SUMIFS('BalSht Data'!$H$2:$H$2050,'BalSht Data'!$G$2:$G$2050,$A19,'BalSht Data'!$A$2:$A$2050,N$1),#N/A)</f>
        <v>#N/A</v>
      </c>
      <c r="O19" s="45" t="e">
        <f>IF(O$1,SUMIFS('BalSht Data'!$H$2:$H$2050,'BalSht Data'!$G$2:$G$2050,$A19,'BalSht Data'!$A$2:$A$2050,O$1),#N/A)</f>
        <v>#N/A</v>
      </c>
      <c r="P19" s="45" t="e">
        <f>IF(P$1,SUMIFS('BalSht Data'!$H$2:$H$2050,'BalSht Data'!$G$2:$G$2050,$A19,'BalSht Data'!$A$2:$A$2050,P$1),#N/A)</f>
        <v>#N/A</v>
      </c>
      <c r="Q19" s="45" t="e">
        <f>IF(Q$1,SUMIFS('BalSht Data'!$H$2:$H$2050,'BalSht Data'!$G$2:$G$2050,$A19,'BalSht Data'!$A$2:$A$2050,Q$1),#N/A)</f>
        <v>#N/A</v>
      </c>
      <c r="R19" s="45" t="e">
        <f>IF(R$1,SUMIFS('BalSht Data'!$H$2:$H$2050,'BalSht Data'!$G$2:$G$2050,$A19,'BalSht Data'!$A$2:$A$2050,R$1),#N/A)</f>
        <v>#N/A</v>
      </c>
      <c r="S19" s="45" t="e">
        <f>IF(S$1,SUMIFS('BalSht Data'!$H$2:$H$2050,'BalSht Data'!$G$2:$G$2050,$A19,'BalSht Data'!$A$2:$A$2050,S$1),#N/A)</f>
        <v>#N/A</v>
      </c>
      <c r="T19" s="45" t="e">
        <f>IF(T$1,SUMIFS('BalSht Data'!$H$2:$H$2050,'BalSht Data'!$G$2:$G$2050,$A19,'BalSht Data'!$A$2:$A$2050,T$1),#N/A)</f>
        <v>#N/A</v>
      </c>
      <c r="U19" s="45" t="e">
        <f>IF(U$1,SUMIFS('BalSht Data'!$H$2:$H$2050,'BalSht Data'!$G$2:$G$2050,$A19,'BalSht Data'!$A$2:$A$2050,U$1),#N/A)</f>
        <v>#N/A</v>
      </c>
      <c r="V19" s="45" t="e">
        <f>IF(V$1,SUMIFS('BalSht Data'!$H$2:$H$2050,'BalSht Data'!$G$2:$G$2050,$A19,'BalSht Data'!$A$2:$A$2050,V$1),#N/A)</f>
        <v>#N/A</v>
      </c>
      <c r="W19" s="45" t="e">
        <f>IF(W$1,SUMIFS('BalSht Data'!$H$2:$H$2050,'BalSht Data'!$G$2:$G$2050,$A19,'BalSht Data'!$A$2:$A$2050,W$1),#N/A)</f>
        <v>#N/A</v>
      </c>
      <c r="X19" s="45" t="e">
        <f>IF(X$1,SUMIFS('BalSht Data'!$H$2:$H$2050,'BalSht Data'!$G$2:$G$2050,$A19,'BalSht Data'!$A$2:$A$2050,X$1),#N/A)</f>
        <v>#N/A</v>
      </c>
      <c r="Y19" s="45" t="e">
        <f>IF(Y$1,SUMIFS('BalSht Data'!$H$2:$H$2050,'BalSht Data'!$G$2:$G$2050,$A19,'BalSht Data'!$A$2:$A$2050,Y$1),#N/A)</f>
        <v>#N/A</v>
      </c>
      <c r="Z19" s="45" t="e">
        <f>IF(Z$1,SUMIFS('BalSht Data'!$H$2:$H$2050,'BalSht Data'!$G$2:$G$2050,$A19,'BalSht Data'!$A$2:$A$2050,Z$1),#N/A)</f>
        <v>#N/A</v>
      </c>
      <c r="AA19" s="45" t="e">
        <f>IF(AA$1,SUMIFS('BalSht Data'!$H$2:$H$2050,'BalSht Data'!$G$2:$G$2050,$A19,'BalSht Data'!$A$2:$A$2050,AA$1),#N/A)</f>
        <v>#N/A</v>
      </c>
      <c r="AB19" s="45" t="e">
        <f>IF(AB$1,SUMIFS('BalSht Data'!$H$2:$H$2050,'BalSht Data'!$G$2:$G$2050,$A19,'BalSht Data'!$A$2:$A$2050,AB$1),#N/A)</f>
        <v>#N/A</v>
      </c>
      <c r="AC19" s="45" t="e">
        <f>IF(AC$1,SUMIFS('BalSht Data'!$H$2:$H$2050,'BalSht Data'!$G$2:$G$2050,$A19,'BalSht Data'!$A$2:$A$2050,AC$1),#N/A)</f>
        <v>#N/A</v>
      </c>
      <c r="AD19" s="45" t="e">
        <f>IF(AD$1,SUMIFS('BalSht Data'!$H$2:$H$2050,'BalSht Data'!$G$2:$G$2050,$A19,'BalSht Data'!$A$2:$A$2050,AD$1),#N/A)</f>
        <v>#N/A</v>
      </c>
      <c r="AE19" s="45" t="e">
        <f>IF(AE$1,SUMIFS('BalSht Data'!$H$2:$H$2050,'BalSht Data'!$G$2:$G$2050,$A19,'BalSht Data'!$A$2:$A$2050,AE$1),#N/A)</f>
        <v>#N/A</v>
      </c>
      <c r="AF19" s="45" t="e">
        <f>IF(AF$1,SUMIFS('BalSht Data'!$H$2:$H$2050,'BalSht Data'!$G$2:$G$2050,$A19,'BalSht Data'!$A$2:$A$2050,AF$1),#N/A)</f>
        <v>#N/A</v>
      </c>
      <c r="AG19" s="45" t="e">
        <f>IF(AG$1,SUMIFS('BalSht Data'!$H$2:$H$2050,'BalSht Data'!$G$2:$G$2050,$A19,'BalSht Data'!$A$2:$A$2050,AG$1),#N/A)</f>
        <v>#N/A</v>
      </c>
      <c r="AH19" s="45" t="e">
        <f>IF(AH$1,SUMIFS('BalSht Data'!$H$2:$H$2050,'BalSht Data'!$G$2:$G$2050,$A19,'BalSht Data'!$A$2:$A$2050,AH$1),#N/A)</f>
        <v>#N/A</v>
      </c>
      <c r="AI19" s="45" t="e">
        <f>IF(AI$1,SUMIFS('BalSht Data'!$H$2:$H$2050,'BalSht Data'!$G$2:$G$2050,$A19,'BalSht Data'!$A$2:$A$2050,AI$1),#N/A)</f>
        <v>#N/A</v>
      </c>
      <c r="AJ19" s="45" t="e">
        <f>IF(AJ$1,SUMIFS('BalSht Data'!$H$2:$H$2050,'BalSht Data'!$G$2:$G$2050,$A19,'BalSht Data'!$A$2:$A$2050,AJ$1),#N/A)</f>
        <v>#N/A</v>
      </c>
      <c r="AK19" s="45" t="e">
        <f>IF(AK$1,SUMIFS('BalSht Data'!$H$2:$H$2050,'BalSht Data'!$G$2:$G$2050,$A19,'BalSht Data'!$A$2:$A$2050,AK$1),#N/A)</f>
        <v>#N/A</v>
      </c>
      <c r="AL19" s="45" t="e">
        <f>IF(AL$1,SUMIFS('BalSht Data'!$H$2:$H$2050,'BalSht Data'!$G$2:$G$2050,$A19,'BalSht Data'!$A$2:$A$2050,AL$1),#N/A)</f>
        <v>#N/A</v>
      </c>
      <c r="AM19" s="45" t="e">
        <f>IF(AM$1,SUMIFS('BalSht Data'!$H$2:$H$2050,'BalSht Data'!$G$2:$G$2050,$A19,'BalSht Data'!$A$2:$A$2050,AM$1),#N/A)</f>
        <v>#N/A</v>
      </c>
      <c r="AN19" s="45" t="e">
        <f>IF(AN$1,SUMIFS('BalSht Data'!$H$2:$H$2050,'BalSht Data'!$G$2:$G$2050,$A19,'BalSht Data'!$A$2:$A$2050,AN$1),#N/A)</f>
        <v>#N/A</v>
      </c>
      <c r="AO19" s="45" t="e">
        <f>IF(AO$1,SUMIFS('BalSht Data'!$H$2:$H$2050,'BalSht Data'!$G$2:$G$2050,$A19,'BalSht Data'!$A$2:$A$2050,AO$1),#N/A)</f>
        <v>#N/A</v>
      </c>
      <c r="AP19" s="45" t="e">
        <f>IF(AP$1,SUMIFS('BalSht Data'!$H$2:$H$2050,'BalSht Data'!$G$2:$G$2050,$A19,'BalSht Data'!$A$2:$A$2050,AP$1),#N/A)</f>
        <v>#N/A</v>
      </c>
      <c r="AQ19" s="45" t="e">
        <f>IF(AQ$1,SUMIFS('BalSht Data'!$H$2:$H$2050,'BalSht Data'!$G$2:$G$2050,$A19,'BalSht Data'!$A$2:$A$2050,AQ$1),#N/A)</f>
        <v>#N/A</v>
      </c>
      <c r="AR19" s="45" t="e">
        <f>IF(AR$1,SUMIFS('BalSht Data'!$H$2:$H$2050,'BalSht Data'!$G$2:$G$2050,$A19,'BalSht Data'!$A$2:$A$2050,AR$1),#N/A)</f>
        <v>#N/A</v>
      </c>
      <c r="AS19" s="45" t="e">
        <f>IF(AS$1,SUMIFS('BalSht Data'!$H$2:$H$2050,'BalSht Data'!$G$2:$G$2050,$A19,'BalSht Data'!$A$2:$A$2050,AS$1),#N/A)</f>
        <v>#N/A</v>
      </c>
      <c r="AT19" s="45" t="e">
        <f>IF(AT$1,SUMIFS('BalSht Data'!$H$2:$H$2050,'BalSht Data'!$G$2:$G$2050,$A19,'BalSht Data'!$A$2:$A$2050,AT$1),#N/A)</f>
        <v>#N/A</v>
      </c>
      <c r="AU19" s="45" t="e">
        <f>IF(AU$1,SUMIFS('BalSht Data'!$H$2:$H$2050,'BalSht Data'!$G$2:$G$2050,$A19,'BalSht Data'!$A$2:$A$2050,AU$1),#N/A)</f>
        <v>#N/A</v>
      </c>
      <c r="AV19" s="45" t="e">
        <f>IF(AV$1,SUMIFS('BalSht Data'!$H$2:$H$2050,'BalSht Data'!$G$2:$G$2050,$A19,'BalSht Data'!$A$2:$A$2050,AV$1),#N/A)</f>
        <v>#N/A</v>
      </c>
      <c r="AW19" s="45" t="e">
        <f>IF(AW$1,SUMIFS('BalSht Data'!$H$2:$H$2050,'BalSht Data'!$G$2:$G$2050,$A19,'BalSht Data'!$A$2:$A$2050,AW$1),#N/A)</f>
        <v>#N/A</v>
      </c>
      <c r="AX19" s="45" t="e">
        <f>IF(AX$1,SUMIFS('BalSht Data'!$H$2:$H$2050,'BalSht Data'!$G$2:$G$2050,$A19,'BalSht Data'!$A$2:$A$2050,AX$1),#N/A)</f>
        <v>#N/A</v>
      </c>
      <c r="AY19" s="45" t="e">
        <f>IF(AY$1,SUMIFS('BalSht Data'!$H$2:$H$2050,'BalSht Data'!$G$2:$G$2050,$A19,'BalSht Data'!$A$2:$A$2050,AY$1),#N/A)</f>
        <v>#N/A</v>
      </c>
      <c r="AZ19" s="45" t="e">
        <f>IF(AZ$1,SUMIFS('BalSht Data'!$H$2:$H$2050,'BalSht Data'!$G$2:$G$2050,$A19,'BalSht Data'!$A$2:$A$2050,AZ$1),#N/A)</f>
        <v>#N/A</v>
      </c>
      <c r="BA19" s="45" t="e">
        <f>IF(BA$1,SUMIFS('BalSht Data'!$H$2:$H$2050,'BalSht Data'!$G$2:$G$2050,$A19,'BalSht Data'!$A$2:$A$2050,BA$1),#N/A)</f>
        <v>#N/A</v>
      </c>
      <c r="BB19" s="45" t="e">
        <f>IF(BB$1,SUMIFS('BalSht Data'!$H$2:$H$2050,'BalSht Data'!$G$2:$G$2050,$A19,'BalSht Data'!$A$2:$A$2050,BB$1),#N/A)</f>
        <v>#N/A</v>
      </c>
      <c r="BC19" s="45" t="e">
        <f>IF(BC$1,SUMIFS('BalSht Data'!$H$2:$H$2050,'BalSht Data'!$G$2:$G$2050,$A19,'BalSht Data'!$A$2:$A$2050,BC$1),#N/A)</f>
        <v>#N/A</v>
      </c>
      <c r="BD19" s="45" t="e">
        <f>IF(BD$1,SUMIFS('BalSht Data'!$H$2:$H$2050,'BalSht Data'!$G$2:$G$2050,$A19,'BalSht Data'!$A$2:$A$2050,BD$1),#N/A)</f>
        <v>#N/A</v>
      </c>
      <c r="BE19" s="45" t="e">
        <f>IF(BE$1,SUMIFS('BalSht Data'!$H$2:$H$2050,'BalSht Data'!$G$2:$G$2050,$A19,'BalSht Data'!$A$2:$A$2050,BE$1),#N/A)</f>
        <v>#N/A</v>
      </c>
      <c r="BF19" s="45" t="e">
        <f>IF(BF$1,SUMIFS('BalSht Data'!$H$2:$H$2050,'BalSht Data'!$G$2:$G$2050,$A19,'BalSht Data'!$A$2:$A$2050,BF$1),#N/A)</f>
        <v>#N/A</v>
      </c>
      <c r="BG19" s="45" t="e">
        <f>IF(BG$1,SUMIFS('BalSht Data'!$H$2:$H$2050,'BalSht Data'!$G$2:$G$2050,$A19,'BalSht Data'!$A$2:$A$2050,BG$1),#N/A)</f>
        <v>#N/A</v>
      </c>
      <c r="BH19" s="45" t="e">
        <f>IF(BH$1,SUMIFS('BalSht Data'!$H$2:$H$2050,'BalSht Data'!$G$2:$G$2050,$A19,'BalSht Data'!$A$2:$A$2050,BH$1),#N/A)</f>
        <v>#N/A</v>
      </c>
      <c r="BI19" s="45" t="e">
        <f>IF(BI$1,SUMIFS('BalSht Data'!$H$2:$H$2050,'BalSht Data'!$G$2:$G$2050,$A19,'BalSht Data'!$A$2:$A$2050,BI$1),#N/A)</f>
        <v>#N/A</v>
      </c>
      <c r="BJ19" s="45" t="e">
        <f>IF(BJ$1,SUMIFS('BalSht Data'!$H$2:$H$2050,'BalSht Data'!$G$2:$G$2050,$A19,'BalSht Data'!$A$2:$A$2050,BJ$1),#N/A)</f>
        <v>#N/A</v>
      </c>
      <c r="BK19" s="45" t="e">
        <f>IF(BK$1,SUMIFS('BalSht Data'!$H$2:$H$2050,'BalSht Data'!$G$2:$G$2050,$A19,'BalSht Data'!$A$2:$A$2050,BK$1),#N/A)</f>
        <v>#N/A</v>
      </c>
      <c r="BL19" s="45" t="e">
        <f>IF(BL$1,SUMIFS('BalSht Data'!$H$2:$H$2050,'BalSht Data'!$G$2:$G$2050,$A19,'BalSht Data'!$A$2:$A$2050,BL$1),#N/A)</f>
        <v>#N/A</v>
      </c>
      <c r="BM19" s="45" t="e">
        <f>IF(BM$1,SUMIFS('BalSht Data'!$H$2:$H$2050,'BalSht Data'!$G$2:$G$2050,$A19,'BalSht Data'!$A$2:$A$2050,BM$1),#N/A)</f>
        <v>#N/A</v>
      </c>
      <c r="BN19" s="45" t="e">
        <f>IF(BN$1,SUMIFS('BalSht Data'!$H$2:$H$2050,'BalSht Data'!$G$2:$G$2050,$A19,'BalSht Data'!$A$2:$A$2050,BN$1),#N/A)</f>
        <v>#N/A</v>
      </c>
      <c r="BO19" s="45" t="e">
        <f>IF(BO$1,SUMIFS('BalSht Data'!$H$2:$H$2050,'BalSht Data'!$G$2:$G$2050,$A19,'BalSht Data'!$A$2:$A$2050,BO$1),#N/A)</f>
        <v>#N/A</v>
      </c>
      <c r="BP19" s="45" t="e">
        <f>IF(BP$1,SUMIFS('BalSht Data'!$H$2:$H$2050,'BalSht Data'!$G$2:$G$2050,$A19,'BalSht Data'!$A$2:$A$2050,BP$1),#N/A)</f>
        <v>#N/A</v>
      </c>
      <c r="BQ19" s="45" t="e">
        <f>IF(BQ$1,SUMIFS('BalSht Data'!$H$2:$H$2050,'BalSht Data'!$G$2:$G$2050,$A19,'BalSht Data'!$A$2:$A$2050,BQ$1),#N/A)</f>
        <v>#N/A</v>
      </c>
      <c r="BR19" s="45" t="e">
        <f>IF(BR$1,SUMIFS('BalSht Data'!$H$2:$H$2050,'BalSht Data'!$G$2:$G$2050,$A19,'BalSht Data'!$A$2:$A$2050,BR$1),#N/A)</f>
        <v>#N/A</v>
      </c>
      <c r="BS19" s="45" t="e">
        <f>IF(BS$1,SUMIFS('BalSht Data'!$H$2:$H$2050,'BalSht Data'!$G$2:$G$2050,$A19,'BalSht Data'!$A$2:$A$2050,BS$1),#N/A)</f>
        <v>#N/A</v>
      </c>
      <c r="BT19" s="45" t="e">
        <f>IF(BT$1,SUMIFS('BalSht Data'!$H$2:$H$2050,'BalSht Data'!$G$2:$G$2050,$A19,'BalSht Data'!$A$2:$A$2050,BT$1),#N/A)</f>
        <v>#N/A</v>
      </c>
      <c r="BU19" s="45" t="e">
        <f>IF(BU$1,SUMIFS('BalSht Data'!$H$2:$H$2050,'BalSht Data'!$G$2:$G$2050,$A19,'BalSht Data'!$A$2:$A$2050,BU$1),#N/A)</f>
        <v>#N/A</v>
      </c>
      <c r="BV19" s="45" t="e">
        <f>IF(BV$1,SUMIFS('BalSht Data'!$H$2:$H$2050,'BalSht Data'!$G$2:$G$2050,$A19,'BalSht Data'!$A$2:$A$2050,BV$1),#N/A)</f>
        <v>#N/A</v>
      </c>
      <c r="BW19" s="45" t="e">
        <f>IF(BW$1,SUMIFS('BalSht Data'!$H$2:$H$2050,'BalSht Data'!$G$2:$G$2050,$A19,'BalSht Data'!$A$2:$A$2050,BW$1),#N/A)</f>
        <v>#N/A</v>
      </c>
      <c r="BX19" s="45" t="e">
        <f>IF(BX$1,SUMIFS('BalSht Data'!$H$2:$H$2050,'BalSht Data'!$G$2:$G$2050,$A19,'BalSht Data'!$A$2:$A$2050,BX$1),#N/A)</f>
        <v>#N/A</v>
      </c>
      <c r="BY19" s="45" t="e">
        <f>IF(BY$1,SUMIFS('BalSht Data'!$H$2:$H$2050,'BalSht Data'!$G$2:$G$2050,$A19,'BalSht Data'!$A$2:$A$2050,BY$1),#N/A)</f>
        <v>#N/A</v>
      </c>
      <c r="BZ19" s="45" t="e">
        <f>IF(BZ$1,SUMIFS('BalSht Data'!$H$2:$H$2050,'BalSht Data'!$G$2:$G$2050,$A19,'BalSht Data'!$A$2:$A$2050,BZ$1),#N/A)</f>
        <v>#N/A</v>
      </c>
      <c r="CA19" s="45" t="e">
        <f>IF(CA$1,SUMIFS('BalSht Data'!$H$2:$H$2050,'BalSht Data'!$G$2:$G$2050,$A19,'BalSht Data'!$A$2:$A$2050,CA$1),#N/A)</f>
        <v>#N/A</v>
      </c>
      <c r="CB19" s="45" t="e">
        <f>IF(CB$1,SUMIFS('BalSht Data'!$H$2:$H$2050,'BalSht Data'!$G$2:$G$2050,$A19,'BalSht Data'!$A$2:$A$2050,CB$1),#N/A)</f>
        <v>#N/A</v>
      </c>
      <c r="CC19" s="45" t="e">
        <f>IF(CC$1,SUMIFS('BalSht Data'!$H$2:$H$2050,'BalSht Data'!$G$2:$G$2050,$A19,'BalSht Data'!$A$2:$A$2050,CC$1),#N/A)</f>
        <v>#N/A</v>
      </c>
      <c r="CD19" s="45" t="e">
        <f>IF(CD$1,SUMIFS('BalSht Data'!$H$2:$H$2050,'BalSht Data'!$G$2:$G$2050,$A19,'BalSht Data'!$A$2:$A$2050,CD$1),#N/A)</f>
        <v>#N/A</v>
      </c>
      <c r="CE19" s="45" t="e">
        <f>IF(CE$1,SUMIFS('BalSht Data'!$H$2:$H$2050,'BalSht Data'!$G$2:$G$2050,$A19,'BalSht Data'!$A$2:$A$2050,CE$1),#N/A)</f>
        <v>#N/A</v>
      </c>
      <c r="CF19" s="45" t="e">
        <f>IF(CF$1,SUMIFS('BalSht Data'!$H$2:$H$2050,'BalSht Data'!$G$2:$G$2050,$A19,'BalSht Data'!$A$2:$A$2050,CF$1),#N/A)</f>
        <v>#N/A</v>
      </c>
      <c r="CG19" s="45" t="e">
        <f>IF(CG$1,SUMIFS('BalSht Data'!$H$2:$H$2050,'BalSht Data'!$G$2:$G$2050,$A19,'BalSht Data'!$A$2:$A$2050,CG$1),#N/A)</f>
        <v>#N/A</v>
      </c>
      <c r="CH19" s="45" t="e">
        <f>IF(CH$1,SUMIFS('BalSht Data'!$H$2:$H$2050,'BalSht Data'!$G$2:$G$2050,$A19,'BalSht Data'!$A$2:$A$2050,CH$1),#N/A)</f>
        <v>#N/A</v>
      </c>
      <c r="CI19" s="45" t="e">
        <f>IF(CI$1,SUMIFS('BalSht Data'!$H$2:$H$2050,'BalSht Data'!$G$2:$G$2050,$A19,'BalSht Data'!$A$2:$A$2050,CI$1),#N/A)</f>
        <v>#N/A</v>
      </c>
      <c r="CJ19" s="45" t="e">
        <f>IF(CJ$1,SUMIFS('BalSht Data'!$H$2:$H$2050,'BalSht Data'!$G$2:$G$2050,$A19,'BalSht Data'!$A$2:$A$2050,CJ$1),#N/A)</f>
        <v>#N/A</v>
      </c>
      <c r="CK19" s="45" t="e">
        <f>IF(CK$1,SUMIFS('BalSht Data'!$H$2:$H$2050,'BalSht Data'!$G$2:$G$2050,$A19,'BalSht Data'!$A$2:$A$2050,CK$1),#N/A)</f>
        <v>#N/A</v>
      </c>
      <c r="CL19" s="45" t="e">
        <f>IF(CL$1,SUMIFS('BalSht Data'!$H$2:$H$2050,'BalSht Data'!$G$2:$G$2050,$A19,'BalSht Data'!$A$2:$A$2050,CL$1),#N/A)</f>
        <v>#N/A</v>
      </c>
      <c r="CM19" s="45" t="e">
        <f>IF(CM$1,SUMIFS('BalSht Data'!$H$2:$H$2050,'BalSht Data'!$G$2:$G$2050,$A19,'BalSht Data'!$A$2:$A$2050,CM$1),#N/A)</f>
        <v>#N/A</v>
      </c>
      <c r="CN19" s="45" t="e">
        <f>IF(CN$1,SUMIFS('BalSht Data'!$H$2:$H$2050,'BalSht Data'!$G$2:$G$2050,$A19,'BalSht Data'!$A$2:$A$2050,CN$1),#N/A)</f>
        <v>#N/A</v>
      </c>
      <c r="CO19" s="45" t="e">
        <f>IF(CO$1,SUMIFS('BalSht Data'!$H$2:$H$2050,'BalSht Data'!$G$2:$G$2050,$A19,'BalSht Data'!$A$2:$A$2050,CO$1),#N/A)</f>
        <v>#N/A</v>
      </c>
      <c r="CP19" s="45" t="e">
        <f>IF(CP$1,SUMIFS('BalSht Data'!$H$2:$H$2050,'BalSht Data'!$G$2:$G$2050,$A19,'BalSht Data'!$A$2:$A$2050,CP$1),#N/A)</f>
        <v>#N/A</v>
      </c>
      <c r="CQ19" s="45" t="e">
        <f>IF(CQ$1,SUMIFS('BalSht Data'!$H$2:$H$2050,'BalSht Data'!$G$2:$G$2050,$A19,'BalSht Data'!$A$2:$A$2050,CQ$1),#N/A)</f>
        <v>#N/A</v>
      </c>
      <c r="CR19" s="45" t="e">
        <f>IF(CR$1,SUMIFS('BalSht Data'!$H$2:$H$2050,'BalSht Data'!$G$2:$G$2050,$A19,'BalSht Data'!$A$2:$A$2050,CR$1),#N/A)</f>
        <v>#N/A</v>
      </c>
      <c r="CS19" s="45" t="e">
        <f>IF(CS$1,SUMIFS('BalSht Data'!$H$2:$H$2050,'BalSht Data'!$G$2:$G$2050,$A19,'BalSht Data'!$A$2:$A$2050,CS$1),#N/A)</f>
        <v>#N/A</v>
      </c>
      <c r="CT19" s="45" t="e">
        <f>IF(CT$1,SUMIFS('BalSht Data'!$H$2:$H$2050,'BalSht Data'!$G$2:$G$2050,$A19,'BalSht Data'!$A$2:$A$2050,CT$1),#N/A)</f>
        <v>#N/A</v>
      </c>
      <c r="CU19" s="45" t="e">
        <f>IF(CU$1,SUMIFS('BalSht Data'!$H$2:$H$2050,'BalSht Data'!$G$2:$G$2050,$A19,'BalSht Data'!$A$2:$A$2050,CU$1),#N/A)</f>
        <v>#N/A</v>
      </c>
      <c r="CV19" s="45" t="e">
        <f>IF(CV$1,SUMIFS('BalSht Data'!$H$2:$H$2050,'BalSht Data'!$G$2:$G$2050,$A19,'BalSht Data'!$A$2:$A$2050,CV$1),#N/A)</f>
        <v>#N/A</v>
      </c>
      <c r="CW19" s="45" t="e">
        <f>IF(CW$1,SUMIFS('BalSht Data'!$H$2:$H$2050,'BalSht Data'!$G$2:$G$2050,$A19,'BalSht Data'!$A$2:$A$2050,CW$1),#N/A)</f>
        <v>#N/A</v>
      </c>
      <c r="CX19" s="45" t="e">
        <f>IF(CX$1,SUMIFS('BalSht Data'!$H$2:$H$2050,'BalSht Data'!$G$2:$G$2050,$A19,'BalSht Data'!$A$2:$A$2050,CX$1),#N/A)</f>
        <v>#N/A</v>
      </c>
      <c r="CY19" s="45" t="e">
        <f>IF(CY$1,SUMIFS('BalSht Data'!$H$2:$H$2050,'BalSht Data'!$G$2:$G$2050,$A19,'BalSht Data'!$A$2:$A$2050,CY$1),#N/A)</f>
        <v>#N/A</v>
      </c>
      <c r="CZ19" s="45" t="e">
        <f>IF(CZ$1,SUMIFS('BalSht Data'!$H$2:$H$2050,'BalSht Data'!$G$2:$G$2050,$A19,'BalSht Data'!$A$2:$A$2050,CZ$1),#N/A)</f>
        <v>#N/A</v>
      </c>
    </row>
    <row r="20" spans="1:104" s="42" customFormat="1" x14ac:dyDescent="0.2">
      <c r="A20" s="56" t="s">
        <v>19</v>
      </c>
      <c r="B20" s="45" t="e">
        <f>IF(B$1,SUMIFS('BalSht Data'!$H$2:$H$2050,'BalSht Data'!$G$2:$G$2050,$A20,'BalSht Data'!$A$2:$A$2050,B$1),#N/A)</f>
        <v>#N/A</v>
      </c>
      <c r="C20" s="45" t="e">
        <f>IF(C$1,SUMIFS('BalSht Data'!$H$2:$H$2050,'BalSht Data'!$G$2:$G$2050,$A20,'BalSht Data'!$A$2:$A$2050,C$1),#N/A)</f>
        <v>#N/A</v>
      </c>
      <c r="D20" s="45" t="e">
        <f>IF(D$1,SUMIFS('BalSht Data'!$H$2:$H$2050,'BalSht Data'!$G$2:$G$2050,$A20,'BalSht Data'!$A$2:$A$2050,D$1),#N/A)</f>
        <v>#N/A</v>
      </c>
      <c r="E20" s="45" t="e">
        <f>IF(E$1,SUMIFS('BalSht Data'!$H$2:$H$2050,'BalSht Data'!$G$2:$G$2050,$A20,'BalSht Data'!$A$2:$A$2050,E$1),#N/A)</f>
        <v>#N/A</v>
      </c>
      <c r="F20" s="45" t="e">
        <f>IF(F$1,SUMIFS('BalSht Data'!$H$2:$H$2050,'BalSht Data'!$G$2:$G$2050,$A20,'BalSht Data'!$A$2:$A$2050,F$1),#N/A)</f>
        <v>#N/A</v>
      </c>
      <c r="G20" s="45" t="e">
        <f>IF(G$1,SUMIFS('BalSht Data'!$H$2:$H$2050,'BalSht Data'!$G$2:$G$2050,$A20,'BalSht Data'!$A$2:$A$2050,G$1),#N/A)</f>
        <v>#N/A</v>
      </c>
      <c r="H20" s="45" t="e">
        <f>IF(H$1,SUMIFS('BalSht Data'!$H$2:$H$2050,'BalSht Data'!$G$2:$G$2050,$A20,'BalSht Data'!$A$2:$A$2050,H$1),#N/A)</f>
        <v>#N/A</v>
      </c>
      <c r="I20" s="45" t="e">
        <f>IF(I$1,SUMIFS('BalSht Data'!$H$2:$H$2050,'BalSht Data'!$G$2:$G$2050,$A20,'BalSht Data'!$A$2:$A$2050,I$1),#N/A)</f>
        <v>#N/A</v>
      </c>
      <c r="J20" s="45" t="e">
        <f>IF(J$1,SUMIFS('BalSht Data'!$H$2:$H$2050,'BalSht Data'!$G$2:$G$2050,$A20,'BalSht Data'!$A$2:$A$2050,J$1),#N/A)</f>
        <v>#N/A</v>
      </c>
      <c r="K20" s="45" t="e">
        <f>IF(K$1,SUMIFS('BalSht Data'!$H$2:$H$2050,'BalSht Data'!$G$2:$G$2050,$A20,'BalSht Data'!$A$2:$A$2050,K$1),#N/A)</f>
        <v>#N/A</v>
      </c>
      <c r="L20" s="45" t="e">
        <f>IF(L$1,SUMIFS('BalSht Data'!$H$2:$H$2050,'BalSht Data'!$G$2:$G$2050,$A20,'BalSht Data'!$A$2:$A$2050,L$1),#N/A)</f>
        <v>#N/A</v>
      </c>
      <c r="M20" s="45" t="e">
        <f>IF(M$1,SUMIFS('BalSht Data'!$H$2:$H$2050,'BalSht Data'!$G$2:$G$2050,$A20,'BalSht Data'!$A$2:$A$2050,M$1),#N/A)</f>
        <v>#N/A</v>
      </c>
      <c r="N20" s="45" t="e">
        <f>IF(N$1,SUMIFS('BalSht Data'!$H$2:$H$2050,'BalSht Data'!$G$2:$G$2050,$A20,'BalSht Data'!$A$2:$A$2050,N$1),#N/A)</f>
        <v>#N/A</v>
      </c>
      <c r="O20" s="45" t="e">
        <f>IF(O$1,SUMIFS('BalSht Data'!$H$2:$H$2050,'BalSht Data'!$G$2:$G$2050,$A20,'BalSht Data'!$A$2:$A$2050,O$1),#N/A)</f>
        <v>#N/A</v>
      </c>
      <c r="P20" s="45" t="e">
        <f>IF(P$1,SUMIFS('BalSht Data'!$H$2:$H$2050,'BalSht Data'!$G$2:$G$2050,$A20,'BalSht Data'!$A$2:$A$2050,P$1),#N/A)</f>
        <v>#N/A</v>
      </c>
      <c r="Q20" s="45" t="e">
        <f>IF(Q$1,SUMIFS('BalSht Data'!$H$2:$H$2050,'BalSht Data'!$G$2:$G$2050,$A20,'BalSht Data'!$A$2:$A$2050,Q$1),#N/A)</f>
        <v>#N/A</v>
      </c>
      <c r="R20" s="45" t="e">
        <f>IF(R$1,SUMIFS('BalSht Data'!$H$2:$H$2050,'BalSht Data'!$G$2:$G$2050,$A20,'BalSht Data'!$A$2:$A$2050,R$1),#N/A)</f>
        <v>#N/A</v>
      </c>
      <c r="S20" s="45" t="e">
        <f>IF(S$1,SUMIFS('BalSht Data'!$H$2:$H$2050,'BalSht Data'!$G$2:$G$2050,$A20,'BalSht Data'!$A$2:$A$2050,S$1),#N/A)</f>
        <v>#N/A</v>
      </c>
      <c r="T20" s="45" t="e">
        <f>IF(T$1,SUMIFS('BalSht Data'!$H$2:$H$2050,'BalSht Data'!$G$2:$G$2050,$A20,'BalSht Data'!$A$2:$A$2050,T$1),#N/A)</f>
        <v>#N/A</v>
      </c>
      <c r="U20" s="45" t="e">
        <f>IF(U$1,SUMIFS('BalSht Data'!$H$2:$H$2050,'BalSht Data'!$G$2:$G$2050,$A20,'BalSht Data'!$A$2:$A$2050,U$1),#N/A)</f>
        <v>#N/A</v>
      </c>
      <c r="V20" s="45" t="e">
        <f>IF(V$1,SUMIFS('BalSht Data'!$H$2:$H$2050,'BalSht Data'!$G$2:$G$2050,$A20,'BalSht Data'!$A$2:$A$2050,V$1),#N/A)</f>
        <v>#N/A</v>
      </c>
      <c r="W20" s="45" t="e">
        <f>IF(W$1,SUMIFS('BalSht Data'!$H$2:$H$2050,'BalSht Data'!$G$2:$G$2050,$A20,'BalSht Data'!$A$2:$A$2050,W$1),#N/A)</f>
        <v>#N/A</v>
      </c>
      <c r="X20" s="45" t="e">
        <f>IF(X$1,SUMIFS('BalSht Data'!$H$2:$H$2050,'BalSht Data'!$G$2:$G$2050,$A20,'BalSht Data'!$A$2:$A$2050,X$1),#N/A)</f>
        <v>#N/A</v>
      </c>
      <c r="Y20" s="45" t="e">
        <f>IF(Y$1,SUMIFS('BalSht Data'!$H$2:$H$2050,'BalSht Data'!$G$2:$G$2050,$A20,'BalSht Data'!$A$2:$A$2050,Y$1),#N/A)</f>
        <v>#N/A</v>
      </c>
      <c r="Z20" s="45" t="e">
        <f>IF(Z$1,SUMIFS('BalSht Data'!$H$2:$H$2050,'BalSht Data'!$G$2:$G$2050,$A20,'BalSht Data'!$A$2:$A$2050,Z$1),#N/A)</f>
        <v>#N/A</v>
      </c>
      <c r="AA20" s="45" t="e">
        <f>IF(AA$1,SUMIFS('BalSht Data'!$H$2:$H$2050,'BalSht Data'!$G$2:$G$2050,$A20,'BalSht Data'!$A$2:$A$2050,AA$1),#N/A)</f>
        <v>#N/A</v>
      </c>
      <c r="AB20" s="45" t="e">
        <f>IF(AB$1,SUMIFS('BalSht Data'!$H$2:$H$2050,'BalSht Data'!$G$2:$G$2050,$A20,'BalSht Data'!$A$2:$A$2050,AB$1),#N/A)</f>
        <v>#N/A</v>
      </c>
      <c r="AC20" s="45" t="e">
        <f>IF(AC$1,SUMIFS('BalSht Data'!$H$2:$H$2050,'BalSht Data'!$G$2:$G$2050,$A20,'BalSht Data'!$A$2:$A$2050,AC$1),#N/A)</f>
        <v>#N/A</v>
      </c>
      <c r="AD20" s="45" t="e">
        <f>IF(AD$1,SUMIFS('BalSht Data'!$H$2:$H$2050,'BalSht Data'!$G$2:$G$2050,$A20,'BalSht Data'!$A$2:$A$2050,AD$1),#N/A)</f>
        <v>#N/A</v>
      </c>
      <c r="AE20" s="45" t="e">
        <f>IF(AE$1,SUMIFS('BalSht Data'!$H$2:$H$2050,'BalSht Data'!$G$2:$G$2050,$A20,'BalSht Data'!$A$2:$A$2050,AE$1),#N/A)</f>
        <v>#N/A</v>
      </c>
      <c r="AF20" s="45" t="e">
        <f>IF(AF$1,SUMIFS('BalSht Data'!$H$2:$H$2050,'BalSht Data'!$G$2:$G$2050,$A20,'BalSht Data'!$A$2:$A$2050,AF$1),#N/A)</f>
        <v>#N/A</v>
      </c>
      <c r="AG20" s="45" t="e">
        <f>IF(AG$1,SUMIFS('BalSht Data'!$H$2:$H$2050,'BalSht Data'!$G$2:$G$2050,$A20,'BalSht Data'!$A$2:$A$2050,AG$1),#N/A)</f>
        <v>#N/A</v>
      </c>
      <c r="AH20" s="45" t="e">
        <f>IF(AH$1,SUMIFS('BalSht Data'!$H$2:$H$2050,'BalSht Data'!$G$2:$G$2050,$A20,'BalSht Data'!$A$2:$A$2050,AH$1),#N/A)</f>
        <v>#N/A</v>
      </c>
      <c r="AI20" s="45" t="e">
        <f>IF(AI$1,SUMIFS('BalSht Data'!$H$2:$H$2050,'BalSht Data'!$G$2:$G$2050,$A20,'BalSht Data'!$A$2:$A$2050,AI$1),#N/A)</f>
        <v>#N/A</v>
      </c>
      <c r="AJ20" s="45" t="e">
        <f>IF(AJ$1,SUMIFS('BalSht Data'!$H$2:$H$2050,'BalSht Data'!$G$2:$G$2050,$A20,'BalSht Data'!$A$2:$A$2050,AJ$1),#N/A)</f>
        <v>#N/A</v>
      </c>
      <c r="AK20" s="45" t="e">
        <f>IF(AK$1,SUMIFS('BalSht Data'!$H$2:$H$2050,'BalSht Data'!$G$2:$G$2050,$A20,'BalSht Data'!$A$2:$A$2050,AK$1),#N/A)</f>
        <v>#N/A</v>
      </c>
      <c r="AL20" s="45" t="e">
        <f>IF(AL$1,SUMIFS('BalSht Data'!$H$2:$H$2050,'BalSht Data'!$G$2:$G$2050,$A20,'BalSht Data'!$A$2:$A$2050,AL$1),#N/A)</f>
        <v>#N/A</v>
      </c>
      <c r="AM20" s="45" t="e">
        <f>IF(AM$1,SUMIFS('BalSht Data'!$H$2:$H$2050,'BalSht Data'!$G$2:$G$2050,$A20,'BalSht Data'!$A$2:$A$2050,AM$1),#N/A)</f>
        <v>#N/A</v>
      </c>
      <c r="AN20" s="45" t="e">
        <f>IF(AN$1,SUMIFS('BalSht Data'!$H$2:$H$2050,'BalSht Data'!$G$2:$G$2050,$A20,'BalSht Data'!$A$2:$A$2050,AN$1),#N/A)</f>
        <v>#N/A</v>
      </c>
      <c r="AO20" s="45" t="e">
        <f>IF(AO$1,SUMIFS('BalSht Data'!$H$2:$H$2050,'BalSht Data'!$G$2:$G$2050,$A20,'BalSht Data'!$A$2:$A$2050,AO$1),#N/A)</f>
        <v>#N/A</v>
      </c>
      <c r="AP20" s="45" t="e">
        <f>IF(AP$1,SUMIFS('BalSht Data'!$H$2:$H$2050,'BalSht Data'!$G$2:$G$2050,$A20,'BalSht Data'!$A$2:$A$2050,AP$1),#N/A)</f>
        <v>#N/A</v>
      </c>
      <c r="AQ20" s="45" t="e">
        <f>IF(AQ$1,SUMIFS('BalSht Data'!$H$2:$H$2050,'BalSht Data'!$G$2:$G$2050,$A20,'BalSht Data'!$A$2:$A$2050,AQ$1),#N/A)</f>
        <v>#N/A</v>
      </c>
      <c r="AR20" s="45" t="e">
        <f>IF(AR$1,SUMIFS('BalSht Data'!$H$2:$H$2050,'BalSht Data'!$G$2:$G$2050,$A20,'BalSht Data'!$A$2:$A$2050,AR$1),#N/A)</f>
        <v>#N/A</v>
      </c>
      <c r="AS20" s="45" t="e">
        <f>IF(AS$1,SUMIFS('BalSht Data'!$H$2:$H$2050,'BalSht Data'!$G$2:$G$2050,$A20,'BalSht Data'!$A$2:$A$2050,AS$1),#N/A)</f>
        <v>#N/A</v>
      </c>
      <c r="AT20" s="45" t="e">
        <f>IF(AT$1,SUMIFS('BalSht Data'!$H$2:$H$2050,'BalSht Data'!$G$2:$G$2050,$A20,'BalSht Data'!$A$2:$A$2050,AT$1),#N/A)</f>
        <v>#N/A</v>
      </c>
      <c r="AU20" s="45" t="e">
        <f>IF(AU$1,SUMIFS('BalSht Data'!$H$2:$H$2050,'BalSht Data'!$G$2:$G$2050,$A20,'BalSht Data'!$A$2:$A$2050,AU$1),#N/A)</f>
        <v>#N/A</v>
      </c>
      <c r="AV20" s="45" t="e">
        <f>IF(AV$1,SUMIFS('BalSht Data'!$H$2:$H$2050,'BalSht Data'!$G$2:$G$2050,$A20,'BalSht Data'!$A$2:$A$2050,AV$1),#N/A)</f>
        <v>#N/A</v>
      </c>
      <c r="AW20" s="45" t="e">
        <f>IF(AW$1,SUMIFS('BalSht Data'!$H$2:$H$2050,'BalSht Data'!$G$2:$G$2050,$A20,'BalSht Data'!$A$2:$A$2050,AW$1),#N/A)</f>
        <v>#N/A</v>
      </c>
      <c r="AX20" s="45" t="e">
        <f>IF(AX$1,SUMIFS('BalSht Data'!$H$2:$H$2050,'BalSht Data'!$G$2:$G$2050,$A20,'BalSht Data'!$A$2:$A$2050,AX$1),#N/A)</f>
        <v>#N/A</v>
      </c>
      <c r="AY20" s="45" t="e">
        <f>IF(AY$1,SUMIFS('BalSht Data'!$H$2:$H$2050,'BalSht Data'!$G$2:$G$2050,$A20,'BalSht Data'!$A$2:$A$2050,AY$1),#N/A)</f>
        <v>#N/A</v>
      </c>
      <c r="AZ20" s="45" t="e">
        <f>IF(AZ$1,SUMIFS('BalSht Data'!$H$2:$H$2050,'BalSht Data'!$G$2:$G$2050,$A20,'BalSht Data'!$A$2:$A$2050,AZ$1),#N/A)</f>
        <v>#N/A</v>
      </c>
      <c r="BA20" s="45" t="e">
        <f>IF(BA$1,SUMIFS('BalSht Data'!$H$2:$H$2050,'BalSht Data'!$G$2:$G$2050,$A20,'BalSht Data'!$A$2:$A$2050,BA$1),#N/A)</f>
        <v>#N/A</v>
      </c>
      <c r="BB20" s="45" t="e">
        <f>IF(BB$1,SUMIFS('BalSht Data'!$H$2:$H$2050,'BalSht Data'!$G$2:$G$2050,$A20,'BalSht Data'!$A$2:$A$2050,BB$1),#N/A)</f>
        <v>#N/A</v>
      </c>
      <c r="BC20" s="45" t="e">
        <f>IF(BC$1,SUMIFS('BalSht Data'!$H$2:$H$2050,'BalSht Data'!$G$2:$G$2050,$A20,'BalSht Data'!$A$2:$A$2050,BC$1),#N/A)</f>
        <v>#N/A</v>
      </c>
      <c r="BD20" s="45" t="e">
        <f>IF(BD$1,SUMIFS('BalSht Data'!$H$2:$H$2050,'BalSht Data'!$G$2:$G$2050,$A20,'BalSht Data'!$A$2:$A$2050,BD$1),#N/A)</f>
        <v>#N/A</v>
      </c>
      <c r="BE20" s="45" t="e">
        <f>IF(BE$1,SUMIFS('BalSht Data'!$H$2:$H$2050,'BalSht Data'!$G$2:$G$2050,$A20,'BalSht Data'!$A$2:$A$2050,BE$1),#N/A)</f>
        <v>#N/A</v>
      </c>
      <c r="BF20" s="45" t="e">
        <f>IF(BF$1,SUMIFS('BalSht Data'!$H$2:$H$2050,'BalSht Data'!$G$2:$G$2050,$A20,'BalSht Data'!$A$2:$A$2050,BF$1),#N/A)</f>
        <v>#N/A</v>
      </c>
      <c r="BG20" s="45" t="e">
        <f>IF(BG$1,SUMIFS('BalSht Data'!$H$2:$H$2050,'BalSht Data'!$G$2:$G$2050,$A20,'BalSht Data'!$A$2:$A$2050,BG$1),#N/A)</f>
        <v>#N/A</v>
      </c>
      <c r="BH20" s="45" t="e">
        <f>IF(BH$1,SUMIFS('BalSht Data'!$H$2:$H$2050,'BalSht Data'!$G$2:$G$2050,$A20,'BalSht Data'!$A$2:$A$2050,BH$1),#N/A)</f>
        <v>#N/A</v>
      </c>
      <c r="BI20" s="45" t="e">
        <f>IF(BI$1,SUMIFS('BalSht Data'!$H$2:$H$2050,'BalSht Data'!$G$2:$G$2050,$A20,'BalSht Data'!$A$2:$A$2050,BI$1),#N/A)</f>
        <v>#N/A</v>
      </c>
      <c r="BJ20" s="45" t="e">
        <f>IF(BJ$1,SUMIFS('BalSht Data'!$H$2:$H$2050,'BalSht Data'!$G$2:$G$2050,$A20,'BalSht Data'!$A$2:$A$2050,BJ$1),#N/A)</f>
        <v>#N/A</v>
      </c>
      <c r="BK20" s="45" t="e">
        <f>IF(BK$1,SUMIFS('BalSht Data'!$H$2:$H$2050,'BalSht Data'!$G$2:$G$2050,$A20,'BalSht Data'!$A$2:$A$2050,BK$1),#N/A)</f>
        <v>#N/A</v>
      </c>
      <c r="BL20" s="45" t="e">
        <f>IF(BL$1,SUMIFS('BalSht Data'!$H$2:$H$2050,'BalSht Data'!$G$2:$G$2050,$A20,'BalSht Data'!$A$2:$A$2050,BL$1),#N/A)</f>
        <v>#N/A</v>
      </c>
      <c r="BM20" s="45" t="e">
        <f>IF(BM$1,SUMIFS('BalSht Data'!$H$2:$H$2050,'BalSht Data'!$G$2:$G$2050,$A20,'BalSht Data'!$A$2:$A$2050,BM$1),#N/A)</f>
        <v>#N/A</v>
      </c>
      <c r="BN20" s="45" t="e">
        <f>IF(BN$1,SUMIFS('BalSht Data'!$H$2:$H$2050,'BalSht Data'!$G$2:$G$2050,$A20,'BalSht Data'!$A$2:$A$2050,BN$1),#N/A)</f>
        <v>#N/A</v>
      </c>
      <c r="BO20" s="45" t="e">
        <f>IF(BO$1,SUMIFS('BalSht Data'!$H$2:$H$2050,'BalSht Data'!$G$2:$G$2050,$A20,'BalSht Data'!$A$2:$A$2050,BO$1),#N/A)</f>
        <v>#N/A</v>
      </c>
      <c r="BP20" s="45" t="e">
        <f>IF(BP$1,SUMIFS('BalSht Data'!$H$2:$H$2050,'BalSht Data'!$G$2:$G$2050,$A20,'BalSht Data'!$A$2:$A$2050,BP$1),#N/A)</f>
        <v>#N/A</v>
      </c>
      <c r="BQ20" s="45" t="e">
        <f>IF(BQ$1,SUMIFS('BalSht Data'!$H$2:$H$2050,'BalSht Data'!$G$2:$G$2050,$A20,'BalSht Data'!$A$2:$A$2050,BQ$1),#N/A)</f>
        <v>#N/A</v>
      </c>
      <c r="BR20" s="45" t="e">
        <f>IF(BR$1,SUMIFS('BalSht Data'!$H$2:$H$2050,'BalSht Data'!$G$2:$G$2050,$A20,'BalSht Data'!$A$2:$A$2050,BR$1),#N/A)</f>
        <v>#N/A</v>
      </c>
      <c r="BS20" s="45" t="e">
        <f>IF(BS$1,SUMIFS('BalSht Data'!$H$2:$H$2050,'BalSht Data'!$G$2:$G$2050,$A20,'BalSht Data'!$A$2:$A$2050,BS$1),#N/A)</f>
        <v>#N/A</v>
      </c>
      <c r="BT20" s="45" t="e">
        <f>IF(BT$1,SUMIFS('BalSht Data'!$H$2:$H$2050,'BalSht Data'!$G$2:$G$2050,$A20,'BalSht Data'!$A$2:$A$2050,BT$1),#N/A)</f>
        <v>#N/A</v>
      </c>
      <c r="BU20" s="45" t="e">
        <f>IF(BU$1,SUMIFS('BalSht Data'!$H$2:$H$2050,'BalSht Data'!$G$2:$G$2050,$A20,'BalSht Data'!$A$2:$A$2050,BU$1),#N/A)</f>
        <v>#N/A</v>
      </c>
      <c r="BV20" s="45" t="e">
        <f>IF(BV$1,SUMIFS('BalSht Data'!$H$2:$H$2050,'BalSht Data'!$G$2:$G$2050,$A20,'BalSht Data'!$A$2:$A$2050,BV$1),#N/A)</f>
        <v>#N/A</v>
      </c>
      <c r="BW20" s="45" t="e">
        <f>IF(BW$1,SUMIFS('BalSht Data'!$H$2:$H$2050,'BalSht Data'!$G$2:$G$2050,$A20,'BalSht Data'!$A$2:$A$2050,BW$1),#N/A)</f>
        <v>#N/A</v>
      </c>
      <c r="BX20" s="45" t="e">
        <f>IF(BX$1,SUMIFS('BalSht Data'!$H$2:$H$2050,'BalSht Data'!$G$2:$G$2050,$A20,'BalSht Data'!$A$2:$A$2050,BX$1),#N/A)</f>
        <v>#N/A</v>
      </c>
      <c r="BY20" s="45" t="e">
        <f>IF(BY$1,SUMIFS('BalSht Data'!$H$2:$H$2050,'BalSht Data'!$G$2:$G$2050,$A20,'BalSht Data'!$A$2:$A$2050,BY$1),#N/A)</f>
        <v>#N/A</v>
      </c>
      <c r="BZ20" s="45" t="e">
        <f>IF(BZ$1,SUMIFS('BalSht Data'!$H$2:$H$2050,'BalSht Data'!$G$2:$G$2050,$A20,'BalSht Data'!$A$2:$A$2050,BZ$1),#N/A)</f>
        <v>#N/A</v>
      </c>
      <c r="CA20" s="45" t="e">
        <f>IF(CA$1,SUMIFS('BalSht Data'!$H$2:$H$2050,'BalSht Data'!$G$2:$G$2050,$A20,'BalSht Data'!$A$2:$A$2050,CA$1),#N/A)</f>
        <v>#N/A</v>
      </c>
      <c r="CB20" s="45" t="e">
        <f>IF(CB$1,SUMIFS('BalSht Data'!$H$2:$H$2050,'BalSht Data'!$G$2:$G$2050,$A20,'BalSht Data'!$A$2:$A$2050,CB$1),#N/A)</f>
        <v>#N/A</v>
      </c>
      <c r="CC20" s="45" t="e">
        <f>IF(CC$1,SUMIFS('BalSht Data'!$H$2:$H$2050,'BalSht Data'!$G$2:$G$2050,$A20,'BalSht Data'!$A$2:$A$2050,CC$1),#N/A)</f>
        <v>#N/A</v>
      </c>
      <c r="CD20" s="45" t="e">
        <f>IF(CD$1,SUMIFS('BalSht Data'!$H$2:$H$2050,'BalSht Data'!$G$2:$G$2050,$A20,'BalSht Data'!$A$2:$A$2050,CD$1),#N/A)</f>
        <v>#N/A</v>
      </c>
      <c r="CE20" s="45" t="e">
        <f>IF(CE$1,SUMIFS('BalSht Data'!$H$2:$H$2050,'BalSht Data'!$G$2:$G$2050,$A20,'BalSht Data'!$A$2:$A$2050,CE$1),#N/A)</f>
        <v>#N/A</v>
      </c>
      <c r="CF20" s="45" t="e">
        <f>IF(CF$1,SUMIFS('BalSht Data'!$H$2:$H$2050,'BalSht Data'!$G$2:$G$2050,$A20,'BalSht Data'!$A$2:$A$2050,CF$1),#N/A)</f>
        <v>#N/A</v>
      </c>
      <c r="CG20" s="45" t="e">
        <f>IF(CG$1,SUMIFS('BalSht Data'!$H$2:$H$2050,'BalSht Data'!$G$2:$G$2050,$A20,'BalSht Data'!$A$2:$A$2050,CG$1),#N/A)</f>
        <v>#N/A</v>
      </c>
      <c r="CH20" s="45" t="e">
        <f>IF(CH$1,SUMIFS('BalSht Data'!$H$2:$H$2050,'BalSht Data'!$G$2:$G$2050,$A20,'BalSht Data'!$A$2:$A$2050,CH$1),#N/A)</f>
        <v>#N/A</v>
      </c>
      <c r="CI20" s="45" t="e">
        <f>IF(CI$1,SUMIFS('BalSht Data'!$H$2:$H$2050,'BalSht Data'!$G$2:$G$2050,$A20,'BalSht Data'!$A$2:$A$2050,CI$1),#N/A)</f>
        <v>#N/A</v>
      </c>
      <c r="CJ20" s="45" t="e">
        <f>IF(CJ$1,SUMIFS('BalSht Data'!$H$2:$H$2050,'BalSht Data'!$G$2:$G$2050,$A20,'BalSht Data'!$A$2:$A$2050,CJ$1),#N/A)</f>
        <v>#N/A</v>
      </c>
      <c r="CK20" s="45" t="e">
        <f>IF(CK$1,SUMIFS('BalSht Data'!$H$2:$H$2050,'BalSht Data'!$G$2:$G$2050,$A20,'BalSht Data'!$A$2:$A$2050,CK$1),#N/A)</f>
        <v>#N/A</v>
      </c>
      <c r="CL20" s="45" t="e">
        <f>IF(CL$1,SUMIFS('BalSht Data'!$H$2:$H$2050,'BalSht Data'!$G$2:$G$2050,$A20,'BalSht Data'!$A$2:$A$2050,CL$1),#N/A)</f>
        <v>#N/A</v>
      </c>
      <c r="CM20" s="45" t="e">
        <f>IF(CM$1,SUMIFS('BalSht Data'!$H$2:$H$2050,'BalSht Data'!$G$2:$G$2050,$A20,'BalSht Data'!$A$2:$A$2050,CM$1),#N/A)</f>
        <v>#N/A</v>
      </c>
      <c r="CN20" s="45" t="e">
        <f>IF(CN$1,SUMIFS('BalSht Data'!$H$2:$H$2050,'BalSht Data'!$G$2:$G$2050,$A20,'BalSht Data'!$A$2:$A$2050,CN$1),#N/A)</f>
        <v>#N/A</v>
      </c>
      <c r="CO20" s="45" t="e">
        <f>IF(CO$1,SUMIFS('BalSht Data'!$H$2:$H$2050,'BalSht Data'!$G$2:$G$2050,$A20,'BalSht Data'!$A$2:$A$2050,CO$1),#N/A)</f>
        <v>#N/A</v>
      </c>
      <c r="CP20" s="45" t="e">
        <f>IF(CP$1,SUMIFS('BalSht Data'!$H$2:$H$2050,'BalSht Data'!$G$2:$G$2050,$A20,'BalSht Data'!$A$2:$A$2050,CP$1),#N/A)</f>
        <v>#N/A</v>
      </c>
      <c r="CQ20" s="45" t="e">
        <f>IF(CQ$1,SUMIFS('BalSht Data'!$H$2:$H$2050,'BalSht Data'!$G$2:$G$2050,$A20,'BalSht Data'!$A$2:$A$2050,CQ$1),#N/A)</f>
        <v>#N/A</v>
      </c>
      <c r="CR20" s="45" t="e">
        <f>IF(CR$1,SUMIFS('BalSht Data'!$H$2:$H$2050,'BalSht Data'!$G$2:$G$2050,$A20,'BalSht Data'!$A$2:$A$2050,CR$1),#N/A)</f>
        <v>#N/A</v>
      </c>
      <c r="CS20" s="45" t="e">
        <f>IF(CS$1,SUMIFS('BalSht Data'!$H$2:$H$2050,'BalSht Data'!$G$2:$G$2050,$A20,'BalSht Data'!$A$2:$A$2050,CS$1),#N/A)</f>
        <v>#N/A</v>
      </c>
      <c r="CT20" s="45" t="e">
        <f>IF(CT$1,SUMIFS('BalSht Data'!$H$2:$H$2050,'BalSht Data'!$G$2:$G$2050,$A20,'BalSht Data'!$A$2:$A$2050,CT$1),#N/A)</f>
        <v>#N/A</v>
      </c>
      <c r="CU20" s="45" t="e">
        <f>IF(CU$1,SUMIFS('BalSht Data'!$H$2:$H$2050,'BalSht Data'!$G$2:$G$2050,$A20,'BalSht Data'!$A$2:$A$2050,CU$1),#N/A)</f>
        <v>#N/A</v>
      </c>
      <c r="CV20" s="45" t="e">
        <f>IF(CV$1,SUMIFS('BalSht Data'!$H$2:$H$2050,'BalSht Data'!$G$2:$G$2050,$A20,'BalSht Data'!$A$2:$A$2050,CV$1),#N/A)</f>
        <v>#N/A</v>
      </c>
      <c r="CW20" s="45" t="e">
        <f>IF(CW$1,SUMIFS('BalSht Data'!$H$2:$H$2050,'BalSht Data'!$G$2:$G$2050,$A20,'BalSht Data'!$A$2:$A$2050,CW$1),#N/A)</f>
        <v>#N/A</v>
      </c>
      <c r="CX20" s="45" t="e">
        <f>IF(CX$1,SUMIFS('BalSht Data'!$H$2:$H$2050,'BalSht Data'!$G$2:$G$2050,$A20,'BalSht Data'!$A$2:$A$2050,CX$1),#N/A)</f>
        <v>#N/A</v>
      </c>
      <c r="CY20" s="45" t="e">
        <f>IF(CY$1,SUMIFS('BalSht Data'!$H$2:$H$2050,'BalSht Data'!$G$2:$G$2050,$A20,'BalSht Data'!$A$2:$A$2050,CY$1),#N/A)</f>
        <v>#N/A</v>
      </c>
      <c r="CZ20" s="45" t="e">
        <f>IF(CZ$1,SUMIFS('BalSht Data'!$H$2:$H$2050,'BalSht Data'!$G$2:$G$2050,$A20,'BalSht Data'!$A$2:$A$2050,CZ$1),#N/A)</f>
        <v>#N/A</v>
      </c>
    </row>
    <row r="21" spans="1:104" s="42" customFormat="1" x14ac:dyDescent="0.2">
      <c r="A21" s="56" t="s">
        <v>20</v>
      </c>
      <c r="B21" s="45" t="e">
        <f>IF(B$1,SUMIFS('BalSht Data'!$H$2:$H$2050,'BalSht Data'!$G$2:$G$2050,$A21,'BalSht Data'!$A$2:$A$2050,B$1),#N/A)</f>
        <v>#N/A</v>
      </c>
      <c r="C21" s="45" t="e">
        <f>IF(C$1,SUMIFS('BalSht Data'!$H$2:$H$2050,'BalSht Data'!$G$2:$G$2050,$A21,'BalSht Data'!$A$2:$A$2050,C$1),#N/A)</f>
        <v>#N/A</v>
      </c>
      <c r="D21" s="45" t="e">
        <f>IF(D$1,SUMIFS('BalSht Data'!$H$2:$H$2050,'BalSht Data'!$G$2:$G$2050,$A21,'BalSht Data'!$A$2:$A$2050,D$1),#N/A)</f>
        <v>#N/A</v>
      </c>
      <c r="E21" s="45" t="e">
        <f>IF(E$1,SUMIFS('BalSht Data'!$H$2:$H$2050,'BalSht Data'!$G$2:$G$2050,$A21,'BalSht Data'!$A$2:$A$2050,E$1),#N/A)</f>
        <v>#N/A</v>
      </c>
      <c r="F21" s="45" t="e">
        <f>IF(F$1,SUMIFS('BalSht Data'!$H$2:$H$2050,'BalSht Data'!$G$2:$G$2050,$A21,'BalSht Data'!$A$2:$A$2050,F$1),#N/A)</f>
        <v>#N/A</v>
      </c>
      <c r="G21" s="45" t="e">
        <f>IF(G$1,SUMIFS('BalSht Data'!$H$2:$H$2050,'BalSht Data'!$G$2:$G$2050,$A21,'BalSht Data'!$A$2:$A$2050,G$1),#N/A)</f>
        <v>#N/A</v>
      </c>
      <c r="H21" s="45" t="e">
        <f>IF(H$1,SUMIFS('BalSht Data'!$H$2:$H$2050,'BalSht Data'!$G$2:$G$2050,$A21,'BalSht Data'!$A$2:$A$2050,H$1),#N/A)</f>
        <v>#N/A</v>
      </c>
      <c r="I21" s="45" t="e">
        <f>IF(I$1,SUMIFS('BalSht Data'!$H$2:$H$2050,'BalSht Data'!$G$2:$G$2050,$A21,'BalSht Data'!$A$2:$A$2050,I$1),#N/A)</f>
        <v>#N/A</v>
      </c>
      <c r="J21" s="45" t="e">
        <f>IF(J$1,SUMIFS('BalSht Data'!$H$2:$H$2050,'BalSht Data'!$G$2:$G$2050,$A21,'BalSht Data'!$A$2:$A$2050,J$1),#N/A)</f>
        <v>#N/A</v>
      </c>
      <c r="K21" s="45" t="e">
        <f>IF(K$1,SUMIFS('BalSht Data'!$H$2:$H$2050,'BalSht Data'!$G$2:$G$2050,$A21,'BalSht Data'!$A$2:$A$2050,K$1),#N/A)</f>
        <v>#N/A</v>
      </c>
      <c r="L21" s="45" t="e">
        <f>IF(L$1,SUMIFS('BalSht Data'!$H$2:$H$2050,'BalSht Data'!$G$2:$G$2050,$A21,'BalSht Data'!$A$2:$A$2050,L$1),#N/A)</f>
        <v>#N/A</v>
      </c>
      <c r="M21" s="45" t="e">
        <f>IF(M$1,SUMIFS('BalSht Data'!$H$2:$H$2050,'BalSht Data'!$G$2:$G$2050,$A21,'BalSht Data'!$A$2:$A$2050,M$1),#N/A)</f>
        <v>#N/A</v>
      </c>
      <c r="N21" s="45" t="e">
        <f>IF(N$1,SUMIFS('BalSht Data'!$H$2:$H$2050,'BalSht Data'!$G$2:$G$2050,$A21,'BalSht Data'!$A$2:$A$2050,N$1),#N/A)</f>
        <v>#N/A</v>
      </c>
      <c r="O21" s="45" t="e">
        <f>IF(O$1,SUMIFS('BalSht Data'!$H$2:$H$2050,'BalSht Data'!$G$2:$G$2050,$A21,'BalSht Data'!$A$2:$A$2050,O$1),#N/A)</f>
        <v>#N/A</v>
      </c>
      <c r="P21" s="45" t="e">
        <f>IF(P$1,SUMIFS('BalSht Data'!$H$2:$H$2050,'BalSht Data'!$G$2:$G$2050,$A21,'BalSht Data'!$A$2:$A$2050,P$1),#N/A)</f>
        <v>#N/A</v>
      </c>
      <c r="Q21" s="45" t="e">
        <f>IF(Q$1,SUMIFS('BalSht Data'!$H$2:$H$2050,'BalSht Data'!$G$2:$G$2050,$A21,'BalSht Data'!$A$2:$A$2050,Q$1),#N/A)</f>
        <v>#N/A</v>
      </c>
      <c r="R21" s="45" t="e">
        <f>IF(R$1,SUMIFS('BalSht Data'!$H$2:$H$2050,'BalSht Data'!$G$2:$G$2050,$A21,'BalSht Data'!$A$2:$A$2050,R$1),#N/A)</f>
        <v>#N/A</v>
      </c>
      <c r="S21" s="45" t="e">
        <f>IF(S$1,SUMIFS('BalSht Data'!$H$2:$H$2050,'BalSht Data'!$G$2:$G$2050,$A21,'BalSht Data'!$A$2:$A$2050,S$1),#N/A)</f>
        <v>#N/A</v>
      </c>
      <c r="T21" s="45" t="e">
        <f>IF(T$1,SUMIFS('BalSht Data'!$H$2:$H$2050,'BalSht Data'!$G$2:$G$2050,$A21,'BalSht Data'!$A$2:$A$2050,T$1),#N/A)</f>
        <v>#N/A</v>
      </c>
      <c r="U21" s="45" t="e">
        <f>IF(U$1,SUMIFS('BalSht Data'!$H$2:$H$2050,'BalSht Data'!$G$2:$G$2050,$A21,'BalSht Data'!$A$2:$A$2050,U$1),#N/A)</f>
        <v>#N/A</v>
      </c>
      <c r="V21" s="45" t="e">
        <f>IF(V$1,SUMIFS('BalSht Data'!$H$2:$H$2050,'BalSht Data'!$G$2:$G$2050,$A21,'BalSht Data'!$A$2:$A$2050,V$1),#N/A)</f>
        <v>#N/A</v>
      </c>
      <c r="W21" s="45" t="e">
        <f>IF(W$1,SUMIFS('BalSht Data'!$H$2:$H$2050,'BalSht Data'!$G$2:$G$2050,$A21,'BalSht Data'!$A$2:$A$2050,W$1),#N/A)</f>
        <v>#N/A</v>
      </c>
      <c r="X21" s="45" t="e">
        <f>IF(X$1,SUMIFS('BalSht Data'!$H$2:$H$2050,'BalSht Data'!$G$2:$G$2050,$A21,'BalSht Data'!$A$2:$A$2050,X$1),#N/A)</f>
        <v>#N/A</v>
      </c>
      <c r="Y21" s="45" t="e">
        <f>IF(Y$1,SUMIFS('BalSht Data'!$H$2:$H$2050,'BalSht Data'!$G$2:$G$2050,$A21,'BalSht Data'!$A$2:$A$2050,Y$1),#N/A)</f>
        <v>#N/A</v>
      </c>
      <c r="Z21" s="45" t="e">
        <f>IF(Z$1,SUMIFS('BalSht Data'!$H$2:$H$2050,'BalSht Data'!$G$2:$G$2050,$A21,'BalSht Data'!$A$2:$A$2050,Z$1),#N/A)</f>
        <v>#N/A</v>
      </c>
      <c r="AA21" s="45" t="e">
        <f>IF(AA$1,SUMIFS('BalSht Data'!$H$2:$H$2050,'BalSht Data'!$G$2:$G$2050,$A21,'BalSht Data'!$A$2:$A$2050,AA$1),#N/A)</f>
        <v>#N/A</v>
      </c>
      <c r="AB21" s="45" t="e">
        <f>IF(AB$1,SUMIFS('BalSht Data'!$H$2:$H$2050,'BalSht Data'!$G$2:$G$2050,$A21,'BalSht Data'!$A$2:$A$2050,AB$1),#N/A)</f>
        <v>#N/A</v>
      </c>
      <c r="AC21" s="45" t="e">
        <f>IF(AC$1,SUMIFS('BalSht Data'!$H$2:$H$2050,'BalSht Data'!$G$2:$G$2050,$A21,'BalSht Data'!$A$2:$A$2050,AC$1),#N/A)</f>
        <v>#N/A</v>
      </c>
      <c r="AD21" s="45" t="e">
        <f>IF(AD$1,SUMIFS('BalSht Data'!$H$2:$H$2050,'BalSht Data'!$G$2:$G$2050,$A21,'BalSht Data'!$A$2:$A$2050,AD$1),#N/A)</f>
        <v>#N/A</v>
      </c>
      <c r="AE21" s="45" t="e">
        <f>IF(AE$1,SUMIFS('BalSht Data'!$H$2:$H$2050,'BalSht Data'!$G$2:$G$2050,$A21,'BalSht Data'!$A$2:$A$2050,AE$1),#N/A)</f>
        <v>#N/A</v>
      </c>
      <c r="AF21" s="45" t="e">
        <f>IF(AF$1,SUMIFS('BalSht Data'!$H$2:$H$2050,'BalSht Data'!$G$2:$G$2050,$A21,'BalSht Data'!$A$2:$A$2050,AF$1),#N/A)</f>
        <v>#N/A</v>
      </c>
      <c r="AG21" s="45" t="e">
        <f>IF(AG$1,SUMIFS('BalSht Data'!$H$2:$H$2050,'BalSht Data'!$G$2:$G$2050,$A21,'BalSht Data'!$A$2:$A$2050,AG$1),#N/A)</f>
        <v>#N/A</v>
      </c>
      <c r="AH21" s="45" t="e">
        <f>IF(AH$1,SUMIFS('BalSht Data'!$H$2:$H$2050,'BalSht Data'!$G$2:$G$2050,$A21,'BalSht Data'!$A$2:$A$2050,AH$1),#N/A)</f>
        <v>#N/A</v>
      </c>
      <c r="AI21" s="45" t="e">
        <f>IF(AI$1,SUMIFS('BalSht Data'!$H$2:$H$2050,'BalSht Data'!$G$2:$G$2050,$A21,'BalSht Data'!$A$2:$A$2050,AI$1),#N/A)</f>
        <v>#N/A</v>
      </c>
      <c r="AJ21" s="45" t="e">
        <f>IF(AJ$1,SUMIFS('BalSht Data'!$H$2:$H$2050,'BalSht Data'!$G$2:$G$2050,$A21,'BalSht Data'!$A$2:$A$2050,AJ$1),#N/A)</f>
        <v>#N/A</v>
      </c>
      <c r="AK21" s="45" t="e">
        <f>IF(AK$1,SUMIFS('BalSht Data'!$H$2:$H$2050,'BalSht Data'!$G$2:$G$2050,$A21,'BalSht Data'!$A$2:$A$2050,AK$1),#N/A)</f>
        <v>#N/A</v>
      </c>
      <c r="AL21" s="45" t="e">
        <f>IF(AL$1,SUMIFS('BalSht Data'!$H$2:$H$2050,'BalSht Data'!$G$2:$G$2050,$A21,'BalSht Data'!$A$2:$A$2050,AL$1),#N/A)</f>
        <v>#N/A</v>
      </c>
      <c r="AM21" s="45" t="e">
        <f>IF(AM$1,SUMIFS('BalSht Data'!$H$2:$H$2050,'BalSht Data'!$G$2:$G$2050,$A21,'BalSht Data'!$A$2:$A$2050,AM$1),#N/A)</f>
        <v>#N/A</v>
      </c>
      <c r="AN21" s="45" t="e">
        <f>IF(AN$1,SUMIFS('BalSht Data'!$H$2:$H$2050,'BalSht Data'!$G$2:$G$2050,$A21,'BalSht Data'!$A$2:$A$2050,AN$1),#N/A)</f>
        <v>#N/A</v>
      </c>
      <c r="AO21" s="45" t="e">
        <f>IF(AO$1,SUMIFS('BalSht Data'!$H$2:$H$2050,'BalSht Data'!$G$2:$G$2050,$A21,'BalSht Data'!$A$2:$A$2050,AO$1),#N/A)</f>
        <v>#N/A</v>
      </c>
      <c r="AP21" s="45" t="e">
        <f>IF(AP$1,SUMIFS('BalSht Data'!$H$2:$H$2050,'BalSht Data'!$G$2:$G$2050,$A21,'BalSht Data'!$A$2:$A$2050,AP$1),#N/A)</f>
        <v>#N/A</v>
      </c>
      <c r="AQ21" s="45" t="e">
        <f>IF(AQ$1,SUMIFS('BalSht Data'!$H$2:$H$2050,'BalSht Data'!$G$2:$G$2050,$A21,'BalSht Data'!$A$2:$A$2050,AQ$1),#N/A)</f>
        <v>#N/A</v>
      </c>
      <c r="AR21" s="45" t="e">
        <f>IF(AR$1,SUMIFS('BalSht Data'!$H$2:$H$2050,'BalSht Data'!$G$2:$G$2050,$A21,'BalSht Data'!$A$2:$A$2050,AR$1),#N/A)</f>
        <v>#N/A</v>
      </c>
      <c r="AS21" s="45" t="e">
        <f>IF(AS$1,SUMIFS('BalSht Data'!$H$2:$H$2050,'BalSht Data'!$G$2:$G$2050,$A21,'BalSht Data'!$A$2:$A$2050,AS$1),#N/A)</f>
        <v>#N/A</v>
      </c>
      <c r="AT21" s="45" t="e">
        <f>IF(AT$1,SUMIFS('BalSht Data'!$H$2:$H$2050,'BalSht Data'!$G$2:$G$2050,$A21,'BalSht Data'!$A$2:$A$2050,AT$1),#N/A)</f>
        <v>#N/A</v>
      </c>
      <c r="AU21" s="45" t="e">
        <f>IF(AU$1,SUMIFS('BalSht Data'!$H$2:$H$2050,'BalSht Data'!$G$2:$G$2050,$A21,'BalSht Data'!$A$2:$A$2050,AU$1),#N/A)</f>
        <v>#N/A</v>
      </c>
      <c r="AV21" s="45" t="e">
        <f>IF(AV$1,SUMIFS('BalSht Data'!$H$2:$H$2050,'BalSht Data'!$G$2:$G$2050,$A21,'BalSht Data'!$A$2:$A$2050,AV$1),#N/A)</f>
        <v>#N/A</v>
      </c>
      <c r="AW21" s="45" t="e">
        <f>IF(AW$1,SUMIFS('BalSht Data'!$H$2:$H$2050,'BalSht Data'!$G$2:$G$2050,$A21,'BalSht Data'!$A$2:$A$2050,AW$1),#N/A)</f>
        <v>#N/A</v>
      </c>
      <c r="AX21" s="45" t="e">
        <f>IF(AX$1,SUMIFS('BalSht Data'!$H$2:$H$2050,'BalSht Data'!$G$2:$G$2050,$A21,'BalSht Data'!$A$2:$A$2050,AX$1),#N/A)</f>
        <v>#N/A</v>
      </c>
      <c r="AY21" s="45" t="e">
        <f>IF(AY$1,SUMIFS('BalSht Data'!$H$2:$H$2050,'BalSht Data'!$G$2:$G$2050,$A21,'BalSht Data'!$A$2:$A$2050,AY$1),#N/A)</f>
        <v>#N/A</v>
      </c>
      <c r="AZ21" s="45" t="e">
        <f>IF(AZ$1,SUMIFS('BalSht Data'!$H$2:$H$2050,'BalSht Data'!$G$2:$G$2050,$A21,'BalSht Data'!$A$2:$A$2050,AZ$1),#N/A)</f>
        <v>#N/A</v>
      </c>
      <c r="BA21" s="45" t="e">
        <f>IF(BA$1,SUMIFS('BalSht Data'!$H$2:$H$2050,'BalSht Data'!$G$2:$G$2050,$A21,'BalSht Data'!$A$2:$A$2050,BA$1),#N/A)</f>
        <v>#N/A</v>
      </c>
      <c r="BB21" s="45" t="e">
        <f>IF(BB$1,SUMIFS('BalSht Data'!$H$2:$H$2050,'BalSht Data'!$G$2:$G$2050,$A21,'BalSht Data'!$A$2:$A$2050,BB$1),#N/A)</f>
        <v>#N/A</v>
      </c>
      <c r="BC21" s="45" t="e">
        <f>IF(BC$1,SUMIFS('BalSht Data'!$H$2:$H$2050,'BalSht Data'!$G$2:$G$2050,$A21,'BalSht Data'!$A$2:$A$2050,BC$1),#N/A)</f>
        <v>#N/A</v>
      </c>
      <c r="BD21" s="45" t="e">
        <f>IF(BD$1,SUMIFS('BalSht Data'!$H$2:$H$2050,'BalSht Data'!$G$2:$G$2050,$A21,'BalSht Data'!$A$2:$A$2050,BD$1),#N/A)</f>
        <v>#N/A</v>
      </c>
      <c r="BE21" s="45" t="e">
        <f>IF(BE$1,SUMIFS('BalSht Data'!$H$2:$H$2050,'BalSht Data'!$G$2:$G$2050,$A21,'BalSht Data'!$A$2:$A$2050,BE$1),#N/A)</f>
        <v>#N/A</v>
      </c>
      <c r="BF21" s="45" t="e">
        <f>IF(BF$1,SUMIFS('BalSht Data'!$H$2:$H$2050,'BalSht Data'!$G$2:$G$2050,$A21,'BalSht Data'!$A$2:$A$2050,BF$1),#N/A)</f>
        <v>#N/A</v>
      </c>
      <c r="BG21" s="45" t="e">
        <f>IF(BG$1,SUMIFS('BalSht Data'!$H$2:$H$2050,'BalSht Data'!$G$2:$G$2050,$A21,'BalSht Data'!$A$2:$A$2050,BG$1),#N/A)</f>
        <v>#N/A</v>
      </c>
      <c r="BH21" s="45" t="e">
        <f>IF(BH$1,SUMIFS('BalSht Data'!$H$2:$H$2050,'BalSht Data'!$G$2:$G$2050,$A21,'BalSht Data'!$A$2:$A$2050,BH$1),#N/A)</f>
        <v>#N/A</v>
      </c>
      <c r="BI21" s="45" t="e">
        <f>IF(BI$1,SUMIFS('BalSht Data'!$H$2:$H$2050,'BalSht Data'!$G$2:$G$2050,$A21,'BalSht Data'!$A$2:$A$2050,BI$1),#N/A)</f>
        <v>#N/A</v>
      </c>
      <c r="BJ21" s="45" t="e">
        <f>IF(BJ$1,SUMIFS('BalSht Data'!$H$2:$H$2050,'BalSht Data'!$G$2:$G$2050,$A21,'BalSht Data'!$A$2:$A$2050,BJ$1),#N/A)</f>
        <v>#N/A</v>
      </c>
      <c r="BK21" s="45" t="e">
        <f>IF(BK$1,SUMIFS('BalSht Data'!$H$2:$H$2050,'BalSht Data'!$G$2:$G$2050,$A21,'BalSht Data'!$A$2:$A$2050,BK$1),#N/A)</f>
        <v>#N/A</v>
      </c>
      <c r="BL21" s="45" t="e">
        <f>IF(BL$1,SUMIFS('BalSht Data'!$H$2:$H$2050,'BalSht Data'!$G$2:$G$2050,$A21,'BalSht Data'!$A$2:$A$2050,BL$1),#N/A)</f>
        <v>#N/A</v>
      </c>
      <c r="BM21" s="45" t="e">
        <f>IF(BM$1,SUMIFS('BalSht Data'!$H$2:$H$2050,'BalSht Data'!$G$2:$G$2050,$A21,'BalSht Data'!$A$2:$A$2050,BM$1),#N/A)</f>
        <v>#N/A</v>
      </c>
      <c r="BN21" s="45" t="e">
        <f>IF(BN$1,SUMIFS('BalSht Data'!$H$2:$H$2050,'BalSht Data'!$G$2:$G$2050,$A21,'BalSht Data'!$A$2:$A$2050,BN$1),#N/A)</f>
        <v>#N/A</v>
      </c>
      <c r="BO21" s="45" t="e">
        <f>IF(BO$1,SUMIFS('BalSht Data'!$H$2:$H$2050,'BalSht Data'!$G$2:$G$2050,$A21,'BalSht Data'!$A$2:$A$2050,BO$1),#N/A)</f>
        <v>#N/A</v>
      </c>
      <c r="BP21" s="45" t="e">
        <f>IF(BP$1,SUMIFS('BalSht Data'!$H$2:$H$2050,'BalSht Data'!$G$2:$G$2050,$A21,'BalSht Data'!$A$2:$A$2050,BP$1),#N/A)</f>
        <v>#N/A</v>
      </c>
      <c r="BQ21" s="45" t="e">
        <f>IF(BQ$1,SUMIFS('BalSht Data'!$H$2:$H$2050,'BalSht Data'!$G$2:$G$2050,$A21,'BalSht Data'!$A$2:$A$2050,BQ$1),#N/A)</f>
        <v>#N/A</v>
      </c>
      <c r="BR21" s="45" t="e">
        <f>IF(BR$1,SUMIFS('BalSht Data'!$H$2:$H$2050,'BalSht Data'!$G$2:$G$2050,$A21,'BalSht Data'!$A$2:$A$2050,BR$1),#N/A)</f>
        <v>#N/A</v>
      </c>
      <c r="BS21" s="45" t="e">
        <f>IF(BS$1,SUMIFS('BalSht Data'!$H$2:$H$2050,'BalSht Data'!$G$2:$G$2050,$A21,'BalSht Data'!$A$2:$A$2050,BS$1),#N/A)</f>
        <v>#N/A</v>
      </c>
      <c r="BT21" s="45" t="e">
        <f>IF(BT$1,SUMIFS('BalSht Data'!$H$2:$H$2050,'BalSht Data'!$G$2:$G$2050,$A21,'BalSht Data'!$A$2:$A$2050,BT$1),#N/A)</f>
        <v>#N/A</v>
      </c>
      <c r="BU21" s="45" t="e">
        <f>IF(BU$1,SUMIFS('BalSht Data'!$H$2:$H$2050,'BalSht Data'!$G$2:$G$2050,$A21,'BalSht Data'!$A$2:$A$2050,BU$1),#N/A)</f>
        <v>#N/A</v>
      </c>
      <c r="BV21" s="45" t="e">
        <f>IF(BV$1,SUMIFS('BalSht Data'!$H$2:$H$2050,'BalSht Data'!$G$2:$G$2050,$A21,'BalSht Data'!$A$2:$A$2050,BV$1),#N/A)</f>
        <v>#N/A</v>
      </c>
      <c r="BW21" s="45" t="e">
        <f>IF(BW$1,SUMIFS('BalSht Data'!$H$2:$H$2050,'BalSht Data'!$G$2:$G$2050,$A21,'BalSht Data'!$A$2:$A$2050,BW$1),#N/A)</f>
        <v>#N/A</v>
      </c>
      <c r="BX21" s="45" t="e">
        <f>IF(BX$1,SUMIFS('BalSht Data'!$H$2:$H$2050,'BalSht Data'!$G$2:$G$2050,$A21,'BalSht Data'!$A$2:$A$2050,BX$1),#N/A)</f>
        <v>#N/A</v>
      </c>
      <c r="BY21" s="45" t="e">
        <f>IF(BY$1,SUMIFS('BalSht Data'!$H$2:$H$2050,'BalSht Data'!$G$2:$G$2050,$A21,'BalSht Data'!$A$2:$A$2050,BY$1),#N/A)</f>
        <v>#N/A</v>
      </c>
      <c r="BZ21" s="45" t="e">
        <f>IF(BZ$1,SUMIFS('BalSht Data'!$H$2:$H$2050,'BalSht Data'!$G$2:$G$2050,$A21,'BalSht Data'!$A$2:$A$2050,BZ$1),#N/A)</f>
        <v>#N/A</v>
      </c>
      <c r="CA21" s="45" t="e">
        <f>IF(CA$1,SUMIFS('BalSht Data'!$H$2:$H$2050,'BalSht Data'!$G$2:$G$2050,$A21,'BalSht Data'!$A$2:$A$2050,CA$1),#N/A)</f>
        <v>#N/A</v>
      </c>
      <c r="CB21" s="45" t="e">
        <f>IF(CB$1,SUMIFS('BalSht Data'!$H$2:$H$2050,'BalSht Data'!$G$2:$G$2050,$A21,'BalSht Data'!$A$2:$A$2050,CB$1),#N/A)</f>
        <v>#N/A</v>
      </c>
      <c r="CC21" s="45" t="e">
        <f>IF(CC$1,SUMIFS('BalSht Data'!$H$2:$H$2050,'BalSht Data'!$G$2:$G$2050,$A21,'BalSht Data'!$A$2:$A$2050,CC$1),#N/A)</f>
        <v>#N/A</v>
      </c>
      <c r="CD21" s="45" t="e">
        <f>IF(CD$1,SUMIFS('BalSht Data'!$H$2:$H$2050,'BalSht Data'!$G$2:$G$2050,$A21,'BalSht Data'!$A$2:$A$2050,CD$1),#N/A)</f>
        <v>#N/A</v>
      </c>
      <c r="CE21" s="45" t="e">
        <f>IF(CE$1,SUMIFS('BalSht Data'!$H$2:$H$2050,'BalSht Data'!$G$2:$G$2050,$A21,'BalSht Data'!$A$2:$A$2050,CE$1),#N/A)</f>
        <v>#N/A</v>
      </c>
      <c r="CF21" s="45" t="e">
        <f>IF(CF$1,SUMIFS('BalSht Data'!$H$2:$H$2050,'BalSht Data'!$G$2:$G$2050,$A21,'BalSht Data'!$A$2:$A$2050,CF$1),#N/A)</f>
        <v>#N/A</v>
      </c>
      <c r="CG21" s="45" t="e">
        <f>IF(CG$1,SUMIFS('BalSht Data'!$H$2:$H$2050,'BalSht Data'!$G$2:$G$2050,$A21,'BalSht Data'!$A$2:$A$2050,CG$1),#N/A)</f>
        <v>#N/A</v>
      </c>
      <c r="CH21" s="45" t="e">
        <f>IF(CH$1,SUMIFS('BalSht Data'!$H$2:$H$2050,'BalSht Data'!$G$2:$G$2050,$A21,'BalSht Data'!$A$2:$A$2050,CH$1),#N/A)</f>
        <v>#N/A</v>
      </c>
      <c r="CI21" s="45" t="e">
        <f>IF(CI$1,SUMIFS('BalSht Data'!$H$2:$H$2050,'BalSht Data'!$G$2:$G$2050,$A21,'BalSht Data'!$A$2:$A$2050,CI$1),#N/A)</f>
        <v>#N/A</v>
      </c>
      <c r="CJ21" s="45" t="e">
        <f>IF(CJ$1,SUMIFS('BalSht Data'!$H$2:$H$2050,'BalSht Data'!$G$2:$G$2050,$A21,'BalSht Data'!$A$2:$A$2050,CJ$1),#N/A)</f>
        <v>#N/A</v>
      </c>
      <c r="CK21" s="45" t="e">
        <f>IF(CK$1,SUMIFS('BalSht Data'!$H$2:$H$2050,'BalSht Data'!$G$2:$G$2050,$A21,'BalSht Data'!$A$2:$A$2050,CK$1),#N/A)</f>
        <v>#N/A</v>
      </c>
      <c r="CL21" s="45" t="e">
        <f>IF(CL$1,SUMIFS('BalSht Data'!$H$2:$H$2050,'BalSht Data'!$G$2:$G$2050,$A21,'BalSht Data'!$A$2:$A$2050,CL$1),#N/A)</f>
        <v>#N/A</v>
      </c>
      <c r="CM21" s="45" t="e">
        <f>IF(CM$1,SUMIFS('BalSht Data'!$H$2:$H$2050,'BalSht Data'!$G$2:$G$2050,$A21,'BalSht Data'!$A$2:$A$2050,CM$1),#N/A)</f>
        <v>#N/A</v>
      </c>
      <c r="CN21" s="45" t="e">
        <f>IF(CN$1,SUMIFS('BalSht Data'!$H$2:$H$2050,'BalSht Data'!$G$2:$G$2050,$A21,'BalSht Data'!$A$2:$A$2050,CN$1),#N/A)</f>
        <v>#N/A</v>
      </c>
      <c r="CO21" s="45" t="e">
        <f>IF(CO$1,SUMIFS('BalSht Data'!$H$2:$H$2050,'BalSht Data'!$G$2:$G$2050,$A21,'BalSht Data'!$A$2:$A$2050,CO$1),#N/A)</f>
        <v>#N/A</v>
      </c>
      <c r="CP21" s="45" t="e">
        <f>IF(CP$1,SUMIFS('BalSht Data'!$H$2:$H$2050,'BalSht Data'!$G$2:$G$2050,$A21,'BalSht Data'!$A$2:$A$2050,CP$1),#N/A)</f>
        <v>#N/A</v>
      </c>
      <c r="CQ21" s="45" t="e">
        <f>IF(CQ$1,SUMIFS('BalSht Data'!$H$2:$H$2050,'BalSht Data'!$G$2:$G$2050,$A21,'BalSht Data'!$A$2:$A$2050,CQ$1),#N/A)</f>
        <v>#N/A</v>
      </c>
      <c r="CR21" s="45" t="e">
        <f>IF(CR$1,SUMIFS('BalSht Data'!$H$2:$H$2050,'BalSht Data'!$G$2:$G$2050,$A21,'BalSht Data'!$A$2:$A$2050,CR$1),#N/A)</f>
        <v>#N/A</v>
      </c>
      <c r="CS21" s="45" t="e">
        <f>IF(CS$1,SUMIFS('BalSht Data'!$H$2:$H$2050,'BalSht Data'!$G$2:$G$2050,$A21,'BalSht Data'!$A$2:$A$2050,CS$1),#N/A)</f>
        <v>#N/A</v>
      </c>
      <c r="CT21" s="45" t="e">
        <f>IF(CT$1,SUMIFS('BalSht Data'!$H$2:$H$2050,'BalSht Data'!$G$2:$G$2050,$A21,'BalSht Data'!$A$2:$A$2050,CT$1),#N/A)</f>
        <v>#N/A</v>
      </c>
      <c r="CU21" s="45" t="e">
        <f>IF(CU$1,SUMIFS('BalSht Data'!$H$2:$H$2050,'BalSht Data'!$G$2:$G$2050,$A21,'BalSht Data'!$A$2:$A$2050,CU$1),#N/A)</f>
        <v>#N/A</v>
      </c>
      <c r="CV21" s="45" t="e">
        <f>IF(CV$1,SUMIFS('BalSht Data'!$H$2:$H$2050,'BalSht Data'!$G$2:$G$2050,$A21,'BalSht Data'!$A$2:$A$2050,CV$1),#N/A)</f>
        <v>#N/A</v>
      </c>
      <c r="CW21" s="45" t="e">
        <f>IF(CW$1,SUMIFS('BalSht Data'!$H$2:$H$2050,'BalSht Data'!$G$2:$G$2050,$A21,'BalSht Data'!$A$2:$A$2050,CW$1),#N/A)</f>
        <v>#N/A</v>
      </c>
      <c r="CX21" s="45" t="e">
        <f>IF(CX$1,SUMIFS('BalSht Data'!$H$2:$H$2050,'BalSht Data'!$G$2:$G$2050,$A21,'BalSht Data'!$A$2:$A$2050,CX$1),#N/A)</f>
        <v>#N/A</v>
      </c>
      <c r="CY21" s="45" t="e">
        <f>IF(CY$1,SUMIFS('BalSht Data'!$H$2:$H$2050,'BalSht Data'!$G$2:$G$2050,$A21,'BalSht Data'!$A$2:$A$2050,CY$1),#N/A)</f>
        <v>#N/A</v>
      </c>
      <c r="CZ21" s="45" t="e">
        <f>IF(CZ$1,SUMIFS('BalSht Data'!$H$2:$H$2050,'BalSht Data'!$G$2:$G$2050,$A21,'BalSht Data'!$A$2:$A$2050,CZ$1),#N/A)</f>
        <v>#N/A</v>
      </c>
    </row>
    <row r="22" spans="1:104" s="42" customFormat="1" x14ac:dyDescent="0.2">
      <c r="A22" s="56" t="s">
        <v>155</v>
      </c>
      <c r="B22" s="45" t="e">
        <f>IF(B$1,SUMIFS('BalSht Data'!$H$2:$H$2050,'BalSht Data'!$G$2:$G$2050,$A22,'BalSht Data'!$A$2:$A$2050,B$1),#N/A)</f>
        <v>#N/A</v>
      </c>
      <c r="C22" s="45" t="e">
        <f>IF(C$1,SUMIFS('BalSht Data'!$H$2:$H$2050,'BalSht Data'!$G$2:$G$2050,$A22,'BalSht Data'!$A$2:$A$2050,C$1),#N/A)</f>
        <v>#N/A</v>
      </c>
      <c r="D22" s="45" t="e">
        <f>IF(D$1,SUMIFS('BalSht Data'!$H$2:$H$2050,'BalSht Data'!$G$2:$G$2050,$A22,'BalSht Data'!$A$2:$A$2050,D$1),#N/A)</f>
        <v>#N/A</v>
      </c>
      <c r="E22" s="45" t="e">
        <f>IF(E$1,SUMIFS('BalSht Data'!$H$2:$H$2050,'BalSht Data'!$G$2:$G$2050,$A22,'BalSht Data'!$A$2:$A$2050,E$1),#N/A)</f>
        <v>#N/A</v>
      </c>
      <c r="F22" s="45" t="e">
        <f>IF(F$1,SUMIFS('BalSht Data'!$H$2:$H$2050,'BalSht Data'!$G$2:$G$2050,$A22,'BalSht Data'!$A$2:$A$2050,F$1),#N/A)</f>
        <v>#N/A</v>
      </c>
      <c r="G22" s="45" t="e">
        <f>IF(G$1,SUMIFS('BalSht Data'!$H$2:$H$2050,'BalSht Data'!$G$2:$G$2050,$A22,'BalSht Data'!$A$2:$A$2050,G$1),#N/A)</f>
        <v>#N/A</v>
      </c>
      <c r="H22" s="45" t="e">
        <f>IF(H$1,SUMIFS('BalSht Data'!$H$2:$H$2050,'BalSht Data'!$G$2:$G$2050,$A22,'BalSht Data'!$A$2:$A$2050,H$1),#N/A)</f>
        <v>#N/A</v>
      </c>
      <c r="I22" s="45" t="e">
        <f>IF(I$1,SUMIFS('BalSht Data'!$H$2:$H$2050,'BalSht Data'!$G$2:$G$2050,$A22,'BalSht Data'!$A$2:$A$2050,I$1),#N/A)</f>
        <v>#N/A</v>
      </c>
      <c r="J22" s="45" t="e">
        <f>IF(J$1,SUMIFS('BalSht Data'!$H$2:$H$2050,'BalSht Data'!$G$2:$G$2050,$A22,'BalSht Data'!$A$2:$A$2050,J$1),#N/A)</f>
        <v>#N/A</v>
      </c>
      <c r="K22" s="45" t="e">
        <f>IF(K$1,SUMIFS('BalSht Data'!$H$2:$H$2050,'BalSht Data'!$G$2:$G$2050,$A22,'BalSht Data'!$A$2:$A$2050,K$1),#N/A)</f>
        <v>#N/A</v>
      </c>
      <c r="L22" s="45" t="e">
        <f>IF(L$1,SUMIFS('BalSht Data'!$H$2:$H$2050,'BalSht Data'!$G$2:$G$2050,$A22,'BalSht Data'!$A$2:$A$2050,L$1),#N/A)</f>
        <v>#N/A</v>
      </c>
      <c r="M22" s="45" t="e">
        <f>IF(M$1,SUMIFS('BalSht Data'!$H$2:$H$2050,'BalSht Data'!$G$2:$G$2050,$A22,'BalSht Data'!$A$2:$A$2050,M$1),#N/A)</f>
        <v>#N/A</v>
      </c>
      <c r="N22" s="45" t="e">
        <f>IF(N$1,SUMIFS('BalSht Data'!$H$2:$H$2050,'BalSht Data'!$G$2:$G$2050,$A22,'BalSht Data'!$A$2:$A$2050,N$1),#N/A)</f>
        <v>#N/A</v>
      </c>
      <c r="O22" s="45" t="e">
        <f>IF(O$1,SUMIFS('BalSht Data'!$H$2:$H$2050,'BalSht Data'!$G$2:$G$2050,$A22,'BalSht Data'!$A$2:$A$2050,O$1),#N/A)</f>
        <v>#N/A</v>
      </c>
      <c r="P22" s="45" t="e">
        <f>IF(P$1,SUMIFS('BalSht Data'!$H$2:$H$2050,'BalSht Data'!$G$2:$G$2050,$A22,'BalSht Data'!$A$2:$A$2050,P$1),#N/A)</f>
        <v>#N/A</v>
      </c>
      <c r="Q22" s="45" t="e">
        <f>IF(Q$1,SUMIFS('BalSht Data'!$H$2:$H$2050,'BalSht Data'!$G$2:$G$2050,$A22,'BalSht Data'!$A$2:$A$2050,Q$1),#N/A)</f>
        <v>#N/A</v>
      </c>
      <c r="R22" s="45" t="e">
        <f>IF(R$1,SUMIFS('BalSht Data'!$H$2:$H$2050,'BalSht Data'!$G$2:$G$2050,$A22,'BalSht Data'!$A$2:$A$2050,R$1),#N/A)</f>
        <v>#N/A</v>
      </c>
      <c r="S22" s="45" t="e">
        <f>IF(S$1,SUMIFS('BalSht Data'!$H$2:$H$2050,'BalSht Data'!$G$2:$G$2050,$A22,'BalSht Data'!$A$2:$A$2050,S$1),#N/A)</f>
        <v>#N/A</v>
      </c>
      <c r="T22" s="45" t="e">
        <f>IF(T$1,SUMIFS('BalSht Data'!$H$2:$H$2050,'BalSht Data'!$G$2:$G$2050,$A22,'BalSht Data'!$A$2:$A$2050,T$1),#N/A)</f>
        <v>#N/A</v>
      </c>
      <c r="U22" s="45" t="e">
        <f>IF(U$1,SUMIFS('BalSht Data'!$H$2:$H$2050,'BalSht Data'!$G$2:$G$2050,$A22,'BalSht Data'!$A$2:$A$2050,U$1),#N/A)</f>
        <v>#N/A</v>
      </c>
      <c r="V22" s="45" t="e">
        <f>IF(V$1,SUMIFS('BalSht Data'!$H$2:$H$2050,'BalSht Data'!$G$2:$G$2050,$A22,'BalSht Data'!$A$2:$A$2050,V$1),#N/A)</f>
        <v>#N/A</v>
      </c>
      <c r="W22" s="45" t="e">
        <f>IF(W$1,SUMIFS('BalSht Data'!$H$2:$H$2050,'BalSht Data'!$G$2:$G$2050,$A22,'BalSht Data'!$A$2:$A$2050,W$1),#N/A)</f>
        <v>#N/A</v>
      </c>
      <c r="X22" s="45" t="e">
        <f>IF(X$1,SUMIFS('BalSht Data'!$H$2:$H$2050,'BalSht Data'!$G$2:$G$2050,$A22,'BalSht Data'!$A$2:$A$2050,X$1),#N/A)</f>
        <v>#N/A</v>
      </c>
      <c r="Y22" s="45" t="e">
        <f>IF(Y$1,SUMIFS('BalSht Data'!$H$2:$H$2050,'BalSht Data'!$G$2:$G$2050,$A22,'BalSht Data'!$A$2:$A$2050,Y$1),#N/A)</f>
        <v>#N/A</v>
      </c>
      <c r="Z22" s="45" t="e">
        <f>IF(Z$1,SUMIFS('BalSht Data'!$H$2:$H$2050,'BalSht Data'!$G$2:$G$2050,$A22,'BalSht Data'!$A$2:$A$2050,Z$1),#N/A)</f>
        <v>#N/A</v>
      </c>
      <c r="AA22" s="45" t="e">
        <f>IF(AA$1,SUMIFS('BalSht Data'!$H$2:$H$2050,'BalSht Data'!$G$2:$G$2050,$A22,'BalSht Data'!$A$2:$A$2050,AA$1),#N/A)</f>
        <v>#N/A</v>
      </c>
      <c r="AB22" s="45" t="e">
        <f>IF(AB$1,SUMIFS('BalSht Data'!$H$2:$H$2050,'BalSht Data'!$G$2:$G$2050,$A22,'BalSht Data'!$A$2:$A$2050,AB$1),#N/A)</f>
        <v>#N/A</v>
      </c>
      <c r="AC22" s="45" t="e">
        <f>IF(AC$1,SUMIFS('BalSht Data'!$H$2:$H$2050,'BalSht Data'!$G$2:$G$2050,$A22,'BalSht Data'!$A$2:$A$2050,AC$1),#N/A)</f>
        <v>#N/A</v>
      </c>
      <c r="AD22" s="45" t="e">
        <f>IF(AD$1,SUMIFS('BalSht Data'!$H$2:$H$2050,'BalSht Data'!$G$2:$G$2050,$A22,'BalSht Data'!$A$2:$A$2050,AD$1),#N/A)</f>
        <v>#N/A</v>
      </c>
      <c r="AE22" s="45" t="e">
        <f>IF(AE$1,SUMIFS('BalSht Data'!$H$2:$H$2050,'BalSht Data'!$G$2:$G$2050,$A22,'BalSht Data'!$A$2:$A$2050,AE$1),#N/A)</f>
        <v>#N/A</v>
      </c>
      <c r="AF22" s="45" t="e">
        <f>IF(AF$1,SUMIFS('BalSht Data'!$H$2:$H$2050,'BalSht Data'!$G$2:$G$2050,$A22,'BalSht Data'!$A$2:$A$2050,AF$1),#N/A)</f>
        <v>#N/A</v>
      </c>
      <c r="AG22" s="45" t="e">
        <f>IF(AG$1,SUMIFS('BalSht Data'!$H$2:$H$2050,'BalSht Data'!$G$2:$G$2050,$A22,'BalSht Data'!$A$2:$A$2050,AG$1),#N/A)</f>
        <v>#N/A</v>
      </c>
      <c r="AH22" s="45" t="e">
        <f>IF(AH$1,SUMIFS('BalSht Data'!$H$2:$H$2050,'BalSht Data'!$G$2:$G$2050,$A22,'BalSht Data'!$A$2:$A$2050,AH$1),#N/A)</f>
        <v>#N/A</v>
      </c>
      <c r="AI22" s="45" t="e">
        <f>IF(AI$1,SUMIFS('BalSht Data'!$H$2:$H$2050,'BalSht Data'!$G$2:$G$2050,$A22,'BalSht Data'!$A$2:$A$2050,AI$1),#N/A)</f>
        <v>#N/A</v>
      </c>
      <c r="AJ22" s="45" t="e">
        <f>IF(AJ$1,SUMIFS('BalSht Data'!$H$2:$H$2050,'BalSht Data'!$G$2:$G$2050,$A22,'BalSht Data'!$A$2:$A$2050,AJ$1),#N/A)</f>
        <v>#N/A</v>
      </c>
      <c r="AK22" s="45" t="e">
        <f>IF(AK$1,SUMIFS('BalSht Data'!$H$2:$H$2050,'BalSht Data'!$G$2:$G$2050,$A22,'BalSht Data'!$A$2:$A$2050,AK$1),#N/A)</f>
        <v>#N/A</v>
      </c>
      <c r="AL22" s="45" t="e">
        <f>IF(AL$1,SUMIFS('BalSht Data'!$H$2:$H$2050,'BalSht Data'!$G$2:$G$2050,$A22,'BalSht Data'!$A$2:$A$2050,AL$1),#N/A)</f>
        <v>#N/A</v>
      </c>
      <c r="AM22" s="45" t="e">
        <f>IF(AM$1,SUMIFS('BalSht Data'!$H$2:$H$2050,'BalSht Data'!$G$2:$G$2050,$A22,'BalSht Data'!$A$2:$A$2050,AM$1),#N/A)</f>
        <v>#N/A</v>
      </c>
      <c r="AN22" s="45" t="e">
        <f>IF(AN$1,SUMIFS('BalSht Data'!$H$2:$H$2050,'BalSht Data'!$G$2:$G$2050,$A22,'BalSht Data'!$A$2:$A$2050,AN$1),#N/A)</f>
        <v>#N/A</v>
      </c>
      <c r="AO22" s="45" t="e">
        <f>IF(AO$1,SUMIFS('BalSht Data'!$H$2:$H$2050,'BalSht Data'!$G$2:$G$2050,$A22,'BalSht Data'!$A$2:$A$2050,AO$1),#N/A)</f>
        <v>#N/A</v>
      </c>
      <c r="AP22" s="45" t="e">
        <f>IF(AP$1,SUMIFS('BalSht Data'!$H$2:$H$2050,'BalSht Data'!$G$2:$G$2050,$A22,'BalSht Data'!$A$2:$A$2050,AP$1),#N/A)</f>
        <v>#N/A</v>
      </c>
      <c r="AQ22" s="45" t="e">
        <f>IF(AQ$1,SUMIFS('BalSht Data'!$H$2:$H$2050,'BalSht Data'!$G$2:$G$2050,$A22,'BalSht Data'!$A$2:$A$2050,AQ$1),#N/A)</f>
        <v>#N/A</v>
      </c>
      <c r="AR22" s="45" t="e">
        <f>IF(AR$1,SUMIFS('BalSht Data'!$H$2:$H$2050,'BalSht Data'!$G$2:$G$2050,$A22,'BalSht Data'!$A$2:$A$2050,AR$1),#N/A)</f>
        <v>#N/A</v>
      </c>
      <c r="AS22" s="45" t="e">
        <f>IF(AS$1,SUMIFS('BalSht Data'!$H$2:$H$2050,'BalSht Data'!$G$2:$G$2050,$A22,'BalSht Data'!$A$2:$A$2050,AS$1),#N/A)</f>
        <v>#N/A</v>
      </c>
      <c r="AT22" s="45" t="e">
        <f>IF(AT$1,SUMIFS('BalSht Data'!$H$2:$H$2050,'BalSht Data'!$G$2:$G$2050,$A22,'BalSht Data'!$A$2:$A$2050,AT$1),#N/A)</f>
        <v>#N/A</v>
      </c>
      <c r="AU22" s="45" t="e">
        <f>IF(AU$1,SUMIFS('BalSht Data'!$H$2:$H$2050,'BalSht Data'!$G$2:$G$2050,$A22,'BalSht Data'!$A$2:$A$2050,AU$1),#N/A)</f>
        <v>#N/A</v>
      </c>
      <c r="AV22" s="45" t="e">
        <f>IF(AV$1,SUMIFS('BalSht Data'!$H$2:$H$2050,'BalSht Data'!$G$2:$G$2050,$A22,'BalSht Data'!$A$2:$A$2050,AV$1),#N/A)</f>
        <v>#N/A</v>
      </c>
      <c r="AW22" s="45" t="e">
        <f>IF(AW$1,SUMIFS('BalSht Data'!$H$2:$H$2050,'BalSht Data'!$G$2:$G$2050,$A22,'BalSht Data'!$A$2:$A$2050,AW$1),#N/A)</f>
        <v>#N/A</v>
      </c>
      <c r="AX22" s="45" t="e">
        <f>IF(AX$1,SUMIFS('BalSht Data'!$H$2:$H$2050,'BalSht Data'!$G$2:$G$2050,$A22,'BalSht Data'!$A$2:$A$2050,AX$1),#N/A)</f>
        <v>#N/A</v>
      </c>
      <c r="AY22" s="45" t="e">
        <f>IF(AY$1,SUMIFS('BalSht Data'!$H$2:$H$2050,'BalSht Data'!$G$2:$G$2050,$A22,'BalSht Data'!$A$2:$A$2050,AY$1),#N/A)</f>
        <v>#N/A</v>
      </c>
      <c r="AZ22" s="45" t="e">
        <f>IF(AZ$1,SUMIFS('BalSht Data'!$H$2:$H$2050,'BalSht Data'!$G$2:$G$2050,$A22,'BalSht Data'!$A$2:$A$2050,AZ$1),#N/A)</f>
        <v>#N/A</v>
      </c>
      <c r="BA22" s="45" t="e">
        <f>IF(BA$1,SUMIFS('BalSht Data'!$H$2:$H$2050,'BalSht Data'!$G$2:$G$2050,$A22,'BalSht Data'!$A$2:$A$2050,BA$1),#N/A)</f>
        <v>#N/A</v>
      </c>
      <c r="BB22" s="45" t="e">
        <f>IF(BB$1,SUMIFS('BalSht Data'!$H$2:$H$2050,'BalSht Data'!$G$2:$G$2050,$A22,'BalSht Data'!$A$2:$A$2050,BB$1),#N/A)</f>
        <v>#N/A</v>
      </c>
      <c r="BC22" s="45" t="e">
        <f>IF(BC$1,SUMIFS('BalSht Data'!$H$2:$H$2050,'BalSht Data'!$G$2:$G$2050,$A22,'BalSht Data'!$A$2:$A$2050,BC$1),#N/A)</f>
        <v>#N/A</v>
      </c>
      <c r="BD22" s="45" t="e">
        <f>IF(BD$1,SUMIFS('BalSht Data'!$H$2:$H$2050,'BalSht Data'!$G$2:$G$2050,$A22,'BalSht Data'!$A$2:$A$2050,BD$1),#N/A)</f>
        <v>#N/A</v>
      </c>
      <c r="BE22" s="45" t="e">
        <f>IF(BE$1,SUMIFS('BalSht Data'!$H$2:$H$2050,'BalSht Data'!$G$2:$G$2050,$A22,'BalSht Data'!$A$2:$A$2050,BE$1),#N/A)</f>
        <v>#N/A</v>
      </c>
      <c r="BF22" s="45" t="e">
        <f>IF(BF$1,SUMIFS('BalSht Data'!$H$2:$H$2050,'BalSht Data'!$G$2:$G$2050,$A22,'BalSht Data'!$A$2:$A$2050,BF$1),#N/A)</f>
        <v>#N/A</v>
      </c>
      <c r="BG22" s="45" t="e">
        <f>IF(BG$1,SUMIFS('BalSht Data'!$H$2:$H$2050,'BalSht Data'!$G$2:$G$2050,$A22,'BalSht Data'!$A$2:$A$2050,BG$1),#N/A)</f>
        <v>#N/A</v>
      </c>
      <c r="BH22" s="45" t="e">
        <f>IF(BH$1,SUMIFS('BalSht Data'!$H$2:$H$2050,'BalSht Data'!$G$2:$G$2050,$A22,'BalSht Data'!$A$2:$A$2050,BH$1),#N/A)</f>
        <v>#N/A</v>
      </c>
      <c r="BI22" s="45" t="e">
        <f>IF(BI$1,SUMIFS('BalSht Data'!$H$2:$H$2050,'BalSht Data'!$G$2:$G$2050,$A22,'BalSht Data'!$A$2:$A$2050,BI$1),#N/A)</f>
        <v>#N/A</v>
      </c>
      <c r="BJ22" s="45" t="e">
        <f>IF(BJ$1,SUMIFS('BalSht Data'!$H$2:$H$2050,'BalSht Data'!$G$2:$G$2050,$A22,'BalSht Data'!$A$2:$A$2050,BJ$1),#N/A)</f>
        <v>#N/A</v>
      </c>
      <c r="BK22" s="45" t="e">
        <f>IF(BK$1,SUMIFS('BalSht Data'!$H$2:$H$2050,'BalSht Data'!$G$2:$G$2050,$A22,'BalSht Data'!$A$2:$A$2050,BK$1),#N/A)</f>
        <v>#N/A</v>
      </c>
      <c r="BL22" s="45" t="e">
        <f>IF(BL$1,SUMIFS('BalSht Data'!$H$2:$H$2050,'BalSht Data'!$G$2:$G$2050,$A22,'BalSht Data'!$A$2:$A$2050,BL$1),#N/A)</f>
        <v>#N/A</v>
      </c>
      <c r="BM22" s="45" t="e">
        <f>IF(BM$1,SUMIFS('BalSht Data'!$H$2:$H$2050,'BalSht Data'!$G$2:$G$2050,$A22,'BalSht Data'!$A$2:$A$2050,BM$1),#N/A)</f>
        <v>#N/A</v>
      </c>
      <c r="BN22" s="45" t="e">
        <f>IF(BN$1,SUMIFS('BalSht Data'!$H$2:$H$2050,'BalSht Data'!$G$2:$G$2050,$A22,'BalSht Data'!$A$2:$A$2050,BN$1),#N/A)</f>
        <v>#N/A</v>
      </c>
      <c r="BO22" s="45" t="e">
        <f>IF(BO$1,SUMIFS('BalSht Data'!$H$2:$H$2050,'BalSht Data'!$G$2:$G$2050,$A22,'BalSht Data'!$A$2:$A$2050,BO$1),#N/A)</f>
        <v>#N/A</v>
      </c>
      <c r="BP22" s="45" t="e">
        <f>IF(BP$1,SUMIFS('BalSht Data'!$H$2:$H$2050,'BalSht Data'!$G$2:$G$2050,$A22,'BalSht Data'!$A$2:$A$2050,BP$1),#N/A)</f>
        <v>#N/A</v>
      </c>
      <c r="BQ22" s="45" t="e">
        <f>IF(BQ$1,SUMIFS('BalSht Data'!$H$2:$H$2050,'BalSht Data'!$G$2:$G$2050,$A22,'BalSht Data'!$A$2:$A$2050,BQ$1),#N/A)</f>
        <v>#N/A</v>
      </c>
      <c r="BR22" s="45" t="e">
        <f>IF(BR$1,SUMIFS('BalSht Data'!$H$2:$H$2050,'BalSht Data'!$G$2:$G$2050,$A22,'BalSht Data'!$A$2:$A$2050,BR$1),#N/A)</f>
        <v>#N/A</v>
      </c>
      <c r="BS22" s="45" t="e">
        <f>IF(BS$1,SUMIFS('BalSht Data'!$H$2:$H$2050,'BalSht Data'!$G$2:$G$2050,$A22,'BalSht Data'!$A$2:$A$2050,BS$1),#N/A)</f>
        <v>#N/A</v>
      </c>
      <c r="BT22" s="45" t="e">
        <f>IF(BT$1,SUMIFS('BalSht Data'!$H$2:$H$2050,'BalSht Data'!$G$2:$G$2050,$A22,'BalSht Data'!$A$2:$A$2050,BT$1),#N/A)</f>
        <v>#N/A</v>
      </c>
      <c r="BU22" s="45" t="e">
        <f>IF(BU$1,SUMIFS('BalSht Data'!$H$2:$H$2050,'BalSht Data'!$G$2:$G$2050,$A22,'BalSht Data'!$A$2:$A$2050,BU$1),#N/A)</f>
        <v>#N/A</v>
      </c>
      <c r="BV22" s="45" t="e">
        <f>IF(BV$1,SUMIFS('BalSht Data'!$H$2:$H$2050,'BalSht Data'!$G$2:$G$2050,$A22,'BalSht Data'!$A$2:$A$2050,BV$1),#N/A)</f>
        <v>#N/A</v>
      </c>
      <c r="BW22" s="45" t="e">
        <f>IF(BW$1,SUMIFS('BalSht Data'!$H$2:$H$2050,'BalSht Data'!$G$2:$G$2050,$A22,'BalSht Data'!$A$2:$A$2050,BW$1),#N/A)</f>
        <v>#N/A</v>
      </c>
      <c r="BX22" s="45" t="e">
        <f>IF(BX$1,SUMIFS('BalSht Data'!$H$2:$H$2050,'BalSht Data'!$G$2:$G$2050,$A22,'BalSht Data'!$A$2:$A$2050,BX$1),#N/A)</f>
        <v>#N/A</v>
      </c>
      <c r="BY22" s="45" t="e">
        <f>IF(BY$1,SUMIFS('BalSht Data'!$H$2:$H$2050,'BalSht Data'!$G$2:$G$2050,$A22,'BalSht Data'!$A$2:$A$2050,BY$1),#N/A)</f>
        <v>#N/A</v>
      </c>
      <c r="BZ22" s="45" t="e">
        <f>IF(BZ$1,SUMIFS('BalSht Data'!$H$2:$H$2050,'BalSht Data'!$G$2:$G$2050,$A22,'BalSht Data'!$A$2:$A$2050,BZ$1),#N/A)</f>
        <v>#N/A</v>
      </c>
      <c r="CA22" s="45" t="e">
        <f>IF(CA$1,SUMIFS('BalSht Data'!$H$2:$H$2050,'BalSht Data'!$G$2:$G$2050,$A22,'BalSht Data'!$A$2:$A$2050,CA$1),#N/A)</f>
        <v>#N/A</v>
      </c>
      <c r="CB22" s="45" t="e">
        <f>IF(CB$1,SUMIFS('BalSht Data'!$H$2:$H$2050,'BalSht Data'!$G$2:$G$2050,$A22,'BalSht Data'!$A$2:$A$2050,CB$1),#N/A)</f>
        <v>#N/A</v>
      </c>
      <c r="CC22" s="45" t="e">
        <f>IF(CC$1,SUMIFS('BalSht Data'!$H$2:$H$2050,'BalSht Data'!$G$2:$G$2050,$A22,'BalSht Data'!$A$2:$A$2050,CC$1),#N/A)</f>
        <v>#N/A</v>
      </c>
      <c r="CD22" s="45" t="e">
        <f>IF(CD$1,SUMIFS('BalSht Data'!$H$2:$H$2050,'BalSht Data'!$G$2:$G$2050,$A22,'BalSht Data'!$A$2:$A$2050,CD$1),#N/A)</f>
        <v>#N/A</v>
      </c>
      <c r="CE22" s="45" t="e">
        <f>IF(CE$1,SUMIFS('BalSht Data'!$H$2:$H$2050,'BalSht Data'!$G$2:$G$2050,$A22,'BalSht Data'!$A$2:$A$2050,CE$1),#N/A)</f>
        <v>#N/A</v>
      </c>
      <c r="CF22" s="45" t="e">
        <f>IF(CF$1,SUMIFS('BalSht Data'!$H$2:$H$2050,'BalSht Data'!$G$2:$G$2050,$A22,'BalSht Data'!$A$2:$A$2050,CF$1),#N/A)</f>
        <v>#N/A</v>
      </c>
      <c r="CG22" s="45" t="e">
        <f>IF(CG$1,SUMIFS('BalSht Data'!$H$2:$H$2050,'BalSht Data'!$G$2:$G$2050,$A22,'BalSht Data'!$A$2:$A$2050,CG$1),#N/A)</f>
        <v>#N/A</v>
      </c>
      <c r="CH22" s="45" t="e">
        <f>IF(CH$1,SUMIFS('BalSht Data'!$H$2:$H$2050,'BalSht Data'!$G$2:$G$2050,$A22,'BalSht Data'!$A$2:$A$2050,CH$1),#N/A)</f>
        <v>#N/A</v>
      </c>
      <c r="CI22" s="45" t="e">
        <f>IF(CI$1,SUMIFS('BalSht Data'!$H$2:$H$2050,'BalSht Data'!$G$2:$G$2050,$A22,'BalSht Data'!$A$2:$A$2050,CI$1),#N/A)</f>
        <v>#N/A</v>
      </c>
      <c r="CJ22" s="45" t="e">
        <f>IF(CJ$1,SUMIFS('BalSht Data'!$H$2:$H$2050,'BalSht Data'!$G$2:$G$2050,$A22,'BalSht Data'!$A$2:$A$2050,CJ$1),#N/A)</f>
        <v>#N/A</v>
      </c>
      <c r="CK22" s="45" t="e">
        <f>IF(CK$1,SUMIFS('BalSht Data'!$H$2:$H$2050,'BalSht Data'!$G$2:$G$2050,$A22,'BalSht Data'!$A$2:$A$2050,CK$1),#N/A)</f>
        <v>#N/A</v>
      </c>
      <c r="CL22" s="45" t="e">
        <f>IF(CL$1,SUMIFS('BalSht Data'!$H$2:$H$2050,'BalSht Data'!$G$2:$G$2050,$A22,'BalSht Data'!$A$2:$A$2050,CL$1),#N/A)</f>
        <v>#N/A</v>
      </c>
      <c r="CM22" s="45" t="e">
        <f>IF(CM$1,SUMIFS('BalSht Data'!$H$2:$H$2050,'BalSht Data'!$G$2:$G$2050,$A22,'BalSht Data'!$A$2:$A$2050,CM$1),#N/A)</f>
        <v>#N/A</v>
      </c>
      <c r="CN22" s="45" t="e">
        <f>IF(CN$1,SUMIFS('BalSht Data'!$H$2:$H$2050,'BalSht Data'!$G$2:$G$2050,$A22,'BalSht Data'!$A$2:$A$2050,CN$1),#N/A)</f>
        <v>#N/A</v>
      </c>
      <c r="CO22" s="45" t="e">
        <f>IF(CO$1,SUMIFS('BalSht Data'!$H$2:$H$2050,'BalSht Data'!$G$2:$G$2050,$A22,'BalSht Data'!$A$2:$A$2050,CO$1),#N/A)</f>
        <v>#N/A</v>
      </c>
      <c r="CP22" s="45" t="e">
        <f>IF(CP$1,SUMIFS('BalSht Data'!$H$2:$H$2050,'BalSht Data'!$G$2:$G$2050,$A22,'BalSht Data'!$A$2:$A$2050,CP$1),#N/A)</f>
        <v>#N/A</v>
      </c>
      <c r="CQ22" s="45" t="e">
        <f>IF(CQ$1,SUMIFS('BalSht Data'!$H$2:$H$2050,'BalSht Data'!$G$2:$G$2050,$A22,'BalSht Data'!$A$2:$A$2050,CQ$1),#N/A)</f>
        <v>#N/A</v>
      </c>
      <c r="CR22" s="45" t="e">
        <f>IF(CR$1,SUMIFS('BalSht Data'!$H$2:$H$2050,'BalSht Data'!$G$2:$G$2050,$A22,'BalSht Data'!$A$2:$A$2050,CR$1),#N/A)</f>
        <v>#N/A</v>
      </c>
      <c r="CS22" s="45" t="e">
        <f>IF(CS$1,SUMIFS('BalSht Data'!$H$2:$H$2050,'BalSht Data'!$G$2:$G$2050,$A22,'BalSht Data'!$A$2:$A$2050,CS$1),#N/A)</f>
        <v>#N/A</v>
      </c>
      <c r="CT22" s="45" t="e">
        <f>IF(CT$1,SUMIFS('BalSht Data'!$H$2:$H$2050,'BalSht Data'!$G$2:$G$2050,$A22,'BalSht Data'!$A$2:$A$2050,CT$1),#N/A)</f>
        <v>#N/A</v>
      </c>
      <c r="CU22" s="45" t="e">
        <f>IF(CU$1,SUMIFS('BalSht Data'!$H$2:$H$2050,'BalSht Data'!$G$2:$G$2050,$A22,'BalSht Data'!$A$2:$A$2050,CU$1),#N/A)</f>
        <v>#N/A</v>
      </c>
      <c r="CV22" s="45" t="e">
        <f>IF(CV$1,SUMIFS('BalSht Data'!$H$2:$H$2050,'BalSht Data'!$G$2:$G$2050,$A22,'BalSht Data'!$A$2:$A$2050,CV$1),#N/A)</f>
        <v>#N/A</v>
      </c>
      <c r="CW22" s="45" t="e">
        <f>IF(CW$1,SUMIFS('BalSht Data'!$H$2:$H$2050,'BalSht Data'!$G$2:$G$2050,$A22,'BalSht Data'!$A$2:$A$2050,CW$1),#N/A)</f>
        <v>#N/A</v>
      </c>
      <c r="CX22" s="45" t="e">
        <f>IF(CX$1,SUMIFS('BalSht Data'!$H$2:$H$2050,'BalSht Data'!$G$2:$G$2050,$A22,'BalSht Data'!$A$2:$A$2050,CX$1),#N/A)</f>
        <v>#N/A</v>
      </c>
      <c r="CY22" s="45" t="e">
        <f>IF(CY$1,SUMIFS('BalSht Data'!$H$2:$H$2050,'BalSht Data'!$G$2:$G$2050,$A22,'BalSht Data'!$A$2:$A$2050,CY$1),#N/A)</f>
        <v>#N/A</v>
      </c>
      <c r="CZ22" s="45" t="e">
        <f>IF(CZ$1,SUMIFS('BalSht Data'!$H$2:$H$2050,'BalSht Data'!$G$2:$G$2050,$A22,'BalSht Data'!$A$2:$A$2050,CZ$1),#N/A)</f>
        <v>#N/A</v>
      </c>
    </row>
    <row r="23" spans="1:104" s="42" customFormat="1" x14ac:dyDescent="0.2">
      <c r="A23" s="60" t="s">
        <v>26</v>
      </c>
      <c r="B23" s="45" t="e">
        <f>IF(B$1,SUMIFS('BalSht Data'!$H$2:$H$2050,'BalSht Data'!$G$2:$G$2050,$A23,'BalSht Data'!$A$2:$A$2050,B$1),#N/A)</f>
        <v>#N/A</v>
      </c>
      <c r="C23" s="45" t="e">
        <f>IF(C$1,SUMIFS('BalSht Data'!$H$2:$H$2050,'BalSht Data'!$G$2:$G$2050,$A23,'BalSht Data'!$A$2:$A$2050,C$1),#N/A)</f>
        <v>#N/A</v>
      </c>
      <c r="D23" s="45" t="e">
        <f>IF(D$1,SUMIFS('BalSht Data'!$H$2:$H$2050,'BalSht Data'!$G$2:$G$2050,$A23,'BalSht Data'!$A$2:$A$2050,D$1),#N/A)</f>
        <v>#N/A</v>
      </c>
      <c r="E23" s="45" t="e">
        <f>IF(E$1,SUMIFS('BalSht Data'!$H$2:$H$2050,'BalSht Data'!$G$2:$G$2050,$A23,'BalSht Data'!$A$2:$A$2050,E$1),#N/A)</f>
        <v>#N/A</v>
      </c>
      <c r="F23" s="45" t="e">
        <f>IF(F$1,SUMIFS('BalSht Data'!$H$2:$H$2050,'BalSht Data'!$G$2:$G$2050,$A23,'BalSht Data'!$A$2:$A$2050,F$1),#N/A)</f>
        <v>#N/A</v>
      </c>
      <c r="G23" s="45" t="e">
        <f>IF(G$1,SUMIFS('BalSht Data'!$H$2:$H$2050,'BalSht Data'!$G$2:$G$2050,$A23,'BalSht Data'!$A$2:$A$2050,G$1),#N/A)</f>
        <v>#N/A</v>
      </c>
      <c r="H23" s="45" t="e">
        <f>IF(H$1,SUMIFS('BalSht Data'!$H$2:$H$2050,'BalSht Data'!$G$2:$G$2050,$A23,'BalSht Data'!$A$2:$A$2050,H$1),#N/A)</f>
        <v>#N/A</v>
      </c>
      <c r="I23" s="45" t="e">
        <f>IF(I$1,SUMIFS('BalSht Data'!$H$2:$H$2050,'BalSht Data'!$G$2:$G$2050,$A23,'BalSht Data'!$A$2:$A$2050,I$1),#N/A)</f>
        <v>#N/A</v>
      </c>
      <c r="J23" s="45" t="e">
        <f>IF(J$1,SUMIFS('BalSht Data'!$H$2:$H$2050,'BalSht Data'!$G$2:$G$2050,$A23,'BalSht Data'!$A$2:$A$2050,J$1),#N/A)</f>
        <v>#N/A</v>
      </c>
      <c r="K23" s="45" t="e">
        <f>IF(K$1,SUMIFS('BalSht Data'!$H$2:$H$2050,'BalSht Data'!$G$2:$G$2050,$A23,'BalSht Data'!$A$2:$A$2050,K$1),#N/A)</f>
        <v>#N/A</v>
      </c>
      <c r="L23" s="45" t="e">
        <f>IF(L$1,SUMIFS('BalSht Data'!$H$2:$H$2050,'BalSht Data'!$G$2:$G$2050,$A23,'BalSht Data'!$A$2:$A$2050,L$1),#N/A)</f>
        <v>#N/A</v>
      </c>
      <c r="M23" s="45" t="e">
        <f>IF(M$1,SUMIFS('BalSht Data'!$H$2:$H$2050,'BalSht Data'!$G$2:$G$2050,$A23,'BalSht Data'!$A$2:$A$2050,M$1),#N/A)</f>
        <v>#N/A</v>
      </c>
      <c r="N23" s="45" t="e">
        <f>IF(N$1,SUMIFS('BalSht Data'!$H$2:$H$2050,'BalSht Data'!$G$2:$G$2050,$A23,'BalSht Data'!$A$2:$A$2050,N$1),#N/A)</f>
        <v>#N/A</v>
      </c>
      <c r="O23" s="45" t="e">
        <f>IF(O$1,SUMIFS('BalSht Data'!$H$2:$H$2050,'BalSht Data'!$G$2:$G$2050,$A23,'BalSht Data'!$A$2:$A$2050,O$1),#N/A)</f>
        <v>#N/A</v>
      </c>
      <c r="P23" s="45" t="e">
        <f>IF(P$1,SUMIFS('BalSht Data'!$H$2:$H$2050,'BalSht Data'!$G$2:$G$2050,$A23,'BalSht Data'!$A$2:$A$2050,P$1),#N/A)</f>
        <v>#N/A</v>
      </c>
      <c r="Q23" s="45" t="e">
        <f>IF(Q$1,SUMIFS('BalSht Data'!$H$2:$H$2050,'BalSht Data'!$G$2:$G$2050,$A23,'BalSht Data'!$A$2:$A$2050,Q$1),#N/A)</f>
        <v>#N/A</v>
      </c>
      <c r="R23" s="45" t="e">
        <f>IF(R$1,SUMIFS('BalSht Data'!$H$2:$H$2050,'BalSht Data'!$G$2:$G$2050,$A23,'BalSht Data'!$A$2:$A$2050,R$1),#N/A)</f>
        <v>#N/A</v>
      </c>
      <c r="S23" s="45" t="e">
        <f>IF(S$1,SUMIFS('BalSht Data'!$H$2:$H$2050,'BalSht Data'!$G$2:$G$2050,$A23,'BalSht Data'!$A$2:$A$2050,S$1),#N/A)</f>
        <v>#N/A</v>
      </c>
      <c r="T23" s="45" t="e">
        <f>IF(T$1,SUMIFS('BalSht Data'!$H$2:$H$2050,'BalSht Data'!$G$2:$G$2050,$A23,'BalSht Data'!$A$2:$A$2050,T$1),#N/A)</f>
        <v>#N/A</v>
      </c>
      <c r="U23" s="45" t="e">
        <f>IF(U$1,SUMIFS('BalSht Data'!$H$2:$H$2050,'BalSht Data'!$G$2:$G$2050,$A23,'BalSht Data'!$A$2:$A$2050,U$1),#N/A)</f>
        <v>#N/A</v>
      </c>
      <c r="V23" s="45" t="e">
        <f>IF(V$1,SUMIFS('BalSht Data'!$H$2:$H$2050,'BalSht Data'!$G$2:$G$2050,$A23,'BalSht Data'!$A$2:$A$2050,V$1),#N/A)</f>
        <v>#N/A</v>
      </c>
      <c r="W23" s="45" t="e">
        <f>IF(W$1,SUMIFS('BalSht Data'!$H$2:$H$2050,'BalSht Data'!$G$2:$G$2050,$A23,'BalSht Data'!$A$2:$A$2050,W$1),#N/A)</f>
        <v>#N/A</v>
      </c>
      <c r="X23" s="45" t="e">
        <f>IF(X$1,SUMIFS('BalSht Data'!$H$2:$H$2050,'BalSht Data'!$G$2:$G$2050,$A23,'BalSht Data'!$A$2:$A$2050,X$1),#N/A)</f>
        <v>#N/A</v>
      </c>
      <c r="Y23" s="45" t="e">
        <f>IF(Y$1,SUMIFS('BalSht Data'!$H$2:$H$2050,'BalSht Data'!$G$2:$G$2050,$A23,'BalSht Data'!$A$2:$A$2050,Y$1),#N/A)</f>
        <v>#N/A</v>
      </c>
      <c r="Z23" s="45" t="e">
        <f>IF(Z$1,SUMIFS('BalSht Data'!$H$2:$H$2050,'BalSht Data'!$G$2:$G$2050,$A23,'BalSht Data'!$A$2:$A$2050,Z$1),#N/A)</f>
        <v>#N/A</v>
      </c>
      <c r="AA23" s="45" t="e">
        <f>IF(AA$1,SUMIFS('BalSht Data'!$H$2:$H$2050,'BalSht Data'!$G$2:$G$2050,$A23,'BalSht Data'!$A$2:$A$2050,AA$1),#N/A)</f>
        <v>#N/A</v>
      </c>
      <c r="AB23" s="45" t="e">
        <f>IF(AB$1,SUMIFS('BalSht Data'!$H$2:$H$2050,'BalSht Data'!$G$2:$G$2050,$A23,'BalSht Data'!$A$2:$A$2050,AB$1),#N/A)</f>
        <v>#N/A</v>
      </c>
      <c r="AC23" s="45" t="e">
        <f>IF(AC$1,SUMIFS('BalSht Data'!$H$2:$H$2050,'BalSht Data'!$G$2:$G$2050,$A23,'BalSht Data'!$A$2:$A$2050,AC$1),#N/A)</f>
        <v>#N/A</v>
      </c>
      <c r="AD23" s="45" t="e">
        <f>IF(AD$1,SUMIFS('BalSht Data'!$H$2:$H$2050,'BalSht Data'!$G$2:$G$2050,$A23,'BalSht Data'!$A$2:$A$2050,AD$1),#N/A)</f>
        <v>#N/A</v>
      </c>
      <c r="AE23" s="45" t="e">
        <f>IF(AE$1,SUMIFS('BalSht Data'!$H$2:$H$2050,'BalSht Data'!$G$2:$G$2050,$A23,'BalSht Data'!$A$2:$A$2050,AE$1),#N/A)</f>
        <v>#N/A</v>
      </c>
      <c r="AF23" s="45" t="e">
        <f>IF(AF$1,SUMIFS('BalSht Data'!$H$2:$H$2050,'BalSht Data'!$G$2:$G$2050,$A23,'BalSht Data'!$A$2:$A$2050,AF$1),#N/A)</f>
        <v>#N/A</v>
      </c>
      <c r="AG23" s="45" t="e">
        <f>IF(AG$1,SUMIFS('BalSht Data'!$H$2:$H$2050,'BalSht Data'!$G$2:$G$2050,$A23,'BalSht Data'!$A$2:$A$2050,AG$1),#N/A)</f>
        <v>#N/A</v>
      </c>
      <c r="AH23" s="45" t="e">
        <f>IF(AH$1,SUMIFS('BalSht Data'!$H$2:$H$2050,'BalSht Data'!$G$2:$G$2050,$A23,'BalSht Data'!$A$2:$A$2050,AH$1),#N/A)</f>
        <v>#N/A</v>
      </c>
      <c r="AI23" s="45" t="e">
        <f>IF(AI$1,SUMIFS('BalSht Data'!$H$2:$H$2050,'BalSht Data'!$G$2:$G$2050,$A23,'BalSht Data'!$A$2:$A$2050,AI$1),#N/A)</f>
        <v>#N/A</v>
      </c>
      <c r="AJ23" s="45" t="e">
        <f>IF(AJ$1,SUMIFS('BalSht Data'!$H$2:$H$2050,'BalSht Data'!$G$2:$G$2050,$A23,'BalSht Data'!$A$2:$A$2050,AJ$1),#N/A)</f>
        <v>#N/A</v>
      </c>
      <c r="AK23" s="45" t="e">
        <f>IF(AK$1,SUMIFS('BalSht Data'!$H$2:$H$2050,'BalSht Data'!$G$2:$G$2050,$A23,'BalSht Data'!$A$2:$A$2050,AK$1),#N/A)</f>
        <v>#N/A</v>
      </c>
      <c r="AL23" s="45" t="e">
        <f>IF(AL$1,SUMIFS('BalSht Data'!$H$2:$H$2050,'BalSht Data'!$G$2:$G$2050,$A23,'BalSht Data'!$A$2:$A$2050,AL$1),#N/A)</f>
        <v>#N/A</v>
      </c>
      <c r="AM23" s="45" t="e">
        <f>IF(AM$1,SUMIFS('BalSht Data'!$H$2:$H$2050,'BalSht Data'!$G$2:$G$2050,$A23,'BalSht Data'!$A$2:$A$2050,AM$1),#N/A)</f>
        <v>#N/A</v>
      </c>
      <c r="AN23" s="45" t="e">
        <f>IF(AN$1,SUMIFS('BalSht Data'!$H$2:$H$2050,'BalSht Data'!$G$2:$G$2050,$A23,'BalSht Data'!$A$2:$A$2050,AN$1),#N/A)</f>
        <v>#N/A</v>
      </c>
      <c r="AO23" s="45" t="e">
        <f>IF(AO$1,SUMIFS('BalSht Data'!$H$2:$H$2050,'BalSht Data'!$G$2:$G$2050,$A23,'BalSht Data'!$A$2:$A$2050,AO$1),#N/A)</f>
        <v>#N/A</v>
      </c>
      <c r="AP23" s="45" t="e">
        <f>IF(AP$1,SUMIFS('BalSht Data'!$H$2:$H$2050,'BalSht Data'!$G$2:$G$2050,$A23,'BalSht Data'!$A$2:$A$2050,AP$1),#N/A)</f>
        <v>#N/A</v>
      </c>
      <c r="AQ23" s="45" t="e">
        <f>IF(AQ$1,SUMIFS('BalSht Data'!$H$2:$H$2050,'BalSht Data'!$G$2:$G$2050,$A23,'BalSht Data'!$A$2:$A$2050,AQ$1),#N/A)</f>
        <v>#N/A</v>
      </c>
      <c r="AR23" s="45" t="e">
        <f>IF(AR$1,SUMIFS('BalSht Data'!$H$2:$H$2050,'BalSht Data'!$G$2:$G$2050,$A23,'BalSht Data'!$A$2:$A$2050,AR$1),#N/A)</f>
        <v>#N/A</v>
      </c>
      <c r="AS23" s="45" t="e">
        <f>IF(AS$1,SUMIFS('BalSht Data'!$H$2:$H$2050,'BalSht Data'!$G$2:$G$2050,$A23,'BalSht Data'!$A$2:$A$2050,AS$1),#N/A)</f>
        <v>#N/A</v>
      </c>
      <c r="AT23" s="45" t="e">
        <f>IF(AT$1,SUMIFS('BalSht Data'!$H$2:$H$2050,'BalSht Data'!$G$2:$G$2050,$A23,'BalSht Data'!$A$2:$A$2050,AT$1),#N/A)</f>
        <v>#N/A</v>
      </c>
      <c r="AU23" s="45" t="e">
        <f>IF(AU$1,SUMIFS('BalSht Data'!$H$2:$H$2050,'BalSht Data'!$G$2:$G$2050,$A23,'BalSht Data'!$A$2:$A$2050,AU$1),#N/A)</f>
        <v>#N/A</v>
      </c>
      <c r="AV23" s="45" t="e">
        <f>IF(AV$1,SUMIFS('BalSht Data'!$H$2:$H$2050,'BalSht Data'!$G$2:$G$2050,$A23,'BalSht Data'!$A$2:$A$2050,AV$1),#N/A)</f>
        <v>#N/A</v>
      </c>
      <c r="AW23" s="45" t="e">
        <f>IF(AW$1,SUMIFS('BalSht Data'!$H$2:$H$2050,'BalSht Data'!$G$2:$G$2050,$A23,'BalSht Data'!$A$2:$A$2050,AW$1),#N/A)</f>
        <v>#N/A</v>
      </c>
      <c r="AX23" s="45" t="e">
        <f>IF(AX$1,SUMIFS('BalSht Data'!$H$2:$H$2050,'BalSht Data'!$G$2:$G$2050,$A23,'BalSht Data'!$A$2:$A$2050,AX$1),#N/A)</f>
        <v>#N/A</v>
      </c>
      <c r="AY23" s="45" t="e">
        <f>IF(AY$1,SUMIFS('BalSht Data'!$H$2:$H$2050,'BalSht Data'!$G$2:$G$2050,$A23,'BalSht Data'!$A$2:$A$2050,AY$1),#N/A)</f>
        <v>#N/A</v>
      </c>
      <c r="AZ23" s="45" t="e">
        <f>IF(AZ$1,SUMIFS('BalSht Data'!$H$2:$H$2050,'BalSht Data'!$G$2:$G$2050,$A23,'BalSht Data'!$A$2:$A$2050,AZ$1),#N/A)</f>
        <v>#N/A</v>
      </c>
      <c r="BA23" s="45" t="e">
        <f>IF(BA$1,SUMIFS('BalSht Data'!$H$2:$H$2050,'BalSht Data'!$G$2:$G$2050,$A23,'BalSht Data'!$A$2:$A$2050,BA$1),#N/A)</f>
        <v>#N/A</v>
      </c>
      <c r="BB23" s="45" t="e">
        <f>IF(BB$1,SUMIFS('BalSht Data'!$H$2:$H$2050,'BalSht Data'!$G$2:$G$2050,$A23,'BalSht Data'!$A$2:$A$2050,BB$1),#N/A)</f>
        <v>#N/A</v>
      </c>
      <c r="BC23" s="45" t="e">
        <f>IF(BC$1,SUMIFS('BalSht Data'!$H$2:$H$2050,'BalSht Data'!$G$2:$G$2050,$A23,'BalSht Data'!$A$2:$A$2050,BC$1),#N/A)</f>
        <v>#N/A</v>
      </c>
      <c r="BD23" s="45" t="e">
        <f>IF(BD$1,SUMIFS('BalSht Data'!$H$2:$H$2050,'BalSht Data'!$G$2:$G$2050,$A23,'BalSht Data'!$A$2:$A$2050,BD$1),#N/A)</f>
        <v>#N/A</v>
      </c>
      <c r="BE23" s="45" t="e">
        <f>IF(BE$1,SUMIFS('BalSht Data'!$H$2:$H$2050,'BalSht Data'!$G$2:$G$2050,$A23,'BalSht Data'!$A$2:$A$2050,BE$1),#N/A)</f>
        <v>#N/A</v>
      </c>
      <c r="BF23" s="45" t="e">
        <f>IF(BF$1,SUMIFS('BalSht Data'!$H$2:$H$2050,'BalSht Data'!$G$2:$G$2050,$A23,'BalSht Data'!$A$2:$A$2050,BF$1),#N/A)</f>
        <v>#N/A</v>
      </c>
      <c r="BG23" s="45" t="e">
        <f>IF(BG$1,SUMIFS('BalSht Data'!$H$2:$H$2050,'BalSht Data'!$G$2:$G$2050,$A23,'BalSht Data'!$A$2:$A$2050,BG$1),#N/A)</f>
        <v>#N/A</v>
      </c>
      <c r="BH23" s="45" t="e">
        <f>IF(BH$1,SUMIFS('BalSht Data'!$H$2:$H$2050,'BalSht Data'!$G$2:$G$2050,$A23,'BalSht Data'!$A$2:$A$2050,BH$1),#N/A)</f>
        <v>#N/A</v>
      </c>
      <c r="BI23" s="45" t="e">
        <f>IF(BI$1,SUMIFS('BalSht Data'!$H$2:$H$2050,'BalSht Data'!$G$2:$G$2050,$A23,'BalSht Data'!$A$2:$A$2050,BI$1),#N/A)</f>
        <v>#N/A</v>
      </c>
      <c r="BJ23" s="45" t="e">
        <f>IF(BJ$1,SUMIFS('BalSht Data'!$H$2:$H$2050,'BalSht Data'!$G$2:$G$2050,$A23,'BalSht Data'!$A$2:$A$2050,BJ$1),#N/A)</f>
        <v>#N/A</v>
      </c>
      <c r="BK23" s="45" t="e">
        <f>IF(BK$1,SUMIFS('BalSht Data'!$H$2:$H$2050,'BalSht Data'!$G$2:$G$2050,$A23,'BalSht Data'!$A$2:$A$2050,BK$1),#N/A)</f>
        <v>#N/A</v>
      </c>
      <c r="BL23" s="45" t="e">
        <f>IF(BL$1,SUMIFS('BalSht Data'!$H$2:$H$2050,'BalSht Data'!$G$2:$G$2050,$A23,'BalSht Data'!$A$2:$A$2050,BL$1),#N/A)</f>
        <v>#N/A</v>
      </c>
      <c r="BM23" s="45" t="e">
        <f>IF(BM$1,SUMIFS('BalSht Data'!$H$2:$H$2050,'BalSht Data'!$G$2:$G$2050,$A23,'BalSht Data'!$A$2:$A$2050,BM$1),#N/A)</f>
        <v>#N/A</v>
      </c>
      <c r="BN23" s="45" t="e">
        <f>IF(BN$1,SUMIFS('BalSht Data'!$H$2:$H$2050,'BalSht Data'!$G$2:$G$2050,$A23,'BalSht Data'!$A$2:$A$2050,BN$1),#N/A)</f>
        <v>#N/A</v>
      </c>
      <c r="BO23" s="45" t="e">
        <f>IF(BO$1,SUMIFS('BalSht Data'!$H$2:$H$2050,'BalSht Data'!$G$2:$G$2050,$A23,'BalSht Data'!$A$2:$A$2050,BO$1),#N/A)</f>
        <v>#N/A</v>
      </c>
      <c r="BP23" s="45" t="e">
        <f>IF(BP$1,SUMIFS('BalSht Data'!$H$2:$H$2050,'BalSht Data'!$G$2:$G$2050,$A23,'BalSht Data'!$A$2:$A$2050,BP$1),#N/A)</f>
        <v>#N/A</v>
      </c>
      <c r="BQ23" s="45" t="e">
        <f>IF(BQ$1,SUMIFS('BalSht Data'!$H$2:$H$2050,'BalSht Data'!$G$2:$G$2050,$A23,'BalSht Data'!$A$2:$A$2050,BQ$1),#N/A)</f>
        <v>#N/A</v>
      </c>
      <c r="BR23" s="45" t="e">
        <f>IF(BR$1,SUMIFS('BalSht Data'!$H$2:$H$2050,'BalSht Data'!$G$2:$G$2050,$A23,'BalSht Data'!$A$2:$A$2050,BR$1),#N/A)</f>
        <v>#N/A</v>
      </c>
      <c r="BS23" s="45" t="e">
        <f>IF(BS$1,SUMIFS('BalSht Data'!$H$2:$H$2050,'BalSht Data'!$G$2:$G$2050,$A23,'BalSht Data'!$A$2:$A$2050,BS$1),#N/A)</f>
        <v>#N/A</v>
      </c>
      <c r="BT23" s="45" t="e">
        <f>IF(BT$1,SUMIFS('BalSht Data'!$H$2:$H$2050,'BalSht Data'!$G$2:$G$2050,$A23,'BalSht Data'!$A$2:$A$2050,BT$1),#N/A)</f>
        <v>#N/A</v>
      </c>
      <c r="BU23" s="45" t="e">
        <f>IF(BU$1,SUMIFS('BalSht Data'!$H$2:$H$2050,'BalSht Data'!$G$2:$G$2050,$A23,'BalSht Data'!$A$2:$A$2050,BU$1),#N/A)</f>
        <v>#N/A</v>
      </c>
      <c r="BV23" s="45" t="e">
        <f>IF(BV$1,SUMIFS('BalSht Data'!$H$2:$H$2050,'BalSht Data'!$G$2:$G$2050,$A23,'BalSht Data'!$A$2:$A$2050,BV$1),#N/A)</f>
        <v>#N/A</v>
      </c>
      <c r="BW23" s="45" t="e">
        <f>IF(BW$1,SUMIFS('BalSht Data'!$H$2:$H$2050,'BalSht Data'!$G$2:$G$2050,$A23,'BalSht Data'!$A$2:$A$2050,BW$1),#N/A)</f>
        <v>#N/A</v>
      </c>
      <c r="BX23" s="45" t="e">
        <f>IF(BX$1,SUMIFS('BalSht Data'!$H$2:$H$2050,'BalSht Data'!$G$2:$G$2050,$A23,'BalSht Data'!$A$2:$A$2050,BX$1),#N/A)</f>
        <v>#N/A</v>
      </c>
      <c r="BY23" s="45" t="e">
        <f>IF(BY$1,SUMIFS('BalSht Data'!$H$2:$H$2050,'BalSht Data'!$G$2:$G$2050,$A23,'BalSht Data'!$A$2:$A$2050,BY$1),#N/A)</f>
        <v>#N/A</v>
      </c>
      <c r="BZ23" s="45" t="e">
        <f>IF(BZ$1,SUMIFS('BalSht Data'!$H$2:$H$2050,'BalSht Data'!$G$2:$G$2050,$A23,'BalSht Data'!$A$2:$A$2050,BZ$1),#N/A)</f>
        <v>#N/A</v>
      </c>
      <c r="CA23" s="45" t="e">
        <f>IF(CA$1,SUMIFS('BalSht Data'!$H$2:$H$2050,'BalSht Data'!$G$2:$G$2050,$A23,'BalSht Data'!$A$2:$A$2050,CA$1),#N/A)</f>
        <v>#N/A</v>
      </c>
      <c r="CB23" s="45" t="e">
        <f>IF(CB$1,SUMIFS('BalSht Data'!$H$2:$H$2050,'BalSht Data'!$G$2:$G$2050,$A23,'BalSht Data'!$A$2:$A$2050,CB$1),#N/A)</f>
        <v>#N/A</v>
      </c>
      <c r="CC23" s="45" t="e">
        <f>IF(CC$1,SUMIFS('BalSht Data'!$H$2:$H$2050,'BalSht Data'!$G$2:$G$2050,$A23,'BalSht Data'!$A$2:$A$2050,CC$1),#N/A)</f>
        <v>#N/A</v>
      </c>
      <c r="CD23" s="45" t="e">
        <f>IF(CD$1,SUMIFS('BalSht Data'!$H$2:$H$2050,'BalSht Data'!$G$2:$G$2050,$A23,'BalSht Data'!$A$2:$A$2050,CD$1),#N/A)</f>
        <v>#N/A</v>
      </c>
      <c r="CE23" s="45" t="e">
        <f>IF(CE$1,SUMIFS('BalSht Data'!$H$2:$H$2050,'BalSht Data'!$G$2:$G$2050,$A23,'BalSht Data'!$A$2:$A$2050,CE$1),#N/A)</f>
        <v>#N/A</v>
      </c>
      <c r="CF23" s="45" t="e">
        <f>IF(CF$1,SUMIFS('BalSht Data'!$H$2:$H$2050,'BalSht Data'!$G$2:$G$2050,$A23,'BalSht Data'!$A$2:$A$2050,CF$1),#N/A)</f>
        <v>#N/A</v>
      </c>
      <c r="CG23" s="45" t="e">
        <f>IF(CG$1,SUMIFS('BalSht Data'!$H$2:$H$2050,'BalSht Data'!$G$2:$G$2050,$A23,'BalSht Data'!$A$2:$A$2050,CG$1),#N/A)</f>
        <v>#N/A</v>
      </c>
      <c r="CH23" s="45" t="e">
        <f>IF(CH$1,SUMIFS('BalSht Data'!$H$2:$H$2050,'BalSht Data'!$G$2:$G$2050,$A23,'BalSht Data'!$A$2:$A$2050,CH$1),#N/A)</f>
        <v>#N/A</v>
      </c>
      <c r="CI23" s="45" t="e">
        <f>IF(CI$1,SUMIFS('BalSht Data'!$H$2:$H$2050,'BalSht Data'!$G$2:$G$2050,$A23,'BalSht Data'!$A$2:$A$2050,CI$1),#N/A)</f>
        <v>#N/A</v>
      </c>
      <c r="CJ23" s="45" t="e">
        <f>IF(CJ$1,SUMIFS('BalSht Data'!$H$2:$H$2050,'BalSht Data'!$G$2:$G$2050,$A23,'BalSht Data'!$A$2:$A$2050,CJ$1),#N/A)</f>
        <v>#N/A</v>
      </c>
      <c r="CK23" s="45" t="e">
        <f>IF(CK$1,SUMIFS('BalSht Data'!$H$2:$H$2050,'BalSht Data'!$G$2:$G$2050,$A23,'BalSht Data'!$A$2:$A$2050,CK$1),#N/A)</f>
        <v>#N/A</v>
      </c>
      <c r="CL23" s="45" t="e">
        <f>IF(CL$1,SUMIFS('BalSht Data'!$H$2:$H$2050,'BalSht Data'!$G$2:$G$2050,$A23,'BalSht Data'!$A$2:$A$2050,CL$1),#N/A)</f>
        <v>#N/A</v>
      </c>
      <c r="CM23" s="45" t="e">
        <f>IF(CM$1,SUMIFS('BalSht Data'!$H$2:$H$2050,'BalSht Data'!$G$2:$G$2050,$A23,'BalSht Data'!$A$2:$A$2050,CM$1),#N/A)</f>
        <v>#N/A</v>
      </c>
      <c r="CN23" s="45" t="e">
        <f>IF(CN$1,SUMIFS('BalSht Data'!$H$2:$H$2050,'BalSht Data'!$G$2:$G$2050,$A23,'BalSht Data'!$A$2:$A$2050,CN$1),#N/A)</f>
        <v>#N/A</v>
      </c>
      <c r="CO23" s="45" t="e">
        <f>IF(CO$1,SUMIFS('BalSht Data'!$H$2:$H$2050,'BalSht Data'!$G$2:$G$2050,$A23,'BalSht Data'!$A$2:$A$2050,CO$1),#N/A)</f>
        <v>#N/A</v>
      </c>
      <c r="CP23" s="45" t="e">
        <f>IF(CP$1,SUMIFS('BalSht Data'!$H$2:$H$2050,'BalSht Data'!$G$2:$G$2050,$A23,'BalSht Data'!$A$2:$A$2050,CP$1),#N/A)</f>
        <v>#N/A</v>
      </c>
      <c r="CQ23" s="45" t="e">
        <f>IF(CQ$1,SUMIFS('BalSht Data'!$H$2:$H$2050,'BalSht Data'!$G$2:$G$2050,$A23,'BalSht Data'!$A$2:$A$2050,CQ$1),#N/A)</f>
        <v>#N/A</v>
      </c>
      <c r="CR23" s="45" t="e">
        <f>IF(CR$1,SUMIFS('BalSht Data'!$H$2:$H$2050,'BalSht Data'!$G$2:$G$2050,$A23,'BalSht Data'!$A$2:$A$2050,CR$1),#N/A)</f>
        <v>#N/A</v>
      </c>
      <c r="CS23" s="45" t="e">
        <f>IF(CS$1,SUMIFS('BalSht Data'!$H$2:$H$2050,'BalSht Data'!$G$2:$G$2050,$A23,'BalSht Data'!$A$2:$A$2050,CS$1),#N/A)</f>
        <v>#N/A</v>
      </c>
      <c r="CT23" s="45" t="e">
        <f>IF(CT$1,SUMIFS('BalSht Data'!$H$2:$H$2050,'BalSht Data'!$G$2:$G$2050,$A23,'BalSht Data'!$A$2:$A$2050,CT$1),#N/A)</f>
        <v>#N/A</v>
      </c>
      <c r="CU23" s="45" t="e">
        <f>IF(CU$1,SUMIFS('BalSht Data'!$H$2:$H$2050,'BalSht Data'!$G$2:$G$2050,$A23,'BalSht Data'!$A$2:$A$2050,CU$1),#N/A)</f>
        <v>#N/A</v>
      </c>
      <c r="CV23" s="45" t="e">
        <f>IF(CV$1,SUMIFS('BalSht Data'!$H$2:$H$2050,'BalSht Data'!$G$2:$G$2050,$A23,'BalSht Data'!$A$2:$A$2050,CV$1),#N/A)</f>
        <v>#N/A</v>
      </c>
      <c r="CW23" s="45" t="e">
        <f>IF(CW$1,SUMIFS('BalSht Data'!$H$2:$H$2050,'BalSht Data'!$G$2:$G$2050,$A23,'BalSht Data'!$A$2:$A$2050,CW$1),#N/A)</f>
        <v>#N/A</v>
      </c>
      <c r="CX23" s="45" t="e">
        <f>IF(CX$1,SUMIFS('BalSht Data'!$H$2:$H$2050,'BalSht Data'!$G$2:$G$2050,$A23,'BalSht Data'!$A$2:$A$2050,CX$1),#N/A)</f>
        <v>#N/A</v>
      </c>
      <c r="CY23" s="45" t="e">
        <f>IF(CY$1,SUMIFS('BalSht Data'!$H$2:$H$2050,'BalSht Data'!$G$2:$G$2050,$A23,'BalSht Data'!$A$2:$A$2050,CY$1),#N/A)</f>
        <v>#N/A</v>
      </c>
      <c r="CZ23" s="45" t="e">
        <f>IF(CZ$1,SUMIFS('BalSht Data'!$H$2:$H$2050,'BalSht Data'!$G$2:$G$2050,$A23,'BalSht Data'!$A$2:$A$2050,CZ$1),#N/A)</f>
        <v>#N/A</v>
      </c>
    </row>
    <row r="24" spans="1:104" s="42" customFormat="1" x14ac:dyDescent="0.2">
      <c r="A24" s="56" t="s">
        <v>23</v>
      </c>
      <c r="B24" s="45" t="e">
        <f>IF(B$1,SUMIFS('BalSht Data'!$H$2:$H$2050,'BalSht Data'!$G$2:$G$2050,$A24,'BalSht Data'!$A$2:$A$2050,B$1),#N/A)</f>
        <v>#N/A</v>
      </c>
      <c r="C24" s="45" t="e">
        <f>IF(C$1,SUMIFS('BalSht Data'!$H$2:$H$2050,'BalSht Data'!$G$2:$G$2050,$A24,'BalSht Data'!$A$2:$A$2050,C$1),#N/A)</f>
        <v>#N/A</v>
      </c>
      <c r="D24" s="45" t="e">
        <f>IF(D$1,SUMIFS('BalSht Data'!$H$2:$H$2050,'BalSht Data'!$G$2:$G$2050,$A24,'BalSht Data'!$A$2:$A$2050,D$1),#N/A)</f>
        <v>#N/A</v>
      </c>
      <c r="E24" s="45" t="e">
        <f>IF(E$1,SUMIFS('BalSht Data'!$H$2:$H$2050,'BalSht Data'!$G$2:$G$2050,$A24,'BalSht Data'!$A$2:$A$2050,E$1),#N/A)</f>
        <v>#N/A</v>
      </c>
      <c r="F24" s="45" t="e">
        <f>IF(F$1,SUMIFS('BalSht Data'!$H$2:$H$2050,'BalSht Data'!$G$2:$G$2050,$A24,'BalSht Data'!$A$2:$A$2050,F$1),#N/A)</f>
        <v>#N/A</v>
      </c>
      <c r="G24" s="45" t="e">
        <f>IF(G$1,SUMIFS('BalSht Data'!$H$2:$H$2050,'BalSht Data'!$G$2:$G$2050,$A24,'BalSht Data'!$A$2:$A$2050,G$1),#N/A)</f>
        <v>#N/A</v>
      </c>
      <c r="H24" s="45" t="e">
        <f>IF(H$1,SUMIFS('BalSht Data'!$H$2:$H$2050,'BalSht Data'!$G$2:$G$2050,$A24,'BalSht Data'!$A$2:$A$2050,H$1),#N/A)</f>
        <v>#N/A</v>
      </c>
      <c r="I24" s="45" t="e">
        <f>IF(I$1,SUMIFS('BalSht Data'!$H$2:$H$2050,'BalSht Data'!$G$2:$G$2050,$A24,'BalSht Data'!$A$2:$A$2050,I$1),#N/A)</f>
        <v>#N/A</v>
      </c>
      <c r="J24" s="45" t="e">
        <f>IF(J$1,SUMIFS('BalSht Data'!$H$2:$H$2050,'BalSht Data'!$G$2:$G$2050,$A24,'BalSht Data'!$A$2:$A$2050,J$1),#N/A)</f>
        <v>#N/A</v>
      </c>
      <c r="K24" s="45" t="e">
        <f>IF(K$1,SUMIFS('BalSht Data'!$H$2:$H$2050,'BalSht Data'!$G$2:$G$2050,$A24,'BalSht Data'!$A$2:$A$2050,K$1),#N/A)</f>
        <v>#N/A</v>
      </c>
      <c r="L24" s="45" t="e">
        <f>IF(L$1,SUMIFS('BalSht Data'!$H$2:$H$2050,'BalSht Data'!$G$2:$G$2050,$A24,'BalSht Data'!$A$2:$A$2050,L$1),#N/A)</f>
        <v>#N/A</v>
      </c>
      <c r="M24" s="45" t="e">
        <f>IF(M$1,SUMIFS('BalSht Data'!$H$2:$H$2050,'BalSht Data'!$G$2:$G$2050,$A24,'BalSht Data'!$A$2:$A$2050,M$1),#N/A)</f>
        <v>#N/A</v>
      </c>
      <c r="N24" s="45" t="e">
        <f>IF(N$1,SUMIFS('BalSht Data'!$H$2:$H$2050,'BalSht Data'!$G$2:$G$2050,$A24,'BalSht Data'!$A$2:$A$2050,N$1),#N/A)</f>
        <v>#N/A</v>
      </c>
      <c r="O24" s="45" t="e">
        <f>IF(O$1,SUMIFS('BalSht Data'!$H$2:$H$2050,'BalSht Data'!$G$2:$G$2050,$A24,'BalSht Data'!$A$2:$A$2050,O$1),#N/A)</f>
        <v>#N/A</v>
      </c>
      <c r="P24" s="45" t="e">
        <f>IF(P$1,SUMIFS('BalSht Data'!$H$2:$H$2050,'BalSht Data'!$G$2:$G$2050,$A24,'BalSht Data'!$A$2:$A$2050,P$1),#N/A)</f>
        <v>#N/A</v>
      </c>
      <c r="Q24" s="45" t="e">
        <f>IF(Q$1,SUMIFS('BalSht Data'!$H$2:$H$2050,'BalSht Data'!$G$2:$G$2050,$A24,'BalSht Data'!$A$2:$A$2050,Q$1),#N/A)</f>
        <v>#N/A</v>
      </c>
      <c r="R24" s="45" t="e">
        <f>IF(R$1,SUMIFS('BalSht Data'!$H$2:$H$2050,'BalSht Data'!$G$2:$G$2050,$A24,'BalSht Data'!$A$2:$A$2050,R$1),#N/A)</f>
        <v>#N/A</v>
      </c>
      <c r="S24" s="45" t="e">
        <f>IF(S$1,SUMIFS('BalSht Data'!$H$2:$H$2050,'BalSht Data'!$G$2:$G$2050,$A24,'BalSht Data'!$A$2:$A$2050,S$1),#N/A)</f>
        <v>#N/A</v>
      </c>
      <c r="T24" s="45" t="e">
        <f>IF(T$1,SUMIFS('BalSht Data'!$H$2:$H$2050,'BalSht Data'!$G$2:$G$2050,$A24,'BalSht Data'!$A$2:$A$2050,T$1),#N/A)</f>
        <v>#N/A</v>
      </c>
      <c r="U24" s="45" t="e">
        <f>IF(U$1,SUMIFS('BalSht Data'!$H$2:$H$2050,'BalSht Data'!$G$2:$G$2050,$A24,'BalSht Data'!$A$2:$A$2050,U$1),#N/A)</f>
        <v>#N/A</v>
      </c>
      <c r="V24" s="45" t="e">
        <f>IF(V$1,SUMIFS('BalSht Data'!$H$2:$H$2050,'BalSht Data'!$G$2:$G$2050,$A24,'BalSht Data'!$A$2:$A$2050,V$1),#N/A)</f>
        <v>#N/A</v>
      </c>
      <c r="W24" s="45" t="e">
        <f>IF(W$1,SUMIFS('BalSht Data'!$H$2:$H$2050,'BalSht Data'!$G$2:$G$2050,$A24,'BalSht Data'!$A$2:$A$2050,W$1),#N/A)</f>
        <v>#N/A</v>
      </c>
      <c r="X24" s="45" t="e">
        <f>IF(X$1,SUMIFS('BalSht Data'!$H$2:$H$2050,'BalSht Data'!$G$2:$G$2050,$A24,'BalSht Data'!$A$2:$A$2050,X$1),#N/A)</f>
        <v>#N/A</v>
      </c>
      <c r="Y24" s="45" t="e">
        <f>IF(Y$1,SUMIFS('BalSht Data'!$H$2:$H$2050,'BalSht Data'!$G$2:$G$2050,$A24,'BalSht Data'!$A$2:$A$2050,Y$1),#N/A)</f>
        <v>#N/A</v>
      </c>
      <c r="Z24" s="45" t="e">
        <f>IF(Z$1,SUMIFS('BalSht Data'!$H$2:$H$2050,'BalSht Data'!$G$2:$G$2050,$A24,'BalSht Data'!$A$2:$A$2050,Z$1),#N/A)</f>
        <v>#N/A</v>
      </c>
      <c r="AA24" s="45" t="e">
        <f>IF(AA$1,SUMIFS('BalSht Data'!$H$2:$H$2050,'BalSht Data'!$G$2:$G$2050,$A24,'BalSht Data'!$A$2:$A$2050,AA$1),#N/A)</f>
        <v>#N/A</v>
      </c>
      <c r="AB24" s="45" t="e">
        <f>IF(AB$1,SUMIFS('BalSht Data'!$H$2:$H$2050,'BalSht Data'!$G$2:$G$2050,$A24,'BalSht Data'!$A$2:$A$2050,AB$1),#N/A)</f>
        <v>#N/A</v>
      </c>
      <c r="AC24" s="45" t="e">
        <f>IF(AC$1,SUMIFS('BalSht Data'!$H$2:$H$2050,'BalSht Data'!$G$2:$G$2050,$A24,'BalSht Data'!$A$2:$A$2050,AC$1),#N/A)</f>
        <v>#N/A</v>
      </c>
      <c r="AD24" s="45" t="e">
        <f>IF(AD$1,SUMIFS('BalSht Data'!$H$2:$H$2050,'BalSht Data'!$G$2:$G$2050,$A24,'BalSht Data'!$A$2:$A$2050,AD$1),#N/A)</f>
        <v>#N/A</v>
      </c>
      <c r="AE24" s="45" t="e">
        <f>IF(AE$1,SUMIFS('BalSht Data'!$H$2:$H$2050,'BalSht Data'!$G$2:$G$2050,$A24,'BalSht Data'!$A$2:$A$2050,AE$1),#N/A)</f>
        <v>#N/A</v>
      </c>
      <c r="AF24" s="45" t="e">
        <f>IF(AF$1,SUMIFS('BalSht Data'!$H$2:$H$2050,'BalSht Data'!$G$2:$G$2050,$A24,'BalSht Data'!$A$2:$A$2050,AF$1),#N/A)</f>
        <v>#N/A</v>
      </c>
      <c r="AG24" s="45" t="e">
        <f>IF(AG$1,SUMIFS('BalSht Data'!$H$2:$H$2050,'BalSht Data'!$G$2:$G$2050,$A24,'BalSht Data'!$A$2:$A$2050,AG$1),#N/A)</f>
        <v>#N/A</v>
      </c>
      <c r="AH24" s="45" t="e">
        <f>IF(AH$1,SUMIFS('BalSht Data'!$H$2:$H$2050,'BalSht Data'!$G$2:$G$2050,$A24,'BalSht Data'!$A$2:$A$2050,AH$1),#N/A)</f>
        <v>#N/A</v>
      </c>
      <c r="AI24" s="45" t="e">
        <f>IF(AI$1,SUMIFS('BalSht Data'!$H$2:$H$2050,'BalSht Data'!$G$2:$G$2050,$A24,'BalSht Data'!$A$2:$A$2050,AI$1),#N/A)</f>
        <v>#N/A</v>
      </c>
      <c r="AJ24" s="45" t="e">
        <f>IF(AJ$1,SUMIFS('BalSht Data'!$H$2:$H$2050,'BalSht Data'!$G$2:$G$2050,$A24,'BalSht Data'!$A$2:$A$2050,AJ$1),#N/A)</f>
        <v>#N/A</v>
      </c>
      <c r="AK24" s="45" t="e">
        <f>IF(AK$1,SUMIFS('BalSht Data'!$H$2:$H$2050,'BalSht Data'!$G$2:$G$2050,$A24,'BalSht Data'!$A$2:$A$2050,AK$1),#N/A)</f>
        <v>#N/A</v>
      </c>
      <c r="AL24" s="45" t="e">
        <f>IF(AL$1,SUMIFS('BalSht Data'!$H$2:$H$2050,'BalSht Data'!$G$2:$G$2050,$A24,'BalSht Data'!$A$2:$A$2050,AL$1),#N/A)</f>
        <v>#N/A</v>
      </c>
      <c r="AM24" s="45" t="e">
        <f>IF(AM$1,SUMIFS('BalSht Data'!$H$2:$H$2050,'BalSht Data'!$G$2:$G$2050,$A24,'BalSht Data'!$A$2:$A$2050,AM$1),#N/A)</f>
        <v>#N/A</v>
      </c>
      <c r="AN24" s="45" t="e">
        <f>IF(AN$1,SUMIFS('BalSht Data'!$H$2:$H$2050,'BalSht Data'!$G$2:$G$2050,$A24,'BalSht Data'!$A$2:$A$2050,AN$1),#N/A)</f>
        <v>#N/A</v>
      </c>
      <c r="AO24" s="45" t="e">
        <f>IF(AO$1,SUMIFS('BalSht Data'!$H$2:$H$2050,'BalSht Data'!$G$2:$G$2050,$A24,'BalSht Data'!$A$2:$A$2050,AO$1),#N/A)</f>
        <v>#N/A</v>
      </c>
      <c r="AP24" s="45" t="e">
        <f>IF(AP$1,SUMIFS('BalSht Data'!$H$2:$H$2050,'BalSht Data'!$G$2:$G$2050,$A24,'BalSht Data'!$A$2:$A$2050,AP$1),#N/A)</f>
        <v>#N/A</v>
      </c>
      <c r="AQ24" s="45" t="e">
        <f>IF(AQ$1,SUMIFS('BalSht Data'!$H$2:$H$2050,'BalSht Data'!$G$2:$G$2050,$A24,'BalSht Data'!$A$2:$A$2050,AQ$1),#N/A)</f>
        <v>#N/A</v>
      </c>
      <c r="AR24" s="45" t="e">
        <f>IF(AR$1,SUMIFS('BalSht Data'!$H$2:$H$2050,'BalSht Data'!$G$2:$G$2050,$A24,'BalSht Data'!$A$2:$A$2050,AR$1),#N/A)</f>
        <v>#N/A</v>
      </c>
      <c r="AS24" s="45" t="e">
        <f>IF(AS$1,SUMIFS('BalSht Data'!$H$2:$H$2050,'BalSht Data'!$G$2:$G$2050,$A24,'BalSht Data'!$A$2:$A$2050,AS$1),#N/A)</f>
        <v>#N/A</v>
      </c>
      <c r="AT24" s="45" t="e">
        <f>IF(AT$1,SUMIFS('BalSht Data'!$H$2:$H$2050,'BalSht Data'!$G$2:$G$2050,$A24,'BalSht Data'!$A$2:$A$2050,AT$1),#N/A)</f>
        <v>#N/A</v>
      </c>
      <c r="AU24" s="45" t="e">
        <f>IF(AU$1,SUMIFS('BalSht Data'!$H$2:$H$2050,'BalSht Data'!$G$2:$G$2050,$A24,'BalSht Data'!$A$2:$A$2050,AU$1),#N/A)</f>
        <v>#N/A</v>
      </c>
      <c r="AV24" s="45" t="e">
        <f>IF(AV$1,SUMIFS('BalSht Data'!$H$2:$H$2050,'BalSht Data'!$G$2:$G$2050,$A24,'BalSht Data'!$A$2:$A$2050,AV$1),#N/A)</f>
        <v>#N/A</v>
      </c>
      <c r="AW24" s="45" t="e">
        <f>IF(AW$1,SUMIFS('BalSht Data'!$H$2:$H$2050,'BalSht Data'!$G$2:$G$2050,$A24,'BalSht Data'!$A$2:$A$2050,AW$1),#N/A)</f>
        <v>#N/A</v>
      </c>
      <c r="AX24" s="45" t="e">
        <f>IF(AX$1,SUMIFS('BalSht Data'!$H$2:$H$2050,'BalSht Data'!$G$2:$G$2050,$A24,'BalSht Data'!$A$2:$A$2050,AX$1),#N/A)</f>
        <v>#N/A</v>
      </c>
      <c r="AY24" s="45" t="e">
        <f>IF(AY$1,SUMIFS('BalSht Data'!$H$2:$H$2050,'BalSht Data'!$G$2:$G$2050,$A24,'BalSht Data'!$A$2:$A$2050,AY$1),#N/A)</f>
        <v>#N/A</v>
      </c>
      <c r="AZ24" s="45" t="e">
        <f>IF(AZ$1,SUMIFS('BalSht Data'!$H$2:$H$2050,'BalSht Data'!$G$2:$G$2050,$A24,'BalSht Data'!$A$2:$A$2050,AZ$1),#N/A)</f>
        <v>#N/A</v>
      </c>
      <c r="BA24" s="45" t="e">
        <f>IF(BA$1,SUMIFS('BalSht Data'!$H$2:$H$2050,'BalSht Data'!$G$2:$G$2050,$A24,'BalSht Data'!$A$2:$A$2050,BA$1),#N/A)</f>
        <v>#N/A</v>
      </c>
      <c r="BB24" s="45" t="e">
        <f>IF(BB$1,SUMIFS('BalSht Data'!$H$2:$H$2050,'BalSht Data'!$G$2:$G$2050,$A24,'BalSht Data'!$A$2:$A$2050,BB$1),#N/A)</f>
        <v>#N/A</v>
      </c>
      <c r="BC24" s="45" t="e">
        <f>IF(BC$1,SUMIFS('BalSht Data'!$H$2:$H$2050,'BalSht Data'!$G$2:$G$2050,$A24,'BalSht Data'!$A$2:$A$2050,BC$1),#N/A)</f>
        <v>#N/A</v>
      </c>
      <c r="BD24" s="45" t="e">
        <f>IF(BD$1,SUMIFS('BalSht Data'!$H$2:$H$2050,'BalSht Data'!$G$2:$G$2050,$A24,'BalSht Data'!$A$2:$A$2050,BD$1),#N/A)</f>
        <v>#N/A</v>
      </c>
      <c r="BE24" s="45" t="e">
        <f>IF(BE$1,SUMIFS('BalSht Data'!$H$2:$H$2050,'BalSht Data'!$G$2:$G$2050,$A24,'BalSht Data'!$A$2:$A$2050,BE$1),#N/A)</f>
        <v>#N/A</v>
      </c>
      <c r="BF24" s="45" t="e">
        <f>IF(BF$1,SUMIFS('BalSht Data'!$H$2:$H$2050,'BalSht Data'!$G$2:$G$2050,$A24,'BalSht Data'!$A$2:$A$2050,BF$1),#N/A)</f>
        <v>#N/A</v>
      </c>
      <c r="BG24" s="45" t="e">
        <f>IF(BG$1,SUMIFS('BalSht Data'!$H$2:$H$2050,'BalSht Data'!$G$2:$G$2050,$A24,'BalSht Data'!$A$2:$A$2050,BG$1),#N/A)</f>
        <v>#N/A</v>
      </c>
      <c r="BH24" s="45" t="e">
        <f>IF(BH$1,SUMIFS('BalSht Data'!$H$2:$H$2050,'BalSht Data'!$G$2:$G$2050,$A24,'BalSht Data'!$A$2:$A$2050,BH$1),#N/A)</f>
        <v>#N/A</v>
      </c>
      <c r="BI24" s="45" t="e">
        <f>IF(BI$1,SUMIFS('BalSht Data'!$H$2:$H$2050,'BalSht Data'!$G$2:$G$2050,$A24,'BalSht Data'!$A$2:$A$2050,BI$1),#N/A)</f>
        <v>#N/A</v>
      </c>
      <c r="BJ24" s="45" t="e">
        <f>IF(BJ$1,SUMIFS('BalSht Data'!$H$2:$H$2050,'BalSht Data'!$G$2:$G$2050,$A24,'BalSht Data'!$A$2:$A$2050,BJ$1),#N/A)</f>
        <v>#N/A</v>
      </c>
      <c r="BK24" s="45" t="e">
        <f>IF(BK$1,SUMIFS('BalSht Data'!$H$2:$H$2050,'BalSht Data'!$G$2:$G$2050,$A24,'BalSht Data'!$A$2:$A$2050,BK$1),#N/A)</f>
        <v>#N/A</v>
      </c>
      <c r="BL24" s="45" t="e">
        <f>IF(BL$1,SUMIFS('BalSht Data'!$H$2:$H$2050,'BalSht Data'!$G$2:$G$2050,$A24,'BalSht Data'!$A$2:$A$2050,BL$1),#N/A)</f>
        <v>#N/A</v>
      </c>
      <c r="BM24" s="45" t="e">
        <f>IF(BM$1,SUMIFS('BalSht Data'!$H$2:$H$2050,'BalSht Data'!$G$2:$G$2050,$A24,'BalSht Data'!$A$2:$A$2050,BM$1),#N/A)</f>
        <v>#N/A</v>
      </c>
      <c r="BN24" s="45" t="e">
        <f>IF(BN$1,SUMIFS('BalSht Data'!$H$2:$H$2050,'BalSht Data'!$G$2:$G$2050,$A24,'BalSht Data'!$A$2:$A$2050,BN$1),#N/A)</f>
        <v>#N/A</v>
      </c>
      <c r="BO24" s="45" t="e">
        <f>IF(BO$1,SUMIFS('BalSht Data'!$H$2:$H$2050,'BalSht Data'!$G$2:$G$2050,$A24,'BalSht Data'!$A$2:$A$2050,BO$1),#N/A)</f>
        <v>#N/A</v>
      </c>
      <c r="BP24" s="45" t="e">
        <f>IF(BP$1,SUMIFS('BalSht Data'!$H$2:$H$2050,'BalSht Data'!$G$2:$G$2050,$A24,'BalSht Data'!$A$2:$A$2050,BP$1),#N/A)</f>
        <v>#N/A</v>
      </c>
      <c r="BQ24" s="45" t="e">
        <f>IF(BQ$1,SUMIFS('BalSht Data'!$H$2:$H$2050,'BalSht Data'!$G$2:$G$2050,$A24,'BalSht Data'!$A$2:$A$2050,BQ$1),#N/A)</f>
        <v>#N/A</v>
      </c>
      <c r="BR24" s="45" t="e">
        <f>IF(BR$1,SUMIFS('BalSht Data'!$H$2:$H$2050,'BalSht Data'!$G$2:$G$2050,$A24,'BalSht Data'!$A$2:$A$2050,BR$1),#N/A)</f>
        <v>#N/A</v>
      </c>
      <c r="BS24" s="45" t="e">
        <f>IF(BS$1,SUMIFS('BalSht Data'!$H$2:$H$2050,'BalSht Data'!$G$2:$G$2050,$A24,'BalSht Data'!$A$2:$A$2050,BS$1),#N/A)</f>
        <v>#N/A</v>
      </c>
      <c r="BT24" s="45" t="e">
        <f>IF(BT$1,SUMIFS('BalSht Data'!$H$2:$H$2050,'BalSht Data'!$G$2:$G$2050,$A24,'BalSht Data'!$A$2:$A$2050,BT$1),#N/A)</f>
        <v>#N/A</v>
      </c>
      <c r="BU24" s="45" t="e">
        <f>IF(BU$1,SUMIFS('BalSht Data'!$H$2:$H$2050,'BalSht Data'!$G$2:$G$2050,$A24,'BalSht Data'!$A$2:$A$2050,BU$1),#N/A)</f>
        <v>#N/A</v>
      </c>
      <c r="BV24" s="45" t="e">
        <f>IF(BV$1,SUMIFS('BalSht Data'!$H$2:$H$2050,'BalSht Data'!$G$2:$G$2050,$A24,'BalSht Data'!$A$2:$A$2050,BV$1),#N/A)</f>
        <v>#N/A</v>
      </c>
      <c r="BW24" s="45" t="e">
        <f>IF(BW$1,SUMIFS('BalSht Data'!$H$2:$H$2050,'BalSht Data'!$G$2:$G$2050,$A24,'BalSht Data'!$A$2:$A$2050,BW$1),#N/A)</f>
        <v>#N/A</v>
      </c>
      <c r="BX24" s="45" t="e">
        <f>IF(BX$1,SUMIFS('BalSht Data'!$H$2:$H$2050,'BalSht Data'!$G$2:$G$2050,$A24,'BalSht Data'!$A$2:$A$2050,BX$1),#N/A)</f>
        <v>#N/A</v>
      </c>
      <c r="BY24" s="45" t="e">
        <f>IF(BY$1,SUMIFS('BalSht Data'!$H$2:$H$2050,'BalSht Data'!$G$2:$G$2050,$A24,'BalSht Data'!$A$2:$A$2050,BY$1),#N/A)</f>
        <v>#N/A</v>
      </c>
      <c r="BZ24" s="45" t="e">
        <f>IF(BZ$1,SUMIFS('BalSht Data'!$H$2:$H$2050,'BalSht Data'!$G$2:$G$2050,$A24,'BalSht Data'!$A$2:$A$2050,BZ$1),#N/A)</f>
        <v>#N/A</v>
      </c>
      <c r="CA24" s="45" t="e">
        <f>IF(CA$1,SUMIFS('BalSht Data'!$H$2:$H$2050,'BalSht Data'!$G$2:$G$2050,$A24,'BalSht Data'!$A$2:$A$2050,CA$1),#N/A)</f>
        <v>#N/A</v>
      </c>
      <c r="CB24" s="45" t="e">
        <f>IF(CB$1,SUMIFS('BalSht Data'!$H$2:$H$2050,'BalSht Data'!$G$2:$G$2050,$A24,'BalSht Data'!$A$2:$A$2050,CB$1),#N/A)</f>
        <v>#N/A</v>
      </c>
      <c r="CC24" s="45" t="e">
        <f>IF(CC$1,SUMIFS('BalSht Data'!$H$2:$H$2050,'BalSht Data'!$G$2:$G$2050,$A24,'BalSht Data'!$A$2:$A$2050,CC$1),#N/A)</f>
        <v>#N/A</v>
      </c>
      <c r="CD24" s="45" t="e">
        <f>IF(CD$1,SUMIFS('BalSht Data'!$H$2:$H$2050,'BalSht Data'!$G$2:$G$2050,$A24,'BalSht Data'!$A$2:$A$2050,CD$1),#N/A)</f>
        <v>#N/A</v>
      </c>
      <c r="CE24" s="45" t="e">
        <f>IF(CE$1,SUMIFS('BalSht Data'!$H$2:$H$2050,'BalSht Data'!$G$2:$G$2050,$A24,'BalSht Data'!$A$2:$A$2050,CE$1),#N/A)</f>
        <v>#N/A</v>
      </c>
      <c r="CF24" s="45" t="e">
        <f>IF(CF$1,SUMIFS('BalSht Data'!$H$2:$H$2050,'BalSht Data'!$G$2:$G$2050,$A24,'BalSht Data'!$A$2:$A$2050,CF$1),#N/A)</f>
        <v>#N/A</v>
      </c>
      <c r="CG24" s="45" t="e">
        <f>IF(CG$1,SUMIFS('BalSht Data'!$H$2:$H$2050,'BalSht Data'!$G$2:$G$2050,$A24,'BalSht Data'!$A$2:$A$2050,CG$1),#N/A)</f>
        <v>#N/A</v>
      </c>
      <c r="CH24" s="45" t="e">
        <f>IF(CH$1,SUMIFS('BalSht Data'!$H$2:$H$2050,'BalSht Data'!$G$2:$G$2050,$A24,'BalSht Data'!$A$2:$A$2050,CH$1),#N/A)</f>
        <v>#N/A</v>
      </c>
      <c r="CI24" s="45" t="e">
        <f>IF(CI$1,SUMIFS('BalSht Data'!$H$2:$H$2050,'BalSht Data'!$G$2:$G$2050,$A24,'BalSht Data'!$A$2:$A$2050,CI$1),#N/A)</f>
        <v>#N/A</v>
      </c>
      <c r="CJ24" s="45" t="e">
        <f>IF(CJ$1,SUMIFS('BalSht Data'!$H$2:$H$2050,'BalSht Data'!$G$2:$G$2050,$A24,'BalSht Data'!$A$2:$A$2050,CJ$1),#N/A)</f>
        <v>#N/A</v>
      </c>
      <c r="CK24" s="45" t="e">
        <f>IF(CK$1,SUMIFS('BalSht Data'!$H$2:$H$2050,'BalSht Data'!$G$2:$G$2050,$A24,'BalSht Data'!$A$2:$A$2050,CK$1),#N/A)</f>
        <v>#N/A</v>
      </c>
      <c r="CL24" s="45" t="e">
        <f>IF(CL$1,SUMIFS('BalSht Data'!$H$2:$H$2050,'BalSht Data'!$G$2:$G$2050,$A24,'BalSht Data'!$A$2:$A$2050,CL$1),#N/A)</f>
        <v>#N/A</v>
      </c>
      <c r="CM24" s="45" t="e">
        <f>IF(CM$1,SUMIFS('BalSht Data'!$H$2:$H$2050,'BalSht Data'!$G$2:$G$2050,$A24,'BalSht Data'!$A$2:$A$2050,CM$1),#N/A)</f>
        <v>#N/A</v>
      </c>
      <c r="CN24" s="45" t="e">
        <f>IF(CN$1,SUMIFS('BalSht Data'!$H$2:$H$2050,'BalSht Data'!$G$2:$G$2050,$A24,'BalSht Data'!$A$2:$A$2050,CN$1),#N/A)</f>
        <v>#N/A</v>
      </c>
      <c r="CO24" s="45" t="e">
        <f>IF(CO$1,SUMIFS('BalSht Data'!$H$2:$H$2050,'BalSht Data'!$G$2:$G$2050,$A24,'BalSht Data'!$A$2:$A$2050,CO$1),#N/A)</f>
        <v>#N/A</v>
      </c>
      <c r="CP24" s="45" t="e">
        <f>IF(CP$1,SUMIFS('BalSht Data'!$H$2:$H$2050,'BalSht Data'!$G$2:$G$2050,$A24,'BalSht Data'!$A$2:$A$2050,CP$1),#N/A)</f>
        <v>#N/A</v>
      </c>
      <c r="CQ24" s="45" t="e">
        <f>IF(CQ$1,SUMIFS('BalSht Data'!$H$2:$H$2050,'BalSht Data'!$G$2:$G$2050,$A24,'BalSht Data'!$A$2:$A$2050,CQ$1),#N/A)</f>
        <v>#N/A</v>
      </c>
      <c r="CR24" s="45" t="e">
        <f>IF(CR$1,SUMIFS('BalSht Data'!$H$2:$H$2050,'BalSht Data'!$G$2:$G$2050,$A24,'BalSht Data'!$A$2:$A$2050,CR$1),#N/A)</f>
        <v>#N/A</v>
      </c>
      <c r="CS24" s="45" t="e">
        <f>IF(CS$1,SUMIFS('BalSht Data'!$H$2:$H$2050,'BalSht Data'!$G$2:$G$2050,$A24,'BalSht Data'!$A$2:$A$2050,CS$1),#N/A)</f>
        <v>#N/A</v>
      </c>
      <c r="CT24" s="45" t="e">
        <f>IF(CT$1,SUMIFS('BalSht Data'!$H$2:$H$2050,'BalSht Data'!$G$2:$G$2050,$A24,'BalSht Data'!$A$2:$A$2050,CT$1),#N/A)</f>
        <v>#N/A</v>
      </c>
      <c r="CU24" s="45" t="e">
        <f>IF(CU$1,SUMIFS('BalSht Data'!$H$2:$H$2050,'BalSht Data'!$G$2:$G$2050,$A24,'BalSht Data'!$A$2:$A$2050,CU$1),#N/A)</f>
        <v>#N/A</v>
      </c>
      <c r="CV24" s="45" t="e">
        <f>IF(CV$1,SUMIFS('BalSht Data'!$H$2:$H$2050,'BalSht Data'!$G$2:$G$2050,$A24,'BalSht Data'!$A$2:$A$2050,CV$1),#N/A)</f>
        <v>#N/A</v>
      </c>
      <c r="CW24" s="45" t="e">
        <f>IF(CW$1,SUMIFS('BalSht Data'!$H$2:$H$2050,'BalSht Data'!$G$2:$G$2050,$A24,'BalSht Data'!$A$2:$A$2050,CW$1),#N/A)</f>
        <v>#N/A</v>
      </c>
      <c r="CX24" s="45" t="e">
        <f>IF(CX$1,SUMIFS('BalSht Data'!$H$2:$H$2050,'BalSht Data'!$G$2:$G$2050,$A24,'BalSht Data'!$A$2:$A$2050,CX$1),#N/A)</f>
        <v>#N/A</v>
      </c>
      <c r="CY24" s="45" t="e">
        <f>IF(CY$1,SUMIFS('BalSht Data'!$H$2:$H$2050,'BalSht Data'!$G$2:$G$2050,$A24,'BalSht Data'!$A$2:$A$2050,CY$1),#N/A)</f>
        <v>#N/A</v>
      </c>
      <c r="CZ24" s="45" t="e">
        <f>IF(CZ$1,SUMIFS('BalSht Data'!$H$2:$H$2050,'BalSht Data'!$G$2:$G$2050,$A24,'BalSht Data'!$A$2:$A$2050,CZ$1),#N/A)</f>
        <v>#N/A</v>
      </c>
    </row>
    <row r="25" spans="1:104" s="44" customFormat="1" x14ac:dyDescent="0.2">
      <c r="A25" s="56" t="s">
        <v>24</v>
      </c>
      <c r="B25" s="45" t="e">
        <f>IF(B$1,SUMIFS('BalSht Data'!$H$2:$H$2050,'BalSht Data'!$G$2:$G$2050,$A25,'BalSht Data'!$A$2:$A$2050,B$1),#N/A)</f>
        <v>#N/A</v>
      </c>
      <c r="C25" s="45" t="e">
        <f>IF(C$1,SUMIFS('BalSht Data'!$H$2:$H$2050,'BalSht Data'!$G$2:$G$2050,$A25,'BalSht Data'!$A$2:$A$2050,C$1),#N/A)</f>
        <v>#N/A</v>
      </c>
      <c r="D25" s="45" t="e">
        <f>IF(D$1,SUMIFS('BalSht Data'!$H$2:$H$2050,'BalSht Data'!$G$2:$G$2050,$A25,'BalSht Data'!$A$2:$A$2050,D$1),#N/A)</f>
        <v>#N/A</v>
      </c>
      <c r="E25" s="45" t="e">
        <f>IF(E$1,SUMIFS('BalSht Data'!$H$2:$H$2050,'BalSht Data'!$G$2:$G$2050,$A25,'BalSht Data'!$A$2:$A$2050,E$1),#N/A)</f>
        <v>#N/A</v>
      </c>
      <c r="F25" s="45" t="e">
        <f>IF(F$1,SUMIFS('BalSht Data'!$H$2:$H$2050,'BalSht Data'!$G$2:$G$2050,$A25,'BalSht Data'!$A$2:$A$2050,F$1),#N/A)</f>
        <v>#N/A</v>
      </c>
      <c r="G25" s="45" t="e">
        <f>IF(G$1,SUMIFS('BalSht Data'!$H$2:$H$2050,'BalSht Data'!$G$2:$G$2050,$A25,'BalSht Data'!$A$2:$A$2050,G$1),#N/A)</f>
        <v>#N/A</v>
      </c>
      <c r="H25" s="45" t="e">
        <f>IF(H$1,SUMIFS('BalSht Data'!$H$2:$H$2050,'BalSht Data'!$G$2:$G$2050,$A25,'BalSht Data'!$A$2:$A$2050,H$1),#N/A)</f>
        <v>#N/A</v>
      </c>
      <c r="I25" s="45" t="e">
        <f>IF(I$1,SUMIFS('BalSht Data'!$H$2:$H$2050,'BalSht Data'!$G$2:$G$2050,$A25,'BalSht Data'!$A$2:$A$2050,I$1),#N/A)</f>
        <v>#N/A</v>
      </c>
      <c r="J25" s="45" t="e">
        <f>IF(J$1,SUMIFS('BalSht Data'!$H$2:$H$2050,'BalSht Data'!$G$2:$G$2050,$A25,'BalSht Data'!$A$2:$A$2050,J$1),#N/A)</f>
        <v>#N/A</v>
      </c>
      <c r="K25" s="45" t="e">
        <f>IF(K$1,SUMIFS('BalSht Data'!$H$2:$H$2050,'BalSht Data'!$G$2:$G$2050,$A25,'BalSht Data'!$A$2:$A$2050,K$1),#N/A)</f>
        <v>#N/A</v>
      </c>
      <c r="L25" s="45" t="e">
        <f>IF(L$1,SUMIFS('BalSht Data'!$H$2:$H$2050,'BalSht Data'!$G$2:$G$2050,$A25,'BalSht Data'!$A$2:$A$2050,L$1),#N/A)</f>
        <v>#N/A</v>
      </c>
      <c r="M25" s="45" t="e">
        <f>IF(M$1,SUMIFS('BalSht Data'!$H$2:$H$2050,'BalSht Data'!$G$2:$G$2050,$A25,'BalSht Data'!$A$2:$A$2050,M$1),#N/A)</f>
        <v>#N/A</v>
      </c>
      <c r="N25" s="45" t="e">
        <f>IF(N$1,SUMIFS('BalSht Data'!$H$2:$H$2050,'BalSht Data'!$G$2:$G$2050,$A25,'BalSht Data'!$A$2:$A$2050,N$1),#N/A)</f>
        <v>#N/A</v>
      </c>
      <c r="O25" s="45" t="e">
        <f>IF(O$1,SUMIFS('BalSht Data'!$H$2:$H$2050,'BalSht Data'!$G$2:$G$2050,$A25,'BalSht Data'!$A$2:$A$2050,O$1),#N/A)</f>
        <v>#N/A</v>
      </c>
      <c r="P25" s="45" t="e">
        <f>IF(P$1,SUMIFS('BalSht Data'!$H$2:$H$2050,'BalSht Data'!$G$2:$G$2050,$A25,'BalSht Data'!$A$2:$A$2050,P$1),#N/A)</f>
        <v>#N/A</v>
      </c>
      <c r="Q25" s="45" t="e">
        <f>IF(Q$1,SUMIFS('BalSht Data'!$H$2:$H$2050,'BalSht Data'!$G$2:$G$2050,$A25,'BalSht Data'!$A$2:$A$2050,Q$1),#N/A)</f>
        <v>#N/A</v>
      </c>
      <c r="R25" s="45" t="e">
        <f>IF(R$1,SUMIFS('BalSht Data'!$H$2:$H$2050,'BalSht Data'!$G$2:$G$2050,$A25,'BalSht Data'!$A$2:$A$2050,R$1),#N/A)</f>
        <v>#N/A</v>
      </c>
      <c r="S25" s="45" t="e">
        <f>IF(S$1,SUMIFS('BalSht Data'!$H$2:$H$2050,'BalSht Data'!$G$2:$G$2050,$A25,'BalSht Data'!$A$2:$A$2050,S$1),#N/A)</f>
        <v>#N/A</v>
      </c>
      <c r="T25" s="45" t="e">
        <f>IF(T$1,SUMIFS('BalSht Data'!$H$2:$H$2050,'BalSht Data'!$G$2:$G$2050,$A25,'BalSht Data'!$A$2:$A$2050,T$1),#N/A)</f>
        <v>#N/A</v>
      </c>
      <c r="U25" s="45" t="e">
        <f>IF(U$1,SUMIFS('BalSht Data'!$H$2:$H$2050,'BalSht Data'!$G$2:$G$2050,$A25,'BalSht Data'!$A$2:$A$2050,U$1),#N/A)</f>
        <v>#N/A</v>
      </c>
      <c r="V25" s="45" t="e">
        <f>IF(V$1,SUMIFS('BalSht Data'!$H$2:$H$2050,'BalSht Data'!$G$2:$G$2050,$A25,'BalSht Data'!$A$2:$A$2050,V$1),#N/A)</f>
        <v>#N/A</v>
      </c>
      <c r="W25" s="45" t="e">
        <f>IF(W$1,SUMIFS('BalSht Data'!$H$2:$H$2050,'BalSht Data'!$G$2:$G$2050,$A25,'BalSht Data'!$A$2:$A$2050,W$1),#N/A)</f>
        <v>#N/A</v>
      </c>
      <c r="X25" s="45" t="e">
        <f>IF(X$1,SUMIFS('BalSht Data'!$H$2:$H$2050,'BalSht Data'!$G$2:$G$2050,$A25,'BalSht Data'!$A$2:$A$2050,X$1),#N/A)</f>
        <v>#N/A</v>
      </c>
      <c r="Y25" s="45" t="e">
        <f>IF(Y$1,SUMIFS('BalSht Data'!$H$2:$H$2050,'BalSht Data'!$G$2:$G$2050,$A25,'BalSht Data'!$A$2:$A$2050,Y$1),#N/A)</f>
        <v>#N/A</v>
      </c>
      <c r="Z25" s="45" t="e">
        <f>IF(Z$1,SUMIFS('BalSht Data'!$H$2:$H$2050,'BalSht Data'!$G$2:$G$2050,$A25,'BalSht Data'!$A$2:$A$2050,Z$1),#N/A)</f>
        <v>#N/A</v>
      </c>
      <c r="AA25" s="45" t="e">
        <f>IF(AA$1,SUMIFS('BalSht Data'!$H$2:$H$2050,'BalSht Data'!$G$2:$G$2050,$A25,'BalSht Data'!$A$2:$A$2050,AA$1),#N/A)</f>
        <v>#N/A</v>
      </c>
      <c r="AB25" s="45" t="e">
        <f>IF(AB$1,SUMIFS('BalSht Data'!$H$2:$H$2050,'BalSht Data'!$G$2:$G$2050,$A25,'BalSht Data'!$A$2:$A$2050,AB$1),#N/A)</f>
        <v>#N/A</v>
      </c>
      <c r="AC25" s="45" t="e">
        <f>IF(AC$1,SUMIFS('BalSht Data'!$H$2:$H$2050,'BalSht Data'!$G$2:$G$2050,$A25,'BalSht Data'!$A$2:$A$2050,AC$1),#N/A)</f>
        <v>#N/A</v>
      </c>
      <c r="AD25" s="45" t="e">
        <f>IF(AD$1,SUMIFS('BalSht Data'!$H$2:$H$2050,'BalSht Data'!$G$2:$G$2050,$A25,'BalSht Data'!$A$2:$A$2050,AD$1),#N/A)</f>
        <v>#N/A</v>
      </c>
      <c r="AE25" s="45" t="e">
        <f>IF(AE$1,SUMIFS('BalSht Data'!$H$2:$H$2050,'BalSht Data'!$G$2:$G$2050,$A25,'BalSht Data'!$A$2:$A$2050,AE$1),#N/A)</f>
        <v>#N/A</v>
      </c>
      <c r="AF25" s="45" t="e">
        <f>IF(AF$1,SUMIFS('BalSht Data'!$H$2:$H$2050,'BalSht Data'!$G$2:$G$2050,$A25,'BalSht Data'!$A$2:$A$2050,AF$1),#N/A)</f>
        <v>#N/A</v>
      </c>
      <c r="AG25" s="45" t="e">
        <f>IF(AG$1,SUMIFS('BalSht Data'!$H$2:$H$2050,'BalSht Data'!$G$2:$G$2050,$A25,'BalSht Data'!$A$2:$A$2050,AG$1),#N/A)</f>
        <v>#N/A</v>
      </c>
      <c r="AH25" s="45" t="e">
        <f>IF(AH$1,SUMIFS('BalSht Data'!$H$2:$H$2050,'BalSht Data'!$G$2:$G$2050,$A25,'BalSht Data'!$A$2:$A$2050,AH$1),#N/A)</f>
        <v>#N/A</v>
      </c>
      <c r="AI25" s="45" t="e">
        <f>IF(AI$1,SUMIFS('BalSht Data'!$H$2:$H$2050,'BalSht Data'!$G$2:$G$2050,$A25,'BalSht Data'!$A$2:$A$2050,AI$1),#N/A)</f>
        <v>#N/A</v>
      </c>
      <c r="AJ25" s="45" t="e">
        <f>IF(AJ$1,SUMIFS('BalSht Data'!$H$2:$H$2050,'BalSht Data'!$G$2:$G$2050,$A25,'BalSht Data'!$A$2:$A$2050,AJ$1),#N/A)</f>
        <v>#N/A</v>
      </c>
      <c r="AK25" s="45" t="e">
        <f>IF(AK$1,SUMIFS('BalSht Data'!$H$2:$H$2050,'BalSht Data'!$G$2:$G$2050,$A25,'BalSht Data'!$A$2:$A$2050,AK$1),#N/A)</f>
        <v>#N/A</v>
      </c>
      <c r="AL25" s="45" t="e">
        <f>IF(AL$1,SUMIFS('BalSht Data'!$H$2:$H$2050,'BalSht Data'!$G$2:$G$2050,$A25,'BalSht Data'!$A$2:$A$2050,AL$1),#N/A)</f>
        <v>#N/A</v>
      </c>
      <c r="AM25" s="45" t="e">
        <f>IF(AM$1,SUMIFS('BalSht Data'!$H$2:$H$2050,'BalSht Data'!$G$2:$G$2050,$A25,'BalSht Data'!$A$2:$A$2050,AM$1),#N/A)</f>
        <v>#N/A</v>
      </c>
      <c r="AN25" s="45" t="e">
        <f>IF(AN$1,SUMIFS('BalSht Data'!$H$2:$H$2050,'BalSht Data'!$G$2:$G$2050,$A25,'BalSht Data'!$A$2:$A$2050,AN$1),#N/A)</f>
        <v>#N/A</v>
      </c>
      <c r="AO25" s="45" t="e">
        <f>IF(AO$1,SUMIFS('BalSht Data'!$H$2:$H$2050,'BalSht Data'!$G$2:$G$2050,$A25,'BalSht Data'!$A$2:$A$2050,AO$1),#N/A)</f>
        <v>#N/A</v>
      </c>
      <c r="AP25" s="45" t="e">
        <f>IF(AP$1,SUMIFS('BalSht Data'!$H$2:$H$2050,'BalSht Data'!$G$2:$G$2050,$A25,'BalSht Data'!$A$2:$A$2050,AP$1),#N/A)</f>
        <v>#N/A</v>
      </c>
      <c r="AQ25" s="45" t="e">
        <f>IF(AQ$1,SUMIFS('BalSht Data'!$H$2:$H$2050,'BalSht Data'!$G$2:$G$2050,$A25,'BalSht Data'!$A$2:$A$2050,AQ$1),#N/A)</f>
        <v>#N/A</v>
      </c>
      <c r="AR25" s="45" t="e">
        <f>IF(AR$1,SUMIFS('BalSht Data'!$H$2:$H$2050,'BalSht Data'!$G$2:$G$2050,$A25,'BalSht Data'!$A$2:$A$2050,AR$1),#N/A)</f>
        <v>#N/A</v>
      </c>
      <c r="AS25" s="45" t="e">
        <f>IF(AS$1,SUMIFS('BalSht Data'!$H$2:$H$2050,'BalSht Data'!$G$2:$G$2050,$A25,'BalSht Data'!$A$2:$A$2050,AS$1),#N/A)</f>
        <v>#N/A</v>
      </c>
      <c r="AT25" s="45" t="e">
        <f>IF(AT$1,SUMIFS('BalSht Data'!$H$2:$H$2050,'BalSht Data'!$G$2:$G$2050,$A25,'BalSht Data'!$A$2:$A$2050,AT$1),#N/A)</f>
        <v>#N/A</v>
      </c>
      <c r="AU25" s="45" t="e">
        <f>IF(AU$1,SUMIFS('BalSht Data'!$H$2:$H$2050,'BalSht Data'!$G$2:$G$2050,$A25,'BalSht Data'!$A$2:$A$2050,AU$1),#N/A)</f>
        <v>#N/A</v>
      </c>
      <c r="AV25" s="45" t="e">
        <f>IF(AV$1,SUMIFS('BalSht Data'!$H$2:$H$2050,'BalSht Data'!$G$2:$G$2050,$A25,'BalSht Data'!$A$2:$A$2050,AV$1),#N/A)</f>
        <v>#N/A</v>
      </c>
      <c r="AW25" s="45" t="e">
        <f>IF(AW$1,SUMIFS('BalSht Data'!$H$2:$H$2050,'BalSht Data'!$G$2:$G$2050,$A25,'BalSht Data'!$A$2:$A$2050,AW$1),#N/A)</f>
        <v>#N/A</v>
      </c>
      <c r="AX25" s="45" t="e">
        <f>IF(AX$1,SUMIFS('BalSht Data'!$H$2:$H$2050,'BalSht Data'!$G$2:$G$2050,$A25,'BalSht Data'!$A$2:$A$2050,AX$1),#N/A)</f>
        <v>#N/A</v>
      </c>
      <c r="AY25" s="45" t="e">
        <f>IF(AY$1,SUMIFS('BalSht Data'!$H$2:$H$2050,'BalSht Data'!$G$2:$G$2050,$A25,'BalSht Data'!$A$2:$A$2050,AY$1),#N/A)</f>
        <v>#N/A</v>
      </c>
      <c r="AZ25" s="45" t="e">
        <f>IF(AZ$1,SUMIFS('BalSht Data'!$H$2:$H$2050,'BalSht Data'!$G$2:$G$2050,$A25,'BalSht Data'!$A$2:$A$2050,AZ$1),#N/A)</f>
        <v>#N/A</v>
      </c>
      <c r="BA25" s="45" t="e">
        <f>IF(BA$1,SUMIFS('BalSht Data'!$H$2:$H$2050,'BalSht Data'!$G$2:$G$2050,$A25,'BalSht Data'!$A$2:$A$2050,BA$1),#N/A)</f>
        <v>#N/A</v>
      </c>
      <c r="BB25" s="45" t="e">
        <f>IF(BB$1,SUMIFS('BalSht Data'!$H$2:$H$2050,'BalSht Data'!$G$2:$G$2050,$A25,'BalSht Data'!$A$2:$A$2050,BB$1),#N/A)</f>
        <v>#N/A</v>
      </c>
      <c r="BC25" s="45" t="e">
        <f>IF(BC$1,SUMIFS('BalSht Data'!$H$2:$H$2050,'BalSht Data'!$G$2:$G$2050,$A25,'BalSht Data'!$A$2:$A$2050,BC$1),#N/A)</f>
        <v>#N/A</v>
      </c>
      <c r="BD25" s="45" t="e">
        <f>IF(BD$1,SUMIFS('BalSht Data'!$H$2:$H$2050,'BalSht Data'!$G$2:$G$2050,$A25,'BalSht Data'!$A$2:$A$2050,BD$1),#N/A)</f>
        <v>#N/A</v>
      </c>
      <c r="BE25" s="45" t="e">
        <f>IF(BE$1,SUMIFS('BalSht Data'!$H$2:$H$2050,'BalSht Data'!$G$2:$G$2050,$A25,'BalSht Data'!$A$2:$A$2050,BE$1),#N/A)</f>
        <v>#N/A</v>
      </c>
      <c r="BF25" s="45" t="e">
        <f>IF(BF$1,SUMIFS('BalSht Data'!$H$2:$H$2050,'BalSht Data'!$G$2:$G$2050,$A25,'BalSht Data'!$A$2:$A$2050,BF$1),#N/A)</f>
        <v>#N/A</v>
      </c>
      <c r="BG25" s="45" t="e">
        <f>IF(BG$1,SUMIFS('BalSht Data'!$H$2:$H$2050,'BalSht Data'!$G$2:$G$2050,$A25,'BalSht Data'!$A$2:$A$2050,BG$1),#N/A)</f>
        <v>#N/A</v>
      </c>
      <c r="BH25" s="45" t="e">
        <f>IF(BH$1,SUMIFS('BalSht Data'!$H$2:$H$2050,'BalSht Data'!$G$2:$G$2050,$A25,'BalSht Data'!$A$2:$A$2050,BH$1),#N/A)</f>
        <v>#N/A</v>
      </c>
      <c r="BI25" s="45" t="e">
        <f>IF(BI$1,SUMIFS('BalSht Data'!$H$2:$H$2050,'BalSht Data'!$G$2:$G$2050,$A25,'BalSht Data'!$A$2:$A$2050,BI$1),#N/A)</f>
        <v>#N/A</v>
      </c>
      <c r="BJ25" s="45" t="e">
        <f>IF(BJ$1,SUMIFS('BalSht Data'!$H$2:$H$2050,'BalSht Data'!$G$2:$G$2050,$A25,'BalSht Data'!$A$2:$A$2050,BJ$1),#N/A)</f>
        <v>#N/A</v>
      </c>
      <c r="BK25" s="45" t="e">
        <f>IF(BK$1,SUMIFS('BalSht Data'!$H$2:$H$2050,'BalSht Data'!$G$2:$G$2050,$A25,'BalSht Data'!$A$2:$A$2050,BK$1),#N/A)</f>
        <v>#N/A</v>
      </c>
      <c r="BL25" s="45" t="e">
        <f>IF(BL$1,SUMIFS('BalSht Data'!$H$2:$H$2050,'BalSht Data'!$G$2:$G$2050,$A25,'BalSht Data'!$A$2:$A$2050,BL$1),#N/A)</f>
        <v>#N/A</v>
      </c>
      <c r="BM25" s="45" t="e">
        <f>IF(BM$1,SUMIFS('BalSht Data'!$H$2:$H$2050,'BalSht Data'!$G$2:$G$2050,$A25,'BalSht Data'!$A$2:$A$2050,BM$1),#N/A)</f>
        <v>#N/A</v>
      </c>
      <c r="BN25" s="45" t="e">
        <f>IF(BN$1,SUMIFS('BalSht Data'!$H$2:$H$2050,'BalSht Data'!$G$2:$G$2050,$A25,'BalSht Data'!$A$2:$A$2050,BN$1),#N/A)</f>
        <v>#N/A</v>
      </c>
      <c r="BO25" s="45" t="e">
        <f>IF(BO$1,SUMIFS('BalSht Data'!$H$2:$H$2050,'BalSht Data'!$G$2:$G$2050,$A25,'BalSht Data'!$A$2:$A$2050,BO$1),#N/A)</f>
        <v>#N/A</v>
      </c>
      <c r="BP25" s="45" t="e">
        <f>IF(BP$1,SUMIFS('BalSht Data'!$H$2:$H$2050,'BalSht Data'!$G$2:$G$2050,$A25,'BalSht Data'!$A$2:$A$2050,BP$1),#N/A)</f>
        <v>#N/A</v>
      </c>
      <c r="BQ25" s="45" t="e">
        <f>IF(BQ$1,SUMIFS('BalSht Data'!$H$2:$H$2050,'BalSht Data'!$G$2:$G$2050,$A25,'BalSht Data'!$A$2:$A$2050,BQ$1),#N/A)</f>
        <v>#N/A</v>
      </c>
      <c r="BR25" s="45" t="e">
        <f>IF(BR$1,SUMIFS('BalSht Data'!$H$2:$H$2050,'BalSht Data'!$G$2:$G$2050,$A25,'BalSht Data'!$A$2:$A$2050,BR$1),#N/A)</f>
        <v>#N/A</v>
      </c>
      <c r="BS25" s="45" t="e">
        <f>IF(BS$1,SUMIFS('BalSht Data'!$H$2:$H$2050,'BalSht Data'!$G$2:$G$2050,$A25,'BalSht Data'!$A$2:$A$2050,BS$1),#N/A)</f>
        <v>#N/A</v>
      </c>
      <c r="BT25" s="45" t="e">
        <f>IF(BT$1,SUMIFS('BalSht Data'!$H$2:$H$2050,'BalSht Data'!$G$2:$G$2050,$A25,'BalSht Data'!$A$2:$A$2050,BT$1),#N/A)</f>
        <v>#N/A</v>
      </c>
      <c r="BU25" s="45" t="e">
        <f>IF(BU$1,SUMIFS('BalSht Data'!$H$2:$H$2050,'BalSht Data'!$G$2:$G$2050,$A25,'BalSht Data'!$A$2:$A$2050,BU$1),#N/A)</f>
        <v>#N/A</v>
      </c>
      <c r="BV25" s="45" t="e">
        <f>IF(BV$1,SUMIFS('BalSht Data'!$H$2:$H$2050,'BalSht Data'!$G$2:$G$2050,$A25,'BalSht Data'!$A$2:$A$2050,BV$1),#N/A)</f>
        <v>#N/A</v>
      </c>
      <c r="BW25" s="45" t="e">
        <f>IF(BW$1,SUMIFS('BalSht Data'!$H$2:$H$2050,'BalSht Data'!$G$2:$G$2050,$A25,'BalSht Data'!$A$2:$A$2050,BW$1),#N/A)</f>
        <v>#N/A</v>
      </c>
      <c r="BX25" s="45" t="e">
        <f>IF(BX$1,SUMIFS('BalSht Data'!$H$2:$H$2050,'BalSht Data'!$G$2:$G$2050,$A25,'BalSht Data'!$A$2:$A$2050,BX$1),#N/A)</f>
        <v>#N/A</v>
      </c>
      <c r="BY25" s="45" t="e">
        <f>IF(BY$1,SUMIFS('BalSht Data'!$H$2:$H$2050,'BalSht Data'!$G$2:$G$2050,$A25,'BalSht Data'!$A$2:$A$2050,BY$1),#N/A)</f>
        <v>#N/A</v>
      </c>
      <c r="BZ25" s="45" t="e">
        <f>IF(BZ$1,SUMIFS('BalSht Data'!$H$2:$H$2050,'BalSht Data'!$G$2:$G$2050,$A25,'BalSht Data'!$A$2:$A$2050,BZ$1),#N/A)</f>
        <v>#N/A</v>
      </c>
      <c r="CA25" s="45" t="e">
        <f>IF(CA$1,SUMIFS('BalSht Data'!$H$2:$H$2050,'BalSht Data'!$G$2:$G$2050,$A25,'BalSht Data'!$A$2:$A$2050,CA$1),#N/A)</f>
        <v>#N/A</v>
      </c>
      <c r="CB25" s="45" t="e">
        <f>IF(CB$1,SUMIFS('BalSht Data'!$H$2:$H$2050,'BalSht Data'!$G$2:$G$2050,$A25,'BalSht Data'!$A$2:$A$2050,CB$1),#N/A)</f>
        <v>#N/A</v>
      </c>
      <c r="CC25" s="45" t="e">
        <f>IF(CC$1,SUMIFS('BalSht Data'!$H$2:$H$2050,'BalSht Data'!$G$2:$G$2050,$A25,'BalSht Data'!$A$2:$A$2050,CC$1),#N/A)</f>
        <v>#N/A</v>
      </c>
      <c r="CD25" s="45" t="e">
        <f>IF(CD$1,SUMIFS('BalSht Data'!$H$2:$H$2050,'BalSht Data'!$G$2:$G$2050,$A25,'BalSht Data'!$A$2:$A$2050,CD$1),#N/A)</f>
        <v>#N/A</v>
      </c>
      <c r="CE25" s="45" t="e">
        <f>IF(CE$1,SUMIFS('BalSht Data'!$H$2:$H$2050,'BalSht Data'!$G$2:$G$2050,$A25,'BalSht Data'!$A$2:$A$2050,CE$1),#N/A)</f>
        <v>#N/A</v>
      </c>
      <c r="CF25" s="45" t="e">
        <f>IF(CF$1,SUMIFS('BalSht Data'!$H$2:$H$2050,'BalSht Data'!$G$2:$G$2050,$A25,'BalSht Data'!$A$2:$A$2050,CF$1),#N/A)</f>
        <v>#N/A</v>
      </c>
      <c r="CG25" s="45" t="e">
        <f>IF(CG$1,SUMIFS('BalSht Data'!$H$2:$H$2050,'BalSht Data'!$G$2:$G$2050,$A25,'BalSht Data'!$A$2:$A$2050,CG$1),#N/A)</f>
        <v>#N/A</v>
      </c>
      <c r="CH25" s="45" t="e">
        <f>IF(CH$1,SUMIFS('BalSht Data'!$H$2:$H$2050,'BalSht Data'!$G$2:$G$2050,$A25,'BalSht Data'!$A$2:$A$2050,CH$1),#N/A)</f>
        <v>#N/A</v>
      </c>
      <c r="CI25" s="45" t="e">
        <f>IF(CI$1,SUMIFS('BalSht Data'!$H$2:$H$2050,'BalSht Data'!$G$2:$G$2050,$A25,'BalSht Data'!$A$2:$A$2050,CI$1),#N/A)</f>
        <v>#N/A</v>
      </c>
      <c r="CJ25" s="45" t="e">
        <f>IF(CJ$1,SUMIFS('BalSht Data'!$H$2:$H$2050,'BalSht Data'!$G$2:$G$2050,$A25,'BalSht Data'!$A$2:$A$2050,CJ$1),#N/A)</f>
        <v>#N/A</v>
      </c>
      <c r="CK25" s="45" t="e">
        <f>IF(CK$1,SUMIFS('BalSht Data'!$H$2:$H$2050,'BalSht Data'!$G$2:$G$2050,$A25,'BalSht Data'!$A$2:$A$2050,CK$1),#N/A)</f>
        <v>#N/A</v>
      </c>
      <c r="CL25" s="45" t="e">
        <f>IF(CL$1,SUMIFS('BalSht Data'!$H$2:$H$2050,'BalSht Data'!$G$2:$G$2050,$A25,'BalSht Data'!$A$2:$A$2050,CL$1),#N/A)</f>
        <v>#N/A</v>
      </c>
      <c r="CM25" s="45" t="e">
        <f>IF(CM$1,SUMIFS('BalSht Data'!$H$2:$H$2050,'BalSht Data'!$G$2:$G$2050,$A25,'BalSht Data'!$A$2:$A$2050,CM$1),#N/A)</f>
        <v>#N/A</v>
      </c>
      <c r="CN25" s="45" t="e">
        <f>IF(CN$1,SUMIFS('BalSht Data'!$H$2:$H$2050,'BalSht Data'!$G$2:$G$2050,$A25,'BalSht Data'!$A$2:$A$2050,CN$1),#N/A)</f>
        <v>#N/A</v>
      </c>
      <c r="CO25" s="45" t="e">
        <f>IF(CO$1,SUMIFS('BalSht Data'!$H$2:$H$2050,'BalSht Data'!$G$2:$G$2050,$A25,'BalSht Data'!$A$2:$A$2050,CO$1),#N/A)</f>
        <v>#N/A</v>
      </c>
      <c r="CP25" s="45" t="e">
        <f>IF(CP$1,SUMIFS('BalSht Data'!$H$2:$H$2050,'BalSht Data'!$G$2:$G$2050,$A25,'BalSht Data'!$A$2:$A$2050,CP$1),#N/A)</f>
        <v>#N/A</v>
      </c>
      <c r="CQ25" s="45" t="e">
        <f>IF(CQ$1,SUMIFS('BalSht Data'!$H$2:$H$2050,'BalSht Data'!$G$2:$G$2050,$A25,'BalSht Data'!$A$2:$A$2050,CQ$1),#N/A)</f>
        <v>#N/A</v>
      </c>
      <c r="CR25" s="45" t="e">
        <f>IF(CR$1,SUMIFS('BalSht Data'!$H$2:$H$2050,'BalSht Data'!$G$2:$G$2050,$A25,'BalSht Data'!$A$2:$A$2050,CR$1),#N/A)</f>
        <v>#N/A</v>
      </c>
      <c r="CS25" s="45" t="e">
        <f>IF(CS$1,SUMIFS('BalSht Data'!$H$2:$H$2050,'BalSht Data'!$G$2:$G$2050,$A25,'BalSht Data'!$A$2:$A$2050,CS$1),#N/A)</f>
        <v>#N/A</v>
      </c>
      <c r="CT25" s="45" t="e">
        <f>IF(CT$1,SUMIFS('BalSht Data'!$H$2:$H$2050,'BalSht Data'!$G$2:$G$2050,$A25,'BalSht Data'!$A$2:$A$2050,CT$1),#N/A)</f>
        <v>#N/A</v>
      </c>
      <c r="CU25" s="45" t="e">
        <f>IF(CU$1,SUMIFS('BalSht Data'!$H$2:$H$2050,'BalSht Data'!$G$2:$G$2050,$A25,'BalSht Data'!$A$2:$A$2050,CU$1),#N/A)</f>
        <v>#N/A</v>
      </c>
      <c r="CV25" s="45" t="e">
        <f>IF(CV$1,SUMIFS('BalSht Data'!$H$2:$H$2050,'BalSht Data'!$G$2:$G$2050,$A25,'BalSht Data'!$A$2:$A$2050,CV$1),#N/A)</f>
        <v>#N/A</v>
      </c>
      <c r="CW25" s="45" t="e">
        <f>IF(CW$1,SUMIFS('BalSht Data'!$H$2:$H$2050,'BalSht Data'!$G$2:$G$2050,$A25,'BalSht Data'!$A$2:$A$2050,CW$1),#N/A)</f>
        <v>#N/A</v>
      </c>
      <c r="CX25" s="45" t="e">
        <f>IF(CX$1,SUMIFS('BalSht Data'!$H$2:$H$2050,'BalSht Data'!$G$2:$G$2050,$A25,'BalSht Data'!$A$2:$A$2050,CX$1),#N/A)</f>
        <v>#N/A</v>
      </c>
      <c r="CY25" s="45" t="e">
        <f>IF(CY$1,SUMIFS('BalSht Data'!$H$2:$H$2050,'BalSht Data'!$G$2:$G$2050,$A25,'BalSht Data'!$A$2:$A$2050,CY$1),#N/A)</f>
        <v>#N/A</v>
      </c>
      <c r="CZ25" s="45" t="e">
        <f>IF(CZ$1,SUMIFS('BalSht Data'!$H$2:$H$2050,'BalSht Data'!$G$2:$G$2050,$A25,'BalSht Data'!$A$2:$A$2050,CZ$1),#N/A)</f>
        <v>#N/A</v>
      </c>
    </row>
    <row r="26" spans="1:104" s="44" customFormat="1" ht="15" x14ac:dyDescent="0.35">
      <c r="A26" s="56" t="s">
        <v>25</v>
      </c>
      <c r="B26" s="52" t="e">
        <f>IF(B$1,SUMIFS('BalSht Data'!$H$2:$H$2050,'BalSht Data'!$G$2:$G$2050,$A26,'BalSht Data'!$A$2:$A$2050,B$1),#N/A)</f>
        <v>#N/A</v>
      </c>
      <c r="C26" s="52" t="e">
        <f>IF(C$1,SUMIFS('BalSht Data'!$H$2:$H$2050,'BalSht Data'!$G$2:$G$2050,$A26,'BalSht Data'!$A$2:$A$2050,C$1),#N/A)</f>
        <v>#N/A</v>
      </c>
      <c r="D26" s="52" t="e">
        <f>IF(D$1,SUMIFS('BalSht Data'!$H$2:$H$2050,'BalSht Data'!$G$2:$G$2050,$A26,'BalSht Data'!$A$2:$A$2050,D$1),#N/A)</f>
        <v>#N/A</v>
      </c>
      <c r="E26" s="52" t="e">
        <f>IF(E$1,SUMIFS('BalSht Data'!$H$2:$H$2050,'BalSht Data'!$G$2:$G$2050,$A26,'BalSht Data'!$A$2:$A$2050,E$1),#N/A)</f>
        <v>#N/A</v>
      </c>
      <c r="F26" s="52" t="e">
        <f>IF(F$1,SUMIFS('BalSht Data'!$H$2:$H$2050,'BalSht Data'!$G$2:$G$2050,$A26,'BalSht Data'!$A$2:$A$2050,F$1),#N/A)</f>
        <v>#N/A</v>
      </c>
      <c r="G26" s="52" t="e">
        <f>IF(G$1,SUMIFS('BalSht Data'!$H$2:$H$2050,'BalSht Data'!$G$2:$G$2050,$A26,'BalSht Data'!$A$2:$A$2050,G$1),#N/A)</f>
        <v>#N/A</v>
      </c>
      <c r="H26" s="52" t="e">
        <f>IF(H$1,SUMIFS('BalSht Data'!$H$2:$H$2050,'BalSht Data'!$G$2:$G$2050,$A26,'BalSht Data'!$A$2:$A$2050,H$1),#N/A)</f>
        <v>#N/A</v>
      </c>
      <c r="I26" s="52" t="e">
        <f>IF(I$1,SUMIFS('BalSht Data'!$H$2:$H$2050,'BalSht Data'!$G$2:$G$2050,$A26,'BalSht Data'!$A$2:$A$2050,I$1),#N/A)</f>
        <v>#N/A</v>
      </c>
      <c r="J26" s="52" t="e">
        <f>IF(J$1,SUMIFS('BalSht Data'!$H$2:$H$2050,'BalSht Data'!$G$2:$G$2050,$A26,'BalSht Data'!$A$2:$A$2050,J$1),#N/A)</f>
        <v>#N/A</v>
      </c>
      <c r="K26" s="52" t="e">
        <f>IF(K$1,SUMIFS('BalSht Data'!$H$2:$H$2050,'BalSht Data'!$G$2:$G$2050,$A26,'BalSht Data'!$A$2:$A$2050,K$1),#N/A)</f>
        <v>#N/A</v>
      </c>
      <c r="L26" s="52" t="e">
        <f>IF(L$1,SUMIFS('BalSht Data'!$H$2:$H$2050,'BalSht Data'!$G$2:$G$2050,$A26,'BalSht Data'!$A$2:$A$2050,L$1),#N/A)</f>
        <v>#N/A</v>
      </c>
      <c r="M26" s="52" t="e">
        <f>IF(M$1,SUMIFS('BalSht Data'!$H$2:$H$2050,'BalSht Data'!$G$2:$G$2050,$A26,'BalSht Data'!$A$2:$A$2050,M$1),#N/A)</f>
        <v>#N/A</v>
      </c>
      <c r="N26" s="52" t="e">
        <f>IF(N$1,SUMIFS('BalSht Data'!$H$2:$H$2050,'BalSht Data'!$G$2:$G$2050,$A26,'BalSht Data'!$A$2:$A$2050,N$1),#N/A)</f>
        <v>#N/A</v>
      </c>
      <c r="O26" s="52" t="e">
        <f>IF(O$1,SUMIFS('BalSht Data'!$H$2:$H$2050,'BalSht Data'!$G$2:$G$2050,$A26,'BalSht Data'!$A$2:$A$2050,O$1),#N/A)</f>
        <v>#N/A</v>
      </c>
      <c r="P26" s="52" t="e">
        <f>IF(P$1,SUMIFS('BalSht Data'!$H$2:$H$2050,'BalSht Data'!$G$2:$G$2050,$A26,'BalSht Data'!$A$2:$A$2050,P$1),#N/A)</f>
        <v>#N/A</v>
      </c>
      <c r="Q26" s="52" t="e">
        <f>IF(Q$1,SUMIFS('BalSht Data'!$H$2:$H$2050,'BalSht Data'!$G$2:$G$2050,$A26,'BalSht Data'!$A$2:$A$2050,Q$1),#N/A)</f>
        <v>#N/A</v>
      </c>
      <c r="R26" s="52" t="e">
        <f>IF(R$1,SUMIFS('BalSht Data'!$H$2:$H$2050,'BalSht Data'!$G$2:$G$2050,$A26,'BalSht Data'!$A$2:$A$2050,R$1),#N/A)</f>
        <v>#N/A</v>
      </c>
      <c r="S26" s="52" t="e">
        <f>IF(S$1,SUMIFS('BalSht Data'!$H$2:$H$2050,'BalSht Data'!$G$2:$G$2050,$A26,'BalSht Data'!$A$2:$A$2050,S$1),#N/A)</f>
        <v>#N/A</v>
      </c>
      <c r="T26" s="52" t="e">
        <f>IF(T$1,SUMIFS('BalSht Data'!$H$2:$H$2050,'BalSht Data'!$G$2:$G$2050,$A26,'BalSht Data'!$A$2:$A$2050,T$1),#N/A)</f>
        <v>#N/A</v>
      </c>
      <c r="U26" s="52" t="e">
        <f>IF(U$1,SUMIFS('BalSht Data'!$H$2:$H$2050,'BalSht Data'!$G$2:$G$2050,$A26,'BalSht Data'!$A$2:$A$2050,U$1),#N/A)</f>
        <v>#N/A</v>
      </c>
      <c r="V26" s="52" t="e">
        <f>IF(V$1,SUMIFS('BalSht Data'!$H$2:$H$2050,'BalSht Data'!$G$2:$G$2050,$A26,'BalSht Data'!$A$2:$A$2050,V$1),#N/A)</f>
        <v>#N/A</v>
      </c>
      <c r="W26" s="52" t="e">
        <f>IF(W$1,SUMIFS('BalSht Data'!$H$2:$H$2050,'BalSht Data'!$G$2:$G$2050,$A26,'BalSht Data'!$A$2:$A$2050,W$1),#N/A)</f>
        <v>#N/A</v>
      </c>
      <c r="X26" s="52" t="e">
        <f>IF(X$1,SUMIFS('BalSht Data'!$H$2:$H$2050,'BalSht Data'!$G$2:$G$2050,$A26,'BalSht Data'!$A$2:$A$2050,X$1),#N/A)</f>
        <v>#N/A</v>
      </c>
      <c r="Y26" s="52" t="e">
        <f>IF(Y$1,SUMIFS('BalSht Data'!$H$2:$H$2050,'BalSht Data'!$G$2:$G$2050,$A26,'BalSht Data'!$A$2:$A$2050,Y$1),#N/A)</f>
        <v>#N/A</v>
      </c>
      <c r="Z26" s="52" t="e">
        <f>IF(Z$1,SUMIFS('BalSht Data'!$H$2:$H$2050,'BalSht Data'!$G$2:$G$2050,$A26,'BalSht Data'!$A$2:$A$2050,Z$1),#N/A)</f>
        <v>#N/A</v>
      </c>
      <c r="AA26" s="52" t="e">
        <f>IF(AA$1,SUMIFS('BalSht Data'!$H$2:$H$2050,'BalSht Data'!$G$2:$G$2050,$A26,'BalSht Data'!$A$2:$A$2050,AA$1),#N/A)</f>
        <v>#N/A</v>
      </c>
      <c r="AB26" s="52" t="e">
        <f>IF(AB$1,SUMIFS('BalSht Data'!$H$2:$H$2050,'BalSht Data'!$G$2:$G$2050,$A26,'BalSht Data'!$A$2:$A$2050,AB$1),#N/A)</f>
        <v>#N/A</v>
      </c>
      <c r="AC26" s="52" t="e">
        <f>IF(AC$1,SUMIFS('BalSht Data'!$H$2:$H$2050,'BalSht Data'!$G$2:$G$2050,$A26,'BalSht Data'!$A$2:$A$2050,AC$1),#N/A)</f>
        <v>#N/A</v>
      </c>
      <c r="AD26" s="52" t="e">
        <f>IF(AD$1,SUMIFS('BalSht Data'!$H$2:$H$2050,'BalSht Data'!$G$2:$G$2050,$A26,'BalSht Data'!$A$2:$A$2050,AD$1),#N/A)</f>
        <v>#N/A</v>
      </c>
      <c r="AE26" s="52" t="e">
        <f>IF(AE$1,SUMIFS('BalSht Data'!$H$2:$H$2050,'BalSht Data'!$G$2:$G$2050,$A26,'BalSht Data'!$A$2:$A$2050,AE$1),#N/A)</f>
        <v>#N/A</v>
      </c>
      <c r="AF26" s="52" t="e">
        <f>IF(AF$1,SUMIFS('BalSht Data'!$H$2:$H$2050,'BalSht Data'!$G$2:$G$2050,$A26,'BalSht Data'!$A$2:$A$2050,AF$1),#N/A)</f>
        <v>#N/A</v>
      </c>
      <c r="AG26" s="52" t="e">
        <f>IF(AG$1,SUMIFS('BalSht Data'!$H$2:$H$2050,'BalSht Data'!$G$2:$G$2050,$A26,'BalSht Data'!$A$2:$A$2050,AG$1),#N/A)</f>
        <v>#N/A</v>
      </c>
      <c r="AH26" s="52" t="e">
        <f>IF(AH$1,SUMIFS('BalSht Data'!$H$2:$H$2050,'BalSht Data'!$G$2:$G$2050,$A26,'BalSht Data'!$A$2:$A$2050,AH$1),#N/A)</f>
        <v>#N/A</v>
      </c>
      <c r="AI26" s="52" t="e">
        <f>IF(AI$1,SUMIFS('BalSht Data'!$H$2:$H$2050,'BalSht Data'!$G$2:$G$2050,$A26,'BalSht Data'!$A$2:$A$2050,AI$1),#N/A)</f>
        <v>#N/A</v>
      </c>
      <c r="AJ26" s="52" t="e">
        <f>IF(AJ$1,SUMIFS('BalSht Data'!$H$2:$H$2050,'BalSht Data'!$G$2:$G$2050,$A26,'BalSht Data'!$A$2:$A$2050,AJ$1),#N/A)</f>
        <v>#N/A</v>
      </c>
      <c r="AK26" s="52" t="e">
        <f>IF(AK$1,SUMIFS('BalSht Data'!$H$2:$H$2050,'BalSht Data'!$G$2:$G$2050,$A26,'BalSht Data'!$A$2:$A$2050,AK$1),#N/A)</f>
        <v>#N/A</v>
      </c>
      <c r="AL26" s="52" t="e">
        <f>IF(AL$1,SUMIFS('BalSht Data'!$H$2:$H$2050,'BalSht Data'!$G$2:$G$2050,$A26,'BalSht Data'!$A$2:$A$2050,AL$1),#N/A)</f>
        <v>#N/A</v>
      </c>
      <c r="AM26" s="52" t="e">
        <f>IF(AM$1,SUMIFS('BalSht Data'!$H$2:$H$2050,'BalSht Data'!$G$2:$G$2050,$A26,'BalSht Data'!$A$2:$A$2050,AM$1),#N/A)</f>
        <v>#N/A</v>
      </c>
      <c r="AN26" s="52" t="e">
        <f>IF(AN$1,SUMIFS('BalSht Data'!$H$2:$H$2050,'BalSht Data'!$G$2:$G$2050,$A26,'BalSht Data'!$A$2:$A$2050,AN$1),#N/A)</f>
        <v>#N/A</v>
      </c>
      <c r="AO26" s="52" t="e">
        <f>IF(AO$1,SUMIFS('BalSht Data'!$H$2:$H$2050,'BalSht Data'!$G$2:$G$2050,$A26,'BalSht Data'!$A$2:$A$2050,AO$1),#N/A)</f>
        <v>#N/A</v>
      </c>
      <c r="AP26" s="52" t="e">
        <f>IF(AP$1,SUMIFS('BalSht Data'!$H$2:$H$2050,'BalSht Data'!$G$2:$G$2050,$A26,'BalSht Data'!$A$2:$A$2050,AP$1),#N/A)</f>
        <v>#N/A</v>
      </c>
      <c r="AQ26" s="52" t="e">
        <f>IF(AQ$1,SUMIFS('BalSht Data'!$H$2:$H$2050,'BalSht Data'!$G$2:$G$2050,$A26,'BalSht Data'!$A$2:$A$2050,AQ$1),#N/A)</f>
        <v>#N/A</v>
      </c>
      <c r="AR26" s="52" t="e">
        <f>IF(AR$1,SUMIFS('BalSht Data'!$H$2:$H$2050,'BalSht Data'!$G$2:$G$2050,$A26,'BalSht Data'!$A$2:$A$2050,AR$1),#N/A)</f>
        <v>#N/A</v>
      </c>
      <c r="AS26" s="52" t="e">
        <f>IF(AS$1,SUMIFS('BalSht Data'!$H$2:$H$2050,'BalSht Data'!$G$2:$G$2050,$A26,'BalSht Data'!$A$2:$A$2050,AS$1),#N/A)</f>
        <v>#N/A</v>
      </c>
      <c r="AT26" s="52" t="e">
        <f>IF(AT$1,SUMIFS('BalSht Data'!$H$2:$H$2050,'BalSht Data'!$G$2:$G$2050,$A26,'BalSht Data'!$A$2:$A$2050,AT$1),#N/A)</f>
        <v>#N/A</v>
      </c>
      <c r="AU26" s="52" t="e">
        <f>IF(AU$1,SUMIFS('BalSht Data'!$H$2:$H$2050,'BalSht Data'!$G$2:$G$2050,$A26,'BalSht Data'!$A$2:$A$2050,AU$1),#N/A)</f>
        <v>#N/A</v>
      </c>
      <c r="AV26" s="52" t="e">
        <f>IF(AV$1,SUMIFS('BalSht Data'!$H$2:$H$2050,'BalSht Data'!$G$2:$G$2050,$A26,'BalSht Data'!$A$2:$A$2050,AV$1),#N/A)</f>
        <v>#N/A</v>
      </c>
      <c r="AW26" s="52" t="e">
        <f>IF(AW$1,SUMIFS('BalSht Data'!$H$2:$H$2050,'BalSht Data'!$G$2:$G$2050,$A26,'BalSht Data'!$A$2:$A$2050,AW$1),#N/A)</f>
        <v>#N/A</v>
      </c>
      <c r="AX26" s="52" t="e">
        <f>IF(AX$1,SUMIFS('BalSht Data'!$H$2:$H$2050,'BalSht Data'!$G$2:$G$2050,$A26,'BalSht Data'!$A$2:$A$2050,AX$1),#N/A)</f>
        <v>#N/A</v>
      </c>
      <c r="AY26" s="52" t="e">
        <f>IF(AY$1,SUMIFS('BalSht Data'!$H$2:$H$2050,'BalSht Data'!$G$2:$G$2050,$A26,'BalSht Data'!$A$2:$A$2050,AY$1),#N/A)</f>
        <v>#N/A</v>
      </c>
      <c r="AZ26" s="52" t="e">
        <f>IF(AZ$1,SUMIFS('BalSht Data'!$H$2:$H$2050,'BalSht Data'!$G$2:$G$2050,$A26,'BalSht Data'!$A$2:$A$2050,AZ$1),#N/A)</f>
        <v>#N/A</v>
      </c>
      <c r="BA26" s="52" t="e">
        <f>IF(BA$1,SUMIFS('BalSht Data'!$H$2:$H$2050,'BalSht Data'!$G$2:$G$2050,$A26,'BalSht Data'!$A$2:$A$2050,BA$1),#N/A)</f>
        <v>#N/A</v>
      </c>
      <c r="BB26" s="52" t="e">
        <f>IF(BB$1,SUMIFS('BalSht Data'!$H$2:$H$2050,'BalSht Data'!$G$2:$G$2050,$A26,'BalSht Data'!$A$2:$A$2050,BB$1),#N/A)</f>
        <v>#N/A</v>
      </c>
      <c r="BC26" s="52" t="e">
        <f>IF(BC$1,SUMIFS('BalSht Data'!$H$2:$H$2050,'BalSht Data'!$G$2:$G$2050,$A26,'BalSht Data'!$A$2:$A$2050,BC$1),#N/A)</f>
        <v>#N/A</v>
      </c>
      <c r="BD26" s="52" t="e">
        <f>IF(BD$1,SUMIFS('BalSht Data'!$H$2:$H$2050,'BalSht Data'!$G$2:$G$2050,$A26,'BalSht Data'!$A$2:$A$2050,BD$1),#N/A)</f>
        <v>#N/A</v>
      </c>
      <c r="BE26" s="52" t="e">
        <f>IF(BE$1,SUMIFS('BalSht Data'!$H$2:$H$2050,'BalSht Data'!$G$2:$G$2050,$A26,'BalSht Data'!$A$2:$A$2050,BE$1),#N/A)</f>
        <v>#N/A</v>
      </c>
      <c r="BF26" s="52" t="e">
        <f>IF(BF$1,SUMIFS('BalSht Data'!$H$2:$H$2050,'BalSht Data'!$G$2:$G$2050,$A26,'BalSht Data'!$A$2:$A$2050,BF$1),#N/A)</f>
        <v>#N/A</v>
      </c>
      <c r="BG26" s="52" t="e">
        <f>IF(BG$1,SUMIFS('BalSht Data'!$H$2:$H$2050,'BalSht Data'!$G$2:$G$2050,$A26,'BalSht Data'!$A$2:$A$2050,BG$1),#N/A)</f>
        <v>#N/A</v>
      </c>
      <c r="BH26" s="52" t="e">
        <f>IF(BH$1,SUMIFS('BalSht Data'!$H$2:$H$2050,'BalSht Data'!$G$2:$G$2050,$A26,'BalSht Data'!$A$2:$A$2050,BH$1),#N/A)</f>
        <v>#N/A</v>
      </c>
      <c r="BI26" s="52" t="e">
        <f>IF(BI$1,SUMIFS('BalSht Data'!$H$2:$H$2050,'BalSht Data'!$G$2:$G$2050,$A26,'BalSht Data'!$A$2:$A$2050,BI$1),#N/A)</f>
        <v>#N/A</v>
      </c>
      <c r="BJ26" s="52" t="e">
        <f>IF(BJ$1,SUMIFS('BalSht Data'!$H$2:$H$2050,'BalSht Data'!$G$2:$G$2050,$A26,'BalSht Data'!$A$2:$A$2050,BJ$1),#N/A)</f>
        <v>#N/A</v>
      </c>
      <c r="BK26" s="52" t="e">
        <f>IF(BK$1,SUMIFS('BalSht Data'!$H$2:$H$2050,'BalSht Data'!$G$2:$G$2050,$A26,'BalSht Data'!$A$2:$A$2050,BK$1),#N/A)</f>
        <v>#N/A</v>
      </c>
      <c r="BL26" s="52" t="e">
        <f>IF(BL$1,SUMIFS('BalSht Data'!$H$2:$H$2050,'BalSht Data'!$G$2:$G$2050,$A26,'BalSht Data'!$A$2:$A$2050,BL$1),#N/A)</f>
        <v>#N/A</v>
      </c>
      <c r="BM26" s="52" t="e">
        <f>IF(BM$1,SUMIFS('BalSht Data'!$H$2:$H$2050,'BalSht Data'!$G$2:$G$2050,$A26,'BalSht Data'!$A$2:$A$2050,BM$1),#N/A)</f>
        <v>#N/A</v>
      </c>
      <c r="BN26" s="52" t="e">
        <f>IF(BN$1,SUMIFS('BalSht Data'!$H$2:$H$2050,'BalSht Data'!$G$2:$G$2050,$A26,'BalSht Data'!$A$2:$A$2050,BN$1),#N/A)</f>
        <v>#N/A</v>
      </c>
      <c r="BO26" s="52" t="e">
        <f>IF(BO$1,SUMIFS('BalSht Data'!$H$2:$H$2050,'BalSht Data'!$G$2:$G$2050,$A26,'BalSht Data'!$A$2:$A$2050,BO$1),#N/A)</f>
        <v>#N/A</v>
      </c>
      <c r="BP26" s="52" t="e">
        <f>IF(BP$1,SUMIFS('BalSht Data'!$H$2:$H$2050,'BalSht Data'!$G$2:$G$2050,$A26,'BalSht Data'!$A$2:$A$2050,BP$1),#N/A)</f>
        <v>#N/A</v>
      </c>
      <c r="BQ26" s="52" t="e">
        <f>IF(BQ$1,SUMIFS('BalSht Data'!$H$2:$H$2050,'BalSht Data'!$G$2:$G$2050,$A26,'BalSht Data'!$A$2:$A$2050,BQ$1),#N/A)</f>
        <v>#N/A</v>
      </c>
      <c r="BR26" s="52" t="e">
        <f>IF(BR$1,SUMIFS('BalSht Data'!$H$2:$H$2050,'BalSht Data'!$G$2:$G$2050,$A26,'BalSht Data'!$A$2:$A$2050,BR$1),#N/A)</f>
        <v>#N/A</v>
      </c>
      <c r="BS26" s="52" t="e">
        <f>IF(BS$1,SUMIFS('BalSht Data'!$H$2:$H$2050,'BalSht Data'!$G$2:$G$2050,$A26,'BalSht Data'!$A$2:$A$2050,BS$1),#N/A)</f>
        <v>#N/A</v>
      </c>
      <c r="BT26" s="52" t="e">
        <f>IF(BT$1,SUMIFS('BalSht Data'!$H$2:$H$2050,'BalSht Data'!$G$2:$G$2050,$A26,'BalSht Data'!$A$2:$A$2050,BT$1),#N/A)</f>
        <v>#N/A</v>
      </c>
      <c r="BU26" s="52" t="e">
        <f>IF(BU$1,SUMIFS('BalSht Data'!$H$2:$H$2050,'BalSht Data'!$G$2:$G$2050,$A26,'BalSht Data'!$A$2:$A$2050,BU$1),#N/A)</f>
        <v>#N/A</v>
      </c>
      <c r="BV26" s="52" t="e">
        <f>IF(BV$1,SUMIFS('BalSht Data'!$H$2:$H$2050,'BalSht Data'!$G$2:$G$2050,$A26,'BalSht Data'!$A$2:$A$2050,BV$1),#N/A)</f>
        <v>#N/A</v>
      </c>
      <c r="BW26" s="52" t="e">
        <f>IF(BW$1,SUMIFS('BalSht Data'!$H$2:$H$2050,'BalSht Data'!$G$2:$G$2050,$A26,'BalSht Data'!$A$2:$A$2050,BW$1),#N/A)</f>
        <v>#N/A</v>
      </c>
      <c r="BX26" s="52" t="e">
        <f>IF(BX$1,SUMIFS('BalSht Data'!$H$2:$H$2050,'BalSht Data'!$G$2:$G$2050,$A26,'BalSht Data'!$A$2:$A$2050,BX$1),#N/A)</f>
        <v>#N/A</v>
      </c>
      <c r="BY26" s="52" t="e">
        <f>IF(BY$1,SUMIFS('BalSht Data'!$H$2:$H$2050,'BalSht Data'!$G$2:$G$2050,$A26,'BalSht Data'!$A$2:$A$2050,BY$1),#N/A)</f>
        <v>#N/A</v>
      </c>
      <c r="BZ26" s="52" t="e">
        <f>IF(BZ$1,SUMIFS('BalSht Data'!$H$2:$H$2050,'BalSht Data'!$G$2:$G$2050,$A26,'BalSht Data'!$A$2:$A$2050,BZ$1),#N/A)</f>
        <v>#N/A</v>
      </c>
      <c r="CA26" s="52" t="e">
        <f>IF(CA$1,SUMIFS('BalSht Data'!$H$2:$H$2050,'BalSht Data'!$G$2:$G$2050,$A26,'BalSht Data'!$A$2:$A$2050,CA$1),#N/A)</f>
        <v>#N/A</v>
      </c>
      <c r="CB26" s="52" t="e">
        <f>IF(CB$1,SUMIFS('BalSht Data'!$H$2:$H$2050,'BalSht Data'!$G$2:$G$2050,$A26,'BalSht Data'!$A$2:$A$2050,CB$1),#N/A)</f>
        <v>#N/A</v>
      </c>
      <c r="CC26" s="52" t="e">
        <f>IF(CC$1,SUMIFS('BalSht Data'!$H$2:$H$2050,'BalSht Data'!$G$2:$G$2050,$A26,'BalSht Data'!$A$2:$A$2050,CC$1),#N/A)</f>
        <v>#N/A</v>
      </c>
      <c r="CD26" s="52" t="e">
        <f>IF(CD$1,SUMIFS('BalSht Data'!$H$2:$H$2050,'BalSht Data'!$G$2:$G$2050,$A26,'BalSht Data'!$A$2:$A$2050,CD$1),#N/A)</f>
        <v>#N/A</v>
      </c>
      <c r="CE26" s="52" t="e">
        <f>IF(CE$1,SUMIFS('BalSht Data'!$H$2:$H$2050,'BalSht Data'!$G$2:$G$2050,$A26,'BalSht Data'!$A$2:$A$2050,CE$1),#N/A)</f>
        <v>#N/A</v>
      </c>
      <c r="CF26" s="52" t="e">
        <f>IF(CF$1,SUMIFS('BalSht Data'!$H$2:$H$2050,'BalSht Data'!$G$2:$G$2050,$A26,'BalSht Data'!$A$2:$A$2050,CF$1),#N/A)</f>
        <v>#N/A</v>
      </c>
      <c r="CG26" s="52" t="e">
        <f>IF(CG$1,SUMIFS('BalSht Data'!$H$2:$H$2050,'BalSht Data'!$G$2:$G$2050,$A26,'BalSht Data'!$A$2:$A$2050,CG$1),#N/A)</f>
        <v>#N/A</v>
      </c>
      <c r="CH26" s="52" t="e">
        <f>IF(CH$1,SUMIFS('BalSht Data'!$H$2:$H$2050,'BalSht Data'!$G$2:$G$2050,$A26,'BalSht Data'!$A$2:$A$2050,CH$1),#N/A)</f>
        <v>#N/A</v>
      </c>
      <c r="CI26" s="52" t="e">
        <f>IF(CI$1,SUMIFS('BalSht Data'!$H$2:$H$2050,'BalSht Data'!$G$2:$G$2050,$A26,'BalSht Data'!$A$2:$A$2050,CI$1),#N/A)</f>
        <v>#N/A</v>
      </c>
      <c r="CJ26" s="52" t="e">
        <f>IF(CJ$1,SUMIFS('BalSht Data'!$H$2:$H$2050,'BalSht Data'!$G$2:$G$2050,$A26,'BalSht Data'!$A$2:$A$2050,CJ$1),#N/A)</f>
        <v>#N/A</v>
      </c>
      <c r="CK26" s="52" t="e">
        <f>IF(CK$1,SUMIFS('BalSht Data'!$H$2:$H$2050,'BalSht Data'!$G$2:$G$2050,$A26,'BalSht Data'!$A$2:$A$2050,CK$1),#N/A)</f>
        <v>#N/A</v>
      </c>
      <c r="CL26" s="52" t="e">
        <f>IF(CL$1,SUMIFS('BalSht Data'!$H$2:$H$2050,'BalSht Data'!$G$2:$G$2050,$A26,'BalSht Data'!$A$2:$A$2050,CL$1),#N/A)</f>
        <v>#N/A</v>
      </c>
      <c r="CM26" s="52" t="e">
        <f>IF(CM$1,SUMIFS('BalSht Data'!$H$2:$H$2050,'BalSht Data'!$G$2:$G$2050,$A26,'BalSht Data'!$A$2:$A$2050,CM$1),#N/A)</f>
        <v>#N/A</v>
      </c>
      <c r="CN26" s="52" t="e">
        <f>IF(CN$1,SUMIFS('BalSht Data'!$H$2:$H$2050,'BalSht Data'!$G$2:$G$2050,$A26,'BalSht Data'!$A$2:$A$2050,CN$1),#N/A)</f>
        <v>#N/A</v>
      </c>
      <c r="CO26" s="52" t="e">
        <f>IF(CO$1,SUMIFS('BalSht Data'!$H$2:$H$2050,'BalSht Data'!$G$2:$G$2050,$A26,'BalSht Data'!$A$2:$A$2050,CO$1),#N/A)</f>
        <v>#N/A</v>
      </c>
      <c r="CP26" s="52" t="e">
        <f>IF(CP$1,SUMIFS('BalSht Data'!$H$2:$H$2050,'BalSht Data'!$G$2:$G$2050,$A26,'BalSht Data'!$A$2:$A$2050,CP$1),#N/A)</f>
        <v>#N/A</v>
      </c>
      <c r="CQ26" s="52" t="e">
        <f>IF(CQ$1,SUMIFS('BalSht Data'!$H$2:$H$2050,'BalSht Data'!$G$2:$G$2050,$A26,'BalSht Data'!$A$2:$A$2050,CQ$1),#N/A)</f>
        <v>#N/A</v>
      </c>
      <c r="CR26" s="52" t="e">
        <f>IF(CR$1,SUMIFS('BalSht Data'!$H$2:$H$2050,'BalSht Data'!$G$2:$G$2050,$A26,'BalSht Data'!$A$2:$A$2050,CR$1),#N/A)</f>
        <v>#N/A</v>
      </c>
      <c r="CS26" s="52" t="e">
        <f>IF(CS$1,SUMIFS('BalSht Data'!$H$2:$H$2050,'BalSht Data'!$G$2:$G$2050,$A26,'BalSht Data'!$A$2:$A$2050,CS$1),#N/A)</f>
        <v>#N/A</v>
      </c>
      <c r="CT26" s="52" t="e">
        <f>IF(CT$1,SUMIFS('BalSht Data'!$H$2:$H$2050,'BalSht Data'!$G$2:$G$2050,$A26,'BalSht Data'!$A$2:$A$2050,CT$1),#N/A)</f>
        <v>#N/A</v>
      </c>
      <c r="CU26" s="52" t="e">
        <f>IF(CU$1,SUMIFS('BalSht Data'!$H$2:$H$2050,'BalSht Data'!$G$2:$G$2050,$A26,'BalSht Data'!$A$2:$A$2050,CU$1),#N/A)</f>
        <v>#N/A</v>
      </c>
      <c r="CV26" s="52" t="e">
        <f>IF(CV$1,SUMIFS('BalSht Data'!$H$2:$H$2050,'BalSht Data'!$G$2:$G$2050,$A26,'BalSht Data'!$A$2:$A$2050,CV$1),#N/A)</f>
        <v>#N/A</v>
      </c>
      <c r="CW26" s="52" t="e">
        <f>IF(CW$1,SUMIFS('BalSht Data'!$H$2:$H$2050,'BalSht Data'!$G$2:$G$2050,$A26,'BalSht Data'!$A$2:$A$2050,CW$1),#N/A)</f>
        <v>#N/A</v>
      </c>
      <c r="CX26" s="52" t="e">
        <f>IF(CX$1,SUMIFS('BalSht Data'!$H$2:$H$2050,'BalSht Data'!$G$2:$G$2050,$A26,'BalSht Data'!$A$2:$A$2050,CX$1),#N/A)</f>
        <v>#N/A</v>
      </c>
      <c r="CY26" s="52" t="e">
        <f>IF(CY$1,SUMIFS('BalSht Data'!$H$2:$H$2050,'BalSht Data'!$G$2:$G$2050,$A26,'BalSht Data'!$A$2:$A$2050,CY$1),#N/A)</f>
        <v>#N/A</v>
      </c>
      <c r="CZ26" s="52" t="e">
        <f>IF(CZ$1,SUMIFS('BalSht Data'!$H$2:$H$2050,'BalSht Data'!$G$2:$G$2050,$A26,'BalSht Data'!$A$2:$A$2050,CZ$1),#N/A)</f>
        <v>#N/A</v>
      </c>
    </row>
    <row r="27" spans="1:104" s="42" customFormat="1" x14ac:dyDescent="0.2">
      <c r="A27" s="5"/>
      <c r="B27" s="45"/>
      <c r="C27" s="45"/>
      <c r="D27" s="45"/>
      <c r="E27" s="45"/>
      <c r="F27" s="45"/>
      <c r="G27" s="45"/>
      <c r="H27" s="45"/>
      <c r="I27" s="45"/>
      <c r="J27" s="45"/>
      <c r="K27" s="45"/>
      <c r="L27" s="45"/>
      <c r="M27" s="45"/>
      <c r="N27" s="45"/>
      <c r="O27" s="45"/>
      <c r="P27" s="45"/>
      <c r="Q27" s="45"/>
      <c r="R27" s="45"/>
      <c r="S27" s="45"/>
      <c r="T27" s="45"/>
      <c r="U27" s="45"/>
      <c r="V27" s="45"/>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c r="BJ27" s="45"/>
      <c r="BK27" s="45"/>
      <c r="BL27" s="45"/>
      <c r="BM27" s="45"/>
      <c r="BN27" s="45"/>
      <c r="BO27" s="45"/>
      <c r="BP27" s="45"/>
      <c r="BQ27" s="45"/>
      <c r="BR27" s="45"/>
      <c r="BS27" s="45"/>
      <c r="BT27" s="45"/>
      <c r="BU27" s="45"/>
      <c r="BV27" s="45"/>
      <c r="BW27" s="45"/>
      <c r="BX27" s="45"/>
      <c r="BY27" s="45"/>
      <c r="BZ27" s="45"/>
      <c r="CA27" s="45"/>
      <c r="CB27" s="45"/>
      <c r="CC27" s="45"/>
      <c r="CD27" s="45"/>
      <c r="CE27" s="45"/>
      <c r="CF27" s="45"/>
      <c r="CG27" s="45"/>
      <c r="CH27" s="45"/>
      <c r="CI27" s="45"/>
      <c r="CJ27" s="45"/>
      <c r="CK27" s="45"/>
      <c r="CL27" s="45"/>
      <c r="CM27" s="45"/>
      <c r="CN27" s="45"/>
      <c r="CO27" s="45"/>
      <c r="CP27" s="45"/>
      <c r="CQ27" s="45"/>
      <c r="CR27" s="45"/>
      <c r="CS27" s="45"/>
      <c r="CT27" s="45"/>
      <c r="CU27" s="45"/>
      <c r="CV27" s="45"/>
      <c r="CW27" s="45"/>
      <c r="CX27" s="45"/>
      <c r="CY27" s="45"/>
      <c r="CZ27" s="45"/>
    </row>
    <row r="28" spans="1:104" s="53" customFormat="1" ht="15" x14ac:dyDescent="0.35">
      <c r="A28" s="61" t="s">
        <v>148</v>
      </c>
      <c r="B28" s="46" t="e">
        <f t="shared" ref="B28" si="8">+B15+SUM(B18:B26)</f>
        <v>#N/A</v>
      </c>
      <c r="C28" s="46" t="e">
        <f>+C15+SUM(C18:C26)</f>
        <v>#N/A</v>
      </c>
      <c r="D28" s="46" t="e">
        <f t="shared" ref="D28:BN28" si="9">+D15+SUM(D18:D26)</f>
        <v>#N/A</v>
      </c>
      <c r="E28" s="46" t="e">
        <f t="shared" si="9"/>
        <v>#N/A</v>
      </c>
      <c r="F28" s="46" t="e">
        <f t="shared" si="9"/>
        <v>#N/A</v>
      </c>
      <c r="G28" s="46" t="e">
        <f t="shared" si="9"/>
        <v>#N/A</v>
      </c>
      <c r="H28" s="46" t="e">
        <f t="shared" si="9"/>
        <v>#N/A</v>
      </c>
      <c r="I28" s="46" t="e">
        <f t="shared" si="9"/>
        <v>#N/A</v>
      </c>
      <c r="J28" s="46" t="e">
        <f t="shared" si="9"/>
        <v>#N/A</v>
      </c>
      <c r="K28" s="46" t="e">
        <f t="shared" si="9"/>
        <v>#N/A</v>
      </c>
      <c r="L28" s="46" t="e">
        <f t="shared" si="9"/>
        <v>#N/A</v>
      </c>
      <c r="M28" s="46" t="e">
        <f t="shared" si="9"/>
        <v>#N/A</v>
      </c>
      <c r="N28" s="46" t="e">
        <f t="shared" si="9"/>
        <v>#N/A</v>
      </c>
      <c r="O28" s="46" t="e">
        <f t="shared" si="9"/>
        <v>#N/A</v>
      </c>
      <c r="P28" s="46" t="e">
        <f t="shared" si="9"/>
        <v>#N/A</v>
      </c>
      <c r="Q28" s="46" t="e">
        <f t="shared" si="9"/>
        <v>#N/A</v>
      </c>
      <c r="R28" s="46" t="e">
        <f t="shared" si="9"/>
        <v>#N/A</v>
      </c>
      <c r="S28" s="46" t="e">
        <f t="shared" si="9"/>
        <v>#N/A</v>
      </c>
      <c r="T28" s="46" t="e">
        <f t="shared" si="9"/>
        <v>#N/A</v>
      </c>
      <c r="U28" s="46" t="e">
        <f t="shared" si="9"/>
        <v>#N/A</v>
      </c>
      <c r="V28" s="46" t="e">
        <f t="shared" si="9"/>
        <v>#N/A</v>
      </c>
      <c r="W28" s="46" t="e">
        <f t="shared" si="9"/>
        <v>#N/A</v>
      </c>
      <c r="X28" s="46" t="e">
        <f t="shared" si="9"/>
        <v>#N/A</v>
      </c>
      <c r="Y28" s="46" t="e">
        <f t="shared" si="9"/>
        <v>#N/A</v>
      </c>
      <c r="Z28" s="46" t="e">
        <f t="shared" si="9"/>
        <v>#N/A</v>
      </c>
      <c r="AA28" s="46" t="e">
        <f t="shared" si="9"/>
        <v>#N/A</v>
      </c>
      <c r="AB28" s="46" t="e">
        <f t="shared" si="9"/>
        <v>#N/A</v>
      </c>
      <c r="AC28" s="46" t="e">
        <f t="shared" si="9"/>
        <v>#N/A</v>
      </c>
      <c r="AD28" s="46" t="e">
        <f t="shared" si="9"/>
        <v>#N/A</v>
      </c>
      <c r="AE28" s="46" t="e">
        <f t="shared" si="9"/>
        <v>#N/A</v>
      </c>
      <c r="AF28" s="46" t="e">
        <f t="shared" si="9"/>
        <v>#N/A</v>
      </c>
      <c r="AG28" s="46" t="e">
        <f t="shared" si="9"/>
        <v>#N/A</v>
      </c>
      <c r="AH28" s="46" t="e">
        <f t="shared" si="9"/>
        <v>#N/A</v>
      </c>
      <c r="AI28" s="46" t="e">
        <f t="shared" si="9"/>
        <v>#N/A</v>
      </c>
      <c r="AJ28" s="46" t="e">
        <f t="shared" si="9"/>
        <v>#N/A</v>
      </c>
      <c r="AK28" s="46" t="e">
        <f t="shared" si="9"/>
        <v>#N/A</v>
      </c>
      <c r="AL28" s="46" t="e">
        <f t="shared" si="9"/>
        <v>#N/A</v>
      </c>
      <c r="AM28" s="46" t="e">
        <f t="shared" si="9"/>
        <v>#N/A</v>
      </c>
      <c r="AN28" s="46" t="e">
        <f t="shared" si="9"/>
        <v>#N/A</v>
      </c>
      <c r="AO28" s="46" t="e">
        <f t="shared" si="9"/>
        <v>#N/A</v>
      </c>
      <c r="AP28" s="46" t="e">
        <f t="shared" si="9"/>
        <v>#N/A</v>
      </c>
      <c r="AQ28" s="46" t="e">
        <f t="shared" si="9"/>
        <v>#N/A</v>
      </c>
      <c r="AR28" s="46" t="e">
        <f t="shared" si="9"/>
        <v>#N/A</v>
      </c>
      <c r="AS28" s="46" t="e">
        <f t="shared" si="9"/>
        <v>#N/A</v>
      </c>
      <c r="AT28" s="46" t="e">
        <f t="shared" si="9"/>
        <v>#N/A</v>
      </c>
      <c r="AU28" s="46" t="e">
        <f t="shared" si="9"/>
        <v>#N/A</v>
      </c>
      <c r="AV28" s="46" t="e">
        <f t="shared" si="9"/>
        <v>#N/A</v>
      </c>
      <c r="AW28" s="46" t="e">
        <f t="shared" si="9"/>
        <v>#N/A</v>
      </c>
      <c r="AX28" s="46" t="e">
        <f t="shared" si="9"/>
        <v>#N/A</v>
      </c>
      <c r="AY28" s="46" t="e">
        <f t="shared" si="9"/>
        <v>#N/A</v>
      </c>
      <c r="AZ28" s="46" t="e">
        <f t="shared" si="9"/>
        <v>#N/A</v>
      </c>
      <c r="BA28" s="46" t="e">
        <f t="shared" si="9"/>
        <v>#N/A</v>
      </c>
      <c r="BB28" s="46" t="e">
        <f t="shared" si="9"/>
        <v>#N/A</v>
      </c>
      <c r="BC28" s="46" t="e">
        <f t="shared" si="9"/>
        <v>#N/A</v>
      </c>
      <c r="BD28" s="46" t="e">
        <f t="shared" si="9"/>
        <v>#N/A</v>
      </c>
      <c r="BE28" s="46" t="e">
        <f t="shared" si="9"/>
        <v>#N/A</v>
      </c>
      <c r="BF28" s="46" t="e">
        <f t="shared" si="9"/>
        <v>#N/A</v>
      </c>
      <c r="BG28" s="46" t="e">
        <f t="shared" si="9"/>
        <v>#N/A</v>
      </c>
      <c r="BH28" s="46" t="e">
        <f t="shared" si="9"/>
        <v>#N/A</v>
      </c>
      <c r="BI28" s="46" t="e">
        <f t="shared" si="9"/>
        <v>#N/A</v>
      </c>
      <c r="BJ28" s="46" t="e">
        <f t="shared" si="9"/>
        <v>#N/A</v>
      </c>
      <c r="BK28" s="46" t="e">
        <f t="shared" si="9"/>
        <v>#N/A</v>
      </c>
      <c r="BL28" s="46" t="e">
        <f t="shared" si="9"/>
        <v>#N/A</v>
      </c>
      <c r="BM28" s="46" t="e">
        <f t="shared" si="9"/>
        <v>#N/A</v>
      </c>
      <c r="BN28" s="46" t="e">
        <f t="shared" si="9"/>
        <v>#N/A</v>
      </c>
      <c r="BO28" s="46" t="e">
        <f t="shared" ref="BO28:CZ28" si="10">+BO15+SUM(BO18:BO26)</f>
        <v>#N/A</v>
      </c>
      <c r="BP28" s="46" t="e">
        <f t="shared" si="10"/>
        <v>#N/A</v>
      </c>
      <c r="BQ28" s="46" t="e">
        <f t="shared" si="10"/>
        <v>#N/A</v>
      </c>
      <c r="BR28" s="46" t="e">
        <f t="shared" si="10"/>
        <v>#N/A</v>
      </c>
      <c r="BS28" s="46" t="e">
        <f t="shared" si="10"/>
        <v>#N/A</v>
      </c>
      <c r="BT28" s="46" t="e">
        <f t="shared" si="10"/>
        <v>#N/A</v>
      </c>
      <c r="BU28" s="46" t="e">
        <f t="shared" si="10"/>
        <v>#N/A</v>
      </c>
      <c r="BV28" s="46" t="e">
        <f t="shared" si="10"/>
        <v>#N/A</v>
      </c>
      <c r="BW28" s="46" t="e">
        <f t="shared" si="10"/>
        <v>#N/A</v>
      </c>
      <c r="BX28" s="46" t="e">
        <f t="shared" si="10"/>
        <v>#N/A</v>
      </c>
      <c r="BY28" s="46" t="e">
        <f t="shared" si="10"/>
        <v>#N/A</v>
      </c>
      <c r="BZ28" s="46" t="e">
        <f t="shared" si="10"/>
        <v>#N/A</v>
      </c>
      <c r="CA28" s="46" t="e">
        <f t="shared" si="10"/>
        <v>#N/A</v>
      </c>
      <c r="CB28" s="46" t="e">
        <f t="shared" si="10"/>
        <v>#N/A</v>
      </c>
      <c r="CC28" s="46" t="e">
        <f t="shared" si="10"/>
        <v>#N/A</v>
      </c>
      <c r="CD28" s="46" t="e">
        <f t="shared" si="10"/>
        <v>#N/A</v>
      </c>
      <c r="CE28" s="46" t="e">
        <f t="shared" si="10"/>
        <v>#N/A</v>
      </c>
      <c r="CF28" s="46" t="e">
        <f t="shared" si="10"/>
        <v>#N/A</v>
      </c>
      <c r="CG28" s="46" t="e">
        <f t="shared" si="10"/>
        <v>#N/A</v>
      </c>
      <c r="CH28" s="46" t="e">
        <f t="shared" si="10"/>
        <v>#N/A</v>
      </c>
      <c r="CI28" s="46" t="e">
        <f t="shared" si="10"/>
        <v>#N/A</v>
      </c>
      <c r="CJ28" s="46" t="e">
        <f t="shared" si="10"/>
        <v>#N/A</v>
      </c>
      <c r="CK28" s="46" t="e">
        <f t="shared" si="10"/>
        <v>#N/A</v>
      </c>
      <c r="CL28" s="46" t="e">
        <f t="shared" si="10"/>
        <v>#N/A</v>
      </c>
      <c r="CM28" s="46" t="e">
        <f t="shared" si="10"/>
        <v>#N/A</v>
      </c>
      <c r="CN28" s="46" t="e">
        <f t="shared" si="10"/>
        <v>#N/A</v>
      </c>
      <c r="CO28" s="46" t="e">
        <f t="shared" si="10"/>
        <v>#N/A</v>
      </c>
      <c r="CP28" s="46" t="e">
        <f t="shared" si="10"/>
        <v>#N/A</v>
      </c>
      <c r="CQ28" s="46" t="e">
        <f t="shared" si="10"/>
        <v>#N/A</v>
      </c>
      <c r="CR28" s="46" t="e">
        <f t="shared" si="10"/>
        <v>#N/A</v>
      </c>
      <c r="CS28" s="46" t="e">
        <f t="shared" si="10"/>
        <v>#N/A</v>
      </c>
      <c r="CT28" s="46" t="e">
        <f t="shared" si="10"/>
        <v>#N/A</v>
      </c>
      <c r="CU28" s="46" t="e">
        <f t="shared" si="10"/>
        <v>#N/A</v>
      </c>
      <c r="CV28" s="46" t="e">
        <f t="shared" si="10"/>
        <v>#N/A</v>
      </c>
      <c r="CW28" s="46" t="e">
        <f t="shared" si="10"/>
        <v>#N/A</v>
      </c>
      <c r="CX28" s="46" t="e">
        <f t="shared" si="10"/>
        <v>#N/A</v>
      </c>
      <c r="CY28" s="46" t="e">
        <f t="shared" si="10"/>
        <v>#N/A</v>
      </c>
      <c r="CZ28" s="46" t="e">
        <f t="shared" si="10"/>
        <v>#N/A</v>
      </c>
    </row>
    <row r="29" spans="1:104" s="42" customFormat="1" x14ac:dyDescent="0.2">
      <c r="A29" s="3"/>
      <c r="B29" s="45"/>
      <c r="C29" s="45"/>
      <c r="D29" s="45"/>
      <c r="E29" s="45"/>
      <c r="F29" s="45"/>
      <c r="G29" s="45"/>
      <c r="H29" s="45"/>
      <c r="I29" s="45"/>
      <c r="J29" s="45"/>
      <c r="K29" s="45"/>
      <c r="L29" s="45"/>
      <c r="M29" s="45"/>
      <c r="N29" s="45"/>
      <c r="O29" s="45"/>
      <c r="P29" s="45"/>
      <c r="Q29" s="45"/>
      <c r="R29" s="45"/>
      <c r="S29" s="45"/>
      <c r="T29" s="45"/>
      <c r="U29" s="45"/>
      <c r="V29" s="45"/>
      <c r="W29" s="45"/>
      <c r="X29" s="45"/>
      <c r="Y29" s="45"/>
      <c r="Z29" s="45"/>
      <c r="AA29" s="45"/>
      <c r="AB29" s="45"/>
      <c r="AC29" s="45"/>
      <c r="AD29" s="45"/>
      <c r="AE29" s="45"/>
      <c r="AF29" s="45"/>
      <c r="AG29" s="45"/>
      <c r="AH29" s="45"/>
      <c r="AI29" s="45"/>
      <c r="AJ29" s="45"/>
      <c r="AK29" s="45"/>
      <c r="AL29" s="45"/>
      <c r="AM29" s="45"/>
      <c r="AN29" s="45"/>
      <c r="AO29" s="45"/>
      <c r="AP29" s="45"/>
      <c r="AQ29" s="45"/>
      <c r="AR29" s="45"/>
      <c r="AS29" s="45"/>
      <c r="AT29" s="45"/>
      <c r="AU29" s="45"/>
      <c r="AV29" s="45"/>
      <c r="AW29" s="45"/>
      <c r="AX29" s="45"/>
      <c r="AY29" s="45"/>
      <c r="AZ29" s="45"/>
      <c r="BA29" s="45"/>
      <c r="BB29" s="45"/>
      <c r="BC29" s="45"/>
      <c r="BD29" s="45"/>
      <c r="BE29" s="45"/>
      <c r="BF29" s="45"/>
      <c r="BG29" s="45"/>
      <c r="BH29" s="45"/>
      <c r="BI29" s="45"/>
      <c r="BJ29" s="45"/>
      <c r="BK29" s="45"/>
      <c r="BL29" s="45"/>
      <c r="BM29" s="45"/>
      <c r="BN29" s="45"/>
      <c r="BO29" s="45"/>
      <c r="BP29" s="45"/>
      <c r="BQ29" s="45"/>
      <c r="BR29" s="45"/>
      <c r="BS29" s="45"/>
      <c r="BT29" s="45"/>
      <c r="BU29" s="45"/>
      <c r="BV29" s="45"/>
      <c r="BW29" s="45"/>
      <c r="BX29" s="45"/>
      <c r="BY29" s="45"/>
      <c r="BZ29" s="45"/>
      <c r="CA29" s="45"/>
      <c r="CB29" s="45"/>
      <c r="CC29" s="45"/>
      <c r="CD29" s="45"/>
      <c r="CE29" s="45"/>
      <c r="CF29" s="45"/>
      <c r="CG29" s="45"/>
      <c r="CH29" s="45"/>
      <c r="CI29" s="45"/>
      <c r="CJ29" s="45"/>
      <c r="CK29" s="45"/>
      <c r="CL29" s="45"/>
      <c r="CM29" s="45"/>
      <c r="CN29" s="45"/>
      <c r="CO29" s="45"/>
      <c r="CP29" s="45"/>
      <c r="CQ29" s="45"/>
      <c r="CR29" s="45"/>
      <c r="CS29" s="45"/>
      <c r="CT29" s="45"/>
      <c r="CU29" s="45"/>
      <c r="CV29" s="45"/>
      <c r="CW29" s="45"/>
      <c r="CX29" s="45"/>
      <c r="CY29" s="45"/>
      <c r="CZ29" s="45"/>
    </row>
    <row r="30" spans="1:104" s="42" customFormat="1" x14ac:dyDescent="0.2">
      <c r="A30" s="2" t="s">
        <v>27</v>
      </c>
      <c r="B30" s="45"/>
      <c r="C30" s="45"/>
      <c r="D30" s="45"/>
      <c r="E30" s="45"/>
      <c r="F30" s="45"/>
      <c r="G30" s="45"/>
      <c r="H30" s="45"/>
      <c r="I30" s="45"/>
      <c r="J30" s="45"/>
      <c r="K30" s="45"/>
      <c r="L30" s="45"/>
      <c r="M30" s="45"/>
      <c r="N30" s="45"/>
      <c r="O30" s="45"/>
      <c r="P30" s="45"/>
      <c r="Q30" s="45"/>
      <c r="R30" s="45"/>
      <c r="S30" s="45"/>
      <c r="T30" s="45"/>
      <c r="U30" s="45"/>
      <c r="V30" s="45"/>
      <c r="W30" s="45"/>
      <c r="X30" s="45"/>
      <c r="Y30" s="45"/>
      <c r="Z30" s="45"/>
      <c r="AA30" s="45"/>
      <c r="AB30" s="45"/>
      <c r="AC30" s="45"/>
      <c r="AD30" s="45"/>
      <c r="AE30" s="45"/>
      <c r="AF30" s="45"/>
      <c r="AG30" s="45"/>
      <c r="AH30" s="45"/>
      <c r="AI30" s="45"/>
      <c r="AJ30" s="45"/>
      <c r="AK30" s="45"/>
      <c r="AL30" s="45"/>
      <c r="AM30" s="45"/>
      <c r="AN30" s="45"/>
      <c r="AO30" s="45"/>
      <c r="AP30" s="45"/>
      <c r="AQ30" s="45"/>
      <c r="AR30" s="45"/>
      <c r="AS30" s="45"/>
      <c r="AT30" s="45"/>
      <c r="AU30" s="45"/>
      <c r="AV30" s="45"/>
      <c r="AW30" s="45"/>
      <c r="AX30" s="45"/>
      <c r="AY30" s="45"/>
      <c r="AZ30" s="45"/>
      <c r="BA30" s="45"/>
      <c r="BB30" s="45"/>
      <c r="BC30" s="45"/>
      <c r="BD30" s="45"/>
      <c r="BE30" s="45"/>
      <c r="BF30" s="45"/>
      <c r="BG30" s="45"/>
      <c r="BH30" s="45"/>
      <c r="BI30" s="45"/>
      <c r="BJ30" s="45"/>
      <c r="BK30" s="45"/>
      <c r="BL30" s="45"/>
      <c r="BM30" s="45"/>
      <c r="BN30" s="45"/>
      <c r="BO30" s="45"/>
      <c r="BP30" s="45"/>
      <c r="BQ30" s="45"/>
      <c r="BR30" s="45"/>
      <c r="BS30" s="45"/>
      <c r="BT30" s="45"/>
      <c r="BU30" s="45"/>
      <c r="BV30" s="45"/>
      <c r="BW30" s="45"/>
      <c r="BX30" s="45"/>
      <c r="BY30" s="45"/>
      <c r="BZ30" s="45"/>
      <c r="CA30" s="45"/>
      <c r="CB30" s="45"/>
      <c r="CC30" s="45"/>
      <c r="CD30" s="45"/>
      <c r="CE30" s="45"/>
      <c r="CF30" s="45"/>
      <c r="CG30" s="45"/>
      <c r="CH30" s="45"/>
      <c r="CI30" s="45"/>
      <c r="CJ30" s="45"/>
      <c r="CK30" s="45"/>
      <c r="CL30" s="45"/>
      <c r="CM30" s="45"/>
      <c r="CN30" s="45"/>
      <c r="CO30" s="45"/>
      <c r="CP30" s="45"/>
      <c r="CQ30" s="45"/>
      <c r="CR30" s="45"/>
      <c r="CS30" s="45"/>
      <c r="CT30" s="45"/>
      <c r="CU30" s="45"/>
      <c r="CV30" s="45"/>
      <c r="CW30" s="45"/>
      <c r="CX30" s="45"/>
      <c r="CY30" s="45"/>
      <c r="CZ30" s="45"/>
    </row>
    <row r="31" spans="1:104" s="45" customFormat="1" x14ac:dyDescent="0.2">
      <c r="A31" s="57" t="s">
        <v>35</v>
      </c>
      <c r="B31" s="41" t="e">
        <f>IF(B$1,SUMIFS('BalSht Data'!$H$2:$H$2050,'BalSht Data'!$G$2:$G$2050,$A31,'BalSht Data'!$A$2:$A$2050,B$1),#N/A)</f>
        <v>#N/A</v>
      </c>
      <c r="C31" s="41" t="e">
        <f>IF(C$1,SUMIFS('BalSht Data'!$H$2:$H$2050,'BalSht Data'!$G$2:$G$2050,$A31,'BalSht Data'!$A$2:$A$2050,C$1),#N/A)</f>
        <v>#N/A</v>
      </c>
      <c r="D31" s="41" t="e">
        <f>IF(D$1,SUMIFS('BalSht Data'!$H$2:$H$2050,'BalSht Data'!$G$2:$G$2050,$A31,'BalSht Data'!$A$2:$A$2050,D$1),#N/A)</f>
        <v>#N/A</v>
      </c>
      <c r="E31" s="41" t="e">
        <f>IF(E$1,SUMIFS('BalSht Data'!$H$2:$H$2050,'BalSht Data'!$G$2:$G$2050,$A31,'BalSht Data'!$A$2:$A$2050,E$1),#N/A)</f>
        <v>#N/A</v>
      </c>
      <c r="F31" s="41" t="e">
        <f>IF(F$1,SUMIFS('BalSht Data'!$H$2:$H$2050,'BalSht Data'!$G$2:$G$2050,$A31,'BalSht Data'!$A$2:$A$2050,F$1),#N/A)</f>
        <v>#N/A</v>
      </c>
      <c r="G31" s="41" t="e">
        <f>IF(G$1,SUMIFS('BalSht Data'!$H$2:$H$2050,'BalSht Data'!$G$2:$G$2050,$A31,'BalSht Data'!$A$2:$A$2050,G$1),#N/A)</f>
        <v>#N/A</v>
      </c>
      <c r="H31" s="41" t="e">
        <f>IF(H$1,SUMIFS('BalSht Data'!$H$2:$H$2050,'BalSht Data'!$G$2:$G$2050,$A31,'BalSht Data'!$A$2:$A$2050,H$1),#N/A)</f>
        <v>#N/A</v>
      </c>
      <c r="I31" s="41" t="e">
        <f>IF(I$1,SUMIFS('BalSht Data'!$H$2:$H$2050,'BalSht Data'!$G$2:$G$2050,$A31,'BalSht Data'!$A$2:$A$2050,I$1),#N/A)</f>
        <v>#N/A</v>
      </c>
      <c r="J31" s="41" t="e">
        <f>IF(J$1,SUMIFS('BalSht Data'!$H$2:$H$2050,'BalSht Data'!$G$2:$G$2050,$A31,'BalSht Data'!$A$2:$A$2050,J$1),#N/A)</f>
        <v>#N/A</v>
      </c>
      <c r="K31" s="41" t="e">
        <f>IF(K$1,SUMIFS('BalSht Data'!$H$2:$H$2050,'BalSht Data'!$G$2:$G$2050,$A31,'BalSht Data'!$A$2:$A$2050,K$1),#N/A)</f>
        <v>#N/A</v>
      </c>
      <c r="L31" s="41" t="e">
        <f>IF(L$1,SUMIFS('BalSht Data'!$H$2:$H$2050,'BalSht Data'!$G$2:$G$2050,$A31,'BalSht Data'!$A$2:$A$2050,L$1),#N/A)</f>
        <v>#N/A</v>
      </c>
      <c r="M31" s="41" t="e">
        <f>IF(M$1,SUMIFS('BalSht Data'!$H$2:$H$2050,'BalSht Data'!$G$2:$G$2050,$A31,'BalSht Data'!$A$2:$A$2050,M$1),#N/A)</f>
        <v>#N/A</v>
      </c>
      <c r="N31" s="41" t="e">
        <f>IF(N$1,SUMIFS('BalSht Data'!$H$2:$H$2050,'BalSht Data'!$G$2:$G$2050,$A31,'BalSht Data'!$A$2:$A$2050,N$1),#N/A)</f>
        <v>#N/A</v>
      </c>
      <c r="O31" s="41" t="e">
        <f>IF(O$1,SUMIFS('BalSht Data'!$H$2:$H$2050,'BalSht Data'!$G$2:$G$2050,$A31,'BalSht Data'!$A$2:$A$2050,O$1),#N/A)</f>
        <v>#N/A</v>
      </c>
      <c r="P31" s="41" t="e">
        <f>IF(P$1,SUMIFS('BalSht Data'!$H$2:$H$2050,'BalSht Data'!$G$2:$G$2050,$A31,'BalSht Data'!$A$2:$A$2050,P$1),#N/A)</f>
        <v>#N/A</v>
      </c>
      <c r="Q31" s="41" t="e">
        <f>IF(Q$1,SUMIFS('BalSht Data'!$H$2:$H$2050,'BalSht Data'!$G$2:$G$2050,$A31,'BalSht Data'!$A$2:$A$2050,Q$1),#N/A)</f>
        <v>#N/A</v>
      </c>
      <c r="R31" s="41" t="e">
        <f>IF(R$1,SUMIFS('BalSht Data'!$H$2:$H$2050,'BalSht Data'!$G$2:$G$2050,$A31,'BalSht Data'!$A$2:$A$2050,R$1),#N/A)</f>
        <v>#N/A</v>
      </c>
      <c r="S31" s="41" t="e">
        <f>IF(S$1,SUMIFS('BalSht Data'!$H$2:$H$2050,'BalSht Data'!$G$2:$G$2050,$A31,'BalSht Data'!$A$2:$A$2050,S$1),#N/A)</f>
        <v>#N/A</v>
      </c>
      <c r="T31" s="41" t="e">
        <f>IF(T$1,SUMIFS('BalSht Data'!$H$2:$H$2050,'BalSht Data'!$G$2:$G$2050,$A31,'BalSht Data'!$A$2:$A$2050,T$1),#N/A)</f>
        <v>#N/A</v>
      </c>
      <c r="U31" s="41" t="e">
        <f>IF(U$1,SUMIFS('BalSht Data'!$H$2:$H$2050,'BalSht Data'!$G$2:$G$2050,$A31,'BalSht Data'!$A$2:$A$2050,U$1),#N/A)</f>
        <v>#N/A</v>
      </c>
      <c r="V31" s="41" t="e">
        <f>IF(V$1,SUMIFS('BalSht Data'!$H$2:$H$2050,'BalSht Data'!$G$2:$G$2050,$A31,'BalSht Data'!$A$2:$A$2050,V$1),#N/A)</f>
        <v>#N/A</v>
      </c>
      <c r="W31" s="41" t="e">
        <f>IF(W$1,SUMIFS('BalSht Data'!$H$2:$H$2050,'BalSht Data'!$G$2:$G$2050,$A31,'BalSht Data'!$A$2:$A$2050,W$1),#N/A)</f>
        <v>#N/A</v>
      </c>
      <c r="X31" s="41" t="e">
        <f>IF(X$1,SUMIFS('BalSht Data'!$H$2:$H$2050,'BalSht Data'!$G$2:$G$2050,$A31,'BalSht Data'!$A$2:$A$2050,X$1),#N/A)</f>
        <v>#N/A</v>
      </c>
      <c r="Y31" s="41" t="e">
        <f>IF(Y$1,SUMIFS('BalSht Data'!$H$2:$H$2050,'BalSht Data'!$G$2:$G$2050,$A31,'BalSht Data'!$A$2:$A$2050,Y$1),#N/A)</f>
        <v>#N/A</v>
      </c>
      <c r="Z31" s="41" t="e">
        <f>IF(Z$1,SUMIFS('BalSht Data'!$H$2:$H$2050,'BalSht Data'!$G$2:$G$2050,$A31,'BalSht Data'!$A$2:$A$2050,Z$1),#N/A)</f>
        <v>#N/A</v>
      </c>
      <c r="AA31" s="41" t="e">
        <f>IF(AA$1,SUMIFS('BalSht Data'!$H$2:$H$2050,'BalSht Data'!$G$2:$G$2050,$A31,'BalSht Data'!$A$2:$A$2050,AA$1),#N/A)</f>
        <v>#N/A</v>
      </c>
      <c r="AB31" s="41" t="e">
        <f>IF(AB$1,SUMIFS('BalSht Data'!$H$2:$H$2050,'BalSht Data'!$G$2:$G$2050,$A31,'BalSht Data'!$A$2:$A$2050,AB$1),#N/A)</f>
        <v>#N/A</v>
      </c>
      <c r="AC31" s="41" t="e">
        <f>IF(AC$1,SUMIFS('BalSht Data'!$H$2:$H$2050,'BalSht Data'!$G$2:$G$2050,$A31,'BalSht Data'!$A$2:$A$2050,AC$1),#N/A)</f>
        <v>#N/A</v>
      </c>
      <c r="AD31" s="41" t="e">
        <f>IF(AD$1,SUMIFS('BalSht Data'!$H$2:$H$2050,'BalSht Data'!$G$2:$G$2050,$A31,'BalSht Data'!$A$2:$A$2050,AD$1),#N/A)</f>
        <v>#N/A</v>
      </c>
      <c r="AE31" s="41" t="e">
        <f>IF(AE$1,SUMIFS('BalSht Data'!$H$2:$H$2050,'BalSht Data'!$G$2:$G$2050,$A31,'BalSht Data'!$A$2:$A$2050,AE$1),#N/A)</f>
        <v>#N/A</v>
      </c>
      <c r="AF31" s="41" t="e">
        <f>IF(AF$1,SUMIFS('BalSht Data'!$H$2:$H$2050,'BalSht Data'!$G$2:$G$2050,$A31,'BalSht Data'!$A$2:$A$2050,AF$1),#N/A)</f>
        <v>#N/A</v>
      </c>
      <c r="AG31" s="41" t="e">
        <f>IF(AG$1,SUMIFS('BalSht Data'!$H$2:$H$2050,'BalSht Data'!$G$2:$G$2050,$A31,'BalSht Data'!$A$2:$A$2050,AG$1),#N/A)</f>
        <v>#N/A</v>
      </c>
      <c r="AH31" s="41" t="e">
        <f>IF(AH$1,SUMIFS('BalSht Data'!$H$2:$H$2050,'BalSht Data'!$G$2:$G$2050,$A31,'BalSht Data'!$A$2:$A$2050,AH$1),#N/A)</f>
        <v>#N/A</v>
      </c>
      <c r="AI31" s="41" t="e">
        <f>IF(AI$1,SUMIFS('BalSht Data'!$H$2:$H$2050,'BalSht Data'!$G$2:$G$2050,$A31,'BalSht Data'!$A$2:$A$2050,AI$1),#N/A)</f>
        <v>#N/A</v>
      </c>
      <c r="AJ31" s="41" t="e">
        <f>IF(AJ$1,SUMIFS('BalSht Data'!$H$2:$H$2050,'BalSht Data'!$G$2:$G$2050,$A31,'BalSht Data'!$A$2:$A$2050,AJ$1),#N/A)</f>
        <v>#N/A</v>
      </c>
      <c r="AK31" s="41" t="e">
        <f>IF(AK$1,SUMIFS('BalSht Data'!$H$2:$H$2050,'BalSht Data'!$G$2:$G$2050,$A31,'BalSht Data'!$A$2:$A$2050,AK$1),#N/A)</f>
        <v>#N/A</v>
      </c>
      <c r="AL31" s="41" t="e">
        <f>IF(AL$1,SUMIFS('BalSht Data'!$H$2:$H$2050,'BalSht Data'!$G$2:$G$2050,$A31,'BalSht Data'!$A$2:$A$2050,AL$1),#N/A)</f>
        <v>#N/A</v>
      </c>
      <c r="AM31" s="41" t="e">
        <f>IF(AM$1,SUMIFS('BalSht Data'!$H$2:$H$2050,'BalSht Data'!$G$2:$G$2050,$A31,'BalSht Data'!$A$2:$A$2050,AM$1),#N/A)</f>
        <v>#N/A</v>
      </c>
      <c r="AN31" s="41" t="e">
        <f>IF(AN$1,SUMIFS('BalSht Data'!$H$2:$H$2050,'BalSht Data'!$G$2:$G$2050,$A31,'BalSht Data'!$A$2:$A$2050,AN$1),#N/A)</f>
        <v>#N/A</v>
      </c>
      <c r="AO31" s="41" t="e">
        <f>IF(AO$1,SUMIFS('BalSht Data'!$H$2:$H$2050,'BalSht Data'!$G$2:$G$2050,$A31,'BalSht Data'!$A$2:$A$2050,AO$1),#N/A)</f>
        <v>#N/A</v>
      </c>
      <c r="AP31" s="41" t="e">
        <f>IF(AP$1,SUMIFS('BalSht Data'!$H$2:$H$2050,'BalSht Data'!$G$2:$G$2050,$A31,'BalSht Data'!$A$2:$A$2050,AP$1),#N/A)</f>
        <v>#N/A</v>
      </c>
      <c r="AQ31" s="41" t="e">
        <f>IF(AQ$1,SUMIFS('BalSht Data'!$H$2:$H$2050,'BalSht Data'!$G$2:$G$2050,$A31,'BalSht Data'!$A$2:$A$2050,AQ$1),#N/A)</f>
        <v>#N/A</v>
      </c>
      <c r="AR31" s="41" t="e">
        <f>IF(AR$1,SUMIFS('BalSht Data'!$H$2:$H$2050,'BalSht Data'!$G$2:$G$2050,$A31,'BalSht Data'!$A$2:$A$2050,AR$1),#N/A)</f>
        <v>#N/A</v>
      </c>
      <c r="AS31" s="41" t="e">
        <f>IF(AS$1,SUMIFS('BalSht Data'!$H$2:$H$2050,'BalSht Data'!$G$2:$G$2050,$A31,'BalSht Data'!$A$2:$A$2050,AS$1),#N/A)</f>
        <v>#N/A</v>
      </c>
      <c r="AT31" s="41" t="e">
        <f>IF(AT$1,SUMIFS('BalSht Data'!$H$2:$H$2050,'BalSht Data'!$G$2:$G$2050,$A31,'BalSht Data'!$A$2:$A$2050,AT$1),#N/A)</f>
        <v>#N/A</v>
      </c>
      <c r="AU31" s="41" t="e">
        <f>IF(AU$1,SUMIFS('BalSht Data'!$H$2:$H$2050,'BalSht Data'!$G$2:$G$2050,$A31,'BalSht Data'!$A$2:$A$2050,AU$1),#N/A)</f>
        <v>#N/A</v>
      </c>
      <c r="AV31" s="41" t="e">
        <f>IF(AV$1,SUMIFS('BalSht Data'!$H$2:$H$2050,'BalSht Data'!$G$2:$G$2050,$A31,'BalSht Data'!$A$2:$A$2050,AV$1),#N/A)</f>
        <v>#N/A</v>
      </c>
      <c r="AW31" s="41" t="e">
        <f>IF(AW$1,SUMIFS('BalSht Data'!$H$2:$H$2050,'BalSht Data'!$G$2:$G$2050,$A31,'BalSht Data'!$A$2:$A$2050,AW$1),#N/A)</f>
        <v>#N/A</v>
      </c>
      <c r="AX31" s="41" t="e">
        <f>IF(AX$1,SUMIFS('BalSht Data'!$H$2:$H$2050,'BalSht Data'!$G$2:$G$2050,$A31,'BalSht Data'!$A$2:$A$2050,AX$1),#N/A)</f>
        <v>#N/A</v>
      </c>
      <c r="AY31" s="41" t="e">
        <f>IF(AY$1,SUMIFS('BalSht Data'!$H$2:$H$2050,'BalSht Data'!$G$2:$G$2050,$A31,'BalSht Data'!$A$2:$A$2050,AY$1),#N/A)</f>
        <v>#N/A</v>
      </c>
      <c r="AZ31" s="41" t="e">
        <f>IF(AZ$1,SUMIFS('BalSht Data'!$H$2:$H$2050,'BalSht Data'!$G$2:$G$2050,$A31,'BalSht Data'!$A$2:$A$2050,AZ$1),#N/A)</f>
        <v>#N/A</v>
      </c>
      <c r="BA31" s="41" t="e">
        <f>IF(BA$1,SUMIFS('BalSht Data'!$H$2:$H$2050,'BalSht Data'!$G$2:$G$2050,$A31,'BalSht Data'!$A$2:$A$2050,BA$1),#N/A)</f>
        <v>#N/A</v>
      </c>
      <c r="BB31" s="41" t="e">
        <f>IF(BB$1,SUMIFS('BalSht Data'!$H$2:$H$2050,'BalSht Data'!$G$2:$G$2050,$A31,'BalSht Data'!$A$2:$A$2050,BB$1),#N/A)</f>
        <v>#N/A</v>
      </c>
      <c r="BC31" s="41" t="e">
        <f>IF(BC$1,SUMIFS('BalSht Data'!$H$2:$H$2050,'BalSht Data'!$G$2:$G$2050,$A31,'BalSht Data'!$A$2:$A$2050,BC$1),#N/A)</f>
        <v>#N/A</v>
      </c>
      <c r="BD31" s="41" t="e">
        <f>IF(BD$1,SUMIFS('BalSht Data'!$H$2:$H$2050,'BalSht Data'!$G$2:$G$2050,$A31,'BalSht Data'!$A$2:$A$2050,BD$1),#N/A)</f>
        <v>#N/A</v>
      </c>
      <c r="BE31" s="41" t="e">
        <f>IF(BE$1,SUMIFS('BalSht Data'!$H$2:$H$2050,'BalSht Data'!$G$2:$G$2050,$A31,'BalSht Data'!$A$2:$A$2050,BE$1),#N/A)</f>
        <v>#N/A</v>
      </c>
      <c r="BF31" s="41" t="e">
        <f>IF(BF$1,SUMIFS('BalSht Data'!$H$2:$H$2050,'BalSht Data'!$G$2:$G$2050,$A31,'BalSht Data'!$A$2:$A$2050,BF$1),#N/A)</f>
        <v>#N/A</v>
      </c>
      <c r="BG31" s="41" t="e">
        <f>IF(BG$1,SUMIFS('BalSht Data'!$H$2:$H$2050,'BalSht Data'!$G$2:$G$2050,$A31,'BalSht Data'!$A$2:$A$2050,BG$1),#N/A)</f>
        <v>#N/A</v>
      </c>
      <c r="BH31" s="41" t="e">
        <f>IF(BH$1,SUMIFS('BalSht Data'!$H$2:$H$2050,'BalSht Data'!$G$2:$G$2050,$A31,'BalSht Data'!$A$2:$A$2050,BH$1),#N/A)</f>
        <v>#N/A</v>
      </c>
      <c r="BI31" s="41" t="e">
        <f>IF(BI$1,SUMIFS('BalSht Data'!$H$2:$H$2050,'BalSht Data'!$G$2:$G$2050,$A31,'BalSht Data'!$A$2:$A$2050,BI$1),#N/A)</f>
        <v>#N/A</v>
      </c>
      <c r="BJ31" s="41" t="e">
        <f>IF(BJ$1,SUMIFS('BalSht Data'!$H$2:$H$2050,'BalSht Data'!$G$2:$G$2050,$A31,'BalSht Data'!$A$2:$A$2050,BJ$1),#N/A)</f>
        <v>#N/A</v>
      </c>
      <c r="BK31" s="41" t="e">
        <f>IF(BK$1,SUMIFS('BalSht Data'!$H$2:$H$2050,'BalSht Data'!$G$2:$G$2050,$A31,'BalSht Data'!$A$2:$A$2050,BK$1),#N/A)</f>
        <v>#N/A</v>
      </c>
      <c r="BL31" s="41" t="e">
        <f>IF(BL$1,SUMIFS('BalSht Data'!$H$2:$H$2050,'BalSht Data'!$G$2:$G$2050,$A31,'BalSht Data'!$A$2:$A$2050,BL$1),#N/A)</f>
        <v>#N/A</v>
      </c>
      <c r="BM31" s="41" t="e">
        <f>IF(BM$1,SUMIFS('BalSht Data'!$H$2:$H$2050,'BalSht Data'!$G$2:$G$2050,$A31,'BalSht Data'!$A$2:$A$2050,BM$1),#N/A)</f>
        <v>#N/A</v>
      </c>
      <c r="BN31" s="41" t="e">
        <f>IF(BN$1,SUMIFS('BalSht Data'!$H$2:$H$2050,'BalSht Data'!$G$2:$G$2050,$A31,'BalSht Data'!$A$2:$A$2050,BN$1),#N/A)</f>
        <v>#N/A</v>
      </c>
      <c r="BO31" s="41" t="e">
        <f>IF(BO$1,SUMIFS('BalSht Data'!$H$2:$H$2050,'BalSht Data'!$G$2:$G$2050,$A31,'BalSht Data'!$A$2:$A$2050,BO$1),#N/A)</f>
        <v>#N/A</v>
      </c>
      <c r="BP31" s="41" t="e">
        <f>IF(BP$1,SUMIFS('BalSht Data'!$H$2:$H$2050,'BalSht Data'!$G$2:$G$2050,$A31,'BalSht Data'!$A$2:$A$2050,BP$1),#N/A)</f>
        <v>#N/A</v>
      </c>
      <c r="BQ31" s="41" t="e">
        <f>IF(BQ$1,SUMIFS('BalSht Data'!$H$2:$H$2050,'BalSht Data'!$G$2:$G$2050,$A31,'BalSht Data'!$A$2:$A$2050,BQ$1),#N/A)</f>
        <v>#N/A</v>
      </c>
      <c r="BR31" s="41" t="e">
        <f>IF(BR$1,SUMIFS('BalSht Data'!$H$2:$H$2050,'BalSht Data'!$G$2:$G$2050,$A31,'BalSht Data'!$A$2:$A$2050,BR$1),#N/A)</f>
        <v>#N/A</v>
      </c>
      <c r="BS31" s="41" t="e">
        <f>IF(BS$1,SUMIFS('BalSht Data'!$H$2:$H$2050,'BalSht Data'!$G$2:$G$2050,$A31,'BalSht Data'!$A$2:$A$2050,BS$1),#N/A)</f>
        <v>#N/A</v>
      </c>
      <c r="BT31" s="41" t="e">
        <f>IF(BT$1,SUMIFS('BalSht Data'!$H$2:$H$2050,'BalSht Data'!$G$2:$G$2050,$A31,'BalSht Data'!$A$2:$A$2050,BT$1),#N/A)</f>
        <v>#N/A</v>
      </c>
      <c r="BU31" s="41" t="e">
        <f>IF(BU$1,SUMIFS('BalSht Data'!$H$2:$H$2050,'BalSht Data'!$G$2:$G$2050,$A31,'BalSht Data'!$A$2:$A$2050,BU$1),#N/A)</f>
        <v>#N/A</v>
      </c>
      <c r="BV31" s="41" t="e">
        <f>IF(BV$1,SUMIFS('BalSht Data'!$H$2:$H$2050,'BalSht Data'!$G$2:$G$2050,$A31,'BalSht Data'!$A$2:$A$2050,BV$1),#N/A)</f>
        <v>#N/A</v>
      </c>
      <c r="BW31" s="41" t="e">
        <f>IF(BW$1,SUMIFS('BalSht Data'!$H$2:$H$2050,'BalSht Data'!$G$2:$G$2050,$A31,'BalSht Data'!$A$2:$A$2050,BW$1),#N/A)</f>
        <v>#N/A</v>
      </c>
      <c r="BX31" s="41" t="e">
        <f>IF(BX$1,SUMIFS('BalSht Data'!$H$2:$H$2050,'BalSht Data'!$G$2:$G$2050,$A31,'BalSht Data'!$A$2:$A$2050,BX$1),#N/A)</f>
        <v>#N/A</v>
      </c>
      <c r="BY31" s="41" t="e">
        <f>IF(BY$1,SUMIFS('BalSht Data'!$H$2:$H$2050,'BalSht Data'!$G$2:$G$2050,$A31,'BalSht Data'!$A$2:$A$2050,BY$1),#N/A)</f>
        <v>#N/A</v>
      </c>
      <c r="BZ31" s="41" t="e">
        <f>IF(BZ$1,SUMIFS('BalSht Data'!$H$2:$H$2050,'BalSht Data'!$G$2:$G$2050,$A31,'BalSht Data'!$A$2:$A$2050,BZ$1),#N/A)</f>
        <v>#N/A</v>
      </c>
      <c r="CA31" s="41" t="e">
        <f>IF(CA$1,SUMIFS('BalSht Data'!$H$2:$H$2050,'BalSht Data'!$G$2:$G$2050,$A31,'BalSht Data'!$A$2:$A$2050,CA$1),#N/A)</f>
        <v>#N/A</v>
      </c>
      <c r="CB31" s="41" t="e">
        <f>IF(CB$1,SUMIFS('BalSht Data'!$H$2:$H$2050,'BalSht Data'!$G$2:$G$2050,$A31,'BalSht Data'!$A$2:$A$2050,CB$1),#N/A)</f>
        <v>#N/A</v>
      </c>
      <c r="CC31" s="41" t="e">
        <f>IF(CC$1,SUMIFS('BalSht Data'!$H$2:$H$2050,'BalSht Data'!$G$2:$G$2050,$A31,'BalSht Data'!$A$2:$A$2050,CC$1),#N/A)</f>
        <v>#N/A</v>
      </c>
      <c r="CD31" s="41" t="e">
        <f>IF(CD$1,SUMIFS('BalSht Data'!$H$2:$H$2050,'BalSht Data'!$G$2:$G$2050,$A31,'BalSht Data'!$A$2:$A$2050,CD$1),#N/A)</f>
        <v>#N/A</v>
      </c>
      <c r="CE31" s="41" t="e">
        <f>IF(CE$1,SUMIFS('BalSht Data'!$H$2:$H$2050,'BalSht Data'!$G$2:$G$2050,$A31,'BalSht Data'!$A$2:$A$2050,CE$1),#N/A)</f>
        <v>#N/A</v>
      </c>
      <c r="CF31" s="41" t="e">
        <f>IF(CF$1,SUMIFS('BalSht Data'!$H$2:$H$2050,'BalSht Data'!$G$2:$G$2050,$A31,'BalSht Data'!$A$2:$A$2050,CF$1),#N/A)</f>
        <v>#N/A</v>
      </c>
      <c r="CG31" s="41" t="e">
        <f>IF(CG$1,SUMIFS('BalSht Data'!$H$2:$H$2050,'BalSht Data'!$G$2:$G$2050,$A31,'BalSht Data'!$A$2:$A$2050,CG$1),#N/A)</f>
        <v>#N/A</v>
      </c>
      <c r="CH31" s="41" t="e">
        <f>IF(CH$1,SUMIFS('BalSht Data'!$H$2:$H$2050,'BalSht Data'!$G$2:$G$2050,$A31,'BalSht Data'!$A$2:$A$2050,CH$1),#N/A)</f>
        <v>#N/A</v>
      </c>
      <c r="CI31" s="41" t="e">
        <f>IF(CI$1,SUMIFS('BalSht Data'!$H$2:$H$2050,'BalSht Data'!$G$2:$G$2050,$A31,'BalSht Data'!$A$2:$A$2050,CI$1),#N/A)</f>
        <v>#N/A</v>
      </c>
      <c r="CJ31" s="41" t="e">
        <f>IF(CJ$1,SUMIFS('BalSht Data'!$H$2:$H$2050,'BalSht Data'!$G$2:$G$2050,$A31,'BalSht Data'!$A$2:$A$2050,CJ$1),#N/A)</f>
        <v>#N/A</v>
      </c>
      <c r="CK31" s="41" t="e">
        <f>IF(CK$1,SUMIFS('BalSht Data'!$H$2:$H$2050,'BalSht Data'!$G$2:$G$2050,$A31,'BalSht Data'!$A$2:$A$2050,CK$1),#N/A)</f>
        <v>#N/A</v>
      </c>
      <c r="CL31" s="41" t="e">
        <f>IF(CL$1,SUMIFS('BalSht Data'!$H$2:$H$2050,'BalSht Data'!$G$2:$G$2050,$A31,'BalSht Data'!$A$2:$A$2050,CL$1),#N/A)</f>
        <v>#N/A</v>
      </c>
      <c r="CM31" s="41" t="e">
        <f>IF(CM$1,SUMIFS('BalSht Data'!$H$2:$H$2050,'BalSht Data'!$G$2:$G$2050,$A31,'BalSht Data'!$A$2:$A$2050,CM$1),#N/A)</f>
        <v>#N/A</v>
      </c>
      <c r="CN31" s="41" t="e">
        <f>IF(CN$1,SUMIFS('BalSht Data'!$H$2:$H$2050,'BalSht Data'!$G$2:$G$2050,$A31,'BalSht Data'!$A$2:$A$2050,CN$1),#N/A)</f>
        <v>#N/A</v>
      </c>
      <c r="CO31" s="41" t="e">
        <f>IF(CO$1,SUMIFS('BalSht Data'!$H$2:$H$2050,'BalSht Data'!$G$2:$G$2050,$A31,'BalSht Data'!$A$2:$A$2050,CO$1),#N/A)</f>
        <v>#N/A</v>
      </c>
      <c r="CP31" s="41" t="e">
        <f>IF(CP$1,SUMIFS('BalSht Data'!$H$2:$H$2050,'BalSht Data'!$G$2:$G$2050,$A31,'BalSht Data'!$A$2:$A$2050,CP$1),#N/A)</f>
        <v>#N/A</v>
      </c>
      <c r="CQ31" s="41" t="e">
        <f>IF(CQ$1,SUMIFS('BalSht Data'!$H$2:$H$2050,'BalSht Data'!$G$2:$G$2050,$A31,'BalSht Data'!$A$2:$A$2050,CQ$1),#N/A)</f>
        <v>#N/A</v>
      </c>
      <c r="CR31" s="41" t="e">
        <f>IF(CR$1,SUMIFS('BalSht Data'!$H$2:$H$2050,'BalSht Data'!$G$2:$G$2050,$A31,'BalSht Data'!$A$2:$A$2050,CR$1),#N/A)</f>
        <v>#N/A</v>
      </c>
      <c r="CS31" s="41" t="e">
        <f>IF(CS$1,SUMIFS('BalSht Data'!$H$2:$H$2050,'BalSht Data'!$G$2:$G$2050,$A31,'BalSht Data'!$A$2:$A$2050,CS$1),#N/A)</f>
        <v>#N/A</v>
      </c>
      <c r="CT31" s="41" t="e">
        <f>IF(CT$1,SUMIFS('BalSht Data'!$H$2:$H$2050,'BalSht Data'!$G$2:$G$2050,$A31,'BalSht Data'!$A$2:$A$2050,CT$1),#N/A)</f>
        <v>#N/A</v>
      </c>
      <c r="CU31" s="41" t="e">
        <f>IF(CU$1,SUMIFS('BalSht Data'!$H$2:$H$2050,'BalSht Data'!$G$2:$G$2050,$A31,'BalSht Data'!$A$2:$A$2050,CU$1),#N/A)</f>
        <v>#N/A</v>
      </c>
      <c r="CV31" s="41" t="e">
        <f>IF(CV$1,SUMIFS('BalSht Data'!$H$2:$H$2050,'BalSht Data'!$G$2:$G$2050,$A31,'BalSht Data'!$A$2:$A$2050,CV$1),#N/A)</f>
        <v>#N/A</v>
      </c>
      <c r="CW31" s="41" t="e">
        <f>IF(CW$1,SUMIFS('BalSht Data'!$H$2:$H$2050,'BalSht Data'!$G$2:$G$2050,$A31,'BalSht Data'!$A$2:$A$2050,CW$1),#N/A)</f>
        <v>#N/A</v>
      </c>
      <c r="CX31" s="41" t="e">
        <f>IF(CX$1,SUMIFS('BalSht Data'!$H$2:$H$2050,'BalSht Data'!$G$2:$G$2050,$A31,'BalSht Data'!$A$2:$A$2050,CX$1),#N/A)</f>
        <v>#N/A</v>
      </c>
      <c r="CY31" s="41" t="e">
        <f>IF(CY$1,SUMIFS('BalSht Data'!$H$2:$H$2050,'BalSht Data'!$G$2:$G$2050,$A31,'BalSht Data'!$A$2:$A$2050,CY$1),#N/A)</f>
        <v>#N/A</v>
      </c>
      <c r="CZ31" s="41" t="e">
        <f>IF(CZ$1,SUMIFS('BalSht Data'!$H$2:$H$2050,'BalSht Data'!$G$2:$G$2050,$A31,'BalSht Data'!$A$2:$A$2050,CZ$1),#N/A)</f>
        <v>#N/A</v>
      </c>
    </row>
    <row r="32" spans="1:104" s="42" customFormat="1" x14ac:dyDescent="0.2">
      <c r="A32" s="57" t="s">
        <v>159</v>
      </c>
      <c r="B32" s="45" t="e">
        <f>IF(B$1,SUMIFS('BalSht Data'!$H$2:$H$2050,'BalSht Data'!$G$2:$G$2050,$A32,'BalSht Data'!$A$2:$A$2050,B$1),#N/A)</f>
        <v>#N/A</v>
      </c>
      <c r="C32" s="45" t="e">
        <f>IF(C$1,SUMIFS('BalSht Data'!$H$2:$H$2050,'BalSht Data'!$G$2:$G$2050,$A32,'BalSht Data'!$A$2:$A$2050,C$1),#N/A)</f>
        <v>#N/A</v>
      </c>
      <c r="D32" s="45" t="e">
        <f>IF(D$1,SUMIFS('BalSht Data'!$H$2:$H$2050,'BalSht Data'!$G$2:$G$2050,$A32,'BalSht Data'!$A$2:$A$2050,D$1),#N/A)</f>
        <v>#N/A</v>
      </c>
      <c r="E32" s="45" t="e">
        <f>IF(E$1,SUMIFS('BalSht Data'!$H$2:$H$2050,'BalSht Data'!$G$2:$G$2050,$A32,'BalSht Data'!$A$2:$A$2050,E$1),#N/A)</f>
        <v>#N/A</v>
      </c>
      <c r="F32" s="45" t="e">
        <f>IF(F$1,SUMIFS('BalSht Data'!$H$2:$H$2050,'BalSht Data'!$G$2:$G$2050,$A32,'BalSht Data'!$A$2:$A$2050,F$1),#N/A)</f>
        <v>#N/A</v>
      </c>
      <c r="G32" s="45" t="e">
        <f>IF(G$1,SUMIFS('BalSht Data'!$H$2:$H$2050,'BalSht Data'!$G$2:$G$2050,$A32,'BalSht Data'!$A$2:$A$2050,G$1),#N/A)</f>
        <v>#N/A</v>
      </c>
      <c r="H32" s="45" t="e">
        <f>IF(H$1,SUMIFS('BalSht Data'!$H$2:$H$2050,'BalSht Data'!$G$2:$G$2050,$A32,'BalSht Data'!$A$2:$A$2050,H$1),#N/A)</f>
        <v>#N/A</v>
      </c>
      <c r="I32" s="45" t="e">
        <f>IF(I$1,SUMIFS('BalSht Data'!$H$2:$H$2050,'BalSht Data'!$G$2:$G$2050,$A32,'BalSht Data'!$A$2:$A$2050,I$1),#N/A)</f>
        <v>#N/A</v>
      </c>
      <c r="J32" s="45" t="e">
        <f>IF(J$1,SUMIFS('BalSht Data'!$H$2:$H$2050,'BalSht Data'!$G$2:$G$2050,$A32,'BalSht Data'!$A$2:$A$2050,J$1),#N/A)</f>
        <v>#N/A</v>
      </c>
      <c r="K32" s="45" t="e">
        <f>IF(K$1,SUMIFS('BalSht Data'!$H$2:$H$2050,'BalSht Data'!$G$2:$G$2050,$A32,'BalSht Data'!$A$2:$A$2050,K$1),#N/A)</f>
        <v>#N/A</v>
      </c>
      <c r="L32" s="45" t="e">
        <f>IF(L$1,SUMIFS('BalSht Data'!$H$2:$H$2050,'BalSht Data'!$G$2:$G$2050,$A32,'BalSht Data'!$A$2:$A$2050,L$1),#N/A)</f>
        <v>#N/A</v>
      </c>
      <c r="M32" s="45" t="e">
        <f>IF(M$1,SUMIFS('BalSht Data'!$H$2:$H$2050,'BalSht Data'!$G$2:$G$2050,$A32,'BalSht Data'!$A$2:$A$2050,M$1),#N/A)</f>
        <v>#N/A</v>
      </c>
      <c r="N32" s="45" t="e">
        <f>IF(N$1,SUMIFS('BalSht Data'!$H$2:$H$2050,'BalSht Data'!$G$2:$G$2050,$A32,'BalSht Data'!$A$2:$A$2050,N$1),#N/A)</f>
        <v>#N/A</v>
      </c>
      <c r="O32" s="45" t="e">
        <f>IF(O$1,SUMIFS('BalSht Data'!$H$2:$H$2050,'BalSht Data'!$G$2:$G$2050,$A32,'BalSht Data'!$A$2:$A$2050,O$1),#N/A)</f>
        <v>#N/A</v>
      </c>
      <c r="P32" s="45" t="e">
        <f>IF(P$1,SUMIFS('BalSht Data'!$H$2:$H$2050,'BalSht Data'!$G$2:$G$2050,$A32,'BalSht Data'!$A$2:$A$2050,P$1),#N/A)</f>
        <v>#N/A</v>
      </c>
      <c r="Q32" s="45" t="e">
        <f>IF(Q$1,SUMIFS('BalSht Data'!$H$2:$H$2050,'BalSht Data'!$G$2:$G$2050,$A32,'BalSht Data'!$A$2:$A$2050,Q$1),#N/A)</f>
        <v>#N/A</v>
      </c>
      <c r="R32" s="45" t="e">
        <f>IF(R$1,SUMIFS('BalSht Data'!$H$2:$H$2050,'BalSht Data'!$G$2:$G$2050,$A32,'BalSht Data'!$A$2:$A$2050,R$1),#N/A)</f>
        <v>#N/A</v>
      </c>
      <c r="S32" s="45" t="e">
        <f>IF(S$1,SUMIFS('BalSht Data'!$H$2:$H$2050,'BalSht Data'!$G$2:$G$2050,$A32,'BalSht Data'!$A$2:$A$2050,S$1),#N/A)</f>
        <v>#N/A</v>
      </c>
      <c r="T32" s="45" t="e">
        <f>IF(T$1,SUMIFS('BalSht Data'!$H$2:$H$2050,'BalSht Data'!$G$2:$G$2050,$A32,'BalSht Data'!$A$2:$A$2050,T$1),#N/A)</f>
        <v>#N/A</v>
      </c>
      <c r="U32" s="45" t="e">
        <f>IF(U$1,SUMIFS('BalSht Data'!$H$2:$H$2050,'BalSht Data'!$G$2:$G$2050,$A32,'BalSht Data'!$A$2:$A$2050,U$1),#N/A)</f>
        <v>#N/A</v>
      </c>
      <c r="V32" s="45" t="e">
        <f>IF(V$1,SUMIFS('BalSht Data'!$H$2:$H$2050,'BalSht Data'!$G$2:$G$2050,$A32,'BalSht Data'!$A$2:$A$2050,V$1),#N/A)</f>
        <v>#N/A</v>
      </c>
      <c r="W32" s="45" t="e">
        <f>IF(W$1,SUMIFS('BalSht Data'!$H$2:$H$2050,'BalSht Data'!$G$2:$G$2050,$A32,'BalSht Data'!$A$2:$A$2050,W$1),#N/A)</f>
        <v>#N/A</v>
      </c>
      <c r="X32" s="45" t="e">
        <f>IF(X$1,SUMIFS('BalSht Data'!$H$2:$H$2050,'BalSht Data'!$G$2:$G$2050,$A32,'BalSht Data'!$A$2:$A$2050,X$1),#N/A)</f>
        <v>#N/A</v>
      </c>
      <c r="Y32" s="45" t="e">
        <f>IF(Y$1,SUMIFS('BalSht Data'!$H$2:$H$2050,'BalSht Data'!$G$2:$G$2050,$A32,'BalSht Data'!$A$2:$A$2050,Y$1),#N/A)</f>
        <v>#N/A</v>
      </c>
      <c r="Z32" s="45" t="e">
        <f>IF(Z$1,SUMIFS('BalSht Data'!$H$2:$H$2050,'BalSht Data'!$G$2:$G$2050,$A32,'BalSht Data'!$A$2:$A$2050,Z$1),#N/A)</f>
        <v>#N/A</v>
      </c>
      <c r="AA32" s="45" t="e">
        <f>IF(AA$1,SUMIFS('BalSht Data'!$H$2:$H$2050,'BalSht Data'!$G$2:$G$2050,$A32,'BalSht Data'!$A$2:$A$2050,AA$1),#N/A)</f>
        <v>#N/A</v>
      </c>
      <c r="AB32" s="45" t="e">
        <f>IF(AB$1,SUMIFS('BalSht Data'!$H$2:$H$2050,'BalSht Data'!$G$2:$G$2050,$A32,'BalSht Data'!$A$2:$A$2050,AB$1),#N/A)</f>
        <v>#N/A</v>
      </c>
      <c r="AC32" s="45" t="e">
        <f>IF(AC$1,SUMIFS('BalSht Data'!$H$2:$H$2050,'BalSht Data'!$G$2:$G$2050,$A32,'BalSht Data'!$A$2:$A$2050,AC$1),#N/A)</f>
        <v>#N/A</v>
      </c>
      <c r="AD32" s="45" t="e">
        <f>IF(AD$1,SUMIFS('BalSht Data'!$H$2:$H$2050,'BalSht Data'!$G$2:$G$2050,$A32,'BalSht Data'!$A$2:$A$2050,AD$1),#N/A)</f>
        <v>#N/A</v>
      </c>
      <c r="AE32" s="45" t="e">
        <f>IF(AE$1,SUMIFS('BalSht Data'!$H$2:$H$2050,'BalSht Data'!$G$2:$G$2050,$A32,'BalSht Data'!$A$2:$A$2050,AE$1),#N/A)</f>
        <v>#N/A</v>
      </c>
      <c r="AF32" s="45" t="e">
        <f>IF(AF$1,SUMIFS('BalSht Data'!$H$2:$H$2050,'BalSht Data'!$G$2:$G$2050,$A32,'BalSht Data'!$A$2:$A$2050,AF$1),#N/A)</f>
        <v>#N/A</v>
      </c>
      <c r="AG32" s="45" t="e">
        <f>IF(AG$1,SUMIFS('BalSht Data'!$H$2:$H$2050,'BalSht Data'!$G$2:$G$2050,$A32,'BalSht Data'!$A$2:$A$2050,AG$1),#N/A)</f>
        <v>#N/A</v>
      </c>
      <c r="AH32" s="45" t="e">
        <f>IF(AH$1,SUMIFS('BalSht Data'!$H$2:$H$2050,'BalSht Data'!$G$2:$G$2050,$A32,'BalSht Data'!$A$2:$A$2050,AH$1),#N/A)</f>
        <v>#N/A</v>
      </c>
      <c r="AI32" s="45" t="e">
        <f>IF(AI$1,SUMIFS('BalSht Data'!$H$2:$H$2050,'BalSht Data'!$G$2:$G$2050,$A32,'BalSht Data'!$A$2:$A$2050,AI$1),#N/A)</f>
        <v>#N/A</v>
      </c>
      <c r="AJ32" s="45" t="e">
        <f>IF(AJ$1,SUMIFS('BalSht Data'!$H$2:$H$2050,'BalSht Data'!$G$2:$G$2050,$A32,'BalSht Data'!$A$2:$A$2050,AJ$1),#N/A)</f>
        <v>#N/A</v>
      </c>
      <c r="AK32" s="45" t="e">
        <f>IF(AK$1,SUMIFS('BalSht Data'!$H$2:$H$2050,'BalSht Data'!$G$2:$G$2050,$A32,'BalSht Data'!$A$2:$A$2050,AK$1),#N/A)</f>
        <v>#N/A</v>
      </c>
      <c r="AL32" s="45" t="e">
        <f>IF(AL$1,SUMIFS('BalSht Data'!$H$2:$H$2050,'BalSht Data'!$G$2:$G$2050,$A32,'BalSht Data'!$A$2:$A$2050,AL$1),#N/A)</f>
        <v>#N/A</v>
      </c>
      <c r="AM32" s="45" t="e">
        <f>IF(AM$1,SUMIFS('BalSht Data'!$H$2:$H$2050,'BalSht Data'!$G$2:$G$2050,$A32,'BalSht Data'!$A$2:$A$2050,AM$1),#N/A)</f>
        <v>#N/A</v>
      </c>
      <c r="AN32" s="45" t="e">
        <f>IF(AN$1,SUMIFS('BalSht Data'!$H$2:$H$2050,'BalSht Data'!$G$2:$G$2050,$A32,'BalSht Data'!$A$2:$A$2050,AN$1),#N/A)</f>
        <v>#N/A</v>
      </c>
      <c r="AO32" s="45" t="e">
        <f>IF(AO$1,SUMIFS('BalSht Data'!$H$2:$H$2050,'BalSht Data'!$G$2:$G$2050,$A32,'BalSht Data'!$A$2:$A$2050,AO$1),#N/A)</f>
        <v>#N/A</v>
      </c>
      <c r="AP32" s="45" t="e">
        <f>IF(AP$1,SUMIFS('BalSht Data'!$H$2:$H$2050,'BalSht Data'!$G$2:$G$2050,$A32,'BalSht Data'!$A$2:$A$2050,AP$1),#N/A)</f>
        <v>#N/A</v>
      </c>
      <c r="AQ32" s="45" t="e">
        <f>IF(AQ$1,SUMIFS('BalSht Data'!$H$2:$H$2050,'BalSht Data'!$G$2:$G$2050,$A32,'BalSht Data'!$A$2:$A$2050,AQ$1),#N/A)</f>
        <v>#N/A</v>
      </c>
      <c r="AR32" s="45" t="e">
        <f>IF(AR$1,SUMIFS('BalSht Data'!$H$2:$H$2050,'BalSht Data'!$G$2:$G$2050,$A32,'BalSht Data'!$A$2:$A$2050,AR$1),#N/A)</f>
        <v>#N/A</v>
      </c>
      <c r="AS32" s="45" t="e">
        <f>IF(AS$1,SUMIFS('BalSht Data'!$H$2:$H$2050,'BalSht Data'!$G$2:$G$2050,$A32,'BalSht Data'!$A$2:$A$2050,AS$1),#N/A)</f>
        <v>#N/A</v>
      </c>
      <c r="AT32" s="45" t="e">
        <f>IF(AT$1,SUMIFS('BalSht Data'!$H$2:$H$2050,'BalSht Data'!$G$2:$G$2050,$A32,'BalSht Data'!$A$2:$A$2050,AT$1),#N/A)</f>
        <v>#N/A</v>
      </c>
      <c r="AU32" s="45" t="e">
        <f>IF(AU$1,SUMIFS('BalSht Data'!$H$2:$H$2050,'BalSht Data'!$G$2:$G$2050,$A32,'BalSht Data'!$A$2:$A$2050,AU$1),#N/A)</f>
        <v>#N/A</v>
      </c>
      <c r="AV32" s="45" t="e">
        <f>IF(AV$1,SUMIFS('BalSht Data'!$H$2:$H$2050,'BalSht Data'!$G$2:$G$2050,$A32,'BalSht Data'!$A$2:$A$2050,AV$1),#N/A)</f>
        <v>#N/A</v>
      </c>
      <c r="AW32" s="45" t="e">
        <f>IF(AW$1,SUMIFS('BalSht Data'!$H$2:$H$2050,'BalSht Data'!$G$2:$G$2050,$A32,'BalSht Data'!$A$2:$A$2050,AW$1),#N/A)</f>
        <v>#N/A</v>
      </c>
      <c r="AX32" s="45" t="e">
        <f>IF(AX$1,SUMIFS('BalSht Data'!$H$2:$H$2050,'BalSht Data'!$G$2:$G$2050,$A32,'BalSht Data'!$A$2:$A$2050,AX$1),#N/A)</f>
        <v>#N/A</v>
      </c>
      <c r="AY32" s="45" t="e">
        <f>IF(AY$1,SUMIFS('BalSht Data'!$H$2:$H$2050,'BalSht Data'!$G$2:$G$2050,$A32,'BalSht Data'!$A$2:$A$2050,AY$1),#N/A)</f>
        <v>#N/A</v>
      </c>
      <c r="AZ32" s="45" t="e">
        <f>IF(AZ$1,SUMIFS('BalSht Data'!$H$2:$H$2050,'BalSht Data'!$G$2:$G$2050,$A32,'BalSht Data'!$A$2:$A$2050,AZ$1),#N/A)</f>
        <v>#N/A</v>
      </c>
      <c r="BA32" s="45" t="e">
        <f>IF(BA$1,SUMIFS('BalSht Data'!$H$2:$H$2050,'BalSht Data'!$G$2:$G$2050,$A32,'BalSht Data'!$A$2:$A$2050,BA$1),#N/A)</f>
        <v>#N/A</v>
      </c>
      <c r="BB32" s="45" t="e">
        <f>IF(BB$1,SUMIFS('BalSht Data'!$H$2:$H$2050,'BalSht Data'!$G$2:$G$2050,$A32,'BalSht Data'!$A$2:$A$2050,BB$1),#N/A)</f>
        <v>#N/A</v>
      </c>
      <c r="BC32" s="45" t="e">
        <f>IF(BC$1,SUMIFS('BalSht Data'!$H$2:$H$2050,'BalSht Data'!$G$2:$G$2050,$A32,'BalSht Data'!$A$2:$A$2050,BC$1),#N/A)</f>
        <v>#N/A</v>
      </c>
      <c r="BD32" s="45" t="e">
        <f>IF(BD$1,SUMIFS('BalSht Data'!$H$2:$H$2050,'BalSht Data'!$G$2:$G$2050,$A32,'BalSht Data'!$A$2:$A$2050,BD$1),#N/A)</f>
        <v>#N/A</v>
      </c>
      <c r="BE32" s="45" t="e">
        <f>IF(BE$1,SUMIFS('BalSht Data'!$H$2:$H$2050,'BalSht Data'!$G$2:$G$2050,$A32,'BalSht Data'!$A$2:$A$2050,BE$1),#N/A)</f>
        <v>#N/A</v>
      </c>
      <c r="BF32" s="45" t="e">
        <f>IF(BF$1,SUMIFS('BalSht Data'!$H$2:$H$2050,'BalSht Data'!$G$2:$G$2050,$A32,'BalSht Data'!$A$2:$A$2050,BF$1),#N/A)</f>
        <v>#N/A</v>
      </c>
      <c r="BG32" s="45" t="e">
        <f>IF(BG$1,SUMIFS('BalSht Data'!$H$2:$H$2050,'BalSht Data'!$G$2:$G$2050,$A32,'BalSht Data'!$A$2:$A$2050,BG$1),#N/A)</f>
        <v>#N/A</v>
      </c>
      <c r="BH32" s="45" t="e">
        <f>IF(BH$1,SUMIFS('BalSht Data'!$H$2:$H$2050,'BalSht Data'!$G$2:$G$2050,$A32,'BalSht Data'!$A$2:$A$2050,BH$1),#N/A)</f>
        <v>#N/A</v>
      </c>
      <c r="BI32" s="45" t="e">
        <f>IF(BI$1,SUMIFS('BalSht Data'!$H$2:$H$2050,'BalSht Data'!$G$2:$G$2050,$A32,'BalSht Data'!$A$2:$A$2050,BI$1),#N/A)</f>
        <v>#N/A</v>
      </c>
      <c r="BJ32" s="45" t="e">
        <f>IF(BJ$1,SUMIFS('BalSht Data'!$H$2:$H$2050,'BalSht Data'!$G$2:$G$2050,$A32,'BalSht Data'!$A$2:$A$2050,BJ$1),#N/A)</f>
        <v>#N/A</v>
      </c>
      <c r="BK32" s="45" t="e">
        <f>IF(BK$1,SUMIFS('BalSht Data'!$H$2:$H$2050,'BalSht Data'!$G$2:$G$2050,$A32,'BalSht Data'!$A$2:$A$2050,BK$1),#N/A)</f>
        <v>#N/A</v>
      </c>
      <c r="BL32" s="45" t="e">
        <f>IF(BL$1,SUMIFS('BalSht Data'!$H$2:$H$2050,'BalSht Data'!$G$2:$G$2050,$A32,'BalSht Data'!$A$2:$A$2050,BL$1),#N/A)</f>
        <v>#N/A</v>
      </c>
      <c r="BM32" s="45" t="e">
        <f>IF(BM$1,SUMIFS('BalSht Data'!$H$2:$H$2050,'BalSht Data'!$G$2:$G$2050,$A32,'BalSht Data'!$A$2:$A$2050,BM$1),#N/A)</f>
        <v>#N/A</v>
      </c>
      <c r="BN32" s="45" t="e">
        <f>IF(BN$1,SUMIFS('BalSht Data'!$H$2:$H$2050,'BalSht Data'!$G$2:$G$2050,$A32,'BalSht Data'!$A$2:$A$2050,BN$1),#N/A)</f>
        <v>#N/A</v>
      </c>
      <c r="BO32" s="45" t="e">
        <f>IF(BO$1,SUMIFS('BalSht Data'!$H$2:$H$2050,'BalSht Data'!$G$2:$G$2050,$A32,'BalSht Data'!$A$2:$A$2050,BO$1),#N/A)</f>
        <v>#N/A</v>
      </c>
      <c r="BP32" s="45" t="e">
        <f>IF(BP$1,SUMIFS('BalSht Data'!$H$2:$H$2050,'BalSht Data'!$G$2:$G$2050,$A32,'BalSht Data'!$A$2:$A$2050,BP$1),#N/A)</f>
        <v>#N/A</v>
      </c>
      <c r="BQ32" s="45" t="e">
        <f>IF(BQ$1,SUMIFS('BalSht Data'!$H$2:$H$2050,'BalSht Data'!$G$2:$G$2050,$A32,'BalSht Data'!$A$2:$A$2050,BQ$1),#N/A)</f>
        <v>#N/A</v>
      </c>
      <c r="BR32" s="45" t="e">
        <f>IF(BR$1,SUMIFS('BalSht Data'!$H$2:$H$2050,'BalSht Data'!$G$2:$G$2050,$A32,'BalSht Data'!$A$2:$A$2050,BR$1),#N/A)</f>
        <v>#N/A</v>
      </c>
      <c r="BS32" s="45" t="e">
        <f>IF(BS$1,SUMIFS('BalSht Data'!$H$2:$H$2050,'BalSht Data'!$G$2:$G$2050,$A32,'BalSht Data'!$A$2:$A$2050,BS$1),#N/A)</f>
        <v>#N/A</v>
      </c>
      <c r="BT32" s="45" t="e">
        <f>IF(BT$1,SUMIFS('BalSht Data'!$H$2:$H$2050,'BalSht Data'!$G$2:$G$2050,$A32,'BalSht Data'!$A$2:$A$2050,BT$1),#N/A)</f>
        <v>#N/A</v>
      </c>
      <c r="BU32" s="45" t="e">
        <f>IF(BU$1,SUMIFS('BalSht Data'!$H$2:$H$2050,'BalSht Data'!$G$2:$G$2050,$A32,'BalSht Data'!$A$2:$A$2050,BU$1),#N/A)</f>
        <v>#N/A</v>
      </c>
      <c r="BV32" s="45" t="e">
        <f>IF(BV$1,SUMIFS('BalSht Data'!$H$2:$H$2050,'BalSht Data'!$G$2:$G$2050,$A32,'BalSht Data'!$A$2:$A$2050,BV$1),#N/A)</f>
        <v>#N/A</v>
      </c>
      <c r="BW32" s="45" t="e">
        <f>IF(BW$1,SUMIFS('BalSht Data'!$H$2:$H$2050,'BalSht Data'!$G$2:$G$2050,$A32,'BalSht Data'!$A$2:$A$2050,BW$1),#N/A)</f>
        <v>#N/A</v>
      </c>
      <c r="BX32" s="45" t="e">
        <f>IF(BX$1,SUMIFS('BalSht Data'!$H$2:$H$2050,'BalSht Data'!$G$2:$G$2050,$A32,'BalSht Data'!$A$2:$A$2050,BX$1),#N/A)</f>
        <v>#N/A</v>
      </c>
      <c r="BY32" s="45" t="e">
        <f>IF(BY$1,SUMIFS('BalSht Data'!$H$2:$H$2050,'BalSht Data'!$G$2:$G$2050,$A32,'BalSht Data'!$A$2:$A$2050,BY$1),#N/A)</f>
        <v>#N/A</v>
      </c>
      <c r="BZ32" s="45" t="e">
        <f>IF(BZ$1,SUMIFS('BalSht Data'!$H$2:$H$2050,'BalSht Data'!$G$2:$G$2050,$A32,'BalSht Data'!$A$2:$A$2050,BZ$1),#N/A)</f>
        <v>#N/A</v>
      </c>
      <c r="CA32" s="45" t="e">
        <f>IF(CA$1,SUMIFS('BalSht Data'!$H$2:$H$2050,'BalSht Data'!$G$2:$G$2050,$A32,'BalSht Data'!$A$2:$A$2050,CA$1),#N/A)</f>
        <v>#N/A</v>
      </c>
      <c r="CB32" s="45" t="e">
        <f>IF(CB$1,SUMIFS('BalSht Data'!$H$2:$H$2050,'BalSht Data'!$G$2:$G$2050,$A32,'BalSht Data'!$A$2:$A$2050,CB$1),#N/A)</f>
        <v>#N/A</v>
      </c>
      <c r="CC32" s="45" t="e">
        <f>IF(CC$1,SUMIFS('BalSht Data'!$H$2:$H$2050,'BalSht Data'!$G$2:$G$2050,$A32,'BalSht Data'!$A$2:$A$2050,CC$1),#N/A)</f>
        <v>#N/A</v>
      </c>
      <c r="CD32" s="45" t="e">
        <f>IF(CD$1,SUMIFS('BalSht Data'!$H$2:$H$2050,'BalSht Data'!$G$2:$G$2050,$A32,'BalSht Data'!$A$2:$A$2050,CD$1),#N/A)</f>
        <v>#N/A</v>
      </c>
      <c r="CE32" s="45" t="e">
        <f>IF(CE$1,SUMIFS('BalSht Data'!$H$2:$H$2050,'BalSht Data'!$G$2:$G$2050,$A32,'BalSht Data'!$A$2:$A$2050,CE$1),#N/A)</f>
        <v>#N/A</v>
      </c>
      <c r="CF32" s="45" t="e">
        <f>IF(CF$1,SUMIFS('BalSht Data'!$H$2:$H$2050,'BalSht Data'!$G$2:$G$2050,$A32,'BalSht Data'!$A$2:$A$2050,CF$1),#N/A)</f>
        <v>#N/A</v>
      </c>
      <c r="CG32" s="45" t="e">
        <f>IF(CG$1,SUMIFS('BalSht Data'!$H$2:$H$2050,'BalSht Data'!$G$2:$G$2050,$A32,'BalSht Data'!$A$2:$A$2050,CG$1),#N/A)</f>
        <v>#N/A</v>
      </c>
      <c r="CH32" s="45" t="e">
        <f>IF(CH$1,SUMIFS('BalSht Data'!$H$2:$H$2050,'BalSht Data'!$G$2:$G$2050,$A32,'BalSht Data'!$A$2:$A$2050,CH$1),#N/A)</f>
        <v>#N/A</v>
      </c>
      <c r="CI32" s="45" t="e">
        <f>IF(CI$1,SUMIFS('BalSht Data'!$H$2:$H$2050,'BalSht Data'!$G$2:$G$2050,$A32,'BalSht Data'!$A$2:$A$2050,CI$1),#N/A)</f>
        <v>#N/A</v>
      </c>
      <c r="CJ32" s="45" t="e">
        <f>IF(CJ$1,SUMIFS('BalSht Data'!$H$2:$H$2050,'BalSht Data'!$G$2:$G$2050,$A32,'BalSht Data'!$A$2:$A$2050,CJ$1),#N/A)</f>
        <v>#N/A</v>
      </c>
      <c r="CK32" s="45" t="e">
        <f>IF(CK$1,SUMIFS('BalSht Data'!$H$2:$H$2050,'BalSht Data'!$G$2:$G$2050,$A32,'BalSht Data'!$A$2:$A$2050,CK$1),#N/A)</f>
        <v>#N/A</v>
      </c>
      <c r="CL32" s="45" t="e">
        <f>IF(CL$1,SUMIFS('BalSht Data'!$H$2:$H$2050,'BalSht Data'!$G$2:$G$2050,$A32,'BalSht Data'!$A$2:$A$2050,CL$1),#N/A)</f>
        <v>#N/A</v>
      </c>
      <c r="CM32" s="45" t="e">
        <f>IF(CM$1,SUMIFS('BalSht Data'!$H$2:$H$2050,'BalSht Data'!$G$2:$G$2050,$A32,'BalSht Data'!$A$2:$A$2050,CM$1),#N/A)</f>
        <v>#N/A</v>
      </c>
      <c r="CN32" s="45" t="e">
        <f>IF(CN$1,SUMIFS('BalSht Data'!$H$2:$H$2050,'BalSht Data'!$G$2:$G$2050,$A32,'BalSht Data'!$A$2:$A$2050,CN$1),#N/A)</f>
        <v>#N/A</v>
      </c>
      <c r="CO32" s="45" t="e">
        <f>IF(CO$1,SUMIFS('BalSht Data'!$H$2:$H$2050,'BalSht Data'!$G$2:$G$2050,$A32,'BalSht Data'!$A$2:$A$2050,CO$1),#N/A)</f>
        <v>#N/A</v>
      </c>
      <c r="CP32" s="45" t="e">
        <f>IF(CP$1,SUMIFS('BalSht Data'!$H$2:$H$2050,'BalSht Data'!$G$2:$G$2050,$A32,'BalSht Data'!$A$2:$A$2050,CP$1),#N/A)</f>
        <v>#N/A</v>
      </c>
      <c r="CQ32" s="45" t="e">
        <f>IF(CQ$1,SUMIFS('BalSht Data'!$H$2:$H$2050,'BalSht Data'!$G$2:$G$2050,$A32,'BalSht Data'!$A$2:$A$2050,CQ$1),#N/A)</f>
        <v>#N/A</v>
      </c>
      <c r="CR32" s="45" t="e">
        <f>IF(CR$1,SUMIFS('BalSht Data'!$H$2:$H$2050,'BalSht Data'!$G$2:$G$2050,$A32,'BalSht Data'!$A$2:$A$2050,CR$1),#N/A)</f>
        <v>#N/A</v>
      </c>
      <c r="CS32" s="45" t="e">
        <f>IF(CS$1,SUMIFS('BalSht Data'!$H$2:$H$2050,'BalSht Data'!$G$2:$G$2050,$A32,'BalSht Data'!$A$2:$A$2050,CS$1),#N/A)</f>
        <v>#N/A</v>
      </c>
      <c r="CT32" s="45" t="e">
        <f>IF(CT$1,SUMIFS('BalSht Data'!$H$2:$H$2050,'BalSht Data'!$G$2:$G$2050,$A32,'BalSht Data'!$A$2:$A$2050,CT$1),#N/A)</f>
        <v>#N/A</v>
      </c>
      <c r="CU32" s="45" t="e">
        <f>IF(CU$1,SUMIFS('BalSht Data'!$H$2:$H$2050,'BalSht Data'!$G$2:$G$2050,$A32,'BalSht Data'!$A$2:$A$2050,CU$1),#N/A)</f>
        <v>#N/A</v>
      </c>
      <c r="CV32" s="45" t="e">
        <f>IF(CV$1,SUMIFS('BalSht Data'!$H$2:$H$2050,'BalSht Data'!$G$2:$G$2050,$A32,'BalSht Data'!$A$2:$A$2050,CV$1),#N/A)</f>
        <v>#N/A</v>
      </c>
      <c r="CW32" s="45" t="e">
        <f>IF(CW$1,SUMIFS('BalSht Data'!$H$2:$H$2050,'BalSht Data'!$G$2:$G$2050,$A32,'BalSht Data'!$A$2:$A$2050,CW$1),#N/A)</f>
        <v>#N/A</v>
      </c>
      <c r="CX32" s="45" t="e">
        <f>IF(CX$1,SUMIFS('BalSht Data'!$H$2:$H$2050,'BalSht Data'!$G$2:$G$2050,$A32,'BalSht Data'!$A$2:$A$2050,CX$1),#N/A)</f>
        <v>#N/A</v>
      </c>
      <c r="CY32" s="45" t="e">
        <f>IF(CY$1,SUMIFS('BalSht Data'!$H$2:$H$2050,'BalSht Data'!$G$2:$G$2050,$A32,'BalSht Data'!$A$2:$A$2050,CY$1),#N/A)</f>
        <v>#N/A</v>
      </c>
      <c r="CZ32" s="45" t="e">
        <f>IF(CZ$1,SUMIFS('BalSht Data'!$H$2:$H$2050,'BalSht Data'!$G$2:$G$2050,$A32,'BalSht Data'!$A$2:$A$2050,CZ$1),#N/A)</f>
        <v>#N/A</v>
      </c>
    </row>
    <row r="33" spans="1:106" s="42" customFormat="1" x14ac:dyDescent="0.2">
      <c r="A33" s="57" t="s">
        <v>34</v>
      </c>
      <c r="B33" s="45" t="e">
        <f>IF(B$1,SUMIFS('BalSht Data'!$H$2:$H$2050,'BalSht Data'!$G$2:$G$2050,$A33,'BalSht Data'!$A$2:$A$2050,B$1),#N/A)</f>
        <v>#N/A</v>
      </c>
      <c r="C33" s="45" t="e">
        <f>IF(C$1,SUMIFS('BalSht Data'!$H$2:$H$2050,'BalSht Data'!$G$2:$G$2050,$A33,'BalSht Data'!$A$2:$A$2050,C$1),#N/A)</f>
        <v>#N/A</v>
      </c>
      <c r="D33" s="45" t="e">
        <f>IF(D$1,SUMIFS('BalSht Data'!$H$2:$H$2050,'BalSht Data'!$G$2:$G$2050,$A33,'BalSht Data'!$A$2:$A$2050,D$1),#N/A)</f>
        <v>#N/A</v>
      </c>
      <c r="E33" s="45" t="e">
        <f>IF(E$1,SUMIFS('BalSht Data'!$H$2:$H$2050,'BalSht Data'!$G$2:$G$2050,$A33,'BalSht Data'!$A$2:$A$2050,E$1),#N/A)</f>
        <v>#N/A</v>
      </c>
      <c r="F33" s="45" t="e">
        <f>IF(F$1,SUMIFS('BalSht Data'!$H$2:$H$2050,'BalSht Data'!$G$2:$G$2050,$A33,'BalSht Data'!$A$2:$A$2050,F$1),#N/A)</f>
        <v>#N/A</v>
      </c>
      <c r="G33" s="45" t="e">
        <f>IF(G$1,SUMIFS('BalSht Data'!$H$2:$H$2050,'BalSht Data'!$G$2:$G$2050,$A33,'BalSht Data'!$A$2:$A$2050,G$1),#N/A)</f>
        <v>#N/A</v>
      </c>
      <c r="H33" s="45" t="e">
        <f>IF(H$1,SUMIFS('BalSht Data'!$H$2:$H$2050,'BalSht Data'!$G$2:$G$2050,$A33,'BalSht Data'!$A$2:$A$2050,H$1),#N/A)</f>
        <v>#N/A</v>
      </c>
      <c r="I33" s="45" t="e">
        <f>IF(I$1,SUMIFS('BalSht Data'!$H$2:$H$2050,'BalSht Data'!$G$2:$G$2050,$A33,'BalSht Data'!$A$2:$A$2050,I$1),#N/A)</f>
        <v>#N/A</v>
      </c>
      <c r="J33" s="45" t="e">
        <f>IF(J$1,SUMIFS('BalSht Data'!$H$2:$H$2050,'BalSht Data'!$G$2:$G$2050,$A33,'BalSht Data'!$A$2:$A$2050,J$1),#N/A)</f>
        <v>#N/A</v>
      </c>
      <c r="K33" s="45" t="e">
        <f>IF(K$1,SUMIFS('BalSht Data'!$H$2:$H$2050,'BalSht Data'!$G$2:$G$2050,$A33,'BalSht Data'!$A$2:$A$2050,K$1),#N/A)</f>
        <v>#N/A</v>
      </c>
      <c r="L33" s="45" t="e">
        <f>IF(L$1,SUMIFS('BalSht Data'!$H$2:$H$2050,'BalSht Data'!$G$2:$G$2050,$A33,'BalSht Data'!$A$2:$A$2050,L$1),#N/A)</f>
        <v>#N/A</v>
      </c>
      <c r="M33" s="45" t="e">
        <f>IF(M$1,SUMIFS('BalSht Data'!$H$2:$H$2050,'BalSht Data'!$G$2:$G$2050,$A33,'BalSht Data'!$A$2:$A$2050,M$1),#N/A)</f>
        <v>#N/A</v>
      </c>
      <c r="N33" s="45" t="e">
        <f>IF(N$1,SUMIFS('BalSht Data'!$H$2:$H$2050,'BalSht Data'!$G$2:$G$2050,$A33,'BalSht Data'!$A$2:$A$2050,N$1),#N/A)</f>
        <v>#N/A</v>
      </c>
      <c r="O33" s="45" t="e">
        <f>IF(O$1,SUMIFS('BalSht Data'!$H$2:$H$2050,'BalSht Data'!$G$2:$G$2050,$A33,'BalSht Data'!$A$2:$A$2050,O$1),#N/A)</f>
        <v>#N/A</v>
      </c>
      <c r="P33" s="45" t="e">
        <f>IF(P$1,SUMIFS('BalSht Data'!$H$2:$H$2050,'BalSht Data'!$G$2:$G$2050,$A33,'BalSht Data'!$A$2:$A$2050,P$1),#N/A)</f>
        <v>#N/A</v>
      </c>
      <c r="Q33" s="45" t="e">
        <f>IF(Q$1,SUMIFS('BalSht Data'!$H$2:$H$2050,'BalSht Data'!$G$2:$G$2050,$A33,'BalSht Data'!$A$2:$A$2050,Q$1),#N/A)</f>
        <v>#N/A</v>
      </c>
      <c r="R33" s="45" t="e">
        <f>IF(R$1,SUMIFS('BalSht Data'!$H$2:$H$2050,'BalSht Data'!$G$2:$G$2050,$A33,'BalSht Data'!$A$2:$A$2050,R$1),#N/A)</f>
        <v>#N/A</v>
      </c>
      <c r="S33" s="45" t="e">
        <f>IF(S$1,SUMIFS('BalSht Data'!$H$2:$H$2050,'BalSht Data'!$G$2:$G$2050,$A33,'BalSht Data'!$A$2:$A$2050,S$1),#N/A)</f>
        <v>#N/A</v>
      </c>
      <c r="T33" s="45" t="e">
        <f>IF(T$1,SUMIFS('BalSht Data'!$H$2:$H$2050,'BalSht Data'!$G$2:$G$2050,$A33,'BalSht Data'!$A$2:$A$2050,T$1),#N/A)</f>
        <v>#N/A</v>
      </c>
      <c r="U33" s="45" t="e">
        <f>IF(U$1,SUMIFS('BalSht Data'!$H$2:$H$2050,'BalSht Data'!$G$2:$G$2050,$A33,'BalSht Data'!$A$2:$A$2050,U$1),#N/A)</f>
        <v>#N/A</v>
      </c>
      <c r="V33" s="45" t="e">
        <f>IF(V$1,SUMIFS('BalSht Data'!$H$2:$H$2050,'BalSht Data'!$G$2:$G$2050,$A33,'BalSht Data'!$A$2:$A$2050,V$1),#N/A)</f>
        <v>#N/A</v>
      </c>
      <c r="W33" s="45" t="e">
        <f>IF(W$1,SUMIFS('BalSht Data'!$H$2:$H$2050,'BalSht Data'!$G$2:$G$2050,$A33,'BalSht Data'!$A$2:$A$2050,W$1),#N/A)</f>
        <v>#N/A</v>
      </c>
      <c r="X33" s="45" t="e">
        <f>IF(X$1,SUMIFS('BalSht Data'!$H$2:$H$2050,'BalSht Data'!$G$2:$G$2050,$A33,'BalSht Data'!$A$2:$A$2050,X$1),#N/A)</f>
        <v>#N/A</v>
      </c>
      <c r="Y33" s="45" t="e">
        <f>IF(Y$1,SUMIFS('BalSht Data'!$H$2:$H$2050,'BalSht Data'!$G$2:$G$2050,$A33,'BalSht Data'!$A$2:$A$2050,Y$1),#N/A)</f>
        <v>#N/A</v>
      </c>
      <c r="Z33" s="45" t="e">
        <f>IF(Z$1,SUMIFS('BalSht Data'!$H$2:$H$2050,'BalSht Data'!$G$2:$G$2050,$A33,'BalSht Data'!$A$2:$A$2050,Z$1),#N/A)</f>
        <v>#N/A</v>
      </c>
      <c r="AA33" s="45" t="e">
        <f>IF(AA$1,SUMIFS('BalSht Data'!$H$2:$H$2050,'BalSht Data'!$G$2:$G$2050,$A33,'BalSht Data'!$A$2:$A$2050,AA$1),#N/A)</f>
        <v>#N/A</v>
      </c>
      <c r="AB33" s="45" t="e">
        <f>IF(AB$1,SUMIFS('BalSht Data'!$H$2:$H$2050,'BalSht Data'!$G$2:$G$2050,$A33,'BalSht Data'!$A$2:$A$2050,AB$1),#N/A)</f>
        <v>#N/A</v>
      </c>
      <c r="AC33" s="45" t="e">
        <f>IF(AC$1,SUMIFS('BalSht Data'!$H$2:$H$2050,'BalSht Data'!$G$2:$G$2050,$A33,'BalSht Data'!$A$2:$A$2050,AC$1),#N/A)</f>
        <v>#N/A</v>
      </c>
      <c r="AD33" s="45" t="e">
        <f>IF(AD$1,SUMIFS('BalSht Data'!$H$2:$H$2050,'BalSht Data'!$G$2:$G$2050,$A33,'BalSht Data'!$A$2:$A$2050,AD$1),#N/A)</f>
        <v>#N/A</v>
      </c>
      <c r="AE33" s="45" t="e">
        <f>IF(AE$1,SUMIFS('BalSht Data'!$H$2:$H$2050,'BalSht Data'!$G$2:$G$2050,$A33,'BalSht Data'!$A$2:$A$2050,AE$1),#N/A)</f>
        <v>#N/A</v>
      </c>
      <c r="AF33" s="45" t="e">
        <f>IF(AF$1,SUMIFS('BalSht Data'!$H$2:$H$2050,'BalSht Data'!$G$2:$G$2050,$A33,'BalSht Data'!$A$2:$A$2050,AF$1),#N/A)</f>
        <v>#N/A</v>
      </c>
      <c r="AG33" s="45" t="e">
        <f>IF(AG$1,SUMIFS('BalSht Data'!$H$2:$H$2050,'BalSht Data'!$G$2:$G$2050,$A33,'BalSht Data'!$A$2:$A$2050,AG$1),#N/A)</f>
        <v>#N/A</v>
      </c>
      <c r="AH33" s="45" t="e">
        <f>IF(AH$1,SUMIFS('BalSht Data'!$H$2:$H$2050,'BalSht Data'!$G$2:$G$2050,$A33,'BalSht Data'!$A$2:$A$2050,AH$1),#N/A)</f>
        <v>#N/A</v>
      </c>
      <c r="AI33" s="45" t="e">
        <f>IF(AI$1,SUMIFS('BalSht Data'!$H$2:$H$2050,'BalSht Data'!$G$2:$G$2050,$A33,'BalSht Data'!$A$2:$A$2050,AI$1),#N/A)</f>
        <v>#N/A</v>
      </c>
      <c r="AJ33" s="45" t="e">
        <f>IF(AJ$1,SUMIFS('BalSht Data'!$H$2:$H$2050,'BalSht Data'!$G$2:$G$2050,$A33,'BalSht Data'!$A$2:$A$2050,AJ$1),#N/A)</f>
        <v>#N/A</v>
      </c>
      <c r="AK33" s="45" t="e">
        <f>IF(AK$1,SUMIFS('BalSht Data'!$H$2:$H$2050,'BalSht Data'!$G$2:$G$2050,$A33,'BalSht Data'!$A$2:$A$2050,AK$1),#N/A)</f>
        <v>#N/A</v>
      </c>
      <c r="AL33" s="45" t="e">
        <f>IF(AL$1,SUMIFS('BalSht Data'!$H$2:$H$2050,'BalSht Data'!$G$2:$G$2050,$A33,'BalSht Data'!$A$2:$A$2050,AL$1),#N/A)</f>
        <v>#N/A</v>
      </c>
      <c r="AM33" s="45" t="e">
        <f>IF(AM$1,SUMIFS('BalSht Data'!$H$2:$H$2050,'BalSht Data'!$G$2:$G$2050,$A33,'BalSht Data'!$A$2:$A$2050,AM$1),#N/A)</f>
        <v>#N/A</v>
      </c>
      <c r="AN33" s="45" t="e">
        <f>IF(AN$1,SUMIFS('BalSht Data'!$H$2:$H$2050,'BalSht Data'!$G$2:$G$2050,$A33,'BalSht Data'!$A$2:$A$2050,AN$1),#N/A)</f>
        <v>#N/A</v>
      </c>
      <c r="AO33" s="45" t="e">
        <f>IF(AO$1,SUMIFS('BalSht Data'!$H$2:$H$2050,'BalSht Data'!$G$2:$G$2050,$A33,'BalSht Data'!$A$2:$A$2050,AO$1),#N/A)</f>
        <v>#N/A</v>
      </c>
      <c r="AP33" s="45" t="e">
        <f>IF(AP$1,SUMIFS('BalSht Data'!$H$2:$H$2050,'BalSht Data'!$G$2:$G$2050,$A33,'BalSht Data'!$A$2:$A$2050,AP$1),#N/A)</f>
        <v>#N/A</v>
      </c>
      <c r="AQ33" s="45" t="e">
        <f>IF(AQ$1,SUMIFS('BalSht Data'!$H$2:$H$2050,'BalSht Data'!$G$2:$G$2050,$A33,'BalSht Data'!$A$2:$A$2050,AQ$1),#N/A)</f>
        <v>#N/A</v>
      </c>
      <c r="AR33" s="45" t="e">
        <f>IF(AR$1,SUMIFS('BalSht Data'!$H$2:$H$2050,'BalSht Data'!$G$2:$G$2050,$A33,'BalSht Data'!$A$2:$A$2050,AR$1),#N/A)</f>
        <v>#N/A</v>
      </c>
      <c r="AS33" s="45" t="e">
        <f>IF(AS$1,SUMIFS('BalSht Data'!$H$2:$H$2050,'BalSht Data'!$G$2:$G$2050,$A33,'BalSht Data'!$A$2:$A$2050,AS$1),#N/A)</f>
        <v>#N/A</v>
      </c>
      <c r="AT33" s="45" t="e">
        <f>IF(AT$1,SUMIFS('BalSht Data'!$H$2:$H$2050,'BalSht Data'!$G$2:$G$2050,$A33,'BalSht Data'!$A$2:$A$2050,AT$1),#N/A)</f>
        <v>#N/A</v>
      </c>
      <c r="AU33" s="45" t="e">
        <f>IF(AU$1,SUMIFS('BalSht Data'!$H$2:$H$2050,'BalSht Data'!$G$2:$G$2050,$A33,'BalSht Data'!$A$2:$A$2050,AU$1),#N/A)</f>
        <v>#N/A</v>
      </c>
      <c r="AV33" s="45" t="e">
        <f>IF(AV$1,SUMIFS('BalSht Data'!$H$2:$H$2050,'BalSht Data'!$G$2:$G$2050,$A33,'BalSht Data'!$A$2:$A$2050,AV$1),#N/A)</f>
        <v>#N/A</v>
      </c>
      <c r="AW33" s="45" t="e">
        <f>IF(AW$1,SUMIFS('BalSht Data'!$H$2:$H$2050,'BalSht Data'!$G$2:$G$2050,$A33,'BalSht Data'!$A$2:$A$2050,AW$1),#N/A)</f>
        <v>#N/A</v>
      </c>
      <c r="AX33" s="45" t="e">
        <f>IF(AX$1,SUMIFS('BalSht Data'!$H$2:$H$2050,'BalSht Data'!$G$2:$G$2050,$A33,'BalSht Data'!$A$2:$A$2050,AX$1),#N/A)</f>
        <v>#N/A</v>
      </c>
      <c r="AY33" s="45" t="e">
        <f>IF(AY$1,SUMIFS('BalSht Data'!$H$2:$H$2050,'BalSht Data'!$G$2:$G$2050,$A33,'BalSht Data'!$A$2:$A$2050,AY$1),#N/A)</f>
        <v>#N/A</v>
      </c>
      <c r="AZ33" s="45" t="e">
        <f>IF(AZ$1,SUMIFS('BalSht Data'!$H$2:$H$2050,'BalSht Data'!$G$2:$G$2050,$A33,'BalSht Data'!$A$2:$A$2050,AZ$1),#N/A)</f>
        <v>#N/A</v>
      </c>
      <c r="BA33" s="45" t="e">
        <f>IF(BA$1,SUMIFS('BalSht Data'!$H$2:$H$2050,'BalSht Data'!$G$2:$G$2050,$A33,'BalSht Data'!$A$2:$A$2050,BA$1),#N/A)</f>
        <v>#N/A</v>
      </c>
      <c r="BB33" s="45" t="e">
        <f>IF(BB$1,SUMIFS('BalSht Data'!$H$2:$H$2050,'BalSht Data'!$G$2:$G$2050,$A33,'BalSht Data'!$A$2:$A$2050,BB$1),#N/A)</f>
        <v>#N/A</v>
      </c>
      <c r="BC33" s="45" t="e">
        <f>IF(BC$1,SUMIFS('BalSht Data'!$H$2:$H$2050,'BalSht Data'!$G$2:$G$2050,$A33,'BalSht Data'!$A$2:$A$2050,BC$1),#N/A)</f>
        <v>#N/A</v>
      </c>
      <c r="BD33" s="45" t="e">
        <f>IF(BD$1,SUMIFS('BalSht Data'!$H$2:$H$2050,'BalSht Data'!$G$2:$G$2050,$A33,'BalSht Data'!$A$2:$A$2050,BD$1),#N/A)</f>
        <v>#N/A</v>
      </c>
      <c r="BE33" s="45" t="e">
        <f>IF(BE$1,SUMIFS('BalSht Data'!$H$2:$H$2050,'BalSht Data'!$G$2:$G$2050,$A33,'BalSht Data'!$A$2:$A$2050,BE$1),#N/A)</f>
        <v>#N/A</v>
      </c>
      <c r="BF33" s="45" t="e">
        <f>IF(BF$1,SUMIFS('BalSht Data'!$H$2:$H$2050,'BalSht Data'!$G$2:$G$2050,$A33,'BalSht Data'!$A$2:$A$2050,BF$1),#N/A)</f>
        <v>#N/A</v>
      </c>
      <c r="BG33" s="45" t="e">
        <f>IF(BG$1,SUMIFS('BalSht Data'!$H$2:$H$2050,'BalSht Data'!$G$2:$G$2050,$A33,'BalSht Data'!$A$2:$A$2050,BG$1),#N/A)</f>
        <v>#N/A</v>
      </c>
      <c r="BH33" s="45" t="e">
        <f>IF(BH$1,SUMIFS('BalSht Data'!$H$2:$H$2050,'BalSht Data'!$G$2:$G$2050,$A33,'BalSht Data'!$A$2:$A$2050,BH$1),#N/A)</f>
        <v>#N/A</v>
      </c>
      <c r="BI33" s="45" t="e">
        <f>IF(BI$1,SUMIFS('BalSht Data'!$H$2:$H$2050,'BalSht Data'!$G$2:$G$2050,$A33,'BalSht Data'!$A$2:$A$2050,BI$1),#N/A)</f>
        <v>#N/A</v>
      </c>
      <c r="BJ33" s="45" t="e">
        <f>IF(BJ$1,SUMIFS('BalSht Data'!$H$2:$H$2050,'BalSht Data'!$G$2:$G$2050,$A33,'BalSht Data'!$A$2:$A$2050,BJ$1),#N/A)</f>
        <v>#N/A</v>
      </c>
      <c r="BK33" s="45" t="e">
        <f>IF(BK$1,SUMIFS('BalSht Data'!$H$2:$H$2050,'BalSht Data'!$G$2:$G$2050,$A33,'BalSht Data'!$A$2:$A$2050,BK$1),#N/A)</f>
        <v>#N/A</v>
      </c>
      <c r="BL33" s="45" t="e">
        <f>IF(BL$1,SUMIFS('BalSht Data'!$H$2:$H$2050,'BalSht Data'!$G$2:$G$2050,$A33,'BalSht Data'!$A$2:$A$2050,BL$1),#N/A)</f>
        <v>#N/A</v>
      </c>
      <c r="BM33" s="45" t="e">
        <f>IF(BM$1,SUMIFS('BalSht Data'!$H$2:$H$2050,'BalSht Data'!$G$2:$G$2050,$A33,'BalSht Data'!$A$2:$A$2050,BM$1),#N/A)</f>
        <v>#N/A</v>
      </c>
      <c r="BN33" s="45" t="e">
        <f>IF(BN$1,SUMIFS('BalSht Data'!$H$2:$H$2050,'BalSht Data'!$G$2:$G$2050,$A33,'BalSht Data'!$A$2:$A$2050,BN$1),#N/A)</f>
        <v>#N/A</v>
      </c>
      <c r="BO33" s="45" t="e">
        <f>IF(BO$1,SUMIFS('BalSht Data'!$H$2:$H$2050,'BalSht Data'!$G$2:$G$2050,$A33,'BalSht Data'!$A$2:$A$2050,BO$1),#N/A)</f>
        <v>#N/A</v>
      </c>
      <c r="BP33" s="45" t="e">
        <f>IF(BP$1,SUMIFS('BalSht Data'!$H$2:$H$2050,'BalSht Data'!$G$2:$G$2050,$A33,'BalSht Data'!$A$2:$A$2050,BP$1),#N/A)</f>
        <v>#N/A</v>
      </c>
      <c r="BQ33" s="45" t="e">
        <f>IF(BQ$1,SUMIFS('BalSht Data'!$H$2:$H$2050,'BalSht Data'!$G$2:$G$2050,$A33,'BalSht Data'!$A$2:$A$2050,BQ$1),#N/A)</f>
        <v>#N/A</v>
      </c>
      <c r="BR33" s="45" t="e">
        <f>IF(BR$1,SUMIFS('BalSht Data'!$H$2:$H$2050,'BalSht Data'!$G$2:$G$2050,$A33,'BalSht Data'!$A$2:$A$2050,BR$1),#N/A)</f>
        <v>#N/A</v>
      </c>
      <c r="BS33" s="45" t="e">
        <f>IF(BS$1,SUMIFS('BalSht Data'!$H$2:$H$2050,'BalSht Data'!$G$2:$G$2050,$A33,'BalSht Data'!$A$2:$A$2050,BS$1),#N/A)</f>
        <v>#N/A</v>
      </c>
      <c r="BT33" s="45" t="e">
        <f>IF(BT$1,SUMIFS('BalSht Data'!$H$2:$H$2050,'BalSht Data'!$G$2:$G$2050,$A33,'BalSht Data'!$A$2:$A$2050,BT$1),#N/A)</f>
        <v>#N/A</v>
      </c>
      <c r="BU33" s="45" t="e">
        <f>IF(BU$1,SUMIFS('BalSht Data'!$H$2:$H$2050,'BalSht Data'!$G$2:$G$2050,$A33,'BalSht Data'!$A$2:$A$2050,BU$1),#N/A)</f>
        <v>#N/A</v>
      </c>
      <c r="BV33" s="45" t="e">
        <f>IF(BV$1,SUMIFS('BalSht Data'!$H$2:$H$2050,'BalSht Data'!$G$2:$G$2050,$A33,'BalSht Data'!$A$2:$A$2050,BV$1),#N/A)</f>
        <v>#N/A</v>
      </c>
      <c r="BW33" s="45" t="e">
        <f>IF(BW$1,SUMIFS('BalSht Data'!$H$2:$H$2050,'BalSht Data'!$G$2:$G$2050,$A33,'BalSht Data'!$A$2:$A$2050,BW$1),#N/A)</f>
        <v>#N/A</v>
      </c>
      <c r="BX33" s="45" t="e">
        <f>IF(BX$1,SUMIFS('BalSht Data'!$H$2:$H$2050,'BalSht Data'!$G$2:$G$2050,$A33,'BalSht Data'!$A$2:$A$2050,BX$1),#N/A)</f>
        <v>#N/A</v>
      </c>
      <c r="BY33" s="45" t="e">
        <f>IF(BY$1,SUMIFS('BalSht Data'!$H$2:$H$2050,'BalSht Data'!$G$2:$G$2050,$A33,'BalSht Data'!$A$2:$A$2050,BY$1),#N/A)</f>
        <v>#N/A</v>
      </c>
      <c r="BZ33" s="45" t="e">
        <f>IF(BZ$1,SUMIFS('BalSht Data'!$H$2:$H$2050,'BalSht Data'!$G$2:$G$2050,$A33,'BalSht Data'!$A$2:$A$2050,BZ$1),#N/A)</f>
        <v>#N/A</v>
      </c>
      <c r="CA33" s="45" t="e">
        <f>IF(CA$1,SUMIFS('BalSht Data'!$H$2:$H$2050,'BalSht Data'!$G$2:$G$2050,$A33,'BalSht Data'!$A$2:$A$2050,CA$1),#N/A)</f>
        <v>#N/A</v>
      </c>
      <c r="CB33" s="45" t="e">
        <f>IF(CB$1,SUMIFS('BalSht Data'!$H$2:$H$2050,'BalSht Data'!$G$2:$G$2050,$A33,'BalSht Data'!$A$2:$A$2050,CB$1),#N/A)</f>
        <v>#N/A</v>
      </c>
      <c r="CC33" s="45" t="e">
        <f>IF(CC$1,SUMIFS('BalSht Data'!$H$2:$H$2050,'BalSht Data'!$G$2:$G$2050,$A33,'BalSht Data'!$A$2:$A$2050,CC$1),#N/A)</f>
        <v>#N/A</v>
      </c>
      <c r="CD33" s="45" t="e">
        <f>IF(CD$1,SUMIFS('BalSht Data'!$H$2:$H$2050,'BalSht Data'!$G$2:$G$2050,$A33,'BalSht Data'!$A$2:$A$2050,CD$1),#N/A)</f>
        <v>#N/A</v>
      </c>
      <c r="CE33" s="45" t="e">
        <f>IF(CE$1,SUMIFS('BalSht Data'!$H$2:$H$2050,'BalSht Data'!$G$2:$G$2050,$A33,'BalSht Data'!$A$2:$A$2050,CE$1),#N/A)</f>
        <v>#N/A</v>
      </c>
      <c r="CF33" s="45" t="e">
        <f>IF(CF$1,SUMIFS('BalSht Data'!$H$2:$H$2050,'BalSht Data'!$G$2:$G$2050,$A33,'BalSht Data'!$A$2:$A$2050,CF$1),#N/A)</f>
        <v>#N/A</v>
      </c>
      <c r="CG33" s="45" t="e">
        <f>IF(CG$1,SUMIFS('BalSht Data'!$H$2:$H$2050,'BalSht Data'!$G$2:$G$2050,$A33,'BalSht Data'!$A$2:$A$2050,CG$1),#N/A)</f>
        <v>#N/A</v>
      </c>
      <c r="CH33" s="45" t="e">
        <f>IF(CH$1,SUMIFS('BalSht Data'!$H$2:$H$2050,'BalSht Data'!$G$2:$G$2050,$A33,'BalSht Data'!$A$2:$A$2050,CH$1),#N/A)</f>
        <v>#N/A</v>
      </c>
      <c r="CI33" s="45" t="e">
        <f>IF(CI$1,SUMIFS('BalSht Data'!$H$2:$H$2050,'BalSht Data'!$G$2:$G$2050,$A33,'BalSht Data'!$A$2:$A$2050,CI$1),#N/A)</f>
        <v>#N/A</v>
      </c>
      <c r="CJ33" s="45" t="e">
        <f>IF(CJ$1,SUMIFS('BalSht Data'!$H$2:$H$2050,'BalSht Data'!$G$2:$G$2050,$A33,'BalSht Data'!$A$2:$A$2050,CJ$1),#N/A)</f>
        <v>#N/A</v>
      </c>
      <c r="CK33" s="45" t="e">
        <f>IF(CK$1,SUMIFS('BalSht Data'!$H$2:$H$2050,'BalSht Data'!$G$2:$G$2050,$A33,'BalSht Data'!$A$2:$A$2050,CK$1),#N/A)</f>
        <v>#N/A</v>
      </c>
      <c r="CL33" s="45" t="e">
        <f>IF(CL$1,SUMIFS('BalSht Data'!$H$2:$H$2050,'BalSht Data'!$G$2:$G$2050,$A33,'BalSht Data'!$A$2:$A$2050,CL$1),#N/A)</f>
        <v>#N/A</v>
      </c>
      <c r="CM33" s="45" t="e">
        <f>IF(CM$1,SUMIFS('BalSht Data'!$H$2:$H$2050,'BalSht Data'!$G$2:$G$2050,$A33,'BalSht Data'!$A$2:$A$2050,CM$1),#N/A)</f>
        <v>#N/A</v>
      </c>
      <c r="CN33" s="45" t="e">
        <f>IF(CN$1,SUMIFS('BalSht Data'!$H$2:$H$2050,'BalSht Data'!$G$2:$G$2050,$A33,'BalSht Data'!$A$2:$A$2050,CN$1),#N/A)</f>
        <v>#N/A</v>
      </c>
      <c r="CO33" s="45" t="e">
        <f>IF(CO$1,SUMIFS('BalSht Data'!$H$2:$H$2050,'BalSht Data'!$G$2:$G$2050,$A33,'BalSht Data'!$A$2:$A$2050,CO$1),#N/A)</f>
        <v>#N/A</v>
      </c>
      <c r="CP33" s="45" t="e">
        <f>IF(CP$1,SUMIFS('BalSht Data'!$H$2:$H$2050,'BalSht Data'!$G$2:$G$2050,$A33,'BalSht Data'!$A$2:$A$2050,CP$1),#N/A)</f>
        <v>#N/A</v>
      </c>
      <c r="CQ33" s="45" t="e">
        <f>IF(CQ$1,SUMIFS('BalSht Data'!$H$2:$H$2050,'BalSht Data'!$G$2:$G$2050,$A33,'BalSht Data'!$A$2:$A$2050,CQ$1),#N/A)</f>
        <v>#N/A</v>
      </c>
      <c r="CR33" s="45" t="e">
        <f>IF(CR$1,SUMIFS('BalSht Data'!$H$2:$H$2050,'BalSht Data'!$G$2:$G$2050,$A33,'BalSht Data'!$A$2:$A$2050,CR$1),#N/A)</f>
        <v>#N/A</v>
      </c>
      <c r="CS33" s="45" t="e">
        <f>IF(CS$1,SUMIFS('BalSht Data'!$H$2:$H$2050,'BalSht Data'!$G$2:$G$2050,$A33,'BalSht Data'!$A$2:$A$2050,CS$1),#N/A)</f>
        <v>#N/A</v>
      </c>
      <c r="CT33" s="45" t="e">
        <f>IF(CT$1,SUMIFS('BalSht Data'!$H$2:$H$2050,'BalSht Data'!$G$2:$G$2050,$A33,'BalSht Data'!$A$2:$A$2050,CT$1),#N/A)</f>
        <v>#N/A</v>
      </c>
      <c r="CU33" s="45" t="e">
        <f>IF(CU$1,SUMIFS('BalSht Data'!$H$2:$H$2050,'BalSht Data'!$G$2:$G$2050,$A33,'BalSht Data'!$A$2:$A$2050,CU$1),#N/A)</f>
        <v>#N/A</v>
      </c>
      <c r="CV33" s="45" t="e">
        <f>IF(CV$1,SUMIFS('BalSht Data'!$H$2:$H$2050,'BalSht Data'!$G$2:$G$2050,$A33,'BalSht Data'!$A$2:$A$2050,CV$1),#N/A)</f>
        <v>#N/A</v>
      </c>
      <c r="CW33" s="45" t="e">
        <f>IF(CW$1,SUMIFS('BalSht Data'!$H$2:$H$2050,'BalSht Data'!$G$2:$G$2050,$A33,'BalSht Data'!$A$2:$A$2050,CW$1),#N/A)</f>
        <v>#N/A</v>
      </c>
      <c r="CX33" s="45" t="e">
        <f>IF(CX$1,SUMIFS('BalSht Data'!$H$2:$H$2050,'BalSht Data'!$G$2:$G$2050,$A33,'BalSht Data'!$A$2:$A$2050,CX$1),#N/A)</f>
        <v>#N/A</v>
      </c>
      <c r="CY33" s="45" t="e">
        <f>IF(CY$1,SUMIFS('BalSht Data'!$H$2:$H$2050,'BalSht Data'!$G$2:$G$2050,$A33,'BalSht Data'!$A$2:$A$2050,CY$1),#N/A)</f>
        <v>#N/A</v>
      </c>
      <c r="CZ33" s="45" t="e">
        <f>IF(CZ$1,SUMIFS('BalSht Data'!$H$2:$H$2050,'BalSht Data'!$G$2:$G$2050,$A33,'BalSht Data'!$A$2:$A$2050,CZ$1),#N/A)</f>
        <v>#N/A</v>
      </c>
    </row>
    <row r="34" spans="1:106" s="42" customFormat="1" x14ac:dyDescent="0.2">
      <c r="A34" s="57" t="s">
        <v>28</v>
      </c>
      <c r="B34" s="45" t="e">
        <f>IF(B$1,SUMIFS('BalSht Data'!$H$2:$H$2050,'BalSht Data'!$G$2:$G$2050,$A34,'BalSht Data'!$A$2:$A$2050,B$1),#N/A)</f>
        <v>#N/A</v>
      </c>
      <c r="C34" s="45" t="e">
        <f>IF(C$1,SUMIFS('BalSht Data'!$H$2:$H$2050,'BalSht Data'!$G$2:$G$2050,$A34,'BalSht Data'!$A$2:$A$2050,C$1),#N/A)</f>
        <v>#N/A</v>
      </c>
      <c r="D34" s="45" t="e">
        <f>IF(D$1,SUMIFS('BalSht Data'!$H$2:$H$2050,'BalSht Data'!$G$2:$G$2050,$A34,'BalSht Data'!$A$2:$A$2050,D$1),#N/A)</f>
        <v>#N/A</v>
      </c>
      <c r="E34" s="45" t="e">
        <f>IF(E$1,SUMIFS('BalSht Data'!$H$2:$H$2050,'BalSht Data'!$G$2:$G$2050,$A34,'BalSht Data'!$A$2:$A$2050,E$1),#N/A)</f>
        <v>#N/A</v>
      </c>
      <c r="F34" s="45" t="e">
        <f>IF(F$1,SUMIFS('BalSht Data'!$H$2:$H$2050,'BalSht Data'!$G$2:$G$2050,$A34,'BalSht Data'!$A$2:$A$2050,F$1),#N/A)</f>
        <v>#N/A</v>
      </c>
      <c r="G34" s="45" t="e">
        <f>IF(G$1,SUMIFS('BalSht Data'!$H$2:$H$2050,'BalSht Data'!$G$2:$G$2050,$A34,'BalSht Data'!$A$2:$A$2050,G$1),#N/A)</f>
        <v>#N/A</v>
      </c>
      <c r="H34" s="45" t="e">
        <f>IF(H$1,SUMIFS('BalSht Data'!$H$2:$H$2050,'BalSht Data'!$G$2:$G$2050,$A34,'BalSht Data'!$A$2:$A$2050,H$1),#N/A)</f>
        <v>#N/A</v>
      </c>
      <c r="I34" s="45" t="e">
        <f>IF(I$1,SUMIFS('BalSht Data'!$H$2:$H$2050,'BalSht Data'!$G$2:$G$2050,$A34,'BalSht Data'!$A$2:$A$2050,I$1),#N/A)</f>
        <v>#N/A</v>
      </c>
      <c r="J34" s="45" t="e">
        <f>IF(J$1,SUMIFS('BalSht Data'!$H$2:$H$2050,'BalSht Data'!$G$2:$G$2050,$A34,'BalSht Data'!$A$2:$A$2050,J$1),#N/A)</f>
        <v>#N/A</v>
      </c>
      <c r="K34" s="45" t="e">
        <f>IF(K$1,SUMIFS('BalSht Data'!$H$2:$H$2050,'BalSht Data'!$G$2:$G$2050,$A34,'BalSht Data'!$A$2:$A$2050,K$1),#N/A)</f>
        <v>#N/A</v>
      </c>
      <c r="L34" s="45" t="e">
        <f>IF(L$1,SUMIFS('BalSht Data'!$H$2:$H$2050,'BalSht Data'!$G$2:$G$2050,$A34,'BalSht Data'!$A$2:$A$2050,L$1),#N/A)</f>
        <v>#N/A</v>
      </c>
      <c r="M34" s="45" t="e">
        <f>IF(M$1,SUMIFS('BalSht Data'!$H$2:$H$2050,'BalSht Data'!$G$2:$G$2050,$A34,'BalSht Data'!$A$2:$A$2050,M$1),#N/A)</f>
        <v>#N/A</v>
      </c>
      <c r="N34" s="45" t="e">
        <f>IF(N$1,SUMIFS('BalSht Data'!$H$2:$H$2050,'BalSht Data'!$G$2:$G$2050,$A34,'BalSht Data'!$A$2:$A$2050,N$1),#N/A)</f>
        <v>#N/A</v>
      </c>
      <c r="O34" s="45" t="e">
        <f>IF(O$1,SUMIFS('BalSht Data'!$H$2:$H$2050,'BalSht Data'!$G$2:$G$2050,$A34,'BalSht Data'!$A$2:$A$2050,O$1),#N/A)</f>
        <v>#N/A</v>
      </c>
      <c r="P34" s="45" t="e">
        <f>IF(P$1,SUMIFS('BalSht Data'!$H$2:$H$2050,'BalSht Data'!$G$2:$G$2050,$A34,'BalSht Data'!$A$2:$A$2050,P$1),#N/A)</f>
        <v>#N/A</v>
      </c>
      <c r="Q34" s="45" t="e">
        <f>IF(Q$1,SUMIFS('BalSht Data'!$H$2:$H$2050,'BalSht Data'!$G$2:$G$2050,$A34,'BalSht Data'!$A$2:$A$2050,Q$1),#N/A)</f>
        <v>#N/A</v>
      </c>
      <c r="R34" s="45" t="e">
        <f>IF(R$1,SUMIFS('BalSht Data'!$H$2:$H$2050,'BalSht Data'!$G$2:$G$2050,$A34,'BalSht Data'!$A$2:$A$2050,R$1),#N/A)</f>
        <v>#N/A</v>
      </c>
      <c r="S34" s="45" t="e">
        <f>IF(S$1,SUMIFS('BalSht Data'!$H$2:$H$2050,'BalSht Data'!$G$2:$G$2050,$A34,'BalSht Data'!$A$2:$A$2050,S$1),#N/A)</f>
        <v>#N/A</v>
      </c>
      <c r="T34" s="45" t="e">
        <f>IF(T$1,SUMIFS('BalSht Data'!$H$2:$H$2050,'BalSht Data'!$G$2:$G$2050,$A34,'BalSht Data'!$A$2:$A$2050,T$1),#N/A)</f>
        <v>#N/A</v>
      </c>
      <c r="U34" s="45" t="e">
        <f>IF(U$1,SUMIFS('BalSht Data'!$H$2:$H$2050,'BalSht Data'!$G$2:$G$2050,$A34,'BalSht Data'!$A$2:$A$2050,U$1),#N/A)</f>
        <v>#N/A</v>
      </c>
      <c r="V34" s="45" t="e">
        <f>IF(V$1,SUMIFS('BalSht Data'!$H$2:$H$2050,'BalSht Data'!$G$2:$G$2050,$A34,'BalSht Data'!$A$2:$A$2050,V$1),#N/A)</f>
        <v>#N/A</v>
      </c>
      <c r="W34" s="45" t="e">
        <f>IF(W$1,SUMIFS('BalSht Data'!$H$2:$H$2050,'BalSht Data'!$G$2:$G$2050,$A34,'BalSht Data'!$A$2:$A$2050,W$1),#N/A)</f>
        <v>#N/A</v>
      </c>
      <c r="X34" s="45" t="e">
        <f>IF(X$1,SUMIFS('BalSht Data'!$H$2:$H$2050,'BalSht Data'!$G$2:$G$2050,$A34,'BalSht Data'!$A$2:$A$2050,X$1),#N/A)</f>
        <v>#N/A</v>
      </c>
      <c r="Y34" s="45" t="e">
        <f>IF(Y$1,SUMIFS('BalSht Data'!$H$2:$H$2050,'BalSht Data'!$G$2:$G$2050,$A34,'BalSht Data'!$A$2:$A$2050,Y$1),#N/A)</f>
        <v>#N/A</v>
      </c>
      <c r="Z34" s="45" t="e">
        <f>IF(Z$1,SUMIFS('BalSht Data'!$H$2:$H$2050,'BalSht Data'!$G$2:$G$2050,$A34,'BalSht Data'!$A$2:$A$2050,Z$1),#N/A)</f>
        <v>#N/A</v>
      </c>
      <c r="AA34" s="45" t="e">
        <f>IF(AA$1,SUMIFS('BalSht Data'!$H$2:$H$2050,'BalSht Data'!$G$2:$G$2050,$A34,'BalSht Data'!$A$2:$A$2050,AA$1),#N/A)</f>
        <v>#N/A</v>
      </c>
      <c r="AB34" s="45" t="e">
        <f>IF(AB$1,SUMIFS('BalSht Data'!$H$2:$H$2050,'BalSht Data'!$G$2:$G$2050,$A34,'BalSht Data'!$A$2:$A$2050,AB$1),#N/A)</f>
        <v>#N/A</v>
      </c>
      <c r="AC34" s="45" t="e">
        <f>IF(AC$1,SUMIFS('BalSht Data'!$H$2:$H$2050,'BalSht Data'!$G$2:$G$2050,$A34,'BalSht Data'!$A$2:$A$2050,AC$1),#N/A)</f>
        <v>#N/A</v>
      </c>
      <c r="AD34" s="45" t="e">
        <f>IF(AD$1,SUMIFS('BalSht Data'!$H$2:$H$2050,'BalSht Data'!$G$2:$G$2050,$A34,'BalSht Data'!$A$2:$A$2050,AD$1),#N/A)</f>
        <v>#N/A</v>
      </c>
      <c r="AE34" s="45" t="e">
        <f>IF(AE$1,SUMIFS('BalSht Data'!$H$2:$H$2050,'BalSht Data'!$G$2:$G$2050,$A34,'BalSht Data'!$A$2:$A$2050,AE$1),#N/A)</f>
        <v>#N/A</v>
      </c>
      <c r="AF34" s="45" t="e">
        <f>IF(AF$1,SUMIFS('BalSht Data'!$H$2:$H$2050,'BalSht Data'!$G$2:$G$2050,$A34,'BalSht Data'!$A$2:$A$2050,AF$1),#N/A)</f>
        <v>#N/A</v>
      </c>
      <c r="AG34" s="45" t="e">
        <f>IF(AG$1,SUMIFS('BalSht Data'!$H$2:$H$2050,'BalSht Data'!$G$2:$G$2050,$A34,'BalSht Data'!$A$2:$A$2050,AG$1),#N/A)</f>
        <v>#N/A</v>
      </c>
      <c r="AH34" s="45" t="e">
        <f>IF(AH$1,SUMIFS('BalSht Data'!$H$2:$H$2050,'BalSht Data'!$G$2:$G$2050,$A34,'BalSht Data'!$A$2:$A$2050,AH$1),#N/A)</f>
        <v>#N/A</v>
      </c>
      <c r="AI34" s="45" t="e">
        <f>IF(AI$1,SUMIFS('BalSht Data'!$H$2:$H$2050,'BalSht Data'!$G$2:$G$2050,$A34,'BalSht Data'!$A$2:$A$2050,AI$1),#N/A)</f>
        <v>#N/A</v>
      </c>
      <c r="AJ34" s="45" t="e">
        <f>IF(AJ$1,SUMIFS('BalSht Data'!$H$2:$H$2050,'BalSht Data'!$G$2:$G$2050,$A34,'BalSht Data'!$A$2:$A$2050,AJ$1),#N/A)</f>
        <v>#N/A</v>
      </c>
      <c r="AK34" s="45" t="e">
        <f>IF(AK$1,SUMIFS('BalSht Data'!$H$2:$H$2050,'BalSht Data'!$G$2:$G$2050,$A34,'BalSht Data'!$A$2:$A$2050,AK$1),#N/A)</f>
        <v>#N/A</v>
      </c>
      <c r="AL34" s="45" t="e">
        <f>IF(AL$1,SUMIFS('BalSht Data'!$H$2:$H$2050,'BalSht Data'!$G$2:$G$2050,$A34,'BalSht Data'!$A$2:$A$2050,AL$1),#N/A)</f>
        <v>#N/A</v>
      </c>
      <c r="AM34" s="45" t="e">
        <f>IF(AM$1,SUMIFS('BalSht Data'!$H$2:$H$2050,'BalSht Data'!$G$2:$G$2050,$A34,'BalSht Data'!$A$2:$A$2050,AM$1),#N/A)</f>
        <v>#N/A</v>
      </c>
      <c r="AN34" s="45" t="e">
        <f>IF(AN$1,SUMIFS('BalSht Data'!$H$2:$H$2050,'BalSht Data'!$G$2:$G$2050,$A34,'BalSht Data'!$A$2:$A$2050,AN$1),#N/A)</f>
        <v>#N/A</v>
      </c>
      <c r="AO34" s="45" t="e">
        <f>IF(AO$1,SUMIFS('BalSht Data'!$H$2:$H$2050,'BalSht Data'!$G$2:$G$2050,$A34,'BalSht Data'!$A$2:$A$2050,AO$1),#N/A)</f>
        <v>#N/A</v>
      </c>
      <c r="AP34" s="45" t="e">
        <f>IF(AP$1,SUMIFS('BalSht Data'!$H$2:$H$2050,'BalSht Data'!$G$2:$G$2050,$A34,'BalSht Data'!$A$2:$A$2050,AP$1),#N/A)</f>
        <v>#N/A</v>
      </c>
      <c r="AQ34" s="45" t="e">
        <f>IF(AQ$1,SUMIFS('BalSht Data'!$H$2:$H$2050,'BalSht Data'!$G$2:$G$2050,$A34,'BalSht Data'!$A$2:$A$2050,AQ$1),#N/A)</f>
        <v>#N/A</v>
      </c>
      <c r="AR34" s="45" t="e">
        <f>IF(AR$1,SUMIFS('BalSht Data'!$H$2:$H$2050,'BalSht Data'!$G$2:$G$2050,$A34,'BalSht Data'!$A$2:$A$2050,AR$1),#N/A)</f>
        <v>#N/A</v>
      </c>
      <c r="AS34" s="45" t="e">
        <f>IF(AS$1,SUMIFS('BalSht Data'!$H$2:$H$2050,'BalSht Data'!$G$2:$G$2050,$A34,'BalSht Data'!$A$2:$A$2050,AS$1),#N/A)</f>
        <v>#N/A</v>
      </c>
      <c r="AT34" s="45" t="e">
        <f>IF(AT$1,SUMIFS('BalSht Data'!$H$2:$H$2050,'BalSht Data'!$G$2:$G$2050,$A34,'BalSht Data'!$A$2:$A$2050,AT$1),#N/A)</f>
        <v>#N/A</v>
      </c>
      <c r="AU34" s="45" t="e">
        <f>IF(AU$1,SUMIFS('BalSht Data'!$H$2:$H$2050,'BalSht Data'!$G$2:$G$2050,$A34,'BalSht Data'!$A$2:$A$2050,AU$1),#N/A)</f>
        <v>#N/A</v>
      </c>
      <c r="AV34" s="45" t="e">
        <f>IF(AV$1,SUMIFS('BalSht Data'!$H$2:$H$2050,'BalSht Data'!$G$2:$G$2050,$A34,'BalSht Data'!$A$2:$A$2050,AV$1),#N/A)</f>
        <v>#N/A</v>
      </c>
      <c r="AW34" s="45" t="e">
        <f>IF(AW$1,SUMIFS('BalSht Data'!$H$2:$H$2050,'BalSht Data'!$G$2:$G$2050,$A34,'BalSht Data'!$A$2:$A$2050,AW$1),#N/A)</f>
        <v>#N/A</v>
      </c>
      <c r="AX34" s="45" t="e">
        <f>IF(AX$1,SUMIFS('BalSht Data'!$H$2:$H$2050,'BalSht Data'!$G$2:$G$2050,$A34,'BalSht Data'!$A$2:$A$2050,AX$1),#N/A)</f>
        <v>#N/A</v>
      </c>
      <c r="AY34" s="45" t="e">
        <f>IF(AY$1,SUMIFS('BalSht Data'!$H$2:$H$2050,'BalSht Data'!$G$2:$G$2050,$A34,'BalSht Data'!$A$2:$A$2050,AY$1),#N/A)</f>
        <v>#N/A</v>
      </c>
      <c r="AZ34" s="45" t="e">
        <f>IF(AZ$1,SUMIFS('BalSht Data'!$H$2:$H$2050,'BalSht Data'!$G$2:$G$2050,$A34,'BalSht Data'!$A$2:$A$2050,AZ$1),#N/A)</f>
        <v>#N/A</v>
      </c>
      <c r="BA34" s="45" t="e">
        <f>IF(BA$1,SUMIFS('BalSht Data'!$H$2:$H$2050,'BalSht Data'!$G$2:$G$2050,$A34,'BalSht Data'!$A$2:$A$2050,BA$1),#N/A)</f>
        <v>#N/A</v>
      </c>
      <c r="BB34" s="45" t="e">
        <f>IF(BB$1,SUMIFS('BalSht Data'!$H$2:$H$2050,'BalSht Data'!$G$2:$G$2050,$A34,'BalSht Data'!$A$2:$A$2050,BB$1),#N/A)</f>
        <v>#N/A</v>
      </c>
      <c r="BC34" s="45" t="e">
        <f>IF(BC$1,SUMIFS('BalSht Data'!$H$2:$H$2050,'BalSht Data'!$G$2:$G$2050,$A34,'BalSht Data'!$A$2:$A$2050,BC$1),#N/A)</f>
        <v>#N/A</v>
      </c>
      <c r="BD34" s="45" t="e">
        <f>IF(BD$1,SUMIFS('BalSht Data'!$H$2:$H$2050,'BalSht Data'!$G$2:$G$2050,$A34,'BalSht Data'!$A$2:$A$2050,BD$1),#N/A)</f>
        <v>#N/A</v>
      </c>
      <c r="BE34" s="45" t="e">
        <f>IF(BE$1,SUMIFS('BalSht Data'!$H$2:$H$2050,'BalSht Data'!$G$2:$G$2050,$A34,'BalSht Data'!$A$2:$A$2050,BE$1),#N/A)</f>
        <v>#N/A</v>
      </c>
      <c r="BF34" s="45" t="e">
        <f>IF(BF$1,SUMIFS('BalSht Data'!$H$2:$H$2050,'BalSht Data'!$G$2:$G$2050,$A34,'BalSht Data'!$A$2:$A$2050,BF$1),#N/A)</f>
        <v>#N/A</v>
      </c>
      <c r="BG34" s="45" t="e">
        <f>IF(BG$1,SUMIFS('BalSht Data'!$H$2:$H$2050,'BalSht Data'!$G$2:$G$2050,$A34,'BalSht Data'!$A$2:$A$2050,BG$1),#N/A)</f>
        <v>#N/A</v>
      </c>
      <c r="BH34" s="45" t="e">
        <f>IF(BH$1,SUMIFS('BalSht Data'!$H$2:$H$2050,'BalSht Data'!$G$2:$G$2050,$A34,'BalSht Data'!$A$2:$A$2050,BH$1),#N/A)</f>
        <v>#N/A</v>
      </c>
      <c r="BI34" s="45" t="e">
        <f>IF(BI$1,SUMIFS('BalSht Data'!$H$2:$H$2050,'BalSht Data'!$G$2:$G$2050,$A34,'BalSht Data'!$A$2:$A$2050,BI$1),#N/A)</f>
        <v>#N/A</v>
      </c>
      <c r="BJ34" s="45" t="e">
        <f>IF(BJ$1,SUMIFS('BalSht Data'!$H$2:$H$2050,'BalSht Data'!$G$2:$G$2050,$A34,'BalSht Data'!$A$2:$A$2050,BJ$1),#N/A)</f>
        <v>#N/A</v>
      </c>
      <c r="BK34" s="45" t="e">
        <f>IF(BK$1,SUMIFS('BalSht Data'!$H$2:$H$2050,'BalSht Data'!$G$2:$G$2050,$A34,'BalSht Data'!$A$2:$A$2050,BK$1),#N/A)</f>
        <v>#N/A</v>
      </c>
      <c r="BL34" s="45" t="e">
        <f>IF(BL$1,SUMIFS('BalSht Data'!$H$2:$H$2050,'BalSht Data'!$G$2:$G$2050,$A34,'BalSht Data'!$A$2:$A$2050,BL$1),#N/A)</f>
        <v>#N/A</v>
      </c>
      <c r="BM34" s="45" t="e">
        <f>IF(BM$1,SUMIFS('BalSht Data'!$H$2:$H$2050,'BalSht Data'!$G$2:$G$2050,$A34,'BalSht Data'!$A$2:$A$2050,BM$1),#N/A)</f>
        <v>#N/A</v>
      </c>
      <c r="BN34" s="45" t="e">
        <f>IF(BN$1,SUMIFS('BalSht Data'!$H$2:$H$2050,'BalSht Data'!$G$2:$G$2050,$A34,'BalSht Data'!$A$2:$A$2050,BN$1),#N/A)</f>
        <v>#N/A</v>
      </c>
      <c r="BO34" s="45" t="e">
        <f>IF(BO$1,SUMIFS('BalSht Data'!$H$2:$H$2050,'BalSht Data'!$G$2:$G$2050,$A34,'BalSht Data'!$A$2:$A$2050,BO$1),#N/A)</f>
        <v>#N/A</v>
      </c>
      <c r="BP34" s="45" t="e">
        <f>IF(BP$1,SUMIFS('BalSht Data'!$H$2:$H$2050,'BalSht Data'!$G$2:$G$2050,$A34,'BalSht Data'!$A$2:$A$2050,BP$1),#N/A)</f>
        <v>#N/A</v>
      </c>
      <c r="BQ34" s="45" t="e">
        <f>IF(BQ$1,SUMIFS('BalSht Data'!$H$2:$H$2050,'BalSht Data'!$G$2:$G$2050,$A34,'BalSht Data'!$A$2:$A$2050,BQ$1),#N/A)</f>
        <v>#N/A</v>
      </c>
      <c r="BR34" s="45" t="e">
        <f>IF(BR$1,SUMIFS('BalSht Data'!$H$2:$H$2050,'BalSht Data'!$G$2:$G$2050,$A34,'BalSht Data'!$A$2:$A$2050,BR$1),#N/A)</f>
        <v>#N/A</v>
      </c>
      <c r="BS34" s="45" t="e">
        <f>IF(BS$1,SUMIFS('BalSht Data'!$H$2:$H$2050,'BalSht Data'!$G$2:$G$2050,$A34,'BalSht Data'!$A$2:$A$2050,BS$1),#N/A)</f>
        <v>#N/A</v>
      </c>
      <c r="BT34" s="45" t="e">
        <f>IF(BT$1,SUMIFS('BalSht Data'!$H$2:$H$2050,'BalSht Data'!$G$2:$G$2050,$A34,'BalSht Data'!$A$2:$A$2050,BT$1),#N/A)</f>
        <v>#N/A</v>
      </c>
      <c r="BU34" s="45" t="e">
        <f>IF(BU$1,SUMIFS('BalSht Data'!$H$2:$H$2050,'BalSht Data'!$G$2:$G$2050,$A34,'BalSht Data'!$A$2:$A$2050,BU$1),#N/A)</f>
        <v>#N/A</v>
      </c>
      <c r="BV34" s="45" t="e">
        <f>IF(BV$1,SUMIFS('BalSht Data'!$H$2:$H$2050,'BalSht Data'!$G$2:$G$2050,$A34,'BalSht Data'!$A$2:$A$2050,BV$1),#N/A)</f>
        <v>#N/A</v>
      </c>
      <c r="BW34" s="45" t="e">
        <f>IF(BW$1,SUMIFS('BalSht Data'!$H$2:$H$2050,'BalSht Data'!$G$2:$G$2050,$A34,'BalSht Data'!$A$2:$A$2050,BW$1),#N/A)</f>
        <v>#N/A</v>
      </c>
      <c r="BX34" s="45" t="e">
        <f>IF(BX$1,SUMIFS('BalSht Data'!$H$2:$H$2050,'BalSht Data'!$G$2:$G$2050,$A34,'BalSht Data'!$A$2:$A$2050,BX$1),#N/A)</f>
        <v>#N/A</v>
      </c>
      <c r="BY34" s="45" t="e">
        <f>IF(BY$1,SUMIFS('BalSht Data'!$H$2:$H$2050,'BalSht Data'!$G$2:$G$2050,$A34,'BalSht Data'!$A$2:$A$2050,BY$1),#N/A)</f>
        <v>#N/A</v>
      </c>
      <c r="BZ34" s="45" t="e">
        <f>IF(BZ$1,SUMIFS('BalSht Data'!$H$2:$H$2050,'BalSht Data'!$G$2:$G$2050,$A34,'BalSht Data'!$A$2:$A$2050,BZ$1),#N/A)</f>
        <v>#N/A</v>
      </c>
      <c r="CA34" s="45" t="e">
        <f>IF(CA$1,SUMIFS('BalSht Data'!$H$2:$H$2050,'BalSht Data'!$G$2:$G$2050,$A34,'BalSht Data'!$A$2:$A$2050,CA$1),#N/A)</f>
        <v>#N/A</v>
      </c>
      <c r="CB34" s="45" t="e">
        <f>IF(CB$1,SUMIFS('BalSht Data'!$H$2:$H$2050,'BalSht Data'!$G$2:$G$2050,$A34,'BalSht Data'!$A$2:$A$2050,CB$1),#N/A)</f>
        <v>#N/A</v>
      </c>
      <c r="CC34" s="45" t="e">
        <f>IF(CC$1,SUMIFS('BalSht Data'!$H$2:$H$2050,'BalSht Data'!$G$2:$G$2050,$A34,'BalSht Data'!$A$2:$A$2050,CC$1),#N/A)</f>
        <v>#N/A</v>
      </c>
      <c r="CD34" s="45" t="e">
        <f>IF(CD$1,SUMIFS('BalSht Data'!$H$2:$H$2050,'BalSht Data'!$G$2:$G$2050,$A34,'BalSht Data'!$A$2:$A$2050,CD$1),#N/A)</f>
        <v>#N/A</v>
      </c>
      <c r="CE34" s="45" t="e">
        <f>IF(CE$1,SUMIFS('BalSht Data'!$H$2:$H$2050,'BalSht Data'!$G$2:$G$2050,$A34,'BalSht Data'!$A$2:$A$2050,CE$1),#N/A)</f>
        <v>#N/A</v>
      </c>
      <c r="CF34" s="45" t="e">
        <f>IF(CF$1,SUMIFS('BalSht Data'!$H$2:$H$2050,'BalSht Data'!$G$2:$G$2050,$A34,'BalSht Data'!$A$2:$A$2050,CF$1),#N/A)</f>
        <v>#N/A</v>
      </c>
      <c r="CG34" s="45" t="e">
        <f>IF(CG$1,SUMIFS('BalSht Data'!$H$2:$H$2050,'BalSht Data'!$G$2:$G$2050,$A34,'BalSht Data'!$A$2:$A$2050,CG$1),#N/A)</f>
        <v>#N/A</v>
      </c>
      <c r="CH34" s="45" t="e">
        <f>IF(CH$1,SUMIFS('BalSht Data'!$H$2:$H$2050,'BalSht Data'!$G$2:$G$2050,$A34,'BalSht Data'!$A$2:$A$2050,CH$1),#N/A)</f>
        <v>#N/A</v>
      </c>
      <c r="CI34" s="45" t="e">
        <f>IF(CI$1,SUMIFS('BalSht Data'!$H$2:$H$2050,'BalSht Data'!$G$2:$G$2050,$A34,'BalSht Data'!$A$2:$A$2050,CI$1),#N/A)</f>
        <v>#N/A</v>
      </c>
      <c r="CJ34" s="45" t="e">
        <f>IF(CJ$1,SUMIFS('BalSht Data'!$H$2:$H$2050,'BalSht Data'!$G$2:$G$2050,$A34,'BalSht Data'!$A$2:$A$2050,CJ$1),#N/A)</f>
        <v>#N/A</v>
      </c>
      <c r="CK34" s="45" t="e">
        <f>IF(CK$1,SUMIFS('BalSht Data'!$H$2:$H$2050,'BalSht Data'!$G$2:$G$2050,$A34,'BalSht Data'!$A$2:$A$2050,CK$1),#N/A)</f>
        <v>#N/A</v>
      </c>
      <c r="CL34" s="45" t="e">
        <f>IF(CL$1,SUMIFS('BalSht Data'!$H$2:$H$2050,'BalSht Data'!$G$2:$G$2050,$A34,'BalSht Data'!$A$2:$A$2050,CL$1),#N/A)</f>
        <v>#N/A</v>
      </c>
      <c r="CM34" s="45" t="e">
        <f>IF(CM$1,SUMIFS('BalSht Data'!$H$2:$H$2050,'BalSht Data'!$G$2:$G$2050,$A34,'BalSht Data'!$A$2:$A$2050,CM$1),#N/A)</f>
        <v>#N/A</v>
      </c>
      <c r="CN34" s="45" t="e">
        <f>IF(CN$1,SUMIFS('BalSht Data'!$H$2:$H$2050,'BalSht Data'!$G$2:$G$2050,$A34,'BalSht Data'!$A$2:$A$2050,CN$1),#N/A)</f>
        <v>#N/A</v>
      </c>
      <c r="CO34" s="45" t="e">
        <f>IF(CO$1,SUMIFS('BalSht Data'!$H$2:$H$2050,'BalSht Data'!$G$2:$G$2050,$A34,'BalSht Data'!$A$2:$A$2050,CO$1),#N/A)</f>
        <v>#N/A</v>
      </c>
      <c r="CP34" s="45" t="e">
        <f>IF(CP$1,SUMIFS('BalSht Data'!$H$2:$H$2050,'BalSht Data'!$G$2:$G$2050,$A34,'BalSht Data'!$A$2:$A$2050,CP$1),#N/A)</f>
        <v>#N/A</v>
      </c>
      <c r="CQ34" s="45" t="e">
        <f>IF(CQ$1,SUMIFS('BalSht Data'!$H$2:$H$2050,'BalSht Data'!$G$2:$G$2050,$A34,'BalSht Data'!$A$2:$A$2050,CQ$1),#N/A)</f>
        <v>#N/A</v>
      </c>
      <c r="CR34" s="45" t="e">
        <f>IF(CR$1,SUMIFS('BalSht Data'!$H$2:$H$2050,'BalSht Data'!$G$2:$G$2050,$A34,'BalSht Data'!$A$2:$A$2050,CR$1),#N/A)</f>
        <v>#N/A</v>
      </c>
      <c r="CS34" s="45" t="e">
        <f>IF(CS$1,SUMIFS('BalSht Data'!$H$2:$H$2050,'BalSht Data'!$G$2:$G$2050,$A34,'BalSht Data'!$A$2:$A$2050,CS$1),#N/A)</f>
        <v>#N/A</v>
      </c>
      <c r="CT34" s="45" t="e">
        <f>IF(CT$1,SUMIFS('BalSht Data'!$H$2:$H$2050,'BalSht Data'!$G$2:$G$2050,$A34,'BalSht Data'!$A$2:$A$2050,CT$1),#N/A)</f>
        <v>#N/A</v>
      </c>
      <c r="CU34" s="45" t="e">
        <f>IF(CU$1,SUMIFS('BalSht Data'!$H$2:$H$2050,'BalSht Data'!$G$2:$G$2050,$A34,'BalSht Data'!$A$2:$A$2050,CU$1),#N/A)</f>
        <v>#N/A</v>
      </c>
      <c r="CV34" s="45" t="e">
        <f>IF(CV$1,SUMIFS('BalSht Data'!$H$2:$H$2050,'BalSht Data'!$G$2:$G$2050,$A34,'BalSht Data'!$A$2:$A$2050,CV$1),#N/A)</f>
        <v>#N/A</v>
      </c>
      <c r="CW34" s="45" t="e">
        <f>IF(CW$1,SUMIFS('BalSht Data'!$H$2:$H$2050,'BalSht Data'!$G$2:$G$2050,$A34,'BalSht Data'!$A$2:$A$2050,CW$1),#N/A)</f>
        <v>#N/A</v>
      </c>
      <c r="CX34" s="45" t="e">
        <f>IF(CX$1,SUMIFS('BalSht Data'!$H$2:$H$2050,'BalSht Data'!$G$2:$G$2050,$A34,'BalSht Data'!$A$2:$A$2050,CX$1),#N/A)</f>
        <v>#N/A</v>
      </c>
      <c r="CY34" s="45" t="e">
        <f>IF(CY$1,SUMIFS('BalSht Data'!$H$2:$H$2050,'BalSht Data'!$G$2:$G$2050,$A34,'BalSht Data'!$A$2:$A$2050,CY$1),#N/A)</f>
        <v>#N/A</v>
      </c>
      <c r="CZ34" s="45" t="e">
        <f>IF(CZ$1,SUMIFS('BalSht Data'!$H$2:$H$2050,'BalSht Data'!$G$2:$G$2050,$A34,'BalSht Data'!$A$2:$A$2050,CZ$1),#N/A)</f>
        <v>#N/A</v>
      </c>
    </row>
    <row r="35" spans="1:106" s="42" customFormat="1" x14ac:dyDescent="0.2">
      <c r="A35" s="57" t="s">
        <v>29</v>
      </c>
      <c r="B35" s="45" t="e">
        <f>IF(B$1,SUMIFS('BalSht Data'!$H$2:$H$2050,'BalSht Data'!$G$2:$G$2050,$A35,'BalSht Data'!$A$2:$A$2050,B$1),#N/A)</f>
        <v>#N/A</v>
      </c>
      <c r="C35" s="45" t="e">
        <f>IF(C$1,SUMIFS('BalSht Data'!$H$2:$H$2050,'BalSht Data'!$G$2:$G$2050,$A35,'BalSht Data'!$A$2:$A$2050,C$1),#N/A)</f>
        <v>#N/A</v>
      </c>
      <c r="D35" s="45" t="e">
        <f>IF(D$1,SUMIFS('BalSht Data'!$H$2:$H$2050,'BalSht Data'!$G$2:$G$2050,$A35,'BalSht Data'!$A$2:$A$2050,D$1),#N/A)</f>
        <v>#N/A</v>
      </c>
      <c r="E35" s="45" t="e">
        <f>IF(E$1,SUMIFS('BalSht Data'!$H$2:$H$2050,'BalSht Data'!$G$2:$G$2050,$A35,'BalSht Data'!$A$2:$A$2050,E$1),#N/A)</f>
        <v>#N/A</v>
      </c>
      <c r="F35" s="45" t="e">
        <f>IF(F$1,SUMIFS('BalSht Data'!$H$2:$H$2050,'BalSht Data'!$G$2:$G$2050,$A35,'BalSht Data'!$A$2:$A$2050,F$1),#N/A)</f>
        <v>#N/A</v>
      </c>
      <c r="G35" s="45" t="e">
        <f>IF(G$1,SUMIFS('BalSht Data'!$H$2:$H$2050,'BalSht Data'!$G$2:$G$2050,$A35,'BalSht Data'!$A$2:$A$2050,G$1),#N/A)</f>
        <v>#N/A</v>
      </c>
      <c r="H35" s="45" t="e">
        <f>IF(H$1,SUMIFS('BalSht Data'!$H$2:$H$2050,'BalSht Data'!$G$2:$G$2050,$A35,'BalSht Data'!$A$2:$A$2050,H$1),#N/A)</f>
        <v>#N/A</v>
      </c>
      <c r="I35" s="45" t="e">
        <f>IF(I$1,SUMIFS('BalSht Data'!$H$2:$H$2050,'BalSht Data'!$G$2:$G$2050,$A35,'BalSht Data'!$A$2:$A$2050,I$1),#N/A)</f>
        <v>#N/A</v>
      </c>
      <c r="J35" s="45" t="e">
        <f>IF(J$1,SUMIFS('BalSht Data'!$H$2:$H$2050,'BalSht Data'!$G$2:$G$2050,$A35,'BalSht Data'!$A$2:$A$2050,J$1),#N/A)</f>
        <v>#N/A</v>
      </c>
      <c r="K35" s="45" t="e">
        <f>IF(K$1,SUMIFS('BalSht Data'!$H$2:$H$2050,'BalSht Data'!$G$2:$G$2050,$A35,'BalSht Data'!$A$2:$A$2050,K$1),#N/A)</f>
        <v>#N/A</v>
      </c>
      <c r="L35" s="45" t="e">
        <f>IF(L$1,SUMIFS('BalSht Data'!$H$2:$H$2050,'BalSht Data'!$G$2:$G$2050,$A35,'BalSht Data'!$A$2:$A$2050,L$1),#N/A)</f>
        <v>#N/A</v>
      </c>
      <c r="M35" s="45" t="e">
        <f>IF(M$1,SUMIFS('BalSht Data'!$H$2:$H$2050,'BalSht Data'!$G$2:$G$2050,$A35,'BalSht Data'!$A$2:$A$2050,M$1),#N/A)</f>
        <v>#N/A</v>
      </c>
      <c r="N35" s="45" t="e">
        <f>IF(N$1,SUMIFS('BalSht Data'!$H$2:$H$2050,'BalSht Data'!$G$2:$G$2050,$A35,'BalSht Data'!$A$2:$A$2050,N$1),#N/A)</f>
        <v>#N/A</v>
      </c>
      <c r="O35" s="45" t="e">
        <f>IF(O$1,SUMIFS('BalSht Data'!$H$2:$H$2050,'BalSht Data'!$G$2:$G$2050,$A35,'BalSht Data'!$A$2:$A$2050,O$1),#N/A)</f>
        <v>#N/A</v>
      </c>
      <c r="P35" s="45" t="e">
        <f>IF(P$1,SUMIFS('BalSht Data'!$H$2:$H$2050,'BalSht Data'!$G$2:$G$2050,$A35,'BalSht Data'!$A$2:$A$2050,P$1),#N/A)</f>
        <v>#N/A</v>
      </c>
      <c r="Q35" s="45" t="e">
        <f>IF(Q$1,SUMIFS('BalSht Data'!$H$2:$H$2050,'BalSht Data'!$G$2:$G$2050,$A35,'BalSht Data'!$A$2:$A$2050,Q$1),#N/A)</f>
        <v>#N/A</v>
      </c>
      <c r="R35" s="45" t="e">
        <f>IF(R$1,SUMIFS('BalSht Data'!$H$2:$H$2050,'BalSht Data'!$G$2:$G$2050,$A35,'BalSht Data'!$A$2:$A$2050,R$1),#N/A)</f>
        <v>#N/A</v>
      </c>
      <c r="S35" s="45" t="e">
        <f>IF(S$1,SUMIFS('BalSht Data'!$H$2:$H$2050,'BalSht Data'!$G$2:$G$2050,$A35,'BalSht Data'!$A$2:$A$2050,S$1),#N/A)</f>
        <v>#N/A</v>
      </c>
      <c r="T35" s="45" t="e">
        <f>IF(T$1,SUMIFS('BalSht Data'!$H$2:$H$2050,'BalSht Data'!$G$2:$G$2050,$A35,'BalSht Data'!$A$2:$A$2050,T$1),#N/A)</f>
        <v>#N/A</v>
      </c>
      <c r="U35" s="45" t="e">
        <f>IF(U$1,SUMIFS('BalSht Data'!$H$2:$H$2050,'BalSht Data'!$G$2:$G$2050,$A35,'BalSht Data'!$A$2:$A$2050,U$1),#N/A)</f>
        <v>#N/A</v>
      </c>
      <c r="V35" s="45" t="e">
        <f>IF(V$1,SUMIFS('BalSht Data'!$H$2:$H$2050,'BalSht Data'!$G$2:$G$2050,$A35,'BalSht Data'!$A$2:$A$2050,V$1),#N/A)</f>
        <v>#N/A</v>
      </c>
      <c r="W35" s="45" t="e">
        <f>IF(W$1,SUMIFS('BalSht Data'!$H$2:$H$2050,'BalSht Data'!$G$2:$G$2050,$A35,'BalSht Data'!$A$2:$A$2050,W$1),#N/A)</f>
        <v>#N/A</v>
      </c>
      <c r="X35" s="45" t="e">
        <f>IF(X$1,SUMIFS('BalSht Data'!$H$2:$H$2050,'BalSht Data'!$G$2:$G$2050,$A35,'BalSht Data'!$A$2:$A$2050,X$1),#N/A)</f>
        <v>#N/A</v>
      </c>
      <c r="Y35" s="45" t="e">
        <f>IF(Y$1,SUMIFS('BalSht Data'!$H$2:$H$2050,'BalSht Data'!$G$2:$G$2050,$A35,'BalSht Data'!$A$2:$A$2050,Y$1),#N/A)</f>
        <v>#N/A</v>
      </c>
      <c r="Z35" s="45" t="e">
        <f>IF(Z$1,SUMIFS('BalSht Data'!$H$2:$H$2050,'BalSht Data'!$G$2:$G$2050,$A35,'BalSht Data'!$A$2:$A$2050,Z$1),#N/A)</f>
        <v>#N/A</v>
      </c>
      <c r="AA35" s="45" t="e">
        <f>IF(AA$1,SUMIFS('BalSht Data'!$H$2:$H$2050,'BalSht Data'!$G$2:$G$2050,$A35,'BalSht Data'!$A$2:$A$2050,AA$1),#N/A)</f>
        <v>#N/A</v>
      </c>
      <c r="AB35" s="45" t="e">
        <f>IF(AB$1,SUMIFS('BalSht Data'!$H$2:$H$2050,'BalSht Data'!$G$2:$G$2050,$A35,'BalSht Data'!$A$2:$A$2050,AB$1),#N/A)</f>
        <v>#N/A</v>
      </c>
      <c r="AC35" s="45" t="e">
        <f>IF(AC$1,SUMIFS('BalSht Data'!$H$2:$H$2050,'BalSht Data'!$G$2:$G$2050,$A35,'BalSht Data'!$A$2:$A$2050,AC$1),#N/A)</f>
        <v>#N/A</v>
      </c>
      <c r="AD35" s="45" t="e">
        <f>IF(AD$1,SUMIFS('BalSht Data'!$H$2:$H$2050,'BalSht Data'!$G$2:$G$2050,$A35,'BalSht Data'!$A$2:$A$2050,AD$1),#N/A)</f>
        <v>#N/A</v>
      </c>
      <c r="AE35" s="45" t="e">
        <f>IF(AE$1,SUMIFS('BalSht Data'!$H$2:$H$2050,'BalSht Data'!$G$2:$G$2050,$A35,'BalSht Data'!$A$2:$A$2050,AE$1),#N/A)</f>
        <v>#N/A</v>
      </c>
      <c r="AF35" s="45" t="e">
        <f>IF(AF$1,SUMIFS('BalSht Data'!$H$2:$H$2050,'BalSht Data'!$G$2:$G$2050,$A35,'BalSht Data'!$A$2:$A$2050,AF$1),#N/A)</f>
        <v>#N/A</v>
      </c>
      <c r="AG35" s="45" t="e">
        <f>IF(AG$1,SUMIFS('BalSht Data'!$H$2:$H$2050,'BalSht Data'!$G$2:$G$2050,$A35,'BalSht Data'!$A$2:$A$2050,AG$1),#N/A)</f>
        <v>#N/A</v>
      </c>
      <c r="AH35" s="45" t="e">
        <f>IF(AH$1,SUMIFS('BalSht Data'!$H$2:$H$2050,'BalSht Data'!$G$2:$G$2050,$A35,'BalSht Data'!$A$2:$A$2050,AH$1),#N/A)</f>
        <v>#N/A</v>
      </c>
      <c r="AI35" s="45" t="e">
        <f>IF(AI$1,SUMIFS('BalSht Data'!$H$2:$H$2050,'BalSht Data'!$G$2:$G$2050,$A35,'BalSht Data'!$A$2:$A$2050,AI$1),#N/A)</f>
        <v>#N/A</v>
      </c>
      <c r="AJ35" s="45" t="e">
        <f>IF(AJ$1,SUMIFS('BalSht Data'!$H$2:$H$2050,'BalSht Data'!$G$2:$G$2050,$A35,'BalSht Data'!$A$2:$A$2050,AJ$1),#N/A)</f>
        <v>#N/A</v>
      </c>
      <c r="AK35" s="45" t="e">
        <f>IF(AK$1,SUMIFS('BalSht Data'!$H$2:$H$2050,'BalSht Data'!$G$2:$G$2050,$A35,'BalSht Data'!$A$2:$A$2050,AK$1),#N/A)</f>
        <v>#N/A</v>
      </c>
      <c r="AL35" s="45" t="e">
        <f>IF(AL$1,SUMIFS('BalSht Data'!$H$2:$H$2050,'BalSht Data'!$G$2:$G$2050,$A35,'BalSht Data'!$A$2:$A$2050,AL$1),#N/A)</f>
        <v>#N/A</v>
      </c>
      <c r="AM35" s="45" t="e">
        <f>IF(AM$1,SUMIFS('BalSht Data'!$H$2:$H$2050,'BalSht Data'!$G$2:$G$2050,$A35,'BalSht Data'!$A$2:$A$2050,AM$1),#N/A)</f>
        <v>#N/A</v>
      </c>
      <c r="AN35" s="45" t="e">
        <f>IF(AN$1,SUMIFS('BalSht Data'!$H$2:$H$2050,'BalSht Data'!$G$2:$G$2050,$A35,'BalSht Data'!$A$2:$A$2050,AN$1),#N/A)</f>
        <v>#N/A</v>
      </c>
      <c r="AO35" s="45" t="e">
        <f>IF(AO$1,SUMIFS('BalSht Data'!$H$2:$H$2050,'BalSht Data'!$G$2:$G$2050,$A35,'BalSht Data'!$A$2:$A$2050,AO$1),#N/A)</f>
        <v>#N/A</v>
      </c>
      <c r="AP35" s="45" t="e">
        <f>IF(AP$1,SUMIFS('BalSht Data'!$H$2:$H$2050,'BalSht Data'!$G$2:$G$2050,$A35,'BalSht Data'!$A$2:$A$2050,AP$1),#N/A)</f>
        <v>#N/A</v>
      </c>
      <c r="AQ35" s="45" t="e">
        <f>IF(AQ$1,SUMIFS('BalSht Data'!$H$2:$H$2050,'BalSht Data'!$G$2:$G$2050,$A35,'BalSht Data'!$A$2:$A$2050,AQ$1),#N/A)</f>
        <v>#N/A</v>
      </c>
      <c r="AR35" s="45" t="e">
        <f>IF(AR$1,SUMIFS('BalSht Data'!$H$2:$H$2050,'BalSht Data'!$G$2:$G$2050,$A35,'BalSht Data'!$A$2:$A$2050,AR$1),#N/A)</f>
        <v>#N/A</v>
      </c>
      <c r="AS35" s="45" t="e">
        <f>IF(AS$1,SUMIFS('BalSht Data'!$H$2:$H$2050,'BalSht Data'!$G$2:$G$2050,$A35,'BalSht Data'!$A$2:$A$2050,AS$1),#N/A)</f>
        <v>#N/A</v>
      </c>
      <c r="AT35" s="45" t="e">
        <f>IF(AT$1,SUMIFS('BalSht Data'!$H$2:$H$2050,'BalSht Data'!$G$2:$G$2050,$A35,'BalSht Data'!$A$2:$A$2050,AT$1),#N/A)</f>
        <v>#N/A</v>
      </c>
      <c r="AU35" s="45" t="e">
        <f>IF(AU$1,SUMIFS('BalSht Data'!$H$2:$H$2050,'BalSht Data'!$G$2:$G$2050,$A35,'BalSht Data'!$A$2:$A$2050,AU$1),#N/A)</f>
        <v>#N/A</v>
      </c>
      <c r="AV35" s="45" t="e">
        <f>IF(AV$1,SUMIFS('BalSht Data'!$H$2:$H$2050,'BalSht Data'!$G$2:$G$2050,$A35,'BalSht Data'!$A$2:$A$2050,AV$1),#N/A)</f>
        <v>#N/A</v>
      </c>
      <c r="AW35" s="45" t="e">
        <f>IF(AW$1,SUMIFS('BalSht Data'!$H$2:$H$2050,'BalSht Data'!$G$2:$G$2050,$A35,'BalSht Data'!$A$2:$A$2050,AW$1),#N/A)</f>
        <v>#N/A</v>
      </c>
      <c r="AX35" s="45" t="e">
        <f>IF(AX$1,SUMIFS('BalSht Data'!$H$2:$H$2050,'BalSht Data'!$G$2:$G$2050,$A35,'BalSht Data'!$A$2:$A$2050,AX$1),#N/A)</f>
        <v>#N/A</v>
      </c>
      <c r="AY35" s="45" t="e">
        <f>IF(AY$1,SUMIFS('BalSht Data'!$H$2:$H$2050,'BalSht Data'!$G$2:$G$2050,$A35,'BalSht Data'!$A$2:$A$2050,AY$1),#N/A)</f>
        <v>#N/A</v>
      </c>
      <c r="AZ35" s="45" t="e">
        <f>IF(AZ$1,SUMIFS('BalSht Data'!$H$2:$H$2050,'BalSht Data'!$G$2:$G$2050,$A35,'BalSht Data'!$A$2:$A$2050,AZ$1),#N/A)</f>
        <v>#N/A</v>
      </c>
      <c r="BA35" s="45" t="e">
        <f>IF(BA$1,SUMIFS('BalSht Data'!$H$2:$H$2050,'BalSht Data'!$G$2:$G$2050,$A35,'BalSht Data'!$A$2:$A$2050,BA$1),#N/A)</f>
        <v>#N/A</v>
      </c>
      <c r="BB35" s="45" t="e">
        <f>IF(BB$1,SUMIFS('BalSht Data'!$H$2:$H$2050,'BalSht Data'!$G$2:$G$2050,$A35,'BalSht Data'!$A$2:$A$2050,BB$1),#N/A)</f>
        <v>#N/A</v>
      </c>
      <c r="BC35" s="45" t="e">
        <f>IF(BC$1,SUMIFS('BalSht Data'!$H$2:$H$2050,'BalSht Data'!$G$2:$G$2050,$A35,'BalSht Data'!$A$2:$A$2050,BC$1),#N/A)</f>
        <v>#N/A</v>
      </c>
      <c r="BD35" s="45" t="e">
        <f>IF(BD$1,SUMIFS('BalSht Data'!$H$2:$H$2050,'BalSht Data'!$G$2:$G$2050,$A35,'BalSht Data'!$A$2:$A$2050,BD$1),#N/A)</f>
        <v>#N/A</v>
      </c>
      <c r="BE35" s="45" t="e">
        <f>IF(BE$1,SUMIFS('BalSht Data'!$H$2:$H$2050,'BalSht Data'!$G$2:$G$2050,$A35,'BalSht Data'!$A$2:$A$2050,BE$1),#N/A)</f>
        <v>#N/A</v>
      </c>
      <c r="BF35" s="45" t="e">
        <f>IF(BF$1,SUMIFS('BalSht Data'!$H$2:$H$2050,'BalSht Data'!$G$2:$G$2050,$A35,'BalSht Data'!$A$2:$A$2050,BF$1),#N/A)</f>
        <v>#N/A</v>
      </c>
      <c r="BG35" s="45" t="e">
        <f>IF(BG$1,SUMIFS('BalSht Data'!$H$2:$H$2050,'BalSht Data'!$G$2:$G$2050,$A35,'BalSht Data'!$A$2:$A$2050,BG$1),#N/A)</f>
        <v>#N/A</v>
      </c>
      <c r="BH35" s="45" t="e">
        <f>IF(BH$1,SUMIFS('BalSht Data'!$H$2:$H$2050,'BalSht Data'!$G$2:$G$2050,$A35,'BalSht Data'!$A$2:$A$2050,BH$1),#N/A)</f>
        <v>#N/A</v>
      </c>
      <c r="BI35" s="45" t="e">
        <f>IF(BI$1,SUMIFS('BalSht Data'!$H$2:$H$2050,'BalSht Data'!$G$2:$G$2050,$A35,'BalSht Data'!$A$2:$A$2050,BI$1),#N/A)</f>
        <v>#N/A</v>
      </c>
      <c r="BJ35" s="45" t="e">
        <f>IF(BJ$1,SUMIFS('BalSht Data'!$H$2:$H$2050,'BalSht Data'!$G$2:$G$2050,$A35,'BalSht Data'!$A$2:$A$2050,BJ$1),#N/A)</f>
        <v>#N/A</v>
      </c>
      <c r="BK35" s="45" t="e">
        <f>IF(BK$1,SUMIFS('BalSht Data'!$H$2:$H$2050,'BalSht Data'!$G$2:$G$2050,$A35,'BalSht Data'!$A$2:$A$2050,BK$1),#N/A)</f>
        <v>#N/A</v>
      </c>
      <c r="BL35" s="45" t="e">
        <f>IF(BL$1,SUMIFS('BalSht Data'!$H$2:$H$2050,'BalSht Data'!$G$2:$G$2050,$A35,'BalSht Data'!$A$2:$A$2050,BL$1),#N/A)</f>
        <v>#N/A</v>
      </c>
      <c r="BM35" s="45" t="e">
        <f>IF(BM$1,SUMIFS('BalSht Data'!$H$2:$H$2050,'BalSht Data'!$G$2:$G$2050,$A35,'BalSht Data'!$A$2:$A$2050,BM$1),#N/A)</f>
        <v>#N/A</v>
      </c>
      <c r="BN35" s="45" t="e">
        <f>IF(BN$1,SUMIFS('BalSht Data'!$H$2:$H$2050,'BalSht Data'!$G$2:$G$2050,$A35,'BalSht Data'!$A$2:$A$2050,BN$1),#N/A)</f>
        <v>#N/A</v>
      </c>
      <c r="BO35" s="45" t="e">
        <f>IF(BO$1,SUMIFS('BalSht Data'!$H$2:$H$2050,'BalSht Data'!$G$2:$G$2050,$A35,'BalSht Data'!$A$2:$A$2050,BO$1),#N/A)</f>
        <v>#N/A</v>
      </c>
      <c r="BP35" s="45" t="e">
        <f>IF(BP$1,SUMIFS('BalSht Data'!$H$2:$H$2050,'BalSht Data'!$G$2:$G$2050,$A35,'BalSht Data'!$A$2:$A$2050,BP$1),#N/A)</f>
        <v>#N/A</v>
      </c>
      <c r="BQ35" s="45" t="e">
        <f>IF(BQ$1,SUMIFS('BalSht Data'!$H$2:$H$2050,'BalSht Data'!$G$2:$G$2050,$A35,'BalSht Data'!$A$2:$A$2050,BQ$1),#N/A)</f>
        <v>#N/A</v>
      </c>
      <c r="BR35" s="45" t="e">
        <f>IF(BR$1,SUMIFS('BalSht Data'!$H$2:$H$2050,'BalSht Data'!$G$2:$G$2050,$A35,'BalSht Data'!$A$2:$A$2050,BR$1),#N/A)</f>
        <v>#N/A</v>
      </c>
      <c r="BS35" s="45" t="e">
        <f>IF(BS$1,SUMIFS('BalSht Data'!$H$2:$H$2050,'BalSht Data'!$G$2:$G$2050,$A35,'BalSht Data'!$A$2:$A$2050,BS$1),#N/A)</f>
        <v>#N/A</v>
      </c>
      <c r="BT35" s="45" t="e">
        <f>IF(BT$1,SUMIFS('BalSht Data'!$H$2:$H$2050,'BalSht Data'!$G$2:$G$2050,$A35,'BalSht Data'!$A$2:$A$2050,BT$1),#N/A)</f>
        <v>#N/A</v>
      </c>
      <c r="BU35" s="45" t="e">
        <f>IF(BU$1,SUMIFS('BalSht Data'!$H$2:$H$2050,'BalSht Data'!$G$2:$G$2050,$A35,'BalSht Data'!$A$2:$A$2050,BU$1),#N/A)</f>
        <v>#N/A</v>
      </c>
      <c r="BV35" s="45" t="e">
        <f>IF(BV$1,SUMIFS('BalSht Data'!$H$2:$H$2050,'BalSht Data'!$G$2:$G$2050,$A35,'BalSht Data'!$A$2:$A$2050,BV$1),#N/A)</f>
        <v>#N/A</v>
      </c>
      <c r="BW35" s="45" t="e">
        <f>IF(BW$1,SUMIFS('BalSht Data'!$H$2:$H$2050,'BalSht Data'!$G$2:$G$2050,$A35,'BalSht Data'!$A$2:$A$2050,BW$1),#N/A)</f>
        <v>#N/A</v>
      </c>
      <c r="BX35" s="45" t="e">
        <f>IF(BX$1,SUMIFS('BalSht Data'!$H$2:$H$2050,'BalSht Data'!$G$2:$G$2050,$A35,'BalSht Data'!$A$2:$A$2050,BX$1),#N/A)</f>
        <v>#N/A</v>
      </c>
      <c r="BY35" s="45" t="e">
        <f>IF(BY$1,SUMIFS('BalSht Data'!$H$2:$H$2050,'BalSht Data'!$G$2:$G$2050,$A35,'BalSht Data'!$A$2:$A$2050,BY$1),#N/A)</f>
        <v>#N/A</v>
      </c>
      <c r="BZ35" s="45" t="e">
        <f>IF(BZ$1,SUMIFS('BalSht Data'!$H$2:$H$2050,'BalSht Data'!$G$2:$G$2050,$A35,'BalSht Data'!$A$2:$A$2050,BZ$1),#N/A)</f>
        <v>#N/A</v>
      </c>
      <c r="CA35" s="45" t="e">
        <f>IF(CA$1,SUMIFS('BalSht Data'!$H$2:$H$2050,'BalSht Data'!$G$2:$G$2050,$A35,'BalSht Data'!$A$2:$A$2050,CA$1),#N/A)</f>
        <v>#N/A</v>
      </c>
      <c r="CB35" s="45" t="e">
        <f>IF(CB$1,SUMIFS('BalSht Data'!$H$2:$H$2050,'BalSht Data'!$G$2:$G$2050,$A35,'BalSht Data'!$A$2:$A$2050,CB$1),#N/A)</f>
        <v>#N/A</v>
      </c>
      <c r="CC35" s="45" t="e">
        <f>IF(CC$1,SUMIFS('BalSht Data'!$H$2:$H$2050,'BalSht Data'!$G$2:$G$2050,$A35,'BalSht Data'!$A$2:$A$2050,CC$1),#N/A)</f>
        <v>#N/A</v>
      </c>
      <c r="CD35" s="45" t="e">
        <f>IF(CD$1,SUMIFS('BalSht Data'!$H$2:$H$2050,'BalSht Data'!$G$2:$G$2050,$A35,'BalSht Data'!$A$2:$A$2050,CD$1),#N/A)</f>
        <v>#N/A</v>
      </c>
      <c r="CE35" s="45" t="e">
        <f>IF(CE$1,SUMIFS('BalSht Data'!$H$2:$H$2050,'BalSht Data'!$G$2:$G$2050,$A35,'BalSht Data'!$A$2:$A$2050,CE$1),#N/A)</f>
        <v>#N/A</v>
      </c>
      <c r="CF35" s="45" t="e">
        <f>IF(CF$1,SUMIFS('BalSht Data'!$H$2:$H$2050,'BalSht Data'!$G$2:$G$2050,$A35,'BalSht Data'!$A$2:$A$2050,CF$1),#N/A)</f>
        <v>#N/A</v>
      </c>
      <c r="CG35" s="45" t="e">
        <f>IF(CG$1,SUMIFS('BalSht Data'!$H$2:$H$2050,'BalSht Data'!$G$2:$G$2050,$A35,'BalSht Data'!$A$2:$A$2050,CG$1),#N/A)</f>
        <v>#N/A</v>
      </c>
      <c r="CH35" s="45" t="e">
        <f>IF(CH$1,SUMIFS('BalSht Data'!$H$2:$H$2050,'BalSht Data'!$G$2:$G$2050,$A35,'BalSht Data'!$A$2:$A$2050,CH$1),#N/A)</f>
        <v>#N/A</v>
      </c>
      <c r="CI35" s="45" t="e">
        <f>IF(CI$1,SUMIFS('BalSht Data'!$H$2:$H$2050,'BalSht Data'!$G$2:$G$2050,$A35,'BalSht Data'!$A$2:$A$2050,CI$1),#N/A)</f>
        <v>#N/A</v>
      </c>
      <c r="CJ35" s="45" t="e">
        <f>IF(CJ$1,SUMIFS('BalSht Data'!$H$2:$H$2050,'BalSht Data'!$G$2:$G$2050,$A35,'BalSht Data'!$A$2:$A$2050,CJ$1),#N/A)</f>
        <v>#N/A</v>
      </c>
      <c r="CK35" s="45" t="e">
        <f>IF(CK$1,SUMIFS('BalSht Data'!$H$2:$H$2050,'BalSht Data'!$G$2:$G$2050,$A35,'BalSht Data'!$A$2:$A$2050,CK$1),#N/A)</f>
        <v>#N/A</v>
      </c>
      <c r="CL35" s="45" t="e">
        <f>IF(CL$1,SUMIFS('BalSht Data'!$H$2:$H$2050,'BalSht Data'!$G$2:$G$2050,$A35,'BalSht Data'!$A$2:$A$2050,CL$1),#N/A)</f>
        <v>#N/A</v>
      </c>
      <c r="CM35" s="45" t="e">
        <f>IF(CM$1,SUMIFS('BalSht Data'!$H$2:$H$2050,'BalSht Data'!$G$2:$G$2050,$A35,'BalSht Data'!$A$2:$A$2050,CM$1),#N/A)</f>
        <v>#N/A</v>
      </c>
      <c r="CN35" s="45" t="e">
        <f>IF(CN$1,SUMIFS('BalSht Data'!$H$2:$H$2050,'BalSht Data'!$G$2:$G$2050,$A35,'BalSht Data'!$A$2:$A$2050,CN$1),#N/A)</f>
        <v>#N/A</v>
      </c>
      <c r="CO35" s="45" t="e">
        <f>IF(CO$1,SUMIFS('BalSht Data'!$H$2:$H$2050,'BalSht Data'!$G$2:$G$2050,$A35,'BalSht Data'!$A$2:$A$2050,CO$1),#N/A)</f>
        <v>#N/A</v>
      </c>
      <c r="CP35" s="45" t="e">
        <f>IF(CP$1,SUMIFS('BalSht Data'!$H$2:$H$2050,'BalSht Data'!$G$2:$G$2050,$A35,'BalSht Data'!$A$2:$A$2050,CP$1),#N/A)</f>
        <v>#N/A</v>
      </c>
      <c r="CQ35" s="45" t="e">
        <f>IF(CQ$1,SUMIFS('BalSht Data'!$H$2:$H$2050,'BalSht Data'!$G$2:$G$2050,$A35,'BalSht Data'!$A$2:$A$2050,CQ$1),#N/A)</f>
        <v>#N/A</v>
      </c>
      <c r="CR35" s="45" t="e">
        <f>IF(CR$1,SUMIFS('BalSht Data'!$H$2:$H$2050,'BalSht Data'!$G$2:$G$2050,$A35,'BalSht Data'!$A$2:$A$2050,CR$1),#N/A)</f>
        <v>#N/A</v>
      </c>
      <c r="CS35" s="45" t="e">
        <f>IF(CS$1,SUMIFS('BalSht Data'!$H$2:$H$2050,'BalSht Data'!$G$2:$G$2050,$A35,'BalSht Data'!$A$2:$A$2050,CS$1),#N/A)</f>
        <v>#N/A</v>
      </c>
      <c r="CT35" s="45" t="e">
        <f>IF(CT$1,SUMIFS('BalSht Data'!$H$2:$H$2050,'BalSht Data'!$G$2:$G$2050,$A35,'BalSht Data'!$A$2:$A$2050,CT$1),#N/A)</f>
        <v>#N/A</v>
      </c>
      <c r="CU35" s="45" t="e">
        <f>IF(CU$1,SUMIFS('BalSht Data'!$H$2:$H$2050,'BalSht Data'!$G$2:$G$2050,$A35,'BalSht Data'!$A$2:$A$2050,CU$1),#N/A)</f>
        <v>#N/A</v>
      </c>
      <c r="CV35" s="45" t="e">
        <f>IF(CV$1,SUMIFS('BalSht Data'!$H$2:$H$2050,'BalSht Data'!$G$2:$G$2050,$A35,'BalSht Data'!$A$2:$A$2050,CV$1),#N/A)</f>
        <v>#N/A</v>
      </c>
      <c r="CW35" s="45" t="e">
        <f>IF(CW$1,SUMIFS('BalSht Data'!$H$2:$H$2050,'BalSht Data'!$G$2:$G$2050,$A35,'BalSht Data'!$A$2:$A$2050,CW$1),#N/A)</f>
        <v>#N/A</v>
      </c>
      <c r="CX35" s="45" t="e">
        <f>IF(CX$1,SUMIFS('BalSht Data'!$H$2:$H$2050,'BalSht Data'!$G$2:$G$2050,$A35,'BalSht Data'!$A$2:$A$2050,CX$1),#N/A)</f>
        <v>#N/A</v>
      </c>
      <c r="CY35" s="45" t="e">
        <f>IF(CY$1,SUMIFS('BalSht Data'!$H$2:$H$2050,'BalSht Data'!$G$2:$G$2050,$A35,'BalSht Data'!$A$2:$A$2050,CY$1),#N/A)</f>
        <v>#N/A</v>
      </c>
      <c r="CZ35" s="45" t="e">
        <f>IF(CZ$1,SUMIFS('BalSht Data'!$H$2:$H$2050,'BalSht Data'!$G$2:$G$2050,$A35,'BalSht Data'!$A$2:$A$2050,CZ$1),#N/A)</f>
        <v>#N/A</v>
      </c>
    </row>
    <row r="36" spans="1:106" s="42" customFormat="1" x14ac:dyDescent="0.2">
      <c r="A36" s="57" t="s">
        <v>153</v>
      </c>
      <c r="B36" s="45" t="e">
        <f>IF(B$1,SUMIFS('BalSht Data'!$H$2:$H$2050,'BalSht Data'!$G$2:$G$2050,$A36,'BalSht Data'!$A$2:$A$2050,B$1),#N/A)</f>
        <v>#N/A</v>
      </c>
      <c r="C36" s="45" t="e">
        <f>IF(C$1,SUMIFS('BalSht Data'!$H$2:$H$2050,'BalSht Data'!$G$2:$G$2050,$A36,'BalSht Data'!$A$2:$A$2050,C$1),#N/A)</f>
        <v>#N/A</v>
      </c>
      <c r="D36" s="45" t="e">
        <f>IF(D$1,SUMIFS('BalSht Data'!$H$2:$H$2050,'BalSht Data'!$G$2:$G$2050,$A36,'BalSht Data'!$A$2:$A$2050,D$1),#N/A)</f>
        <v>#N/A</v>
      </c>
      <c r="E36" s="45" t="e">
        <f>IF(E$1,SUMIFS('BalSht Data'!$H$2:$H$2050,'BalSht Data'!$G$2:$G$2050,$A36,'BalSht Data'!$A$2:$A$2050,E$1),#N/A)</f>
        <v>#N/A</v>
      </c>
      <c r="F36" s="45" t="e">
        <f>IF(F$1,SUMIFS('BalSht Data'!$H$2:$H$2050,'BalSht Data'!$G$2:$G$2050,$A36,'BalSht Data'!$A$2:$A$2050,F$1),#N/A)</f>
        <v>#N/A</v>
      </c>
      <c r="G36" s="45" t="e">
        <f>IF(G$1,SUMIFS('BalSht Data'!$H$2:$H$2050,'BalSht Data'!$G$2:$G$2050,$A36,'BalSht Data'!$A$2:$A$2050,G$1),#N/A)</f>
        <v>#N/A</v>
      </c>
      <c r="H36" s="45" t="e">
        <f>IF(H$1,SUMIFS('BalSht Data'!$H$2:$H$2050,'BalSht Data'!$G$2:$G$2050,$A36,'BalSht Data'!$A$2:$A$2050,H$1),#N/A)</f>
        <v>#N/A</v>
      </c>
      <c r="I36" s="45" t="e">
        <f>IF(I$1,SUMIFS('BalSht Data'!$H$2:$H$2050,'BalSht Data'!$G$2:$G$2050,$A36,'BalSht Data'!$A$2:$A$2050,I$1),#N/A)</f>
        <v>#N/A</v>
      </c>
      <c r="J36" s="45" t="e">
        <f>IF(J$1,SUMIFS('BalSht Data'!$H$2:$H$2050,'BalSht Data'!$G$2:$G$2050,$A36,'BalSht Data'!$A$2:$A$2050,J$1),#N/A)</f>
        <v>#N/A</v>
      </c>
      <c r="K36" s="45" t="e">
        <f>IF(K$1,SUMIFS('BalSht Data'!$H$2:$H$2050,'BalSht Data'!$G$2:$G$2050,$A36,'BalSht Data'!$A$2:$A$2050,K$1),#N/A)</f>
        <v>#N/A</v>
      </c>
      <c r="L36" s="45" t="e">
        <f>IF(L$1,SUMIFS('BalSht Data'!$H$2:$H$2050,'BalSht Data'!$G$2:$G$2050,$A36,'BalSht Data'!$A$2:$A$2050,L$1),#N/A)</f>
        <v>#N/A</v>
      </c>
      <c r="M36" s="45" t="e">
        <f>IF(M$1,SUMIFS('BalSht Data'!$H$2:$H$2050,'BalSht Data'!$G$2:$G$2050,$A36,'BalSht Data'!$A$2:$A$2050,M$1),#N/A)</f>
        <v>#N/A</v>
      </c>
      <c r="N36" s="45" t="e">
        <f>IF(N$1,SUMIFS('BalSht Data'!$H$2:$H$2050,'BalSht Data'!$G$2:$G$2050,$A36,'BalSht Data'!$A$2:$A$2050,N$1),#N/A)</f>
        <v>#N/A</v>
      </c>
      <c r="O36" s="45" t="e">
        <f>IF(O$1,SUMIFS('BalSht Data'!$H$2:$H$2050,'BalSht Data'!$G$2:$G$2050,$A36,'BalSht Data'!$A$2:$A$2050,O$1),#N/A)</f>
        <v>#N/A</v>
      </c>
      <c r="P36" s="45" t="e">
        <f>IF(P$1,SUMIFS('BalSht Data'!$H$2:$H$2050,'BalSht Data'!$G$2:$G$2050,$A36,'BalSht Data'!$A$2:$A$2050,P$1),#N/A)</f>
        <v>#N/A</v>
      </c>
      <c r="Q36" s="45" t="e">
        <f>IF(Q$1,SUMIFS('BalSht Data'!$H$2:$H$2050,'BalSht Data'!$G$2:$G$2050,$A36,'BalSht Data'!$A$2:$A$2050,Q$1),#N/A)</f>
        <v>#N/A</v>
      </c>
      <c r="R36" s="45" t="e">
        <f>IF(R$1,SUMIFS('BalSht Data'!$H$2:$H$2050,'BalSht Data'!$G$2:$G$2050,$A36,'BalSht Data'!$A$2:$A$2050,R$1),#N/A)</f>
        <v>#N/A</v>
      </c>
      <c r="S36" s="45" t="e">
        <f>IF(S$1,SUMIFS('BalSht Data'!$H$2:$H$2050,'BalSht Data'!$G$2:$G$2050,$A36,'BalSht Data'!$A$2:$A$2050,S$1),#N/A)</f>
        <v>#N/A</v>
      </c>
      <c r="T36" s="45" t="e">
        <f>IF(T$1,SUMIFS('BalSht Data'!$H$2:$H$2050,'BalSht Data'!$G$2:$G$2050,$A36,'BalSht Data'!$A$2:$A$2050,T$1),#N/A)</f>
        <v>#N/A</v>
      </c>
      <c r="U36" s="45" t="e">
        <f>IF(U$1,SUMIFS('BalSht Data'!$H$2:$H$2050,'BalSht Data'!$G$2:$G$2050,$A36,'BalSht Data'!$A$2:$A$2050,U$1),#N/A)</f>
        <v>#N/A</v>
      </c>
      <c r="V36" s="45" t="e">
        <f>IF(V$1,SUMIFS('BalSht Data'!$H$2:$H$2050,'BalSht Data'!$G$2:$G$2050,$A36,'BalSht Data'!$A$2:$A$2050,V$1),#N/A)</f>
        <v>#N/A</v>
      </c>
      <c r="W36" s="45" t="e">
        <f>IF(W$1,SUMIFS('BalSht Data'!$H$2:$H$2050,'BalSht Data'!$G$2:$G$2050,$A36,'BalSht Data'!$A$2:$A$2050,W$1),#N/A)</f>
        <v>#N/A</v>
      </c>
      <c r="X36" s="45" t="e">
        <f>IF(X$1,SUMIFS('BalSht Data'!$H$2:$H$2050,'BalSht Data'!$G$2:$G$2050,$A36,'BalSht Data'!$A$2:$A$2050,X$1),#N/A)</f>
        <v>#N/A</v>
      </c>
      <c r="Y36" s="45" t="e">
        <f>IF(Y$1,SUMIFS('BalSht Data'!$H$2:$H$2050,'BalSht Data'!$G$2:$G$2050,$A36,'BalSht Data'!$A$2:$A$2050,Y$1),#N/A)</f>
        <v>#N/A</v>
      </c>
      <c r="Z36" s="45" t="e">
        <f>IF(Z$1,SUMIFS('BalSht Data'!$H$2:$H$2050,'BalSht Data'!$G$2:$G$2050,$A36,'BalSht Data'!$A$2:$A$2050,Z$1),#N/A)</f>
        <v>#N/A</v>
      </c>
      <c r="AA36" s="45" t="e">
        <f>IF(AA$1,SUMIFS('BalSht Data'!$H$2:$H$2050,'BalSht Data'!$G$2:$G$2050,$A36,'BalSht Data'!$A$2:$A$2050,AA$1),#N/A)</f>
        <v>#N/A</v>
      </c>
      <c r="AB36" s="45" t="e">
        <f>IF(AB$1,SUMIFS('BalSht Data'!$H$2:$H$2050,'BalSht Data'!$G$2:$G$2050,$A36,'BalSht Data'!$A$2:$A$2050,AB$1),#N/A)</f>
        <v>#N/A</v>
      </c>
      <c r="AC36" s="45" t="e">
        <f>IF(AC$1,SUMIFS('BalSht Data'!$H$2:$H$2050,'BalSht Data'!$G$2:$G$2050,$A36,'BalSht Data'!$A$2:$A$2050,AC$1),#N/A)</f>
        <v>#N/A</v>
      </c>
      <c r="AD36" s="45" t="e">
        <f>IF(AD$1,SUMIFS('BalSht Data'!$H$2:$H$2050,'BalSht Data'!$G$2:$G$2050,$A36,'BalSht Data'!$A$2:$A$2050,AD$1),#N/A)</f>
        <v>#N/A</v>
      </c>
      <c r="AE36" s="45" t="e">
        <f>IF(AE$1,SUMIFS('BalSht Data'!$H$2:$H$2050,'BalSht Data'!$G$2:$G$2050,$A36,'BalSht Data'!$A$2:$A$2050,AE$1),#N/A)</f>
        <v>#N/A</v>
      </c>
      <c r="AF36" s="45" t="e">
        <f>IF(AF$1,SUMIFS('BalSht Data'!$H$2:$H$2050,'BalSht Data'!$G$2:$G$2050,$A36,'BalSht Data'!$A$2:$A$2050,AF$1),#N/A)</f>
        <v>#N/A</v>
      </c>
      <c r="AG36" s="45" t="e">
        <f>IF(AG$1,SUMIFS('BalSht Data'!$H$2:$H$2050,'BalSht Data'!$G$2:$G$2050,$A36,'BalSht Data'!$A$2:$A$2050,AG$1),#N/A)</f>
        <v>#N/A</v>
      </c>
      <c r="AH36" s="45" t="e">
        <f>IF(AH$1,SUMIFS('BalSht Data'!$H$2:$H$2050,'BalSht Data'!$G$2:$G$2050,$A36,'BalSht Data'!$A$2:$A$2050,AH$1),#N/A)</f>
        <v>#N/A</v>
      </c>
      <c r="AI36" s="45" t="e">
        <f>IF(AI$1,SUMIFS('BalSht Data'!$H$2:$H$2050,'BalSht Data'!$G$2:$G$2050,$A36,'BalSht Data'!$A$2:$A$2050,AI$1),#N/A)</f>
        <v>#N/A</v>
      </c>
      <c r="AJ36" s="45" t="e">
        <f>IF(AJ$1,SUMIFS('BalSht Data'!$H$2:$H$2050,'BalSht Data'!$G$2:$G$2050,$A36,'BalSht Data'!$A$2:$A$2050,AJ$1),#N/A)</f>
        <v>#N/A</v>
      </c>
      <c r="AK36" s="45" t="e">
        <f>IF(AK$1,SUMIFS('BalSht Data'!$H$2:$H$2050,'BalSht Data'!$G$2:$G$2050,$A36,'BalSht Data'!$A$2:$A$2050,AK$1),#N/A)</f>
        <v>#N/A</v>
      </c>
      <c r="AL36" s="45" t="e">
        <f>IF(AL$1,SUMIFS('BalSht Data'!$H$2:$H$2050,'BalSht Data'!$G$2:$G$2050,$A36,'BalSht Data'!$A$2:$A$2050,AL$1),#N/A)</f>
        <v>#N/A</v>
      </c>
      <c r="AM36" s="45" t="e">
        <f>IF(AM$1,SUMIFS('BalSht Data'!$H$2:$H$2050,'BalSht Data'!$G$2:$G$2050,$A36,'BalSht Data'!$A$2:$A$2050,AM$1),#N/A)</f>
        <v>#N/A</v>
      </c>
      <c r="AN36" s="45" t="e">
        <f>IF(AN$1,SUMIFS('BalSht Data'!$H$2:$H$2050,'BalSht Data'!$G$2:$G$2050,$A36,'BalSht Data'!$A$2:$A$2050,AN$1),#N/A)</f>
        <v>#N/A</v>
      </c>
      <c r="AO36" s="45" t="e">
        <f>IF(AO$1,SUMIFS('BalSht Data'!$H$2:$H$2050,'BalSht Data'!$G$2:$G$2050,$A36,'BalSht Data'!$A$2:$A$2050,AO$1),#N/A)</f>
        <v>#N/A</v>
      </c>
      <c r="AP36" s="45" t="e">
        <f>IF(AP$1,SUMIFS('BalSht Data'!$H$2:$H$2050,'BalSht Data'!$G$2:$G$2050,$A36,'BalSht Data'!$A$2:$A$2050,AP$1),#N/A)</f>
        <v>#N/A</v>
      </c>
      <c r="AQ36" s="45" t="e">
        <f>IF(AQ$1,SUMIFS('BalSht Data'!$H$2:$H$2050,'BalSht Data'!$G$2:$G$2050,$A36,'BalSht Data'!$A$2:$A$2050,AQ$1),#N/A)</f>
        <v>#N/A</v>
      </c>
      <c r="AR36" s="45" t="e">
        <f>IF(AR$1,SUMIFS('BalSht Data'!$H$2:$H$2050,'BalSht Data'!$G$2:$G$2050,$A36,'BalSht Data'!$A$2:$A$2050,AR$1),#N/A)</f>
        <v>#N/A</v>
      </c>
      <c r="AS36" s="45" t="e">
        <f>IF(AS$1,SUMIFS('BalSht Data'!$H$2:$H$2050,'BalSht Data'!$G$2:$G$2050,$A36,'BalSht Data'!$A$2:$A$2050,AS$1),#N/A)</f>
        <v>#N/A</v>
      </c>
      <c r="AT36" s="45" t="e">
        <f>IF(AT$1,SUMIFS('BalSht Data'!$H$2:$H$2050,'BalSht Data'!$G$2:$G$2050,$A36,'BalSht Data'!$A$2:$A$2050,AT$1),#N/A)</f>
        <v>#N/A</v>
      </c>
      <c r="AU36" s="45" t="e">
        <f>IF(AU$1,SUMIFS('BalSht Data'!$H$2:$H$2050,'BalSht Data'!$G$2:$G$2050,$A36,'BalSht Data'!$A$2:$A$2050,AU$1),#N/A)</f>
        <v>#N/A</v>
      </c>
      <c r="AV36" s="45" t="e">
        <f>IF(AV$1,SUMIFS('BalSht Data'!$H$2:$H$2050,'BalSht Data'!$G$2:$G$2050,$A36,'BalSht Data'!$A$2:$A$2050,AV$1),#N/A)</f>
        <v>#N/A</v>
      </c>
      <c r="AW36" s="45" t="e">
        <f>IF(AW$1,SUMIFS('BalSht Data'!$H$2:$H$2050,'BalSht Data'!$G$2:$G$2050,$A36,'BalSht Data'!$A$2:$A$2050,AW$1),#N/A)</f>
        <v>#N/A</v>
      </c>
      <c r="AX36" s="45" t="e">
        <f>IF(AX$1,SUMIFS('BalSht Data'!$H$2:$H$2050,'BalSht Data'!$G$2:$G$2050,$A36,'BalSht Data'!$A$2:$A$2050,AX$1),#N/A)</f>
        <v>#N/A</v>
      </c>
      <c r="AY36" s="45" t="e">
        <f>IF(AY$1,SUMIFS('BalSht Data'!$H$2:$H$2050,'BalSht Data'!$G$2:$G$2050,$A36,'BalSht Data'!$A$2:$A$2050,AY$1),#N/A)</f>
        <v>#N/A</v>
      </c>
      <c r="AZ36" s="45" t="e">
        <f>IF(AZ$1,SUMIFS('BalSht Data'!$H$2:$H$2050,'BalSht Data'!$G$2:$G$2050,$A36,'BalSht Data'!$A$2:$A$2050,AZ$1),#N/A)</f>
        <v>#N/A</v>
      </c>
      <c r="BA36" s="45" t="e">
        <f>IF(BA$1,SUMIFS('BalSht Data'!$H$2:$H$2050,'BalSht Data'!$G$2:$G$2050,$A36,'BalSht Data'!$A$2:$A$2050,BA$1),#N/A)</f>
        <v>#N/A</v>
      </c>
      <c r="BB36" s="45" t="e">
        <f>IF(BB$1,SUMIFS('BalSht Data'!$H$2:$H$2050,'BalSht Data'!$G$2:$G$2050,$A36,'BalSht Data'!$A$2:$A$2050,BB$1),#N/A)</f>
        <v>#N/A</v>
      </c>
      <c r="BC36" s="45" t="e">
        <f>IF(BC$1,SUMIFS('BalSht Data'!$H$2:$H$2050,'BalSht Data'!$G$2:$G$2050,$A36,'BalSht Data'!$A$2:$A$2050,BC$1),#N/A)</f>
        <v>#N/A</v>
      </c>
      <c r="BD36" s="45" t="e">
        <f>IF(BD$1,SUMIFS('BalSht Data'!$H$2:$H$2050,'BalSht Data'!$G$2:$G$2050,$A36,'BalSht Data'!$A$2:$A$2050,BD$1),#N/A)</f>
        <v>#N/A</v>
      </c>
      <c r="BE36" s="45" t="e">
        <f>IF(BE$1,SUMIFS('BalSht Data'!$H$2:$H$2050,'BalSht Data'!$G$2:$G$2050,$A36,'BalSht Data'!$A$2:$A$2050,BE$1),#N/A)</f>
        <v>#N/A</v>
      </c>
      <c r="BF36" s="45" t="e">
        <f>IF(BF$1,SUMIFS('BalSht Data'!$H$2:$H$2050,'BalSht Data'!$G$2:$G$2050,$A36,'BalSht Data'!$A$2:$A$2050,BF$1),#N/A)</f>
        <v>#N/A</v>
      </c>
      <c r="BG36" s="45" t="e">
        <f>IF(BG$1,SUMIFS('BalSht Data'!$H$2:$H$2050,'BalSht Data'!$G$2:$G$2050,$A36,'BalSht Data'!$A$2:$A$2050,BG$1),#N/A)</f>
        <v>#N/A</v>
      </c>
      <c r="BH36" s="45" t="e">
        <f>IF(BH$1,SUMIFS('BalSht Data'!$H$2:$H$2050,'BalSht Data'!$G$2:$G$2050,$A36,'BalSht Data'!$A$2:$A$2050,BH$1),#N/A)</f>
        <v>#N/A</v>
      </c>
      <c r="BI36" s="45" t="e">
        <f>IF(BI$1,SUMIFS('BalSht Data'!$H$2:$H$2050,'BalSht Data'!$G$2:$G$2050,$A36,'BalSht Data'!$A$2:$A$2050,BI$1),#N/A)</f>
        <v>#N/A</v>
      </c>
      <c r="BJ36" s="45" t="e">
        <f>IF(BJ$1,SUMIFS('BalSht Data'!$H$2:$H$2050,'BalSht Data'!$G$2:$G$2050,$A36,'BalSht Data'!$A$2:$A$2050,BJ$1),#N/A)</f>
        <v>#N/A</v>
      </c>
      <c r="BK36" s="45" t="e">
        <f>IF(BK$1,SUMIFS('BalSht Data'!$H$2:$H$2050,'BalSht Data'!$G$2:$G$2050,$A36,'BalSht Data'!$A$2:$A$2050,BK$1),#N/A)</f>
        <v>#N/A</v>
      </c>
      <c r="BL36" s="45" t="e">
        <f>IF(BL$1,SUMIFS('BalSht Data'!$H$2:$H$2050,'BalSht Data'!$G$2:$G$2050,$A36,'BalSht Data'!$A$2:$A$2050,BL$1),#N/A)</f>
        <v>#N/A</v>
      </c>
      <c r="BM36" s="45" t="e">
        <f>IF(BM$1,SUMIFS('BalSht Data'!$H$2:$H$2050,'BalSht Data'!$G$2:$G$2050,$A36,'BalSht Data'!$A$2:$A$2050,BM$1),#N/A)</f>
        <v>#N/A</v>
      </c>
      <c r="BN36" s="45" t="e">
        <f>IF(BN$1,SUMIFS('BalSht Data'!$H$2:$H$2050,'BalSht Data'!$G$2:$G$2050,$A36,'BalSht Data'!$A$2:$A$2050,BN$1),#N/A)</f>
        <v>#N/A</v>
      </c>
      <c r="BO36" s="45" t="e">
        <f>IF(BO$1,SUMIFS('BalSht Data'!$H$2:$H$2050,'BalSht Data'!$G$2:$G$2050,$A36,'BalSht Data'!$A$2:$A$2050,BO$1),#N/A)</f>
        <v>#N/A</v>
      </c>
      <c r="BP36" s="45" t="e">
        <f>IF(BP$1,SUMIFS('BalSht Data'!$H$2:$H$2050,'BalSht Data'!$G$2:$G$2050,$A36,'BalSht Data'!$A$2:$A$2050,BP$1),#N/A)</f>
        <v>#N/A</v>
      </c>
      <c r="BQ36" s="45" t="e">
        <f>IF(BQ$1,SUMIFS('BalSht Data'!$H$2:$H$2050,'BalSht Data'!$G$2:$G$2050,$A36,'BalSht Data'!$A$2:$A$2050,BQ$1),#N/A)</f>
        <v>#N/A</v>
      </c>
      <c r="BR36" s="45" t="e">
        <f>IF(BR$1,SUMIFS('BalSht Data'!$H$2:$H$2050,'BalSht Data'!$G$2:$G$2050,$A36,'BalSht Data'!$A$2:$A$2050,BR$1),#N/A)</f>
        <v>#N/A</v>
      </c>
      <c r="BS36" s="45" t="e">
        <f>IF(BS$1,SUMIFS('BalSht Data'!$H$2:$H$2050,'BalSht Data'!$G$2:$G$2050,$A36,'BalSht Data'!$A$2:$A$2050,BS$1),#N/A)</f>
        <v>#N/A</v>
      </c>
      <c r="BT36" s="45" t="e">
        <f>IF(BT$1,SUMIFS('BalSht Data'!$H$2:$H$2050,'BalSht Data'!$G$2:$G$2050,$A36,'BalSht Data'!$A$2:$A$2050,BT$1),#N/A)</f>
        <v>#N/A</v>
      </c>
      <c r="BU36" s="45" t="e">
        <f>IF(BU$1,SUMIFS('BalSht Data'!$H$2:$H$2050,'BalSht Data'!$G$2:$G$2050,$A36,'BalSht Data'!$A$2:$A$2050,BU$1),#N/A)</f>
        <v>#N/A</v>
      </c>
      <c r="BV36" s="45" t="e">
        <f>IF(BV$1,SUMIFS('BalSht Data'!$H$2:$H$2050,'BalSht Data'!$G$2:$G$2050,$A36,'BalSht Data'!$A$2:$A$2050,BV$1),#N/A)</f>
        <v>#N/A</v>
      </c>
      <c r="BW36" s="45" t="e">
        <f>IF(BW$1,SUMIFS('BalSht Data'!$H$2:$H$2050,'BalSht Data'!$G$2:$G$2050,$A36,'BalSht Data'!$A$2:$A$2050,BW$1),#N/A)</f>
        <v>#N/A</v>
      </c>
      <c r="BX36" s="45" t="e">
        <f>IF(BX$1,SUMIFS('BalSht Data'!$H$2:$H$2050,'BalSht Data'!$G$2:$G$2050,$A36,'BalSht Data'!$A$2:$A$2050,BX$1),#N/A)</f>
        <v>#N/A</v>
      </c>
      <c r="BY36" s="45" t="e">
        <f>IF(BY$1,SUMIFS('BalSht Data'!$H$2:$H$2050,'BalSht Data'!$G$2:$G$2050,$A36,'BalSht Data'!$A$2:$A$2050,BY$1),#N/A)</f>
        <v>#N/A</v>
      </c>
      <c r="BZ36" s="45" t="e">
        <f>IF(BZ$1,SUMIFS('BalSht Data'!$H$2:$H$2050,'BalSht Data'!$G$2:$G$2050,$A36,'BalSht Data'!$A$2:$A$2050,BZ$1),#N/A)</f>
        <v>#N/A</v>
      </c>
      <c r="CA36" s="45" t="e">
        <f>IF(CA$1,SUMIFS('BalSht Data'!$H$2:$H$2050,'BalSht Data'!$G$2:$G$2050,$A36,'BalSht Data'!$A$2:$A$2050,CA$1),#N/A)</f>
        <v>#N/A</v>
      </c>
      <c r="CB36" s="45" t="e">
        <f>IF(CB$1,SUMIFS('BalSht Data'!$H$2:$H$2050,'BalSht Data'!$G$2:$G$2050,$A36,'BalSht Data'!$A$2:$A$2050,CB$1),#N/A)</f>
        <v>#N/A</v>
      </c>
      <c r="CC36" s="45" t="e">
        <f>IF(CC$1,SUMIFS('BalSht Data'!$H$2:$H$2050,'BalSht Data'!$G$2:$G$2050,$A36,'BalSht Data'!$A$2:$A$2050,CC$1),#N/A)</f>
        <v>#N/A</v>
      </c>
      <c r="CD36" s="45" t="e">
        <f>IF(CD$1,SUMIFS('BalSht Data'!$H$2:$H$2050,'BalSht Data'!$G$2:$G$2050,$A36,'BalSht Data'!$A$2:$A$2050,CD$1),#N/A)</f>
        <v>#N/A</v>
      </c>
      <c r="CE36" s="45" t="e">
        <f>IF(CE$1,SUMIFS('BalSht Data'!$H$2:$H$2050,'BalSht Data'!$G$2:$G$2050,$A36,'BalSht Data'!$A$2:$A$2050,CE$1),#N/A)</f>
        <v>#N/A</v>
      </c>
      <c r="CF36" s="45" t="e">
        <f>IF(CF$1,SUMIFS('BalSht Data'!$H$2:$H$2050,'BalSht Data'!$G$2:$G$2050,$A36,'BalSht Data'!$A$2:$A$2050,CF$1),#N/A)</f>
        <v>#N/A</v>
      </c>
      <c r="CG36" s="45" t="e">
        <f>IF(CG$1,SUMIFS('BalSht Data'!$H$2:$H$2050,'BalSht Data'!$G$2:$G$2050,$A36,'BalSht Data'!$A$2:$A$2050,CG$1),#N/A)</f>
        <v>#N/A</v>
      </c>
      <c r="CH36" s="45" t="e">
        <f>IF(CH$1,SUMIFS('BalSht Data'!$H$2:$H$2050,'BalSht Data'!$G$2:$G$2050,$A36,'BalSht Data'!$A$2:$A$2050,CH$1),#N/A)</f>
        <v>#N/A</v>
      </c>
      <c r="CI36" s="45" t="e">
        <f>IF(CI$1,SUMIFS('BalSht Data'!$H$2:$H$2050,'BalSht Data'!$G$2:$G$2050,$A36,'BalSht Data'!$A$2:$A$2050,CI$1),#N/A)</f>
        <v>#N/A</v>
      </c>
      <c r="CJ36" s="45" t="e">
        <f>IF(CJ$1,SUMIFS('BalSht Data'!$H$2:$H$2050,'BalSht Data'!$G$2:$G$2050,$A36,'BalSht Data'!$A$2:$A$2050,CJ$1),#N/A)</f>
        <v>#N/A</v>
      </c>
      <c r="CK36" s="45" t="e">
        <f>IF(CK$1,SUMIFS('BalSht Data'!$H$2:$H$2050,'BalSht Data'!$G$2:$G$2050,$A36,'BalSht Data'!$A$2:$A$2050,CK$1),#N/A)</f>
        <v>#N/A</v>
      </c>
      <c r="CL36" s="45" t="e">
        <f>IF(CL$1,SUMIFS('BalSht Data'!$H$2:$H$2050,'BalSht Data'!$G$2:$G$2050,$A36,'BalSht Data'!$A$2:$A$2050,CL$1),#N/A)</f>
        <v>#N/A</v>
      </c>
      <c r="CM36" s="45" t="e">
        <f>IF(CM$1,SUMIFS('BalSht Data'!$H$2:$H$2050,'BalSht Data'!$G$2:$G$2050,$A36,'BalSht Data'!$A$2:$A$2050,CM$1),#N/A)</f>
        <v>#N/A</v>
      </c>
      <c r="CN36" s="45" t="e">
        <f>IF(CN$1,SUMIFS('BalSht Data'!$H$2:$H$2050,'BalSht Data'!$G$2:$G$2050,$A36,'BalSht Data'!$A$2:$A$2050,CN$1),#N/A)</f>
        <v>#N/A</v>
      </c>
      <c r="CO36" s="45" t="e">
        <f>IF(CO$1,SUMIFS('BalSht Data'!$H$2:$H$2050,'BalSht Data'!$G$2:$G$2050,$A36,'BalSht Data'!$A$2:$A$2050,CO$1),#N/A)</f>
        <v>#N/A</v>
      </c>
      <c r="CP36" s="45" t="e">
        <f>IF(CP$1,SUMIFS('BalSht Data'!$H$2:$H$2050,'BalSht Data'!$G$2:$G$2050,$A36,'BalSht Data'!$A$2:$A$2050,CP$1),#N/A)</f>
        <v>#N/A</v>
      </c>
      <c r="CQ36" s="45" t="e">
        <f>IF(CQ$1,SUMIFS('BalSht Data'!$H$2:$H$2050,'BalSht Data'!$G$2:$G$2050,$A36,'BalSht Data'!$A$2:$A$2050,CQ$1),#N/A)</f>
        <v>#N/A</v>
      </c>
      <c r="CR36" s="45" t="e">
        <f>IF(CR$1,SUMIFS('BalSht Data'!$H$2:$H$2050,'BalSht Data'!$G$2:$G$2050,$A36,'BalSht Data'!$A$2:$A$2050,CR$1),#N/A)</f>
        <v>#N/A</v>
      </c>
      <c r="CS36" s="45" t="e">
        <f>IF(CS$1,SUMIFS('BalSht Data'!$H$2:$H$2050,'BalSht Data'!$G$2:$G$2050,$A36,'BalSht Data'!$A$2:$A$2050,CS$1),#N/A)</f>
        <v>#N/A</v>
      </c>
      <c r="CT36" s="45" t="e">
        <f>IF(CT$1,SUMIFS('BalSht Data'!$H$2:$H$2050,'BalSht Data'!$G$2:$G$2050,$A36,'BalSht Data'!$A$2:$A$2050,CT$1),#N/A)</f>
        <v>#N/A</v>
      </c>
      <c r="CU36" s="45" t="e">
        <f>IF(CU$1,SUMIFS('BalSht Data'!$H$2:$H$2050,'BalSht Data'!$G$2:$G$2050,$A36,'BalSht Data'!$A$2:$A$2050,CU$1),#N/A)</f>
        <v>#N/A</v>
      </c>
      <c r="CV36" s="45" t="e">
        <f>IF(CV$1,SUMIFS('BalSht Data'!$H$2:$H$2050,'BalSht Data'!$G$2:$G$2050,$A36,'BalSht Data'!$A$2:$A$2050,CV$1),#N/A)</f>
        <v>#N/A</v>
      </c>
      <c r="CW36" s="45" t="e">
        <f>IF(CW$1,SUMIFS('BalSht Data'!$H$2:$H$2050,'BalSht Data'!$G$2:$G$2050,$A36,'BalSht Data'!$A$2:$A$2050,CW$1),#N/A)</f>
        <v>#N/A</v>
      </c>
      <c r="CX36" s="45" t="e">
        <f>IF(CX$1,SUMIFS('BalSht Data'!$H$2:$H$2050,'BalSht Data'!$G$2:$G$2050,$A36,'BalSht Data'!$A$2:$A$2050,CX$1),#N/A)</f>
        <v>#N/A</v>
      </c>
      <c r="CY36" s="45" t="e">
        <f>IF(CY$1,SUMIFS('BalSht Data'!$H$2:$H$2050,'BalSht Data'!$G$2:$G$2050,$A36,'BalSht Data'!$A$2:$A$2050,CY$1),#N/A)</f>
        <v>#N/A</v>
      </c>
      <c r="CZ36" s="45" t="e">
        <f>IF(CZ$1,SUMIFS('BalSht Data'!$H$2:$H$2050,'BalSht Data'!$G$2:$G$2050,$A36,'BalSht Data'!$A$2:$A$2050,CZ$1),#N/A)</f>
        <v>#N/A</v>
      </c>
    </row>
    <row r="37" spans="1:106" s="42" customFormat="1" x14ac:dyDescent="0.2">
      <c r="A37" s="56" t="s">
        <v>154</v>
      </c>
      <c r="B37" s="45" t="e">
        <f>IF(B$1,SUMIFS('BalSht Data'!$H$2:$H$2050,'BalSht Data'!$G$2:$G$2050,$A37,'BalSht Data'!$A$2:$A$2050,B$1),#N/A)</f>
        <v>#N/A</v>
      </c>
      <c r="C37" s="45" t="e">
        <f>IF(C$1,SUMIFS('BalSht Data'!$H$2:$H$2050,'BalSht Data'!$G$2:$G$2050,$A37,'BalSht Data'!$A$2:$A$2050,C$1),#N/A)</f>
        <v>#N/A</v>
      </c>
      <c r="D37" s="45" t="e">
        <f>IF(D$1,SUMIFS('BalSht Data'!$H$2:$H$2050,'BalSht Data'!$G$2:$G$2050,$A37,'BalSht Data'!$A$2:$A$2050,D$1),#N/A)</f>
        <v>#N/A</v>
      </c>
      <c r="E37" s="45" t="e">
        <f>IF(E$1,SUMIFS('BalSht Data'!$H$2:$H$2050,'BalSht Data'!$G$2:$G$2050,$A37,'BalSht Data'!$A$2:$A$2050,E$1),#N/A)</f>
        <v>#N/A</v>
      </c>
      <c r="F37" s="45" t="e">
        <f>IF(F$1,SUMIFS('BalSht Data'!$H$2:$H$2050,'BalSht Data'!$G$2:$G$2050,$A37,'BalSht Data'!$A$2:$A$2050,F$1),#N/A)</f>
        <v>#N/A</v>
      </c>
      <c r="G37" s="45" t="e">
        <f>IF(G$1,SUMIFS('BalSht Data'!$H$2:$H$2050,'BalSht Data'!$G$2:$G$2050,$A37,'BalSht Data'!$A$2:$A$2050,G$1),#N/A)</f>
        <v>#N/A</v>
      </c>
      <c r="H37" s="45" t="e">
        <f>IF(H$1,SUMIFS('BalSht Data'!$H$2:$H$2050,'BalSht Data'!$G$2:$G$2050,$A37,'BalSht Data'!$A$2:$A$2050,H$1),#N/A)</f>
        <v>#N/A</v>
      </c>
      <c r="I37" s="45" t="e">
        <f>IF(I$1,SUMIFS('BalSht Data'!$H$2:$H$2050,'BalSht Data'!$G$2:$G$2050,$A37,'BalSht Data'!$A$2:$A$2050,I$1),#N/A)</f>
        <v>#N/A</v>
      </c>
      <c r="J37" s="45" t="e">
        <f>IF(J$1,SUMIFS('BalSht Data'!$H$2:$H$2050,'BalSht Data'!$G$2:$G$2050,$A37,'BalSht Data'!$A$2:$A$2050,J$1),#N/A)</f>
        <v>#N/A</v>
      </c>
      <c r="K37" s="45" t="e">
        <f>IF(K$1,SUMIFS('BalSht Data'!$H$2:$H$2050,'BalSht Data'!$G$2:$G$2050,$A37,'BalSht Data'!$A$2:$A$2050,K$1),#N/A)</f>
        <v>#N/A</v>
      </c>
      <c r="L37" s="45" t="e">
        <f>IF(L$1,SUMIFS('BalSht Data'!$H$2:$H$2050,'BalSht Data'!$G$2:$G$2050,$A37,'BalSht Data'!$A$2:$A$2050,L$1),#N/A)</f>
        <v>#N/A</v>
      </c>
      <c r="M37" s="45" t="e">
        <f>IF(M$1,SUMIFS('BalSht Data'!$H$2:$H$2050,'BalSht Data'!$G$2:$G$2050,$A37,'BalSht Data'!$A$2:$A$2050,M$1),#N/A)</f>
        <v>#N/A</v>
      </c>
      <c r="N37" s="45" t="e">
        <f>IF(N$1,SUMIFS('BalSht Data'!$H$2:$H$2050,'BalSht Data'!$G$2:$G$2050,$A37,'BalSht Data'!$A$2:$A$2050,N$1),#N/A)</f>
        <v>#N/A</v>
      </c>
      <c r="O37" s="45" t="e">
        <f>IF(O$1,SUMIFS('BalSht Data'!$H$2:$H$2050,'BalSht Data'!$G$2:$G$2050,$A37,'BalSht Data'!$A$2:$A$2050,O$1),#N/A)</f>
        <v>#N/A</v>
      </c>
      <c r="P37" s="45" t="e">
        <f>IF(P$1,SUMIFS('BalSht Data'!$H$2:$H$2050,'BalSht Data'!$G$2:$G$2050,$A37,'BalSht Data'!$A$2:$A$2050,P$1),#N/A)</f>
        <v>#N/A</v>
      </c>
      <c r="Q37" s="45" t="e">
        <f>IF(Q$1,SUMIFS('BalSht Data'!$H$2:$H$2050,'BalSht Data'!$G$2:$G$2050,$A37,'BalSht Data'!$A$2:$A$2050,Q$1),#N/A)</f>
        <v>#N/A</v>
      </c>
      <c r="R37" s="45" t="e">
        <f>IF(R$1,SUMIFS('BalSht Data'!$H$2:$H$2050,'BalSht Data'!$G$2:$G$2050,$A37,'BalSht Data'!$A$2:$A$2050,R$1),#N/A)</f>
        <v>#N/A</v>
      </c>
      <c r="S37" s="45" t="e">
        <f>IF(S$1,SUMIFS('BalSht Data'!$H$2:$H$2050,'BalSht Data'!$G$2:$G$2050,$A37,'BalSht Data'!$A$2:$A$2050,S$1),#N/A)</f>
        <v>#N/A</v>
      </c>
      <c r="T37" s="45" t="e">
        <f>IF(T$1,SUMIFS('BalSht Data'!$H$2:$H$2050,'BalSht Data'!$G$2:$G$2050,$A37,'BalSht Data'!$A$2:$A$2050,T$1),#N/A)</f>
        <v>#N/A</v>
      </c>
      <c r="U37" s="45" t="e">
        <f>IF(U$1,SUMIFS('BalSht Data'!$H$2:$H$2050,'BalSht Data'!$G$2:$G$2050,$A37,'BalSht Data'!$A$2:$A$2050,U$1),#N/A)</f>
        <v>#N/A</v>
      </c>
      <c r="V37" s="45" t="e">
        <f>IF(V$1,SUMIFS('BalSht Data'!$H$2:$H$2050,'BalSht Data'!$G$2:$G$2050,$A37,'BalSht Data'!$A$2:$A$2050,V$1),#N/A)</f>
        <v>#N/A</v>
      </c>
      <c r="W37" s="45" t="e">
        <f>IF(W$1,SUMIFS('BalSht Data'!$H$2:$H$2050,'BalSht Data'!$G$2:$G$2050,$A37,'BalSht Data'!$A$2:$A$2050,W$1),#N/A)</f>
        <v>#N/A</v>
      </c>
      <c r="X37" s="45" t="e">
        <f>IF(X$1,SUMIFS('BalSht Data'!$H$2:$H$2050,'BalSht Data'!$G$2:$G$2050,$A37,'BalSht Data'!$A$2:$A$2050,X$1),#N/A)</f>
        <v>#N/A</v>
      </c>
      <c r="Y37" s="45" t="e">
        <f>IF(Y$1,SUMIFS('BalSht Data'!$H$2:$H$2050,'BalSht Data'!$G$2:$G$2050,$A37,'BalSht Data'!$A$2:$A$2050,Y$1),#N/A)</f>
        <v>#N/A</v>
      </c>
      <c r="Z37" s="45" t="e">
        <f>IF(Z$1,SUMIFS('BalSht Data'!$H$2:$H$2050,'BalSht Data'!$G$2:$G$2050,$A37,'BalSht Data'!$A$2:$A$2050,Z$1),#N/A)</f>
        <v>#N/A</v>
      </c>
      <c r="AA37" s="45" t="e">
        <f>IF(AA$1,SUMIFS('BalSht Data'!$H$2:$H$2050,'BalSht Data'!$G$2:$G$2050,$A37,'BalSht Data'!$A$2:$A$2050,AA$1),#N/A)</f>
        <v>#N/A</v>
      </c>
      <c r="AB37" s="45" t="e">
        <f>IF(AB$1,SUMIFS('BalSht Data'!$H$2:$H$2050,'BalSht Data'!$G$2:$G$2050,$A37,'BalSht Data'!$A$2:$A$2050,AB$1),#N/A)</f>
        <v>#N/A</v>
      </c>
      <c r="AC37" s="45" t="e">
        <f>IF(AC$1,SUMIFS('BalSht Data'!$H$2:$H$2050,'BalSht Data'!$G$2:$G$2050,$A37,'BalSht Data'!$A$2:$A$2050,AC$1),#N/A)</f>
        <v>#N/A</v>
      </c>
      <c r="AD37" s="45" t="e">
        <f>IF(AD$1,SUMIFS('BalSht Data'!$H$2:$H$2050,'BalSht Data'!$G$2:$G$2050,$A37,'BalSht Data'!$A$2:$A$2050,AD$1),#N/A)</f>
        <v>#N/A</v>
      </c>
      <c r="AE37" s="45" t="e">
        <f>IF(AE$1,SUMIFS('BalSht Data'!$H$2:$H$2050,'BalSht Data'!$G$2:$G$2050,$A37,'BalSht Data'!$A$2:$A$2050,AE$1),#N/A)</f>
        <v>#N/A</v>
      </c>
      <c r="AF37" s="45" t="e">
        <f>IF(AF$1,SUMIFS('BalSht Data'!$H$2:$H$2050,'BalSht Data'!$G$2:$G$2050,$A37,'BalSht Data'!$A$2:$A$2050,AF$1),#N/A)</f>
        <v>#N/A</v>
      </c>
      <c r="AG37" s="45" t="e">
        <f>IF(AG$1,SUMIFS('BalSht Data'!$H$2:$H$2050,'BalSht Data'!$G$2:$G$2050,$A37,'BalSht Data'!$A$2:$A$2050,AG$1),#N/A)</f>
        <v>#N/A</v>
      </c>
      <c r="AH37" s="45" t="e">
        <f>IF(AH$1,SUMIFS('BalSht Data'!$H$2:$H$2050,'BalSht Data'!$G$2:$G$2050,$A37,'BalSht Data'!$A$2:$A$2050,AH$1),#N/A)</f>
        <v>#N/A</v>
      </c>
      <c r="AI37" s="45" t="e">
        <f>IF(AI$1,SUMIFS('BalSht Data'!$H$2:$H$2050,'BalSht Data'!$G$2:$G$2050,$A37,'BalSht Data'!$A$2:$A$2050,AI$1),#N/A)</f>
        <v>#N/A</v>
      </c>
      <c r="AJ37" s="45" t="e">
        <f>IF(AJ$1,SUMIFS('BalSht Data'!$H$2:$H$2050,'BalSht Data'!$G$2:$G$2050,$A37,'BalSht Data'!$A$2:$A$2050,AJ$1),#N/A)</f>
        <v>#N/A</v>
      </c>
      <c r="AK37" s="45" t="e">
        <f>IF(AK$1,SUMIFS('BalSht Data'!$H$2:$H$2050,'BalSht Data'!$G$2:$G$2050,$A37,'BalSht Data'!$A$2:$A$2050,AK$1),#N/A)</f>
        <v>#N/A</v>
      </c>
      <c r="AL37" s="45" t="e">
        <f>IF(AL$1,SUMIFS('BalSht Data'!$H$2:$H$2050,'BalSht Data'!$G$2:$G$2050,$A37,'BalSht Data'!$A$2:$A$2050,AL$1),#N/A)</f>
        <v>#N/A</v>
      </c>
      <c r="AM37" s="45" t="e">
        <f>IF(AM$1,SUMIFS('BalSht Data'!$H$2:$H$2050,'BalSht Data'!$G$2:$G$2050,$A37,'BalSht Data'!$A$2:$A$2050,AM$1),#N/A)</f>
        <v>#N/A</v>
      </c>
      <c r="AN37" s="45" t="e">
        <f>IF(AN$1,SUMIFS('BalSht Data'!$H$2:$H$2050,'BalSht Data'!$G$2:$G$2050,$A37,'BalSht Data'!$A$2:$A$2050,AN$1),#N/A)</f>
        <v>#N/A</v>
      </c>
      <c r="AO37" s="45" t="e">
        <f>IF(AO$1,SUMIFS('BalSht Data'!$H$2:$H$2050,'BalSht Data'!$G$2:$G$2050,$A37,'BalSht Data'!$A$2:$A$2050,AO$1),#N/A)</f>
        <v>#N/A</v>
      </c>
      <c r="AP37" s="45" t="e">
        <f>IF(AP$1,SUMIFS('BalSht Data'!$H$2:$H$2050,'BalSht Data'!$G$2:$G$2050,$A37,'BalSht Data'!$A$2:$A$2050,AP$1),#N/A)</f>
        <v>#N/A</v>
      </c>
      <c r="AQ37" s="45" t="e">
        <f>IF(AQ$1,SUMIFS('BalSht Data'!$H$2:$H$2050,'BalSht Data'!$G$2:$G$2050,$A37,'BalSht Data'!$A$2:$A$2050,AQ$1),#N/A)</f>
        <v>#N/A</v>
      </c>
      <c r="AR37" s="45" t="e">
        <f>IF(AR$1,SUMIFS('BalSht Data'!$H$2:$H$2050,'BalSht Data'!$G$2:$G$2050,$A37,'BalSht Data'!$A$2:$A$2050,AR$1),#N/A)</f>
        <v>#N/A</v>
      </c>
      <c r="AS37" s="45" t="e">
        <f>IF(AS$1,SUMIFS('BalSht Data'!$H$2:$H$2050,'BalSht Data'!$G$2:$G$2050,$A37,'BalSht Data'!$A$2:$A$2050,AS$1),#N/A)</f>
        <v>#N/A</v>
      </c>
      <c r="AT37" s="45" t="e">
        <f>IF(AT$1,SUMIFS('BalSht Data'!$H$2:$H$2050,'BalSht Data'!$G$2:$G$2050,$A37,'BalSht Data'!$A$2:$A$2050,AT$1),#N/A)</f>
        <v>#N/A</v>
      </c>
      <c r="AU37" s="45" t="e">
        <f>IF(AU$1,SUMIFS('BalSht Data'!$H$2:$H$2050,'BalSht Data'!$G$2:$G$2050,$A37,'BalSht Data'!$A$2:$A$2050,AU$1),#N/A)</f>
        <v>#N/A</v>
      </c>
      <c r="AV37" s="45" t="e">
        <f>IF(AV$1,SUMIFS('BalSht Data'!$H$2:$H$2050,'BalSht Data'!$G$2:$G$2050,$A37,'BalSht Data'!$A$2:$A$2050,AV$1),#N/A)</f>
        <v>#N/A</v>
      </c>
      <c r="AW37" s="45" t="e">
        <f>IF(AW$1,SUMIFS('BalSht Data'!$H$2:$H$2050,'BalSht Data'!$G$2:$G$2050,$A37,'BalSht Data'!$A$2:$A$2050,AW$1),#N/A)</f>
        <v>#N/A</v>
      </c>
      <c r="AX37" s="45" t="e">
        <f>IF(AX$1,SUMIFS('BalSht Data'!$H$2:$H$2050,'BalSht Data'!$G$2:$G$2050,$A37,'BalSht Data'!$A$2:$A$2050,AX$1),#N/A)</f>
        <v>#N/A</v>
      </c>
      <c r="AY37" s="45" t="e">
        <f>IF(AY$1,SUMIFS('BalSht Data'!$H$2:$H$2050,'BalSht Data'!$G$2:$G$2050,$A37,'BalSht Data'!$A$2:$A$2050,AY$1),#N/A)</f>
        <v>#N/A</v>
      </c>
      <c r="AZ37" s="45" t="e">
        <f>IF(AZ$1,SUMIFS('BalSht Data'!$H$2:$H$2050,'BalSht Data'!$G$2:$G$2050,$A37,'BalSht Data'!$A$2:$A$2050,AZ$1),#N/A)</f>
        <v>#N/A</v>
      </c>
      <c r="BA37" s="45" t="e">
        <f>IF(BA$1,SUMIFS('BalSht Data'!$H$2:$H$2050,'BalSht Data'!$G$2:$G$2050,$A37,'BalSht Data'!$A$2:$A$2050,BA$1),#N/A)</f>
        <v>#N/A</v>
      </c>
      <c r="BB37" s="45" t="e">
        <f>IF(BB$1,SUMIFS('BalSht Data'!$H$2:$H$2050,'BalSht Data'!$G$2:$G$2050,$A37,'BalSht Data'!$A$2:$A$2050,BB$1),#N/A)</f>
        <v>#N/A</v>
      </c>
      <c r="BC37" s="45" t="e">
        <f>IF(BC$1,SUMIFS('BalSht Data'!$H$2:$H$2050,'BalSht Data'!$G$2:$G$2050,$A37,'BalSht Data'!$A$2:$A$2050,BC$1),#N/A)</f>
        <v>#N/A</v>
      </c>
      <c r="BD37" s="45" t="e">
        <f>IF(BD$1,SUMIFS('BalSht Data'!$H$2:$H$2050,'BalSht Data'!$G$2:$G$2050,$A37,'BalSht Data'!$A$2:$A$2050,BD$1),#N/A)</f>
        <v>#N/A</v>
      </c>
      <c r="BE37" s="45" t="e">
        <f>IF(BE$1,SUMIFS('BalSht Data'!$H$2:$H$2050,'BalSht Data'!$G$2:$G$2050,$A37,'BalSht Data'!$A$2:$A$2050,BE$1),#N/A)</f>
        <v>#N/A</v>
      </c>
      <c r="BF37" s="45" t="e">
        <f>IF(BF$1,SUMIFS('BalSht Data'!$H$2:$H$2050,'BalSht Data'!$G$2:$G$2050,$A37,'BalSht Data'!$A$2:$A$2050,BF$1),#N/A)</f>
        <v>#N/A</v>
      </c>
      <c r="BG37" s="45" t="e">
        <f>IF(BG$1,SUMIFS('BalSht Data'!$H$2:$H$2050,'BalSht Data'!$G$2:$G$2050,$A37,'BalSht Data'!$A$2:$A$2050,BG$1),#N/A)</f>
        <v>#N/A</v>
      </c>
      <c r="BH37" s="45" t="e">
        <f>IF(BH$1,SUMIFS('BalSht Data'!$H$2:$H$2050,'BalSht Data'!$G$2:$G$2050,$A37,'BalSht Data'!$A$2:$A$2050,BH$1),#N/A)</f>
        <v>#N/A</v>
      </c>
      <c r="BI37" s="45" t="e">
        <f>IF(BI$1,SUMIFS('BalSht Data'!$H$2:$H$2050,'BalSht Data'!$G$2:$G$2050,$A37,'BalSht Data'!$A$2:$A$2050,BI$1),#N/A)</f>
        <v>#N/A</v>
      </c>
      <c r="BJ37" s="45" t="e">
        <f>IF(BJ$1,SUMIFS('BalSht Data'!$H$2:$H$2050,'BalSht Data'!$G$2:$G$2050,$A37,'BalSht Data'!$A$2:$A$2050,BJ$1),#N/A)</f>
        <v>#N/A</v>
      </c>
      <c r="BK37" s="45" t="e">
        <f>IF(BK$1,SUMIFS('BalSht Data'!$H$2:$H$2050,'BalSht Data'!$G$2:$G$2050,$A37,'BalSht Data'!$A$2:$A$2050,BK$1),#N/A)</f>
        <v>#N/A</v>
      </c>
      <c r="BL37" s="45" t="e">
        <f>IF(BL$1,SUMIFS('BalSht Data'!$H$2:$H$2050,'BalSht Data'!$G$2:$G$2050,$A37,'BalSht Data'!$A$2:$A$2050,BL$1),#N/A)</f>
        <v>#N/A</v>
      </c>
      <c r="BM37" s="45" t="e">
        <f>IF(BM$1,SUMIFS('BalSht Data'!$H$2:$H$2050,'BalSht Data'!$G$2:$G$2050,$A37,'BalSht Data'!$A$2:$A$2050,BM$1),#N/A)</f>
        <v>#N/A</v>
      </c>
      <c r="BN37" s="45" t="e">
        <f>IF(BN$1,SUMIFS('BalSht Data'!$H$2:$H$2050,'BalSht Data'!$G$2:$G$2050,$A37,'BalSht Data'!$A$2:$A$2050,BN$1),#N/A)</f>
        <v>#N/A</v>
      </c>
      <c r="BO37" s="45" t="e">
        <f>IF(BO$1,SUMIFS('BalSht Data'!$H$2:$H$2050,'BalSht Data'!$G$2:$G$2050,$A37,'BalSht Data'!$A$2:$A$2050,BO$1),#N/A)</f>
        <v>#N/A</v>
      </c>
      <c r="BP37" s="45" t="e">
        <f>IF(BP$1,SUMIFS('BalSht Data'!$H$2:$H$2050,'BalSht Data'!$G$2:$G$2050,$A37,'BalSht Data'!$A$2:$A$2050,BP$1),#N/A)</f>
        <v>#N/A</v>
      </c>
      <c r="BQ37" s="45" t="e">
        <f>IF(BQ$1,SUMIFS('BalSht Data'!$H$2:$H$2050,'BalSht Data'!$G$2:$G$2050,$A37,'BalSht Data'!$A$2:$A$2050,BQ$1),#N/A)</f>
        <v>#N/A</v>
      </c>
      <c r="BR37" s="45" t="e">
        <f>IF(BR$1,SUMIFS('BalSht Data'!$H$2:$H$2050,'BalSht Data'!$G$2:$G$2050,$A37,'BalSht Data'!$A$2:$A$2050,BR$1),#N/A)</f>
        <v>#N/A</v>
      </c>
      <c r="BS37" s="45" t="e">
        <f>IF(BS$1,SUMIFS('BalSht Data'!$H$2:$H$2050,'BalSht Data'!$G$2:$G$2050,$A37,'BalSht Data'!$A$2:$A$2050,BS$1),#N/A)</f>
        <v>#N/A</v>
      </c>
      <c r="BT37" s="45" t="e">
        <f>IF(BT$1,SUMIFS('BalSht Data'!$H$2:$H$2050,'BalSht Data'!$G$2:$G$2050,$A37,'BalSht Data'!$A$2:$A$2050,BT$1),#N/A)</f>
        <v>#N/A</v>
      </c>
      <c r="BU37" s="45" t="e">
        <f>IF(BU$1,SUMIFS('BalSht Data'!$H$2:$H$2050,'BalSht Data'!$G$2:$G$2050,$A37,'BalSht Data'!$A$2:$A$2050,BU$1),#N/A)</f>
        <v>#N/A</v>
      </c>
      <c r="BV37" s="45" t="e">
        <f>IF(BV$1,SUMIFS('BalSht Data'!$H$2:$H$2050,'BalSht Data'!$G$2:$G$2050,$A37,'BalSht Data'!$A$2:$A$2050,BV$1),#N/A)</f>
        <v>#N/A</v>
      </c>
      <c r="BW37" s="45" t="e">
        <f>IF(BW$1,SUMIFS('BalSht Data'!$H$2:$H$2050,'BalSht Data'!$G$2:$G$2050,$A37,'BalSht Data'!$A$2:$A$2050,BW$1),#N/A)</f>
        <v>#N/A</v>
      </c>
      <c r="BX37" s="45" t="e">
        <f>IF(BX$1,SUMIFS('BalSht Data'!$H$2:$H$2050,'BalSht Data'!$G$2:$G$2050,$A37,'BalSht Data'!$A$2:$A$2050,BX$1),#N/A)</f>
        <v>#N/A</v>
      </c>
      <c r="BY37" s="45" t="e">
        <f>IF(BY$1,SUMIFS('BalSht Data'!$H$2:$H$2050,'BalSht Data'!$G$2:$G$2050,$A37,'BalSht Data'!$A$2:$A$2050,BY$1),#N/A)</f>
        <v>#N/A</v>
      </c>
      <c r="BZ37" s="45" t="e">
        <f>IF(BZ$1,SUMIFS('BalSht Data'!$H$2:$H$2050,'BalSht Data'!$G$2:$G$2050,$A37,'BalSht Data'!$A$2:$A$2050,BZ$1),#N/A)</f>
        <v>#N/A</v>
      </c>
      <c r="CA37" s="45" t="e">
        <f>IF(CA$1,SUMIFS('BalSht Data'!$H$2:$H$2050,'BalSht Data'!$G$2:$G$2050,$A37,'BalSht Data'!$A$2:$A$2050,CA$1),#N/A)</f>
        <v>#N/A</v>
      </c>
      <c r="CB37" s="45" t="e">
        <f>IF(CB$1,SUMIFS('BalSht Data'!$H$2:$H$2050,'BalSht Data'!$G$2:$G$2050,$A37,'BalSht Data'!$A$2:$A$2050,CB$1),#N/A)</f>
        <v>#N/A</v>
      </c>
      <c r="CC37" s="45" t="e">
        <f>IF(CC$1,SUMIFS('BalSht Data'!$H$2:$H$2050,'BalSht Data'!$G$2:$G$2050,$A37,'BalSht Data'!$A$2:$A$2050,CC$1),#N/A)</f>
        <v>#N/A</v>
      </c>
      <c r="CD37" s="45" t="e">
        <f>IF(CD$1,SUMIFS('BalSht Data'!$H$2:$H$2050,'BalSht Data'!$G$2:$G$2050,$A37,'BalSht Data'!$A$2:$A$2050,CD$1),#N/A)</f>
        <v>#N/A</v>
      </c>
      <c r="CE37" s="45" t="e">
        <f>IF(CE$1,SUMIFS('BalSht Data'!$H$2:$H$2050,'BalSht Data'!$G$2:$G$2050,$A37,'BalSht Data'!$A$2:$A$2050,CE$1),#N/A)</f>
        <v>#N/A</v>
      </c>
      <c r="CF37" s="45" t="e">
        <f>IF(CF$1,SUMIFS('BalSht Data'!$H$2:$H$2050,'BalSht Data'!$G$2:$G$2050,$A37,'BalSht Data'!$A$2:$A$2050,CF$1),#N/A)</f>
        <v>#N/A</v>
      </c>
      <c r="CG37" s="45" t="e">
        <f>IF(CG$1,SUMIFS('BalSht Data'!$H$2:$H$2050,'BalSht Data'!$G$2:$G$2050,$A37,'BalSht Data'!$A$2:$A$2050,CG$1),#N/A)</f>
        <v>#N/A</v>
      </c>
      <c r="CH37" s="45" t="e">
        <f>IF(CH$1,SUMIFS('BalSht Data'!$H$2:$H$2050,'BalSht Data'!$G$2:$G$2050,$A37,'BalSht Data'!$A$2:$A$2050,CH$1),#N/A)</f>
        <v>#N/A</v>
      </c>
      <c r="CI37" s="45" t="e">
        <f>IF(CI$1,SUMIFS('BalSht Data'!$H$2:$H$2050,'BalSht Data'!$G$2:$G$2050,$A37,'BalSht Data'!$A$2:$A$2050,CI$1),#N/A)</f>
        <v>#N/A</v>
      </c>
      <c r="CJ37" s="45" t="e">
        <f>IF(CJ$1,SUMIFS('BalSht Data'!$H$2:$H$2050,'BalSht Data'!$G$2:$G$2050,$A37,'BalSht Data'!$A$2:$A$2050,CJ$1),#N/A)</f>
        <v>#N/A</v>
      </c>
      <c r="CK37" s="45" t="e">
        <f>IF(CK$1,SUMIFS('BalSht Data'!$H$2:$H$2050,'BalSht Data'!$G$2:$G$2050,$A37,'BalSht Data'!$A$2:$A$2050,CK$1),#N/A)</f>
        <v>#N/A</v>
      </c>
      <c r="CL37" s="45" t="e">
        <f>IF(CL$1,SUMIFS('BalSht Data'!$H$2:$H$2050,'BalSht Data'!$G$2:$G$2050,$A37,'BalSht Data'!$A$2:$A$2050,CL$1),#N/A)</f>
        <v>#N/A</v>
      </c>
      <c r="CM37" s="45" t="e">
        <f>IF(CM$1,SUMIFS('BalSht Data'!$H$2:$H$2050,'BalSht Data'!$G$2:$G$2050,$A37,'BalSht Data'!$A$2:$A$2050,CM$1),#N/A)</f>
        <v>#N/A</v>
      </c>
      <c r="CN37" s="45" t="e">
        <f>IF(CN$1,SUMIFS('BalSht Data'!$H$2:$H$2050,'BalSht Data'!$G$2:$G$2050,$A37,'BalSht Data'!$A$2:$A$2050,CN$1),#N/A)</f>
        <v>#N/A</v>
      </c>
      <c r="CO37" s="45" t="e">
        <f>IF(CO$1,SUMIFS('BalSht Data'!$H$2:$H$2050,'BalSht Data'!$G$2:$G$2050,$A37,'BalSht Data'!$A$2:$A$2050,CO$1),#N/A)</f>
        <v>#N/A</v>
      </c>
      <c r="CP37" s="45" t="e">
        <f>IF(CP$1,SUMIFS('BalSht Data'!$H$2:$H$2050,'BalSht Data'!$G$2:$G$2050,$A37,'BalSht Data'!$A$2:$A$2050,CP$1),#N/A)</f>
        <v>#N/A</v>
      </c>
      <c r="CQ37" s="45" t="e">
        <f>IF(CQ$1,SUMIFS('BalSht Data'!$H$2:$H$2050,'BalSht Data'!$G$2:$G$2050,$A37,'BalSht Data'!$A$2:$A$2050,CQ$1),#N/A)</f>
        <v>#N/A</v>
      </c>
      <c r="CR37" s="45" t="e">
        <f>IF(CR$1,SUMIFS('BalSht Data'!$H$2:$H$2050,'BalSht Data'!$G$2:$G$2050,$A37,'BalSht Data'!$A$2:$A$2050,CR$1),#N/A)</f>
        <v>#N/A</v>
      </c>
      <c r="CS37" s="45" t="e">
        <f>IF(CS$1,SUMIFS('BalSht Data'!$H$2:$H$2050,'BalSht Data'!$G$2:$G$2050,$A37,'BalSht Data'!$A$2:$A$2050,CS$1),#N/A)</f>
        <v>#N/A</v>
      </c>
      <c r="CT37" s="45" t="e">
        <f>IF(CT$1,SUMIFS('BalSht Data'!$H$2:$H$2050,'BalSht Data'!$G$2:$G$2050,$A37,'BalSht Data'!$A$2:$A$2050,CT$1),#N/A)</f>
        <v>#N/A</v>
      </c>
      <c r="CU37" s="45" t="e">
        <f>IF(CU$1,SUMIFS('BalSht Data'!$H$2:$H$2050,'BalSht Data'!$G$2:$G$2050,$A37,'BalSht Data'!$A$2:$A$2050,CU$1),#N/A)</f>
        <v>#N/A</v>
      </c>
      <c r="CV37" s="45" t="e">
        <f>IF(CV$1,SUMIFS('BalSht Data'!$H$2:$H$2050,'BalSht Data'!$G$2:$G$2050,$A37,'BalSht Data'!$A$2:$A$2050,CV$1),#N/A)</f>
        <v>#N/A</v>
      </c>
      <c r="CW37" s="45" t="e">
        <f>IF(CW$1,SUMIFS('BalSht Data'!$H$2:$H$2050,'BalSht Data'!$G$2:$G$2050,$A37,'BalSht Data'!$A$2:$A$2050,CW$1),#N/A)</f>
        <v>#N/A</v>
      </c>
      <c r="CX37" s="45" t="e">
        <f>IF(CX$1,SUMIFS('BalSht Data'!$H$2:$H$2050,'BalSht Data'!$G$2:$G$2050,$A37,'BalSht Data'!$A$2:$A$2050,CX$1),#N/A)</f>
        <v>#N/A</v>
      </c>
      <c r="CY37" s="45" t="e">
        <f>IF(CY$1,SUMIFS('BalSht Data'!$H$2:$H$2050,'BalSht Data'!$G$2:$G$2050,$A37,'BalSht Data'!$A$2:$A$2050,CY$1),#N/A)</f>
        <v>#N/A</v>
      </c>
      <c r="CZ37" s="45" t="e">
        <f>IF(CZ$1,SUMIFS('BalSht Data'!$H$2:$H$2050,'BalSht Data'!$G$2:$G$2050,$A37,'BalSht Data'!$A$2:$A$2050,CZ$1),#N/A)</f>
        <v>#N/A</v>
      </c>
    </row>
    <row r="38" spans="1:106" s="42" customFormat="1" x14ac:dyDescent="0.2">
      <c r="A38" s="56" t="s">
        <v>33</v>
      </c>
      <c r="B38" s="45" t="e">
        <f>IF(B$1,SUMIFS('BalSht Data'!$H$2:$H$2050,'BalSht Data'!$G$2:$G$2050,$A38,'BalSht Data'!$A$2:$A$2050,B$1),#N/A)</f>
        <v>#N/A</v>
      </c>
      <c r="C38" s="45" t="e">
        <f>IF(C$1,SUMIFS('BalSht Data'!$H$2:$H$2050,'BalSht Data'!$G$2:$G$2050,$A38,'BalSht Data'!$A$2:$A$2050,C$1),#N/A)</f>
        <v>#N/A</v>
      </c>
      <c r="D38" s="45" t="e">
        <f>IF(D$1,SUMIFS('BalSht Data'!$H$2:$H$2050,'BalSht Data'!$G$2:$G$2050,$A38,'BalSht Data'!$A$2:$A$2050,D$1),#N/A)</f>
        <v>#N/A</v>
      </c>
      <c r="E38" s="45" t="e">
        <f>IF(E$1,SUMIFS('BalSht Data'!$H$2:$H$2050,'BalSht Data'!$G$2:$G$2050,$A38,'BalSht Data'!$A$2:$A$2050,E$1),#N/A)</f>
        <v>#N/A</v>
      </c>
      <c r="F38" s="45" t="e">
        <f>IF(F$1,SUMIFS('BalSht Data'!$H$2:$H$2050,'BalSht Data'!$G$2:$G$2050,$A38,'BalSht Data'!$A$2:$A$2050,F$1),#N/A)</f>
        <v>#N/A</v>
      </c>
      <c r="G38" s="45" t="e">
        <f>IF(G$1,SUMIFS('BalSht Data'!$H$2:$H$2050,'BalSht Data'!$G$2:$G$2050,$A38,'BalSht Data'!$A$2:$A$2050,G$1),#N/A)</f>
        <v>#N/A</v>
      </c>
      <c r="H38" s="45" t="e">
        <f>IF(H$1,SUMIFS('BalSht Data'!$H$2:$H$2050,'BalSht Data'!$G$2:$G$2050,$A38,'BalSht Data'!$A$2:$A$2050,H$1),#N/A)</f>
        <v>#N/A</v>
      </c>
      <c r="I38" s="45" t="e">
        <f>IF(I$1,SUMIFS('BalSht Data'!$H$2:$H$2050,'BalSht Data'!$G$2:$G$2050,$A38,'BalSht Data'!$A$2:$A$2050,I$1),#N/A)</f>
        <v>#N/A</v>
      </c>
      <c r="J38" s="45" t="e">
        <f>IF(J$1,SUMIFS('BalSht Data'!$H$2:$H$2050,'BalSht Data'!$G$2:$G$2050,$A38,'BalSht Data'!$A$2:$A$2050,J$1),#N/A)</f>
        <v>#N/A</v>
      </c>
      <c r="K38" s="45" t="e">
        <f>IF(K$1,SUMIFS('BalSht Data'!$H$2:$H$2050,'BalSht Data'!$G$2:$G$2050,$A38,'BalSht Data'!$A$2:$A$2050,K$1),#N/A)</f>
        <v>#N/A</v>
      </c>
      <c r="L38" s="45" t="e">
        <f>IF(L$1,SUMIFS('BalSht Data'!$H$2:$H$2050,'BalSht Data'!$G$2:$G$2050,$A38,'BalSht Data'!$A$2:$A$2050,L$1),#N/A)</f>
        <v>#N/A</v>
      </c>
      <c r="M38" s="45" t="e">
        <f>IF(M$1,SUMIFS('BalSht Data'!$H$2:$H$2050,'BalSht Data'!$G$2:$G$2050,$A38,'BalSht Data'!$A$2:$A$2050,M$1),#N/A)</f>
        <v>#N/A</v>
      </c>
      <c r="N38" s="45" t="e">
        <f>IF(N$1,SUMIFS('BalSht Data'!$H$2:$H$2050,'BalSht Data'!$G$2:$G$2050,$A38,'BalSht Data'!$A$2:$A$2050,N$1),#N/A)</f>
        <v>#N/A</v>
      </c>
      <c r="O38" s="45" t="e">
        <f>IF(O$1,SUMIFS('BalSht Data'!$H$2:$H$2050,'BalSht Data'!$G$2:$G$2050,$A38,'BalSht Data'!$A$2:$A$2050,O$1),#N/A)</f>
        <v>#N/A</v>
      </c>
      <c r="P38" s="45" t="e">
        <f>IF(P$1,SUMIFS('BalSht Data'!$H$2:$H$2050,'BalSht Data'!$G$2:$G$2050,$A38,'BalSht Data'!$A$2:$A$2050,P$1),#N/A)</f>
        <v>#N/A</v>
      </c>
      <c r="Q38" s="45" t="e">
        <f>IF(Q$1,SUMIFS('BalSht Data'!$H$2:$H$2050,'BalSht Data'!$G$2:$G$2050,$A38,'BalSht Data'!$A$2:$A$2050,Q$1),#N/A)</f>
        <v>#N/A</v>
      </c>
      <c r="R38" s="45" t="e">
        <f>IF(R$1,SUMIFS('BalSht Data'!$H$2:$H$2050,'BalSht Data'!$G$2:$G$2050,$A38,'BalSht Data'!$A$2:$A$2050,R$1),#N/A)</f>
        <v>#N/A</v>
      </c>
      <c r="S38" s="45" t="e">
        <f>IF(S$1,SUMIFS('BalSht Data'!$H$2:$H$2050,'BalSht Data'!$G$2:$G$2050,$A38,'BalSht Data'!$A$2:$A$2050,S$1),#N/A)</f>
        <v>#N/A</v>
      </c>
      <c r="T38" s="45" t="e">
        <f>IF(T$1,SUMIFS('BalSht Data'!$H$2:$H$2050,'BalSht Data'!$G$2:$G$2050,$A38,'BalSht Data'!$A$2:$A$2050,T$1),#N/A)</f>
        <v>#N/A</v>
      </c>
      <c r="U38" s="45" t="e">
        <f>IF(U$1,SUMIFS('BalSht Data'!$H$2:$H$2050,'BalSht Data'!$G$2:$G$2050,$A38,'BalSht Data'!$A$2:$A$2050,U$1),#N/A)</f>
        <v>#N/A</v>
      </c>
      <c r="V38" s="45" t="e">
        <f>IF(V$1,SUMIFS('BalSht Data'!$H$2:$H$2050,'BalSht Data'!$G$2:$G$2050,$A38,'BalSht Data'!$A$2:$A$2050,V$1),#N/A)</f>
        <v>#N/A</v>
      </c>
      <c r="W38" s="45" t="e">
        <f>IF(W$1,SUMIFS('BalSht Data'!$H$2:$H$2050,'BalSht Data'!$G$2:$G$2050,$A38,'BalSht Data'!$A$2:$A$2050,W$1),#N/A)</f>
        <v>#N/A</v>
      </c>
      <c r="X38" s="45" t="e">
        <f>IF(X$1,SUMIFS('BalSht Data'!$H$2:$H$2050,'BalSht Data'!$G$2:$G$2050,$A38,'BalSht Data'!$A$2:$A$2050,X$1),#N/A)</f>
        <v>#N/A</v>
      </c>
      <c r="Y38" s="45" t="e">
        <f>IF(Y$1,SUMIFS('BalSht Data'!$H$2:$H$2050,'BalSht Data'!$G$2:$G$2050,$A38,'BalSht Data'!$A$2:$A$2050,Y$1),#N/A)</f>
        <v>#N/A</v>
      </c>
      <c r="Z38" s="45" t="e">
        <f>IF(Z$1,SUMIFS('BalSht Data'!$H$2:$H$2050,'BalSht Data'!$G$2:$G$2050,$A38,'BalSht Data'!$A$2:$A$2050,Z$1),#N/A)</f>
        <v>#N/A</v>
      </c>
      <c r="AA38" s="45" t="e">
        <f>IF(AA$1,SUMIFS('BalSht Data'!$H$2:$H$2050,'BalSht Data'!$G$2:$G$2050,$A38,'BalSht Data'!$A$2:$A$2050,AA$1),#N/A)</f>
        <v>#N/A</v>
      </c>
      <c r="AB38" s="45" t="e">
        <f>IF(AB$1,SUMIFS('BalSht Data'!$H$2:$H$2050,'BalSht Data'!$G$2:$G$2050,$A38,'BalSht Data'!$A$2:$A$2050,AB$1),#N/A)</f>
        <v>#N/A</v>
      </c>
      <c r="AC38" s="45" t="e">
        <f>IF(AC$1,SUMIFS('BalSht Data'!$H$2:$H$2050,'BalSht Data'!$G$2:$G$2050,$A38,'BalSht Data'!$A$2:$A$2050,AC$1),#N/A)</f>
        <v>#N/A</v>
      </c>
      <c r="AD38" s="45" t="e">
        <f>IF(AD$1,SUMIFS('BalSht Data'!$H$2:$H$2050,'BalSht Data'!$G$2:$G$2050,$A38,'BalSht Data'!$A$2:$A$2050,AD$1),#N/A)</f>
        <v>#N/A</v>
      </c>
      <c r="AE38" s="45" t="e">
        <f>IF(AE$1,SUMIFS('BalSht Data'!$H$2:$H$2050,'BalSht Data'!$G$2:$G$2050,$A38,'BalSht Data'!$A$2:$A$2050,AE$1),#N/A)</f>
        <v>#N/A</v>
      </c>
      <c r="AF38" s="45" t="e">
        <f>IF(AF$1,SUMIFS('BalSht Data'!$H$2:$H$2050,'BalSht Data'!$G$2:$G$2050,$A38,'BalSht Data'!$A$2:$A$2050,AF$1),#N/A)</f>
        <v>#N/A</v>
      </c>
      <c r="AG38" s="45" t="e">
        <f>IF(AG$1,SUMIFS('BalSht Data'!$H$2:$H$2050,'BalSht Data'!$G$2:$G$2050,$A38,'BalSht Data'!$A$2:$A$2050,AG$1),#N/A)</f>
        <v>#N/A</v>
      </c>
      <c r="AH38" s="45" t="e">
        <f>IF(AH$1,SUMIFS('BalSht Data'!$H$2:$H$2050,'BalSht Data'!$G$2:$G$2050,$A38,'BalSht Data'!$A$2:$A$2050,AH$1),#N/A)</f>
        <v>#N/A</v>
      </c>
      <c r="AI38" s="45" t="e">
        <f>IF(AI$1,SUMIFS('BalSht Data'!$H$2:$H$2050,'BalSht Data'!$G$2:$G$2050,$A38,'BalSht Data'!$A$2:$A$2050,AI$1),#N/A)</f>
        <v>#N/A</v>
      </c>
      <c r="AJ38" s="45" t="e">
        <f>IF(AJ$1,SUMIFS('BalSht Data'!$H$2:$H$2050,'BalSht Data'!$G$2:$G$2050,$A38,'BalSht Data'!$A$2:$A$2050,AJ$1),#N/A)</f>
        <v>#N/A</v>
      </c>
      <c r="AK38" s="45" t="e">
        <f>IF(AK$1,SUMIFS('BalSht Data'!$H$2:$H$2050,'BalSht Data'!$G$2:$G$2050,$A38,'BalSht Data'!$A$2:$A$2050,AK$1),#N/A)</f>
        <v>#N/A</v>
      </c>
      <c r="AL38" s="45" t="e">
        <f>IF(AL$1,SUMIFS('BalSht Data'!$H$2:$H$2050,'BalSht Data'!$G$2:$G$2050,$A38,'BalSht Data'!$A$2:$A$2050,AL$1),#N/A)</f>
        <v>#N/A</v>
      </c>
      <c r="AM38" s="45" t="e">
        <f>IF(AM$1,SUMIFS('BalSht Data'!$H$2:$H$2050,'BalSht Data'!$G$2:$G$2050,$A38,'BalSht Data'!$A$2:$A$2050,AM$1),#N/A)</f>
        <v>#N/A</v>
      </c>
      <c r="AN38" s="45" t="e">
        <f>IF(AN$1,SUMIFS('BalSht Data'!$H$2:$H$2050,'BalSht Data'!$G$2:$G$2050,$A38,'BalSht Data'!$A$2:$A$2050,AN$1),#N/A)</f>
        <v>#N/A</v>
      </c>
      <c r="AO38" s="45" t="e">
        <f>IF(AO$1,SUMIFS('BalSht Data'!$H$2:$H$2050,'BalSht Data'!$G$2:$G$2050,$A38,'BalSht Data'!$A$2:$A$2050,AO$1),#N/A)</f>
        <v>#N/A</v>
      </c>
      <c r="AP38" s="45" t="e">
        <f>IF(AP$1,SUMIFS('BalSht Data'!$H$2:$H$2050,'BalSht Data'!$G$2:$G$2050,$A38,'BalSht Data'!$A$2:$A$2050,AP$1),#N/A)</f>
        <v>#N/A</v>
      </c>
      <c r="AQ38" s="45" t="e">
        <f>IF(AQ$1,SUMIFS('BalSht Data'!$H$2:$H$2050,'BalSht Data'!$G$2:$G$2050,$A38,'BalSht Data'!$A$2:$A$2050,AQ$1),#N/A)</f>
        <v>#N/A</v>
      </c>
      <c r="AR38" s="45" t="e">
        <f>IF(AR$1,SUMIFS('BalSht Data'!$H$2:$H$2050,'BalSht Data'!$G$2:$G$2050,$A38,'BalSht Data'!$A$2:$A$2050,AR$1),#N/A)</f>
        <v>#N/A</v>
      </c>
      <c r="AS38" s="45" t="e">
        <f>IF(AS$1,SUMIFS('BalSht Data'!$H$2:$H$2050,'BalSht Data'!$G$2:$G$2050,$A38,'BalSht Data'!$A$2:$A$2050,AS$1),#N/A)</f>
        <v>#N/A</v>
      </c>
      <c r="AT38" s="45" t="e">
        <f>IF(AT$1,SUMIFS('BalSht Data'!$H$2:$H$2050,'BalSht Data'!$G$2:$G$2050,$A38,'BalSht Data'!$A$2:$A$2050,AT$1),#N/A)</f>
        <v>#N/A</v>
      </c>
      <c r="AU38" s="45" t="e">
        <f>IF(AU$1,SUMIFS('BalSht Data'!$H$2:$H$2050,'BalSht Data'!$G$2:$G$2050,$A38,'BalSht Data'!$A$2:$A$2050,AU$1),#N/A)</f>
        <v>#N/A</v>
      </c>
      <c r="AV38" s="45" t="e">
        <f>IF(AV$1,SUMIFS('BalSht Data'!$H$2:$H$2050,'BalSht Data'!$G$2:$G$2050,$A38,'BalSht Data'!$A$2:$A$2050,AV$1),#N/A)</f>
        <v>#N/A</v>
      </c>
      <c r="AW38" s="45" t="e">
        <f>IF(AW$1,SUMIFS('BalSht Data'!$H$2:$H$2050,'BalSht Data'!$G$2:$G$2050,$A38,'BalSht Data'!$A$2:$A$2050,AW$1),#N/A)</f>
        <v>#N/A</v>
      </c>
      <c r="AX38" s="45" t="e">
        <f>IF(AX$1,SUMIFS('BalSht Data'!$H$2:$H$2050,'BalSht Data'!$G$2:$G$2050,$A38,'BalSht Data'!$A$2:$A$2050,AX$1),#N/A)</f>
        <v>#N/A</v>
      </c>
      <c r="AY38" s="45" t="e">
        <f>IF(AY$1,SUMIFS('BalSht Data'!$H$2:$H$2050,'BalSht Data'!$G$2:$G$2050,$A38,'BalSht Data'!$A$2:$A$2050,AY$1),#N/A)</f>
        <v>#N/A</v>
      </c>
      <c r="AZ38" s="45" t="e">
        <f>IF(AZ$1,SUMIFS('BalSht Data'!$H$2:$H$2050,'BalSht Data'!$G$2:$G$2050,$A38,'BalSht Data'!$A$2:$A$2050,AZ$1),#N/A)</f>
        <v>#N/A</v>
      </c>
      <c r="BA38" s="45" t="e">
        <f>IF(BA$1,SUMIFS('BalSht Data'!$H$2:$H$2050,'BalSht Data'!$G$2:$G$2050,$A38,'BalSht Data'!$A$2:$A$2050,BA$1),#N/A)</f>
        <v>#N/A</v>
      </c>
      <c r="BB38" s="45" t="e">
        <f>IF(BB$1,SUMIFS('BalSht Data'!$H$2:$H$2050,'BalSht Data'!$G$2:$G$2050,$A38,'BalSht Data'!$A$2:$A$2050,BB$1),#N/A)</f>
        <v>#N/A</v>
      </c>
      <c r="BC38" s="45" t="e">
        <f>IF(BC$1,SUMIFS('BalSht Data'!$H$2:$H$2050,'BalSht Data'!$G$2:$G$2050,$A38,'BalSht Data'!$A$2:$A$2050,BC$1),#N/A)</f>
        <v>#N/A</v>
      </c>
      <c r="BD38" s="45" t="e">
        <f>IF(BD$1,SUMIFS('BalSht Data'!$H$2:$H$2050,'BalSht Data'!$G$2:$G$2050,$A38,'BalSht Data'!$A$2:$A$2050,BD$1),#N/A)</f>
        <v>#N/A</v>
      </c>
      <c r="BE38" s="45" t="e">
        <f>IF(BE$1,SUMIFS('BalSht Data'!$H$2:$H$2050,'BalSht Data'!$G$2:$G$2050,$A38,'BalSht Data'!$A$2:$A$2050,BE$1),#N/A)</f>
        <v>#N/A</v>
      </c>
      <c r="BF38" s="45" t="e">
        <f>IF(BF$1,SUMIFS('BalSht Data'!$H$2:$H$2050,'BalSht Data'!$G$2:$G$2050,$A38,'BalSht Data'!$A$2:$A$2050,BF$1),#N/A)</f>
        <v>#N/A</v>
      </c>
      <c r="BG38" s="45" t="e">
        <f>IF(BG$1,SUMIFS('BalSht Data'!$H$2:$H$2050,'BalSht Data'!$G$2:$G$2050,$A38,'BalSht Data'!$A$2:$A$2050,BG$1),#N/A)</f>
        <v>#N/A</v>
      </c>
      <c r="BH38" s="45" t="e">
        <f>IF(BH$1,SUMIFS('BalSht Data'!$H$2:$H$2050,'BalSht Data'!$G$2:$G$2050,$A38,'BalSht Data'!$A$2:$A$2050,BH$1),#N/A)</f>
        <v>#N/A</v>
      </c>
      <c r="BI38" s="45" t="e">
        <f>IF(BI$1,SUMIFS('BalSht Data'!$H$2:$H$2050,'BalSht Data'!$G$2:$G$2050,$A38,'BalSht Data'!$A$2:$A$2050,BI$1),#N/A)</f>
        <v>#N/A</v>
      </c>
      <c r="BJ38" s="45" t="e">
        <f>IF(BJ$1,SUMIFS('BalSht Data'!$H$2:$H$2050,'BalSht Data'!$G$2:$G$2050,$A38,'BalSht Data'!$A$2:$A$2050,BJ$1),#N/A)</f>
        <v>#N/A</v>
      </c>
      <c r="BK38" s="45" t="e">
        <f>IF(BK$1,SUMIFS('BalSht Data'!$H$2:$H$2050,'BalSht Data'!$G$2:$G$2050,$A38,'BalSht Data'!$A$2:$A$2050,BK$1),#N/A)</f>
        <v>#N/A</v>
      </c>
      <c r="BL38" s="45" t="e">
        <f>IF(BL$1,SUMIFS('BalSht Data'!$H$2:$H$2050,'BalSht Data'!$G$2:$G$2050,$A38,'BalSht Data'!$A$2:$A$2050,BL$1),#N/A)</f>
        <v>#N/A</v>
      </c>
      <c r="BM38" s="45" t="e">
        <f>IF(BM$1,SUMIFS('BalSht Data'!$H$2:$H$2050,'BalSht Data'!$G$2:$G$2050,$A38,'BalSht Data'!$A$2:$A$2050,BM$1),#N/A)</f>
        <v>#N/A</v>
      </c>
      <c r="BN38" s="45" t="e">
        <f>IF(BN$1,SUMIFS('BalSht Data'!$H$2:$H$2050,'BalSht Data'!$G$2:$G$2050,$A38,'BalSht Data'!$A$2:$A$2050,BN$1),#N/A)</f>
        <v>#N/A</v>
      </c>
      <c r="BO38" s="45" t="e">
        <f>IF(BO$1,SUMIFS('BalSht Data'!$H$2:$H$2050,'BalSht Data'!$G$2:$G$2050,$A38,'BalSht Data'!$A$2:$A$2050,BO$1),#N/A)</f>
        <v>#N/A</v>
      </c>
      <c r="BP38" s="45" t="e">
        <f>IF(BP$1,SUMIFS('BalSht Data'!$H$2:$H$2050,'BalSht Data'!$G$2:$G$2050,$A38,'BalSht Data'!$A$2:$A$2050,BP$1),#N/A)</f>
        <v>#N/A</v>
      </c>
      <c r="BQ38" s="45" t="e">
        <f>IF(BQ$1,SUMIFS('BalSht Data'!$H$2:$H$2050,'BalSht Data'!$G$2:$G$2050,$A38,'BalSht Data'!$A$2:$A$2050,BQ$1),#N/A)</f>
        <v>#N/A</v>
      </c>
      <c r="BR38" s="45" t="e">
        <f>IF(BR$1,SUMIFS('BalSht Data'!$H$2:$H$2050,'BalSht Data'!$G$2:$G$2050,$A38,'BalSht Data'!$A$2:$A$2050,BR$1),#N/A)</f>
        <v>#N/A</v>
      </c>
      <c r="BS38" s="45" t="e">
        <f>IF(BS$1,SUMIFS('BalSht Data'!$H$2:$H$2050,'BalSht Data'!$G$2:$G$2050,$A38,'BalSht Data'!$A$2:$A$2050,BS$1),#N/A)</f>
        <v>#N/A</v>
      </c>
      <c r="BT38" s="45" t="e">
        <f>IF(BT$1,SUMIFS('BalSht Data'!$H$2:$H$2050,'BalSht Data'!$G$2:$G$2050,$A38,'BalSht Data'!$A$2:$A$2050,BT$1),#N/A)</f>
        <v>#N/A</v>
      </c>
      <c r="BU38" s="45" t="e">
        <f>IF(BU$1,SUMIFS('BalSht Data'!$H$2:$H$2050,'BalSht Data'!$G$2:$G$2050,$A38,'BalSht Data'!$A$2:$A$2050,BU$1),#N/A)</f>
        <v>#N/A</v>
      </c>
      <c r="BV38" s="45" t="e">
        <f>IF(BV$1,SUMIFS('BalSht Data'!$H$2:$H$2050,'BalSht Data'!$G$2:$G$2050,$A38,'BalSht Data'!$A$2:$A$2050,BV$1),#N/A)</f>
        <v>#N/A</v>
      </c>
      <c r="BW38" s="45" t="e">
        <f>IF(BW$1,SUMIFS('BalSht Data'!$H$2:$H$2050,'BalSht Data'!$G$2:$G$2050,$A38,'BalSht Data'!$A$2:$A$2050,BW$1),#N/A)</f>
        <v>#N/A</v>
      </c>
      <c r="BX38" s="45" t="e">
        <f>IF(BX$1,SUMIFS('BalSht Data'!$H$2:$H$2050,'BalSht Data'!$G$2:$G$2050,$A38,'BalSht Data'!$A$2:$A$2050,BX$1),#N/A)</f>
        <v>#N/A</v>
      </c>
      <c r="BY38" s="45" t="e">
        <f>IF(BY$1,SUMIFS('BalSht Data'!$H$2:$H$2050,'BalSht Data'!$G$2:$G$2050,$A38,'BalSht Data'!$A$2:$A$2050,BY$1),#N/A)</f>
        <v>#N/A</v>
      </c>
      <c r="BZ38" s="45" t="e">
        <f>IF(BZ$1,SUMIFS('BalSht Data'!$H$2:$H$2050,'BalSht Data'!$G$2:$G$2050,$A38,'BalSht Data'!$A$2:$A$2050,BZ$1),#N/A)</f>
        <v>#N/A</v>
      </c>
      <c r="CA38" s="45" t="e">
        <f>IF(CA$1,SUMIFS('BalSht Data'!$H$2:$H$2050,'BalSht Data'!$G$2:$G$2050,$A38,'BalSht Data'!$A$2:$A$2050,CA$1),#N/A)</f>
        <v>#N/A</v>
      </c>
      <c r="CB38" s="45" t="e">
        <f>IF(CB$1,SUMIFS('BalSht Data'!$H$2:$H$2050,'BalSht Data'!$G$2:$G$2050,$A38,'BalSht Data'!$A$2:$A$2050,CB$1),#N/A)</f>
        <v>#N/A</v>
      </c>
      <c r="CC38" s="45" t="e">
        <f>IF(CC$1,SUMIFS('BalSht Data'!$H$2:$H$2050,'BalSht Data'!$G$2:$G$2050,$A38,'BalSht Data'!$A$2:$A$2050,CC$1),#N/A)</f>
        <v>#N/A</v>
      </c>
      <c r="CD38" s="45" t="e">
        <f>IF(CD$1,SUMIFS('BalSht Data'!$H$2:$H$2050,'BalSht Data'!$G$2:$G$2050,$A38,'BalSht Data'!$A$2:$A$2050,CD$1),#N/A)</f>
        <v>#N/A</v>
      </c>
      <c r="CE38" s="45" t="e">
        <f>IF(CE$1,SUMIFS('BalSht Data'!$H$2:$H$2050,'BalSht Data'!$G$2:$G$2050,$A38,'BalSht Data'!$A$2:$A$2050,CE$1),#N/A)</f>
        <v>#N/A</v>
      </c>
      <c r="CF38" s="45" t="e">
        <f>IF(CF$1,SUMIFS('BalSht Data'!$H$2:$H$2050,'BalSht Data'!$G$2:$G$2050,$A38,'BalSht Data'!$A$2:$A$2050,CF$1),#N/A)</f>
        <v>#N/A</v>
      </c>
      <c r="CG38" s="45" t="e">
        <f>IF(CG$1,SUMIFS('BalSht Data'!$H$2:$H$2050,'BalSht Data'!$G$2:$G$2050,$A38,'BalSht Data'!$A$2:$A$2050,CG$1),#N/A)</f>
        <v>#N/A</v>
      </c>
      <c r="CH38" s="45" t="e">
        <f>IF(CH$1,SUMIFS('BalSht Data'!$H$2:$H$2050,'BalSht Data'!$G$2:$G$2050,$A38,'BalSht Data'!$A$2:$A$2050,CH$1),#N/A)</f>
        <v>#N/A</v>
      </c>
      <c r="CI38" s="45" t="e">
        <f>IF(CI$1,SUMIFS('BalSht Data'!$H$2:$H$2050,'BalSht Data'!$G$2:$G$2050,$A38,'BalSht Data'!$A$2:$A$2050,CI$1),#N/A)</f>
        <v>#N/A</v>
      </c>
      <c r="CJ38" s="45" t="e">
        <f>IF(CJ$1,SUMIFS('BalSht Data'!$H$2:$H$2050,'BalSht Data'!$G$2:$G$2050,$A38,'BalSht Data'!$A$2:$A$2050,CJ$1),#N/A)</f>
        <v>#N/A</v>
      </c>
      <c r="CK38" s="45" t="e">
        <f>IF(CK$1,SUMIFS('BalSht Data'!$H$2:$H$2050,'BalSht Data'!$G$2:$G$2050,$A38,'BalSht Data'!$A$2:$A$2050,CK$1),#N/A)</f>
        <v>#N/A</v>
      </c>
      <c r="CL38" s="45" t="e">
        <f>IF(CL$1,SUMIFS('BalSht Data'!$H$2:$H$2050,'BalSht Data'!$G$2:$G$2050,$A38,'BalSht Data'!$A$2:$A$2050,CL$1),#N/A)</f>
        <v>#N/A</v>
      </c>
      <c r="CM38" s="45" t="e">
        <f>IF(CM$1,SUMIFS('BalSht Data'!$H$2:$H$2050,'BalSht Data'!$G$2:$G$2050,$A38,'BalSht Data'!$A$2:$A$2050,CM$1),#N/A)</f>
        <v>#N/A</v>
      </c>
      <c r="CN38" s="45" t="e">
        <f>IF(CN$1,SUMIFS('BalSht Data'!$H$2:$H$2050,'BalSht Data'!$G$2:$G$2050,$A38,'BalSht Data'!$A$2:$A$2050,CN$1),#N/A)</f>
        <v>#N/A</v>
      </c>
      <c r="CO38" s="45" t="e">
        <f>IF(CO$1,SUMIFS('BalSht Data'!$H$2:$H$2050,'BalSht Data'!$G$2:$G$2050,$A38,'BalSht Data'!$A$2:$A$2050,CO$1),#N/A)</f>
        <v>#N/A</v>
      </c>
      <c r="CP38" s="45" t="e">
        <f>IF(CP$1,SUMIFS('BalSht Data'!$H$2:$H$2050,'BalSht Data'!$G$2:$G$2050,$A38,'BalSht Data'!$A$2:$A$2050,CP$1),#N/A)</f>
        <v>#N/A</v>
      </c>
      <c r="CQ38" s="45" t="e">
        <f>IF(CQ$1,SUMIFS('BalSht Data'!$H$2:$H$2050,'BalSht Data'!$G$2:$G$2050,$A38,'BalSht Data'!$A$2:$A$2050,CQ$1),#N/A)</f>
        <v>#N/A</v>
      </c>
      <c r="CR38" s="45" t="e">
        <f>IF(CR$1,SUMIFS('BalSht Data'!$H$2:$H$2050,'BalSht Data'!$G$2:$G$2050,$A38,'BalSht Data'!$A$2:$A$2050,CR$1),#N/A)</f>
        <v>#N/A</v>
      </c>
      <c r="CS38" s="45" t="e">
        <f>IF(CS$1,SUMIFS('BalSht Data'!$H$2:$H$2050,'BalSht Data'!$G$2:$G$2050,$A38,'BalSht Data'!$A$2:$A$2050,CS$1),#N/A)</f>
        <v>#N/A</v>
      </c>
      <c r="CT38" s="45" t="e">
        <f>IF(CT$1,SUMIFS('BalSht Data'!$H$2:$H$2050,'BalSht Data'!$G$2:$G$2050,$A38,'BalSht Data'!$A$2:$A$2050,CT$1),#N/A)</f>
        <v>#N/A</v>
      </c>
      <c r="CU38" s="45" t="e">
        <f>IF(CU$1,SUMIFS('BalSht Data'!$H$2:$H$2050,'BalSht Data'!$G$2:$G$2050,$A38,'BalSht Data'!$A$2:$A$2050,CU$1),#N/A)</f>
        <v>#N/A</v>
      </c>
      <c r="CV38" s="45" t="e">
        <f>IF(CV$1,SUMIFS('BalSht Data'!$H$2:$H$2050,'BalSht Data'!$G$2:$G$2050,$A38,'BalSht Data'!$A$2:$A$2050,CV$1),#N/A)</f>
        <v>#N/A</v>
      </c>
      <c r="CW38" s="45" t="e">
        <f>IF(CW$1,SUMIFS('BalSht Data'!$H$2:$H$2050,'BalSht Data'!$G$2:$G$2050,$A38,'BalSht Data'!$A$2:$A$2050,CW$1),#N/A)</f>
        <v>#N/A</v>
      </c>
      <c r="CX38" s="45" t="e">
        <f>IF(CX$1,SUMIFS('BalSht Data'!$H$2:$H$2050,'BalSht Data'!$G$2:$G$2050,$A38,'BalSht Data'!$A$2:$A$2050,CX$1),#N/A)</f>
        <v>#N/A</v>
      </c>
      <c r="CY38" s="45" t="e">
        <f>IF(CY$1,SUMIFS('BalSht Data'!$H$2:$H$2050,'BalSht Data'!$G$2:$G$2050,$A38,'BalSht Data'!$A$2:$A$2050,CY$1),#N/A)</f>
        <v>#N/A</v>
      </c>
      <c r="CZ38" s="45" t="e">
        <f>IF(CZ$1,SUMIFS('BalSht Data'!$H$2:$H$2050,'BalSht Data'!$G$2:$G$2050,$A38,'BalSht Data'!$A$2:$A$2050,CZ$1),#N/A)</f>
        <v>#N/A</v>
      </c>
    </row>
    <row r="39" spans="1:106" s="44" customFormat="1" x14ac:dyDescent="0.2">
      <c r="A39" s="57" t="s">
        <v>31</v>
      </c>
      <c r="B39" s="45" t="e">
        <f>IF(B$1,SUMIFS('BalSht Data'!$H$2:$H$2050,'BalSht Data'!$G$2:$G$2050,$A39,'BalSht Data'!$A$2:$A$2050,B$1),#N/A)</f>
        <v>#N/A</v>
      </c>
      <c r="C39" s="45" t="e">
        <f>IF(C$1,SUMIFS('BalSht Data'!$H$2:$H$2050,'BalSht Data'!$G$2:$G$2050,$A39,'BalSht Data'!$A$2:$A$2050,C$1),#N/A)</f>
        <v>#N/A</v>
      </c>
      <c r="D39" s="45" t="e">
        <f>IF(D$1,SUMIFS('BalSht Data'!$H$2:$H$2050,'BalSht Data'!$G$2:$G$2050,$A39,'BalSht Data'!$A$2:$A$2050,D$1),#N/A)</f>
        <v>#N/A</v>
      </c>
      <c r="E39" s="45" t="e">
        <f>IF(E$1,SUMIFS('BalSht Data'!$H$2:$H$2050,'BalSht Data'!$G$2:$G$2050,$A39,'BalSht Data'!$A$2:$A$2050,E$1),#N/A)</f>
        <v>#N/A</v>
      </c>
      <c r="F39" s="45" t="e">
        <f>IF(F$1,SUMIFS('BalSht Data'!$H$2:$H$2050,'BalSht Data'!$G$2:$G$2050,$A39,'BalSht Data'!$A$2:$A$2050,F$1),#N/A)</f>
        <v>#N/A</v>
      </c>
      <c r="G39" s="45" t="e">
        <f>IF(G$1,SUMIFS('BalSht Data'!$H$2:$H$2050,'BalSht Data'!$G$2:$G$2050,$A39,'BalSht Data'!$A$2:$A$2050,G$1),#N/A)</f>
        <v>#N/A</v>
      </c>
      <c r="H39" s="45" t="e">
        <f>IF(H$1,SUMIFS('BalSht Data'!$H$2:$H$2050,'BalSht Data'!$G$2:$G$2050,$A39,'BalSht Data'!$A$2:$A$2050,H$1),#N/A)</f>
        <v>#N/A</v>
      </c>
      <c r="I39" s="45" t="e">
        <f>IF(I$1,SUMIFS('BalSht Data'!$H$2:$H$2050,'BalSht Data'!$G$2:$G$2050,$A39,'BalSht Data'!$A$2:$A$2050,I$1),#N/A)</f>
        <v>#N/A</v>
      </c>
      <c r="J39" s="45" t="e">
        <f>IF(J$1,SUMIFS('BalSht Data'!$H$2:$H$2050,'BalSht Data'!$G$2:$G$2050,$A39,'BalSht Data'!$A$2:$A$2050,J$1),#N/A)</f>
        <v>#N/A</v>
      </c>
      <c r="K39" s="45" t="e">
        <f>IF(K$1,SUMIFS('BalSht Data'!$H$2:$H$2050,'BalSht Data'!$G$2:$G$2050,$A39,'BalSht Data'!$A$2:$A$2050,K$1),#N/A)</f>
        <v>#N/A</v>
      </c>
      <c r="L39" s="45" t="e">
        <f>IF(L$1,SUMIFS('BalSht Data'!$H$2:$H$2050,'BalSht Data'!$G$2:$G$2050,$A39,'BalSht Data'!$A$2:$A$2050,L$1),#N/A)</f>
        <v>#N/A</v>
      </c>
      <c r="M39" s="45" t="e">
        <f>IF(M$1,SUMIFS('BalSht Data'!$H$2:$H$2050,'BalSht Data'!$G$2:$G$2050,$A39,'BalSht Data'!$A$2:$A$2050,M$1),#N/A)</f>
        <v>#N/A</v>
      </c>
      <c r="N39" s="45" t="e">
        <f>IF(N$1,SUMIFS('BalSht Data'!$H$2:$H$2050,'BalSht Data'!$G$2:$G$2050,$A39,'BalSht Data'!$A$2:$A$2050,N$1),#N/A)</f>
        <v>#N/A</v>
      </c>
      <c r="O39" s="45" t="e">
        <f>IF(O$1,SUMIFS('BalSht Data'!$H$2:$H$2050,'BalSht Data'!$G$2:$G$2050,$A39,'BalSht Data'!$A$2:$A$2050,O$1),#N/A)</f>
        <v>#N/A</v>
      </c>
      <c r="P39" s="45" t="e">
        <f>IF(P$1,SUMIFS('BalSht Data'!$H$2:$H$2050,'BalSht Data'!$G$2:$G$2050,$A39,'BalSht Data'!$A$2:$A$2050,P$1),#N/A)</f>
        <v>#N/A</v>
      </c>
      <c r="Q39" s="45" t="e">
        <f>IF(Q$1,SUMIFS('BalSht Data'!$H$2:$H$2050,'BalSht Data'!$G$2:$G$2050,$A39,'BalSht Data'!$A$2:$A$2050,Q$1),#N/A)</f>
        <v>#N/A</v>
      </c>
      <c r="R39" s="45" t="e">
        <f>IF(R$1,SUMIFS('BalSht Data'!$H$2:$H$2050,'BalSht Data'!$G$2:$G$2050,$A39,'BalSht Data'!$A$2:$A$2050,R$1),#N/A)</f>
        <v>#N/A</v>
      </c>
      <c r="S39" s="45" t="e">
        <f>IF(S$1,SUMIFS('BalSht Data'!$H$2:$H$2050,'BalSht Data'!$G$2:$G$2050,$A39,'BalSht Data'!$A$2:$A$2050,S$1),#N/A)</f>
        <v>#N/A</v>
      </c>
      <c r="T39" s="45" t="e">
        <f>IF(T$1,SUMIFS('BalSht Data'!$H$2:$H$2050,'BalSht Data'!$G$2:$G$2050,$A39,'BalSht Data'!$A$2:$A$2050,T$1),#N/A)</f>
        <v>#N/A</v>
      </c>
      <c r="U39" s="45" t="e">
        <f>IF(U$1,SUMIFS('BalSht Data'!$H$2:$H$2050,'BalSht Data'!$G$2:$G$2050,$A39,'BalSht Data'!$A$2:$A$2050,U$1),#N/A)</f>
        <v>#N/A</v>
      </c>
      <c r="V39" s="45" t="e">
        <f>IF(V$1,SUMIFS('BalSht Data'!$H$2:$H$2050,'BalSht Data'!$G$2:$G$2050,$A39,'BalSht Data'!$A$2:$A$2050,V$1),#N/A)</f>
        <v>#N/A</v>
      </c>
      <c r="W39" s="45" t="e">
        <f>IF(W$1,SUMIFS('BalSht Data'!$H$2:$H$2050,'BalSht Data'!$G$2:$G$2050,$A39,'BalSht Data'!$A$2:$A$2050,W$1),#N/A)</f>
        <v>#N/A</v>
      </c>
      <c r="X39" s="45" t="e">
        <f>IF(X$1,SUMIFS('BalSht Data'!$H$2:$H$2050,'BalSht Data'!$G$2:$G$2050,$A39,'BalSht Data'!$A$2:$A$2050,X$1),#N/A)</f>
        <v>#N/A</v>
      </c>
      <c r="Y39" s="45" t="e">
        <f>IF(Y$1,SUMIFS('BalSht Data'!$H$2:$H$2050,'BalSht Data'!$G$2:$G$2050,$A39,'BalSht Data'!$A$2:$A$2050,Y$1),#N/A)</f>
        <v>#N/A</v>
      </c>
      <c r="Z39" s="45" t="e">
        <f>IF(Z$1,SUMIFS('BalSht Data'!$H$2:$H$2050,'BalSht Data'!$G$2:$G$2050,$A39,'BalSht Data'!$A$2:$A$2050,Z$1),#N/A)</f>
        <v>#N/A</v>
      </c>
      <c r="AA39" s="45" t="e">
        <f>IF(AA$1,SUMIFS('BalSht Data'!$H$2:$H$2050,'BalSht Data'!$G$2:$G$2050,$A39,'BalSht Data'!$A$2:$A$2050,AA$1),#N/A)</f>
        <v>#N/A</v>
      </c>
      <c r="AB39" s="45" t="e">
        <f>IF(AB$1,SUMIFS('BalSht Data'!$H$2:$H$2050,'BalSht Data'!$G$2:$G$2050,$A39,'BalSht Data'!$A$2:$A$2050,AB$1),#N/A)</f>
        <v>#N/A</v>
      </c>
      <c r="AC39" s="45" t="e">
        <f>IF(AC$1,SUMIFS('BalSht Data'!$H$2:$H$2050,'BalSht Data'!$G$2:$G$2050,$A39,'BalSht Data'!$A$2:$A$2050,AC$1),#N/A)</f>
        <v>#N/A</v>
      </c>
      <c r="AD39" s="45" t="e">
        <f>IF(AD$1,SUMIFS('BalSht Data'!$H$2:$H$2050,'BalSht Data'!$G$2:$G$2050,$A39,'BalSht Data'!$A$2:$A$2050,AD$1),#N/A)</f>
        <v>#N/A</v>
      </c>
      <c r="AE39" s="45" t="e">
        <f>IF(AE$1,SUMIFS('BalSht Data'!$H$2:$H$2050,'BalSht Data'!$G$2:$G$2050,$A39,'BalSht Data'!$A$2:$A$2050,AE$1),#N/A)</f>
        <v>#N/A</v>
      </c>
      <c r="AF39" s="45" t="e">
        <f>IF(AF$1,SUMIFS('BalSht Data'!$H$2:$H$2050,'BalSht Data'!$G$2:$G$2050,$A39,'BalSht Data'!$A$2:$A$2050,AF$1),#N/A)</f>
        <v>#N/A</v>
      </c>
      <c r="AG39" s="45" t="e">
        <f>IF(AG$1,SUMIFS('BalSht Data'!$H$2:$H$2050,'BalSht Data'!$G$2:$G$2050,$A39,'BalSht Data'!$A$2:$A$2050,AG$1),#N/A)</f>
        <v>#N/A</v>
      </c>
      <c r="AH39" s="45" t="e">
        <f>IF(AH$1,SUMIFS('BalSht Data'!$H$2:$H$2050,'BalSht Data'!$G$2:$G$2050,$A39,'BalSht Data'!$A$2:$A$2050,AH$1),#N/A)</f>
        <v>#N/A</v>
      </c>
      <c r="AI39" s="45" t="e">
        <f>IF(AI$1,SUMIFS('BalSht Data'!$H$2:$H$2050,'BalSht Data'!$G$2:$G$2050,$A39,'BalSht Data'!$A$2:$A$2050,AI$1),#N/A)</f>
        <v>#N/A</v>
      </c>
      <c r="AJ39" s="45" t="e">
        <f>IF(AJ$1,SUMIFS('BalSht Data'!$H$2:$H$2050,'BalSht Data'!$G$2:$G$2050,$A39,'BalSht Data'!$A$2:$A$2050,AJ$1),#N/A)</f>
        <v>#N/A</v>
      </c>
      <c r="AK39" s="45" t="e">
        <f>IF(AK$1,SUMIFS('BalSht Data'!$H$2:$H$2050,'BalSht Data'!$G$2:$G$2050,$A39,'BalSht Data'!$A$2:$A$2050,AK$1),#N/A)</f>
        <v>#N/A</v>
      </c>
      <c r="AL39" s="45" t="e">
        <f>IF(AL$1,SUMIFS('BalSht Data'!$H$2:$H$2050,'BalSht Data'!$G$2:$G$2050,$A39,'BalSht Data'!$A$2:$A$2050,AL$1),#N/A)</f>
        <v>#N/A</v>
      </c>
      <c r="AM39" s="45" t="e">
        <f>IF(AM$1,SUMIFS('BalSht Data'!$H$2:$H$2050,'BalSht Data'!$G$2:$G$2050,$A39,'BalSht Data'!$A$2:$A$2050,AM$1),#N/A)</f>
        <v>#N/A</v>
      </c>
      <c r="AN39" s="45" t="e">
        <f>IF(AN$1,SUMIFS('BalSht Data'!$H$2:$H$2050,'BalSht Data'!$G$2:$G$2050,$A39,'BalSht Data'!$A$2:$A$2050,AN$1),#N/A)</f>
        <v>#N/A</v>
      </c>
      <c r="AO39" s="45" t="e">
        <f>IF(AO$1,SUMIFS('BalSht Data'!$H$2:$H$2050,'BalSht Data'!$G$2:$G$2050,$A39,'BalSht Data'!$A$2:$A$2050,AO$1),#N/A)</f>
        <v>#N/A</v>
      </c>
      <c r="AP39" s="45" t="e">
        <f>IF(AP$1,SUMIFS('BalSht Data'!$H$2:$H$2050,'BalSht Data'!$G$2:$G$2050,$A39,'BalSht Data'!$A$2:$A$2050,AP$1),#N/A)</f>
        <v>#N/A</v>
      </c>
      <c r="AQ39" s="45" t="e">
        <f>IF(AQ$1,SUMIFS('BalSht Data'!$H$2:$H$2050,'BalSht Data'!$G$2:$G$2050,$A39,'BalSht Data'!$A$2:$A$2050,AQ$1),#N/A)</f>
        <v>#N/A</v>
      </c>
      <c r="AR39" s="45" t="e">
        <f>IF(AR$1,SUMIFS('BalSht Data'!$H$2:$H$2050,'BalSht Data'!$G$2:$G$2050,$A39,'BalSht Data'!$A$2:$A$2050,AR$1),#N/A)</f>
        <v>#N/A</v>
      </c>
      <c r="AS39" s="45" t="e">
        <f>IF(AS$1,SUMIFS('BalSht Data'!$H$2:$H$2050,'BalSht Data'!$G$2:$G$2050,$A39,'BalSht Data'!$A$2:$A$2050,AS$1),#N/A)</f>
        <v>#N/A</v>
      </c>
      <c r="AT39" s="45" t="e">
        <f>IF(AT$1,SUMIFS('BalSht Data'!$H$2:$H$2050,'BalSht Data'!$G$2:$G$2050,$A39,'BalSht Data'!$A$2:$A$2050,AT$1),#N/A)</f>
        <v>#N/A</v>
      </c>
      <c r="AU39" s="45" t="e">
        <f>IF(AU$1,SUMIFS('BalSht Data'!$H$2:$H$2050,'BalSht Data'!$G$2:$G$2050,$A39,'BalSht Data'!$A$2:$A$2050,AU$1),#N/A)</f>
        <v>#N/A</v>
      </c>
      <c r="AV39" s="45" t="e">
        <f>IF(AV$1,SUMIFS('BalSht Data'!$H$2:$H$2050,'BalSht Data'!$G$2:$G$2050,$A39,'BalSht Data'!$A$2:$A$2050,AV$1),#N/A)</f>
        <v>#N/A</v>
      </c>
      <c r="AW39" s="45" t="e">
        <f>IF(AW$1,SUMIFS('BalSht Data'!$H$2:$H$2050,'BalSht Data'!$G$2:$G$2050,$A39,'BalSht Data'!$A$2:$A$2050,AW$1),#N/A)</f>
        <v>#N/A</v>
      </c>
      <c r="AX39" s="45" t="e">
        <f>IF(AX$1,SUMIFS('BalSht Data'!$H$2:$H$2050,'BalSht Data'!$G$2:$G$2050,$A39,'BalSht Data'!$A$2:$A$2050,AX$1),#N/A)</f>
        <v>#N/A</v>
      </c>
      <c r="AY39" s="45" t="e">
        <f>IF(AY$1,SUMIFS('BalSht Data'!$H$2:$H$2050,'BalSht Data'!$G$2:$G$2050,$A39,'BalSht Data'!$A$2:$A$2050,AY$1),#N/A)</f>
        <v>#N/A</v>
      </c>
      <c r="AZ39" s="45" t="e">
        <f>IF(AZ$1,SUMIFS('BalSht Data'!$H$2:$H$2050,'BalSht Data'!$G$2:$G$2050,$A39,'BalSht Data'!$A$2:$A$2050,AZ$1),#N/A)</f>
        <v>#N/A</v>
      </c>
      <c r="BA39" s="45" t="e">
        <f>IF(BA$1,SUMIFS('BalSht Data'!$H$2:$H$2050,'BalSht Data'!$G$2:$G$2050,$A39,'BalSht Data'!$A$2:$A$2050,BA$1),#N/A)</f>
        <v>#N/A</v>
      </c>
      <c r="BB39" s="45" t="e">
        <f>IF(BB$1,SUMIFS('BalSht Data'!$H$2:$H$2050,'BalSht Data'!$G$2:$G$2050,$A39,'BalSht Data'!$A$2:$A$2050,BB$1),#N/A)</f>
        <v>#N/A</v>
      </c>
      <c r="BC39" s="45" t="e">
        <f>IF(BC$1,SUMIFS('BalSht Data'!$H$2:$H$2050,'BalSht Data'!$G$2:$G$2050,$A39,'BalSht Data'!$A$2:$A$2050,BC$1),#N/A)</f>
        <v>#N/A</v>
      </c>
      <c r="BD39" s="45" t="e">
        <f>IF(BD$1,SUMIFS('BalSht Data'!$H$2:$H$2050,'BalSht Data'!$G$2:$G$2050,$A39,'BalSht Data'!$A$2:$A$2050,BD$1),#N/A)</f>
        <v>#N/A</v>
      </c>
      <c r="BE39" s="45" t="e">
        <f>IF(BE$1,SUMIFS('BalSht Data'!$H$2:$H$2050,'BalSht Data'!$G$2:$G$2050,$A39,'BalSht Data'!$A$2:$A$2050,BE$1),#N/A)</f>
        <v>#N/A</v>
      </c>
      <c r="BF39" s="45" t="e">
        <f>IF(BF$1,SUMIFS('BalSht Data'!$H$2:$H$2050,'BalSht Data'!$G$2:$G$2050,$A39,'BalSht Data'!$A$2:$A$2050,BF$1),#N/A)</f>
        <v>#N/A</v>
      </c>
      <c r="BG39" s="45" t="e">
        <f>IF(BG$1,SUMIFS('BalSht Data'!$H$2:$H$2050,'BalSht Data'!$G$2:$G$2050,$A39,'BalSht Data'!$A$2:$A$2050,BG$1),#N/A)</f>
        <v>#N/A</v>
      </c>
      <c r="BH39" s="45" t="e">
        <f>IF(BH$1,SUMIFS('BalSht Data'!$H$2:$H$2050,'BalSht Data'!$G$2:$G$2050,$A39,'BalSht Data'!$A$2:$A$2050,BH$1),#N/A)</f>
        <v>#N/A</v>
      </c>
      <c r="BI39" s="45" t="e">
        <f>IF(BI$1,SUMIFS('BalSht Data'!$H$2:$H$2050,'BalSht Data'!$G$2:$G$2050,$A39,'BalSht Data'!$A$2:$A$2050,BI$1),#N/A)</f>
        <v>#N/A</v>
      </c>
      <c r="BJ39" s="45" t="e">
        <f>IF(BJ$1,SUMIFS('BalSht Data'!$H$2:$H$2050,'BalSht Data'!$G$2:$G$2050,$A39,'BalSht Data'!$A$2:$A$2050,BJ$1),#N/A)</f>
        <v>#N/A</v>
      </c>
      <c r="BK39" s="45" t="e">
        <f>IF(BK$1,SUMIFS('BalSht Data'!$H$2:$H$2050,'BalSht Data'!$G$2:$G$2050,$A39,'BalSht Data'!$A$2:$A$2050,BK$1),#N/A)</f>
        <v>#N/A</v>
      </c>
      <c r="BL39" s="45" t="e">
        <f>IF(BL$1,SUMIFS('BalSht Data'!$H$2:$H$2050,'BalSht Data'!$G$2:$G$2050,$A39,'BalSht Data'!$A$2:$A$2050,BL$1),#N/A)</f>
        <v>#N/A</v>
      </c>
      <c r="BM39" s="45" t="e">
        <f>IF(BM$1,SUMIFS('BalSht Data'!$H$2:$H$2050,'BalSht Data'!$G$2:$G$2050,$A39,'BalSht Data'!$A$2:$A$2050,BM$1),#N/A)</f>
        <v>#N/A</v>
      </c>
      <c r="BN39" s="45" t="e">
        <f>IF(BN$1,SUMIFS('BalSht Data'!$H$2:$H$2050,'BalSht Data'!$G$2:$G$2050,$A39,'BalSht Data'!$A$2:$A$2050,BN$1),#N/A)</f>
        <v>#N/A</v>
      </c>
      <c r="BO39" s="45" t="e">
        <f>IF(BO$1,SUMIFS('BalSht Data'!$H$2:$H$2050,'BalSht Data'!$G$2:$G$2050,$A39,'BalSht Data'!$A$2:$A$2050,BO$1),#N/A)</f>
        <v>#N/A</v>
      </c>
      <c r="BP39" s="45" t="e">
        <f>IF(BP$1,SUMIFS('BalSht Data'!$H$2:$H$2050,'BalSht Data'!$G$2:$G$2050,$A39,'BalSht Data'!$A$2:$A$2050,BP$1),#N/A)</f>
        <v>#N/A</v>
      </c>
      <c r="BQ39" s="45" t="e">
        <f>IF(BQ$1,SUMIFS('BalSht Data'!$H$2:$H$2050,'BalSht Data'!$G$2:$G$2050,$A39,'BalSht Data'!$A$2:$A$2050,BQ$1),#N/A)</f>
        <v>#N/A</v>
      </c>
      <c r="BR39" s="45" t="e">
        <f>IF(BR$1,SUMIFS('BalSht Data'!$H$2:$H$2050,'BalSht Data'!$G$2:$G$2050,$A39,'BalSht Data'!$A$2:$A$2050,BR$1),#N/A)</f>
        <v>#N/A</v>
      </c>
      <c r="BS39" s="45" t="e">
        <f>IF(BS$1,SUMIFS('BalSht Data'!$H$2:$H$2050,'BalSht Data'!$G$2:$G$2050,$A39,'BalSht Data'!$A$2:$A$2050,BS$1),#N/A)</f>
        <v>#N/A</v>
      </c>
      <c r="BT39" s="45" t="e">
        <f>IF(BT$1,SUMIFS('BalSht Data'!$H$2:$H$2050,'BalSht Data'!$G$2:$G$2050,$A39,'BalSht Data'!$A$2:$A$2050,BT$1),#N/A)</f>
        <v>#N/A</v>
      </c>
      <c r="BU39" s="45" t="e">
        <f>IF(BU$1,SUMIFS('BalSht Data'!$H$2:$H$2050,'BalSht Data'!$G$2:$G$2050,$A39,'BalSht Data'!$A$2:$A$2050,BU$1),#N/A)</f>
        <v>#N/A</v>
      </c>
      <c r="BV39" s="45" t="e">
        <f>IF(BV$1,SUMIFS('BalSht Data'!$H$2:$H$2050,'BalSht Data'!$G$2:$G$2050,$A39,'BalSht Data'!$A$2:$A$2050,BV$1),#N/A)</f>
        <v>#N/A</v>
      </c>
      <c r="BW39" s="45" t="e">
        <f>IF(BW$1,SUMIFS('BalSht Data'!$H$2:$H$2050,'BalSht Data'!$G$2:$G$2050,$A39,'BalSht Data'!$A$2:$A$2050,BW$1),#N/A)</f>
        <v>#N/A</v>
      </c>
      <c r="BX39" s="45" t="e">
        <f>IF(BX$1,SUMIFS('BalSht Data'!$H$2:$H$2050,'BalSht Data'!$G$2:$G$2050,$A39,'BalSht Data'!$A$2:$A$2050,BX$1),#N/A)</f>
        <v>#N/A</v>
      </c>
      <c r="BY39" s="45" t="e">
        <f>IF(BY$1,SUMIFS('BalSht Data'!$H$2:$H$2050,'BalSht Data'!$G$2:$G$2050,$A39,'BalSht Data'!$A$2:$A$2050,BY$1),#N/A)</f>
        <v>#N/A</v>
      </c>
      <c r="BZ39" s="45" t="e">
        <f>IF(BZ$1,SUMIFS('BalSht Data'!$H$2:$H$2050,'BalSht Data'!$G$2:$G$2050,$A39,'BalSht Data'!$A$2:$A$2050,BZ$1),#N/A)</f>
        <v>#N/A</v>
      </c>
      <c r="CA39" s="45" t="e">
        <f>IF(CA$1,SUMIFS('BalSht Data'!$H$2:$H$2050,'BalSht Data'!$G$2:$G$2050,$A39,'BalSht Data'!$A$2:$A$2050,CA$1),#N/A)</f>
        <v>#N/A</v>
      </c>
      <c r="CB39" s="45" t="e">
        <f>IF(CB$1,SUMIFS('BalSht Data'!$H$2:$H$2050,'BalSht Data'!$G$2:$G$2050,$A39,'BalSht Data'!$A$2:$A$2050,CB$1),#N/A)</f>
        <v>#N/A</v>
      </c>
      <c r="CC39" s="45" t="e">
        <f>IF(CC$1,SUMIFS('BalSht Data'!$H$2:$H$2050,'BalSht Data'!$G$2:$G$2050,$A39,'BalSht Data'!$A$2:$A$2050,CC$1),#N/A)</f>
        <v>#N/A</v>
      </c>
      <c r="CD39" s="45" t="e">
        <f>IF(CD$1,SUMIFS('BalSht Data'!$H$2:$H$2050,'BalSht Data'!$G$2:$G$2050,$A39,'BalSht Data'!$A$2:$A$2050,CD$1),#N/A)</f>
        <v>#N/A</v>
      </c>
      <c r="CE39" s="45" t="e">
        <f>IF(CE$1,SUMIFS('BalSht Data'!$H$2:$H$2050,'BalSht Data'!$G$2:$G$2050,$A39,'BalSht Data'!$A$2:$A$2050,CE$1),#N/A)</f>
        <v>#N/A</v>
      </c>
      <c r="CF39" s="45" t="e">
        <f>IF(CF$1,SUMIFS('BalSht Data'!$H$2:$H$2050,'BalSht Data'!$G$2:$G$2050,$A39,'BalSht Data'!$A$2:$A$2050,CF$1),#N/A)</f>
        <v>#N/A</v>
      </c>
      <c r="CG39" s="45" t="e">
        <f>IF(CG$1,SUMIFS('BalSht Data'!$H$2:$H$2050,'BalSht Data'!$G$2:$G$2050,$A39,'BalSht Data'!$A$2:$A$2050,CG$1),#N/A)</f>
        <v>#N/A</v>
      </c>
      <c r="CH39" s="45" t="e">
        <f>IF(CH$1,SUMIFS('BalSht Data'!$H$2:$H$2050,'BalSht Data'!$G$2:$G$2050,$A39,'BalSht Data'!$A$2:$A$2050,CH$1),#N/A)</f>
        <v>#N/A</v>
      </c>
      <c r="CI39" s="45" t="e">
        <f>IF(CI$1,SUMIFS('BalSht Data'!$H$2:$H$2050,'BalSht Data'!$G$2:$G$2050,$A39,'BalSht Data'!$A$2:$A$2050,CI$1),#N/A)</f>
        <v>#N/A</v>
      </c>
      <c r="CJ39" s="45" t="e">
        <f>IF(CJ$1,SUMIFS('BalSht Data'!$H$2:$H$2050,'BalSht Data'!$G$2:$G$2050,$A39,'BalSht Data'!$A$2:$A$2050,CJ$1),#N/A)</f>
        <v>#N/A</v>
      </c>
      <c r="CK39" s="45" t="e">
        <f>IF(CK$1,SUMIFS('BalSht Data'!$H$2:$H$2050,'BalSht Data'!$G$2:$G$2050,$A39,'BalSht Data'!$A$2:$A$2050,CK$1),#N/A)</f>
        <v>#N/A</v>
      </c>
      <c r="CL39" s="45" t="e">
        <f>IF(CL$1,SUMIFS('BalSht Data'!$H$2:$H$2050,'BalSht Data'!$G$2:$G$2050,$A39,'BalSht Data'!$A$2:$A$2050,CL$1),#N/A)</f>
        <v>#N/A</v>
      </c>
      <c r="CM39" s="45" t="e">
        <f>IF(CM$1,SUMIFS('BalSht Data'!$H$2:$H$2050,'BalSht Data'!$G$2:$G$2050,$A39,'BalSht Data'!$A$2:$A$2050,CM$1),#N/A)</f>
        <v>#N/A</v>
      </c>
      <c r="CN39" s="45" t="e">
        <f>IF(CN$1,SUMIFS('BalSht Data'!$H$2:$H$2050,'BalSht Data'!$G$2:$G$2050,$A39,'BalSht Data'!$A$2:$A$2050,CN$1),#N/A)</f>
        <v>#N/A</v>
      </c>
      <c r="CO39" s="45" t="e">
        <f>IF(CO$1,SUMIFS('BalSht Data'!$H$2:$H$2050,'BalSht Data'!$G$2:$G$2050,$A39,'BalSht Data'!$A$2:$A$2050,CO$1),#N/A)</f>
        <v>#N/A</v>
      </c>
      <c r="CP39" s="45" t="e">
        <f>IF(CP$1,SUMIFS('BalSht Data'!$H$2:$H$2050,'BalSht Data'!$G$2:$G$2050,$A39,'BalSht Data'!$A$2:$A$2050,CP$1),#N/A)</f>
        <v>#N/A</v>
      </c>
      <c r="CQ39" s="45" t="e">
        <f>IF(CQ$1,SUMIFS('BalSht Data'!$H$2:$H$2050,'BalSht Data'!$G$2:$G$2050,$A39,'BalSht Data'!$A$2:$A$2050,CQ$1),#N/A)</f>
        <v>#N/A</v>
      </c>
      <c r="CR39" s="45" t="e">
        <f>IF(CR$1,SUMIFS('BalSht Data'!$H$2:$H$2050,'BalSht Data'!$G$2:$G$2050,$A39,'BalSht Data'!$A$2:$A$2050,CR$1),#N/A)</f>
        <v>#N/A</v>
      </c>
      <c r="CS39" s="45" t="e">
        <f>IF(CS$1,SUMIFS('BalSht Data'!$H$2:$H$2050,'BalSht Data'!$G$2:$G$2050,$A39,'BalSht Data'!$A$2:$A$2050,CS$1),#N/A)</f>
        <v>#N/A</v>
      </c>
      <c r="CT39" s="45" t="e">
        <f>IF(CT$1,SUMIFS('BalSht Data'!$H$2:$H$2050,'BalSht Data'!$G$2:$G$2050,$A39,'BalSht Data'!$A$2:$A$2050,CT$1),#N/A)</f>
        <v>#N/A</v>
      </c>
      <c r="CU39" s="45" t="e">
        <f>IF(CU$1,SUMIFS('BalSht Data'!$H$2:$H$2050,'BalSht Data'!$G$2:$G$2050,$A39,'BalSht Data'!$A$2:$A$2050,CU$1),#N/A)</f>
        <v>#N/A</v>
      </c>
      <c r="CV39" s="45" t="e">
        <f>IF(CV$1,SUMIFS('BalSht Data'!$H$2:$H$2050,'BalSht Data'!$G$2:$G$2050,$A39,'BalSht Data'!$A$2:$A$2050,CV$1),#N/A)</f>
        <v>#N/A</v>
      </c>
      <c r="CW39" s="45" t="e">
        <f>IF(CW$1,SUMIFS('BalSht Data'!$H$2:$H$2050,'BalSht Data'!$G$2:$G$2050,$A39,'BalSht Data'!$A$2:$A$2050,CW$1),#N/A)</f>
        <v>#N/A</v>
      </c>
      <c r="CX39" s="45" t="e">
        <f>IF(CX$1,SUMIFS('BalSht Data'!$H$2:$H$2050,'BalSht Data'!$G$2:$G$2050,$A39,'BalSht Data'!$A$2:$A$2050,CX$1),#N/A)</f>
        <v>#N/A</v>
      </c>
      <c r="CY39" s="45" t="e">
        <f>IF(CY$1,SUMIFS('BalSht Data'!$H$2:$H$2050,'BalSht Data'!$G$2:$G$2050,$A39,'BalSht Data'!$A$2:$A$2050,CY$1),#N/A)</f>
        <v>#N/A</v>
      </c>
      <c r="CZ39" s="45" t="e">
        <f>IF(CZ$1,SUMIFS('BalSht Data'!$H$2:$H$2050,'BalSht Data'!$G$2:$G$2050,$A39,'BalSht Data'!$A$2:$A$2050,CZ$1),#N/A)</f>
        <v>#N/A</v>
      </c>
    </row>
    <row r="40" spans="1:106" s="44" customFormat="1" x14ac:dyDescent="0.2">
      <c r="A40" s="57" t="s">
        <v>152</v>
      </c>
      <c r="B40" s="45" t="e">
        <f>IF(B$1,SUMIFS('BalSht Data'!$H$2:$H$2050,'BalSht Data'!$G$2:$G$2050,$A40,'BalSht Data'!$A$2:$A$2050,B$1),#N/A)</f>
        <v>#N/A</v>
      </c>
      <c r="C40" s="45" t="e">
        <f>IF(C$1,SUMIFS('BalSht Data'!$H$2:$H$2050,'BalSht Data'!$G$2:$G$2050,$A40,'BalSht Data'!$A$2:$A$2050,C$1),#N/A)</f>
        <v>#N/A</v>
      </c>
      <c r="D40" s="45" t="e">
        <f>IF(D$1,SUMIFS('BalSht Data'!$H$2:$H$2050,'BalSht Data'!$G$2:$G$2050,$A40,'BalSht Data'!$A$2:$A$2050,D$1),#N/A)</f>
        <v>#N/A</v>
      </c>
      <c r="E40" s="45" t="e">
        <f>IF(E$1,SUMIFS('BalSht Data'!$H$2:$H$2050,'BalSht Data'!$G$2:$G$2050,$A40,'BalSht Data'!$A$2:$A$2050,E$1),#N/A)</f>
        <v>#N/A</v>
      </c>
      <c r="F40" s="45" t="e">
        <f>IF(F$1,SUMIFS('BalSht Data'!$H$2:$H$2050,'BalSht Data'!$G$2:$G$2050,$A40,'BalSht Data'!$A$2:$A$2050,F$1),#N/A)</f>
        <v>#N/A</v>
      </c>
      <c r="G40" s="45" t="e">
        <f>IF(G$1,SUMIFS('BalSht Data'!$H$2:$H$2050,'BalSht Data'!$G$2:$G$2050,$A40,'BalSht Data'!$A$2:$A$2050,G$1),#N/A)</f>
        <v>#N/A</v>
      </c>
      <c r="H40" s="45" t="e">
        <f>IF(H$1,SUMIFS('BalSht Data'!$H$2:$H$2050,'BalSht Data'!$G$2:$G$2050,$A40,'BalSht Data'!$A$2:$A$2050,H$1),#N/A)</f>
        <v>#N/A</v>
      </c>
      <c r="I40" s="45" t="e">
        <f>IF(I$1,SUMIFS('BalSht Data'!$H$2:$H$2050,'BalSht Data'!$G$2:$G$2050,$A40,'BalSht Data'!$A$2:$A$2050,I$1),#N/A)</f>
        <v>#N/A</v>
      </c>
      <c r="J40" s="45" t="e">
        <f>IF(J$1,SUMIFS('BalSht Data'!$H$2:$H$2050,'BalSht Data'!$G$2:$G$2050,$A40,'BalSht Data'!$A$2:$A$2050,J$1),#N/A)</f>
        <v>#N/A</v>
      </c>
      <c r="K40" s="45" t="e">
        <f>IF(K$1,SUMIFS('BalSht Data'!$H$2:$H$2050,'BalSht Data'!$G$2:$G$2050,$A40,'BalSht Data'!$A$2:$A$2050,K$1),#N/A)</f>
        <v>#N/A</v>
      </c>
      <c r="L40" s="45" t="e">
        <f>IF(L$1,SUMIFS('BalSht Data'!$H$2:$H$2050,'BalSht Data'!$G$2:$G$2050,$A40,'BalSht Data'!$A$2:$A$2050,L$1),#N/A)</f>
        <v>#N/A</v>
      </c>
      <c r="M40" s="45" t="e">
        <f>IF(M$1,SUMIFS('BalSht Data'!$H$2:$H$2050,'BalSht Data'!$G$2:$G$2050,$A40,'BalSht Data'!$A$2:$A$2050,M$1),#N/A)</f>
        <v>#N/A</v>
      </c>
      <c r="N40" s="45" t="e">
        <f>IF(N$1,SUMIFS('BalSht Data'!$H$2:$H$2050,'BalSht Data'!$G$2:$G$2050,$A40,'BalSht Data'!$A$2:$A$2050,N$1),#N/A)</f>
        <v>#N/A</v>
      </c>
      <c r="O40" s="45" t="e">
        <f>IF(O$1,SUMIFS('BalSht Data'!$H$2:$H$2050,'BalSht Data'!$G$2:$G$2050,$A40,'BalSht Data'!$A$2:$A$2050,O$1),#N/A)</f>
        <v>#N/A</v>
      </c>
      <c r="P40" s="45" t="e">
        <f>IF(P$1,SUMIFS('BalSht Data'!$H$2:$H$2050,'BalSht Data'!$G$2:$G$2050,$A40,'BalSht Data'!$A$2:$A$2050,P$1),#N/A)</f>
        <v>#N/A</v>
      </c>
      <c r="Q40" s="45" t="e">
        <f>IF(Q$1,SUMIFS('BalSht Data'!$H$2:$H$2050,'BalSht Data'!$G$2:$G$2050,$A40,'BalSht Data'!$A$2:$A$2050,Q$1),#N/A)</f>
        <v>#N/A</v>
      </c>
      <c r="R40" s="45" t="e">
        <f>IF(R$1,SUMIFS('BalSht Data'!$H$2:$H$2050,'BalSht Data'!$G$2:$G$2050,$A40,'BalSht Data'!$A$2:$A$2050,R$1),#N/A)</f>
        <v>#N/A</v>
      </c>
      <c r="S40" s="45" t="e">
        <f>IF(S$1,SUMIFS('BalSht Data'!$H$2:$H$2050,'BalSht Data'!$G$2:$G$2050,$A40,'BalSht Data'!$A$2:$A$2050,S$1),#N/A)</f>
        <v>#N/A</v>
      </c>
      <c r="T40" s="45" t="e">
        <f>IF(T$1,SUMIFS('BalSht Data'!$H$2:$H$2050,'BalSht Data'!$G$2:$G$2050,$A40,'BalSht Data'!$A$2:$A$2050,T$1),#N/A)</f>
        <v>#N/A</v>
      </c>
      <c r="U40" s="45" t="e">
        <f>IF(U$1,SUMIFS('BalSht Data'!$H$2:$H$2050,'BalSht Data'!$G$2:$G$2050,$A40,'BalSht Data'!$A$2:$A$2050,U$1),#N/A)</f>
        <v>#N/A</v>
      </c>
      <c r="V40" s="45" t="e">
        <f>IF(V$1,SUMIFS('BalSht Data'!$H$2:$H$2050,'BalSht Data'!$G$2:$G$2050,$A40,'BalSht Data'!$A$2:$A$2050,V$1),#N/A)</f>
        <v>#N/A</v>
      </c>
      <c r="W40" s="45" t="e">
        <f>IF(W$1,SUMIFS('BalSht Data'!$H$2:$H$2050,'BalSht Data'!$G$2:$G$2050,$A40,'BalSht Data'!$A$2:$A$2050,W$1),#N/A)</f>
        <v>#N/A</v>
      </c>
      <c r="X40" s="45" t="e">
        <f>IF(X$1,SUMIFS('BalSht Data'!$H$2:$H$2050,'BalSht Data'!$G$2:$G$2050,$A40,'BalSht Data'!$A$2:$A$2050,X$1),#N/A)</f>
        <v>#N/A</v>
      </c>
      <c r="Y40" s="45" t="e">
        <f>IF(Y$1,SUMIFS('BalSht Data'!$H$2:$H$2050,'BalSht Data'!$G$2:$G$2050,$A40,'BalSht Data'!$A$2:$A$2050,Y$1),#N/A)</f>
        <v>#N/A</v>
      </c>
      <c r="Z40" s="45" t="e">
        <f>IF(Z$1,SUMIFS('BalSht Data'!$H$2:$H$2050,'BalSht Data'!$G$2:$G$2050,$A40,'BalSht Data'!$A$2:$A$2050,Z$1),#N/A)</f>
        <v>#N/A</v>
      </c>
      <c r="AA40" s="45" t="e">
        <f>IF(AA$1,SUMIFS('BalSht Data'!$H$2:$H$2050,'BalSht Data'!$G$2:$G$2050,$A40,'BalSht Data'!$A$2:$A$2050,AA$1),#N/A)</f>
        <v>#N/A</v>
      </c>
      <c r="AB40" s="45" t="e">
        <f>IF(AB$1,SUMIFS('BalSht Data'!$H$2:$H$2050,'BalSht Data'!$G$2:$G$2050,$A40,'BalSht Data'!$A$2:$A$2050,AB$1),#N/A)</f>
        <v>#N/A</v>
      </c>
      <c r="AC40" s="45" t="e">
        <f>IF(AC$1,SUMIFS('BalSht Data'!$H$2:$H$2050,'BalSht Data'!$G$2:$G$2050,$A40,'BalSht Data'!$A$2:$A$2050,AC$1),#N/A)</f>
        <v>#N/A</v>
      </c>
      <c r="AD40" s="45" t="e">
        <f>IF(AD$1,SUMIFS('BalSht Data'!$H$2:$H$2050,'BalSht Data'!$G$2:$G$2050,$A40,'BalSht Data'!$A$2:$A$2050,AD$1),#N/A)</f>
        <v>#N/A</v>
      </c>
      <c r="AE40" s="45" t="e">
        <f>IF(AE$1,SUMIFS('BalSht Data'!$H$2:$H$2050,'BalSht Data'!$G$2:$G$2050,$A40,'BalSht Data'!$A$2:$A$2050,AE$1),#N/A)</f>
        <v>#N/A</v>
      </c>
      <c r="AF40" s="45" t="e">
        <f>IF(AF$1,SUMIFS('BalSht Data'!$H$2:$H$2050,'BalSht Data'!$G$2:$G$2050,$A40,'BalSht Data'!$A$2:$A$2050,AF$1),#N/A)</f>
        <v>#N/A</v>
      </c>
      <c r="AG40" s="45" t="e">
        <f>IF(AG$1,SUMIFS('BalSht Data'!$H$2:$H$2050,'BalSht Data'!$G$2:$G$2050,$A40,'BalSht Data'!$A$2:$A$2050,AG$1),#N/A)</f>
        <v>#N/A</v>
      </c>
      <c r="AH40" s="45" t="e">
        <f>IF(AH$1,SUMIFS('BalSht Data'!$H$2:$H$2050,'BalSht Data'!$G$2:$G$2050,$A40,'BalSht Data'!$A$2:$A$2050,AH$1),#N/A)</f>
        <v>#N/A</v>
      </c>
      <c r="AI40" s="45" t="e">
        <f>IF(AI$1,SUMIFS('BalSht Data'!$H$2:$H$2050,'BalSht Data'!$G$2:$G$2050,$A40,'BalSht Data'!$A$2:$A$2050,AI$1),#N/A)</f>
        <v>#N/A</v>
      </c>
      <c r="AJ40" s="45" t="e">
        <f>IF(AJ$1,SUMIFS('BalSht Data'!$H$2:$H$2050,'BalSht Data'!$G$2:$G$2050,$A40,'BalSht Data'!$A$2:$A$2050,AJ$1),#N/A)</f>
        <v>#N/A</v>
      </c>
      <c r="AK40" s="45" t="e">
        <f>IF(AK$1,SUMIFS('BalSht Data'!$H$2:$H$2050,'BalSht Data'!$G$2:$G$2050,$A40,'BalSht Data'!$A$2:$A$2050,AK$1),#N/A)</f>
        <v>#N/A</v>
      </c>
      <c r="AL40" s="45" t="e">
        <f>IF(AL$1,SUMIFS('BalSht Data'!$H$2:$H$2050,'BalSht Data'!$G$2:$G$2050,$A40,'BalSht Data'!$A$2:$A$2050,AL$1),#N/A)</f>
        <v>#N/A</v>
      </c>
      <c r="AM40" s="45" t="e">
        <f>IF(AM$1,SUMIFS('BalSht Data'!$H$2:$H$2050,'BalSht Data'!$G$2:$G$2050,$A40,'BalSht Data'!$A$2:$A$2050,AM$1),#N/A)</f>
        <v>#N/A</v>
      </c>
      <c r="AN40" s="45" t="e">
        <f>IF(AN$1,SUMIFS('BalSht Data'!$H$2:$H$2050,'BalSht Data'!$G$2:$G$2050,$A40,'BalSht Data'!$A$2:$A$2050,AN$1),#N/A)</f>
        <v>#N/A</v>
      </c>
      <c r="AO40" s="45" t="e">
        <f>IF(AO$1,SUMIFS('BalSht Data'!$H$2:$H$2050,'BalSht Data'!$G$2:$G$2050,$A40,'BalSht Data'!$A$2:$A$2050,AO$1),#N/A)</f>
        <v>#N/A</v>
      </c>
      <c r="AP40" s="45" t="e">
        <f>IF(AP$1,SUMIFS('BalSht Data'!$H$2:$H$2050,'BalSht Data'!$G$2:$G$2050,$A40,'BalSht Data'!$A$2:$A$2050,AP$1),#N/A)</f>
        <v>#N/A</v>
      </c>
      <c r="AQ40" s="45" t="e">
        <f>IF(AQ$1,SUMIFS('BalSht Data'!$H$2:$H$2050,'BalSht Data'!$G$2:$G$2050,$A40,'BalSht Data'!$A$2:$A$2050,AQ$1),#N/A)</f>
        <v>#N/A</v>
      </c>
      <c r="AR40" s="45" t="e">
        <f>IF(AR$1,SUMIFS('BalSht Data'!$H$2:$H$2050,'BalSht Data'!$G$2:$G$2050,$A40,'BalSht Data'!$A$2:$A$2050,AR$1),#N/A)</f>
        <v>#N/A</v>
      </c>
      <c r="AS40" s="45" t="e">
        <f>IF(AS$1,SUMIFS('BalSht Data'!$H$2:$H$2050,'BalSht Data'!$G$2:$G$2050,$A40,'BalSht Data'!$A$2:$A$2050,AS$1),#N/A)</f>
        <v>#N/A</v>
      </c>
      <c r="AT40" s="45" t="e">
        <f>IF(AT$1,SUMIFS('BalSht Data'!$H$2:$H$2050,'BalSht Data'!$G$2:$G$2050,$A40,'BalSht Data'!$A$2:$A$2050,AT$1),#N/A)</f>
        <v>#N/A</v>
      </c>
      <c r="AU40" s="45" t="e">
        <f>IF(AU$1,SUMIFS('BalSht Data'!$H$2:$H$2050,'BalSht Data'!$G$2:$G$2050,$A40,'BalSht Data'!$A$2:$A$2050,AU$1),#N/A)</f>
        <v>#N/A</v>
      </c>
      <c r="AV40" s="45" t="e">
        <f>IF(AV$1,SUMIFS('BalSht Data'!$H$2:$H$2050,'BalSht Data'!$G$2:$G$2050,$A40,'BalSht Data'!$A$2:$A$2050,AV$1),#N/A)</f>
        <v>#N/A</v>
      </c>
      <c r="AW40" s="45" t="e">
        <f>IF(AW$1,SUMIFS('BalSht Data'!$H$2:$H$2050,'BalSht Data'!$G$2:$G$2050,$A40,'BalSht Data'!$A$2:$A$2050,AW$1),#N/A)</f>
        <v>#N/A</v>
      </c>
      <c r="AX40" s="45" t="e">
        <f>IF(AX$1,SUMIFS('BalSht Data'!$H$2:$H$2050,'BalSht Data'!$G$2:$G$2050,$A40,'BalSht Data'!$A$2:$A$2050,AX$1),#N/A)</f>
        <v>#N/A</v>
      </c>
      <c r="AY40" s="45" t="e">
        <f>IF(AY$1,SUMIFS('BalSht Data'!$H$2:$H$2050,'BalSht Data'!$G$2:$G$2050,$A40,'BalSht Data'!$A$2:$A$2050,AY$1),#N/A)</f>
        <v>#N/A</v>
      </c>
      <c r="AZ40" s="45" t="e">
        <f>IF(AZ$1,SUMIFS('BalSht Data'!$H$2:$H$2050,'BalSht Data'!$G$2:$G$2050,$A40,'BalSht Data'!$A$2:$A$2050,AZ$1),#N/A)</f>
        <v>#N/A</v>
      </c>
      <c r="BA40" s="45" t="e">
        <f>IF(BA$1,SUMIFS('BalSht Data'!$H$2:$H$2050,'BalSht Data'!$G$2:$G$2050,$A40,'BalSht Data'!$A$2:$A$2050,BA$1),#N/A)</f>
        <v>#N/A</v>
      </c>
      <c r="BB40" s="45" t="e">
        <f>IF(BB$1,SUMIFS('BalSht Data'!$H$2:$H$2050,'BalSht Data'!$G$2:$G$2050,$A40,'BalSht Data'!$A$2:$A$2050,BB$1),#N/A)</f>
        <v>#N/A</v>
      </c>
      <c r="BC40" s="45" t="e">
        <f>IF(BC$1,SUMIFS('BalSht Data'!$H$2:$H$2050,'BalSht Data'!$G$2:$G$2050,$A40,'BalSht Data'!$A$2:$A$2050,BC$1),#N/A)</f>
        <v>#N/A</v>
      </c>
      <c r="BD40" s="45" t="e">
        <f>IF(BD$1,SUMIFS('BalSht Data'!$H$2:$H$2050,'BalSht Data'!$G$2:$G$2050,$A40,'BalSht Data'!$A$2:$A$2050,BD$1),#N/A)</f>
        <v>#N/A</v>
      </c>
      <c r="BE40" s="45" t="e">
        <f>IF(BE$1,SUMIFS('BalSht Data'!$H$2:$H$2050,'BalSht Data'!$G$2:$G$2050,$A40,'BalSht Data'!$A$2:$A$2050,BE$1),#N/A)</f>
        <v>#N/A</v>
      </c>
      <c r="BF40" s="45" t="e">
        <f>IF(BF$1,SUMIFS('BalSht Data'!$H$2:$H$2050,'BalSht Data'!$G$2:$G$2050,$A40,'BalSht Data'!$A$2:$A$2050,BF$1),#N/A)</f>
        <v>#N/A</v>
      </c>
      <c r="BG40" s="45" t="e">
        <f>IF(BG$1,SUMIFS('BalSht Data'!$H$2:$H$2050,'BalSht Data'!$G$2:$G$2050,$A40,'BalSht Data'!$A$2:$A$2050,BG$1),#N/A)</f>
        <v>#N/A</v>
      </c>
      <c r="BH40" s="45" t="e">
        <f>IF(BH$1,SUMIFS('BalSht Data'!$H$2:$H$2050,'BalSht Data'!$G$2:$G$2050,$A40,'BalSht Data'!$A$2:$A$2050,BH$1),#N/A)</f>
        <v>#N/A</v>
      </c>
      <c r="BI40" s="45" t="e">
        <f>IF(BI$1,SUMIFS('BalSht Data'!$H$2:$H$2050,'BalSht Data'!$G$2:$G$2050,$A40,'BalSht Data'!$A$2:$A$2050,BI$1),#N/A)</f>
        <v>#N/A</v>
      </c>
      <c r="BJ40" s="45" t="e">
        <f>IF(BJ$1,SUMIFS('BalSht Data'!$H$2:$H$2050,'BalSht Data'!$G$2:$G$2050,$A40,'BalSht Data'!$A$2:$A$2050,BJ$1),#N/A)</f>
        <v>#N/A</v>
      </c>
      <c r="BK40" s="45" t="e">
        <f>IF(BK$1,SUMIFS('BalSht Data'!$H$2:$H$2050,'BalSht Data'!$G$2:$G$2050,$A40,'BalSht Data'!$A$2:$A$2050,BK$1),#N/A)</f>
        <v>#N/A</v>
      </c>
      <c r="BL40" s="45" t="e">
        <f>IF(BL$1,SUMIFS('BalSht Data'!$H$2:$H$2050,'BalSht Data'!$G$2:$G$2050,$A40,'BalSht Data'!$A$2:$A$2050,BL$1),#N/A)</f>
        <v>#N/A</v>
      </c>
      <c r="BM40" s="45" t="e">
        <f>IF(BM$1,SUMIFS('BalSht Data'!$H$2:$H$2050,'BalSht Data'!$G$2:$G$2050,$A40,'BalSht Data'!$A$2:$A$2050,BM$1),#N/A)</f>
        <v>#N/A</v>
      </c>
      <c r="BN40" s="45" t="e">
        <f>IF(BN$1,SUMIFS('BalSht Data'!$H$2:$H$2050,'BalSht Data'!$G$2:$G$2050,$A40,'BalSht Data'!$A$2:$A$2050,BN$1),#N/A)</f>
        <v>#N/A</v>
      </c>
      <c r="BO40" s="45" t="e">
        <f>IF(BO$1,SUMIFS('BalSht Data'!$H$2:$H$2050,'BalSht Data'!$G$2:$G$2050,$A40,'BalSht Data'!$A$2:$A$2050,BO$1),#N/A)</f>
        <v>#N/A</v>
      </c>
      <c r="BP40" s="45" t="e">
        <f>IF(BP$1,SUMIFS('BalSht Data'!$H$2:$H$2050,'BalSht Data'!$G$2:$G$2050,$A40,'BalSht Data'!$A$2:$A$2050,BP$1),#N/A)</f>
        <v>#N/A</v>
      </c>
      <c r="BQ40" s="45" t="e">
        <f>IF(BQ$1,SUMIFS('BalSht Data'!$H$2:$H$2050,'BalSht Data'!$G$2:$G$2050,$A40,'BalSht Data'!$A$2:$A$2050,BQ$1),#N/A)</f>
        <v>#N/A</v>
      </c>
      <c r="BR40" s="45" t="e">
        <f>IF(BR$1,SUMIFS('BalSht Data'!$H$2:$H$2050,'BalSht Data'!$G$2:$G$2050,$A40,'BalSht Data'!$A$2:$A$2050,BR$1),#N/A)</f>
        <v>#N/A</v>
      </c>
      <c r="BS40" s="45" t="e">
        <f>IF(BS$1,SUMIFS('BalSht Data'!$H$2:$H$2050,'BalSht Data'!$G$2:$G$2050,$A40,'BalSht Data'!$A$2:$A$2050,BS$1),#N/A)</f>
        <v>#N/A</v>
      </c>
      <c r="BT40" s="45" t="e">
        <f>IF(BT$1,SUMIFS('BalSht Data'!$H$2:$H$2050,'BalSht Data'!$G$2:$G$2050,$A40,'BalSht Data'!$A$2:$A$2050,BT$1),#N/A)</f>
        <v>#N/A</v>
      </c>
      <c r="BU40" s="45" t="e">
        <f>IF(BU$1,SUMIFS('BalSht Data'!$H$2:$H$2050,'BalSht Data'!$G$2:$G$2050,$A40,'BalSht Data'!$A$2:$A$2050,BU$1),#N/A)</f>
        <v>#N/A</v>
      </c>
      <c r="BV40" s="45" t="e">
        <f>IF(BV$1,SUMIFS('BalSht Data'!$H$2:$H$2050,'BalSht Data'!$G$2:$G$2050,$A40,'BalSht Data'!$A$2:$A$2050,BV$1),#N/A)</f>
        <v>#N/A</v>
      </c>
      <c r="BW40" s="45" t="e">
        <f>IF(BW$1,SUMIFS('BalSht Data'!$H$2:$H$2050,'BalSht Data'!$G$2:$G$2050,$A40,'BalSht Data'!$A$2:$A$2050,BW$1),#N/A)</f>
        <v>#N/A</v>
      </c>
      <c r="BX40" s="45" t="e">
        <f>IF(BX$1,SUMIFS('BalSht Data'!$H$2:$H$2050,'BalSht Data'!$G$2:$G$2050,$A40,'BalSht Data'!$A$2:$A$2050,BX$1),#N/A)</f>
        <v>#N/A</v>
      </c>
      <c r="BY40" s="45" t="e">
        <f>IF(BY$1,SUMIFS('BalSht Data'!$H$2:$H$2050,'BalSht Data'!$G$2:$G$2050,$A40,'BalSht Data'!$A$2:$A$2050,BY$1),#N/A)</f>
        <v>#N/A</v>
      </c>
      <c r="BZ40" s="45" t="e">
        <f>IF(BZ$1,SUMIFS('BalSht Data'!$H$2:$H$2050,'BalSht Data'!$G$2:$G$2050,$A40,'BalSht Data'!$A$2:$A$2050,BZ$1),#N/A)</f>
        <v>#N/A</v>
      </c>
      <c r="CA40" s="45" t="e">
        <f>IF(CA$1,SUMIFS('BalSht Data'!$H$2:$H$2050,'BalSht Data'!$G$2:$G$2050,$A40,'BalSht Data'!$A$2:$A$2050,CA$1),#N/A)</f>
        <v>#N/A</v>
      </c>
      <c r="CB40" s="45" t="e">
        <f>IF(CB$1,SUMIFS('BalSht Data'!$H$2:$H$2050,'BalSht Data'!$G$2:$G$2050,$A40,'BalSht Data'!$A$2:$A$2050,CB$1),#N/A)</f>
        <v>#N/A</v>
      </c>
      <c r="CC40" s="45" t="e">
        <f>IF(CC$1,SUMIFS('BalSht Data'!$H$2:$H$2050,'BalSht Data'!$G$2:$G$2050,$A40,'BalSht Data'!$A$2:$A$2050,CC$1),#N/A)</f>
        <v>#N/A</v>
      </c>
      <c r="CD40" s="45" t="e">
        <f>IF(CD$1,SUMIFS('BalSht Data'!$H$2:$H$2050,'BalSht Data'!$G$2:$G$2050,$A40,'BalSht Data'!$A$2:$A$2050,CD$1),#N/A)</f>
        <v>#N/A</v>
      </c>
      <c r="CE40" s="45" t="e">
        <f>IF(CE$1,SUMIFS('BalSht Data'!$H$2:$H$2050,'BalSht Data'!$G$2:$G$2050,$A40,'BalSht Data'!$A$2:$A$2050,CE$1),#N/A)</f>
        <v>#N/A</v>
      </c>
      <c r="CF40" s="45" t="e">
        <f>IF(CF$1,SUMIFS('BalSht Data'!$H$2:$H$2050,'BalSht Data'!$G$2:$G$2050,$A40,'BalSht Data'!$A$2:$A$2050,CF$1),#N/A)</f>
        <v>#N/A</v>
      </c>
      <c r="CG40" s="45" t="e">
        <f>IF(CG$1,SUMIFS('BalSht Data'!$H$2:$H$2050,'BalSht Data'!$G$2:$G$2050,$A40,'BalSht Data'!$A$2:$A$2050,CG$1),#N/A)</f>
        <v>#N/A</v>
      </c>
      <c r="CH40" s="45" t="e">
        <f>IF(CH$1,SUMIFS('BalSht Data'!$H$2:$H$2050,'BalSht Data'!$G$2:$G$2050,$A40,'BalSht Data'!$A$2:$A$2050,CH$1),#N/A)</f>
        <v>#N/A</v>
      </c>
      <c r="CI40" s="45" t="e">
        <f>IF(CI$1,SUMIFS('BalSht Data'!$H$2:$H$2050,'BalSht Data'!$G$2:$G$2050,$A40,'BalSht Data'!$A$2:$A$2050,CI$1),#N/A)</f>
        <v>#N/A</v>
      </c>
      <c r="CJ40" s="45" t="e">
        <f>IF(CJ$1,SUMIFS('BalSht Data'!$H$2:$H$2050,'BalSht Data'!$G$2:$G$2050,$A40,'BalSht Data'!$A$2:$A$2050,CJ$1),#N/A)</f>
        <v>#N/A</v>
      </c>
      <c r="CK40" s="45" t="e">
        <f>IF(CK$1,SUMIFS('BalSht Data'!$H$2:$H$2050,'BalSht Data'!$G$2:$G$2050,$A40,'BalSht Data'!$A$2:$A$2050,CK$1),#N/A)</f>
        <v>#N/A</v>
      </c>
      <c r="CL40" s="45" t="e">
        <f>IF(CL$1,SUMIFS('BalSht Data'!$H$2:$H$2050,'BalSht Data'!$G$2:$G$2050,$A40,'BalSht Data'!$A$2:$A$2050,CL$1),#N/A)</f>
        <v>#N/A</v>
      </c>
      <c r="CM40" s="45" t="e">
        <f>IF(CM$1,SUMIFS('BalSht Data'!$H$2:$H$2050,'BalSht Data'!$G$2:$G$2050,$A40,'BalSht Data'!$A$2:$A$2050,CM$1),#N/A)</f>
        <v>#N/A</v>
      </c>
      <c r="CN40" s="45" t="e">
        <f>IF(CN$1,SUMIFS('BalSht Data'!$H$2:$H$2050,'BalSht Data'!$G$2:$G$2050,$A40,'BalSht Data'!$A$2:$A$2050,CN$1),#N/A)</f>
        <v>#N/A</v>
      </c>
      <c r="CO40" s="45" t="e">
        <f>IF(CO$1,SUMIFS('BalSht Data'!$H$2:$H$2050,'BalSht Data'!$G$2:$G$2050,$A40,'BalSht Data'!$A$2:$A$2050,CO$1),#N/A)</f>
        <v>#N/A</v>
      </c>
      <c r="CP40" s="45" t="e">
        <f>IF(CP$1,SUMIFS('BalSht Data'!$H$2:$H$2050,'BalSht Data'!$G$2:$G$2050,$A40,'BalSht Data'!$A$2:$A$2050,CP$1),#N/A)</f>
        <v>#N/A</v>
      </c>
      <c r="CQ40" s="45" t="e">
        <f>IF(CQ$1,SUMIFS('BalSht Data'!$H$2:$H$2050,'BalSht Data'!$G$2:$G$2050,$A40,'BalSht Data'!$A$2:$A$2050,CQ$1),#N/A)</f>
        <v>#N/A</v>
      </c>
      <c r="CR40" s="45" t="e">
        <f>IF(CR$1,SUMIFS('BalSht Data'!$H$2:$H$2050,'BalSht Data'!$G$2:$G$2050,$A40,'BalSht Data'!$A$2:$A$2050,CR$1),#N/A)</f>
        <v>#N/A</v>
      </c>
      <c r="CS40" s="45" t="e">
        <f>IF(CS$1,SUMIFS('BalSht Data'!$H$2:$H$2050,'BalSht Data'!$G$2:$G$2050,$A40,'BalSht Data'!$A$2:$A$2050,CS$1),#N/A)</f>
        <v>#N/A</v>
      </c>
      <c r="CT40" s="45" t="e">
        <f>IF(CT$1,SUMIFS('BalSht Data'!$H$2:$H$2050,'BalSht Data'!$G$2:$G$2050,$A40,'BalSht Data'!$A$2:$A$2050,CT$1),#N/A)</f>
        <v>#N/A</v>
      </c>
      <c r="CU40" s="45" t="e">
        <f>IF(CU$1,SUMIFS('BalSht Data'!$H$2:$H$2050,'BalSht Data'!$G$2:$G$2050,$A40,'BalSht Data'!$A$2:$A$2050,CU$1),#N/A)</f>
        <v>#N/A</v>
      </c>
      <c r="CV40" s="45" t="e">
        <f>IF(CV$1,SUMIFS('BalSht Data'!$H$2:$H$2050,'BalSht Data'!$G$2:$G$2050,$A40,'BalSht Data'!$A$2:$A$2050,CV$1),#N/A)</f>
        <v>#N/A</v>
      </c>
      <c r="CW40" s="45" t="e">
        <f>IF(CW$1,SUMIFS('BalSht Data'!$H$2:$H$2050,'BalSht Data'!$G$2:$G$2050,$A40,'BalSht Data'!$A$2:$A$2050,CW$1),#N/A)</f>
        <v>#N/A</v>
      </c>
      <c r="CX40" s="45" t="e">
        <f>IF(CX$1,SUMIFS('BalSht Data'!$H$2:$H$2050,'BalSht Data'!$G$2:$G$2050,$A40,'BalSht Data'!$A$2:$A$2050,CX$1),#N/A)</f>
        <v>#N/A</v>
      </c>
      <c r="CY40" s="45" t="e">
        <f>IF(CY$1,SUMIFS('BalSht Data'!$H$2:$H$2050,'BalSht Data'!$G$2:$G$2050,$A40,'BalSht Data'!$A$2:$A$2050,CY$1),#N/A)</f>
        <v>#N/A</v>
      </c>
      <c r="CZ40" s="45" t="e">
        <f>IF(CZ$1,SUMIFS('BalSht Data'!$H$2:$H$2050,'BalSht Data'!$G$2:$G$2050,$A40,'BalSht Data'!$A$2:$A$2050,CZ$1),#N/A)</f>
        <v>#N/A</v>
      </c>
      <c r="DA40" s="45"/>
      <c r="DB40" s="45"/>
    </row>
    <row r="41" spans="1:106" s="44" customFormat="1" x14ac:dyDescent="0.2">
      <c r="A41" s="57" t="s">
        <v>30</v>
      </c>
      <c r="B41" s="45" t="e">
        <f>IF(B$1,SUMIFS('BalSht Data'!$H$2:$H$2050,'BalSht Data'!$G$2:$G$2050,$A41,'BalSht Data'!$A$2:$A$2050,B$1),#N/A)</f>
        <v>#N/A</v>
      </c>
      <c r="C41" s="45" t="e">
        <f>IF(C$1,SUMIFS('BalSht Data'!$H$2:$H$2050,'BalSht Data'!$G$2:$G$2050,$A41,'BalSht Data'!$A$2:$A$2050,C$1),#N/A)</f>
        <v>#N/A</v>
      </c>
      <c r="D41" s="45" t="e">
        <f>IF(D$1,SUMIFS('BalSht Data'!$H$2:$H$2050,'BalSht Data'!$G$2:$G$2050,$A41,'BalSht Data'!$A$2:$A$2050,D$1),#N/A)</f>
        <v>#N/A</v>
      </c>
      <c r="E41" s="45" t="e">
        <f>IF(E$1,SUMIFS('BalSht Data'!$H$2:$H$2050,'BalSht Data'!$G$2:$G$2050,$A41,'BalSht Data'!$A$2:$A$2050,E$1),#N/A)</f>
        <v>#N/A</v>
      </c>
      <c r="F41" s="45" t="e">
        <f>IF(F$1,SUMIFS('BalSht Data'!$H$2:$H$2050,'BalSht Data'!$G$2:$G$2050,$A41,'BalSht Data'!$A$2:$A$2050,F$1),#N/A)</f>
        <v>#N/A</v>
      </c>
      <c r="G41" s="45" t="e">
        <f>IF(G$1,SUMIFS('BalSht Data'!$H$2:$H$2050,'BalSht Data'!$G$2:$G$2050,$A41,'BalSht Data'!$A$2:$A$2050,G$1),#N/A)</f>
        <v>#N/A</v>
      </c>
      <c r="H41" s="45" t="e">
        <f>IF(H$1,SUMIFS('BalSht Data'!$H$2:$H$2050,'BalSht Data'!$G$2:$G$2050,$A41,'BalSht Data'!$A$2:$A$2050,H$1),#N/A)</f>
        <v>#N/A</v>
      </c>
      <c r="I41" s="45" t="e">
        <f>IF(I$1,SUMIFS('BalSht Data'!$H$2:$H$2050,'BalSht Data'!$G$2:$G$2050,$A41,'BalSht Data'!$A$2:$A$2050,I$1),#N/A)</f>
        <v>#N/A</v>
      </c>
      <c r="J41" s="45" t="e">
        <f>IF(J$1,SUMIFS('BalSht Data'!$H$2:$H$2050,'BalSht Data'!$G$2:$G$2050,$A41,'BalSht Data'!$A$2:$A$2050,J$1),#N/A)</f>
        <v>#N/A</v>
      </c>
      <c r="K41" s="45" t="e">
        <f>IF(K$1,SUMIFS('BalSht Data'!$H$2:$H$2050,'BalSht Data'!$G$2:$G$2050,$A41,'BalSht Data'!$A$2:$A$2050,K$1),#N/A)</f>
        <v>#N/A</v>
      </c>
      <c r="L41" s="45" t="e">
        <f>IF(L$1,SUMIFS('BalSht Data'!$H$2:$H$2050,'BalSht Data'!$G$2:$G$2050,$A41,'BalSht Data'!$A$2:$A$2050,L$1),#N/A)</f>
        <v>#N/A</v>
      </c>
      <c r="M41" s="45" t="e">
        <f>IF(M$1,SUMIFS('BalSht Data'!$H$2:$H$2050,'BalSht Data'!$G$2:$G$2050,$A41,'BalSht Data'!$A$2:$A$2050,M$1),#N/A)</f>
        <v>#N/A</v>
      </c>
      <c r="N41" s="45" t="e">
        <f>IF(N$1,SUMIFS('BalSht Data'!$H$2:$H$2050,'BalSht Data'!$G$2:$G$2050,$A41,'BalSht Data'!$A$2:$A$2050,N$1),#N/A)</f>
        <v>#N/A</v>
      </c>
      <c r="O41" s="45" t="e">
        <f>IF(O$1,SUMIFS('BalSht Data'!$H$2:$H$2050,'BalSht Data'!$G$2:$G$2050,$A41,'BalSht Data'!$A$2:$A$2050,O$1),#N/A)</f>
        <v>#N/A</v>
      </c>
      <c r="P41" s="45" t="e">
        <f>IF(P$1,SUMIFS('BalSht Data'!$H$2:$H$2050,'BalSht Data'!$G$2:$G$2050,$A41,'BalSht Data'!$A$2:$A$2050,P$1),#N/A)</f>
        <v>#N/A</v>
      </c>
      <c r="Q41" s="45" t="e">
        <f>IF(Q$1,SUMIFS('BalSht Data'!$H$2:$H$2050,'BalSht Data'!$G$2:$G$2050,$A41,'BalSht Data'!$A$2:$A$2050,Q$1),#N/A)</f>
        <v>#N/A</v>
      </c>
      <c r="R41" s="45" t="e">
        <f>IF(R$1,SUMIFS('BalSht Data'!$H$2:$H$2050,'BalSht Data'!$G$2:$G$2050,$A41,'BalSht Data'!$A$2:$A$2050,R$1),#N/A)</f>
        <v>#N/A</v>
      </c>
      <c r="S41" s="45" t="e">
        <f>IF(S$1,SUMIFS('BalSht Data'!$H$2:$H$2050,'BalSht Data'!$G$2:$G$2050,$A41,'BalSht Data'!$A$2:$A$2050,S$1),#N/A)</f>
        <v>#N/A</v>
      </c>
      <c r="T41" s="45" t="e">
        <f>IF(T$1,SUMIFS('BalSht Data'!$H$2:$H$2050,'BalSht Data'!$G$2:$G$2050,$A41,'BalSht Data'!$A$2:$A$2050,T$1),#N/A)</f>
        <v>#N/A</v>
      </c>
      <c r="U41" s="45" t="e">
        <f>IF(U$1,SUMIFS('BalSht Data'!$H$2:$H$2050,'BalSht Data'!$G$2:$G$2050,$A41,'BalSht Data'!$A$2:$A$2050,U$1),#N/A)</f>
        <v>#N/A</v>
      </c>
      <c r="V41" s="45" t="e">
        <f>IF(V$1,SUMIFS('BalSht Data'!$H$2:$H$2050,'BalSht Data'!$G$2:$G$2050,$A41,'BalSht Data'!$A$2:$A$2050,V$1),#N/A)</f>
        <v>#N/A</v>
      </c>
      <c r="W41" s="45" t="e">
        <f>IF(W$1,SUMIFS('BalSht Data'!$H$2:$H$2050,'BalSht Data'!$G$2:$G$2050,$A41,'BalSht Data'!$A$2:$A$2050,W$1),#N/A)</f>
        <v>#N/A</v>
      </c>
      <c r="X41" s="45" t="e">
        <f>IF(X$1,SUMIFS('BalSht Data'!$H$2:$H$2050,'BalSht Data'!$G$2:$G$2050,$A41,'BalSht Data'!$A$2:$A$2050,X$1),#N/A)</f>
        <v>#N/A</v>
      </c>
      <c r="Y41" s="45" t="e">
        <f>IF(Y$1,SUMIFS('BalSht Data'!$H$2:$H$2050,'BalSht Data'!$G$2:$G$2050,$A41,'BalSht Data'!$A$2:$A$2050,Y$1),#N/A)</f>
        <v>#N/A</v>
      </c>
      <c r="Z41" s="45" t="e">
        <f>IF(Z$1,SUMIFS('BalSht Data'!$H$2:$H$2050,'BalSht Data'!$G$2:$G$2050,$A41,'BalSht Data'!$A$2:$A$2050,Z$1),#N/A)</f>
        <v>#N/A</v>
      </c>
      <c r="AA41" s="45" t="e">
        <f>IF(AA$1,SUMIFS('BalSht Data'!$H$2:$H$2050,'BalSht Data'!$G$2:$G$2050,$A41,'BalSht Data'!$A$2:$A$2050,AA$1),#N/A)</f>
        <v>#N/A</v>
      </c>
      <c r="AB41" s="45" t="e">
        <f>IF(AB$1,SUMIFS('BalSht Data'!$H$2:$H$2050,'BalSht Data'!$G$2:$G$2050,$A41,'BalSht Data'!$A$2:$A$2050,AB$1),#N/A)</f>
        <v>#N/A</v>
      </c>
      <c r="AC41" s="45" t="e">
        <f>IF(AC$1,SUMIFS('BalSht Data'!$H$2:$H$2050,'BalSht Data'!$G$2:$G$2050,$A41,'BalSht Data'!$A$2:$A$2050,AC$1),#N/A)</f>
        <v>#N/A</v>
      </c>
      <c r="AD41" s="45" t="e">
        <f>IF(AD$1,SUMIFS('BalSht Data'!$H$2:$H$2050,'BalSht Data'!$G$2:$G$2050,$A41,'BalSht Data'!$A$2:$A$2050,AD$1),#N/A)</f>
        <v>#N/A</v>
      </c>
      <c r="AE41" s="45" t="e">
        <f>IF(AE$1,SUMIFS('BalSht Data'!$H$2:$H$2050,'BalSht Data'!$G$2:$G$2050,$A41,'BalSht Data'!$A$2:$A$2050,AE$1),#N/A)</f>
        <v>#N/A</v>
      </c>
      <c r="AF41" s="45" t="e">
        <f>IF(AF$1,SUMIFS('BalSht Data'!$H$2:$H$2050,'BalSht Data'!$G$2:$G$2050,$A41,'BalSht Data'!$A$2:$A$2050,AF$1),#N/A)</f>
        <v>#N/A</v>
      </c>
      <c r="AG41" s="45" t="e">
        <f>IF(AG$1,SUMIFS('BalSht Data'!$H$2:$H$2050,'BalSht Data'!$G$2:$G$2050,$A41,'BalSht Data'!$A$2:$A$2050,AG$1),#N/A)</f>
        <v>#N/A</v>
      </c>
      <c r="AH41" s="45" t="e">
        <f>IF(AH$1,SUMIFS('BalSht Data'!$H$2:$H$2050,'BalSht Data'!$G$2:$G$2050,$A41,'BalSht Data'!$A$2:$A$2050,AH$1),#N/A)</f>
        <v>#N/A</v>
      </c>
      <c r="AI41" s="45" t="e">
        <f>IF(AI$1,SUMIFS('BalSht Data'!$H$2:$H$2050,'BalSht Data'!$G$2:$G$2050,$A41,'BalSht Data'!$A$2:$A$2050,AI$1),#N/A)</f>
        <v>#N/A</v>
      </c>
      <c r="AJ41" s="45" t="e">
        <f>IF(AJ$1,SUMIFS('BalSht Data'!$H$2:$H$2050,'BalSht Data'!$G$2:$G$2050,$A41,'BalSht Data'!$A$2:$A$2050,AJ$1),#N/A)</f>
        <v>#N/A</v>
      </c>
      <c r="AK41" s="45" t="e">
        <f>IF(AK$1,SUMIFS('BalSht Data'!$H$2:$H$2050,'BalSht Data'!$G$2:$G$2050,$A41,'BalSht Data'!$A$2:$A$2050,AK$1),#N/A)</f>
        <v>#N/A</v>
      </c>
      <c r="AL41" s="45" t="e">
        <f>IF(AL$1,SUMIFS('BalSht Data'!$H$2:$H$2050,'BalSht Data'!$G$2:$G$2050,$A41,'BalSht Data'!$A$2:$A$2050,AL$1),#N/A)</f>
        <v>#N/A</v>
      </c>
      <c r="AM41" s="45" t="e">
        <f>IF(AM$1,SUMIFS('BalSht Data'!$H$2:$H$2050,'BalSht Data'!$G$2:$G$2050,$A41,'BalSht Data'!$A$2:$A$2050,AM$1),#N/A)</f>
        <v>#N/A</v>
      </c>
      <c r="AN41" s="45" t="e">
        <f>IF(AN$1,SUMIFS('BalSht Data'!$H$2:$H$2050,'BalSht Data'!$G$2:$G$2050,$A41,'BalSht Data'!$A$2:$A$2050,AN$1),#N/A)</f>
        <v>#N/A</v>
      </c>
      <c r="AO41" s="45" t="e">
        <f>IF(AO$1,SUMIFS('BalSht Data'!$H$2:$H$2050,'BalSht Data'!$G$2:$G$2050,$A41,'BalSht Data'!$A$2:$A$2050,AO$1),#N/A)</f>
        <v>#N/A</v>
      </c>
      <c r="AP41" s="45" t="e">
        <f>IF(AP$1,SUMIFS('BalSht Data'!$H$2:$H$2050,'BalSht Data'!$G$2:$G$2050,$A41,'BalSht Data'!$A$2:$A$2050,AP$1),#N/A)</f>
        <v>#N/A</v>
      </c>
      <c r="AQ41" s="45" t="e">
        <f>IF(AQ$1,SUMIFS('BalSht Data'!$H$2:$H$2050,'BalSht Data'!$G$2:$G$2050,$A41,'BalSht Data'!$A$2:$A$2050,AQ$1),#N/A)</f>
        <v>#N/A</v>
      </c>
      <c r="AR41" s="45" t="e">
        <f>IF(AR$1,SUMIFS('BalSht Data'!$H$2:$H$2050,'BalSht Data'!$G$2:$G$2050,$A41,'BalSht Data'!$A$2:$A$2050,AR$1),#N/A)</f>
        <v>#N/A</v>
      </c>
      <c r="AS41" s="45" t="e">
        <f>IF(AS$1,SUMIFS('BalSht Data'!$H$2:$H$2050,'BalSht Data'!$G$2:$G$2050,$A41,'BalSht Data'!$A$2:$A$2050,AS$1),#N/A)</f>
        <v>#N/A</v>
      </c>
      <c r="AT41" s="45" t="e">
        <f>IF(AT$1,SUMIFS('BalSht Data'!$H$2:$H$2050,'BalSht Data'!$G$2:$G$2050,$A41,'BalSht Data'!$A$2:$A$2050,AT$1),#N/A)</f>
        <v>#N/A</v>
      </c>
      <c r="AU41" s="45" t="e">
        <f>IF(AU$1,SUMIFS('BalSht Data'!$H$2:$H$2050,'BalSht Data'!$G$2:$G$2050,$A41,'BalSht Data'!$A$2:$A$2050,AU$1),#N/A)</f>
        <v>#N/A</v>
      </c>
      <c r="AV41" s="45" t="e">
        <f>IF(AV$1,SUMIFS('BalSht Data'!$H$2:$H$2050,'BalSht Data'!$G$2:$G$2050,$A41,'BalSht Data'!$A$2:$A$2050,AV$1),#N/A)</f>
        <v>#N/A</v>
      </c>
      <c r="AW41" s="45" t="e">
        <f>IF(AW$1,SUMIFS('BalSht Data'!$H$2:$H$2050,'BalSht Data'!$G$2:$G$2050,$A41,'BalSht Data'!$A$2:$A$2050,AW$1),#N/A)</f>
        <v>#N/A</v>
      </c>
      <c r="AX41" s="45" t="e">
        <f>IF(AX$1,SUMIFS('BalSht Data'!$H$2:$H$2050,'BalSht Data'!$G$2:$G$2050,$A41,'BalSht Data'!$A$2:$A$2050,AX$1),#N/A)</f>
        <v>#N/A</v>
      </c>
      <c r="AY41" s="45" t="e">
        <f>IF(AY$1,SUMIFS('BalSht Data'!$H$2:$H$2050,'BalSht Data'!$G$2:$G$2050,$A41,'BalSht Data'!$A$2:$A$2050,AY$1),#N/A)</f>
        <v>#N/A</v>
      </c>
      <c r="AZ41" s="45" t="e">
        <f>IF(AZ$1,SUMIFS('BalSht Data'!$H$2:$H$2050,'BalSht Data'!$G$2:$G$2050,$A41,'BalSht Data'!$A$2:$A$2050,AZ$1),#N/A)</f>
        <v>#N/A</v>
      </c>
      <c r="BA41" s="45" t="e">
        <f>IF(BA$1,SUMIFS('BalSht Data'!$H$2:$H$2050,'BalSht Data'!$G$2:$G$2050,$A41,'BalSht Data'!$A$2:$A$2050,BA$1),#N/A)</f>
        <v>#N/A</v>
      </c>
      <c r="BB41" s="45" t="e">
        <f>IF(BB$1,SUMIFS('BalSht Data'!$H$2:$H$2050,'BalSht Data'!$G$2:$G$2050,$A41,'BalSht Data'!$A$2:$A$2050,BB$1),#N/A)</f>
        <v>#N/A</v>
      </c>
      <c r="BC41" s="45" t="e">
        <f>IF(BC$1,SUMIFS('BalSht Data'!$H$2:$H$2050,'BalSht Data'!$G$2:$G$2050,$A41,'BalSht Data'!$A$2:$A$2050,BC$1),#N/A)</f>
        <v>#N/A</v>
      </c>
      <c r="BD41" s="45" t="e">
        <f>IF(BD$1,SUMIFS('BalSht Data'!$H$2:$H$2050,'BalSht Data'!$G$2:$G$2050,$A41,'BalSht Data'!$A$2:$A$2050,BD$1),#N/A)</f>
        <v>#N/A</v>
      </c>
      <c r="BE41" s="45" t="e">
        <f>IF(BE$1,SUMIFS('BalSht Data'!$H$2:$H$2050,'BalSht Data'!$G$2:$G$2050,$A41,'BalSht Data'!$A$2:$A$2050,BE$1),#N/A)</f>
        <v>#N/A</v>
      </c>
      <c r="BF41" s="45" t="e">
        <f>IF(BF$1,SUMIFS('BalSht Data'!$H$2:$H$2050,'BalSht Data'!$G$2:$G$2050,$A41,'BalSht Data'!$A$2:$A$2050,BF$1),#N/A)</f>
        <v>#N/A</v>
      </c>
      <c r="BG41" s="45" t="e">
        <f>IF(BG$1,SUMIFS('BalSht Data'!$H$2:$H$2050,'BalSht Data'!$G$2:$G$2050,$A41,'BalSht Data'!$A$2:$A$2050,BG$1),#N/A)</f>
        <v>#N/A</v>
      </c>
      <c r="BH41" s="45" t="e">
        <f>IF(BH$1,SUMIFS('BalSht Data'!$H$2:$H$2050,'BalSht Data'!$G$2:$G$2050,$A41,'BalSht Data'!$A$2:$A$2050,BH$1),#N/A)</f>
        <v>#N/A</v>
      </c>
      <c r="BI41" s="45" t="e">
        <f>IF(BI$1,SUMIFS('BalSht Data'!$H$2:$H$2050,'BalSht Data'!$G$2:$G$2050,$A41,'BalSht Data'!$A$2:$A$2050,BI$1),#N/A)</f>
        <v>#N/A</v>
      </c>
      <c r="BJ41" s="45" t="e">
        <f>IF(BJ$1,SUMIFS('BalSht Data'!$H$2:$H$2050,'BalSht Data'!$G$2:$G$2050,$A41,'BalSht Data'!$A$2:$A$2050,BJ$1),#N/A)</f>
        <v>#N/A</v>
      </c>
      <c r="BK41" s="45" t="e">
        <f>IF(BK$1,SUMIFS('BalSht Data'!$H$2:$H$2050,'BalSht Data'!$G$2:$G$2050,$A41,'BalSht Data'!$A$2:$A$2050,BK$1),#N/A)</f>
        <v>#N/A</v>
      </c>
      <c r="BL41" s="45" t="e">
        <f>IF(BL$1,SUMIFS('BalSht Data'!$H$2:$H$2050,'BalSht Data'!$G$2:$G$2050,$A41,'BalSht Data'!$A$2:$A$2050,BL$1),#N/A)</f>
        <v>#N/A</v>
      </c>
      <c r="BM41" s="45" t="e">
        <f>IF(BM$1,SUMIFS('BalSht Data'!$H$2:$H$2050,'BalSht Data'!$G$2:$G$2050,$A41,'BalSht Data'!$A$2:$A$2050,BM$1),#N/A)</f>
        <v>#N/A</v>
      </c>
      <c r="BN41" s="45" t="e">
        <f>IF(BN$1,SUMIFS('BalSht Data'!$H$2:$H$2050,'BalSht Data'!$G$2:$G$2050,$A41,'BalSht Data'!$A$2:$A$2050,BN$1),#N/A)</f>
        <v>#N/A</v>
      </c>
      <c r="BO41" s="45" t="e">
        <f>IF(BO$1,SUMIFS('BalSht Data'!$H$2:$H$2050,'BalSht Data'!$G$2:$G$2050,$A41,'BalSht Data'!$A$2:$A$2050,BO$1),#N/A)</f>
        <v>#N/A</v>
      </c>
      <c r="BP41" s="45" t="e">
        <f>IF(BP$1,SUMIFS('BalSht Data'!$H$2:$H$2050,'BalSht Data'!$G$2:$G$2050,$A41,'BalSht Data'!$A$2:$A$2050,BP$1),#N/A)</f>
        <v>#N/A</v>
      </c>
      <c r="BQ41" s="45" t="e">
        <f>IF(BQ$1,SUMIFS('BalSht Data'!$H$2:$H$2050,'BalSht Data'!$G$2:$G$2050,$A41,'BalSht Data'!$A$2:$A$2050,BQ$1),#N/A)</f>
        <v>#N/A</v>
      </c>
      <c r="BR41" s="45" t="e">
        <f>IF(BR$1,SUMIFS('BalSht Data'!$H$2:$H$2050,'BalSht Data'!$G$2:$G$2050,$A41,'BalSht Data'!$A$2:$A$2050,BR$1),#N/A)</f>
        <v>#N/A</v>
      </c>
      <c r="BS41" s="45" t="e">
        <f>IF(BS$1,SUMIFS('BalSht Data'!$H$2:$H$2050,'BalSht Data'!$G$2:$G$2050,$A41,'BalSht Data'!$A$2:$A$2050,BS$1),#N/A)</f>
        <v>#N/A</v>
      </c>
      <c r="BT41" s="45" t="e">
        <f>IF(BT$1,SUMIFS('BalSht Data'!$H$2:$H$2050,'BalSht Data'!$G$2:$G$2050,$A41,'BalSht Data'!$A$2:$A$2050,BT$1),#N/A)</f>
        <v>#N/A</v>
      </c>
      <c r="BU41" s="45" t="e">
        <f>IF(BU$1,SUMIFS('BalSht Data'!$H$2:$H$2050,'BalSht Data'!$G$2:$G$2050,$A41,'BalSht Data'!$A$2:$A$2050,BU$1),#N/A)</f>
        <v>#N/A</v>
      </c>
      <c r="BV41" s="45" t="e">
        <f>IF(BV$1,SUMIFS('BalSht Data'!$H$2:$H$2050,'BalSht Data'!$G$2:$G$2050,$A41,'BalSht Data'!$A$2:$A$2050,BV$1),#N/A)</f>
        <v>#N/A</v>
      </c>
      <c r="BW41" s="45" t="e">
        <f>IF(BW$1,SUMIFS('BalSht Data'!$H$2:$H$2050,'BalSht Data'!$G$2:$G$2050,$A41,'BalSht Data'!$A$2:$A$2050,BW$1),#N/A)</f>
        <v>#N/A</v>
      </c>
      <c r="BX41" s="45" t="e">
        <f>IF(BX$1,SUMIFS('BalSht Data'!$H$2:$H$2050,'BalSht Data'!$G$2:$G$2050,$A41,'BalSht Data'!$A$2:$A$2050,BX$1),#N/A)</f>
        <v>#N/A</v>
      </c>
      <c r="BY41" s="45" t="e">
        <f>IF(BY$1,SUMIFS('BalSht Data'!$H$2:$H$2050,'BalSht Data'!$G$2:$G$2050,$A41,'BalSht Data'!$A$2:$A$2050,BY$1),#N/A)</f>
        <v>#N/A</v>
      </c>
      <c r="BZ41" s="45" t="e">
        <f>IF(BZ$1,SUMIFS('BalSht Data'!$H$2:$H$2050,'BalSht Data'!$G$2:$G$2050,$A41,'BalSht Data'!$A$2:$A$2050,BZ$1),#N/A)</f>
        <v>#N/A</v>
      </c>
      <c r="CA41" s="45" t="e">
        <f>IF(CA$1,SUMIFS('BalSht Data'!$H$2:$H$2050,'BalSht Data'!$G$2:$G$2050,$A41,'BalSht Data'!$A$2:$A$2050,CA$1),#N/A)</f>
        <v>#N/A</v>
      </c>
      <c r="CB41" s="45" t="e">
        <f>IF(CB$1,SUMIFS('BalSht Data'!$H$2:$H$2050,'BalSht Data'!$G$2:$G$2050,$A41,'BalSht Data'!$A$2:$A$2050,CB$1),#N/A)</f>
        <v>#N/A</v>
      </c>
      <c r="CC41" s="45" t="e">
        <f>IF(CC$1,SUMIFS('BalSht Data'!$H$2:$H$2050,'BalSht Data'!$G$2:$G$2050,$A41,'BalSht Data'!$A$2:$A$2050,CC$1),#N/A)</f>
        <v>#N/A</v>
      </c>
      <c r="CD41" s="45" t="e">
        <f>IF(CD$1,SUMIFS('BalSht Data'!$H$2:$H$2050,'BalSht Data'!$G$2:$G$2050,$A41,'BalSht Data'!$A$2:$A$2050,CD$1),#N/A)</f>
        <v>#N/A</v>
      </c>
      <c r="CE41" s="45" t="e">
        <f>IF(CE$1,SUMIFS('BalSht Data'!$H$2:$H$2050,'BalSht Data'!$G$2:$G$2050,$A41,'BalSht Data'!$A$2:$A$2050,CE$1),#N/A)</f>
        <v>#N/A</v>
      </c>
      <c r="CF41" s="45" t="e">
        <f>IF(CF$1,SUMIFS('BalSht Data'!$H$2:$H$2050,'BalSht Data'!$G$2:$G$2050,$A41,'BalSht Data'!$A$2:$A$2050,CF$1),#N/A)</f>
        <v>#N/A</v>
      </c>
      <c r="CG41" s="45" t="e">
        <f>IF(CG$1,SUMIFS('BalSht Data'!$H$2:$H$2050,'BalSht Data'!$G$2:$G$2050,$A41,'BalSht Data'!$A$2:$A$2050,CG$1),#N/A)</f>
        <v>#N/A</v>
      </c>
      <c r="CH41" s="45" t="e">
        <f>IF(CH$1,SUMIFS('BalSht Data'!$H$2:$H$2050,'BalSht Data'!$G$2:$G$2050,$A41,'BalSht Data'!$A$2:$A$2050,CH$1),#N/A)</f>
        <v>#N/A</v>
      </c>
      <c r="CI41" s="45" t="e">
        <f>IF(CI$1,SUMIFS('BalSht Data'!$H$2:$H$2050,'BalSht Data'!$G$2:$G$2050,$A41,'BalSht Data'!$A$2:$A$2050,CI$1),#N/A)</f>
        <v>#N/A</v>
      </c>
      <c r="CJ41" s="45" t="e">
        <f>IF(CJ$1,SUMIFS('BalSht Data'!$H$2:$H$2050,'BalSht Data'!$G$2:$G$2050,$A41,'BalSht Data'!$A$2:$A$2050,CJ$1),#N/A)</f>
        <v>#N/A</v>
      </c>
      <c r="CK41" s="45" t="e">
        <f>IF(CK$1,SUMIFS('BalSht Data'!$H$2:$H$2050,'BalSht Data'!$G$2:$G$2050,$A41,'BalSht Data'!$A$2:$A$2050,CK$1),#N/A)</f>
        <v>#N/A</v>
      </c>
      <c r="CL41" s="45" t="e">
        <f>IF(CL$1,SUMIFS('BalSht Data'!$H$2:$H$2050,'BalSht Data'!$G$2:$G$2050,$A41,'BalSht Data'!$A$2:$A$2050,CL$1),#N/A)</f>
        <v>#N/A</v>
      </c>
      <c r="CM41" s="45" t="e">
        <f>IF(CM$1,SUMIFS('BalSht Data'!$H$2:$H$2050,'BalSht Data'!$G$2:$G$2050,$A41,'BalSht Data'!$A$2:$A$2050,CM$1),#N/A)</f>
        <v>#N/A</v>
      </c>
      <c r="CN41" s="45" t="e">
        <f>IF(CN$1,SUMIFS('BalSht Data'!$H$2:$H$2050,'BalSht Data'!$G$2:$G$2050,$A41,'BalSht Data'!$A$2:$A$2050,CN$1),#N/A)</f>
        <v>#N/A</v>
      </c>
      <c r="CO41" s="45" t="e">
        <f>IF(CO$1,SUMIFS('BalSht Data'!$H$2:$H$2050,'BalSht Data'!$G$2:$G$2050,$A41,'BalSht Data'!$A$2:$A$2050,CO$1),#N/A)</f>
        <v>#N/A</v>
      </c>
      <c r="CP41" s="45" t="e">
        <f>IF(CP$1,SUMIFS('BalSht Data'!$H$2:$H$2050,'BalSht Data'!$G$2:$G$2050,$A41,'BalSht Data'!$A$2:$A$2050,CP$1),#N/A)</f>
        <v>#N/A</v>
      </c>
      <c r="CQ41" s="45" t="e">
        <f>IF(CQ$1,SUMIFS('BalSht Data'!$H$2:$H$2050,'BalSht Data'!$G$2:$G$2050,$A41,'BalSht Data'!$A$2:$A$2050,CQ$1),#N/A)</f>
        <v>#N/A</v>
      </c>
      <c r="CR41" s="45" t="e">
        <f>IF(CR$1,SUMIFS('BalSht Data'!$H$2:$H$2050,'BalSht Data'!$G$2:$G$2050,$A41,'BalSht Data'!$A$2:$A$2050,CR$1),#N/A)</f>
        <v>#N/A</v>
      </c>
      <c r="CS41" s="45" t="e">
        <f>IF(CS$1,SUMIFS('BalSht Data'!$H$2:$H$2050,'BalSht Data'!$G$2:$G$2050,$A41,'BalSht Data'!$A$2:$A$2050,CS$1),#N/A)</f>
        <v>#N/A</v>
      </c>
      <c r="CT41" s="45" t="e">
        <f>IF(CT$1,SUMIFS('BalSht Data'!$H$2:$H$2050,'BalSht Data'!$G$2:$G$2050,$A41,'BalSht Data'!$A$2:$A$2050,CT$1),#N/A)</f>
        <v>#N/A</v>
      </c>
      <c r="CU41" s="45" t="e">
        <f>IF(CU$1,SUMIFS('BalSht Data'!$H$2:$H$2050,'BalSht Data'!$G$2:$G$2050,$A41,'BalSht Data'!$A$2:$A$2050,CU$1),#N/A)</f>
        <v>#N/A</v>
      </c>
      <c r="CV41" s="45" t="e">
        <f>IF(CV$1,SUMIFS('BalSht Data'!$H$2:$H$2050,'BalSht Data'!$G$2:$G$2050,$A41,'BalSht Data'!$A$2:$A$2050,CV$1),#N/A)</f>
        <v>#N/A</v>
      </c>
      <c r="CW41" s="45" t="e">
        <f>IF(CW$1,SUMIFS('BalSht Data'!$H$2:$H$2050,'BalSht Data'!$G$2:$G$2050,$A41,'BalSht Data'!$A$2:$A$2050,CW$1),#N/A)</f>
        <v>#N/A</v>
      </c>
      <c r="CX41" s="45" t="e">
        <f>IF(CX$1,SUMIFS('BalSht Data'!$H$2:$H$2050,'BalSht Data'!$G$2:$G$2050,$A41,'BalSht Data'!$A$2:$A$2050,CX$1),#N/A)</f>
        <v>#N/A</v>
      </c>
      <c r="CY41" s="45" t="e">
        <f>IF(CY$1,SUMIFS('BalSht Data'!$H$2:$H$2050,'BalSht Data'!$G$2:$G$2050,$A41,'BalSht Data'!$A$2:$A$2050,CY$1),#N/A)</f>
        <v>#N/A</v>
      </c>
      <c r="CZ41" s="45" t="e">
        <f>IF(CZ$1,SUMIFS('BalSht Data'!$H$2:$H$2050,'BalSht Data'!$G$2:$G$2050,$A41,'BalSht Data'!$A$2:$A$2050,CZ$1),#N/A)</f>
        <v>#N/A</v>
      </c>
      <c r="DA41" s="45"/>
      <c r="DB41" s="45"/>
    </row>
    <row r="42" spans="1:106" s="44" customFormat="1" x14ac:dyDescent="0.2">
      <c r="A42" s="57" t="s">
        <v>32</v>
      </c>
      <c r="B42" s="45" t="e">
        <f>IF(B$1,SUMIFS('BalSht Data'!$H$2:$H$2050,'BalSht Data'!$G$2:$G$2050,$A42,'BalSht Data'!$A$2:$A$2050,B$1),#N/A)</f>
        <v>#N/A</v>
      </c>
      <c r="C42" s="45" t="e">
        <f>IF(C$1,SUMIFS('BalSht Data'!$H$2:$H$2050,'BalSht Data'!$G$2:$G$2050,$A42,'BalSht Data'!$A$2:$A$2050,C$1),#N/A)</f>
        <v>#N/A</v>
      </c>
      <c r="D42" s="45" t="e">
        <f>IF(D$1,SUMIFS('BalSht Data'!$H$2:$H$2050,'BalSht Data'!$G$2:$G$2050,$A42,'BalSht Data'!$A$2:$A$2050,D$1),#N/A)</f>
        <v>#N/A</v>
      </c>
      <c r="E42" s="45" t="e">
        <f>IF(E$1,SUMIFS('BalSht Data'!$H$2:$H$2050,'BalSht Data'!$G$2:$G$2050,$A42,'BalSht Data'!$A$2:$A$2050,E$1),#N/A)</f>
        <v>#N/A</v>
      </c>
      <c r="F42" s="45" t="e">
        <f>IF(F$1,SUMIFS('BalSht Data'!$H$2:$H$2050,'BalSht Data'!$G$2:$G$2050,$A42,'BalSht Data'!$A$2:$A$2050,F$1),#N/A)</f>
        <v>#N/A</v>
      </c>
      <c r="G42" s="45" t="e">
        <f>IF(G$1,SUMIFS('BalSht Data'!$H$2:$H$2050,'BalSht Data'!$G$2:$G$2050,$A42,'BalSht Data'!$A$2:$A$2050,G$1),#N/A)</f>
        <v>#N/A</v>
      </c>
      <c r="H42" s="45" t="e">
        <f>IF(H$1,SUMIFS('BalSht Data'!$H$2:$H$2050,'BalSht Data'!$G$2:$G$2050,$A42,'BalSht Data'!$A$2:$A$2050,H$1),#N/A)</f>
        <v>#N/A</v>
      </c>
      <c r="I42" s="45" t="e">
        <f>IF(I$1,SUMIFS('BalSht Data'!$H$2:$H$2050,'BalSht Data'!$G$2:$G$2050,$A42,'BalSht Data'!$A$2:$A$2050,I$1),#N/A)</f>
        <v>#N/A</v>
      </c>
      <c r="J42" s="45" t="e">
        <f>IF(J$1,SUMIFS('BalSht Data'!$H$2:$H$2050,'BalSht Data'!$G$2:$G$2050,$A42,'BalSht Data'!$A$2:$A$2050,J$1),#N/A)</f>
        <v>#N/A</v>
      </c>
      <c r="K42" s="45" t="e">
        <f>IF(K$1,SUMIFS('BalSht Data'!$H$2:$H$2050,'BalSht Data'!$G$2:$G$2050,$A42,'BalSht Data'!$A$2:$A$2050,K$1),#N/A)</f>
        <v>#N/A</v>
      </c>
      <c r="L42" s="45" t="e">
        <f>IF(L$1,SUMIFS('BalSht Data'!$H$2:$H$2050,'BalSht Data'!$G$2:$G$2050,$A42,'BalSht Data'!$A$2:$A$2050,L$1),#N/A)</f>
        <v>#N/A</v>
      </c>
      <c r="M42" s="45" t="e">
        <f>IF(M$1,SUMIFS('BalSht Data'!$H$2:$H$2050,'BalSht Data'!$G$2:$G$2050,$A42,'BalSht Data'!$A$2:$A$2050,M$1),#N/A)</f>
        <v>#N/A</v>
      </c>
      <c r="N42" s="45" t="e">
        <f>IF(N$1,SUMIFS('BalSht Data'!$H$2:$H$2050,'BalSht Data'!$G$2:$G$2050,$A42,'BalSht Data'!$A$2:$A$2050,N$1),#N/A)</f>
        <v>#N/A</v>
      </c>
      <c r="O42" s="45" t="e">
        <f>IF(O$1,SUMIFS('BalSht Data'!$H$2:$H$2050,'BalSht Data'!$G$2:$G$2050,$A42,'BalSht Data'!$A$2:$A$2050,O$1),#N/A)</f>
        <v>#N/A</v>
      </c>
      <c r="P42" s="45" t="e">
        <f>IF(P$1,SUMIFS('BalSht Data'!$H$2:$H$2050,'BalSht Data'!$G$2:$G$2050,$A42,'BalSht Data'!$A$2:$A$2050,P$1),#N/A)</f>
        <v>#N/A</v>
      </c>
      <c r="Q42" s="45" t="e">
        <f>IF(Q$1,SUMIFS('BalSht Data'!$H$2:$H$2050,'BalSht Data'!$G$2:$G$2050,$A42,'BalSht Data'!$A$2:$A$2050,Q$1),#N/A)</f>
        <v>#N/A</v>
      </c>
      <c r="R42" s="45" t="e">
        <f>IF(R$1,SUMIFS('BalSht Data'!$H$2:$H$2050,'BalSht Data'!$G$2:$G$2050,$A42,'BalSht Data'!$A$2:$A$2050,R$1),#N/A)</f>
        <v>#N/A</v>
      </c>
      <c r="S42" s="45" t="e">
        <f>IF(S$1,SUMIFS('BalSht Data'!$H$2:$H$2050,'BalSht Data'!$G$2:$G$2050,$A42,'BalSht Data'!$A$2:$A$2050,S$1),#N/A)</f>
        <v>#N/A</v>
      </c>
      <c r="T42" s="45" t="e">
        <f>IF(T$1,SUMIFS('BalSht Data'!$H$2:$H$2050,'BalSht Data'!$G$2:$G$2050,$A42,'BalSht Data'!$A$2:$A$2050,T$1),#N/A)</f>
        <v>#N/A</v>
      </c>
      <c r="U42" s="45" t="e">
        <f>IF(U$1,SUMIFS('BalSht Data'!$H$2:$H$2050,'BalSht Data'!$G$2:$G$2050,$A42,'BalSht Data'!$A$2:$A$2050,U$1),#N/A)</f>
        <v>#N/A</v>
      </c>
      <c r="V42" s="45" t="e">
        <f>IF(V$1,SUMIFS('BalSht Data'!$H$2:$H$2050,'BalSht Data'!$G$2:$G$2050,$A42,'BalSht Data'!$A$2:$A$2050,V$1),#N/A)</f>
        <v>#N/A</v>
      </c>
      <c r="W42" s="45" t="e">
        <f>IF(W$1,SUMIFS('BalSht Data'!$H$2:$H$2050,'BalSht Data'!$G$2:$G$2050,$A42,'BalSht Data'!$A$2:$A$2050,W$1),#N/A)</f>
        <v>#N/A</v>
      </c>
      <c r="X42" s="45" t="e">
        <f>IF(X$1,SUMIFS('BalSht Data'!$H$2:$H$2050,'BalSht Data'!$G$2:$G$2050,$A42,'BalSht Data'!$A$2:$A$2050,X$1),#N/A)</f>
        <v>#N/A</v>
      </c>
      <c r="Y42" s="45" t="e">
        <f>IF(Y$1,SUMIFS('BalSht Data'!$H$2:$H$2050,'BalSht Data'!$G$2:$G$2050,$A42,'BalSht Data'!$A$2:$A$2050,Y$1),#N/A)</f>
        <v>#N/A</v>
      </c>
      <c r="Z42" s="45" t="e">
        <f>IF(Z$1,SUMIFS('BalSht Data'!$H$2:$H$2050,'BalSht Data'!$G$2:$G$2050,$A42,'BalSht Data'!$A$2:$A$2050,Z$1),#N/A)</f>
        <v>#N/A</v>
      </c>
      <c r="AA42" s="45" t="e">
        <f>IF(AA$1,SUMIFS('BalSht Data'!$H$2:$H$2050,'BalSht Data'!$G$2:$G$2050,$A42,'BalSht Data'!$A$2:$A$2050,AA$1),#N/A)</f>
        <v>#N/A</v>
      </c>
      <c r="AB42" s="45" t="e">
        <f>IF(AB$1,SUMIFS('BalSht Data'!$H$2:$H$2050,'BalSht Data'!$G$2:$G$2050,$A42,'BalSht Data'!$A$2:$A$2050,AB$1),#N/A)</f>
        <v>#N/A</v>
      </c>
      <c r="AC42" s="45" t="e">
        <f>IF(AC$1,SUMIFS('BalSht Data'!$H$2:$H$2050,'BalSht Data'!$G$2:$G$2050,$A42,'BalSht Data'!$A$2:$A$2050,AC$1),#N/A)</f>
        <v>#N/A</v>
      </c>
      <c r="AD42" s="45" t="e">
        <f>IF(AD$1,SUMIFS('BalSht Data'!$H$2:$H$2050,'BalSht Data'!$G$2:$G$2050,$A42,'BalSht Data'!$A$2:$A$2050,AD$1),#N/A)</f>
        <v>#N/A</v>
      </c>
      <c r="AE42" s="45" t="e">
        <f>IF(AE$1,SUMIFS('BalSht Data'!$H$2:$H$2050,'BalSht Data'!$G$2:$G$2050,$A42,'BalSht Data'!$A$2:$A$2050,AE$1),#N/A)</f>
        <v>#N/A</v>
      </c>
      <c r="AF42" s="45" t="e">
        <f>IF(AF$1,SUMIFS('BalSht Data'!$H$2:$H$2050,'BalSht Data'!$G$2:$G$2050,$A42,'BalSht Data'!$A$2:$A$2050,AF$1),#N/A)</f>
        <v>#N/A</v>
      </c>
      <c r="AG42" s="45" t="e">
        <f>IF(AG$1,SUMIFS('BalSht Data'!$H$2:$H$2050,'BalSht Data'!$G$2:$G$2050,$A42,'BalSht Data'!$A$2:$A$2050,AG$1),#N/A)</f>
        <v>#N/A</v>
      </c>
      <c r="AH42" s="45" t="e">
        <f>IF(AH$1,SUMIFS('BalSht Data'!$H$2:$H$2050,'BalSht Data'!$G$2:$G$2050,$A42,'BalSht Data'!$A$2:$A$2050,AH$1),#N/A)</f>
        <v>#N/A</v>
      </c>
      <c r="AI42" s="45" t="e">
        <f>IF(AI$1,SUMIFS('BalSht Data'!$H$2:$H$2050,'BalSht Data'!$G$2:$G$2050,$A42,'BalSht Data'!$A$2:$A$2050,AI$1),#N/A)</f>
        <v>#N/A</v>
      </c>
      <c r="AJ42" s="45" t="e">
        <f>IF(AJ$1,SUMIFS('BalSht Data'!$H$2:$H$2050,'BalSht Data'!$G$2:$G$2050,$A42,'BalSht Data'!$A$2:$A$2050,AJ$1),#N/A)</f>
        <v>#N/A</v>
      </c>
      <c r="AK42" s="45" t="e">
        <f>IF(AK$1,SUMIFS('BalSht Data'!$H$2:$H$2050,'BalSht Data'!$G$2:$G$2050,$A42,'BalSht Data'!$A$2:$A$2050,AK$1),#N/A)</f>
        <v>#N/A</v>
      </c>
      <c r="AL42" s="45" t="e">
        <f>IF(AL$1,SUMIFS('BalSht Data'!$H$2:$H$2050,'BalSht Data'!$G$2:$G$2050,$A42,'BalSht Data'!$A$2:$A$2050,AL$1),#N/A)</f>
        <v>#N/A</v>
      </c>
      <c r="AM42" s="45" t="e">
        <f>IF(AM$1,SUMIFS('BalSht Data'!$H$2:$H$2050,'BalSht Data'!$G$2:$G$2050,$A42,'BalSht Data'!$A$2:$A$2050,AM$1),#N/A)</f>
        <v>#N/A</v>
      </c>
      <c r="AN42" s="45" t="e">
        <f>IF(AN$1,SUMIFS('BalSht Data'!$H$2:$H$2050,'BalSht Data'!$G$2:$G$2050,$A42,'BalSht Data'!$A$2:$A$2050,AN$1),#N/A)</f>
        <v>#N/A</v>
      </c>
      <c r="AO42" s="45" t="e">
        <f>IF(AO$1,SUMIFS('BalSht Data'!$H$2:$H$2050,'BalSht Data'!$G$2:$G$2050,$A42,'BalSht Data'!$A$2:$A$2050,AO$1),#N/A)</f>
        <v>#N/A</v>
      </c>
      <c r="AP42" s="45" t="e">
        <f>IF(AP$1,SUMIFS('BalSht Data'!$H$2:$H$2050,'BalSht Data'!$G$2:$G$2050,$A42,'BalSht Data'!$A$2:$A$2050,AP$1),#N/A)</f>
        <v>#N/A</v>
      </c>
      <c r="AQ42" s="45" t="e">
        <f>IF(AQ$1,SUMIFS('BalSht Data'!$H$2:$H$2050,'BalSht Data'!$G$2:$G$2050,$A42,'BalSht Data'!$A$2:$A$2050,AQ$1),#N/A)</f>
        <v>#N/A</v>
      </c>
      <c r="AR42" s="45" t="e">
        <f>IF(AR$1,SUMIFS('BalSht Data'!$H$2:$H$2050,'BalSht Data'!$G$2:$G$2050,$A42,'BalSht Data'!$A$2:$A$2050,AR$1),#N/A)</f>
        <v>#N/A</v>
      </c>
      <c r="AS42" s="45" t="e">
        <f>IF(AS$1,SUMIFS('BalSht Data'!$H$2:$H$2050,'BalSht Data'!$G$2:$G$2050,$A42,'BalSht Data'!$A$2:$A$2050,AS$1),#N/A)</f>
        <v>#N/A</v>
      </c>
      <c r="AT42" s="45" t="e">
        <f>IF(AT$1,SUMIFS('BalSht Data'!$H$2:$H$2050,'BalSht Data'!$G$2:$G$2050,$A42,'BalSht Data'!$A$2:$A$2050,AT$1),#N/A)</f>
        <v>#N/A</v>
      </c>
      <c r="AU42" s="45" t="e">
        <f>IF(AU$1,SUMIFS('BalSht Data'!$H$2:$H$2050,'BalSht Data'!$G$2:$G$2050,$A42,'BalSht Data'!$A$2:$A$2050,AU$1),#N/A)</f>
        <v>#N/A</v>
      </c>
      <c r="AV42" s="45" t="e">
        <f>IF(AV$1,SUMIFS('BalSht Data'!$H$2:$H$2050,'BalSht Data'!$G$2:$G$2050,$A42,'BalSht Data'!$A$2:$A$2050,AV$1),#N/A)</f>
        <v>#N/A</v>
      </c>
      <c r="AW42" s="45" t="e">
        <f>IF(AW$1,SUMIFS('BalSht Data'!$H$2:$H$2050,'BalSht Data'!$G$2:$G$2050,$A42,'BalSht Data'!$A$2:$A$2050,AW$1),#N/A)</f>
        <v>#N/A</v>
      </c>
      <c r="AX42" s="45" t="e">
        <f>IF(AX$1,SUMIFS('BalSht Data'!$H$2:$H$2050,'BalSht Data'!$G$2:$G$2050,$A42,'BalSht Data'!$A$2:$A$2050,AX$1),#N/A)</f>
        <v>#N/A</v>
      </c>
      <c r="AY42" s="45" t="e">
        <f>IF(AY$1,SUMIFS('BalSht Data'!$H$2:$H$2050,'BalSht Data'!$G$2:$G$2050,$A42,'BalSht Data'!$A$2:$A$2050,AY$1),#N/A)</f>
        <v>#N/A</v>
      </c>
      <c r="AZ42" s="45" t="e">
        <f>IF(AZ$1,SUMIFS('BalSht Data'!$H$2:$H$2050,'BalSht Data'!$G$2:$G$2050,$A42,'BalSht Data'!$A$2:$A$2050,AZ$1),#N/A)</f>
        <v>#N/A</v>
      </c>
      <c r="BA42" s="45" t="e">
        <f>IF(BA$1,SUMIFS('BalSht Data'!$H$2:$H$2050,'BalSht Data'!$G$2:$G$2050,$A42,'BalSht Data'!$A$2:$A$2050,BA$1),#N/A)</f>
        <v>#N/A</v>
      </c>
      <c r="BB42" s="45" t="e">
        <f>IF(BB$1,SUMIFS('BalSht Data'!$H$2:$H$2050,'BalSht Data'!$G$2:$G$2050,$A42,'BalSht Data'!$A$2:$A$2050,BB$1),#N/A)</f>
        <v>#N/A</v>
      </c>
      <c r="BC42" s="45" t="e">
        <f>IF(BC$1,SUMIFS('BalSht Data'!$H$2:$H$2050,'BalSht Data'!$G$2:$G$2050,$A42,'BalSht Data'!$A$2:$A$2050,BC$1),#N/A)</f>
        <v>#N/A</v>
      </c>
      <c r="BD42" s="45" t="e">
        <f>IF(BD$1,SUMIFS('BalSht Data'!$H$2:$H$2050,'BalSht Data'!$G$2:$G$2050,$A42,'BalSht Data'!$A$2:$A$2050,BD$1),#N/A)</f>
        <v>#N/A</v>
      </c>
      <c r="BE42" s="45" t="e">
        <f>IF(BE$1,SUMIFS('BalSht Data'!$H$2:$H$2050,'BalSht Data'!$G$2:$G$2050,$A42,'BalSht Data'!$A$2:$A$2050,BE$1),#N/A)</f>
        <v>#N/A</v>
      </c>
      <c r="BF42" s="45" t="e">
        <f>IF(BF$1,SUMIFS('BalSht Data'!$H$2:$H$2050,'BalSht Data'!$G$2:$G$2050,$A42,'BalSht Data'!$A$2:$A$2050,BF$1),#N/A)</f>
        <v>#N/A</v>
      </c>
      <c r="BG42" s="45" t="e">
        <f>IF(BG$1,SUMIFS('BalSht Data'!$H$2:$H$2050,'BalSht Data'!$G$2:$G$2050,$A42,'BalSht Data'!$A$2:$A$2050,BG$1),#N/A)</f>
        <v>#N/A</v>
      </c>
      <c r="BH42" s="45" t="e">
        <f>IF(BH$1,SUMIFS('BalSht Data'!$H$2:$H$2050,'BalSht Data'!$G$2:$G$2050,$A42,'BalSht Data'!$A$2:$A$2050,BH$1),#N/A)</f>
        <v>#N/A</v>
      </c>
      <c r="BI42" s="45" t="e">
        <f>IF(BI$1,SUMIFS('BalSht Data'!$H$2:$H$2050,'BalSht Data'!$G$2:$G$2050,$A42,'BalSht Data'!$A$2:$A$2050,BI$1),#N/A)</f>
        <v>#N/A</v>
      </c>
      <c r="BJ42" s="45" t="e">
        <f>IF(BJ$1,SUMIFS('BalSht Data'!$H$2:$H$2050,'BalSht Data'!$G$2:$G$2050,$A42,'BalSht Data'!$A$2:$A$2050,BJ$1),#N/A)</f>
        <v>#N/A</v>
      </c>
      <c r="BK42" s="45" t="e">
        <f>IF(BK$1,SUMIFS('BalSht Data'!$H$2:$H$2050,'BalSht Data'!$G$2:$G$2050,$A42,'BalSht Data'!$A$2:$A$2050,BK$1),#N/A)</f>
        <v>#N/A</v>
      </c>
      <c r="BL42" s="45" t="e">
        <f>IF(BL$1,SUMIFS('BalSht Data'!$H$2:$H$2050,'BalSht Data'!$G$2:$G$2050,$A42,'BalSht Data'!$A$2:$A$2050,BL$1),#N/A)</f>
        <v>#N/A</v>
      </c>
      <c r="BM42" s="45" t="e">
        <f>IF(BM$1,SUMIFS('BalSht Data'!$H$2:$H$2050,'BalSht Data'!$G$2:$G$2050,$A42,'BalSht Data'!$A$2:$A$2050,BM$1),#N/A)</f>
        <v>#N/A</v>
      </c>
      <c r="BN42" s="45" t="e">
        <f>IF(BN$1,SUMIFS('BalSht Data'!$H$2:$H$2050,'BalSht Data'!$G$2:$G$2050,$A42,'BalSht Data'!$A$2:$A$2050,BN$1),#N/A)</f>
        <v>#N/A</v>
      </c>
      <c r="BO42" s="45" t="e">
        <f>IF(BO$1,SUMIFS('BalSht Data'!$H$2:$H$2050,'BalSht Data'!$G$2:$G$2050,$A42,'BalSht Data'!$A$2:$A$2050,BO$1),#N/A)</f>
        <v>#N/A</v>
      </c>
      <c r="BP42" s="45" t="e">
        <f>IF(BP$1,SUMIFS('BalSht Data'!$H$2:$H$2050,'BalSht Data'!$G$2:$G$2050,$A42,'BalSht Data'!$A$2:$A$2050,BP$1),#N/A)</f>
        <v>#N/A</v>
      </c>
      <c r="BQ42" s="45" t="e">
        <f>IF(BQ$1,SUMIFS('BalSht Data'!$H$2:$H$2050,'BalSht Data'!$G$2:$G$2050,$A42,'BalSht Data'!$A$2:$A$2050,BQ$1),#N/A)</f>
        <v>#N/A</v>
      </c>
      <c r="BR42" s="45" t="e">
        <f>IF(BR$1,SUMIFS('BalSht Data'!$H$2:$H$2050,'BalSht Data'!$G$2:$G$2050,$A42,'BalSht Data'!$A$2:$A$2050,BR$1),#N/A)</f>
        <v>#N/A</v>
      </c>
      <c r="BS42" s="45" t="e">
        <f>IF(BS$1,SUMIFS('BalSht Data'!$H$2:$H$2050,'BalSht Data'!$G$2:$G$2050,$A42,'BalSht Data'!$A$2:$A$2050,BS$1),#N/A)</f>
        <v>#N/A</v>
      </c>
      <c r="BT42" s="45" t="e">
        <f>IF(BT$1,SUMIFS('BalSht Data'!$H$2:$H$2050,'BalSht Data'!$G$2:$G$2050,$A42,'BalSht Data'!$A$2:$A$2050,BT$1),#N/A)</f>
        <v>#N/A</v>
      </c>
      <c r="BU42" s="45" t="e">
        <f>IF(BU$1,SUMIFS('BalSht Data'!$H$2:$H$2050,'BalSht Data'!$G$2:$G$2050,$A42,'BalSht Data'!$A$2:$A$2050,BU$1),#N/A)</f>
        <v>#N/A</v>
      </c>
      <c r="BV42" s="45" t="e">
        <f>IF(BV$1,SUMIFS('BalSht Data'!$H$2:$H$2050,'BalSht Data'!$G$2:$G$2050,$A42,'BalSht Data'!$A$2:$A$2050,BV$1),#N/A)</f>
        <v>#N/A</v>
      </c>
      <c r="BW42" s="45" t="e">
        <f>IF(BW$1,SUMIFS('BalSht Data'!$H$2:$H$2050,'BalSht Data'!$G$2:$G$2050,$A42,'BalSht Data'!$A$2:$A$2050,BW$1),#N/A)</f>
        <v>#N/A</v>
      </c>
      <c r="BX42" s="45" t="e">
        <f>IF(BX$1,SUMIFS('BalSht Data'!$H$2:$H$2050,'BalSht Data'!$G$2:$G$2050,$A42,'BalSht Data'!$A$2:$A$2050,BX$1),#N/A)</f>
        <v>#N/A</v>
      </c>
      <c r="BY42" s="45" t="e">
        <f>IF(BY$1,SUMIFS('BalSht Data'!$H$2:$H$2050,'BalSht Data'!$G$2:$G$2050,$A42,'BalSht Data'!$A$2:$A$2050,BY$1),#N/A)</f>
        <v>#N/A</v>
      </c>
      <c r="BZ42" s="45" t="e">
        <f>IF(BZ$1,SUMIFS('BalSht Data'!$H$2:$H$2050,'BalSht Data'!$G$2:$G$2050,$A42,'BalSht Data'!$A$2:$A$2050,BZ$1),#N/A)</f>
        <v>#N/A</v>
      </c>
      <c r="CA42" s="45" t="e">
        <f>IF(CA$1,SUMIFS('BalSht Data'!$H$2:$H$2050,'BalSht Data'!$G$2:$G$2050,$A42,'BalSht Data'!$A$2:$A$2050,CA$1),#N/A)</f>
        <v>#N/A</v>
      </c>
      <c r="CB42" s="45" t="e">
        <f>IF(CB$1,SUMIFS('BalSht Data'!$H$2:$H$2050,'BalSht Data'!$G$2:$G$2050,$A42,'BalSht Data'!$A$2:$A$2050,CB$1),#N/A)</f>
        <v>#N/A</v>
      </c>
      <c r="CC42" s="45" t="e">
        <f>IF(CC$1,SUMIFS('BalSht Data'!$H$2:$H$2050,'BalSht Data'!$G$2:$G$2050,$A42,'BalSht Data'!$A$2:$A$2050,CC$1),#N/A)</f>
        <v>#N/A</v>
      </c>
      <c r="CD42" s="45" t="e">
        <f>IF(CD$1,SUMIFS('BalSht Data'!$H$2:$H$2050,'BalSht Data'!$G$2:$G$2050,$A42,'BalSht Data'!$A$2:$A$2050,CD$1),#N/A)</f>
        <v>#N/A</v>
      </c>
      <c r="CE42" s="45" t="e">
        <f>IF(CE$1,SUMIFS('BalSht Data'!$H$2:$H$2050,'BalSht Data'!$G$2:$G$2050,$A42,'BalSht Data'!$A$2:$A$2050,CE$1),#N/A)</f>
        <v>#N/A</v>
      </c>
      <c r="CF42" s="45" t="e">
        <f>IF(CF$1,SUMIFS('BalSht Data'!$H$2:$H$2050,'BalSht Data'!$G$2:$G$2050,$A42,'BalSht Data'!$A$2:$A$2050,CF$1),#N/A)</f>
        <v>#N/A</v>
      </c>
      <c r="CG42" s="45" t="e">
        <f>IF(CG$1,SUMIFS('BalSht Data'!$H$2:$H$2050,'BalSht Data'!$G$2:$G$2050,$A42,'BalSht Data'!$A$2:$A$2050,CG$1),#N/A)</f>
        <v>#N/A</v>
      </c>
      <c r="CH42" s="45" t="e">
        <f>IF(CH$1,SUMIFS('BalSht Data'!$H$2:$H$2050,'BalSht Data'!$G$2:$G$2050,$A42,'BalSht Data'!$A$2:$A$2050,CH$1),#N/A)</f>
        <v>#N/A</v>
      </c>
      <c r="CI42" s="45" t="e">
        <f>IF(CI$1,SUMIFS('BalSht Data'!$H$2:$H$2050,'BalSht Data'!$G$2:$G$2050,$A42,'BalSht Data'!$A$2:$A$2050,CI$1),#N/A)</f>
        <v>#N/A</v>
      </c>
      <c r="CJ42" s="45" t="e">
        <f>IF(CJ$1,SUMIFS('BalSht Data'!$H$2:$H$2050,'BalSht Data'!$G$2:$G$2050,$A42,'BalSht Data'!$A$2:$A$2050,CJ$1),#N/A)</f>
        <v>#N/A</v>
      </c>
      <c r="CK42" s="45" t="e">
        <f>IF(CK$1,SUMIFS('BalSht Data'!$H$2:$H$2050,'BalSht Data'!$G$2:$G$2050,$A42,'BalSht Data'!$A$2:$A$2050,CK$1),#N/A)</f>
        <v>#N/A</v>
      </c>
      <c r="CL42" s="45" t="e">
        <f>IF(CL$1,SUMIFS('BalSht Data'!$H$2:$H$2050,'BalSht Data'!$G$2:$G$2050,$A42,'BalSht Data'!$A$2:$A$2050,CL$1),#N/A)</f>
        <v>#N/A</v>
      </c>
      <c r="CM42" s="45" t="e">
        <f>IF(CM$1,SUMIFS('BalSht Data'!$H$2:$H$2050,'BalSht Data'!$G$2:$G$2050,$A42,'BalSht Data'!$A$2:$A$2050,CM$1),#N/A)</f>
        <v>#N/A</v>
      </c>
      <c r="CN42" s="45" t="e">
        <f>IF(CN$1,SUMIFS('BalSht Data'!$H$2:$H$2050,'BalSht Data'!$G$2:$G$2050,$A42,'BalSht Data'!$A$2:$A$2050,CN$1),#N/A)</f>
        <v>#N/A</v>
      </c>
      <c r="CO42" s="45" t="e">
        <f>IF(CO$1,SUMIFS('BalSht Data'!$H$2:$H$2050,'BalSht Data'!$G$2:$G$2050,$A42,'BalSht Data'!$A$2:$A$2050,CO$1),#N/A)</f>
        <v>#N/A</v>
      </c>
      <c r="CP42" s="45" t="e">
        <f>IF(CP$1,SUMIFS('BalSht Data'!$H$2:$H$2050,'BalSht Data'!$G$2:$G$2050,$A42,'BalSht Data'!$A$2:$A$2050,CP$1),#N/A)</f>
        <v>#N/A</v>
      </c>
      <c r="CQ42" s="45" t="e">
        <f>IF(CQ$1,SUMIFS('BalSht Data'!$H$2:$H$2050,'BalSht Data'!$G$2:$G$2050,$A42,'BalSht Data'!$A$2:$A$2050,CQ$1),#N/A)</f>
        <v>#N/A</v>
      </c>
      <c r="CR42" s="45" t="e">
        <f>IF(CR$1,SUMIFS('BalSht Data'!$H$2:$H$2050,'BalSht Data'!$G$2:$G$2050,$A42,'BalSht Data'!$A$2:$A$2050,CR$1),#N/A)</f>
        <v>#N/A</v>
      </c>
      <c r="CS42" s="45" t="e">
        <f>IF(CS$1,SUMIFS('BalSht Data'!$H$2:$H$2050,'BalSht Data'!$G$2:$G$2050,$A42,'BalSht Data'!$A$2:$A$2050,CS$1),#N/A)</f>
        <v>#N/A</v>
      </c>
      <c r="CT42" s="45" t="e">
        <f>IF(CT$1,SUMIFS('BalSht Data'!$H$2:$H$2050,'BalSht Data'!$G$2:$G$2050,$A42,'BalSht Data'!$A$2:$A$2050,CT$1),#N/A)</f>
        <v>#N/A</v>
      </c>
      <c r="CU42" s="45" t="e">
        <f>IF(CU$1,SUMIFS('BalSht Data'!$H$2:$H$2050,'BalSht Data'!$G$2:$G$2050,$A42,'BalSht Data'!$A$2:$A$2050,CU$1),#N/A)</f>
        <v>#N/A</v>
      </c>
      <c r="CV42" s="45" t="e">
        <f>IF(CV$1,SUMIFS('BalSht Data'!$H$2:$H$2050,'BalSht Data'!$G$2:$G$2050,$A42,'BalSht Data'!$A$2:$A$2050,CV$1),#N/A)</f>
        <v>#N/A</v>
      </c>
      <c r="CW42" s="45" t="e">
        <f>IF(CW$1,SUMIFS('BalSht Data'!$H$2:$H$2050,'BalSht Data'!$G$2:$G$2050,$A42,'BalSht Data'!$A$2:$A$2050,CW$1),#N/A)</f>
        <v>#N/A</v>
      </c>
      <c r="CX42" s="45" t="e">
        <f>IF(CX$1,SUMIFS('BalSht Data'!$H$2:$H$2050,'BalSht Data'!$G$2:$G$2050,$A42,'BalSht Data'!$A$2:$A$2050,CX$1),#N/A)</f>
        <v>#N/A</v>
      </c>
      <c r="CY42" s="45" t="e">
        <f>IF(CY$1,SUMIFS('BalSht Data'!$H$2:$H$2050,'BalSht Data'!$G$2:$G$2050,$A42,'BalSht Data'!$A$2:$A$2050,CY$1),#N/A)</f>
        <v>#N/A</v>
      </c>
      <c r="CZ42" s="45" t="e">
        <f>IF(CZ$1,SUMIFS('BalSht Data'!$H$2:$H$2050,'BalSht Data'!$G$2:$G$2050,$A42,'BalSht Data'!$A$2:$A$2050,CZ$1),#N/A)</f>
        <v>#N/A</v>
      </c>
      <c r="DA42" s="45"/>
      <c r="DB42" s="45"/>
    </row>
    <row r="43" spans="1:106" s="51" customFormat="1" ht="15" x14ac:dyDescent="0.35">
      <c r="A43" s="57" t="s">
        <v>36</v>
      </c>
      <c r="B43" s="52" t="e">
        <f>IF(B$1,SUMIFS('BalSht Data'!$H$2:$H$2050,'BalSht Data'!$G$2:$G$2050,$A43,'BalSht Data'!$A$2:$A$2050,B$1),#N/A)</f>
        <v>#N/A</v>
      </c>
      <c r="C43" s="52" t="e">
        <f>IF(C$1,SUMIFS('BalSht Data'!$H$2:$H$2050,'BalSht Data'!$G$2:$G$2050,$A43,'BalSht Data'!$A$2:$A$2050,C$1),#N/A)</f>
        <v>#N/A</v>
      </c>
      <c r="D43" s="52" t="e">
        <f>IF(D$1,SUMIFS('BalSht Data'!$H$2:$H$2050,'BalSht Data'!$G$2:$G$2050,$A43,'BalSht Data'!$A$2:$A$2050,D$1),#N/A)</f>
        <v>#N/A</v>
      </c>
      <c r="E43" s="52" t="e">
        <f>IF(E$1,SUMIFS('BalSht Data'!$H$2:$H$2050,'BalSht Data'!$G$2:$G$2050,$A43,'BalSht Data'!$A$2:$A$2050,E$1),#N/A)</f>
        <v>#N/A</v>
      </c>
      <c r="F43" s="52" t="e">
        <f>IF(F$1,SUMIFS('BalSht Data'!$H$2:$H$2050,'BalSht Data'!$G$2:$G$2050,$A43,'BalSht Data'!$A$2:$A$2050,F$1),#N/A)</f>
        <v>#N/A</v>
      </c>
      <c r="G43" s="52" t="e">
        <f>IF(G$1,SUMIFS('BalSht Data'!$H$2:$H$2050,'BalSht Data'!$G$2:$G$2050,$A43,'BalSht Data'!$A$2:$A$2050,G$1),#N/A)</f>
        <v>#N/A</v>
      </c>
      <c r="H43" s="52" t="e">
        <f>IF(H$1,SUMIFS('BalSht Data'!$H$2:$H$2050,'BalSht Data'!$G$2:$G$2050,$A43,'BalSht Data'!$A$2:$A$2050,H$1),#N/A)</f>
        <v>#N/A</v>
      </c>
      <c r="I43" s="52" t="e">
        <f>IF(I$1,SUMIFS('BalSht Data'!$H$2:$H$2050,'BalSht Data'!$G$2:$G$2050,$A43,'BalSht Data'!$A$2:$A$2050,I$1),#N/A)</f>
        <v>#N/A</v>
      </c>
      <c r="J43" s="52" t="e">
        <f>IF(J$1,SUMIFS('BalSht Data'!$H$2:$H$2050,'BalSht Data'!$G$2:$G$2050,$A43,'BalSht Data'!$A$2:$A$2050,J$1),#N/A)</f>
        <v>#N/A</v>
      </c>
      <c r="K43" s="52" t="e">
        <f>IF(K$1,SUMIFS('BalSht Data'!$H$2:$H$2050,'BalSht Data'!$G$2:$G$2050,$A43,'BalSht Data'!$A$2:$A$2050,K$1),#N/A)</f>
        <v>#N/A</v>
      </c>
      <c r="L43" s="52" t="e">
        <f>IF(L$1,SUMIFS('BalSht Data'!$H$2:$H$2050,'BalSht Data'!$G$2:$G$2050,$A43,'BalSht Data'!$A$2:$A$2050,L$1),#N/A)</f>
        <v>#N/A</v>
      </c>
      <c r="M43" s="52" t="e">
        <f>IF(M$1,SUMIFS('BalSht Data'!$H$2:$H$2050,'BalSht Data'!$G$2:$G$2050,$A43,'BalSht Data'!$A$2:$A$2050,M$1),#N/A)</f>
        <v>#N/A</v>
      </c>
      <c r="N43" s="52" t="e">
        <f>IF(N$1,SUMIFS('BalSht Data'!$H$2:$H$2050,'BalSht Data'!$G$2:$G$2050,$A43,'BalSht Data'!$A$2:$A$2050,N$1),#N/A)</f>
        <v>#N/A</v>
      </c>
      <c r="O43" s="52" t="e">
        <f>IF(O$1,SUMIFS('BalSht Data'!$H$2:$H$2050,'BalSht Data'!$G$2:$G$2050,$A43,'BalSht Data'!$A$2:$A$2050,O$1),#N/A)</f>
        <v>#N/A</v>
      </c>
      <c r="P43" s="52" t="e">
        <f>IF(P$1,SUMIFS('BalSht Data'!$H$2:$H$2050,'BalSht Data'!$G$2:$G$2050,$A43,'BalSht Data'!$A$2:$A$2050,P$1),#N/A)</f>
        <v>#N/A</v>
      </c>
      <c r="Q43" s="52" t="e">
        <f>IF(Q$1,SUMIFS('BalSht Data'!$H$2:$H$2050,'BalSht Data'!$G$2:$G$2050,$A43,'BalSht Data'!$A$2:$A$2050,Q$1),#N/A)</f>
        <v>#N/A</v>
      </c>
      <c r="R43" s="52" t="e">
        <f>IF(R$1,SUMIFS('BalSht Data'!$H$2:$H$2050,'BalSht Data'!$G$2:$G$2050,$A43,'BalSht Data'!$A$2:$A$2050,R$1),#N/A)</f>
        <v>#N/A</v>
      </c>
      <c r="S43" s="52" t="e">
        <f>IF(S$1,SUMIFS('BalSht Data'!$H$2:$H$2050,'BalSht Data'!$G$2:$G$2050,$A43,'BalSht Data'!$A$2:$A$2050,S$1),#N/A)</f>
        <v>#N/A</v>
      </c>
      <c r="T43" s="52" t="e">
        <f>IF(T$1,SUMIFS('BalSht Data'!$H$2:$H$2050,'BalSht Data'!$G$2:$G$2050,$A43,'BalSht Data'!$A$2:$A$2050,T$1),#N/A)</f>
        <v>#N/A</v>
      </c>
      <c r="U43" s="52" t="e">
        <f>IF(U$1,SUMIFS('BalSht Data'!$H$2:$H$2050,'BalSht Data'!$G$2:$G$2050,$A43,'BalSht Data'!$A$2:$A$2050,U$1),#N/A)</f>
        <v>#N/A</v>
      </c>
      <c r="V43" s="52" t="e">
        <f>IF(V$1,SUMIFS('BalSht Data'!$H$2:$H$2050,'BalSht Data'!$G$2:$G$2050,$A43,'BalSht Data'!$A$2:$A$2050,V$1),#N/A)</f>
        <v>#N/A</v>
      </c>
      <c r="W43" s="52" t="e">
        <f>IF(W$1,SUMIFS('BalSht Data'!$H$2:$H$2050,'BalSht Data'!$G$2:$G$2050,$A43,'BalSht Data'!$A$2:$A$2050,W$1),#N/A)</f>
        <v>#N/A</v>
      </c>
      <c r="X43" s="52" t="e">
        <f>IF(X$1,SUMIFS('BalSht Data'!$H$2:$H$2050,'BalSht Data'!$G$2:$G$2050,$A43,'BalSht Data'!$A$2:$A$2050,X$1),#N/A)</f>
        <v>#N/A</v>
      </c>
      <c r="Y43" s="52" t="e">
        <f>IF(Y$1,SUMIFS('BalSht Data'!$H$2:$H$2050,'BalSht Data'!$G$2:$G$2050,$A43,'BalSht Data'!$A$2:$A$2050,Y$1),#N/A)</f>
        <v>#N/A</v>
      </c>
      <c r="Z43" s="52" t="e">
        <f>IF(Z$1,SUMIFS('BalSht Data'!$H$2:$H$2050,'BalSht Data'!$G$2:$G$2050,$A43,'BalSht Data'!$A$2:$A$2050,Z$1),#N/A)</f>
        <v>#N/A</v>
      </c>
      <c r="AA43" s="52" t="e">
        <f>IF(AA$1,SUMIFS('BalSht Data'!$H$2:$H$2050,'BalSht Data'!$G$2:$G$2050,$A43,'BalSht Data'!$A$2:$A$2050,AA$1),#N/A)</f>
        <v>#N/A</v>
      </c>
      <c r="AB43" s="52" t="e">
        <f>IF(AB$1,SUMIFS('BalSht Data'!$H$2:$H$2050,'BalSht Data'!$G$2:$G$2050,$A43,'BalSht Data'!$A$2:$A$2050,AB$1),#N/A)</f>
        <v>#N/A</v>
      </c>
      <c r="AC43" s="52" t="e">
        <f>IF(AC$1,SUMIFS('BalSht Data'!$H$2:$H$2050,'BalSht Data'!$G$2:$G$2050,$A43,'BalSht Data'!$A$2:$A$2050,AC$1),#N/A)</f>
        <v>#N/A</v>
      </c>
      <c r="AD43" s="52" t="e">
        <f>IF(AD$1,SUMIFS('BalSht Data'!$H$2:$H$2050,'BalSht Data'!$G$2:$G$2050,$A43,'BalSht Data'!$A$2:$A$2050,AD$1),#N/A)</f>
        <v>#N/A</v>
      </c>
      <c r="AE43" s="52" t="e">
        <f>IF(AE$1,SUMIFS('BalSht Data'!$H$2:$H$2050,'BalSht Data'!$G$2:$G$2050,$A43,'BalSht Data'!$A$2:$A$2050,AE$1),#N/A)</f>
        <v>#N/A</v>
      </c>
      <c r="AF43" s="52" t="e">
        <f>IF(AF$1,SUMIFS('BalSht Data'!$H$2:$H$2050,'BalSht Data'!$G$2:$G$2050,$A43,'BalSht Data'!$A$2:$A$2050,AF$1),#N/A)</f>
        <v>#N/A</v>
      </c>
      <c r="AG43" s="52" t="e">
        <f>IF(AG$1,SUMIFS('BalSht Data'!$H$2:$H$2050,'BalSht Data'!$G$2:$G$2050,$A43,'BalSht Data'!$A$2:$A$2050,AG$1),#N/A)</f>
        <v>#N/A</v>
      </c>
      <c r="AH43" s="52" t="e">
        <f>IF(AH$1,SUMIFS('BalSht Data'!$H$2:$H$2050,'BalSht Data'!$G$2:$G$2050,$A43,'BalSht Data'!$A$2:$A$2050,AH$1),#N/A)</f>
        <v>#N/A</v>
      </c>
      <c r="AI43" s="52" t="e">
        <f>IF(AI$1,SUMIFS('BalSht Data'!$H$2:$H$2050,'BalSht Data'!$G$2:$G$2050,$A43,'BalSht Data'!$A$2:$A$2050,AI$1),#N/A)</f>
        <v>#N/A</v>
      </c>
      <c r="AJ43" s="52" t="e">
        <f>IF(AJ$1,SUMIFS('BalSht Data'!$H$2:$H$2050,'BalSht Data'!$G$2:$G$2050,$A43,'BalSht Data'!$A$2:$A$2050,AJ$1),#N/A)</f>
        <v>#N/A</v>
      </c>
      <c r="AK43" s="52" t="e">
        <f>IF(AK$1,SUMIFS('BalSht Data'!$H$2:$H$2050,'BalSht Data'!$G$2:$G$2050,$A43,'BalSht Data'!$A$2:$A$2050,AK$1),#N/A)</f>
        <v>#N/A</v>
      </c>
      <c r="AL43" s="52" t="e">
        <f>IF(AL$1,SUMIFS('BalSht Data'!$H$2:$H$2050,'BalSht Data'!$G$2:$G$2050,$A43,'BalSht Data'!$A$2:$A$2050,AL$1),#N/A)</f>
        <v>#N/A</v>
      </c>
      <c r="AM43" s="52" t="e">
        <f>IF(AM$1,SUMIFS('BalSht Data'!$H$2:$H$2050,'BalSht Data'!$G$2:$G$2050,$A43,'BalSht Data'!$A$2:$A$2050,AM$1),#N/A)</f>
        <v>#N/A</v>
      </c>
      <c r="AN43" s="52" t="e">
        <f>IF(AN$1,SUMIFS('BalSht Data'!$H$2:$H$2050,'BalSht Data'!$G$2:$G$2050,$A43,'BalSht Data'!$A$2:$A$2050,AN$1),#N/A)</f>
        <v>#N/A</v>
      </c>
      <c r="AO43" s="52" t="e">
        <f>IF(AO$1,SUMIFS('BalSht Data'!$H$2:$H$2050,'BalSht Data'!$G$2:$G$2050,$A43,'BalSht Data'!$A$2:$A$2050,AO$1),#N/A)</f>
        <v>#N/A</v>
      </c>
      <c r="AP43" s="52" t="e">
        <f>IF(AP$1,SUMIFS('BalSht Data'!$H$2:$H$2050,'BalSht Data'!$G$2:$G$2050,$A43,'BalSht Data'!$A$2:$A$2050,AP$1),#N/A)</f>
        <v>#N/A</v>
      </c>
      <c r="AQ43" s="52" t="e">
        <f>IF(AQ$1,SUMIFS('BalSht Data'!$H$2:$H$2050,'BalSht Data'!$G$2:$G$2050,$A43,'BalSht Data'!$A$2:$A$2050,AQ$1),#N/A)</f>
        <v>#N/A</v>
      </c>
      <c r="AR43" s="52" t="e">
        <f>IF(AR$1,SUMIFS('BalSht Data'!$H$2:$H$2050,'BalSht Data'!$G$2:$G$2050,$A43,'BalSht Data'!$A$2:$A$2050,AR$1),#N/A)</f>
        <v>#N/A</v>
      </c>
      <c r="AS43" s="52" t="e">
        <f>IF(AS$1,SUMIFS('BalSht Data'!$H$2:$H$2050,'BalSht Data'!$G$2:$G$2050,$A43,'BalSht Data'!$A$2:$A$2050,AS$1),#N/A)</f>
        <v>#N/A</v>
      </c>
      <c r="AT43" s="52" t="e">
        <f>IF(AT$1,SUMIFS('BalSht Data'!$H$2:$H$2050,'BalSht Data'!$G$2:$G$2050,$A43,'BalSht Data'!$A$2:$A$2050,AT$1),#N/A)</f>
        <v>#N/A</v>
      </c>
      <c r="AU43" s="52" t="e">
        <f>IF(AU$1,SUMIFS('BalSht Data'!$H$2:$H$2050,'BalSht Data'!$G$2:$G$2050,$A43,'BalSht Data'!$A$2:$A$2050,AU$1),#N/A)</f>
        <v>#N/A</v>
      </c>
      <c r="AV43" s="52" t="e">
        <f>IF(AV$1,SUMIFS('BalSht Data'!$H$2:$H$2050,'BalSht Data'!$G$2:$G$2050,$A43,'BalSht Data'!$A$2:$A$2050,AV$1),#N/A)</f>
        <v>#N/A</v>
      </c>
      <c r="AW43" s="52" t="e">
        <f>IF(AW$1,SUMIFS('BalSht Data'!$H$2:$H$2050,'BalSht Data'!$G$2:$G$2050,$A43,'BalSht Data'!$A$2:$A$2050,AW$1),#N/A)</f>
        <v>#N/A</v>
      </c>
      <c r="AX43" s="52" t="e">
        <f>IF(AX$1,SUMIFS('BalSht Data'!$H$2:$H$2050,'BalSht Data'!$G$2:$G$2050,$A43,'BalSht Data'!$A$2:$A$2050,AX$1),#N/A)</f>
        <v>#N/A</v>
      </c>
      <c r="AY43" s="52" t="e">
        <f>IF(AY$1,SUMIFS('BalSht Data'!$H$2:$H$2050,'BalSht Data'!$G$2:$G$2050,$A43,'BalSht Data'!$A$2:$A$2050,AY$1),#N/A)</f>
        <v>#N/A</v>
      </c>
      <c r="AZ43" s="52" t="e">
        <f>IF(AZ$1,SUMIFS('BalSht Data'!$H$2:$H$2050,'BalSht Data'!$G$2:$G$2050,$A43,'BalSht Data'!$A$2:$A$2050,AZ$1),#N/A)</f>
        <v>#N/A</v>
      </c>
      <c r="BA43" s="52" t="e">
        <f>IF(BA$1,SUMIFS('BalSht Data'!$H$2:$H$2050,'BalSht Data'!$G$2:$G$2050,$A43,'BalSht Data'!$A$2:$A$2050,BA$1),#N/A)</f>
        <v>#N/A</v>
      </c>
      <c r="BB43" s="52" t="e">
        <f>IF(BB$1,SUMIFS('BalSht Data'!$H$2:$H$2050,'BalSht Data'!$G$2:$G$2050,$A43,'BalSht Data'!$A$2:$A$2050,BB$1),#N/A)</f>
        <v>#N/A</v>
      </c>
      <c r="BC43" s="52" t="e">
        <f>IF(BC$1,SUMIFS('BalSht Data'!$H$2:$H$2050,'BalSht Data'!$G$2:$G$2050,$A43,'BalSht Data'!$A$2:$A$2050,BC$1),#N/A)</f>
        <v>#N/A</v>
      </c>
      <c r="BD43" s="52" t="e">
        <f>IF(BD$1,SUMIFS('BalSht Data'!$H$2:$H$2050,'BalSht Data'!$G$2:$G$2050,$A43,'BalSht Data'!$A$2:$A$2050,BD$1),#N/A)</f>
        <v>#N/A</v>
      </c>
      <c r="BE43" s="52" t="e">
        <f>IF(BE$1,SUMIFS('BalSht Data'!$H$2:$H$2050,'BalSht Data'!$G$2:$G$2050,$A43,'BalSht Data'!$A$2:$A$2050,BE$1),#N/A)</f>
        <v>#N/A</v>
      </c>
      <c r="BF43" s="52" t="e">
        <f>IF(BF$1,SUMIFS('BalSht Data'!$H$2:$H$2050,'BalSht Data'!$G$2:$G$2050,$A43,'BalSht Data'!$A$2:$A$2050,BF$1),#N/A)</f>
        <v>#N/A</v>
      </c>
      <c r="BG43" s="52" t="e">
        <f>IF(BG$1,SUMIFS('BalSht Data'!$H$2:$H$2050,'BalSht Data'!$G$2:$G$2050,$A43,'BalSht Data'!$A$2:$A$2050,BG$1),#N/A)</f>
        <v>#N/A</v>
      </c>
      <c r="BH43" s="52" t="e">
        <f>IF(BH$1,SUMIFS('BalSht Data'!$H$2:$H$2050,'BalSht Data'!$G$2:$G$2050,$A43,'BalSht Data'!$A$2:$A$2050,BH$1),#N/A)</f>
        <v>#N/A</v>
      </c>
      <c r="BI43" s="52" t="e">
        <f>IF(BI$1,SUMIFS('BalSht Data'!$H$2:$H$2050,'BalSht Data'!$G$2:$G$2050,$A43,'BalSht Data'!$A$2:$A$2050,BI$1),#N/A)</f>
        <v>#N/A</v>
      </c>
      <c r="BJ43" s="52" t="e">
        <f>IF(BJ$1,SUMIFS('BalSht Data'!$H$2:$H$2050,'BalSht Data'!$G$2:$G$2050,$A43,'BalSht Data'!$A$2:$A$2050,BJ$1),#N/A)</f>
        <v>#N/A</v>
      </c>
      <c r="BK43" s="52" t="e">
        <f>IF(BK$1,SUMIFS('BalSht Data'!$H$2:$H$2050,'BalSht Data'!$G$2:$G$2050,$A43,'BalSht Data'!$A$2:$A$2050,BK$1),#N/A)</f>
        <v>#N/A</v>
      </c>
      <c r="BL43" s="52" t="e">
        <f>IF(BL$1,SUMIFS('BalSht Data'!$H$2:$H$2050,'BalSht Data'!$G$2:$G$2050,$A43,'BalSht Data'!$A$2:$A$2050,BL$1),#N/A)</f>
        <v>#N/A</v>
      </c>
      <c r="BM43" s="52" t="e">
        <f>IF(BM$1,SUMIFS('BalSht Data'!$H$2:$H$2050,'BalSht Data'!$G$2:$G$2050,$A43,'BalSht Data'!$A$2:$A$2050,BM$1),#N/A)</f>
        <v>#N/A</v>
      </c>
      <c r="BN43" s="52" t="e">
        <f>IF(BN$1,SUMIFS('BalSht Data'!$H$2:$H$2050,'BalSht Data'!$G$2:$G$2050,$A43,'BalSht Data'!$A$2:$A$2050,BN$1),#N/A)</f>
        <v>#N/A</v>
      </c>
      <c r="BO43" s="52" t="e">
        <f>IF(BO$1,SUMIFS('BalSht Data'!$H$2:$H$2050,'BalSht Data'!$G$2:$G$2050,$A43,'BalSht Data'!$A$2:$A$2050,BO$1),#N/A)</f>
        <v>#N/A</v>
      </c>
      <c r="BP43" s="52" t="e">
        <f>IF(BP$1,SUMIFS('BalSht Data'!$H$2:$H$2050,'BalSht Data'!$G$2:$G$2050,$A43,'BalSht Data'!$A$2:$A$2050,BP$1),#N/A)</f>
        <v>#N/A</v>
      </c>
      <c r="BQ43" s="52" t="e">
        <f>IF(BQ$1,SUMIFS('BalSht Data'!$H$2:$H$2050,'BalSht Data'!$G$2:$G$2050,$A43,'BalSht Data'!$A$2:$A$2050,BQ$1),#N/A)</f>
        <v>#N/A</v>
      </c>
      <c r="BR43" s="52" t="e">
        <f>IF(BR$1,SUMIFS('BalSht Data'!$H$2:$H$2050,'BalSht Data'!$G$2:$G$2050,$A43,'BalSht Data'!$A$2:$A$2050,BR$1),#N/A)</f>
        <v>#N/A</v>
      </c>
      <c r="BS43" s="52" t="e">
        <f>IF(BS$1,SUMIFS('BalSht Data'!$H$2:$H$2050,'BalSht Data'!$G$2:$G$2050,$A43,'BalSht Data'!$A$2:$A$2050,BS$1),#N/A)</f>
        <v>#N/A</v>
      </c>
      <c r="BT43" s="52" t="e">
        <f>IF(BT$1,SUMIFS('BalSht Data'!$H$2:$H$2050,'BalSht Data'!$G$2:$G$2050,$A43,'BalSht Data'!$A$2:$A$2050,BT$1),#N/A)</f>
        <v>#N/A</v>
      </c>
      <c r="BU43" s="52" t="e">
        <f>IF(BU$1,SUMIFS('BalSht Data'!$H$2:$H$2050,'BalSht Data'!$G$2:$G$2050,$A43,'BalSht Data'!$A$2:$A$2050,BU$1),#N/A)</f>
        <v>#N/A</v>
      </c>
      <c r="BV43" s="52" t="e">
        <f>IF(BV$1,SUMIFS('BalSht Data'!$H$2:$H$2050,'BalSht Data'!$G$2:$G$2050,$A43,'BalSht Data'!$A$2:$A$2050,BV$1),#N/A)</f>
        <v>#N/A</v>
      </c>
      <c r="BW43" s="52" t="e">
        <f>IF(BW$1,SUMIFS('BalSht Data'!$H$2:$H$2050,'BalSht Data'!$G$2:$G$2050,$A43,'BalSht Data'!$A$2:$A$2050,BW$1),#N/A)</f>
        <v>#N/A</v>
      </c>
      <c r="BX43" s="52" t="e">
        <f>IF(BX$1,SUMIFS('BalSht Data'!$H$2:$H$2050,'BalSht Data'!$G$2:$G$2050,$A43,'BalSht Data'!$A$2:$A$2050,BX$1),#N/A)</f>
        <v>#N/A</v>
      </c>
      <c r="BY43" s="52" t="e">
        <f>IF(BY$1,SUMIFS('BalSht Data'!$H$2:$H$2050,'BalSht Data'!$G$2:$G$2050,$A43,'BalSht Data'!$A$2:$A$2050,BY$1),#N/A)</f>
        <v>#N/A</v>
      </c>
      <c r="BZ43" s="52" t="e">
        <f>IF(BZ$1,SUMIFS('BalSht Data'!$H$2:$H$2050,'BalSht Data'!$G$2:$G$2050,$A43,'BalSht Data'!$A$2:$A$2050,BZ$1),#N/A)</f>
        <v>#N/A</v>
      </c>
      <c r="CA43" s="52" t="e">
        <f>IF(CA$1,SUMIFS('BalSht Data'!$H$2:$H$2050,'BalSht Data'!$G$2:$G$2050,$A43,'BalSht Data'!$A$2:$A$2050,CA$1),#N/A)</f>
        <v>#N/A</v>
      </c>
      <c r="CB43" s="52" t="e">
        <f>IF(CB$1,SUMIFS('BalSht Data'!$H$2:$H$2050,'BalSht Data'!$G$2:$G$2050,$A43,'BalSht Data'!$A$2:$A$2050,CB$1),#N/A)</f>
        <v>#N/A</v>
      </c>
      <c r="CC43" s="52" t="e">
        <f>IF(CC$1,SUMIFS('BalSht Data'!$H$2:$H$2050,'BalSht Data'!$G$2:$G$2050,$A43,'BalSht Data'!$A$2:$A$2050,CC$1),#N/A)</f>
        <v>#N/A</v>
      </c>
      <c r="CD43" s="52" t="e">
        <f>IF(CD$1,SUMIFS('BalSht Data'!$H$2:$H$2050,'BalSht Data'!$G$2:$G$2050,$A43,'BalSht Data'!$A$2:$A$2050,CD$1),#N/A)</f>
        <v>#N/A</v>
      </c>
      <c r="CE43" s="52" t="e">
        <f>IF(CE$1,SUMIFS('BalSht Data'!$H$2:$H$2050,'BalSht Data'!$G$2:$G$2050,$A43,'BalSht Data'!$A$2:$A$2050,CE$1),#N/A)</f>
        <v>#N/A</v>
      </c>
      <c r="CF43" s="52" t="e">
        <f>IF(CF$1,SUMIFS('BalSht Data'!$H$2:$H$2050,'BalSht Data'!$G$2:$G$2050,$A43,'BalSht Data'!$A$2:$A$2050,CF$1),#N/A)</f>
        <v>#N/A</v>
      </c>
      <c r="CG43" s="52" t="e">
        <f>IF(CG$1,SUMIFS('BalSht Data'!$H$2:$H$2050,'BalSht Data'!$G$2:$G$2050,$A43,'BalSht Data'!$A$2:$A$2050,CG$1),#N/A)</f>
        <v>#N/A</v>
      </c>
      <c r="CH43" s="52" t="e">
        <f>IF(CH$1,SUMIFS('BalSht Data'!$H$2:$H$2050,'BalSht Data'!$G$2:$G$2050,$A43,'BalSht Data'!$A$2:$A$2050,CH$1),#N/A)</f>
        <v>#N/A</v>
      </c>
      <c r="CI43" s="52" t="e">
        <f>IF(CI$1,SUMIFS('BalSht Data'!$H$2:$H$2050,'BalSht Data'!$G$2:$G$2050,$A43,'BalSht Data'!$A$2:$A$2050,CI$1),#N/A)</f>
        <v>#N/A</v>
      </c>
      <c r="CJ43" s="52" t="e">
        <f>IF(CJ$1,SUMIFS('BalSht Data'!$H$2:$H$2050,'BalSht Data'!$G$2:$G$2050,$A43,'BalSht Data'!$A$2:$A$2050,CJ$1),#N/A)</f>
        <v>#N/A</v>
      </c>
      <c r="CK43" s="52" t="e">
        <f>IF(CK$1,SUMIFS('BalSht Data'!$H$2:$H$2050,'BalSht Data'!$G$2:$G$2050,$A43,'BalSht Data'!$A$2:$A$2050,CK$1),#N/A)</f>
        <v>#N/A</v>
      </c>
      <c r="CL43" s="52" t="e">
        <f>IF(CL$1,SUMIFS('BalSht Data'!$H$2:$H$2050,'BalSht Data'!$G$2:$G$2050,$A43,'BalSht Data'!$A$2:$A$2050,CL$1),#N/A)</f>
        <v>#N/A</v>
      </c>
      <c r="CM43" s="52" t="e">
        <f>IF(CM$1,SUMIFS('BalSht Data'!$H$2:$H$2050,'BalSht Data'!$G$2:$G$2050,$A43,'BalSht Data'!$A$2:$A$2050,CM$1),#N/A)</f>
        <v>#N/A</v>
      </c>
      <c r="CN43" s="52" t="e">
        <f>IF(CN$1,SUMIFS('BalSht Data'!$H$2:$H$2050,'BalSht Data'!$G$2:$G$2050,$A43,'BalSht Data'!$A$2:$A$2050,CN$1),#N/A)</f>
        <v>#N/A</v>
      </c>
      <c r="CO43" s="52" t="e">
        <f>IF(CO$1,SUMIFS('BalSht Data'!$H$2:$H$2050,'BalSht Data'!$G$2:$G$2050,$A43,'BalSht Data'!$A$2:$A$2050,CO$1),#N/A)</f>
        <v>#N/A</v>
      </c>
      <c r="CP43" s="52" t="e">
        <f>IF(CP$1,SUMIFS('BalSht Data'!$H$2:$H$2050,'BalSht Data'!$G$2:$G$2050,$A43,'BalSht Data'!$A$2:$A$2050,CP$1),#N/A)</f>
        <v>#N/A</v>
      </c>
      <c r="CQ43" s="52" t="e">
        <f>IF(CQ$1,SUMIFS('BalSht Data'!$H$2:$H$2050,'BalSht Data'!$G$2:$G$2050,$A43,'BalSht Data'!$A$2:$A$2050,CQ$1),#N/A)</f>
        <v>#N/A</v>
      </c>
      <c r="CR43" s="52" t="e">
        <f>IF(CR$1,SUMIFS('BalSht Data'!$H$2:$H$2050,'BalSht Data'!$G$2:$G$2050,$A43,'BalSht Data'!$A$2:$A$2050,CR$1),#N/A)</f>
        <v>#N/A</v>
      </c>
      <c r="CS43" s="52" t="e">
        <f>IF(CS$1,SUMIFS('BalSht Data'!$H$2:$H$2050,'BalSht Data'!$G$2:$G$2050,$A43,'BalSht Data'!$A$2:$A$2050,CS$1),#N/A)</f>
        <v>#N/A</v>
      </c>
      <c r="CT43" s="52" t="e">
        <f>IF(CT$1,SUMIFS('BalSht Data'!$H$2:$H$2050,'BalSht Data'!$G$2:$G$2050,$A43,'BalSht Data'!$A$2:$A$2050,CT$1),#N/A)</f>
        <v>#N/A</v>
      </c>
      <c r="CU43" s="52" t="e">
        <f>IF(CU$1,SUMIFS('BalSht Data'!$H$2:$H$2050,'BalSht Data'!$G$2:$G$2050,$A43,'BalSht Data'!$A$2:$A$2050,CU$1),#N/A)</f>
        <v>#N/A</v>
      </c>
      <c r="CV43" s="52" t="e">
        <f>IF(CV$1,SUMIFS('BalSht Data'!$H$2:$H$2050,'BalSht Data'!$G$2:$G$2050,$A43,'BalSht Data'!$A$2:$A$2050,CV$1),#N/A)</f>
        <v>#N/A</v>
      </c>
      <c r="CW43" s="52" t="e">
        <f>IF(CW$1,SUMIFS('BalSht Data'!$H$2:$H$2050,'BalSht Data'!$G$2:$G$2050,$A43,'BalSht Data'!$A$2:$A$2050,CW$1),#N/A)</f>
        <v>#N/A</v>
      </c>
      <c r="CX43" s="52" t="e">
        <f>IF(CX$1,SUMIFS('BalSht Data'!$H$2:$H$2050,'BalSht Data'!$G$2:$G$2050,$A43,'BalSht Data'!$A$2:$A$2050,CX$1),#N/A)</f>
        <v>#N/A</v>
      </c>
      <c r="CY43" s="52" t="e">
        <f>IF(CY$1,SUMIFS('BalSht Data'!$H$2:$H$2050,'BalSht Data'!$G$2:$G$2050,$A43,'BalSht Data'!$A$2:$A$2050,CY$1),#N/A)</f>
        <v>#N/A</v>
      </c>
      <c r="CZ43" s="52" t="e">
        <f>IF(CZ$1,SUMIFS('BalSht Data'!$H$2:$H$2050,'BalSht Data'!$G$2:$G$2050,$A43,'BalSht Data'!$A$2:$A$2050,CZ$1),#N/A)</f>
        <v>#N/A</v>
      </c>
      <c r="DA43" s="52"/>
      <c r="DB43" s="52"/>
    </row>
    <row r="44" spans="1:106" s="42" customFormat="1" x14ac:dyDescent="0.2">
      <c r="A44" s="5"/>
      <c r="B44" s="45"/>
      <c r="C44" s="45"/>
      <c r="D44" s="45"/>
      <c r="E44" s="45"/>
      <c r="F44" s="45"/>
      <c r="G44" s="45"/>
      <c r="H44" s="45"/>
      <c r="I44" s="45"/>
      <c r="J44" s="45"/>
      <c r="K44" s="45"/>
      <c r="L44" s="45"/>
      <c r="M44" s="45"/>
      <c r="N44" s="45"/>
      <c r="O44" s="45"/>
      <c r="P44" s="45"/>
      <c r="Q44" s="45"/>
      <c r="R44" s="45"/>
      <c r="S44" s="45"/>
      <c r="T44" s="45"/>
      <c r="U44" s="45"/>
      <c r="V44" s="45"/>
      <c r="W44" s="45"/>
      <c r="X44" s="45"/>
      <c r="Y44" s="45"/>
      <c r="Z44" s="45"/>
      <c r="AA44" s="45"/>
      <c r="AB44" s="45"/>
      <c r="AC44" s="45"/>
      <c r="AD44" s="45"/>
      <c r="AE44" s="45"/>
      <c r="AF44" s="45"/>
      <c r="AG44" s="45"/>
      <c r="AH44" s="45"/>
      <c r="AI44" s="45"/>
      <c r="AJ44" s="45"/>
      <c r="AK44" s="45"/>
      <c r="AL44" s="45"/>
      <c r="AM44" s="45"/>
      <c r="AN44" s="45"/>
      <c r="AO44" s="45"/>
      <c r="AP44" s="45"/>
      <c r="AQ44" s="45"/>
      <c r="AR44" s="45"/>
      <c r="AS44" s="45"/>
      <c r="AT44" s="45"/>
      <c r="AU44" s="45"/>
      <c r="AV44" s="45"/>
      <c r="AW44" s="45"/>
      <c r="AX44" s="45"/>
      <c r="AY44" s="45"/>
      <c r="AZ44" s="45"/>
      <c r="BA44" s="45"/>
      <c r="BB44" s="45"/>
      <c r="BC44" s="45"/>
      <c r="BD44" s="45"/>
      <c r="BE44" s="45"/>
      <c r="BF44" s="45"/>
      <c r="BG44" s="45"/>
      <c r="BH44" s="45"/>
      <c r="BI44" s="45"/>
      <c r="BJ44" s="45"/>
      <c r="BK44" s="45"/>
      <c r="BL44" s="45"/>
      <c r="BM44" s="45"/>
      <c r="BN44" s="45"/>
      <c r="BO44" s="45"/>
      <c r="BP44" s="45"/>
      <c r="BQ44" s="45"/>
      <c r="BR44" s="45"/>
      <c r="BS44" s="45"/>
      <c r="BT44" s="45"/>
      <c r="BU44" s="45"/>
      <c r="BV44" s="45"/>
      <c r="BW44" s="45"/>
      <c r="BX44" s="45"/>
      <c r="BY44" s="45"/>
      <c r="BZ44" s="45"/>
      <c r="CA44" s="45"/>
      <c r="CB44" s="45"/>
      <c r="CC44" s="45"/>
      <c r="CD44" s="45"/>
      <c r="CE44" s="45"/>
      <c r="CF44" s="45"/>
      <c r="CG44" s="45"/>
      <c r="CH44" s="45"/>
      <c r="CI44" s="45"/>
      <c r="CJ44" s="45"/>
      <c r="CK44" s="45"/>
      <c r="CL44" s="45"/>
      <c r="CM44" s="45"/>
      <c r="CN44" s="45"/>
      <c r="CO44" s="45"/>
      <c r="CP44" s="45"/>
      <c r="CQ44" s="45"/>
      <c r="CR44" s="45"/>
      <c r="CS44" s="45"/>
      <c r="CT44" s="45"/>
      <c r="CU44" s="45"/>
      <c r="CV44" s="45"/>
      <c r="CW44" s="45"/>
      <c r="CX44" s="45"/>
      <c r="CY44" s="45"/>
      <c r="CZ44" s="45"/>
    </row>
    <row r="45" spans="1:106" s="42" customFormat="1" x14ac:dyDescent="0.2">
      <c r="A45" s="59" t="s">
        <v>149</v>
      </c>
      <c r="B45" s="42" t="e">
        <f t="shared" ref="B45" si="11">SUM((B31:B43))</f>
        <v>#N/A</v>
      </c>
      <c r="C45" s="42" t="e">
        <f>SUM((C31:C43))</f>
        <v>#N/A</v>
      </c>
      <c r="D45" s="42" t="e">
        <f t="shared" ref="D45:BN45" si="12">SUM((D31:D43))</f>
        <v>#N/A</v>
      </c>
      <c r="E45" s="42" t="e">
        <f t="shared" si="12"/>
        <v>#N/A</v>
      </c>
      <c r="F45" s="42" t="e">
        <f t="shared" si="12"/>
        <v>#N/A</v>
      </c>
      <c r="G45" s="42" t="e">
        <f t="shared" si="12"/>
        <v>#N/A</v>
      </c>
      <c r="H45" s="42" t="e">
        <f t="shared" si="12"/>
        <v>#N/A</v>
      </c>
      <c r="I45" s="42" t="e">
        <f t="shared" si="12"/>
        <v>#N/A</v>
      </c>
      <c r="J45" s="42" t="e">
        <f t="shared" si="12"/>
        <v>#N/A</v>
      </c>
      <c r="K45" s="42" t="e">
        <f t="shared" si="12"/>
        <v>#N/A</v>
      </c>
      <c r="L45" s="42" t="e">
        <f t="shared" si="12"/>
        <v>#N/A</v>
      </c>
      <c r="M45" s="42" t="e">
        <f t="shared" si="12"/>
        <v>#N/A</v>
      </c>
      <c r="N45" s="42" t="e">
        <f t="shared" si="12"/>
        <v>#N/A</v>
      </c>
      <c r="O45" s="42" t="e">
        <f t="shared" si="12"/>
        <v>#N/A</v>
      </c>
      <c r="P45" s="42" t="e">
        <f t="shared" si="12"/>
        <v>#N/A</v>
      </c>
      <c r="Q45" s="42" t="e">
        <f t="shared" si="12"/>
        <v>#N/A</v>
      </c>
      <c r="R45" s="42" t="e">
        <f t="shared" si="12"/>
        <v>#N/A</v>
      </c>
      <c r="S45" s="42" t="e">
        <f t="shared" si="12"/>
        <v>#N/A</v>
      </c>
      <c r="T45" s="42" t="e">
        <f t="shared" si="12"/>
        <v>#N/A</v>
      </c>
      <c r="U45" s="42" t="e">
        <f t="shared" si="12"/>
        <v>#N/A</v>
      </c>
      <c r="V45" s="42" t="e">
        <f t="shared" si="12"/>
        <v>#N/A</v>
      </c>
      <c r="W45" s="42" t="e">
        <f t="shared" si="12"/>
        <v>#N/A</v>
      </c>
      <c r="X45" s="42" t="e">
        <f t="shared" si="12"/>
        <v>#N/A</v>
      </c>
      <c r="Y45" s="42" t="e">
        <f t="shared" si="12"/>
        <v>#N/A</v>
      </c>
      <c r="Z45" s="42" t="e">
        <f t="shared" si="12"/>
        <v>#N/A</v>
      </c>
      <c r="AA45" s="42" t="e">
        <f t="shared" si="12"/>
        <v>#N/A</v>
      </c>
      <c r="AB45" s="42" t="e">
        <f t="shared" si="12"/>
        <v>#N/A</v>
      </c>
      <c r="AC45" s="42" t="e">
        <f t="shared" si="12"/>
        <v>#N/A</v>
      </c>
      <c r="AD45" s="42" t="e">
        <f t="shared" si="12"/>
        <v>#N/A</v>
      </c>
      <c r="AE45" s="42" t="e">
        <f t="shared" si="12"/>
        <v>#N/A</v>
      </c>
      <c r="AF45" s="42" t="e">
        <f t="shared" si="12"/>
        <v>#N/A</v>
      </c>
      <c r="AG45" s="42" t="e">
        <f t="shared" si="12"/>
        <v>#N/A</v>
      </c>
      <c r="AH45" s="42" t="e">
        <f t="shared" si="12"/>
        <v>#N/A</v>
      </c>
      <c r="AI45" s="42" t="e">
        <f t="shared" si="12"/>
        <v>#N/A</v>
      </c>
      <c r="AJ45" s="42" t="e">
        <f t="shared" si="12"/>
        <v>#N/A</v>
      </c>
      <c r="AK45" s="42" t="e">
        <f t="shared" si="12"/>
        <v>#N/A</v>
      </c>
      <c r="AL45" s="42" t="e">
        <f t="shared" si="12"/>
        <v>#N/A</v>
      </c>
      <c r="AM45" s="42" t="e">
        <f t="shared" si="12"/>
        <v>#N/A</v>
      </c>
      <c r="AN45" s="42" t="e">
        <f t="shared" si="12"/>
        <v>#N/A</v>
      </c>
      <c r="AO45" s="42" t="e">
        <f t="shared" si="12"/>
        <v>#N/A</v>
      </c>
      <c r="AP45" s="42" t="e">
        <f t="shared" si="12"/>
        <v>#N/A</v>
      </c>
      <c r="AQ45" s="42" t="e">
        <f t="shared" si="12"/>
        <v>#N/A</v>
      </c>
      <c r="AR45" s="42" t="e">
        <f t="shared" si="12"/>
        <v>#N/A</v>
      </c>
      <c r="AS45" s="42" t="e">
        <f t="shared" si="12"/>
        <v>#N/A</v>
      </c>
      <c r="AT45" s="42" t="e">
        <f t="shared" si="12"/>
        <v>#N/A</v>
      </c>
      <c r="AU45" s="42" t="e">
        <f t="shared" si="12"/>
        <v>#N/A</v>
      </c>
      <c r="AV45" s="42" t="e">
        <f t="shared" si="12"/>
        <v>#N/A</v>
      </c>
      <c r="AW45" s="42" t="e">
        <f t="shared" si="12"/>
        <v>#N/A</v>
      </c>
      <c r="AX45" s="42" t="e">
        <f t="shared" si="12"/>
        <v>#N/A</v>
      </c>
      <c r="AY45" s="42" t="e">
        <f t="shared" si="12"/>
        <v>#N/A</v>
      </c>
      <c r="AZ45" s="42" t="e">
        <f t="shared" si="12"/>
        <v>#N/A</v>
      </c>
      <c r="BA45" s="42" t="e">
        <f t="shared" si="12"/>
        <v>#N/A</v>
      </c>
      <c r="BB45" s="42" t="e">
        <f t="shared" si="12"/>
        <v>#N/A</v>
      </c>
      <c r="BC45" s="42" t="e">
        <f t="shared" si="12"/>
        <v>#N/A</v>
      </c>
      <c r="BD45" s="42" t="e">
        <f t="shared" si="12"/>
        <v>#N/A</v>
      </c>
      <c r="BE45" s="42" t="e">
        <f t="shared" si="12"/>
        <v>#N/A</v>
      </c>
      <c r="BF45" s="42" t="e">
        <f t="shared" si="12"/>
        <v>#N/A</v>
      </c>
      <c r="BG45" s="42" t="e">
        <f t="shared" si="12"/>
        <v>#N/A</v>
      </c>
      <c r="BH45" s="42" t="e">
        <f t="shared" si="12"/>
        <v>#N/A</v>
      </c>
      <c r="BI45" s="42" t="e">
        <f t="shared" si="12"/>
        <v>#N/A</v>
      </c>
      <c r="BJ45" s="42" t="e">
        <f t="shared" si="12"/>
        <v>#N/A</v>
      </c>
      <c r="BK45" s="42" t="e">
        <f t="shared" si="12"/>
        <v>#N/A</v>
      </c>
      <c r="BL45" s="42" t="e">
        <f t="shared" si="12"/>
        <v>#N/A</v>
      </c>
      <c r="BM45" s="42" t="e">
        <f t="shared" si="12"/>
        <v>#N/A</v>
      </c>
      <c r="BN45" s="42" t="e">
        <f t="shared" si="12"/>
        <v>#N/A</v>
      </c>
      <c r="BO45" s="42" t="e">
        <f t="shared" ref="BO45:CZ45" si="13">SUM((BO31:BO43))</f>
        <v>#N/A</v>
      </c>
      <c r="BP45" s="42" t="e">
        <f t="shared" si="13"/>
        <v>#N/A</v>
      </c>
      <c r="BQ45" s="42" t="e">
        <f t="shared" si="13"/>
        <v>#N/A</v>
      </c>
      <c r="BR45" s="42" t="e">
        <f t="shared" si="13"/>
        <v>#N/A</v>
      </c>
      <c r="BS45" s="42" t="e">
        <f t="shared" si="13"/>
        <v>#N/A</v>
      </c>
      <c r="BT45" s="42" t="e">
        <f t="shared" si="13"/>
        <v>#N/A</v>
      </c>
      <c r="BU45" s="42" t="e">
        <f t="shared" si="13"/>
        <v>#N/A</v>
      </c>
      <c r="BV45" s="42" t="e">
        <f t="shared" si="13"/>
        <v>#N/A</v>
      </c>
      <c r="BW45" s="42" t="e">
        <f t="shared" si="13"/>
        <v>#N/A</v>
      </c>
      <c r="BX45" s="42" t="e">
        <f t="shared" si="13"/>
        <v>#N/A</v>
      </c>
      <c r="BY45" s="42" t="e">
        <f t="shared" si="13"/>
        <v>#N/A</v>
      </c>
      <c r="BZ45" s="42" t="e">
        <f t="shared" si="13"/>
        <v>#N/A</v>
      </c>
      <c r="CA45" s="42" t="e">
        <f t="shared" si="13"/>
        <v>#N/A</v>
      </c>
      <c r="CB45" s="42" t="e">
        <f t="shared" si="13"/>
        <v>#N/A</v>
      </c>
      <c r="CC45" s="42" t="e">
        <f t="shared" si="13"/>
        <v>#N/A</v>
      </c>
      <c r="CD45" s="42" t="e">
        <f t="shared" si="13"/>
        <v>#N/A</v>
      </c>
      <c r="CE45" s="42" t="e">
        <f t="shared" si="13"/>
        <v>#N/A</v>
      </c>
      <c r="CF45" s="42" t="e">
        <f t="shared" si="13"/>
        <v>#N/A</v>
      </c>
      <c r="CG45" s="42" t="e">
        <f t="shared" si="13"/>
        <v>#N/A</v>
      </c>
      <c r="CH45" s="42" t="e">
        <f t="shared" si="13"/>
        <v>#N/A</v>
      </c>
      <c r="CI45" s="42" t="e">
        <f t="shared" si="13"/>
        <v>#N/A</v>
      </c>
      <c r="CJ45" s="42" t="e">
        <f t="shared" si="13"/>
        <v>#N/A</v>
      </c>
      <c r="CK45" s="42" t="e">
        <f t="shared" si="13"/>
        <v>#N/A</v>
      </c>
      <c r="CL45" s="42" t="e">
        <f t="shared" si="13"/>
        <v>#N/A</v>
      </c>
      <c r="CM45" s="42" t="e">
        <f t="shared" si="13"/>
        <v>#N/A</v>
      </c>
      <c r="CN45" s="42" t="e">
        <f t="shared" si="13"/>
        <v>#N/A</v>
      </c>
      <c r="CO45" s="42" t="e">
        <f t="shared" si="13"/>
        <v>#N/A</v>
      </c>
      <c r="CP45" s="42" t="e">
        <f t="shared" si="13"/>
        <v>#N/A</v>
      </c>
      <c r="CQ45" s="42" t="e">
        <f t="shared" si="13"/>
        <v>#N/A</v>
      </c>
      <c r="CR45" s="42" t="e">
        <f t="shared" si="13"/>
        <v>#N/A</v>
      </c>
      <c r="CS45" s="42" t="e">
        <f t="shared" si="13"/>
        <v>#N/A</v>
      </c>
      <c r="CT45" s="42" t="e">
        <f t="shared" si="13"/>
        <v>#N/A</v>
      </c>
      <c r="CU45" s="42" t="e">
        <f t="shared" si="13"/>
        <v>#N/A</v>
      </c>
      <c r="CV45" s="42" t="e">
        <f t="shared" si="13"/>
        <v>#N/A</v>
      </c>
      <c r="CW45" s="42" t="e">
        <f t="shared" si="13"/>
        <v>#N/A</v>
      </c>
      <c r="CX45" s="42" t="e">
        <f t="shared" si="13"/>
        <v>#N/A</v>
      </c>
      <c r="CY45" s="42" t="e">
        <f t="shared" si="13"/>
        <v>#N/A</v>
      </c>
      <c r="CZ45" s="42" t="e">
        <f t="shared" si="13"/>
        <v>#N/A</v>
      </c>
    </row>
    <row r="46" spans="1:106" s="42" customFormat="1" x14ac:dyDescent="0.2">
      <c r="A46" s="3"/>
      <c r="B46" s="45"/>
      <c r="C46" s="45"/>
      <c r="D46" s="45"/>
      <c r="E46" s="45"/>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c r="BF46" s="45"/>
      <c r="BG46" s="45"/>
      <c r="BH46" s="45"/>
      <c r="BI46" s="45"/>
      <c r="BJ46" s="45"/>
      <c r="BK46" s="45"/>
      <c r="BL46" s="45"/>
      <c r="BM46" s="45"/>
      <c r="BN46" s="45"/>
      <c r="BO46" s="45"/>
      <c r="BP46" s="45"/>
      <c r="BQ46" s="45"/>
      <c r="BR46" s="45"/>
      <c r="BS46" s="45"/>
      <c r="BT46" s="45"/>
      <c r="BU46" s="45"/>
      <c r="BV46" s="45"/>
      <c r="BW46" s="45"/>
      <c r="BX46" s="45"/>
      <c r="BY46" s="45"/>
      <c r="BZ46" s="45"/>
      <c r="CA46" s="45"/>
      <c r="CB46" s="45"/>
      <c r="CC46" s="45"/>
      <c r="CD46" s="45"/>
      <c r="CE46" s="45"/>
      <c r="CF46" s="45"/>
      <c r="CG46" s="45"/>
      <c r="CH46" s="45"/>
      <c r="CI46" s="45"/>
      <c r="CJ46" s="45"/>
      <c r="CK46" s="45"/>
      <c r="CL46" s="45"/>
      <c r="CM46" s="45"/>
      <c r="CN46" s="45"/>
      <c r="CO46" s="45"/>
      <c r="CP46" s="45"/>
      <c r="CQ46" s="45"/>
      <c r="CR46" s="45"/>
      <c r="CS46" s="45"/>
      <c r="CT46" s="45"/>
      <c r="CU46" s="45"/>
      <c r="CV46" s="45"/>
      <c r="CW46" s="45"/>
      <c r="CX46" s="45"/>
      <c r="CY46" s="45"/>
      <c r="CZ46" s="45"/>
    </row>
    <row r="47" spans="1:106" s="44" customFormat="1" ht="15" x14ac:dyDescent="0.35">
      <c r="A47" s="2" t="s">
        <v>37</v>
      </c>
      <c r="B47" s="52" t="e">
        <f>IF(B$1,(SUM(SUMIFS('BalSht Data'!$H$2:$H$2050,'BalSht Data'!$G$2:$G$2050,$A47,'BalSht Data'!$A$2:$A$2050,B$1),INDEX(IncStmt!$B$2:AR$28,MATCH("NET INCOME / LOSS",IncStmt!$A$2:$A$28,0),MATCH(B1,IncStmt!$B$1:$AS$1,0)))),#N/A)</f>
        <v>#N/A</v>
      </c>
      <c r="C47" s="52" t="e">
        <f>IF(C$1,(SUM(SUMIFS('BalSht Data'!$H$2:$H$2050,'BalSht Data'!$G$2:$G$2050,$A47,'BalSht Data'!$A$2:$A$2050,C$1),INDEX(IncStmt!$B$2:AS$28,MATCH("NET INCOME / LOSS",IncStmt!$A$2:$A$28,0),MATCH(C1,IncStmt!$B$1:$AS$1,0)))),#N/A)</f>
        <v>#N/A</v>
      </c>
      <c r="D47" s="52" t="e">
        <f>IF(D$1,(SUM(SUMIFS('BalSht Data'!$H$2:$H$2050,'BalSht Data'!$G$2:$G$2050,$A47,'BalSht Data'!$A$2:$A$2050,D$1),INDEX(IncStmt!$B$2:AT$28,MATCH("NET INCOME / LOSS",IncStmt!$A$2:$A$28,0),MATCH(D1,IncStmt!$B$1:$AS$1,0)))),#N/A)</f>
        <v>#N/A</v>
      </c>
      <c r="E47" s="52" t="e">
        <f>IF(E$1,(SUM(SUMIFS('BalSht Data'!$H$2:$H$2050,'BalSht Data'!$G$2:$G$2050,$A47,'BalSht Data'!$A$2:$A$2050,E$1),INDEX(IncStmt!$B$2:AU$28,MATCH("NET INCOME / LOSS",IncStmt!$A$2:$A$28,0),MATCH(E1,IncStmt!$B$1:$AS$1,0)))),#N/A)</f>
        <v>#N/A</v>
      </c>
      <c r="F47" s="52" t="e">
        <f>IF(F$1,(SUM(SUMIFS('BalSht Data'!$H$2:$H$2050,'BalSht Data'!$G$2:$G$2050,$A47,'BalSht Data'!$A$2:$A$2050,F$1),INDEX(IncStmt!$B$2:AV$28,MATCH("NET INCOME / LOSS",IncStmt!$A$2:$A$28,0),MATCH(F1,IncStmt!$B$1:$AS$1,0)))),#N/A)</f>
        <v>#N/A</v>
      </c>
      <c r="G47" s="52" t="e">
        <f>IF(G$1,(SUM(SUMIFS('BalSht Data'!$H$2:$H$2050,'BalSht Data'!$G$2:$G$2050,$A47,'BalSht Data'!$A$2:$A$2050,G$1),INDEX(IncStmt!$B$2:AW$28,MATCH("NET INCOME / LOSS",IncStmt!$A$2:$A$28,0),MATCH(G1,IncStmt!$B$1:$AS$1,0)))),#N/A)</f>
        <v>#N/A</v>
      </c>
      <c r="H47" s="52" t="e">
        <f>IF(H$1,(SUM(SUMIFS('BalSht Data'!$H$2:$H$2050,'BalSht Data'!$G$2:$G$2050,$A47,'BalSht Data'!$A$2:$A$2050,H$1),INDEX(IncStmt!$B$2:AX$28,MATCH("NET INCOME / LOSS",IncStmt!$A$2:$A$28,0),MATCH(H1,IncStmt!$B$1:$AS$1,0)))),#N/A)</f>
        <v>#N/A</v>
      </c>
      <c r="I47" s="52" t="e">
        <f>IF(I$1,(SUM(SUMIFS('BalSht Data'!$H$2:$H$2050,'BalSht Data'!$G$2:$G$2050,$A47,'BalSht Data'!$A$2:$A$2050,I$1),INDEX(IncStmt!$B$2:AY$28,MATCH("NET INCOME / LOSS",IncStmt!$A$2:$A$28,0),MATCH(I1,IncStmt!$B$1:$AS$1,0)))),#N/A)</f>
        <v>#N/A</v>
      </c>
      <c r="J47" s="52" t="e">
        <f>IF(J$1,(SUM(SUMIFS('BalSht Data'!$H$2:$H$2050,'BalSht Data'!$G$2:$G$2050,$A47,'BalSht Data'!$A$2:$A$2050,J$1),INDEX(IncStmt!$B$2:AZ$28,MATCH("NET INCOME / LOSS",IncStmt!$A$2:$A$28,0),MATCH(J1,IncStmt!$B$1:$AS$1,0)))),#N/A)</f>
        <v>#N/A</v>
      </c>
      <c r="K47" s="52" t="e">
        <f>IF(K$1,(SUM(SUMIFS('BalSht Data'!$H$2:$H$2050,'BalSht Data'!$G$2:$G$2050,$A47,'BalSht Data'!$A$2:$A$2050,K$1),INDEX(IncStmt!$B$2:BA$28,MATCH("NET INCOME / LOSS",IncStmt!$A$2:$A$28,0),MATCH(K1,IncStmt!$B$1:$AS$1,0)))),#N/A)</f>
        <v>#N/A</v>
      </c>
      <c r="L47" s="52" t="e">
        <f>IF(L$1,(SUM(SUMIFS('BalSht Data'!$H$2:$H$2050,'BalSht Data'!$G$2:$G$2050,$A47,'BalSht Data'!$A$2:$A$2050,L$1),INDEX(IncStmt!$B$2:BB$28,MATCH("NET INCOME / LOSS",IncStmt!$A$2:$A$28,0),MATCH(L1,IncStmt!$B$1:$AS$1,0)))),#N/A)</f>
        <v>#N/A</v>
      </c>
      <c r="M47" s="52" t="e">
        <f>IF(M$1,(SUM(SUMIFS('BalSht Data'!$H$2:$H$2050,'BalSht Data'!$G$2:$G$2050,$A47,'BalSht Data'!$A$2:$A$2050,M$1),INDEX(IncStmt!$B$2:BC$28,MATCH("NET INCOME / LOSS",IncStmt!$A$2:$A$28,0),MATCH(M1,IncStmt!$B$1:$AS$1,0)))),#N/A)</f>
        <v>#N/A</v>
      </c>
      <c r="N47" s="52" t="e">
        <f>IF(N$1,(SUM(SUMIFS('BalSht Data'!$H$2:$H$2050,'BalSht Data'!$G$2:$G$2050,$A47,'BalSht Data'!$A$2:$A$2050,N$1),INDEX(IncStmt!$B$2:BD$28,MATCH("NET INCOME / LOSS",IncStmt!$A$2:$A$28,0),MATCH(N1,IncStmt!$B$1:$AS$1,0)))),#N/A)</f>
        <v>#N/A</v>
      </c>
      <c r="O47" s="52" t="e">
        <f>IF(O$1,(SUM(SUMIFS('BalSht Data'!$H$2:$H$2050,'BalSht Data'!$G$2:$G$2050,$A47,'BalSht Data'!$A$2:$A$2050,O$1),INDEX(IncStmt!$B$2:BE$28,MATCH("NET INCOME / LOSS",IncStmt!$A$2:$A$28,0),MATCH(O1,IncStmt!$B$1:$AS$1,0)))),#N/A)</f>
        <v>#N/A</v>
      </c>
      <c r="P47" s="52" t="e">
        <f>IF(P$1,(SUM(SUMIFS('BalSht Data'!$H$2:$H$2050,'BalSht Data'!$G$2:$G$2050,$A47,'BalSht Data'!$A$2:$A$2050,P$1),INDEX(IncStmt!$B$2:BF$28,MATCH("NET INCOME / LOSS",IncStmt!$A$2:$A$28,0),MATCH(P1,IncStmt!$B$1:$AS$1,0)))),#N/A)</f>
        <v>#N/A</v>
      </c>
      <c r="Q47" s="52" t="e">
        <f>IF(Q$1,(SUM(SUMIFS('BalSht Data'!$H$2:$H$2050,'BalSht Data'!$G$2:$G$2050,$A47,'BalSht Data'!$A$2:$A$2050,Q$1),INDEX(IncStmt!$B$2:BG$28,MATCH("NET INCOME / LOSS",IncStmt!$A$2:$A$28,0),MATCH(Q1,IncStmt!$B$1:$AS$1,0)))),#N/A)</f>
        <v>#N/A</v>
      </c>
      <c r="R47" s="52" t="e">
        <f>IF(R$1,(SUM(SUMIFS('BalSht Data'!$H$2:$H$2050,'BalSht Data'!$G$2:$G$2050,$A47,'BalSht Data'!$A$2:$A$2050,R$1),INDEX(IncStmt!$B$2:BH$28,MATCH("NET INCOME / LOSS",IncStmt!$A$2:$A$28,0),MATCH(R1,IncStmt!$B$1:$AS$1,0)))),#N/A)</f>
        <v>#N/A</v>
      </c>
      <c r="S47" s="52" t="e">
        <f>IF(S$1,(SUM(SUMIFS('BalSht Data'!$H$2:$H$2050,'BalSht Data'!$G$2:$G$2050,$A47,'BalSht Data'!$A$2:$A$2050,S$1),INDEX(IncStmt!$B$2:BI$28,MATCH("NET INCOME / LOSS",IncStmt!$A$2:$A$28,0),MATCH(S1,IncStmt!$B$1:$AS$1,0)))),#N/A)</f>
        <v>#N/A</v>
      </c>
      <c r="T47" s="52" t="e">
        <f>IF(T$1,(SUM(SUMIFS('BalSht Data'!$H$2:$H$2050,'BalSht Data'!$G$2:$G$2050,$A47,'BalSht Data'!$A$2:$A$2050,T$1),INDEX(IncStmt!$B$2:BJ$28,MATCH("NET INCOME / LOSS",IncStmt!$A$2:$A$28,0),MATCH(T1,IncStmt!$B$1:$AS$1,0)))),#N/A)</f>
        <v>#N/A</v>
      </c>
      <c r="U47" s="52" t="e">
        <f>IF(U$1,(SUM(SUMIFS('BalSht Data'!$H$2:$H$2050,'BalSht Data'!$G$2:$G$2050,$A47,'BalSht Data'!$A$2:$A$2050,U$1),INDEX(IncStmt!$B$2:BK$28,MATCH("NET INCOME / LOSS",IncStmt!$A$2:$A$28,0),MATCH(U1,IncStmt!$B$1:$AS$1,0)))),#N/A)</f>
        <v>#N/A</v>
      </c>
      <c r="V47" s="52" t="e">
        <f>IF(V$1,(SUM(SUMIFS('BalSht Data'!$H$2:$H$2050,'BalSht Data'!$G$2:$G$2050,$A47,'BalSht Data'!$A$2:$A$2050,V$1),INDEX(IncStmt!$B$2:BL$28,MATCH("NET INCOME / LOSS",IncStmt!$A$2:$A$28,0),MATCH(V1,IncStmt!$B$1:$AS$1,0)))),#N/A)</f>
        <v>#N/A</v>
      </c>
      <c r="W47" s="52" t="e">
        <f>IF(W$1,(SUM(SUMIFS('BalSht Data'!$H$2:$H$2050,'BalSht Data'!$G$2:$G$2050,$A47,'BalSht Data'!$A$2:$A$2050,W$1),INDEX(IncStmt!$B$2:BM$28,MATCH("NET INCOME / LOSS",IncStmt!$A$2:$A$28,0),MATCH(W1,IncStmt!$B$1:$AS$1,0)))),#N/A)</f>
        <v>#N/A</v>
      </c>
      <c r="X47" s="52" t="e">
        <f>IF(X$1,(SUM(SUMIFS('BalSht Data'!$H$2:$H$2050,'BalSht Data'!$G$2:$G$2050,$A47,'BalSht Data'!$A$2:$A$2050,X$1),INDEX(IncStmt!$B$2:BN$28,MATCH("NET INCOME / LOSS",IncStmt!$A$2:$A$28,0),MATCH(X1,IncStmt!$B$1:$AS$1,0)))),#N/A)</f>
        <v>#N/A</v>
      </c>
      <c r="Y47" s="52" t="e">
        <f>IF(Y$1,(SUM(SUMIFS('BalSht Data'!$H$2:$H$2050,'BalSht Data'!$G$2:$G$2050,$A47,'BalSht Data'!$A$2:$A$2050,Y$1),INDEX(IncStmt!$B$2:BO$28,MATCH("NET INCOME / LOSS",IncStmt!$A$2:$A$28,0),MATCH(Y1,IncStmt!$B$1:$AS$1,0)))),#N/A)</f>
        <v>#N/A</v>
      </c>
      <c r="Z47" s="52" t="e">
        <f>IF(Z$1,(SUM(SUMIFS('BalSht Data'!$H$2:$H$2050,'BalSht Data'!$G$2:$G$2050,$A47,'BalSht Data'!$A$2:$A$2050,Z$1),INDEX(IncStmt!$B$2:BP$28,MATCH("NET INCOME / LOSS",IncStmt!$A$2:$A$28,0),MATCH(Z1,IncStmt!$B$1:$AS$1,0)))),#N/A)</f>
        <v>#N/A</v>
      </c>
      <c r="AA47" s="52" t="e">
        <f>IF(AA$1,(SUM(SUMIFS('BalSht Data'!$H$2:$H$2050,'BalSht Data'!$G$2:$G$2050,$A47,'BalSht Data'!$A$2:$A$2050,AA$1),INDEX(IncStmt!$B$2:BQ$28,MATCH("NET INCOME / LOSS",IncStmt!$A$2:$A$28,0),MATCH(AA1,IncStmt!$B$1:$AS$1,0)))),#N/A)</f>
        <v>#N/A</v>
      </c>
      <c r="AB47" s="52" t="e">
        <f>IF(AB$1,(SUM(SUMIFS('BalSht Data'!$H$2:$H$2050,'BalSht Data'!$G$2:$G$2050,$A47,'BalSht Data'!$A$2:$A$2050,AB$1),INDEX(IncStmt!$B$2:BR$28,MATCH("NET INCOME / LOSS",IncStmt!$A$2:$A$28,0),MATCH(AB1,IncStmt!$B$1:$AS$1,0)))),#N/A)</f>
        <v>#N/A</v>
      </c>
      <c r="AC47" s="52" t="e">
        <f>IF(AC$1,(SUM(SUMIFS('BalSht Data'!$H$2:$H$2050,'BalSht Data'!$G$2:$G$2050,$A47,'BalSht Data'!$A$2:$A$2050,AC$1),INDEX(IncStmt!$B$2:BS$28,MATCH("NET INCOME / LOSS",IncStmt!$A$2:$A$28,0),MATCH(AC1,IncStmt!$B$1:$AS$1,0)))),#N/A)</f>
        <v>#N/A</v>
      </c>
      <c r="AD47" s="52" t="e">
        <f>IF(AD$1,(SUM(SUMIFS('BalSht Data'!$H$2:$H$2050,'BalSht Data'!$G$2:$G$2050,$A47,'BalSht Data'!$A$2:$A$2050,AD$1),INDEX(IncStmt!$B$2:BT$28,MATCH("NET INCOME / LOSS",IncStmt!$A$2:$A$28,0),MATCH(AD1,IncStmt!$B$1:$AS$1,0)))),#N/A)</f>
        <v>#N/A</v>
      </c>
      <c r="AE47" s="52" t="e">
        <f>IF(AE$1,(SUM(SUMIFS('BalSht Data'!$H$2:$H$2050,'BalSht Data'!$G$2:$G$2050,$A47,'BalSht Data'!$A$2:$A$2050,AE$1),INDEX(IncStmt!$B$2:BU$28,MATCH("NET INCOME / LOSS",IncStmt!$A$2:$A$28,0),MATCH(AE1,IncStmt!$B$1:$AS$1,0)))),#N/A)</f>
        <v>#N/A</v>
      </c>
      <c r="AF47" s="52" t="e">
        <f>IF(AF$1,(SUM(SUMIFS('BalSht Data'!$H$2:$H$2050,'BalSht Data'!$G$2:$G$2050,$A47,'BalSht Data'!$A$2:$A$2050,AF$1),INDEX(IncStmt!$B$2:BV$28,MATCH("NET INCOME / LOSS",IncStmt!$A$2:$A$28,0),MATCH(AF1,IncStmt!$B$1:$AS$1,0)))),#N/A)</f>
        <v>#N/A</v>
      </c>
      <c r="AG47" s="52" t="e">
        <f>IF(AG$1,(SUM(SUMIFS('BalSht Data'!$H$2:$H$2050,'BalSht Data'!$G$2:$G$2050,$A47,'BalSht Data'!$A$2:$A$2050,AG$1),INDEX(IncStmt!$B$2:BW$28,MATCH("NET INCOME / LOSS",IncStmt!$A$2:$A$28,0),MATCH(AG1,IncStmt!$B$1:$AS$1,0)))),#N/A)</f>
        <v>#N/A</v>
      </c>
      <c r="AH47" s="52" t="e">
        <f>IF(AH$1,(SUM(SUMIFS('BalSht Data'!$H$2:$H$2050,'BalSht Data'!$G$2:$G$2050,$A47,'BalSht Data'!$A$2:$A$2050,AH$1),INDEX(IncStmt!$B$2:BX$28,MATCH("NET INCOME / LOSS",IncStmt!$A$2:$A$28,0),MATCH(AH1,IncStmt!$B$1:$AS$1,0)))),#N/A)</f>
        <v>#N/A</v>
      </c>
      <c r="AI47" s="52" t="e">
        <f>IF(AI$1,(SUM(SUMIFS('BalSht Data'!$H$2:$H$2050,'BalSht Data'!$G$2:$G$2050,$A47,'BalSht Data'!$A$2:$A$2050,AI$1),INDEX(IncStmt!$B$2:BY$28,MATCH("NET INCOME / LOSS",IncStmt!$A$2:$A$28,0),MATCH(AI1,IncStmt!$B$1:$AS$1,0)))),#N/A)</f>
        <v>#N/A</v>
      </c>
      <c r="AJ47" s="52" t="e">
        <f>IF(AJ$1,(SUM(SUMIFS('BalSht Data'!$H$2:$H$2050,'BalSht Data'!$G$2:$G$2050,$A47,'BalSht Data'!$A$2:$A$2050,AJ$1),INDEX(IncStmt!$B$2:BZ$28,MATCH("NET INCOME / LOSS",IncStmt!$A$2:$A$28,0),MATCH(AJ1,IncStmt!$B$1:$AS$1,0)))),#N/A)</f>
        <v>#N/A</v>
      </c>
      <c r="AK47" s="52" t="e">
        <f>IF(AK$1,(SUM(SUMIFS('BalSht Data'!$H$2:$H$2050,'BalSht Data'!$G$2:$G$2050,$A47,'BalSht Data'!$A$2:$A$2050,AK$1),INDEX(IncStmt!$B$2:CA$28,MATCH("NET INCOME / LOSS",IncStmt!$A$2:$A$28,0),MATCH(AK1,IncStmt!$B$1:$AS$1,0)))),#N/A)</f>
        <v>#N/A</v>
      </c>
      <c r="AL47" s="52" t="e">
        <f>IF(AL$1,(SUM(SUMIFS('BalSht Data'!$H$2:$H$2050,'BalSht Data'!$G$2:$G$2050,$A47,'BalSht Data'!$A$2:$A$2050,AL$1),INDEX(IncStmt!$B$2:CB$28,MATCH("NET INCOME / LOSS",IncStmt!$A$2:$A$28,0),MATCH(AL1,IncStmt!$B$1:$AS$1,0)))),#N/A)</f>
        <v>#N/A</v>
      </c>
      <c r="AM47" s="52" t="e">
        <f>IF(AM$1,(SUM(SUMIFS('BalSht Data'!$H$2:$H$2050,'BalSht Data'!$G$2:$G$2050,$A47,'BalSht Data'!$A$2:$A$2050,AM$1),INDEX(IncStmt!$B$2:CC$28,MATCH("NET INCOME / LOSS",IncStmt!$A$2:$A$28,0),MATCH(AM1,IncStmt!$B$1:$AS$1,0)))),#N/A)</f>
        <v>#N/A</v>
      </c>
      <c r="AN47" s="52" t="e">
        <f>IF(AN$1,(SUM(SUMIFS('BalSht Data'!$H$2:$H$2050,'BalSht Data'!$G$2:$G$2050,$A47,'BalSht Data'!$A$2:$A$2050,AN$1),INDEX(IncStmt!$B$2:CD$28,MATCH("NET INCOME / LOSS",IncStmt!$A$2:$A$28,0),MATCH(AN1,IncStmt!$B$1:$AS$1,0)))),#N/A)</f>
        <v>#N/A</v>
      </c>
      <c r="AO47" s="52" t="e">
        <f>IF(AO$1,(SUM(SUMIFS('BalSht Data'!$H$2:$H$2050,'BalSht Data'!$G$2:$G$2050,$A47,'BalSht Data'!$A$2:$A$2050,AO$1),INDEX(IncStmt!$B$2:CE$28,MATCH("NET INCOME / LOSS",IncStmt!$A$2:$A$28,0),MATCH(AO1,IncStmt!$B$1:$AS$1,0)))),#N/A)</f>
        <v>#N/A</v>
      </c>
      <c r="AP47" s="52" t="e">
        <f>IF(AP$1,(SUM(SUMIFS('BalSht Data'!$H$2:$H$2050,'BalSht Data'!$G$2:$G$2050,$A47,'BalSht Data'!$A$2:$A$2050,AP$1),INDEX(IncStmt!$B$2:CF$28,MATCH("NET INCOME / LOSS",IncStmt!$A$2:$A$28,0),MATCH(AP1,IncStmt!$B$1:$AS$1,0)))),#N/A)</f>
        <v>#N/A</v>
      </c>
      <c r="AQ47" s="52" t="e">
        <f>IF(AQ$1,(SUM(SUMIFS('BalSht Data'!$H$2:$H$2050,'BalSht Data'!$G$2:$G$2050,$A47,'BalSht Data'!$A$2:$A$2050,AQ$1),INDEX(IncStmt!$B$2:CG$28,MATCH("NET INCOME / LOSS",IncStmt!$A$2:$A$28,0),MATCH(AQ1,IncStmt!$B$1:$AS$1,0)))),#N/A)</f>
        <v>#N/A</v>
      </c>
      <c r="AR47" s="52" t="e">
        <f>IF(AR$1,(SUM(SUMIFS('BalSht Data'!$H$2:$H$2050,'BalSht Data'!$G$2:$G$2050,$A47,'BalSht Data'!$A$2:$A$2050,AR$1),INDEX(IncStmt!$B$2:CH$28,MATCH("NET INCOME / LOSS",IncStmt!$A$2:$A$28,0),MATCH(AR1,IncStmt!$B$1:$AS$1,0)))),#N/A)</f>
        <v>#N/A</v>
      </c>
      <c r="AS47" s="52" t="e">
        <f>IF(AS$1,(SUM(SUMIFS('BalSht Data'!$H$2:$H$2050,'BalSht Data'!$G$2:$G$2050,$A47,'BalSht Data'!$A$2:$A$2050,AS$1),INDEX(IncStmt!$B$2:CI$28,MATCH("NET INCOME / LOSS",IncStmt!$A$2:$A$28,0),MATCH(AS1,IncStmt!$B$1:$AS$1,0)))),#N/A)</f>
        <v>#N/A</v>
      </c>
      <c r="AT47" s="52" t="e">
        <f>IF(AT$1,(SUM(SUMIFS('BalSht Data'!$H$2:$H$2050,'BalSht Data'!$G$2:$G$2050,$A47,'BalSht Data'!$A$2:$A$2050,AT$1),INDEX(IncStmt!$B$2:CJ$28,MATCH("NET INCOME / LOSS",IncStmt!$A$2:$A$28,0),MATCH(AT1,IncStmt!$B$1:$AS$1,0)))),#N/A)</f>
        <v>#N/A</v>
      </c>
      <c r="AU47" s="52" t="e">
        <f>IF(AU$1,(SUM(SUMIFS('BalSht Data'!$H$2:$H$2050,'BalSht Data'!$G$2:$G$2050,$A47,'BalSht Data'!$A$2:$A$2050,AU$1),INDEX(IncStmt!$B$2:CK$28,MATCH("NET INCOME / LOSS",IncStmt!$A$2:$A$28,0),MATCH(AU1,IncStmt!$B$1:$AS$1,0)))),#N/A)</f>
        <v>#N/A</v>
      </c>
      <c r="AV47" s="52" t="e">
        <f>IF(AV$1,(SUM(SUMIFS('BalSht Data'!$H$2:$H$2050,'BalSht Data'!$G$2:$G$2050,$A47,'BalSht Data'!$A$2:$A$2050,AV$1),INDEX(IncStmt!$B$2:CL$28,MATCH("NET INCOME / LOSS",IncStmt!$A$2:$A$28,0),MATCH(AV1,IncStmt!$B$1:$AS$1,0)))),#N/A)</f>
        <v>#N/A</v>
      </c>
      <c r="AW47" s="52" t="e">
        <f>IF(AW$1,(SUM(SUMIFS('BalSht Data'!$H$2:$H$2050,'BalSht Data'!$G$2:$G$2050,$A47,'BalSht Data'!$A$2:$A$2050,AW$1),INDEX(IncStmt!$B$2:CM$28,MATCH("NET INCOME / LOSS",IncStmt!$A$2:$A$28,0),MATCH(AW1,IncStmt!$B$1:$AS$1,0)))),#N/A)</f>
        <v>#N/A</v>
      </c>
      <c r="AX47" s="52" t="e">
        <f>IF(AX$1,(SUM(SUMIFS('BalSht Data'!$H$2:$H$2050,'BalSht Data'!$G$2:$G$2050,$A47,'BalSht Data'!$A$2:$A$2050,AX$1),INDEX(IncStmt!$B$2:CN$28,MATCH("NET INCOME / LOSS",IncStmt!$A$2:$A$28,0),MATCH(AX1,IncStmt!$B$1:$AS$1,0)))),#N/A)</f>
        <v>#N/A</v>
      </c>
      <c r="AY47" s="52" t="e">
        <f>IF(AY$1,(SUM(SUMIFS('BalSht Data'!$H$2:$H$2050,'BalSht Data'!$G$2:$G$2050,$A47,'BalSht Data'!$A$2:$A$2050,AY$1),INDEX(IncStmt!$B$2:CO$28,MATCH("NET INCOME / LOSS",IncStmt!$A$2:$A$28,0),MATCH(AY1,IncStmt!$B$1:$AS$1,0)))),#N/A)</f>
        <v>#N/A</v>
      </c>
      <c r="AZ47" s="52" t="e">
        <f>IF(AZ$1,(SUM(SUMIFS('BalSht Data'!$H$2:$H$2050,'BalSht Data'!$G$2:$G$2050,$A47,'BalSht Data'!$A$2:$A$2050,AZ$1),INDEX(IncStmt!$B$2:CP$28,MATCH("NET INCOME / LOSS",IncStmt!$A$2:$A$28,0),MATCH(AZ1,IncStmt!$B$1:$AS$1,0)))),#N/A)</f>
        <v>#N/A</v>
      </c>
      <c r="BA47" s="52" t="e">
        <f>IF(BA$1,(SUM(SUMIFS('BalSht Data'!$H$2:$H$2050,'BalSht Data'!$G$2:$G$2050,$A47,'BalSht Data'!$A$2:$A$2050,BA$1),INDEX(IncStmt!$B$2:CQ$28,MATCH("NET INCOME / LOSS",IncStmt!$A$2:$A$28,0),MATCH(BA1,IncStmt!$B$1:$AS$1,0)))),#N/A)</f>
        <v>#N/A</v>
      </c>
      <c r="BB47" s="52" t="e">
        <f>IF(BB$1,(SUM(SUMIFS('BalSht Data'!$H$2:$H$2050,'BalSht Data'!$G$2:$G$2050,$A47,'BalSht Data'!$A$2:$A$2050,BB$1),INDEX(IncStmt!$B$2:CR$28,MATCH("NET INCOME / LOSS",IncStmt!$A$2:$A$28,0),MATCH(BB1,IncStmt!$B$1:$AS$1,0)))),#N/A)</f>
        <v>#N/A</v>
      </c>
      <c r="BC47" s="52" t="e">
        <f>IF(BC$1,(SUM(SUMIFS('BalSht Data'!$H$2:$H$2050,'BalSht Data'!$G$2:$G$2050,$A47,'BalSht Data'!$A$2:$A$2050,BC$1),INDEX(IncStmt!$B$2:CS$28,MATCH("NET INCOME / LOSS",IncStmt!$A$2:$A$28,0),MATCH(BC1,IncStmt!$B$1:$AS$1,0)))),#N/A)</f>
        <v>#N/A</v>
      </c>
      <c r="BD47" s="52" t="e">
        <f>IF(BD$1,(SUM(SUMIFS('BalSht Data'!$H$2:$H$2050,'BalSht Data'!$G$2:$G$2050,$A47,'BalSht Data'!$A$2:$A$2050,BD$1),INDEX(IncStmt!$B$2:CT$28,MATCH("NET INCOME / LOSS",IncStmt!$A$2:$A$28,0),MATCH(BD1,IncStmt!$B$1:$AS$1,0)))),#N/A)</f>
        <v>#N/A</v>
      </c>
      <c r="BE47" s="52" t="e">
        <f>IF(BE$1,(SUM(SUMIFS('BalSht Data'!$H$2:$H$2050,'BalSht Data'!$G$2:$G$2050,$A47,'BalSht Data'!$A$2:$A$2050,BE$1),INDEX(IncStmt!$B$2:CU$28,MATCH("NET INCOME / LOSS",IncStmt!$A$2:$A$28,0),MATCH(BE1,IncStmt!$B$1:$AS$1,0)))),#N/A)</f>
        <v>#N/A</v>
      </c>
      <c r="BF47" s="52" t="e">
        <f>IF(BF$1,(SUM(SUMIFS('BalSht Data'!$H$2:$H$2050,'BalSht Data'!$G$2:$G$2050,$A47,'BalSht Data'!$A$2:$A$2050,BF$1),INDEX(IncStmt!$B$2:CV$28,MATCH("NET INCOME / LOSS",IncStmt!$A$2:$A$28,0),MATCH(BF1,IncStmt!$B$1:$AS$1,0)))),#N/A)</f>
        <v>#N/A</v>
      </c>
      <c r="BG47" s="52" t="e">
        <f>IF(BG$1,(SUM(SUMIFS('BalSht Data'!$H$2:$H$2050,'BalSht Data'!$G$2:$G$2050,$A47,'BalSht Data'!$A$2:$A$2050,BG$1),INDEX(IncStmt!$B$2:CW$28,MATCH("NET INCOME / LOSS",IncStmt!$A$2:$A$28,0),MATCH(BG1,IncStmt!$B$1:$AS$1,0)))),#N/A)</f>
        <v>#N/A</v>
      </c>
      <c r="BH47" s="52" t="e">
        <f>IF(BH$1,(SUM(SUMIFS('BalSht Data'!$H$2:$H$2050,'BalSht Data'!$G$2:$G$2050,$A47,'BalSht Data'!$A$2:$A$2050,BH$1),INDEX(IncStmt!$B$2:CX$28,MATCH("NET INCOME / LOSS",IncStmt!$A$2:$A$28,0),MATCH(BH1,IncStmt!$B$1:$AS$1,0)))),#N/A)</f>
        <v>#N/A</v>
      </c>
      <c r="BI47" s="52" t="e">
        <f>IF(BI$1,(SUM(SUMIFS('BalSht Data'!$H$2:$H$2050,'BalSht Data'!$G$2:$G$2050,$A47,'BalSht Data'!$A$2:$A$2050,BI$1),INDEX(IncStmt!$B$2:CY$28,MATCH("NET INCOME / LOSS",IncStmt!$A$2:$A$28,0),MATCH(BI1,IncStmt!$B$1:$AS$1,0)))),#N/A)</f>
        <v>#N/A</v>
      </c>
      <c r="BJ47" s="52" t="e">
        <f>IF(BJ$1,(SUM(SUMIFS('BalSht Data'!$H$2:$H$2050,'BalSht Data'!$G$2:$G$2050,$A47,'BalSht Data'!$A$2:$A$2050,BJ$1),INDEX(IncStmt!$B$2:CZ$28,MATCH("NET INCOME / LOSS",IncStmt!$A$2:$A$28,0),MATCH(BJ1,IncStmt!$B$1:$AS$1,0)))),#N/A)</f>
        <v>#N/A</v>
      </c>
      <c r="BK47" s="52" t="e">
        <f>IF(BK$1,(SUM(SUMIFS('BalSht Data'!$H$2:$H$2050,'BalSht Data'!$G$2:$G$2050,$A47,'BalSht Data'!$A$2:$A$2050,BK$1),INDEX(IncStmt!$B$2:DA$28,MATCH("NET INCOME / LOSS",IncStmt!$A$2:$A$28,0),MATCH(BK1,IncStmt!$B$1:$AS$1,0)))),#N/A)</f>
        <v>#N/A</v>
      </c>
      <c r="BL47" s="52" t="e">
        <f>IF(BL$1,(SUM(SUMIFS('BalSht Data'!$H$2:$H$2050,'BalSht Data'!$G$2:$G$2050,$A47,'BalSht Data'!$A$2:$A$2050,BL$1),INDEX(IncStmt!$B$2:DB$28,MATCH("NET INCOME / LOSS",IncStmt!$A$2:$A$28,0),MATCH(BL1,IncStmt!$B$1:$AS$1,0)))),#N/A)</f>
        <v>#N/A</v>
      </c>
      <c r="BM47" s="52" t="e">
        <f>IF(BM$1,(SUM(SUMIFS('BalSht Data'!$H$2:$H$2050,'BalSht Data'!$G$2:$G$2050,$A47,'BalSht Data'!$A$2:$A$2050,BM$1),INDEX(IncStmt!$B$2:DC$28,MATCH("NET INCOME / LOSS",IncStmt!$A$2:$A$28,0),MATCH(BM1,IncStmt!$B$1:$AS$1,0)))),#N/A)</f>
        <v>#N/A</v>
      </c>
      <c r="BN47" s="52" t="e">
        <f>IF(BN$1,(SUM(SUMIFS('BalSht Data'!$H$2:$H$2050,'BalSht Data'!$G$2:$G$2050,$A47,'BalSht Data'!$A$2:$A$2050,BN$1),INDEX(IncStmt!$B$2:DD$28,MATCH("NET INCOME / LOSS",IncStmt!$A$2:$A$28,0),MATCH(BN1,IncStmt!$B$1:$AS$1,0)))),#N/A)</f>
        <v>#N/A</v>
      </c>
      <c r="BO47" s="52" t="e">
        <f>IF(BO$1,(SUM(SUMIFS('BalSht Data'!$H$2:$H$2050,'BalSht Data'!$G$2:$G$2050,$A47,'BalSht Data'!$A$2:$A$2050,BO$1),INDEX(IncStmt!$B$2:DE$28,MATCH("NET INCOME / LOSS",IncStmt!$A$2:$A$28,0),MATCH(BO1,IncStmt!$B$1:$AS$1,0)))),#N/A)</f>
        <v>#N/A</v>
      </c>
      <c r="BP47" s="52" t="e">
        <f>IF(BP$1,(SUM(SUMIFS('BalSht Data'!$H$2:$H$2050,'BalSht Data'!$G$2:$G$2050,$A47,'BalSht Data'!$A$2:$A$2050,BP$1),INDEX(IncStmt!$B$2:DF$28,MATCH("NET INCOME / LOSS",IncStmt!$A$2:$A$28,0),MATCH(BP1,IncStmt!$B$1:$AS$1,0)))),#N/A)</f>
        <v>#N/A</v>
      </c>
      <c r="BQ47" s="52" t="e">
        <f>IF(BQ$1,(SUM(SUMIFS('BalSht Data'!$H$2:$H$2050,'BalSht Data'!$G$2:$G$2050,$A47,'BalSht Data'!$A$2:$A$2050,BQ$1),INDEX(IncStmt!$B$2:DG$28,MATCH("NET INCOME / LOSS",IncStmt!$A$2:$A$28,0),MATCH(BQ1,IncStmt!$B$1:$AS$1,0)))),#N/A)</f>
        <v>#N/A</v>
      </c>
      <c r="BR47" s="52" t="e">
        <f>IF(BR$1,(SUM(SUMIFS('BalSht Data'!$H$2:$H$2050,'BalSht Data'!$G$2:$G$2050,$A47,'BalSht Data'!$A$2:$A$2050,BR$1),INDEX(IncStmt!$B$2:DH$28,MATCH("NET INCOME / LOSS",IncStmt!$A$2:$A$28,0),MATCH(BR1,IncStmt!$B$1:$AS$1,0)))),#N/A)</f>
        <v>#N/A</v>
      </c>
      <c r="BS47" s="52" t="e">
        <f>IF(BS$1,(SUM(SUMIFS('BalSht Data'!$H$2:$H$2050,'BalSht Data'!$G$2:$G$2050,$A47,'BalSht Data'!$A$2:$A$2050,BS$1),INDEX(IncStmt!$B$2:DI$28,MATCH("NET INCOME / LOSS",IncStmt!$A$2:$A$28,0),MATCH(BS1,IncStmt!$B$1:$AS$1,0)))),#N/A)</f>
        <v>#N/A</v>
      </c>
      <c r="BT47" s="52" t="e">
        <f>IF(BT$1,(SUM(SUMIFS('BalSht Data'!$H$2:$H$2050,'BalSht Data'!$G$2:$G$2050,$A47,'BalSht Data'!$A$2:$A$2050,BT$1),INDEX(IncStmt!$B$2:DJ$28,MATCH("NET INCOME / LOSS",IncStmt!$A$2:$A$28,0),MATCH(BT1,IncStmt!$B$1:$AS$1,0)))),#N/A)</f>
        <v>#N/A</v>
      </c>
      <c r="BU47" s="52" t="e">
        <f>IF(BU$1,(SUM(SUMIFS('BalSht Data'!$H$2:$H$2050,'BalSht Data'!$G$2:$G$2050,$A47,'BalSht Data'!$A$2:$A$2050,BU$1),INDEX(IncStmt!$B$2:DK$28,MATCH("NET INCOME / LOSS",IncStmt!$A$2:$A$28,0),MATCH(BU1,IncStmt!$B$1:$AS$1,0)))),#N/A)</f>
        <v>#N/A</v>
      </c>
      <c r="BV47" s="52" t="e">
        <f>IF(BV$1,(SUM(SUMIFS('BalSht Data'!$H$2:$H$2050,'BalSht Data'!$G$2:$G$2050,$A47,'BalSht Data'!$A$2:$A$2050,BV$1),INDEX(IncStmt!$B$2:DL$28,MATCH("NET INCOME / LOSS",IncStmt!$A$2:$A$28,0),MATCH(BV1,IncStmt!$B$1:$AS$1,0)))),#N/A)</f>
        <v>#N/A</v>
      </c>
      <c r="BW47" s="52" t="e">
        <f>IF(BW$1,(SUM(SUMIFS('BalSht Data'!$H$2:$H$2050,'BalSht Data'!$G$2:$G$2050,$A47,'BalSht Data'!$A$2:$A$2050,BW$1),INDEX(IncStmt!$B$2:DM$28,MATCH("NET INCOME / LOSS",IncStmt!$A$2:$A$28,0),MATCH(BW1,IncStmt!$B$1:$AS$1,0)))),#N/A)</f>
        <v>#N/A</v>
      </c>
      <c r="BX47" s="52" t="e">
        <f>IF(BX$1,(SUM(SUMIFS('BalSht Data'!$H$2:$H$2050,'BalSht Data'!$G$2:$G$2050,$A47,'BalSht Data'!$A$2:$A$2050,BX$1),INDEX(IncStmt!$B$2:DN$28,MATCH("NET INCOME / LOSS",IncStmt!$A$2:$A$28,0),MATCH(BX1,IncStmt!$B$1:$AS$1,0)))),#N/A)</f>
        <v>#N/A</v>
      </c>
      <c r="BY47" s="52" t="e">
        <f>IF(BY$1,(SUM(SUMIFS('BalSht Data'!$H$2:$H$2050,'BalSht Data'!$G$2:$G$2050,$A47,'BalSht Data'!$A$2:$A$2050,BY$1),INDEX(IncStmt!$B$2:DO$28,MATCH("NET INCOME / LOSS",IncStmt!$A$2:$A$28,0),MATCH(BY1,IncStmt!$B$1:$AS$1,0)))),#N/A)</f>
        <v>#N/A</v>
      </c>
      <c r="BZ47" s="52" t="e">
        <f>IF(BZ$1,(SUM(SUMIFS('BalSht Data'!$H$2:$H$2050,'BalSht Data'!$G$2:$G$2050,$A47,'BalSht Data'!$A$2:$A$2050,BZ$1),INDEX(IncStmt!$B$2:DP$28,MATCH("NET INCOME / LOSS",IncStmt!$A$2:$A$28,0),MATCH(BZ1,IncStmt!$B$1:$AS$1,0)))),#N/A)</f>
        <v>#N/A</v>
      </c>
      <c r="CA47" s="52" t="e">
        <f>IF(CA$1,(SUM(SUMIFS('BalSht Data'!$H$2:$H$2050,'BalSht Data'!$G$2:$G$2050,$A47,'BalSht Data'!$A$2:$A$2050,CA$1),INDEX(IncStmt!$B$2:DQ$28,MATCH("NET INCOME / LOSS",IncStmt!$A$2:$A$28,0),MATCH(CA1,IncStmt!$B$1:$AS$1,0)))),#N/A)</f>
        <v>#N/A</v>
      </c>
      <c r="CB47" s="52" t="e">
        <f>IF(CB$1,(SUM(SUMIFS('BalSht Data'!$H$2:$H$2050,'BalSht Data'!$G$2:$G$2050,$A47,'BalSht Data'!$A$2:$A$2050,CB$1),INDEX(IncStmt!$B$2:DR$28,MATCH("NET INCOME / LOSS",IncStmt!$A$2:$A$28,0),MATCH(CB1,IncStmt!$B$1:$AS$1,0)))),#N/A)</f>
        <v>#N/A</v>
      </c>
      <c r="CC47" s="52" t="e">
        <f>IF(CC$1,(SUM(SUMIFS('BalSht Data'!$H$2:$H$2050,'BalSht Data'!$G$2:$G$2050,$A47,'BalSht Data'!$A$2:$A$2050,CC$1),INDEX(IncStmt!$B$2:DS$28,MATCH("NET INCOME / LOSS",IncStmt!$A$2:$A$28,0),MATCH(CC1,IncStmt!$B$1:$AS$1,0)))),#N/A)</f>
        <v>#N/A</v>
      </c>
      <c r="CD47" s="52" t="e">
        <f>IF(CD$1,(SUM(SUMIFS('BalSht Data'!$H$2:$H$2050,'BalSht Data'!$G$2:$G$2050,$A47,'BalSht Data'!$A$2:$A$2050,CD$1),INDEX(IncStmt!$B$2:DT$28,MATCH("NET INCOME / LOSS",IncStmt!$A$2:$A$28,0),MATCH(CD1,IncStmt!$B$1:$AS$1,0)))),#N/A)</f>
        <v>#N/A</v>
      </c>
      <c r="CE47" s="52" t="e">
        <f>IF(CE$1,(SUM(SUMIFS('BalSht Data'!$H$2:$H$2050,'BalSht Data'!$G$2:$G$2050,$A47,'BalSht Data'!$A$2:$A$2050,CE$1),INDEX(IncStmt!$B$2:DU$28,MATCH("NET INCOME / LOSS",IncStmt!$A$2:$A$28,0),MATCH(CE1,IncStmt!$B$1:$AS$1,0)))),#N/A)</f>
        <v>#N/A</v>
      </c>
      <c r="CF47" s="52" t="e">
        <f>IF(CF$1,(SUM(SUMIFS('BalSht Data'!$H$2:$H$2050,'BalSht Data'!$G$2:$G$2050,$A47,'BalSht Data'!$A$2:$A$2050,CF$1),INDEX(IncStmt!$B$2:DV$28,MATCH("NET INCOME / LOSS",IncStmt!$A$2:$A$28,0),MATCH(CF1,IncStmt!$B$1:$AS$1,0)))),#N/A)</f>
        <v>#N/A</v>
      </c>
      <c r="CG47" s="52" t="e">
        <f>IF(CG$1,(SUM(SUMIFS('BalSht Data'!$H$2:$H$2050,'BalSht Data'!$G$2:$G$2050,$A47,'BalSht Data'!$A$2:$A$2050,CG$1),INDEX(IncStmt!$B$2:DW$28,MATCH("NET INCOME / LOSS",IncStmt!$A$2:$A$28,0),MATCH(CG1,IncStmt!$B$1:$AS$1,0)))),#N/A)</f>
        <v>#N/A</v>
      </c>
      <c r="CH47" s="52" t="e">
        <f>IF(CH$1,(SUM(SUMIFS('BalSht Data'!$H$2:$H$2050,'BalSht Data'!$G$2:$G$2050,$A47,'BalSht Data'!$A$2:$A$2050,CH$1),INDEX(IncStmt!$B$2:DX$28,MATCH("NET INCOME / LOSS",IncStmt!$A$2:$A$28,0),MATCH(CH1,IncStmt!$B$1:$AS$1,0)))),#N/A)</f>
        <v>#N/A</v>
      </c>
      <c r="CI47" s="52" t="e">
        <f>IF(CI$1,(SUM(SUMIFS('BalSht Data'!$H$2:$H$2050,'BalSht Data'!$G$2:$G$2050,$A47,'BalSht Data'!$A$2:$A$2050,CI$1),INDEX(IncStmt!$B$2:DY$28,MATCH("NET INCOME / LOSS",IncStmt!$A$2:$A$28,0),MATCH(CI1,IncStmt!$B$1:$AS$1,0)))),#N/A)</f>
        <v>#N/A</v>
      </c>
      <c r="CJ47" s="52" t="e">
        <f>IF(CJ$1,(SUM(SUMIFS('BalSht Data'!$H$2:$H$2050,'BalSht Data'!$G$2:$G$2050,$A47,'BalSht Data'!$A$2:$A$2050,CJ$1),INDEX(IncStmt!$B$2:DZ$28,MATCH("NET INCOME / LOSS",IncStmt!$A$2:$A$28,0),MATCH(CJ1,IncStmt!$B$1:$AS$1,0)))),#N/A)</f>
        <v>#N/A</v>
      </c>
      <c r="CK47" s="52" t="e">
        <f>IF(CK$1,(SUM(SUMIFS('BalSht Data'!$H$2:$H$2050,'BalSht Data'!$G$2:$G$2050,$A47,'BalSht Data'!$A$2:$A$2050,CK$1),INDEX(IncStmt!$B$2:EA$28,MATCH("NET INCOME / LOSS",IncStmt!$A$2:$A$28,0),MATCH(CK1,IncStmt!$B$1:$AS$1,0)))),#N/A)</f>
        <v>#N/A</v>
      </c>
      <c r="CL47" s="52" t="e">
        <f>IF(CL$1,(SUM(SUMIFS('BalSht Data'!$H$2:$H$2050,'BalSht Data'!$G$2:$G$2050,$A47,'BalSht Data'!$A$2:$A$2050,CL$1),INDEX(IncStmt!$B$2:EB$28,MATCH("NET INCOME / LOSS",IncStmt!$A$2:$A$28,0),MATCH(CL1,IncStmt!$B$1:$AS$1,0)))),#N/A)</f>
        <v>#N/A</v>
      </c>
      <c r="CM47" s="52" t="e">
        <f>IF(CM$1,(SUM(SUMIFS('BalSht Data'!$H$2:$H$2050,'BalSht Data'!$G$2:$G$2050,$A47,'BalSht Data'!$A$2:$A$2050,CM$1),INDEX(IncStmt!$B$2:EC$28,MATCH("NET INCOME / LOSS",IncStmt!$A$2:$A$28,0),MATCH(CM1,IncStmt!$B$1:$AS$1,0)))),#N/A)</f>
        <v>#N/A</v>
      </c>
      <c r="CN47" s="52" t="e">
        <f>IF(CN$1,(SUM(SUMIFS('BalSht Data'!$H$2:$H$2050,'BalSht Data'!$G$2:$G$2050,$A47,'BalSht Data'!$A$2:$A$2050,CN$1),INDEX(IncStmt!$B$2:ED$28,MATCH("NET INCOME / LOSS",IncStmt!$A$2:$A$28,0),MATCH(CN1,IncStmt!$B$1:$AS$1,0)))),#N/A)</f>
        <v>#N/A</v>
      </c>
      <c r="CO47" s="52" t="e">
        <f>IF(CO$1,(SUM(SUMIFS('BalSht Data'!$H$2:$H$2050,'BalSht Data'!$G$2:$G$2050,$A47,'BalSht Data'!$A$2:$A$2050,CO$1),INDEX(IncStmt!$B$2:EE$28,MATCH("NET INCOME / LOSS",IncStmt!$A$2:$A$28,0),MATCH(CO1,IncStmt!$B$1:$AS$1,0)))),#N/A)</f>
        <v>#N/A</v>
      </c>
      <c r="CP47" s="52" t="e">
        <f>IF(CP$1,(SUM(SUMIFS('BalSht Data'!$H$2:$H$2050,'BalSht Data'!$G$2:$G$2050,$A47,'BalSht Data'!$A$2:$A$2050,CP$1),INDEX(IncStmt!$B$2:EF$28,MATCH("NET INCOME / LOSS",IncStmt!$A$2:$A$28,0),MATCH(CP1,IncStmt!$B$1:$AS$1,0)))),#N/A)</f>
        <v>#N/A</v>
      </c>
      <c r="CQ47" s="52" t="e">
        <f>IF(CQ$1,(SUM(SUMIFS('BalSht Data'!$H$2:$H$2050,'BalSht Data'!$G$2:$G$2050,$A47,'BalSht Data'!$A$2:$A$2050,CQ$1),INDEX(IncStmt!$B$2:EG$28,MATCH("NET INCOME / LOSS",IncStmt!$A$2:$A$28,0),MATCH(CQ1,IncStmt!$B$1:$AS$1,0)))),#N/A)</f>
        <v>#N/A</v>
      </c>
      <c r="CR47" s="52" t="e">
        <f>IF(CR$1,(SUM(SUMIFS('BalSht Data'!$H$2:$H$2050,'BalSht Data'!$G$2:$G$2050,$A47,'BalSht Data'!$A$2:$A$2050,CR$1),INDEX(IncStmt!$B$2:EH$28,MATCH("NET INCOME / LOSS",IncStmt!$A$2:$A$28,0),MATCH(CR1,IncStmt!$B$1:$AS$1,0)))),#N/A)</f>
        <v>#N/A</v>
      </c>
      <c r="CS47" s="52" t="e">
        <f>IF(CS$1,(SUM(SUMIFS('BalSht Data'!$H$2:$H$2050,'BalSht Data'!$G$2:$G$2050,$A47,'BalSht Data'!$A$2:$A$2050,CS$1),INDEX(IncStmt!$B$2:EI$28,MATCH("NET INCOME / LOSS",IncStmt!$A$2:$A$28,0),MATCH(CS1,IncStmt!$B$1:$AS$1,0)))),#N/A)</f>
        <v>#N/A</v>
      </c>
      <c r="CT47" s="52" t="e">
        <f>IF(CT$1,(SUM(SUMIFS('BalSht Data'!$H$2:$H$2050,'BalSht Data'!$G$2:$G$2050,$A47,'BalSht Data'!$A$2:$A$2050,CT$1),INDEX(IncStmt!$B$2:EJ$28,MATCH("NET INCOME / LOSS",IncStmt!$A$2:$A$28,0),MATCH(CT1,IncStmt!$B$1:$AS$1,0)))),#N/A)</f>
        <v>#N/A</v>
      </c>
      <c r="CU47" s="52" t="e">
        <f>IF(CU$1,(SUM(SUMIFS('BalSht Data'!$H$2:$H$2050,'BalSht Data'!$G$2:$G$2050,$A47,'BalSht Data'!$A$2:$A$2050,CU$1),INDEX(IncStmt!$B$2:EK$28,MATCH("NET INCOME / LOSS",IncStmt!$A$2:$A$28,0),MATCH(CU1,IncStmt!$B$1:$AS$1,0)))),#N/A)</f>
        <v>#N/A</v>
      </c>
      <c r="CV47" s="52" t="e">
        <f>IF(CV$1,(SUM(SUMIFS('BalSht Data'!$H$2:$H$2050,'BalSht Data'!$G$2:$G$2050,$A47,'BalSht Data'!$A$2:$A$2050,CV$1),INDEX(IncStmt!$B$2:EL$28,MATCH("NET INCOME / LOSS",IncStmt!$A$2:$A$28,0),MATCH(CV1,IncStmt!$B$1:$AS$1,0)))),#N/A)</f>
        <v>#N/A</v>
      </c>
      <c r="CW47" s="52" t="e">
        <f>IF(CW$1,(SUM(SUMIFS('BalSht Data'!$H$2:$H$2050,'BalSht Data'!$G$2:$G$2050,$A47,'BalSht Data'!$A$2:$A$2050,CW$1),INDEX(IncStmt!$B$2:EM$28,MATCH("NET INCOME / LOSS",IncStmt!$A$2:$A$28,0),MATCH(CW1,IncStmt!$B$1:$AS$1,0)))),#N/A)</f>
        <v>#N/A</v>
      </c>
      <c r="CX47" s="52" t="e">
        <f>IF(CX$1,(SUM(SUMIFS('BalSht Data'!$H$2:$H$2050,'BalSht Data'!$G$2:$G$2050,$A47,'BalSht Data'!$A$2:$A$2050,CX$1),INDEX(IncStmt!$B$2:EN$28,MATCH("NET INCOME / LOSS",IncStmt!$A$2:$A$28,0),MATCH(CX1,IncStmt!$B$1:$AS$1,0)))),#N/A)</f>
        <v>#N/A</v>
      </c>
      <c r="CY47" s="52" t="e">
        <f>IF(CY$1,(SUM(SUMIFS('BalSht Data'!$H$2:$H$2050,'BalSht Data'!$G$2:$G$2050,$A47,'BalSht Data'!$A$2:$A$2050,CY$1),INDEX(IncStmt!$B$2:EO$28,MATCH("NET INCOME / LOSS",IncStmt!$A$2:$A$28,0),MATCH(CY1,IncStmt!$B$1:$AS$1,0)))),#N/A)</f>
        <v>#N/A</v>
      </c>
      <c r="CZ47" s="52" t="e">
        <f>IF(CZ$1,(SUM(SUMIFS('BalSht Data'!$H$2:$H$2050,'BalSht Data'!$G$2:$G$2050,$A47,'BalSht Data'!$A$2:$A$2050,CZ$1),INDEX(IncStmt!$B$2:EP$28,MATCH("NET INCOME / LOSS",IncStmt!$A$2:$A$28,0),MATCH(CZ1,IncStmt!$B$1:$AS$1,0)))),#N/A)</f>
        <v>#N/A</v>
      </c>
    </row>
    <row r="48" spans="1:106" s="42" customFormat="1" x14ac:dyDescent="0.2">
      <c r="A48" s="3"/>
    </row>
    <row r="49" spans="1:104" s="44" customFormat="1" ht="15" x14ac:dyDescent="0.35">
      <c r="A49" s="4" t="s">
        <v>150</v>
      </c>
      <c r="B49" s="54" t="e">
        <f t="shared" ref="B49" si="14">+B45+B47</f>
        <v>#N/A</v>
      </c>
      <c r="C49" s="54" t="e">
        <f>+C45+C47</f>
        <v>#N/A</v>
      </c>
      <c r="D49" s="54" t="e">
        <f t="shared" ref="D49:BN49" si="15">+D45+D47</f>
        <v>#N/A</v>
      </c>
      <c r="E49" s="54" t="e">
        <f t="shared" si="15"/>
        <v>#N/A</v>
      </c>
      <c r="F49" s="54" t="e">
        <f t="shared" si="15"/>
        <v>#N/A</v>
      </c>
      <c r="G49" s="54" t="e">
        <f t="shared" si="15"/>
        <v>#N/A</v>
      </c>
      <c r="H49" s="54" t="e">
        <f t="shared" si="15"/>
        <v>#N/A</v>
      </c>
      <c r="I49" s="54" t="e">
        <f t="shared" si="15"/>
        <v>#N/A</v>
      </c>
      <c r="J49" s="54" t="e">
        <f t="shared" si="15"/>
        <v>#N/A</v>
      </c>
      <c r="K49" s="54" t="e">
        <f t="shared" si="15"/>
        <v>#N/A</v>
      </c>
      <c r="L49" s="54" t="e">
        <f t="shared" si="15"/>
        <v>#N/A</v>
      </c>
      <c r="M49" s="54" t="e">
        <f t="shared" si="15"/>
        <v>#N/A</v>
      </c>
      <c r="N49" s="54" t="e">
        <f t="shared" si="15"/>
        <v>#N/A</v>
      </c>
      <c r="O49" s="54" t="e">
        <f t="shared" si="15"/>
        <v>#N/A</v>
      </c>
      <c r="P49" s="54" t="e">
        <f t="shared" si="15"/>
        <v>#N/A</v>
      </c>
      <c r="Q49" s="54" t="e">
        <f t="shared" si="15"/>
        <v>#N/A</v>
      </c>
      <c r="R49" s="54" t="e">
        <f t="shared" si="15"/>
        <v>#N/A</v>
      </c>
      <c r="S49" s="54" t="e">
        <f t="shared" si="15"/>
        <v>#N/A</v>
      </c>
      <c r="T49" s="54" t="e">
        <f t="shared" si="15"/>
        <v>#N/A</v>
      </c>
      <c r="U49" s="54" t="e">
        <f t="shared" si="15"/>
        <v>#N/A</v>
      </c>
      <c r="V49" s="54" t="e">
        <f t="shared" si="15"/>
        <v>#N/A</v>
      </c>
      <c r="W49" s="54" t="e">
        <f t="shared" si="15"/>
        <v>#N/A</v>
      </c>
      <c r="X49" s="54" t="e">
        <f t="shared" si="15"/>
        <v>#N/A</v>
      </c>
      <c r="Y49" s="54" t="e">
        <f t="shared" si="15"/>
        <v>#N/A</v>
      </c>
      <c r="Z49" s="54" t="e">
        <f t="shared" si="15"/>
        <v>#N/A</v>
      </c>
      <c r="AA49" s="54" t="e">
        <f t="shared" si="15"/>
        <v>#N/A</v>
      </c>
      <c r="AB49" s="54" t="e">
        <f t="shared" si="15"/>
        <v>#N/A</v>
      </c>
      <c r="AC49" s="54" t="e">
        <f t="shared" si="15"/>
        <v>#N/A</v>
      </c>
      <c r="AD49" s="54" t="e">
        <f t="shared" si="15"/>
        <v>#N/A</v>
      </c>
      <c r="AE49" s="54" t="e">
        <f t="shared" si="15"/>
        <v>#N/A</v>
      </c>
      <c r="AF49" s="54" t="e">
        <f t="shared" si="15"/>
        <v>#N/A</v>
      </c>
      <c r="AG49" s="54" t="e">
        <f t="shared" si="15"/>
        <v>#N/A</v>
      </c>
      <c r="AH49" s="54" t="e">
        <f t="shared" si="15"/>
        <v>#N/A</v>
      </c>
      <c r="AI49" s="54" t="e">
        <f t="shared" si="15"/>
        <v>#N/A</v>
      </c>
      <c r="AJ49" s="54" t="e">
        <f t="shared" si="15"/>
        <v>#N/A</v>
      </c>
      <c r="AK49" s="54" t="e">
        <f t="shared" si="15"/>
        <v>#N/A</v>
      </c>
      <c r="AL49" s="54" t="e">
        <f t="shared" si="15"/>
        <v>#N/A</v>
      </c>
      <c r="AM49" s="54" t="e">
        <f t="shared" si="15"/>
        <v>#N/A</v>
      </c>
      <c r="AN49" s="54" t="e">
        <f t="shared" si="15"/>
        <v>#N/A</v>
      </c>
      <c r="AO49" s="54" t="e">
        <f t="shared" si="15"/>
        <v>#N/A</v>
      </c>
      <c r="AP49" s="54" t="e">
        <f t="shared" si="15"/>
        <v>#N/A</v>
      </c>
      <c r="AQ49" s="54" t="e">
        <f t="shared" si="15"/>
        <v>#N/A</v>
      </c>
      <c r="AR49" s="54" t="e">
        <f t="shared" si="15"/>
        <v>#N/A</v>
      </c>
      <c r="AS49" s="54" t="e">
        <f t="shared" si="15"/>
        <v>#N/A</v>
      </c>
      <c r="AT49" s="54" t="e">
        <f t="shared" si="15"/>
        <v>#N/A</v>
      </c>
      <c r="AU49" s="54" t="e">
        <f t="shared" si="15"/>
        <v>#N/A</v>
      </c>
      <c r="AV49" s="54" t="e">
        <f t="shared" si="15"/>
        <v>#N/A</v>
      </c>
      <c r="AW49" s="54" t="e">
        <f t="shared" si="15"/>
        <v>#N/A</v>
      </c>
      <c r="AX49" s="54" t="e">
        <f t="shared" si="15"/>
        <v>#N/A</v>
      </c>
      <c r="AY49" s="54" t="e">
        <f t="shared" si="15"/>
        <v>#N/A</v>
      </c>
      <c r="AZ49" s="54" t="e">
        <f t="shared" si="15"/>
        <v>#N/A</v>
      </c>
      <c r="BA49" s="54" t="e">
        <f t="shared" si="15"/>
        <v>#N/A</v>
      </c>
      <c r="BB49" s="54" t="e">
        <f t="shared" si="15"/>
        <v>#N/A</v>
      </c>
      <c r="BC49" s="54" t="e">
        <f t="shared" si="15"/>
        <v>#N/A</v>
      </c>
      <c r="BD49" s="54" t="e">
        <f t="shared" si="15"/>
        <v>#N/A</v>
      </c>
      <c r="BE49" s="54" t="e">
        <f t="shared" si="15"/>
        <v>#N/A</v>
      </c>
      <c r="BF49" s="54" t="e">
        <f t="shared" si="15"/>
        <v>#N/A</v>
      </c>
      <c r="BG49" s="54" t="e">
        <f t="shared" si="15"/>
        <v>#N/A</v>
      </c>
      <c r="BH49" s="54" t="e">
        <f t="shared" si="15"/>
        <v>#N/A</v>
      </c>
      <c r="BI49" s="54" t="e">
        <f t="shared" si="15"/>
        <v>#N/A</v>
      </c>
      <c r="BJ49" s="54" t="e">
        <f t="shared" si="15"/>
        <v>#N/A</v>
      </c>
      <c r="BK49" s="54" t="e">
        <f t="shared" si="15"/>
        <v>#N/A</v>
      </c>
      <c r="BL49" s="54" t="e">
        <f t="shared" si="15"/>
        <v>#N/A</v>
      </c>
      <c r="BM49" s="54" t="e">
        <f t="shared" si="15"/>
        <v>#N/A</v>
      </c>
      <c r="BN49" s="54" t="e">
        <f t="shared" si="15"/>
        <v>#N/A</v>
      </c>
      <c r="BO49" s="54" t="e">
        <f t="shared" ref="BO49:CZ49" si="16">+BO45+BO47</f>
        <v>#N/A</v>
      </c>
      <c r="BP49" s="54" t="e">
        <f t="shared" si="16"/>
        <v>#N/A</v>
      </c>
      <c r="BQ49" s="54" t="e">
        <f t="shared" si="16"/>
        <v>#N/A</v>
      </c>
      <c r="BR49" s="54" t="e">
        <f t="shared" si="16"/>
        <v>#N/A</v>
      </c>
      <c r="BS49" s="54" t="e">
        <f t="shared" si="16"/>
        <v>#N/A</v>
      </c>
      <c r="BT49" s="54" t="e">
        <f t="shared" si="16"/>
        <v>#N/A</v>
      </c>
      <c r="BU49" s="54" t="e">
        <f t="shared" si="16"/>
        <v>#N/A</v>
      </c>
      <c r="BV49" s="54" t="e">
        <f t="shared" si="16"/>
        <v>#N/A</v>
      </c>
      <c r="BW49" s="54" t="e">
        <f t="shared" si="16"/>
        <v>#N/A</v>
      </c>
      <c r="BX49" s="54" t="e">
        <f t="shared" si="16"/>
        <v>#N/A</v>
      </c>
      <c r="BY49" s="54" t="e">
        <f t="shared" si="16"/>
        <v>#N/A</v>
      </c>
      <c r="BZ49" s="54" t="e">
        <f t="shared" si="16"/>
        <v>#N/A</v>
      </c>
      <c r="CA49" s="54" t="e">
        <f t="shared" si="16"/>
        <v>#N/A</v>
      </c>
      <c r="CB49" s="54" t="e">
        <f t="shared" si="16"/>
        <v>#N/A</v>
      </c>
      <c r="CC49" s="54" t="e">
        <f t="shared" si="16"/>
        <v>#N/A</v>
      </c>
      <c r="CD49" s="54" t="e">
        <f t="shared" si="16"/>
        <v>#N/A</v>
      </c>
      <c r="CE49" s="54" t="e">
        <f t="shared" si="16"/>
        <v>#N/A</v>
      </c>
      <c r="CF49" s="54" t="e">
        <f t="shared" si="16"/>
        <v>#N/A</v>
      </c>
      <c r="CG49" s="54" t="e">
        <f t="shared" si="16"/>
        <v>#N/A</v>
      </c>
      <c r="CH49" s="54" t="e">
        <f t="shared" si="16"/>
        <v>#N/A</v>
      </c>
      <c r="CI49" s="54" t="e">
        <f t="shared" si="16"/>
        <v>#N/A</v>
      </c>
      <c r="CJ49" s="54" t="e">
        <f t="shared" si="16"/>
        <v>#N/A</v>
      </c>
      <c r="CK49" s="54" t="e">
        <f t="shared" si="16"/>
        <v>#N/A</v>
      </c>
      <c r="CL49" s="54" t="e">
        <f t="shared" si="16"/>
        <v>#N/A</v>
      </c>
      <c r="CM49" s="54" t="e">
        <f t="shared" si="16"/>
        <v>#N/A</v>
      </c>
      <c r="CN49" s="54" t="e">
        <f t="shared" si="16"/>
        <v>#N/A</v>
      </c>
      <c r="CO49" s="54" t="e">
        <f t="shared" si="16"/>
        <v>#N/A</v>
      </c>
      <c r="CP49" s="54" t="e">
        <f t="shared" si="16"/>
        <v>#N/A</v>
      </c>
      <c r="CQ49" s="54" t="e">
        <f t="shared" si="16"/>
        <v>#N/A</v>
      </c>
      <c r="CR49" s="54" t="e">
        <f t="shared" si="16"/>
        <v>#N/A</v>
      </c>
      <c r="CS49" s="54" t="e">
        <f t="shared" si="16"/>
        <v>#N/A</v>
      </c>
      <c r="CT49" s="54" t="e">
        <f t="shared" si="16"/>
        <v>#N/A</v>
      </c>
      <c r="CU49" s="54" t="e">
        <f t="shared" si="16"/>
        <v>#N/A</v>
      </c>
      <c r="CV49" s="54" t="e">
        <f t="shared" si="16"/>
        <v>#N/A</v>
      </c>
      <c r="CW49" s="54" t="e">
        <f t="shared" si="16"/>
        <v>#N/A</v>
      </c>
      <c r="CX49" s="54" t="e">
        <f t="shared" si="16"/>
        <v>#N/A</v>
      </c>
      <c r="CY49" s="54" t="e">
        <f t="shared" si="16"/>
        <v>#N/A</v>
      </c>
      <c r="CZ49" s="54" t="e">
        <f t="shared" si="16"/>
        <v>#N/A</v>
      </c>
    </row>
    <row r="50" spans="1:104" x14ac:dyDescent="0.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42"/>
      <c r="AK50" s="42"/>
      <c r="AL50" s="42"/>
      <c r="AM50" s="42"/>
      <c r="AN50" s="42"/>
      <c r="AO50" s="42"/>
      <c r="AP50" s="42"/>
      <c r="AQ50" s="42"/>
      <c r="AR50" s="42"/>
      <c r="AS50" s="42"/>
      <c r="AT50" s="42"/>
      <c r="AU50" s="42"/>
      <c r="AV50" s="42"/>
      <c r="AW50" s="42"/>
      <c r="AX50" s="42"/>
      <c r="AY50" s="42"/>
      <c r="AZ50" s="42"/>
      <c r="BA50" s="42"/>
      <c r="BB50" s="42"/>
      <c r="BC50" s="42"/>
      <c r="BD50" s="42"/>
      <c r="BE50" s="42"/>
      <c r="BF50" s="42"/>
      <c r="BG50" s="42"/>
      <c r="BH50" s="42"/>
      <c r="BI50" s="42"/>
      <c r="BJ50" s="42"/>
      <c r="BK50" s="42"/>
      <c r="BL50" s="42"/>
      <c r="BM50" s="42"/>
      <c r="BN50" s="42"/>
      <c r="BO50" s="42"/>
      <c r="BP50" s="42"/>
      <c r="BQ50" s="42"/>
      <c r="BR50" s="42"/>
      <c r="BS50" s="42"/>
      <c r="BT50" s="42"/>
      <c r="BU50" s="42"/>
      <c r="BV50" s="42"/>
      <c r="BW50" s="42"/>
      <c r="BX50" s="42"/>
      <c r="BY50" s="42"/>
      <c r="BZ50" s="42"/>
      <c r="CA50" s="42"/>
      <c r="CB50" s="42"/>
      <c r="CC50" s="42"/>
      <c r="CD50" s="42"/>
      <c r="CE50" s="42"/>
      <c r="CF50" s="42"/>
      <c r="CG50" s="42"/>
      <c r="CH50" s="42"/>
      <c r="CI50" s="42"/>
      <c r="CJ50" s="42"/>
      <c r="CK50" s="42"/>
      <c r="CL50" s="42"/>
      <c r="CM50" s="42"/>
      <c r="CN50" s="42"/>
      <c r="CO50" s="42"/>
      <c r="CP50" s="42"/>
      <c r="CQ50" s="42"/>
      <c r="CR50" s="42"/>
      <c r="CS50" s="42"/>
      <c r="CT50" s="42"/>
      <c r="CU50" s="42"/>
      <c r="CV50" s="42"/>
      <c r="CW50" s="42"/>
      <c r="CX50" s="42"/>
      <c r="CY50" s="42"/>
      <c r="CZ50" s="42"/>
    </row>
    <row r="51" spans="1:104" x14ac:dyDescent="0.2">
      <c r="A51" s="5"/>
      <c r="B51" s="42"/>
      <c r="C51" s="42"/>
      <c r="D51" s="42"/>
      <c r="E51" s="42"/>
      <c r="F51" s="42"/>
      <c r="G51" s="42"/>
      <c r="H51" s="42"/>
      <c r="I51" s="42"/>
      <c r="J51" s="42"/>
      <c r="K51" s="42"/>
      <c r="L51" s="42"/>
      <c r="M51" s="42"/>
      <c r="N51" s="42"/>
      <c r="O51" s="42"/>
      <c r="P51" s="42"/>
      <c r="Q51" s="42"/>
      <c r="R51" s="42"/>
      <c r="S51" s="42"/>
      <c r="T51" s="42"/>
      <c r="U51" s="42"/>
      <c r="V51" s="42"/>
      <c r="W51" s="42"/>
      <c r="X51" s="42"/>
      <c r="Y51" s="42"/>
      <c r="Z51" s="42"/>
      <c r="AA51" s="42"/>
      <c r="AB51" s="42"/>
      <c r="AC51" s="42"/>
      <c r="AD51" s="42"/>
      <c r="AE51" s="42"/>
      <c r="AF51" s="42"/>
      <c r="AG51" s="42"/>
      <c r="AH51" s="42"/>
      <c r="AI51" s="42"/>
      <c r="AJ51" s="42"/>
      <c r="AK51" s="42"/>
      <c r="AL51" s="42"/>
      <c r="AM51" s="42"/>
      <c r="AN51" s="42"/>
      <c r="AO51" s="42"/>
      <c r="AP51" s="42"/>
      <c r="AQ51" s="42"/>
      <c r="AR51" s="42"/>
      <c r="AS51" s="42"/>
      <c r="AT51" s="42"/>
      <c r="AU51" s="42"/>
      <c r="AV51" s="42"/>
      <c r="AW51" s="42"/>
      <c r="AX51" s="42"/>
      <c r="AY51" s="42"/>
      <c r="AZ51" s="42"/>
      <c r="BA51" s="42"/>
      <c r="BB51" s="42"/>
      <c r="BC51" s="42"/>
      <c r="BD51" s="42"/>
      <c r="BE51" s="42"/>
      <c r="BF51" s="42"/>
      <c r="BG51" s="42"/>
      <c r="BH51" s="42"/>
      <c r="BI51" s="42"/>
      <c r="BJ51" s="42"/>
      <c r="BK51" s="42"/>
      <c r="BL51" s="42"/>
      <c r="BM51" s="42"/>
      <c r="BN51" s="42"/>
      <c r="BO51" s="42"/>
      <c r="BP51" s="42"/>
      <c r="BQ51" s="42"/>
      <c r="BR51" s="42"/>
      <c r="BS51" s="42"/>
      <c r="BT51" s="42"/>
      <c r="BU51" s="42"/>
      <c r="BV51" s="42"/>
      <c r="BW51" s="42"/>
      <c r="BX51" s="42"/>
      <c r="BY51" s="42"/>
      <c r="BZ51" s="42"/>
      <c r="CA51" s="42"/>
      <c r="CB51" s="42"/>
      <c r="CC51" s="42"/>
      <c r="CD51" s="42"/>
      <c r="CE51" s="42"/>
      <c r="CF51" s="42"/>
      <c r="CG51" s="42"/>
      <c r="CH51" s="42"/>
      <c r="CI51" s="42"/>
      <c r="CJ51" s="42"/>
      <c r="CK51" s="42"/>
      <c r="CL51" s="42"/>
      <c r="CM51" s="42"/>
      <c r="CN51" s="42"/>
      <c r="CO51" s="42"/>
      <c r="CP51" s="42"/>
      <c r="CQ51" s="42"/>
      <c r="CR51" s="42"/>
      <c r="CS51" s="42"/>
      <c r="CT51" s="42"/>
      <c r="CU51" s="42"/>
      <c r="CV51" s="42"/>
      <c r="CW51" s="42"/>
      <c r="CX51" s="42"/>
      <c r="CY51" s="42"/>
      <c r="CZ51" s="42"/>
    </row>
    <row r="52" spans="1:104" x14ac:dyDescent="0.2">
      <c r="A52" s="5"/>
      <c r="B52" s="42"/>
      <c r="C52" s="42"/>
      <c r="D52" s="42"/>
      <c r="E52" s="42"/>
      <c r="F52" s="42"/>
      <c r="G52" s="42"/>
      <c r="H52" s="42"/>
      <c r="I52" s="42"/>
      <c r="J52" s="42"/>
      <c r="K52" s="42"/>
      <c r="L52" s="42"/>
      <c r="M52" s="42"/>
      <c r="N52" s="42"/>
      <c r="O52" s="42"/>
      <c r="P52" s="42"/>
      <c r="Q52" s="42"/>
      <c r="R52" s="42"/>
      <c r="S52" s="42"/>
      <c r="T52" s="42"/>
      <c r="U52" s="42"/>
      <c r="V52" s="42"/>
      <c r="W52" s="42"/>
      <c r="X52" s="42"/>
      <c r="Y52" s="42"/>
      <c r="Z52" s="42"/>
      <c r="AA52" s="42"/>
      <c r="AB52" s="42"/>
      <c r="AC52" s="42"/>
      <c r="AD52" s="42"/>
      <c r="AE52" s="42"/>
      <c r="AF52" s="42"/>
      <c r="AG52" s="42"/>
      <c r="AH52" s="42"/>
      <c r="AI52" s="42"/>
      <c r="AJ52" s="42"/>
      <c r="AK52" s="42"/>
      <c r="AL52" s="42"/>
      <c r="AM52" s="42"/>
      <c r="AN52" s="42"/>
      <c r="AO52" s="42"/>
      <c r="AP52" s="42"/>
      <c r="AQ52" s="42"/>
      <c r="AR52" s="42"/>
      <c r="AS52" s="42"/>
      <c r="AT52" s="42"/>
      <c r="AU52" s="42"/>
      <c r="AV52" s="42"/>
      <c r="AW52" s="42"/>
      <c r="AX52" s="42"/>
      <c r="AY52" s="42"/>
      <c r="AZ52" s="42"/>
      <c r="BA52" s="42"/>
      <c r="BB52" s="42"/>
      <c r="BC52" s="42"/>
      <c r="BD52" s="42"/>
      <c r="BE52" s="42"/>
      <c r="BF52" s="42"/>
      <c r="BG52" s="42"/>
      <c r="BH52" s="42"/>
      <c r="BI52" s="42"/>
      <c r="BJ52" s="42"/>
      <c r="BK52" s="42"/>
      <c r="BL52" s="42"/>
      <c r="BM52" s="42"/>
      <c r="BN52" s="42"/>
      <c r="BO52" s="42"/>
      <c r="BP52" s="42"/>
      <c r="BQ52" s="42"/>
      <c r="BR52" s="42"/>
      <c r="BS52" s="42"/>
      <c r="BT52" s="42"/>
      <c r="BU52" s="42"/>
      <c r="BV52" s="42"/>
      <c r="BW52" s="42"/>
      <c r="BX52" s="42"/>
      <c r="BY52" s="42"/>
      <c r="BZ52" s="42"/>
      <c r="CA52" s="42"/>
      <c r="CB52" s="42"/>
      <c r="CC52" s="42"/>
      <c r="CD52" s="42"/>
      <c r="CE52" s="42"/>
      <c r="CF52" s="42"/>
      <c r="CG52" s="42"/>
      <c r="CH52" s="42"/>
      <c r="CI52" s="42"/>
      <c r="CJ52" s="42"/>
      <c r="CK52" s="42"/>
      <c r="CL52" s="42"/>
      <c r="CM52" s="42"/>
      <c r="CN52" s="42"/>
      <c r="CO52" s="42"/>
      <c r="CP52" s="42"/>
      <c r="CQ52" s="42"/>
      <c r="CR52" s="42"/>
      <c r="CS52" s="42"/>
      <c r="CT52" s="42"/>
      <c r="CU52" s="42"/>
      <c r="CV52" s="42"/>
      <c r="CW52" s="42"/>
      <c r="CX52" s="42"/>
      <c r="CY52" s="42"/>
      <c r="CZ52" s="42"/>
    </row>
    <row r="53" spans="1:104" s="50" customFormat="1" x14ac:dyDescent="0.2">
      <c r="A53" s="49"/>
    </row>
    <row r="54" spans="1:104" x14ac:dyDescent="0.2">
      <c r="A54" s="5"/>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2"/>
      <c r="AK54" s="42"/>
      <c r="AL54" s="42"/>
      <c r="AM54" s="42"/>
      <c r="AN54" s="42"/>
      <c r="AO54" s="42"/>
      <c r="AP54" s="42"/>
      <c r="AQ54" s="42"/>
      <c r="AR54" s="42"/>
      <c r="AS54" s="42"/>
      <c r="AT54" s="42"/>
      <c r="AU54" s="42"/>
      <c r="AV54" s="42"/>
      <c r="AW54" s="42"/>
      <c r="AX54" s="42"/>
      <c r="AY54" s="42"/>
      <c r="AZ54" s="42"/>
      <c r="BA54" s="42"/>
      <c r="BB54" s="42"/>
      <c r="BC54" s="42"/>
      <c r="BD54" s="42"/>
      <c r="BE54" s="42"/>
      <c r="BF54" s="42"/>
      <c r="BG54" s="42"/>
      <c r="BH54" s="42"/>
      <c r="BI54" s="42"/>
      <c r="BJ54" s="42"/>
      <c r="BK54" s="42"/>
      <c r="BL54" s="42"/>
      <c r="BM54" s="42"/>
      <c r="BN54" s="42"/>
      <c r="BO54" s="42"/>
      <c r="BP54" s="42"/>
      <c r="BQ54" s="42"/>
      <c r="BR54" s="42"/>
      <c r="BS54" s="42"/>
      <c r="BT54" s="42"/>
      <c r="BU54" s="42"/>
      <c r="BV54" s="42"/>
      <c r="BW54" s="42"/>
      <c r="BX54" s="42"/>
      <c r="BY54" s="42"/>
      <c r="BZ54" s="42"/>
      <c r="CA54" s="42"/>
      <c r="CB54" s="42"/>
      <c r="CC54" s="42"/>
      <c r="CD54" s="42"/>
      <c r="CE54" s="42"/>
      <c r="CF54" s="42"/>
      <c r="CG54" s="42"/>
      <c r="CH54" s="42"/>
      <c r="CI54" s="42"/>
      <c r="CJ54" s="42"/>
      <c r="CK54" s="42"/>
      <c r="CL54" s="42"/>
      <c r="CM54" s="42"/>
      <c r="CN54" s="42"/>
      <c r="CO54" s="42"/>
      <c r="CP54" s="42"/>
      <c r="CQ54" s="42"/>
      <c r="CR54" s="42"/>
      <c r="CS54" s="42"/>
      <c r="CT54" s="42"/>
      <c r="CU54" s="42"/>
      <c r="CV54" s="42"/>
      <c r="CW54" s="42"/>
      <c r="CX54" s="42"/>
      <c r="CY54" s="42"/>
      <c r="CZ54" s="42"/>
    </row>
    <row r="55" spans="1:104" x14ac:dyDescent="0.2">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2"/>
      <c r="AK55" s="42"/>
      <c r="AL55" s="42"/>
      <c r="AM55" s="42"/>
      <c r="AN55" s="42"/>
      <c r="AO55" s="42"/>
      <c r="AP55" s="42"/>
      <c r="AQ55" s="42"/>
      <c r="AR55" s="42"/>
      <c r="AS55" s="42"/>
      <c r="AT55" s="42"/>
      <c r="AU55" s="42"/>
      <c r="AV55" s="42"/>
      <c r="AW55" s="42"/>
      <c r="AX55" s="42"/>
      <c r="AY55" s="42"/>
      <c r="AZ55" s="42"/>
      <c r="BA55" s="42"/>
      <c r="BB55" s="42"/>
      <c r="BC55" s="42"/>
      <c r="BD55" s="42"/>
      <c r="BE55" s="42"/>
      <c r="BF55" s="42"/>
      <c r="BG55" s="42"/>
      <c r="BH55" s="42"/>
      <c r="BI55" s="42"/>
      <c r="BJ55" s="42"/>
      <c r="BK55" s="42"/>
      <c r="BL55" s="42"/>
      <c r="BM55" s="42"/>
      <c r="BN55" s="42"/>
      <c r="BO55" s="42"/>
      <c r="BP55" s="42"/>
      <c r="BQ55" s="42"/>
      <c r="BR55" s="42"/>
      <c r="BS55" s="42"/>
      <c r="BT55" s="42"/>
      <c r="BU55" s="42"/>
      <c r="BV55" s="42"/>
      <c r="BW55" s="42"/>
      <c r="BX55" s="42"/>
      <c r="BY55" s="42"/>
      <c r="BZ55" s="42"/>
      <c r="CA55" s="42"/>
      <c r="CB55" s="42"/>
      <c r="CC55" s="42"/>
      <c r="CD55" s="42"/>
      <c r="CE55" s="42"/>
      <c r="CF55" s="42"/>
      <c r="CG55" s="42"/>
      <c r="CH55" s="42"/>
      <c r="CI55" s="42"/>
      <c r="CJ55" s="42"/>
      <c r="CK55" s="42"/>
      <c r="CL55" s="42"/>
      <c r="CM55" s="42"/>
      <c r="CN55" s="42"/>
      <c r="CO55" s="42"/>
      <c r="CP55" s="42"/>
      <c r="CQ55" s="42"/>
      <c r="CR55" s="42"/>
      <c r="CS55" s="42"/>
      <c r="CT55" s="42"/>
      <c r="CU55" s="42"/>
      <c r="CV55" s="42"/>
      <c r="CW55" s="42"/>
      <c r="CX55" s="42"/>
      <c r="CY55" s="42"/>
      <c r="CZ55" s="42"/>
    </row>
  </sheetData>
  <sortState ref="A30:A42">
    <sortCondition ref="A30"/>
  </sortState>
  <conditionalFormatting sqref="A18:A24">
    <cfRule type="cellIs" dxfId="1" priority="2" operator="lessThan">
      <formula>0</formula>
    </cfRule>
  </conditionalFormatting>
  <conditionalFormatting sqref="A31:A43">
    <cfRule type="cellIs" dxfId="0" priority="1" operator="lessThan">
      <formula>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1"/>
  <sheetViews>
    <sheetView workbookViewId="0">
      <selection activeCell="A2" sqref="A2:Z1048576"/>
    </sheetView>
  </sheetViews>
  <sheetFormatPr defaultRowHeight="15" x14ac:dyDescent="0.25"/>
  <cols>
    <col min="1" max="1" width="11.5703125" customWidth="1"/>
    <col min="2" max="2" width="15.140625" customWidth="1"/>
    <col min="3" max="3" width="11" customWidth="1"/>
    <col min="4" max="4" width="6" customWidth="1"/>
    <col min="5" max="5" width="22.85546875" customWidth="1"/>
    <col min="6" max="6" width="32" bestFit="1" customWidth="1"/>
    <col min="7" max="7" width="35" bestFit="1" customWidth="1"/>
    <col min="8" max="8" width="10.28515625" customWidth="1"/>
    <col min="9" max="9" width="18.28515625" bestFit="1" customWidth="1"/>
  </cols>
  <sheetData>
    <row r="1" spans="1:9" x14ac:dyDescent="0.25">
      <c r="A1" s="1" t="s">
        <v>6</v>
      </c>
      <c r="B1" s="1" t="s">
        <v>4</v>
      </c>
      <c r="C1" s="67" t="s">
        <v>7</v>
      </c>
      <c r="D1" s="1" t="s">
        <v>8</v>
      </c>
      <c r="E1" s="1" t="s">
        <v>5</v>
      </c>
      <c r="F1" s="1" t="s">
        <v>9</v>
      </c>
      <c r="G1" s="1" t="s">
        <v>10</v>
      </c>
      <c r="H1" s="1" t="s">
        <v>11</v>
      </c>
      <c r="I1" s="67" t="s">
        <v>234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Z30"/>
  <sheetViews>
    <sheetView topLeftCell="A2" zoomScale="75" zoomScaleNormal="75" workbookViewId="0">
      <selection activeCell="B1" sqref="B1:CZ1"/>
    </sheetView>
  </sheetViews>
  <sheetFormatPr defaultRowHeight="12.75" x14ac:dyDescent="0.2"/>
  <cols>
    <col min="1" max="1" width="45.140625" style="3" customWidth="1"/>
    <col min="2" max="104" width="16.5703125" style="3" customWidth="1"/>
    <col min="105" max="16384" width="9.140625" style="3"/>
  </cols>
  <sheetData>
    <row r="1" spans="1:104" hidden="1" x14ac:dyDescent="0.2"/>
    <row r="2" spans="1:104" s="11" customFormat="1" ht="99.75" customHeight="1" x14ac:dyDescent="0.25">
      <c r="B2" s="48" t="e">
        <f>VLOOKUP(B$1,Main!$B$10:$C$2542,2,FALSE)</f>
        <v>#N/A</v>
      </c>
      <c r="C2" s="48" t="e">
        <f>VLOOKUP(C$1,Main!$B$10:$C$2542,2,FALSE)</f>
        <v>#N/A</v>
      </c>
      <c r="D2" s="48" t="e">
        <f>VLOOKUP(D$1,Main!$B$10:$C$2542,2,FALSE)</f>
        <v>#N/A</v>
      </c>
      <c r="E2" s="48" t="e">
        <f>VLOOKUP(E$1,Main!$B$10:$C$2542,2,FALSE)</f>
        <v>#N/A</v>
      </c>
      <c r="F2" s="48" t="e">
        <f>VLOOKUP(F$1,Main!$B$10:$C$2542,2,FALSE)</f>
        <v>#N/A</v>
      </c>
      <c r="G2" s="48" t="e">
        <f>VLOOKUP(G$1,Main!$B$10:$C$2542,2,FALSE)</f>
        <v>#N/A</v>
      </c>
      <c r="H2" s="48" t="e">
        <f>VLOOKUP(H$1,Main!$B$10:$C$2542,2,FALSE)</f>
        <v>#N/A</v>
      </c>
      <c r="I2" s="48" t="e">
        <f>VLOOKUP(I$1,Main!$B$10:$C$2542,2,FALSE)</f>
        <v>#N/A</v>
      </c>
      <c r="J2" s="48" t="e">
        <f>VLOOKUP(J$1,Main!$B$10:$C$2542,2,FALSE)</f>
        <v>#N/A</v>
      </c>
      <c r="K2" s="48" t="e">
        <f>VLOOKUP(K$1,Main!$B$10:$C$2542,2,FALSE)</f>
        <v>#N/A</v>
      </c>
      <c r="L2" s="48" t="e">
        <f>VLOOKUP(L$1,Main!$B$10:$C$2542,2,FALSE)</f>
        <v>#N/A</v>
      </c>
      <c r="M2" s="48" t="e">
        <f>VLOOKUP(M$1,Main!$B$10:$C$2542,2,FALSE)</f>
        <v>#N/A</v>
      </c>
      <c r="N2" s="48" t="e">
        <f>VLOOKUP(N$1,Main!$B$10:$C$2542,2,FALSE)</f>
        <v>#N/A</v>
      </c>
      <c r="O2" s="48" t="e">
        <f>VLOOKUP(O$1,Main!$B$10:$C$2542,2,FALSE)</f>
        <v>#N/A</v>
      </c>
      <c r="P2" s="48" t="e">
        <f>VLOOKUP(P$1,Main!$B$10:$C$2542,2,FALSE)</f>
        <v>#N/A</v>
      </c>
      <c r="Q2" s="48" t="e">
        <f>VLOOKUP(Q$1,Main!$B$10:$C$2542,2,FALSE)</f>
        <v>#N/A</v>
      </c>
      <c r="R2" s="48" t="e">
        <f>VLOOKUP(R$1,Main!$B$10:$C$2542,2,FALSE)</f>
        <v>#N/A</v>
      </c>
      <c r="S2" s="48" t="e">
        <f>VLOOKUP(S$1,Main!$B$10:$C$2542,2,FALSE)</f>
        <v>#N/A</v>
      </c>
      <c r="T2" s="48" t="e">
        <f>VLOOKUP(T$1,Main!$B$10:$C$2542,2,FALSE)</f>
        <v>#N/A</v>
      </c>
      <c r="U2" s="48" t="e">
        <f>VLOOKUP(U$1,Main!$B$10:$C$2542,2,FALSE)</f>
        <v>#N/A</v>
      </c>
      <c r="V2" s="48" t="e">
        <f>VLOOKUP(V$1,Main!$B$10:$C$2542,2,FALSE)</f>
        <v>#N/A</v>
      </c>
      <c r="W2" s="48" t="e">
        <f>VLOOKUP(W$1,Main!$B$10:$C$2542,2,FALSE)</f>
        <v>#N/A</v>
      </c>
      <c r="X2" s="48" t="e">
        <f>VLOOKUP(X$1,Main!$B$10:$C$2542,2,FALSE)</f>
        <v>#N/A</v>
      </c>
      <c r="Y2" s="48" t="e">
        <f>VLOOKUP(Y$1,Main!$B$10:$C$2542,2,FALSE)</f>
        <v>#N/A</v>
      </c>
      <c r="Z2" s="48" t="e">
        <f>VLOOKUP(Z$1,Main!$B$10:$C$2542,2,FALSE)</f>
        <v>#N/A</v>
      </c>
      <c r="AA2" s="48" t="e">
        <f>VLOOKUP(AA$1,Main!$B$10:$C$2542,2,FALSE)</f>
        <v>#N/A</v>
      </c>
      <c r="AB2" s="48" t="e">
        <f>VLOOKUP(AB$1,Main!$B$10:$C$2542,2,FALSE)</f>
        <v>#N/A</v>
      </c>
      <c r="AC2" s="48" t="e">
        <f>VLOOKUP(AC$1,Main!$B$10:$C$2542,2,FALSE)</f>
        <v>#N/A</v>
      </c>
      <c r="AD2" s="48" t="e">
        <f>VLOOKUP(AD$1,Main!$B$10:$C$2542,2,FALSE)</f>
        <v>#N/A</v>
      </c>
      <c r="AE2" s="48" t="e">
        <f>VLOOKUP(AE$1,Main!$B$10:$C$2542,2,FALSE)</f>
        <v>#N/A</v>
      </c>
      <c r="AF2" s="48" t="e">
        <f>VLOOKUP(AF$1,Main!$B$10:$C$2542,2,FALSE)</f>
        <v>#N/A</v>
      </c>
      <c r="AG2" s="48" t="e">
        <f>VLOOKUP(AG$1,Main!$B$10:$C$2542,2,FALSE)</f>
        <v>#N/A</v>
      </c>
      <c r="AH2" s="48" t="e">
        <f>VLOOKUP(AH$1,Main!$B$10:$C$2542,2,FALSE)</f>
        <v>#N/A</v>
      </c>
      <c r="AI2" s="48" t="e">
        <f>VLOOKUP(AI$1,Main!$B$10:$C$2542,2,FALSE)</f>
        <v>#N/A</v>
      </c>
      <c r="AJ2" s="48" t="e">
        <f>VLOOKUP(AJ$1,Main!$B$10:$C$2542,2,FALSE)</f>
        <v>#N/A</v>
      </c>
      <c r="AK2" s="48" t="e">
        <f>VLOOKUP(AK$1,Main!$B$10:$C$2542,2,FALSE)</f>
        <v>#N/A</v>
      </c>
      <c r="AL2" s="48" t="e">
        <f>VLOOKUP(AL$1,Main!$B$10:$C$2542,2,FALSE)</f>
        <v>#N/A</v>
      </c>
      <c r="AM2" s="48" t="e">
        <f>VLOOKUP(AM$1,Main!$B$10:$C$2542,2,FALSE)</f>
        <v>#N/A</v>
      </c>
      <c r="AN2" s="48" t="e">
        <f>VLOOKUP(AN$1,Main!$B$10:$C$2542,2,FALSE)</f>
        <v>#N/A</v>
      </c>
      <c r="AO2" s="48" t="e">
        <f>VLOOKUP(AO$1,Main!$B$10:$C$2542,2,FALSE)</f>
        <v>#N/A</v>
      </c>
      <c r="AP2" s="48" t="e">
        <f>VLOOKUP(AP$1,Main!$B$10:$C$2542,2,FALSE)</f>
        <v>#N/A</v>
      </c>
      <c r="AQ2" s="48" t="e">
        <f>VLOOKUP(AQ$1,Main!$B$10:$C$2542,2,FALSE)</f>
        <v>#N/A</v>
      </c>
      <c r="AR2" s="48" t="e">
        <f>VLOOKUP(AR$1,Main!$B$10:$C$2542,2,FALSE)</f>
        <v>#N/A</v>
      </c>
      <c r="AS2" s="48" t="e">
        <f>VLOOKUP(AS$1,Main!$B$10:$C$2542,2,FALSE)</f>
        <v>#N/A</v>
      </c>
      <c r="AT2" s="48" t="e">
        <f>VLOOKUP(AT$1,Main!$B$10:$C$2542,2,FALSE)</f>
        <v>#N/A</v>
      </c>
      <c r="AU2" s="48" t="e">
        <f>VLOOKUP(AU$1,Main!$B$10:$C$2542,2,FALSE)</f>
        <v>#N/A</v>
      </c>
      <c r="AV2" s="48" t="e">
        <f>VLOOKUP(AV$1,Main!$B$10:$C$2542,2,FALSE)</f>
        <v>#N/A</v>
      </c>
      <c r="AW2" s="48" t="e">
        <f>VLOOKUP(AW$1,Main!$B$10:$C$2542,2,FALSE)</f>
        <v>#N/A</v>
      </c>
      <c r="AX2" s="48" t="e">
        <f>VLOOKUP(AX$1,Main!$B$10:$C$2542,2,FALSE)</f>
        <v>#N/A</v>
      </c>
      <c r="AY2" s="48" t="e">
        <f>VLOOKUP(AY$1,Main!$B$10:$C$2542,2,FALSE)</f>
        <v>#N/A</v>
      </c>
      <c r="AZ2" s="48" t="e">
        <f>VLOOKUP(AZ$1,Main!$B$10:$C$2542,2,FALSE)</f>
        <v>#N/A</v>
      </c>
      <c r="BA2" s="48" t="e">
        <f>VLOOKUP(BA$1,Main!$B$10:$C$2542,2,FALSE)</f>
        <v>#N/A</v>
      </c>
      <c r="BB2" s="48" t="e">
        <f>VLOOKUP(BB$1,Main!$B$10:$C$2542,2,FALSE)</f>
        <v>#N/A</v>
      </c>
      <c r="BC2" s="48" t="e">
        <f>VLOOKUP(BC$1,Main!$B$10:$C$2542,2,FALSE)</f>
        <v>#N/A</v>
      </c>
      <c r="BD2" s="48" t="e">
        <f>VLOOKUP(BD$1,Main!$B$10:$C$2542,2,FALSE)</f>
        <v>#N/A</v>
      </c>
      <c r="BE2" s="48" t="e">
        <f>VLOOKUP(BE$1,Main!$B$10:$C$2542,2,FALSE)</f>
        <v>#N/A</v>
      </c>
      <c r="BF2" s="48" t="e">
        <f>VLOOKUP(BF$1,Main!$B$10:$C$2542,2,FALSE)</f>
        <v>#N/A</v>
      </c>
      <c r="BG2" s="48" t="e">
        <f>VLOOKUP(BG$1,Main!$B$10:$C$2542,2,FALSE)</f>
        <v>#N/A</v>
      </c>
      <c r="BH2" s="48" t="e">
        <f>VLOOKUP(BH$1,Main!$B$10:$C$2542,2,FALSE)</f>
        <v>#N/A</v>
      </c>
      <c r="BI2" s="48" t="e">
        <f>VLOOKUP(BI$1,Main!$B$10:$C$2542,2,FALSE)</f>
        <v>#N/A</v>
      </c>
      <c r="BJ2" s="48" t="e">
        <f>VLOOKUP(BJ$1,Main!$B$10:$C$2542,2,FALSE)</f>
        <v>#N/A</v>
      </c>
      <c r="BK2" s="48" t="e">
        <f>VLOOKUP(BK$1,Main!$B$10:$C$2542,2,FALSE)</f>
        <v>#N/A</v>
      </c>
      <c r="BL2" s="48" t="e">
        <f>VLOOKUP(BL$1,Main!$B$10:$C$2542,2,FALSE)</f>
        <v>#N/A</v>
      </c>
      <c r="BM2" s="48" t="e">
        <f>VLOOKUP(BM$1,Main!$B$10:$C$2542,2,FALSE)</f>
        <v>#N/A</v>
      </c>
      <c r="BN2" s="48" t="e">
        <f>VLOOKUP(BN$1,Main!$B$10:$C$2542,2,FALSE)</f>
        <v>#N/A</v>
      </c>
      <c r="BO2" s="48" t="e">
        <f>VLOOKUP(BO$1,Main!$B$10:$C$2542,2,FALSE)</f>
        <v>#N/A</v>
      </c>
      <c r="BP2" s="48" t="e">
        <f>VLOOKUP(BP$1,Main!$B$10:$C$2542,2,FALSE)</f>
        <v>#N/A</v>
      </c>
      <c r="BQ2" s="48" t="e">
        <f>VLOOKUP(BQ$1,Main!$B$10:$C$2542,2,FALSE)</f>
        <v>#N/A</v>
      </c>
      <c r="BR2" s="48" t="e">
        <f>VLOOKUP(BR$1,Main!$B$10:$C$2542,2,FALSE)</f>
        <v>#N/A</v>
      </c>
      <c r="BS2" s="48" t="e">
        <f>VLOOKUP(BS$1,Main!$B$10:$C$2542,2,FALSE)</f>
        <v>#N/A</v>
      </c>
      <c r="BT2" s="48" t="e">
        <f>VLOOKUP(BT$1,Main!$B$10:$C$2542,2,FALSE)</f>
        <v>#N/A</v>
      </c>
      <c r="BU2" s="48" t="e">
        <f>VLOOKUP(BU$1,Main!$B$10:$C$2542,2,FALSE)</f>
        <v>#N/A</v>
      </c>
      <c r="BV2" s="48" t="e">
        <f>VLOOKUP(BV$1,Main!$B$10:$C$2542,2,FALSE)</f>
        <v>#N/A</v>
      </c>
      <c r="BW2" s="48" t="e">
        <f>VLOOKUP(BW$1,Main!$B$10:$C$2542,2,FALSE)</f>
        <v>#N/A</v>
      </c>
      <c r="BX2" s="48" t="e">
        <f>VLOOKUP(BX$1,Main!$B$10:$C$2542,2,FALSE)</f>
        <v>#N/A</v>
      </c>
      <c r="BY2" s="48" t="e">
        <f>VLOOKUP(BY$1,Main!$B$10:$C$2542,2,FALSE)</f>
        <v>#N/A</v>
      </c>
      <c r="BZ2" s="48" t="e">
        <f>VLOOKUP(BZ$1,Main!$B$10:$C$2542,2,FALSE)</f>
        <v>#N/A</v>
      </c>
      <c r="CA2" s="48" t="e">
        <f>VLOOKUP(CA$1,Main!$B$10:$C$2542,2,FALSE)</f>
        <v>#N/A</v>
      </c>
      <c r="CB2" s="48" t="e">
        <f>VLOOKUP(CB$1,Main!$B$10:$C$2542,2,FALSE)</f>
        <v>#N/A</v>
      </c>
      <c r="CC2" s="48" t="e">
        <f>VLOOKUP(CC$1,Main!$B$10:$C$2542,2,FALSE)</f>
        <v>#N/A</v>
      </c>
      <c r="CD2" s="48" t="e">
        <f>VLOOKUP(CD$1,Main!$B$10:$C$2542,2,FALSE)</f>
        <v>#N/A</v>
      </c>
      <c r="CE2" s="48" t="e">
        <f>VLOOKUP(CE$1,Main!$B$10:$C$2542,2,FALSE)</f>
        <v>#N/A</v>
      </c>
      <c r="CF2" s="48" t="e">
        <f>VLOOKUP(CF$1,Main!$B$10:$C$2542,2,FALSE)</f>
        <v>#N/A</v>
      </c>
      <c r="CG2" s="48" t="e">
        <f>VLOOKUP(CG$1,Main!$B$10:$C$2542,2,FALSE)</f>
        <v>#N/A</v>
      </c>
      <c r="CH2" s="48" t="e">
        <f>VLOOKUP(CH$1,Main!$B$10:$C$2542,2,FALSE)</f>
        <v>#N/A</v>
      </c>
      <c r="CI2" s="48" t="e">
        <f>VLOOKUP(CI$1,Main!$B$10:$C$2542,2,FALSE)</f>
        <v>#N/A</v>
      </c>
      <c r="CJ2" s="48" t="e">
        <f>VLOOKUP(CJ$1,Main!$B$10:$C$2542,2,FALSE)</f>
        <v>#N/A</v>
      </c>
      <c r="CK2" s="48" t="e">
        <f>VLOOKUP(CK$1,Main!$B$10:$C$2542,2,FALSE)</f>
        <v>#N/A</v>
      </c>
      <c r="CL2" s="48" t="e">
        <f>VLOOKUP(CL$1,Main!$B$10:$C$2542,2,FALSE)</f>
        <v>#N/A</v>
      </c>
      <c r="CM2" s="48" t="e">
        <f>VLOOKUP(CM$1,Main!$B$10:$C$2542,2,FALSE)</f>
        <v>#N/A</v>
      </c>
      <c r="CN2" s="48" t="e">
        <f>VLOOKUP(CN$1,Main!$B$10:$C$2542,2,FALSE)</f>
        <v>#N/A</v>
      </c>
      <c r="CO2" s="48" t="e">
        <f>VLOOKUP(CO$1,Main!$B$10:$C$2542,2,FALSE)</f>
        <v>#N/A</v>
      </c>
      <c r="CP2" s="48" t="e">
        <f>VLOOKUP(CP$1,Main!$B$10:$C$2542,2,FALSE)</f>
        <v>#N/A</v>
      </c>
      <c r="CQ2" s="48" t="e">
        <f>VLOOKUP(CQ$1,Main!$B$10:$C$2542,2,FALSE)</f>
        <v>#N/A</v>
      </c>
      <c r="CR2" s="48" t="e">
        <f>VLOOKUP(CR$1,Main!$B$10:$C$2542,2,FALSE)</f>
        <v>#N/A</v>
      </c>
      <c r="CS2" s="48" t="e">
        <f>VLOOKUP(CS$1,Main!$B$10:$C$2542,2,FALSE)</f>
        <v>#N/A</v>
      </c>
      <c r="CT2" s="48" t="e">
        <f>VLOOKUP(CT$1,Main!$B$10:$C$2542,2,FALSE)</f>
        <v>#N/A</v>
      </c>
      <c r="CU2" s="48" t="e">
        <f>VLOOKUP(CU$1,Main!$B$10:$C$2542,2,FALSE)</f>
        <v>#N/A</v>
      </c>
      <c r="CV2" s="48" t="e">
        <f>VLOOKUP(CV$1,Main!$B$10:$C$2542,2,FALSE)</f>
        <v>#N/A</v>
      </c>
      <c r="CW2" s="48" t="e">
        <f>VLOOKUP(CW$1,Main!$B$10:$C$2542,2,FALSE)</f>
        <v>#N/A</v>
      </c>
      <c r="CX2" s="48" t="e">
        <f>VLOOKUP(CX$1,Main!$B$10:$C$2542,2,FALSE)</f>
        <v>#N/A</v>
      </c>
      <c r="CY2" s="48" t="e">
        <f>VLOOKUP(CY$1,Main!$B$10:$C$2542,2,FALSE)</f>
        <v>#N/A</v>
      </c>
      <c r="CZ2" s="48" t="e">
        <f>VLOOKUP(CZ$1,Main!$B$10:$C$2542,2,FALSE)</f>
        <v>#N/A</v>
      </c>
    </row>
    <row r="4" spans="1:104" s="42" customFormat="1" x14ac:dyDescent="0.2">
      <c r="A4" s="4" t="s">
        <v>49</v>
      </c>
      <c r="I4" s="43"/>
    </row>
    <row r="5" spans="1:104" s="42" customFormat="1" x14ac:dyDescent="0.2">
      <c r="A5" s="62" t="s">
        <v>144</v>
      </c>
      <c r="B5" s="40" t="e">
        <f>IF(B$1,SUMIFS('IncStmt Data'!$H$2:$H$2051,'IncStmt Data'!$G$2:$G$2051,$A5,'IncStmt Data'!$A$2:$A$2051,B$1),#N/A)</f>
        <v>#N/A</v>
      </c>
      <c r="C5" s="40" t="e">
        <f>IF(C$1,SUMIFS('IncStmt Data'!$H$2:$H$2051,'IncStmt Data'!$G$2:$G$2051,$A5,'IncStmt Data'!$A$2:$A$2051,C$1),#N/A)</f>
        <v>#N/A</v>
      </c>
      <c r="D5" s="40" t="e">
        <f>IF(D$1,SUMIFS('IncStmt Data'!$H$2:$H$2051,'IncStmt Data'!$G$2:$G$2051,$A5,'IncStmt Data'!$A$2:$A$2051,D$1),#N/A)</f>
        <v>#N/A</v>
      </c>
      <c r="E5" s="40" t="e">
        <f>IF(E$1,SUMIFS('IncStmt Data'!$H$2:$H$2051,'IncStmt Data'!$G$2:$G$2051,$A5,'IncStmt Data'!$A$2:$A$2051,E$1),#N/A)</f>
        <v>#N/A</v>
      </c>
      <c r="F5" s="40" t="e">
        <f>IF(F$1,SUMIFS('IncStmt Data'!$H$2:$H$2051,'IncStmt Data'!$G$2:$G$2051,$A5,'IncStmt Data'!$A$2:$A$2051,F$1),#N/A)</f>
        <v>#N/A</v>
      </c>
      <c r="G5" s="40" t="e">
        <f>IF(G$1,SUMIFS('IncStmt Data'!$H$2:$H$2051,'IncStmt Data'!$G$2:$G$2051,$A5,'IncStmt Data'!$A$2:$A$2051,G$1),#N/A)</f>
        <v>#N/A</v>
      </c>
      <c r="H5" s="40" t="e">
        <f>IF(H$1,SUMIFS('IncStmt Data'!$H$2:$H$2051,'IncStmt Data'!$G$2:$G$2051,$A5,'IncStmt Data'!$A$2:$A$2051,H$1),#N/A)</f>
        <v>#N/A</v>
      </c>
      <c r="I5" s="40" t="e">
        <f>IF(I$1,SUMIFS('IncStmt Data'!$H$2:$H$2051,'IncStmt Data'!$G$2:$G$2051,$A5,'IncStmt Data'!$A$2:$A$2051,I$1),#N/A)</f>
        <v>#N/A</v>
      </c>
      <c r="J5" s="40" t="e">
        <f>IF(J$1,SUMIFS('IncStmt Data'!$H$2:$H$2051,'IncStmt Data'!$G$2:$G$2051,$A5,'IncStmt Data'!$A$2:$A$2051,J$1),#N/A)</f>
        <v>#N/A</v>
      </c>
      <c r="K5" s="40" t="e">
        <f>IF(K$1,SUMIFS('IncStmt Data'!$H$2:$H$2051,'IncStmt Data'!$G$2:$G$2051,$A5,'IncStmt Data'!$A$2:$A$2051,K$1),#N/A)</f>
        <v>#N/A</v>
      </c>
      <c r="L5" s="40" t="e">
        <f>IF(L$1,SUMIFS('IncStmt Data'!$H$2:$H$2051,'IncStmt Data'!$G$2:$G$2051,$A5,'IncStmt Data'!$A$2:$A$2051,L$1),#N/A)</f>
        <v>#N/A</v>
      </c>
      <c r="M5" s="40" t="e">
        <f>IF(M$1,SUMIFS('IncStmt Data'!$H$2:$H$2051,'IncStmt Data'!$G$2:$G$2051,$A5,'IncStmt Data'!$A$2:$A$2051,M$1),#N/A)</f>
        <v>#N/A</v>
      </c>
      <c r="N5" s="40" t="e">
        <f>IF(N$1,SUMIFS('IncStmt Data'!$H$2:$H$2051,'IncStmt Data'!$G$2:$G$2051,$A5,'IncStmt Data'!$A$2:$A$2051,N$1),#N/A)</f>
        <v>#N/A</v>
      </c>
      <c r="O5" s="40" t="e">
        <f>IF(O$1,SUMIFS('IncStmt Data'!$H$2:$H$2051,'IncStmt Data'!$G$2:$G$2051,$A5,'IncStmt Data'!$A$2:$A$2051,O$1),#N/A)</f>
        <v>#N/A</v>
      </c>
      <c r="P5" s="40" t="e">
        <f>IF(P$1,SUMIFS('IncStmt Data'!$H$2:$H$2051,'IncStmt Data'!$G$2:$G$2051,$A5,'IncStmt Data'!$A$2:$A$2051,P$1),#N/A)</f>
        <v>#N/A</v>
      </c>
      <c r="Q5" s="40" t="e">
        <f>IF(Q$1,SUMIFS('IncStmt Data'!$H$2:$H$2051,'IncStmt Data'!$G$2:$G$2051,$A5,'IncStmt Data'!$A$2:$A$2051,Q$1),#N/A)</f>
        <v>#N/A</v>
      </c>
      <c r="R5" s="40" t="e">
        <f>IF(R$1,SUMIFS('IncStmt Data'!$H$2:$H$2051,'IncStmt Data'!$G$2:$G$2051,$A5,'IncStmt Data'!$A$2:$A$2051,R$1),#N/A)</f>
        <v>#N/A</v>
      </c>
      <c r="S5" s="40" t="e">
        <f>IF(S$1,SUMIFS('IncStmt Data'!$H$2:$H$2051,'IncStmt Data'!$G$2:$G$2051,$A5,'IncStmt Data'!$A$2:$A$2051,S$1),#N/A)</f>
        <v>#N/A</v>
      </c>
      <c r="T5" s="40" t="e">
        <f>IF(T$1,SUMIFS('IncStmt Data'!$H$2:$H$2051,'IncStmt Data'!$G$2:$G$2051,$A5,'IncStmt Data'!$A$2:$A$2051,T$1),#N/A)</f>
        <v>#N/A</v>
      </c>
      <c r="U5" s="40" t="e">
        <f>IF(U$1,SUMIFS('IncStmt Data'!$H$2:$H$2051,'IncStmt Data'!$G$2:$G$2051,$A5,'IncStmt Data'!$A$2:$A$2051,U$1),#N/A)</f>
        <v>#N/A</v>
      </c>
      <c r="V5" s="40" t="e">
        <f>IF(V$1,SUMIFS('IncStmt Data'!$H$2:$H$2051,'IncStmt Data'!$G$2:$G$2051,$A5,'IncStmt Data'!$A$2:$A$2051,V$1),#N/A)</f>
        <v>#N/A</v>
      </c>
      <c r="W5" s="40" t="e">
        <f>IF(W$1,SUMIFS('IncStmt Data'!$H$2:$H$2051,'IncStmt Data'!$G$2:$G$2051,$A5,'IncStmt Data'!$A$2:$A$2051,W$1),#N/A)</f>
        <v>#N/A</v>
      </c>
      <c r="X5" s="40" t="e">
        <f>IF(X$1,SUMIFS('IncStmt Data'!$H$2:$H$2051,'IncStmt Data'!$G$2:$G$2051,$A5,'IncStmt Data'!$A$2:$A$2051,X$1),#N/A)</f>
        <v>#N/A</v>
      </c>
      <c r="Y5" s="40" t="e">
        <f>IF(Y$1,SUMIFS('IncStmt Data'!$H$2:$H$2051,'IncStmt Data'!$G$2:$G$2051,$A5,'IncStmt Data'!$A$2:$A$2051,Y$1),#N/A)</f>
        <v>#N/A</v>
      </c>
      <c r="Z5" s="40" t="e">
        <f>IF(Z$1,SUMIFS('IncStmt Data'!$H$2:$H$2051,'IncStmt Data'!$G$2:$G$2051,$A5,'IncStmt Data'!$A$2:$A$2051,Z$1),#N/A)</f>
        <v>#N/A</v>
      </c>
      <c r="AA5" s="40" t="e">
        <f>IF(AA$1,SUMIFS('IncStmt Data'!$H$2:$H$2051,'IncStmt Data'!$G$2:$G$2051,$A5,'IncStmt Data'!$A$2:$A$2051,AA$1),#N/A)</f>
        <v>#N/A</v>
      </c>
      <c r="AB5" s="40" t="e">
        <f>IF(AB$1,SUMIFS('IncStmt Data'!$H$2:$H$2051,'IncStmt Data'!$G$2:$G$2051,$A5,'IncStmt Data'!$A$2:$A$2051,AB$1),#N/A)</f>
        <v>#N/A</v>
      </c>
      <c r="AC5" s="40" t="e">
        <f>IF(AC$1,SUMIFS('IncStmt Data'!$H$2:$H$2051,'IncStmt Data'!$G$2:$G$2051,$A5,'IncStmt Data'!$A$2:$A$2051,AC$1),#N/A)</f>
        <v>#N/A</v>
      </c>
      <c r="AD5" s="40" t="e">
        <f>IF(AD$1,SUMIFS('IncStmt Data'!$H$2:$H$2051,'IncStmt Data'!$G$2:$G$2051,$A5,'IncStmt Data'!$A$2:$A$2051,AD$1),#N/A)</f>
        <v>#N/A</v>
      </c>
      <c r="AE5" s="40" t="e">
        <f>IF(AE$1,SUMIFS('IncStmt Data'!$H$2:$H$2051,'IncStmt Data'!$G$2:$G$2051,$A5,'IncStmt Data'!$A$2:$A$2051,AE$1),#N/A)</f>
        <v>#N/A</v>
      </c>
      <c r="AF5" s="40" t="e">
        <f>IF(AF$1,SUMIFS('IncStmt Data'!$H$2:$H$2051,'IncStmt Data'!$G$2:$G$2051,$A5,'IncStmt Data'!$A$2:$A$2051,AF$1),#N/A)</f>
        <v>#N/A</v>
      </c>
      <c r="AG5" s="40" t="e">
        <f>IF(AG$1,SUMIFS('IncStmt Data'!$H$2:$H$2051,'IncStmt Data'!$G$2:$G$2051,$A5,'IncStmt Data'!$A$2:$A$2051,AG$1),#N/A)</f>
        <v>#N/A</v>
      </c>
      <c r="AH5" s="40" t="e">
        <f>IF(AH$1,SUMIFS('IncStmt Data'!$H$2:$H$2051,'IncStmt Data'!$G$2:$G$2051,$A5,'IncStmt Data'!$A$2:$A$2051,AH$1),#N/A)</f>
        <v>#N/A</v>
      </c>
      <c r="AI5" s="40" t="e">
        <f>IF(AI$1,SUMIFS('IncStmt Data'!$H$2:$H$2051,'IncStmt Data'!$G$2:$G$2051,$A5,'IncStmt Data'!$A$2:$A$2051,AI$1),#N/A)</f>
        <v>#N/A</v>
      </c>
      <c r="AJ5" s="40" t="e">
        <f>IF(AJ$1,SUMIFS('IncStmt Data'!$H$2:$H$2051,'IncStmt Data'!$G$2:$G$2051,$A5,'IncStmt Data'!$A$2:$A$2051,AJ$1),#N/A)</f>
        <v>#N/A</v>
      </c>
      <c r="AK5" s="40" t="e">
        <f>IF(AK$1,SUMIFS('IncStmt Data'!$H$2:$H$2051,'IncStmt Data'!$G$2:$G$2051,$A5,'IncStmt Data'!$A$2:$A$2051,AK$1),#N/A)</f>
        <v>#N/A</v>
      </c>
      <c r="AL5" s="40" t="e">
        <f>IF(AL$1,SUMIFS('IncStmt Data'!$H$2:$H$2051,'IncStmt Data'!$G$2:$G$2051,$A5,'IncStmt Data'!$A$2:$A$2051,AL$1),#N/A)</f>
        <v>#N/A</v>
      </c>
      <c r="AM5" s="40" t="e">
        <f>IF(AM$1,SUMIFS('IncStmt Data'!$H$2:$H$2051,'IncStmt Data'!$G$2:$G$2051,$A5,'IncStmt Data'!$A$2:$A$2051,AM$1),#N/A)</f>
        <v>#N/A</v>
      </c>
      <c r="AN5" s="40" t="e">
        <f>IF(AN$1,SUMIFS('IncStmt Data'!$H$2:$H$2051,'IncStmt Data'!$G$2:$G$2051,$A5,'IncStmt Data'!$A$2:$A$2051,AN$1),#N/A)</f>
        <v>#N/A</v>
      </c>
      <c r="AO5" s="40" t="e">
        <f>IF(AO$1,SUMIFS('IncStmt Data'!$H$2:$H$2051,'IncStmt Data'!$G$2:$G$2051,$A5,'IncStmt Data'!$A$2:$A$2051,AO$1),#N/A)</f>
        <v>#N/A</v>
      </c>
      <c r="AP5" s="40" t="e">
        <f>IF(AP$1,SUMIFS('IncStmt Data'!$H$2:$H$2051,'IncStmt Data'!$G$2:$G$2051,$A5,'IncStmt Data'!$A$2:$A$2051,AP$1),#N/A)</f>
        <v>#N/A</v>
      </c>
      <c r="AQ5" s="40" t="e">
        <f>IF(AQ$1,SUMIFS('IncStmt Data'!$H$2:$H$2051,'IncStmt Data'!$G$2:$G$2051,$A5,'IncStmt Data'!$A$2:$A$2051,AQ$1),#N/A)</f>
        <v>#N/A</v>
      </c>
      <c r="AR5" s="40" t="e">
        <f>IF(AR$1,SUMIFS('IncStmt Data'!$H$2:$H$2051,'IncStmt Data'!$G$2:$G$2051,$A5,'IncStmt Data'!$A$2:$A$2051,AR$1),#N/A)</f>
        <v>#N/A</v>
      </c>
      <c r="AS5" s="40" t="e">
        <f>IF(AS$1,SUMIFS('IncStmt Data'!$H$2:$H$2051,'IncStmt Data'!$G$2:$G$2051,$A5,'IncStmt Data'!$A$2:$A$2051,AS$1),#N/A)</f>
        <v>#N/A</v>
      </c>
      <c r="AT5" s="40" t="e">
        <f>IF(AT$1,SUMIFS('IncStmt Data'!$H$2:$H$2051,'IncStmt Data'!$G$2:$G$2051,$A5,'IncStmt Data'!$A$2:$A$2051,AT$1),#N/A)</f>
        <v>#N/A</v>
      </c>
      <c r="AU5" s="40" t="e">
        <f>IF(AU$1,SUMIFS('IncStmt Data'!$H$2:$H$2051,'IncStmt Data'!$G$2:$G$2051,$A5,'IncStmt Data'!$A$2:$A$2051,AU$1),#N/A)</f>
        <v>#N/A</v>
      </c>
      <c r="AV5" s="40" t="e">
        <f>IF(AV$1,SUMIFS('IncStmt Data'!$H$2:$H$2051,'IncStmt Data'!$G$2:$G$2051,$A5,'IncStmt Data'!$A$2:$A$2051,AV$1),#N/A)</f>
        <v>#N/A</v>
      </c>
      <c r="AW5" s="40" t="e">
        <f>IF(AW$1,SUMIFS('IncStmt Data'!$H$2:$H$2051,'IncStmt Data'!$G$2:$G$2051,$A5,'IncStmt Data'!$A$2:$A$2051,AW$1),#N/A)</f>
        <v>#N/A</v>
      </c>
      <c r="AX5" s="40" t="e">
        <f>IF(AX$1,SUMIFS('IncStmt Data'!$H$2:$H$2051,'IncStmt Data'!$G$2:$G$2051,$A5,'IncStmt Data'!$A$2:$A$2051,AX$1),#N/A)</f>
        <v>#N/A</v>
      </c>
      <c r="AY5" s="40" t="e">
        <f>IF(AY$1,SUMIFS('IncStmt Data'!$H$2:$H$2051,'IncStmt Data'!$G$2:$G$2051,$A5,'IncStmt Data'!$A$2:$A$2051,AY$1),#N/A)</f>
        <v>#N/A</v>
      </c>
      <c r="AZ5" s="40" t="e">
        <f>IF(AZ$1,SUMIFS('IncStmt Data'!$H$2:$H$2051,'IncStmt Data'!$G$2:$G$2051,$A5,'IncStmt Data'!$A$2:$A$2051,AZ$1),#N/A)</f>
        <v>#N/A</v>
      </c>
      <c r="BA5" s="40" t="e">
        <f>IF(BA$1,SUMIFS('IncStmt Data'!$H$2:$H$2051,'IncStmt Data'!$G$2:$G$2051,$A5,'IncStmt Data'!$A$2:$A$2051,BA$1),#N/A)</f>
        <v>#N/A</v>
      </c>
      <c r="BB5" s="40" t="e">
        <f>IF(BB$1,SUMIFS('IncStmt Data'!$H$2:$H$2051,'IncStmt Data'!$G$2:$G$2051,$A5,'IncStmt Data'!$A$2:$A$2051,BB$1),#N/A)</f>
        <v>#N/A</v>
      </c>
      <c r="BC5" s="40" t="e">
        <f>IF(BC$1,SUMIFS('IncStmt Data'!$H$2:$H$2051,'IncStmt Data'!$G$2:$G$2051,$A5,'IncStmt Data'!$A$2:$A$2051,BC$1),#N/A)</f>
        <v>#N/A</v>
      </c>
      <c r="BD5" s="40" t="e">
        <f>IF(BD$1,SUMIFS('IncStmt Data'!$H$2:$H$2051,'IncStmt Data'!$G$2:$G$2051,$A5,'IncStmt Data'!$A$2:$A$2051,BD$1),#N/A)</f>
        <v>#N/A</v>
      </c>
      <c r="BE5" s="40" t="e">
        <f>IF(BE$1,SUMIFS('IncStmt Data'!$H$2:$H$2051,'IncStmt Data'!$G$2:$G$2051,$A5,'IncStmt Data'!$A$2:$A$2051,BE$1),#N/A)</f>
        <v>#N/A</v>
      </c>
      <c r="BF5" s="40" t="e">
        <f>IF(BF$1,SUMIFS('IncStmt Data'!$H$2:$H$2051,'IncStmt Data'!$G$2:$G$2051,$A5,'IncStmt Data'!$A$2:$A$2051,BF$1),#N/A)</f>
        <v>#N/A</v>
      </c>
      <c r="BG5" s="40" t="e">
        <f>IF(BG$1,SUMIFS('IncStmt Data'!$H$2:$H$2051,'IncStmt Data'!$G$2:$G$2051,$A5,'IncStmt Data'!$A$2:$A$2051,BG$1),#N/A)</f>
        <v>#N/A</v>
      </c>
      <c r="BH5" s="40" t="e">
        <f>IF(BH$1,SUMIFS('IncStmt Data'!$H$2:$H$2051,'IncStmt Data'!$G$2:$G$2051,$A5,'IncStmt Data'!$A$2:$A$2051,BH$1),#N/A)</f>
        <v>#N/A</v>
      </c>
      <c r="BI5" s="40" t="e">
        <f>IF(BI$1,SUMIFS('IncStmt Data'!$H$2:$H$2051,'IncStmt Data'!$G$2:$G$2051,$A5,'IncStmt Data'!$A$2:$A$2051,BI$1),#N/A)</f>
        <v>#N/A</v>
      </c>
      <c r="BJ5" s="40" t="e">
        <f>IF(BJ$1,SUMIFS('IncStmt Data'!$H$2:$H$2051,'IncStmt Data'!$G$2:$G$2051,$A5,'IncStmt Data'!$A$2:$A$2051,BJ$1),#N/A)</f>
        <v>#N/A</v>
      </c>
      <c r="BK5" s="40" t="e">
        <f>IF(BK$1,SUMIFS('IncStmt Data'!$H$2:$H$2051,'IncStmt Data'!$G$2:$G$2051,$A5,'IncStmt Data'!$A$2:$A$2051,BK$1),#N/A)</f>
        <v>#N/A</v>
      </c>
      <c r="BL5" s="40" t="e">
        <f>IF(BL$1,SUMIFS('IncStmt Data'!$H$2:$H$2051,'IncStmt Data'!$G$2:$G$2051,$A5,'IncStmt Data'!$A$2:$A$2051,BL$1),#N/A)</f>
        <v>#N/A</v>
      </c>
      <c r="BM5" s="40" t="e">
        <f>IF(BM$1,SUMIFS('IncStmt Data'!$H$2:$H$2051,'IncStmt Data'!$G$2:$G$2051,$A5,'IncStmt Data'!$A$2:$A$2051,BM$1),#N/A)</f>
        <v>#N/A</v>
      </c>
      <c r="BN5" s="40" t="e">
        <f>IF(BN$1,SUMIFS('IncStmt Data'!$H$2:$H$2051,'IncStmt Data'!$G$2:$G$2051,$A5,'IncStmt Data'!$A$2:$A$2051,BN$1),#N/A)</f>
        <v>#N/A</v>
      </c>
      <c r="BO5" s="40" t="e">
        <f>IF(BO$1,SUMIFS('IncStmt Data'!$H$2:$H$2051,'IncStmt Data'!$G$2:$G$2051,$A5,'IncStmt Data'!$A$2:$A$2051,BO$1),#N/A)</f>
        <v>#N/A</v>
      </c>
      <c r="BP5" s="40" t="e">
        <f>IF(BP$1,SUMIFS('IncStmt Data'!$H$2:$H$2051,'IncStmt Data'!$G$2:$G$2051,$A5,'IncStmt Data'!$A$2:$A$2051,BP$1),#N/A)</f>
        <v>#N/A</v>
      </c>
      <c r="BQ5" s="40" t="e">
        <f>IF(BQ$1,SUMIFS('IncStmt Data'!$H$2:$H$2051,'IncStmt Data'!$G$2:$G$2051,$A5,'IncStmt Data'!$A$2:$A$2051,BQ$1),#N/A)</f>
        <v>#N/A</v>
      </c>
      <c r="BR5" s="40" t="e">
        <f>IF(BR$1,SUMIFS('IncStmt Data'!$H$2:$H$2051,'IncStmt Data'!$G$2:$G$2051,$A5,'IncStmt Data'!$A$2:$A$2051,BR$1),#N/A)</f>
        <v>#N/A</v>
      </c>
      <c r="BS5" s="40" t="e">
        <f>IF(BS$1,SUMIFS('IncStmt Data'!$H$2:$H$2051,'IncStmt Data'!$G$2:$G$2051,$A5,'IncStmt Data'!$A$2:$A$2051,BS$1),#N/A)</f>
        <v>#N/A</v>
      </c>
      <c r="BT5" s="40" t="e">
        <f>IF(BT$1,SUMIFS('IncStmt Data'!$H$2:$H$2051,'IncStmt Data'!$G$2:$G$2051,$A5,'IncStmt Data'!$A$2:$A$2051,BT$1),#N/A)</f>
        <v>#N/A</v>
      </c>
      <c r="BU5" s="40" t="e">
        <f>IF(BU$1,SUMIFS('IncStmt Data'!$H$2:$H$2051,'IncStmt Data'!$G$2:$G$2051,$A5,'IncStmt Data'!$A$2:$A$2051,BU$1),#N/A)</f>
        <v>#N/A</v>
      </c>
      <c r="BV5" s="40" t="e">
        <f>IF(BV$1,SUMIFS('IncStmt Data'!$H$2:$H$2051,'IncStmt Data'!$G$2:$G$2051,$A5,'IncStmt Data'!$A$2:$A$2051,BV$1),#N/A)</f>
        <v>#N/A</v>
      </c>
      <c r="BW5" s="40" t="e">
        <f>IF(BW$1,SUMIFS('IncStmt Data'!$H$2:$H$2051,'IncStmt Data'!$G$2:$G$2051,$A5,'IncStmt Data'!$A$2:$A$2051,BW$1),#N/A)</f>
        <v>#N/A</v>
      </c>
      <c r="BX5" s="40" t="e">
        <f>IF(BX$1,SUMIFS('IncStmt Data'!$H$2:$H$2051,'IncStmt Data'!$G$2:$G$2051,$A5,'IncStmt Data'!$A$2:$A$2051,BX$1),#N/A)</f>
        <v>#N/A</v>
      </c>
      <c r="BY5" s="40" t="e">
        <f>IF(BY$1,SUMIFS('IncStmt Data'!$H$2:$H$2051,'IncStmt Data'!$G$2:$G$2051,$A5,'IncStmt Data'!$A$2:$A$2051,BY$1),#N/A)</f>
        <v>#N/A</v>
      </c>
      <c r="BZ5" s="40" t="e">
        <f>IF(BZ$1,SUMIFS('IncStmt Data'!$H$2:$H$2051,'IncStmt Data'!$G$2:$G$2051,$A5,'IncStmt Data'!$A$2:$A$2051,BZ$1),#N/A)</f>
        <v>#N/A</v>
      </c>
      <c r="CA5" s="40" t="e">
        <f>IF(CA$1,SUMIFS('IncStmt Data'!$H$2:$H$2051,'IncStmt Data'!$G$2:$G$2051,$A5,'IncStmt Data'!$A$2:$A$2051,CA$1),#N/A)</f>
        <v>#N/A</v>
      </c>
      <c r="CB5" s="40" t="e">
        <f>IF(CB$1,SUMIFS('IncStmt Data'!$H$2:$H$2051,'IncStmt Data'!$G$2:$G$2051,$A5,'IncStmt Data'!$A$2:$A$2051,CB$1),#N/A)</f>
        <v>#N/A</v>
      </c>
      <c r="CC5" s="40" t="e">
        <f>IF(CC$1,SUMIFS('IncStmt Data'!$H$2:$H$2051,'IncStmt Data'!$G$2:$G$2051,$A5,'IncStmt Data'!$A$2:$A$2051,CC$1),#N/A)</f>
        <v>#N/A</v>
      </c>
      <c r="CD5" s="40" t="e">
        <f>IF(CD$1,SUMIFS('IncStmt Data'!$H$2:$H$2051,'IncStmt Data'!$G$2:$G$2051,$A5,'IncStmt Data'!$A$2:$A$2051,CD$1),#N/A)</f>
        <v>#N/A</v>
      </c>
      <c r="CE5" s="40" t="e">
        <f>IF(CE$1,SUMIFS('IncStmt Data'!$H$2:$H$2051,'IncStmt Data'!$G$2:$G$2051,$A5,'IncStmt Data'!$A$2:$A$2051,CE$1),#N/A)</f>
        <v>#N/A</v>
      </c>
      <c r="CF5" s="40" t="e">
        <f>IF(CF$1,SUMIFS('IncStmt Data'!$H$2:$H$2051,'IncStmt Data'!$G$2:$G$2051,$A5,'IncStmt Data'!$A$2:$A$2051,CF$1),#N/A)</f>
        <v>#N/A</v>
      </c>
      <c r="CG5" s="40" t="e">
        <f>IF(CG$1,SUMIFS('IncStmt Data'!$H$2:$H$2051,'IncStmt Data'!$G$2:$G$2051,$A5,'IncStmt Data'!$A$2:$A$2051,CG$1),#N/A)</f>
        <v>#N/A</v>
      </c>
      <c r="CH5" s="40" t="e">
        <f>IF(CH$1,SUMIFS('IncStmt Data'!$H$2:$H$2051,'IncStmt Data'!$G$2:$G$2051,$A5,'IncStmt Data'!$A$2:$A$2051,CH$1),#N/A)</f>
        <v>#N/A</v>
      </c>
      <c r="CI5" s="40" t="e">
        <f>IF(CI$1,SUMIFS('IncStmt Data'!$H$2:$H$2051,'IncStmt Data'!$G$2:$G$2051,$A5,'IncStmt Data'!$A$2:$A$2051,CI$1),#N/A)</f>
        <v>#N/A</v>
      </c>
      <c r="CJ5" s="40" t="e">
        <f>IF(CJ$1,SUMIFS('IncStmt Data'!$H$2:$H$2051,'IncStmt Data'!$G$2:$G$2051,$A5,'IncStmt Data'!$A$2:$A$2051,CJ$1),#N/A)</f>
        <v>#N/A</v>
      </c>
      <c r="CK5" s="40" t="e">
        <f>IF(CK$1,SUMIFS('IncStmt Data'!$H$2:$H$2051,'IncStmt Data'!$G$2:$G$2051,$A5,'IncStmt Data'!$A$2:$A$2051,CK$1),#N/A)</f>
        <v>#N/A</v>
      </c>
      <c r="CL5" s="40" t="e">
        <f>IF(CL$1,SUMIFS('IncStmt Data'!$H$2:$H$2051,'IncStmt Data'!$G$2:$G$2051,$A5,'IncStmt Data'!$A$2:$A$2051,CL$1),#N/A)</f>
        <v>#N/A</v>
      </c>
      <c r="CM5" s="40" t="e">
        <f>IF(CM$1,SUMIFS('IncStmt Data'!$H$2:$H$2051,'IncStmt Data'!$G$2:$G$2051,$A5,'IncStmt Data'!$A$2:$A$2051,CM$1),#N/A)</f>
        <v>#N/A</v>
      </c>
      <c r="CN5" s="40" t="e">
        <f>IF(CN$1,SUMIFS('IncStmt Data'!$H$2:$H$2051,'IncStmt Data'!$G$2:$G$2051,$A5,'IncStmt Data'!$A$2:$A$2051,CN$1),#N/A)</f>
        <v>#N/A</v>
      </c>
      <c r="CO5" s="40" t="e">
        <f>IF(CO$1,SUMIFS('IncStmt Data'!$H$2:$H$2051,'IncStmt Data'!$G$2:$G$2051,$A5,'IncStmt Data'!$A$2:$A$2051,CO$1),#N/A)</f>
        <v>#N/A</v>
      </c>
      <c r="CP5" s="40" t="e">
        <f>IF(CP$1,SUMIFS('IncStmt Data'!$H$2:$H$2051,'IncStmt Data'!$G$2:$G$2051,$A5,'IncStmt Data'!$A$2:$A$2051,CP$1),#N/A)</f>
        <v>#N/A</v>
      </c>
      <c r="CQ5" s="40" t="e">
        <f>IF(CQ$1,SUMIFS('IncStmt Data'!$H$2:$H$2051,'IncStmt Data'!$G$2:$G$2051,$A5,'IncStmt Data'!$A$2:$A$2051,CQ$1),#N/A)</f>
        <v>#N/A</v>
      </c>
      <c r="CR5" s="40" t="e">
        <f>IF(CR$1,SUMIFS('IncStmt Data'!$H$2:$H$2051,'IncStmt Data'!$G$2:$G$2051,$A5,'IncStmt Data'!$A$2:$A$2051,CR$1),#N/A)</f>
        <v>#N/A</v>
      </c>
      <c r="CS5" s="40" t="e">
        <f>IF(CS$1,SUMIFS('IncStmt Data'!$H$2:$H$2051,'IncStmt Data'!$G$2:$G$2051,$A5,'IncStmt Data'!$A$2:$A$2051,CS$1),#N/A)</f>
        <v>#N/A</v>
      </c>
      <c r="CT5" s="40" t="e">
        <f>IF(CT$1,SUMIFS('IncStmt Data'!$H$2:$H$2051,'IncStmt Data'!$G$2:$G$2051,$A5,'IncStmt Data'!$A$2:$A$2051,CT$1),#N/A)</f>
        <v>#N/A</v>
      </c>
      <c r="CU5" s="40" t="e">
        <f>IF(CU$1,SUMIFS('IncStmt Data'!$H$2:$H$2051,'IncStmt Data'!$G$2:$G$2051,$A5,'IncStmt Data'!$A$2:$A$2051,CU$1),#N/A)</f>
        <v>#N/A</v>
      </c>
      <c r="CV5" s="40" t="e">
        <f>IF(CV$1,SUMIFS('IncStmt Data'!$H$2:$H$2051,'IncStmt Data'!$G$2:$G$2051,$A5,'IncStmt Data'!$A$2:$A$2051,CV$1),#N/A)</f>
        <v>#N/A</v>
      </c>
      <c r="CW5" s="40" t="e">
        <f>IF(CW$1,SUMIFS('IncStmt Data'!$H$2:$H$2051,'IncStmt Data'!$G$2:$G$2051,$A5,'IncStmt Data'!$A$2:$A$2051,CW$1),#N/A)</f>
        <v>#N/A</v>
      </c>
      <c r="CX5" s="40" t="e">
        <f>IF(CX$1,SUMIFS('IncStmt Data'!$H$2:$H$2051,'IncStmt Data'!$G$2:$G$2051,$A5,'IncStmt Data'!$A$2:$A$2051,CX$1),#N/A)</f>
        <v>#N/A</v>
      </c>
      <c r="CY5" s="40" t="e">
        <f>IF(CY$1,SUMIFS('IncStmt Data'!$H$2:$H$2051,'IncStmt Data'!$G$2:$G$2051,$A5,'IncStmt Data'!$A$2:$A$2051,CY$1),#N/A)</f>
        <v>#N/A</v>
      </c>
      <c r="CZ5" s="40" t="e">
        <f>IF(CZ$1,SUMIFS('IncStmt Data'!$H$2:$H$2051,'IncStmt Data'!$G$2:$G$2051,$A5,'IncStmt Data'!$A$2:$A$2051,CZ$1),#N/A)</f>
        <v>#N/A</v>
      </c>
    </row>
    <row r="6" spans="1:104" s="42" customFormat="1" x14ac:dyDescent="0.2">
      <c r="A6" s="57" t="s">
        <v>145</v>
      </c>
      <c r="B6" s="42" t="e">
        <f>IF(B$1,SUMIFS('IncStmt Data'!$H$2:$H$2051,'IncStmt Data'!$G$2:$G$2051,$A6,'IncStmt Data'!$A$2:$A$2051,B$1),#N/A)</f>
        <v>#N/A</v>
      </c>
      <c r="C6" s="42" t="e">
        <f>IF(C$1,SUMIFS('IncStmt Data'!$H$2:$H$2051,'IncStmt Data'!$G$2:$G$2051,$A6,'IncStmt Data'!$A$2:$A$2051,C$1),#N/A)</f>
        <v>#N/A</v>
      </c>
      <c r="D6" s="42" t="e">
        <f>IF(D$1,SUMIFS('IncStmt Data'!$H$2:$H$2051,'IncStmt Data'!$G$2:$G$2051,$A6,'IncStmt Data'!$A$2:$A$2051,D$1),#N/A)</f>
        <v>#N/A</v>
      </c>
      <c r="E6" s="42" t="e">
        <f>IF(E$1,SUMIFS('IncStmt Data'!$H$2:$H$2051,'IncStmt Data'!$G$2:$G$2051,$A6,'IncStmt Data'!$A$2:$A$2051,E$1),#N/A)</f>
        <v>#N/A</v>
      </c>
      <c r="F6" s="42" t="e">
        <f>IF(F$1,SUMIFS('IncStmt Data'!$H$2:$H$2051,'IncStmt Data'!$G$2:$G$2051,$A6,'IncStmt Data'!$A$2:$A$2051,F$1),#N/A)</f>
        <v>#N/A</v>
      </c>
      <c r="G6" s="42" t="e">
        <f>IF(G$1,SUMIFS('IncStmt Data'!$H$2:$H$2051,'IncStmt Data'!$G$2:$G$2051,$A6,'IncStmt Data'!$A$2:$A$2051,G$1),#N/A)</f>
        <v>#N/A</v>
      </c>
      <c r="H6" s="42" t="e">
        <f>IF(H$1,SUMIFS('IncStmt Data'!$H$2:$H$2051,'IncStmt Data'!$G$2:$G$2051,$A6,'IncStmt Data'!$A$2:$A$2051,H$1),#N/A)</f>
        <v>#N/A</v>
      </c>
      <c r="I6" s="42" t="e">
        <f>IF(I$1,SUMIFS('IncStmt Data'!$H$2:$H$2051,'IncStmt Data'!$G$2:$G$2051,$A6,'IncStmt Data'!$A$2:$A$2051,I$1),#N/A)</f>
        <v>#N/A</v>
      </c>
      <c r="J6" s="42" t="e">
        <f>IF(J$1,SUMIFS('IncStmt Data'!$H$2:$H$2051,'IncStmt Data'!$G$2:$G$2051,$A6,'IncStmt Data'!$A$2:$A$2051,J$1),#N/A)</f>
        <v>#N/A</v>
      </c>
      <c r="K6" s="42" t="e">
        <f>IF(K$1,SUMIFS('IncStmt Data'!$H$2:$H$2051,'IncStmt Data'!$G$2:$G$2051,$A6,'IncStmt Data'!$A$2:$A$2051,K$1),#N/A)</f>
        <v>#N/A</v>
      </c>
      <c r="L6" s="42" t="e">
        <f>IF(L$1,SUMIFS('IncStmt Data'!$H$2:$H$2051,'IncStmt Data'!$G$2:$G$2051,$A6,'IncStmt Data'!$A$2:$A$2051,L$1),#N/A)</f>
        <v>#N/A</v>
      </c>
      <c r="M6" s="42" t="e">
        <f>IF(M$1,SUMIFS('IncStmt Data'!$H$2:$H$2051,'IncStmt Data'!$G$2:$G$2051,$A6,'IncStmt Data'!$A$2:$A$2051,M$1),#N/A)</f>
        <v>#N/A</v>
      </c>
      <c r="N6" s="42" t="e">
        <f>IF(N$1,SUMIFS('IncStmt Data'!$H$2:$H$2051,'IncStmt Data'!$G$2:$G$2051,$A6,'IncStmt Data'!$A$2:$A$2051,N$1),#N/A)</f>
        <v>#N/A</v>
      </c>
      <c r="O6" s="42" t="e">
        <f>IF(O$1,SUMIFS('IncStmt Data'!$H$2:$H$2051,'IncStmt Data'!$G$2:$G$2051,$A6,'IncStmt Data'!$A$2:$A$2051,O$1),#N/A)</f>
        <v>#N/A</v>
      </c>
      <c r="P6" s="42" t="e">
        <f>IF(P$1,SUMIFS('IncStmt Data'!$H$2:$H$2051,'IncStmt Data'!$G$2:$G$2051,$A6,'IncStmt Data'!$A$2:$A$2051,P$1),#N/A)</f>
        <v>#N/A</v>
      </c>
      <c r="Q6" s="42" t="e">
        <f>IF(Q$1,SUMIFS('IncStmt Data'!$H$2:$H$2051,'IncStmt Data'!$G$2:$G$2051,$A6,'IncStmt Data'!$A$2:$A$2051,Q$1),#N/A)</f>
        <v>#N/A</v>
      </c>
      <c r="R6" s="42" t="e">
        <f>IF(R$1,SUMIFS('IncStmt Data'!$H$2:$H$2051,'IncStmt Data'!$G$2:$G$2051,$A6,'IncStmt Data'!$A$2:$A$2051,R$1),#N/A)</f>
        <v>#N/A</v>
      </c>
      <c r="S6" s="42" t="e">
        <f>IF(S$1,SUMIFS('IncStmt Data'!$H$2:$H$2051,'IncStmt Data'!$G$2:$G$2051,$A6,'IncStmt Data'!$A$2:$A$2051,S$1),#N/A)</f>
        <v>#N/A</v>
      </c>
      <c r="T6" s="42" t="e">
        <f>IF(T$1,SUMIFS('IncStmt Data'!$H$2:$H$2051,'IncStmt Data'!$G$2:$G$2051,$A6,'IncStmt Data'!$A$2:$A$2051,T$1),#N/A)</f>
        <v>#N/A</v>
      </c>
      <c r="U6" s="42" t="e">
        <f>IF(U$1,SUMIFS('IncStmt Data'!$H$2:$H$2051,'IncStmt Data'!$G$2:$G$2051,$A6,'IncStmt Data'!$A$2:$A$2051,U$1),#N/A)</f>
        <v>#N/A</v>
      </c>
      <c r="V6" s="42" t="e">
        <f>IF(V$1,SUMIFS('IncStmt Data'!$H$2:$H$2051,'IncStmt Data'!$G$2:$G$2051,$A6,'IncStmt Data'!$A$2:$A$2051,V$1),#N/A)</f>
        <v>#N/A</v>
      </c>
      <c r="W6" s="42" t="e">
        <f>IF(W$1,SUMIFS('IncStmt Data'!$H$2:$H$2051,'IncStmt Data'!$G$2:$G$2051,$A6,'IncStmt Data'!$A$2:$A$2051,W$1),#N/A)</f>
        <v>#N/A</v>
      </c>
      <c r="X6" s="42" t="e">
        <f>IF(X$1,SUMIFS('IncStmt Data'!$H$2:$H$2051,'IncStmt Data'!$G$2:$G$2051,$A6,'IncStmt Data'!$A$2:$A$2051,X$1),#N/A)</f>
        <v>#N/A</v>
      </c>
      <c r="Y6" s="42" t="e">
        <f>IF(Y$1,SUMIFS('IncStmt Data'!$H$2:$H$2051,'IncStmt Data'!$G$2:$G$2051,$A6,'IncStmt Data'!$A$2:$A$2051,Y$1),#N/A)</f>
        <v>#N/A</v>
      </c>
      <c r="Z6" s="42" t="e">
        <f>IF(Z$1,SUMIFS('IncStmt Data'!$H$2:$H$2051,'IncStmt Data'!$G$2:$G$2051,$A6,'IncStmt Data'!$A$2:$A$2051,Z$1),#N/A)</f>
        <v>#N/A</v>
      </c>
      <c r="AA6" s="42" t="e">
        <f>IF(AA$1,SUMIFS('IncStmt Data'!$H$2:$H$2051,'IncStmt Data'!$G$2:$G$2051,$A6,'IncStmt Data'!$A$2:$A$2051,AA$1),#N/A)</f>
        <v>#N/A</v>
      </c>
      <c r="AB6" s="42" t="e">
        <f>IF(AB$1,SUMIFS('IncStmt Data'!$H$2:$H$2051,'IncStmt Data'!$G$2:$G$2051,$A6,'IncStmt Data'!$A$2:$A$2051,AB$1),#N/A)</f>
        <v>#N/A</v>
      </c>
      <c r="AC6" s="42" t="e">
        <f>IF(AC$1,SUMIFS('IncStmt Data'!$H$2:$H$2051,'IncStmt Data'!$G$2:$G$2051,$A6,'IncStmt Data'!$A$2:$A$2051,AC$1),#N/A)</f>
        <v>#N/A</v>
      </c>
      <c r="AD6" s="42" t="e">
        <f>IF(AD$1,SUMIFS('IncStmt Data'!$H$2:$H$2051,'IncStmt Data'!$G$2:$G$2051,$A6,'IncStmt Data'!$A$2:$A$2051,AD$1),#N/A)</f>
        <v>#N/A</v>
      </c>
      <c r="AE6" s="42" t="e">
        <f>IF(AE$1,SUMIFS('IncStmt Data'!$H$2:$H$2051,'IncStmt Data'!$G$2:$G$2051,$A6,'IncStmt Data'!$A$2:$A$2051,AE$1),#N/A)</f>
        <v>#N/A</v>
      </c>
      <c r="AF6" s="42" t="e">
        <f>IF(AF$1,SUMIFS('IncStmt Data'!$H$2:$H$2051,'IncStmt Data'!$G$2:$G$2051,$A6,'IncStmt Data'!$A$2:$A$2051,AF$1),#N/A)</f>
        <v>#N/A</v>
      </c>
      <c r="AG6" s="42" t="e">
        <f>IF(AG$1,SUMIFS('IncStmt Data'!$H$2:$H$2051,'IncStmt Data'!$G$2:$G$2051,$A6,'IncStmt Data'!$A$2:$A$2051,AG$1),#N/A)</f>
        <v>#N/A</v>
      </c>
      <c r="AH6" s="42" t="e">
        <f>IF(AH$1,SUMIFS('IncStmt Data'!$H$2:$H$2051,'IncStmt Data'!$G$2:$G$2051,$A6,'IncStmt Data'!$A$2:$A$2051,AH$1),#N/A)</f>
        <v>#N/A</v>
      </c>
      <c r="AI6" s="42" t="e">
        <f>IF(AI$1,SUMIFS('IncStmt Data'!$H$2:$H$2051,'IncStmt Data'!$G$2:$G$2051,$A6,'IncStmt Data'!$A$2:$A$2051,AI$1),#N/A)</f>
        <v>#N/A</v>
      </c>
      <c r="AJ6" s="42" t="e">
        <f>IF(AJ$1,SUMIFS('IncStmt Data'!$H$2:$H$2051,'IncStmt Data'!$G$2:$G$2051,$A6,'IncStmt Data'!$A$2:$A$2051,AJ$1),#N/A)</f>
        <v>#N/A</v>
      </c>
      <c r="AK6" s="42" t="e">
        <f>IF(AK$1,SUMIFS('IncStmt Data'!$H$2:$H$2051,'IncStmt Data'!$G$2:$G$2051,$A6,'IncStmt Data'!$A$2:$A$2051,AK$1),#N/A)</f>
        <v>#N/A</v>
      </c>
      <c r="AL6" s="42" t="e">
        <f>IF(AL$1,SUMIFS('IncStmt Data'!$H$2:$H$2051,'IncStmt Data'!$G$2:$G$2051,$A6,'IncStmt Data'!$A$2:$A$2051,AL$1),#N/A)</f>
        <v>#N/A</v>
      </c>
      <c r="AM6" s="42" t="e">
        <f>IF(AM$1,SUMIFS('IncStmt Data'!$H$2:$H$2051,'IncStmt Data'!$G$2:$G$2051,$A6,'IncStmt Data'!$A$2:$A$2051,AM$1),#N/A)</f>
        <v>#N/A</v>
      </c>
      <c r="AN6" s="42" t="e">
        <f>IF(AN$1,SUMIFS('IncStmt Data'!$H$2:$H$2051,'IncStmt Data'!$G$2:$G$2051,$A6,'IncStmt Data'!$A$2:$A$2051,AN$1),#N/A)</f>
        <v>#N/A</v>
      </c>
      <c r="AO6" s="42" t="e">
        <f>IF(AO$1,SUMIFS('IncStmt Data'!$H$2:$H$2051,'IncStmt Data'!$G$2:$G$2051,$A6,'IncStmt Data'!$A$2:$A$2051,AO$1),#N/A)</f>
        <v>#N/A</v>
      </c>
      <c r="AP6" s="42" t="e">
        <f>IF(AP$1,SUMIFS('IncStmt Data'!$H$2:$H$2051,'IncStmt Data'!$G$2:$G$2051,$A6,'IncStmt Data'!$A$2:$A$2051,AP$1),#N/A)</f>
        <v>#N/A</v>
      </c>
      <c r="AQ6" s="42" t="e">
        <f>IF(AQ$1,SUMIFS('IncStmt Data'!$H$2:$H$2051,'IncStmt Data'!$G$2:$G$2051,$A6,'IncStmt Data'!$A$2:$A$2051,AQ$1),#N/A)</f>
        <v>#N/A</v>
      </c>
      <c r="AR6" s="42" t="e">
        <f>IF(AR$1,SUMIFS('IncStmt Data'!$H$2:$H$2051,'IncStmt Data'!$G$2:$G$2051,$A6,'IncStmt Data'!$A$2:$A$2051,AR$1),#N/A)</f>
        <v>#N/A</v>
      </c>
      <c r="AS6" s="42" t="e">
        <f>IF(AS$1,SUMIFS('IncStmt Data'!$H$2:$H$2051,'IncStmt Data'!$G$2:$G$2051,$A6,'IncStmt Data'!$A$2:$A$2051,AS$1),#N/A)</f>
        <v>#N/A</v>
      </c>
      <c r="AT6" s="42" t="e">
        <f>IF(AT$1,SUMIFS('IncStmt Data'!$H$2:$H$2051,'IncStmt Data'!$G$2:$G$2051,$A6,'IncStmt Data'!$A$2:$A$2051,AT$1),#N/A)</f>
        <v>#N/A</v>
      </c>
      <c r="AU6" s="42" t="e">
        <f>IF(AU$1,SUMIFS('IncStmt Data'!$H$2:$H$2051,'IncStmt Data'!$G$2:$G$2051,$A6,'IncStmt Data'!$A$2:$A$2051,AU$1),#N/A)</f>
        <v>#N/A</v>
      </c>
      <c r="AV6" s="42" t="e">
        <f>IF(AV$1,SUMIFS('IncStmt Data'!$H$2:$H$2051,'IncStmt Data'!$G$2:$G$2051,$A6,'IncStmt Data'!$A$2:$A$2051,AV$1),#N/A)</f>
        <v>#N/A</v>
      </c>
      <c r="AW6" s="42" t="e">
        <f>IF(AW$1,SUMIFS('IncStmt Data'!$H$2:$H$2051,'IncStmt Data'!$G$2:$G$2051,$A6,'IncStmt Data'!$A$2:$A$2051,AW$1),#N/A)</f>
        <v>#N/A</v>
      </c>
      <c r="AX6" s="42" t="e">
        <f>IF(AX$1,SUMIFS('IncStmt Data'!$H$2:$H$2051,'IncStmt Data'!$G$2:$G$2051,$A6,'IncStmt Data'!$A$2:$A$2051,AX$1),#N/A)</f>
        <v>#N/A</v>
      </c>
      <c r="AY6" s="42" t="e">
        <f>IF(AY$1,SUMIFS('IncStmt Data'!$H$2:$H$2051,'IncStmt Data'!$G$2:$G$2051,$A6,'IncStmt Data'!$A$2:$A$2051,AY$1),#N/A)</f>
        <v>#N/A</v>
      </c>
      <c r="AZ6" s="42" t="e">
        <f>IF(AZ$1,SUMIFS('IncStmt Data'!$H$2:$H$2051,'IncStmt Data'!$G$2:$G$2051,$A6,'IncStmt Data'!$A$2:$A$2051,AZ$1),#N/A)</f>
        <v>#N/A</v>
      </c>
      <c r="BA6" s="42" t="e">
        <f>IF(BA$1,SUMIFS('IncStmt Data'!$H$2:$H$2051,'IncStmt Data'!$G$2:$G$2051,$A6,'IncStmt Data'!$A$2:$A$2051,BA$1),#N/A)</f>
        <v>#N/A</v>
      </c>
      <c r="BB6" s="42" t="e">
        <f>IF(BB$1,SUMIFS('IncStmt Data'!$H$2:$H$2051,'IncStmt Data'!$G$2:$G$2051,$A6,'IncStmt Data'!$A$2:$A$2051,BB$1),#N/A)</f>
        <v>#N/A</v>
      </c>
      <c r="BC6" s="42" t="e">
        <f>IF(BC$1,SUMIFS('IncStmt Data'!$H$2:$H$2051,'IncStmt Data'!$G$2:$G$2051,$A6,'IncStmt Data'!$A$2:$A$2051,BC$1),#N/A)</f>
        <v>#N/A</v>
      </c>
      <c r="BD6" s="42" t="e">
        <f>IF(BD$1,SUMIFS('IncStmt Data'!$H$2:$H$2051,'IncStmt Data'!$G$2:$G$2051,$A6,'IncStmt Data'!$A$2:$A$2051,BD$1),#N/A)</f>
        <v>#N/A</v>
      </c>
      <c r="BE6" s="42" t="e">
        <f>IF(BE$1,SUMIFS('IncStmt Data'!$H$2:$H$2051,'IncStmt Data'!$G$2:$G$2051,$A6,'IncStmt Data'!$A$2:$A$2051,BE$1),#N/A)</f>
        <v>#N/A</v>
      </c>
      <c r="BF6" s="42" t="e">
        <f>IF(BF$1,SUMIFS('IncStmt Data'!$H$2:$H$2051,'IncStmt Data'!$G$2:$G$2051,$A6,'IncStmt Data'!$A$2:$A$2051,BF$1),#N/A)</f>
        <v>#N/A</v>
      </c>
      <c r="BG6" s="42" t="e">
        <f>IF(BG$1,SUMIFS('IncStmt Data'!$H$2:$H$2051,'IncStmt Data'!$G$2:$G$2051,$A6,'IncStmt Data'!$A$2:$A$2051,BG$1),#N/A)</f>
        <v>#N/A</v>
      </c>
      <c r="BH6" s="42" t="e">
        <f>IF(BH$1,SUMIFS('IncStmt Data'!$H$2:$H$2051,'IncStmt Data'!$G$2:$G$2051,$A6,'IncStmt Data'!$A$2:$A$2051,BH$1),#N/A)</f>
        <v>#N/A</v>
      </c>
      <c r="BI6" s="42" t="e">
        <f>IF(BI$1,SUMIFS('IncStmt Data'!$H$2:$H$2051,'IncStmt Data'!$G$2:$G$2051,$A6,'IncStmt Data'!$A$2:$A$2051,BI$1),#N/A)</f>
        <v>#N/A</v>
      </c>
      <c r="BJ6" s="42" t="e">
        <f>IF(BJ$1,SUMIFS('IncStmt Data'!$H$2:$H$2051,'IncStmt Data'!$G$2:$G$2051,$A6,'IncStmt Data'!$A$2:$A$2051,BJ$1),#N/A)</f>
        <v>#N/A</v>
      </c>
      <c r="BK6" s="42" t="e">
        <f>IF(BK$1,SUMIFS('IncStmt Data'!$H$2:$H$2051,'IncStmt Data'!$G$2:$G$2051,$A6,'IncStmt Data'!$A$2:$A$2051,BK$1),#N/A)</f>
        <v>#N/A</v>
      </c>
      <c r="BL6" s="42" t="e">
        <f>IF(BL$1,SUMIFS('IncStmt Data'!$H$2:$H$2051,'IncStmt Data'!$G$2:$G$2051,$A6,'IncStmt Data'!$A$2:$A$2051,BL$1),#N/A)</f>
        <v>#N/A</v>
      </c>
      <c r="BM6" s="42" t="e">
        <f>IF(BM$1,SUMIFS('IncStmt Data'!$H$2:$H$2051,'IncStmt Data'!$G$2:$G$2051,$A6,'IncStmt Data'!$A$2:$A$2051,BM$1),#N/A)</f>
        <v>#N/A</v>
      </c>
      <c r="BN6" s="42" t="e">
        <f>IF(BN$1,SUMIFS('IncStmt Data'!$H$2:$H$2051,'IncStmt Data'!$G$2:$G$2051,$A6,'IncStmt Data'!$A$2:$A$2051,BN$1),#N/A)</f>
        <v>#N/A</v>
      </c>
      <c r="BO6" s="42" t="e">
        <f>IF(BO$1,SUMIFS('IncStmt Data'!$H$2:$H$2051,'IncStmt Data'!$G$2:$G$2051,$A6,'IncStmt Data'!$A$2:$A$2051,BO$1),#N/A)</f>
        <v>#N/A</v>
      </c>
      <c r="BP6" s="42" t="e">
        <f>IF(BP$1,SUMIFS('IncStmt Data'!$H$2:$H$2051,'IncStmt Data'!$G$2:$G$2051,$A6,'IncStmt Data'!$A$2:$A$2051,BP$1),#N/A)</f>
        <v>#N/A</v>
      </c>
      <c r="BQ6" s="42" t="e">
        <f>IF(BQ$1,SUMIFS('IncStmt Data'!$H$2:$H$2051,'IncStmt Data'!$G$2:$G$2051,$A6,'IncStmt Data'!$A$2:$A$2051,BQ$1),#N/A)</f>
        <v>#N/A</v>
      </c>
      <c r="BR6" s="42" t="e">
        <f>IF(BR$1,SUMIFS('IncStmt Data'!$H$2:$H$2051,'IncStmt Data'!$G$2:$G$2051,$A6,'IncStmt Data'!$A$2:$A$2051,BR$1),#N/A)</f>
        <v>#N/A</v>
      </c>
      <c r="BS6" s="42" t="e">
        <f>IF(BS$1,SUMIFS('IncStmt Data'!$H$2:$H$2051,'IncStmt Data'!$G$2:$G$2051,$A6,'IncStmt Data'!$A$2:$A$2051,BS$1),#N/A)</f>
        <v>#N/A</v>
      </c>
      <c r="BT6" s="42" t="e">
        <f>IF(BT$1,SUMIFS('IncStmt Data'!$H$2:$H$2051,'IncStmt Data'!$G$2:$G$2051,$A6,'IncStmt Data'!$A$2:$A$2051,BT$1),#N/A)</f>
        <v>#N/A</v>
      </c>
      <c r="BU6" s="42" t="e">
        <f>IF(BU$1,SUMIFS('IncStmt Data'!$H$2:$H$2051,'IncStmt Data'!$G$2:$G$2051,$A6,'IncStmt Data'!$A$2:$A$2051,BU$1),#N/A)</f>
        <v>#N/A</v>
      </c>
      <c r="BV6" s="42" t="e">
        <f>IF(BV$1,SUMIFS('IncStmt Data'!$H$2:$H$2051,'IncStmt Data'!$G$2:$G$2051,$A6,'IncStmt Data'!$A$2:$A$2051,BV$1),#N/A)</f>
        <v>#N/A</v>
      </c>
      <c r="BW6" s="42" t="e">
        <f>IF(BW$1,SUMIFS('IncStmt Data'!$H$2:$H$2051,'IncStmt Data'!$G$2:$G$2051,$A6,'IncStmt Data'!$A$2:$A$2051,BW$1),#N/A)</f>
        <v>#N/A</v>
      </c>
      <c r="BX6" s="42" t="e">
        <f>IF(BX$1,SUMIFS('IncStmt Data'!$H$2:$H$2051,'IncStmt Data'!$G$2:$G$2051,$A6,'IncStmt Data'!$A$2:$A$2051,BX$1),#N/A)</f>
        <v>#N/A</v>
      </c>
      <c r="BY6" s="42" t="e">
        <f>IF(BY$1,SUMIFS('IncStmt Data'!$H$2:$H$2051,'IncStmt Data'!$G$2:$G$2051,$A6,'IncStmt Data'!$A$2:$A$2051,BY$1),#N/A)</f>
        <v>#N/A</v>
      </c>
      <c r="BZ6" s="42" t="e">
        <f>IF(BZ$1,SUMIFS('IncStmt Data'!$H$2:$H$2051,'IncStmt Data'!$G$2:$G$2051,$A6,'IncStmt Data'!$A$2:$A$2051,BZ$1),#N/A)</f>
        <v>#N/A</v>
      </c>
      <c r="CA6" s="42" t="e">
        <f>IF(CA$1,SUMIFS('IncStmt Data'!$H$2:$H$2051,'IncStmt Data'!$G$2:$G$2051,$A6,'IncStmt Data'!$A$2:$A$2051,CA$1),#N/A)</f>
        <v>#N/A</v>
      </c>
      <c r="CB6" s="42" t="e">
        <f>IF(CB$1,SUMIFS('IncStmt Data'!$H$2:$H$2051,'IncStmt Data'!$G$2:$G$2051,$A6,'IncStmt Data'!$A$2:$A$2051,CB$1),#N/A)</f>
        <v>#N/A</v>
      </c>
      <c r="CC6" s="42" t="e">
        <f>IF(CC$1,SUMIFS('IncStmt Data'!$H$2:$H$2051,'IncStmt Data'!$G$2:$G$2051,$A6,'IncStmt Data'!$A$2:$A$2051,CC$1),#N/A)</f>
        <v>#N/A</v>
      </c>
      <c r="CD6" s="42" t="e">
        <f>IF(CD$1,SUMIFS('IncStmt Data'!$H$2:$H$2051,'IncStmt Data'!$G$2:$G$2051,$A6,'IncStmt Data'!$A$2:$A$2051,CD$1),#N/A)</f>
        <v>#N/A</v>
      </c>
      <c r="CE6" s="42" t="e">
        <f>IF(CE$1,SUMIFS('IncStmt Data'!$H$2:$H$2051,'IncStmt Data'!$G$2:$G$2051,$A6,'IncStmt Data'!$A$2:$A$2051,CE$1),#N/A)</f>
        <v>#N/A</v>
      </c>
      <c r="CF6" s="42" t="e">
        <f>IF(CF$1,SUMIFS('IncStmt Data'!$H$2:$H$2051,'IncStmt Data'!$G$2:$G$2051,$A6,'IncStmt Data'!$A$2:$A$2051,CF$1),#N/A)</f>
        <v>#N/A</v>
      </c>
      <c r="CG6" s="42" t="e">
        <f>IF(CG$1,SUMIFS('IncStmt Data'!$H$2:$H$2051,'IncStmt Data'!$G$2:$G$2051,$A6,'IncStmt Data'!$A$2:$A$2051,CG$1),#N/A)</f>
        <v>#N/A</v>
      </c>
      <c r="CH6" s="42" t="e">
        <f>IF(CH$1,SUMIFS('IncStmt Data'!$H$2:$H$2051,'IncStmt Data'!$G$2:$G$2051,$A6,'IncStmt Data'!$A$2:$A$2051,CH$1),#N/A)</f>
        <v>#N/A</v>
      </c>
      <c r="CI6" s="42" t="e">
        <f>IF(CI$1,SUMIFS('IncStmt Data'!$H$2:$H$2051,'IncStmt Data'!$G$2:$G$2051,$A6,'IncStmt Data'!$A$2:$A$2051,CI$1),#N/A)</f>
        <v>#N/A</v>
      </c>
      <c r="CJ6" s="42" t="e">
        <f>IF(CJ$1,SUMIFS('IncStmt Data'!$H$2:$H$2051,'IncStmt Data'!$G$2:$G$2051,$A6,'IncStmt Data'!$A$2:$A$2051,CJ$1),#N/A)</f>
        <v>#N/A</v>
      </c>
      <c r="CK6" s="42" t="e">
        <f>IF(CK$1,SUMIFS('IncStmt Data'!$H$2:$H$2051,'IncStmt Data'!$G$2:$G$2051,$A6,'IncStmt Data'!$A$2:$A$2051,CK$1),#N/A)</f>
        <v>#N/A</v>
      </c>
      <c r="CL6" s="42" t="e">
        <f>IF(CL$1,SUMIFS('IncStmt Data'!$H$2:$H$2051,'IncStmt Data'!$G$2:$G$2051,$A6,'IncStmt Data'!$A$2:$A$2051,CL$1),#N/A)</f>
        <v>#N/A</v>
      </c>
      <c r="CM6" s="42" t="e">
        <f>IF(CM$1,SUMIFS('IncStmt Data'!$H$2:$H$2051,'IncStmt Data'!$G$2:$G$2051,$A6,'IncStmt Data'!$A$2:$A$2051,CM$1),#N/A)</f>
        <v>#N/A</v>
      </c>
      <c r="CN6" s="42" t="e">
        <f>IF(CN$1,SUMIFS('IncStmt Data'!$H$2:$H$2051,'IncStmt Data'!$G$2:$G$2051,$A6,'IncStmt Data'!$A$2:$A$2051,CN$1),#N/A)</f>
        <v>#N/A</v>
      </c>
      <c r="CO6" s="42" t="e">
        <f>IF(CO$1,SUMIFS('IncStmt Data'!$H$2:$H$2051,'IncStmt Data'!$G$2:$G$2051,$A6,'IncStmt Data'!$A$2:$A$2051,CO$1),#N/A)</f>
        <v>#N/A</v>
      </c>
      <c r="CP6" s="42" t="e">
        <f>IF(CP$1,SUMIFS('IncStmt Data'!$H$2:$H$2051,'IncStmt Data'!$G$2:$G$2051,$A6,'IncStmt Data'!$A$2:$A$2051,CP$1),#N/A)</f>
        <v>#N/A</v>
      </c>
      <c r="CQ6" s="42" t="e">
        <f>IF(CQ$1,SUMIFS('IncStmt Data'!$H$2:$H$2051,'IncStmt Data'!$G$2:$G$2051,$A6,'IncStmt Data'!$A$2:$A$2051,CQ$1),#N/A)</f>
        <v>#N/A</v>
      </c>
      <c r="CR6" s="42" t="e">
        <f>IF(CR$1,SUMIFS('IncStmt Data'!$H$2:$H$2051,'IncStmt Data'!$G$2:$G$2051,$A6,'IncStmt Data'!$A$2:$A$2051,CR$1),#N/A)</f>
        <v>#N/A</v>
      </c>
      <c r="CS6" s="42" t="e">
        <f>IF(CS$1,SUMIFS('IncStmt Data'!$H$2:$H$2051,'IncStmt Data'!$G$2:$G$2051,$A6,'IncStmt Data'!$A$2:$A$2051,CS$1),#N/A)</f>
        <v>#N/A</v>
      </c>
      <c r="CT6" s="42" t="e">
        <f>IF(CT$1,SUMIFS('IncStmt Data'!$H$2:$H$2051,'IncStmt Data'!$G$2:$G$2051,$A6,'IncStmt Data'!$A$2:$A$2051,CT$1),#N/A)</f>
        <v>#N/A</v>
      </c>
      <c r="CU6" s="42" t="e">
        <f>IF(CU$1,SUMIFS('IncStmt Data'!$H$2:$H$2051,'IncStmt Data'!$G$2:$G$2051,$A6,'IncStmt Data'!$A$2:$A$2051,CU$1),#N/A)</f>
        <v>#N/A</v>
      </c>
      <c r="CV6" s="42" t="e">
        <f>IF(CV$1,SUMIFS('IncStmt Data'!$H$2:$H$2051,'IncStmt Data'!$G$2:$G$2051,$A6,'IncStmt Data'!$A$2:$A$2051,CV$1),#N/A)</f>
        <v>#N/A</v>
      </c>
      <c r="CW6" s="42" t="e">
        <f>IF(CW$1,SUMIFS('IncStmt Data'!$H$2:$H$2051,'IncStmt Data'!$G$2:$G$2051,$A6,'IncStmt Data'!$A$2:$A$2051,CW$1),#N/A)</f>
        <v>#N/A</v>
      </c>
      <c r="CX6" s="42" t="e">
        <f>IF(CX$1,SUMIFS('IncStmt Data'!$H$2:$H$2051,'IncStmt Data'!$G$2:$G$2051,$A6,'IncStmt Data'!$A$2:$A$2051,CX$1),#N/A)</f>
        <v>#N/A</v>
      </c>
      <c r="CY6" s="42" t="e">
        <f>IF(CY$1,SUMIFS('IncStmt Data'!$H$2:$H$2051,'IncStmt Data'!$G$2:$G$2051,$A6,'IncStmt Data'!$A$2:$A$2051,CY$1),#N/A)</f>
        <v>#N/A</v>
      </c>
      <c r="CZ6" s="42" t="e">
        <f>IF(CZ$1,SUMIFS('IncStmt Data'!$H$2:$H$2051,'IncStmt Data'!$G$2:$G$2051,$A6,'IncStmt Data'!$A$2:$A$2051,CZ$1),#N/A)</f>
        <v>#N/A</v>
      </c>
    </row>
    <row r="7" spans="1:104" s="44" customFormat="1" ht="15" x14ac:dyDescent="0.35">
      <c r="A7" s="57" t="s">
        <v>146</v>
      </c>
      <c r="B7" s="51" t="e">
        <f>IF(B$1,SUMIFS('IncStmt Data'!$H$2:$H$2051,'IncStmt Data'!$G$2:$G$2051,$A7,'IncStmt Data'!$A$2:$A$2051,B$1),#N/A)</f>
        <v>#N/A</v>
      </c>
      <c r="C7" s="51" t="e">
        <f>IF(C$1,SUMIFS('IncStmt Data'!$H$2:$H$2051,'IncStmt Data'!$G$2:$G$2051,$A7,'IncStmt Data'!$A$2:$A$2051,C$1),#N/A)</f>
        <v>#N/A</v>
      </c>
      <c r="D7" s="51" t="e">
        <f>IF(D$1,SUMIFS('IncStmt Data'!$H$2:$H$2051,'IncStmt Data'!$G$2:$G$2051,$A7,'IncStmt Data'!$A$2:$A$2051,D$1),#N/A)</f>
        <v>#N/A</v>
      </c>
      <c r="E7" s="51" t="e">
        <f>IF(E$1,SUMIFS('IncStmt Data'!$H$2:$H$2051,'IncStmt Data'!$G$2:$G$2051,$A7,'IncStmt Data'!$A$2:$A$2051,E$1),#N/A)</f>
        <v>#N/A</v>
      </c>
      <c r="F7" s="51" t="e">
        <f>IF(F$1,SUMIFS('IncStmt Data'!$H$2:$H$2051,'IncStmt Data'!$G$2:$G$2051,$A7,'IncStmt Data'!$A$2:$A$2051,F$1),#N/A)</f>
        <v>#N/A</v>
      </c>
      <c r="G7" s="51" t="e">
        <f>IF(G$1,SUMIFS('IncStmt Data'!$H$2:$H$2051,'IncStmt Data'!$G$2:$G$2051,$A7,'IncStmt Data'!$A$2:$A$2051,G$1),#N/A)</f>
        <v>#N/A</v>
      </c>
      <c r="H7" s="51" t="e">
        <f>IF(H$1,SUMIFS('IncStmt Data'!$H$2:$H$2051,'IncStmt Data'!$G$2:$G$2051,$A7,'IncStmt Data'!$A$2:$A$2051,H$1),#N/A)</f>
        <v>#N/A</v>
      </c>
      <c r="I7" s="51" t="e">
        <f>IF(I$1,SUMIFS('IncStmt Data'!$H$2:$H$2051,'IncStmt Data'!$G$2:$G$2051,$A7,'IncStmt Data'!$A$2:$A$2051,I$1),#N/A)</f>
        <v>#N/A</v>
      </c>
      <c r="J7" s="51" t="e">
        <f>IF(J$1,SUMIFS('IncStmt Data'!$H$2:$H$2051,'IncStmt Data'!$G$2:$G$2051,$A7,'IncStmt Data'!$A$2:$A$2051,J$1),#N/A)</f>
        <v>#N/A</v>
      </c>
      <c r="K7" s="51" t="e">
        <f>IF(K$1,SUMIFS('IncStmt Data'!$H$2:$H$2051,'IncStmt Data'!$G$2:$G$2051,$A7,'IncStmt Data'!$A$2:$A$2051,K$1),#N/A)</f>
        <v>#N/A</v>
      </c>
      <c r="L7" s="51" t="e">
        <f>IF(L$1,SUMIFS('IncStmt Data'!$H$2:$H$2051,'IncStmt Data'!$G$2:$G$2051,$A7,'IncStmt Data'!$A$2:$A$2051,L$1),#N/A)</f>
        <v>#N/A</v>
      </c>
      <c r="M7" s="51" t="e">
        <f>IF(M$1,SUMIFS('IncStmt Data'!$H$2:$H$2051,'IncStmt Data'!$G$2:$G$2051,$A7,'IncStmt Data'!$A$2:$A$2051,M$1),#N/A)</f>
        <v>#N/A</v>
      </c>
      <c r="N7" s="51" t="e">
        <f>IF(N$1,SUMIFS('IncStmt Data'!$H$2:$H$2051,'IncStmt Data'!$G$2:$G$2051,$A7,'IncStmt Data'!$A$2:$A$2051,N$1),#N/A)</f>
        <v>#N/A</v>
      </c>
      <c r="O7" s="51" t="e">
        <f>IF(O$1,SUMIFS('IncStmt Data'!$H$2:$H$2051,'IncStmt Data'!$G$2:$G$2051,$A7,'IncStmt Data'!$A$2:$A$2051,O$1),#N/A)</f>
        <v>#N/A</v>
      </c>
      <c r="P7" s="51" t="e">
        <f>IF(P$1,SUMIFS('IncStmt Data'!$H$2:$H$2051,'IncStmt Data'!$G$2:$G$2051,$A7,'IncStmt Data'!$A$2:$A$2051,P$1),#N/A)</f>
        <v>#N/A</v>
      </c>
      <c r="Q7" s="51" t="e">
        <f>IF(Q$1,SUMIFS('IncStmt Data'!$H$2:$H$2051,'IncStmt Data'!$G$2:$G$2051,$A7,'IncStmt Data'!$A$2:$A$2051,Q$1),#N/A)</f>
        <v>#N/A</v>
      </c>
      <c r="R7" s="51" t="e">
        <f>IF(R$1,SUMIFS('IncStmt Data'!$H$2:$H$2051,'IncStmt Data'!$G$2:$G$2051,$A7,'IncStmt Data'!$A$2:$A$2051,R$1),#N/A)</f>
        <v>#N/A</v>
      </c>
      <c r="S7" s="51" t="e">
        <f>IF(S$1,SUMIFS('IncStmt Data'!$H$2:$H$2051,'IncStmt Data'!$G$2:$G$2051,$A7,'IncStmt Data'!$A$2:$A$2051,S$1),#N/A)</f>
        <v>#N/A</v>
      </c>
      <c r="T7" s="51" t="e">
        <f>IF(T$1,SUMIFS('IncStmt Data'!$H$2:$H$2051,'IncStmt Data'!$G$2:$G$2051,$A7,'IncStmt Data'!$A$2:$A$2051,T$1),#N/A)</f>
        <v>#N/A</v>
      </c>
      <c r="U7" s="51" t="e">
        <f>IF(U$1,SUMIFS('IncStmt Data'!$H$2:$H$2051,'IncStmt Data'!$G$2:$G$2051,$A7,'IncStmt Data'!$A$2:$A$2051,U$1),#N/A)</f>
        <v>#N/A</v>
      </c>
      <c r="V7" s="51" t="e">
        <f>IF(V$1,SUMIFS('IncStmt Data'!$H$2:$H$2051,'IncStmt Data'!$G$2:$G$2051,$A7,'IncStmt Data'!$A$2:$A$2051,V$1),#N/A)</f>
        <v>#N/A</v>
      </c>
      <c r="W7" s="51" t="e">
        <f>IF(W$1,SUMIFS('IncStmt Data'!$H$2:$H$2051,'IncStmt Data'!$G$2:$G$2051,$A7,'IncStmt Data'!$A$2:$A$2051,W$1),#N/A)</f>
        <v>#N/A</v>
      </c>
      <c r="X7" s="51" t="e">
        <f>IF(X$1,SUMIFS('IncStmt Data'!$H$2:$H$2051,'IncStmt Data'!$G$2:$G$2051,$A7,'IncStmt Data'!$A$2:$A$2051,X$1),#N/A)</f>
        <v>#N/A</v>
      </c>
      <c r="Y7" s="51" t="e">
        <f>IF(Y$1,SUMIFS('IncStmt Data'!$H$2:$H$2051,'IncStmt Data'!$G$2:$G$2051,$A7,'IncStmt Data'!$A$2:$A$2051,Y$1),#N/A)</f>
        <v>#N/A</v>
      </c>
      <c r="Z7" s="51" t="e">
        <f>IF(Z$1,SUMIFS('IncStmt Data'!$H$2:$H$2051,'IncStmt Data'!$G$2:$G$2051,$A7,'IncStmt Data'!$A$2:$A$2051,Z$1),#N/A)</f>
        <v>#N/A</v>
      </c>
      <c r="AA7" s="51" t="e">
        <f>IF(AA$1,SUMIFS('IncStmt Data'!$H$2:$H$2051,'IncStmt Data'!$G$2:$G$2051,$A7,'IncStmt Data'!$A$2:$A$2051,AA$1),#N/A)</f>
        <v>#N/A</v>
      </c>
      <c r="AB7" s="51" t="e">
        <f>IF(AB$1,SUMIFS('IncStmt Data'!$H$2:$H$2051,'IncStmt Data'!$G$2:$G$2051,$A7,'IncStmt Data'!$A$2:$A$2051,AB$1),#N/A)</f>
        <v>#N/A</v>
      </c>
      <c r="AC7" s="51" t="e">
        <f>IF(AC$1,SUMIFS('IncStmt Data'!$H$2:$H$2051,'IncStmt Data'!$G$2:$G$2051,$A7,'IncStmt Data'!$A$2:$A$2051,AC$1),#N/A)</f>
        <v>#N/A</v>
      </c>
      <c r="AD7" s="51" t="e">
        <f>IF(AD$1,SUMIFS('IncStmt Data'!$H$2:$H$2051,'IncStmt Data'!$G$2:$G$2051,$A7,'IncStmt Data'!$A$2:$A$2051,AD$1),#N/A)</f>
        <v>#N/A</v>
      </c>
      <c r="AE7" s="51" t="e">
        <f>IF(AE$1,SUMIFS('IncStmt Data'!$H$2:$H$2051,'IncStmt Data'!$G$2:$G$2051,$A7,'IncStmt Data'!$A$2:$A$2051,AE$1),#N/A)</f>
        <v>#N/A</v>
      </c>
      <c r="AF7" s="51" t="e">
        <f>IF(AF$1,SUMIFS('IncStmt Data'!$H$2:$H$2051,'IncStmt Data'!$G$2:$G$2051,$A7,'IncStmt Data'!$A$2:$A$2051,AF$1),#N/A)</f>
        <v>#N/A</v>
      </c>
      <c r="AG7" s="51" t="e">
        <f>IF(AG$1,SUMIFS('IncStmt Data'!$H$2:$H$2051,'IncStmt Data'!$G$2:$G$2051,$A7,'IncStmt Data'!$A$2:$A$2051,AG$1),#N/A)</f>
        <v>#N/A</v>
      </c>
      <c r="AH7" s="51" t="e">
        <f>IF(AH$1,SUMIFS('IncStmt Data'!$H$2:$H$2051,'IncStmt Data'!$G$2:$G$2051,$A7,'IncStmt Data'!$A$2:$A$2051,AH$1),#N/A)</f>
        <v>#N/A</v>
      </c>
      <c r="AI7" s="51" t="e">
        <f>IF(AI$1,SUMIFS('IncStmt Data'!$H$2:$H$2051,'IncStmt Data'!$G$2:$G$2051,$A7,'IncStmt Data'!$A$2:$A$2051,AI$1),#N/A)</f>
        <v>#N/A</v>
      </c>
      <c r="AJ7" s="51" t="e">
        <f>IF(AJ$1,SUMIFS('IncStmt Data'!$H$2:$H$2051,'IncStmt Data'!$G$2:$G$2051,$A7,'IncStmt Data'!$A$2:$A$2051,AJ$1),#N/A)</f>
        <v>#N/A</v>
      </c>
      <c r="AK7" s="51" t="e">
        <f>IF(AK$1,SUMIFS('IncStmt Data'!$H$2:$H$2051,'IncStmt Data'!$G$2:$G$2051,$A7,'IncStmt Data'!$A$2:$A$2051,AK$1),#N/A)</f>
        <v>#N/A</v>
      </c>
      <c r="AL7" s="51" t="e">
        <f>IF(AL$1,SUMIFS('IncStmt Data'!$H$2:$H$2051,'IncStmt Data'!$G$2:$G$2051,$A7,'IncStmt Data'!$A$2:$A$2051,AL$1),#N/A)</f>
        <v>#N/A</v>
      </c>
      <c r="AM7" s="51" t="e">
        <f>IF(AM$1,SUMIFS('IncStmt Data'!$H$2:$H$2051,'IncStmt Data'!$G$2:$G$2051,$A7,'IncStmt Data'!$A$2:$A$2051,AM$1),#N/A)</f>
        <v>#N/A</v>
      </c>
      <c r="AN7" s="51" t="e">
        <f>IF(AN$1,SUMIFS('IncStmt Data'!$H$2:$H$2051,'IncStmt Data'!$G$2:$G$2051,$A7,'IncStmt Data'!$A$2:$A$2051,AN$1),#N/A)</f>
        <v>#N/A</v>
      </c>
      <c r="AO7" s="51" t="e">
        <f>IF(AO$1,SUMIFS('IncStmt Data'!$H$2:$H$2051,'IncStmt Data'!$G$2:$G$2051,$A7,'IncStmt Data'!$A$2:$A$2051,AO$1),#N/A)</f>
        <v>#N/A</v>
      </c>
      <c r="AP7" s="51" t="e">
        <f>IF(AP$1,SUMIFS('IncStmt Data'!$H$2:$H$2051,'IncStmt Data'!$G$2:$G$2051,$A7,'IncStmt Data'!$A$2:$A$2051,AP$1),#N/A)</f>
        <v>#N/A</v>
      </c>
      <c r="AQ7" s="51" t="e">
        <f>IF(AQ$1,SUMIFS('IncStmt Data'!$H$2:$H$2051,'IncStmt Data'!$G$2:$G$2051,$A7,'IncStmt Data'!$A$2:$A$2051,AQ$1),#N/A)</f>
        <v>#N/A</v>
      </c>
      <c r="AR7" s="51" t="e">
        <f>IF(AR$1,SUMIFS('IncStmt Data'!$H$2:$H$2051,'IncStmt Data'!$G$2:$G$2051,$A7,'IncStmt Data'!$A$2:$A$2051,AR$1),#N/A)</f>
        <v>#N/A</v>
      </c>
      <c r="AS7" s="51" t="e">
        <f>IF(AS$1,SUMIFS('IncStmt Data'!$H$2:$H$2051,'IncStmt Data'!$G$2:$G$2051,$A7,'IncStmt Data'!$A$2:$A$2051,AS$1),#N/A)</f>
        <v>#N/A</v>
      </c>
      <c r="AT7" s="51" t="e">
        <f>IF(AT$1,SUMIFS('IncStmt Data'!$H$2:$H$2051,'IncStmt Data'!$G$2:$G$2051,$A7,'IncStmt Data'!$A$2:$A$2051,AT$1),#N/A)</f>
        <v>#N/A</v>
      </c>
      <c r="AU7" s="51" t="e">
        <f>IF(AU$1,SUMIFS('IncStmt Data'!$H$2:$H$2051,'IncStmt Data'!$G$2:$G$2051,$A7,'IncStmt Data'!$A$2:$A$2051,AU$1),#N/A)</f>
        <v>#N/A</v>
      </c>
      <c r="AV7" s="51" t="e">
        <f>IF(AV$1,SUMIFS('IncStmt Data'!$H$2:$H$2051,'IncStmt Data'!$G$2:$G$2051,$A7,'IncStmt Data'!$A$2:$A$2051,AV$1),#N/A)</f>
        <v>#N/A</v>
      </c>
      <c r="AW7" s="51" t="e">
        <f>IF(AW$1,SUMIFS('IncStmt Data'!$H$2:$H$2051,'IncStmt Data'!$G$2:$G$2051,$A7,'IncStmt Data'!$A$2:$A$2051,AW$1),#N/A)</f>
        <v>#N/A</v>
      </c>
      <c r="AX7" s="51" t="e">
        <f>IF(AX$1,SUMIFS('IncStmt Data'!$H$2:$H$2051,'IncStmt Data'!$G$2:$G$2051,$A7,'IncStmt Data'!$A$2:$A$2051,AX$1),#N/A)</f>
        <v>#N/A</v>
      </c>
      <c r="AY7" s="51" t="e">
        <f>IF(AY$1,SUMIFS('IncStmt Data'!$H$2:$H$2051,'IncStmt Data'!$G$2:$G$2051,$A7,'IncStmt Data'!$A$2:$A$2051,AY$1),#N/A)</f>
        <v>#N/A</v>
      </c>
      <c r="AZ7" s="51" t="e">
        <f>IF(AZ$1,SUMIFS('IncStmt Data'!$H$2:$H$2051,'IncStmt Data'!$G$2:$G$2051,$A7,'IncStmt Data'!$A$2:$A$2051,AZ$1),#N/A)</f>
        <v>#N/A</v>
      </c>
      <c r="BA7" s="51" t="e">
        <f>IF(BA$1,SUMIFS('IncStmt Data'!$H$2:$H$2051,'IncStmt Data'!$G$2:$G$2051,$A7,'IncStmt Data'!$A$2:$A$2051,BA$1),#N/A)</f>
        <v>#N/A</v>
      </c>
      <c r="BB7" s="51" t="e">
        <f>IF(BB$1,SUMIFS('IncStmt Data'!$H$2:$H$2051,'IncStmt Data'!$G$2:$G$2051,$A7,'IncStmt Data'!$A$2:$A$2051,BB$1),#N/A)</f>
        <v>#N/A</v>
      </c>
      <c r="BC7" s="51" t="e">
        <f>IF(BC$1,SUMIFS('IncStmt Data'!$H$2:$H$2051,'IncStmt Data'!$G$2:$G$2051,$A7,'IncStmt Data'!$A$2:$A$2051,BC$1),#N/A)</f>
        <v>#N/A</v>
      </c>
      <c r="BD7" s="51" t="e">
        <f>IF(BD$1,SUMIFS('IncStmt Data'!$H$2:$H$2051,'IncStmt Data'!$G$2:$G$2051,$A7,'IncStmt Data'!$A$2:$A$2051,BD$1),#N/A)</f>
        <v>#N/A</v>
      </c>
      <c r="BE7" s="51" t="e">
        <f>IF(BE$1,SUMIFS('IncStmt Data'!$H$2:$H$2051,'IncStmt Data'!$G$2:$G$2051,$A7,'IncStmt Data'!$A$2:$A$2051,BE$1),#N/A)</f>
        <v>#N/A</v>
      </c>
      <c r="BF7" s="51" t="e">
        <f>IF(BF$1,SUMIFS('IncStmt Data'!$H$2:$H$2051,'IncStmt Data'!$G$2:$G$2051,$A7,'IncStmt Data'!$A$2:$A$2051,BF$1),#N/A)</f>
        <v>#N/A</v>
      </c>
      <c r="BG7" s="51" t="e">
        <f>IF(BG$1,SUMIFS('IncStmt Data'!$H$2:$H$2051,'IncStmt Data'!$G$2:$G$2051,$A7,'IncStmt Data'!$A$2:$A$2051,BG$1),#N/A)</f>
        <v>#N/A</v>
      </c>
      <c r="BH7" s="51" t="e">
        <f>IF(BH$1,SUMIFS('IncStmt Data'!$H$2:$H$2051,'IncStmt Data'!$G$2:$G$2051,$A7,'IncStmt Data'!$A$2:$A$2051,BH$1),#N/A)</f>
        <v>#N/A</v>
      </c>
      <c r="BI7" s="51" t="e">
        <f>IF(BI$1,SUMIFS('IncStmt Data'!$H$2:$H$2051,'IncStmt Data'!$G$2:$G$2051,$A7,'IncStmt Data'!$A$2:$A$2051,BI$1),#N/A)</f>
        <v>#N/A</v>
      </c>
      <c r="BJ7" s="51" t="e">
        <f>IF(BJ$1,SUMIFS('IncStmt Data'!$H$2:$H$2051,'IncStmt Data'!$G$2:$G$2051,$A7,'IncStmt Data'!$A$2:$A$2051,BJ$1),#N/A)</f>
        <v>#N/A</v>
      </c>
      <c r="BK7" s="51" t="e">
        <f>IF(BK$1,SUMIFS('IncStmt Data'!$H$2:$H$2051,'IncStmt Data'!$G$2:$G$2051,$A7,'IncStmt Data'!$A$2:$A$2051,BK$1),#N/A)</f>
        <v>#N/A</v>
      </c>
      <c r="BL7" s="51" t="e">
        <f>IF(BL$1,SUMIFS('IncStmt Data'!$H$2:$H$2051,'IncStmt Data'!$G$2:$G$2051,$A7,'IncStmt Data'!$A$2:$A$2051,BL$1),#N/A)</f>
        <v>#N/A</v>
      </c>
      <c r="BM7" s="51" t="e">
        <f>IF(BM$1,SUMIFS('IncStmt Data'!$H$2:$H$2051,'IncStmt Data'!$G$2:$G$2051,$A7,'IncStmt Data'!$A$2:$A$2051,BM$1),#N/A)</f>
        <v>#N/A</v>
      </c>
      <c r="BN7" s="51" t="e">
        <f>IF(BN$1,SUMIFS('IncStmt Data'!$H$2:$H$2051,'IncStmt Data'!$G$2:$G$2051,$A7,'IncStmt Data'!$A$2:$A$2051,BN$1),#N/A)</f>
        <v>#N/A</v>
      </c>
      <c r="BO7" s="51" t="e">
        <f>IF(BO$1,SUMIFS('IncStmt Data'!$H$2:$H$2051,'IncStmt Data'!$G$2:$G$2051,$A7,'IncStmt Data'!$A$2:$A$2051,BO$1),#N/A)</f>
        <v>#N/A</v>
      </c>
      <c r="BP7" s="51" t="e">
        <f>IF(BP$1,SUMIFS('IncStmt Data'!$H$2:$H$2051,'IncStmt Data'!$G$2:$G$2051,$A7,'IncStmt Data'!$A$2:$A$2051,BP$1),#N/A)</f>
        <v>#N/A</v>
      </c>
      <c r="BQ7" s="51" t="e">
        <f>IF(BQ$1,SUMIFS('IncStmt Data'!$H$2:$H$2051,'IncStmt Data'!$G$2:$G$2051,$A7,'IncStmt Data'!$A$2:$A$2051,BQ$1),#N/A)</f>
        <v>#N/A</v>
      </c>
      <c r="BR7" s="51" t="e">
        <f>IF(BR$1,SUMIFS('IncStmt Data'!$H$2:$H$2051,'IncStmt Data'!$G$2:$G$2051,$A7,'IncStmt Data'!$A$2:$A$2051,BR$1),#N/A)</f>
        <v>#N/A</v>
      </c>
      <c r="BS7" s="51" t="e">
        <f>IF(BS$1,SUMIFS('IncStmt Data'!$H$2:$H$2051,'IncStmt Data'!$G$2:$G$2051,$A7,'IncStmt Data'!$A$2:$A$2051,BS$1),#N/A)</f>
        <v>#N/A</v>
      </c>
      <c r="BT7" s="51" t="e">
        <f>IF(BT$1,SUMIFS('IncStmt Data'!$H$2:$H$2051,'IncStmt Data'!$G$2:$G$2051,$A7,'IncStmt Data'!$A$2:$A$2051,BT$1),#N/A)</f>
        <v>#N/A</v>
      </c>
      <c r="BU7" s="51" t="e">
        <f>IF(BU$1,SUMIFS('IncStmt Data'!$H$2:$H$2051,'IncStmt Data'!$G$2:$G$2051,$A7,'IncStmt Data'!$A$2:$A$2051,BU$1),#N/A)</f>
        <v>#N/A</v>
      </c>
      <c r="BV7" s="51" t="e">
        <f>IF(BV$1,SUMIFS('IncStmt Data'!$H$2:$H$2051,'IncStmt Data'!$G$2:$G$2051,$A7,'IncStmt Data'!$A$2:$A$2051,BV$1),#N/A)</f>
        <v>#N/A</v>
      </c>
      <c r="BW7" s="51" t="e">
        <f>IF(BW$1,SUMIFS('IncStmt Data'!$H$2:$H$2051,'IncStmt Data'!$G$2:$G$2051,$A7,'IncStmt Data'!$A$2:$A$2051,BW$1),#N/A)</f>
        <v>#N/A</v>
      </c>
      <c r="BX7" s="51" t="e">
        <f>IF(BX$1,SUMIFS('IncStmt Data'!$H$2:$H$2051,'IncStmt Data'!$G$2:$G$2051,$A7,'IncStmt Data'!$A$2:$A$2051,BX$1),#N/A)</f>
        <v>#N/A</v>
      </c>
      <c r="BY7" s="51" t="e">
        <f>IF(BY$1,SUMIFS('IncStmt Data'!$H$2:$H$2051,'IncStmt Data'!$G$2:$G$2051,$A7,'IncStmt Data'!$A$2:$A$2051,BY$1),#N/A)</f>
        <v>#N/A</v>
      </c>
      <c r="BZ7" s="51" t="e">
        <f>IF(BZ$1,SUMIFS('IncStmt Data'!$H$2:$H$2051,'IncStmt Data'!$G$2:$G$2051,$A7,'IncStmt Data'!$A$2:$A$2051,BZ$1),#N/A)</f>
        <v>#N/A</v>
      </c>
      <c r="CA7" s="51" t="e">
        <f>IF(CA$1,SUMIFS('IncStmt Data'!$H$2:$H$2051,'IncStmt Data'!$G$2:$G$2051,$A7,'IncStmt Data'!$A$2:$A$2051,CA$1),#N/A)</f>
        <v>#N/A</v>
      </c>
      <c r="CB7" s="51" t="e">
        <f>IF(CB$1,SUMIFS('IncStmt Data'!$H$2:$H$2051,'IncStmt Data'!$G$2:$G$2051,$A7,'IncStmt Data'!$A$2:$A$2051,CB$1),#N/A)</f>
        <v>#N/A</v>
      </c>
      <c r="CC7" s="51" t="e">
        <f>IF(CC$1,SUMIFS('IncStmt Data'!$H$2:$H$2051,'IncStmt Data'!$G$2:$G$2051,$A7,'IncStmt Data'!$A$2:$A$2051,CC$1),#N/A)</f>
        <v>#N/A</v>
      </c>
      <c r="CD7" s="51" t="e">
        <f>IF(CD$1,SUMIFS('IncStmt Data'!$H$2:$H$2051,'IncStmt Data'!$G$2:$G$2051,$A7,'IncStmt Data'!$A$2:$A$2051,CD$1),#N/A)</f>
        <v>#N/A</v>
      </c>
      <c r="CE7" s="51" t="e">
        <f>IF(CE$1,SUMIFS('IncStmt Data'!$H$2:$H$2051,'IncStmt Data'!$G$2:$G$2051,$A7,'IncStmt Data'!$A$2:$A$2051,CE$1),#N/A)</f>
        <v>#N/A</v>
      </c>
      <c r="CF7" s="51" t="e">
        <f>IF(CF$1,SUMIFS('IncStmt Data'!$H$2:$H$2051,'IncStmt Data'!$G$2:$G$2051,$A7,'IncStmt Data'!$A$2:$A$2051,CF$1),#N/A)</f>
        <v>#N/A</v>
      </c>
      <c r="CG7" s="51" t="e">
        <f>IF(CG$1,SUMIFS('IncStmt Data'!$H$2:$H$2051,'IncStmt Data'!$G$2:$G$2051,$A7,'IncStmt Data'!$A$2:$A$2051,CG$1),#N/A)</f>
        <v>#N/A</v>
      </c>
      <c r="CH7" s="51" t="e">
        <f>IF(CH$1,SUMIFS('IncStmt Data'!$H$2:$H$2051,'IncStmt Data'!$G$2:$G$2051,$A7,'IncStmt Data'!$A$2:$A$2051,CH$1),#N/A)</f>
        <v>#N/A</v>
      </c>
      <c r="CI7" s="51" t="e">
        <f>IF(CI$1,SUMIFS('IncStmt Data'!$H$2:$H$2051,'IncStmt Data'!$G$2:$G$2051,$A7,'IncStmt Data'!$A$2:$A$2051,CI$1),#N/A)</f>
        <v>#N/A</v>
      </c>
      <c r="CJ7" s="51" t="e">
        <f>IF(CJ$1,SUMIFS('IncStmt Data'!$H$2:$H$2051,'IncStmt Data'!$G$2:$G$2051,$A7,'IncStmt Data'!$A$2:$A$2051,CJ$1),#N/A)</f>
        <v>#N/A</v>
      </c>
      <c r="CK7" s="51" t="e">
        <f>IF(CK$1,SUMIFS('IncStmt Data'!$H$2:$H$2051,'IncStmt Data'!$G$2:$G$2051,$A7,'IncStmt Data'!$A$2:$A$2051,CK$1),#N/A)</f>
        <v>#N/A</v>
      </c>
      <c r="CL7" s="51" t="e">
        <f>IF(CL$1,SUMIFS('IncStmt Data'!$H$2:$H$2051,'IncStmt Data'!$G$2:$G$2051,$A7,'IncStmt Data'!$A$2:$A$2051,CL$1),#N/A)</f>
        <v>#N/A</v>
      </c>
      <c r="CM7" s="51" t="e">
        <f>IF(CM$1,SUMIFS('IncStmt Data'!$H$2:$H$2051,'IncStmt Data'!$G$2:$G$2051,$A7,'IncStmt Data'!$A$2:$A$2051,CM$1),#N/A)</f>
        <v>#N/A</v>
      </c>
      <c r="CN7" s="51" t="e">
        <f>IF(CN$1,SUMIFS('IncStmt Data'!$H$2:$H$2051,'IncStmt Data'!$G$2:$G$2051,$A7,'IncStmt Data'!$A$2:$A$2051,CN$1),#N/A)</f>
        <v>#N/A</v>
      </c>
      <c r="CO7" s="51" t="e">
        <f>IF(CO$1,SUMIFS('IncStmt Data'!$H$2:$H$2051,'IncStmt Data'!$G$2:$G$2051,$A7,'IncStmt Data'!$A$2:$A$2051,CO$1),#N/A)</f>
        <v>#N/A</v>
      </c>
      <c r="CP7" s="51" t="e">
        <f>IF(CP$1,SUMIFS('IncStmt Data'!$H$2:$H$2051,'IncStmt Data'!$G$2:$G$2051,$A7,'IncStmt Data'!$A$2:$A$2051,CP$1),#N/A)</f>
        <v>#N/A</v>
      </c>
      <c r="CQ7" s="51" t="e">
        <f>IF(CQ$1,SUMIFS('IncStmt Data'!$H$2:$H$2051,'IncStmt Data'!$G$2:$G$2051,$A7,'IncStmt Data'!$A$2:$A$2051,CQ$1),#N/A)</f>
        <v>#N/A</v>
      </c>
      <c r="CR7" s="51" t="e">
        <f>IF(CR$1,SUMIFS('IncStmt Data'!$H$2:$H$2051,'IncStmt Data'!$G$2:$G$2051,$A7,'IncStmt Data'!$A$2:$A$2051,CR$1),#N/A)</f>
        <v>#N/A</v>
      </c>
      <c r="CS7" s="51" t="e">
        <f>IF(CS$1,SUMIFS('IncStmt Data'!$H$2:$H$2051,'IncStmt Data'!$G$2:$G$2051,$A7,'IncStmt Data'!$A$2:$A$2051,CS$1),#N/A)</f>
        <v>#N/A</v>
      </c>
      <c r="CT7" s="51" t="e">
        <f>IF(CT$1,SUMIFS('IncStmt Data'!$H$2:$H$2051,'IncStmt Data'!$G$2:$G$2051,$A7,'IncStmt Data'!$A$2:$A$2051,CT$1),#N/A)</f>
        <v>#N/A</v>
      </c>
      <c r="CU7" s="51" t="e">
        <f>IF(CU$1,SUMIFS('IncStmt Data'!$H$2:$H$2051,'IncStmt Data'!$G$2:$G$2051,$A7,'IncStmt Data'!$A$2:$A$2051,CU$1),#N/A)</f>
        <v>#N/A</v>
      </c>
      <c r="CV7" s="51" t="e">
        <f>IF(CV$1,SUMIFS('IncStmt Data'!$H$2:$H$2051,'IncStmt Data'!$G$2:$G$2051,$A7,'IncStmt Data'!$A$2:$A$2051,CV$1),#N/A)</f>
        <v>#N/A</v>
      </c>
      <c r="CW7" s="51" t="e">
        <f>IF(CW$1,SUMIFS('IncStmt Data'!$H$2:$H$2051,'IncStmt Data'!$G$2:$G$2051,$A7,'IncStmt Data'!$A$2:$A$2051,CW$1),#N/A)</f>
        <v>#N/A</v>
      </c>
      <c r="CX7" s="51" t="e">
        <f>IF(CX$1,SUMIFS('IncStmt Data'!$H$2:$H$2051,'IncStmt Data'!$G$2:$G$2051,$A7,'IncStmt Data'!$A$2:$A$2051,CX$1),#N/A)</f>
        <v>#N/A</v>
      </c>
      <c r="CY7" s="51" t="e">
        <f>IF(CY$1,SUMIFS('IncStmt Data'!$H$2:$H$2051,'IncStmt Data'!$G$2:$G$2051,$A7,'IncStmt Data'!$A$2:$A$2051,CY$1),#N/A)</f>
        <v>#N/A</v>
      </c>
      <c r="CZ7" s="51" t="e">
        <f>IF(CZ$1,SUMIFS('IncStmt Data'!$H$2:$H$2051,'IncStmt Data'!$G$2:$G$2051,$A7,'IncStmt Data'!$A$2:$A$2051,CZ$1),#N/A)</f>
        <v>#N/A</v>
      </c>
    </row>
    <row r="8" spans="1:104" s="42" customFormat="1" x14ac:dyDescent="0.2">
      <c r="A8" s="40"/>
      <c r="B8" s="45" t="e">
        <f t="shared" ref="B8" si="0">SUM(B5:B7)</f>
        <v>#N/A</v>
      </c>
      <c r="C8" s="45" t="e">
        <f>SUM(C5:C7)</f>
        <v>#N/A</v>
      </c>
      <c r="D8" s="45" t="e">
        <f>SUM(D5:D7)</f>
        <v>#N/A</v>
      </c>
      <c r="E8" s="45" t="e">
        <f>SUM(E5:E7)</f>
        <v>#N/A</v>
      </c>
      <c r="F8" s="45" t="e">
        <f t="shared" ref="F8:BO8" si="1">SUM(F5:F7)</f>
        <v>#N/A</v>
      </c>
      <c r="G8" s="45" t="e">
        <f t="shared" si="1"/>
        <v>#N/A</v>
      </c>
      <c r="H8" s="45" t="e">
        <f t="shared" si="1"/>
        <v>#N/A</v>
      </c>
      <c r="I8" s="45" t="e">
        <f t="shared" si="1"/>
        <v>#N/A</v>
      </c>
      <c r="J8" s="45" t="e">
        <f t="shared" si="1"/>
        <v>#N/A</v>
      </c>
      <c r="K8" s="45" t="e">
        <f t="shared" si="1"/>
        <v>#N/A</v>
      </c>
      <c r="L8" s="45" t="e">
        <f t="shared" si="1"/>
        <v>#N/A</v>
      </c>
      <c r="M8" s="45" t="e">
        <f t="shared" si="1"/>
        <v>#N/A</v>
      </c>
      <c r="N8" s="45" t="e">
        <f t="shared" si="1"/>
        <v>#N/A</v>
      </c>
      <c r="O8" s="45" t="e">
        <f t="shared" si="1"/>
        <v>#N/A</v>
      </c>
      <c r="P8" s="45" t="e">
        <f t="shared" si="1"/>
        <v>#N/A</v>
      </c>
      <c r="Q8" s="45" t="e">
        <f t="shared" si="1"/>
        <v>#N/A</v>
      </c>
      <c r="R8" s="45" t="e">
        <f t="shared" si="1"/>
        <v>#N/A</v>
      </c>
      <c r="S8" s="45" t="e">
        <f t="shared" si="1"/>
        <v>#N/A</v>
      </c>
      <c r="T8" s="45" t="e">
        <f t="shared" si="1"/>
        <v>#N/A</v>
      </c>
      <c r="U8" s="45" t="e">
        <f t="shared" si="1"/>
        <v>#N/A</v>
      </c>
      <c r="V8" s="45" t="e">
        <f t="shared" si="1"/>
        <v>#N/A</v>
      </c>
      <c r="W8" s="45" t="e">
        <f t="shared" si="1"/>
        <v>#N/A</v>
      </c>
      <c r="X8" s="45" t="e">
        <f t="shared" si="1"/>
        <v>#N/A</v>
      </c>
      <c r="Y8" s="45" t="e">
        <f t="shared" si="1"/>
        <v>#N/A</v>
      </c>
      <c r="Z8" s="45" t="e">
        <f t="shared" si="1"/>
        <v>#N/A</v>
      </c>
      <c r="AA8" s="45" t="e">
        <f t="shared" si="1"/>
        <v>#N/A</v>
      </c>
      <c r="AB8" s="45" t="e">
        <f t="shared" si="1"/>
        <v>#N/A</v>
      </c>
      <c r="AC8" s="45" t="e">
        <f t="shared" si="1"/>
        <v>#N/A</v>
      </c>
      <c r="AD8" s="45" t="e">
        <f t="shared" si="1"/>
        <v>#N/A</v>
      </c>
      <c r="AE8" s="45" t="e">
        <f t="shared" si="1"/>
        <v>#N/A</v>
      </c>
      <c r="AF8" s="45" t="e">
        <f t="shared" si="1"/>
        <v>#N/A</v>
      </c>
      <c r="AG8" s="45" t="e">
        <f t="shared" si="1"/>
        <v>#N/A</v>
      </c>
      <c r="AH8" s="45" t="e">
        <f t="shared" si="1"/>
        <v>#N/A</v>
      </c>
      <c r="AI8" s="45" t="e">
        <f t="shared" si="1"/>
        <v>#N/A</v>
      </c>
      <c r="AJ8" s="45" t="e">
        <f t="shared" si="1"/>
        <v>#N/A</v>
      </c>
      <c r="AK8" s="45" t="e">
        <f t="shared" si="1"/>
        <v>#N/A</v>
      </c>
      <c r="AL8" s="45" t="e">
        <f t="shared" si="1"/>
        <v>#N/A</v>
      </c>
      <c r="AM8" s="45" t="e">
        <f t="shared" si="1"/>
        <v>#N/A</v>
      </c>
      <c r="AN8" s="45" t="e">
        <f t="shared" si="1"/>
        <v>#N/A</v>
      </c>
      <c r="AO8" s="45" t="e">
        <f t="shared" si="1"/>
        <v>#N/A</v>
      </c>
      <c r="AP8" s="45" t="e">
        <f t="shared" si="1"/>
        <v>#N/A</v>
      </c>
      <c r="AQ8" s="45" t="e">
        <f t="shared" si="1"/>
        <v>#N/A</v>
      </c>
      <c r="AR8" s="45" t="e">
        <f t="shared" si="1"/>
        <v>#N/A</v>
      </c>
      <c r="AS8" s="45" t="e">
        <f t="shared" si="1"/>
        <v>#N/A</v>
      </c>
      <c r="AT8" s="45" t="e">
        <f t="shared" si="1"/>
        <v>#N/A</v>
      </c>
      <c r="AU8" s="45" t="e">
        <f t="shared" si="1"/>
        <v>#N/A</v>
      </c>
      <c r="AV8" s="45" t="e">
        <f t="shared" si="1"/>
        <v>#N/A</v>
      </c>
      <c r="AW8" s="45" t="e">
        <f t="shared" si="1"/>
        <v>#N/A</v>
      </c>
      <c r="AX8" s="45" t="e">
        <f t="shared" si="1"/>
        <v>#N/A</v>
      </c>
      <c r="AY8" s="45" t="e">
        <f t="shared" si="1"/>
        <v>#N/A</v>
      </c>
      <c r="AZ8" s="45" t="e">
        <f t="shared" si="1"/>
        <v>#N/A</v>
      </c>
      <c r="BA8" s="45" t="e">
        <f t="shared" si="1"/>
        <v>#N/A</v>
      </c>
      <c r="BB8" s="45" t="e">
        <f t="shared" si="1"/>
        <v>#N/A</v>
      </c>
      <c r="BC8" s="45" t="e">
        <f t="shared" si="1"/>
        <v>#N/A</v>
      </c>
      <c r="BD8" s="45" t="e">
        <f t="shared" si="1"/>
        <v>#N/A</v>
      </c>
      <c r="BE8" s="45" t="e">
        <f t="shared" si="1"/>
        <v>#N/A</v>
      </c>
      <c r="BF8" s="45" t="e">
        <f t="shared" si="1"/>
        <v>#N/A</v>
      </c>
      <c r="BG8" s="45" t="e">
        <f t="shared" si="1"/>
        <v>#N/A</v>
      </c>
      <c r="BH8" s="45" t="e">
        <f t="shared" si="1"/>
        <v>#N/A</v>
      </c>
      <c r="BI8" s="45" t="e">
        <f t="shared" si="1"/>
        <v>#N/A</v>
      </c>
      <c r="BJ8" s="45" t="e">
        <f t="shared" si="1"/>
        <v>#N/A</v>
      </c>
      <c r="BK8" s="45" t="e">
        <f t="shared" si="1"/>
        <v>#N/A</v>
      </c>
      <c r="BL8" s="45" t="e">
        <f t="shared" si="1"/>
        <v>#N/A</v>
      </c>
      <c r="BM8" s="45" t="e">
        <f t="shared" si="1"/>
        <v>#N/A</v>
      </c>
      <c r="BN8" s="45" t="e">
        <f t="shared" si="1"/>
        <v>#N/A</v>
      </c>
      <c r="BO8" s="45" t="e">
        <f t="shared" si="1"/>
        <v>#N/A</v>
      </c>
      <c r="BP8" s="45" t="e">
        <f t="shared" ref="BP8:CZ8" si="2">SUM(BP5:BP7)</f>
        <v>#N/A</v>
      </c>
      <c r="BQ8" s="45" t="e">
        <f t="shared" si="2"/>
        <v>#N/A</v>
      </c>
      <c r="BR8" s="45" t="e">
        <f t="shared" si="2"/>
        <v>#N/A</v>
      </c>
      <c r="BS8" s="45" t="e">
        <f t="shared" si="2"/>
        <v>#N/A</v>
      </c>
      <c r="BT8" s="45" t="e">
        <f t="shared" si="2"/>
        <v>#N/A</v>
      </c>
      <c r="BU8" s="45" t="e">
        <f t="shared" si="2"/>
        <v>#N/A</v>
      </c>
      <c r="BV8" s="45" t="e">
        <f t="shared" si="2"/>
        <v>#N/A</v>
      </c>
      <c r="BW8" s="45" t="e">
        <f t="shared" si="2"/>
        <v>#N/A</v>
      </c>
      <c r="BX8" s="45" t="e">
        <f t="shared" si="2"/>
        <v>#N/A</v>
      </c>
      <c r="BY8" s="45" t="e">
        <f t="shared" si="2"/>
        <v>#N/A</v>
      </c>
      <c r="BZ8" s="45" t="e">
        <f t="shared" si="2"/>
        <v>#N/A</v>
      </c>
      <c r="CA8" s="45" t="e">
        <f t="shared" si="2"/>
        <v>#N/A</v>
      </c>
      <c r="CB8" s="45" t="e">
        <f t="shared" si="2"/>
        <v>#N/A</v>
      </c>
      <c r="CC8" s="45" t="e">
        <f t="shared" si="2"/>
        <v>#N/A</v>
      </c>
      <c r="CD8" s="45" t="e">
        <f t="shared" si="2"/>
        <v>#N/A</v>
      </c>
      <c r="CE8" s="45" t="e">
        <f t="shared" si="2"/>
        <v>#N/A</v>
      </c>
      <c r="CF8" s="45" t="e">
        <f t="shared" si="2"/>
        <v>#N/A</v>
      </c>
      <c r="CG8" s="45" t="e">
        <f t="shared" si="2"/>
        <v>#N/A</v>
      </c>
      <c r="CH8" s="45" t="e">
        <f t="shared" si="2"/>
        <v>#N/A</v>
      </c>
      <c r="CI8" s="45" t="e">
        <f t="shared" si="2"/>
        <v>#N/A</v>
      </c>
      <c r="CJ8" s="45" t="e">
        <f t="shared" si="2"/>
        <v>#N/A</v>
      </c>
      <c r="CK8" s="45" t="e">
        <f t="shared" si="2"/>
        <v>#N/A</v>
      </c>
      <c r="CL8" s="45" t="e">
        <f t="shared" si="2"/>
        <v>#N/A</v>
      </c>
      <c r="CM8" s="45" t="e">
        <f t="shared" si="2"/>
        <v>#N/A</v>
      </c>
      <c r="CN8" s="45" t="e">
        <f t="shared" si="2"/>
        <v>#N/A</v>
      </c>
      <c r="CO8" s="45" t="e">
        <f t="shared" si="2"/>
        <v>#N/A</v>
      </c>
      <c r="CP8" s="45" t="e">
        <f t="shared" si="2"/>
        <v>#N/A</v>
      </c>
      <c r="CQ8" s="45" t="e">
        <f t="shared" si="2"/>
        <v>#N/A</v>
      </c>
      <c r="CR8" s="45" t="e">
        <f t="shared" si="2"/>
        <v>#N/A</v>
      </c>
      <c r="CS8" s="45" t="e">
        <f t="shared" si="2"/>
        <v>#N/A</v>
      </c>
      <c r="CT8" s="45" t="e">
        <f t="shared" si="2"/>
        <v>#N/A</v>
      </c>
      <c r="CU8" s="45" t="e">
        <f t="shared" si="2"/>
        <v>#N/A</v>
      </c>
      <c r="CV8" s="45" t="e">
        <f t="shared" si="2"/>
        <v>#N/A</v>
      </c>
      <c r="CW8" s="45" t="e">
        <f t="shared" si="2"/>
        <v>#N/A</v>
      </c>
      <c r="CX8" s="45" t="e">
        <f t="shared" si="2"/>
        <v>#N/A</v>
      </c>
      <c r="CY8" s="45" t="e">
        <f t="shared" si="2"/>
        <v>#N/A</v>
      </c>
      <c r="CZ8" s="45" t="e">
        <f t="shared" si="2"/>
        <v>#N/A</v>
      </c>
    </row>
    <row r="9" spans="1:104" s="42" customFormat="1" x14ac:dyDescent="0.2">
      <c r="A9" s="3"/>
      <c r="I9" s="43"/>
    </row>
    <row r="10" spans="1:104" s="42" customFormat="1" x14ac:dyDescent="0.2">
      <c r="A10" s="4" t="s">
        <v>48</v>
      </c>
      <c r="I10" s="43"/>
    </row>
    <row r="11" spans="1:104" s="45" customFormat="1" x14ac:dyDescent="0.2">
      <c r="A11" s="56" t="s">
        <v>44</v>
      </c>
      <c r="B11" s="42" t="e">
        <f>IF(B$1,SUMIFS('IncStmt Data'!$H$2:$H$2051,'IncStmt Data'!$G$2:$G$2051,$A11,'IncStmt Data'!$A$2:$A$2051,B$1),#N/A)</f>
        <v>#N/A</v>
      </c>
      <c r="C11" s="42" t="e">
        <f>IF(C$1,SUMIFS('IncStmt Data'!$H$2:$H$2051,'IncStmt Data'!$G$2:$G$2051,$A11,'IncStmt Data'!$A$2:$A$2051,C$1),#N/A)</f>
        <v>#N/A</v>
      </c>
      <c r="D11" s="42" t="e">
        <f>IF(D$1,SUMIFS('IncStmt Data'!$H$2:$H$2051,'IncStmt Data'!$G$2:$G$2051,$A11,'IncStmt Data'!$A$2:$A$2051,D$1),#N/A)</f>
        <v>#N/A</v>
      </c>
      <c r="E11" s="42" t="e">
        <f>IF(E$1,SUMIFS('IncStmt Data'!$H$2:$H$2051,'IncStmt Data'!$G$2:$G$2051,$A11,'IncStmt Data'!$A$2:$A$2051,E$1),#N/A)</f>
        <v>#N/A</v>
      </c>
      <c r="F11" s="42" t="e">
        <f>IF(F$1,SUMIFS('IncStmt Data'!$H$2:$H$2051,'IncStmt Data'!$G$2:$G$2051,$A11,'IncStmt Data'!$A$2:$A$2051,F$1),#N/A)</f>
        <v>#N/A</v>
      </c>
      <c r="G11" s="42" t="e">
        <f>IF(G$1,SUMIFS('IncStmt Data'!$H$2:$H$2051,'IncStmt Data'!$G$2:$G$2051,$A11,'IncStmt Data'!$A$2:$A$2051,G$1),#N/A)</f>
        <v>#N/A</v>
      </c>
      <c r="H11" s="42" t="e">
        <f>IF(H$1,SUMIFS('IncStmt Data'!$H$2:$H$2051,'IncStmt Data'!$G$2:$G$2051,$A11,'IncStmt Data'!$A$2:$A$2051,H$1),#N/A)</f>
        <v>#N/A</v>
      </c>
      <c r="I11" s="42" t="e">
        <f>IF(I$1,SUMIFS('IncStmt Data'!$H$2:$H$2051,'IncStmt Data'!$G$2:$G$2051,$A11,'IncStmt Data'!$A$2:$A$2051,I$1),#N/A)</f>
        <v>#N/A</v>
      </c>
      <c r="J11" s="42" t="e">
        <f>IF(J$1,SUMIFS('IncStmt Data'!$H$2:$H$2051,'IncStmt Data'!$G$2:$G$2051,$A11,'IncStmt Data'!$A$2:$A$2051,J$1),#N/A)</f>
        <v>#N/A</v>
      </c>
      <c r="K11" s="42" t="e">
        <f>IF(K$1,SUMIFS('IncStmt Data'!$H$2:$H$2051,'IncStmt Data'!$G$2:$G$2051,$A11,'IncStmt Data'!$A$2:$A$2051,K$1),#N/A)</f>
        <v>#N/A</v>
      </c>
      <c r="L11" s="42" t="e">
        <f>IF(L$1,SUMIFS('IncStmt Data'!$H$2:$H$2051,'IncStmt Data'!$G$2:$G$2051,$A11,'IncStmt Data'!$A$2:$A$2051,L$1),#N/A)</f>
        <v>#N/A</v>
      </c>
      <c r="M11" s="42" t="e">
        <f>IF(M$1,SUMIFS('IncStmt Data'!$H$2:$H$2051,'IncStmt Data'!$G$2:$G$2051,$A11,'IncStmt Data'!$A$2:$A$2051,M$1),#N/A)</f>
        <v>#N/A</v>
      </c>
      <c r="N11" s="42" t="e">
        <f>IF(N$1,SUMIFS('IncStmt Data'!$H$2:$H$2051,'IncStmt Data'!$G$2:$G$2051,$A11,'IncStmt Data'!$A$2:$A$2051,N$1),#N/A)</f>
        <v>#N/A</v>
      </c>
      <c r="O11" s="42" t="e">
        <f>IF(O$1,SUMIFS('IncStmt Data'!$H$2:$H$2051,'IncStmt Data'!$G$2:$G$2051,$A11,'IncStmt Data'!$A$2:$A$2051,O$1),#N/A)</f>
        <v>#N/A</v>
      </c>
      <c r="P11" s="42" t="e">
        <f>IF(P$1,SUMIFS('IncStmt Data'!$H$2:$H$2051,'IncStmt Data'!$G$2:$G$2051,$A11,'IncStmt Data'!$A$2:$A$2051,P$1),#N/A)</f>
        <v>#N/A</v>
      </c>
      <c r="Q11" s="42" t="e">
        <f>IF(Q$1,SUMIFS('IncStmt Data'!$H$2:$H$2051,'IncStmt Data'!$G$2:$G$2051,$A11,'IncStmt Data'!$A$2:$A$2051,Q$1),#N/A)</f>
        <v>#N/A</v>
      </c>
      <c r="R11" s="42" t="e">
        <f>IF(R$1,SUMIFS('IncStmt Data'!$H$2:$H$2051,'IncStmt Data'!$G$2:$G$2051,$A11,'IncStmt Data'!$A$2:$A$2051,R$1),#N/A)</f>
        <v>#N/A</v>
      </c>
      <c r="S11" s="42" t="e">
        <f>IF(S$1,SUMIFS('IncStmt Data'!$H$2:$H$2051,'IncStmt Data'!$G$2:$G$2051,$A11,'IncStmt Data'!$A$2:$A$2051,S$1),#N/A)</f>
        <v>#N/A</v>
      </c>
      <c r="T11" s="42" t="e">
        <f>IF(T$1,SUMIFS('IncStmt Data'!$H$2:$H$2051,'IncStmt Data'!$G$2:$G$2051,$A11,'IncStmt Data'!$A$2:$A$2051,T$1),#N/A)</f>
        <v>#N/A</v>
      </c>
      <c r="U11" s="42" t="e">
        <f>IF(U$1,SUMIFS('IncStmt Data'!$H$2:$H$2051,'IncStmt Data'!$G$2:$G$2051,$A11,'IncStmt Data'!$A$2:$A$2051,U$1),#N/A)</f>
        <v>#N/A</v>
      </c>
      <c r="V11" s="42" t="e">
        <f>IF(V$1,SUMIFS('IncStmt Data'!$H$2:$H$2051,'IncStmt Data'!$G$2:$G$2051,$A11,'IncStmt Data'!$A$2:$A$2051,V$1),#N/A)</f>
        <v>#N/A</v>
      </c>
      <c r="W11" s="42" t="e">
        <f>IF(W$1,SUMIFS('IncStmt Data'!$H$2:$H$2051,'IncStmt Data'!$G$2:$G$2051,$A11,'IncStmt Data'!$A$2:$A$2051,W$1),#N/A)</f>
        <v>#N/A</v>
      </c>
      <c r="X11" s="42" t="e">
        <f>IF(X$1,SUMIFS('IncStmt Data'!$H$2:$H$2051,'IncStmt Data'!$G$2:$G$2051,$A11,'IncStmt Data'!$A$2:$A$2051,X$1),#N/A)</f>
        <v>#N/A</v>
      </c>
      <c r="Y11" s="42" t="e">
        <f>IF(Y$1,SUMIFS('IncStmt Data'!$H$2:$H$2051,'IncStmt Data'!$G$2:$G$2051,$A11,'IncStmt Data'!$A$2:$A$2051,Y$1),#N/A)</f>
        <v>#N/A</v>
      </c>
      <c r="Z11" s="42" t="e">
        <f>IF(Z$1,SUMIFS('IncStmt Data'!$H$2:$H$2051,'IncStmt Data'!$G$2:$G$2051,$A11,'IncStmt Data'!$A$2:$A$2051,Z$1),#N/A)</f>
        <v>#N/A</v>
      </c>
      <c r="AA11" s="42" t="e">
        <f>IF(AA$1,SUMIFS('IncStmt Data'!$H$2:$H$2051,'IncStmt Data'!$G$2:$G$2051,$A11,'IncStmt Data'!$A$2:$A$2051,AA$1),#N/A)</f>
        <v>#N/A</v>
      </c>
      <c r="AB11" s="42" t="e">
        <f>IF(AB$1,SUMIFS('IncStmt Data'!$H$2:$H$2051,'IncStmt Data'!$G$2:$G$2051,$A11,'IncStmt Data'!$A$2:$A$2051,AB$1),#N/A)</f>
        <v>#N/A</v>
      </c>
      <c r="AC11" s="42" t="e">
        <f>IF(AC$1,SUMIFS('IncStmt Data'!$H$2:$H$2051,'IncStmt Data'!$G$2:$G$2051,$A11,'IncStmt Data'!$A$2:$A$2051,AC$1),#N/A)</f>
        <v>#N/A</v>
      </c>
      <c r="AD11" s="42" t="e">
        <f>IF(AD$1,SUMIFS('IncStmt Data'!$H$2:$H$2051,'IncStmt Data'!$G$2:$G$2051,$A11,'IncStmt Data'!$A$2:$A$2051,AD$1),#N/A)</f>
        <v>#N/A</v>
      </c>
      <c r="AE11" s="42" t="e">
        <f>IF(AE$1,SUMIFS('IncStmt Data'!$H$2:$H$2051,'IncStmt Data'!$G$2:$G$2051,$A11,'IncStmt Data'!$A$2:$A$2051,AE$1),#N/A)</f>
        <v>#N/A</v>
      </c>
      <c r="AF11" s="42" t="e">
        <f>IF(AF$1,SUMIFS('IncStmt Data'!$H$2:$H$2051,'IncStmt Data'!$G$2:$G$2051,$A11,'IncStmt Data'!$A$2:$A$2051,AF$1),#N/A)</f>
        <v>#N/A</v>
      </c>
      <c r="AG11" s="42" t="e">
        <f>IF(AG$1,SUMIFS('IncStmt Data'!$H$2:$H$2051,'IncStmt Data'!$G$2:$G$2051,$A11,'IncStmt Data'!$A$2:$A$2051,AG$1),#N/A)</f>
        <v>#N/A</v>
      </c>
      <c r="AH11" s="42" t="e">
        <f>IF(AH$1,SUMIFS('IncStmt Data'!$H$2:$H$2051,'IncStmt Data'!$G$2:$G$2051,$A11,'IncStmt Data'!$A$2:$A$2051,AH$1),#N/A)</f>
        <v>#N/A</v>
      </c>
      <c r="AI11" s="42" t="e">
        <f>IF(AI$1,SUMIFS('IncStmt Data'!$H$2:$H$2051,'IncStmt Data'!$G$2:$G$2051,$A11,'IncStmt Data'!$A$2:$A$2051,AI$1),#N/A)</f>
        <v>#N/A</v>
      </c>
      <c r="AJ11" s="42" t="e">
        <f>IF(AJ$1,SUMIFS('IncStmt Data'!$H$2:$H$2051,'IncStmt Data'!$G$2:$G$2051,$A11,'IncStmt Data'!$A$2:$A$2051,AJ$1),#N/A)</f>
        <v>#N/A</v>
      </c>
      <c r="AK11" s="42" t="e">
        <f>IF(AK$1,SUMIFS('IncStmt Data'!$H$2:$H$2051,'IncStmt Data'!$G$2:$G$2051,$A11,'IncStmt Data'!$A$2:$A$2051,AK$1),#N/A)</f>
        <v>#N/A</v>
      </c>
      <c r="AL11" s="42" t="e">
        <f>IF(AL$1,SUMIFS('IncStmt Data'!$H$2:$H$2051,'IncStmt Data'!$G$2:$G$2051,$A11,'IncStmt Data'!$A$2:$A$2051,AL$1),#N/A)</f>
        <v>#N/A</v>
      </c>
      <c r="AM11" s="42" t="e">
        <f>IF(AM$1,SUMIFS('IncStmt Data'!$H$2:$H$2051,'IncStmt Data'!$G$2:$G$2051,$A11,'IncStmt Data'!$A$2:$A$2051,AM$1),#N/A)</f>
        <v>#N/A</v>
      </c>
      <c r="AN11" s="42" t="e">
        <f>IF(AN$1,SUMIFS('IncStmt Data'!$H$2:$H$2051,'IncStmt Data'!$G$2:$G$2051,$A11,'IncStmt Data'!$A$2:$A$2051,AN$1),#N/A)</f>
        <v>#N/A</v>
      </c>
      <c r="AO11" s="42" t="e">
        <f>IF(AO$1,SUMIFS('IncStmt Data'!$H$2:$H$2051,'IncStmt Data'!$G$2:$G$2051,$A11,'IncStmt Data'!$A$2:$A$2051,AO$1),#N/A)</f>
        <v>#N/A</v>
      </c>
      <c r="AP11" s="42" t="e">
        <f>IF(AP$1,SUMIFS('IncStmt Data'!$H$2:$H$2051,'IncStmt Data'!$G$2:$G$2051,$A11,'IncStmt Data'!$A$2:$A$2051,AP$1),#N/A)</f>
        <v>#N/A</v>
      </c>
      <c r="AQ11" s="42" t="e">
        <f>IF(AQ$1,SUMIFS('IncStmt Data'!$H$2:$H$2051,'IncStmt Data'!$G$2:$G$2051,$A11,'IncStmt Data'!$A$2:$A$2051,AQ$1),#N/A)</f>
        <v>#N/A</v>
      </c>
      <c r="AR11" s="42" t="e">
        <f>IF(AR$1,SUMIFS('IncStmt Data'!$H$2:$H$2051,'IncStmt Data'!$G$2:$G$2051,$A11,'IncStmt Data'!$A$2:$A$2051,AR$1),#N/A)</f>
        <v>#N/A</v>
      </c>
      <c r="AS11" s="42" t="e">
        <f>IF(AS$1,SUMIFS('IncStmt Data'!$H$2:$H$2051,'IncStmt Data'!$G$2:$G$2051,$A11,'IncStmt Data'!$A$2:$A$2051,AS$1),#N/A)</f>
        <v>#N/A</v>
      </c>
      <c r="AT11" s="42" t="e">
        <f>IF(AT$1,SUMIFS('IncStmt Data'!$H$2:$H$2051,'IncStmt Data'!$G$2:$G$2051,$A11,'IncStmt Data'!$A$2:$A$2051,AT$1),#N/A)</f>
        <v>#N/A</v>
      </c>
      <c r="AU11" s="42" t="e">
        <f>IF(AU$1,SUMIFS('IncStmt Data'!$H$2:$H$2051,'IncStmt Data'!$G$2:$G$2051,$A11,'IncStmt Data'!$A$2:$A$2051,AU$1),#N/A)</f>
        <v>#N/A</v>
      </c>
      <c r="AV11" s="42" t="e">
        <f>IF(AV$1,SUMIFS('IncStmt Data'!$H$2:$H$2051,'IncStmt Data'!$G$2:$G$2051,$A11,'IncStmt Data'!$A$2:$A$2051,AV$1),#N/A)</f>
        <v>#N/A</v>
      </c>
      <c r="AW11" s="42" t="e">
        <f>IF(AW$1,SUMIFS('IncStmt Data'!$H$2:$H$2051,'IncStmt Data'!$G$2:$G$2051,$A11,'IncStmt Data'!$A$2:$A$2051,AW$1),#N/A)</f>
        <v>#N/A</v>
      </c>
      <c r="AX11" s="42" t="e">
        <f>IF(AX$1,SUMIFS('IncStmt Data'!$H$2:$H$2051,'IncStmt Data'!$G$2:$G$2051,$A11,'IncStmt Data'!$A$2:$A$2051,AX$1),#N/A)</f>
        <v>#N/A</v>
      </c>
      <c r="AY11" s="42" t="e">
        <f>IF(AY$1,SUMIFS('IncStmt Data'!$H$2:$H$2051,'IncStmt Data'!$G$2:$G$2051,$A11,'IncStmt Data'!$A$2:$A$2051,AY$1),#N/A)</f>
        <v>#N/A</v>
      </c>
      <c r="AZ11" s="42" t="e">
        <f>IF(AZ$1,SUMIFS('IncStmt Data'!$H$2:$H$2051,'IncStmt Data'!$G$2:$G$2051,$A11,'IncStmt Data'!$A$2:$A$2051,AZ$1),#N/A)</f>
        <v>#N/A</v>
      </c>
      <c r="BA11" s="42" t="e">
        <f>IF(BA$1,SUMIFS('IncStmt Data'!$H$2:$H$2051,'IncStmt Data'!$G$2:$G$2051,$A11,'IncStmt Data'!$A$2:$A$2051,BA$1),#N/A)</f>
        <v>#N/A</v>
      </c>
      <c r="BB11" s="42" t="e">
        <f>IF(BB$1,SUMIFS('IncStmt Data'!$H$2:$H$2051,'IncStmt Data'!$G$2:$G$2051,$A11,'IncStmt Data'!$A$2:$A$2051,BB$1),#N/A)</f>
        <v>#N/A</v>
      </c>
      <c r="BC11" s="42" t="e">
        <f>IF(BC$1,SUMIFS('IncStmt Data'!$H$2:$H$2051,'IncStmt Data'!$G$2:$G$2051,$A11,'IncStmt Data'!$A$2:$A$2051,BC$1),#N/A)</f>
        <v>#N/A</v>
      </c>
      <c r="BD11" s="42" t="e">
        <f>IF(BD$1,SUMIFS('IncStmt Data'!$H$2:$H$2051,'IncStmt Data'!$G$2:$G$2051,$A11,'IncStmt Data'!$A$2:$A$2051,BD$1),#N/A)</f>
        <v>#N/A</v>
      </c>
      <c r="BE11" s="42" t="e">
        <f>IF(BE$1,SUMIFS('IncStmt Data'!$H$2:$H$2051,'IncStmt Data'!$G$2:$G$2051,$A11,'IncStmt Data'!$A$2:$A$2051,BE$1),#N/A)</f>
        <v>#N/A</v>
      </c>
      <c r="BF11" s="42" t="e">
        <f>IF(BF$1,SUMIFS('IncStmt Data'!$H$2:$H$2051,'IncStmt Data'!$G$2:$G$2051,$A11,'IncStmt Data'!$A$2:$A$2051,BF$1),#N/A)</f>
        <v>#N/A</v>
      </c>
      <c r="BG11" s="42" t="e">
        <f>IF(BG$1,SUMIFS('IncStmt Data'!$H$2:$H$2051,'IncStmt Data'!$G$2:$G$2051,$A11,'IncStmt Data'!$A$2:$A$2051,BG$1),#N/A)</f>
        <v>#N/A</v>
      </c>
      <c r="BH11" s="42" t="e">
        <f>IF(BH$1,SUMIFS('IncStmt Data'!$H$2:$H$2051,'IncStmt Data'!$G$2:$G$2051,$A11,'IncStmt Data'!$A$2:$A$2051,BH$1),#N/A)</f>
        <v>#N/A</v>
      </c>
      <c r="BI11" s="42" t="e">
        <f>IF(BI$1,SUMIFS('IncStmt Data'!$H$2:$H$2051,'IncStmt Data'!$G$2:$G$2051,$A11,'IncStmt Data'!$A$2:$A$2051,BI$1),#N/A)</f>
        <v>#N/A</v>
      </c>
      <c r="BJ11" s="42" t="e">
        <f>IF(BJ$1,SUMIFS('IncStmt Data'!$H$2:$H$2051,'IncStmt Data'!$G$2:$G$2051,$A11,'IncStmt Data'!$A$2:$A$2051,BJ$1),#N/A)</f>
        <v>#N/A</v>
      </c>
      <c r="BK11" s="42" t="e">
        <f>IF(BK$1,SUMIFS('IncStmt Data'!$H$2:$H$2051,'IncStmt Data'!$G$2:$G$2051,$A11,'IncStmt Data'!$A$2:$A$2051,BK$1),#N/A)</f>
        <v>#N/A</v>
      </c>
      <c r="BL11" s="42" t="e">
        <f>IF(BL$1,SUMIFS('IncStmt Data'!$H$2:$H$2051,'IncStmt Data'!$G$2:$G$2051,$A11,'IncStmt Data'!$A$2:$A$2051,BL$1),#N/A)</f>
        <v>#N/A</v>
      </c>
      <c r="BM11" s="42" t="e">
        <f>IF(BM$1,SUMIFS('IncStmt Data'!$H$2:$H$2051,'IncStmt Data'!$G$2:$G$2051,$A11,'IncStmt Data'!$A$2:$A$2051,BM$1),#N/A)</f>
        <v>#N/A</v>
      </c>
      <c r="BN11" s="42" t="e">
        <f>IF(BN$1,SUMIFS('IncStmt Data'!$H$2:$H$2051,'IncStmt Data'!$G$2:$G$2051,$A11,'IncStmt Data'!$A$2:$A$2051,BN$1),#N/A)</f>
        <v>#N/A</v>
      </c>
      <c r="BO11" s="42" t="e">
        <f>IF(BO$1,SUMIFS('IncStmt Data'!$H$2:$H$2051,'IncStmt Data'!$G$2:$G$2051,$A11,'IncStmt Data'!$A$2:$A$2051,BO$1),#N/A)</f>
        <v>#N/A</v>
      </c>
      <c r="BP11" s="42" t="e">
        <f>IF(BP$1,SUMIFS('IncStmt Data'!$H$2:$H$2051,'IncStmt Data'!$G$2:$G$2051,$A11,'IncStmt Data'!$A$2:$A$2051,BP$1),#N/A)</f>
        <v>#N/A</v>
      </c>
      <c r="BQ11" s="42" t="e">
        <f>IF(BQ$1,SUMIFS('IncStmt Data'!$H$2:$H$2051,'IncStmt Data'!$G$2:$G$2051,$A11,'IncStmt Data'!$A$2:$A$2051,BQ$1),#N/A)</f>
        <v>#N/A</v>
      </c>
      <c r="BR11" s="42" t="e">
        <f>IF(BR$1,SUMIFS('IncStmt Data'!$H$2:$H$2051,'IncStmt Data'!$G$2:$G$2051,$A11,'IncStmt Data'!$A$2:$A$2051,BR$1),#N/A)</f>
        <v>#N/A</v>
      </c>
      <c r="BS11" s="42" t="e">
        <f>IF(BS$1,SUMIFS('IncStmt Data'!$H$2:$H$2051,'IncStmt Data'!$G$2:$G$2051,$A11,'IncStmt Data'!$A$2:$A$2051,BS$1),#N/A)</f>
        <v>#N/A</v>
      </c>
      <c r="BT11" s="42" t="e">
        <f>IF(BT$1,SUMIFS('IncStmt Data'!$H$2:$H$2051,'IncStmt Data'!$G$2:$G$2051,$A11,'IncStmt Data'!$A$2:$A$2051,BT$1),#N/A)</f>
        <v>#N/A</v>
      </c>
      <c r="BU11" s="42" t="e">
        <f>IF(BU$1,SUMIFS('IncStmt Data'!$H$2:$H$2051,'IncStmt Data'!$G$2:$G$2051,$A11,'IncStmt Data'!$A$2:$A$2051,BU$1),#N/A)</f>
        <v>#N/A</v>
      </c>
      <c r="BV11" s="42" t="e">
        <f>IF(BV$1,SUMIFS('IncStmt Data'!$H$2:$H$2051,'IncStmt Data'!$G$2:$G$2051,$A11,'IncStmt Data'!$A$2:$A$2051,BV$1),#N/A)</f>
        <v>#N/A</v>
      </c>
      <c r="BW11" s="42" t="e">
        <f>IF(BW$1,SUMIFS('IncStmt Data'!$H$2:$H$2051,'IncStmt Data'!$G$2:$G$2051,$A11,'IncStmt Data'!$A$2:$A$2051,BW$1),#N/A)</f>
        <v>#N/A</v>
      </c>
      <c r="BX11" s="42" t="e">
        <f>IF(BX$1,SUMIFS('IncStmt Data'!$H$2:$H$2051,'IncStmt Data'!$G$2:$G$2051,$A11,'IncStmt Data'!$A$2:$A$2051,BX$1),#N/A)</f>
        <v>#N/A</v>
      </c>
      <c r="BY11" s="42" t="e">
        <f>IF(BY$1,SUMIFS('IncStmt Data'!$H$2:$H$2051,'IncStmt Data'!$G$2:$G$2051,$A11,'IncStmt Data'!$A$2:$A$2051,BY$1),#N/A)</f>
        <v>#N/A</v>
      </c>
      <c r="BZ11" s="42" t="e">
        <f>IF(BZ$1,SUMIFS('IncStmt Data'!$H$2:$H$2051,'IncStmt Data'!$G$2:$G$2051,$A11,'IncStmt Data'!$A$2:$A$2051,BZ$1),#N/A)</f>
        <v>#N/A</v>
      </c>
      <c r="CA11" s="42" t="e">
        <f>IF(CA$1,SUMIFS('IncStmt Data'!$H$2:$H$2051,'IncStmt Data'!$G$2:$G$2051,$A11,'IncStmt Data'!$A$2:$A$2051,CA$1),#N/A)</f>
        <v>#N/A</v>
      </c>
      <c r="CB11" s="42" t="e">
        <f>IF(CB$1,SUMIFS('IncStmt Data'!$H$2:$H$2051,'IncStmt Data'!$G$2:$G$2051,$A11,'IncStmt Data'!$A$2:$A$2051,CB$1),#N/A)</f>
        <v>#N/A</v>
      </c>
      <c r="CC11" s="42" t="e">
        <f>IF(CC$1,SUMIFS('IncStmt Data'!$H$2:$H$2051,'IncStmt Data'!$G$2:$G$2051,$A11,'IncStmt Data'!$A$2:$A$2051,CC$1),#N/A)</f>
        <v>#N/A</v>
      </c>
      <c r="CD11" s="42" t="e">
        <f>IF(CD$1,SUMIFS('IncStmt Data'!$H$2:$H$2051,'IncStmt Data'!$G$2:$G$2051,$A11,'IncStmt Data'!$A$2:$A$2051,CD$1),#N/A)</f>
        <v>#N/A</v>
      </c>
      <c r="CE11" s="42" t="e">
        <f>IF(CE$1,SUMIFS('IncStmt Data'!$H$2:$H$2051,'IncStmt Data'!$G$2:$G$2051,$A11,'IncStmt Data'!$A$2:$A$2051,CE$1),#N/A)</f>
        <v>#N/A</v>
      </c>
      <c r="CF11" s="42" t="e">
        <f>IF(CF$1,SUMIFS('IncStmt Data'!$H$2:$H$2051,'IncStmt Data'!$G$2:$G$2051,$A11,'IncStmt Data'!$A$2:$A$2051,CF$1),#N/A)</f>
        <v>#N/A</v>
      </c>
      <c r="CG11" s="42" t="e">
        <f>IF(CG$1,SUMIFS('IncStmt Data'!$H$2:$H$2051,'IncStmt Data'!$G$2:$G$2051,$A11,'IncStmt Data'!$A$2:$A$2051,CG$1),#N/A)</f>
        <v>#N/A</v>
      </c>
      <c r="CH11" s="42" t="e">
        <f>IF(CH$1,SUMIFS('IncStmt Data'!$H$2:$H$2051,'IncStmt Data'!$G$2:$G$2051,$A11,'IncStmt Data'!$A$2:$A$2051,CH$1),#N/A)</f>
        <v>#N/A</v>
      </c>
      <c r="CI11" s="42" t="e">
        <f>IF(CI$1,SUMIFS('IncStmt Data'!$H$2:$H$2051,'IncStmt Data'!$G$2:$G$2051,$A11,'IncStmt Data'!$A$2:$A$2051,CI$1),#N/A)</f>
        <v>#N/A</v>
      </c>
      <c r="CJ11" s="42" t="e">
        <f>IF(CJ$1,SUMIFS('IncStmt Data'!$H$2:$H$2051,'IncStmt Data'!$G$2:$G$2051,$A11,'IncStmt Data'!$A$2:$A$2051,CJ$1),#N/A)</f>
        <v>#N/A</v>
      </c>
      <c r="CK11" s="42" t="e">
        <f>IF(CK$1,SUMIFS('IncStmt Data'!$H$2:$H$2051,'IncStmt Data'!$G$2:$G$2051,$A11,'IncStmt Data'!$A$2:$A$2051,CK$1),#N/A)</f>
        <v>#N/A</v>
      </c>
      <c r="CL11" s="42" t="e">
        <f>IF(CL$1,SUMIFS('IncStmt Data'!$H$2:$H$2051,'IncStmt Data'!$G$2:$G$2051,$A11,'IncStmt Data'!$A$2:$A$2051,CL$1),#N/A)</f>
        <v>#N/A</v>
      </c>
      <c r="CM11" s="42" t="e">
        <f>IF(CM$1,SUMIFS('IncStmt Data'!$H$2:$H$2051,'IncStmt Data'!$G$2:$G$2051,$A11,'IncStmt Data'!$A$2:$A$2051,CM$1),#N/A)</f>
        <v>#N/A</v>
      </c>
      <c r="CN11" s="42" t="e">
        <f>IF(CN$1,SUMIFS('IncStmt Data'!$H$2:$H$2051,'IncStmt Data'!$G$2:$G$2051,$A11,'IncStmt Data'!$A$2:$A$2051,CN$1),#N/A)</f>
        <v>#N/A</v>
      </c>
      <c r="CO11" s="42" t="e">
        <f>IF(CO$1,SUMIFS('IncStmt Data'!$H$2:$H$2051,'IncStmt Data'!$G$2:$G$2051,$A11,'IncStmt Data'!$A$2:$A$2051,CO$1),#N/A)</f>
        <v>#N/A</v>
      </c>
      <c r="CP11" s="42" t="e">
        <f>IF(CP$1,SUMIFS('IncStmt Data'!$H$2:$H$2051,'IncStmt Data'!$G$2:$G$2051,$A11,'IncStmt Data'!$A$2:$A$2051,CP$1),#N/A)</f>
        <v>#N/A</v>
      </c>
      <c r="CQ11" s="42" t="e">
        <f>IF(CQ$1,SUMIFS('IncStmt Data'!$H$2:$H$2051,'IncStmt Data'!$G$2:$G$2051,$A11,'IncStmt Data'!$A$2:$A$2051,CQ$1),#N/A)</f>
        <v>#N/A</v>
      </c>
      <c r="CR11" s="42" t="e">
        <f>IF(CR$1,SUMIFS('IncStmt Data'!$H$2:$H$2051,'IncStmt Data'!$G$2:$G$2051,$A11,'IncStmt Data'!$A$2:$A$2051,CR$1),#N/A)</f>
        <v>#N/A</v>
      </c>
      <c r="CS11" s="42" t="e">
        <f>IF(CS$1,SUMIFS('IncStmt Data'!$H$2:$H$2051,'IncStmt Data'!$G$2:$G$2051,$A11,'IncStmt Data'!$A$2:$A$2051,CS$1),#N/A)</f>
        <v>#N/A</v>
      </c>
      <c r="CT11" s="42" t="e">
        <f>IF(CT$1,SUMIFS('IncStmt Data'!$H$2:$H$2051,'IncStmt Data'!$G$2:$G$2051,$A11,'IncStmt Data'!$A$2:$A$2051,CT$1),#N/A)</f>
        <v>#N/A</v>
      </c>
      <c r="CU11" s="42" t="e">
        <f>IF(CU$1,SUMIFS('IncStmt Data'!$H$2:$H$2051,'IncStmt Data'!$G$2:$G$2051,$A11,'IncStmt Data'!$A$2:$A$2051,CU$1),#N/A)</f>
        <v>#N/A</v>
      </c>
      <c r="CV11" s="42" t="e">
        <f>IF(CV$1,SUMIFS('IncStmt Data'!$H$2:$H$2051,'IncStmt Data'!$G$2:$G$2051,$A11,'IncStmt Data'!$A$2:$A$2051,CV$1),#N/A)</f>
        <v>#N/A</v>
      </c>
      <c r="CW11" s="42" t="e">
        <f>IF(CW$1,SUMIFS('IncStmt Data'!$H$2:$H$2051,'IncStmt Data'!$G$2:$G$2051,$A11,'IncStmt Data'!$A$2:$A$2051,CW$1),#N/A)</f>
        <v>#N/A</v>
      </c>
      <c r="CX11" s="42" t="e">
        <f>IF(CX$1,SUMIFS('IncStmt Data'!$H$2:$H$2051,'IncStmt Data'!$G$2:$G$2051,$A11,'IncStmt Data'!$A$2:$A$2051,CX$1),#N/A)</f>
        <v>#N/A</v>
      </c>
      <c r="CY11" s="42" t="e">
        <f>IF(CY$1,SUMIFS('IncStmt Data'!$H$2:$H$2051,'IncStmt Data'!$G$2:$G$2051,$A11,'IncStmt Data'!$A$2:$A$2051,CY$1),#N/A)</f>
        <v>#N/A</v>
      </c>
      <c r="CZ11" s="42" t="e">
        <f>IF(CZ$1,SUMIFS('IncStmt Data'!$H$2:$H$2051,'IncStmt Data'!$G$2:$G$2051,$A11,'IncStmt Data'!$A$2:$A$2051,CZ$1),#N/A)</f>
        <v>#N/A</v>
      </c>
    </row>
    <row r="12" spans="1:104" s="42" customFormat="1" x14ac:dyDescent="0.2">
      <c r="A12" s="56" t="s">
        <v>39</v>
      </c>
      <c r="B12" s="42" t="e">
        <f>IF(B$1,SUMIFS('IncStmt Data'!$H$2:$H$2051,'IncStmt Data'!$G$2:$G$2051,$A12,'IncStmt Data'!$A$2:$A$2051,B$1),#N/A)</f>
        <v>#N/A</v>
      </c>
      <c r="C12" s="42" t="e">
        <f>IF(C$1,SUMIFS('IncStmt Data'!$H$2:$H$2051,'IncStmt Data'!$G$2:$G$2051,$A12,'IncStmt Data'!$A$2:$A$2051,C$1),#N/A)</f>
        <v>#N/A</v>
      </c>
      <c r="D12" s="42" t="e">
        <f>IF(D$1,SUMIFS('IncStmt Data'!$H$2:$H$2051,'IncStmt Data'!$G$2:$G$2051,$A12,'IncStmt Data'!$A$2:$A$2051,D$1),#N/A)</f>
        <v>#N/A</v>
      </c>
      <c r="E12" s="42" t="e">
        <f>IF(E$1,SUMIFS('IncStmt Data'!$H$2:$H$2051,'IncStmt Data'!$G$2:$G$2051,$A12,'IncStmt Data'!$A$2:$A$2051,E$1),#N/A)</f>
        <v>#N/A</v>
      </c>
      <c r="F12" s="42" t="e">
        <f>IF(F$1,SUMIFS('IncStmt Data'!$H$2:$H$2051,'IncStmt Data'!$G$2:$G$2051,$A12,'IncStmt Data'!$A$2:$A$2051,F$1),#N/A)</f>
        <v>#N/A</v>
      </c>
      <c r="G12" s="42" t="e">
        <f>IF(G$1,SUMIFS('IncStmt Data'!$H$2:$H$2051,'IncStmt Data'!$G$2:$G$2051,$A12,'IncStmt Data'!$A$2:$A$2051,G$1),#N/A)</f>
        <v>#N/A</v>
      </c>
      <c r="H12" s="42" t="e">
        <f>IF(H$1,SUMIFS('IncStmt Data'!$H$2:$H$2051,'IncStmt Data'!$G$2:$G$2051,$A12,'IncStmt Data'!$A$2:$A$2051,H$1),#N/A)</f>
        <v>#N/A</v>
      </c>
      <c r="I12" s="42" t="e">
        <f>IF(I$1,SUMIFS('IncStmt Data'!$H$2:$H$2051,'IncStmt Data'!$G$2:$G$2051,$A12,'IncStmt Data'!$A$2:$A$2051,I$1),#N/A)</f>
        <v>#N/A</v>
      </c>
      <c r="J12" s="42" t="e">
        <f>IF(J$1,SUMIFS('IncStmt Data'!$H$2:$H$2051,'IncStmt Data'!$G$2:$G$2051,$A12,'IncStmt Data'!$A$2:$A$2051,J$1),#N/A)</f>
        <v>#N/A</v>
      </c>
      <c r="K12" s="42" t="e">
        <f>IF(K$1,SUMIFS('IncStmt Data'!$H$2:$H$2051,'IncStmt Data'!$G$2:$G$2051,$A12,'IncStmt Data'!$A$2:$A$2051,K$1),#N/A)</f>
        <v>#N/A</v>
      </c>
      <c r="L12" s="42" t="e">
        <f>IF(L$1,SUMIFS('IncStmt Data'!$H$2:$H$2051,'IncStmt Data'!$G$2:$G$2051,$A12,'IncStmt Data'!$A$2:$A$2051,L$1),#N/A)</f>
        <v>#N/A</v>
      </c>
      <c r="M12" s="42" t="e">
        <f>IF(M$1,SUMIFS('IncStmt Data'!$H$2:$H$2051,'IncStmt Data'!$G$2:$G$2051,$A12,'IncStmt Data'!$A$2:$A$2051,M$1),#N/A)</f>
        <v>#N/A</v>
      </c>
      <c r="N12" s="42" t="e">
        <f>IF(N$1,SUMIFS('IncStmt Data'!$H$2:$H$2051,'IncStmt Data'!$G$2:$G$2051,$A12,'IncStmt Data'!$A$2:$A$2051,N$1),#N/A)</f>
        <v>#N/A</v>
      </c>
      <c r="O12" s="42" t="e">
        <f>IF(O$1,SUMIFS('IncStmt Data'!$H$2:$H$2051,'IncStmt Data'!$G$2:$G$2051,$A12,'IncStmt Data'!$A$2:$A$2051,O$1),#N/A)</f>
        <v>#N/A</v>
      </c>
      <c r="P12" s="42" t="e">
        <f>IF(P$1,SUMIFS('IncStmt Data'!$H$2:$H$2051,'IncStmt Data'!$G$2:$G$2051,$A12,'IncStmt Data'!$A$2:$A$2051,P$1),#N/A)</f>
        <v>#N/A</v>
      </c>
      <c r="Q12" s="42" t="e">
        <f>IF(Q$1,SUMIFS('IncStmt Data'!$H$2:$H$2051,'IncStmt Data'!$G$2:$G$2051,$A12,'IncStmt Data'!$A$2:$A$2051,Q$1),#N/A)</f>
        <v>#N/A</v>
      </c>
      <c r="R12" s="42" t="e">
        <f>IF(R$1,SUMIFS('IncStmt Data'!$H$2:$H$2051,'IncStmt Data'!$G$2:$G$2051,$A12,'IncStmt Data'!$A$2:$A$2051,R$1),#N/A)</f>
        <v>#N/A</v>
      </c>
      <c r="S12" s="42" t="e">
        <f>IF(S$1,SUMIFS('IncStmt Data'!$H$2:$H$2051,'IncStmt Data'!$G$2:$G$2051,$A12,'IncStmt Data'!$A$2:$A$2051,S$1),#N/A)</f>
        <v>#N/A</v>
      </c>
      <c r="T12" s="42" t="e">
        <f>IF(T$1,SUMIFS('IncStmt Data'!$H$2:$H$2051,'IncStmt Data'!$G$2:$G$2051,$A12,'IncStmt Data'!$A$2:$A$2051,T$1),#N/A)</f>
        <v>#N/A</v>
      </c>
      <c r="U12" s="42" t="e">
        <f>IF(U$1,SUMIFS('IncStmt Data'!$H$2:$H$2051,'IncStmt Data'!$G$2:$G$2051,$A12,'IncStmt Data'!$A$2:$A$2051,U$1),#N/A)</f>
        <v>#N/A</v>
      </c>
      <c r="V12" s="42" t="e">
        <f>IF(V$1,SUMIFS('IncStmt Data'!$H$2:$H$2051,'IncStmt Data'!$G$2:$G$2051,$A12,'IncStmt Data'!$A$2:$A$2051,V$1),#N/A)</f>
        <v>#N/A</v>
      </c>
      <c r="W12" s="42" t="e">
        <f>IF(W$1,SUMIFS('IncStmt Data'!$H$2:$H$2051,'IncStmt Data'!$G$2:$G$2051,$A12,'IncStmt Data'!$A$2:$A$2051,W$1),#N/A)</f>
        <v>#N/A</v>
      </c>
      <c r="X12" s="42" t="e">
        <f>IF(X$1,SUMIFS('IncStmt Data'!$H$2:$H$2051,'IncStmt Data'!$G$2:$G$2051,$A12,'IncStmt Data'!$A$2:$A$2051,X$1),#N/A)</f>
        <v>#N/A</v>
      </c>
      <c r="Y12" s="42" t="e">
        <f>IF(Y$1,SUMIFS('IncStmt Data'!$H$2:$H$2051,'IncStmt Data'!$G$2:$G$2051,$A12,'IncStmt Data'!$A$2:$A$2051,Y$1),#N/A)</f>
        <v>#N/A</v>
      </c>
      <c r="Z12" s="42" t="e">
        <f>IF(Z$1,SUMIFS('IncStmt Data'!$H$2:$H$2051,'IncStmt Data'!$G$2:$G$2051,$A12,'IncStmt Data'!$A$2:$A$2051,Z$1),#N/A)</f>
        <v>#N/A</v>
      </c>
      <c r="AA12" s="42" t="e">
        <f>IF(AA$1,SUMIFS('IncStmt Data'!$H$2:$H$2051,'IncStmt Data'!$G$2:$G$2051,$A12,'IncStmt Data'!$A$2:$A$2051,AA$1),#N/A)</f>
        <v>#N/A</v>
      </c>
      <c r="AB12" s="42" t="e">
        <f>IF(AB$1,SUMIFS('IncStmt Data'!$H$2:$H$2051,'IncStmt Data'!$G$2:$G$2051,$A12,'IncStmt Data'!$A$2:$A$2051,AB$1),#N/A)</f>
        <v>#N/A</v>
      </c>
      <c r="AC12" s="42" t="e">
        <f>IF(AC$1,SUMIFS('IncStmt Data'!$H$2:$H$2051,'IncStmt Data'!$G$2:$G$2051,$A12,'IncStmt Data'!$A$2:$A$2051,AC$1),#N/A)</f>
        <v>#N/A</v>
      </c>
      <c r="AD12" s="42" t="e">
        <f>IF(AD$1,SUMIFS('IncStmt Data'!$H$2:$H$2051,'IncStmt Data'!$G$2:$G$2051,$A12,'IncStmt Data'!$A$2:$A$2051,AD$1),#N/A)</f>
        <v>#N/A</v>
      </c>
      <c r="AE12" s="42" t="e">
        <f>IF(AE$1,SUMIFS('IncStmt Data'!$H$2:$H$2051,'IncStmt Data'!$G$2:$G$2051,$A12,'IncStmt Data'!$A$2:$A$2051,AE$1),#N/A)</f>
        <v>#N/A</v>
      </c>
      <c r="AF12" s="42" t="e">
        <f>IF(AF$1,SUMIFS('IncStmt Data'!$H$2:$H$2051,'IncStmt Data'!$G$2:$G$2051,$A12,'IncStmt Data'!$A$2:$A$2051,AF$1),#N/A)</f>
        <v>#N/A</v>
      </c>
      <c r="AG12" s="42" t="e">
        <f>IF(AG$1,SUMIFS('IncStmt Data'!$H$2:$H$2051,'IncStmt Data'!$G$2:$G$2051,$A12,'IncStmt Data'!$A$2:$A$2051,AG$1),#N/A)</f>
        <v>#N/A</v>
      </c>
      <c r="AH12" s="42" t="e">
        <f>IF(AH$1,SUMIFS('IncStmt Data'!$H$2:$H$2051,'IncStmt Data'!$G$2:$G$2051,$A12,'IncStmt Data'!$A$2:$A$2051,AH$1),#N/A)</f>
        <v>#N/A</v>
      </c>
      <c r="AI12" s="42" t="e">
        <f>IF(AI$1,SUMIFS('IncStmt Data'!$H$2:$H$2051,'IncStmt Data'!$G$2:$G$2051,$A12,'IncStmt Data'!$A$2:$A$2051,AI$1),#N/A)</f>
        <v>#N/A</v>
      </c>
      <c r="AJ12" s="42" t="e">
        <f>IF(AJ$1,SUMIFS('IncStmt Data'!$H$2:$H$2051,'IncStmt Data'!$G$2:$G$2051,$A12,'IncStmt Data'!$A$2:$A$2051,AJ$1),#N/A)</f>
        <v>#N/A</v>
      </c>
      <c r="AK12" s="42" t="e">
        <f>IF(AK$1,SUMIFS('IncStmt Data'!$H$2:$H$2051,'IncStmt Data'!$G$2:$G$2051,$A12,'IncStmt Data'!$A$2:$A$2051,AK$1),#N/A)</f>
        <v>#N/A</v>
      </c>
      <c r="AL12" s="42" t="e">
        <f>IF(AL$1,SUMIFS('IncStmt Data'!$H$2:$H$2051,'IncStmt Data'!$G$2:$G$2051,$A12,'IncStmt Data'!$A$2:$A$2051,AL$1),#N/A)</f>
        <v>#N/A</v>
      </c>
      <c r="AM12" s="42" t="e">
        <f>IF(AM$1,SUMIFS('IncStmt Data'!$H$2:$H$2051,'IncStmt Data'!$G$2:$G$2051,$A12,'IncStmt Data'!$A$2:$A$2051,AM$1),#N/A)</f>
        <v>#N/A</v>
      </c>
      <c r="AN12" s="42" t="e">
        <f>IF(AN$1,SUMIFS('IncStmt Data'!$H$2:$H$2051,'IncStmt Data'!$G$2:$G$2051,$A12,'IncStmt Data'!$A$2:$A$2051,AN$1),#N/A)</f>
        <v>#N/A</v>
      </c>
      <c r="AO12" s="42" t="e">
        <f>IF(AO$1,SUMIFS('IncStmt Data'!$H$2:$H$2051,'IncStmt Data'!$G$2:$G$2051,$A12,'IncStmt Data'!$A$2:$A$2051,AO$1),#N/A)</f>
        <v>#N/A</v>
      </c>
      <c r="AP12" s="42" t="e">
        <f>IF(AP$1,SUMIFS('IncStmt Data'!$H$2:$H$2051,'IncStmt Data'!$G$2:$G$2051,$A12,'IncStmt Data'!$A$2:$A$2051,AP$1),#N/A)</f>
        <v>#N/A</v>
      </c>
      <c r="AQ12" s="42" t="e">
        <f>IF(AQ$1,SUMIFS('IncStmt Data'!$H$2:$H$2051,'IncStmt Data'!$G$2:$G$2051,$A12,'IncStmt Data'!$A$2:$A$2051,AQ$1),#N/A)</f>
        <v>#N/A</v>
      </c>
      <c r="AR12" s="42" t="e">
        <f>IF(AR$1,SUMIFS('IncStmt Data'!$H$2:$H$2051,'IncStmt Data'!$G$2:$G$2051,$A12,'IncStmt Data'!$A$2:$A$2051,AR$1),#N/A)</f>
        <v>#N/A</v>
      </c>
      <c r="AS12" s="42" t="e">
        <f>IF(AS$1,SUMIFS('IncStmt Data'!$H$2:$H$2051,'IncStmt Data'!$G$2:$G$2051,$A12,'IncStmt Data'!$A$2:$A$2051,AS$1),#N/A)</f>
        <v>#N/A</v>
      </c>
      <c r="AT12" s="42" t="e">
        <f>IF(AT$1,SUMIFS('IncStmt Data'!$H$2:$H$2051,'IncStmt Data'!$G$2:$G$2051,$A12,'IncStmt Data'!$A$2:$A$2051,AT$1),#N/A)</f>
        <v>#N/A</v>
      </c>
      <c r="AU12" s="42" t="e">
        <f>IF(AU$1,SUMIFS('IncStmt Data'!$H$2:$H$2051,'IncStmt Data'!$G$2:$G$2051,$A12,'IncStmt Data'!$A$2:$A$2051,AU$1),#N/A)</f>
        <v>#N/A</v>
      </c>
      <c r="AV12" s="42" t="e">
        <f>IF(AV$1,SUMIFS('IncStmt Data'!$H$2:$H$2051,'IncStmt Data'!$G$2:$G$2051,$A12,'IncStmt Data'!$A$2:$A$2051,AV$1),#N/A)</f>
        <v>#N/A</v>
      </c>
      <c r="AW12" s="42" t="e">
        <f>IF(AW$1,SUMIFS('IncStmt Data'!$H$2:$H$2051,'IncStmt Data'!$G$2:$G$2051,$A12,'IncStmt Data'!$A$2:$A$2051,AW$1),#N/A)</f>
        <v>#N/A</v>
      </c>
      <c r="AX12" s="42" t="e">
        <f>IF(AX$1,SUMIFS('IncStmt Data'!$H$2:$H$2051,'IncStmt Data'!$G$2:$G$2051,$A12,'IncStmt Data'!$A$2:$A$2051,AX$1),#N/A)</f>
        <v>#N/A</v>
      </c>
      <c r="AY12" s="42" t="e">
        <f>IF(AY$1,SUMIFS('IncStmt Data'!$H$2:$H$2051,'IncStmt Data'!$G$2:$G$2051,$A12,'IncStmt Data'!$A$2:$A$2051,AY$1),#N/A)</f>
        <v>#N/A</v>
      </c>
      <c r="AZ12" s="42" t="e">
        <f>IF(AZ$1,SUMIFS('IncStmt Data'!$H$2:$H$2051,'IncStmt Data'!$G$2:$G$2051,$A12,'IncStmt Data'!$A$2:$A$2051,AZ$1),#N/A)</f>
        <v>#N/A</v>
      </c>
      <c r="BA12" s="42" t="e">
        <f>IF(BA$1,SUMIFS('IncStmt Data'!$H$2:$H$2051,'IncStmt Data'!$G$2:$G$2051,$A12,'IncStmt Data'!$A$2:$A$2051,BA$1),#N/A)</f>
        <v>#N/A</v>
      </c>
      <c r="BB12" s="42" t="e">
        <f>IF(BB$1,SUMIFS('IncStmt Data'!$H$2:$H$2051,'IncStmt Data'!$G$2:$G$2051,$A12,'IncStmt Data'!$A$2:$A$2051,BB$1),#N/A)</f>
        <v>#N/A</v>
      </c>
      <c r="BC12" s="42" t="e">
        <f>IF(BC$1,SUMIFS('IncStmt Data'!$H$2:$H$2051,'IncStmt Data'!$G$2:$G$2051,$A12,'IncStmt Data'!$A$2:$A$2051,BC$1),#N/A)</f>
        <v>#N/A</v>
      </c>
      <c r="BD12" s="42" t="e">
        <f>IF(BD$1,SUMIFS('IncStmt Data'!$H$2:$H$2051,'IncStmt Data'!$G$2:$G$2051,$A12,'IncStmt Data'!$A$2:$A$2051,BD$1),#N/A)</f>
        <v>#N/A</v>
      </c>
      <c r="BE12" s="42" t="e">
        <f>IF(BE$1,SUMIFS('IncStmt Data'!$H$2:$H$2051,'IncStmt Data'!$G$2:$G$2051,$A12,'IncStmt Data'!$A$2:$A$2051,BE$1),#N/A)</f>
        <v>#N/A</v>
      </c>
      <c r="BF12" s="42" t="e">
        <f>IF(BF$1,SUMIFS('IncStmt Data'!$H$2:$H$2051,'IncStmt Data'!$G$2:$G$2051,$A12,'IncStmt Data'!$A$2:$A$2051,BF$1),#N/A)</f>
        <v>#N/A</v>
      </c>
      <c r="BG12" s="42" t="e">
        <f>IF(BG$1,SUMIFS('IncStmt Data'!$H$2:$H$2051,'IncStmt Data'!$G$2:$G$2051,$A12,'IncStmt Data'!$A$2:$A$2051,BG$1),#N/A)</f>
        <v>#N/A</v>
      </c>
      <c r="BH12" s="42" t="e">
        <f>IF(BH$1,SUMIFS('IncStmt Data'!$H$2:$H$2051,'IncStmt Data'!$G$2:$G$2051,$A12,'IncStmt Data'!$A$2:$A$2051,BH$1),#N/A)</f>
        <v>#N/A</v>
      </c>
      <c r="BI12" s="42" t="e">
        <f>IF(BI$1,SUMIFS('IncStmt Data'!$H$2:$H$2051,'IncStmt Data'!$G$2:$G$2051,$A12,'IncStmt Data'!$A$2:$A$2051,BI$1),#N/A)</f>
        <v>#N/A</v>
      </c>
      <c r="BJ12" s="42" t="e">
        <f>IF(BJ$1,SUMIFS('IncStmt Data'!$H$2:$H$2051,'IncStmt Data'!$G$2:$G$2051,$A12,'IncStmt Data'!$A$2:$A$2051,BJ$1),#N/A)</f>
        <v>#N/A</v>
      </c>
      <c r="BK12" s="42" t="e">
        <f>IF(BK$1,SUMIFS('IncStmt Data'!$H$2:$H$2051,'IncStmt Data'!$G$2:$G$2051,$A12,'IncStmt Data'!$A$2:$A$2051,BK$1),#N/A)</f>
        <v>#N/A</v>
      </c>
      <c r="BL12" s="42" t="e">
        <f>IF(BL$1,SUMIFS('IncStmt Data'!$H$2:$H$2051,'IncStmt Data'!$G$2:$G$2051,$A12,'IncStmt Data'!$A$2:$A$2051,BL$1),#N/A)</f>
        <v>#N/A</v>
      </c>
      <c r="BM12" s="42" t="e">
        <f>IF(BM$1,SUMIFS('IncStmt Data'!$H$2:$H$2051,'IncStmt Data'!$G$2:$G$2051,$A12,'IncStmt Data'!$A$2:$A$2051,BM$1),#N/A)</f>
        <v>#N/A</v>
      </c>
      <c r="BN12" s="42" t="e">
        <f>IF(BN$1,SUMIFS('IncStmt Data'!$H$2:$H$2051,'IncStmt Data'!$G$2:$G$2051,$A12,'IncStmt Data'!$A$2:$A$2051,BN$1),#N/A)</f>
        <v>#N/A</v>
      </c>
      <c r="BO12" s="42" t="e">
        <f>IF(BO$1,SUMIFS('IncStmt Data'!$H$2:$H$2051,'IncStmt Data'!$G$2:$G$2051,$A12,'IncStmt Data'!$A$2:$A$2051,BO$1),#N/A)</f>
        <v>#N/A</v>
      </c>
      <c r="BP12" s="42" t="e">
        <f>IF(BP$1,SUMIFS('IncStmt Data'!$H$2:$H$2051,'IncStmt Data'!$G$2:$G$2051,$A12,'IncStmt Data'!$A$2:$A$2051,BP$1),#N/A)</f>
        <v>#N/A</v>
      </c>
      <c r="BQ12" s="42" t="e">
        <f>IF(BQ$1,SUMIFS('IncStmt Data'!$H$2:$H$2051,'IncStmt Data'!$G$2:$G$2051,$A12,'IncStmt Data'!$A$2:$A$2051,BQ$1),#N/A)</f>
        <v>#N/A</v>
      </c>
      <c r="BR12" s="42" t="e">
        <f>IF(BR$1,SUMIFS('IncStmt Data'!$H$2:$H$2051,'IncStmt Data'!$G$2:$G$2051,$A12,'IncStmt Data'!$A$2:$A$2051,BR$1),#N/A)</f>
        <v>#N/A</v>
      </c>
      <c r="BS12" s="42" t="e">
        <f>IF(BS$1,SUMIFS('IncStmt Data'!$H$2:$H$2051,'IncStmt Data'!$G$2:$G$2051,$A12,'IncStmt Data'!$A$2:$A$2051,BS$1),#N/A)</f>
        <v>#N/A</v>
      </c>
      <c r="BT12" s="42" t="e">
        <f>IF(BT$1,SUMIFS('IncStmt Data'!$H$2:$H$2051,'IncStmt Data'!$G$2:$G$2051,$A12,'IncStmt Data'!$A$2:$A$2051,BT$1),#N/A)</f>
        <v>#N/A</v>
      </c>
      <c r="BU12" s="42" t="e">
        <f>IF(BU$1,SUMIFS('IncStmt Data'!$H$2:$H$2051,'IncStmt Data'!$G$2:$G$2051,$A12,'IncStmt Data'!$A$2:$A$2051,BU$1),#N/A)</f>
        <v>#N/A</v>
      </c>
      <c r="BV12" s="42" t="e">
        <f>IF(BV$1,SUMIFS('IncStmt Data'!$H$2:$H$2051,'IncStmt Data'!$G$2:$G$2051,$A12,'IncStmt Data'!$A$2:$A$2051,BV$1),#N/A)</f>
        <v>#N/A</v>
      </c>
      <c r="BW12" s="42" t="e">
        <f>IF(BW$1,SUMIFS('IncStmt Data'!$H$2:$H$2051,'IncStmt Data'!$G$2:$G$2051,$A12,'IncStmt Data'!$A$2:$A$2051,BW$1),#N/A)</f>
        <v>#N/A</v>
      </c>
      <c r="BX12" s="42" t="e">
        <f>IF(BX$1,SUMIFS('IncStmt Data'!$H$2:$H$2051,'IncStmt Data'!$G$2:$G$2051,$A12,'IncStmt Data'!$A$2:$A$2051,BX$1),#N/A)</f>
        <v>#N/A</v>
      </c>
      <c r="BY12" s="42" t="e">
        <f>IF(BY$1,SUMIFS('IncStmt Data'!$H$2:$H$2051,'IncStmt Data'!$G$2:$G$2051,$A12,'IncStmt Data'!$A$2:$A$2051,BY$1),#N/A)</f>
        <v>#N/A</v>
      </c>
      <c r="BZ12" s="42" t="e">
        <f>IF(BZ$1,SUMIFS('IncStmt Data'!$H$2:$H$2051,'IncStmt Data'!$G$2:$G$2051,$A12,'IncStmt Data'!$A$2:$A$2051,BZ$1),#N/A)</f>
        <v>#N/A</v>
      </c>
      <c r="CA12" s="42" t="e">
        <f>IF(CA$1,SUMIFS('IncStmt Data'!$H$2:$H$2051,'IncStmt Data'!$G$2:$G$2051,$A12,'IncStmt Data'!$A$2:$A$2051,CA$1),#N/A)</f>
        <v>#N/A</v>
      </c>
      <c r="CB12" s="42" t="e">
        <f>IF(CB$1,SUMIFS('IncStmt Data'!$H$2:$H$2051,'IncStmt Data'!$G$2:$G$2051,$A12,'IncStmt Data'!$A$2:$A$2051,CB$1),#N/A)</f>
        <v>#N/A</v>
      </c>
      <c r="CC12" s="42" t="e">
        <f>IF(CC$1,SUMIFS('IncStmt Data'!$H$2:$H$2051,'IncStmt Data'!$G$2:$G$2051,$A12,'IncStmt Data'!$A$2:$A$2051,CC$1),#N/A)</f>
        <v>#N/A</v>
      </c>
      <c r="CD12" s="42" t="e">
        <f>IF(CD$1,SUMIFS('IncStmt Data'!$H$2:$H$2051,'IncStmt Data'!$G$2:$G$2051,$A12,'IncStmt Data'!$A$2:$A$2051,CD$1),#N/A)</f>
        <v>#N/A</v>
      </c>
      <c r="CE12" s="42" t="e">
        <f>IF(CE$1,SUMIFS('IncStmt Data'!$H$2:$H$2051,'IncStmt Data'!$G$2:$G$2051,$A12,'IncStmt Data'!$A$2:$A$2051,CE$1),#N/A)</f>
        <v>#N/A</v>
      </c>
      <c r="CF12" s="42" t="e">
        <f>IF(CF$1,SUMIFS('IncStmt Data'!$H$2:$H$2051,'IncStmt Data'!$G$2:$G$2051,$A12,'IncStmt Data'!$A$2:$A$2051,CF$1),#N/A)</f>
        <v>#N/A</v>
      </c>
      <c r="CG12" s="42" t="e">
        <f>IF(CG$1,SUMIFS('IncStmt Data'!$H$2:$H$2051,'IncStmt Data'!$G$2:$G$2051,$A12,'IncStmt Data'!$A$2:$A$2051,CG$1),#N/A)</f>
        <v>#N/A</v>
      </c>
      <c r="CH12" s="42" t="e">
        <f>IF(CH$1,SUMIFS('IncStmt Data'!$H$2:$H$2051,'IncStmt Data'!$G$2:$G$2051,$A12,'IncStmt Data'!$A$2:$A$2051,CH$1),#N/A)</f>
        <v>#N/A</v>
      </c>
      <c r="CI12" s="42" t="e">
        <f>IF(CI$1,SUMIFS('IncStmt Data'!$H$2:$H$2051,'IncStmt Data'!$G$2:$G$2051,$A12,'IncStmt Data'!$A$2:$A$2051,CI$1),#N/A)</f>
        <v>#N/A</v>
      </c>
      <c r="CJ12" s="42" t="e">
        <f>IF(CJ$1,SUMIFS('IncStmt Data'!$H$2:$H$2051,'IncStmt Data'!$G$2:$G$2051,$A12,'IncStmt Data'!$A$2:$A$2051,CJ$1),#N/A)</f>
        <v>#N/A</v>
      </c>
      <c r="CK12" s="42" t="e">
        <f>IF(CK$1,SUMIFS('IncStmt Data'!$H$2:$H$2051,'IncStmt Data'!$G$2:$G$2051,$A12,'IncStmt Data'!$A$2:$A$2051,CK$1),#N/A)</f>
        <v>#N/A</v>
      </c>
      <c r="CL12" s="42" t="e">
        <f>IF(CL$1,SUMIFS('IncStmt Data'!$H$2:$H$2051,'IncStmt Data'!$G$2:$G$2051,$A12,'IncStmt Data'!$A$2:$A$2051,CL$1),#N/A)</f>
        <v>#N/A</v>
      </c>
      <c r="CM12" s="42" t="e">
        <f>IF(CM$1,SUMIFS('IncStmt Data'!$H$2:$H$2051,'IncStmt Data'!$G$2:$G$2051,$A12,'IncStmt Data'!$A$2:$A$2051,CM$1),#N/A)</f>
        <v>#N/A</v>
      </c>
      <c r="CN12" s="42" t="e">
        <f>IF(CN$1,SUMIFS('IncStmt Data'!$H$2:$H$2051,'IncStmt Data'!$G$2:$G$2051,$A12,'IncStmt Data'!$A$2:$A$2051,CN$1),#N/A)</f>
        <v>#N/A</v>
      </c>
      <c r="CO12" s="42" t="e">
        <f>IF(CO$1,SUMIFS('IncStmt Data'!$H$2:$H$2051,'IncStmt Data'!$G$2:$G$2051,$A12,'IncStmt Data'!$A$2:$A$2051,CO$1),#N/A)</f>
        <v>#N/A</v>
      </c>
      <c r="CP12" s="42" t="e">
        <f>IF(CP$1,SUMIFS('IncStmt Data'!$H$2:$H$2051,'IncStmt Data'!$G$2:$G$2051,$A12,'IncStmt Data'!$A$2:$A$2051,CP$1),#N/A)</f>
        <v>#N/A</v>
      </c>
      <c r="CQ12" s="42" t="e">
        <f>IF(CQ$1,SUMIFS('IncStmt Data'!$H$2:$H$2051,'IncStmt Data'!$G$2:$G$2051,$A12,'IncStmt Data'!$A$2:$A$2051,CQ$1),#N/A)</f>
        <v>#N/A</v>
      </c>
      <c r="CR12" s="42" t="e">
        <f>IF(CR$1,SUMIFS('IncStmt Data'!$H$2:$H$2051,'IncStmt Data'!$G$2:$G$2051,$A12,'IncStmt Data'!$A$2:$A$2051,CR$1),#N/A)</f>
        <v>#N/A</v>
      </c>
      <c r="CS12" s="42" t="e">
        <f>IF(CS$1,SUMIFS('IncStmt Data'!$H$2:$H$2051,'IncStmt Data'!$G$2:$G$2051,$A12,'IncStmt Data'!$A$2:$A$2051,CS$1),#N/A)</f>
        <v>#N/A</v>
      </c>
      <c r="CT12" s="42" t="e">
        <f>IF(CT$1,SUMIFS('IncStmt Data'!$H$2:$H$2051,'IncStmt Data'!$G$2:$G$2051,$A12,'IncStmt Data'!$A$2:$A$2051,CT$1),#N/A)</f>
        <v>#N/A</v>
      </c>
      <c r="CU12" s="42" t="e">
        <f>IF(CU$1,SUMIFS('IncStmt Data'!$H$2:$H$2051,'IncStmt Data'!$G$2:$G$2051,$A12,'IncStmt Data'!$A$2:$A$2051,CU$1),#N/A)</f>
        <v>#N/A</v>
      </c>
      <c r="CV12" s="42" t="e">
        <f>IF(CV$1,SUMIFS('IncStmt Data'!$H$2:$H$2051,'IncStmt Data'!$G$2:$G$2051,$A12,'IncStmt Data'!$A$2:$A$2051,CV$1),#N/A)</f>
        <v>#N/A</v>
      </c>
      <c r="CW12" s="42" t="e">
        <f>IF(CW$1,SUMIFS('IncStmt Data'!$H$2:$H$2051,'IncStmt Data'!$G$2:$G$2051,$A12,'IncStmt Data'!$A$2:$A$2051,CW$1),#N/A)</f>
        <v>#N/A</v>
      </c>
      <c r="CX12" s="42" t="e">
        <f>IF(CX$1,SUMIFS('IncStmt Data'!$H$2:$H$2051,'IncStmt Data'!$G$2:$G$2051,$A12,'IncStmt Data'!$A$2:$A$2051,CX$1),#N/A)</f>
        <v>#N/A</v>
      </c>
      <c r="CY12" s="42" t="e">
        <f>IF(CY$1,SUMIFS('IncStmt Data'!$H$2:$H$2051,'IncStmt Data'!$G$2:$G$2051,$A12,'IncStmt Data'!$A$2:$A$2051,CY$1),#N/A)</f>
        <v>#N/A</v>
      </c>
      <c r="CZ12" s="42" t="e">
        <f>IF(CZ$1,SUMIFS('IncStmt Data'!$H$2:$H$2051,'IncStmt Data'!$G$2:$G$2051,$A12,'IncStmt Data'!$A$2:$A$2051,CZ$1),#N/A)</f>
        <v>#N/A</v>
      </c>
    </row>
    <row r="13" spans="1:104" s="42" customFormat="1" x14ac:dyDescent="0.2">
      <c r="A13" s="56" t="s">
        <v>47</v>
      </c>
      <c r="B13" s="42" t="e">
        <f>IF(B$1,SUMIFS('IncStmt Data'!$H$2:$H$2051,'IncStmt Data'!$G$2:$G$2051,$A13,'IncStmt Data'!$A$2:$A$2051,B$1),#N/A)</f>
        <v>#N/A</v>
      </c>
      <c r="C13" s="42" t="e">
        <f>IF(C$1,SUMIFS('IncStmt Data'!$H$2:$H$2051,'IncStmt Data'!$G$2:$G$2051,$A13,'IncStmt Data'!$A$2:$A$2051,C$1),#N/A)</f>
        <v>#N/A</v>
      </c>
      <c r="D13" s="42" t="e">
        <f>IF(D$1,SUMIFS('IncStmt Data'!$H$2:$H$2051,'IncStmt Data'!$G$2:$G$2051,$A13,'IncStmt Data'!$A$2:$A$2051,D$1),#N/A)</f>
        <v>#N/A</v>
      </c>
      <c r="E13" s="42" t="e">
        <f>IF(E$1,SUMIFS('IncStmt Data'!$H$2:$H$2051,'IncStmt Data'!$G$2:$G$2051,$A13,'IncStmt Data'!$A$2:$A$2051,E$1),#N/A)</f>
        <v>#N/A</v>
      </c>
      <c r="F13" s="42" t="e">
        <f>IF(F$1,SUMIFS('IncStmt Data'!$H$2:$H$2051,'IncStmt Data'!$G$2:$G$2051,$A13,'IncStmt Data'!$A$2:$A$2051,F$1),#N/A)</f>
        <v>#N/A</v>
      </c>
      <c r="G13" s="42" t="e">
        <f>IF(G$1,SUMIFS('IncStmt Data'!$H$2:$H$2051,'IncStmt Data'!$G$2:$G$2051,$A13,'IncStmt Data'!$A$2:$A$2051,G$1),#N/A)</f>
        <v>#N/A</v>
      </c>
      <c r="H13" s="42" t="e">
        <f>IF(H$1,SUMIFS('IncStmt Data'!$H$2:$H$2051,'IncStmt Data'!$G$2:$G$2051,$A13,'IncStmt Data'!$A$2:$A$2051,H$1),#N/A)</f>
        <v>#N/A</v>
      </c>
      <c r="I13" s="42" t="e">
        <f>IF(I$1,SUMIFS('IncStmt Data'!$H$2:$H$2051,'IncStmt Data'!$G$2:$G$2051,$A13,'IncStmt Data'!$A$2:$A$2051,I$1),#N/A)</f>
        <v>#N/A</v>
      </c>
      <c r="J13" s="42" t="e">
        <f>IF(J$1,SUMIFS('IncStmt Data'!$H$2:$H$2051,'IncStmt Data'!$G$2:$G$2051,$A13,'IncStmt Data'!$A$2:$A$2051,J$1),#N/A)</f>
        <v>#N/A</v>
      </c>
      <c r="K13" s="42" t="e">
        <f>IF(K$1,SUMIFS('IncStmt Data'!$H$2:$H$2051,'IncStmt Data'!$G$2:$G$2051,$A13,'IncStmt Data'!$A$2:$A$2051,K$1),#N/A)</f>
        <v>#N/A</v>
      </c>
      <c r="L13" s="42" t="e">
        <f>IF(L$1,SUMIFS('IncStmt Data'!$H$2:$H$2051,'IncStmt Data'!$G$2:$G$2051,$A13,'IncStmt Data'!$A$2:$A$2051,L$1),#N/A)</f>
        <v>#N/A</v>
      </c>
      <c r="M13" s="42" t="e">
        <f>IF(M$1,SUMIFS('IncStmt Data'!$H$2:$H$2051,'IncStmt Data'!$G$2:$G$2051,$A13,'IncStmt Data'!$A$2:$A$2051,M$1),#N/A)</f>
        <v>#N/A</v>
      </c>
      <c r="N13" s="42" t="e">
        <f>IF(N$1,SUMIFS('IncStmt Data'!$H$2:$H$2051,'IncStmt Data'!$G$2:$G$2051,$A13,'IncStmt Data'!$A$2:$A$2051,N$1),#N/A)</f>
        <v>#N/A</v>
      </c>
      <c r="O13" s="42" t="e">
        <f>IF(O$1,SUMIFS('IncStmt Data'!$H$2:$H$2051,'IncStmt Data'!$G$2:$G$2051,$A13,'IncStmt Data'!$A$2:$A$2051,O$1),#N/A)</f>
        <v>#N/A</v>
      </c>
      <c r="P13" s="42" t="e">
        <f>IF(P$1,SUMIFS('IncStmt Data'!$H$2:$H$2051,'IncStmt Data'!$G$2:$G$2051,$A13,'IncStmt Data'!$A$2:$A$2051,P$1),#N/A)</f>
        <v>#N/A</v>
      </c>
      <c r="Q13" s="42" t="e">
        <f>IF(Q$1,SUMIFS('IncStmt Data'!$H$2:$H$2051,'IncStmt Data'!$G$2:$G$2051,$A13,'IncStmt Data'!$A$2:$A$2051,Q$1),#N/A)</f>
        <v>#N/A</v>
      </c>
      <c r="R13" s="42" t="e">
        <f>IF(R$1,SUMIFS('IncStmt Data'!$H$2:$H$2051,'IncStmt Data'!$G$2:$G$2051,$A13,'IncStmt Data'!$A$2:$A$2051,R$1),#N/A)</f>
        <v>#N/A</v>
      </c>
      <c r="S13" s="42" t="e">
        <f>IF(S$1,SUMIFS('IncStmt Data'!$H$2:$H$2051,'IncStmt Data'!$G$2:$G$2051,$A13,'IncStmt Data'!$A$2:$A$2051,S$1),#N/A)</f>
        <v>#N/A</v>
      </c>
      <c r="T13" s="42" t="e">
        <f>IF(T$1,SUMIFS('IncStmt Data'!$H$2:$H$2051,'IncStmt Data'!$G$2:$G$2051,$A13,'IncStmt Data'!$A$2:$A$2051,T$1),#N/A)</f>
        <v>#N/A</v>
      </c>
      <c r="U13" s="42" t="e">
        <f>IF(U$1,SUMIFS('IncStmt Data'!$H$2:$H$2051,'IncStmt Data'!$G$2:$G$2051,$A13,'IncStmt Data'!$A$2:$A$2051,U$1),#N/A)</f>
        <v>#N/A</v>
      </c>
      <c r="V13" s="42" t="e">
        <f>IF(V$1,SUMIFS('IncStmt Data'!$H$2:$H$2051,'IncStmt Data'!$G$2:$G$2051,$A13,'IncStmt Data'!$A$2:$A$2051,V$1),#N/A)</f>
        <v>#N/A</v>
      </c>
      <c r="W13" s="42" t="e">
        <f>IF(W$1,SUMIFS('IncStmt Data'!$H$2:$H$2051,'IncStmt Data'!$G$2:$G$2051,$A13,'IncStmt Data'!$A$2:$A$2051,W$1),#N/A)</f>
        <v>#N/A</v>
      </c>
      <c r="X13" s="42" t="e">
        <f>IF(X$1,SUMIFS('IncStmt Data'!$H$2:$H$2051,'IncStmt Data'!$G$2:$G$2051,$A13,'IncStmt Data'!$A$2:$A$2051,X$1),#N/A)</f>
        <v>#N/A</v>
      </c>
      <c r="Y13" s="42" t="e">
        <f>IF(Y$1,SUMIFS('IncStmt Data'!$H$2:$H$2051,'IncStmt Data'!$G$2:$G$2051,$A13,'IncStmt Data'!$A$2:$A$2051,Y$1),#N/A)</f>
        <v>#N/A</v>
      </c>
      <c r="Z13" s="42" t="e">
        <f>IF(Z$1,SUMIFS('IncStmt Data'!$H$2:$H$2051,'IncStmt Data'!$G$2:$G$2051,$A13,'IncStmt Data'!$A$2:$A$2051,Z$1),#N/A)</f>
        <v>#N/A</v>
      </c>
      <c r="AA13" s="42" t="e">
        <f>IF(AA$1,SUMIFS('IncStmt Data'!$H$2:$H$2051,'IncStmt Data'!$G$2:$G$2051,$A13,'IncStmt Data'!$A$2:$A$2051,AA$1),#N/A)</f>
        <v>#N/A</v>
      </c>
      <c r="AB13" s="42" t="e">
        <f>IF(AB$1,SUMIFS('IncStmt Data'!$H$2:$H$2051,'IncStmt Data'!$G$2:$G$2051,$A13,'IncStmt Data'!$A$2:$A$2051,AB$1),#N/A)</f>
        <v>#N/A</v>
      </c>
      <c r="AC13" s="42" t="e">
        <f>IF(AC$1,SUMIFS('IncStmt Data'!$H$2:$H$2051,'IncStmt Data'!$G$2:$G$2051,$A13,'IncStmt Data'!$A$2:$A$2051,AC$1),#N/A)</f>
        <v>#N/A</v>
      </c>
      <c r="AD13" s="42" t="e">
        <f>IF(AD$1,SUMIFS('IncStmt Data'!$H$2:$H$2051,'IncStmt Data'!$G$2:$G$2051,$A13,'IncStmt Data'!$A$2:$A$2051,AD$1),#N/A)</f>
        <v>#N/A</v>
      </c>
      <c r="AE13" s="42" t="e">
        <f>IF(AE$1,SUMIFS('IncStmt Data'!$H$2:$H$2051,'IncStmt Data'!$G$2:$G$2051,$A13,'IncStmt Data'!$A$2:$A$2051,AE$1),#N/A)</f>
        <v>#N/A</v>
      </c>
      <c r="AF13" s="42" t="e">
        <f>IF(AF$1,SUMIFS('IncStmt Data'!$H$2:$H$2051,'IncStmt Data'!$G$2:$G$2051,$A13,'IncStmt Data'!$A$2:$A$2051,AF$1),#N/A)</f>
        <v>#N/A</v>
      </c>
      <c r="AG13" s="42" t="e">
        <f>IF(AG$1,SUMIFS('IncStmt Data'!$H$2:$H$2051,'IncStmt Data'!$G$2:$G$2051,$A13,'IncStmt Data'!$A$2:$A$2051,AG$1),#N/A)</f>
        <v>#N/A</v>
      </c>
      <c r="AH13" s="42" t="e">
        <f>IF(AH$1,SUMIFS('IncStmt Data'!$H$2:$H$2051,'IncStmt Data'!$G$2:$G$2051,$A13,'IncStmt Data'!$A$2:$A$2051,AH$1),#N/A)</f>
        <v>#N/A</v>
      </c>
      <c r="AI13" s="42" t="e">
        <f>IF(AI$1,SUMIFS('IncStmt Data'!$H$2:$H$2051,'IncStmt Data'!$G$2:$G$2051,$A13,'IncStmt Data'!$A$2:$A$2051,AI$1),#N/A)</f>
        <v>#N/A</v>
      </c>
      <c r="AJ13" s="42" t="e">
        <f>IF(AJ$1,SUMIFS('IncStmt Data'!$H$2:$H$2051,'IncStmt Data'!$G$2:$G$2051,$A13,'IncStmt Data'!$A$2:$A$2051,AJ$1),#N/A)</f>
        <v>#N/A</v>
      </c>
      <c r="AK13" s="42" t="e">
        <f>IF(AK$1,SUMIFS('IncStmt Data'!$H$2:$H$2051,'IncStmt Data'!$G$2:$G$2051,$A13,'IncStmt Data'!$A$2:$A$2051,AK$1),#N/A)</f>
        <v>#N/A</v>
      </c>
      <c r="AL13" s="42" t="e">
        <f>IF(AL$1,SUMIFS('IncStmt Data'!$H$2:$H$2051,'IncStmt Data'!$G$2:$G$2051,$A13,'IncStmt Data'!$A$2:$A$2051,AL$1),#N/A)</f>
        <v>#N/A</v>
      </c>
      <c r="AM13" s="42" t="e">
        <f>IF(AM$1,SUMIFS('IncStmt Data'!$H$2:$H$2051,'IncStmt Data'!$G$2:$G$2051,$A13,'IncStmt Data'!$A$2:$A$2051,AM$1),#N/A)</f>
        <v>#N/A</v>
      </c>
      <c r="AN13" s="42" t="e">
        <f>IF(AN$1,SUMIFS('IncStmt Data'!$H$2:$H$2051,'IncStmt Data'!$G$2:$G$2051,$A13,'IncStmt Data'!$A$2:$A$2051,AN$1),#N/A)</f>
        <v>#N/A</v>
      </c>
      <c r="AO13" s="42" t="e">
        <f>IF(AO$1,SUMIFS('IncStmt Data'!$H$2:$H$2051,'IncStmt Data'!$G$2:$G$2051,$A13,'IncStmt Data'!$A$2:$A$2051,AO$1),#N/A)</f>
        <v>#N/A</v>
      </c>
      <c r="AP13" s="42" t="e">
        <f>IF(AP$1,SUMIFS('IncStmt Data'!$H$2:$H$2051,'IncStmt Data'!$G$2:$G$2051,$A13,'IncStmt Data'!$A$2:$A$2051,AP$1),#N/A)</f>
        <v>#N/A</v>
      </c>
      <c r="AQ13" s="42" t="e">
        <f>IF(AQ$1,SUMIFS('IncStmt Data'!$H$2:$H$2051,'IncStmt Data'!$G$2:$G$2051,$A13,'IncStmt Data'!$A$2:$A$2051,AQ$1),#N/A)</f>
        <v>#N/A</v>
      </c>
      <c r="AR13" s="42" t="e">
        <f>IF(AR$1,SUMIFS('IncStmt Data'!$H$2:$H$2051,'IncStmt Data'!$G$2:$G$2051,$A13,'IncStmt Data'!$A$2:$A$2051,AR$1),#N/A)</f>
        <v>#N/A</v>
      </c>
      <c r="AS13" s="42" t="e">
        <f>IF(AS$1,SUMIFS('IncStmt Data'!$H$2:$H$2051,'IncStmt Data'!$G$2:$G$2051,$A13,'IncStmt Data'!$A$2:$A$2051,AS$1),#N/A)</f>
        <v>#N/A</v>
      </c>
      <c r="AT13" s="42" t="e">
        <f>IF(AT$1,SUMIFS('IncStmt Data'!$H$2:$H$2051,'IncStmt Data'!$G$2:$G$2051,$A13,'IncStmt Data'!$A$2:$A$2051,AT$1),#N/A)</f>
        <v>#N/A</v>
      </c>
      <c r="AU13" s="42" t="e">
        <f>IF(AU$1,SUMIFS('IncStmt Data'!$H$2:$H$2051,'IncStmt Data'!$G$2:$G$2051,$A13,'IncStmt Data'!$A$2:$A$2051,AU$1),#N/A)</f>
        <v>#N/A</v>
      </c>
      <c r="AV13" s="42" t="e">
        <f>IF(AV$1,SUMIFS('IncStmt Data'!$H$2:$H$2051,'IncStmt Data'!$G$2:$G$2051,$A13,'IncStmt Data'!$A$2:$A$2051,AV$1),#N/A)</f>
        <v>#N/A</v>
      </c>
      <c r="AW13" s="42" t="e">
        <f>IF(AW$1,SUMIFS('IncStmt Data'!$H$2:$H$2051,'IncStmt Data'!$G$2:$G$2051,$A13,'IncStmt Data'!$A$2:$A$2051,AW$1),#N/A)</f>
        <v>#N/A</v>
      </c>
      <c r="AX13" s="42" t="e">
        <f>IF(AX$1,SUMIFS('IncStmt Data'!$H$2:$H$2051,'IncStmt Data'!$G$2:$G$2051,$A13,'IncStmt Data'!$A$2:$A$2051,AX$1),#N/A)</f>
        <v>#N/A</v>
      </c>
      <c r="AY13" s="42" t="e">
        <f>IF(AY$1,SUMIFS('IncStmt Data'!$H$2:$H$2051,'IncStmt Data'!$G$2:$G$2051,$A13,'IncStmt Data'!$A$2:$A$2051,AY$1),#N/A)</f>
        <v>#N/A</v>
      </c>
      <c r="AZ13" s="42" t="e">
        <f>IF(AZ$1,SUMIFS('IncStmt Data'!$H$2:$H$2051,'IncStmt Data'!$G$2:$G$2051,$A13,'IncStmt Data'!$A$2:$A$2051,AZ$1),#N/A)</f>
        <v>#N/A</v>
      </c>
      <c r="BA13" s="42" t="e">
        <f>IF(BA$1,SUMIFS('IncStmt Data'!$H$2:$H$2051,'IncStmt Data'!$G$2:$G$2051,$A13,'IncStmt Data'!$A$2:$A$2051,BA$1),#N/A)</f>
        <v>#N/A</v>
      </c>
      <c r="BB13" s="42" t="e">
        <f>IF(BB$1,SUMIFS('IncStmt Data'!$H$2:$H$2051,'IncStmt Data'!$G$2:$G$2051,$A13,'IncStmt Data'!$A$2:$A$2051,BB$1),#N/A)</f>
        <v>#N/A</v>
      </c>
      <c r="BC13" s="42" t="e">
        <f>IF(BC$1,SUMIFS('IncStmt Data'!$H$2:$H$2051,'IncStmt Data'!$G$2:$G$2051,$A13,'IncStmt Data'!$A$2:$A$2051,BC$1),#N/A)</f>
        <v>#N/A</v>
      </c>
      <c r="BD13" s="42" t="e">
        <f>IF(BD$1,SUMIFS('IncStmt Data'!$H$2:$H$2051,'IncStmt Data'!$G$2:$G$2051,$A13,'IncStmt Data'!$A$2:$A$2051,BD$1),#N/A)</f>
        <v>#N/A</v>
      </c>
      <c r="BE13" s="42" t="e">
        <f>IF(BE$1,SUMIFS('IncStmt Data'!$H$2:$H$2051,'IncStmt Data'!$G$2:$G$2051,$A13,'IncStmt Data'!$A$2:$A$2051,BE$1),#N/A)</f>
        <v>#N/A</v>
      </c>
      <c r="BF13" s="42" t="e">
        <f>IF(BF$1,SUMIFS('IncStmt Data'!$H$2:$H$2051,'IncStmt Data'!$G$2:$G$2051,$A13,'IncStmt Data'!$A$2:$A$2051,BF$1),#N/A)</f>
        <v>#N/A</v>
      </c>
      <c r="BG13" s="42" t="e">
        <f>IF(BG$1,SUMIFS('IncStmt Data'!$H$2:$H$2051,'IncStmt Data'!$G$2:$G$2051,$A13,'IncStmt Data'!$A$2:$A$2051,BG$1),#N/A)</f>
        <v>#N/A</v>
      </c>
      <c r="BH13" s="42" t="e">
        <f>IF(BH$1,SUMIFS('IncStmt Data'!$H$2:$H$2051,'IncStmt Data'!$G$2:$G$2051,$A13,'IncStmt Data'!$A$2:$A$2051,BH$1),#N/A)</f>
        <v>#N/A</v>
      </c>
      <c r="BI13" s="42" t="e">
        <f>IF(BI$1,SUMIFS('IncStmt Data'!$H$2:$H$2051,'IncStmt Data'!$G$2:$G$2051,$A13,'IncStmt Data'!$A$2:$A$2051,BI$1),#N/A)</f>
        <v>#N/A</v>
      </c>
      <c r="BJ13" s="42" t="e">
        <f>IF(BJ$1,SUMIFS('IncStmt Data'!$H$2:$H$2051,'IncStmt Data'!$G$2:$G$2051,$A13,'IncStmt Data'!$A$2:$A$2051,BJ$1),#N/A)</f>
        <v>#N/A</v>
      </c>
      <c r="BK13" s="42" t="e">
        <f>IF(BK$1,SUMIFS('IncStmt Data'!$H$2:$H$2051,'IncStmt Data'!$G$2:$G$2051,$A13,'IncStmt Data'!$A$2:$A$2051,BK$1),#N/A)</f>
        <v>#N/A</v>
      </c>
      <c r="BL13" s="42" t="e">
        <f>IF(BL$1,SUMIFS('IncStmt Data'!$H$2:$H$2051,'IncStmt Data'!$G$2:$G$2051,$A13,'IncStmt Data'!$A$2:$A$2051,BL$1),#N/A)</f>
        <v>#N/A</v>
      </c>
      <c r="BM13" s="42" t="e">
        <f>IF(BM$1,SUMIFS('IncStmt Data'!$H$2:$H$2051,'IncStmt Data'!$G$2:$G$2051,$A13,'IncStmt Data'!$A$2:$A$2051,BM$1),#N/A)</f>
        <v>#N/A</v>
      </c>
      <c r="BN13" s="42" t="e">
        <f>IF(BN$1,SUMIFS('IncStmt Data'!$H$2:$H$2051,'IncStmt Data'!$G$2:$G$2051,$A13,'IncStmt Data'!$A$2:$A$2051,BN$1),#N/A)</f>
        <v>#N/A</v>
      </c>
      <c r="BO13" s="42" t="e">
        <f>IF(BO$1,SUMIFS('IncStmt Data'!$H$2:$H$2051,'IncStmt Data'!$G$2:$G$2051,$A13,'IncStmt Data'!$A$2:$A$2051,BO$1),#N/A)</f>
        <v>#N/A</v>
      </c>
      <c r="BP13" s="42" t="e">
        <f>IF(BP$1,SUMIFS('IncStmt Data'!$H$2:$H$2051,'IncStmt Data'!$G$2:$G$2051,$A13,'IncStmt Data'!$A$2:$A$2051,BP$1),#N/A)</f>
        <v>#N/A</v>
      </c>
      <c r="BQ13" s="42" t="e">
        <f>IF(BQ$1,SUMIFS('IncStmt Data'!$H$2:$H$2051,'IncStmt Data'!$G$2:$G$2051,$A13,'IncStmt Data'!$A$2:$A$2051,BQ$1),#N/A)</f>
        <v>#N/A</v>
      </c>
      <c r="BR13" s="42" t="e">
        <f>IF(BR$1,SUMIFS('IncStmt Data'!$H$2:$H$2051,'IncStmt Data'!$G$2:$G$2051,$A13,'IncStmt Data'!$A$2:$A$2051,BR$1),#N/A)</f>
        <v>#N/A</v>
      </c>
      <c r="BS13" s="42" t="e">
        <f>IF(BS$1,SUMIFS('IncStmt Data'!$H$2:$H$2051,'IncStmt Data'!$G$2:$G$2051,$A13,'IncStmt Data'!$A$2:$A$2051,BS$1),#N/A)</f>
        <v>#N/A</v>
      </c>
      <c r="BT13" s="42" t="e">
        <f>IF(BT$1,SUMIFS('IncStmt Data'!$H$2:$H$2051,'IncStmt Data'!$G$2:$G$2051,$A13,'IncStmt Data'!$A$2:$A$2051,BT$1),#N/A)</f>
        <v>#N/A</v>
      </c>
      <c r="BU13" s="42" t="e">
        <f>IF(BU$1,SUMIFS('IncStmt Data'!$H$2:$H$2051,'IncStmt Data'!$G$2:$G$2051,$A13,'IncStmt Data'!$A$2:$A$2051,BU$1),#N/A)</f>
        <v>#N/A</v>
      </c>
      <c r="BV13" s="42" t="e">
        <f>IF(BV$1,SUMIFS('IncStmt Data'!$H$2:$H$2051,'IncStmt Data'!$G$2:$G$2051,$A13,'IncStmt Data'!$A$2:$A$2051,BV$1),#N/A)</f>
        <v>#N/A</v>
      </c>
      <c r="BW13" s="42" t="e">
        <f>IF(BW$1,SUMIFS('IncStmt Data'!$H$2:$H$2051,'IncStmt Data'!$G$2:$G$2051,$A13,'IncStmt Data'!$A$2:$A$2051,BW$1),#N/A)</f>
        <v>#N/A</v>
      </c>
      <c r="BX13" s="42" t="e">
        <f>IF(BX$1,SUMIFS('IncStmt Data'!$H$2:$H$2051,'IncStmt Data'!$G$2:$G$2051,$A13,'IncStmt Data'!$A$2:$A$2051,BX$1),#N/A)</f>
        <v>#N/A</v>
      </c>
      <c r="BY13" s="42" t="e">
        <f>IF(BY$1,SUMIFS('IncStmt Data'!$H$2:$H$2051,'IncStmt Data'!$G$2:$G$2051,$A13,'IncStmt Data'!$A$2:$A$2051,BY$1),#N/A)</f>
        <v>#N/A</v>
      </c>
      <c r="BZ13" s="42" t="e">
        <f>IF(BZ$1,SUMIFS('IncStmt Data'!$H$2:$H$2051,'IncStmt Data'!$G$2:$G$2051,$A13,'IncStmt Data'!$A$2:$A$2051,BZ$1),#N/A)</f>
        <v>#N/A</v>
      </c>
      <c r="CA13" s="42" t="e">
        <f>IF(CA$1,SUMIFS('IncStmt Data'!$H$2:$H$2051,'IncStmt Data'!$G$2:$G$2051,$A13,'IncStmt Data'!$A$2:$A$2051,CA$1),#N/A)</f>
        <v>#N/A</v>
      </c>
      <c r="CB13" s="42" t="e">
        <f>IF(CB$1,SUMIFS('IncStmt Data'!$H$2:$H$2051,'IncStmt Data'!$G$2:$G$2051,$A13,'IncStmt Data'!$A$2:$A$2051,CB$1),#N/A)</f>
        <v>#N/A</v>
      </c>
      <c r="CC13" s="42" t="e">
        <f>IF(CC$1,SUMIFS('IncStmt Data'!$H$2:$H$2051,'IncStmt Data'!$G$2:$G$2051,$A13,'IncStmt Data'!$A$2:$A$2051,CC$1),#N/A)</f>
        <v>#N/A</v>
      </c>
      <c r="CD13" s="42" t="e">
        <f>IF(CD$1,SUMIFS('IncStmt Data'!$H$2:$H$2051,'IncStmt Data'!$G$2:$G$2051,$A13,'IncStmt Data'!$A$2:$A$2051,CD$1),#N/A)</f>
        <v>#N/A</v>
      </c>
      <c r="CE13" s="42" t="e">
        <f>IF(CE$1,SUMIFS('IncStmt Data'!$H$2:$H$2051,'IncStmt Data'!$G$2:$G$2051,$A13,'IncStmt Data'!$A$2:$A$2051,CE$1),#N/A)</f>
        <v>#N/A</v>
      </c>
      <c r="CF13" s="42" t="e">
        <f>IF(CF$1,SUMIFS('IncStmt Data'!$H$2:$H$2051,'IncStmt Data'!$G$2:$G$2051,$A13,'IncStmt Data'!$A$2:$A$2051,CF$1),#N/A)</f>
        <v>#N/A</v>
      </c>
      <c r="CG13" s="42" t="e">
        <f>IF(CG$1,SUMIFS('IncStmt Data'!$H$2:$H$2051,'IncStmt Data'!$G$2:$G$2051,$A13,'IncStmt Data'!$A$2:$A$2051,CG$1),#N/A)</f>
        <v>#N/A</v>
      </c>
      <c r="CH13" s="42" t="e">
        <f>IF(CH$1,SUMIFS('IncStmt Data'!$H$2:$H$2051,'IncStmt Data'!$G$2:$G$2051,$A13,'IncStmt Data'!$A$2:$A$2051,CH$1),#N/A)</f>
        <v>#N/A</v>
      </c>
      <c r="CI13" s="42" t="e">
        <f>IF(CI$1,SUMIFS('IncStmt Data'!$H$2:$H$2051,'IncStmt Data'!$G$2:$G$2051,$A13,'IncStmt Data'!$A$2:$A$2051,CI$1),#N/A)</f>
        <v>#N/A</v>
      </c>
      <c r="CJ13" s="42" t="e">
        <f>IF(CJ$1,SUMIFS('IncStmt Data'!$H$2:$H$2051,'IncStmt Data'!$G$2:$G$2051,$A13,'IncStmt Data'!$A$2:$A$2051,CJ$1),#N/A)</f>
        <v>#N/A</v>
      </c>
      <c r="CK13" s="42" t="e">
        <f>IF(CK$1,SUMIFS('IncStmt Data'!$H$2:$H$2051,'IncStmt Data'!$G$2:$G$2051,$A13,'IncStmt Data'!$A$2:$A$2051,CK$1),#N/A)</f>
        <v>#N/A</v>
      </c>
      <c r="CL13" s="42" t="e">
        <f>IF(CL$1,SUMIFS('IncStmt Data'!$H$2:$H$2051,'IncStmt Data'!$G$2:$G$2051,$A13,'IncStmt Data'!$A$2:$A$2051,CL$1),#N/A)</f>
        <v>#N/A</v>
      </c>
      <c r="CM13" s="42" t="e">
        <f>IF(CM$1,SUMIFS('IncStmt Data'!$H$2:$H$2051,'IncStmt Data'!$G$2:$G$2051,$A13,'IncStmt Data'!$A$2:$A$2051,CM$1),#N/A)</f>
        <v>#N/A</v>
      </c>
      <c r="CN13" s="42" t="e">
        <f>IF(CN$1,SUMIFS('IncStmt Data'!$H$2:$H$2051,'IncStmt Data'!$G$2:$G$2051,$A13,'IncStmt Data'!$A$2:$A$2051,CN$1),#N/A)</f>
        <v>#N/A</v>
      </c>
      <c r="CO13" s="42" t="e">
        <f>IF(CO$1,SUMIFS('IncStmt Data'!$H$2:$H$2051,'IncStmt Data'!$G$2:$G$2051,$A13,'IncStmt Data'!$A$2:$A$2051,CO$1),#N/A)</f>
        <v>#N/A</v>
      </c>
      <c r="CP13" s="42" t="e">
        <f>IF(CP$1,SUMIFS('IncStmt Data'!$H$2:$H$2051,'IncStmt Data'!$G$2:$G$2051,$A13,'IncStmt Data'!$A$2:$A$2051,CP$1),#N/A)</f>
        <v>#N/A</v>
      </c>
      <c r="CQ13" s="42" t="e">
        <f>IF(CQ$1,SUMIFS('IncStmt Data'!$H$2:$H$2051,'IncStmt Data'!$G$2:$G$2051,$A13,'IncStmt Data'!$A$2:$A$2051,CQ$1),#N/A)</f>
        <v>#N/A</v>
      </c>
      <c r="CR13" s="42" t="e">
        <f>IF(CR$1,SUMIFS('IncStmt Data'!$H$2:$H$2051,'IncStmt Data'!$G$2:$G$2051,$A13,'IncStmt Data'!$A$2:$A$2051,CR$1),#N/A)</f>
        <v>#N/A</v>
      </c>
      <c r="CS13" s="42" t="e">
        <f>IF(CS$1,SUMIFS('IncStmt Data'!$H$2:$H$2051,'IncStmt Data'!$G$2:$G$2051,$A13,'IncStmt Data'!$A$2:$A$2051,CS$1),#N/A)</f>
        <v>#N/A</v>
      </c>
      <c r="CT13" s="42" t="e">
        <f>IF(CT$1,SUMIFS('IncStmt Data'!$H$2:$H$2051,'IncStmt Data'!$G$2:$G$2051,$A13,'IncStmt Data'!$A$2:$A$2051,CT$1),#N/A)</f>
        <v>#N/A</v>
      </c>
      <c r="CU13" s="42" t="e">
        <f>IF(CU$1,SUMIFS('IncStmt Data'!$H$2:$H$2051,'IncStmt Data'!$G$2:$G$2051,$A13,'IncStmt Data'!$A$2:$A$2051,CU$1),#N/A)</f>
        <v>#N/A</v>
      </c>
      <c r="CV13" s="42" t="e">
        <f>IF(CV$1,SUMIFS('IncStmt Data'!$H$2:$H$2051,'IncStmt Data'!$G$2:$G$2051,$A13,'IncStmt Data'!$A$2:$A$2051,CV$1),#N/A)</f>
        <v>#N/A</v>
      </c>
      <c r="CW13" s="42" t="e">
        <f>IF(CW$1,SUMIFS('IncStmt Data'!$H$2:$H$2051,'IncStmt Data'!$G$2:$G$2051,$A13,'IncStmt Data'!$A$2:$A$2051,CW$1),#N/A)</f>
        <v>#N/A</v>
      </c>
      <c r="CX13" s="42" t="e">
        <f>IF(CX$1,SUMIFS('IncStmt Data'!$H$2:$H$2051,'IncStmt Data'!$G$2:$G$2051,$A13,'IncStmt Data'!$A$2:$A$2051,CX$1),#N/A)</f>
        <v>#N/A</v>
      </c>
      <c r="CY13" s="42" t="e">
        <f>IF(CY$1,SUMIFS('IncStmt Data'!$H$2:$H$2051,'IncStmt Data'!$G$2:$G$2051,$A13,'IncStmt Data'!$A$2:$A$2051,CY$1),#N/A)</f>
        <v>#N/A</v>
      </c>
      <c r="CZ13" s="42" t="e">
        <f>IF(CZ$1,SUMIFS('IncStmt Data'!$H$2:$H$2051,'IncStmt Data'!$G$2:$G$2051,$A13,'IncStmt Data'!$A$2:$A$2051,CZ$1),#N/A)</f>
        <v>#N/A</v>
      </c>
    </row>
    <row r="14" spans="1:104" s="42" customFormat="1" x14ac:dyDescent="0.2">
      <c r="A14" s="56" t="s">
        <v>45</v>
      </c>
      <c r="B14" s="42" t="e">
        <f>IF(B$1,SUMIFS('IncStmt Data'!$H$2:$H$2051,'IncStmt Data'!$G$2:$G$2051,$A14,'IncStmt Data'!$A$2:$A$2051,B$1),#N/A)</f>
        <v>#N/A</v>
      </c>
      <c r="C14" s="42" t="e">
        <f>IF(C$1,SUMIFS('IncStmt Data'!$H$2:$H$2051,'IncStmt Data'!$G$2:$G$2051,$A14,'IncStmt Data'!$A$2:$A$2051,C$1),#N/A)</f>
        <v>#N/A</v>
      </c>
      <c r="D14" s="42" t="e">
        <f>IF(D$1,SUMIFS('IncStmt Data'!$H$2:$H$2051,'IncStmt Data'!$G$2:$G$2051,$A14,'IncStmt Data'!$A$2:$A$2051,D$1),#N/A)</f>
        <v>#N/A</v>
      </c>
      <c r="E14" s="42" t="e">
        <f>IF(E$1,SUMIFS('IncStmt Data'!$H$2:$H$2051,'IncStmt Data'!$G$2:$G$2051,$A14,'IncStmt Data'!$A$2:$A$2051,E$1),#N/A)</f>
        <v>#N/A</v>
      </c>
      <c r="F14" s="42" t="e">
        <f>IF(F$1,SUMIFS('IncStmt Data'!$H$2:$H$2051,'IncStmt Data'!$G$2:$G$2051,$A14,'IncStmt Data'!$A$2:$A$2051,F$1),#N/A)</f>
        <v>#N/A</v>
      </c>
      <c r="G14" s="42" t="e">
        <f>IF(G$1,SUMIFS('IncStmt Data'!$H$2:$H$2051,'IncStmt Data'!$G$2:$G$2051,$A14,'IncStmt Data'!$A$2:$A$2051,G$1),#N/A)</f>
        <v>#N/A</v>
      </c>
      <c r="H14" s="42" t="e">
        <f>IF(H$1,SUMIFS('IncStmt Data'!$H$2:$H$2051,'IncStmt Data'!$G$2:$G$2051,$A14,'IncStmt Data'!$A$2:$A$2051,H$1),#N/A)</f>
        <v>#N/A</v>
      </c>
      <c r="I14" s="42" t="e">
        <f>IF(I$1,SUMIFS('IncStmt Data'!$H$2:$H$2051,'IncStmt Data'!$G$2:$G$2051,$A14,'IncStmt Data'!$A$2:$A$2051,I$1),#N/A)</f>
        <v>#N/A</v>
      </c>
      <c r="J14" s="42" t="e">
        <f>IF(J$1,SUMIFS('IncStmt Data'!$H$2:$H$2051,'IncStmt Data'!$G$2:$G$2051,$A14,'IncStmt Data'!$A$2:$A$2051,J$1),#N/A)</f>
        <v>#N/A</v>
      </c>
      <c r="K14" s="42" t="e">
        <f>IF(K$1,SUMIFS('IncStmt Data'!$H$2:$H$2051,'IncStmt Data'!$G$2:$G$2051,$A14,'IncStmt Data'!$A$2:$A$2051,K$1),#N/A)</f>
        <v>#N/A</v>
      </c>
      <c r="L14" s="42" t="e">
        <f>IF(L$1,SUMIFS('IncStmt Data'!$H$2:$H$2051,'IncStmt Data'!$G$2:$G$2051,$A14,'IncStmt Data'!$A$2:$A$2051,L$1),#N/A)</f>
        <v>#N/A</v>
      </c>
      <c r="M14" s="42" t="e">
        <f>IF(M$1,SUMIFS('IncStmt Data'!$H$2:$H$2051,'IncStmt Data'!$G$2:$G$2051,$A14,'IncStmt Data'!$A$2:$A$2051,M$1),#N/A)</f>
        <v>#N/A</v>
      </c>
      <c r="N14" s="42" t="e">
        <f>IF(N$1,SUMIFS('IncStmt Data'!$H$2:$H$2051,'IncStmt Data'!$G$2:$G$2051,$A14,'IncStmt Data'!$A$2:$A$2051,N$1),#N/A)</f>
        <v>#N/A</v>
      </c>
      <c r="O14" s="42" t="e">
        <f>IF(O$1,SUMIFS('IncStmt Data'!$H$2:$H$2051,'IncStmt Data'!$G$2:$G$2051,$A14,'IncStmt Data'!$A$2:$A$2051,O$1),#N/A)</f>
        <v>#N/A</v>
      </c>
      <c r="P14" s="42" t="e">
        <f>IF(P$1,SUMIFS('IncStmt Data'!$H$2:$H$2051,'IncStmt Data'!$G$2:$G$2051,$A14,'IncStmt Data'!$A$2:$A$2051,P$1),#N/A)</f>
        <v>#N/A</v>
      </c>
      <c r="Q14" s="42" t="e">
        <f>IF(Q$1,SUMIFS('IncStmt Data'!$H$2:$H$2051,'IncStmt Data'!$G$2:$G$2051,$A14,'IncStmt Data'!$A$2:$A$2051,Q$1),#N/A)</f>
        <v>#N/A</v>
      </c>
      <c r="R14" s="42" t="e">
        <f>IF(R$1,SUMIFS('IncStmt Data'!$H$2:$H$2051,'IncStmt Data'!$G$2:$G$2051,$A14,'IncStmt Data'!$A$2:$A$2051,R$1),#N/A)</f>
        <v>#N/A</v>
      </c>
      <c r="S14" s="42" t="e">
        <f>IF(S$1,SUMIFS('IncStmt Data'!$H$2:$H$2051,'IncStmt Data'!$G$2:$G$2051,$A14,'IncStmt Data'!$A$2:$A$2051,S$1),#N/A)</f>
        <v>#N/A</v>
      </c>
      <c r="T14" s="42" t="e">
        <f>IF(T$1,SUMIFS('IncStmt Data'!$H$2:$H$2051,'IncStmt Data'!$G$2:$G$2051,$A14,'IncStmt Data'!$A$2:$A$2051,T$1),#N/A)</f>
        <v>#N/A</v>
      </c>
      <c r="U14" s="42" t="e">
        <f>IF(U$1,SUMIFS('IncStmt Data'!$H$2:$H$2051,'IncStmt Data'!$G$2:$G$2051,$A14,'IncStmt Data'!$A$2:$A$2051,U$1),#N/A)</f>
        <v>#N/A</v>
      </c>
      <c r="V14" s="42" t="e">
        <f>IF(V$1,SUMIFS('IncStmt Data'!$H$2:$H$2051,'IncStmt Data'!$G$2:$G$2051,$A14,'IncStmt Data'!$A$2:$A$2051,V$1),#N/A)</f>
        <v>#N/A</v>
      </c>
      <c r="W14" s="42" t="e">
        <f>IF(W$1,SUMIFS('IncStmt Data'!$H$2:$H$2051,'IncStmt Data'!$G$2:$G$2051,$A14,'IncStmt Data'!$A$2:$A$2051,W$1),#N/A)</f>
        <v>#N/A</v>
      </c>
      <c r="X14" s="42" t="e">
        <f>IF(X$1,SUMIFS('IncStmt Data'!$H$2:$H$2051,'IncStmt Data'!$G$2:$G$2051,$A14,'IncStmt Data'!$A$2:$A$2051,X$1),#N/A)</f>
        <v>#N/A</v>
      </c>
      <c r="Y14" s="42" t="e">
        <f>IF(Y$1,SUMIFS('IncStmt Data'!$H$2:$H$2051,'IncStmt Data'!$G$2:$G$2051,$A14,'IncStmt Data'!$A$2:$A$2051,Y$1),#N/A)</f>
        <v>#N/A</v>
      </c>
      <c r="Z14" s="42" t="e">
        <f>IF(Z$1,SUMIFS('IncStmt Data'!$H$2:$H$2051,'IncStmt Data'!$G$2:$G$2051,$A14,'IncStmt Data'!$A$2:$A$2051,Z$1),#N/A)</f>
        <v>#N/A</v>
      </c>
      <c r="AA14" s="42" t="e">
        <f>IF(AA$1,SUMIFS('IncStmt Data'!$H$2:$H$2051,'IncStmt Data'!$G$2:$G$2051,$A14,'IncStmt Data'!$A$2:$A$2051,AA$1),#N/A)</f>
        <v>#N/A</v>
      </c>
      <c r="AB14" s="42" t="e">
        <f>IF(AB$1,SUMIFS('IncStmt Data'!$H$2:$H$2051,'IncStmt Data'!$G$2:$G$2051,$A14,'IncStmt Data'!$A$2:$A$2051,AB$1),#N/A)</f>
        <v>#N/A</v>
      </c>
      <c r="AC14" s="42" t="e">
        <f>IF(AC$1,SUMIFS('IncStmt Data'!$H$2:$H$2051,'IncStmt Data'!$G$2:$G$2051,$A14,'IncStmt Data'!$A$2:$A$2051,AC$1),#N/A)</f>
        <v>#N/A</v>
      </c>
      <c r="AD14" s="42" t="e">
        <f>IF(AD$1,SUMIFS('IncStmt Data'!$H$2:$H$2051,'IncStmt Data'!$G$2:$G$2051,$A14,'IncStmt Data'!$A$2:$A$2051,AD$1),#N/A)</f>
        <v>#N/A</v>
      </c>
      <c r="AE14" s="42" t="e">
        <f>IF(AE$1,SUMIFS('IncStmt Data'!$H$2:$H$2051,'IncStmt Data'!$G$2:$G$2051,$A14,'IncStmt Data'!$A$2:$A$2051,AE$1),#N/A)</f>
        <v>#N/A</v>
      </c>
      <c r="AF14" s="42" t="e">
        <f>IF(AF$1,SUMIFS('IncStmt Data'!$H$2:$H$2051,'IncStmt Data'!$G$2:$G$2051,$A14,'IncStmt Data'!$A$2:$A$2051,AF$1),#N/A)</f>
        <v>#N/A</v>
      </c>
      <c r="AG14" s="42" t="e">
        <f>IF(AG$1,SUMIFS('IncStmt Data'!$H$2:$H$2051,'IncStmt Data'!$G$2:$G$2051,$A14,'IncStmt Data'!$A$2:$A$2051,AG$1),#N/A)</f>
        <v>#N/A</v>
      </c>
      <c r="AH14" s="42" t="e">
        <f>IF(AH$1,SUMIFS('IncStmt Data'!$H$2:$H$2051,'IncStmt Data'!$G$2:$G$2051,$A14,'IncStmt Data'!$A$2:$A$2051,AH$1),#N/A)</f>
        <v>#N/A</v>
      </c>
      <c r="AI14" s="42" t="e">
        <f>IF(AI$1,SUMIFS('IncStmt Data'!$H$2:$H$2051,'IncStmt Data'!$G$2:$G$2051,$A14,'IncStmt Data'!$A$2:$A$2051,AI$1),#N/A)</f>
        <v>#N/A</v>
      </c>
      <c r="AJ14" s="42" t="e">
        <f>IF(AJ$1,SUMIFS('IncStmt Data'!$H$2:$H$2051,'IncStmt Data'!$G$2:$G$2051,$A14,'IncStmt Data'!$A$2:$A$2051,AJ$1),#N/A)</f>
        <v>#N/A</v>
      </c>
      <c r="AK14" s="42" t="e">
        <f>IF(AK$1,SUMIFS('IncStmt Data'!$H$2:$H$2051,'IncStmt Data'!$G$2:$G$2051,$A14,'IncStmt Data'!$A$2:$A$2051,AK$1),#N/A)</f>
        <v>#N/A</v>
      </c>
      <c r="AL14" s="42" t="e">
        <f>IF(AL$1,SUMIFS('IncStmt Data'!$H$2:$H$2051,'IncStmt Data'!$G$2:$G$2051,$A14,'IncStmt Data'!$A$2:$A$2051,AL$1),#N/A)</f>
        <v>#N/A</v>
      </c>
      <c r="AM14" s="42" t="e">
        <f>IF(AM$1,SUMIFS('IncStmt Data'!$H$2:$H$2051,'IncStmt Data'!$G$2:$G$2051,$A14,'IncStmt Data'!$A$2:$A$2051,AM$1),#N/A)</f>
        <v>#N/A</v>
      </c>
      <c r="AN14" s="42" t="e">
        <f>IF(AN$1,SUMIFS('IncStmt Data'!$H$2:$H$2051,'IncStmt Data'!$G$2:$G$2051,$A14,'IncStmt Data'!$A$2:$A$2051,AN$1),#N/A)</f>
        <v>#N/A</v>
      </c>
      <c r="AO14" s="42" t="e">
        <f>IF(AO$1,SUMIFS('IncStmt Data'!$H$2:$H$2051,'IncStmt Data'!$G$2:$G$2051,$A14,'IncStmt Data'!$A$2:$A$2051,AO$1),#N/A)</f>
        <v>#N/A</v>
      </c>
      <c r="AP14" s="42" t="e">
        <f>IF(AP$1,SUMIFS('IncStmt Data'!$H$2:$H$2051,'IncStmt Data'!$G$2:$G$2051,$A14,'IncStmt Data'!$A$2:$A$2051,AP$1),#N/A)</f>
        <v>#N/A</v>
      </c>
      <c r="AQ14" s="42" t="e">
        <f>IF(AQ$1,SUMIFS('IncStmt Data'!$H$2:$H$2051,'IncStmt Data'!$G$2:$G$2051,$A14,'IncStmt Data'!$A$2:$A$2051,AQ$1),#N/A)</f>
        <v>#N/A</v>
      </c>
      <c r="AR14" s="42" t="e">
        <f>IF(AR$1,SUMIFS('IncStmt Data'!$H$2:$H$2051,'IncStmt Data'!$G$2:$G$2051,$A14,'IncStmt Data'!$A$2:$A$2051,AR$1),#N/A)</f>
        <v>#N/A</v>
      </c>
      <c r="AS14" s="42" t="e">
        <f>IF(AS$1,SUMIFS('IncStmt Data'!$H$2:$H$2051,'IncStmt Data'!$G$2:$G$2051,$A14,'IncStmt Data'!$A$2:$A$2051,AS$1),#N/A)</f>
        <v>#N/A</v>
      </c>
      <c r="AT14" s="42" t="e">
        <f>IF(AT$1,SUMIFS('IncStmt Data'!$H$2:$H$2051,'IncStmt Data'!$G$2:$G$2051,$A14,'IncStmt Data'!$A$2:$A$2051,AT$1),#N/A)</f>
        <v>#N/A</v>
      </c>
      <c r="AU14" s="42" t="e">
        <f>IF(AU$1,SUMIFS('IncStmt Data'!$H$2:$H$2051,'IncStmt Data'!$G$2:$G$2051,$A14,'IncStmt Data'!$A$2:$A$2051,AU$1),#N/A)</f>
        <v>#N/A</v>
      </c>
      <c r="AV14" s="42" t="e">
        <f>IF(AV$1,SUMIFS('IncStmt Data'!$H$2:$H$2051,'IncStmt Data'!$G$2:$G$2051,$A14,'IncStmt Data'!$A$2:$A$2051,AV$1),#N/A)</f>
        <v>#N/A</v>
      </c>
      <c r="AW14" s="42" t="e">
        <f>IF(AW$1,SUMIFS('IncStmt Data'!$H$2:$H$2051,'IncStmt Data'!$G$2:$G$2051,$A14,'IncStmt Data'!$A$2:$A$2051,AW$1),#N/A)</f>
        <v>#N/A</v>
      </c>
      <c r="AX14" s="42" t="e">
        <f>IF(AX$1,SUMIFS('IncStmt Data'!$H$2:$H$2051,'IncStmt Data'!$G$2:$G$2051,$A14,'IncStmt Data'!$A$2:$A$2051,AX$1),#N/A)</f>
        <v>#N/A</v>
      </c>
      <c r="AY14" s="42" t="e">
        <f>IF(AY$1,SUMIFS('IncStmt Data'!$H$2:$H$2051,'IncStmt Data'!$G$2:$G$2051,$A14,'IncStmt Data'!$A$2:$A$2051,AY$1),#N/A)</f>
        <v>#N/A</v>
      </c>
      <c r="AZ14" s="42" t="e">
        <f>IF(AZ$1,SUMIFS('IncStmt Data'!$H$2:$H$2051,'IncStmt Data'!$G$2:$G$2051,$A14,'IncStmt Data'!$A$2:$A$2051,AZ$1),#N/A)</f>
        <v>#N/A</v>
      </c>
      <c r="BA14" s="42" t="e">
        <f>IF(BA$1,SUMIFS('IncStmt Data'!$H$2:$H$2051,'IncStmt Data'!$G$2:$G$2051,$A14,'IncStmt Data'!$A$2:$A$2051,BA$1),#N/A)</f>
        <v>#N/A</v>
      </c>
      <c r="BB14" s="42" t="e">
        <f>IF(BB$1,SUMIFS('IncStmt Data'!$H$2:$H$2051,'IncStmt Data'!$G$2:$G$2051,$A14,'IncStmt Data'!$A$2:$A$2051,BB$1),#N/A)</f>
        <v>#N/A</v>
      </c>
      <c r="BC14" s="42" t="e">
        <f>IF(BC$1,SUMIFS('IncStmt Data'!$H$2:$H$2051,'IncStmt Data'!$G$2:$G$2051,$A14,'IncStmt Data'!$A$2:$A$2051,BC$1),#N/A)</f>
        <v>#N/A</v>
      </c>
      <c r="BD14" s="42" t="e">
        <f>IF(BD$1,SUMIFS('IncStmt Data'!$H$2:$H$2051,'IncStmt Data'!$G$2:$G$2051,$A14,'IncStmt Data'!$A$2:$A$2051,BD$1),#N/A)</f>
        <v>#N/A</v>
      </c>
      <c r="BE14" s="42" t="e">
        <f>IF(BE$1,SUMIFS('IncStmt Data'!$H$2:$H$2051,'IncStmt Data'!$G$2:$G$2051,$A14,'IncStmt Data'!$A$2:$A$2051,BE$1),#N/A)</f>
        <v>#N/A</v>
      </c>
      <c r="BF14" s="42" t="e">
        <f>IF(BF$1,SUMIFS('IncStmt Data'!$H$2:$H$2051,'IncStmt Data'!$G$2:$G$2051,$A14,'IncStmt Data'!$A$2:$A$2051,BF$1),#N/A)</f>
        <v>#N/A</v>
      </c>
      <c r="BG14" s="42" t="e">
        <f>IF(BG$1,SUMIFS('IncStmt Data'!$H$2:$H$2051,'IncStmt Data'!$G$2:$G$2051,$A14,'IncStmt Data'!$A$2:$A$2051,BG$1),#N/A)</f>
        <v>#N/A</v>
      </c>
      <c r="BH14" s="42" t="e">
        <f>IF(BH$1,SUMIFS('IncStmt Data'!$H$2:$H$2051,'IncStmt Data'!$G$2:$G$2051,$A14,'IncStmt Data'!$A$2:$A$2051,BH$1),#N/A)</f>
        <v>#N/A</v>
      </c>
      <c r="BI14" s="42" t="e">
        <f>IF(BI$1,SUMIFS('IncStmt Data'!$H$2:$H$2051,'IncStmt Data'!$G$2:$G$2051,$A14,'IncStmt Data'!$A$2:$A$2051,BI$1),#N/A)</f>
        <v>#N/A</v>
      </c>
      <c r="BJ14" s="42" t="e">
        <f>IF(BJ$1,SUMIFS('IncStmt Data'!$H$2:$H$2051,'IncStmt Data'!$G$2:$G$2051,$A14,'IncStmt Data'!$A$2:$A$2051,BJ$1),#N/A)</f>
        <v>#N/A</v>
      </c>
      <c r="BK14" s="42" t="e">
        <f>IF(BK$1,SUMIFS('IncStmt Data'!$H$2:$H$2051,'IncStmt Data'!$G$2:$G$2051,$A14,'IncStmt Data'!$A$2:$A$2051,BK$1),#N/A)</f>
        <v>#N/A</v>
      </c>
      <c r="BL14" s="42" t="e">
        <f>IF(BL$1,SUMIFS('IncStmt Data'!$H$2:$H$2051,'IncStmt Data'!$G$2:$G$2051,$A14,'IncStmt Data'!$A$2:$A$2051,BL$1),#N/A)</f>
        <v>#N/A</v>
      </c>
      <c r="BM14" s="42" t="e">
        <f>IF(BM$1,SUMIFS('IncStmt Data'!$H$2:$H$2051,'IncStmt Data'!$G$2:$G$2051,$A14,'IncStmt Data'!$A$2:$A$2051,BM$1),#N/A)</f>
        <v>#N/A</v>
      </c>
      <c r="BN14" s="42" t="e">
        <f>IF(BN$1,SUMIFS('IncStmt Data'!$H$2:$H$2051,'IncStmt Data'!$G$2:$G$2051,$A14,'IncStmt Data'!$A$2:$A$2051,BN$1),#N/A)</f>
        <v>#N/A</v>
      </c>
      <c r="BO14" s="42" t="e">
        <f>IF(BO$1,SUMIFS('IncStmt Data'!$H$2:$H$2051,'IncStmt Data'!$G$2:$G$2051,$A14,'IncStmt Data'!$A$2:$A$2051,BO$1),#N/A)</f>
        <v>#N/A</v>
      </c>
      <c r="BP14" s="42" t="e">
        <f>IF(BP$1,SUMIFS('IncStmt Data'!$H$2:$H$2051,'IncStmt Data'!$G$2:$G$2051,$A14,'IncStmt Data'!$A$2:$A$2051,BP$1),#N/A)</f>
        <v>#N/A</v>
      </c>
      <c r="BQ14" s="42" t="e">
        <f>IF(BQ$1,SUMIFS('IncStmt Data'!$H$2:$H$2051,'IncStmt Data'!$G$2:$G$2051,$A14,'IncStmt Data'!$A$2:$A$2051,BQ$1),#N/A)</f>
        <v>#N/A</v>
      </c>
      <c r="BR14" s="42" t="e">
        <f>IF(BR$1,SUMIFS('IncStmt Data'!$H$2:$H$2051,'IncStmt Data'!$G$2:$G$2051,$A14,'IncStmt Data'!$A$2:$A$2051,BR$1),#N/A)</f>
        <v>#N/A</v>
      </c>
      <c r="BS14" s="42" t="e">
        <f>IF(BS$1,SUMIFS('IncStmt Data'!$H$2:$H$2051,'IncStmt Data'!$G$2:$G$2051,$A14,'IncStmt Data'!$A$2:$A$2051,BS$1),#N/A)</f>
        <v>#N/A</v>
      </c>
      <c r="BT14" s="42" t="e">
        <f>IF(BT$1,SUMIFS('IncStmt Data'!$H$2:$H$2051,'IncStmt Data'!$G$2:$G$2051,$A14,'IncStmt Data'!$A$2:$A$2051,BT$1),#N/A)</f>
        <v>#N/A</v>
      </c>
      <c r="BU14" s="42" t="e">
        <f>IF(BU$1,SUMIFS('IncStmt Data'!$H$2:$H$2051,'IncStmt Data'!$G$2:$G$2051,$A14,'IncStmt Data'!$A$2:$A$2051,BU$1),#N/A)</f>
        <v>#N/A</v>
      </c>
      <c r="BV14" s="42" t="e">
        <f>IF(BV$1,SUMIFS('IncStmt Data'!$H$2:$H$2051,'IncStmt Data'!$G$2:$G$2051,$A14,'IncStmt Data'!$A$2:$A$2051,BV$1),#N/A)</f>
        <v>#N/A</v>
      </c>
      <c r="BW14" s="42" t="e">
        <f>IF(BW$1,SUMIFS('IncStmt Data'!$H$2:$H$2051,'IncStmt Data'!$G$2:$G$2051,$A14,'IncStmt Data'!$A$2:$A$2051,BW$1),#N/A)</f>
        <v>#N/A</v>
      </c>
      <c r="BX14" s="42" t="e">
        <f>IF(BX$1,SUMIFS('IncStmt Data'!$H$2:$H$2051,'IncStmt Data'!$G$2:$G$2051,$A14,'IncStmt Data'!$A$2:$A$2051,BX$1),#N/A)</f>
        <v>#N/A</v>
      </c>
      <c r="BY14" s="42" t="e">
        <f>IF(BY$1,SUMIFS('IncStmt Data'!$H$2:$H$2051,'IncStmt Data'!$G$2:$G$2051,$A14,'IncStmt Data'!$A$2:$A$2051,BY$1),#N/A)</f>
        <v>#N/A</v>
      </c>
      <c r="BZ14" s="42" t="e">
        <f>IF(BZ$1,SUMIFS('IncStmt Data'!$H$2:$H$2051,'IncStmt Data'!$G$2:$G$2051,$A14,'IncStmt Data'!$A$2:$A$2051,BZ$1),#N/A)</f>
        <v>#N/A</v>
      </c>
      <c r="CA14" s="42" t="e">
        <f>IF(CA$1,SUMIFS('IncStmt Data'!$H$2:$H$2051,'IncStmt Data'!$G$2:$G$2051,$A14,'IncStmt Data'!$A$2:$A$2051,CA$1),#N/A)</f>
        <v>#N/A</v>
      </c>
      <c r="CB14" s="42" t="e">
        <f>IF(CB$1,SUMIFS('IncStmt Data'!$H$2:$H$2051,'IncStmt Data'!$G$2:$G$2051,$A14,'IncStmt Data'!$A$2:$A$2051,CB$1),#N/A)</f>
        <v>#N/A</v>
      </c>
      <c r="CC14" s="42" t="e">
        <f>IF(CC$1,SUMIFS('IncStmt Data'!$H$2:$H$2051,'IncStmt Data'!$G$2:$G$2051,$A14,'IncStmt Data'!$A$2:$A$2051,CC$1),#N/A)</f>
        <v>#N/A</v>
      </c>
      <c r="CD14" s="42" t="e">
        <f>IF(CD$1,SUMIFS('IncStmt Data'!$H$2:$H$2051,'IncStmt Data'!$G$2:$G$2051,$A14,'IncStmt Data'!$A$2:$A$2051,CD$1),#N/A)</f>
        <v>#N/A</v>
      </c>
      <c r="CE14" s="42" t="e">
        <f>IF(CE$1,SUMIFS('IncStmt Data'!$H$2:$H$2051,'IncStmt Data'!$G$2:$G$2051,$A14,'IncStmt Data'!$A$2:$A$2051,CE$1),#N/A)</f>
        <v>#N/A</v>
      </c>
      <c r="CF14" s="42" t="e">
        <f>IF(CF$1,SUMIFS('IncStmt Data'!$H$2:$H$2051,'IncStmt Data'!$G$2:$G$2051,$A14,'IncStmt Data'!$A$2:$A$2051,CF$1),#N/A)</f>
        <v>#N/A</v>
      </c>
      <c r="CG14" s="42" t="e">
        <f>IF(CG$1,SUMIFS('IncStmt Data'!$H$2:$H$2051,'IncStmt Data'!$G$2:$G$2051,$A14,'IncStmt Data'!$A$2:$A$2051,CG$1),#N/A)</f>
        <v>#N/A</v>
      </c>
      <c r="CH14" s="42" t="e">
        <f>IF(CH$1,SUMIFS('IncStmt Data'!$H$2:$H$2051,'IncStmt Data'!$G$2:$G$2051,$A14,'IncStmt Data'!$A$2:$A$2051,CH$1),#N/A)</f>
        <v>#N/A</v>
      </c>
      <c r="CI14" s="42" t="e">
        <f>IF(CI$1,SUMIFS('IncStmt Data'!$H$2:$H$2051,'IncStmt Data'!$G$2:$G$2051,$A14,'IncStmt Data'!$A$2:$A$2051,CI$1),#N/A)</f>
        <v>#N/A</v>
      </c>
      <c r="CJ14" s="42" t="e">
        <f>IF(CJ$1,SUMIFS('IncStmt Data'!$H$2:$H$2051,'IncStmt Data'!$G$2:$G$2051,$A14,'IncStmt Data'!$A$2:$A$2051,CJ$1),#N/A)</f>
        <v>#N/A</v>
      </c>
      <c r="CK14" s="42" t="e">
        <f>IF(CK$1,SUMIFS('IncStmt Data'!$H$2:$H$2051,'IncStmt Data'!$G$2:$G$2051,$A14,'IncStmt Data'!$A$2:$A$2051,CK$1),#N/A)</f>
        <v>#N/A</v>
      </c>
      <c r="CL14" s="42" t="e">
        <f>IF(CL$1,SUMIFS('IncStmt Data'!$H$2:$H$2051,'IncStmt Data'!$G$2:$G$2051,$A14,'IncStmt Data'!$A$2:$A$2051,CL$1),#N/A)</f>
        <v>#N/A</v>
      </c>
      <c r="CM14" s="42" t="e">
        <f>IF(CM$1,SUMIFS('IncStmt Data'!$H$2:$H$2051,'IncStmt Data'!$G$2:$G$2051,$A14,'IncStmt Data'!$A$2:$A$2051,CM$1),#N/A)</f>
        <v>#N/A</v>
      </c>
      <c r="CN14" s="42" t="e">
        <f>IF(CN$1,SUMIFS('IncStmt Data'!$H$2:$H$2051,'IncStmt Data'!$G$2:$G$2051,$A14,'IncStmt Data'!$A$2:$A$2051,CN$1),#N/A)</f>
        <v>#N/A</v>
      </c>
      <c r="CO14" s="42" t="e">
        <f>IF(CO$1,SUMIFS('IncStmt Data'!$H$2:$H$2051,'IncStmt Data'!$G$2:$G$2051,$A14,'IncStmt Data'!$A$2:$A$2051,CO$1),#N/A)</f>
        <v>#N/A</v>
      </c>
      <c r="CP14" s="42" t="e">
        <f>IF(CP$1,SUMIFS('IncStmt Data'!$H$2:$H$2051,'IncStmt Data'!$G$2:$G$2051,$A14,'IncStmt Data'!$A$2:$A$2051,CP$1),#N/A)</f>
        <v>#N/A</v>
      </c>
      <c r="CQ14" s="42" t="e">
        <f>IF(CQ$1,SUMIFS('IncStmt Data'!$H$2:$H$2051,'IncStmt Data'!$G$2:$G$2051,$A14,'IncStmt Data'!$A$2:$A$2051,CQ$1),#N/A)</f>
        <v>#N/A</v>
      </c>
      <c r="CR14" s="42" t="e">
        <f>IF(CR$1,SUMIFS('IncStmt Data'!$H$2:$H$2051,'IncStmt Data'!$G$2:$G$2051,$A14,'IncStmt Data'!$A$2:$A$2051,CR$1),#N/A)</f>
        <v>#N/A</v>
      </c>
      <c r="CS14" s="42" t="e">
        <f>IF(CS$1,SUMIFS('IncStmt Data'!$H$2:$H$2051,'IncStmt Data'!$G$2:$G$2051,$A14,'IncStmt Data'!$A$2:$A$2051,CS$1),#N/A)</f>
        <v>#N/A</v>
      </c>
      <c r="CT14" s="42" t="e">
        <f>IF(CT$1,SUMIFS('IncStmt Data'!$H$2:$H$2051,'IncStmt Data'!$G$2:$G$2051,$A14,'IncStmt Data'!$A$2:$A$2051,CT$1),#N/A)</f>
        <v>#N/A</v>
      </c>
      <c r="CU14" s="42" t="e">
        <f>IF(CU$1,SUMIFS('IncStmt Data'!$H$2:$H$2051,'IncStmt Data'!$G$2:$G$2051,$A14,'IncStmt Data'!$A$2:$A$2051,CU$1),#N/A)</f>
        <v>#N/A</v>
      </c>
      <c r="CV14" s="42" t="e">
        <f>IF(CV$1,SUMIFS('IncStmt Data'!$H$2:$H$2051,'IncStmt Data'!$G$2:$G$2051,$A14,'IncStmt Data'!$A$2:$A$2051,CV$1),#N/A)</f>
        <v>#N/A</v>
      </c>
      <c r="CW14" s="42" t="e">
        <f>IF(CW$1,SUMIFS('IncStmt Data'!$H$2:$H$2051,'IncStmt Data'!$G$2:$G$2051,$A14,'IncStmt Data'!$A$2:$A$2051,CW$1),#N/A)</f>
        <v>#N/A</v>
      </c>
      <c r="CX14" s="42" t="e">
        <f>IF(CX$1,SUMIFS('IncStmt Data'!$H$2:$H$2051,'IncStmt Data'!$G$2:$G$2051,$A14,'IncStmt Data'!$A$2:$A$2051,CX$1),#N/A)</f>
        <v>#N/A</v>
      </c>
      <c r="CY14" s="42" t="e">
        <f>IF(CY$1,SUMIFS('IncStmt Data'!$H$2:$H$2051,'IncStmt Data'!$G$2:$G$2051,$A14,'IncStmt Data'!$A$2:$A$2051,CY$1),#N/A)</f>
        <v>#N/A</v>
      </c>
      <c r="CZ14" s="42" t="e">
        <f>IF(CZ$1,SUMIFS('IncStmt Data'!$H$2:$H$2051,'IncStmt Data'!$G$2:$G$2051,$A14,'IncStmt Data'!$A$2:$A$2051,CZ$1),#N/A)</f>
        <v>#N/A</v>
      </c>
    </row>
    <row r="15" spans="1:104" s="42" customFormat="1" x14ac:dyDescent="0.2">
      <c r="A15" s="56" t="s">
        <v>46</v>
      </c>
      <c r="B15" s="42" t="e">
        <f>IF(B$1,SUMIFS('IncStmt Data'!$H$2:$H$2051,'IncStmt Data'!$G$2:$G$2051,$A15,'IncStmt Data'!$A$2:$A$2051,B$1),#N/A)</f>
        <v>#N/A</v>
      </c>
      <c r="C15" s="42" t="e">
        <f>IF(C$1,SUMIFS('IncStmt Data'!$H$2:$H$2051,'IncStmt Data'!$G$2:$G$2051,$A15,'IncStmt Data'!$A$2:$A$2051,C$1),#N/A)</f>
        <v>#N/A</v>
      </c>
      <c r="D15" s="42" t="e">
        <f>IF(D$1,SUMIFS('IncStmt Data'!$H$2:$H$2051,'IncStmt Data'!$G$2:$G$2051,$A15,'IncStmt Data'!$A$2:$A$2051,D$1),#N/A)</f>
        <v>#N/A</v>
      </c>
      <c r="E15" s="42" t="e">
        <f>IF(E$1,SUMIFS('IncStmt Data'!$H$2:$H$2051,'IncStmt Data'!$G$2:$G$2051,$A15,'IncStmt Data'!$A$2:$A$2051,E$1),#N/A)</f>
        <v>#N/A</v>
      </c>
      <c r="F15" s="42" t="e">
        <f>IF(F$1,SUMIFS('IncStmt Data'!$H$2:$H$2051,'IncStmt Data'!$G$2:$G$2051,$A15,'IncStmt Data'!$A$2:$A$2051,F$1),#N/A)</f>
        <v>#N/A</v>
      </c>
      <c r="G15" s="42" t="e">
        <f>IF(G$1,SUMIFS('IncStmt Data'!$H$2:$H$2051,'IncStmt Data'!$G$2:$G$2051,$A15,'IncStmt Data'!$A$2:$A$2051,G$1),#N/A)</f>
        <v>#N/A</v>
      </c>
      <c r="H15" s="42" t="e">
        <f>IF(H$1,SUMIFS('IncStmt Data'!$H$2:$H$2051,'IncStmt Data'!$G$2:$G$2051,$A15,'IncStmt Data'!$A$2:$A$2051,H$1),#N/A)</f>
        <v>#N/A</v>
      </c>
      <c r="I15" s="42" t="e">
        <f>IF(I$1,SUMIFS('IncStmt Data'!$H$2:$H$2051,'IncStmt Data'!$G$2:$G$2051,$A15,'IncStmt Data'!$A$2:$A$2051,I$1),#N/A)</f>
        <v>#N/A</v>
      </c>
      <c r="J15" s="42" t="e">
        <f>IF(J$1,SUMIFS('IncStmt Data'!$H$2:$H$2051,'IncStmt Data'!$G$2:$G$2051,$A15,'IncStmt Data'!$A$2:$A$2051,J$1),#N/A)</f>
        <v>#N/A</v>
      </c>
      <c r="K15" s="42" t="e">
        <f>IF(K$1,SUMIFS('IncStmt Data'!$H$2:$H$2051,'IncStmt Data'!$G$2:$G$2051,$A15,'IncStmt Data'!$A$2:$A$2051,K$1),#N/A)</f>
        <v>#N/A</v>
      </c>
      <c r="L15" s="42" t="e">
        <f>IF(L$1,SUMIFS('IncStmt Data'!$H$2:$H$2051,'IncStmt Data'!$G$2:$G$2051,$A15,'IncStmt Data'!$A$2:$A$2051,L$1),#N/A)</f>
        <v>#N/A</v>
      </c>
      <c r="M15" s="42" t="e">
        <f>IF(M$1,SUMIFS('IncStmt Data'!$H$2:$H$2051,'IncStmt Data'!$G$2:$G$2051,$A15,'IncStmt Data'!$A$2:$A$2051,M$1),#N/A)</f>
        <v>#N/A</v>
      </c>
      <c r="N15" s="42" t="e">
        <f>IF(N$1,SUMIFS('IncStmt Data'!$H$2:$H$2051,'IncStmt Data'!$G$2:$G$2051,$A15,'IncStmt Data'!$A$2:$A$2051,N$1),#N/A)</f>
        <v>#N/A</v>
      </c>
      <c r="O15" s="42" t="e">
        <f>IF(O$1,SUMIFS('IncStmt Data'!$H$2:$H$2051,'IncStmt Data'!$G$2:$G$2051,$A15,'IncStmt Data'!$A$2:$A$2051,O$1),#N/A)</f>
        <v>#N/A</v>
      </c>
      <c r="P15" s="42" t="e">
        <f>IF(P$1,SUMIFS('IncStmt Data'!$H$2:$H$2051,'IncStmt Data'!$G$2:$G$2051,$A15,'IncStmt Data'!$A$2:$A$2051,P$1),#N/A)</f>
        <v>#N/A</v>
      </c>
      <c r="Q15" s="42" t="e">
        <f>IF(Q$1,SUMIFS('IncStmt Data'!$H$2:$H$2051,'IncStmt Data'!$G$2:$G$2051,$A15,'IncStmt Data'!$A$2:$A$2051,Q$1),#N/A)</f>
        <v>#N/A</v>
      </c>
      <c r="R15" s="42" t="e">
        <f>IF(R$1,SUMIFS('IncStmt Data'!$H$2:$H$2051,'IncStmt Data'!$G$2:$G$2051,$A15,'IncStmt Data'!$A$2:$A$2051,R$1),#N/A)</f>
        <v>#N/A</v>
      </c>
      <c r="S15" s="42" t="e">
        <f>IF(S$1,SUMIFS('IncStmt Data'!$H$2:$H$2051,'IncStmt Data'!$G$2:$G$2051,$A15,'IncStmt Data'!$A$2:$A$2051,S$1),#N/A)</f>
        <v>#N/A</v>
      </c>
      <c r="T15" s="42" t="e">
        <f>IF(T$1,SUMIFS('IncStmt Data'!$H$2:$H$2051,'IncStmt Data'!$G$2:$G$2051,$A15,'IncStmt Data'!$A$2:$A$2051,T$1),#N/A)</f>
        <v>#N/A</v>
      </c>
      <c r="U15" s="42" t="e">
        <f>IF(U$1,SUMIFS('IncStmt Data'!$H$2:$H$2051,'IncStmt Data'!$G$2:$G$2051,$A15,'IncStmt Data'!$A$2:$A$2051,U$1),#N/A)</f>
        <v>#N/A</v>
      </c>
      <c r="V15" s="42" t="e">
        <f>IF(V$1,SUMIFS('IncStmt Data'!$H$2:$H$2051,'IncStmt Data'!$G$2:$G$2051,$A15,'IncStmt Data'!$A$2:$A$2051,V$1),#N/A)</f>
        <v>#N/A</v>
      </c>
      <c r="W15" s="42" t="e">
        <f>IF(W$1,SUMIFS('IncStmt Data'!$H$2:$H$2051,'IncStmt Data'!$G$2:$G$2051,$A15,'IncStmt Data'!$A$2:$A$2051,W$1),#N/A)</f>
        <v>#N/A</v>
      </c>
      <c r="X15" s="42" t="e">
        <f>IF(X$1,SUMIFS('IncStmt Data'!$H$2:$H$2051,'IncStmt Data'!$G$2:$G$2051,$A15,'IncStmt Data'!$A$2:$A$2051,X$1),#N/A)</f>
        <v>#N/A</v>
      </c>
      <c r="Y15" s="42" t="e">
        <f>IF(Y$1,SUMIFS('IncStmt Data'!$H$2:$H$2051,'IncStmt Data'!$G$2:$G$2051,$A15,'IncStmt Data'!$A$2:$A$2051,Y$1),#N/A)</f>
        <v>#N/A</v>
      </c>
      <c r="Z15" s="42" t="e">
        <f>IF(Z$1,SUMIFS('IncStmt Data'!$H$2:$H$2051,'IncStmt Data'!$G$2:$G$2051,$A15,'IncStmt Data'!$A$2:$A$2051,Z$1),#N/A)</f>
        <v>#N/A</v>
      </c>
      <c r="AA15" s="42" t="e">
        <f>IF(AA$1,SUMIFS('IncStmt Data'!$H$2:$H$2051,'IncStmt Data'!$G$2:$G$2051,$A15,'IncStmt Data'!$A$2:$A$2051,AA$1),#N/A)</f>
        <v>#N/A</v>
      </c>
      <c r="AB15" s="42" t="e">
        <f>IF(AB$1,SUMIFS('IncStmt Data'!$H$2:$H$2051,'IncStmt Data'!$G$2:$G$2051,$A15,'IncStmt Data'!$A$2:$A$2051,AB$1),#N/A)</f>
        <v>#N/A</v>
      </c>
      <c r="AC15" s="42" t="e">
        <f>IF(AC$1,SUMIFS('IncStmt Data'!$H$2:$H$2051,'IncStmt Data'!$G$2:$G$2051,$A15,'IncStmt Data'!$A$2:$A$2051,AC$1),#N/A)</f>
        <v>#N/A</v>
      </c>
      <c r="AD15" s="42" t="e">
        <f>IF(AD$1,SUMIFS('IncStmt Data'!$H$2:$H$2051,'IncStmt Data'!$G$2:$G$2051,$A15,'IncStmt Data'!$A$2:$A$2051,AD$1),#N/A)</f>
        <v>#N/A</v>
      </c>
      <c r="AE15" s="42" t="e">
        <f>IF(AE$1,SUMIFS('IncStmt Data'!$H$2:$H$2051,'IncStmt Data'!$G$2:$G$2051,$A15,'IncStmt Data'!$A$2:$A$2051,AE$1),#N/A)</f>
        <v>#N/A</v>
      </c>
      <c r="AF15" s="42" t="e">
        <f>IF(AF$1,SUMIFS('IncStmt Data'!$H$2:$H$2051,'IncStmt Data'!$G$2:$G$2051,$A15,'IncStmt Data'!$A$2:$A$2051,AF$1),#N/A)</f>
        <v>#N/A</v>
      </c>
      <c r="AG15" s="42" t="e">
        <f>IF(AG$1,SUMIFS('IncStmt Data'!$H$2:$H$2051,'IncStmt Data'!$G$2:$G$2051,$A15,'IncStmt Data'!$A$2:$A$2051,AG$1),#N/A)</f>
        <v>#N/A</v>
      </c>
      <c r="AH15" s="42" t="e">
        <f>IF(AH$1,SUMIFS('IncStmt Data'!$H$2:$H$2051,'IncStmt Data'!$G$2:$G$2051,$A15,'IncStmt Data'!$A$2:$A$2051,AH$1),#N/A)</f>
        <v>#N/A</v>
      </c>
      <c r="AI15" s="42" t="e">
        <f>IF(AI$1,SUMIFS('IncStmt Data'!$H$2:$H$2051,'IncStmt Data'!$G$2:$G$2051,$A15,'IncStmt Data'!$A$2:$A$2051,AI$1),#N/A)</f>
        <v>#N/A</v>
      </c>
      <c r="AJ15" s="42" t="e">
        <f>IF(AJ$1,SUMIFS('IncStmt Data'!$H$2:$H$2051,'IncStmt Data'!$G$2:$G$2051,$A15,'IncStmt Data'!$A$2:$A$2051,AJ$1),#N/A)</f>
        <v>#N/A</v>
      </c>
      <c r="AK15" s="42" t="e">
        <f>IF(AK$1,SUMIFS('IncStmt Data'!$H$2:$H$2051,'IncStmt Data'!$G$2:$G$2051,$A15,'IncStmt Data'!$A$2:$A$2051,AK$1),#N/A)</f>
        <v>#N/A</v>
      </c>
      <c r="AL15" s="42" t="e">
        <f>IF(AL$1,SUMIFS('IncStmt Data'!$H$2:$H$2051,'IncStmt Data'!$G$2:$G$2051,$A15,'IncStmt Data'!$A$2:$A$2051,AL$1),#N/A)</f>
        <v>#N/A</v>
      </c>
      <c r="AM15" s="42" t="e">
        <f>IF(AM$1,SUMIFS('IncStmt Data'!$H$2:$H$2051,'IncStmt Data'!$G$2:$G$2051,$A15,'IncStmt Data'!$A$2:$A$2051,AM$1),#N/A)</f>
        <v>#N/A</v>
      </c>
      <c r="AN15" s="42" t="e">
        <f>IF(AN$1,SUMIFS('IncStmt Data'!$H$2:$H$2051,'IncStmt Data'!$G$2:$G$2051,$A15,'IncStmt Data'!$A$2:$A$2051,AN$1),#N/A)</f>
        <v>#N/A</v>
      </c>
      <c r="AO15" s="42" t="e">
        <f>IF(AO$1,SUMIFS('IncStmt Data'!$H$2:$H$2051,'IncStmt Data'!$G$2:$G$2051,$A15,'IncStmt Data'!$A$2:$A$2051,AO$1),#N/A)</f>
        <v>#N/A</v>
      </c>
      <c r="AP15" s="42" t="e">
        <f>IF(AP$1,SUMIFS('IncStmt Data'!$H$2:$H$2051,'IncStmt Data'!$G$2:$G$2051,$A15,'IncStmt Data'!$A$2:$A$2051,AP$1),#N/A)</f>
        <v>#N/A</v>
      </c>
      <c r="AQ15" s="42" t="e">
        <f>IF(AQ$1,SUMIFS('IncStmt Data'!$H$2:$H$2051,'IncStmt Data'!$G$2:$G$2051,$A15,'IncStmt Data'!$A$2:$A$2051,AQ$1),#N/A)</f>
        <v>#N/A</v>
      </c>
      <c r="AR15" s="42" t="e">
        <f>IF(AR$1,SUMIFS('IncStmt Data'!$H$2:$H$2051,'IncStmt Data'!$G$2:$G$2051,$A15,'IncStmt Data'!$A$2:$A$2051,AR$1),#N/A)</f>
        <v>#N/A</v>
      </c>
      <c r="AS15" s="42" t="e">
        <f>IF(AS$1,SUMIFS('IncStmt Data'!$H$2:$H$2051,'IncStmt Data'!$G$2:$G$2051,$A15,'IncStmt Data'!$A$2:$A$2051,AS$1),#N/A)</f>
        <v>#N/A</v>
      </c>
      <c r="AT15" s="42" t="e">
        <f>IF(AT$1,SUMIFS('IncStmt Data'!$H$2:$H$2051,'IncStmt Data'!$G$2:$G$2051,$A15,'IncStmt Data'!$A$2:$A$2051,AT$1),#N/A)</f>
        <v>#N/A</v>
      </c>
      <c r="AU15" s="42" t="e">
        <f>IF(AU$1,SUMIFS('IncStmt Data'!$H$2:$H$2051,'IncStmt Data'!$G$2:$G$2051,$A15,'IncStmt Data'!$A$2:$A$2051,AU$1),#N/A)</f>
        <v>#N/A</v>
      </c>
      <c r="AV15" s="42" t="e">
        <f>IF(AV$1,SUMIFS('IncStmt Data'!$H$2:$H$2051,'IncStmt Data'!$G$2:$G$2051,$A15,'IncStmt Data'!$A$2:$A$2051,AV$1),#N/A)</f>
        <v>#N/A</v>
      </c>
      <c r="AW15" s="42" t="e">
        <f>IF(AW$1,SUMIFS('IncStmt Data'!$H$2:$H$2051,'IncStmt Data'!$G$2:$G$2051,$A15,'IncStmt Data'!$A$2:$A$2051,AW$1),#N/A)</f>
        <v>#N/A</v>
      </c>
      <c r="AX15" s="42" t="e">
        <f>IF(AX$1,SUMIFS('IncStmt Data'!$H$2:$H$2051,'IncStmt Data'!$G$2:$G$2051,$A15,'IncStmt Data'!$A$2:$A$2051,AX$1),#N/A)</f>
        <v>#N/A</v>
      </c>
      <c r="AY15" s="42" t="e">
        <f>IF(AY$1,SUMIFS('IncStmt Data'!$H$2:$H$2051,'IncStmt Data'!$G$2:$G$2051,$A15,'IncStmt Data'!$A$2:$A$2051,AY$1),#N/A)</f>
        <v>#N/A</v>
      </c>
      <c r="AZ15" s="42" t="e">
        <f>IF(AZ$1,SUMIFS('IncStmt Data'!$H$2:$H$2051,'IncStmt Data'!$G$2:$G$2051,$A15,'IncStmt Data'!$A$2:$A$2051,AZ$1),#N/A)</f>
        <v>#N/A</v>
      </c>
      <c r="BA15" s="42" t="e">
        <f>IF(BA$1,SUMIFS('IncStmt Data'!$H$2:$H$2051,'IncStmt Data'!$G$2:$G$2051,$A15,'IncStmt Data'!$A$2:$A$2051,BA$1),#N/A)</f>
        <v>#N/A</v>
      </c>
      <c r="BB15" s="42" t="e">
        <f>IF(BB$1,SUMIFS('IncStmt Data'!$H$2:$H$2051,'IncStmt Data'!$G$2:$G$2051,$A15,'IncStmt Data'!$A$2:$A$2051,BB$1),#N/A)</f>
        <v>#N/A</v>
      </c>
      <c r="BC15" s="42" t="e">
        <f>IF(BC$1,SUMIFS('IncStmt Data'!$H$2:$H$2051,'IncStmt Data'!$G$2:$G$2051,$A15,'IncStmt Data'!$A$2:$A$2051,BC$1),#N/A)</f>
        <v>#N/A</v>
      </c>
      <c r="BD15" s="42" t="e">
        <f>IF(BD$1,SUMIFS('IncStmt Data'!$H$2:$H$2051,'IncStmt Data'!$G$2:$G$2051,$A15,'IncStmt Data'!$A$2:$A$2051,BD$1),#N/A)</f>
        <v>#N/A</v>
      </c>
      <c r="BE15" s="42" t="e">
        <f>IF(BE$1,SUMIFS('IncStmt Data'!$H$2:$H$2051,'IncStmt Data'!$G$2:$G$2051,$A15,'IncStmt Data'!$A$2:$A$2051,BE$1),#N/A)</f>
        <v>#N/A</v>
      </c>
      <c r="BF15" s="42" t="e">
        <f>IF(BF$1,SUMIFS('IncStmt Data'!$H$2:$H$2051,'IncStmt Data'!$G$2:$G$2051,$A15,'IncStmt Data'!$A$2:$A$2051,BF$1),#N/A)</f>
        <v>#N/A</v>
      </c>
      <c r="BG15" s="42" t="e">
        <f>IF(BG$1,SUMIFS('IncStmt Data'!$H$2:$H$2051,'IncStmt Data'!$G$2:$G$2051,$A15,'IncStmt Data'!$A$2:$A$2051,BG$1),#N/A)</f>
        <v>#N/A</v>
      </c>
      <c r="BH15" s="42" t="e">
        <f>IF(BH$1,SUMIFS('IncStmt Data'!$H$2:$H$2051,'IncStmt Data'!$G$2:$G$2051,$A15,'IncStmt Data'!$A$2:$A$2051,BH$1),#N/A)</f>
        <v>#N/A</v>
      </c>
      <c r="BI15" s="42" t="e">
        <f>IF(BI$1,SUMIFS('IncStmt Data'!$H$2:$H$2051,'IncStmt Data'!$G$2:$G$2051,$A15,'IncStmt Data'!$A$2:$A$2051,BI$1),#N/A)</f>
        <v>#N/A</v>
      </c>
      <c r="BJ15" s="42" t="e">
        <f>IF(BJ$1,SUMIFS('IncStmt Data'!$H$2:$H$2051,'IncStmt Data'!$G$2:$G$2051,$A15,'IncStmt Data'!$A$2:$A$2051,BJ$1),#N/A)</f>
        <v>#N/A</v>
      </c>
      <c r="BK15" s="42" t="e">
        <f>IF(BK$1,SUMIFS('IncStmt Data'!$H$2:$H$2051,'IncStmt Data'!$G$2:$G$2051,$A15,'IncStmt Data'!$A$2:$A$2051,BK$1),#N/A)</f>
        <v>#N/A</v>
      </c>
      <c r="BL15" s="42" t="e">
        <f>IF(BL$1,SUMIFS('IncStmt Data'!$H$2:$H$2051,'IncStmt Data'!$G$2:$G$2051,$A15,'IncStmt Data'!$A$2:$A$2051,BL$1),#N/A)</f>
        <v>#N/A</v>
      </c>
      <c r="BM15" s="42" t="e">
        <f>IF(BM$1,SUMIFS('IncStmt Data'!$H$2:$H$2051,'IncStmt Data'!$G$2:$G$2051,$A15,'IncStmt Data'!$A$2:$A$2051,BM$1),#N/A)</f>
        <v>#N/A</v>
      </c>
      <c r="BN15" s="42" t="e">
        <f>IF(BN$1,SUMIFS('IncStmt Data'!$H$2:$H$2051,'IncStmt Data'!$G$2:$G$2051,$A15,'IncStmt Data'!$A$2:$A$2051,BN$1),#N/A)</f>
        <v>#N/A</v>
      </c>
      <c r="BO15" s="42" t="e">
        <f>IF(BO$1,SUMIFS('IncStmt Data'!$H$2:$H$2051,'IncStmt Data'!$G$2:$G$2051,$A15,'IncStmt Data'!$A$2:$A$2051,BO$1),#N/A)</f>
        <v>#N/A</v>
      </c>
      <c r="BP15" s="42" t="e">
        <f>IF(BP$1,SUMIFS('IncStmt Data'!$H$2:$H$2051,'IncStmt Data'!$G$2:$G$2051,$A15,'IncStmt Data'!$A$2:$A$2051,BP$1),#N/A)</f>
        <v>#N/A</v>
      </c>
      <c r="BQ15" s="42" t="e">
        <f>IF(BQ$1,SUMIFS('IncStmt Data'!$H$2:$H$2051,'IncStmt Data'!$G$2:$G$2051,$A15,'IncStmt Data'!$A$2:$A$2051,BQ$1),#N/A)</f>
        <v>#N/A</v>
      </c>
      <c r="BR15" s="42" t="e">
        <f>IF(BR$1,SUMIFS('IncStmt Data'!$H$2:$H$2051,'IncStmt Data'!$G$2:$G$2051,$A15,'IncStmt Data'!$A$2:$A$2051,BR$1),#N/A)</f>
        <v>#N/A</v>
      </c>
      <c r="BS15" s="42" t="e">
        <f>IF(BS$1,SUMIFS('IncStmt Data'!$H$2:$H$2051,'IncStmt Data'!$G$2:$G$2051,$A15,'IncStmt Data'!$A$2:$A$2051,BS$1),#N/A)</f>
        <v>#N/A</v>
      </c>
      <c r="BT15" s="42" t="e">
        <f>IF(BT$1,SUMIFS('IncStmt Data'!$H$2:$H$2051,'IncStmt Data'!$G$2:$G$2051,$A15,'IncStmt Data'!$A$2:$A$2051,BT$1),#N/A)</f>
        <v>#N/A</v>
      </c>
      <c r="BU15" s="42" t="e">
        <f>IF(BU$1,SUMIFS('IncStmt Data'!$H$2:$H$2051,'IncStmt Data'!$G$2:$G$2051,$A15,'IncStmt Data'!$A$2:$A$2051,BU$1),#N/A)</f>
        <v>#N/A</v>
      </c>
      <c r="BV15" s="42" t="e">
        <f>IF(BV$1,SUMIFS('IncStmt Data'!$H$2:$H$2051,'IncStmt Data'!$G$2:$G$2051,$A15,'IncStmt Data'!$A$2:$A$2051,BV$1),#N/A)</f>
        <v>#N/A</v>
      </c>
      <c r="BW15" s="42" t="e">
        <f>IF(BW$1,SUMIFS('IncStmt Data'!$H$2:$H$2051,'IncStmt Data'!$G$2:$G$2051,$A15,'IncStmt Data'!$A$2:$A$2051,BW$1),#N/A)</f>
        <v>#N/A</v>
      </c>
      <c r="BX15" s="42" t="e">
        <f>IF(BX$1,SUMIFS('IncStmt Data'!$H$2:$H$2051,'IncStmt Data'!$G$2:$G$2051,$A15,'IncStmt Data'!$A$2:$A$2051,BX$1),#N/A)</f>
        <v>#N/A</v>
      </c>
      <c r="BY15" s="42" t="e">
        <f>IF(BY$1,SUMIFS('IncStmt Data'!$H$2:$H$2051,'IncStmt Data'!$G$2:$G$2051,$A15,'IncStmt Data'!$A$2:$A$2051,BY$1),#N/A)</f>
        <v>#N/A</v>
      </c>
      <c r="BZ15" s="42" t="e">
        <f>IF(BZ$1,SUMIFS('IncStmt Data'!$H$2:$H$2051,'IncStmt Data'!$G$2:$G$2051,$A15,'IncStmt Data'!$A$2:$A$2051,BZ$1),#N/A)</f>
        <v>#N/A</v>
      </c>
      <c r="CA15" s="42" t="e">
        <f>IF(CA$1,SUMIFS('IncStmt Data'!$H$2:$H$2051,'IncStmt Data'!$G$2:$G$2051,$A15,'IncStmt Data'!$A$2:$A$2051,CA$1),#N/A)</f>
        <v>#N/A</v>
      </c>
      <c r="CB15" s="42" t="e">
        <f>IF(CB$1,SUMIFS('IncStmt Data'!$H$2:$H$2051,'IncStmt Data'!$G$2:$G$2051,$A15,'IncStmt Data'!$A$2:$A$2051,CB$1),#N/A)</f>
        <v>#N/A</v>
      </c>
      <c r="CC15" s="42" t="e">
        <f>IF(CC$1,SUMIFS('IncStmt Data'!$H$2:$H$2051,'IncStmt Data'!$G$2:$G$2051,$A15,'IncStmt Data'!$A$2:$A$2051,CC$1),#N/A)</f>
        <v>#N/A</v>
      </c>
      <c r="CD15" s="42" t="e">
        <f>IF(CD$1,SUMIFS('IncStmt Data'!$H$2:$H$2051,'IncStmt Data'!$G$2:$G$2051,$A15,'IncStmt Data'!$A$2:$A$2051,CD$1),#N/A)</f>
        <v>#N/A</v>
      </c>
      <c r="CE15" s="42" t="e">
        <f>IF(CE$1,SUMIFS('IncStmt Data'!$H$2:$H$2051,'IncStmt Data'!$G$2:$G$2051,$A15,'IncStmt Data'!$A$2:$A$2051,CE$1),#N/A)</f>
        <v>#N/A</v>
      </c>
      <c r="CF15" s="42" t="e">
        <f>IF(CF$1,SUMIFS('IncStmt Data'!$H$2:$H$2051,'IncStmt Data'!$G$2:$G$2051,$A15,'IncStmt Data'!$A$2:$A$2051,CF$1),#N/A)</f>
        <v>#N/A</v>
      </c>
      <c r="CG15" s="42" t="e">
        <f>IF(CG$1,SUMIFS('IncStmt Data'!$H$2:$H$2051,'IncStmt Data'!$G$2:$G$2051,$A15,'IncStmt Data'!$A$2:$A$2051,CG$1),#N/A)</f>
        <v>#N/A</v>
      </c>
      <c r="CH15" s="42" t="e">
        <f>IF(CH$1,SUMIFS('IncStmt Data'!$H$2:$H$2051,'IncStmt Data'!$G$2:$G$2051,$A15,'IncStmt Data'!$A$2:$A$2051,CH$1),#N/A)</f>
        <v>#N/A</v>
      </c>
      <c r="CI15" s="42" t="e">
        <f>IF(CI$1,SUMIFS('IncStmt Data'!$H$2:$H$2051,'IncStmt Data'!$G$2:$G$2051,$A15,'IncStmt Data'!$A$2:$A$2051,CI$1),#N/A)</f>
        <v>#N/A</v>
      </c>
      <c r="CJ15" s="42" t="e">
        <f>IF(CJ$1,SUMIFS('IncStmt Data'!$H$2:$H$2051,'IncStmt Data'!$G$2:$G$2051,$A15,'IncStmt Data'!$A$2:$A$2051,CJ$1),#N/A)</f>
        <v>#N/A</v>
      </c>
      <c r="CK15" s="42" t="e">
        <f>IF(CK$1,SUMIFS('IncStmt Data'!$H$2:$H$2051,'IncStmt Data'!$G$2:$G$2051,$A15,'IncStmt Data'!$A$2:$A$2051,CK$1),#N/A)</f>
        <v>#N/A</v>
      </c>
      <c r="CL15" s="42" t="e">
        <f>IF(CL$1,SUMIFS('IncStmt Data'!$H$2:$H$2051,'IncStmt Data'!$G$2:$G$2051,$A15,'IncStmt Data'!$A$2:$A$2051,CL$1),#N/A)</f>
        <v>#N/A</v>
      </c>
      <c r="CM15" s="42" t="e">
        <f>IF(CM$1,SUMIFS('IncStmt Data'!$H$2:$H$2051,'IncStmt Data'!$G$2:$G$2051,$A15,'IncStmt Data'!$A$2:$A$2051,CM$1),#N/A)</f>
        <v>#N/A</v>
      </c>
      <c r="CN15" s="42" t="e">
        <f>IF(CN$1,SUMIFS('IncStmt Data'!$H$2:$H$2051,'IncStmt Data'!$G$2:$G$2051,$A15,'IncStmt Data'!$A$2:$A$2051,CN$1),#N/A)</f>
        <v>#N/A</v>
      </c>
      <c r="CO15" s="42" t="e">
        <f>IF(CO$1,SUMIFS('IncStmt Data'!$H$2:$H$2051,'IncStmt Data'!$G$2:$G$2051,$A15,'IncStmt Data'!$A$2:$A$2051,CO$1),#N/A)</f>
        <v>#N/A</v>
      </c>
      <c r="CP15" s="42" t="e">
        <f>IF(CP$1,SUMIFS('IncStmt Data'!$H$2:$H$2051,'IncStmt Data'!$G$2:$G$2051,$A15,'IncStmt Data'!$A$2:$A$2051,CP$1),#N/A)</f>
        <v>#N/A</v>
      </c>
      <c r="CQ15" s="42" t="e">
        <f>IF(CQ$1,SUMIFS('IncStmt Data'!$H$2:$H$2051,'IncStmt Data'!$G$2:$G$2051,$A15,'IncStmt Data'!$A$2:$A$2051,CQ$1),#N/A)</f>
        <v>#N/A</v>
      </c>
      <c r="CR15" s="42" t="e">
        <f>IF(CR$1,SUMIFS('IncStmt Data'!$H$2:$H$2051,'IncStmt Data'!$G$2:$G$2051,$A15,'IncStmt Data'!$A$2:$A$2051,CR$1),#N/A)</f>
        <v>#N/A</v>
      </c>
      <c r="CS15" s="42" t="e">
        <f>IF(CS$1,SUMIFS('IncStmt Data'!$H$2:$H$2051,'IncStmt Data'!$G$2:$G$2051,$A15,'IncStmt Data'!$A$2:$A$2051,CS$1),#N/A)</f>
        <v>#N/A</v>
      </c>
      <c r="CT15" s="42" t="e">
        <f>IF(CT$1,SUMIFS('IncStmt Data'!$H$2:$H$2051,'IncStmt Data'!$G$2:$G$2051,$A15,'IncStmt Data'!$A$2:$A$2051,CT$1),#N/A)</f>
        <v>#N/A</v>
      </c>
      <c r="CU15" s="42" t="e">
        <f>IF(CU$1,SUMIFS('IncStmt Data'!$H$2:$H$2051,'IncStmt Data'!$G$2:$G$2051,$A15,'IncStmt Data'!$A$2:$A$2051,CU$1),#N/A)</f>
        <v>#N/A</v>
      </c>
      <c r="CV15" s="42" t="e">
        <f>IF(CV$1,SUMIFS('IncStmt Data'!$H$2:$H$2051,'IncStmt Data'!$G$2:$G$2051,$A15,'IncStmt Data'!$A$2:$A$2051,CV$1),#N/A)</f>
        <v>#N/A</v>
      </c>
      <c r="CW15" s="42" t="e">
        <f>IF(CW$1,SUMIFS('IncStmt Data'!$H$2:$H$2051,'IncStmt Data'!$G$2:$G$2051,$A15,'IncStmt Data'!$A$2:$A$2051,CW$1),#N/A)</f>
        <v>#N/A</v>
      </c>
      <c r="CX15" s="42" t="e">
        <f>IF(CX$1,SUMIFS('IncStmt Data'!$H$2:$H$2051,'IncStmt Data'!$G$2:$G$2051,$A15,'IncStmt Data'!$A$2:$A$2051,CX$1),#N/A)</f>
        <v>#N/A</v>
      </c>
      <c r="CY15" s="42" t="e">
        <f>IF(CY$1,SUMIFS('IncStmt Data'!$H$2:$H$2051,'IncStmt Data'!$G$2:$G$2051,$A15,'IncStmt Data'!$A$2:$A$2051,CY$1),#N/A)</f>
        <v>#N/A</v>
      </c>
      <c r="CZ15" s="42" t="e">
        <f>IF(CZ$1,SUMIFS('IncStmt Data'!$H$2:$H$2051,'IncStmt Data'!$G$2:$G$2051,$A15,'IncStmt Data'!$A$2:$A$2051,CZ$1),#N/A)</f>
        <v>#N/A</v>
      </c>
    </row>
    <row r="16" spans="1:104" s="42" customFormat="1" x14ac:dyDescent="0.2">
      <c r="A16" s="56" t="s">
        <v>42</v>
      </c>
      <c r="B16" s="42" t="e">
        <f>IF(B$1,SUMIFS('IncStmt Data'!$H$2:$H$2051,'IncStmt Data'!$G$2:$G$2051,$A16,'IncStmt Data'!$A$2:$A$2051,B$1),#N/A)</f>
        <v>#N/A</v>
      </c>
      <c r="C16" s="42" t="e">
        <f>IF(C$1,SUMIFS('IncStmt Data'!$H$2:$H$2051,'IncStmt Data'!$G$2:$G$2051,$A16,'IncStmt Data'!$A$2:$A$2051,C$1),#N/A)</f>
        <v>#N/A</v>
      </c>
      <c r="D16" s="42" t="e">
        <f>IF(D$1,SUMIFS('IncStmt Data'!$H$2:$H$2051,'IncStmt Data'!$G$2:$G$2051,$A16,'IncStmt Data'!$A$2:$A$2051,D$1),#N/A)</f>
        <v>#N/A</v>
      </c>
      <c r="E16" s="42" t="e">
        <f>IF(E$1,SUMIFS('IncStmt Data'!$H$2:$H$2051,'IncStmt Data'!$G$2:$G$2051,$A16,'IncStmt Data'!$A$2:$A$2051,E$1),#N/A)</f>
        <v>#N/A</v>
      </c>
      <c r="F16" s="42" t="e">
        <f>IF(F$1,SUMIFS('IncStmt Data'!$H$2:$H$2051,'IncStmt Data'!$G$2:$G$2051,$A16,'IncStmt Data'!$A$2:$A$2051,F$1),#N/A)</f>
        <v>#N/A</v>
      </c>
      <c r="G16" s="42" t="e">
        <f>IF(G$1,SUMIFS('IncStmt Data'!$H$2:$H$2051,'IncStmt Data'!$G$2:$G$2051,$A16,'IncStmt Data'!$A$2:$A$2051,G$1),#N/A)</f>
        <v>#N/A</v>
      </c>
      <c r="H16" s="42" t="e">
        <f>IF(H$1,SUMIFS('IncStmt Data'!$H$2:$H$2051,'IncStmt Data'!$G$2:$G$2051,$A16,'IncStmt Data'!$A$2:$A$2051,H$1),#N/A)</f>
        <v>#N/A</v>
      </c>
      <c r="I16" s="42" t="e">
        <f>IF(I$1,SUMIFS('IncStmt Data'!$H$2:$H$2051,'IncStmt Data'!$G$2:$G$2051,$A16,'IncStmt Data'!$A$2:$A$2051,I$1),#N/A)</f>
        <v>#N/A</v>
      </c>
      <c r="J16" s="42" t="e">
        <f>IF(J$1,SUMIFS('IncStmt Data'!$H$2:$H$2051,'IncStmt Data'!$G$2:$G$2051,$A16,'IncStmt Data'!$A$2:$A$2051,J$1),#N/A)</f>
        <v>#N/A</v>
      </c>
      <c r="K16" s="42" t="e">
        <f>IF(K$1,SUMIFS('IncStmt Data'!$H$2:$H$2051,'IncStmt Data'!$G$2:$G$2051,$A16,'IncStmt Data'!$A$2:$A$2051,K$1),#N/A)</f>
        <v>#N/A</v>
      </c>
      <c r="L16" s="42" t="e">
        <f>IF(L$1,SUMIFS('IncStmt Data'!$H$2:$H$2051,'IncStmt Data'!$G$2:$G$2051,$A16,'IncStmt Data'!$A$2:$A$2051,L$1),#N/A)</f>
        <v>#N/A</v>
      </c>
      <c r="M16" s="42" t="e">
        <f>IF(M$1,SUMIFS('IncStmt Data'!$H$2:$H$2051,'IncStmt Data'!$G$2:$G$2051,$A16,'IncStmt Data'!$A$2:$A$2051,M$1),#N/A)</f>
        <v>#N/A</v>
      </c>
      <c r="N16" s="42" t="e">
        <f>IF(N$1,SUMIFS('IncStmt Data'!$H$2:$H$2051,'IncStmt Data'!$G$2:$G$2051,$A16,'IncStmt Data'!$A$2:$A$2051,N$1),#N/A)</f>
        <v>#N/A</v>
      </c>
      <c r="O16" s="42" t="e">
        <f>IF(O$1,SUMIFS('IncStmt Data'!$H$2:$H$2051,'IncStmt Data'!$G$2:$G$2051,$A16,'IncStmt Data'!$A$2:$A$2051,O$1),#N/A)</f>
        <v>#N/A</v>
      </c>
      <c r="P16" s="42" t="e">
        <f>IF(P$1,SUMIFS('IncStmt Data'!$H$2:$H$2051,'IncStmt Data'!$G$2:$G$2051,$A16,'IncStmt Data'!$A$2:$A$2051,P$1),#N/A)</f>
        <v>#N/A</v>
      </c>
      <c r="Q16" s="42" t="e">
        <f>IF(Q$1,SUMIFS('IncStmt Data'!$H$2:$H$2051,'IncStmt Data'!$G$2:$G$2051,$A16,'IncStmt Data'!$A$2:$A$2051,Q$1),#N/A)</f>
        <v>#N/A</v>
      </c>
      <c r="R16" s="42" t="e">
        <f>IF(R$1,SUMIFS('IncStmt Data'!$H$2:$H$2051,'IncStmt Data'!$G$2:$G$2051,$A16,'IncStmt Data'!$A$2:$A$2051,R$1),#N/A)</f>
        <v>#N/A</v>
      </c>
      <c r="S16" s="42" t="e">
        <f>IF(S$1,SUMIFS('IncStmt Data'!$H$2:$H$2051,'IncStmt Data'!$G$2:$G$2051,$A16,'IncStmt Data'!$A$2:$A$2051,S$1),#N/A)</f>
        <v>#N/A</v>
      </c>
      <c r="T16" s="42" t="e">
        <f>IF(T$1,SUMIFS('IncStmt Data'!$H$2:$H$2051,'IncStmt Data'!$G$2:$G$2051,$A16,'IncStmt Data'!$A$2:$A$2051,T$1),#N/A)</f>
        <v>#N/A</v>
      </c>
      <c r="U16" s="42" t="e">
        <f>IF(U$1,SUMIFS('IncStmt Data'!$H$2:$H$2051,'IncStmt Data'!$G$2:$G$2051,$A16,'IncStmt Data'!$A$2:$A$2051,U$1),#N/A)</f>
        <v>#N/A</v>
      </c>
      <c r="V16" s="42" t="e">
        <f>IF(V$1,SUMIFS('IncStmt Data'!$H$2:$H$2051,'IncStmt Data'!$G$2:$G$2051,$A16,'IncStmt Data'!$A$2:$A$2051,V$1),#N/A)</f>
        <v>#N/A</v>
      </c>
      <c r="W16" s="42" t="e">
        <f>IF(W$1,SUMIFS('IncStmt Data'!$H$2:$H$2051,'IncStmt Data'!$G$2:$G$2051,$A16,'IncStmt Data'!$A$2:$A$2051,W$1),#N/A)</f>
        <v>#N/A</v>
      </c>
      <c r="X16" s="42" t="e">
        <f>IF(X$1,SUMIFS('IncStmt Data'!$H$2:$H$2051,'IncStmt Data'!$G$2:$G$2051,$A16,'IncStmt Data'!$A$2:$A$2051,X$1),#N/A)</f>
        <v>#N/A</v>
      </c>
      <c r="Y16" s="42" t="e">
        <f>IF(Y$1,SUMIFS('IncStmt Data'!$H$2:$H$2051,'IncStmt Data'!$G$2:$G$2051,$A16,'IncStmt Data'!$A$2:$A$2051,Y$1),#N/A)</f>
        <v>#N/A</v>
      </c>
      <c r="Z16" s="42" t="e">
        <f>IF(Z$1,SUMIFS('IncStmt Data'!$H$2:$H$2051,'IncStmt Data'!$G$2:$G$2051,$A16,'IncStmt Data'!$A$2:$A$2051,Z$1),#N/A)</f>
        <v>#N/A</v>
      </c>
      <c r="AA16" s="42" t="e">
        <f>IF(AA$1,SUMIFS('IncStmt Data'!$H$2:$H$2051,'IncStmt Data'!$G$2:$G$2051,$A16,'IncStmt Data'!$A$2:$A$2051,AA$1),#N/A)</f>
        <v>#N/A</v>
      </c>
      <c r="AB16" s="42" t="e">
        <f>IF(AB$1,SUMIFS('IncStmt Data'!$H$2:$H$2051,'IncStmt Data'!$G$2:$G$2051,$A16,'IncStmt Data'!$A$2:$A$2051,AB$1),#N/A)</f>
        <v>#N/A</v>
      </c>
      <c r="AC16" s="42" t="e">
        <f>IF(AC$1,SUMIFS('IncStmt Data'!$H$2:$H$2051,'IncStmt Data'!$G$2:$G$2051,$A16,'IncStmt Data'!$A$2:$A$2051,AC$1),#N/A)</f>
        <v>#N/A</v>
      </c>
      <c r="AD16" s="42" t="e">
        <f>IF(AD$1,SUMIFS('IncStmt Data'!$H$2:$H$2051,'IncStmt Data'!$G$2:$G$2051,$A16,'IncStmt Data'!$A$2:$A$2051,AD$1),#N/A)</f>
        <v>#N/A</v>
      </c>
      <c r="AE16" s="42" t="e">
        <f>IF(AE$1,SUMIFS('IncStmt Data'!$H$2:$H$2051,'IncStmt Data'!$G$2:$G$2051,$A16,'IncStmt Data'!$A$2:$A$2051,AE$1),#N/A)</f>
        <v>#N/A</v>
      </c>
      <c r="AF16" s="42" t="e">
        <f>IF(AF$1,SUMIFS('IncStmt Data'!$H$2:$H$2051,'IncStmt Data'!$G$2:$G$2051,$A16,'IncStmt Data'!$A$2:$A$2051,AF$1),#N/A)</f>
        <v>#N/A</v>
      </c>
      <c r="AG16" s="42" t="e">
        <f>IF(AG$1,SUMIFS('IncStmt Data'!$H$2:$H$2051,'IncStmt Data'!$G$2:$G$2051,$A16,'IncStmt Data'!$A$2:$A$2051,AG$1),#N/A)</f>
        <v>#N/A</v>
      </c>
      <c r="AH16" s="42" t="e">
        <f>IF(AH$1,SUMIFS('IncStmt Data'!$H$2:$H$2051,'IncStmt Data'!$G$2:$G$2051,$A16,'IncStmt Data'!$A$2:$A$2051,AH$1),#N/A)</f>
        <v>#N/A</v>
      </c>
      <c r="AI16" s="42" t="e">
        <f>IF(AI$1,SUMIFS('IncStmt Data'!$H$2:$H$2051,'IncStmt Data'!$G$2:$G$2051,$A16,'IncStmt Data'!$A$2:$A$2051,AI$1),#N/A)</f>
        <v>#N/A</v>
      </c>
      <c r="AJ16" s="42" t="e">
        <f>IF(AJ$1,SUMIFS('IncStmt Data'!$H$2:$H$2051,'IncStmt Data'!$G$2:$G$2051,$A16,'IncStmt Data'!$A$2:$A$2051,AJ$1),#N/A)</f>
        <v>#N/A</v>
      </c>
      <c r="AK16" s="42" t="e">
        <f>IF(AK$1,SUMIFS('IncStmt Data'!$H$2:$H$2051,'IncStmt Data'!$G$2:$G$2051,$A16,'IncStmt Data'!$A$2:$A$2051,AK$1),#N/A)</f>
        <v>#N/A</v>
      </c>
      <c r="AL16" s="42" t="e">
        <f>IF(AL$1,SUMIFS('IncStmt Data'!$H$2:$H$2051,'IncStmt Data'!$G$2:$G$2051,$A16,'IncStmt Data'!$A$2:$A$2051,AL$1),#N/A)</f>
        <v>#N/A</v>
      </c>
      <c r="AM16" s="42" t="e">
        <f>IF(AM$1,SUMIFS('IncStmt Data'!$H$2:$H$2051,'IncStmt Data'!$G$2:$G$2051,$A16,'IncStmt Data'!$A$2:$A$2051,AM$1),#N/A)</f>
        <v>#N/A</v>
      </c>
      <c r="AN16" s="42" t="e">
        <f>IF(AN$1,SUMIFS('IncStmt Data'!$H$2:$H$2051,'IncStmt Data'!$G$2:$G$2051,$A16,'IncStmt Data'!$A$2:$A$2051,AN$1),#N/A)</f>
        <v>#N/A</v>
      </c>
      <c r="AO16" s="42" t="e">
        <f>IF(AO$1,SUMIFS('IncStmt Data'!$H$2:$H$2051,'IncStmt Data'!$G$2:$G$2051,$A16,'IncStmt Data'!$A$2:$A$2051,AO$1),#N/A)</f>
        <v>#N/A</v>
      </c>
      <c r="AP16" s="42" t="e">
        <f>IF(AP$1,SUMIFS('IncStmt Data'!$H$2:$H$2051,'IncStmt Data'!$G$2:$G$2051,$A16,'IncStmt Data'!$A$2:$A$2051,AP$1),#N/A)</f>
        <v>#N/A</v>
      </c>
      <c r="AQ16" s="42" t="e">
        <f>IF(AQ$1,SUMIFS('IncStmt Data'!$H$2:$H$2051,'IncStmt Data'!$G$2:$G$2051,$A16,'IncStmt Data'!$A$2:$A$2051,AQ$1),#N/A)</f>
        <v>#N/A</v>
      </c>
      <c r="AR16" s="42" t="e">
        <f>IF(AR$1,SUMIFS('IncStmt Data'!$H$2:$H$2051,'IncStmt Data'!$G$2:$G$2051,$A16,'IncStmt Data'!$A$2:$A$2051,AR$1),#N/A)</f>
        <v>#N/A</v>
      </c>
      <c r="AS16" s="42" t="e">
        <f>IF(AS$1,SUMIFS('IncStmt Data'!$H$2:$H$2051,'IncStmt Data'!$G$2:$G$2051,$A16,'IncStmt Data'!$A$2:$A$2051,AS$1),#N/A)</f>
        <v>#N/A</v>
      </c>
      <c r="AT16" s="42" t="e">
        <f>IF(AT$1,SUMIFS('IncStmt Data'!$H$2:$H$2051,'IncStmt Data'!$G$2:$G$2051,$A16,'IncStmt Data'!$A$2:$A$2051,AT$1),#N/A)</f>
        <v>#N/A</v>
      </c>
      <c r="AU16" s="42" t="e">
        <f>IF(AU$1,SUMIFS('IncStmt Data'!$H$2:$H$2051,'IncStmt Data'!$G$2:$G$2051,$A16,'IncStmt Data'!$A$2:$A$2051,AU$1),#N/A)</f>
        <v>#N/A</v>
      </c>
      <c r="AV16" s="42" t="e">
        <f>IF(AV$1,SUMIFS('IncStmt Data'!$H$2:$H$2051,'IncStmt Data'!$G$2:$G$2051,$A16,'IncStmt Data'!$A$2:$A$2051,AV$1),#N/A)</f>
        <v>#N/A</v>
      </c>
      <c r="AW16" s="42" t="e">
        <f>IF(AW$1,SUMIFS('IncStmt Data'!$H$2:$H$2051,'IncStmt Data'!$G$2:$G$2051,$A16,'IncStmt Data'!$A$2:$A$2051,AW$1),#N/A)</f>
        <v>#N/A</v>
      </c>
      <c r="AX16" s="42" t="e">
        <f>IF(AX$1,SUMIFS('IncStmt Data'!$H$2:$H$2051,'IncStmt Data'!$G$2:$G$2051,$A16,'IncStmt Data'!$A$2:$A$2051,AX$1),#N/A)</f>
        <v>#N/A</v>
      </c>
      <c r="AY16" s="42" t="e">
        <f>IF(AY$1,SUMIFS('IncStmt Data'!$H$2:$H$2051,'IncStmt Data'!$G$2:$G$2051,$A16,'IncStmt Data'!$A$2:$A$2051,AY$1),#N/A)</f>
        <v>#N/A</v>
      </c>
      <c r="AZ16" s="42" t="e">
        <f>IF(AZ$1,SUMIFS('IncStmt Data'!$H$2:$H$2051,'IncStmt Data'!$G$2:$G$2051,$A16,'IncStmt Data'!$A$2:$A$2051,AZ$1),#N/A)</f>
        <v>#N/A</v>
      </c>
      <c r="BA16" s="42" t="e">
        <f>IF(BA$1,SUMIFS('IncStmt Data'!$H$2:$H$2051,'IncStmt Data'!$G$2:$G$2051,$A16,'IncStmt Data'!$A$2:$A$2051,BA$1),#N/A)</f>
        <v>#N/A</v>
      </c>
      <c r="BB16" s="42" t="e">
        <f>IF(BB$1,SUMIFS('IncStmt Data'!$H$2:$H$2051,'IncStmt Data'!$G$2:$G$2051,$A16,'IncStmt Data'!$A$2:$A$2051,BB$1),#N/A)</f>
        <v>#N/A</v>
      </c>
      <c r="BC16" s="42" t="e">
        <f>IF(BC$1,SUMIFS('IncStmt Data'!$H$2:$H$2051,'IncStmt Data'!$G$2:$G$2051,$A16,'IncStmt Data'!$A$2:$A$2051,BC$1),#N/A)</f>
        <v>#N/A</v>
      </c>
      <c r="BD16" s="42" t="e">
        <f>IF(BD$1,SUMIFS('IncStmt Data'!$H$2:$H$2051,'IncStmt Data'!$G$2:$G$2051,$A16,'IncStmt Data'!$A$2:$A$2051,BD$1),#N/A)</f>
        <v>#N/A</v>
      </c>
      <c r="BE16" s="42" t="e">
        <f>IF(BE$1,SUMIFS('IncStmt Data'!$H$2:$H$2051,'IncStmt Data'!$G$2:$G$2051,$A16,'IncStmt Data'!$A$2:$A$2051,BE$1),#N/A)</f>
        <v>#N/A</v>
      </c>
      <c r="BF16" s="42" t="e">
        <f>IF(BF$1,SUMIFS('IncStmt Data'!$H$2:$H$2051,'IncStmt Data'!$G$2:$G$2051,$A16,'IncStmt Data'!$A$2:$A$2051,BF$1),#N/A)</f>
        <v>#N/A</v>
      </c>
      <c r="BG16" s="42" t="e">
        <f>IF(BG$1,SUMIFS('IncStmt Data'!$H$2:$H$2051,'IncStmt Data'!$G$2:$G$2051,$A16,'IncStmt Data'!$A$2:$A$2051,BG$1),#N/A)</f>
        <v>#N/A</v>
      </c>
      <c r="BH16" s="42" t="e">
        <f>IF(BH$1,SUMIFS('IncStmt Data'!$H$2:$H$2051,'IncStmt Data'!$G$2:$G$2051,$A16,'IncStmt Data'!$A$2:$A$2051,BH$1),#N/A)</f>
        <v>#N/A</v>
      </c>
      <c r="BI16" s="42" t="e">
        <f>IF(BI$1,SUMIFS('IncStmt Data'!$H$2:$H$2051,'IncStmt Data'!$G$2:$G$2051,$A16,'IncStmt Data'!$A$2:$A$2051,BI$1),#N/A)</f>
        <v>#N/A</v>
      </c>
      <c r="BJ16" s="42" t="e">
        <f>IF(BJ$1,SUMIFS('IncStmt Data'!$H$2:$H$2051,'IncStmt Data'!$G$2:$G$2051,$A16,'IncStmt Data'!$A$2:$A$2051,BJ$1),#N/A)</f>
        <v>#N/A</v>
      </c>
      <c r="BK16" s="42" t="e">
        <f>IF(BK$1,SUMIFS('IncStmt Data'!$H$2:$H$2051,'IncStmt Data'!$G$2:$G$2051,$A16,'IncStmt Data'!$A$2:$A$2051,BK$1),#N/A)</f>
        <v>#N/A</v>
      </c>
      <c r="BL16" s="42" t="e">
        <f>IF(BL$1,SUMIFS('IncStmt Data'!$H$2:$H$2051,'IncStmt Data'!$G$2:$G$2051,$A16,'IncStmt Data'!$A$2:$A$2051,BL$1),#N/A)</f>
        <v>#N/A</v>
      </c>
      <c r="BM16" s="42" t="e">
        <f>IF(BM$1,SUMIFS('IncStmt Data'!$H$2:$H$2051,'IncStmt Data'!$G$2:$G$2051,$A16,'IncStmt Data'!$A$2:$A$2051,BM$1),#N/A)</f>
        <v>#N/A</v>
      </c>
      <c r="BN16" s="42" t="e">
        <f>IF(BN$1,SUMIFS('IncStmt Data'!$H$2:$H$2051,'IncStmt Data'!$G$2:$G$2051,$A16,'IncStmt Data'!$A$2:$A$2051,BN$1),#N/A)</f>
        <v>#N/A</v>
      </c>
      <c r="BO16" s="42" t="e">
        <f>IF(BO$1,SUMIFS('IncStmt Data'!$H$2:$H$2051,'IncStmt Data'!$G$2:$G$2051,$A16,'IncStmt Data'!$A$2:$A$2051,BO$1),#N/A)</f>
        <v>#N/A</v>
      </c>
      <c r="BP16" s="42" t="e">
        <f>IF(BP$1,SUMIFS('IncStmt Data'!$H$2:$H$2051,'IncStmt Data'!$G$2:$G$2051,$A16,'IncStmt Data'!$A$2:$A$2051,BP$1),#N/A)</f>
        <v>#N/A</v>
      </c>
      <c r="BQ16" s="42" t="e">
        <f>IF(BQ$1,SUMIFS('IncStmt Data'!$H$2:$H$2051,'IncStmt Data'!$G$2:$G$2051,$A16,'IncStmt Data'!$A$2:$A$2051,BQ$1),#N/A)</f>
        <v>#N/A</v>
      </c>
      <c r="BR16" s="42" t="e">
        <f>IF(BR$1,SUMIFS('IncStmt Data'!$H$2:$H$2051,'IncStmt Data'!$G$2:$G$2051,$A16,'IncStmt Data'!$A$2:$A$2051,BR$1),#N/A)</f>
        <v>#N/A</v>
      </c>
      <c r="BS16" s="42" t="e">
        <f>IF(BS$1,SUMIFS('IncStmt Data'!$H$2:$H$2051,'IncStmt Data'!$G$2:$G$2051,$A16,'IncStmt Data'!$A$2:$A$2051,BS$1),#N/A)</f>
        <v>#N/A</v>
      </c>
      <c r="BT16" s="42" t="e">
        <f>IF(BT$1,SUMIFS('IncStmt Data'!$H$2:$H$2051,'IncStmt Data'!$G$2:$G$2051,$A16,'IncStmt Data'!$A$2:$A$2051,BT$1),#N/A)</f>
        <v>#N/A</v>
      </c>
      <c r="BU16" s="42" t="e">
        <f>IF(BU$1,SUMIFS('IncStmt Data'!$H$2:$H$2051,'IncStmt Data'!$G$2:$G$2051,$A16,'IncStmt Data'!$A$2:$A$2051,BU$1),#N/A)</f>
        <v>#N/A</v>
      </c>
      <c r="BV16" s="42" t="e">
        <f>IF(BV$1,SUMIFS('IncStmt Data'!$H$2:$H$2051,'IncStmt Data'!$G$2:$G$2051,$A16,'IncStmt Data'!$A$2:$A$2051,BV$1),#N/A)</f>
        <v>#N/A</v>
      </c>
      <c r="BW16" s="42" t="e">
        <f>IF(BW$1,SUMIFS('IncStmt Data'!$H$2:$H$2051,'IncStmt Data'!$G$2:$G$2051,$A16,'IncStmt Data'!$A$2:$A$2051,BW$1),#N/A)</f>
        <v>#N/A</v>
      </c>
      <c r="BX16" s="42" t="e">
        <f>IF(BX$1,SUMIFS('IncStmt Data'!$H$2:$H$2051,'IncStmt Data'!$G$2:$G$2051,$A16,'IncStmt Data'!$A$2:$A$2051,BX$1),#N/A)</f>
        <v>#N/A</v>
      </c>
      <c r="BY16" s="42" t="e">
        <f>IF(BY$1,SUMIFS('IncStmt Data'!$H$2:$H$2051,'IncStmt Data'!$G$2:$G$2051,$A16,'IncStmt Data'!$A$2:$A$2051,BY$1),#N/A)</f>
        <v>#N/A</v>
      </c>
      <c r="BZ16" s="42" t="e">
        <f>IF(BZ$1,SUMIFS('IncStmt Data'!$H$2:$H$2051,'IncStmt Data'!$G$2:$G$2051,$A16,'IncStmt Data'!$A$2:$A$2051,BZ$1),#N/A)</f>
        <v>#N/A</v>
      </c>
      <c r="CA16" s="42" t="e">
        <f>IF(CA$1,SUMIFS('IncStmt Data'!$H$2:$H$2051,'IncStmt Data'!$G$2:$G$2051,$A16,'IncStmt Data'!$A$2:$A$2051,CA$1),#N/A)</f>
        <v>#N/A</v>
      </c>
      <c r="CB16" s="42" t="e">
        <f>IF(CB$1,SUMIFS('IncStmt Data'!$H$2:$H$2051,'IncStmt Data'!$G$2:$G$2051,$A16,'IncStmt Data'!$A$2:$A$2051,CB$1),#N/A)</f>
        <v>#N/A</v>
      </c>
      <c r="CC16" s="42" t="e">
        <f>IF(CC$1,SUMIFS('IncStmt Data'!$H$2:$H$2051,'IncStmt Data'!$G$2:$G$2051,$A16,'IncStmt Data'!$A$2:$A$2051,CC$1),#N/A)</f>
        <v>#N/A</v>
      </c>
      <c r="CD16" s="42" t="e">
        <f>IF(CD$1,SUMIFS('IncStmt Data'!$H$2:$H$2051,'IncStmt Data'!$G$2:$G$2051,$A16,'IncStmt Data'!$A$2:$A$2051,CD$1),#N/A)</f>
        <v>#N/A</v>
      </c>
      <c r="CE16" s="42" t="e">
        <f>IF(CE$1,SUMIFS('IncStmt Data'!$H$2:$H$2051,'IncStmt Data'!$G$2:$G$2051,$A16,'IncStmt Data'!$A$2:$A$2051,CE$1),#N/A)</f>
        <v>#N/A</v>
      </c>
      <c r="CF16" s="42" t="e">
        <f>IF(CF$1,SUMIFS('IncStmt Data'!$H$2:$H$2051,'IncStmt Data'!$G$2:$G$2051,$A16,'IncStmt Data'!$A$2:$A$2051,CF$1),#N/A)</f>
        <v>#N/A</v>
      </c>
      <c r="CG16" s="42" t="e">
        <f>IF(CG$1,SUMIFS('IncStmt Data'!$H$2:$H$2051,'IncStmt Data'!$G$2:$G$2051,$A16,'IncStmt Data'!$A$2:$A$2051,CG$1),#N/A)</f>
        <v>#N/A</v>
      </c>
      <c r="CH16" s="42" t="e">
        <f>IF(CH$1,SUMIFS('IncStmt Data'!$H$2:$H$2051,'IncStmt Data'!$G$2:$G$2051,$A16,'IncStmt Data'!$A$2:$A$2051,CH$1),#N/A)</f>
        <v>#N/A</v>
      </c>
      <c r="CI16" s="42" t="e">
        <f>IF(CI$1,SUMIFS('IncStmt Data'!$H$2:$H$2051,'IncStmt Data'!$G$2:$G$2051,$A16,'IncStmt Data'!$A$2:$A$2051,CI$1),#N/A)</f>
        <v>#N/A</v>
      </c>
      <c r="CJ16" s="42" t="e">
        <f>IF(CJ$1,SUMIFS('IncStmt Data'!$H$2:$H$2051,'IncStmt Data'!$G$2:$G$2051,$A16,'IncStmt Data'!$A$2:$A$2051,CJ$1),#N/A)</f>
        <v>#N/A</v>
      </c>
      <c r="CK16" s="42" t="e">
        <f>IF(CK$1,SUMIFS('IncStmt Data'!$H$2:$H$2051,'IncStmt Data'!$G$2:$G$2051,$A16,'IncStmt Data'!$A$2:$A$2051,CK$1),#N/A)</f>
        <v>#N/A</v>
      </c>
      <c r="CL16" s="42" t="e">
        <f>IF(CL$1,SUMIFS('IncStmt Data'!$H$2:$H$2051,'IncStmt Data'!$G$2:$G$2051,$A16,'IncStmt Data'!$A$2:$A$2051,CL$1),#N/A)</f>
        <v>#N/A</v>
      </c>
      <c r="CM16" s="42" t="e">
        <f>IF(CM$1,SUMIFS('IncStmt Data'!$H$2:$H$2051,'IncStmt Data'!$G$2:$G$2051,$A16,'IncStmt Data'!$A$2:$A$2051,CM$1),#N/A)</f>
        <v>#N/A</v>
      </c>
      <c r="CN16" s="42" t="e">
        <f>IF(CN$1,SUMIFS('IncStmt Data'!$H$2:$H$2051,'IncStmt Data'!$G$2:$G$2051,$A16,'IncStmt Data'!$A$2:$A$2051,CN$1),#N/A)</f>
        <v>#N/A</v>
      </c>
      <c r="CO16" s="42" t="e">
        <f>IF(CO$1,SUMIFS('IncStmt Data'!$H$2:$H$2051,'IncStmt Data'!$G$2:$G$2051,$A16,'IncStmt Data'!$A$2:$A$2051,CO$1),#N/A)</f>
        <v>#N/A</v>
      </c>
      <c r="CP16" s="42" t="e">
        <f>IF(CP$1,SUMIFS('IncStmt Data'!$H$2:$H$2051,'IncStmt Data'!$G$2:$G$2051,$A16,'IncStmt Data'!$A$2:$A$2051,CP$1),#N/A)</f>
        <v>#N/A</v>
      </c>
      <c r="CQ16" s="42" t="e">
        <f>IF(CQ$1,SUMIFS('IncStmt Data'!$H$2:$H$2051,'IncStmt Data'!$G$2:$G$2051,$A16,'IncStmt Data'!$A$2:$A$2051,CQ$1),#N/A)</f>
        <v>#N/A</v>
      </c>
      <c r="CR16" s="42" t="e">
        <f>IF(CR$1,SUMIFS('IncStmt Data'!$H$2:$H$2051,'IncStmt Data'!$G$2:$G$2051,$A16,'IncStmt Data'!$A$2:$A$2051,CR$1),#N/A)</f>
        <v>#N/A</v>
      </c>
      <c r="CS16" s="42" t="e">
        <f>IF(CS$1,SUMIFS('IncStmt Data'!$H$2:$H$2051,'IncStmt Data'!$G$2:$G$2051,$A16,'IncStmt Data'!$A$2:$A$2051,CS$1),#N/A)</f>
        <v>#N/A</v>
      </c>
      <c r="CT16" s="42" t="e">
        <f>IF(CT$1,SUMIFS('IncStmt Data'!$H$2:$H$2051,'IncStmt Data'!$G$2:$G$2051,$A16,'IncStmt Data'!$A$2:$A$2051,CT$1),#N/A)</f>
        <v>#N/A</v>
      </c>
      <c r="CU16" s="42" t="e">
        <f>IF(CU$1,SUMIFS('IncStmt Data'!$H$2:$H$2051,'IncStmt Data'!$G$2:$G$2051,$A16,'IncStmt Data'!$A$2:$A$2051,CU$1),#N/A)</f>
        <v>#N/A</v>
      </c>
      <c r="CV16" s="42" t="e">
        <f>IF(CV$1,SUMIFS('IncStmt Data'!$H$2:$H$2051,'IncStmt Data'!$G$2:$G$2051,$A16,'IncStmt Data'!$A$2:$A$2051,CV$1),#N/A)</f>
        <v>#N/A</v>
      </c>
      <c r="CW16" s="42" t="e">
        <f>IF(CW$1,SUMIFS('IncStmt Data'!$H$2:$H$2051,'IncStmt Data'!$G$2:$G$2051,$A16,'IncStmt Data'!$A$2:$A$2051,CW$1),#N/A)</f>
        <v>#N/A</v>
      </c>
      <c r="CX16" s="42" t="e">
        <f>IF(CX$1,SUMIFS('IncStmt Data'!$H$2:$H$2051,'IncStmt Data'!$G$2:$G$2051,$A16,'IncStmt Data'!$A$2:$A$2051,CX$1),#N/A)</f>
        <v>#N/A</v>
      </c>
      <c r="CY16" s="42" t="e">
        <f>IF(CY$1,SUMIFS('IncStmt Data'!$H$2:$H$2051,'IncStmt Data'!$G$2:$G$2051,$A16,'IncStmt Data'!$A$2:$A$2051,CY$1),#N/A)</f>
        <v>#N/A</v>
      </c>
      <c r="CZ16" s="42" t="e">
        <f>IF(CZ$1,SUMIFS('IncStmt Data'!$H$2:$H$2051,'IncStmt Data'!$G$2:$G$2051,$A16,'IncStmt Data'!$A$2:$A$2051,CZ$1),#N/A)</f>
        <v>#N/A</v>
      </c>
    </row>
    <row r="17" spans="1:104" s="42" customFormat="1" x14ac:dyDescent="0.2">
      <c r="A17" s="60" t="s">
        <v>41</v>
      </c>
      <c r="B17" s="42" t="e">
        <f>IF(B$1,SUMIFS('IncStmt Data'!$H$2:$H$2051,'IncStmt Data'!$G$2:$G$2051,$A17,'IncStmt Data'!$A$2:$A$2051,B$1),#N/A)</f>
        <v>#N/A</v>
      </c>
      <c r="C17" s="42" t="e">
        <f>IF(C$1,SUMIFS('IncStmt Data'!$H$2:$H$2051,'IncStmt Data'!$G$2:$G$2051,$A17,'IncStmt Data'!$A$2:$A$2051,C$1),#N/A)</f>
        <v>#N/A</v>
      </c>
      <c r="D17" s="42" t="e">
        <f>IF(D$1,SUMIFS('IncStmt Data'!$H$2:$H$2051,'IncStmt Data'!$G$2:$G$2051,$A17,'IncStmt Data'!$A$2:$A$2051,D$1),#N/A)</f>
        <v>#N/A</v>
      </c>
      <c r="E17" s="42" t="e">
        <f>IF(E$1,SUMIFS('IncStmt Data'!$H$2:$H$2051,'IncStmt Data'!$G$2:$G$2051,$A17,'IncStmt Data'!$A$2:$A$2051,E$1),#N/A)</f>
        <v>#N/A</v>
      </c>
      <c r="F17" s="42" t="e">
        <f>IF(F$1,SUMIFS('IncStmt Data'!$H$2:$H$2051,'IncStmt Data'!$G$2:$G$2051,$A17,'IncStmt Data'!$A$2:$A$2051,F$1),#N/A)</f>
        <v>#N/A</v>
      </c>
      <c r="G17" s="42" t="e">
        <f>IF(G$1,SUMIFS('IncStmt Data'!$H$2:$H$2051,'IncStmt Data'!$G$2:$G$2051,$A17,'IncStmt Data'!$A$2:$A$2051,G$1),#N/A)</f>
        <v>#N/A</v>
      </c>
      <c r="H17" s="42" t="e">
        <f>IF(H$1,SUMIFS('IncStmt Data'!$H$2:$H$2051,'IncStmt Data'!$G$2:$G$2051,$A17,'IncStmt Data'!$A$2:$A$2051,H$1),#N/A)</f>
        <v>#N/A</v>
      </c>
      <c r="I17" s="42" t="e">
        <f>IF(I$1,SUMIFS('IncStmt Data'!$H$2:$H$2051,'IncStmt Data'!$G$2:$G$2051,$A17,'IncStmt Data'!$A$2:$A$2051,I$1),#N/A)</f>
        <v>#N/A</v>
      </c>
      <c r="J17" s="42" t="e">
        <f>IF(J$1,SUMIFS('IncStmt Data'!$H$2:$H$2051,'IncStmt Data'!$G$2:$G$2051,$A17,'IncStmt Data'!$A$2:$A$2051,J$1),#N/A)</f>
        <v>#N/A</v>
      </c>
      <c r="K17" s="42" t="e">
        <f>IF(K$1,SUMIFS('IncStmt Data'!$H$2:$H$2051,'IncStmt Data'!$G$2:$G$2051,$A17,'IncStmt Data'!$A$2:$A$2051,K$1),#N/A)</f>
        <v>#N/A</v>
      </c>
      <c r="L17" s="42" t="e">
        <f>IF(L$1,SUMIFS('IncStmt Data'!$H$2:$H$2051,'IncStmt Data'!$G$2:$G$2051,$A17,'IncStmt Data'!$A$2:$A$2051,L$1),#N/A)</f>
        <v>#N/A</v>
      </c>
      <c r="M17" s="42" t="e">
        <f>IF(M$1,SUMIFS('IncStmt Data'!$H$2:$H$2051,'IncStmt Data'!$G$2:$G$2051,$A17,'IncStmt Data'!$A$2:$A$2051,M$1),#N/A)</f>
        <v>#N/A</v>
      </c>
      <c r="N17" s="42" t="e">
        <f>IF(N$1,SUMIFS('IncStmt Data'!$H$2:$H$2051,'IncStmt Data'!$G$2:$G$2051,$A17,'IncStmt Data'!$A$2:$A$2051,N$1),#N/A)</f>
        <v>#N/A</v>
      </c>
      <c r="O17" s="42" t="e">
        <f>IF(O$1,SUMIFS('IncStmt Data'!$H$2:$H$2051,'IncStmt Data'!$G$2:$G$2051,$A17,'IncStmt Data'!$A$2:$A$2051,O$1),#N/A)</f>
        <v>#N/A</v>
      </c>
      <c r="P17" s="42" t="e">
        <f>IF(P$1,SUMIFS('IncStmt Data'!$H$2:$H$2051,'IncStmt Data'!$G$2:$G$2051,$A17,'IncStmt Data'!$A$2:$A$2051,P$1),#N/A)</f>
        <v>#N/A</v>
      </c>
      <c r="Q17" s="42" t="e">
        <f>IF(Q$1,SUMIFS('IncStmt Data'!$H$2:$H$2051,'IncStmt Data'!$G$2:$G$2051,$A17,'IncStmt Data'!$A$2:$A$2051,Q$1),#N/A)</f>
        <v>#N/A</v>
      </c>
      <c r="R17" s="42" t="e">
        <f>IF(R$1,SUMIFS('IncStmt Data'!$H$2:$H$2051,'IncStmt Data'!$G$2:$G$2051,$A17,'IncStmt Data'!$A$2:$A$2051,R$1),#N/A)</f>
        <v>#N/A</v>
      </c>
      <c r="S17" s="42" t="e">
        <f>IF(S$1,SUMIFS('IncStmt Data'!$H$2:$H$2051,'IncStmt Data'!$G$2:$G$2051,$A17,'IncStmt Data'!$A$2:$A$2051,S$1),#N/A)</f>
        <v>#N/A</v>
      </c>
      <c r="T17" s="42" t="e">
        <f>IF(T$1,SUMIFS('IncStmt Data'!$H$2:$H$2051,'IncStmt Data'!$G$2:$G$2051,$A17,'IncStmt Data'!$A$2:$A$2051,T$1),#N/A)</f>
        <v>#N/A</v>
      </c>
      <c r="U17" s="42" t="e">
        <f>IF(U$1,SUMIFS('IncStmt Data'!$H$2:$H$2051,'IncStmt Data'!$G$2:$G$2051,$A17,'IncStmt Data'!$A$2:$A$2051,U$1),#N/A)</f>
        <v>#N/A</v>
      </c>
      <c r="V17" s="42" t="e">
        <f>IF(V$1,SUMIFS('IncStmt Data'!$H$2:$H$2051,'IncStmt Data'!$G$2:$G$2051,$A17,'IncStmt Data'!$A$2:$A$2051,V$1),#N/A)</f>
        <v>#N/A</v>
      </c>
      <c r="W17" s="42" t="e">
        <f>IF(W$1,SUMIFS('IncStmt Data'!$H$2:$H$2051,'IncStmt Data'!$G$2:$G$2051,$A17,'IncStmt Data'!$A$2:$A$2051,W$1),#N/A)</f>
        <v>#N/A</v>
      </c>
      <c r="X17" s="42" t="e">
        <f>IF(X$1,SUMIFS('IncStmt Data'!$H$2:$H$2051,'IncStmt Data'!$G$2:$G$2051,$A17,'IncStmt Data'!$A$2:$A$2051,X$1),#N/A)</f>
        <v>#N/A</v>
      </c>
      <c r="Y17" s="42" t="e">
        <f>IF(Y$1,SUMIFS('IncStmt Data'!$H$2:$H$2051,'IncStmt Data'!$G$2:$G$2051,$A17,'IncStmt Data'!$A$2:$A$2051,Y$1),#N/A)</f>
        <v>#N/A</v>
      </c>
      <c r="Z17" s="42" t="e">
        <f>IF(Z$1,SUMIFS('IncStmt Data'!$H$2:$H$2051,'IncStmt Data'!$G$2:$G$2051,$A17,'IncStmt Data'!$A$2:$A$2051,Z$1),#N/A)</f>
        <v>#N/A</v>
      </c>
      <c r="AA17" s="42" t="e">
        <f>IF(AA$1,SUMIFS('IncStmt Data'!$H$2:$H$2051,'IncStmt Data'!$G$2:$G$2051,$A17,'IncStmt Data'!$A$2:$A$2051,AA$1),#N/A)</f>
        <v>#N/A</v>
      </c>
      <c r="AB17" s="42" t="e">
        <f>IF(AB$1,SUMIFS('IncStmt Data'!$H$2:$H$2051,'IncStmt Data'!$G$2:$G$2051,$A17,'IncStmt Data'!$A$2:$A$2051,AB$1),#N/A)</f>
        <v>#N/A</v>
      </c>
      <c r="AC17" s="42" t="e">
        <f>IF(AC$1,SUMIFS('IncStmt Data'!$H$2:$H$2051,'IncStmt Data'!$G$2:$G$2051,$A17,'IncStmt Data'!$A$2:$A$2051,AC$1),#N/A)</f>
        <v>#N/A</v>
      </c>
      <c r="AD17" s="42" t="e">
        <f>IF(AD$1,SUMIFS('IncStmt Data'!$H$2:$H$2051,'IncStmt Data'!$G$2:$G$2051,$A17,'IncStmt Data'!$A$2:$A$2051,AD$1),#N/A)</f>
        <v>#N/A</v>
      </c>
      <c r="AE17" s="42" t="e">
        <f>IF(AE$1,SUMIFS('IncStmt Data'!$H$2:$H$2051,'IncStmt Data'!$G$2:$G$2051,$A17,'IncStmt Data'!$A$2:$A$2051,AE$1),#N/A)</f>
        <v>#N/A</v>
      </c>
      <c r="AF17" s="42" t="e">
        <f>IF(AF$1,SUMIFS('IncStmt Data'!$H$2:$H$2051,'IncStmt Data'!$G$2:$G$2051,$A17,'IncStmt Data'!$A$2:$A$2051,AF$1),#N/A)</f>
        <v>#N/A</v>
      </c>
      <c r="AG17" s="42" t="e">
        <f>IF(AG$1,SUMIFS('IncStmt Data'!$H$2:$H$2051,'IncStmt Data'!$G$2:$G$2051,$A17,'IncStmt Data'!$A$2:$A$2051,AG$1),#N/A)</f>
        <v>#N/A</v>
      </c>
      <c r="AH17" s="42" t="e">
        <f>IF(AH$1,SUMIFS('IncStmt Data'!$H$2:$H$2051,'IncStmt Data'!$G$2:$G$2051,$A17,'IncStmt Data'!$A$2:$A$2051,AH$1),#N/A)</f>
        <v>#N/A</v>
      </c>
      <c r="AI17" s="42" t="e">
        <f>IF(AI$1,SUMIFS('IncStmt Data'!$H$2:$H$2051,'IncStmt Data'!$G$2:$G$2051,$A17,'IncStmt Data'!$A$2:$A$2051,AI$1),#N/A)</f>
        <v>#N/A</v>
      </c>
      <c r="AJ17" s="42" t="e">
        <f>IF(AJ$1,SUMIFS('IncStmt Data'!$H$2:$H$2051,'IncStmt Data'!$G$2:$G$2051,$A17,'IncStmt Data'!$A$2:$A$2051,AJ$1),#N/A)</f>
        <v>#N/A</v>
      </c>
      <c r="AK17" s="42" t="e">
        <f>IF(AK$1,SUMIFS('IncStmt Data'!$H$2:$H$2051,'IncStmt Data'!$G$2:$G$2051,$A17,'IncStmt Data'!$A$2:$A$2051,AK$1),#N/A)</f>
        <v>#N/A</v>
      </c>
      <c r="AL17" s="42" t="e">
        <f>IF(AL$1,SUMIFS('IncStmt Data'!$H$2:$H$2051,'IncStmt Data'!$G$2:$G$2051,$A17,'IncStmt Data'!$A$2:$A$2051,AL$1),#N/A)</f>
        <v>#N/A</v>
      </c>
      <c r="AM17" s="42" t="e">
        <f>IF(AM$1,SUMIFS('IncStmt Data'!$H$2:$H$2051,'IncStmt Data'!$G$2:$G$2051,$A17,'IncStmt Data'!$A$2:$A$2051,AM$1),#N/A)</f>
        <v>#N/A</v>
      </c>
      <c r="AN17" s="42" t="e">
        <f>IF(AN$1,SUMIFS('IncStmt Data'!$H$2:$H$2051,'IncStmt Data'!$G$2:$G$2051,$A17,'IncStmt Data'!$A$2:$A$2051,AN$1),#N/A)</f>
        <v>#N/A</v>
      </c>
      <c r="AO17" s="42" t="e">
        <f>IF(AO$1,SUMIFS('IncStmt Data'!$H$2:$H$2051,'IncStmt Data'!$G$2:$G$2051,$A17,'IncStmt Data'!$A$2:$A$2051,AO$1),#N/A)</f>
        <v>#N/A</v>
      </c>
      <c r="AP17" s="42" t="e">
        <f>IF(AP$1,SUMIFS('IncStmt Data'!$H$2:$H$2051,'IncStmt Data'!$G$2:$G$2051,$A17,'IncStmt Data'!$A$2:$A$2051,AP$1),#N/A)</f>
        <v>#N/A</v>
      </c>
      <c r="AQ17" s="42" t="e">
        <f>IF(AQ$1,SUMIFS('IncStmt Data'!$H$2:$H$2051,'IncStmt Data'!$G$2:$G$2051,$A17,'IncStmt Data'!$A$2:$A$2051,AQ$1),#N/A)</f>
        <v>#N/A</v>
      </c>
      <c r="AR17" s="42" t="e">
        <f>IF(AR$1,SUMIFS('IncStmt Data'!$H$2:$H$2051,'IncStmt Data'!$G$2:$G$2051,$A17,'IncStmt Data'!$A$2:$A$2051,AR$1),#N/A)</f>
        <v>#N/A</v>
      </c>
      <c r="AS17" s="42" t="e">
        <f>IF(AS$1,SUMIFS('IncStmt Data'!$H$2:$H$2051,'IncStmt Data'!$G$2:$G$2051,$A17,'IncStmt Data'!$A$2:$A$2051,AS$1),#N/A)</f>
        <v>#N/A</v>
      </c>
      <c r="AT17" s="42" t="e">
        <f>IF(AT$1,SUMIFS('IncStmt Data'!$H$2:$H$2051,'IncStmt Data'!$G$2:$G$2051,$A17,'IncStmt Data'!$A$2:$A$2051,AT$1),#N/A)</f>
        <v>#N/A</v>
      </c>
      <c r="AU17" s="42" t="e">
        <f>IF(AU$1,SUMIFS('IncStmt Data'!$H$2:$H$2051,'IncStmt Data'!$G$2:$G$2051,$A17,'IncStmt Data'!$A$2:$A$2051,AU$1),#N/A)</f>
        <v>#N/A</v>
      </c>
      <c r="AV17" s="42" t="e">
        <f>IF(AV$1,SUMIFS('IncStmt Data'!$H$2:$H$2051,'IncStmt Data'!$G$2:$G$2051,$A17,'IncStmt Data'!$A$2:$A$2051,AV$1),#N/A)</f>
        <v>#N/A</v>
      </c>
      <c r="AW17" s="42" t="e">
        <f>IF(AW$1,SUMIFS('IncStmt Data'!$H$2:$H$2051,'IncStmt Data'!$G$2:$G$2051,$A17,'IncStmt Data'!$A$2:$A$2051,AW$1),#N/A)</f>
        <v>#N/A</v>
      </c>
      <c r="AX17" s="42" t="e">
        <f>IF(AX$1,SUMIFS('IncStmt Data'!$H$2:$H$2051,'IncStmt Data'!$G$2:$G$2051,$A17,'IncStmt Data'!$A$2:$A$2051,AX$1),#N/A)</f>
        <v>#N/A</v>
      </c>
      <c r="AY17" s="42" t="e">
        <f>IF(AY$1,SUMIFS('IncStmt Data'!$H$2:$H$2051,'IncStmt Data'!$G$2:$G$2051,$A17,'IncStmt Data'!$A$2:$A$2051,AY$1),#N/A)</f>
        <v>#N/A</v>
      </c>
      <c r="AZ17" s="42" t="e">
        <f>IF(AZ$1,SUMIFS('IncStmt Data'!$H$2:$H$2051,'IncStmt Data'!$G$2:$G$2051,$A17,'IncStmt Data'!$A$2:$A$2051,AZ$1),#N/A)</f>
        <v>#N/A</v>
      </c>
      <c r="BA17" s="42" t="e">
        <f>IF(BA$1,SUMIFS('IncStmt Data'!$H$2:$H$2051,'IncStmt Data'!$G$2:$G$2051,$A17,'IncStmt Data'!$A$2:$A$2051,BA$1),#N/A)</f>
        <v>#N/A</v>
      </c>
      <c r="BB17" s="42" t="e">
        <f>IF(BB$1,SUMIFS('IncStmt Data'!$H$2:$H$2051,'IncStmt Data'!$G$2:$G$2051,$A17,'IncStmt Data'!$A$2:$A$2051,BB$1),#N/A)</f>
        <v>#N/A</v>
      </c>
      <c r="BC17" s="42" t="e">
        <f>IF(BC$1,SUMIFS('IncStmt Data'!$H$2:$H$2051,'IncStmt Data'!$G$2:$G$2051,$A17,'IncStmt Data'!$A$2:$A$2051,BC$1),#N/A)</f>
        <v>#N/A</v>
      </c>
      <c r="BD17" s="42" t="e">
        <f>IF(BD$1,SUMIFS('IncStmt Data'!$H$2:$H$2051,'IncStmt Data'!$G$2:$G$2051,$A17,'IncStmt Data'!$A$2:$A$2051,BD$1),#N/A)</f>
        <v>#N/A</v>
      </c>
      <c r="BE17" s="42" t="e">
        <f>IF(BE$1,SUMIFS('IncStmt Data'!$H$2:$H$2051,'IncStmt Data'!$G$2:$G$2051,$A17,'IncStmt Data'!$A$2:$A$2051,BE$1),#N/A)</f>
        <v>#N/A</v>
      </c>
      <c r="BF17" s="42" t="e">
        <f>IF(BF$1,SUMIFS('IncStmt Data'!$H$2:$H$2051,'IncStmt Data'!$G$2:$G$2051,$A17,'IncStmt Data'!$A$2:$A$2051,BF$1),#N/A)</f>
        <v>#N/A</v>
      </c>
      <c r="BG17" s="42" t="e">
        <f>IF(BG$1,SUMIFS('IncStmt Data'!$H$2:$H$2051,'IncStmt Data'!$G$2:$G$2051,$A17,'IncStmt Data'!$A$2:$A$2051,BG$1),#N/A)</f>
        <v>#N/A</v>
      </c>
      <c r="BH17" s="42" t="e">
        <f>IF(BH$1,SUMIFS('IncStmt Data'!$H$2:$H$2051,'IncStmt Data'!$G$2:$G$2051,$A17,'IncStmt Data'!$A$2:$A$2051,BH$1),#N/A)</f>
        <v>#N/A</v>
      </c>
      <c r="BI17" s="42" t="e">
        <f>IF(BI$1,SUMIFS('IncStmt Data'!$H$2:$H$2051,'IncStmt Data'!$G$2:$G$2051,$A17,'IncStmt Data'!$A$2:$A$2051,BI$1),#N/A)</f>
        <v>#N/A</v>
      </c>
      <c r="BJ17" s="42" t="e">
        <f>IF(BJ$1,SUMIFS('IncStmt Data'!$H$2:$H$2051,'IncStmt Data'!$G$2:$G$2051,$A17,'IncStmt Data'!$A$2:$A$2051,BJ$1),#N/A)</f>
        <v>#N/A</v>
      </c>
      <c r="BK17" s="42" t="e">
        <f>IF(BK$1,SUMIFS('IncStmt Data'!$H$2:$H$2051,'IncStmt Data'!$G$2:$G$2051,$A17,'IncStmt Data'!$A$2:$A$2051,BK$1),#N/A)</f>
        <v>#N/A</v>
      </c>
      <c r="BL17" s="42" t="e">
        <f>IF(BL$1,SUMIFS('IncStmt Data'!$H$2:$H$2051,'IncStmt Data'!$G$2:$G$2051,$A17,'IncStmt Data'!$A$2:$A$2051,BL$1),#N/A)</f>
        <v>#N/A</v>
      </c>
      <c r="BM17" s="42" t="e">
        <f>IF(BM$1,SUMIFS('IncStmt Data'!$H$2:$H$2051,'IncStmt Data'!$G$2:$G$2051,$A17,'IncStmt Data'!$A$2:$A$2051,BM$1),#N/A)</f>
        <v>#N/A</v>
      </c>
      <c r="BN17" s="42" t="e">
        <f>IF(BN$1,SUMIFS('IncStmt Data'!$H$2:$H$2051,'IncStmt Data'!$G$2:$G$2051,$A17,'IncStmt Data'!$A$2:$A$2051,BN$1),#N/A)</f>
        <v>#N/A</v>
      </c>
      <c r="BO17" s="42" t="e">
        <f>IF(BO$1,SUMIFS('IncStmt Data'!$H$2:$H$2051,'IncStmt Data'!$G$2:$G$2051,$A17,'IncStmt Data'!$A$2:$A$2051,BO$1),#N/A)</f>
        <v>#N/A</v>
      </c>
      <c r="BP17" s="42" t="e">
        <f>IF(BP$1,SUMIFS('IncStmt Data'!$H$2:$H$2051,'IncStmt Data'!$G$2:$G$2051,$A17,'IncStmt Data'!$A$2:$A$2051,BP$1),#N/A)</f>
        <v>#N/A</v>
      </c>
      <c r="BQ17" s="42" t="e">
        <f>IF(BQ$1,SUMIFS('IncStmt Data'!$H$2:$H$2051,'IncStmt Data'!$G$2:$G$2051,$A17,'IncStmt Data'!$A$2:$A$2051,BQ$1),#N/A)</f>
        <v>#N/A</v>
      </c>
      <c r="BR17" s="42" t="e">
        <f>IF(BR$1,SUMIFS('IncStmt Data'!$H$2:$H$2051,'IncStmt Data'!$G$2:$G$2051,$A17,'IncStmt Data'!$A$2:$A$2051,BR$1),#N/A)</f>
        <v>#N/A</v>
      </c>
      <c r="BS17" s="42" t="e">
        <f>IF(BS$1,SUMIFS('IncStmt Data'!$H$2:$H$2051,'IncStmt Data'!$G$2:$G$2051,$A17,'IncStmt Data'!$A$2:$A$2051,BS$1),#N/A)</f>
        <v>#N/A</v>
      </c>
      <c r="BT17" s="42" t="e">
        <f>IF(BT$1,SUMIFS('IncStmt Data'!$H$2:$H$2051,'IncStmt Data'!$G$2:$G$2051,$A17,'IncStmt Data'!$A$2:$A$2051,BT$1),#N/A)</f>
        <v>#N/A</v>
      </c>
      <c r="BU17" s="42" t="e">
        <f>IF(BU$1,SUMIFS('IncStmt Data'!$H$2:$H$2051,'IncStmt Data'!$G$2:$G$2051,$A17,'IncStmt Data'!$A$2:$A$2051,BU$1),#N/A)</f>
        <v>#N/A</v>
      </c>
      <c r="BV17" s="42" t="e">
        <f>IF(BV$1,SUMIFS('IncStmt Data'!$H$2:$H$2051,'IncStmt Data'!$G$2:$G$2051,$A17,'IncStmt Data'!$A$2:$A$2051,BV$1),#N/A)</f>
        <v>#N/A</v>
      </c>
      <c r="BW17" s="42" t="e">
        <f>IF(BW$1,SUMIFS('IncStmt Data'!$H$2:$H$2051,'IncStmt Data'!$G$2:$G$2051,$A17,'IncStmt Data'!$A$2:$A$2051,BW$1),#N/A)</f>
        <v>#N/A</v>
      </c>
      <c r="BX17" s="42" t="e">
        <f>IF(BX$1,SUMIFS('IncStmt Data'!$H$2:$H$2051,'IncStmt Data'!$G$2:$G$2051,$A17,'IncStmt Data'!$A$2:$A$2051,BX$1),#N/A)</f>
        <v>#N/A</v>
      </c>
      <c r="BY17" s="42" t="e">
        <f>IF(BY$1,SUMIFS('IncStmt Data'!$H$2:$H$2051,'IncStmt Data'!$G$2:$G$2051,$A17,'IncStmt Data'!$A$2:$A$2051,BY$1),#N/A)</f>
        <v>#N/A</v>
      </c>
      <c r="BZ17" s="42" t="e">
        <f>IF(BZ$1,SUMIFS('IncStmt Data'!$H$2:$H$2051,'IncStmt Data'!$G$2:$G$2051,$A17,'IncStmt Data'!$A$2:$A$2051,BZ$1),#N/A)</f>
        <v>#N/A</v>
      </c>
      <c r="CA17" s="42" t="e">
        <f>IF(CA$1,SUMIFS('IncStmt Data'!$H$2:$H$2051,'IncStmt Data'!$G$2:$G$2051,$A17,'IncStmt Data'!$A$2:$A$2051,CA$1),#N/A)</f>
        <v>#N/A</v>
      </c>
      <c r="CB17" s="42" t="e">
        <f>IF(CB$1,SUMIFS('IncStmt Data'!$H$2:$H$2051,'IncStmt Data'!$G$2:$G$2051,$A17,'IncStmt Data'!$A$2:$A$2051,CB$1),#N/A)</f>
        <v>#N/A</v>
      </c>
      <c r="CC17" s="42" t="e">
        <f>IF(CC$1,SUMIFS('IncStmt Data'!$H$2:$H$2051,'IncStmt Data'!$G$2:$G$2051,$A17,'IncStmt Data'!$A$2:$A$2051,CC$1),#N/A)</f>
        <v>#N/A</v>
      </c>
      <c r="CD17" s="42" t="e">
        <f>IF(CD$1,SUMIFS('IncStmt Data'!$H$2:$H$2051,'IncStmt Data'!$G$2:$G$2051,$A17,'IncStmt Data'!$A$2:$A$2051,CD$1),#N/A)</f>
        <v>#N/A</v>
      </c>
      <c r="CE17" s="42" t="e">
        <f>IF(CE$1,SUMIFS('IncStmt Data'!$H$2:$H$2051,'IncStmt Data'!$G$2:$G$2051,$A17,'IncStmt Data'!$A$2:$A$2051,CE$1),#N/A)</f>
        <v>#N/A</v>
      </c>
      <c r="CF17" s="42" t="e">
        <f>IF(CF$1,SUMIFS('IncStmt Data'!$H$2:$H$2051,'IncStmt Data'!$G$2:$G$2051,$A17,'IncStmt Data'!$A$2:$A$2051,CF$1),#N/A)</f>
        <v>#N/A</v>
      </c>
      <c r="CG17" s="42" t="e">
        <f>IF(CG$1,SUMIFS('IncStmt Data'!$H$2:$H$2051,'IncStmt Data'!$G$2:$G$2051,$A17,'IncStmt Data'!$A$2:$A$2051,CG$1),#N/A)</f>
        <v>#N/A</v>
      </c>
      <c r="CH17" s="42" t="e">
        <f>IF(CH$1,SUMIFS('IncStmt Data'!$H$2:$H$2051,'IncStmt Data'!$G$2:$G$2051,$A17,'IncStmt Data'!$A$2:$A$2051,CH$1),#N/A)</f>
        <v>#N/A</v>
      </c>
      <c r="CI17" s="42" t="e">
        <f>IF(CI$1,SUMIFS('IncStmt Data'!$H$2:$H$2051,'IncStmt Data'!$G$2:$G$2051,$A17,'IncStmt Data'!$A$2:$A$2051,CI$1),#N/A)</f>
        <v>#N/A</v>
      </c>
      <c r="CJ17" s="42" t="e">
        <f>IF(CJ$1,SUMIFS('IncStmt Data'!$H$2:$H$2051,'IncStmt Data'!$G$2:$G$2051,$A17,'IncStmt Data'!$A$2:$A$2051,CJ$1),#N/A)</f>
        <v>#N/A</v>
      </c>
      <c r="CK17" s="42" t="e">
        <f>IF(CK$1,SUMIFS('IncStmt Data'!$H$2:$H$2051,'IncStmt Data'!$G$2:$G$2051,$A17,'IncStmt Data'!$A$2:$A$2051,CK$1),#N/A)</f>
        <v>#N/A</v>
      </c>
      <c r="CL17" s="42" t="e">
        <f>IF(CL$1,SUMIFS('IncStmt Data'!$H$2:$H$2051,'IncStmt Data'!$G$2:$G$2051,$A17,'IncStmt Data'!$A$2:$A$2051,CL$1),#N/A)</f>
        <v>#N/A</v>
      </c>
      <c r="CM17" s="42" t="e">
        <f>IF(CM$1,SUMIFS('IncStmt Data'!$H$2:$H$2051,'IncStmt Data'!$G$2:$G$2051,$A17,'IncStmt Data'!$A$2:$A$2051,CM$1),#N/A)</f>
        <v>#N/A</v>
      </c>
      <c r="CN17" s="42" t="e">
        <f>IF(CN$1,SUMIFS('IncStmt Data'!$H$2:$H$2051,'IncStmt Data'!$G$2:$G$2051,$A17,'IncStmt Data'!$A$2:$A$2051,CN$1),#N/A)</f>
        <v>#N/A</v>
      </c>
      <c r="CO17" s="42" t="e">
        <f>IF(CO$1,SUMIFS('IncStmt Data'!$H$2:$H$2051,'IncStmt Data'!$G$2:$G$2051,$A17,'IncStmt Data'!$A$2:$A$2051,CO$1),#N/A)</f>
        <v>#N/A</v>
      </c>
      <c r="CP17" s="42" t="e">
        <f>IF(CP$1,SUMIFS('IncStmt Data'!$H$2:$H$2051,'IncStmt Data'!$G$2:$G$2051,$A17,'IncStmt Data'!$A$2:$A$2051,CP$1),#N/A)</f>
        <v>#N/A</v>
      </c>
      <c r="CQ17" s="42" t="e">
        <f>IF(CQ$1,SUMIFS('IncStmt Data'!$H$2:$H$2051,'IncStmt Data'!$G$2:$G$2051,$A17,'IncStmt Data'!$A$2:$A$2051,CQ$1),#N/A)</f>
        <v>#N/A</v>
      </c>
      <c r="CR17" s="42" t="e">
        <f>IF(CR$1,SUMIFS('IncStmt Data'!$H$2:$H$2051,'IncStmt Data'!$G$2:$G$2051,$A17,'IncStmt Data'!$A$2:$A$2051,CR$1),#N/A)</f>
        <v>#N/A</v>
      </c>
      <c r="CS17" s="42" t="e">
        <f>IF(CS$1,SUMIFS('IncStmt Data'!$H$2:$H$2051,'IncStmt Data'!$G$2:$G$2051,$A17,'IncStmt Data'!$A$2:$A$2051,CS$1),#N/A)</f>
        <v>#N/A</v>
      </c>
      <c r="CT17" s="42" t="e">
        <f>IF(CT$1,SUMIFS('IncStmt Data'!$H$2:$H$2051,'IncStmt Data'!$G$2:$G$2051,$A17,'IncStmt Data'!$A$2:$A$2051,CT$1),#N/A)</f>
        <v>#N/A</v>
      </c>
      <c r="CU17" s="42" t="e">
        <f>IF(CU$1,SUMIFS('IncStmt Data'!$H$2:$H$2051,'IncStmt Data'!$G$2:$G$2051,$A17,'IncStmt Data'!$A$2:$A$2051,CU$1),#N/A)</f>
        <v>#N/A</v>
      </c>
      <c r="CV17" s="42" t="e">
        <f>IF(CV$1,SUMIFS('IncStmt Data'!$H$2:$H$2051,'IncStmt Data'!$G$2:$G$2051,$A17,'IncStmt Data'!$A$2:$A$2051,CV$1),#N/A)</f>
        <v>#N/A</v>
      </c>
      <c r="CW17" s="42" t="e">
        <f>IF(CW$1,SUMIFS('IncStmt Data'!$H$2:$H$2051,'IncStmt Data'!$G$2:$G$2051,$A17,'IncStmt Data'!$A$2:$A$2051,CW$1),#N/A)</f>
        <v>#N/A</v>
      </c>
      <c r="CX17" s="42" t="e">
        <f>IF(CX$1,SUMIFS('IncStmt Data'!$H$2:$H$2051,'IncStmt Data'!$G$2:$G$2051,$A17,'IncStmt Data'!$A$2:$A$2051,CX$1),#N/A)</f>
        <v>#N/A</v>
      </c>
      <c r="CY17" s="42" t="e">
        <f>IF(CY$1,SUMIFS('IncStmt Data'!$H$2:$H$2051,'IncStmt Data'!$G$2:$G$2051,$A17,'IncStmt Data'!$A$2:$A$2051,CY$1),#N/A)</f>
        <v>#N/A</v>
      </c>
      <c r="CZ17" s="42" t="e">
        <f>IF(CZ$1,SUMIFS('IncStmt Data'!$H$2:$H$2051,'IncStmt Data'!$G$2:$G$2051,$A17,'IncStmt Data'!$A$2:$A$2051,CZ$1),#N/A)</f>
        <v>#N/A</v>
      </c>
    </row>
    <row r="18" spans="1:104" s="42" customFormat="1" x14ac:dyDescent="0.2">
      <c r="A18" s="60" t="s">
        <v>156</v>
      </c>
      <c r="B18" s="42" t="e">
        <f>IF(B$1,SUMIFS('IncStmt Data'!$H$2:$H$2051,'IncStmt Data'!$G$2:$G$2051,$A18,'IncStmt Data'!$A$2:$A$2051,B$1),#N/A)</f>
        <v>#N/A</v>
      </c>
      <c r="C18" s="42" t="e">
        <f>IF(C$1,SUMIFS('IncStmt Data'!$H$2:$H$2051,'IncStmt Data'!$G$2:$G$2051,$A18,'IncStmt Data'!$A$2:$A$2051,C$1),#N/A)</f>
        <v>#N/A</v>
      </c>
      <c r="D18" s="42" t="e">
        <f>IF(D$1,SUMIFS('IncStmt Data'!$H$2:$H$2051,'IncStmt Data'!$G$2:$G$2051,$A18,'IncStmt Data'!$A$2:$A$2051,D$1),#N/A)</f>
        <v>#N/A</v>
      </c>
      <c r="E18" s="42" t="e">
        <f>IF(E$1,SUMIFS('IncStmt Data'!$H$2:$H$2051,'IncStmt Data'!$G$2:$G$2051,$A18,'IncStmt Data'!$A$2:$A$2051,E$1),#N/A)</f>
        <v>#N/A</v>
      </c>
      <c r="F18" s="42" t="e">
        <f>IF(F$1,SUMIFS('IncStmt Data'!$H$2:$H$2051,'IncStmt Data'!$G$2:$G$2051,$A18,'IncStmt Data'!$A$2:$A$2051,F$1),#N/A)</f>
        <v>#N/A</v>
      </c>
      <c r="G18" s="42" t="e">
        <f>IF(G$1,SUMIFS('IncStmt Data'!$H$2:$H$2051,'IncStmt Data'!$G$2:$G$2051,$A18,'IncStmt Data'!$A$2:$A$2051,G$1),#N/A)</f>
        <v>#N/A</v>
      </c>
      <c r="H18" s="42" t="e">
        <f>IF(H$1,SUMIFS('IncStmt Data'!$H$2:$H$2051,'IncStmt Data'!$G$2:$G$2051,$A18,'IncStmt Data'!$A$2:$A$2051,H$1),#N/A)</f>
        <v>#N/A</v>
      </c>
      <c r="I18" s="42" t="e">
        <f>IF(I$1,SUMIFS('IncStmt Data'!$H$2:$H$2051,'IncStmt Data'!$G$2:$G$2051,$A18,'IncStmt Data'!$A$2:$A$2051,I$1),#N/A)</f>
        <v>#N/A</v>
      </c>
      <c r="J18" s="42" t="e">
        <f>IF(J$1,SUMIFS('IncStmt Data'!$H$2:$H$2051,'IncStmt Data'!$G$2:$G$2051,$A18,'IncStmt Data'!$A$2:$A$2051,J$1),#N/A)</f>
        <v>#N/A</v>
      </c>
      <c r="K18" s="42" t="e">
        <f>IF(K$1,SUMIFS('IncStmt Data'!$H$2:$H$2051,'IncStmt Data'!$G$2:$G$2051,$A18,'IncStmt Data'!$A$2:$A$2051,K$1),#N/A)</f>
        <v>#N/A</v>
      </c>
      <c r="L18" s="42" t="e">
        <f>IF(L$1,SUMIFS('IncStmt Data'!$H$2:$H$2051,'IncStmt Data'!$G$2:$G$2051,$A18,'IncStmt Data'!$A$2:$A$2051,L$1),#N/A)</f>
        <v>#N/A</v>
      </c>
      <c r="M18" s="42" t="e">
        <f>IF(M$1,SUMIFS('IncStmt Data'!$H$2:$H$2051,'IncStmt Data'!$G$2:$G$2051,$A18,'IncStmt Data'!$A$2:$A$2051,M$1),#N/A)</f>
        <v>#N/A</v>
      </c>
      <c r="N18" s="42" t="e">
        <f>IF(N$1,SUMIFS('IncStmt Data'!$H$2:$H$2051,'IncStmt Data'!$G$2:$G$2051,$A18,'IncStmt Data'!$A$2:$A$2051,N$1),#N/A)</f>
        <v>#N/A</v>
      </c>
      <c r="O18" s="42" t="e">
        <f>IF(O$1,SUMIFS('IncStmt Data'!$H$2:$H$2051,'IncStmt Data'!$G$2:$G$2051,$A18,'IncStmt Data'!$A$2:$A$2051,O$1),#N/A)</f>
        <v>#N/A</v>
      </c>
      <c r="P18" s="42" t="e">
        <f>IF(P$1,SUMIFS('IncStmt Data'!$H$2:$H$2051,'IncStmt Data'!$G$2:$G$2051,$A18,'IncStmt Data'!$A$2:$A$2051,P$1),#N/A)</f>
        <v>#N/A</v>
      </c>
      <c r="Q18" s="42" t="e">
        <f>IF(Q$1,SUMIFS('IncStmt Data'!$H$2:$H$2051,'IncStmt Data'!$G$2:$G$2051,$A18,'IncStmt Data'!$A$2:$A$2051,Q$1),#N/A)</f>
        <v>#N/A</v>
      </c>
      <c r="R18" s="42" t="e">
        <f>IF(R$1,SUMIFS('IncStmt Data'!$H$2:$H$2051,'IncStmt Data'!$G$2:$G$2051,$A18,'IncStmt Data'!$A$2:$A$2051,R$1),#N/A)</f>
        <v>#N/A</v>
      </c>
      <c r="S18" s="42" t="e">
        <f>IF(S$1,SUMIFS('IncStmt Data'!$H$2:$H$2051,'IncStmt Data'!$G$2:$G$2051,$A18,'IncStmt Data'!$A$2:$A$2051,S$1),#N/A)</f>
        <v>#N/A</v>
      </c>
      <c r="T18" s="42" t="e">
        <f>IF(T$1,SUMIFS('IncStmt Data'!$H$2:$H$2051,'IncStmt Data'!$G$2:$G$2051,$A18,'IncStmt Data'!$A$2:$A$2051,T$1),#N/A)</f>
        <v>#N/A</v>
      </c>
      <c r="U18" s="42" t="e">
        <f>IF(U$1,SUMIFS('IncStmt Data'!$H$2:$H$2051,'IncStmt Data'!$G$2:$G$2051,$A18,'IncStmt Data'!$A$2:$A$2051,U$1),#N/A)</f>
        <v>#N/A</v>
      </c>
      <c r="V18" s="42" t="e">
        <f>IF(V$1,SUMIFS('IncStmt Data'!$H$2:$H$2051,'IncStmt Data'!$G$2:$G$2051,$A18,'IncStmt Data'!$A$2:$A$2051,V$1),#N/A)</f>
        <v>#N/A</v>
      </c>
      <c r="W18" s="42" t="e">
        <f>IF(W$1,SUMIFS('IncStmt Data'!$H$2:$H$2051,'IncStmt Data'!$G$2:$G$2051,$A18,'IncStmt Data'!$A$2:$A$2051,W$1),#N/A)</f>
        <v>#N/A</v>
      </c>
      <c r="X18" s="42" t="e">
        <f>IF(X$1,SUMIFS('IncStmt Data'!$H$2:$H$2051,'IncStmt Data'!$G$2:$G$2051,$A18,'IncStmt Data'!$A$2:$A$2051,X$1),#N/A)</f>
        <v>#N/A</v>
      </c>
      <c r="Y18" s="42" t="e">
        <f>IF(Y$1,SUMIFS('IncStmt Data'!$H$2:$H$2051,'IncStmt Data'!$G$2:$G$2051,$A18,'IncStmt Data'!$A$2:$A$2051,Y$1),#N/A)</f>
        <v>#N/A</v>
      </c>
      <c r="Z18" s="42" t="e">
        <f>IF(Z$1,SUMIFS('IncStmt Data'!$H$2:$H$2051,'IncStmt Data'!$G$2:$G$2051,$A18,'IncStmt Data'!$A$2:$A$2051,Z$1),#N/A)</f>
        <v>#N/A</v>
      </c>
      <c r="AA18" s="42" t="e">
        <f>IF(AA$1,SUMIFS('IncStmt Data'!$H$2:$H$2051,'IncStmt Data'!$G$2:$G$2051,$A18,'IncStmt Data'!$A$2:$A$2051,AA$1),#N/A)</f>
        <v>#N/A</v>
      </c>
      <c r="AB18" s="42" t="e">
        <f>IF(AB$1,SUMIFS('IncStmt Data'!$H$2:$H$2051,'IncStmt Data'!$G$2:$G$2051,$A18,'IncStmt Data'!$A$2:$A$2051,AB$1),#N/A)</f>
        <v>#N/A</v>
      </c>
      <c r="AC18" s="42" t="e">
        <f>IF(AC$1,SUMIFS('IncStmt Data'!$H$2:$H$2051,'IncStmt Data'!$G$2:$G$2051,$A18,'IncStmt Data'!$A$2:$A$2051,AC$1),#N/A)</f>
        <v>#N/A</v>
      </c>
      <c r="AD18" s="42" t="e">
        <f>IF(AD$1,SUMIFS('IncStmt Data'!$H$2:$H$2051,'IncStmt Data'!$G$2:$G$2051,$A18,'IncStmt Data'!$A$2:$A$2051,AD$1),#N/A)</f>
        <v>#N/A</v>
      </c>
      <c r="AE18" s="42" t="e">
        <f>IF(AE$1,SUMIFS('IncStmt Data'!$H$2:$H$2051,'IncStmt Data'!$G$2:$G$2051,$A18,'IncStmt Data'!$A$2:$A$2051,AE$1),#N/A)</f>
        <v>#N/A</v>
      </c>
      <c r="AF18" s="42" t="e">
        <f>IF(AF$1,SUMIFS('IncStmt Data'!$H$2:$H$2051,'IncStmt Data'!$G$2:$G$2051,$A18,'IncStmt Data'!$A$2:$A$2051,AF$1),#N/A)</f>
        <v>#N/A</v>
      </c>
      <c r="AG18" s="42" t="e">
        <f>IF(AG$1,SUMIFS('IncStmt Data'!$H$2:$H$2051,'IncStmt Data'!$G$2:$G$2051,$A18,'IncStmt Data'!$A$2:$A$2051,AG$1),#N/A)</f>
        <v>#N/A</v>
      </c>
      <c r="AH18" s="42" t="e">
        <f>IF(AH$1,SUMIFS('IncStmt Data'!$H$2:$H$2051,'IncStmt Data'!$G$2:$G$2051,$A18,'IncStmt Data'!$A$2:$A$2051,AH$1),#N/A)</f>
        <v>#N/A</v>
      </c>
      <c r="AI18" s="42" t="e">
        <f>IF(AI$1,SUMIFS('IncStmt Data'!$H$2:$H$2051,'IncStmt Data'!$G$2:$G$2051,$A18,'IncStmt Data'!$A$2:$A$2051,AI$1),#N/A)</f>
        <v>#N/A</v>
      </c>
      <c r="AJ18" s="42" t="e">
        <f>IF(AJ$1,SUMIFS('IncStmt Data'!$H$2:$H$2051,'IncStmt Data'!$G$2:$G$2051,$A18,'IncStmt Data'!$A$2:$A$2051,AJ$1),#N/A)</f>
        <v>#N/A</v>
      </c>
      <c r="AK18" s="42" t="e">
        <f>IF(AK$1,SUMIFS('IncStmt Data'!$H$2:$H$2051,'IncStmt Data'!$G$2:$G$2051,$A18,'IncStmt Data'!$A$2:$A$2051,AK$1),#N/A)</f>
        <v>#N/A</v>
      </c>
      <c r="AL18" s="42" t="e">
        <f>IF(AL$1,SUMIFS('IncStmt Data'!$H$2:$H$2051,'IncStmt Data'!$G$2:$G$2051,$A18,'IncStmt Data'!$A$2:$A$2051,AL$1),#N/A)</f>
        <v>#N/A</v>
      </c>
      <c r="AM18" s="42" t="e">
        <f>IF(AM$1,SUMIFS('IncStmt Data'!$H$2:$H$2051,'IncStmt Data'!$G$2:$G$2051,$A18,'IncStmt Data'!$A$2:$A$2051,AM$1),#N/A)</f>
        <v>#N/A</v>
      </c>
      <c r="AN18" s="42" t="e">
        <f>IF(AN$1,SUMIFS('IncStmt Data'!$H$2:$H$2051,'IncStmt Data'!$G$2:$G$2051,$A18,'IncStmt Data'!$A$2:$A$2051,AN$1),#N/A)</f>
        <v>#N/A</v>
      </c>
      <c r="AO18" s="42" t="e">
        <f>IF(AO$1,SUMIFS('IncStmt Data'!$H$2:$H$2051,'IncStmt Data'!$G$2:$G$2051,$A18,'IncStmt Data'!$A$2:$A$2051,AO$1),#N/A)</f>
        <v>#N/A</v>
      </c>
      <c r="AP18" s="42" t="e">
        <f>IF(AP$1,SUMIFS('IncStmt Data'!$H$2:$H$2051,'IncStmt Data'!$G$2:$G$2051,$A18,'IncStmt Data'!$A$2:$A$2051,AP$1),#N/A)</f>
        <v>#N/A</v>
      </c>
      <c r="AQ18" s="42" t="e">
        <f>IF(AQ$1,SUMIFS('IncStmt Data'!$H$2:$H$2051,'IncStmt Data'!$G$2:$G$2051,$A18,'IncStmt Data'!$A$2:$A$2051,AQ$1),#N/A)</f>
        <v>#N/A</v>
      </c>
      <c r="AR18" s="42" t="e">
        <f>IF(AR$1,SUMIFS('IncStmt Data'!$H$2:$H$2051,'IncStmt Data'!$G$2:$G$2051,$A18,'IncStmt Data'!$A$2:$A$2051,AR$1),#N/A)</f>
        <v>#N/A</v>
      </c>
      <c r="AS18" s="42" t="e">
        <f>IF(AS$1,SUMIFS('IncStmt Data'!$H$2:$H$2051,'IncStmt Data'!$G$2:$G$2051,$A18,'IncStmt Data'!$A$2:$A$2051,AS$1),#N/A)</f>
        <v>#N/A</v>
      </c>
      <c r="AT18" s="42" t="e">
        <f>IF(AT$1,SUMIFS('IncStmt Data'!$H$2:$H$2051,'IncStmt Data'!$G$2:$G$2051,$A18,'IncStmt Data'!$A$2:$A$2051,AT$1),#N/A)</f>
        <v>#N/A</v>
      </c>
      <c r="AU18" s="42" t="e">
        <f>IF(AU$1,SUMIFS('IncStmt Data'!$H$2:$H$2051,'IncStmt Data'!$G$2:$G$2051,$A18,'IncStmt Data'!$A$2:$A$2051,AU$1),#N/A)</f>
        <v>#N/A</v>
      </c>
      <c r="AV18" s="42" t="e">
        <f>IF(AV$1,SUMIFS('IncStmt Data'!$H$2:$H$2051,'IncStmt Data'!$G$2:$G$2051,$A18,'IncStmt Data'!$A$2:$A$2051,AV$1),#N/A)</f>
        <v>#N/A</v>
      </c>
      <c r="AW18" s="42" t="e">
        <f>IF(AW$1,SUMIFS('IncStmt Data'!$H$2:$H$2051,'IncStmt Data'!$G$2:$G$2051,$A18,'IncStmt Data'!$A$2:$A$2051,AW$1),#N/A)</f>
        <v>#N/A</v>
      </c>
      <c r="AX18" s="42" t="e">
        <f>IF(AX$1,SUMIFS('IncStmt Data'!$H$2:$H$2051,'IncStmt Data'!$G$2:$G$2051,$A18,'IncStmt Data'!$A$2:$A$2051,AX$1),#N/A)</f>
        <v>#N/A</v>
      </c>
      <c r="AY18" s="42" t="e">
        <f>IF(AY$1,SUMIFS('IncStmt Data'!$H$2:$H$2051,'IncStmt Data'!$G$2:$G$2051,$A18,'IncStmt Data'!$A$2:$A$2051,AY$1),#N/A)</f>
        <v>#N/A</v>
      </c>
      <c r="AZ18" s="42" t="e">
        <f>IF(AZ$1,SUMIFS('IncStmt Data'!$H$2:$H$2051,'IncStmt Data'!$G$2:$G$2051,$A18,'IncStmt Data'!$A$2:$A$2051,AZ$1),#N/A)</f>
        <v>#N/A</v>
      </c>
      <c r="BA18" s="42" t="e">
        <f>IF(BA$1,SUMIFS('IncStmt Data'!$H$2:$H$2051,'IncStmt Data'!$G$2:$G$2051,$A18,'IncStmt Data'!$A$2:$A$2051,BA$1),#N/A)</f>
        <v>#N/A</v>
      </c>
      <c r="BB18" s="42" t="e">
        <f>IF(BB$1,SUMIFS('IncStmt Data'!$H$2:$H$2051,'IncStmt Data'!$G$2:$G$2051,$A18,'IncStmt Data'!$A$2:$A$2051,BB$1),#N/A)</f>
        <v>#N/A</v>
      </c>
      <c r="BC18" s="42" t="e">
        <f>IF(BC$1,SUMIFS('IncStmt Data'!$H$2:$H$2051,'IncStmt Data'!$G$2:$G$2051,$A18,'IncStmt Data'!$A$2:$A$2051,BC$1),#N/A)</f>
        <v>#N/A</v>
      </c>
      <c r="BD18" s="42" t="e">
        <f>IF(BD$1,SUMIFS('IncStmt Data'!$H$2:$H$2051,'IncStmt Data'!$G$2:$G$2051,$A18,'IncStmt Data'!$A$2:$A$2051,BD$1),#N/A)</f>
        <v>#N/A</v>
      </c>
      <c r="BE18" s="42" t="e">
        <f>IF(BE$1,SUMIFS('IncStmt Data'!$H$2:$H$2051,'IncStmt Data'!$G$2:$G$2051,$A18,'IncStmt Data'!$A$2:$A$2051,BE$1),#N/A)</f>
        <v>#N/A</v>
      </c>
      <c r="BF18" s="42" t="e">
        <f>IF(BF$1,SUMIFS('IncStmt Data'!$H$2:$H$2051,'IncStmt Data'!$G$2:$G$2051,$A18,'IncStmt Data'!$A$2:$A$2051,BF$1),#N/A)</f>
        <v>#N/A</v>
      </c>
      <c r="BG18" s="42" t="e">
        <f>IF(BG$1,SUMIFS('IncStmt Data'!$H$2:$H$2051,'IncStmt Data'!$G$2:$G$2051,$A18,'IncStmt Data'!$A$2:$A$2051,BG$1),#N/A)</f>
        <v>#N/A</v>
      </c>
      <c r="BH18" s="42" t="e">
        <f>IF(BH$1,SUMIFS('IncStmt Data'!$H$2:$H$2051,'IncStmt Data'!$G$2:$G$2051,$A18,'IncStmt Data'!$A$2:$A$2051,BH$1),#N/A)</f>
        <v>#N/A</v>
      </c>
      <c r="BI18" s="42" t="e">
        <f>IF(BI$1,SUMIFS('IncStmt Data'!$H$2:$H$2051,'IncStmt Data'!$G$2:$G$2051,$A18,'IncStmt Data'!$A$2:$A$2051,BI$1),#N/A)</f>
        <v>#N/A</v>
      </c>
      <c r="BJ18" s="42" t="e">
        <f>IF(BJ$1,SUMIFS('IncStmt Data'!$H$2:$H$2051,'IncStmt Data'!$G$2:$G$2051,$A18,'IncStmt Data'!$A$2:$A$2051,BJ$1),#N/A)</f>
        <v>#N/A</v>
      </c>
      <c r="BK18" s="42" t="e">
        <f>IF(BK$1,SUMIFS('IncStmt Data'!$H$2:$H$2051,'IncStmt Data'!$G$2:$G$2051,$A18,'IncStmt Data'!$A$2:$A$2051,BK$1),#N/A)</f>
        <v>#N/A</v>
      </c>
      <c r="BL18" s="42" t="e">
        <f>IF(BL$1,SUMIFS('IncStmt Data'!$H$2:$H$2051,'IncStmt Data'!$G$2:$G$2051,$A18,'IncStmt Data'!$A$2:$A$2051,BL$1),#N/A)</f>
        <v>#N/A</v>
      </c>
      <c r="BM18" s="42" t="e">
        <f>IF(BM$1,SUMIFS('IncStmt Data'!$H$2:$H$2051,'IncStmt Data'!$G$2:$G$2051,$A18,'IncStmt Data'!$A$2:$A$2051,BM$1),#N/A)</f>
        <v>#N/A</v>
      </c>
      <c r="BN18" s="42" t="e">
        <f>IF(BN$1,SUMIFS('IncStmt Data'!$H$2:$H$2051,'IncStmt Data'!$G$2:$G$2051,$A18,'IncStmt Data'!$A$2:$A$2051,BN$1),#N/A)</f>
        <v>#N/A</v>
      </c>
      <c r="BO18" s="42" t="e">
        <f>IF(BO$1,SUMIFS('IncStmt Data'!$H$2:$H$2051,'IncStmt Data'!$G$2:$G$2051,$A18,'IncStmt Data'!$A$2:$A$2051,BO$1),#N/A)</f>
        <v>#N/A</v>
      </c>
      <c r="BP18" s="42" t="e">
        <f>IF(BP$1,SUMIFS('IncStmt Data'!$H$2:$H$2051,'IncStmt Data'!$G$2:$G$2051,$A18,'IncStmt Data'!$A$2:$A$2051,BP$1),#N/A)</f>
        <v>#N/A</v>
      </c>
      <c r="BQ18" s="42" t="e">
        <f>IF(BQ$1,SUMIFS('IncStmt Data'!$H$2:$H$2051,'IncStmt Data'!$G$2:$G$2051,$A18,'IncStmt Data'!$A$2:$A$2051,BQ$1),#N/A)</f>
        <v>#N/A</v>
      </c>
      <c r="BR18" s="42" t="e">
        <f>IF(BR$1,SUMIFS('IncStmt Data'!$H$2:$H$2051,'IncStmt Data'!$G$2:$G$2051,$A18,'IncStmt Data'!$A$2:$A$2051,BR$1),#N/A)</f>
        <v>#N/A</v>
      </c>
      <c r="BS18" s="42" t="e">
        <f>IF(BS$1,SUMIFS('IncStmt Data'!$H$2:$H$2051,'IncStmt Data'!$G$2:$G$2051,$A18,'IncStmt Data'!$A$2:$A$2051,BS$1),#N/A)</f>
        <v>#N/A</v>
      </c>
      <c r="BT18" s="42" t="e">
        <f>IF(BT$1,SUMIFS('IncStmt Data'!$H$2:$H$2051,'IncStmt Data'!$G$2:$G$2051,$A18,'IncStmt Data'!$A$2:$A$2051,BT$1),#N/A)</f>
        <v>#N/A</v>
      </c>
      <c r="BU18" s="42" t="e">
        <f>IF(BU$1,SUMIFS('IncStmt Data'!$H$2:$H$2051,'IncStmt Data'!$G$2:$G$2051,$A18,'IncStmt Data'!$A$2:$A$2051,BU$1),#N/A)</f>
        <v>#N/A</v>
      </c>
      <c r="BV18" s="42" t="e">
        <f>IF(BV$1,SUMIFS('IncStmt Data'!$H$2:$H$2051,'IncStmt Data'!$G$2:$G$2051,$A18,'IncStmt Data'!$A$2:$A$2051,BV$1),#N/A)</f>
        <v>#N/A</v>
      </c>
      <c r="BW18" s="42" t="e">
        <f>IF(BW$1,SUMIFS('IncStmt Data'!$H$2:$H$2051,'IncStmt Data'!$G$2:$G$2051,$A18,'IncStmt Data'!$A$2:$A$2051,BW$1),#N/A)</f>
        <v>#N/A</v>
      </c>
      <c r="BX18" s="42" t="e">
        <f>IF(BX$1,SUMIFS('IncStmt Data'!$H$2:$H$2051,'IncStmt Data'!$G$2:$G$2051,$A18,'IncStmt Data'!$A$2:$A$2051,BX$1),#N/A)</f>
        <v>#N/A</v>
      </c>
      <c r="BY18" s="42" t="e">
        <f>IF(BY$1,SUMIFS('IncStmt Data'!$H$2:$H$2051,'IncStmt Data'!$G$2:$G$2051,$A18,'IncStmt Data'!$A$2:$A$2051,BY$1),#N/A)</f>
        <v>#N/A</v>
      </c>
      <c r="BZ18" s="42" t="e">
        <f>IF(BZ$1,SUMIFS('IncStmt Data'!$H$2:$H$2051,'IncStmt Data'!$G$2:$G$2051,$A18,'IncStmt Data'!$A$2:$A$2051,BZ$1),#N/A)</f>
        <v>#N/A</v>
      </c>
      <c r="CA18" s="42" t="e">
        <f>IF(CA$1,SUMIFS('IncStmt Data'!$H$2:$H$2051,'IncStmt Data'!$G$2:$G$2051,$A18,'IncStmt Data'!$A$2:$A$2051,CA$1),#N/A)</f>
        <v>#N/A</v>
      </c>
      <c r="CB18" s="42" t="e">
        <f>IF(CB$1,SUMIFS('IncStmt Data'!$H$2:$H$2051,'IncStmt Data'!$G$2:$G$2051,$A18,'IncStmt Data'!$A$2:$A$2051,CB$1),#N/A)</f>
        <v>#N/A</v>
      </c>
      <c r="CC18" s="42" t="e">
        <f>IF(CC$1,SUMIFS('IncStmt Data'!$H$2:$H$2051,'IncStmt Data'!$G$2:$G$2051,$A18,'IncStmt Data'!$A$2:$A$2051,CC$1),#N/A)</f>
        <v>#N/A</v>
      </c>
      <c r="CD18" s="42" t="e">
        <f>IF(CD$1,SUMIFS('IncStmt Data'!$H$2:$H$2051,'IncStmt Data'!$G$2:$G$2051,$A18,'IncStmt Data'!$A$2:$A$2051,CD$1),#N/A)</f>
        <v>#N/A</v>
      </c>
      <c r="CE18" s="42" t="e">
        <f>IF(CE$1,SUMIFS('IncStmt Data'!$H$2:$H$2051,'IncStmt Data'!$G$2:$G$2051,$A18,'IncStmt Data'!$A$2:$A$2051,CE$1),#N/A)</f>
        <v>#N/A</v>
      </c>
      <c r="CF18" s="42" t="e">
        <f>IF(CF$1,SUMIFS('IncStmt Data'!$H$2:$H$2051,'IncStmt Data'!$G$2:$G$2051,$A18,'IncStmt Data'!$A$2:$A$2051,CF$1),#N/A)</f>
        <v>#N/A</v>
      </c>
      <c r="CG18" s="42" t="e">
        <f>IF(CG$1,SUMIFS('IncStmt Data'!$H$2:$H$2051,'IncStmt Data'!$G$2:$G$2051,$A18,'IncStmt Data'!$A$2:$A$2051,CG$1),#N/A)</f>
        <v>#N/A</v>
      </c>
      <c r="CH18" s="42" t="e">
        <f>IF(CH$1,SUMIFS('IncStmt Data'!$H$2:$H$2051,'IncStmt Data'!$G$2:$G$2051,$A18,'IncStmt Data'!$A$2:$A$2051,CH$1),#N/A)</f>
        <v>#N/A</v>
      </c>
      <c r="CI18" s="42" t="e">
        <f>IF(CI$1,SUMIFS('IncStmt Data'!$H$2:$H$2051,'IncStmt Data'!$G$2:$G$2051,$A18,'IncStmt Data'!$A$2:$A$2051,CI$1),#N/A)</f>
        <v>#N/A</v>
      </c>
      <c r="CJ18" s="42" t="e">
        <f>IF(CJ$1,SUMIFS('IncStmt Data'!$H$2:$H$2051,'IncStmt Data'!$G$2:$G$2051,$A18,'IncStmt Data'!$A$2:$A$2051,CJ$1),#N/A)</f>
        <v>#N/A</v>
      </c>
      <c r="CK18" s="42" t="e">
        <f>IF(CK$1,SUMIFS('IncStmt Data'!$H$2:$H$2051,'IncStmt Data'!$G$2:$G$2051,$A18,'IncStmt Data'!$A$2:$A$2051,CK$1),#N/A)</f>
        <v>#N/A</v>
      </c>
      <c r="CL18" s="42" t="e">
        <f>IF(CL$1,SUMIFS('IncStmt Data'!$H$2:$H$2051,'IncStmt Data'!$G$2:$G$2051,$A18,'IncStmt Data'!$A$2:$A$2051,CL$1),#N/A)</f>
        <v>#N/A</v>
      </c>
      <c r="CM18" s="42" t="e">
        <f>IF(CM$1,SUMIFS('IncStmt Data'!$H$2:$H$2051,'IncStmt Data'!$G$2:$G$2051,$A18,'IncStmt Data'!$A$2:$A$2051,CM$1),#N/A)</f>
        <v>#N/A</v>
      </c>
      <c r="CN18" s="42" t="e">
        <f>IF(CN$1,SUMIFS('IncStmt Data'!$H$2:$H$2051,'IncStmt Data'!$G$2:$G$2051,$A18,'IncStmt Data'!$A$2:$A$2051,CN$1),#N/A)</f>
        <v>#N/A</v>
      </c>
      <c r="CO18" s="42" t="e">
        <f>IF(CO$1,SUMIFS('IncStmt Data'!$H$2:$H$2051,'IncStmt Data'!$G$2:$G$2051,$A18,'IncStmt Data'!$A$2:$A$2051,CO$1),#N/A)</f>
        <v>#N/A</v>
      </c>
      <c r="CP18" s="42" t="e">
        <f>IF(CP$1,SUMIFS('IncStmt Data'!$H$2:$H$2051,'IncStmt Data'!$G$2:$G$2051,$A18,'IncStmt Data'!$A$2:$A$2051,CP$1),#N/A)</f>
        <v>#N/A</v>
      </c>
      <c r="CQ18" s="42" t="e">
        <f>IF(CQ$1,SUMIFS('IncStmt Data'!$H$2:$H$2051,'IncStmt Data'!$G$2:$G$2051,$A18,'IncStmt Data'!$A$2:$A$2051,CQ$1),#N/A)</f>
        <v>#N/A</v>
      </c>
      <c r="CR18" s="42" t="e">
        <f>IF(CR$1,SUMIFS('IncStmt Data'!$H$2:$H$2051,'IncStmt Data'!$G$2:$G$2051,$A18,'IncStmt Data'!$A$2:$A$2051,CR$1),#N/A)</f>
        <v>#N/A</v>
      </c>
      <c r="CS18" s="42" t="e">
        <f>IF(CS$1,SUMIFS('IncStmt Data'!$H$2:$H$2051,'IncStmt Data'!$G$2:$G$2051,$A18,'IncStmt Data'!$A$2:$A$2051,CS$1),#N/A)</f>
        <v>#N/A</v>
      </c>
      <c r="CT18" s="42" t="e">
        <f>IF(CT$1,SUMIFS('IncStmt Data'!$H$2:$H$2051,'IncStmt Data'!$G$2:$G$2051,$A18,'IncStmt Data'!$A$2:$A$2051,CT$1),#N/A)</f>
        <v>#N/A</v>
      </c>
      <c r="CU18" s="42" t="e">
        <f>IF(CU$1,SUMIFS('IncStmt Data'!$H$2:$H$2051,'IncStmt Data'!$G$2:$G$2051,$A18,'IncStmt Data'!$A$2:$A$2051,CU$1),#N/A)</f>
        <v>#N/A</v>
      </c>
      <c r="CV18" s="42" t="e">
        <f>IF(CV$1,SUMIFS('IncStmt Data'!$H$2:$H$2051,'IncStmt Data'!$G$2:$G$2051,$A18,'IncStmt Data'!$A$2:$A$2051,CV$1),#N/A)</f>
        <v>#N/A</v>
      </c>
      <c r="CW18" s="42" t="e">
        <f>IF(CW$1,SUMIFS('IncStmt Data'!$H$2:$H$2051,'IncStmt Data'!$G$2:$G$2051,$A18,'IncStmt Data'!$A$2:$A$2051,CW$1),#N/A)</f>
        <v>#N/A</v>
      </c>
      <c r="CX18" s="42" t="e">
        <f>IF(CX$1,SUMIFS('IncStmt Data'!$H$2:$H$2051,'IncStmt Data'!$G$2:$G$2051,$A18,'IncStmt Data'!$A$2:$A$2051,CX$1),#N/A)</f>
        <v>#N/A</v>
      </c>
      <c r="CY18" s="42" t="e">
        <f>IF(CY$1,SUMIFS('IncStmt Data'!$H$2:$H$2051,'IncStmt Data'!$G$2:$G$2051,$A18,'IncStmt Data'!$A$2:$A$2051,CY$1),#N/A)</f>
        <v>#N/A</v>
      </c>
      <c r="CZ18" s="42" t="e">
        <f>IF(CZ$1,SUMIFS('IncStmt Data'!$H$2:$H$2051,'IncStmt Data'!$G$2:$G$2051,$A18,'IncStmt Data'!$A$2:$A$2051,CZ$1),#N/A)</f>
        <v>#N/A</v>
      </c>
    </row>
    <row r="19" spans="1:104" s="44" customFormat="1" x14ac:dyDescent="0.2">
      <c r="A19" s="60" t="s">
        <v>43</v>
      </c>
      <c r="B19" s="42" t="e">
        <f>IF(B$1,SUMIFS('IncStmt Data'!$H$2:$H$2051,'IncStmt Data'!$G$2:$G$2051,$A19,'IncStmt Data'!$A$2:$A$2051,B$1),#N/A)</f>
        <v>#N/A</v>
      </c>
      <c r="C19" s="42" t="e">
        <f>IF(C$1,SUMIFS('IncStmt Data'!$H$2:$H$2051,'IncStmt Data'!$G$2:$G$2051,$A19,'IncStmt Data'!$A$2:$A$2051,C$1),#N/A)</f>
        <v>#N/A</v>
      </c>
      <c r="D19" s="42" t="e">
        <f>IF(D$1,SUMIFS('IncStmt Data'!$H$2:$H$2051,'IncStmt Data'!$G$2:$G$2051,$A19,'IncStmt Data'!$A$2:$A$2051,D$1),#N/A)</f>
        <v>#N/A</v>
      </c>
      <c r="E19" s="42" t="e">
        <f>IF(E$1,SUMIFS('IncStmt Data'!$H$2:$H$2051,'IncStmt Data'!$G$2:$G$2051,$A19,'IncStmt Data'!$A$2:$A$2051,E$1),#N/A)</f>
        <v>#N/A</v>
      </c>
      <c r="F19" s="42" t="e">
        <f>IF(F$1,SUMIFS('IncStmt Data'!$H$2:$H$2051,'IncStmt Data'!$G$2:$G$2051,$A19,'IncStmt Data'!$A$2:$A$2051,F$1),#N/A)</f>
        <v>#N/A</v>
      </c>
      <c r="G19" s="42" t="e">
        <f>IF(G$1,SUMIFS('IncStmt Data'!$H$2:$H$2051,'IncStmt Data'!$G$2:$G$2051,$A19,'IncStmt Data'!$A$2:$A$2051,G$1),#N/A)</f>
        <v>#N/A</v>
      </c>
      <c r="H19" s="42" t="e">
        <f>IF(H$1,SUMIFS('IncStmt Data'!$H$2:$H$2051,'IncStmt Data'!$G$2:$G$2051,$A19,'IncStmt Data'!$A$2:$A$2051,H$1),#N/A)</f>
        <v>#N/A</v>
      </c>
      <c r="I19" s="42" t="e">
        <f>IF(I$1,SUMIFS('IncStmt Data'!$H$2:$H$2051,'IncStmt Data'!$G$2:$G$2051,$A19,'IncStmt Data'!$A$2:$A$2051,I$1),#N/A)</f>
        <v>#N/A</v>
      </c>
      <c r="J19" s="42" t="e">
        <f>IF(J$1,SUMIFS('IncStmt Data'!$H$2:$H$2051,'IncStmt Data'!$G$2:$G$2051,$A19,'IncStmt Data'!$A$2:$A$2051,J$1),#N/A)</f>
        <v>#N/A</v>
      </c>
      <c r="K19" s="42" t="e">
        <f>IF(K$1,SUMIFS('IncStmt Data'!$H$2:$H$2051,'IncStmt Data'!$G$2:$G$2051,$A19,'IncStmt Data'!$A$2:$A$2051,K$1),#N/A)</f>
        <v>#N/A</v>
      </c>
      <c r="L19" s="42" t="e">
        <f>IF(L$1,SUMIFS('IncStmt Data'!$H$2:$H$2051,'IncStmt Data'!$G$2:$G$2051,$A19,'IncStmt Data'!$A$2:$A$2051,L$1),#N/A)</f>
        <v>#N/A</v>
      </c>
      <c r="M19" s="42" t="e">
        <f>IF(M$1,SUMIFS('IncStmt Data'!$H$2:$H$2051,'IncStmt Data'!$G$2:$G$2051,$A19,'IncStmt Data'!$A$2:$A$2051,M$1),#N/A)</f>
        <v>#N/A</v>
      </c>
      <c r="N19" s="42" t="e">
        <f>IF(N$1,SUMIFS('IncStmt Data'!$H$2:$H$2051,'IncStmt Data'!$G$2:$G$2051,$A19,'IncStmt Data'!$A$2:$A$2051,N$1),#N/A)</f>
        <v>#N/A</v>
      </c>
      <c r="O19" s="42" t="e">
        <f>IF(O$1,SUMIFS('IncStmt Data'!$H$2:$H$2051,'IncStmt Data'!$G$2:$G$2051,$A19,'IncStmt Data'!$A$2:$A$2051,O$1),#N/A)</f>
        <v>#N/A</v>
      </c>
      <c r="P19" s="42" t="e">
        <f>IF(P$1,SUMIFS('IncStmt Data'!$H$2:$H$2051,'IncStmt Data'!$G$2:$G$2051,$A19,'IncStmt Data'!$A$2:$A$2051,P$1),#N/A)</f>
        <v>#N/A</v>
      </c>
      <c r="Q19" s="42" t="e">
        <f>IF(Q$1,SUMIFS('IncStmt Data'!$H$2:$H$2051,'IncStmt Data'!$G$2:$G$2051,$A19,'IncStmt Data'!$A$2:$A$2051,Q$1),#N/A)</f>
        <v>#N/A</v>
      </c>
      <c r="R19" s="42" t="e">
        <f>IF(R$1,SUMIFS('IncStmt Data'!$H$2:$H$2051,'IncStmt Data'!$G$2:$G$2051,$A19,'IncStmt Data'!$A$2:$A$2051,R$1),#N/A)</f>
        <v>#N/A</v>
      </c>
      <c r="S19" s="42" t="e">
        <f>IF(S$1,SUMIFS('IncStmt Data'!$H$2:$H$2051,'IncStmt Data'!$G$2:$G$2051,$A19,'IncStmt Data'!$A$2:$A$2051,S$1),#N/A)</f>
        <v>#N/A</v>
      </c>
      <c r="T19" s="42" t="e">
        <f>IF(T$1,SUMIFS('IncStmt Data'!$H$2:$H$2051,'IncStmt Data'!$G$2:$G$2051,$A19,'IncStmt Data'!$A$2:$A$2051,T$1),#N/A)</f>
        <v>#N/A</v>
      </c>
      <c r="U19" s="42" t="e">
        <f>IF(U$1,SUMIFS('IncStmt Data'!$H$2:$H$2051,'IncStmt Data'!$G$2:$G$2051,$A19,'IncStmt Data'!$A$2:$A$2051,U$1),#N/A)</f>
        <v>#N/A</v>
      </c>
      <c r="V19" s="42" t="e">
        <f>IF(V$1,SUMIFS('IncStmt Data'!$H$2:$H$2051,'IncStmt Data'!$G$2:$G$2051,$A19,'IncStmt Data'!$A$2:$A$2051,V$1),#N/A)</f>
        <v>#N/A</v>
      </c>
      <c r="W19" s="42" t="e">
        <f>IF(W$1,SUMIFS('IncStmt Data'!$H$2:$H$2051,'IncStmt Data'!$G$2:$G$2051,$A19,'IncStmt Data'!$A$2:$A$2051,W$1),#N/A)</f>
        <v>#N/A</v>
      </c>
      <c r="X19" s="42" t="e">
        <f>IF(X$1,SUMIFS('IncStmt Data'!$H$2:$H$2051,'IncStmt Data'!$G$2:$G$2051,$A19,'IncStmt Data'!$A$2:$A$2051,X$1),#N/A)</f>
        <v>#N/A</v>
      </c>
      <c r="Y19" s="42" t="e">
        <f>IF(Y$1,SUMIFS('IncStmt Data'!$H$2:$H$2051,'IncStmt Data'!$G$2:$G$2051,$A19,'IncStmt Data'!$A$2:$A$2051,Y$1),#N/A)</f>
        <v>#N/A</v>
      </c>
      <c r="Z19" s="42" t="e">
        <f>IF(Z$1,SUMIFS('IncStmt Data'!$H$2:$H$2051,'IncStmt Data'!$G$2:$G$2051,$A19,'IncStmt Data'!$A$2:$A$2051,Z$1),#N/A)</f>
        <v>#N/A</v>
      </c>
      <c r="AA19" s="42" t="e">
        <f>IF(AA$1,SUMIFS('IncStmt Data'!$H$2:$H$2051,'IncStmt Data'!$G$2:$G$2051,$A19,'IncStmt Data'!$A$2:$A$2051,AA$1),#N/A)</f>
        <v>#N/A</v>
      </c>
      <c r="AB19" s="42" t="e">
        <f>IF(AB$1,SUMIFS('IncStmt Data'!$H$2:$H$2051,'IncStmt Data'!$G$2:$G$2051,$A19,'IncStmt Data'!$A$2:$A$2051,AB$1),#N/A)</f>
        <v>#N/A</v>
      </c>
      <c r="AC19" s="42" t="e">
        <f>IF(AC$1,SUMIFS('IncStmt Data'!$H$2:$H$2051,'IncStmt Data'!$G$2:$G$2051,$A19,'IncStmt Data'!$A$2:$A$2051,AC$1),#N/A)</f>
        <v>#N/A</v>
      </c>
      <c r="AD19" s="42" t="e">
        <f>IF(AD$1,SUMIFS('IncStmt Data'!$H$2:$H$2051,'IncStmt Data'!$G$2:$G$2051,$A19,'IncStmt Data'!$A$2:$A$2051,AD$1),#N/A)</f>
        <v>#N/A</v>
      </c>
      <c r="AE19" s="42" t="e">
        <f>IF(AE$1,SUMIFS('IncStmt Data'!$H$2:$H$2051,'IncStmt Data'!$G$2:$G$2051,$A19,'IncStmt Data'!$A$2:$A$2051,AE$1),#N/A)</f>
        <v>#N/A</v>
      </c>
      <c r="AF19" s="42" t="e">
        <f>IF(AF$1,SUMIFS('IncStmt Data'!$H$2:$H$2051,'IncStmt Data'!$G$2:$G$2051,$A19,'IncStmt Data'!$A$2:$A$2051,AF$1),#N/A)</f>
        <v>#N/A</v>
      </c>
      <c r="AG19" s="42" t="e">
        <f>IF(AG$1,SUMIFS('IncStmt Data'!$H$2:$H$2051,'IncStmt Data'!$G$2:$G$2051,$A19,'IncStmt Data'!$A$2:$A$2051,AG$1),#N/A)</f>
        <v>#N/A</v>
      </c>
      <c r="AH19" s="42" t="e">
        <f>IF(AH$1,SUMIFS('IncStmt Data'!$H$2:$H$2051,'IncStmt Data'!$G$2:$G$2051,$A19,'IncStmt Data'!$A$2:$A$2051,AH$1),#N/A)</f>
        <v>#N/A</v>
      </c>
      <c r="AI19" s="42" t="e">
        <f>IF(AI$1,SUMIFS('IncStmt Data'!$H$2:$H$2051,'IncStmt Data'!$G$2:$G$2051,$A19,'IncStmt Data'!$A$2:$A$2051,AI$1),#N/A)</f>
        <v>#N/A</v>
      </c>
      <c r="AJ19" s="42" t="e">
        <f>IF(AJ$1,SUMIFS('IncStmt Data'!$H$2:$H$2051,'IncStmt Data'!$G$2:$G$2051,$A19,'IncStmt Data'!$A$2:$A$2051,AJ$1),#N/A)</f>
        <v>#N/A</v>
      </c>
      <c r="AK19" s="42" t="e">
        <f>IF(AK$1,SUMIFS('IncStmt Data'!$H$2:$H$2051,'IncStmt Data'!$G$2:$G$2051,$A19,'IncStmt Data'!$A$2:$A$2051,AK$1),#N/A)</f>
        <v>#N/A</v>
      </c>
      <c r="AL19" s="42" t="e">
        <f>IF(AL$1,SUMIFS('IncStmt Data'!$H$2:$H$2051,'IncStmt Data'!$G$2:$G$2051,$A19,'IncStmt Data'!$A$2:$A$2051,AL$1),#N/A)</f>
        <v>#N/A</v>
      </c>
      <c r="AM19" s="42" t="e">
        <f>IF(AM$1,SUMIFS('IncStmt Data'!$H$2:$H$2051,'IncStmt Data'!$G$2:$G$2051,$A19,'IncStmt Data'!$A$2:$A$2051,AM$1),#N/A)</f>
        <v>#N/A</v>
      </c>
      <c r="AN19" s="42" t="e">
        <f>IF(AN$1,SUMIFS('IncStmt Data'!$H$2:$H$2051,'IncStmt Data'!$G$2:$G$2051,$A19,'IncStmt Data'!$A$2:$A$2051,AN$1),#N/A)</f>
        <v>#N/A</v>
      </c>
      <c r="AO19" s="42" t="e">
        <f>IF(AO$1,SUMIFS('IncStmt Data'!$H$2:$H$2051,'IncStmt Data'!$G$2:$G$2051,$A19,'IncStmt Data'!$A$2:$A$2051,AO$1),#N/A)</f>
        <v>#N/A</v>
      </c>
      <c r="AP19" s="42" t="e">
        <f>IF(AP$1,SUMIFS('IncStmt Data'!$H$2:$H$2051,'IncStmt Data'!$G$2:$G$2051,$A19,'IncStmt Data'!$A$2:$A$2051,AP$1),#N/A)</f>
        <v>#N/A</v>
      </c>
      <c r="AQ19" s="42" t="e">
        <f>IF(AQ$1,SUMIFS('IncStmt Data'!$H$2:$H$2051,'IncStmt Data'!$G$2:$G$2051,$A19,'IncStmt Data'!$A$2:$A$2051,AQ$1),#N/A)</f>
        <v>#N/A</v>
      </c>
      <c r="AR19" s="42" t="e">
        <f>IF(AR$1,SUMIFS('IncStmt Data'!$H$2:$H$2051,'IncStmt Data'!$G$2:$G$2051,$A19,'IncStmt Data'!$A$2:$A$2051,AR$1),#N/A)</f>
        <v>#N/A</v>
      </c>
      <c r="AS19" s="42" t="e">
        <f>IF(AS$1,SUMIFS('IncStmt Data'!$H$2:$H$2051,'IncStmt Data'!$G$2:$G$2051,$A19,'IncStmt Data'!$A$2:$A$2051,AS$1),#N/A)</f>
        <v>#N/A</v>
      </c>
      <c r="AT19" s="42" t="e">
        <f>IF(AT$1,SUMIFS('IncStmt Data'!$H$2:$H$2051,'IncStmt Data'!$G$2:$G$2051,$A19,'IncStmt Data'!$A$2:$A$2051,AT$1),#N/A)</f>
        <v>#N/A</v>
      </c>
      <c r="AU19" s="42" t="e">
        <f>IF(AU$1,SUMIFS('IncStmt Data'!$H$2:$H$2051,'IncStmt Data'!$G$2:$G$2051,$A19,'IncStmt Data'!$A$2:$A$2051,AU$1),#N/A)</f>
        <v>#N/A</v>
      </c>
      <c r="AV19" s="42" t="e">
        <f>IF(AV$1,SUMIFS('IncStmt Data'!$H$2:$H$2051,'IncStmt Data'!$G$2:$G$2051,$A19,'IncStmt Data'!$A$2:$A$2051,AV$1),#N/A)</f>
        <v>#N/A</v>
      </c>
      <c r="AW19" s="42" t="e">
        <f>IF(AW$1,SUMIFS('IncStmt Data'!$H$2:$H$2051,'IncStmt Data'!$G$2:$G$2051,$A19,'IncStmt Data'!$A$2:$A$2051,AW$1),#N/A)</f>
        <v>#N/A</v>
      </c>
      <c r="AX19" s="42" t="e">
        <f>IF(AX$1,SUMIFS('IncStmt Data'!$H$2:$H$2051,'IncStmt Data'!$G$2:$G$2051,$A19,'IncStmt Data'!$A$2:$A$2051,AX$1),#N/A)</f>
        <v>#N/A</v>
      </c>
      <c r="AY19" s="42" t="e">
        <f>IF(AY$1,SUMIFS('IncStmt Data'!$H$2:$H$2051,'IncStmt Data'!$G$2:$G$2051,$A19,'IncStmt Data'!$A$2:$A$2051,AY$1),#N/A)</f>
        <v>#N/A</v>
      </c>
      <c r="AZ19" s="42" t="e">
        <f>IF(AZ$1,SUMIFS('IncStmt Data'!$H$2:$H$2051,'IncStmt Data'!$G$2:$G$2051,$A19,'IncStmt Data'!$A$2:$A$2051,AZ$1),#N/A)</f>
        <v>#N/A</v>
      </c>
      <c r="BA19" s="42" t="e">
        <f>IF(BA$1,SUMIFS('IncStmt Data'!$H$2:$H$2051,'IncStmt Data'!$G$2:$G$2051,$A19,'IncStmt Data'!$A$2:$A$2051,BA$1),#N/A)</f>
        <v>#N/A</v>
      </c>
      <c r="BB19" s="42" t="e">
        <f>IF(BB$1,SUMIFS('IncStmt Data'!$H$2:$H$2051,'IncStmt Data'!$G$2:$G$2051,$A19,'IncStmt Data'!$A$2:$A$2051,BB$1),#N/A)</f>
        <v>#N/A</v>
      </c>
      <c r="BC19" s="42" t="e">
        <f>IF(BC$1,SUMIFS('IncStmt Data'!$H$2:$H$2051,'IncStmt Data'!$G$2:$G$2051,$A19,'IncStmt Data'!$A$2:$A$2051,BC$1),#N/A)</f>
        <v>#N/A</v>
      </c>
      <c r="BD19" s="42" t="e">
        <f>IF(BD$1,SUMIFS('IncStmt Data'!$H$2:$H$2051,'IncStmt Data'!$G$2:$G$2051,$A19,'IncStmt Data'!$A$2:$A$2051,BD$1),#N/A)</f>
        <v>#N/A</v>
      </c>
      <c r="BE19" s="42" t="e">
        <f>IF(BE$1,SUMIFS('IncStmt Data'!$H$2:$H$2051,'IncStmt Data'!$G$2:$G$2051,$A19,'IncStmt Data'!$A$2:$A$2051,BE$1),#N/A)</f>
        <v>#N/A</v>
      </c>
      <c r="BF19" s="42" t="e">
        <f>IF(BF$1,SUMIFS('IncStmt Data'!$H$2:$H$2051,'IncStmt Data'!$G$2:$G$2051,$A19,'IncStmt Data'!$A$2:$A$2051,BF$1),#N/A)</f>
        <v>#N/A</v>
      </c>
      <c r="BG19" s="42" t="e">
        <f>IF(BG$1,SUMIFS('IncStmt Data'!$H$2:$H$2051,'IncStmt Data'!$G$2:$G$2051,$A19,'IncStmt Data'!$A$2:$A$2051,BG$1),#N/A)</f>
        <v>#N/A</v>
      </c>
      <c r="BH19" s="42" t="e">
        <f>IF(BH$1,SUMIFS('IncStmt Data'!$H$2:$H$2051,'IncStmt Data'!$G$2:$G$2051,$A19,'IncStmt Data'!$A$2:$A$2051,BH$1),#N/A)</f>
        <v>#N/A</v>
      </c>
      <c r="BI19" s="42" t="e">
        <f>IF(BI$1,SUMIFS('IncStmt Data'!$H$2:$H$2051,'IncStmt Data'!$G$2:$G$2051,$A19,'IncStmt Data'!$A$2:$A$2051,BI$1),#N/A)</f>
        <v>#N/A</v>
      </c>
      <c r="BJ19" s="42" t="e">
        <f>IF(BJ$1,SUMIFS('IncStmt Data'!$H$2:$H$2051,'IncStmt Data'!$G$2:$G$2051,$A19,'IncStmt Data'!$A$2:$A$2051,BJ$1),#N/A)</f>
        <v>#N/A</v>
      </c>
      <c r="BK19" s="42" t="e">
        <f>IF(BK$1,SUMIFS('IncStmt Data'!$H$2:$H$2051,'IncStmt Data'!$G$2:$G$2051,$A19,'IncStmt Data'!$A$2:$A$2051,BK$1),#N/A)</f>
        <v>#N/A</v>
      </c>
      <c r="BL19" s="42" t="e">
        <f>IF(BL$1,SUMIFS('IncStmt Data'!$H$2:$H$2051,'IncStmt Data'!$G$2:$G$2051,$A19,'IncStmt Data'!$A$2:$A$2051,BL$1),#N/A)</f>
        <v>#N/A</v>
      </c>
      <c r="BM19" s="42" t="e">
        <f>IF(BM$1,SUMIFS('IncStmt Data'!$H$2:$H$2051,'IncStmt Data'!$G$2:$G$2051,$A19,'IncStmt Data'!$A$2:$A$2051,BM$1),#N/A)</f>
        <v>#N/A</v>
      </c>
      <c r="BN19" s="42" t="e">
        <f>IF(BN$1,SUMIFS('IncStmt Data'!$H$2:$H$2051,'IncStmt Data'!$G$2:$G$2051,$A19,'IncStmt Data'!$A$2:$A$2051,BN$1),#N/A)</f>
        <v>#N/A</v>
      </c>
      <c r="BO19" s="42" t="e">
        <f>IF(BO$1,SUMIFS('IncStmt Data'!$H$2:$H$2051,'IncStmt Data'!$G$2:$G$2051,$A19,'IncStmt Data'!$A$2:$A$2051,BO$1),#N/A)</f>
        <v>#N/A</v>
      </c>
      <c r="BP19" s="42" t="e">
        <f>IF(BP$1,SUMIFS('IncStmt Data'!$H$2:$H$2051,'IncStmt Data'!$G$2:$G$2051,$A19,'IncStmt Data'!$A$2:$A$2051,BP$1),#N/A)</f>
        <v>#N/A</v>
      </c>
      <c r="BQ19" s="42" t="e">
        <f>IF(BQ$1,SUMIFS('IncStmt Data'!$H$2:$H$2051,'IncStmt Data'!$G$2:$G$2051,$A19,'IncStmt Data'!$A$2:$A$2051,BQ$1),#N/A)</f>
        <v>#N/A</v>
      </c>
      <c r="BR19" s="42" t="e">
        <f>IF(BR$1,SUMIFS('IncStmt Data'!$H$2:$H$2051,'IncStmt Data'!$G$2:$G$2051,$A19,'IncStmt Data'!$A$2:$A$2051,BR$1),#N/A)</f>
        <v>#N/A</v>
      </c>
      <c r="BS19" s="42" t="e">
        <f>IF(BS$1,SUMIFS('IncStmt Data'!$H$2:$H$2051,'IncStmt Data'!$G$2:$G$2051,$A19,'IncStmt Data'!$A$2:$A$2051,BS$1),#N/A)</f>
        <v>#N/A</v>
      </c>
      <c r="BT19" s="42" t="e">
        <f>IF(BT$1,SUMIFS('IncStmt Data'!$H$2:$H$2051,'IncStmt Data'!$G$2:$G$2051,$A19,'IncStmt Data'!$A$2:$A$2051,BT$1),#N/A)</f>
        <v>#N/A</v>
      </c>
      <c r="BU19" s="42" t="e">
        <f>IF(BU$1,SUMIFS('IncStmt Data'!$H$2:$H$2051,'IncStmt Data'!$G$2:$G$2051,$A19,'IncStmt Data'!$A$2:$A$2051,BU$1),#N/A)</f>
        <v>#N/A</v>
      </c>
      <c r="BV19" s="42" t="e">
        <f>IF(BV$1,SUMIFS('IncStmt Data'!$H$2:$H$2051,'IncStmt Data'!$G$2:$G$2051,$A19,'IncStmt Data'!$A$2:$A$2051,BV$1),#N/A)</f>
        <v>#N/A</v>
      </c>
      <c r="BW19" s="42" t="e">
        <f>IF(BW$1,SUMIFS('IncStmt Data'!$H$2:$H$2051,'IncStmt Data'!$G$2:$G$2051,$A19,'IncStmt Data'!$A$2:$A$2051,BW$1),#N/A)</f>
        <v>#N/A</v>
      </c>
      <c r="BX19" s="42" t="e">
        <f>IF(BX$1,SUMIFS('IncStmt Data'!$H$2:$H$2051,'IncStmt Data'!$G$2:$G$2051,$A19,'IncStmt Data'!$A$2:$A$2051,BX$1),#N/A)</f>
        <v>#N/A</v>
      </c>
      <c r="BY19" s="42" t="e">
        <f>IF(BY$1,SUMIFS('IncStmt Data'!$H$2:$H$2051,'IncStmt Data'!$G$2:$G$2051,$A19,'IncStmt Data'!$A$2:$A$2051,BY$1),#N/A)</f>
        <v>#N/A</v>
      </c>
      <c r="BZ19" s="42" t="e">
        <f>IF(BZ$1,SUMIFS('IncStmt Data'!$H$2:$H$2051,'IncStmt Data'!$G$2:$G$2051,$A19,'IncStmt Data'!$A$2:$A$2051,BZ$1),#N/A)</f>
        <v>#N/A</v>
      </c>
      <c r="CA19" s="42" t="e">
        <f>IF(CA$1,SUMIFS('IncStmt Data'!$H$2:$H$2051,'IncStmt Data'!$G$2:$G$2051,$A19,'IncStmt Data'!$A$2:$A$2051,CA$1),#N/A)</f>
        <v>#N/A</v>
      </c>
      <c r="CB19" s="42" t="e">
        <f>IF(CB$1,SUMIFS('IncStmt Data'!$H$2:$H$2051,'IncStmt Data'!$G$2:$G$2051,$A19,'IncStmt Data'!$A$2:$A$2051,CB$1),#N/A)</f>
        <v>#N/A</v>
      </c>
      <c r="CC19" s="42" t="e">
        <f>IF(CC$1,SUMIFS('IncStmt Data'!$H$2:$H$2051,'IncStmt Data'!$G$2:$G$2051,$A19,'IncStmt Data'!$A$2:$A$2051,CC$1),#N/A)</f>
        <v>#N/A</v>
      </c>
      <c r="CD19" s="42" t="e">
        <f>IF(CD$1,SUMIFS('IncStmt Data'!$H$2:$H$2051,'IncStmt Data'!$G$2:$G$2051,$A19,'IncStmt Data'!$A$2:$A$2051,CD$1),#N/A)</f>
        <v>#N/A</v>
      </c>
      <c r="CE19" s="42" t="e">
        <f>IF(CE$1,SUMIFS('IncStmt Data'!$H$2:$H$2051,'IncStmt Data'!$G$2:$G$2051,$A19,'IncStmt Data'!$A$2:$A$2051,CE$1),#N/A)</f>
        <v>#N/A</v>
      </c>
      <c r="CF19" s="42" t="e">
        <f>IF(CF$1,SUMIFS('IncStmt Data'!$H$2:$H$2051,'IncStmt Data'!$G$2:$G$2051,$A19,'IncStmt Data'!$A$2:$A$2051,CF$1),#N/A)</f>
        <v>#N/A</v>
      </c>
      <c r="CG19" s="42" t="e">
        <f>IF(CG$1,SUMIFS('IncStmt Data'!$H$2:$H$2051,'IncStmt Data'!$G$2:$G$2051,$A19,'IncStmt Data'!$A$2:$A$2051,CG$1),#N/A)</f>
        <v>#N/A</v>
      </c>
      <c r="CH19" s="42" t="e">
        <f>IF(CH$1,SUMIFS('IncStmt Data'!$H$2:$H$2051,'IncStmt Data'!$G$2:$G$2051,$A19,'IncStmt Data'!$A$2:$A$2051,CH$1),#N/A)</f>
        <v>#N/A</v>
      </c>
      <c r="CI19" s="42" t="e">
        <f>IF(CI$1,SUMIFS('IncStmt Data'!$H$2:$H$2051,'IncStmt Data'!$G$2:$G$2051,$A19,'IncStmt Data'!$A$2:$A$2051,CI$1),#N/A)</f>
        <v>#N/A</v>
      </c>
      <c r="CJ19" s="42" t="e">
        <f>IF(CJ$1,SUMIFS('IncStmt Data'!$H$2:$H$2051,'IncStmt Data'!$G$2:$G$2051,$A19,'IncStmt Data'!$A$2:$A$2051,CJ$1),#N/A)</f>
        <v>#N/A</v>
      </c>
      <c r="CK19" s="42" t="e">
        <f>IF(CK$1,SUMIFS('IncStmt Data'!$H$2:$H$2051,'IncStmt Data'!$G$2:$G$2051,$A19,'IncStmt Data'!$A$2:$A$2051,CK$1),#N/A)</f>
        <v>#N/A</v>
      </c>
      <c r="CL19" s="42" t="e">
        <f>IF(CL$1,SUMIFS('IncStmt Data'!$H$2:$H$2051,'IncStmt Data'!$G$2:$G$2051,$A19,'IncStmt Data'!$A$2:$A$2051,CL$1),#N/A)</f>
        <v>#N/A</v>
      </c>
      <c r="CM19" s="42" t="e">
        <f>IF(CM$1,SUMIFS('IncStmt Data'!$H$2:$H$2051,'IncStmt Data'!$G$2:$G$2051,$A19,'IncStmt Data'!$A$2:$A$2051,CM$1),#N/A)</f>
        <v>#N/A</v>
      </c>
      <c r="CN19" s="42" t="e">
        <f>IF(CN$1,SUMIFS('IncStmt Data'!$H$2:$H$2051,'IncStmt Data'!$G$2:$G$2051,$A19,'IncStmt Data'!$A$2:$A$2051,CN$1),#N/A)</f>
        <v>#N/A</v>
      </c>
      <c r="CO19" s="42" t="e">
        <f>IF(CO$1,SUMIFS('IncStmt Data'!$H$2:$H$2051,'IncStmt Data'!$G$2:$G$2051,$A19,'IncStmt Data'!$A$2:$A$2051,CO$1),#N/A)</f>
        <v>#N/A</v>
      </c>
      <c r="CP19" s="42" t="e">
        <f>IF(CP$1,SUMIFS('IncStmt Data'!$H$2:$H$2051,'IncStmt Data'!$G$2:$G$2051,$A19,'IncStmt Data'!$A$2:$A$2051,CP$1),#N/A)</f>
        <v>#N/A</v>
      </c>
      <c r="CQ19" s="42" t="e">
        <f>IF(CQ$1,SUMIFS('IncStmt Data'!$H$2:$H$2051,'IncStmt Data'!$G$2:$G$2051,$A19,'IncStmt Data'!$A$2:$A$2051,CQ$1),#N/A)</f>
        <v>#N/A</v>
      </c>
      <c r="CR19" s="42" t="e">
        <f>IF(CR$1,SUMIFS('IncStmt Data'!$H$2:$H$2051,'IncStmt Data'!$G$2:$G$2051,$A19,'IncStmt Data'!$A$2:$A$2051,CR$1),#N/A)</f>
        <v>#N/A</v>
      </c>
      <c r="CS19" s="42" t="e">
        <f>IF(CS$1,SUMIFS('IncStmt Data'!$H$2:$H$2051,'IncStmt Data'!$G$2:$G$2051,$A19,'IncStmt Data'!$A$2:$A$2051,CS$1),#N/A)</f>
        <v>#N/A</v>
      </c>
      <c r="CT19" s="42" t="e">
        <f>IF(CT$1,SUMIFS('IncStmt Data'!$H$2:$H$2051,'IncStmt Data'!$G$2:$G$2051,$A19,'IncStmt Data'!$A$2:$A$2051,CT$1),#N/A)</f>
        <v>#N/A</v>
      </c>
      <c r="CU19" s="42" t="e">
        <f>IF(CU$1,SUMIFS('IncStmt Data'!$H$2:$H$2051,'IncStmt Data'!$G$2:$G$2051,$A19,'IncStmt Data'!$A$2:$A$2051,CU$1),#N/A)</f>
        <v>#N/A</v>
      </c>
      <c r="CV19" s="42" t="e">
        <f>IF(CV$1,SUMIFS('IncStmt Data'!$H$2:$H$2051,'IncStmt Data'!$G$2:$G$2051,$A19,'IncStmt Data'!$A$2:$A$2051,CV$1),#N/A)</f>
        <v>#N/A</v>
      </c>
      <c r="CW19" s="42" t="e">
        <f>IF(CW$1,SUMIFS('IncStmt Data'!$H$2:$H$2051,'IncStmt Data'!$G$2:$G$2051,$A19,'IncStmt Data'!$A$2:$A$2051,CW$1),#N/A)</f>
        <v>#N/A</v>
      </c>
      <c r="CX19" s="42" t="e">
        <f>IF(CX$1,SUMIFS('IncStmt Data'!$H$2:$H$2051,'IncStmt Data'!$G$2:$G$2051,$A19,'IncStmt Data'!$A$2:$A$2051,CX$1),#N/A)</f>
        <v>#N/A</v>
      </c>
      <c r="CY19" s="42" t="e">
        <f>IF(CY$1,SUMIFS('IncStmt Data'!$H$2:$H$2051,'IncStmt Data'!$G$2:$G$2051,$A19,'IncStmt Data'!$A$2:$A$2051,CY$1),#N/A)</f>
        <v>#N/A</v>
      </c>
      <c r="CZ19" s="42" t="e">
        <f>IF(CZ$1,SUMIFS('IncStmt Data'!$H$2:$H$2051,'IncStmt Data'!$G$2:$G$2051,$A19,'IncStmt Data'!$A$2:$A$2051,CZ$1),#N/A)</f>
        <v>#N/A</v>
      </c>
    </row>
    <row r="20" spans="1:104" s="42" customFormat="1" x14ac:dyDescent="0.2">
      <c r="A20" s="60" t="s">
        <v>157</v>
      </c>
      <c r="B20" s="42" t="e">
        <f>IF(B$1,SUMIFS('IncStmt Data'!$H$2:$H$2051,'IncStmt Data'!$G$2:$G$2051,$A20,'IncStmt Data'!$A$2:$A$2051,B$1),#N/A)</f>
        <v>#N/A</v>
      </c>
      <c r="C20" s="42" t="e">
        <f>IF(C$1,SUMIFS('IncStmt Data'!$H$2:$H$2051,'IncStmt Data'!$G$2:$G$2051,$A20,'IncStmt Data'!$A$2:$A$2051,C$1),#N/A)</f>
        <v>#N/A</v>
      </c>
      <c r="D20" s="42" t="e">
        <f>IF(D$1,SUMIFS('IncStmt Data'!$H$2:$H$2051,'IncStmt Data'!$G$2:$G$2051,$A20,'IncStmt Data'!$A$2:$A$2051,D$1),#N/A)</f>
        <v>#N/A</v>
      </c>
      <c r="E20" s="42" t="e">
        <f>IF(E$1,SUMIFS('IncStmt Data'!$H$2:$H$2051,'IncStmt Data'!$G$2:$G$2051,$A20,'IncStmt Data'!$A$2:$A$2051,E$1),#N/A)</f>
        <v>#N/A</v>
      </c>
      <c r="F20" s="42" t="e">
        <f>IF(F$1,SUMIFS('IncStmt Data'!$H$2:$H$2051,'IncStmt Data'!$G$2:$G$2051,$A20,'IncStmt Data'!$A$2:$A$2051,F$1),#N/A)</f>
        <v>#N/A</v>
      </c>
      <c r="G20" s="42" t="e">
        <f>IF(G$1,SUMIFS('IncStmt Data'!$H$2:$H$2051,'IncStmt Data'!$G$2:$G$2051,$A20,'IncStmt Data'!$A$2:$A$2051,G$1),#N/A)</f>
        <v>#N/A</v>
      </c>
      <c r="H20" s="42" t="e">
        <f>IF(H$1,SUMIFS('IncStmt Data'!$H$2:$H$2051,'IncStmt Data'!$G$2:$G$2051,$A20,'IncStmt Data'!$A$2:$A$2051,H$1),#N/A)</f>
        <v>#N/A</v>
      </c>
      <c r="I20" s="42" t="e">
        <f>IF(I$1,SUMIFS('IncStmt Data'!$H$2:$H$2051,'IncStmt Data'!$G$2:$G$2051,$A20,'IncStmt Data'!$A$2:$A$2051,I$1),#N/A)</f>
        <v>#N/A</v>
      </c>
      <c r="J20" s="42" t="e">
        <f>IF(J$1,SUMIFS('IncStmt Data'!$H$2:$H$2051,'IncStmt Data'!$G$2:$G$2051,$A20,'IncStmt Data'!$A$2:$A$2051,J$1),#N/A)</f>
        <v>#N/A</v>
      </c>
      <c r="K20" s="42" t="e">
        <f>IF(K$1,SUMIFS('IncStmt Data'!$H$2:$H$2051,'IncStmt Data'!$G$2:$G$2051,$A20,'IncStmt Data'!$A$2:$A$2051,K$1),#N/A)</f>
        <v>#N/A</v>
      </c>
      <c r="L20" s="42" t="e">
        <f>IF(L$1,SUMIFS('IncStmt Data'!$H$2:$H$2051,'IncStmt Data'!$G$2:$G$2051,$A20,'IncStmt Data'!$A$2:$A$2051,L$1),#N/A)</f>
        <v>#N/A</v>
      </c>
      <c r="M20" s="42" t="e">
        <f>IF(M$1,SUMIFS('IncStmt Data'!$H$2:$H$2051,'IncStmt Data'!$G$2:$G$2051,$A20,'IncStmt Data'!$A$2:$A$2051,M$1),#N/A)</f>
        <v>#N/A</v>
      </c>
      <c r="N20" s="42" t="e">
        <f>IF(N$1,SUMIFS('IncStmt Data'!$H$2:$H$2051,'IncStmt Data'!$G$2:$G$2051,$A20,'IncStmt Data'!$A$2:$A$2051,N$1),#N/A)</f>
        <v>#N/A</v>
      </c>
      <c r="O20" s="42" t="e">
        <f>IF(O$1,SUMIFS('IncStmt Data'!$H$2:$H$2051,'IncStmt Data'!$G$2:$G$2051,$A20,'IncStmt Data'!$A$2:$A$2051,O$1),#N/A)</f>
        <v>#N/A</v>
      </c>
      <c r="P20" s="42" t="e">
        <f>IF(P$1,SUMIFS('IncStmt Data'!$H$2:$H$2051,'IncStmt Data'!$G$2:$G$2051,$A20,'IncStmt Data'!$A$2:$A$2051,P$1),#N/A)</f>
        <v>#N/A</v>
      </c>
      <c r="Q20" s="42" t="e">
        <f>IF(Q$1,SUMIFS('IncStmt Data'!$H$2:$H$2051,'IncStmt Data'!$G$2:$G$2051,$A20,'IncStmt Data'!$A$2:$A$2051,Q$1),#N/A)</f>
        <v>#N/A</v>
      </c>
      <c r="R20" s="42" t="e">
        <f>IF(R$1,SUMIFS('IncStmt Data'!$H$2:$H$2051,'IncStmt Data'!$G$2:$G$2051,$A20,'IncStmt Data'!$A$2:$A$2051,R$1),#N/A)</f>
        <v>#N/A</v>
      </c>
      <c r="S20" s="42" t="e">
        <f>IF(S$1,SUMIFS('IncStmt Data'!$H$2:$H$2051,'IncStmt Data'!$G$2:$G$2051,$A20,'IncStmt Data'!$A$2:$A$2051,S$1),#N/A)</f>
        <v>#N/A</v>
      </c>
      <c r="T20" s="42" t="e">
        <f>IF(T$1,SUMIFS('IncStmt Data'!$H$2:$H$2051,'IncStmt Data'!$G$2:$G$2051,$A20,'IncStmt Data'!$A$2:$A$2051,T$1),#N/A)</f>
        <v>#N/A</v>
      </c>
      <c r="U20" s="42" t="e">
        <f>IF(U$1,SUMIFS('IncStmt Data'!$H$2:$H$2051,'IncStmt Data'!$G$2:$G$2051,$A20,'IncStmt Data'!$A$2:$A$2051,U$1),#N/A)</f>
        <v>#N/A</v>
      </c>
      <c r="V20" s="42" t="e">
        <f>IF(V$1,SUMIFS('IncStmt Data'!$H$2:$H$2051,'IncStmt Data'!$G$2:$G$2051,$A20,'IncStmt Data'!$A$2:$A$2051,V$1),#N/A)</f>
        <v>#N/A</v>
      </c>
      <c r="W20" s="42" t="e">
        <f>IF(W$1,SUMIFS('IncStmt Data'!$H$2:$H$2051,'IncStmt Data'!$G$2:$G$2051,$A20,'IncStmt Data'!$A$2:$A$2051,W$1),#N/A)</f>
        <v>#N/A</v>
      </c>
      <c r="X20" s="42" t="e">
        <f>IF(X$1,SUMIFS('IncStmt Data'!$H$2:$H$2051,'IncStmt Data'!$G$2:$G$2051,$A20,'IncStmt Data'!$A$2:$A$2051,X$1),#N/A)</f>
        <v>#N/A</v>
      </c>
      <c r="Y20" s="42" t="e">
        <f>IF(Y$1,SUMIFS('IncStmt Data'!$H$2:$H$2051,'IncStmt Data'!$G$2:$G$2051,$A20,'IncStmt Data'!$A$2:$A$2051,Y$1),#N/A)</f>
        <v>#N/A</v>
      </c>
      <c r="Z20" s="42" t="e">
        <f>IF(Z$1,SUMIFS('IncStmt Data'!$H$2:$H$2051,'IncStmt Data'!$G$2:$G$2051,$A20,'IncStmt Data'!$A$2:$A$2051,Z$1),#N/A)</f>
        <v>#N/A</v>
      </c>
      <c r="AA20" s="42" t="e">
        <f>IF(AA$1,SUMIFS('IncStmt Data'!$H$2:$H$2051,'IncStmt Data'!$G$2:$G$2051,$A20,'IncStmt Data'!$A$2:$A$2051,AA$1),#N/A)</f>
        <v>#N/A</v>
      </c>
      <c r="AB20" s="42" t="e">
        <f>IF(AB$1,SUMIFS('IncStmt Data'!$H$2:$H$2051,'IncStmt Data'!$G$2:$G$2051,$A20,'IncStmt Data'!$A$2:$A$2051,AB$1),#N/A)</f>
        <v>#N/A</v>
      </c>
      <c r="AC20" s="42" t="e">
        <f>IF(AC$1,SUMIFS('IncStmt Data'!$H$2:$H$2051,'IncStmt Data'!$G$2:$G$2051,$A20,'IncStmt Data'!$A$2:$A$2051,AC$1),#N/A)</f>
        <v>#N/A</v>
      </c>
      <c r="AD20" s="42" t="e">
        <f>IF(AD$1,SUMIFS('IncStmt Data'!$H$2:$H$2051,'IncStmt Data'!$G$2:$G$2051,$A20,'IncStmt Data'!$A$2:$A$2051,AD$1),#N/A)</f>
        <v>#N/A</v>
      </c>
      <c r="AE20" s="42" t="e">
        <f>IF(AE$1,SUMIFS('IncStmt Data'!$H$2:$H$2051,'IncStmt Data'!$G$2:$G$2051,$A20,'IncStmt Data'!$A$2:$A$2051,AE$1),#N/A)</f>
        <v>#N/A</v>
      </c>
      <c r="AF20" s="42" t="e">
        <f>IF(AF$1,SUMIFS('IncStmt Data'!$H$2:$H$2051,'IncStmt Data'!$G$2:$G$2051,$A20,'IncStmt Data'!$A$2:$A$2051,AF$1),#N/A)</f>
        <v>#N/A</v>
      </c>
      <c r="AG20" s="42" t="e">
        <f>IF(AG$1,SUMIFS('IncStmt Data'!$H$2:$H$2051,'IncStmt Data'!$G$2:$G$2051,$A20,'IncStmt Data'!$A$2:$A$2051,AG$1),#N/A)</f>
        <v>#N/A</v>
      </c>
      <c r="AH20" s="42" t="e">
        <f>IF(AH$1,SUMIFS('IncStmt Data'!$H$2:$H$2051,'IncStmt Data'!$G$2:$G$2051,$A20,'IncStmt Data'!$A$2:$A$2051,AH$1),#N/A)</f>
        <v>#N/A</v>
      </c>
      <c r="AI20" s="42" t="e">
        <f>IF(AI$1,SUMIFS('IncStmt Data'!$H$2:$H$2051,'IncStmt Data'!$G$2:$G$2051,$A20,'IncStmt Data'!$A$2:$A$2051,AI$1),#N/A)</f>
        <v>#N/A</v>
      </c>
      <c r="AJ20" s="42" t="e">
        <f>IF(AJ$1,SUMIFS('IncStmt Data'!$H$2:$H$2051,'IncStmt Data'!$G$2:$G$2051,$A20,'IncStmt Data'!$A$2:$A$2051,AJ$1),#N/A)</f>
        <v>#N/A</v>
      </c>
      <c r="AK20" s="42" t="e">
        <f>IF(AK$1,SUMIFS('IncStmt Data'!$H$2:$H$2051,'IncStmt Data'!$G$2:$G$2051,$A20,'IncStmt Data'!$A$2:$A$2051,AK$1),#N/A)</f>
        <v>#N/A</v>
      </c>
      <c r="AL20" s="42" t="e">
        <f>IF(AL$1,SUMIFS('IncStmt Data'!$H$2:$H$2051,'IncStmt Data'!$G$2:$G$2051,$A20,'IncStmt Data'!$A$2:$A$2051,AL$1),#N/A)</f>
        <v>#N/A</v>
      </c>
      <c r="AM20" s="42" t="e">
        <f>IF(AM$1,SUMIFS('IncStmt Data'!$H$2:$H$2051,'IncStmt Data'!$G$2:$G$2051,$A20,'IncStmt Data'!$A$2:$A$2051,AM$1),#N/A)</f>
        <v>#N/A</v>
      </c>
      <c r="AN20" s="42" t="e">
        <f>IF(AN$1,SUMIFS('IncStmt Data'!$H$2:$H$2051,'IncStmt Data'!$G$2:$G$2051,$A20,'IncStmt Data'!$A$2:$A$2051,AN$1),#N/A)</f>
        <v>#N/A</v>
      </c>
      <c r="AO20" s="42" t="e">
        <f>IF(AO$1,SUMIFS('IncStmt Data'!$H$2:$H$2051,'IncStmt Data'!$G$2:$G$2051,$A20,'IncStmt Data'!$A$2:$A$2051,AO$1),#N/A)</f>
        <v>#N/A</v>
      </c>
      <c r="AP20" s="42" t="e">
        <f>IF(AP$1,SUMIFS('IncStmt Data'!$H$2:$H$2051,'IncStmt Data'!$G$2:$G$2051,$A20,'IncStmt Data'!$A$2:$A$2051,AP$1),#N/A)</f>
        <v>#N/A</v>
      </c>
      <c r="AQ20" s="42" t="e">
        <f>IF(AQ$1,SUMIFS('IncStmt Data'!$H$2:$H$2051,'IncStmt Data'!$G$2:$G$2051,$A20,'IncStmt Data'!$A$2:$A$2051,AQ$1),#N/A)</f>
        <v>#N/A</v>
      </c>
      <c r="AR20" s="42" t="e">
        <f>IF(AR$1,SUMIFS('IncStmt Data'!$H$2:$H$2051,'IncStmt Data'!$G$2:$G$2051,$A20,'IncStmt Data'!$A$2:$A$2051,AR$1),#N/A)</f>
        <v>#N/A</v>
      </c>
      <c r="AS20" s="42" t="e">
        <f>IF(AS$1,SUMIFS('IncStmt Data'!$H$2:$H$2051,'IncStmt Data'!$G$2:$G$2051,$A20,'IncStmt Data'!$A$2:$A$2051,AS$1),#N/A)</f>
        <v>#N/A</v>
      </c>
      <c r="AT20" s="42" t="e">
        <f>IF(AT$1,SUMIFS('IncStmt Data'!$H$2:$H$2051,'IncStmt Data'!$G$2:$G$2051,$A20,'IncStmt Data'!$A$2:$A$2051,AT$1),#N/A)</f>
        <v>#N/A</v>
      </c>
      <c r="AU20" s="42" t="e">
        <f>IF(AU$1,SUMIFS('IncStmt Data'!$H$2:$H$2051,'IncStmt Data'!$G$2:$G$2051,$A20,'IncStmt Data'!$A$2:$A$2051,AU$1),#N/A)</f>
        <v>#N/A</v>
      </c>
      <c r="AV20" s="42" t="e">
        <f>IF(AV$1,SUMIFS('IncStmt Data'!$H$2:$H$2051,'IncStmt Data'!$G$2:$G$2051,$A20,'IncStmt Data'!$A$2:$A$2051,AV$1),#N/A)</f>
        <v>#N/A</v>
      </c>
      <c r="AW20" s="42" t="e">
        <f>IF(AW$1,SUMIFS('IncStmt Data'!$H$2:$H$2051,'IncStmt Data'!$G$2:$G$2051,$A20,'IncStmt Data'!$A$2:$A$2051,AW$1),#N/A)</f>
        <v>#N/A</v>
      </c>
      <c r="AX20" s="42" t="e">
        <f>IF(AX$1,SUMIFS('IncStmt Data'!$H$2:$H$2051,'IncStmt Data'!$G$2:$G$2051,$A20,'IncStmt Data'!$A$2:$A$2051,AX$1),#N/A)</f>
        <v>#N/A</v>
      </c>
      <c r="AY20" s="42" t="e">
        <f>IF(AY$1,SUMIFS('IncStmt Data'!$H$2:$H$2051,'IncStmt Data'!$G$2:$G$2051,$A20,'IncStmt Data'!$A$2:$A$2051,AY$1),#N/A)</f>
        <v>#N/A</v>
      </c>
      <c r="AZ20" s="42" t="e">
        <f>IF(AZ$1,SUMIFS('IncStmt Data'!$H$2:$H$2051,'IncStmt Data'!$G$2:$G$2051,$A20,'IncStmt Data'!$A$2:$A$2051,AZ$1),#N/A)</f>
        <v>#N/A</v>
      </c>
      <c r="BA20" s="42" t="e">
        <f>IF(BA$1,SUMIFS('IncStmt Data'!$H$2:$H$2051,'IncStmt Data'!$G$2:$G$2051,$A20,'IncStmt Data'!$A$2:$A$2051,BA$1),#N/A)</f>
        <v>#N/A</v>
      </c>
      <c r="BB20" s="42" t="e">
        <f>IF(BB$1,SUMIFS('IncStmt Data'!$H$2:$H$2051,'IncStmt Data'!$G$2:$G$2051,$A20,'IncStmt Data'!$A$2:$A$2051,BB$1),#N/A)</f>
        <v>#N/A</v>
      </c>
      <c r="BC20" s="42" t="e">
        <f>IF(BC$1,SUMIFS('IncStmt Data'!$H$2:$H$2051,'IncStmt Data'!$G$2:$G$2051,$A20,'IncStmt Data'!$A$2:$A$2051,BC$1),#N/A)</f>
        <v>#N/A</v>
      </c>
      <c r="BD20" s="42" t="e">
        <f>IF(BD$1,SUMIFS('IncStmt Data'!$H$2:$H$2051,'IncStmt Data'!$G$2:$G$2051,$A20,'IncStmt Data'!$A$2:$A$2051,BD$1),#N/A)</f>
        <v>#N/A</v>
      </c>
      <c r="BE20" s="42" t="e">
        <f>IF(BE$1,SUMIFS('IncStmt Data'!$H$2:$H$2051,'IncStmt Data'!$G$2:$G$2051,$A20,'IncStmt Data'!$A$2:$A$2051,BE$1),#N/A)</f>
        <v>#N/A</v>
      </c>
      <c r="BF20" s="42" t="e">
        <f>IF(BF$1,SUMIFS('IncStmt Data'!$H$2:$H$2051,'IncStmt Data'!$G$2:$G$2051,$A20,'IncStmt Data'!$A$2:$A$2051,BF$1),#N/A)</f>
        <v>#N/A</v>
      </c>
      <c r="BG20" s="42" t="e">
        <f>IF(BG$1,SUMIFS('IncStmt Data'!$H$2:$H$2051,'IncStmt Data'!$G$2:$G$2051,$A20,'IncStmt Data'!$A$2:$A$2051,BG$1),#N/A)</f>
        <v>#N/A</v>
      </c>
      <c r="BH20" s="42" t="e">
        <f>IF(BH$1,SUMIFS('IncStmt Data'!$H$2:$H$2051,'IncStmt Data'!$G$2:$G$2051,$A20,'IncStmt Data'!$A$2:$A$2051,BH$1),#N/A)</f>
        <v>#N/A</v>
      </c>
      <c r="BI20" s="42" t="e">
        <f>IF(BI$1,SUMIFS('IncStmt Data'!$H$2:$H$2051,'IncStmt Data'!$G$2:$G$2051,$A20,'IncStmt Data'!$A$2:$A$2051,BI$1),#N/A)</f>
        <v>#N/A</v>
      </c>
      <c r="BJ20" s="42" t="e">
        <f>IF(BJ$1,SUMIFS('IncStmt Data'!$H$2:$H$2051,'IncStmt Data'!$G$2:$G$2051,$A20,'IncStmt Data'!$A$2:$A$2051,BJ$1),#N/A)</f>
        <v>#N/A</v>
      </c>
      <c r="BK20" s="42" t="e">
        <f>IF(BK$1,SUMIFS('IncStmt Data'!$H$2:$H$2051,'IncStmt Data'!$G$2:$G$2051,$A20,'IncStmt Data'!$A$2:$A$2051,BK$1),#N/A)</f>
        <v>#N/A</v>
      </c>
      <c r="BL20" s="42" t="e">
        <f>IF(BL$1,SUMIFS('IncStmt Data'!$H$2:$H$2051,'IncStmt Data'!$G$2:$G$2051,$A20,'IncStmt Data'!$A$2:$A$2051,BL$1),#N/A)</f>
        <v>#N/A</v>
      </c>
      <c r="BM20" s="42" t="e">
        <f>IF(BM$1,SUMIFS('IncStmt Data'!$H$2:$H$2051,'IncStmt Data'!$G$2:$G$2051,$A20,'IncStmt Data'!$A$2:$A$2051,BM$1),#N/A)</f>
        <v>#N/A</v>
      </c>
      <c r="BN20" s="42" t="e">
        <f>IF(BN$1,SUMIFS('IncStmt Data'!$H$2:$H$2051,'IncStmt Data'!$G$2:$G$2051,$A20,'IncStmt Data'!$A$2:$A$2051,BN$1),#N/A)</f>
        <v>#N/A</v>
      </c>
      <c r="BO20" s="42" t="e">
        <f>IF(BO$1,SUMIFS('IncStmt Data'!$H$2:$H$2051,'IncStmt Data'!$G$2:$G$2051,$A20,'IncStmt Data'!$A$2:$A$2051,BO$1),#N/A)</f>
        <v>#N/A</v>
      </c>
      <c r="BP20" s="42" t="e">
        <f>IF(BP$1,SUMIFS('IncStmt Data'!$H$2:$H$2051,'IncStmt Data'!$G$2:$G$2051,$A20,'IncStmt Data'!$A$2:$A$2051,BP$1),#N/A)</f>
        <v>#N/A</v>
      </c>
      <c r="BQ20" s="42" t="e">
        <f>IF(BQ$1,SUMIFS('IncStmt Data'!$H$2:$H$2051,'IncStmt Data'!$G$2:$G$2051,$A20,'IncStmt Data'!$A$2:$A$2051,BQ$1),#N/A)</f>
        <v>#N/A</v>
      </c>
      <c r="BR20" s="42" t="e">
        <f>IF(BR$1,SUMIFS('IncStmt Data'!$H$2:$H$2051,'IncStmt Data'!$G$2:$G$2051,$A20,'IncStmt Data'!$A$2:$A$2051,BR$1),#N/A)</f>
        <v>#N/A</v>
      </c>
      <c r="BS20" s="42" t="e">
        <f>IF(BS$1,SUMIFS('IncStmt Data'!$H$2:$H$2051,'IncStmt Data'!$G$2:$G$2051,$A20,'IncStmt Data'!$A$2:$A$2051,BS$1),#N/A)</f>
        <v>#N/A</v>
      </c>
      <c r="BT20" s="42" t="e">
        <f>IF(BT$1,SUMIFS('IncStmt Data'!$H$2:$H$2051,'IncStmt Data'!$G$2:$G$2051,$A20,'IncStmt Data'!$A$2:$A$2051,BT$1),#N/A)</f>
        <v>#N/A</v>
      </c>
      <c r="BU20" s="42" t="e">
        <f>IF(BU$1,SUMIFS('IncStmt Data'!$H$2:$H$2051,'IncStmt Data'!$G$2:$G$2051,$A20,'IncStmt Data'!$A$2:$A$2051,BU$1),#N/A)</f>
        <v>#N/A</v>
      </c>
      <c r="BV20" s="42" t="e">
        <f>IF(BV$1,SUMIFS('IncStmt Data'!$H$2:$H$2051,'IncStmt Data'!$G$2:$G$2051,$A20,'IncStmt Data'!$A$2:$A$2051,BV$1),#N/A)</f>
        <v>#N/A</v>
      </c>
      <c r="BW20" s="42" t="e">
        <f>IF(BW$1,SUMIFS('IncStmt Data'!$H$2:$H$2051,'IncStmt Data'!$G$2:$G$2051,$A20,'IncStmt Data'!$A$2:$A$2051,BW$1),#N/A)</f>
        <v>#N/A</v>
      </c>
      <c r="BX20" s="42" t="e">
        <f>IF(BX$1,SUMIFS('IncStmt Data'!$H$2:$H$2051,'IncStmt Data'!$G$2:$G$2051,$A20,'IncStmt Data'!$A$2:$A$2051,BX$1),#N/A)</f>
        <v>#N/A</v>
      </c>
      <c r="BY20" s="42" t="e">
        <f>IF(BY$1,SUMIFS('IncStmt Data'!$H$2:$H$2051,'IncStmt Data'!$G$2:$G$2051,$A20,'IncStmt Data'!$A$2:$A$2051,BY$1),#N/A)</f>
        <v>#N/A</v>
      </c>
      <c r="BZ20" s="42" t="e">
        <f>IF(BZ$1,SUMIFS('IncStmt Data'!$H$2:$H$2051,'IncStmt Data'!$G$2:$G$2051,$A20,'IncStmt Data'!$A$2:$A$2051,BZ$1),#N/A)</f>
        <v>#N/A</v>
      </c>
      <c r="CA20" s="42" t="e">
        <f>IF(CA$1,SUMIFS('IncStmt Data'!$H$2:$H$2051,'IncStmt Data'!$G$2:$G$2051,$A20,'IncStmt Data'!$A$2:$A$2051,CA$1),#N/A)</f>
        <v>#N/A</v>
      </c>
      <c r="CB20" s="42" t="e">
        <f>IF(CB$1,SUMIFS('IncStmt Data'!$H$2:$H$2051,'IncStmt Data'!$G$2:$G$2051,$A20,'IncStmt Data'!$A$2:$A$2051,CB$1),#N/A)</f>
        <v>#N/A</v>
      </c>
      <c r="CC20" s="42" t="e">
        <f>IF(CC$1,SUMIFS('IncStmt Data'!$H$2:$H$2051,'IncStmt Data'!$G$2:$G$2051,$A20,'IncStmt Data'!$A$2:$A$2051,CC$1),#N/A)</f>
        <v>#N/A</v>
      </c>
      <c r="CD20" s="42" t="e">
        <f>IF(CD$1,SUMIFS('IncStmt Data'!$H$2:$H$2051,'IncStmt Data'!$G$2:$G$2051,$A20,'IncStmt Data'!$A$2:$A$2051,CD$1),#N/A)</f>
        <v>#N/A</v>
      </c>
      <c r="CE20" s="42" t="e">
        <f>IF(CE$1,SUMIFS('IncStmt Data'!$H$2:$H$2051,'IncStmt Data'!$G$2:$G$2051,$A20,'IncStmt Data'!$A$2:$A$2051,CE$1),#N/A)</f>
        <v>#N/A</v>
      </c>
      <c r="CF20" s="42" t="e">
        <f>IF(CF$1,SUMIFS('IncStmt Data'!$H$2:$H$2051,'IncStmt Data'!$G$2:$G$2051,$A20,'IncStmt Data'!$A$2:$A$2051,CF$1),#N/A)</f>
        <v>#N/A</v>
      </c>
      <c r="CG20" s="42" t="e">
        <f>IF(CG$1,SUMIFS('IncStmt Data'!$H$2:$H$2051,'IncStmt Data'!$G$2:$G$2051,$A20,'IncStmt Data'!$A$2:$A$2051,CG$1),#N/A)</f>
        <v>#N/A</v>
      </c>
      <c r="CH20" s="42" t="e">
        <f>IF(CH$1,SUMIFS('IncStmt Data'!$H$2:$H$2051,'IncStmt Data'!$G$2:$G$2051,$A20,'IncStmt Data'!$A$2:$A$2051,CH$1),#N/A)</f>
        <v>#N/A</v>
      </c>
      <c r="CI20" s="42" t="e">
        <f>IF(CI$1,SUMIFS('IncStmt Data'!$H$2:$H$2051,'IncStmt Data'!$G$2:$G$2051,$A20,'IncStmt Data'!$A$2:$A$2051,CI$1),#N/A)</f>
        <v>#N/A</v>
      </c>
      <c r="CJ20" s="42" t="e">
        <f>IF(CJ$1,SUMIFS('IncStmt Data'!$H$2:$H$2051,'IncStmt Data'!$G$2:$G$2051,$A20,'IncStmt Data'!$A$2:$A$2051,CJ$1),#N/A)</f>
        <v>#N/A</v>
      </c>
      <c r="CK20" s="42" t="e">
        <f>IF(CK$1,SUMIFS('IncStmt Data'!$H$2:$H$2051,'IncStmt Data'!$G$2:$G$2051,$A20,'IncStmt Data'!$A$2:$A$2051,CK$1),#N/A)</f>
        <v>#N/A</v>
      </c>
      <c r="CL20" s="42" t="e">
        <f>IF(CL$1,SUMIFS('IncStmt Data'!$H$2:$H$2051,'IncStmt Data'!$G$2:$G$2051,$A20,'IncStmt Data'!$A$2:$A$2051,CL$1),#N/A)</f>
        <v>#N/A</v>
      </c>
      <c r="CM20" s="42" t="e">
        <f>IF(CM$1,SUMIFS('IncStmt Data'!$H$2:$H$2051,'IncStmt Data'!$G$2:$G$2051,$A20,'IncStmt Data'!$A$2:$A$2051,CM$1),#N/A)</f>
        <v>#N/A</v>
      </c>
      <c r="CN20" s="42" t="e">
        <f>IF(CN$1,SUMIFS('IncStmt Data'!$H$2:$H$2051,'IncStmt Data'!$G$2:$G$2051,$A20,'IncStmt Data'!$A$2:$A$2051,CN$1),#N/A)</f>
        <v>#N/A</v>
      </c>
      <c r="CO20" s="42" t="e">
        <f>IF(CO$1,SUMIFS('IncStmt Data'!$H$2:$H$2051,'IncStmt Data'!$G$2:$G$2051,$A20,'IncStmt Data'!$A$2:$A$2051,CO$1),#N/A)</f>
        <v>#N/A</v>
      </c>
      <c r="CP20" s="42" t="e">
        <f>IF(CP$1,SUMIFS('IncStmt Data'!$H$2:$H$2051,'IncStmt Data'!$G$2:$G$2051,$A20,'IncStmt Data'!$A$2:$A$2051,CP$1),#N/A)</f>
        <v>#N/A</v>
      </c>
      <c r="CQ20" s="42" t="e">
        <f>IF(CQ$1,SUMIFS('IncStmt Data'!$H$2:$H$2051,'IncStmt Data'!$G$2:$G$2051,$A20,'IncStmt Data'!$A$2:$A$2051,CQ$1),#N/A)</f>
        <v>#N/A</v>
      </c>
      <c r="CR20" s="42" t="e">
        <f>IF(CR$1,SUMIFS('IncStmt Data'!$H$2:$H$2051,'IncStmt Data'!$G$2:$G$2051,$A20,'IncStmt Data'!$A$2:$A$2051,CR$1),#N/A)</f>
        <v>#N/A</v>
      </c>
      <c r="CS20" s="42" t="e">
        <f>IF(CS$1,SUMIFS('IncStmt Data'!$H$2:$H$2051,'IncStmt Data'!$G$2:$G$2051,$A20,'IncStmt Data'!$A$2:$A$2051,CS$1),#N/A)</f>
        <v>#N/A</v>
      </c>
      <c r="CT20" s="42" t="e">
        <f>IF(CT$1,SUMIFS('IncStmt Data'!$H$2:$H$2051,'IncStmt Data'!$G$2:$G$2051,$A20,'IncStmt Data'!$A$2:$A$2051,CT$1),#N/A)</f>
        <v>#N/A</v>
      </c>
      <c r="CU20" s="42" t="e">
        <f>IF(CU$1,SUMIFS('IncStmt Data'!$H$2:$H$2051,'IncStmt Data'!$G$2:$G$2051,$A20,'IncStmt Data'!$A$2:$A$2051,CU$1),#N/A)</f>
        <v>#N/A</v>
      </c>
      <c r="CV20" s="42" t="e">
        <f>IF(CV$1,SUMIFS('IncStmt Data'!$H$2:$H$2051,'IncStmt Data'!$G$2:$G$2051,$A20,'IncStmt Data'!$A$2:$A$2051,CV$1),#N/A)</f>
        <v>#N/A</v>
      </c>
      <c r="CW20" s="42" t="e">
        <f>IF(CW$1,SUMIFS('IncStmt Data'!$H$2:$H$2051,'IncStmt Data'!$G$2:$G$2051,$A20,'IncStmt Data'!$A$2:$A$2051,CW$1),#N/A)</f>
        <v>#N/A</v>
      </c>
      <c r="CX20" s="42" t="e">
        <f>IF(CX$1,SUMIFS('IncStmt Data'!$H$2:$H$2051,'IncStmt Data'!$G$2:$G$2051,$A20,'IncStmt Data'!$A$2:$A$2051,CX$1),#N/A)</f>
        <v>#N/A</v>
      </c>
      <c r="CY20" s="42" t="e">
        <f>IF(CY$1,SUMIFS('IncStmt Data'!$H$2:$H$2051,'IncStmt Data'!$G$2:$G$2051,$A20,'IncStmt Data'!$A$2:$A$2051,CY$1),#N/A)</f>
        <v>#N/A</v>
      </c>
      <c r="CZ20" s="42" t="e">
        <f>IF(CZ$1,SUMIFS('IncStmt Data'!$H$2:$H$2051,'IncStmt Data'!$G$2:$G$2051,$A20,'IncStmt Data'!$A$2:$A$2051,CZ$1),#N/A)</f>
        <v>#N/A</v>
      </c>
    </row>
    <row r="21" spans="1:104" s="42" customFormat="1" x14ac:dyDescent="0.2">
      <c r="A21" s="60" t="s">
        <v>158</v>
      </c>
      <c r="B21" s="42" t="e">
        <f>IF(B$1,SUMIFS('IncStmt Data'!$H$2:$H$2051,'IncStmt Data'!$G$2:$G$2051,$A21,'IncStmt Data'!$A$2:$A$2051,B$1),#N/A)</f>
        <v>#N/A</v>
      </c>
      <c r="C21" s="42" t="e">
        <f>IF(C$1,SUMIFS('IncStmt Data'!$H$2:$H$2051,'IncStmt Data'!$G$2:$G$2051,$A21,'IncStmt Data'!$A$2:$A$2051,C$1),#N/A)</f>
        <v>#N/A</v>
      </c>
      <c r="D21" s="42" t="e">
        <f>IF(D$1,SUMIFS('IncStmt Data'!$H$2:$H$2051,'IncStmt Data'!$G$2:$G$2051,$A21,'IncStmt Data'!$A$2:$A$2051,D$1),#N/A)</f>
        <v>#N/A</v>
      </c>
      <c r="E21" s="42" t="e">
        <f>IF(E$1,SUMIFS('IncStmt Data'!$H$2:$H$2051,'IncStmt Data'!$G$2:$G$2051,$A21,'IncStmt Data'!$A$2:$A$2051,E$1),#N/A)</f>
        <v>#N/A</v>
      </c>
      <c r="F21" s="42" t="e">
        <f>IF(F$1,SUMIFS('IncStmt Data'!$H$2:$H$2051,'IncStmt Data'!$G$2:$G$2051,$A21,'IncStmt Data'!$A$2:$A$2051,F$1),#N/A)</f>
        <v>#N/A</v>
      </c>
      <c r="G21" s="42" t="e">
        <f>IF(G$1,SUMIFS('IncStmt Data'!$H$2:$H$2051,'IncStmt Data'!$G$2:$G$2051,$A21,'IncStmt Data'!$A$2:$A$2051,G$1),#N/A)</f>
        <v>#N/A</v>
      </c>
      <c r="H21" s="42" t="e">
        <f>IF(H$1,SUMIFS('IncStmt Data'!$H$2:$H$2051,'IncStmt Data'!$G$2:$G$2051,$A21,'IncStmt Data'!$A$2:$A$2051,H$1),#N/A)</f>
        <v>#N/A</v>
      </c>
      <c r="I21" s="42" t="e">
        <f>IF(I$1,SUMIFS('IncStmt Data'!$H$2:$H$2051,'IncStmt Data'!$G$2:$G$2051,$A21,'IncStmt Data'!$A$2:$A$2051,I$1),#N/A)</f>
        <v>#N/A</v>
      </c>
      <c r="J21" s="42" t="e">
        <f>IF(J$1,SUMIFS('IncStmt Data'!$H$2:$H$2051,'IncStmt Data'!$G$2:$G$2051,$A21,'IncStmt Data'!$A$2:$A$2051,J$1),#N/A)</f>
        <v>#N/A</v>
      </c>
      <c r="K21" s="42" t="e">
        <f>IF(K$1,SUMIFS('IncStmt Data'!$H$2:$H$2051,'IncStmt Data'!$G$2:$G$2051,$A21,'IncStmt Data'!$A$2:$A$2051,K$1),#N/A)</f>
        <v>#N/A</v>
      </c>
      <c r="L21" s="42" t="e">
        <f>IF(L$1,SUMIFS('IncStmt Data'!$H$2:$H$2051,'IncStmt Data'!$G$2:$G$2051,$A21,'IncStmt Data'!$A$2:$A$2051,L$1),#N/A)</f>
        <v>#N/A</v>
      </c>
      <c r="M21" s="42" t="e">
        <f>IF(M$1,SUMIFS('IncStmt Data'!$H$2:$H$2051,'IncStmt Data'!$G$2:$G$2051,$A21,'IncStmt Data'!$A$2:$A$2051,M$1),#N/A)</f>
        <v>#N/A</v>
      </c>
      <c r="N21" s="42" t="e">
        <f>IF(N$1,SUMIFS('IncStmt Data'!$H$2:$H$2051,'IncStmt Data'!$G$2:$G$2051,$A21,'IncStmt Data'!$A$2:$A$2051,N$1),#N/A)</f>
        <v>#N/A</v>
      </c>
      <c r="O21" s="42" t="e">
        <f>IF(O$1,SUMIFS('IncStmt Data'!$H$2:$H$2051,'IncStmt Data'!$G$2:$G$2051,$A21,'IncStmt Data'!$A$2:$A$2051,O$1),#N/A)</f>
        <v>#N/A</v>
      </c>
      <c r="P21" s="42" t="e">
        <f>IF(P$1,SUMIFS('IncStmt Data'!$H$2:$H$2051,'IncStmt Data'!$G$2:$G$2051,$A21,'IncStmt Data'!$A$2:$A$2051,P$1),#N/A)</f>
        <v>#N/A</v>
      </c>
      <c r="Q21" s="42" t="e">
        <f>IF(Q$1,SUMIFS('IncStmt Data'!$H$2:$H$2051,'IncStmt Data'!$G$2:$G$2051,$A21,'IncStmt Data'!$A$2:$A$2051,Q$1),#N/A)</f>
        <v>#N/A</v>
      </c>
      <c r="R21" s="42" t="e">
        <f>IF(R$1,SUMIFS('IncStmt Data'!$H$2:$H$2051,'IncStmt Data'!$G$2:$G$2051,$A21,'IncStmt Data'!$A$2:$A$2051,R$1),#N/A)</f>
        <v>#N/A</v>
      </c>
      <c r="S21" s="42" t="e">
        <f>IF(S$1,SUMIFS('IncStmt Data'!$H$2:$H$2051,'IncStmt Data'!$G$2:$G$2051,$A21,'IncStmt Data'!$A$2:$A$2051,S$1),#N/A)</f>
        <v>#N/A</v>
      </c>
      <c r="T21" s="42" t="e">
        <f>IF(T$1,SUMIFS('IncStmt Data'!$H$2:$H$2051,'IncStmt Data'!$G$2:$G$2051,$A21,'IncStmt Data'!$A$2:$A$2051,T$1),#N/A)</f>
        <v>#N/A</v>
      </c>
      <c r="U21" s="42" t="e">
        <f>IF(U$1,SUMIFS('IncStmt Data'!$H$2:$H$2051,'IncStmt Data'!$G$2:$G$2051,$A21,'IncStmt Data'!$A$2:$A$2051,U$1),#N/A)</f>
        <v>#N/A</v>
      </c>
      <c r="V21" s="42" t="e">
        <f>IF(V$1,SUMIFS('IncStmt Data'!$H$2:$H$2051,'IncStmt Data'!$G$2:$G$2051,$A21,'IncStmt Data'!$A$2:$A$2051,V$1),#N/A)</f>
        <v>#N/A</v>
      </c>
      <c r="W21" s="42" t="e">
        <f>IF(W$1,SUMIFS('IncStmt Data'!$H$2:$H$2051,'IncStmt Data'!$G$2:$G$2051,$A21,'IncStmt Data'!$A$2:$A$2051,W$1),#N/A)</f>
        <v>#N/A</v>
      </c>
      <c r="X21" s="42" t="e">
        <f>IF(X$1,SUMIFS('IncStmt Data'!$H$2:$H$2051,'IncStmt Data'!$G$2:$G$2051,$A21,'IncStmt Data'!$A$2:$A$2051,X$1),#N/A)</f>
        <v>#N/A</v>
      </c>
      <c r="Y21" s="42" t="e">
        <f>IF(Y$1,SUMIFS('IncStmt Data'!$H$2:$H$2051,'IncStmt Data'!$G$2:$G$2051,$A21,'IncStmt Data'!$A$2:$A$2051,Y$1),#N/A)</f>
        <v>#N/A</v>
      </c>
      <c r="Z21" s="42" t="e">
        <f>IF(Z$1,SUMIFS('IncStmt Data'!$H$2:$H$2051,'IncStmt Data'!$G$2:$G$2051,$A21,'IncStmt Data'!$A$2:$A$2051,Z$1),#N/A)</f>
        <v>#N/A</v>
      </c>
      <c r="AA21" s="42" t="e">
        <f>IF(AA$1,SUMIFS('IncStmt Data'!$H$2:$H$2051,'IncStmt Data'!$G$2:$G$2051,$A21,'IncStmt Data'!$A$2:$A$2051,AA$1),#N/A)</f>
        <v>#N/A</v>
      </c>
      <c r="AB21" s="42" t="e">
        <f>IF(AB$1,SUMIFS('IncStmt Data'!$H$2:$H$2051,'IncStmt Data'!$G$2:$G$2051,$A21,'IncStmt Data'!$A$2:$A$2051,AB$1),#N/A)</f>
        <v>#N/A</v>
      </c>
      <c r="AC21" s="42" t="e">
        <f>IF(AC$1,SUMIFS('IncStmt Data'!$H$2:$H$2051,'IncStmt Data'!$G$2:$G$2051,$A21,'IncStmt Data'!$A$2:$A$2051,AC$1),#N/A)</f>
        <v>#N/A</v>
      </c>
      <c r="AD21" s="42" t="e">
        <f>IF(AD$1,SUMIFS('IncStmt Data'!$H$2:$H$2051,'IncStmt Data'!$G$2:$G$2051,$A21,'IncStmt Data'!$A$2:$A$2051,AD$1),#N/A)</f>
        <v>#N/A</v>
      </c>
      <c r="AE21" s="42" t="e">
        <f>IF(AE$1,SUMIFS('IncStmt Data'!$H$2:$H$2051,'IncStmt Data'!$G$2:$G$2051,$A21,'IncStmt Data'!$A$2:$A$2051,AE$1),#N/A)</f>
        <v>#N/A</v>
      </c>
      <c r="AF21" s="42" t="e">
        <f>IF(AF$1,SUMIFS('IncStmt Data'!$H$2:$H$2051,'IncStmt Data'!$G$2:$G$2051,$A21,'IncStmt Data'!$A$2:$A$2051,AF$1),#N/A)</f>
        <v>#N/A</v>
      </c>
      <c r="AG21" s="42" t="e">
        <f>IF(AG$1,SUMIFS('IncStmt Data'!$H$2:$H$2051,'IncStmt Data'!$G$2:$G$2051,$A21,'IncStmt Data'!$A$2:$A$2051,AG$1),#N/A)</f>
        <v>#N/A</v>
      </c>
      <c r="AH21" s="42" t="e">
        <f>IF(AH$1,SUMIFS('IncStmt Data'!$H$2:$H$2051,'IncStmt Data'!$G$2:$G$2051,$A21,'IncStmt Data'!$A$2:$A$2051,AH$1),#N/A)</f>
        <v>#N/A</v>
      </c>
      <c r="AI21" s="42" t="e">
        <f>IF(AI$1,SUMIFS('IncStmt Data'!$H$2:$H$2051,'IncStmt Data'!$G$2:$G$2051,$A21,'IncStmt Data'!$A$2:$A$2051,AI$1),#N/A)</f>
        <v>#N/A</v>
      </c>
      <c r="AJ21" s="42" t="e">
        <f>IF(AJ$1,SUMIFS('IncStmt Data'!$H$2:$H$2051,'IncStmt Data'!$G$2:$G$2051,$A21,'IncStmt Data'!$A$2:$A$2051,AJ$1),#N/A)</f>
        <v>#N/A</v>
      </c>
      <c r="AK21" s="42" t="e">
        <f>IF(AK$1,SUMIFS('IncStmt Data'!$H$2:$H$2051,'IncStmt Data'!$G$2:$G$2051,$A21,'IncStmt Data'!$A$2:$A$2051,AK$1),#N/A)</f>
        <v>#N/A</v>
      </c>
      <c r="AL21" s="42" t="e">
        <f>IF(AL$1,SUMIFS('IncStmt Data'!$H$2:$H$2051,'IncStmt Data'!$G$2:$G$2051,$A21,'IncStmt Data'!$A$2:$A$2051,AL$1),#N/A)</f>
        <v>#N/A</v>
      </c>
      <c r="AM21" s="42" t="e">
        <f>IF(AM$1,SUMIFS('IncStmt Data'!$H$2:$H$2051,'IncStmt Data'!$G$2:$G$2051,$A21,'IncStmt Data'!$A$2:$A$2051,AM$1),#N/A)</f>
        <v>#N/A</v>
      </c>
      <c r="AN21" s="42" t="e">
        <f>IF(AN$1,SUMIFS('IncStmt Data'!$H$2:$H$2051,'IncStmt Data'!$G$2:$G$2051,$A21,'IncStmt Data'!$A$2:$A$2051,AN$1),#N/A)</f>
        <v>#N/A</v>
      </c>
      <c r="AO21" s="42" t="e">
        <f>IF(AO$1,SUMIFS('IncStmt Data'!$H$2:$H$2051,'IncStmt Data'!$G$2:$G$2051,$A21,'IncStmt Data'!$A$2:$A$2051,AO$1),#N/A)</f>
        <v>#N/A</v>
      </c>
      <c r="AP21" s="42" t="e">
        <f>IF(AP$1,SUMIFS('IncStmt Data'!$H$2:$H$2051,'IncStmt Data'!$G$2:$G$2051,$A21,'IncStmt Data'!$A$2:$A$2051,AP$1),#N/A)</f>
        <v>#N/A</v>
      </c>
      <c r="AQ21" s="42" t="e">
        <f>IF(AQ$1,SUMIFS('IncStmt Data'!$H$2:$H$2051,'IncStmt Data'!$G$2:$G$2051,$A21,'IncStmt Data'!$A$2:$A$2051,AQ$1),#N/A)</f>
        <v>#N/A</v>
      </c>
      <c r="AR21" s="42" t="e">
        <f>IF(AR$1,SUMIFS('IncStmt Data'!$H$2:$H$2051,'IncStmt Data'!$G$2:$G$2051,$A21,'IncStmt Data'!$A$2:$A$2051,AR$1),#N/A)</f>
        <v>#N/A</v>
      </c>
      <c r="AS21" s="42" t="e">
        <f>IF(AS$1,SUMIFS('IncStmt Data'!$H$2:$H$2051,'IncStmt Data'!$G$2:$G$2051,$A21,'IncStmt Data'!$A$2:$A$2051,AS$1),#N/A)</f>
        <v>#N/A</v>
      </c>
      <c r="AT21" s="42" t="e">
        <f>IF(AT$1,SUMIFS('IncStmt Data'!$H$2:$H$2051,'IncStmt Data'!$G$2:$G$2051,$A21,'IncStmt Data'!$A$2:$A$2051,AT$1),#N/A)</f>
        <v>#N/A</v>
      </c>
      <c r="AU21" s="42" t="e">
        <f>IF(AU$1,SUMIFS('IncStmt Data'!$H$2:$H$2051,'IncStmt Data'!$G$2:$G$2051,$A21,'IncStmt Data'!$A$2:$A$2051,AU$1),#N/A)</f>
        <v>#N/A</v>
      </c>
      <c r="AV21" s="42" t="e">
        <f>IF(AV$1,SUMIFS('IncStmt Data'!$H$2:$H$2051,'IncStmt Data'!$G$2:$G$2051,$A21,'IncStmt Data'!$A$2:$A$2051,AV$1),#N/A)</f>
        <v>#N/A</v>
      </c>
      <c r="AW21" s="42" t="e">
        <f>IF(AW$1,SUMIFS('IncStmt Data'!$H$2:$H$2051,'IncStmt Data'!$G$2:$G$2051,$A21,'IncStmt Data'!$A$2:$A$2051,AW$1),#N/A)</f>
        <v>#N/A</v>
      </c>
      <c r="AX21" s="42" t="e">
        <f>IF(AX$1,SUMIFS('IncStmt Data'!$H$2:$H$2051,'IncStmt Data'!$G$2:$G$2051,$A21,'IncStmt Data'!$A$2:$A$2051,AX$1),#N/A)</f>
        <v>#N/A</v>
      </c>
      <c r="AY21" s="42" t="e">
        <f>IF(AY$1,SUMIFS('IncStmt Data'!$H$2:$H$2051,'IncStmt Data'!$G$2:$G$2051,$A21,'IncStmt Data'!$A$2:$A$2051,AY$1),#N/A)</f>
        <v>#N/A</v>
      </c>
      <c r="AZ21" s="42" t="e">
        <f>IF(AZ$1,SUMIFS('IncStmt Data'!$H$2:$H$2051,'IncStmt Data'!$G$2:$G$2051,$A21,'IncStmt Data'!$A$2:$A$2051,AZ$1),#N/A)</f>
        <v>#N/A</v>
      </c>
      <c r="BA21" s="42" t="e">
        <f>IF(BA$1,SUMIFS('IncStmt Data'!$H$2:$H$2051,'IncStmt Data'!$G$2:$G$2051,$A21,'IncStmt Data'!$A$2:$A$2051,BA$1),#N/A)</f>
        <v>#N/A</v>
      </c>
      <c r="BB21" s="42" t="e">
        <f>IF(BB$1,SUMIFS('IncStmt Data'!$H$2:$H$2051,'IncStmt Data'!$G$2:$G$2051,$A21,'IncStmt Data'!$A$2:$A$2051,BB$1),#N/A)</f>
        <v>#N/A</v>
      </c>
      <c r="BC21" s="42" t="e">
        <f>IF(BC$1,SUMIFS('IncStmt Data'!$H$2:$H$2051,'IncStmt Data'!$G$2:$G$2051,$A21,'IncStmt Data'!$A$2:$A$2051,BC$1),#N/A)</f>
        <v>#N/A</v>
      </c>
      <c r="BD21" s="42" t="e">
        <f>IF(BD$1,SUMIFS('IncStmt Data'!$H$2:$H$2051,'IncStmt Data'!$G$2:$G$2051,$A21,'IncStmt Data'!$A$2:$A$2051,BD$1),#N/A)</f>
        <v>#N/A</v>
      </c>
      <c r="BE21" s="42" t="e">
        <f>IF(BE$1,SUMIFS('IncStmt Data'!$H$2:$H$2051,'IncStmt Data'!$G$2:$G$2051,$A21,'IncStmt Data'!$A$2:$A$2051,BE$1),#N/A)</f>
        <v>#N/A</v>
      </c>
      <c r="BF21" s="42" t="e">
        <f>IF(BF$1,SUMIFS('IncStmt Data'!$H$2:$H$2051,'IncStmt Data'!$G$2:$G$2051,$A21,'IncStmt Data'!$A$2:$A$2051,BF$1),#N/A)</f>
        <v>#N/A</v>
      </c>
      <c r="BG21" s="42" t="e">
        <f>IF(BG$1,SUMIFS('IncStmt Data'!$H$2:$H$2051,'IncStmt Data'!$G$2:$G$2051,$A21,'IncStmt Data'!$A$2:$A$2051,BG$1),#N/A)</f>
        <v>#N/A</v>
      </c>
      <c r="BH21" s="42" t="e">
        <f>IF(BH$1,SUMIFS('IncStmt Data'!$H$2:$H$2051,'IncStmt Data'!$G$2:$G$2051,$A21,'IncStmt Data'!$A$2:$A$2051,BH$1),#N/A)</f>
        <v>#N/A</v>
      </c>
      <c r="BI21" s="42" t="e">
        <f>IF(BI$1,SUMIFS('IncStmt Data'!$H$2:$H$2051,'IncStmt Data'!$G$2:$G$2051,$A21,'IncStmt Data'!$A$2:$A$2051,BI$1),#N/A)</f>
        <v>#N/A</v>
      </c>
      <c r="BJ21" s="42" t="e">
        <f>IF(BJ$1,SUMIFS('IncStmt Data'!$H$2:$H$2051,'IncStmt Data'!$G$2:$G$2051,$A21,'IncStmt Data'!$A$2:$A$2051,BJ$1),#N/A)</f>
        <v>#N/A</v>
      </c>
      <c r="BK21" s="42" t="e">
        <f>IF(BK$1,SUMIFS('IncStmt Data'!$H$2:$H$2051,'IncStmt Data'!$G$2:$G$2051,$A21,'IncStmt Data'!$A$2:$A$2051,BK$1),#N/A)</f>
        <v>#N/A</v>
      </c>
      <c r="BL21" s="42" t="e">
        <f>IF(BL$1,SUMIFS('IncStmt Data'!$H$2:$H$2051,'IncStmt Data'!$G$2:$G$2051,$A21,'IncStmt Data'!$A$2:$A$2051,BL$1),#N/A)</f>
        <v>#N/A</v>
      </c>
      <c r="BM21" s="42" t="e">
        <f>IF(BM$1,SUMIFS('IncStmt Data'!$H$2:$H$2051,'IncStmt Data'!$G$2:$G$2051,$A21,'IncStmt Data'!$A$2:$A$2051,BM$1),#N/A)</f>
        <v>#N/A</v>
      </c>
      <c r="BN21" s="42" t="e">
        <f>IF(BN$1,SUMIFS('IncStmt Data'!$H$2:$H$2051,'IncStmt Data'!$G$2:$G$2051,$A21,'IncStmt Data'!$A$2:$A$2051,BN$1),#N/A)</f>
        <v>#N/A</v>
      </c>
      <c r="BO21" s="42" t="e">
        <f>IF(BO$1,SUMIFS('IncStmt Data'!$H$2:$H$2051,'IncStmt Data'!$G$2:$G$2051,$A21,'IncStmt Data'!$A$2:$A$2051,BO$1),#N/A)</f>
        <v>#N/A</v>
      </c>
      <c r="BP21" s="42" t="e">
        <f>IF(BP$1,SUMIFS('IncStmt Data'!$H$2:$H$2051,'IncStmt Data'!$G$2:$G$2051,$A21,'IncStmt Data'!$A$2:$A$2051,BP$1),#N/A)</f>
        <v>#N/A</v>
      </c>
      <c r="BQ21" s="42" t="e">
        <f>IF(BQ$1,SUMIFS('IncStmt Data'!$H$2:$H$2051,'IncStmt Data'!$G$2:$G$2051,$A21,'IncStmt Data'!$A$2:$A$2051,BQ$1),#N/A)</f>
        <v>#N/A</v>
      </c>
      <c r="BR21" s="42" t="e">
        <f>IF(BR$1,SUMIFS('IncStmt Data'!$H$2:$H$2051,'IncStmt Data'!$G$2:$G$2051,$A21,'IncStmt Data'!$A$2:$A$2051,BR$1),#N/A)</f>
        <v>#N/A</v>
      </c>
      <c r="BS21" s="42" t="e">
        <f>IF(BS$1,SUMIFS('IncStmt Data'!$H$2:$H$2051,'IncStmt Data'!$G$2:$G$2051,$A21,'IncStmt Data'!$A$2:$A$2051,BS$1),#N/A)</f>
        <v>#N/A</v>
      </c>
      <c r="BT21" s="42" t="e">
        <f>IF(BT$1,SUMIFS('IncStmt Data'!$H$2:$H$2051,'IncStmt Data'!$G$2:$G$2051,$A21,'IncStmt Data'!$A$2:$A$2051,BT$1),#N/A)</f>
        <v>#N/A</v>
      </c>
      <c r="BU21" s="42" t="e">
        <f>IF(BU$1,SUMIFS('IncStmt Data'!$H$2:$H$2051,'IncStmt Data'!$G$2:$G$2051,$A21,'IncStmt Data'!$A$2:$A$2051,BU$1),#N/A)</f>
        <v>#N/A</v>
      </c>
      <c r="BV21" s="42" t="e">
        <f>IF(BV$1,SUMIFS('IncStmt Data'!$H$2:$H$2051,'IncStmt Data'!$G$2:$G$2051,$A21,'IncStmt Data'!$A$2:$A$2051,BV$1),#N/A)</f>
        <v>#N/A</v>
      </c>
      <c r="BW21" s="42" t="e">
        <f>IF(BW$1,SUMIFS('IncStmt Data'!$H$2:$H$2051,'IncStmt Data'!$G$2:$G$2051,$A21,'IncStmt Data'!$A$2:$A$2051,BW$1),#N/A)</f>
        <v>#N/A</v>
      </c>
      <c r="BX21" s="42" t="e">
        <f>IF(BX$1,SUMIFS('IncStmt Data'!$H$2:$H$2051,'IncStmt Data'!$G$2:$G$2051,$A21,'IncStmt Data'!$A$2:$A$2051,BX$1),#N/A)</f>
        <v>#N/A</v>
      </c>
      <c r="BY21" s="42" t="e">
        <f>IF(BY$1,SUMIFS('IncStmt Data'!$H$2:$H$2051,'IncStmt Data'!$G$2:$G$2051,$A21,'IncStmt Data'!$A$2:$A$2051,BY$1),#N/A)</f>
        <v>#N/A</v>
      </c>
      <c r="BZ21" s="42" t="e">
        <f>IF(BZ$1,SUMIFS('IncStmt Data'!$H$2:$H$2051,'IncStmt Data'!$G$2:$G$2051,$A21,'IncStmt Data'!$A$2:$A$2051,BZ$1),#N/A)</f>
        <v>#N/A</v>
      </c>
      <c r="CA21" s="42" t="e">
        <f>IF(CA$1,SUMIFS('IncStmt Data'!$H$2:$H$2051,'IncStmt Data'!$G$2:$G$2051,$A21,'IncStmt Data'!$A$2:$A$2051,CA$1),#N/A)</f>
        <v>#N/A</v>
      </c>
      <c r="CB21" s="42" t="e">
        <f>IF(CB$1,SUMIFS('IncStmt Data'!$H$2:$H$2051,'IncStmt Data'!$G$2:$G$2051,$A21,'IncStmt Data'!$A$2:$A$2051,CB$1),#N/A)</f>
        <v>#N/A</v>
      </c>
      <c r="CC21" s="42" t="e">
        <f>IF(CC$1,SUMIFS('IncStmt Data'!$H$2:$H$2051,'IncStmt Data'!$G$2:$G$2051,$A21,'IncStmt Data'!$A$2:$A$2051,CC$1),#N/A)</f>
        <v>#N/A</v>
      </c>
      <c r="CD21" s="42" t="e">
        <f>IF(CD$1,SUMIFS('IncStmt Data'!$H$2:$H$2051,'IncStmt Data'!$G$2:$G$2051,$A21,'IncStmt Data'!$A$2:$A$2051,CD$1),#N/A)</f>
        <v>#N/A</v>
      </c>
      <c r="CE21" s="42" t="e">
        <f>IF(CE$1,SUMIFS('IncStmt Data'!$H$2:$H$2051,'IncStmt Data'!$G$2:$G$2051,$A21,'IncStmt Data'!$A$2:$A$2051,CE$1),#N/A)</f>
        <v>#N/A</v>
      </c>
      <c r="CF21" s="42" t="e">
        <f>IF(CF$1,SUMIFS('IncStmt Data'!$H$2:$H$2051,'IncStmt Data'!$G$2:$G$2051,$A21,'IncStmt Data'!$A$2:$A$2051,CF$1),#N/A)</f>
        <v>#N/A</v>
      </c>
      <c r="CG21" s="42" t="e">
        <f>IF(CG$1,SUMIFS('IncStmt Data'!$H$2:$H$2051,'IncStmt Data'!$G$2:$G$2051,$A21,'IncStmt Data'!$A$2:$A$2051,CG$1),#N/A)</f>
        <v>#N/A</v>
      </c>
      <c r="CH21" s="42" t="e">
        <f>IF(CH$1,SUMIFS('IncStmt Data'!$H$2:$H$2051,'IncStmt Data'!$G$2:$G$2051,$A21,'IncStmt Data'!$A$2:$A$2051,CH$1),#N/A)</f>
        <v>#N/A</v>
      </c>
      <c r="CI21" s="42" t="e">
        <f>IF(CI$1,SUMIFS('IncStmt Data'!$H$2:$H$2051,'IncStmt Data'!$G$2:$G$2051,$A21,'IncStmt Data'!$A$2:$A$2051,CI$1),#N/A)</f>
        <v>#N/A</v>
      </c>
      <c r="CJ21" s="42" t="e">
        <f>IF(CJ$1,SUMIFS('IncStmt Data'!$H$2:$H$2051,'IncStmt Data'!$G$2:$G$2051,$A21,'IncStmt Data'!$A$2:$A$2051,CJ$1),#N/A)</f>
        <v>#N/A</v>
      </c>
      <c r="CK21" s="42" t="e">
        <f>IF(CK$1,SUMIFS('IncStmt Data'!$H$2:$H$2051,'IncStmt Data'!$G$2:$G$2051,$A21,'IncStmt Data'!$A$2:$A$2051,CK$1),#N/A)</f>
        <v>#N/A</v>
      </c>
      <c r="CL21" s="42" t="e">
        <f>IF(CL$1,SUMIFS('IncStmt Data'!$H$2:$H$2051,'IncStmt Data'!$G$2:$G$2051,$A21,'IncStmt Data'!$A$2:$A$2051,CL$1),#N/A)</f>
        <v>#N/A</v>
      </c>
      <c r="CM21" s="42" t="e">
        <f>IF(CM$1,SUMIFS('IncStmt Data'!$H$2:$H$2051,'IncStmt Data'!$G$2:$G$2051,$A21,'IncStmt Data'!$A$2:$A$2051,CM$1),#N/A)</f>
        <v>#N/A</v>
      </c>
      <c r="CN21" s="42" t="e">
        <f>IF(CN$1,SUMIFS('IncStmt Data'!$H$2:$H$2051,'IncStmt Data'!$G$2:$G$2051,$A21,'IncStmt Data'!$A$2:$A$2051,CN$1),#N/A)</f>
        <v>#N/A</v>
      </c>
      <c r="CO21" s="42" t="e">
        <f>IF(CO$1,SUMIFS('IncStmt Data'!$H$2:$H$2051,'IncStmt Data'!$G$2:$G$2051,$A21,'IncStmt Data'!$A$2:$A$2051,CO$1),#N/A)</f>
        <v>#N/A</v>
      </c>
      <c r="CP21" s="42" t="e">
        <f>IF(CP$1,SUMIFS('IncStmt Data'!$H$2:$H$2051,'IncStmt Data'!$G$2:$G$2051,$A21,'IncStmt Data'!$A$2:$A$2051,CP$1),#N/A)</f>
        <v>#N/A</v>
      </c>
      <c r="CQ21" s="42" t="e">
        <f>IF(CQ$1,SUMIFS('IncStmt Data'!$H$2:$H$2051,'IncStmt Data'!$G$2:$G$2051,$A21,'IncStmt Data'!$A$2:$A$2051,CQ$1),#N/A)</f>
        <v>#N/A</v>
      </c>
      <c r="CR21" s="42" t="e">
        <f>IF(CR$1,SUMIFS('IncStmt Data'!$H$2:$H$2051,'IncStmt Data'!$G$2:$G$2051,$A21,'IncStmt Data'!$A$2:$A$2051,CR$1),#N/A)</f>
        <v>#N/A</v>
      </c>
      <c r="CS21" s="42" t="e">
        <f>IF(CS$1,SUMIFS('IncStmt Data'!$H$2:$H$2051,'IncStmt Data'!$G$2:$G$2051,$A21,'IncStmt Data'!$A$2:$A$2051,CS$1),#N/A)</f>
        <v>#N/A</v>
      </c>
      <c r="CT21" s="42" t="e">
        <f>IF(CT$1,SUMIFS('IncStmt Data'!$H$2:$H$2051,'IncStmt Data'!$G$2:$G$2051,$A21,'IncStmt Data'!$A$2:$A$2051,CT$1),#N/A)</f>
        <v>#N/A</v>
      </c>
      <c r="CU21" s="42" t="e">
        <f>IF(CU$1,SUMIFS('IncStmt Data'!$H$2:$H$2051,'IncStmt Data'!$G$2:$G$2051,$A21,'IncStmt Data'!$A$2:$A$2051,CU$1),#N/A)</f>
        <v>#N/A</v>
      </c>
      <c r="CV21" s="42" t="e">
        <f>IF(CV$1,SUMIFS('IncStmt Data'!$H$2:$H$2051,'IncStmt Data'!$G$2:$G$2051,$A21,'IncStmt Data'!$A$2:$A$2051,CV$1),#N/A)</f>
        <v>#N/A</v>
      </c>
      <c r="CW21" s="42" t="e">
        <f>IF(CW$1,SUMIFS('IncStmt Data'!$H$2:$H$2051,'IncStmt Data'!$G$2:$G$2051,$A21,'IncStmt Data'!$A$2:$A$2051,CW$1),#N/A)</f>
        <v>#N/A</v>
      </c>
      <c r="CX21" s="42" t="e">
        <f>IF(CX$1,SUMIFS('IncStmt Data'!$H$2:$H$2051,'IncStmt Data'!$G$2:$G$2051,$A21,'IncStmt Data'!$A$2:$A$2051,CX$1),#N/A)</f>
        <v>#N/A</v>
      </c>
      <c r="CY21" s="42" t="e">
        <f>IF(CY$1,SUMIFS('IncStmt Data'!$H$2:$H$2051,'IncStmt Data'!$G$2:$G$2051,$A21,'IncStmt Data'!$A$2:$A$2051,CY$1),#N/A)</f>
        <v>#N/A</v>
      </c>
      <c r="CZ21" s="42" t="e">
        <f>IF(CZ$1,SUMIFS('IncStmt Data'!$H$2:$H$2051,'IncStmt Data'!$G$2:$G$2051,$A21,'IncStmt Data'!$A$2:$A$2051,CZ$1),#N/A)</f>
        <v>#N/A</v>
      </c>
    </row>
    <row r="22" spans="1:104" s="42" customFormat="1" ht="15" x14ac:dyDescent="0.35">
      <c r="A22" s="60" t="s">
        <v>40</v>
      </c>
      <c r="B22" s="51" t="e">
        <f>IF(B$1,SUMIFS('IncStmt Data'!$H$2:$H$2051,'IncStmt Data'!$G$2:$G$2051,$A22,'IncStmt Data'!$A$2:$A$2051,B$1),#N/A)</f>
        <v>#N/A</v>
      </c>
      <c r="C22" s="51" t="e">
        <f>IF(C$1,SUMIFS('IncStmt Data'!$H$2:$H$2051,'IncStmt Data'!$G$2:$G$2051,$A22,'IncStmt Data'!$A$2:$A$2051,C$1),#N/A)</f>
        <v>#N/A</v>
      </c>
      <c r="D22" s="51" t="e">
        <f>IF(D$1,SUMIFS('IncStmt Data'!$H$2:$H$2051,'IncStmt Data'!$G$2:$G$2051,$A22,'IncStmt Data'!$A$2:$A$2051,D$1),#N/A)</f>
        <v>#N/A</v>
      </c>
      <c r="E22" s="51" t="e">
        <f>IF(E$1,SUMIFS('IncStmt Data'!$H$2:$H$2051,'IncStmt Data'!$G$2:$G$2051,$A22,'IncStmt Data'!$A$2:$A$2051,E$1),#N/A)</f>
        <v>#N/A</v>
      </c>
      <c r="F22" s="51" t="e">
        <f>IF(F$1,SUMIFS('IncStmt Data'!$H$2:$H$2051,'IncStmt Data'!$G$2:$G$2051,$A22,'IncStmt Data'!$A$2:$A$2051,F$1),#N/A)</f>
        <v>#N/A</v>
      </c>
      <c r="G22" s="51" t="e">
        <f>IF(G$1,SUMIFS('IncStmt Data'!$H$2:$H$2051,'IncStmt Data'!$G$2:$G$2051,$A22,'IncStmt Data'!$A$2:$A$2051,G$1),#N/A)</f>
        <v>#N/A</v>
      </c>
      <c r="H22" s="51" t="e">
        <f>IF(H$1,SUMIFS('IncStmt Data'!$H$2:$H$2051,'IncStmt Data'!$G$2:$G$2051,$A22,'IncStmt Data'!$A$2:$A$2051,H$1),#N/A)</f>
        <v>#N/A</v>
      </c>
      <c r="I22" s="51" t="e">
        <f>IF(I$1,SUMIFS('IncStmt Data'!$H$2:$H$2051,'IncStmt Data'!$G$2:$G$2051,$A22,'IncStmt Data'!$A$2:$A$2051,I$1),#N/A)</f>
        <v>#N/A</v>
      </c>
      <c r="J22" s="51" t="e">
        <f>IF(J$1,SUMIFS('IncStmt Data'!$H$2:$H$2051,'IncStmt Data'!$G$2:$G$2051,$A22,'IncStmt Data'!$A$2:$A$2051,J$1),#N/A)</f>
        <v>#N/A</v>
      </c>
      <c r="K22" s="51" t="e">
        <f>IF(K$1,SUMIFS('IncStmt Data'!$H$2:$H$2051,'IncStmt Data'!$G$2:$G$2051,$A22,'IncStmt Data'!$A$2:$A$2051,K$1),#N/A)</f>
        <v>#N/A</v>
      </c>
      <c r="L22" s="51" t="e">
        <f>IF(L$1,SUMIFS('IncStmt Data'!$H$2:$H$2051,'IncStmt Data'!$G$2:$G$2051,$A22,'IncStmt Data'!$A$2:$A$2051,L$1),#N/A)</f>
        <v>#N/A</v>
      </c>
      <c r="M22" s="51" t="e">
        <f>IF(M$1,SUMIFS('IncStmt Data'!$H$2:$H$2051,'IncStmt Data'!$G$2:$G$2051,$A22,'IncStmt Data'!$A$2:$A$2051,M$1),#N/A)</f>
        <v>#N/A</v>
      </c>
      <c r="N22" s="51" t="e">
        <f>IF(N$1,SUMIFS('IncStmt Data'!$H$2:$H$2051,'IncStmt Data'!$G$2:$G$2051,$A22,'IncStmt Data'!$A$2:$A$2051,N$1),#N/A)</f>
        <v>#N/A</v>
      </c>
      <c r="O22" s="51" t="e">
        <f>IF(O$1,SUMIFS('IncStmt Data'!$H$2:$H$2051,'IncStmt Data'!$G$2:$G$2051,$A22,'IncStmt Data'!$A$2:$A$2051,O$1),#N/A)</f>
        <v>#N/A</v>
      </c>
      <c r="P22" s="51" t="e">
        <f>IF(P$1,SUMIFS('IncStmt Data'!$H$2:$H$2051,'IncStmt Data'!$G$2:$G$2051,$A22,'IncStmt Data'!$A$2:$A$2051,P$1),#N/A)</f>
        <v>#N/A</v>
      </c>
      <c r="Q22" s="51" t="e">
        <f>IF(Q$1,SUMIFS('IncStmt Data'!$H$2:$H$2051,'IncStmt Data'!$G$2:$G$2051,$A22,'IncStmt Data'!$A$2:$A$2051,Q$1),#N/A)</f>
        <v>#N/A</v>
      </c>
      <c r="R22" s="51" t="e">
        <f>IF(R$1,SUMIFS('IncStmt Data'!$H$2:$H$2051,'IncStmt Data'!$G$2:$G$2051,$A22,'IncStmt Data'!$A$2:$A$2051,R$1),#N/A)</f>
        <v>#N/A</v>
      </c>
      <c r="S22" s="51" t="e">
        <f>IF(S$1,SUMIFS('IncStmt Data'!$H$2:$H$2051,'IncStmt Data'!$G$2:$G$2051,$A22,'IncStmt Data'!$A$2:$A$2051,S$1),#N/A)</f>
        <v>#N/A</v>
      </c>
      <c r="T22" s="51" t="e">
        <f>IF(T$1,SUMIFS('IncStmt Data'!$H$2:$H$2051,'IncStmt Data'!$G$2:$G$2051,$A22,'IncStmt Data'!$A$2:$A$2051,T$1),#N/A)</f>
        <v>#N/A</v>
      </c>
      <c r="U22" s="51" t="e">
        <f>IF(U$1,SUMIFS('IncStmt Data'!$H$2:$H$2051,'IncStmt Data'!$G$2:$G$2051,$A22,'IncStmt Data'!$A$2:$A$2051,U$1),#N/A)</f>
        <v>#N/A</v>
      </c>
      <c r="V22" s="51" t="e">
        <f>IF(V$1,SUMIFS('IncStmt Data'!$H$2:$H$2051,'IncStmt Data'!$G$2:$G$2051,$A22,'IncStmt Data'!$A$2:$A$2051,V$1),#N/A)</f>
        <v>#N/A</v>
      </c>
      <c r="W22" s="51" t="e">
        <f>IF(W$1,SUMIFS('IncStmt Data'!$H$2:$H$2051,'IncStmt Data'!$G$2:$G$2051,$A22,'IncStmt Data'!$A$2:$A$2051,W$1),#N/A)</f>
        <v>#N/A</v>
      </c>
      <c r="X22" s="51" t="e">
        <f>IF(X$1,SUMIFS('IncStmt Data'!$H$2:$H$2051,'IncStmt Data'!$G$2:$G$2051,$A22,'IncStmt Data'!$A$2:$A$2051,X$1),#N/A)</f>
        <v>#N/A</v>
      </c>
      <c r="Y22" s="51" t="e">
        <f>IF(Y$1,SUMIFS('IncStmt Data'!$H$2:$H$2051,'IncStmt Data'!$G$2:$G$2051,$A22,'IncStmt Data'!$A$2:$A$2051,Y$1),#N/A)</f>
        <v>#N/A</v>
      </c>
      <c r="Z22" s="51" t="e">
        <f>IF(Z$1,SUMIFS('IncStmt Data'!$H$2:$H$2051,'IncStmt Data'!$G$2:$G$2051,$A22,'IncStmt Data'!$A$2:$A$2051,Z$1),#N/A)</f>
        <v>#N/A</v>
      </c>
      <c r="AA22" s="51" t="e">
        <f>IF(AA$1,SUMIFS('IncStmt Data'!$H$2:$H$2051,'IncStmt Data'!$G$2:$G$2051,$A22,'IncStmt Data'!$A$2:$A$2051,AA$1),#N/A)</f>
        <v>#N/A</v>
      </c>
      <c r="AB22" s="51" t="e">
        <f>IF(AB$1,SUMIFS('IncStmt Data'!$H$2:$H$2051,'IncStmt Data'!$G$2:$G$2051,$A22,'IncStmt Data'!$A$2:$A$2051,AB$1),#N/A)</f>
        <v>#N/A</v>
      </c>
      <c r="AC22" s="51" t="e">
        <f>IF(AC$1,SUMIFS('IncStmt Data'!$H$2:$H$2051,'IncStmt Data'!$G$2:$G$2051,$A22,'IncStmt Data'!$A$2:$A$2051,AC$1),#N/A)</f>
        <v>#N/A</v>
      </c>
      <c r="AD22" s="51" t="e">
        <f>IF(AD$1,SUMIFS('IncStmt Data'!$H$2:$H$2051,'IncStmt Data'!$G$2:$G$2051,$A22,'IncStmt Data'!$A$2:$A$2051,AD$1),#N/A)</f>
        <v>#N/A</v>
      </c>
      <c r="AE22" s="51" t="e">
        <f>IF(AE$1,SUMIFS('IncStmt Data'!$H$2:$H$2051,'IncStmt Data'!$G$2:$G$2051,$A22,'IncStmt Data'!$A$2:$A$2051,AE$1),#N/A)</f>
        <v>#N/A</v>
      </c>
      <c r="AF22" s="51" t="e">
        <f>IF(AF$1,SUMIFS('IncStmt Data'!$H$2:$H$2051,'IncStmt Data'!$G$2:$G$2051,$A22,'IncStmt Data'!$A$2:$A$2051,AF$1),#N/A)</f>
        <v>#N/A</v>
      </c>
      <c r="AG22" s="51" t="e">
        <f>IF(AG$1,SUMIFS('IncStmt Data'!$H$2:$H$2051,'IncStmt Data'!$G$2:$G$2051,$A22,'IncStmt Data'!$A$2:$A$2051,AG$1),#N/A)</f>
        <v>#N/A</v>
      </c>
      <c r="AH22" s="51" t="e">
        <f>IF(AH$1,SUMIFS('IncStmt Data'!$H$2:$H$2051,'IncStmt Data'!$G$2:$G$2051,$A22,'IncStmt Data'!$A$2:$A$2051,AH$1),#N/A)</f>
        <v>#N/A</v>
      </c>
      <c r="AI22" s="51" t="e">
        <f>IF(AI$1,SUMIFS('IncStmt Data'!$H$2:$H$2051,'IncStmt Data'!$G$2:$G$2051,$A22,'IncStmt Data'!$A$2:$A$2051,AI$1),#N/A)</f>
        <v>#N/A</v>
      </c>
      <c r="AJ22" s="51" t="e">
        <f>IF(AJ$1,SUMIFS('IncStmt Data'!$H$2:$H$2051,'IncStmt Data'!$G$2:$G$2051,$A22,'IncStmt Data'!$A$2:$A$2051,AJ$1),#N/A)</f>
        <v>#N/A</v>
      </c>
      <c r="AK22" s="51" t="e">
        <f>IF(AK$1,SUMIFS('IncStmt Data'!$H$2:$H$2051,'IncStmt Data'!$G$2:$G$2051,$A22,'IncStmt Data'!$A$2:$A$2051,AK$1),#N/A)</f>
        <v>#N/A</v>
      </c>
      <c r="AL22" s="51" t="e">
        <f>IF(AL$1,SUMIFS('IncStmt Data'!$H$2:$H$2051,'IncStmt Data'!$G$2:$G$2051,$A22,'IncStmt Data'!$A$2:$A$2051,AL$1),#N/A)</f>
        <v>#N/A</v>
      </c>
      <c r="AM22" s="51" t="e">
        <f>IF(AM$1,SUMIFS('IncStmt Data'!$H$2:$H$2051,'IncStmt Data'!$G$2:$G$2051,$A22,'IncStmt Data'!$A$2:$A$2051,AM$1),#N/A)</f>
        <v>#N/A</v>
      </c>
      <c r="AN22" s="51" t="e">
        <f>IF(AN$1,SUMIFS('IncStmt Data'!$H$2:$H$2051,'IncStmt Data'!$G$2:$G$2051,$A22,'IncStmt Data'!$A$2:$A$2051,AN$1),#N/A)</f>
        <v>#N/A</v>
      </c>
      <c r="AO22" s="51" t="e">
        <f>IF(AO$1,SUMIFS('IncStmt Data'!$H$2:$H$2051,'IncStmt Data'!$G$2:$G$2051,$A22,'IncStmt Data'!$A$2:$A$2051,AO$1),#N/A)</f>
        <v>#N/A</v>
      </c>
      <c r="AP22" s="51" t="e">
        <f>IF(AP$1,SUMIFS('IncStmt Data'!$H$2:$H$2051,'IncStmt Data'!$G$2:$G$2051,$A22,'IncStmt Data'!$A$2:$A$2051,AP$1),#N/A)</f>
        <v>#N/A</v>
      </c>
      <c r="AQ22" s="51" t="e">
        <f>IF(AQ$1,SUMIFS('IncStmt Data'!$H$2:$H$2051,'IncStmt Data'!$G$2:$G$2051,$A22,'IncStmt Data'!$A$2:$A$2051,AQ$1),#N/A)</f>
        <v>#N/A</v>
      </c>
      <c r="AR22" s="51" t="e">
        <f>IF(AR$1,SUMIFS('IncStmt Data'!$H$2:$H$2051,'IncStmt Data'!$G$2:$G$2051,$A22,'IncStmt Data'!$A$2:$A$2051,AR$1),#N/A)</f>
        <v>#N/A</v>
      </c>
      <c r="AS22" s="51" t="e">
        <f>IF(AS$1,SUMIFS('IncStmt Data'!$H$2:$H$2051,'IncStmt Data'!$G$2:$G$2051,$A22,'IncStmt Data'!$A$2:$A$2051,AS$1),#N/A)</f>
        <v>#N/A</v>
      </c>
      <c r="AT22" s="51" t="e">
        <f>IF(AT$1,SUMIFS('IncStmt Data'!$H$2:$H$2051,'IncStmt Data'!$G$2:$G$2051,$A22,'IncStmt Data'!$A$2:$A$2051,AT$1),#N/A)</f>
        <v>#N/A</v>
      </c>
      <c r="AU22" s="51" t="e">
        <f>IF(AU$1,SUMIFS('IncStmt Data'!$H$2:$H$2051,'IncStmt Data'!$G$2:$G$2051,$A22,'IncStmt Data'!$A$2:$A$2051,AU$1),#N/A)</f>
        <v>#N/A</v>
      </c>
      <c r="AV22" s="51" t="e">
        <f>IF(AV$1,SUMIFS('IncStmt Data'!$H$2:$H$2051,'IncStmt Data'!$G$2:$G$2051,$A22,'IncStmt Data'!$A$2:$A$2051,AV$1),#N/A)</f>
        <v>#N/A</v>
      </c>
      <c r="AW22" s="51" t="e">
        <f>IF(AW$1,SUMIFS('IncStmt Data'!$H$2:$H$2051,'IncStmt Data'!$G$2:$G$2051,$A22,'IncStmt Data'!$A$2:$A$2051,AW$1),#N/A)</f>
        <v>#N/A</v>
      </c>
      <c r="AX22" s="51" t="e">
        <f>IF(AX$1,SUMIFS('IncStmt Data'!$H$2:$H$2051,'IncStmt Data'!$G$2:$G$2051,$A22,'IncStmt Data'!$A$2:$A$2051,AX$1),#N/A)</f>
        <v>#N/A</v>
      </c>
      <c r="AY22" s="51" t="e">
        <f>IF(AY$1,SUMIFS('IncStmt Data'!$H$2:$H$2051,'IncStmt Data'!$G$2:$G$2051,$A22,'IncStmt Data'!$A$2:$A$2051,AY$1),#N/A)</f>
        <v>#N/A</v>
      </c>
      <c r="AZ22" s="51" t="e">
        <f>IF(AZ$1,SUMIFS('IncStmt Data'!$H$2:$H$2051,'IncStmt Data'!$G$2:$G$2051,$A22,'IncStmt Data'!$A$2:$A$2051,AZ$1),#N/A)</f>
        <v>#N/A</v>
      </c>
      <c r="BA22" s="51" t="e">
        <f>IF(BA$1,SUMIFS('IncStmt Data'!$H$2:$H$2051,'IncStmt Data'!$G$2:$G$2051,$A22,'IncStmt Data'!$A$2:$A$2051,BA$1),#N/A)</f>
        <v>#N/A</v>
      </c>
      <c r="BB22" s="51" t="e">
        <f>IF(BB$1,SUMIFS('IncStmt Data'!$H$2:$H$2051,'IncStmt Data'!$G$2:$G$2051,$A22,'IncStmt Data'!$A$2:$A$2051,BB$1),#N/A)</f>
        <v>#N/A</v>
      </c>
      <c r="BC22" s="51" t="e">
        <f>IF(BC$1,SUMIFS('IncStmt Data'!$H$2:$H$2051,'IncStmt Data'!$G$2:$G$2051,$A22,'IncStmt Data'!$A$2:$A$2051,BC$1),#N/A)</f>
        <v>#N/A</v>
      </c>
      <c r="BD22" s="51" t="e">
        <f>IF(BD$1,SUMIFS('IncStmt Data'!$H$2:$H$2051,'IncStmt Data'!$G$2:$G$2051,$A22,'IncStmt Data'!$A$2:$A$2051,BD$1),#N/A)</f>
        <v>#N/A</v>
      </c>
      <c r="BE22" s="51" t="e">
        <f>IF(BE$1,SUMIFS('IncStmt Data'!$H$2:$H$2051,'IncStmt Data'!$G$2:$G$2051,$A22,'IncStmt Data'!$A$2:$A$2051,BE$1),#N/A)</f>
        <v>#N/A</v>
      </c>
      <c r="BF22" s="51" t="e">
        <f>IF(BF$1,SUMIFS('IncStmt Data'!$H$2:$H$2051,'IncStmt Data'!$G$2:$G$2051,$A22,'IncStmt Data'!$A$2:$A$2051,BF$1),#N/A)</f>
        <v>#N/A</v>
      </c>
      <c r="BG22" s="51" t="e">
        <f>IF(BG$1,SUMIFS('IncStmt Data'!$H$2:$H$2051,'IncStmt Data'!$G$2:$G$2051,$A22,'IncStmt Data'!$A$2:$A$2051,BG$1),#N/A)</f>
        <v>#N/A</v>
      </c>
      <c r="BH22" s="51" t="e">
        <f>IF(BH$1,SUMIFS('IncStmt Data'!$H$2:$H$2051,'IncStmt Data'!$G$2:$G$2051,$A22,'IncStmt Data'!$A$2:$A$2051,BH$1),#N/A)</f>
        <v>#N/A</v>
      </c>
      <c r="BI22" s="51" t="e">
        <f>IF(BI$1,SUMIFS('IncStmt Data'!$H$2:$H$2051,'IncStmt Data'!$G$2:$G$2051,$A22,'IncStmt Data'!$A$2:$A$2051,BI$1),#N/A)</f>
        <v>#N/A</v>
      </c>
      <c r="BJ22" s="51" t="e">
        <f>IF(BJ$1,SUMIFS('IncStmt Data'!$H$2:$H$2051,'IncStmt Data'!$G$2:$G$2051,$A22,'IncStmt Data'!$A$2:$A$2051,BJ$1),#N/A)</f>
        <v>#N/A</v>
      </c>
      <c r="BK22" s="51" t="e">
        <f>IF(BK$1,SUMIFS('IncStmt Data'!$H$2:$H$2051,'IncStmt Data'!$G$2:$G$2051,$A22,'IncStmt Data'!$A$2:$A$2051,BK$1),#N/A)</f>
        <v>#N/A</v>
      </c>
      <c r="BL22" s="51" t="e">
        <f>IF(BL$1,SUMIFS('IncStmt Data'!$H$2:$H$2051,'IncStmt Data'!$G$2:$G$2051,$A22,'IncStmt Data'!$A$2:$A$2051,BL$1),#N/A)</f>
        <v>#N/A</v>
      </c>
      <c r="BM22" s="51" t="e">
        <f>IF(BM$1,SUMIFS('IncStmt Data'!$H$2:$H$2051,'IncStmt Data'!$G$2:$G$2051,$A22,'IncStmt Data'!$A$2:$A$2051,BM$1),#N/A)</f>
        <v>#N/A</v>
      </c>
      <c r="BN22" s="51" t="e">
        <f>IF(BN$1,SUMIFS('IncStmt Data'!$H$2:$H$2051,'IncStmt Data'!$G$2:$G$2051,$A22,'IncStmt Data'!$A$2:$A$2051,BN$1),#N/A)</f>
        <v>#N/A</v>
      </c>
      <c r="BO22" s="51" t="e">
        <f>IF(BO$1,SUMIFS('IncStmt Data'!$H$2:$H$2051,'IncStmt Data'!$G$2:$G$2051,$A22,'IncStmt Data'!$A$2:$A$2051,BO$1),#N/A)</f>
        <v>#N/A</v>
      </c>
      <c r="BP22" s="51" t="e">
        <f>IF(BP$1,SUMIFS('IncStmt Data'!$H$2:$H$2051,'IncStmt Data'!$G$2:$G$2051,$A22,'IncStmt Data'!$A$2:$A$2051,BP$1),#N/A)</f>
        <v>#N/A</v>
      </c>
      <c r="BQ22" s="51" t="e">
        <f>IF(BQ$1,SUMIFS('IncStmt Data'!$H$2:$H$2051,'IncStmt Data'!$G$2:$G$2051,$A22,'IncStmt Data'!$A$2:$A$2051,BQ$1),#N/A)</f>
        <v>#N/A</v>
      </c>
      <c r="BR22" s="51" t="e">
        <f>IF(BR$1,SUMIFS('IncStmt Data'!$H$2:$H$2051,'IncStmt Data'!$G$2:$G$2051,$A22,'IncStmt Data'!$A$2:$A$2051,BR$1),#N/A)</f>
        <v>#N/A</v>
      </c>
      <c r="BS22" s="51" t="e">
        <f>IF(BS$1,SUMIFS('IncStmt Data'!$H$2:$H$2051,'IncStmt Data'!$G$2:$G$2051,$A22,'IncStmt Data'!$A$2:$A$2051,BS$1),#N/A)</f>
        <v>#N/A</v>
      </c>
      <c r="BT22" s="51" t="e">
        <f>IF(BT$1,SUMIFS('IncStmt Data'!$H$2:$H$2051,'IncStmt Data'!$G$2:$G$2051,$A22,'IncStmt Data'!$A$2:$A$2051,BT$1),#N/A)</f>
        <v>#N/A</v>
      </c>
      <c r="BU22" s="51" t="e">
        <f>IF(BU$1,SUMIFS('IncStmt Data'!$H$2:$H$2051,'IncStmt Data'!$G$2:$G$2051,$A22,'IncStmt Data'!$A$2:$A$2051,BU$1),#N/A)</f>
        <v>#N/A</v>
      </c>
      <c r="BV22" s="51" t="e">
        <f>IF(BV$1,SUMIFS('IncStmt Data'!$H$2:$H$2051,'IncStmt Data'!$G$2:$G$2051,$A22,'IncStmt Data'!$A$2:$A$2051,BV$1),#N/A)</f>
        <v>#N/A</v>
      </c>
      <c r="BW22" s="51" t="e">
        <f>IF(BW$1,SUMIFS('IncStmt Data'!$H$2:$H$2051,'IncStmt Data'!$G$2:$G$2051,$A22,'IncStmt Data'!$A$2:$A$2051,BW$1),#N/A)</f>
        <v>#N/A</v>
      </c>
      <c r="BX22" s="51" t="e">
        <f>IF(BX$1,SUMIFS('IncStmt Data'!$H$2:$H$2051,'IncStmt Data'!$G$2:$G$2051,$A22,'IncStmt Data'!$A$2:$A$2051,BX$1),#N/A)</f>
        <v>#N/A</v>
      </c>
      <c r="BY22" s="51" t="e">
        <f>IF(BY$1,SUMIFS('IncStmt Data'!$H$2:$H$2051,'IncStmt Data'!$G$2:$G$2051,$A22,'IncStmt Data'!$A$2:$A$2051,BY$1),#N/A)</f>
        <v>#N/A</v>
      </c>
      <c r="BZ22" s="51" t="e">
        <f>IF(BZ$1,SUMIFS('IncStmt Data'!$H$2:$H$2051,'IncStmt Data'!$G$2:$G$2051,$A22,'IncStmt Data'!$A$2:$A$2051,BZ$1),#N/A)</f>
        <v>#N/A</v>
      </c>
      <c r="CA22" s="51" t="e">
        <f>IF(CA$1,SUMIFS('IncStmt Data'!$H$2:$H$2051,'IncStmt Data'!$G$2:$G$2051,$A22,'IncStmt Data'!$A$2:$A$2051,CA$1),#N/A)</f>
        <v>#N/A</v>
      </c>
      <c r="CB22" s="51" t="e">
        <f>IF(CB$1,SUMIFS('IncStmt Data'!$H$2:$H$2051,'IncStmt Data'!$G$2:$G$2051,$A22,'IncStmt Data'!$A$2:$A$2051,CB$1),#N/A)</f>
        <v>#N/A</v>
      </c>
      <c r="CC22" s="51" t="e">
        <f>IF(CC$1,SUMIFS('IncStmt Data'!$H$2:$H$2051,'IncStmt Data'!$G$2:$G$2051,$A22,'IncStmt Data'!$A$2:$A$2051,CC$1),#N/A)</f>
        <v>#N/A</v>
      </c>
      <c r="CD22" s="51" t="e">
        <f>IF(CD$1,SUMIFS('IncStmt Data'!$H$2:$H$2051,'IncStmt Data'!$G$2:$G$2051,$A22,'IncStmt Data'!$A$2:$A$2051,CD$1),#N/A)</f>
        <v>#N/A</v>
      </c>
      <c r="CE22" s="51" t="e">
        <f>IF(CE$1,SUMIFS('IncStmt Data'!$H$2:$H$2051,'IncStmt Data'!$G$2:$G$2051,$A22,'IncStmt Data'!$A$2:$A$2051,CE$1),#N/A)</f>
        <v>#N/A</v>
      </c>
      <c r="CF22" s="51" t="e">
        <f>IF(CF$1,SUMIFS('IncStmt Data'!$H$2:$H$2051,'IncStmt Data'!$G$2:$G$2051,$A22,'IncStmt Data'!$A$2:$A$2051,CF$1),#N/A)</f>
        <v>#N/A</v>
      </c>
      <c r="CG22" s="51" t="e">
        <f>IF(CG$1,SUMIFS('IncStmt Data'!$H$2:$H$2051,'IncStmt Data'!$G$2:$G$2051,$A22,'IncStmt Data'!$A$2:$A$2051,CG$1),#N/A)</f>
        <v>#N/A</v>
      </c>
      <c r="CH22" s="51" t="e">
        <f>IF(CH$1,SUMIFS('IncStmt Data'!$H$2:$H$2051,'IncStmt Data'!$G$2:$G$2051,$A22,'IncStmt Data'!$A$2:$A$2051,CH$1),#N/A)</f>
        <v>#N/A</v>
      </c>
      <c r="CI22" s="51" t="e">
        <f>IF(CI$1,SUMIFS('IncStmt Data'!$H$2:$H$2051,'IncStmt Data'!$G$2:$G$2051,$A22,'IncStmt Data'!$A$2:$A$2051,CI$1),#N/A)</f>
        <v>#N/A</v>
      </c>
      <c r="CJ22" s="51" t="e">
        <f>IF(CJ$1,SUMIFS('IncStmt Data'!$H$2:$H$2051,'IncStmt Data'!$G$2:$G$2051,$A22,'IncStmt Data'!$A$2:$A$2051,CJ$1),#N/A)</f>
        <v>#N/A</v>
      </c>
      <c r="CK22" s="51" t="e">
        <f>IF(CK$1,SUMIFS('IncStmt Data'!$H$2:$H$2051,'IncStmt Data'!$G$2:$G$2051,$A22,'IncStmt Data'!$A$2:$A$2051,CK$1),#N/A)</f>
        <v>#N/A</v>
      </c>
      <c r="CL22" s="51" t="e">
        <f>IF(CL$1,SUMIFS('IncStmt Data'!$H$2:$H$2051,'IncStmt Data'!$G$2:$G$2051,$A22,'IncStmt Data'!$A$2:$A$2051,CL$1),#N/A)</f>
        <v>#N/A</v>
      </c>
      <c r="CM22" s="51" t="e">
        <f>IF(CM$1,SUMIFS('IncStmt Data'!$H$2:$H$2051,'IncStmt Data'!$G$2:$G$2051,$A22,'IncStmt Data'!$A$2:$A$2051,CM$1),#N/A)</f>
        <v>#N/A</v>
      </c>
      <c r="CN22" s="51" t="e">
        <f>IF(CN$1,SUMIFS('IncStmt Data'!$H$2:$H$2051,'IncStmt Data'!$G$2:$G$2051,$A22,'IncStmt Data'!$A$2:$A$2051,CN$1),#N/A)</f>
        <v>#N/A</v>
      </c>
      <c r="CO22" s="51" t="e">
        <f>IF(CO$1,SUMIFS('IncStmt Data'!$H$2:$H$2051,'IncStmt Data'!$G$2:$G$2051,$A22,'IncStmt Data'!$A$2:$A$2051,CO$1),#N/A)</f>
        <v>#N/A</v>
      </c>
      <c r="CP22" s="51" t="e">
        <f>IF(CP$1,SUMIFS('IncStmt Data'!$H$2:$H$2051,'IncStmt Data'!$G$2:$G$2051,$A22,'IncStmt Data'!$A$2:$A$2051,CP$1),#N/A)</f>
        <v>#N/A</v>
      </c>
      <c r="CQ22" s="51" t="e">
        <f>IF(CQ$1,SUMIFS('IncStmt Data'!$H$2:$H$2051,'IncStmt Data'!$G$2:$G$2051,$A22,'IncStmt Data'!$A$2:$A$2051,CQ$1),#N/A)</f>
        <v>#N/A</v>
      </c>
      <c r="CR22" s="51" t="e">
        <f>IF(CR$1,SUMIFS('IncStmt Data'!$H$2:$H$2051,'IncStmt Data'!$G$2:$G$2051,$A22,'IncStmt Data'!$A$2:$A$2051,CR$1),#N/A)</f>
        <v>#N/A</v>
      </c>
      <c r="CS22" s="51" t="e">
        <f>IF(CS$1,SUMIFS('IncStmt Data'!$H$2:$H$2051,'IncStmt Data'!$G$2:$G$2051,$A22,'IncStmt Data'!$A$2:$A$2051,CS$1),#N/A)</f>
        <v>#N/A</v>
      </c>
      <c r="CT22" s="51" t="e">
        <f>IF(CT$1,SUMIFS('IncStmt Data'!$H$2:$H$2051,'IncStmt Data'!$G$2:$G$2051,$A22,'IncStmt Data'!$A$2:$A$2051,CT$1),#N/A)</f>
        <v>#N/A</v>
      </c>
      <c r="CU22" s="51" t="e">
        <f>IF(CU$1,SUMIFS('IncStmt Data'!$H$2:$H$2051,'IncStmt Data'!$G$2:$G$2051,$A22,'IncStmt Data'!$A$2:$A$2051,CU$1),#N/A)</f>
        <v>#N/A</v>
      </c>
      <c r="CV22" s="51" t="e">
        <f>IF(CV$1,SUMIFS('IncStmt Data'!$H$2:$H$2051,'IncStmt Data'!$G$2:$G$2051,$A22,'IncStmt Data'!$A$2:$A$2051,CV$1),#N/A)</f>
        <v>#N/A</v>
      </c>
      <c r="CW22" s="51" t="e">
        <f>IF(CW$1,SUMIFS('IncStmt Data'!$H$2:$H$2051,'IncStmt Data'!$G$2:$G$2051,$A22,'IncStmt Data'!$A$2:$A$2051,CW$1),#N/A)</f>
        <v>#N/A</v>
      </c>
      <c r="CX22" s="51" t="e">
        <f>IF(CX$1,SUMIFS('IncStmt Data'!$H$2:$H$2051,'IncStmt Data'!$G$2:$G$2051,$A22,'IncStmt Data'!$A$2:$A$2051,CX$1),#N/A)</f>
        <v>#N/A</v>
      </c>
      <c r="CY22" s="51" t="e">
        <f>IF(CY$1,SUMIFS('IncStmt Data'!$H$2:$H$2051,'IncStmt Data'!$G$2:$G$2051,$A22,'IncStmt Data'!$A$2:$A$2051,CY$1),#N/A)</f>
        <v>#N/A</v>
      </c>
      <c r="CZ22" s="51" t="e">
        <f>IF(CZ$1,SUMIFS('IncStmt Data'!$H$2:$H$2051,'IncStmt Data'!$G$2:$G$2051,$A22,'IncStmt Data'!$A$2:$A$2051,CZ$1),#N/A)</f>
        <v>#N/A</v>
      </c>
    </row>
    <row r="23" spans="1:104" s="42" customFormat="1" x14ac:dyDescent="0.2">
      <c r="A23" s="39"/>
      <c r="B23" s="42" t="e">
        <f t="shared" ref="B23" si="3">SUM(B11:B22)</f>
        <v>#N/A</v>
      </c>
      <c r="C23" s="42" t="e">
        <f>SUM(C11:C22)</f>
        <v>#N/A</v>
      </c>
      <c r="D23" s="42" t="e">
        <f t="shared" ref="D23:BN23" si="4">SUM(D11:D22)</f>
        <v>#N/A</v>
      </c>
      <c r="E23" s="42" t="e">
        <f t="shared" si="4"/>
        <v>#N/A</v>
      </c>
      <c r="F23" s="42" t="e">
        <f t="shared" si="4"/>
        <v>#N/A</v>
      </c>
      <c r="G23" s="42" t="e">
        <f t="shared" si="4"/>
        <v>#N/A</v>
      </c>
      <c r="H23" s="42" t="e">
        <f t="shared" si="4"/>
        <v>#N/A</v>
      </c>
      <c r="I23" s="42" t="e">
        <f t="shared" si="4"/>
        <v>#N/A</v>
      </c>
      <c r="J23" s="42" t="e">
        <f t="shared" si="4"/>
        <v>#N/A</v>
      </c>
      <c r="K23" s="42" t="e">
        <f t="shared" si="4"/>
        <v>#N/A</v>
      </c>
      <c r="L23" s="42" t="e">
        <f t="shared" si="4"/>
        <v>#N/A</v>
      </c>
      <c r="M23" s="42" t="e">
        <f t="shared" si="4"/>
        <v>#N/A</v>
      </c>
      <c r="N23" s="42" t="e">
        <f t="shared" si="4"/>
        <v>#N/A</v>
      </c>
      <c r="O23" s="42" t="e">
        <f t="shared" si="4"/>
        <v>#N/A</v>
      </c>
      <c r="P23" s="42" t="e">
        <f t="shared" si="4"/>
        <v>#N/A</v>
      </c>
      <c r="Q23" s="42" t="e">
        <f t="shared" si="4"/>
        <v>#N/A</v>
      </c>
      <c r="R23" s="42" t="e">
        <f t="shared" si="4"/>
        <v>#N/A</v>
      </c>
      <c r="S23" s="42" t="e">
        <f t="shared" si="4"/>
        <v>#N/A</v>
      </c>
      <c r="T23" s="42" t="e">
        <f t="shared" si="4"/>
        <v>#N/A</v>
      </c>
      <c r="U23" s="42" t="e">
        <f t="shared" si="4"/>
        <v>#N/A</v>
      </c>
      <c r="V23" s="42" t="e">
        <f t="shared" si="4"/>
        <v>#N/A</v>
      </c>
      <c r="W23" s="42" t="e">
        <f t="shared" si="4"/>
        <v>#N/A</v>
      </c>
      <c r="X23" s="42" t="e">
        <f t="shared" si="4"/>
        <v>#N/A</v>
      </c>
      <c r="Y23" s="42" t="e">
        <f t="shared" si="4"/>
        <v>#N/A</v>
      </c>
      <c r="Z23" s="42" t="e">
        <f t="shared" si="4"/>
        <v>#N/A</v>
      </c>
      <c r="AA23" s="42" t="e">
        <f t="shared" si="4"/>
        <v>#N/A</v>
      </c>
      <c r="AB23" s="42" t="e">
        <f t="shared" si="4"/>
        <v>#N/A</v>
      </c>
      <c r="AC23" s="42" t="e">
        <f t="shared" si="4"/>
        <v>#N/A</v>
      </c>
      <c r="AD23" s="42" t="e">
        <f t="shared" si="4"/>
        <v>#N/A</v>
      </c>
      <c r="AE23" s="42" t="e">
        <f>SUM(AE11:AE22)</f>
        <v>#N/A</v>
      </c>
      <c r="AF23" s="42" t="e">
        <f t="shared" si="4"/>
        <v>#N/A</v>
      </c>
      <c r="AG23" s="42" t="e">
        <f t="shared" si="4"/>
        <v>#N/A</v>
      </c>
      <c r="AH23" s="42" t="e">
        <f t="shared" si="4"/>
        <v>#N/A</v>
      </c>
      <c r="AI23" s="42" t="e">
        <f t="shared" si="4"/>
        <v>#N/A</v>
      </c>
      <c r="AJ23" s="42" t="e">
        <f t="shared" si="4"/>
        <v>#N/A</v>
      </c>
      <c r="AK23" s="42" t="e">
        <f t="shared" si="4"/>
        <v>#N/A</v>
      </c>
      <c r="AL23" s="42" t="e">
        <f t="shared" si="4"/>
        <v>#N/A</v>
      </c>
      <c r="AM23" s="42" t="e">
        <f t="shared" si="4"/>
        <v>#N/A</v>
      </c>
      <c r="AN23" s="42" t="e">
        <f t="shared" si="4"/>
        <v>#N/A</v>
      </c>
      <c r="AO23" s="42" t="e">
        <f t="shared" si="4"/>
        <v>#N/A</v>
      </c>
      <c r="AP23" s="42" t="e">
        <f t="shared" si="4"/>
        <v>#N/A</v>
      </c>
      <c r="AQ23" s="42" t="e">
        <f t="shared" si="4"/>
        <v>#N/A</v>
      </c>
      <c r="AR23" s="42" t="e">
        <f t="shared" si="4"/>
        <v>#N/A</v>
      </c>
      <c r="AS23" s="42" t="e">
        <f t="shared" si="4"/>
        <v>#N/A</v>
      </c>
      <c r="AT23" s="42" t="e">
        <f t="shared" si="4"/>
        <v>#N/A</v>
      </c>
      <c r="AU23" s="42" t="e">
        <f t="shared" si="4"/>
        <v>#N/A</v>
      </c>
      <c r="AV23" s="42" t="e">
        <f t="shared" si="4"/>
        <v>#N/A</v>
      </c>
      <c r="AW23" s="42" t="e">
        <f t="shared" si="4"/>
        <v>#N/A</v>
      </c>
      <c r="AX23" s="42" t="e">
        <f t="shared" si="4"/>
        <v>#N/A</v>
      </c>
      <c r="AY23" s="42" t="e">
        <f t="shared" si="4"/>
        <v>#N/A</v>
      </c>
      <c r="AZ23" s="42" t="e">
        <f t="shared" si="4"/>
        <v>#N/A</v>
      </c>
      <c r="BA23" s="42" t="e">
        <f t="shared" si="4"/>
        <v>#N/A</v>
      </c>
      <c r="BB23" s="42" t="e">
        <f t="shared" si="4"/>
        <v>#N/A</v>
      </c>
      <c r="BC23" s="42" t="e">
        <f t="shared" si="4"/>
        <v>#N/A</v>
      </c>
      <c r="BD23" s="42" t="e">
        <f t="shared" si="4"/>
        <v>#N/A</v>
      </c>
      <c r="BE23" s="42" t="e">
        <f t="shared" si="4"/>
        <v>#N/A</v>
      </c>
      <c r="BF23" s="42" t="e">
        <f t="shared" si="4"/>
        <v>#N/A</v>
      </c>
      <c r="BG23" s="42" t="e">
        <f t="shared" si="4"/>
        <v>#N/A</v>
      </c>
      <c r="BH23" s="42" t="e">
        <f t="shared" si="4"/>
        <v>#N/A</v>
      </c>
      <c r="BI23" s="42" t="e">
        <f t="shared" si="4"/>
        <v>#N/A</v>
      </c>
      <c r="BJ23" s="42" t="e">
        <f t="shared" si="4"/>
        <v>#N/A</v>
      </c>
      <c r="BK23" s="42" t="e">
        <f t="shared" si="4"/>
        <v>#N/A</v>
      </c>
      <c r="BL23" s="42" t="e">
        <f t="shared" si="4"/>
        <v>#N/A</v>
      </c>
      <c r="BM23" s="42" t="e">
        <f t="shared" si="4"/>
        <v>#N/A</v>
      </c>
      <c r="BN23" s="42" t="e">
        <f t="shared" si="4"/>
        <v>#N/A</v>
      </c>
      <c r="BO23" s="42" t="e">
        <f t="shared" ref="BO23:CZ23" si="5">SUM(BO11:BO22)</f>
        <v>#N/A</v>
      </c>
      <c r="BP23" s="42" t="e">
        <f t="shared" si="5"/>
        <v>#N/A</v>
      </c>
      <c r="BQ23" s="42" t="e">
        <f t="shared" si="5"/>
        <v>#N/A</v>
      </c>
      <c r="BR23" s="42" t="e">
        <f t="shared" si="5"/>
        <v>#N/A</v>
      </c>
      <c r="BS23" s="42" t="e">
        <f t="shared" si="5"/>
        <v>#N/A</v>
      </c>
      <c r="BT23" s="42" t="e">
        <f t="shared" si="5"/>
        <v>#N/A</v>
      </c>
      <c r="BU23" s="42" t="e">
        <f t="shared" si="5"/>
        <v>#N/A</v>
      </c>
      <c r="BV23" s="42" t="e">
        <f t="shared" si="5"/>
        <v>#N/A</v>
      </c>
      <c r="BW23" s="42" t="e">
        <f t="shared" si="5"/>
        <v>#N/A</v>
      </c>
      <c r="BX23" s="42" t="e">
        <f t="shared" si="5"/>
        <v>#N/A</v>
      </c>
      <c r="BY23" s="42" t="e">
        <f t="shared" si="5"/>
        <v>#N/A</v>
      </c>
      <c r="BZ23" s="42" t="e">
        <f t="shared" si="5"/>
        <v>#N/A</v>
      </c>
      <c r="CA23" s="42" t="e">
        <f t="shared" si="5"/>
        <v>#N/A</v>
      </c>
      <c r="CB23" s="42" t="e">
        <f t="shared" si="5"/>
        <v>#N/A</v>
      </c>
      <c r="CC23" s="42" t="e">
        <f t="shared" si="5"/>
        <v>#N/A</v>
      </c>
      <c r="CD23" s="42" t="e">
        <f t="shared" si="5"/>
        <v>#N/A</v>
      </c>
      <c r="CE23" s="42" t="e">
        <f t="shared" si="5"/>
        <v>#N/A</v>
      </c>
      <c r="CF23" s="42" t="e">
        <f t="shared" si="5"/>
        <v>#N/A</v>
      </c>
      <c r="CG23" s="42" t="e">
        <f t="shared" si="5"/>
        <v>#N/A</v>
      </c>
      <c r="CH23" s="42" t="e">
        <f t="shared" si="5"/>
        <v>#N/A</v>
      </c>
      <c r="CI23" s="42" t="e">
        <f t="shared" si="5"/>
        <v>#N/A</v>
      </c>
      <c r="CJ23" s="42" t="e">
        <f t="shared" si="5"/>
        <v>#N/A</v>
      </c>
      <c r="CK23" s="42" t="e">
        <f t="shared" si="5"/>
        <v>#N/A</v>
      </c>
      <c r="CL23" s="42" t="e">
        <f t="shared" si="5"/>
        <v>#N/A</v>
      </c>
      <c r="CM23" s="42" t="e">
        <f t="shared" si="5"/>
        <v>#N/A</v>
      </c>
      <c r="CN23" s="42" t="e">
        <f t="shared" si="5"/>
        <v>#N/A</v>
      </c>
      <c r="CO23" s="42" t="e">
        <f t="shared" si="5"/>
        <v>#N/A</v>
      </c>
      <c r="CP23" s="42" t="e">
        <f t="shared" si="5"/>
        <v>#N/A</v>
      </c>
      <c r="CQ23" s="42" t="e">
        <f t="shared" si="5"/>
        <v>#N/A</v>
      </c>
      <c r="CR23" s="42" t="e">
        <f t="shared" si="5"/>
        <v>#N/A</v>
      </c>
      <c r="CS23" s="42" t="e">
        <f t="shared" si="5"/>
        <v>#N/A</v>
      </c>
      <c r="CT23" s="42" t="e">
        <f t="shared" si="5"/>
        <v>#N/A</v>
      </c>
      <c r="CU23" s="42" t="e">
        <f t="shared" si="5"/>
        <v>#N/A</v>
      </c>
      <c r="CV23" s="42" t="e">
        <f t="shared" si="5"/>
        <v>#N/A</v>
      </c>
      <c r="CW23" s="42" t="e">
        <f t="shared" si="5"/>
        <v>#N/A</v>
      </c>
      <c r="CX23" s="42" t="e">
        <f t="shared" si="5"/>
        <v>#N/A</v>
      </c>
      <c r="CY23" s="42" t="e">
        <f t="shared" si="5"/>
        <v>#N/A</v>
      </c>
      <c r="CZ23" s="42" t="e">
        <f t="shared" si="5"/>
        <v>#N/A</v>
      </c>
    </row>
    <row r="24" spans="1:104" s="42" customFormat="1" x14ac:dyDescent="0.2">
      <c r="A24" s="39"/>
    </row>
    <row r="25" spans="1:104" s="42" customFormat="1" x14ac:dyDescent="0.2">
      <c r="A25" s="39"/>
    </row>
    <row r="26" spans="1:104" s="42" customFormat="1" x14ac:dyDescent="0.2">
      <c r="A26" s="3"/>
      <c r="I26" s="43"/>
    </row>
    <row r="27" spans="1:104" s="52" customFormat="1" ht="15" x14ac:dyDescent="0.35">
      <c r="A27" s="47" t="s">
        <v>50</v>
      </c>
      <c r="B27" s="46">
        <v>1254</v>
      </c>
      <c r="C27" s="46" t="e">
        <f>C8-C23</f>
        <v>#N/A</v>
      </c>
      <c r="D27" s="46" t="e">
        <f>D8-D23</f>
        <v>#N/A</v>
      </c>
      <c r="E27" s="46" t="e">
        <f t="shared" ref="E27:BN27" si="6">E8-E23</f>
        <v>#N/A</v>
      </c>
      <c r="F27" s="46" t="e">
        <f t="shared" si="6"/>
        <v>#N/A</v>
      </c>
      <c r="G27" s="46" t="e">
        <f t="shared" si="6"/>
        <v>#N/A</v>
      </c>
      <c r="H27" s="46" t="e">
        <f t="shared" si="6"/>
        <v>#N/A</v>
      </c>
      <c r="I27" s="46" t="e">
        <f t="shared" si="6"/>
        <v>#N/A</v>
      </c>
      <c r="J27" s="46" t="e">
        <f t="shared" si="6"/>
        <v>#N/A</v>
      </c>
      <c r="K27" s="46" t="e">
        <f t="shared" si="6"/>
        <v>#N/A</v>
      </c>
      <c r="L27" s="46" t="e">
        <f t="shared" si="6"/>
        <v>#N/A</v>
      </c>
      <c r="M27" s="46" t="e">
        <f t="shared" si="6"/>
        <v>#N/A</v>
      </c>
      <c r="N27" s="46" t="e">
        <f t="shared" si="6"/>
        <v>#N/A</v>
      </c>
      <c r="O27" s="46" t="e">
        <f t="shared" si="6"/>
        <v>#N/A</v>
      </c>
      <c r="P27" s="46" t="e">
        <f t="shared" si="6"/>
        <v>#N/A</v>
      </c>
      <c r="Q27" s="46" t="e">
        <f t="shared" si="6"/>
        <v>#N/A</v>
      </c>
      <c r="R27" s="46" t="e">
        <f t="shared" si="6"/>
        <v>#N/A</v>
      </c>
      <c r="S27" s="46" t="e">
        <f t="shared" si="6"/>
        <v>#N/A</v>
      </c>
      <c r="T27" s="46" t="e">
        <f t="shared" si="6"/>
        <v>#N/A</v>
      </c>
      <c r="U27" s="46" t="e">
        <f t="shared" si="6"/>
        <v>#N/A</v>
      </c>
      <c r="V27" s="46" t="e">
        <f t="shared" si="6"/>
        <v>#N/A</v>
      </c>
      <c r="W27" s="46" t="e">
        <f t="shared" si="6"/>
        <v>#N/A</v>
      </c>
      <c r="X27" s="46" t="e">
        <f t="shared" si="6"/>
        <v>#N/A</v>
      </c>
      <c r="Y27" s="46" t="e">
        <f t="shared" si="6"/>
        <v>#N/A</v>
      </c>
      <c r="Z27" s="46" t="e">
        <f t="shared" si="6"/>
        <v>#N/A</v>
      </c>
      <c r="AA27" s="46" t="e">
        <f t="shared" si="6"/>
        <v>#N/A</v>
      </c>
      <c r="AB27" s="46" t="e">
        <f t="shared" si="6"/>
        <v>#N/A</v>
      </c>
      <c r="AC27" s="46" t="e">
        <f t="shared" si="6"/>
        <v>#N/A</v>
      </c>
      <c r="AD27" s="46" t="e">
        <f t="shared" si="6"/>
        <v>#N/A</v>
      </c>
      <c r="AE27" s="46" t="e">
        <f t="shared" si="6"/>
        <v>#N/A</v>
      </c>
      <c r="AF27" s="46" t="e">
        <f t="shared" si="6"/>
        <v>#N/A</v>
      </c>
      <c r="AG27" s="46" t="e">
        <f t="shared" si="6"/>
        <v>#N/A</v>
      </c>
      <c r="AH27" s="46" t="e">
        <f t="shared" si="6"/>
        <v>#N/A</v>
      </c>
      <c r="AI27" s="46" t="e">
        <f t="shared" si="6"/>
        <v>#N/A</v>
      </c>
      <c r="AJ27" s="46" t="e">
        <f t="shared" si="6"/>
        <v>#N/A</v>
      </c>
      <c r="AK27" s="46" t="e">
        <f t="shared" si="6"/>
        <v>#N/A</v>
      </c>
      <c r="AL27" s="46" t="e">
        <f t="shared" si="6"/>
        <v>#N/A</v>
      </c>
      <c r="AM27" s="46" t="e">
        <f t="shared" si="6"/>
        <v>#N/A</v>
      </c>
      <c r="AN27" s="46" t="e">
        <f t="shared" si="6"/>
        <v>#N/A</v>
      </c>
      <c r="AO27" s="46" t="e">
        <f t="shared" si="6"/>
        <v>#N/A</v>
      </c>
      <c r="AP27" s="46" t="e">
        <f t="shared" si="6"/>
        <v>#N/A</v>
      </c>
      <c r="AQ27" s="46" t="e">
        <f t="shared" si="6"/>
        <v>#N/A</v>
      </c>
      <c r="AR27" s="46" t="e">
        <f t="shared" si="6"/>
        <v>#N/A</v>
      </c>
      <c r="AS27" s="46" t="e">
        <f t="shared" si="6"/>
        <v>#N/A</v>
      </c>
      <c r="AT27" s="46" t="e">
        <f t="shared" si="6"/>
        <v>#N/A</v>
      </c>
      <c r="AU27" s="46" t="e">
        <f t="shared" si="6"/>
        <v>#N/A</v>
      </c>
      <c r="AV27" s="46" t="e">
        <f t="shared" si="6"/>
        <v>#N/A</v>
      </c>
      <c r="AW27" s="46" t="e">
        <f t="shared" si="6"/>
        <v>#N/A</v>
      </c>
      <c r="AX27" s="46" t="e">
        <f t="shared" si="6"/>
        <v>#N/A</v>
      </c>
      <c r="AY27" s="46" t="e">
        <f t="shared" si="6"/>
        <v>#N/A</v>
      </c>
      <c r="AZ27" s="46" t="e">
        <f t="shared" si="6"/>
        <v>#N/A</v>
      </c>
      <c r="BA27" s="46" t="e">
        <f t="shared" si="6"/>
        <v>#N/A</v>
      </c>
      <c r="BB27" s="46" t="e">
        <f t="shared" si="6"/>
        <v>#N/A</v>
      </c>
      <c r="BC27" s="46" t="e">
        <f t="shared" si="6"/>
        <v>#N/A</v>
      </c>
      <c r="BD27" s="46" t="e">
        <f t="shared" si="6"/>
        <v>#N/A</v>
      </c>
      <c r="BE27" s="46" t="e">
        <f t="shared" si="6"/>
        <v>#N/A</v>
      </c>
      <c r="BF27" s="46" t="e">
        <f t="shared" si="6"/>
        <v>#N/A</v>
      </c>
      <c r="BG27" s="46" t="e">
        <f t="shared" si="6"/>
        <v>#N/A</v>
      </c>
      <c r="BH27" s="46" t="e">
        <f t="shared" si="6"/>
        <v>#N/A</v>
      </c>
      <c r="BI27" s="46" t="e">
        <f t="shared" si="6"/>
        <v>#N/A</v>
      </c>
      <c r="BJ27" s="46" t="e">
        <f t="shared" si="6"/>
        <v>#N/A</v>
      </c>
      <c r="BK27" s="46" t="e">
        <f t="shared" si="6"/>
        <v>#N/A</v>
      </c>
      <c r="BL27" s="46" t="e">
        <f t="shared" si="6"/>
        <v>#N/A</v>
      </c>
      <c r="BM27" s="46" t="e">
        <f t="shared" si="6"/>
        <v>#N/A</v>
      </c>
      <c r="BN27" s="46" t="e">
        <f t="shared" si="6"/>
        <v>#N/A</v>
      </c>
      <c r="BO27" s="46" t="e">
        <f t="shared" ref="BO27:CZ27" si="7">BO8-BO23</f>
        <v>#N/A</v>
      </c>
      <c r="BP27" s="46" t="e">
        <f t="shared" si="7"/>
        <v>#N/A</v>
      </c>
      <c r="BQ27" s="46" t="e">
        <f t="shared" si="7"/>
        <v>#N/A</v>
      </c>
      <c r="BR27" s="46" t="e">
        <f t="shared" si="7"/>
        <v>#N/A</v>
      </c>
      <c r="BS27" s="46" t="e">
        <f t="shared" si="7"/>
        <v>#N/A</v>
      </c>
      <c r="BT27" s="46" t="e">
        <f t="shared" si="7"/>
        <v>#N/A</v>
      </c>
      <c r="BU27" s="46" t="e">
        <f t="shared" si="7"/>
        <v>#N/A</v>
      </c>
      <c r="BV27" s="46" t="e">
        <f t="shared" si="7"/>
        <v>#N/A</v>
      </c>
      <c r="BW27" s="46" t="e">
        <f t="shared" si="7"/>
        <v>#N/A</v>
      </c>
      <c r="BX27" s="46" t="e">
        <f t="shared" si="7"/>
        <v>#N/A</v>
      </c>
      <c r="BY27" s="46" t="e">
        <f t="shared" si="7"/>
        <v>#N/A</v>
      </c>
      <c r="BZ27" s="46" t="e">
        <f t="shared" si="7"/>
        <v>#N/A</v>
      </c>
      <c r="CA27" s="46" t="e">
        <f t="shared" si="7"/>
        <v>#N/A</v>
      </c>
      <c r="CB27" s="46" t="e">
        <f t="shared" si="7"/>
        <v>#N/A</v>
      </c>
      <c r="CC27" s="46" t="e">
        <f t="shared" si="7"/>
        <v>#N/A</v>
      </c>
      <c r="CD27" s="46" t="e">
        <f t="shared" si="7"/>
        <v>#N/A</v>
      </c>
      <c r="CE27" s="46" t="e">
        <f t="shared" si="7"/>
        <v>#N/A</v>
      </c>
      <c r="CF27" s="46" t="e">
        <f t="shared" si="7"/>
        <v>#N/A</v>
      </c>
      <c r="CG27" s="46" t="e">
        <f t="shared" si="7"/>
        <v>#N/A</v>
      </c>
      <c r="CH27" s="46" t="e">
        <f t="shared" si="7"/>
        <v>#N/A</v>
      </c>
      <c r="CI27" s="46" t="e">
        <f t="shared" si="7"/>
        <v>#N/A</v>
      </c>
      <c r="CJ27" s="46" t="e">
        <f t="shared" si="7"/>
        <v>#N/A</v>
      </c>
      <c r="CK27" s="46" t="e">
        <f t="shared" si="7"/>
        <v>#N/A</v>
      </c>
      <c r="CL27" s="46" t="e">
        <f t="shared" si="7"/>
        <v>#N/A</v>
      </c>
      <c r="CM27" s="46" t="e">
        <f t="shared" si="7"/>
        <v>#N/A</v>
      </c>
      <c r="CN27" s="46" t="e">
        <f t="shared" si="7"/>
        <v>#N/A</v>
      </c>
      <c r="CO27" s="46" t="e">
        <f t="shared" si="7"/>
        <v>#N/A</v>
      </c>
      <c r="CP27" s="46" t="e">
        <f t="shared" si="7"/>
        <v>#N/A</v>
      </c>
      <c r="CQ27" s="46" t="e">
        <f t="shared" si="7"/>
        <v>#N/A</v>
      </c>
      <c r="CR27" s="46" t="e">
        <f t="shared" si="7"/>
        <v>#N/A</v>
      </c>
      <c r="CS27" s="46" t="e">
        <f t="shared" si="7"/>
        <v>#N/A</v>
      </c>
      <c r="CT27" s="46" t="e">
        <f t="shared" si="7"/>
        <v>#N/A</v>
      </c>
      <c r="CU27" s="46" t="e">
        <f t="shared" si="7"/>
        <v>#N/A</v>
      </c>
      <c r="CV27" s="46" t="e">
        <f t="shared" si="7"/>
        <v>#N/A</v>
      </c>
      <c r="CW27" s="46" t="e">
        <f t="shared" si="7"/>
        <v>#N/A</v>
      </c>
      <c r="CX27" s="46" t="e">
        <f t="shared" si="7"/>
        <v>#N/A</v>
      </c>
      <c r="CY27" s="46" t="e">
        <f t="shared" si="7"/>
        <v>#N/A</v>
      </c>
      <c r="CZ27" s="46" t="e">
        <f t="shared" si="7"/>
        <v>#N/A</v>
      </c>
    </row>
    <row r="29" spans="1:104" s="40" customFormat="1" x14ac:dyDescent="0.2">
      <c r="B29" s="45"/>
      <c r="C29" s="45"/>
      <c r="D29" s="45"/>
      <c r="E29" s="45"/>
      <c r="F29" s="45"/>
      <c r="G29" s="45"/>
      <c r="H29" s="45"/>
      <c r="I29" s="45"/>
      <c r="J29" s="45"/>
      <c r="K29" s="45"/>
      <c r="L29" s="45"/>
      <c r="M29" s="45"/>
      <c r="N29" s="45"/>
      <c r="O29" s="45"/>
      <c r="P29" s="45"/>
      <c r="Q29" s="45"/>
      <c r="R29" s="45"/>
      <c r="S29" s="45"/>
      <c r="T29" s="45"/>
      <c r="U29" s="45"/>
      <c r="V29" s="45"/>
      <c r="W29" s="45"/>
      <c r="X29" s="45"/>
      <c r="Y29" s="45"/>
      <c r="Z29" s="45"/>
      <c r="AA29" s="45"/>
      <c r="AB29" s="45"/>
      <c r="AC29" s="45"/>
      <c r="AD29" s="45"/>
      <c r="AE29" s="45"/>
      <c r="AF29" s="45"/>
      <c r="AG29" s="45"/>
      <c r="AH29" s="45"/>
      <c r="AI29" s="45"/>
      <c r="AJ29" s="45"/>
      <c r="AL29" s="45"/>
      <c r="AM29" s="45"/>
      <c r="AN29" s="45"/>
      <c r="AO29" s="45"/>
      <c r="AP29" s="45"/>
      <c r="AQ29" s="45"/>
      <c r="AR29" s="45"/>
      <c r="AS29" s="45"/>
    </row>
    <row r="30" spans="1:104" s="39" customFormat="1" x14ac:dyDescent="0.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0"/>
      <c r="AL30" s="42"/>
      <c r="AM30" s="42"/>
      <c r="AN30" s="42"/>
      <c r="AO30" s="42"/>
      <c r="AP30" s="42"/>
      <c r="AQ30" s="42"/>
      <c r="AR30" s="42"/>
      <c r="AS30" s="42"/>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1"/>
  <sheetViews>
    <sheetView workbookViewId="0">
      <selection activeCell="A2" sqref="A2:Z1048576"/>
    </sheetView>
  </sheetViews>
  <sheetFormatPr defaultRowHeight="15" x14ac:dyDescent="0.25"/>
  <cols>
    <col min="1" max="1" width="11.5703125" customWidth="1"/>
    <col min="2" max="2" width="15.140625" customWidth="1"/>
    <col min="3" max="3" width="11" customWidth="1"/>
    <col min="5" max="5" width="22.85546875" customWidth="1"/>
    <col min="6" max="6" width="23.85546875" customWidth="1"/>
    <col min="7" max="7" width="27.5703125" customWidth="1"/>
    <col min="8" max="8" width="10.28515625" customWidth="1"/>
    <col min="9" max="9" width="18.28515625" bestFit="1" customWidth="1"/>
  </cols>
  <sheetData>
    <row r="1" spans="1:9" x14ac:dyDescent="0.25">
      <c r="A1" s="1" t="s">
        <v>6</v>
      </c>
      <c r="B1" s="1" t="s">
        <v>4</v>
      </c>
      <c r="C1" s="1" t="s">
        <v>7</v>
      </c>
      <c r="D1" s="1" t="s">
        <v>8</v>
      </c>
      <c r="E1" s="1" t="s">
        <v>5</v>
      </c>
      <c r="F1" s="1" t="s">
        <v>9</v>
      </c>
      <c r="G1" s="1" t="s">
        <v>10</v>
      </c>
      <c r="H1" s="1" t="s">
        <v>11</v>
      </c>
      <c r="I1" s="67" t="s">
        <v>234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Main</vt:lpstr>
      <vt:lpstr>Main Data</vt:lpstr>
      <vt:lpstr>BalSht</vt:lpstr>
      <vt:lpstr>BalSht Data</vt:lpstr>
      <vt:lpstr>IncStmt</vt:lpstr>
      <vt:lpstr>IncStmt Data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2018-03-06T11:28:56Z</dcterms:modified>
</cp:coreProperties>
</file>