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firstSheet="1" activeTab="1"/>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Main!$A$19:$G$47</definedName>
    <definedName name="FundList">'[1]Fund Names'!$A$2:$A$326</definedName>
    <definedName name="_xlnm.Print_Area" localSheetId="3">BalSht!$A$2:$B$62</definedName>
    <definedName name="_xlnm.Print_Area" localSheetId="5">IncStmt!$A$2:$B$36</definedName>
    <definedName name="_xlnm.Print_Titles" localSheetId="3">BalSht!$A:$A,BalSht!$1:$9</definedName>
    <definedName name="_xlnm.Print_Titles" localSheetId="5">IncStmt!$A:$A,IncStmt!$1:$9</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 i="10" l="1"/>
  <c r="B15" i="10" l="1"/>
</calcChain>
</file>

<file path=xl/sharedStrings.xml><?xml version="1.0" encoding="utf-8"?>
<sst xmlns="http://schemas.openxmlformats.org/spreadsheetml/2006/main" count="316" uniqueCount="165">
  <si>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</si>
  <si>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</si>
  <si>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</si>
  <si>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</si>
  <si>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</si>
  <si>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</si>
  <si>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</si>
  <si>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</si>
  <si>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</si>
  <si>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</si>
  <si>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</si>
  <si>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</si>
  <si>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</si>
  <si>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</si>
  <si>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</si>
  <si>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</si>
  <si>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Accounts receivable</t>
  </si>
  <si>
    <t>Accounts receivable - affiliates</t>
  </si>
  <si>
    <t>Cash and cash equivalents</t>
  </si>
  <si>
    <t>Funded reserves and restricted cash</t>
  </si>
  <si>
    <t>Intangible assets - net</t>
  </si>
  <si>
    <t>Accounts payable - construction</t>
  </si>
  <si>
    <t>Accounts payable - trade</t>
  </si>
  <si>
    <t>Accrued expenses</t>
  </si>
  <si>
    <t>Accrued interest</t>
  </si>
  <si>
    <t>Deferred rental income</t>
  </si>
  <si>
    <t>Due to partner and affiliates</t>
  </si>
  <si>
    <t>Mortgages payable</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</si>
  <si>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</si>
  <si>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</si>
  <si>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</si>
  <si>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</si>
  <si>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</si>
  <si>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</si>
  <si>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</si>
  <si>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</si>
  <si>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</si>
  <si>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</si>
  <si>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</si>
  <si>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</si>
  <si>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</si>
  <si>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</si>
  <si>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</si>
  <si>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</si>
  <si>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</si>
  <si>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</si>
  <si>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</si>
  <si>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</si>
  <si>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</si>
  <si>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</si>
  <si>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</si>
  <si>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</si>
  <si>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</si>
  <si>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</si>
  <si>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</si>
  <si>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</si>
  <si>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</si>
  <si>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</si>
  <si>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</si>
  <si>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</si>
  <si>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</si>
  <si>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</si>
  <si>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</si>
  <si>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</si>
  <si>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</si>
  <si>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</si>
  <si>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</si>
  <si>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</si>
  <si>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</si>
  <si>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</si>
  <si>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</si>
  <si>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</si>
  <si>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</si>
  <si>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</si>
  <si>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</si>
  <si>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</si>
  <si>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</si>
  <si>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</si>
  <si>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</si>
  <si>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</si>
  <si>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</si>
  <si>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</si>
  <si>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</si>
  <si>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</si>
  <si>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</si>
  <si>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</si>
  <si>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</si>
  <si>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</si>
  <si>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</si>
  <si>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</si>
  <si>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</si>
  <si>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</si>
  <si>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</si>
  <si>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</si>
  <si>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</si>
  <si>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</si>
  <si>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</si>
  <si>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</si>
  <si>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</si>
  <si>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</si>
  <si>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</si>
  <si>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</si>
  <si>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</si>
  <si>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</si>
  <si>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</si>
  <si>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</si>
  <si>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</si>
  <si>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</si>
  <si>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</si>
  <si>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</si>
  <si>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</si>
  <si>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</si>
  <si>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</si>
  <si>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</si>
  <si>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</si>
  <si>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</si>
  <si>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</si>
  <si>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</si>
  <si>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</si>
  <si>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</si>
  <si>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</si>
  <si>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</si>
  <si>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</si>
  <si>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</si>
  <si>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</si>
  <si>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</si>
  <si>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</si>
  <si>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</si>
  <si>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</si>
  <si>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</si>
  <si>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</si>
  <si>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</si>
  <si>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</si>
  <si>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</si>
  <si>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</si>
  <si>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</si>
  <si>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</si>
  <si>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Deferred interest</t>
  </si>
  <si>
    <t>Notes payable</t>
  </si>
  <si>
    <t>Notes payable, affiliates</t>
  </si>
  <si>
    <t>Deferred interest expense</t>
  </si>
  <si>
    <t>Organization expense</t>
  </si>
  <si>
    <t>Impairment</t>
  </si>
  <si>
    <t>Mortgages payable,affiliates</t>
  </si>
  <si>
    <t>Account Number</t>
  </si>
  <si>
    <t>FUND</t>
  </si>
  <si>
    <t>Fund Abbreviation</t>
  </si>
  <si>
    <t>INVESTMENT IN REAL ESTATE - AT COST</t>
  </si>
  <si>
    <t>Land</t>
  </si>
  <si>
    <t>Net property</t>
  </si>
  <si>
    <t>OTHER ASSETS</t>
  </si>
  <si>
    <t>Prepaid interest</t>
  </si>
  <si>
    <t>Prepaid expense - other</t>
  </si>
  <si>
    <t>Investment in Operating Partnerships</t>
  </si>
  <si>
    <t>Other assets</t>
  </si>
  <si>
    <t>TOTAL ASSETS</t>
  </si>
  <si>
    <t>LIABILITIES</t>
  </si>
  <si>
    <t>Land lease obligation</t>
  </si>
  <si>
    <t>Tenant security deposits</t>
  </si>
  <si>
    <t>TOTAL LIABILITIES</t>
  </si>
  <si>
    <t>PARTNERS' CAPITAL</t>
  </si>
  <si>
    <t>TOTAL LIABILITIES &amp; PARTNERS' CAPITAL</t>
  </si>
  <si>
    <t>EHPF, LLC</t>
  </si>
  <si>
    <t>Project Income / (Losses) @ 100%</t>
  </si>
  <si>
    <t>Project Income / (Losses) @ Fund Level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</si>
</sst>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5">
    <xf numFmtId="0" fontId="0" fillId="0" borderId="0" xfId="0"/>
    <xf numFmtId="0" fontId="1" fillId="0" borderId="0" xfId="0" applyFont="1"/>
    <xf numFmtId="0" fontId="3" fillId="0" borderId="0" xfId="0" applyFont="1"/>
    <xf numFmtId="0" fontId="4" fillId="0" borderId="0" xfId="0" applyFont="1"/>
    <xf numFmtId="164" fontId="0" fillId="0" borderId="0" xfId="0" applyNumberFormat="1"/>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0" fontId="2" fillId="0" borderId="0" xfId="0" applyFont="1" applyAlignment="1" applyProtection="1">
      <alignment horizontal="left" indent="2"/>
      <protection locked="0"/>
    </xf>
    <xf numFmtId="0" fontId="4" fillId="0" borderId="0" xfId="0" applyFont="1" applyAlignment="1">
      <alignment horizontal="left" indent="2"/>
    </xf>
    <xf numFmtId="0" fontId="2" fillId="0" borderId="0" xfId="0" applyFont="1" applyFill="1" applyAlignment="1" applyProtection="1">
      <alignment horizontal="left" indent="2"/>
      <protection locked="0"/>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xf numFmtId="0" fontId="2" fillId="0" borderId="0" xfId="0" applyFont="1" applyProtection="1">
      <protection locked="0"/>
    </xf>
    <xf numFmtId="0" fontId="4" fillId="0" borderId="0" xfId="1" applyNumberFormat="1" applyFont="1" applyAlignment="1">
      <alignment horizontal="left" indent="2"/>
    </xf>
    <xf numFmtId="0" fontId="4" fillId="0" borderId="0" xfId="0" applyFont="1" applyAlignment="1">
      <alignment horizontal="left" indent="1"/>
    </xf>
    <xf numFmtId="0" fontId="4" fillId="0" borderId="0" xfId="1" applyNumberFormat="1" applyFont="1" applyAlignment="1">
      <alignment horizontal="left"/>
    </xf>
    <xf numFmtId="0" fontId="4" fillId="0" borderId="0" xfId="0" applyFont="1" applyAlignment="1">
      <alignment horizontal="left"/>
    </xf>
    <xf numFmtId="0" fontId="4" fillId="0" borderId="0" xfId="1" applyNumberFormat="1" applyFont="1" applyAlignment="1">
      <alignment horizontal="left" indent="1"/>
    </xf>
    <xf numFmtId="0" fontId="0" fillId="0" borderId="0" xfId="0" applyFont="1"/>
    <xf numFmtId="0" fontId="10" fillId="0" borderId="0" xfId="4" applyFont="1"/>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1790700</xdr:colOff>
          <xdr:row>10</xdr:row>
          <xdr:rowOff>190500</xdr:rowOff>
        </xdr:from>
        <xdr:to>
          <xdr:col>2</xdr:col>
          <xdr:colOff>3019425</xdr:colOff>
          <xdr:row>14</xdr:row>
          <xdr:rowOff>47625</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zoomScaleNormal="100" workbookViewId="0">
      <selection activeCell="I25" sqref="I25"/>
    </sheetView>
  </sheetViews>
  <sheetFormatPr defaultRowHeight="15" x14ac:dyDescent="0.25"/>
  <sheetData>
    <row r="1" spans="1:2" x14ac:dyDescent="0.25">
      <c r="A1" s="8" t="s">
        <v>41</v>
      </c>
    </row>
    <row r="2" spans="1:2" x14ac:dyDescent="0.25">
      <c r="A2" t="s">
        <v>42</v>
      </c>
    </row>
    <row r="4" spans="1:2" x14ac:dyDescent="0.25">
      <c r="A4" s="9" t="s">
        <v>43</v>
      </c>
    </row>
    <row r="5" spans="1:2" x14ac:dyDescent="0.25">
      <c r="A5" s="9" t="s">
        <v>44</v>
      </c>
    </row>
    <row r="6" spans="1:2" x14ac:dyDescent="0.25">
      <c r="A6" s="9" t="s">
        <v>45</v>
      </c>
    </row>
    <row r="7" spans="1:2" x14ac:dyDescent="0.25">
      <c r="A7" s="9" t="s">
        <v>46</v>
      </c>
    </row>
    <row r="8" spans="1:2" x14ac:dyDescent="0.25">
      <c r="A8" s="9" t="s">
        <v>47</v>
      </c>
    </row>
    <row r="9" spans="1:2" x14ac:dyDescent="0.25">
      <c r="A9" s="9" t="s">
        <v>48</v>
      </c>
    </row>
    <row r="11" spans="1:2" x14ac:dyDescent="0.25">
      <c r="A11" s="10">
        <v>1</v>
      </c>
      <c r="B11" s="9" t="s">
        <v>49</v>
      </c>
    </row>
    <row r="12" spans="1:2" x14ac:dyDescent="0.25">
      <c r="A12" s="10">
        <v>2</v>
      </c>
      <c r="B12" s="9" t="s">
        <v>50</v>
      </c>
    </row>
    <row r="13" spans="1:2" x14ac:dyDescent="0.25">
      <c r="A13" s="10">
        <v>3</v>
      </c>
      <c r="B13" s="9" t="s">
        <v>51</v>
      </c>
    </row>
    <row r="14" spans="1:2" x14ac:dyDescent="0.25">
      <c r="A14" s="10">
        <v>4</v>
      </c>
      <c r="B14" s="9" t="s">
        <v>52</v>
      </c>
    </row>
    <row r="15" spans="1:2" x14ac:dyDescent="0.25">
      <c r="A15" s="10">
        <v>5</v>
      </c>
      <c r="B15" s="9" t="s">
        <v>53</v>
      </c>
    </row>
    <row r="16" spans="1:2" x14ac:dyDescent="0.25">
      <c r="A16" s="10">
        <v>6</v>
      </c>
      <c r="B16" s="9" t="s">
        <v>54</v>
      </c>
    </row>
    <row r="17" spans="1:2" x14ac:dyDescent="0.25">
      <c r="A17" s="10">
        <v>7</v>
      </c>
      <c r="B17" t="s">
        <v>55</v>
      </c>
    </row>
    <row r="18" spans="1:2" x14ac:dyDescent="0.25">
      <c r="A18" s="10">
        <v>8</v>
      </c>
      <c r="B18" s="9" t="s">
        <v>56</v>
      </c>
    </row>
    <row r="20" spans="1:2" x14ac:dyDescent="0.25">
      <c r="A20" s="8" t="s">
        <v>57</v>
      </c>
    </row>
    <row r="21" spans="1:2" x14ac:dyDescent="0.25">
      <c r="A21" s="10">
        <v>1</v>
      </c>
      <c r="B21" t="s">
        <v>58</v>
      </c>
    </row>
    <row r="22" spans="1:2" x14ac:dyDescent="0.25">
      <c r="A22" s="10">
        <v>2</v>
      </c>
      <c r="B22" s="9" t="s">
        <v>59</v>
      </c>
    </row>
    <row r="23" spans="1:2" x14ac:dyDescent="0.25">
      <c r="A23" s="10">
        <v>3</v>
      </c>
      <c r="B23" t="s">
        <v>60</v>
      </c>
    </row>
    <row r="24" spans="1:2" x14ac:dyDescent="0.25">
      <c r="A24" s="10">
        <v>4</v>
      </c>
      <c r="B24" s="9" t="s">
        <v>61</v>
      </c>
    </row>
    <row r="25" spans="1:2" x14ac:dyDescent="0.25">
      <c r="A25" s="10">
        <v>5</v>
      </c>
      <c r="B25" s="9" t="s">
        <v>62</v>
      </c>
    </row>
    <row r="26" spans="1:2" x14ac:dyDescent="0.25">
      <c r="A26" s="10">
        <v>6</v>
      </c>
      <c r="B26" s="9" t="s">
        <v>63</v>
      </c>
    </row>
    <row r="27" spans="1:2" x14ac:dyDescent="0.25">
      <c r="A27" s="10">
        <v>7</v>
      </c>
      <c r="B27" s="9" t="s">
        <v>64</v>
      </c>
    </row>
    <row r="28" spans="1:2" x14ac:dyDescent="0.25">
      <c r="A28" s="10">
        <v>8</v>
      </c>
      <c r="B28" t="s">
        <v>65</v>
      </c>
    </row>
    <row r="29" spans="1:2" x14ac:dyDescent="0.25">
      <c r="A29" s="10">
        <v>9</v>
      </c>
      <c r="B29" s="9" t="s">
        <v>66</v>
      </c>
    </row>
    <row r="30" spans="1:2" x14ac:dyDescent="0.25">
      <c r="A30" s="10">
        <v>10</v>
      </c>
      <c r="B30" s="9" t="s">
        <v>67</v>
      </c>
    </row>
    <row r="31" spans="1:2" x14ac:dyDescent="0.25">
      <c r="A31" s="10">
        <v>11</v>
      </c>
      <c r="B31" t="s">
        <v>68</v>
      </c>
    </row>
    <row r="32" spans="1:2" x14ac:dyDescent="0.25">
      <c r="A32" s="10">
        <v>12</v>
      </c>
      <c r="B32" s="9" t="s">
        <v>69</v>
      </c>
    </row>
    <row r="33" spans="1:2" x14ac:dyDescent="0.25">
      <c r="A33" s="10">
        <v>13</v>
      </c>
      <c r="B33" s="9" t="s">
        <v>70</v>
      </c>
    </row>
    <row r="35" spans="1:2" x14ac:dyDescent="0.25">
      <c r="A35" t="s">
        <v>71</v>
      </c>
    </row>
    <row r="36" spans="1:2" x14ac:dyDescent="0.25">
      <c r="A36" t="s">
        <v>72</v>
      </c>
    </row>
    <row r="37" spans="1:2" x14ac:dyDescent="0.25">
      <c r="A37" t="s">
        <v>73</v>
      </c>
    </row>
    <row r="38" spans="1:2" x14ac:dyDescent="0.25">
      <c r="B38" t="s">
        <v>74</v>
      </c>
    </row>
    <row r="39" spans="1:2" x14ac:dyDescent="0.25">
      <c r="B39" t="s">
        <v>75</v>
      </c>
    </row>
    <row r="40" spans="1:2" x14ac:dyDescent="0.25">
      <c r="A40" t="s">
        <v>76</v>
      </c>
    </row>
    <row r="41" spans="1:2" x14ac:dyDescent="0.25">
      <c r="A41" t="s">
        <v>77</v>
      </c>
    </row>
    <row r="42" spans="1:2" x14ac:dyDescent="0.25">
      <c r="A42" t="s">
        <v>78</v>
      </c>
    </row>
    <row r="43" spans="1:2" x14ac:dyDescent="0.25">
      <c r="A43" t="s">
        <v>79</v>
      </c>
    </row>
    <row r="44" spans="1:2" x14ac:dyDescent="0.25">
      <c r="A44" t="s">
        <v>80</v>
      </c>
    </row>
    <row r="46" spans="1:2" x14ac:dyDescent="0.25">
      <c r="A46" t="s">
        <v>81</v>
      </c>
    </row>
    <row r="47" spans="1:2" x14ac:dyDescent="0.25">
      <c r="A47" t="s">
        <v>82</v>
      </c>
    </row>
    <row r="48" spans="1:2" x14ac:dyDescent="0.25">
      <c r="A48" t="s">
        <v>83</v>
      </c>
    </row>
    <row r="49" spans="1:2" x14ac:dyDescent="0.25">
      <c r="A49" t="s">
        <v>84</v>
      </c>
    </row>
    <row r="50" spans="1:2" x14ac:dyDescent="0.25">
      <c r="B50" t="s">
        <v>85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8" spans="1:2" s="8" customFormat="1" ht="12.75" x14ac:dyDescent="0.2">
      <c r="A58" s="8" t="s">
        <v>86</v>
      </c>
    </row>
    <row r="59" spans="1:2" x14ac:dyDescent="0.25">
      <c r="A59" t="s">
        <v>87</v>
      </c>
    </row>
    <row r="60" spans="1:2" x14ac:dyDescent="0.25">
      <c r="A60" s="9" t="s">
        <v>88</v>
      </c>
    </row>
    <row r="61" spans="1:2" x14ac:dyDescent="0.25">
      <c r="A61" s="9" t="s">
        <v>89</v>
      </c>
    </row>
    <row r="62" spans="1:2" x14ac:dyDescent="0.25">
      <c r="A62" t="s">
        <v>90</v>
      </c>
    </row>
    <row r="63" spans="1:2" x14ac:dyDescent="0.25">
      <c r="A63" t="s">
        <v>91</v>
      </c>
    </row>
    <row r="64" spans="1:2" x14ac:dyDescent="0.25">
      <c r="B64" t="s">
        <v>92</v>
      </c>
    </row>
    <row r="65" spans="1:3" x14ac:dyDescent="0.25">
      <c r="B65" t="s">
        <v>93</v>
      </c>
    </row>
    <row r="66" spans="1:3" x14ac:dyDescent="0.25">
      <c r="B66" t="s">
        <v>94</v>
      </c>
    </row>
    <row r="67" spans="1:3" x14ac:dyDescent="0.25">
      <c r="B67" t="s">
        <v>95</v>
      </c>
    </row>
    <row r="68" spans="1:3" x14ac:dyDescent="0.25">
      <c r="C68" t="s">
        <v>96</v>
      </c>
    </row>
    <row r="69" spans="1:3" x14ac:dyDescent="0.25">
      <c r="A69" t="s">
        <v>97</v>
      </c>
    </row>
    <row r="70" spans="1:3" x14ac:dyDescent="0.25">
      <c r="C70" t="s">
        <v>98</v>
      </c>
    </row>
    <row r="71" spans="1:3" x14ac:dyDescent="0.25">
      <c r="B71" t="s">
        <v>99</v>
      </c>
    </row>
    <row r="72" spans="1:3" x14ac:dyDescent="0.25">
      <c r="B72" t="s">
        <v>100</v>
      </c>
    </row>
    <row r="73" spans="1:3" x14ac:dyDescent="0.25">
      <c r="A73" t="s">
        <v>101</v>
      </c>
    </row>
    <row r="75" spans="1:3" x14ac:dyDescent="0.25">
      <c r="A75" t="s">
        <v>102</v>
      </c>
    </row>
    <row r="76" spans="1:3" x14ac:dyDescent="0.25">
      <c r="A76" t="s">
        <v>90</v>
      </c>
    </row>
    <row r="77" spans="1:3" x14ac:dyDescent="0.25">
      <c r="A77" t="s">
        <v>103</v>
      </c>
    </row>
    <row r="78" spans="1:3" x14ac:dyDescent="0.25">
      <c r="B78" t="s">
        <v>104</v>
      </c>
    </row>
    <row r="79" spans="1:3" x14ac:dyDescent="0.25">
      <c r="B79" t="s">
        <v>105</v>
      </c>
    </row>
    <row r="80" spans="1:3" x14ac:dyDescent="0.25">
      <c r="B80" t="s">
        <v>106</v>
      </c>
    </row>
    <row r="81" spans="1:3" x14ac:dyDescent="0.25">
      <c r="B81" t="s">
        <v>107</v>
      </c>
    </row>
    <row r="82" spans="1:3" x14ac:dyDescent="0.25">
      <c r="B82" t="s">
        <v>108</v>
      </c>
    </row>
    <row r="83" spans="1:3" x14ac:dyDescent="0.25">
      <c r="B83" t="s">
        <v>109</v>
      </c>
    </row>
    <row r="85" spans="1:3" x14ac:dyDescent="0.25">
      <c r="A85" t="s">
        <v>91</v>
      </c>
    </row>
    <row r="86" spans="1:3" x14ac:dyDescent="0.25">
      <c r="B86" t="s">
        <v>92</v>
      </c>
    </row>
    <row r="87" spans="1:3" x14ac:dyDescent="0.25">
      <c r="B87" t="s">
        <v>93</v>
      </c>
    </row>
    <row r="88" spans="1:3" x14ac:dyDescent="0.25">
      <c r="B88" t="s">
        <v>94</v>
      </c>
    </row>
    <row r="89" spans="1:3" x14ac:dyDescent="0.25">
      <c r="B89" t="s">
        <v>95</v>
      </c>
    </row>
    <row r="90" spans="1:3" x14ac:dyDescent="0.25">
      <c r="C90" t="s">
        <v>96</v>
      </c>
    </row>
    <row r="91" spans="1:3" x14ac:dyDescent="0.25">
      <c r="A91" t="s">
        <v>97</v>
      </c>
    </row>
    <row r="92" spans="1:3" x14ac:dyDescent="0.25">
      <c r="C92" t="s">
        <v>98</v>
      </c>
    </row>
    <row r="93" spans="1:3" x14ac:dyDescent="0.25">
      <c r="B93" t="s">
        <v>99</v>
      </c>
    </row>
    <row r="94" spans="1:3" x14ac:dyDescent="0.25">
      <c r="B94" t="s">
        <v>100</v>
      </c>
    </row>
    <row r="95" spans="1:3" x14ac:dyDescent="0.25">
      <c r="A95" t="s">
        <v>101</v>
      </c>
    </row>
    <row r="97" spans="1:2" x14ac:dyDescent="0.25">
      <c r="A97" s="8" t="s">
        <v>110</v>
      </c>
    </row>
    <row r="98" spans="1:2" x14ac:dyDescent="0.25">
      <c r="A98" t="s">
        <v>111</v>
      </c>
    </row>
    <row r="99" spans="1:2" x14ac:dyDescent="0.25">
      <c r="A99" t="s">
        <v>112</v>
      </c>
    </row>
    <row r="100" spans="1:2" x14ac:dyDescent="0.25">
      <c r="A100" t="s">
        <v>113</v>
      </c>
    </row>
    <row r="101" spans="1:2" x14ac:dyDescent="0.25">
      <c r="A101" t="s">
        <v>114</v>
      </c>
    </row>
    <row r="103" spans="1:2" x14ac:dyDescent="0.25">
      <c r="A103" s="8" t="s">
        <v>115</v>
      </c>
    </row>
    <row r="104" spans="1:2" x14ac:dyDescent="0.25">
      <c r="A104" s="9" t="s">
        <v>116</v>
      </c>
    </row>
    <row r="105" spans="1:2" x14ac:dyDescent="0.25">
      <c r="A105" s="9" t="s">
        <v>117</v>
      </c>
    </row>
    <row r="106" spans="1:2" x14ac:dyDescent="0.25">
      <c r="A106" s="9" t="s">
        <v>118</v>
      </c>
    </row>
    <row r="107" spans="1:2" x14ac:dyDescent="0.25">
      <c r="A107" s="9" t="s">
        <v>119</v>
      </c>
    </row>
    <row r="108" spans="1:2" x14ac:dyDescent="0.25">
      <c r="B108" s="9" t="s">
        <v>120</v>
      </c>
    </row>
    <row r="109" spans="1:2" x14ac:dyDescent="0.25">
      <c r="B109" s="9" t="s">
        <v>121</v>
      </c>
    </row>
    <row r="110" spans="1:2" x14ac:dyDescent="0.25">
      <c r="B110" s="9" t="s">
        <v>122</v>
      </c>
    </row>
    <row r="111" spans="1:2" x14ac:dyDescent="0.25">
      <c r="B111" s="9" t="s">
        <v>123</v>
      </c>
    </row>
    <row r="112" spans="1:2" x14ac:dyDescent="0.25">
      <c r="A112" s="9" t="s">
        <v>124</v>
      </c>
    </row>
    <row r="113" spans="1:2" x14ac:dyDescent="0.25">
      <c r="A113" s="9" t="s">
        <v>125</v>
      </c>
    </row>
    <row r="114" spans="1:2" x14ac:dyDescent="0.25">
      <c r="A114" s="9" t="s">
        <v>126</v>
      </c>
    </row>
    <row r="115" spans="1:2" x14ac:dyDescent="0.25">
      <c r="A115" s="11" t="s">
        <v>127</v>
      </c>
    </row>
    <row r="116" spans="1:2" x14ac:dyDescent="0.25">
      <c r="B116" s="9" t="s">
        <v>128</v>
      </c>
    </row>
  </sheetData>
  <pageMargins left="0.7" right="0.7" top="0.75" bottom="0.75" header="0.3" footer="0.3"/>
  <pageSetup scale="50" fitToWidth="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0:J19"/>
  <sheetViews>
    <sheetView tabSelected="1" topLeftCell="A10" zoomScale="90" zoomScaleNormal="90" workbookViewId="0">
      <selection activeCell="A20" sqref="A20"/>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0" spans="1:10" s="63" customFormat="1" ht="18" x14ac:dyDescent="0.25">
      <c r="A10" s="12"/>
      <c r="B10" s="12"/>
      <c r="C10" s="13" t="s">
        <v>133</v>
      </c>
      <c r="E10" s="14"/>
      <c r="F10" s="32"/>
      <c r="G10" s="32"/>
      <c r="H10" s="15"/>
      <c r="I10" s="15"/>
      <c r="J10" s="16"/>
    </row>
    <row r="11" spans="1:10" ht="18" x14ac:dyDescent="0.25">
      <c r="A11" s="17" t="s">
        <v>162</v>
      </c>
      <c r="B11" s="18" t="s">
        <v>145</v>
      </c>
      <c r="C11" s="18"/>
      <c r="D11" s="13"/>
      <c r="E11" s="14"/>
      <c r="F11" s="32"/>
      <c r="G11" s="32"/>
      <c r="H11" s="15"/>
      <c r="I11" s="15"/>
      <c r="J11" s="16"/>
    </row>
    <row r="12" spans="1:10" x14ac:dyDescent="0.25">
      <c r="A12" s="17">
        <v>4</v>
      </c>
      <c r="B12" s="18" t="s">
        <v>0</v>
      </c>
      <c r="C12" s="18"/>
      <c r="D12" s="19"/>
      <c r="E12" s="21" t="s">
        <v>132</v>
      </c>
      <c r="F12" s="22">
        <f ca="1">NOW()</f>
        <v>43223.694465277775</v>
      </c>
      <c r="G12" s="22"/>
    </row>
    <row r="13" spans="1:10" x14ac:dyDescent="0.25">
      <c r="A13" s="17">
        <v>2017</v>
      </c>
      <c r="B13" s="18" t="s">
        <v>1</v>
      </c>
      <c r="C13" s="18"/>
      <c r="D13" s="19"/>
      <c r="E13" s="20"/>
      <c r="F13" s="32"/>
      <c r="G13" s="32"/>
      <c r="H13" s="15"/>
      <c r="I13" s="15"/>
      <c r="J13" s="16"/>
    </row>
    <row r="14" spans="1:10" x14ac:dyDescent="0.25">
      <c r="A14" s="23"/>
      <c r="B14" s="24"/>
      <c r="C14" s="24"/>
      <c r="D14" s="19"/>
      <c r="E14" s="20"/>
      <c r="F14" s="32"/>
      <c r="G14" s="32"/>
      <c r="H14" s="15"/>
      <c r="I14" s="15"/>
      <c r="J14" s="16"/>
    </row>
    <row r="15" spans="1:10" ht="15.75" thickBot="1" x14ac:dyDescent="0.3">
      <c r="A15" s="25" t="s">
        <v>2</v>
      </c>
      <c r="B15" s="26">
        <f>SUBTOTAL(2,B20:B2469)</f>
        <v>0</v>
      </c>
      <c r="C15" s="27" t="s">
        <v>3</v>
      </c>
      <c r="D15" s="27"/>
      <c r="E15" s="28"/>
      <c r="F15" s="33"/>
      <c r="G15" s="33"/>
      <c r="H15" s="29"/>
      <c r="I15" s="29"/>
      <c r="J15" s="30"/>
    </row>
    <row r="16" spans="1:10" ht="15.75" thickTop="1" x14ac:dyDescent="0.25">
      <c r="A16" s="31"/>
      <c r="B16" s="24"/>
      <c r="C16" s="24"/>
      <c r="D16" s="19"/>
      <c r="E16" s="20"/>
      <c r="F16" s="32"/>
      <c r="G16" s="32"/>
      <c r="H16" s="15"/>
      <c r="I16" s="15"/>
      <c r="J16" s="16"/>
    </row>
    <row r="17" spans="1:7" x14ac:dyDescent="0.25">
      <c r="F17" s="30"/>
      <c r="G17" s="30"/>
    </row>
    <row r="18" spans="1:7" x14ac:dyDescent="0.25">
      <c r="A18" s="56"/>
      <c r="D18" s="6"/>
      <c r="F18" s="4"/>
      <c r="G18" s="4"/>
    </row>
    <row r="19" spans="1:7" ht="43.5" customHeight="1" x14ac:dyDescent="0.25">
      <c r="A19" s="52" t="s">
        <v>146</v>
      </c>
      <c r="B19" s="52" t="s">
        <v>129</v>
      </c>
      <c r="C19" s="52" t="s">
        <v>130</v>
      </c>
      <c r="D19" s="53" t="s">
        <v>28</v>
      </c>
      <c r="E19" s="54" t="s">
        <v>131</v>
      </c>
      <c r="F19" s="54" t="s">
        <v>163</v>
      </c>
      <c r="G19" s="54" t="s">
        <v>164</v>
      </c>
    </row>
  </sheetData>
  <autoFilter ref="A19:G47">
    <sortState ref="A20:G54">
      <sortCondition descending="1" ref="D10:D19"/>
    </sortState>
  </autoFilter>
  <sortState ref="A11:G46">
    <sortCondition ref="A10"/>
  </sortState>
  <printOptions horizontalCentered="1"/>
  <pageMargins left="0.25" right="0.25" top="0.75" bottom="0.75" header="0.3" footer="0.3"/>
  <pageSetup scale="50" fitToHeight="0" orientation="landscape" draft="1" r:id="rId1"/>
  <headerFooter>
    <oddHeader>&amp;CEnterprise Homes Preservation Fund, LLC
SUMMARIZED MAIN SHEET
OPERATING PARTNERSHIPS - DETAILS
Unaudited
For period ending December 31, 2017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2</xdr:col>
                    <xdr:colOff>1790700</xdr:colOff>
                    <xdr:row>10</xdr:row>
                    <xdr:rowOff>190500</xdr:rowOff>
                  </from>
                  <to>
                    <xdr:col>2</xdr:col>
                    <xdr:colOff>3019425</xdr:colOff>
                    <xdr:row>14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A126"/>
  <sheetViews>
    <sheetView workbookViewId="0">
      <selection activeCell="B2" sqref="B2:Z1048576"/>
    </sheetView>
  </sheetViews>
  <sheetFormatPr defaultRowHeight="15" x14ac:dyDescent="0.25"/>
  <cols>
    <col min="1" max="1" width="10.42578125" bestFit="1" customWidth="1"/>
    <col min="3" max="3" width="30.7109375" bestFit="1" customWidth="1"/>
    <col min="5" max="5" width="36.140625" bestFit="1" customWidth="1"/>
  </cols>
  <sheetData>
    <row r="2" spans="1:1" x14ac:dyDescent="0.25">
      <c r="A2" s="64" t="s">
        <v>162</v>
      </c>
    </row>
    <row r="3" spans="1:1" x14ac:dyDescent="0.25">
      <c r="A3" s="64" t="s">
        <v>162</v>
      </c>
    </row>
    <row r="4" spans="1:1" x14ac:dyDescent="0.25">
      <c r="A4" s="64" t="s">
        <v>162</v>
      </c>
    </row>
    <row r="5" spans="1:1" x14ac:dyDescent="0.25">
      <c r="A5" s="64" t="s">
        <v>162</v>
      </c>
    </row>
    <row r="6" spans="1:1" x14ac:dyDescent="0.25">
      <c r="A6" s="64" t="s">
        <v>162</v>
      </c>
    </row>
    <row r="7" spans="1:1" x14ac:dyDescent="0.25">
      <c r="A7" s="64" t="s">
        <v>162</v>
      </c>
    </row>
    <row r="8" spans="1:1" x14ac:dyDescent="0.25">
      <c r="A8" s="64" t="s">
        <v>162</v>
      </c>
    </row>
    <row r="9" spans="1:1" x14ac:dyDescent="0.25">
      <c r="A9" s="64" t="s">
        <v>162</v>
      </c>
    </row>
    <row r="10" spans="1:1" x14ac:dyDescent="0.25">
      <c r="A10" s="64" t="s">
        <v>162</v>
      </c>
    </row>
    <row r="11" spans="1:1" x14ac:dyDescent="0.25">
      <c r="A11" s="64" t="s">
        <v>162</v>
      </c>
    </row>
    <row r="12" spans="1:1" x14ac:dyDescent="0.25">
      <c r="A12" s="64" t="s">
        <v>162</v>
      </c>
    </row>
    <row r="13" spans="1:1" x14ac:dyDescent="0.25">
      <c r="A13" s="64" t="s">
        <v>162</v>
      </c>
    </row>
    <row r="14" spans="1:1" x14ac:dyDescent="0.25">
      <c r="A14" s="64" t="s">
        <v>162</v>
      </c>
    </row>
    <row r="15" spans="1:1" x14ac:dyDescent="0.25">
      <c r="A15" s="64" t="s">
        <v>162</v>
      </c>
    </row>
    <row r="16" spans="1:1" x14ac:dyDescent="0.25">
      <c r="A16" s="64" t="s">
        <v>162</v>
      </c>
    </row>
    <row r="17" spans="1:1" x14ac:dyDescent="0.25">
      <c r="A17" s="64" t="s">
        <v>162</v>
      </c>
    </row>
    <row r="18" spans="1:1" x14ac:dyDescent="0.25">
      <c r="A18" s="64" t="s">
        <v>162</v>
      </c>
    </row>
    <row r="19" spans="1:1" x14ac:dyDescent="0.25">
      <c r="A19" s="64" t="s">
        <v>162</v>
      </c>
    </row>
    <row r="20" spans="1:1" x14ac:dyDescent="0.25">
      <c r="A20" s="64" t="s">
        <v>162</v>
      </c>
    </row>
    <row r="21" spans="1:1" x14ac:dyDescent="0.25">
      <c r="A21" s="64" t="s">
        <v>162</v>
      </c>
    </row>
    <row r="22" spans="1:1" x14ac:dyDescent="0.25">
      <c r="A22" s="64" t="s">
        <v>162</v>
      </c>
    </row>
    <row r="23" spans="1:1" x14ac:dyDescent="0.25">
      <c r="A23" s="64" t="s">
        <v>162</v>
      </c>
    </row>
    <row r="24" spans="1:1" x14ac:dyDescent="0.25">
      <c r="A24" s="64" t="s">
        <v>162</v>
      </c>
    </row>
    <row r="25" spans="1:1" x14ac:dyDescent="0.25">
      <c r="A25" s="64" t="s">
        <v>162</v>
      </c>
    </row>
    <row r="26" spans="1:1" x14ac:dyDescent="0.25">
      <c r="A26" s="64" t="s">
        <v>162</v>
      </c>
    </row>
    <row r="27" spans="1:1" x14ac:dyDescent="0.25">
      <c r="A27" s="64" t="s">
        <v>162</v>
      </c>
    </row>
    <row r="28" spans="1:1" x14ac:dyDescent="0.25">
      <c r="A28" s="64" t="s">
        <v>162</v>
      </c>
    </row>
    <row r="29" spans="1:1" x14ac:dyDescent="0.25">
      <c r="A29" s="64" t="s">
        <v>162</v>
      </c>
    </row>
    <row r="30" spans="1:1" x14ac:dyDescent="0.25">
      <c r="A30" s="64" t="s">
        <v>162</v>
      </c>
    </row>
    <row r="31" spans="1:1" x14ac:dyDescent="0.25">
      <c r="A31" s="64" t="s">
        <v>162</v>
      </c>
    </row>
    <row r="32" spans="1:1" x14ac:dyDescent="0.25">
      <c r="A32" s="64" t="s">
        <v>162</v>
      </c>
    </row>
    <row r="33" spans="1:1" x14ac:dyDescent="0.25">
      <c r="A33" s="64" t="s">
        <v>162</v>
      </c>
    </row>
    <row r="34" spans="1:1" x14ac:dyDescent="0.25">
      <c r="A34" s="64" t="s">
        <v>162</v>
      </c>
    </row>
    <row r="35" spans="1:1" x14ac:dyDescent="0.25">
      <c r="A35" s="64" t="s">
        <v>162</v>
      </c>
    </row>
    <row r="36" spans="1:1" x14ac:dyDescent="0.25">
      <c r="A36" s="64" t="s">
        <v>162</v>
      </c>
    </row>
    <row r="37" spans="1:1" x14ac:dyDescent="0.25">
      <c r="A37" s="64" t="s">
        <v>162</v>
      </c>
    </row>
    <row r="38" spans="1:1" x14ac:dyDescent="0.25">
      <c r="A38" s="64" t="s">
        <v>162</v>
      </c>
    </row>
    <row r="39" spans="1:1" x14ac:dyDescent="0.25">
      <c r="A39" s="64" t="s">
        <v>162</v>
      </c>
    </row>
    <row r="40" spans="1:1" x14ac:dyDescent="0.25">
      <c r="A40" s="64" t="s">
        <v>162</v>
      </c>
    </row>
    <row r="41" spans="1:1" x14ac:dyDescent="0.25">
      <c r="A41" s="64" t="s">
        <v>162</v>
      </c>
    </row>
    <row r="42" spans="1:1" x14ac:dyDescent="0.25">
      <c r="A42" s="64" t="s">
        <v>162</v>
      </c>
    </row>
    <row r="43" spans="1:1" x14ac:dyDescent="0.25">
      <c r="A43" s="64" t="s">
        <v>162</v>
      </c>
    </row>
    <row r="44" spans="1:1" x14ac:dyDescent="0.25">
      <c r="A44" s="64" t="s">
        <v>162</v>
      </c>
    </row>
    <row r="45" spans="1:1" x14ac:dyDescent="0.25">
      <c r="A45" s="64" t="s">
        <v>162</v>
      </c>
    </row>
    <row r="46" spans="1:1" x14ac:dyDescent="0.25">
      <c r="A46" s="64" t="s">
        <v>162</v>
      </c>
    </row>
    <row r="47" spans="1:1" x14ac:dyDescent="0.25">
      <c r="A47" s="64" t="s">
        <v>162</v>
      </c>
    </row>
    <row r="48" spans="1:1" x14ac:dyDescent="0.25">
      <c r="A48" s="64" t="s">
        <v>162</v>
      </c>
    </row>
    <row r="49" spans="1:1" x14ac:dyDescent="0.25">
      <c r="A49" s="64" t="s">
        <v>162</v>
      </c>
    </row>
    <row r="50" spans="1:1" x14ac:dyDescent="0.25">
      <c r="A50" s="64" t="s">
        <v>162</v>
      </c>
    </row>
    <row r="51" spans="1:1" x14ac:dyDescent="0.25">
      <c r="A51" s="64" t="s">
        <v>162</v>
      </c>
    </row>
    <row r="52" spans="1:1" x14ac:dyDescent="0.25">
      <c r="A52" s="64" t="s">
        <v>162</v>
      </c>
    </row>
    <row r="53" spans="1:1" x14ac:dyDescent="0.25">
      <c r="A53" s="64" t="s">
        <v>162</v>
      </c>
    </row>
    <row r="54" spans="1:1" x14ac:dyDescent="0.25">
      <c r="A54" s="64" t="s">
        <v>162</v>
      </c>
    </row>
    <row r="55" spans="1:1" x14ac:dyDescent="0.25">
      <c r="A55" s="64" t="s">
        <v>162</v>
      </c>
    </row>
    <row r="56" spans="1:1" x14ac:dyDescent="0.25">
      <c r="A56" s="64" t="s">
        <v>162</v>
      </c>
    </row>
    <row r="57" spans="1:1" x14ac:dyDescent="0.25">
      <c r="A57" s="64" t="s">
        <v>162</v>
      </c>
    </row>
    <row r="58" spans="1:1" x14ac:dyDescent="0.25">
      <c r="A58" s="64" t="s">
        <v>162</v>
      </c>
    </row>
    <row r="59" spans="1:1" x14ac:dyDescent="0.25">
      <c r="A59" s="64" t="s">
        <v>162</v>
      </c>
    </row>
    <row r="60" spans="1:1" x14ac:dyDescent="0.25">
      <c r="A60" s="64" t="s">
        <v>162</v>
      </c>
    </row>
    <row r="61" spans="1:1" x14ac:dyDescent="0.25">
      <c r="A61" s="64" t="s">
        <v>162</v>
      </c>
    </row>
    <row r="62" spans="1:1" x14ac:dyDescent="0.25">
      <c r="A62" s="64" t="s">
        <v>162</v>
      </c>
    </row>
    <row r="63" spans="1:1" x14ac:dyDescent="0.25">
      <c r="A63" s="64" t="s">
        <v>162</v>
      </c>
    </row>
    <row r="64" spans="1:1" x14ac:dyDescent="0.25">
      <c r="A64" s="64" t="s">
        <v>162</v>
      </c>
    </row>
    <row r="65" spans="1:1" x14ac:dyDescent="0.25">
      <c r="A65" s="64" t="s">
        <v>162</v>
      </c>
    </row>
    <row r="66" spans="1:1" x14ac:dyDescent="0.25">
      <c r="A66" s="64" t="s">
        <v>162</v>
      </c>
    </row>
    <row r="67" spans="1:1" x14ac:dyDescent="0.25">
      <c r="A67" s="64" t="s">
        <v>162</v>
      </c>
    </row>
    <row r="68" spans="1:1" x14ac:dyDescent="0.25">
      <c r="A68" s="64" t="s">
        <v>162</v>
      </c>
    </row>
    <row r="69" spans="1:1" x14ac:dyDescent="0.25">
      <c r="A69" s="64" t="s">
        <v>162</v>
      </c>
    </row>
    <row r="70" spans="1:1" x14ac:dyDescent="0.25">
      <c r="A70" s="64" t="s">
        <v>162</v>
      </c>
    </row>
    <row r="71" spans="1:1" x14ac:dyDescent="0.25">
      <c r="A71" s="64" t="s">
        <v>162</v>
      </c>
    </row>
    <row r="72" spans="1:1" x14ac:dyDescent="0.25">
      <c r="A72" s="64" t="s">
        <v>162</v>
      </c>
    </row>
    <row r="73" spans="1:1" x14ac:dyDescent="0.25">
      <c r="A73" s="64" t="s">
        <v>162</v>
      </c>
    </row>
    <row r="74" spans="1:1" x14ac:dyDescent="0.25">
      <c r="A74" s="64" t="s">
        <v>162</v>
      </c>
    </row>
    <row r="75" spans="1:1" x14ac:dyDescent="0.25">
      <c r="A75" s="64" t="s">
        <v>162</v>
      </c>
    </row>
    <row r="76" spans="1:1" x14ac:dyDescent="0.25">
      <c r="A76" s="64" t="s">
        <v>162</v>
      </c>
    </row>
    <row r="77" spans="1:1" x14ac:dyDescent="0.25">
      <c r="A77" s="64" t="s">
        <v>162</v>
      </c>
    </row>
    <row r="78" spans="1:1" x14ac:dyDescent="0.25">
      <c r="A78" s="64" t="s">
        <v>162</v>
      </c>
    </row>
    <row r="79" spans="1:1" x14ac:dyDescent="0.25">
      <c r="A79" s="64" t="s">
        <v>162</v>
      </c>
    </row>
    <row r="80" spans="1:1" x14ac:dyDescent="0.25">
      <c r="A80" s="64" t="s">
        <v>162</v>
      </c>
    </row>
    <row r="81" spans="1:1" x14ac:dyDescent="0.25">
      <c r="A81" s="64" t="s">
        <v>162</v>
      </c>
    </row>
    <row r="82" spans="1:1" x14ac:dyDescent="0.25">
      <c r="A82" s="64" t="s">
        <v>162</v>
      </c>
    </row>
    <row r="83" spans="1:1" x14ac:dyDescent="0.25">
      <c r="A83" s="64" t="s">
        <v>162</v>
      </c>
    </row>
    <row r="84" spans="1:1" x14ac:dyDescent="0.25">
      <c r="A84" s="64" t="s">
        <v>162</v>
      </c>
    </row>
    <row r="85" spans="1:1" x14ac:dyDescent="0.25">
      <c r="A85" s="64" t="s">
        <v>162</v>
      </c>
    </row>
    <row r="86" spans="1:1" x14ac:dyDescent="0.25">
      <c r="A86" s="64" t="s">
        <v>162</v>
      </c>
    </row>
    <row r="87" spans="1:1" x14ac:dyDescent="0.25">
      <c r="A87" s="64" t="s">
        <v>162</v>
      </c>
    </row>
    <row r="88" spans="1:1" x14ac:dyDescent="0.25">
      <c r="A88" s="64" t="s">
        <v>162</v>
      </c>
    </row>
    <row r="89" spans="1:1" x14ac:dyDescent="0.25">
      <c r="A89" s="64" t="s">
        <v>162</v>
      </c>
    </row>
    <row r="90" spans="1:1" x14ac:dyDescent="0.25">
      <c r="A90" s="64" t="s">
        <v>162</v>
      </c>
    </row>
    <row r="91" spans="1:1" x14ac:dyDescent="0.25">
      <c r="A91" s="64" t="s">
        <v>162</v>
      </c>
    </row>
    <row r="92" spans="1:1" x14ac:dyDescent="0.25">
      <c r="A92" s="64" t="s">
        <v>162</v>
      </c>
    </row>
    <row r="93" spans="1:1" x14ac:dyDescent="0.25">
      <c r="A93" s="64" t="s">
        <v>162</v>
      </c>
    </row>
    <row r="94" spans="1:1" x14ac:dyDescent="0.25">
      <c r="A94" s="64" t="s">
        <v>162</v>
      </c>
    </row>
    <row r="95" spans="1:1" x14ac:dyDescent="0.25">
      <c r="A95" s="64" t="s">
        <v>162</v>
      </c>
    </row>
    <row r="96" spans="1:1" x14ac:dyDescent="0.25">
      <c r="A96" s="64" t="s">
        <v>162</v>
      </c>
    </row>
    <row r="97" spans="1:1" x14ac:dyDescent="0.25">
      <c r="A97" s="64" t="s">
        <v>162</v>
      </c>
    </row>
    <row r="98" spans="1:1" x14ac:dyDescent="0.25">
      <c r="A98" s="64" t="s">
        <v>162</v>
      </c>
    </row>
    <row r="99" spans="1:1" x14ac:dyDescent="0.25">
      <c r="A99" s="64" t="s">
        <v>162</v>
      </c>
    </row>
    <row r="100" spans="1:1" x14ac:dyDescent="0.25">
      <c r="A100" s="64" t="s">
        <v>162</v>
      </c>
    </row>
    <row r="101" spans="1:1" x14ac:dyDescent="0.25">
      <c r="A101" t="s">
        <v>162</v>
      </c>
    </row>
    <row r="102" spans="1:1" x14ac:dyDescent="0.25">
      <c r="A102" t="s">
        <v>162</v>
      </c>
    </row>
    <row r="103" spans="1:1" x14ac:dyDescent="0.25">
      <c r="A103" t="s">
        <v>162</v>
      </c>
    </row>
    <row r="104" spans="1:1" x14ac:dyDescent="0.25">
      <c r="A104" t="s">
        <v>162</v>
      </c>
    </row>
    <row r="105" spans="1:1" x14ac:dyDescent="0.25">
      <c r="A105" t="s">
        <v>162</v>
      </c>
    </row>
    <row r="106" spans="1:1" x14ac:dyDescent="0.25">
      <c r="A106" t="s">
        <v>162</v>
      </c>
    </row>
    <row r="107" spans="1:1" x14ac:dyDescent="0.25">
      <c r="A107" t="s">
        <v>162</v>
      </c>
    </row>
    <row r="108" spans="1:1" x14ac:dyDescent="0.25">
      <c r="A108" t="s">
        <v>162</v>
      </c>
    </row>
    <row r="109" spans="1:1" x14ac:dyDescent="0.25">
      <c r="A109" t="s">
        <v>162</v>
      </c>
    </row>
    <row r="110" spans="1:1" x14ac:dyDescent="0.25">
      <c r="A110" t="s">
        <v>162</v>
      </c>
    </row>
    <row r="111" spans="1:1" x14ac:dyDescent="0.25">
      <c r="A111" t="s">
        <v>162</v>
      </c>
    </row>
    <row r="112" spans="1:1" x14ac:dyDescent="0.25">
      <c r="A112" t="s">
        <v>162</v>
      </c>
    </row>
    <row r="113" spans="1:1" x14ac:dyDescent="0.25">
      <c r="A113" t="s">
        <v>162</v>
      </c>
    </row>
    <row r="114" spans="1:1" x14ac:dyDescent="0.25">
      <c r="A114" t="s">
        <v>162</v>
      </c>
    </row>
    <row r="115" spans="1:1" x14ac:dyDescent="0.25">
      <c r="A115" t="s">
        <v>162</v>
      </c>
    </row>
    <row r="116" spans="1:1" x14ac:dyDescent="0.25">
      <c r="A116" t="s">
        <v>162</v>
      </c>
    </row>
    <row r="117" spans="1:1" x14ac:dyDescent="0.25">
      <c r="A117" t="s">
        <v>162</v>
      </c>
    </row>
    <row r="118" spans="1:1" x14ac:dyDescent="0.25">
      <c r="A118" t="s">
        <v>162</v>
      </c>
    </row>
    <row r="119" spans="1:1" x14ac:dyDescent="0.25">
      <c r="A119" t="s">
        <v>162</v>
      </c>
    </row>
    <row r="120" spans="1:1" x14ac:dyDescent="0.25">
      <c r="A120" t="s">
        <v>162</v>
      </c>
    </row>
    <row r="121" spans="1:1" x14ac:dyDescent="0.25">
      <c r="A121" t="s">
        <v>162</v>
      </c>
    </row>
    <row r="122" spans="1:1" x14ac:dyDescent="0.25">
      <c r="A122" t="s">
        <v>162</v>
      </c>
    </row>
    <row r="123" spans="1:1" x14ac:dyDescent="0.25">
      <c r="A123" t="s">
        <v>162</v>
      </c>
    </row>
    <row r="124" spans="1:1" x14ac:dyDescent="0.25">
      <c r="A124" t="s">
        <v>162</v>
      </c>
    </row>
    <row r="125" spans="1:1" x14ac:dyDescent="0.25">
      <c r="A125" t="s">
        <v>162</v>
      </c>
    </row>
    <row r="126" spans="1:1" x14ac:dyDescent="0.25">
      <c r="A126" t="s">
        <v>162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4"/>
  <sheetViews>
    <sheetView topLeftCell="A8" zoomScale="75" zoomScaleNormal="75" workbookViewId="0">
      <selection activeCell="C31" sqref="C31"/>
    </sheetView>
  </sheetViews>
  <sheetFormatPr defaultColWidth="8.85546875" defaultRowHeight="12.75" x14ac:dyDescent="0.2"/>
  <cols>
    <col min="1" max="1" width="44" style="2" customWidth="1"/>
    <col min="2" max="2" width="16.5703125" style="2" customWidth="1"/>
    <col min="3" max="16384" width="8.85546875" style="2"/>
  </cols>
  <sheetData>
    <row r="1" spans="1:2" s="7" customFormat="1" hidden="1" x14ac:dyDescent="0.25"/>
    <row r="2" spans="1:2" s="7" customFormat="1" x14ac:dyDescent="0.25"/>
    <row r="3" spans="1:2" s="7" customFormat="1" x14ac:dyDescent="0.25"/>
    <row r="4" spans="1:2" s="7" customFormat="1" x14ac:dyDescent="0.25"/>
    <row r="5" spans="1:2" s="7" customFormat="1" x14ac:dyDescent="0.25"/>
    <row r="6" spans="1:2" s="7" customFormat="1" x14ac:dyDescent="0.25"/>
    <row r="7" spans="1:2" s="7" customFormat="1" x14ac:dyDescent="0.25"/>
    <row r="8" spans="1:2" s="7" customFormat="1" x14ac:dyDescent="0.25"/>
    <row r="9" spans="1:2" s="7" customFormat="1" x14ac:dyDescent="0.25"/>
    <row r="10" spans="1:2" s="7" customFormat="1" x14ac:dyDescent="0.25"/>
    <row r="11" spans="1:2" s="5" customFormat="1" ht="99.75" customHeight="1" x14ac:dyDescent="0.25">
      <c r="B11" s="42"/>
    </row>
    <row r="13" spans="1:2" x14ac:dyDescent="0.2">
      <c r="A13" s="57" t="s">
        <v>147</v>
      </c>
      <c r="B13" s="37"/>
    </row>
    <row r="14" spans="1:2" s="37" customFormat="1" x14ac:dyDescent="0.2">
      <c r="A14" s="2"/>
    </row>
    <row r="15" spans="1:2" s="39" customFormat="1" x14ac:dyDescent="0.2">
      <c r="A15" s="58" t="s">
        <v>148</v>
      </c>
      <c r="B15" s="36"/>
    </row>
    <row r="16" spans="1:2" s="37" customFormat="1" x14ac:dyDescent="0.2">
      <c r="A16" s="49" t="s">
        <v>13</v>
      </c>
      <c r="B16" s="39"/>
    </row>
    <row r="17" spans="1:2" s="37" customFormat="1" x14ac:dyDescent="0.2">
      <c r="A17" s="49" t="s">
        <v>15</v>
      </c>
      <c r="B17" s="39"/>
    </row>
    <row r="18" spans="1:2" s="38" customFormat="1" ht="15" x14ac:dyDescent="0.35">
      <c r="A18" s="49" t="s">
        <v>14</v>
      </c>
      <c r="B18" s="45"/>
    </row>
    <row r="19" spans="1:2" s="37" customFormat="1" x14ac:dyDescent="0.2">
      <c r="A19" s="59"/>
      <c r="B19" s="39"/>
    </row>
    <row r="20" spans="1:2" s="37" customFormat="1" x14ac:dyDescent="0.2">
      <c r="A20" s="59"/>
    </row>
    <row r="21" spans="1:2" s="37" customFormat="1" x14ac:dyDescent="0.2">
      <c r="A21" s="59"/>
      <c r="B21" s="39"/>
    </row>
    <row r="22" spans="1:2" s="38" customFormat="1" ht="15" x14ac:dyDescent="0.35">
      <c r="A22" s="49" t="s">
        <v>12</v>
      </c>
      <c r="B22" s="45"/>
    </row>
    <row r="23" spans="1:2" s="37" customFormat="1" x14ac:dyDescent="0.2">
      <c r="A23" s="59"/>
      <c r="B23" s="39"/>
    </row>
    <row r="24" spans="1:2" s="37" customFormat="1" x14ac:dyDescent="0.2">
      <c r="A24" s="49" t="s">
        <v>149</v>
      </c>
    </row>
    <row r="25" spans="1:2" s="37" customFormat="1" x14ac:dyDescent="0.2">
      <c r="A25" s="2"/>
      <c r="B25" s="39"/>
    </row>
    <row r="26" spans="1:2" s="37" customFormat="1" x14ac:dyDescent="0.2">
      <c r="A26" s="3" t="s">
        <v>150</v>
      </c>
      <c r="B26" s="39"/>
    </row>
    <row r="27" spans="1:2" s="37" customFormat="1" x14ac:dyDescent="0.2">
      <c r="A27" s="48" t="s">
        <v>18</v>
      </c>
      <c r="B27" s="39"/>
    </row>
    <row r="28" spans="1:2" s="37" customFormat="1" x14ac:dyDescent="0.2">
      <c r="A28" s="48" t="s">
        <v>19</v>
      </c>
      <c r="B28" s="39"/>
    </row>
    <row r="29" spans="1:2" s="37" customFormat="1" x14ac:dyDescent="0.2">
      <c r="A29" s="48" t="s">
        <v>16</v>
      </c>
      <c r="B29" s="39"/>
    </row>
    <row r="30" spans="1:2" s="37" customFormat="1" x14ac:dyDescent="0.2">
      <c r="A30" s="48" t="s">
        <v>17</v>
      </c>
      <c r="B30" s="39"/>
    </row>
    <row r="31" spans="1:2" s="37" customFormat="1" x14ac:dyDescent="0.2">
      <c r="A31" s="48" t="s">
        <v>151</v>
      </c>
      <c r="B31" s="39"/>
    </row>
    <row r="32" spans="1:2" s="37" customFormat="1" x14ac:dyDescent="0.2">
      <c r="A32" s="50" t="s">
        <v>152</v>
      </c>
      <c r="B32" s="39"/>
    </row>
    <row r="33" spans="1:2" s="37" customFormat="1" x14ac:dyDescent="0.2">
      <c r="A33" s="48" t="s">
        <v>20</v>
      </c>
      <c r="B33" s="39"/>
    </row>
    <row r="34" spans="1:2" s="38" customFormat="1" x14ac:dyDescent="0.2">
      <c r="A34" s="48" t="s">
        <v>153</v>
      </c>
      <c r="B34" s="39"/>
    </row>
    <row r="35" spans="1:2" s="38" customFormat="1" ht="15" x14ac:dyDescent="0.35">
      <c r="A35" s="48" t="s">
        <v>154</v>
      </c>
      <c r="B35" s="45"/>
    </row>
    <row r="36" spans="1:2" s="37" customFormat="1" x14ac:dyDescent="0.2">
      <c r="A36" s="59"/>
      <c r="B36" s="39"/>
    </row>
    <row r="37" spans="1:2" s="46" customFormat="1" ht="15" x14ac:dyDescent="0.35">
      <c r="A37" s="60" t="s">
        <v>155</v>
      </c>
      <c r="B37" s="40"/>
    </row>
    <row r="38" spans="1:2" s="37" customFormat="1" x14ac:dyDescent="0.2">
      <c r="A38" s="2"/>
      <c r="B38" s="39"/>
    </row>
    <row r="39" spans="1:2" s="37" customFormat="1" x14ac:dyDescent="0.2">
      <c r="A39" s="57" t="s">
        <v>156</v>
      </c>
      <c r="B39" s="39"/>
    </row>
    <row r="40" spans="1:2" s="39" customFormat="1" x14ac:dyDescent="0.2">
      <c r="A40" s="49" t="s">
        <v>27</v>
      </c>
      <c r="B40" s="36"/>
    </row>
    <row r="41" spans="1:2" s="37" customFormat="1" x14ac:dyDescent="0.2">
      <c r="A41" s="49" t="s">
        <v>143</v>
      </c>
      <c r="B41" s="39"/>
    </row>
    <row r="42" spans="1:2" s="37" customFormat="1" x14ac:dyDescent="0.2">
      <c r="A42" s="49" t="s">
        <v>157</v>
      </c>
      <c r="B42" s="39"/>
    </row>
    <row r="43" spans="1:2" s="37" customFormat="1" x14ac:dyDescent="0.2">
      <c r="A43" s="49" t="s">
        <v>21</v>
      </c>
      <c r="B43" s="39"/>
    </row>
    <row r="44" spans="1:2" s="37" customFormat="1" x14ac:dyDescent="0.2">
      <c r="A44" s="49" t="s">
        <v>22</v>
      </c>
      <c r="B44" s="39"/>
    </row>
    <row r="45" spans="1:2" s="37" customFormat="1" x14ac:dyDescent="0.2">
      <c r="A45" s="49" t="s">
        <v>138</v>
      </c>
      <c r="B45" s="39"/>
    </row>
    <row r="46" spans="1:2" s="37" customFormat="1" x14ac:dyDescent="0.2">
      <c r="A46" s="48" t="s">
        <v>139</v>
      </c>
      <c r="B46" s="39"/>
    </row>
    <row r="47" spans="1:2" s="37" customFormat="1" x14ac:dyDescent="0.2">
      <c r="A47" s="48" t="s">
        <v>26</v>
      </c>
      <c r="B47" s="39"/>
    </row>
    <row r="48" spans="1:2" s="38" customFormat="1" x14ac:dyDescent="0.2">
      <c r="A48" s="49" t="s">
        <v>24</v>
      </c>
      <c r="B48" s="39"/>
    </row>
    <row r="49" spans="1:2" s="38" customFormat="1" x14ac:dyDescent="0.2">
      <c r="A49" s="49" t="s">
        <v>137</v>
      </c>
      <c r="B49" s="39"/>
    </row>
    <row r="50" spans="1:2" s="38" customFormat="1" x14ac:dyDescent="0.2">
      <c r="A50" s="49" t="s">
        <v>23</v>
      </c>
      <c r="B50" s="39"/>
    </row>
    <row r="51" spans="1:2" s="38" customFormat="1" x14ac:dyDescent="0.2">
      <c r="A51" s="49" t="s">
        <v>25</v>
      </c>
      <c r="B51" s="39"/>
    </row>
    <row r="52" spans="1:2" s="44" customFormat="1" ht="15" x14ac:dyDescent="0.35">
      <c r="A52" s="49" t="s">
        <v>158</v>
      </c>
      <c r="B52" s="45"/>
    </row>
    <row r="53" spans="1:2" s="37" customFormat="1" x14ac:dyDescent="0.2">
      <c r="A53" s="59"/>
      <c r="B53" s="39"/>
    </row>
    <row r="54" spans="1:2" s="37" customFormat="1" x14ac:dyDescent="0.2">
      <c r="A54" s="61" t="s">
        <v>159</v>
      </c>
    </row>
    <row r="55" spans="1:2" s="37" customFormat="1" x14ac:dyDescent="0.2">
      <c r="A55" s="2"/>
      <c r="B55" s="39"/>
    </row>
    <row r="56" spans="1:2" s="38" customFormat="1" ht="15" x14ac:dyDescent="0.35">
      <c r="A56" s="57" t="s">
        <v>160</v>
      </c>
      <c r="B56" s="45"/>
    </row>
    <row r="57" spans="1:2" s="37" customFormat="1" x14ac:dyDescent="0.2">
      <c r="A57" s="2"/>
    </row>
    <row r="58" spans="1:2" s="38" customFormat="1" ht="15" x14ac:dyDescent="0.35">
      <c r="A58" s="3" t="s">
        <v>161</v>
      </c>
      <c r="B58" s="47"/>
    </row>
    <row r="59" spans="1:2" x14ac:dyDescent="0.2">
      <c r="B59" s="37"/>
    </row>
    <row r="60" spans="1:2" x14ac:dyDescent="0.2">
      <c r="A60" s="59"/>
      <c r="B60" s="37"/>
    </row>
    <row r="61" spans="1:2" x14ac:dyDescent="0.2">
      <c r="A61" s="59"/>
      <c r="B61" s="37"/>
    </row>
    <row r="62" spans="1:2" s="43" customFormat="1" x14ac:dyDescent="0.2">
      <c r="A62" s="62"/>
      <c r="B62" s="37"/>
    </row>
    <row r="63" spans="1:2" x14ac:dyDescent="0.2">
      <c r="A63" s="59"/>
      <c r="B63" s="37"/>
    </row>
    <row r="64" spans="1:2" x14ac:dyDescent="0.2">
      <c r="B64" s="37"/>
    </row>
  </sheetData>
  <sortState ref="A30:A42">
    <sortCondition ref="A30"/>
  </sortState>
  <conditionalFormatting sqref="A27:A33">
    <cfRule type="cellIs" dxfId="1" priority="2" operator="lessThan">
      <formula>0</formula>
    </cfRule>
  </conditionalFormatting>
  <conditionalFormatting sqref="A40:A52">
    <cfRule type="cellIs" dxfId="0" priority="1" operator="lessThan">
      <formula>0</formula>
    </cfRule>
  </conditionalFormatting>
  <printOptions horizontalCentered="1"/>
  <pageMargins left="0.25" right="0.25" top="0.75" bottom="0.75" header="0.3" footer="0.3"/>
  <pageSetup scale="50" fitToWidth="0" orientation="landscape" draft="1" cellComments="atEnd" r:id="rId1"/>
  <headerFooter alignWithMargins="0">
    <oddHeader>&amp;CEnterprise Homes Preservation Fund, LLC
SUMMARIZED BALANCE SHEET
OPERATING PARTNERSHIPS - DETAILS
Unaudited
For period ending December 31, 2017</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55" t="s">
        <v>7</v>
      </c>
      <c r="D1" s="1" t="s">
        <v>8</v>
      </c>
      <c r="E1" s="1" t="s">
        <v>5</v>
      </c>
      <c r="F1" s="1" t="s">
        <v>9</v>
      </c>
      <c r="G1" s="1" t="s">
        <v>10</v>
      </c>
      <c r="H1" s="1" t="s">
        <v>11</v>
      </c>
      <c r="I1" s="55" t="s">
        <v>144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9"/>
  <sheetViews>
    <sheetView topLeftCell="A2" zoomScale="75" zoomScaleNormal="75" workbookViewId="0">
      <selection activeCell="B26" sqref="B26"/>
    </sheetView>
  </sheetViews>
  <sheetFormatPr defaultRowHeight="12.75" x14ac:dyDescent="0.2"/>
  <cols>
    <col min="1" max="1" width="45.140625" style="2" customWidth="1"/>
    <col min="2" max="2" width="16.5703125" style="2" customWidth="1"/>
    <col min="3" max="16384" width="9.140625" style="2"/>
  </cols>
  <sheetData>
    <row r="1" spans="1:2" hidden="1" x14ac:dyDescent="0.2"/>
    <row r="11" spans="1:2" s="7" customFormat="1" ht="99.75" customHeight="1" x14ac:dyDescent="0.25">
      <c r="B11" s="42"/>
    </row>
    <row r="13" spans="1:2" s="37" customFormat="1" x14ac:dyDescent="0.2">
      <c r="A13" s="3" t="s">
        <v>39</v>
      </c>
    </row>
    <row r="14" spans="1:2" s="37" customFormat="1" x14ac:dyDescent="0.2">
      <c r="A14" s="51" t="s">
        <v>134</v>
      </c>
      <c r="B14" s="35"/>
    </row>
    <row r="15" spans="1:2" s="37" customFormat="1" x14ac:dyDescent="0.2">
      <c r="A15" s="49" t="s">
        <v>135</v>
      </c>
    </row>
    <row r="16" spans="1:2" s="38" customFormat="1" ht="15" x14ac:dyDescent="0.35">
      <c r="A16" s="49" t="s">
        <v>136</v>
      </c>
      <c r="B16" s="44"/>
    </row>
    <row r="17" spans="1:2" s="37" customFormat="1" x14ac:dyDescent="0.2">
      <c r="A17" s="35"/>
      <c r="B17" s="39"/>
    </row>
    <row r="18" spans="1:2" s="37" customFormat="1" x14ac:dyDescent="0.2">
      <c r="A18" s="2"/>
    </row>
    <row r="19" spans="1:2" s="37" customFormat="1" x14ac:dyDescent="0.2">
      <c r="A19" s="3" t="s">
        <v>38</v>
      </c>
    </row>
    <row r="20" spans="1:2" s="39" customFormat="1" x14ac:dyDescent="0.2">
      <c r="A20" s="48" t="s">
        <v>34</v>
      </c>
      <c r="B20" s="37"/>
    </row>
    <row r="21" spans="1:2" s="37" customFormat="1" x14ac:dyDescent="0.2">
      <c r="A21" s="48" t="s">
        <v>29</v>
      </c>
    </row>
    <row r="22" spans="1:2" s="37" customFormat="1" x14ac:dyDescent="0.2">
      <c r="A22" s="48" t="s">
        <v>37</v>
      </c>
    </row>
    <row r="23" spans="1:2" s="37" customFormat="1" x14ac:dyDescent="0.2">
      <c r="A23" s="48" t="s">
        <v>35</v>
      </c>
    </row>
    <row r="24" spans="1:2" s="37" customFormat="1" x14ac:dyDescent="0.2">
      <c r="A24" s="48" t="s">
        <v>36</v>
      </c>
    </row>
    <row r="25" spans="1:2" s="37" customFormat="1" x14ac:dyDescent="0.2">
      <c r="A25" s="48" t="s">
        <v>32</v>
      </c>
    </row>
    <row r="26" spans="1:2" s="37" customFormat="1" x14ac:dyDescent="0.2">
      <c r="A26" s="50" t="s">
        <v>31</v>
      </c>
    </row>
    <row r="27" spans="1:2" s="37" customFormat="1" x14ac:dyDescent="0.2">
      <c r="A27" s="50" t="s">
        <v>140</v>
      </c>
    </row>
    <row r="28" spans="1:2" s="38" customFormat="1" x14ac:dyDescent="0.2">
      <c r="A28" s="50" t="s">
        <v>33</v>
      </c>
      <c r="B28" s="37"/>
    </row>
    <row r="29" spans="1:2" s="37" customFormat="1" x14ac:dyDescent="0.2">
      <c r="A29" s="50" t="s">
        <v>141</v>
      </c>
    </row>
    <row r="30" spans="1:2" s="37" customFormat="1" x14ac:dyDescent="0.2">
      <c r="A30" s="50" t="s">
        <v>142</v>
      </c>
    </row>
    <row r="31" spans="1:2" s="37" customFormat="1" ht="15" x14ac:dyDescent="0.35">
      <c r="A31" s="50" t="s">
        <v>30</v>
      </c>
      <c r="B31" s="44"/>
    </row>
    <row r="32" spans="1:2" s="37" customFormat="1" x14ac:dyDescent="0.2">
      <c r="A32" s="34"/>
    </row>
    <row r="33" spans="1:2" s="37" customFormat="1" x14ac:dyDescent="0.2">
      <c r="A33" s="34"/>
    </row>
    <row r="34" spans="1:2" s="37" customFormat="1" x14ac:dyDescent="0.2">
      <c r="A34" s="34"/>
    </row>
    <row r="35" spans="1:2" s="37" customFormat="1" x14ac:dyDescent="0.2">
      <c r="A35" s="2"/>
    </row>
    <row r="36" spans="1:2" s="45" customFormat="1" ht="15" x14ac:dyDescent="0.35">
      <c r="A36" s="41" t="s">
        <v>40</v>
      </c>
      <c r="B36" s="40"/>
    </row>
    <row r="38" spans="1:2" s="35" customFormat="1" x14ac:dyDescent="0.2">
      <c r="B38" s="39"/>
    </row>
    <row r="39" spans="1:2" s="34" customFormat="1" x14ac:dyDescent="0.2">
      <c r="B39" s="37"/>
    </row>
  </sheetData>
  <printOptions horizontalCentered="1"/>
  <pageMargins left="0.25" right="0.25" top="0.75" bottom="0.75" header="0.3" footer="0.3"/>
  <pageSetup scale="50" fitToWidth="0" orientation="landscape" draft="1" cellComments="atEnd" r:id="rId1"/>
  <headerFooter alignWithMargins="0">
    <oddHeader>&amp;CEnterprise Homes Preservation Fund, LLC
SUMMARIZED STATEMENT OF OPERATIONS
OPERATING PARTNERSHIPS - DETAILS
Unaudited
For period ending December 31, 2017</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
  <sheetViews>
    <sheetView topLeftCell="A133" workbookViewId="0">
      <selection activeCell="A2" sqref="A2:Z1048576"/>
    </sheetView>
  </sheetViews>
  <sheetFormatPr defaultRowHeight="15" x14ac:dyDescent="0.25"/>
  <cols>
    <col min="1" max="1" width="11.5703125" customWidth="1"/>
    <col min="2" max="2" width="27.7109375" bestFit="1"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55" t="s">
        <v>144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Instructions</vt:lpstr>
      <vt:lpstr>Main</vt:lpstr>
      <vt:lpstr>BalSht</vt:lpstr>
      <vt:lpstr>IncStmt</vt:lpstr>
      <vt:lpstr>BalSht!Print_Area</vt:lpstr>
      <vt:lpstr>IncStmt!Print_Area</vt:lpstr>
      <vt:lpstr>BalSht!Print_Titles</vt:lpstr>
      <vt:lpstr>IncStmt!Print_Titles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2018-05-03T11:10:50Z</dcterms:modified>
</cp:coreProperties>
</file>