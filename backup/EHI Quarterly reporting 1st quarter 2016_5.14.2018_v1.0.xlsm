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Operating!$BB$9</definedName>
    <definedName name="Acf_ab_cell1">Operating!$BB$13</definedName>
    <definedName name="Acf_ab_cell2">Operating!$BB$17</definedName>
    <definedName name="Acf_ytd_cell">Operating!$BA$9</definedName>
    <definedName name="Acf_ytd_cell1">Operating!$BA$13</definedName>
    <definedName name="Acf_ytd_cell2">Operating!$BA$17</definedName>
    <definedName name="Acf_ytda_cell">Operating!$AZ$9</definedName>
    <definedName name="Acf_ytda_cell1">Operating!$AZ$13</definedName>
    <definedName name="Acf_ytda_cell2">Operating!$AZ$17</definedName>
    <definedName name="Acf_ytdau_cell">Operating!$BC$9</definedName>
    <definedName name="Acf_ytdau_cell1">Operating!$BC$13</definedName>
    <definedName name="Acf_ytdau_cell2">Operating!$BC$17</definedName>
    <definedName name="Acf_ytdbu_cell">Operating!$BD$9</definedName>
    <definedName name="Acf_ytdbu_cell1">Operating!$BD$13</definedName>
    <definedName name="Acf_ytdbu_cell2">Operating!$BD$17</definedName>
    <definedName name="Adm_ytda_cell">Expenses!$I$5</definedName>
    <definedName name="Adm_ytda_cell1">Expenses!$I$8</definedName>
    <definedName name="Adm_ytda_cell2">Expenses!$I$12</definedName>
    <definedName name="Adm_ytdab_cell">Expenses!$K$5</definedName>
    <definedName name="Adm_ytdab_cell1">Expenses!$K$8</definedName>
    <definedName name="Adm_ytdab_cell2">Expenses!$K$12</definedName>
    <definedName name="Adm_ytdau_cell">Expenses!$L$5</definedName>
    <definedName name="Adm_ytdau_cell1">Expenses!$L$8</definedName>
    <definedName name="Adm_ytdau_cell2">Expenses!$L$12</definedName>
    <definedName name="Adm_ytdb_cell">Expenses!$J$5</definedName>
    <definedName name="Adm_ytdb_cell1">Expenses!$J$8</definedName>
    <definedName name="Adm_ytdb_cell2">Expenses!$J$12</definedName>
    <definedName name="Adm_ytdbu_cell">Expenses!$M$5</definedName>
    <definedName name="Adm_ytdbu_cell1">Expenses!$M$8</definedName>
    <definedName name="Adm_ytdbu_cell2">Expenses!$M$12</definedName>
    <definedName name="Amf_ytd_cell">Operating!$AV$9</definedName>
    <definedName name="Amf_ytd_cell1">Operating!$AV$13</definedName>
    <definedName name="Amf_ytd_cell2">Operating!$AV$17</definedName>
    <definedName name="Amf_ytda_cell">Operating!$AU$9</definedName>
    <definedName name="Amf_ytda_cell1">Operating!$AU$13</definedName>
    <definedName name="Amf_ytda_cell2">Operating!$AU$17</definedName>
    <definedName name="Amf_ytdau_cell">Operating!$AX$9</definedName>
    <definedName name="Amf_ytdau_cell1">Operating!$AX$13</definedName>
    <definedName name="Amf_ytdau_cell2">Operating!$AX$17</definedName>
    <definedName name="Amf_ytdb_cell">Operating!$AW$9</definedName>
    <definedName name="Amf_ytdb_cell1">Operating!$AW$13</definedName>
    <definedName name="Amf_ytdb_cell2">Operating!$AW$17</definedName>
    <definedName name="Amf_ytdbu_cell">Operating!$AY$9</definedName>
    <definedName name="Amf_ytdbu_cell1">Operating!$AY$13</definedName>
    <definedName name="Amf_ytdbu_cell2">Operating!$AY$17</definedName>
    <definedName name="Bd_ytda_cell">Expenses!$N$5</definedName>
    <definedName name="Bd_ytda_cell1">Expenses!$N$8</definedName>
    <definedName name="Bd_ytda_cell2">Expenses!$N$12</definedName>
    <definedName name="Bd_ytdab_cell">Expenses!$P$5</definedName>
    <definedName name="Bd_ytdab_cell1">Expenses!$P$8</definedName>
    <definedName name="Bd_ytdab_cell2">Expenses!$P$12</definedName>
    <definedName name="Bd_ytdau_cell">Expenses!$Q$5</definedName>
    <definedName name="Bd_ytdau_cell1">Expenses!$Q$8</definedName>
    <definedName name="Bd_ytdau_cell2">Expenses!$Q$12</definedName>
    <definedName name="Bd_ytdb_cell">Expenses!$O$5</definedName>
    <definedName name="Bd_ytdb_cell1">Expenses!$O$8</definedName>
    <definedName name="Bd_ytdb_cell2">Expenses!$O$12</definedName>
    <definedName name="Bd_ytdbu_cell">Expenses!$R$5</definedName>
    <definedName name="Bd_ytdbu_cell1">Expenses!$R$8</definedName>
    <definedName name="Bd_ytdbu_cell2">Expenses!$R$12</definedName>
    <definedName name="Cap_ytd_cell">Operating!$AQ$9</definedName>
    <definedName name="Cap_ytd_cell1">Operating!$AQ$13</definedName>
    <definedName name="Cap_ytd_cell2">Operating!$AQ$17</definedName>
    <definedName name="Cap_ytda_cell">Operating!$AP$9</definedName>
    <definedName name="Cap_ytda_cell1">Operating!$AP$13</definedName>
    <definedName name="Cap_ytda_cell2">Operating!$AP$17</definedName>
    <definedName name="Cap_ytdau_cell">Operating!$AS$9</definedName>
    <definedName name="Cap_ytdau_cell1">Operating!$AS$13</definedName>
    <definedName name="Cap_ytdau_cell2">Operating!$AS$17</definedName>
    <definedName name="Cap_ytdb_cell">Operating!$AR$9</definedName>
    <definedName name="Cap_ytdb_cell1">Operating!$AR$13</definedName>
    <definedName name="Cap_ytdb_cell2">Operating!$AR$13</definedName>
    <definedName name="Cap_ytdb_cell3">Operating!$AR$17</definedName>
    <definedName name="Cap_ytdbu_cell">Operating!$AT$9</definedName>
    <definedName name="Cap_ytdbu_cell1">Operating!$AT$13</definedName>
    <definedName name="Cap_ytdbu_cell2">Operating!$AT$17</definedName>
    <definedName name="Cf_ytd_cell">Operating!$BA$9</definedName>
    <definedName name="Cf_ytd_cell1">Operating!$BA$13</definedName>
    <definedName name="Dev_cell">Operating!$A$11</definedName>
    <definedName name="Dev_cell_end">Operating!$BD$11</definedName>
    <definedName name="Dev_cell_start">Operating!$A$10</definedName>
    <definedName name="Dev_exp">Expenses!$A$6</definedName>
    <definedName name="Dev_exp_end">Expenses!$BF$6</definedName>
    <definedName name="Dev_exp_start">Expenses!$A$5</definedName>
    <definedName name="Exp_Units_cell">Expenses!$B$4</definedName>
    <definedName name="Exp_Units_cell1">Expenses!$B$8</definedName>
    <definedName name="Exp_Units_cell2">Expenses!$B$10</definedName>
    <definedName name="Exp_Units_cell3">Expenses!$B$12</definedName>
    <definedName name="Exp_Units_cell4">Expenses!$B$14</definedName>
    <definedName name="Fm_ytd_cell">Operating!$AG$9</definedName>
    <definedName name="Fm_ytd_cell1">Operating!$AG$13</definedName>
    <definedName name="Fm_ytd_cell2">Operating!$AG$17</definedName>
    <definedName name="Fm_ytda_cell">Operating!$AF$9</definedName>
    <definedName name="Fm_ytda_cell1">Operating!$AF$13</definedName>
    <definedName name="Fm_ytda_cell2">Operating!$AF$17</definedName>
    <definedName name="Fm_ytdau_cell">Operating!$AI$9</definedName>
    <definedName name="Fm_ytdau_cell1">Operating!$AI$13</definedName>
    <definedName name="Fm_ytdau_cell2">Operating!$AI$17</definedName>
    <definedName name="Fm_ytdb_cell">Operating!$AH$9</definedName>
    <definedName name="Fm_ytdb_cell1">Operating!$AH$13</definedName>
    <definedName name="Fm_ytdb_cell2">Operating!$AH$13</definedName>
    <definedName name="Fm_ytdb_cell3">Operating!$AH$17</definedName>
    <definedName name="Fm_ytdbu_cell">Operating!$AJ$9</definedName>
    <definedName name="Fm_ytdbu_cell1">Operating!$AJ$13</definedName>
    <definedName name="Fm_ytdbu_cell2">Operating!$AJ$17</definedName>
    <definedName name="Ins_ytda_cell">Expenses!$AW$5</definedName>
    <definedName name="Ins_ytda_cell1">Expenses!$AW$8</definedName>
    <definedName name="Ins_ytda_cell2">Expenses!$AW$12</definedName>
    <definedName name="Ins_ytdab_cell">Expenses!$AY$5</definedName>
    <definedName name="Ins_ytdab_cell1">Expenses!$AY$8</definedName>
    <definedName name="Ins_ytdab_cell2">Expenses!$AY$12</definedName>
    <definedName name="Ins_ytdau_cell">Expenses!$AZ$5</definedName>
    <definedName name="Ins_ytdau_cell1">Expenses!$AZ$8</definedName>
    <definedName name="Ins_ytdau_cell2">Expenses!$AZ$12</definedName>
    <definedName name="Ins_ytdb_cell">Expenses!$AX$5</definedName>
    <definedName name="Ins_ytdb_cell1">Expenses!$AX$8</definedName>
    <definedName name="Ins_ytdb_cell2">Expenses!$AX$12</definedName>
    <definedName name="Ins_ytdbu_cell">Expenses!$BA$5</definedName>
    <definedName name="Ins_ytdbu_cell1">Expenses!$BA$8</definedName>
    <definedName name="Ins_ytdbu_cell2">Expenses!$BA$12</definedName>
    <definedName name="Mf_ytda_cell">Expenses!$S$5</definedName>
    <definedName name="Mf_ytda_cell1">Expenses!$S$8</definedName>
    <definedName name="Mf_ytda_cell2">Expenses!$S$12</definedName>
    <definedName name="Mf_ytdab_cell">Expenses!$U$5</definedName>
    <definedName name="Mf_ytdab_cell1">Expenses!$U$8</definedName>
    <definedName name="Mf_ytdab_cell2">Expenses!$U$12</definedName>
    <definedName name="Mf_ytdau_cell">Expenses!$V$5</definedName>
    <definedName name="Mf_ytdau_cell1">Expenses!$V$8</definedName>
    <definedName name="Mf_ytdau_cell2">Expenses!$V$12</definedName>
    <definedName name="Mf_ytdb_cell">Expenses!$T$5</definedName>
    <definedName name="Mf_ytdb_cell1">Expenses!$T$8</definedName>
    <definedName name="Mf_ytdb_cell2">Expenses!$T$12</definedName>
    <definedName name="Mf_ytdbu_cell">Expenses!$W$5</definedName>
    <definedName name="Mf_ytdbu_cell1">Expenses!$W$8</definedName>
    <definedName name="Mf_ytdbu_cell2">Expenses!$W$12</definedName>
    <definedName name="Mgmt_comp_cell">Expenses!$C$4</definedName>
    <definedName name="Mgmt_comp_cell1">Expenses!$C$8</definedName>
    <definedName name="Mgmt_comp_cell2">Expenses!$C$12</definedName>
    <definedName name="Noi_ab_cell">Operating!$AC$9</definedName>
    <definedName name="Noi_ab_cell1">Operating!$AC$13</definedName>
    <definedName name="Noi_ab_cell2">Operating!$AC$17</definedName>
    <definedName name="Noi_ytd_cell">Operating!$AB$9</definedName>
    <definedName name="Noi_ytd_cell1">Operating!$AB$13</definedName>
    <definedName name="Noi_ytd_cell2">Operating!$AB$17</definedName>
    <definedName name="Noi_ytda_cell">Operating!$AA$9</definedName>
    <definedName name="Noi_ytda_cell1">Operating!$AA$13</definedName>
    <definedName name="Noi_ytda_cell2">Operating!$AA$17</definedName>
    <definedName name="Noi_ytdau_cell">Operating!$AD$9</definedName>
    <definedName name="Noi_ytdau_cell1">Operating!$AD$13</definedName>
    <definedName name="Noi_ytdau_cell2">Operating!$AD$17</definedName>
    <definedName name="Noi_ytdb_cell">Operating!$AB$9</definedName>
    <definedName name="Noi_ytdbu_cell">Operating!$AE$9</definedName>
    <definedName name="Noi_ytdbu_cell1">Operating!$AE$13</definedName>
    <definedName name="Noi_ytdbu_cell2">Operating!$AE$17</definedName>
    <definedName name="Oc_ab_cell">Operating!$W$9</definedName>
    <definedName name="Oc_ab_cell1">Operating!$W$13</definedName>
    <definedName name="Oc_ab_cell2">Operating!$W$17</definedName>
    <definedName name="Oc_ytd_cell">Operating!$V$9</definedName>
    <definedName name="Oc_ytd_cell1">Operating!$V$13</definedName>
    <definedName name="Oc_ytd_cell2">Operating!$V$17</definedName>
    <definedName name="Oc_ytda_cell">Operating!$U$9</definedName>
    <definedName name="Oc_ytda_cell1">Operating!$U$13</definedName>
    <definedName name="Oc_ytda_cell2">Operating!$U$17</definedName>
    <definedName name="Oc_ytdaer_cell">Operating!$Z$9</definedName>
    <definedName name="Oc_ytdaer_cell1">Operating!$Z$13</definedName>
    <definedName name="Oc_ytdaer_cell2">Operating!$Z$17</definedName>
    <definedName name="Oc_ytdau_cell">Operating!$X$9</definedName>
    <definedName name="Oc_ytdau_cell1">Operating!$X$13</definedName>
    <definedName name="Oc_ytdau_cell2">Operating!$X$17</definedName>
    <definedName name="Oc_ytdbu_cell">Operating!$Y$9</definedName>
    <definedName name="Oc_ytdbu_cell1">Operating!$Y$13</definedName>
    <definedName name="Oc_ytdbu_cell2">Operating!$Y$17</definedName>
    <definedName name="Occu_proj_cell">Occupancy!$B$4</definedName>
    <definedName name="Occu_proj_end">Occupancy!$C$4</definedName>
    <definedName name="Occupancy_cell">Operating!$K$9</definedName>
    <definedName name="Occupancy_cell1">Operating!$K$13</definedName>
    <definedName name="Occupancy_cell2">Operating!$K$17</definedName>
    <definedName name="Ocytd_cell">Operating!$V$9</definedName>
    <definedName name="Ocytd_cell1">Operating!$V$13</definedName>
    <definedName name="Oper_cash_cell">Operating!$E$9</definedName>
    <definedName name="Oper_cash_cell1">Operating!$E$13</definedName>
    <definedName name="Oper_cash_cell2">Operating!$E$17</definedName>
    <definedName name="Oper_other_cell">Operating!$H$9</definedName>
    <definedName name="Oper_other_cell1">Operating!$H$13</definedName>
    <definedName name="Oper_other_cell2">Operating!$H$17</definedName>
    <definedName name="Operating_cell">Operating!$G$9</definedName>
    <definedName name="Operating_cell1">Operating!$G$13</definedName>
    <definedName name="Operating_cell2">Operating!$G$17</definedName>
    <definedName name="Other_cell">Operating!$A$19</definedName>
    <definedName name="Other_cell_end">Operating!$BD$19</definedName>
    <definedName name="Other_cell_start">Operating!$A$18</definedName>
    <definedName name="Other_exp">Expenses!$A$14</definedName>
    <definedName name="Other_exp_end">Expenses!$BF$14</definedName>
    <definedName name="Other_exp_start">Expenses!$A$13</definedName>
    <definedName name="Pay_ytd_cell">Expenses!$E$5</definedName>
    <definedName name="Pay_ytd_cell1">Expenses!$E$8</definedName>
    <definedName name="Pay_ytd_cell2">Expenses!$E$12</definedName>
    <definedName name="Pay_ytda_cell">Expenses!$D$5</definedName>
    <definedName name="Pay_ytda_cell1">Expenses!$D$8</definedName>
    <definedName name="Pay_ytda_cell2">Expenses!$D$12</definedName>
    <definedName name="Pay_ytdab_cell">Expenses!$F$5</definedName>
    <definedName name="Pay_ytdab_cell1">Expenses!$F$8</definedName>
    <definedName name="Pay_ytdab_cell2">Expenses!$F$12</definedName>
    <definedName name="Pay_ytdau_cell">Expenses!$G$5</definedName>
    <definedName name="Pay_ytdau_cell1">Expenses!$G$8</definedName>
    <definedName name="Pay_ytdau_cell2">Expenses!$G$12</definedName>
    <definedName name="Pay_ytdb_cell">Expenses!$E$5</definedName>
    <definedName name="Pay_ytdbu_cell">Expenses!$H$5</definedName>
    <definedName name="Pay_ytdbu_cell1">Expenses!$H$8</definedName>
    <definedName name="Pay_ytdbu_cell2">Expenses!$H$12</definedName>
    <definedName name="_xlnm.Print_Area" localSheetId="1">Expenses!$A$1:$BF$13</definedName>
    <definedName name="_xlnm.Print_Area" localSheetId="2">Occupancy!$A$1:$D$60</definedName>
    <definedName name="_xlnm.Print_Area" localSheetId="0">Operating!$A$1:$AK$18</definedName>
    <definedName name="Rehab_cell">Operating!$A$15</definedName>
    <definedName name="Rehab_cell_end">Operating!$BD$15</definedName>
    <definedName name="Rehab_cell_start">Operating!$A$14</definedName>
    <definedName name="Rehab_exp">Expenses!$A$10</definedName>
    <definedName name="Rehab_exp_end">Expenses!$BF$10</definedName>
    <definedName name="Rehab_exp_start">Expenses!$A$9</definedName>
    <definedName name="Replac_cell">Operating!$F$9</definedName>
    <definedName name="Replac_cell1">Operating!$F$13</definedName>
    <definedName name="Replac_cell2">Operating!$F$17</definedName>
    <definedName name="Res_ab_cell">Operating!$AM$9</definedName>
    <definedName name="Res_ab_cell1">Operating!$AM$13</definedName>
    <definedName name="Res_ab_cell2">Operating!$AM$17</definedName>
    <definedName name="Res_ytd_cell">Operating!$AL$9</definedName>
    <definedName name="Res_ytd_cell1">Operating!$AL$13</definedName>
    <definedName name="Res_ytd_cell2">Operating!$AL$17</definedName>
    <definedName name="Res_ytda_cell">Operating!$AK$9</definedName>
    <definedName name="Res_ytda_cell1">Operating!$AK$13</definedName>
    <definedName name="Res_ytda_cell2">Operating!$AK$17</definedName>
    <definedName name="Res_ytdau_cell">Operating!$AN$9</definedName>
    <definedName name="Res_ytdau_cell1">Operating!$AN$13</definedName>
    <definedName name="Res_ytdau_cell2">Operating!$AN$17</definedName>
    <definedName name="Res_ytdbu_cell">Operating!$AO$9</definedName>
    <definedName name="Res_ytdbu_cell1">Operating!$AO$13</definedName>
    <definedName name="Res_ytdbu_cell2">Operating!$AO$17</definedName>
    <definedName name="Rm_ytda_cell">Expenses!$X$5</definedName>
    <definedName name="Rm_ytda_cell1">Expenses!$X$8</definedName>
    <definedName name="Rm_ytda_cell2">Expenses!$X$12</definedName>
    <definedName name="Rm_ytdab_cell">Expenses!$Z$5</definedName>
    <definedName name="Rm_ytdab_cell1">Expenses!$Z$8</definedName>
    <definedName name="Rm_ytdab_cell2">Expenses!$Z$12</definedName>
    <definedName name="Rm_ytdau_cell">Expenses!$AA$5</definedName>
    <definedName name="Rm_ytdau_cell1">Expenses!$AA$8</definedName>
    <definedName name="Rm_ytdau_cell2">Expenses!$AA$12</definedName>
    <definedName name="Rm_ytdb_cell">Expenses!$Y$5</definedName>
    <definedName name="Rm_ytdb_cell1">Expenses!$Y$8</definedName>
    <definedName name="Rm_ytdb_cell2">Expenses!$Y$12</definedName>
    <definedName name="Rm_ytdbu_cell">Expenses!$AB$5</definedName>
    <definedName name="Rm_ytdbu_cell1">Expenses!$AB$8</definedName>
    <definedName name="Rm_ytdbu_cell2">Expenses!$AB$12</definedName>
    <definedName name="Rytd_cell">Operating!$Q$9</definedName>
    <definedName name="Rytd_cell1">Operating!$Q$13</definedName>
    <definedName name="Rytd_cell2">Operating!$Q$17</definedName>
    <definedName name="Rytd_cells">Operating!$Q$13</definedName>
    <definedName name="Rytda_cell">Operating!$P$9</definedName>
    <definedName name="Rytda_cell1">Operating!$P$13</definedName>
    <definedName name="Rytda_cell2">Operating!$P$17</definedName>
    <definedName name="Rytdau_cell">Operating!$S$9</definedName>
    <definedName name="Rytdau_cell1">Operating!$S$13</definedName>
    <definedName name="Rytdau_cell2">Operating!$S$17</definedName>
    <definedName name="Rytdb_cell">Operating!$R$9</definedName>
    <definedName name="Rytdb_cell1">Operating!$R$13</definedName>
    <definedName name="Rytdb_cell2">Operating!$R$17</definedName>
    <definedName name="Rytdbu_cell">Operating!$T$9</definedName>
    <definedName name="Rytdbu_cell1">Operating!$T$13</definedName>
    <definedName name="Rytdbu_cell2">Operating!$T$17</definedName>
    <definedName name="Sec_ytda_cell">Expenses!$AC$5</definedName>
    <definedName name="Sec_ytda_cell1">Expenses!$AC$8</definedName>
    <definedName name="Sec_ytda_cell2">Expenses!$AC$12</definedName>
    <definedName name="Sec_ytdab_cell">Expenses!$AE$5</definedName>
    <definedName name="Sec_ytdab_cell1">Expenses!$AE$8</definedName>
    <definedName name="Sec_ytdab_cell2">Expenses!$AE$12</definedName>
    <definedName name="Sec_ytdau_cell">Expenses!$AF$5</definedName>
    <definedName name="Sec_ytdau_cell1">Expenses!$AF$8</definedName>
    <definedName name="Sec_ytdau_cell2">Expenses!$AF$12</definedName>
    <definedName name="Sec_ytdb_cell">Expenses!$AD$5</definedName>
    <definedName name="Sec_ytdb_cell1">Expenses!$AD$8</definedName>
    <definedName name="Sec_ytdb_cell2">Expenses!$AD$12</definedName>
    <definedName name="Sec_ytdbu_cell">Expenses!$AG$5</definedName>
    <definedName name="Sec_ytdbu_cell1">Expenses!$AG$8</definedName>
    <definedName name="Sec_ytdbu_cell2">Expenses!$AG$12</definedName>
    <definedName name="Status_cell">Operating!$C$9</definedName>
    <definedName name="Status_cell1">Operating!$C$13</definedName>
    <definedName name="Status_cell2">Operating!$C$17</definedName>
    <definedName name="Tax_ytda_cell">Expenses!$AR$5</definedName>
    <definedName name="Tax_ytda_cell1">Expenses!$AR$8</definedName>
    <definedName name="Tax_ytda_cell2">Expenses!$AR$12</definedName>
    <definedName name="Tax_ytdab_cell">Expenses!$AT$5</definedName>
    <definedName name="Tax_ytdab_cell1">Expenses!$AT$8</definedName>
    <definedName name="Tax_ytdab_cell2">Expenses!$AT$12</definedName>
    <definedName name="Tax_ytdau_cell">Expenses!$AU$5</definedName>
    <definedName name="Tax_ytdau_cell1">Expenses!$AU$8</definedName>
    <definedName name="Tax_ytdau_cell2">Expenses!$AU$12</definedName>
    <definedName name="Tax_ytdb_cell">Expenses!$AS$5</definedName>
    <definedName name="Tax_ytdb_cell1">Expenses!$AS$8</definedName>
    <definedName name="Tax_ytdb_cell2">Expenses!$AS$12</definedName>
    <definedName name="Tax_ytdbu_cell">Expenses!$AV$5</definedName>
    <definedName name="Tax_ytdbu_cell1">Expenses!$AV$8</definedName>
    <definedName name="Tax_ytdbu_cell2">Expenses!$AV$12</definedName>
    <definedName name="Toe_ytda_cell">Expenses!$BB$5</definedName>
    <definedName name="Toe_ytda_cell1">Expenses!$BB$8</definedName>
    <definedName name="Toe_ytda_cell2">Expenses!$BB$12</definedName>
    <definedName name="Toe_ytdab_cell">Expenses!$BD$5</definedName>
    <definedName name="Toe_ytdab_cell1">Expenses!$BD$8</definedName>
    <definedName name="Toe_ytdab_cell2">Expenses!$BD$12</definedName>
    <definedName name="Toe_ytdau_cell">Expenses!$BE$5</definedName>
    <definedName name="Toe_ytdau_cell1">Expenses!$BE$8</definedName>
    <definedName name="Toe_ytdau_cell2">Expenses!$BE$12</definedName>
    <definedName name="Toe_ytdb_cell">Expenses!$BC$5</definedName>
    <definedName name="Toe_ytdb_cell1">Expenses!$BC$8</definedName>
    <definedName name="Toe_ytdb_cell2">Expenses!$BC$12</definedName>
    <definedName name="Toe_ytdbu_cell">Expenses!$BF$5</definedName>
    <definedName name="Toe_ytdbu_cell1">Expenses!$BF$8</definedName>
    <definedName name="Toe_ytdbu_cell2">Expenses!$BF$12</definedName>
    <definedName name="Total_cell">Operating!$I$9</definedName>
    <definedName name="Total_cell1">Operating!$I$13</definedName>
    <definedName name="Total_cell2">Operating!$I$17</definedName>
    <definedName name="Units_cell">Operating!$B$9</definedName>
    <definedName name="Units_cell1">Operating!$B$13</definedName>
    <definedName name="Units_cell2">Operating!$B$17</definedName>
    <definedName name="Units_cell3">Operating!$B$21</definedName>
    <definedName name="Util_ytda_cell">Expenses!$AH$5</definedName>
    <definedName name="Util_ytda_cell1">Expenses!$AH$8</definedName>
    <definedName name="Util_ytda_cell2">Expenses!$AH$12</definedName>
    <definedName name="Util_ytdab_cell">Expenses!$AJ$5</definedName>
    <definedName name="Util_ytdab_cell1">Expenses!$AJ$8</definedName>
    <definedName name="Util_ytdab_cell2">Expenses!$AJ$12</definedName>
    <definedName name="Util_ytdau_cell">Expenses!$AK$5</definedName>
    <definedName name="Util_ytdau_cell1">Expenses!$AK$8</definedName>
    <definedName name="Util_ytdau_cell2">Expenses!$AK$12</definedName>
    <definedName name="Util_ytdb_cell">Expenses!$AI$5</definedName>
    <definedName name="Util_ytdb_cell1">Expenses!$AI$8</definedName>
    <definedName name="Util_ytdb_cell2">Expenses!$AI$12</definedName>
    <definedName name="Util_ytdbu_cell">Expenses!$AL$5</definedName>
    <definedName name="Util_ytdbu_cell1">Expenses!$AL$8</definedName>
    <definedName name="Util_ytdbu_cell2">Expenses!$AL$12</definedName>
    <definedName name="Ws_ytda_cell">Expenses!$AM$5</definedName>
    <definedName name="Ws_ytda_cell1">Expenses!$AM$8</definedName>
    <definedName name="Ws_ytda_cell2">Expenses!$AM$12</definedName>
    <definedName name="Ws_ytdab_cell">Expenses!$AO$5</definedName>
    <definedName name="Ws_ytdab_cell1">Expenses!$AO$8</definedName>
    <definedName name="Ws_ytdab_cell2">Expenses!$AO$12</definedName>
    <definedName name="Ws_ytdau_cell">Expenses!$AP$5</definedName>
    <definedName name="Ws_ytdau_cell1">Expenses!$AP$8</definedName>
    <definedName name="Ws_ytdau_cell2">Expenses!$AP$12</definedName>
    <definedName name="Ws_ytdb_cell">Expenses!$AN$5</definedName>
    <definedName name="Ws_ytdb_cell1">Expenses!$AN$8</definedName>
    <definedName name="Ws_ytdb_cell2">Expenses!$AN$12</definedName>
    <definedName name="Ws_ytdbu_cell">Expenses!$AQ$5</definedName>
    <definedName name="Ws_ytdbu_cell1">Expenses!$AQ$8</definedName>
    <definedName name="Ws_ytdbu_cell2">Expenses!$AQ$12</definedName>
    <definedName name="YTD_Budget">Expenses!$E$5</definedName>
    <definedName name="YtdOccupancy_cell">Operating!$J$9</definedName>
    <definedName name="YtdOccupancy_cell1">Operating!$J$13</definedName>
    <definedName name="YtdOccupancy_cell2">Operating!$J$17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0" i="1" l="1"/>
  <c r="O16" i="1"/>
  <c r="O12" i="1"/>
  <c r="N20" i="1"/>
  <c r="N16" i="1"/>
  <c r="N12" i="1"/>
  <c r="M20" i="1"/>
  <c r="M16" i="1"/>
  <c r="M12" i="1"/>
  <c r="L20" i="1"/>
  <c r="L16" i="1"/>
  <c r="L12" i="1"/>
  <c r="D20" i="1"/>
  <c r="D16" i="1"/>
  <c r="D12" i="1"/>
  <c r="C22" i="1"/>
  <c r="AT6" i="2"/>
  <c r="AT8" i="2"/>
  <c r="AT9" i="2"/>
  <c r="AT10" i="2"/>
  <c r="AT12" i="2"/>
  <c r="AT13" i="2"/>
  <c r="AT7" i="2"/>
  <c r="AS7" i="2" s="1"/>
  <c r="L22" i="1" l="1"/>
  <c r="N22" i="1"/>
  <c r="D22" i="1"/>
  <c r="O22" i="1"/>
  <c r="M22" i="1"/>
  <c r="J16" i="1"/>
  <c r="AW7" i="2"/>
  <c r="AW11" i="2"/>
  <c r="K7" i="2"/>
  <c r="J7" i="2" s="1"/>
  <c r="K11" i="2"/>
  <c r="J11" i="2" s="1"/>
  <c r="U7" i="2"/>
  <c r="T7" i="2" s="1"/>
  <c r="U11" i="2"/>
  <c r="T11" i="2" s="1"/>
  <c r="AE7" i="2"/>
  <c r="AD7" i="2" s="1"/>
  <c r="AE11" i="2"/>
  <c r="AD11" i="2" s="1"/>
  <c r="I7" i="2"/>
  <c r="I11" i="2"/>
  <c r="S7" i="2"/>
  <c r="S11" i="2"/>
  <c r="AC7" i="2"/>
  <c r="AC11" i="2"/>
  <c r="AM7" i="2"/>
  <c r="AM11" i="2"/>
  <c r="N15" i="2"/>
  <c r="X15" i="2"/>
  <c r="AH15" i="2"/>
  <c r="N11" i="2"/>
  <c r="X11" i="2"/>
  <c r="AH11" i="2"/>
  <c r="AR11" i="2"/>
  <c r="AR15" i="2"/>
  <c r="E16" i="1"/>
  <c r="R12" i="1"/>
  <c r="P7" i="2"/>
  <c r="O7" i="2" s="1"/>
  <c r="Z7" i="2"/>
  <c r="Y7" i="2" s="1"/>
  <c r="AJ7" i="2"/>
  <c r="AI7" i="2" s="1"/>
  <c r="K15" i="2"/>
  <c r="J15" i="2" s="1"/>
  <c r="U15" i="2"/>
  <c r="T15" i="2" s="1"/>
  <c r="AE15" i="2"/>
  <c r="AD15" i="2" s="1"/>
  <c r="AO7" i="2"/>
  <c r="AN7" i="2" s="1"/>
  <c r="AO15" i="2"/>
  <c r="AN15" i="2" s="1"/>
  <c r="AT15" i="2"/>
  <c r="AS15" i="2" s="1"/>
  <c r="AY15" i="2"/>
  <c r="AX15" i="2" s="1"/>
  <c r="AO11" i="2"/>
  <c r="AN11" i="2" s="1"/>
  <c r="AY7" i="2"/>
  <c r="AX7" i="2" s="1"/>
  <c r="P15" i="2"/>
  <c r="O15" i="2" s="1"/>
  <c r="Z15" i="2"/>
  <c r="Y15" i="2" s="1"/>
  <c r="AJ15" i="2"/>
  <c r="AI15" i="2" s="1"/>
  <c r="AY11" i="2"/>
  <c r="AX11" i="2" s="1"/>
  <c r="I12" i="1"/>
  <c r="F20" i="1"/>
  <c r="K22" i="1"/>
  <c r="F16" i="1"/>
  <c r="G20" i="1"/>
  <c r="G16" i="1"/>
  <c r="K12" i="1"/>
  <c r="E20" i="1"/>
  <c r="H12" i="1"/>
  <c r="H16" i="1"/>
  <c r="P12" i="1"/>
  <c r="P16" i="1"/>
  <c r="R20" i="1"/>
  <c r="AH12" i="1"/>
  <c r="AH16" i="1"/>
  <c r="E12" i="1"/>
  <c r="Q12" i="1"/>
  <c r="R16" i="1"/>
  <c r="K20" i="1"/>
  <c r="AK20" i="1"/>
  <c r="B20" i="1"/>
  <c r="F12" i="1"/>
  <c r="B12" i="1"/>
  <c r="B16" i="1"/>
  <c r="G12" i="1"/>
  <c r="H20" i="1"/>
  <c r="K16" i="1"/>
  <c r="P20" i="1"/>
  <c r="AF12" i="1"/>
  <c r="AF16" i="1"/>
  <c r="AR12" i="1"/>
  <c r="AK12" i="1"/>
  <c r="AK16" i="1"/>
  <c r="AN16" i="1" s="1"/>
  <c r="AF20" i="1"/>
  <c r="AG20" i="1"/>
  <c r="AM12" i="1"/>
  <c r="AL12" i="1" s="1"/>
  <c r="AM16" i="1"/>
  <c r="AL16" i="1" s="1"/>
  <c r="AO16" i="1" s="1"/>
  <c r="AR16" i="1"/>
  <c r="AQ20" i="1"/>
  <c r="AW12" i="1"/>
  <c r="AP20" i="1"/>
  <c r="AH20" i="1"/>
  <c r="AW16" i="1"/>
  <c r="AM20" i="1"/>
  <c r="AU12" i="1"/>
  <c r="AX12" i="1" s="1"/>
  <c r="AU16" i="1"/>
  <c r="AP12" i="1"/>
  <c r="AP16" i="1"/>
  <c r="AS16" i="1" s="1"/>
  <c r="AR20" i="1"/>
  <c r="AW20" i="1"/>
  <c r="AW22" i="1" s="1"/>
  <c r="D7" i="2"/>
  <c r="D11" i="2"/>
  <c r="BB15" i="2"/>
  <c r="F15" i="2"/>
  <c r="E15" i="2" s="1"/>
  <c r="AU20" i="1"/>
  <c r="D15" i="2"/>
  <c r="BD11" i="2"/>
  <c r="F7" i="2"/>
  <c r="E7" i="2" s="1"/>
  <c r="N7" i="2"/>
  <c r="X7" i="2"/>
  <c r="AH7" i="2"/>
  <c r="AR7" i="2"/>
  <c r="AT11" i="2"/>
  <c r="AS11" i="2" s="1"/>
  <c r="F11" i="2"/>
  <c r="E11" i="2" s="1"/>
  <c r="I15" i="2"/>
  <c r="P11" i="2"/>
  <c r="O11" i="2" s="1"/>
  <c r="S15" i="2"/>
  <c r="Z11" i="2"/>
  <c r="Y11" i="2" s="1"/>
  <c r="AC15" i="2"/>
  <c r="AJ11" i="2"/>
  <c r="AI11" i="2" s="1"/>
  <c r="AM15" i="2"/>
  <c r="AW15" i="2"/>
  <c r="BF136" i="2"/>
  <c r="BE136" i="2"/>
  <c r="AZ136" i="2"/>
  <c r="AU136" i="2"/>
  <c r="AP136" i="2"/>
  <c r="AK136" i="2"/>
  <c r="AF136" i="2"/>
  <c r="AA136" i="2"/>
  <c r="V136" i="2"/>
  <c r="Q136" i="2"/>
  <c r="L136" i="2"/>
  <c r="G136" i="2"/>
  <c r="AX136" i="2"/>
  <c r="BA136" i="2" s="1"/>
  <c r="AS136" i="2"/>
  <c r="AV136" i="2" s="1"/>
  <c r="AN136" i="2"/>
  <c r="AQ136" i="2" s="1"/>
  <c r="AI136" i="2"/>
  <c r="AL136" i="2" s="1"/>
  <c r="AD136" i="2"/>
  <c r="AG136" i="2" s="1"/>
  <c r="Y136" i="2"/>
  <c r="AB136" i="2" s="1"/>
  <c r="T136" i="2"/>
  <c r="W136" i="2" s="1"/>
  <c r="O136" i="2"/>
  <c r="R136" i="2" s="1"/>
  <c r="J136" i="2"/>
  <c r="M136" i="2" s="1"/>
  <c r="E136" i="2"/>
  <c r="H136" i="2" s="1"/>
  <c r="H22" i="1" l="1"/>
  <c r="AI12" i="1"/>
  <c r="I20" i="1"/>
  <c r="I16" i="1"/>
  <c r="AX16" i="1"/>
  <c r="AH22" i="1"/>
  <c r="AS12" i="1"/>
  <c r="AO12" i="1"/>
  <c r="AN12" i="1"/>
  <c r="AI16" i="1"/>
  <c r="BD7" i="2"/>
  <c r="AR22" i="1"/>
  <c r="J22" i="1"/>
  <c r="AV16" i="1"/>
  <c r="AY16" i="1" s="1"/>
  <c r="AP22" i="1"/>
  <c r="AS20" i="1"/>
  <c r="AV12" i="1"/>
  <c r="AY12" i="1" s="1"/>
  <c r="AT20" i="1"/>
  <c r="AQ16" i="1"/>
  <c r="AT16" i="1" s="1"/>
  <c r="W16" i="1"/>
  <c r="B11" i="2"/>
  <c r="AL11" i="2" s="1"/>
  <c r="BB16" i="1"/>
  <c r="T12" i="1"/>
  <c r="AG16" i="1"/>
  <c r="AJ16" i="1" s="1"/>
  <c r="AG12" i="1"/>
  <c r="AJ12" i="1" s="1"/>
  <c r="S12" i="1"/>
  <c r="BB11" i="2"/>
  <c r="AV20" i="1"/>
  <c r="AF22" i="1"/>
  <c r="AI20" i="1"/>
  <c r="W12" i="1"/>
  <c r="AC12" i="1" s="1"/>
  <c r="S20" i="1"/>
  <c r="P22" i="1"/>
  <c r="B22" i="1"/>
  <c r="AK22" i="1"/>
  <c r="AN20" i="1"/>
  <c r="E22" i="1"/>
  <c r="G22" i="1"/>
  <c r="R11" i="2"/>
  <c r="AU22" i="1"/>
  <c r="AX22" i="1" s="1"/>
  <c r="AX20" i="1"/>
  <c r="BB7" i="2"/>
  <c r="AL20" i="1"/>
  <c r="AO20" i="1" s="1"/>
  <c r="AM22" i="1"/>
  <c r="AL22" i="1" s="1"/>
  <c r="AO22" i="1" s="1"/>
  <c r="AJ20" i="1"/>
  <c r="BB12" i="1"/>
  <c r="R22" i="1"/>
  <c r="Q20" i="1"/>
  <c r="S16" i="1"/>
  <c r="BD15" i="2"/>
  <c r="AQ12" i="1"/>
  <c r="AT12" i="1" s="1"/>
  <c r="B7" i="2"/>
  <c r="AK7" i="2" s="1"/>
  <c r="B15" i="2"/>
  <c r="Q16" i="1"/>
  <c r="AC16" i="1"/>
  <c r="F22" i="1"/>
  <c r="J20" i="1"/>
  <c r="B57" i="4"/>
  <c r="J12" i="1" s="1"/>
  <c r="I22" i="1" l="1"/>
  <c r="AN22" i="1"/>
  <c r="AG22" i="1"/>
  <c r="AJ22" i="1" s="1"/>
  <c r="G11" i="2"/>
  <c r="AV11" i="2"/>
  <c r="BE11" i="2"/>
  <c r="X16" i="1" s="1"/>
  <c r="AD16" i="1" s="1"/>
  <c r="BC7" i="2"/>
  <c r="BF7" i="2" s="1"/>
  <c r="Y12" i="1" s="1"/>
  <c r="AE12" i="1" s="1"/>
  <c r="T16" i="1"/>
  <c r="M15" i="2"/>
  <c r="AA15" i="2"/>
  <c r="BA15" i="2"/>
  <c r="AB15" i="2"/>
  <c r="AU15" i="2"/>
  <c r="Q15" i="2"/>
  <c r="AQ15" i="2"/>
  <c r="AG15" i="2"/>
  <c r="R15" i="2"/>
  <c r="AL15" i="2"/>
  <c r="W15" i="2"/>
  <c r="AV15" i="2"/>
  <c r="AK15" i="2"/>
  <c r="AF15" i="2"/>
  <c r="T20" i="1"/>
  <c r="U20" i="1"/>
  <c r="U12" i="1"/>
  <c r="AU7" i="2"/>
  <c r="U16" i="1"/>
  <c r="BC15" i="2"/>
  <c r="BF15" i="2" s="1"/>
  <c r="Y20" i="1" s="1"/>
  <c r="AA11" i="2"/>
  <c r="AU11" i="2"/>
  <c r="AP11" i="2"/>
  <c r="M11" i="2"/>
  <c r="AQ11" i="2"/>
  <c r="V11" i="2"/>
  <c r="AF11" i="2"/>
  <c r="AZ11" i="2"/>
  <c r="AG11" i="2"/>
  <c r="Q11" i="2"/>
  <c r="AK11" i="2"/>
  <c r="BA11" i="2"/>
  <c r="L11" i="2"/>
  <c r="W11" i="2"/>
  <c r="AS22" i="1"/>
  <c r="AA7" i="2"/>
  <c r="Q7" i="2"/>
  <c r="AV22" i="1"/>
  <c r="AY22" i="1" s="1"/>
  <c r="AY20" i="1"/>
  <c r="BC11" i="2"/>
  <c r="BF11" i="2" s="1"/>
  <c r="Y16" i="1" s="1"/>
  <c r="H15" i="2"/>
  <c r="H11" i="2"/>
  <c r="W20" i="1"/>
  <c r="BB20" i="1"/>
  <c r="BB22" i="1" s="1"/>
  <c r="AP15" i="2"/>
  <c r="Q22" i="1"/>
  <c r="BE7" i="2"/>
  <c r="X12" i="1" s="1"/>
  <c r="AD12" i="1" s="1"/>
  <c r="BE15" i="2"/>
  <c r="X20" i="1" s="1"/>
  <c r="AD20" i="1" s="1"/>
  <c r="AB11" i="2"/>
  <c r="AL7" i="2"/>
  <c r="AF7" i="2"/>
  <c r="AZ7" i="2"/>
  <c r="R7" i="2"/>
  <c r="AV7" i="2"/>
  <c r="V7" i="2"/>
  <c r="AQ7" i="2"/>
  <c r="AG7" i="2"/>
  <c r="BA7" i="2"/>
  <c r="L7" i="2"/>
  <c r="W7" i="2"/>
  <c r="AB7" i="2"/>
  <c r="AP7" i="2"/>
  <c r="M7" i="2"/>
  <c r="G7" i="2"/>
  <c r="L15" i="2"/>
  <c r="H7" i="2"/>
  <c r="V15" i="2"/>
  <c r="S22" i="1"/>
  <c r="AI22" i="1"/>
  <c r="G15" i="2"/>
  <c r="AQ22" i="1"/>
  <c r="AT22" i="1" s="1"/>
  <c r="AZ15" i="2"/>
  <c r="AH3" i="2"/>
  <c r="V16" i="1" l="1"/>
  <c r="AB16" i="1" s="1"/>
  <c r="AZ12" i="1"/>
  <c r="BC12" i="1" s="1"/>
  <c r="AZ20" i="1"/>
  <c r="V12" i="1"/>
  <c r="AB12" i="1" s="1"/>
  <c r="BA16" i="1"/>
  <c r="BD16" i="1" s="1"/>
  <c r="Z16" i="1"/>
  <c r="AA16" i="1"/>
  <c r="T22" i="1"/>
  <c r="W22" i="1"/>
  <c r="AC22" i="1" s="1"/>
  <c r="AC20" i="1"/>
  <c r="V20" i="1"/>
  <c r="Z12" i="1"/>
  <c r="AA12" i="1"/>
  <c r="AE16" i="1"/>
  <c r="BA12" i="1"/>
  <c r="BD12" i="1" s="1"/>
  <c r="AZ16" i="1"/>
  <c r="BC16" i="1" s="1"/>
  <c r="Z20" i="1"/>
  <c r="U22" i="1"/>
  <c r="AA20" i="1"/>
  <c r="AE20" i="1"/>
  <c r="BA20" i="1" l="1"/>
  <c r="V22" i="1"/>
  <c r="AB22" i="1" s="1"/>
  <c r="AB20" i="1"/>
  <c r="Z22" i="1"/>
  <c r="Y22" i="1" s="1"/>
  <c r="X22" i="1" s="1"/>
  <c r="AA22" i="1"/>
  <c r="AZ22" i="1"/>
  <c r="BC22" i="1" s="1"/>
  <c r="BC20" i="1"/>
  <c r="AE22" i="1" l="1"/>
  <c r="AD22" i="1" s="1"/>
  <c r="BD20" i="1"/>
  <c r="BA22" i="1"/>
  <c r="BD22" i="1" s="1"/>
</calcChain>
</file>

<file path=xl/comments1.xml><?xml version="1.0" encoding="utf-8"?>
<comments xmlns="http://schemas.openxmlformats.org/spreadsheetml/2006/main">
  <authors>
    <author>Aniket Mulmule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R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9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13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<sst xmlns="http://schemas.openxmlformats.org/spreadsheetml/2006/main" count="211" uniqueCount="84">
  <si>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</si>
  <si>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</si>
  <si>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</si>
  <si>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</si>
  <si>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</si>
  <si>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</si>
  <si>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</si>
  <si>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</si>
  <si>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</si>
  <si>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</si>
  <si>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</si>
  <si>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</si>
  <si>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</si>
  <si>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</si>
  <si>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</si>
  <si>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</si>
  <si>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</si>
  <si>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</si>
  <si>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</si>
  <si>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</si>
  <si>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</si>
  <si>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</si>
  <si>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</si>
  <si>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</si>
  <si>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</si>
  <si>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</si>
  <si>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</si>
  <si>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</si>
  <si>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</si>
  <si>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</si>
  <si>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</si>
  <si>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</si>
  <si>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</si>
  <si>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</si>
  <si>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</si>
  <si>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</si>
  <si>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</si>
  <si>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</si>
  <si>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</si>
  <si>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</si>
  <si>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</si>
  <si>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</si>
  <si>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</si>
  <si>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</si>
  <si>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</si>
  <si>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</si>
  <si>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</si>
  <si>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</si>
  <si>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</si>
  <si>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</si>
  <si>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</si>
  <si>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</si>
  <si>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</si>
  <si>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</si>
  <si>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</si>
  <si>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</si>
  <si>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</si>
  <si>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</si>
  <si>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</si>
  <si>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</si>
  <si>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</si>
  <si>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</si>
  <si>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</si>
  <si>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</si>
  <si>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</si>
  <si>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</si>
  <si>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</si>
  <si>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</si>
  <si>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</si>
  <si>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</si>
  <si>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</si>
  <si>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</si>
  <si>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</si>
  <si>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</si>
  <si>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>Rehab</t>
  </si>
  <si>
    <t>Portfolio</t>
  </si>
  <si>
    <t>Portfolio - excluding rehabs, lease ups</t>
  </si>
  <si>
    <t xml:space="preserve">Project Id </t>
  </si>
  <si>
    <t>Mgmt Company</t>
  </si>
  <si>
    <t>Other Totals/Avg</t>
  </si>
  <si>
    <t>March 2018 YTD Operating and Budgeted Results</t>
  </si>
  <si>
    <t>3/31/2018 Cash and Reserve Balances</t>
  </si>
  <si>
    <t>EHI 2018 Operating Expenses</t>
  </si>
  <si>
    <t xml:space="preserve"> Actual Occupancy @ 5/11/2018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</si>
</sst>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(* #,##0_);_(* \(#,##0\);_(* &quot;-&quot;_);_(@_)"/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b/>
      <sz val="10"/>
      <color rgb="FF0000D4"/>
      <name val="Arial"/>
      <family val="2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b/>
      <i/>
      <sz val="10"/>
      <color rgb="FF0133BF"/>
      <name val="Arial"/>
      <family val="2"/>
    </font>
    <font>
      <b/>
      <i/>
      <sz val="10"/>
      <color rgb="FF0070C0"/>
      <name val="Arial"/>
      <family val="2"/>
    </font>
    <font>
      <b/>
      <i/>
      <sz val="10"/>
      <color theme="1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</cellStyleXfs>
  <cellXfs count="259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6" fillId="0" borderId="26" xfId="0" applyFont="1" applyBorder="1"/>
    <xf numFmtId="0" fontId="9" fillId="0" borderId="0" xfId="0" applyFont="1"/>
    <xf numFmtId="0" fontId="0" fillId="0" borderId="30" xfId="0" applyBorder="1"/>
    <xf numFmtId="0" fontId="10" fillId="0" borderId="0" xfId="3"/>
    <xf numFmtId="0" fontId="10" fillId="0" borderId="0" xfId="3" applyAlignment="1">
      <alignment horizontal="center"/>
    </xf>
    <xf numFmtId="14" fontId="0" fillId="0" borderId="26" xfId="0" applyNumberFormat="1" applyBorder="1"/>
    <xf numFmtId="14" fontId="10" fillId="0" borderId="0" xfId="3" applyNumberFormat="1"/>
    <xf numFmtId="166" fontId="0" fillId="0" borderId="0" xfId="4" applyNumberFormat="1" applyFont="1" applyAlignment="1">
      <alignment horizontal="center"/>
    </xf>
    <xf numFmtId="0" fontId="8" fillId="0" borderId="23" xfId="0" applyFont="1" applyBorder="1" applyAlignment="1"/>
    <xf numFmtId="167" fontId="14" fillId="0" borderId="0" xfId="0" applyNumberFormat="1" applyFont="1" applyAlignment="1">
      <alignment horizontal="center" vertical="center"/>
    </xf>
    <xf numFmtId="14" fontId="0" fillId="0" borderId="0" xfId="0" applyNumberFormat="1"/>
    <xf numFmtId="0" fontId="15" fillId="2" borderId="0" xfId="5"/>
    <xf numFmtId="165" fontId="6" fillId="0" borderId="26" xfId="0" applyNumberFormat="1" applyFont="1" applyBorder="1" applyAlignment="1"/>
    <xf numFmtId="14" fontId="12" fillId="0" borderId="26" xfId="0" applyNumberFormat="1" applyFont="1" applyBorder="1"/>
    <xf numFmtId="166" fontId="12" fillId="0" borderId="0" xfId="4" applyNumberFormat="1" applyFont="1" applyAlignment="1">
      <alignment horizontal="center"/>
    </xf>
    <xf numFmtId="166" fontId="12" fillId="0" borderId="26" xfId="4" applyNumberFormat="1" applyFont="1" applyBorder="1" applyAlignment="1">
      <alignment horizontal="center"/>
    </xf>
    <xf numFmtId="166" fontId="12" fillId="0" borderId="26" xfId="0" applyNumberFormat="1" applyFont="1" applyBorder="1" applyAlignment="1">
      <alignment horizontal="center"/>
    </xf>
    <xf numFmtId="0" fontId="17" fillId="3" borderId="26" xfId="6" applyFont="1" applyBorder="1" applyAlignment="1">
      <alignment horizontal="center" wrapText="1"/>
    </xf>
    <xf numFmtId="0" fontId="11" fillId="0" borderId="26" xfId="3" applyFont="1" applyBorder="1" applyAlignment="1">
      <alignment horizontal="center"/>
    </xf>
    <xf numFmtId="0" fontId="0" fillId="0" borderId="31" xfId="0" applyBorder="1"/>
    <xf numFmtId="0" fontId="0" fillId="0" borderId="26" xfId="0" applyBorder="1"/>
    <xf numFmtId="165" fontId="7" fillId="0" borderId="26" xfId="0" applyNumberFormat="1" applyFont="1" applyBorder="1" applyAlignment="1">
      <alignment horizontal="right" wrapText="1"/>
    </xf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6" borderId="18" xfId="0" applyFont="1" applyFill="1" applyBorder="1" applyAlignment="1">
      <alignment horizontal="right" wrapText="1"/>
    </xf>
    <xf numFmtId="0" fontId="4" fillId="6" borderId="16" xfId="0" applyFont="1" applyFill="1" applyBorder="1" applyAlignment="1">
      <alignment horizontal="right" wrapText="1"/>
    </xf>
    <xf numFmtId="0" fontId="4" fillId="4" borderId="22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6" borderId="21" xfId="0" applyFont="1" applyFill="1" applyBorder="1" applyAlignment="1">
      <alignment horizontal="right" wrapText="1"/>
    </xf>
    <xf numFmtId="0" fontId="4" fillId="0" borderId="25" xfId="0" applyFont="1" applyFill="1" applyBorder="1" applyAlignment="1">
      <alignment horizontal="left" indent="1"/>
    </xf>
    <xf numFmtId="0" fontId="18" fillId="0" borderId="26" xfId="0" applyFont="1" applyFill="1" applyBorder="1" applyAlignment="1">
      <alignment horizontal="right"/>
    </xf>
    <xf numFmtId="0" fontId="4" fillId="0" borderId="26" xfId="0" applyFont="1" applyFill="1" applyBorder="1" applyAlignment="1">
      <alignment horizontal="left" indent="1"/>
    </xf>
    <xf numFmtId="0" fontId="4" fillId="6" borderId="26" xfId="0" applyFont="1" applyFill="1" applyBorder="1" applyAlignment="1">
      <alignment horizontal="right"/>
    </xf>
    <xf numFmtId="0" fontId="4" fillId="0" borderId="26" xfId="0" applyFont="1" applyFill="1" applyBorder="1" applyAlignment="1">
      <alignment horizontal="right"/>
    </xf>
    <xf numFmtId="0" fontId="4" fillId="6" borderId="23" xfId="0" applyFont="1" applyFill="1" applyBorder="1" applyAlignment="1">
      <alignment horizontal="right"/>
    </xf>
    <xf numFmtId="0" fontId="4" fillId="4" borderId="27" xfId="0" applyFont="1" applyFill="1" applyBorder="1" applyAlignment="1">
      <alignment horizontal="right"/>
    </xf>
    <xf numFmtId="0" fontId="4" fillId="4" borderId="26" xfId="0" applyFont="1" applyFill="1" applyBorder="1" applyAlignment="1">
      <alignment horizontal="right"/>
    </xf>
    <xf numFmtId="0" fontId="4" fillId="5" borderId="26" xfId="0" applyFont="1" applyFill="1" applyBorder="1" applyAlignment="1">
      <alignment horizontal="right"/>
    </xf>
    <xf numFmtId="0" fontId="4" fillId="6" borderId="28" xfId="0" applyFont="1" applyFill="1" applyBorder="1" applyAlignment="1">
      <alignment horizontal="right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6" fillId="0" borderId="26" xfId="0" applyFont="1" applyFill="1" applyBorder="1" applyAlignment="1"/>
    <xf numFmtId="165" fontId="22" fillId="4" borderId="27" xfId="1" applyNumberFormat="1" applyFont="1" applyFill="1" applyBorder="1" applyAlignment="1"/>
    <xf numFmtId="165" fontId="6" fillId="4" borderId="26" xfId="1" applyNumberFormat="1" applyFont="1" applyFill="1" applyBorder="1" applyAlignment="1"/>
    <xf numFmtId="165" fontId="22" fillId="4" borderId="26" xfId="1" applyNumberFormat="1" applyFont="1" applyFill="1" applyBorder="1" applyAlignment="1"/>
    <xf numFmtId="165" fontId="22" fillId="5" borderId="26" xfId="1" applyNumberFormat="1" applyFont="1" applyFill="1" applyBorder="1" applyAlignment="1"/>
    <xf numFmtId="165" fontId="6" fillId="5" borderId="26" xfId="1" applyNumberFormat="1" applyFont="1" applyFill="1" applyBorder="1" applyAlignment="1"/>
    <xf numFmtId="165" fontId="6" fillId="4" borderId="23" xfId="1" applyNumberFormat="1" applyFont="1" applyFill="1" applyBorder="1" applyAlignment="1"/>
    <xf numFmtId="41" fontId="23" fillId="5" borderId="26" xfId="1" applyNumberFormat="1" applyFont="1" applyFill="1" applyBorder="1" applyAlignment="1"/>
    <xf numFmtId="165" fontId="6" fillId="5" borderId="28" xfId="1" applyNumberFormat="1" applyFont="1" applyFill="1" applyBorder="1" applyAlignment="1"/>
    <xf numFmtId="165" fontId="22" fillId="4" borderId="24" xfId="1" applyNumberFormat="1" applyFont="1" applyFill="1" applyBorder="1" applyAlignment="1"/>
    <xf numFmtId="165" fontId="24" fillId="5" borderId="26" xfId="1" applyNumberFormat="1" applyFont="1" applyFill="1" applyBorder="1" applyAlignment="1"/>
    <xf numFmtId="165" fontId="6" fillId="6" borderId="26" xfId="1" applyNumberFormat="1" applyFont="1" applyFill="1" applyBorder="1" applyAlignment="1"/>
    <xf numFmtId="165" fontId="6" fillId="6" borderId="28" xfId="1" applyNumberFormat="1" applyFont="1" applyFill="1" applyBorder="1" applyAlignment="1"/>
    <xf numFmtId="0" fontId="22" fillId="0" borderId="23" xfId="0" applyFont="1" applyFill="1" applyBorder="1" applyAlignment="1"/>
    <xf numFmtId="166" fontId="10" fillId="7" borderId="26" xfId="2" applyNumberFormat="1" applyFont="1" applyFill="1" applyBorder="1" applyAlignment="1">
      <alignment horizontal="center"/>
    </xf>
    <xf numFmtId="166" fontId="10" fillId="8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9" fillId="4" borderId="27" xfId="1" applyNumberFormat="1" applyFont="1" applyFill="1" applyBorder="1" applyAlignment="1">
      <alignment horizontal="right"/>
    </xf>
    <xf numFmtId="165" fontId="7" fillId="4" borderId="26" xfId="1" applyNumberFormat="1" applyFont="1" applyFill="1" applyBorder="1" applyAlignment="1">
      <alignment horizontal="right"/>
    </xf>
    <xf numFmtId="165" fontId="19" fillId="4" borderId="26" xfId="1" applyNumberFormat="1" applyFont="1" applyFill="1" applyBorder="1" applyAlignment="1">
      <alignment horizontal="right"/>
    </xf>
    <xf numFmtId="165" fontId="19" fillId="5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4" borderId="23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165" fontId="7" fillId="6" borderId="26" xfId="1" applyNumberFormat="1" applyFont="1" applyFill="1" applyBorder="1" applyAlignment="1">
      <alignment horizontal="right"/>
    </xf>
    <xf numFmtId="165" fontId="7" fillId="6" borderId="28" xfId="1" applyNumberFormat="1" applyFont="1" applyFill="1" applyBorder="1" applyAlignment="1">
      <alignment horizontal="right"/>
    </xf>
    <xf numFmtId="165" fontId="6" fillId="0" borderId="26" xfId="0" applyNumberFormat="1" applyFont="1" applyBorder="1" applyAlignment="1">
      <alignment horizontal="right"/>
    </xf>
    <xf numFmtId="165" fontId="6" fillId="4" borderId="26" xfId="1" applyNumberFormat="1" applyFont="1" applyFill="1" applyBorder="1" applyAlignment="1">
      <alignment horizontal="right"/>
    </xf>
    <xf numFmtId="165" fontId="6" fillId="5" borderId="26" xfId="1" applyNumberFormat="1" applyFont="1" applyFill="1" applyBorder="1" applyAlignment="1">
      <alignment horizontal="right"/>
    </xf>
    <xf numFmtId="165" fontId="6" fillId="4" borderId="23" xfId="1" applyNumberFormat="1" applyFont="1" applyFill="1" applyBorder="1" applyAlignment="1">
      <alignment horizontal="right"/>
    </xf>
    <xf numFmtId="165" fontId="6" fillId="5" borderId="28" xfId="1" applyNumberFormat="1" applyFont="1" applyFill="1" applyBorder="1" applyAlignment="1">
      <alignment horizontal="right"/>
    </xf>
    <xf numFmtId="165" fontId="6" fillId="6" borderId="26" xfId="1" applyNumberFormat="1" applyFont="1" applyFill="1" applyBorder="1" applyAlignment="1">
      <alignment horizontal="right"/>
    </xf>
    <xf numFmtId="165" fontId="6" fillId="6" borderId="28" xfId="1" applyNumberFormat="1" applyFont="1" applyFill="1" applyBorder="1" applyAlignment="1">
      <alignment horizontal="right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26" xfId="0" applyNumberFormat="1" applyFont="1" applyFill="1" applyBorder="1" applyAlignment="1">
      <alignment horizontal="right" wrapText="1"/>
    </xf>
    <xf numFmtId="165" fontId="7" fillId="4" borderId="16" xfId="0" applyNumberFormat="1" applyFont="1" applyFill="1" applyBorder="1" applyAlignment="1">
      <alignment horizontal="right" wrapText="1"/>
    </xf>
    <xf numFmtId="165" fontId="7" fillId="5" borderId="22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7" fillId="4" borderId="23" xfId="0" applyNumberFormat="1" applyFont="1" applyFill="1" applyBorder="1" applyAlignment="1">
      <alignment horizontal="right" wrapText="1"/>
    </xf>
    <xf numFmtId="165" fontId="7" fillId="4" borderId="24" xfId="0" applyNumberFormat="1" applyFont="1" applyFill="1" applyBorder="1" applyAlignment="1">
      <alignment horizontal="right" wrapText="1"/>
    </xf>
    <xf numFmtId="165" fontId="7" fillId="6" borderId="17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21" xfId="0" applyNumberFormat="1" applyFont="1" applyFill="1" applyBorder="1" applyAlignment="1">
      <alignment horizontal="right" wrapText="1"/>
    </xf>
    <xf numFmtId="165" fontId="19" fillId="0" borderId="26" xfId="0" applyNumberFormat="1" applyFont="1" applyFill="1" applyBorder="1" applyAlignment="1">
      <alignment horizontal="right"/>
    </xf>
    <xf numFmtId="165" fontId="7" fillId="0" borderId="26" xfId="0" applyNumberFormat="1" applyFont="1" applyFill="1" applyBorder="1" applyAlignment="1">
      <alignment horizontal="right"/>
    </xf>
    <xf numFmtId="165" fontId="7" fillId="6" borderId="26" xfId="0" applyNumberFormat="1" applyFont="1" applyFill="1" applyBorder="1" applyAlignment="1">
      <alignment horizontal="right"/>
    </xf>
    <xf numFmtId="165" fontId="7" fillId="6" borderId="23" xfId="0" applyNumberFormat="1" applyFont="1" applyFill="1" applyBorder="1" applyAlignment="1">
      <alignment horizontal="right"/>
    </xf>
    <xf numFmtId="165" fontId="7" fillId="4" borderId="26" xfId="0" applyNumberFormat="1" applyFont="1" applyFill="1" applyBorder="1" applyAlignment="1">
      <alignment horizontal="right"/>
    </xf>
    <xf numFmtId="165" fontId="7" fillId="5" borderId="26" xfId="0" applyNumberFormat="1" applyFont="1" applyFill="1" applyBorder="1" applyAlignment="1">
      <alignment horizontal="right"/>
    </xf>
    <xf numFmtId="165" fontId="7" fillId="6" borderId="28" xfId="0" applyNumberFormat="1" applyFont="1" applyFill="1" applyBorder="1" applyAlignment="1">
      <alignment horizontal="right"/>
    </xf>
    <xf numFmtId="165" fontId="6" fillId="0" borderId="25" xfId="0" applyNumberFormat="1" applyFont="1" applyFill="1" applyBorder="1" applyAlignment="1">
      <alignment horizontal="right"/>
    </xf>
    <xf numFmtId="165" fontId="22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6" borderId="26" xfId="0" applyNumberFormat="1" applyFont="1" applyFill="1" applyBorder="1" applyAlignment="1">
      <alignment horizontal="right"/>
    </xf>
    <xf numFmtId="165" fontId="6" fillId="6" borderId="23" xfId="0" applyNumberFormat="1" applyFont="1" applyFill="1" applyBorder="1" applyAlignment="1">
      <alignment horizontal="right"/>
    </xf>
    <xf numFmtId="165" fontId="6" fillId="4" borderId="27" xfId="0" applyNumberFormat="1" applyFont="1" applyFill="1" applyBorder="1" applyAlignment="1">
      <alignment horizontal="right"/>
    </xf>
    <xf numFmtId="165" fontId="6" fillId="4" borderId="26" xfId="0" applyNumberFormat="1" applyFont="1" applyFill="1" applyBorder="1" applyAlignment="1">
      <alignment horizontal="right"/>
    </xf>
    <xf numFmtId="165" fontId="6" fillId="5" borderId="26" xfId="0" applyNumberFormat="1" applyFont="1" applyFill="1" applyBorder="1" applyAlignment="1">
      <alignment horizontal="right"/>
    </xf>
    <xf numFmtId="165" fontId="6" fillId="6" borderId="28" xfId="0" applyNumberFormat="1" applyFont="1" applyFill="1" applyBorder="1" applyAlignment="1">
      <alignment horizontal="right"/>
    </xf>
    <xf numFmtId="9" fontId="7" fillId="5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4" borderId="32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6" borderId="33" xfId="0" applyNumberFormat="1" applyFont="1" applyFill="1" applyBorder="1" applyAlignment="1">
      <alignment horizontal="right"/>
    </xf>
    <xf numFmtId="165" fontId="6" fillId="6" borderId="34" xfId="0" applyNumberFormat="1" applyFont="1" applyFill="1" applyBorder="1" applyAlignment="1">
      <alignment horizontal="right"/>
    </xf>
    <xf numFmtId="9" fontId="6" fillId="5" borderId="26" xfId="2" applyFont="1" applyFill="1" applyBorder="1" applyAlignment="1">
      <alignment horizontal="right"/>
    </xf>
    <xf numFmtId="9" fontId="6" fillId="5" borderId="33" xfId="2" applyFont="1" applyFill="1" applyBorder="1" applyAlignment="1">
      <alignment horizontal="right"/>
    </xf>
    <xf numFmtId="0" fontId="4" fillId="0" borderId="23" xfId="0" applyFont="1" applyFill="1" applyBorder="1" applyAlignment="1">
      <alignment horizontal="left" indent="2"/>
    </xf>
    <xf numFmtId="0" fontId="4" fillId="0" borderId="23" xfId="0" applyFont="1" applyBorder="1" applyAlignment="1">
      <alignment horizontal="left" indent="2"/>
    </xf>
    <xf numFmtId="0" fontId="6" fillId="0" borderId="26" xfId="0" applyFont="1" applyFill="1" applyBorder="1" applyAlignment="1">
      <alignment horizontal="left" indent="3"/>
    </xf>
    <xf numFmtId="0" fontId="6" fillId="0" borderId="14" xfId="0" applyFont="1" applyFill="1" applyBorder="1" applyAlignment="1">
      <alignment horizontal="left" indent="3"/>
    </xf>
    <xf numFmtId="0" fontId="7" fillId="0" borderId="25" xfId="0" applyFont="1" applyBorder="1" applyAlignment="1">
      <alignment horizontal="left" indent="4"/>
    </xf>
    <xf numFmtId="0" fontId="6" fillId="0" borderId="26" xfId="0" applyFont="1" applyBorder="1" applyAlignment="1">
      <alignment horizontal="left" indent="1"/>
    </xf>
    <xf numFmtId="0" fontId="6" fillId="0" borderId="26" xfId="0" applyFont="1" applyBorder="1" applyAlignment="1">
      <alignment horizontal="left" indent="3"/>
    </xf>
    <xf numFmtId="166" fontId="7" fillId="6" borderId="26" xfId="2" applyNumberFormat="1" applyFont="1" applyFill="1" applyBorder="1" applyAlignment="1">
      <alignment horizontal="right"/>
    </xf>
    <xf numFmtId="166" fontId="6" fillId="6" borderId="26" xfId="2" applyNumberFormat="1" applyFont="1" applyFill="1" applyBorder="1" applyAlignment="1">
      <alignment horizontal="right"/>
    </xf>
    <xf numFmtId="14" fontId="27" fillId="9" borderId="31" xfId="0" applyNumberFormat="1" applyFont="1" applyFill="1" applyBorder="1" applyAlignment="1">
      <alignment horizontal="center" vertical="center"/>
    </xf>
    <xf numFmtId="165" fontId="19" fillId="0" borderId="26" xfId="0" applyNumberFormat="1" applyFont="1" applyFill="1" applyBorder="1" applyAlignment="1">
      <alignment horizontal="center"/>
    </xf>
    <xf numFmtId="0" fontId="19" fillId="0" borderId="23" xfId="0" applyFont="1" applyFill="1" applyBorder="1" applyAlignment="1">
      <alignment horizontal="center"/>
    </xf>
    <xf numFmtId="0" fontId="12" fillId="0" borderId="26" xfId="0" applyFont="1" applyBorder="1"/>
    <xf numFmtId="0" fontId="7" fillId="0" borderId="23" xfId="0" applyFont="1" applyBorder="1" applyAlignment="1"/>
    <xf numFmtId="0" fontId="7" fillId="0" borderId="18" xfId="0" applyFont="1" applyFill="1" applyBorder="1" applyAlignment="1">
      <alignment horizontal="left"/>
    </xf>
    <xf numFmtId="165" fontId="7" fillId="0" borderId="26" xfId="0" applyNumberFormat="1" applyFont="1" applyBorder="1" applyAlignment="1">
      <alignment horizontal="right"/>
    </xf>
    <xf numFmtId="165" fontId="6" fillId="4" borderId="35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9" fontId="6" fillId="5" borderId="8" xfId="2" applyFont="1" applyFill="1" applyBorder="1" applyAlignment="1">
      <alignment horizontal="right"/>
    </xf>
    <xf numFmtId="165" fontId="6" fillId="6" borderId="8" xfId="0" applyNumberFormat="1" applyFont="1" applyFill="1" applyBorder="1" applyAlignment="1">
      <alignment horizontal="right"/>
    </xf>
    <xf numFmtId="165" fontId="6" fillId="6" borderId="11" xfId="0" applyNumberFormat="1" applyFont="1" applyFill="1" applyBorder="1" applyAlignment="1">
      <alignment horizontal="right"/>
    </xf>
    <xf numFmtId="0" fontId="6" fillId="0" borderId="6" xfId="0" applyFont="1" applyBorder="1" applyAlignment="1">
      <alignment horizontal="left" indent="3"/>
    </xf>
    <xf numFmtId="165" fontId="6" fillId="0" borderId="8" xfId="0" applyNumberFormat="1" applyFont="1" applyBorder="1" applyAlignment="1">
      <alignment horizontal="right"/>
    </xf>
    <xf numFmtId="165" fontId="6" fillId="0" borderId="9" xfId="0" applyNumberFormat="1" applyFont="1" applyFill="1" applyBorder="1" applyAlignment="1">
      <alignment horizontal="right"/>
    </xf>
    <xf numFmtId="165" fontId="22" fillId="0" borderId="8" xfId="0" applyNumberFormat="1" applyFont="1" applyFill="1" applyBorder="1" applyAlignment="1">
      <alignment horizontal="right"/>
    </xf>
    <xf numFmtId="165" fontId="6" fillId="0" borderId="8" xfId="0" applyNumberFormat="1" applyFont="1" applyFill="1" applyBorder="1" applyAlignment="1">
      <alignment horizontal="right"/>
    </xf>
    <xf numFmtId="166" fontId="6" fillId="6" borderId="8" xfId="2" applyNumberFormat="1" applyFont="1" applyFill="1" applyBorder="1" applyAlignment="1">
      <alignment horizontal="right"/>
    </xf>
    <xf numFmtId="165" fontId="6" fillId="6" borderId="6" xfId="0" applyNumberFormat="1" applyFont="1" applyFill="1" applyBorder="1" applyAlignment="1">
      <alignment horizontal="right"/>
    </xf>
    <xf numFmtId="0" fontId="6" fillId="0" borderId="8" xfId="0" applyFont="1" applyFill="1" applyBorder="1" applyAlignment="1">
      <alignment horizontal="left" indent="3"/>
    </xf>
    <xf numFmtId="0" fontId="7" fillId="0" borderId="26" xfId="0" applyFont="1" applyBorder="1" applyAlignment="1"/>
    <xf numFmtId="165" fontId="7" fillId="5" borderId="8" xfId="0" applyNumberFormat="1" applyFont="1" applyFill="1" applyBorder="1" applyAlignment="1">
      <alignment horizontal="right"/>
    </xf>
    <xf numFmtId="0" fontId="6" fillId="0" borderId="8" xfId="0" applyFont="1" applyBorder="1" applyAlignment="1">
      <alignment horizontal="left" indent="3"/>
    </xf>
    <xf numFmtId="0" fontId="25" fillId="0" borderId="13" xfId="0" applyFont="1" applyBorder="1" applyAlignment="1">
      <alignment horizontal="right"/>
    </xf>
    <xf numFmtId="165" fontId="6" fillId="4" borderId="8" xfId="1" applyNumberFormat="1" applyFont="1" applyFill="1" applyBorder="1" applyAlignment="1">
      <alignment horizontal="right"/>
    </xf>
    <xf numFmtId="165" fontId="6" fillId="5" borderId="8" xfId="1" applyNumberFormat="1" applyFont="1" applyFill="1" applyBorder="1" applyAlignment="1">
      <alignment horizontal="right"/>
    </xf>
    <xf numFmtId="165" fontId="6" fillId="4" borderId="6" xfId="1" applyNumberFormat="1" applyFont="1" applyFill="1" applyBorder="1" applyAlignment="1">
      <alignment horizontal="right"/>
    </xf>
    <xf numFmtId="165" fontId="6" fillId="5" borderId="11" xfId="1" applyNumberFormat="1" applyFont="1" applyFill="1" applyBorder="1" applyAlignment="1">
      <alignment horizontal="right"/>
    </xf>
    <xf numFmtId="165" fontId="6" fillId="6" borderId="8" xfId="1" applyNumberFormat="1" applyFont="1" applyFill="1" applyBorder="1" applyAlignment="1">
      <alignment horizontal="right"/>
    </xf>
    <xf numFmtId="165" fontId="6" fillId="6" borderId="11" xfId="1" applyNumberFormat="1" applyFont="1" applyFill="1" applyBorder="1" applyAlignment="1">
      <alignment horizontal="right"/>
    </xf>
    <xf numFmtId="165" fontId="7" fillId="0" borderId="26" xfId="0" applyNumberFormat="1" applyFont="1" applyBorder="1" applyAlignment="1"/>
    <xf numFmtId="0" fontId="25" fillId="0" borderId="24" xfId="0" applyFont="1" applyBorder="1" applyAlignment="1">
      <alignment horizontal="right"/>
    </xf>
    <xf numFmtId="165" fontId="6" fillId="4" borderId="26" xfId="1" applyNumberFormat="1" applyFont="1" applyFill="1" applyBorder="1" applyAlignment="1">
      <alignment horizontal="center"/>
    </xf>
    <xf numFmtId="165" fontId="6" fillId="4" borderId="26" xfId="1" applyNumberFormat="1" applyFont="1" applyFill="1" applyBorder="1"/>
    <xf numFmtId="165" fontId="6" fillId="5" borderId="26" xfId="1" applyNumberFormat="1" applyFont="1" applyFill="1" applyBorder="1" applyAlignment="1">
      <alignment horizontal="center"/>
    </xf>
    <xf numFmtId="165" fontId="6" fillId="5" borderId="26" xfId="1" applyNumberFormat="1" applyFont="1" applyFill="1" applyBorder="1"/>
    <xf numFmtId="165" fontId="6" fillId="4" borderId="23" xfId="1" applyNumberFormat="1" applyFont="1" applyFill="1" applyBorder="1"/>
    <xf numFmtId="165" fontId="6" fillId="5" borderId="28" xfId="1" applyNumberFormat="1" applyFont="1" applyFill="1" applyBorder="1"/>
    <xf numFmtId="165" fontId="6" fillId="6" borderId="26" xfId="1" applyNumberFormat="1" applyFont="1" applyFill="1" applyBorder="1" applyAlignment="1">
      <alignment horizontal="center"/>
    </xf>
    <xf numFmtId="165" fontId="6" fillId="6" borderId="26" xfId="1" applyNumberFormat="1" applyFont="1" applyFill="1" applyBorder="1"/>
    <xf numFmtId="165" fontId="6" fillId="6" borderId="28" xfId="1" applyNumberFormat="1" applyFont="1" applyFill="1" applyBorder="1"/>
    <xf numFmtId="165" fontId="6" fillId="4" borderId="26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36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3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center"/>
    </xf>
    <xf numFmtId="0" fontId="7" fillId="0" borderId="19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1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219075</xdr:rowOff>
        </xdr:from>
        <xdr:to>
          <xdr:col>7</xdr:col>
          <xdr:colOff>66675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1094"/>
  <sheetViews>
    <sheetView tabSelected="1" zoomScale="85" zoomScaleNormal="85" zoomScaleSheetLayoutView="40" workbookViewId="0">
      <selection activeCell="C3" sqref="C3"/>
    </sheetView>
  </sheetViews>
  <sheetFormatPr defaultRowHeight="15" x14ac:dyDescent="0.25"/>
  <cols>
    <col min="1" max="1" width="45.42578125" customWidth="1"/>
    <col min="2" max="2" width="8.7109375" customWidth="1"/>
    <col min="3" max="3" width="37.5703125" bestFit="1" customWidth="1"/>
    <col min="4" max="4" width="9.28515625" hidden="1" customWidth="1"/>
    <col min="5" max="5" width="13.28515625" bestFit="1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42578125" customWidth="1"/>
    <col min="12" max="12" width="0.140625" hidden="1" customWidth="1"/>
    <col min="13" max="13" width="8.5703125" hidden="1" customWidth="1"/>
    <col min="14" max="14" width="9.28515625" hidden="1" customWidth="1"/>
    <col min="15" max="15" width="0.140625" customWidth="1"/>
    <col min="16" max="17" width="12.140625" customWidth="1"/>
    <col min="18" max="18" width="10.7109375" customWidth="1"/>
    <col min="19" max="19" width="9.7109375" bestFit="1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.75" thickBot="1" x14ac:dyDescent="0.3">
      <c r="A2" s="1" t="s">
        <v>1</v>
      </c>
      <c r="F2" t="s">
        <v>2</v>
      </c>
    </row>
    <row r="3" spans="1:56" ht="18.75" thickBot="1" x14ac:dyDescent="0.3">
      <c r="A3" s="2" t="s">
        <v>3</v>
      </c>
      <c r="B3" s="15"/>
      <c r="C3" s="147">
        <v>43262</v>
      </c>
    </row>
    <row r="4" spans="1:56" ht="15.75" thickBot="1" x14ac:dyDescent="0.3">
      <c r="A4" s="14"/>
    </row>
    <row r="5" spans="1:56" ht="21.75" customHeight="1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08" t="s">
        <v>80</v>
      </c>
      <c r="Q5" s="209"/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10"/>
      <c r="AF5" s="211"/>
      <c r="AG5" s="209"/>
      <c r="AH5" s="209"/>
      <c r="AI5" s="209"/>
      <c r="AJ5" s="209"/>
      <c r="AK5" s="209"/>
      <c r="AL5" s="209"/>
      <c r="AM5" s="209"/>
      <c r="AN5" s="209"/>
      <c r="AO5" s="209"/>
      <c r="AP5" s="209"/>
      <c r="AQ5" s="209"/>
      <c r="AR5" s="209"/>
      <c r="AS5" s="209"/>
      <c r="AT5" s="209"/>
      <c r="AU5" s="209"/>
      <c r="AV5" s="209"/>
      <c r="AW5" s="209"/>
      <c r="AX5" s="209"/>
      <c r="AY5" s="209"/>
      <c r="AZ5" s="209"/>
      <c r="BA5" s="209"/>
      <c r="BB5" s="209"/>
      <c r="BC5" s="209"/>
      <c r="BD5" s="212"/>
    </row>
    <row r="6" spans="1:56" s="3" customFormat="1" ht="12.75" customHeight="1" x14ac:dyDescent="0.2">
      <c r="A6" s="28"/>
      <c r="B6" s="29"/>
      <c r="C6" s="30"/>
      <c r="D6" s="30"/>
      <c r="E6" s="213" t="s">
        <v>81</v>
      </c>
      <c r="F6" s="214"/>
      <c r="G6" s="214"/>
      <c r="H6" s="214"/>
      <c r="I6" s="215"/>
      <c r="J6" s="31"/>
      <c r="K6" s="222"/>
      <c r="L6" s="222"/>
      <c r="M6" s="222"/>
      <c r="N6" s="222"/>
      <c r="O6" s="223"/>
      <c r="P6" s="228" t="s">
        <v>5</v>
      </c>
      <c r="Q6" s="191"/>
      <c r="R6" s="191"/>
      <c r="S6" s="191"/>
      <c r="T6" s="192"/>
      <c r="U6" s="231" t="s">
        <v>6</v>
      </c>
      <c r="V6" s="232"/>
      <c r="W6" s="232"/>
      <c r="X6" s="232"/>
      <c r="Y6" s="232"/>
      <c r="Z6" s="233"/>
      <c r="AA6" s="190" t="s">
        <v>7</v>
      </c>
      <c r="AB6" s="191"/>
      <c r="AC6" s="191"/>
      <c r="AD6" s="191"/>
      <c r="AE6" s="192"/>
      <c r="AF6" s="231" t="s">
        <v>8</v>
      </c>
      <c r="AG6" s="232"/>
      <c r="AH6" s="232"/>
      <c r="AI6" s="232"/>
      <c r="AJ6" s="233"/>
      <c r="AK6" s="190" t="s">
        <v>9</v>
      </c>
      <c r="AL6" s="191"/>
      <c r="AM6" s="191"/>
      <c r="AN6" s="191"/>
      <c r="AO6" s="192"/>
      <c r="AP6" s="231" t="s">
        <v>10</v>
      </c>
      <c r="AQ6" s="232"/>
      <c r="AR6" s="232"/>
      <c r="AS6" s="232"/>
      <c r="AT6" s="233"/>
      <c r="AU6" s="190" t="s">
        <v>11</v>
      </c>
      <c r="AV6" s="191"/>
      <c r="AW6" s="191"/>
      <c r="AX6" s="191"/>
      <c r="AY6" s="192"/>
      <c r="AZ6" s="199" t="s">
        <v>12</v>
      </c>
      <c r="BA6" s="200"/>
      <c r="BB6" s="200"/>
      <c r="BC6" s="200"/>
      <c r="BD6" s="201"/>
    </row>
    <row r="7" spans="1:56" s="3" customFormat="1" ht="12.75" customHeight="1" x14ac:dyDescent="0.2">
      <c r="A7" s="32"/>
      <c r="B7" s="33"/>
      <c r="C7" s="34"/>
      <c r="D7" s="34"/>
      <c r="E7" s="216"/>
      <c r="F7" s="217"/>
      <c r="G7" s="217"/>
      <c r="H7" s="217"/>
      <c r="I7" s="218"/>
      <c r="J7" s="35"/>
      <c r="K7" s="224"/>
      <c r="L7" s="224"/>
      <c r="M7" s="224"/>
      <c r="N7" s="224"/>
      <c r="O7" s="225"/>
      <c r="P7" s="229"/>
      <c r="Q7" s="194"/>
      <c r="R7" s="194"/>
      <c r="S7" s="194"/>
      <c r="T7" s="195"/>
      <c r="U7" s="234"/>
      <c r="V7" s="235"/>
      <c r="W7" s="235"/>
      <c r="X7" s="235"/>
      <c r="Y7" s="235"/>
      <c r="Z7" s="236"/>
      <c r="AA7" s="193"/>
      <c r="AB7" s="194"/>
      <c r="AC7" s="194"/>
      <c r="AD7" s="194"/>
      <c r="AE7" s="195"/>
      <c r="AF7" s="234"/>
      <c r="AG7" s="235"/>
      <c r="AH7" s="235"/>
      <c r="AI7" s="235"/>
      <c r="AJ7" s="236"/>
      <c r="AK7" s="193"/>
      <c r="AL7" s="194"/>
      <c r="AM7" s="194"/>
      <c r="AN7" s="194"/>
      <c r="AO7" s="195"/>
      <c r="AP7" s="234"/>
      <c r="AQ7" s="235"/>
      <c r="AR7" s="235"/>
      <c r="AS7" s="235"/>
      <c r="AT7" s="236"/>
      <c r="AU7" s="193"/>
      <c r="AV7" s="194"/>
      <c r="AW7" s="194"/>
      <c r="AX7" s="194"/>
      <c r="AY7" s="195"/>
      <c r="AZ7" s="202"/>
      <c r="BA7" s="203"/>
      <c r="BB7" s="203"/>
      <c r="BC7" s="203"/>
      <c r="BD7" s="204"/>
    </row>
    <row r="8" spans="1:56" s="4" customFormat="1" ht="12.75" customHeight="1" x14ac:dyDescent="0.2">
      <c r="A8" s="36"/>
      <c r="B8" s="37"/>
      <c r="C8" s="38"/>
      <c r="D8" s="38"/>
      <c r="E8" s="219"/>
      <c r="F8" s="220"/>
      <c r="G8" s="220"/>
      <c r="H8" s="220"/>
      <c r="I8" s="221"/>
      <c r="J8" s="39"/>
      <c r="K8" s="226"/>
      <c r="L8" s="226"/>
      <c r="M8" s="226"/>
      <c r="N8" s="226"/>
      <c r="O8" s="227"/>
      <c r="P8" s="230"/>
      <c r="Q8" s="197"/>
      <c r="R8" s="197"/>
      <c r="S8" s="197"/>
      <c r="T8" s="198"/>
      <c r="U8" s="237"/>
      <c r="V8" s="238"/>
      <c r="W8" s="238"/>
      <c r="X8" s="238"/>
      <c r="Y8" s="238"/>
      <c r="Z8" s="239"/>
      <c r="AA8" s="196"/>
      <c r="AB8" s="197"/>
      <c r="AC8" s="197"/>
      <c r="AD8" s="197"/>
      <c r="AE8" s="198"/>
      <c r="AF8" s="237"/>
      <c r="AG8" s="238"/>
      <c r="AH8" s="238"/>
      <c r="AI8" s="238"/>
      <c r="AJ8" s="239"/>
      <c r="AK8" s="196"/>
      <c r="AL8" s="197"/>
      <c r="AM8" s="197"/>
      <c r="AN8" s="197"/>
      <c r="AO8" s="198"/>
      <c r="AP8" s="237"/>
      <c r="AQ8" s="238"/>
      <c r="AR8" s="238"/>
      <c r="AS8" s="238"/>
      <c r="AT8" s="239"/>
      <c r="AU8" s="196"/>
      <c r="AV8" s="197"/>
      <c r="AW8" s="197"/>
      <c r="AX8" s="197"/>
      <c r="AY8" s="198"/>
      <c r="AZ8" s="205"/>
      <c r="BA8" s="206"/>
      <c r="BB8" s="206"/>
      <c r="BC8" s="206"/>
      <c r="BD8" s="207"/>
    </row>
    <row r="9" spans="1:56" s="4" customFormat="1" ht="52.5" customHeight="1" x14ac:dyDescent="0.2">
      <c r="A9" s="80" t="s">
        <v>13</v>
      </c>
      <c r="B9" s="40" t="s">
        <v>14</v>
      </c>
      <c r="C9" s="130" t="s">
        <v>15</v>
      </c>
      <c r="D9" s="40" t="s">
        <v>16</v>
      </c>
      <c r="E9" s="40" t="s">
        <v>17</v>
      </c>
      <c r="F9" s="40" t="s">
        <v>18</v>
      </c>
      <c r="G9" s="40" t="s">
        <v>19</v>
      </c>
      <c r="H9" s="40" t="s">
        <v>20</v>
      </c>
      <c r="I9" s="40" t="s">
        <v>21</v>
      </c>
      <c r="J9" s="41" t="s">
        <v>22</v>
      </c>
      <c r="K9" s="41" t="s">
        <v>83</v>
      </c>
      <c r="L9" s="40" t="s">
        <v>23</v>
      </c>
      <c r="M9" s="40" t="s">
        <v>24</v>
      </c>
      <c r="N9" s="40" t="s">
        <v>25</v>
      </c>
      <c r="O9" s="42" t="s">
        <v>26</v>
      </c>
      <c r="P9" s="43" t="s">
        <v>27</v>
      </c>
      <c r="Q9" s="44" t="s">
        <v>28</v>
      </c>
      <c r="R9" s="44" t="s">
        <v>29</v>
      </c>
      <c r="S9" s="44" t="s">
        <v>30</v>
      </c>
      <c r="T9" s="44" t="s">
        <v>31</v>
      </c>
      <c r="U9" s="45" t="s">
        <v>27</v>
      </c>
      <c r="V9" s="45" t="s">
        <v>28</v>
      </c>
      <c r="W9" s="45" t="s">
        <v>29</v>
      </c>
      <c r="X9" s="45" t="s">
        <v>30</v>
      </c>
      <c r="Y9" s="45" t="s">
        <v>31</v>
      </c>
      <c r="Z9" s="45" t="s">
        <v>32</v>
      </c>
      <c r="AA9" s="44" t="s">
        <v>27</v>
      </c>
      <c r="AB9" s="44" t="s">
        <v>28</v>
      </c>
      <c r="AC9" s="44" t="s">
        <v>29</v>
      </c>
      <c r="AD9" s="44" t="s">
        <v>30</v>
      </c>
      <c r="AE9" s="44" t="s">
        <v>31</v>
      </c>
      <c r="AF9" s="45" t="s">
        <v>27</v>
      </c>
      <c r="AG9" s="45" t="s">
        <v>28</v>
      </c>
      <c r="AH9" s="45" t="s">
        <v>29</v>
      </c>
      <c r="AI9" s="45" t="s">
        <v>30</v>
      </c>
      <c r="AJ9" s="45" t="s">
        <v>31</v>
      </c>
      <c r="AK9" s="44" t="s">
        <v>27</v>
      </c>
      <c r="AL9" s="44" t="s">
        <v>28</v>
      </c>
      <c r="AM9" s="44" t="s">
        <v>29</v>
      </c>
      <c r="AN9" s="44" t="s">
        <v>30</v>
      </c>
      <c r="AO9" s="44" t="s">
        <v>31</v>
      </c>
      <c r="AP9" s="45" t="s">
        <v>27</v>
      </c>
      <c r="AQ9" s="45" t="s">
        <v>28</v>
      </c>
      <c r="AR9" s="45" t="s">
        <v>29</v>
      </c>
      <c r="AS9" s="45" t="s">
        <v>30</v>
      </c>
      <c r="AT9" s="45" t="s">
        <v>31</v>
      </c>
      <c r="AU9" s="44" t="s">
        <v>27</v>
      </c>
      <c r="AV9" s="44" t="s">
        <v>28</v>
      </c>
      <c r="AW9" s="44" t="s">
        <v>29</v>
      </c>
      <c r="AX9" s="44" t="s">
        <v>30</v>
      </c>
      <c r="AY9" s="44" t="s">
        <v>31</v>
      </c>
      <c r="AZ9" s="41" t="s">
        <v>27</v>
      </c>
      <c r="BA9" s="41" t="s">
        <v>28</v>
      </c>
      <c r="BB9" s="41" t="s">
        <v>33</v>
      </c>
      <c r="BC9" s="41" t="s">
        <v>30</v>
      </c>
      <c r="BD9" s="46" t="s">
        <v>31</v>
      </c>
    </row>
    <row r="10" spans="1:56" s="4" customFormat="1" ht="12.75" x14ac:dyDescent="0.2">
      <c r="A10" s="138" t="s">
        <v>34</v>
      </c>
      <c r="B10" s="113"/>
      <c r="C10" s="148"/>
      <c r="D10" s="113"/>
      <c r="E10" s="113"/>
      <c r="F10" s="113"/>
      <c r="G10" s="113"/>
      <c r="H10" s="113"/>
      <c r="I10" s="114"/>
      <c r="J10" s="145"/>
      <c r="K10" s="145"/>
      <c r="L10" s="114"/>
      <c r="M10" s="114"/>
      <c r="N10" s="114"/>
      <c r="O10" s="116"/>
      <c r="P10" s="82"/>
      <c r="Q10" s="117"/>
      <c r="R10" s="84"/>
      <c r="S10" s="117"/>
      <c r="T10" s="117"/>
      <c r="U10" s="118"/>
      <c r="V10" s="118"/>
      <c r="W10" s="118"/>
      <c r="X10" s="118"/>
      <c r="Y10" s="118"/>
      <c r="Z10" s="129"/>
      <c r="AA10" s="117"/>
      <c r="AB10" s="117"/>
      <c r="AC10" s="117"/>
      <c r="AD10" s="117"/>
      <c r="AE10" s="117"/>
      <c r="AF10" s="85"/>
      <c r="AG10" s="118"/>
      <c r="AH10" s="85"/>
      <c r="AI10" s="118"/>
      <c r="AJ10" s="118"/>
      <c r="AK10" s="84"/>
      <c r="AL10" s="117"/>
      <c r="AM10" s="84"/>
      <c r="AN10" s="117"/>
      <c r="AO10" s="117"/>
      <c r="AP10" s="85"/>
      <c r="AQ10" s="118"/>
      <c r="AR10" s="85"/>
      <c r="AS10" s="118"/>
      <c r="AT10" s="118"/>
      <c r="AU10" s="84"/>
      <c r="AV10" s="117"/>
      <c r="AW10" s="84"/>
      <c r="AX10" s="117"/>
      <c r="AY10" s="117"/>
      <c r="AZ10" s="115"/>
      <c r="BA10" s="115"/>
      <c r="BB10" s="115"/>
      <c r="BC10" s="115"/>
      <c r="BD10" s="119"/>
    </row>
    <row r="11" spans="1:56" s="4" customFormat="1" ht="12.75" x14ac:dyDescent="0.2">
      <c r="A11" s="142"/>
      <c r="B11" s="91"/>
      <c r="C11" s="120"/>
      <c r="D11" s="121"/>
      <c r="E11" s="121"/>
      <c r="F11" s="122"/>
      <c r="G11" s="122"/>
      <c r="H11" s="122"/>
      <c r="I11" s="122"/>
      <c r="J11" s="123"/>
      <c r="K11" s="123"/>
      <c r="L11" s="122"/>
      <c r="M11" s="122"/>
      <c r="N11" s="122"/>
      <c r="O11" s="124"/>
      <c r="P11" s="125"/>
      <c r="Q11" s="126"/>
      <c r="R11" s="126"/>
      <c r="S11" s="126"/>
      <c r="T11" s="126"/>
      <c r="U11" s="127"/>
      <c r="V11" s="127"/>
      <c r="W11" s="127"/>
      <c r="X11" s="127"/>
      <c r="Y11" s="127"/>
      <c r="Z11" s="127"/>
      <c r="AA11" s="126"/>
      <c r="AB11" s="126"/>
      <c r="AC11" s="126"/>
      <c r="AD11" s="126"/>
      <c r="AE11" s="126"/>
      <c r="AF11" s="127"/>
      <c r="AG11" s="127"/>
      <c r="AH11" s="127"/>
      <c r="AI11" s="127"/>
      <c r="AJ11" s="127"/>
      <c r="AK11" s="126"/>
      <c r="AL11" s="126"/>
      <c r="AM11" s="126"/>
      <c r="AN11" s="126"/>
      <c r="AO11" s="126"/>
      <c r="AP11" s="127"/>
      <c r="AQ11" s="127"/>
      <c r="AR11" s="127"/>
      <c r="AS11" s="127"/>
      <c r="AT11" s="127"/>
      <c r="AU11" s="126"/>
      <c r="AV11" s="126"/>
      <c r="AW11" s="126"/>
      <c r="AX11" s="126"/>
      <c r="AY11" s="126"/>
      <c r="AZ11" s="123"/>
      <c r="BA11" s="123"/>
      <c r="BB11" s="123"/>
      <c r="BC11" s="123"/>
      <c r="BD11" s="128"/>
    </row>
    <row r="12" spans="1:56" s="4" customFormat="1" ht="12.75" x14ac:dyDescent="0.2">
      <c r="A12" s="160" t="s">
        <v>35</v>
      </c>
      <c r="B12" s="161" t="str">
        <f>IF(ISERROR(SUM(#REF!)),"-",SUM(#REF!))</f>
        <v>-</v>
      </c>
      <c r="C12" s="162"/>
      <c r="D12" s="163" t="str">
        <f>IF(ISERROR(SUM(#REF!)),"-",SUM(#REF!))</f>
        <v>-</v>
      </c>
      <c r="E12" s="164" t="str">
        <f>IF(ISERROR(SUM(#REF!)),"-",SUM(#REF!))</f>
        <v>-</v>
      </c>
      <c r="F12" s="164" t="str">
        <f>IF(ISERROR(SUM(#REF!)),"-",SUM(#REF!))</f>
        <v>-</v>
      </c>
      <c r="G12" s="164" t="str">
        <f>IF(ISERROR(SUM(#REF!)),"-",SUM(#REF!))</f>
        <v>-</v>
      </c>
      <c r="H12" s="164" t="str">
        <f>IF(ISERROR(SUM(#REF!)),"-",SUM(#REF!))</f>
        <v>-</v>
      </c>
      <c r="I12" s="164" t="str">
        <f>IF(ISERROR(SUM(#REF!)),"-",SUM(#REF!))</f>
        <v>-</v>
      </c>
      <c r="J12" s="165" t="str">
        <f>IF(ISERROR(AVERAGE(#REF!)),"-",AVERAGE(#REF!))</f>
        <v>-</v>
      </c>
      <c r="K12" s="165" t="str">
        <f>IF(ISERROR(AVERAGE(#REF!)),"-",AVERAGE(#REF!))</f>
        <v>-</v>
      </c>
      <c r="L12" s="164" t="str">
        <f>IF(ISERROR(SUM(#REF!)),"-",SUM(#REF!))</f>
        <v>-</v>
      </c>
      <c r="M12" s="164" t="str">
        <f>IF(ISERROR(SUM(#REF!)),"-",SUM(#REF!))</f>
        <v>-</v>
      </c>
      <c r="N12" s="164" t="str">
        <f>IF(ISERROR(SUM(#REF!)),"-",SUM(#REF!))</f>
        <v>-</v>
      </c>
      <c r="O12" s="166" t="str">
        <f>IF(ISERROR(SUM(#REF!)),"-",SUM(#REF!))</f>
        <v>-</v>
      </c>
      <c r="P12" s="154" t="str">
        <f>IF(ISERROR(SUM(#REF!)),"-",SUM(#REF!))</f>
        <v>-</v>
      </c>
      <c r="Q12" s="155" t="str">
        <f>IF(ISERROR(R12/12*Occupancy!$B$65),"-",R12/12*Occupancy!$B$65)</f>
        <v>-</v>
      </c>
      <c r="R12" s="155" t="str">
        <f>IF(ISERROR(SUM(#REF!)),"-",SUM(#REF!))</f>
        <v>-</v>
      </c>
      <c r="S12" s="155" t="str">
        <f>IF(ISERROR(IF(P12="","",P12/VLOOKUP(Occupancy!$B$65,Occupancy!$B$68:$B$79,1)*12/$B12)),"-",IF(P12="","",P12/VLOOKUP(Occupancy!$B$65,Occupancy!$B$68:$B$79,1)*12/$B12))</f>
        <v>-</v>
      </c>
      <c r="T12" s="155" t="str">
        <f>IF(ISERROR(IF(Q12="","",Q12/VLOOKUP(Occupancy!$B$65,Occupancy!$B$68:$B$79,1)*12/$B12)),"-",IF(Q12="","",Q12/VLOOKUP(Occupancy!$B$65,Occupancy!$B$68:$B$79,1)*12/$B12))</f>
        <v>-</v>
      </c>
      <c r="U12" s="156" t="str">
        <f>IF(ISERROR(SUM(#REF!)),"-",SUM(#REF!))</f>
        <v>-</v>
      </c>
      <c r="V12" s="156" t="str">
        <f>IF(ISERROR(SUM(#REF!)),"-",SUM(#REF!))</f>
        <v>-</v>
      </c>
      <c r="W12" s="156" t="str">
        <f>IF(ISERROR(SUM(#REF!)),"-",SUM(#REF!))</f>
        <v>-</v>
      </c>
      <c r="X12" s="156" t="str">
        <f>IF(ISERROR(Expenses!BE7),"-",Expenses!BE7)</f>
        <v>-</v>
      </c>
      <c r="Y12" s="156" t="str">
        <f>IF(ISERROR(Expenses!BF7),"-",Expenses!BF7)</f>
        <v>-</v>
      </c>
      <c r="Z12" s="157" t="str">
        <f>IF(ISERROR(U12/P12),"-",U12/P12)</f>
        <v>-</v>
      </c>
      <c r="AA12" s="155" t="str">
        <f>IF(ISERROR(P12-U12),"-",P12-U12)</f>
        <v>-</v>
      </c>
      <c r="AB12" s="155" t="str">
        <f>IF(ISERROR(Q12-V12),"-",Q12-V12)</f>
        <v>-</v>
      </c>
      <c r="AC12" s="155" t="str">
        <f>IF(ISERROR(R12-W12),"-",R12-W12)</f>
        <v>-</v>
      </c>
      <c r="AD12" s="155" t="str">
        <f>IF(ISERROR(S12-X12),"-",S12-X12)</f>
        <v>-</v>
      </c>
      <c r="AE12" s="155" t="str">
        <f>IF(ISERROR(T12-Y12),"-",T12-Y12)</f>
        <v>-</v>
      </c>
      <c r="AF12" s="156" t="str">
        <f>IF(ISERROR(SUM(#REF!)),"-",SUM(#REF!))</f>
        <v>-</v>
      </c>
      <c r="AG12" s="156" t="str">
        <f>IF(ISERROR(SUM(#REF!)),"-",SUM(#REF!))</f>
        <v>-</v>
      </c>
      <c r="AH12" s="156" t="str">
        <f>IF(ISERROR(SUM(#REF!)),"-",SUM(#REF!))</f>
        <v>-</v>
      </c>
      <c r="AI12" s="156" t="str">
        <f>IF(ISERROR(IF(AF12="","",AF12/VLOOKUP(Occupancy!$B$65,Occupancy!$B$68:$B$79,1)*12/$B12)),"-",IF(AF12="","",AF12/VLOOKUP(Occupancy!$B$65,Occupancy!$B$68:$B$79,1)*12/$B12))</f>
        <v>-</v>
      </c>
      <c r="AJ12" s="156" t="str">
        <f>IF(ISERROR(IF(AG12="","",AG12/VLOOKUP(Occupancy!$B$65,Occupancy!$B$68:$B$79,1)*12/$B12)),"-",IF(AG12="","",AG12/VLOOKUP(Occupancy!$B$65,Occupancy!$B$68:$B$79,1)*12/$B12))</f>
        <v>-</v>
      </c>
      <c r="AK12" s="155" t="str">
        <f>IF(ISERROR(SUM(#REF!)),"-",SUM(#REF!))</f>
        <v>-</v>
      </c>
      <c r="AL12" s="155" t="str">
        <f>IF(ISERROR(AM12/12*Occupancy!$B$65),"-",AM12/12*Occupancy!$B$65)</f>
        <v>-</v>
      </c>
      <c r="AM12" s="155" t="str">
        <f>IF(ISERROR(SUM(#REF!)),"-",SUM(#REF!))</f>
        <v>-</v>
      </c>
      <c r="AN12" s="155" t="str">
        <f>IF(ISERROR(IF(AK12="","",AK12/VLOOKUP(Occupancy!$B$65,Occupancy!$B$68:$B$79,1)*12/$B12)),"-",IF(AK12="","",AK12/VLOOKUP(Occupancy!$B$65,Occupancy!$B$68:$B$79,1)*12/$B12))</f>
        <v>-</v>
      </c>
      <c r="AO12" s="155" t="str">
        <f>IF(ISERROR(IF(AL12="","",AL12/VLOOKUP(Occupancy!$B$65,Occupancy!$B$68:$B$79,1)*12/$B12)),"-",IF(AL12="","",AL12/VLOOKUP(Occupancy!$B$65,Occupancy!$B$68:$B$79,1)*12/$B12))</f>
        <v>-</v>
      </c>
      <c r="AP12" s="156" t="str">
        <f>IF(ISERROR(SUM(#REF!)),"-",SUM(#REF!))</f>
        <v>-</v>
      </c>
      <c r="AQ12" s="156" t="str">
        <f>IF(ISERROR(SUM(#REF!)),"-",SUM(#REF!))</f>
        <v>-</v>
      </c>
      <c r="AR12" s="156" t="str">
        <f>IF(ISERROR(SUM(#REF!)),"-",SUM(#REF!))</f>
        <v>-</v>
      </c>
      <c r="AS12" s="156" t="str">
        <f>IF(ISERROR(IF(AP12="","",AP12/VLOOKUP(Occupancy!$B$65,Occupancy!$B$68:$B$79,1)*12/$B12)),"-",IF(AP12="","",AP12/VLOOKUP(Occupancy!$B$65,Occupancy!$B$68:$B$79,1)*12/$B12))</f>
        <v>-</v>
      </c>
      <c r="AT12" s="156" t="str">
        <f>IF(ISERROR(IF(AQ12="","",AQ12/VLOOKUP(Occupancy!$B$65,Occupancy!$B$68:$B$79,1)*12/$B12)),"-",IF(AQ12="","",AQ12/VLOOKUP(Occupancy!$B$65,Occupancy!$B$68:$B$79,1)*12/$B12))</f>
        <v>-</v>
      </c>
      <c r="AU12" s="155" t="str">
        <f>IF(ISERROR(SUM(#REF!)),"-",SUM(#REF!))</f>
        <v>-</v>
      </c>
      <c r="AV12" s="155" t="str">
        <f>IF(ISERROR(SUM(#REF!)),"-",SUM(#REF!))</f>
        <v>-</v>
      </c>
      <c r="AW12" s="155" t="str">
        <f>IF(ISERROR(SUM(#REF!)),"-",SUM(#REF!))</f>
        <v>-</v>
      </c>
      <c r="AX12" s="155" t="str">
        <f>IF(ISERROR(IF(AU12="","",AU12/VLOOKUP(Occupancy!$B$65,Occupancy!$B$68:$B$79,1)*12/$B12)),"-",IF(AU12="","",AU12/VLOOKUP(Occupancy!$B$65,Occupancy!$B$68:$B$79,1)*12/$B12))</f>
        <v>-</v>
      </c>
      <c r="AY12" s="155" t="str">
        <f>IF(ISERROR(IF(AV12="","",AV12/VLOOKUP(Occupancy!$B$65,Occupancy!$B$68:$B$79,1)*12/$B12)),"-",IF(AV12="","",AV12/VLOOKUP(Occupancy!$B$65,Occupancy!$B$68:$B$79,1)*12/$B12))</f>
        <v>-</v>
      </c>
      <c r="AZ12" s="158" t="str">
        <f>IF(ISERROR(SUM(#REF!)),"-",SUM(#REF!))</f>
        <v>-</v>
      </c>
      <c r="BA12" s="158" t="str">
        <f>IF(ISERROR(SUM(#REF!)),"-",SUM(#REF!))</f>
        <v>-</v>
      </c>
      <c r="BB12" s="158" t="str">
        <f>IF(ISERROR(SUM(#REF!)),"-",SUM(#REF!))</f>
        <v>-</v>
      </c>
      <c r="BC12" s="158" t="str">
        <f>IF(ISERROR(IF(AZ12="","",AZ12/VLOOKUP(Occupancy!$B$65,Occupancy!$B$68:$B$79,1)*12/$B12)),"-",IF(AZ12="","",AZ12/VLOOKUP(Occupancy!$B$65,Occupancy!$B$68:$B$79,1)*12/$B12))</f>
        <v>-</v>
      </c>
      <c r="BD12" s="159" t="str">
        <f>IF(ISERROR(IF(BA12="","",BA12/VLOOKUP(Occupancy!$B$65,Occupancy!$B$68:$B$79,1)*12/$B12)),"-",IF(BA12="","",BA12/VLOOKUP(Occupancy!$B$65,Occupancy!$B$68:$B$79,1)*12/$B12))</f>
        <v>-</v>
      </c>
    </row>
    <row r="13" spans="1:56" s="4" customFormat="1" ht="12.75" x14ac:dyDescent="0.2">
      <c r="A13" s="168"/>
      <c r="B13" s="91"/>
      <c r="C13" s="120"/>
      <c r="D13" s="121"/>
      <c r="E13" s="121"/>
      <c r="F13" s="122"/>
      <c r="G13" s="122"/>
      <c r="H13" s="122"/>
      <c r="I13" s="122"/>
      <c r="J13" s="123"/>
      <c r="K13" s="123"/>
      <c r="L13" s="122"/>
      <c r="M13" s="122"/>
      <c r="N13" s="122"/>
      <c r="O13" s="124"/>
      <c r="P13" s="125"/>
      <c r="Q13" s="126"/>
      <c r="R13" s="126"/>
      <c r="S13" s="126"/>
      <c r="T13" s="126"/>
      <c r="U13" s="127"/>
      <c r="V13" s="127"/>
      <c r="W13" s="127"/>
      <c r="X13" s="127"/>
      <c r="Y13" s="127"/>
      <c r="Z13" s="127"/>
      <c r="AA13" s="126"/>
      <c r="AB13" s="126"/>
      <c r="AC13" s="126"/>
      <c r="AD13" s="126"/>
      <c r="AE13" s="126"/>
      <c r="AF13" s="127"/>
      <c r="AG13" s="127"/>
      <c r="AH13" s="127"/>
      <c r="AI13" s="127"/>
      <c r="AJ13" s="127"/>
      <c r="AK13" s="126"/>
      <c r="AL13" s="126"/>
      <c r="AM13" s="126"/>
      <c r="AN13" s="126"/>
      <c r="AO13" s="126"/>
      <c r="AP13" s="127"/>
      <c r="AQ13" s="127"/>
      <c r="AR13" s="127"/>
      <c r="AS13" s="127"/>
      <c r="AT13" s="127"/>
      <c r="AU13" s="126"/>
      <c r="AV13" s="126"/>
      <c r="AW13" s="126"/>
      <c r="AX13" s="126"/>
      <c r="AY13" s="126"/>
      <c r="AZ13" s="123"/>
      <c r="BA13" s="123"/>
      <c r="BB13" s="123"/>
      <c r="BC13" s="123"/>
      <c r="BD13" s="128"/>
    </row>
    <row r="14" spans="1:56" s="4" customFormat="1" ht="12.75" x14ac:dyDescent="0.2">
      <c r="A14" s="139" t="s">
        <v>74</v>
      </c>
      <c r="B14" s="113"/>
      <c r="C14" s="148"/>
      <c r="D14" s="113"/>
      <c r="E14" s="113"/>
      <c r="F14" s="113"/>
      <c r="G14" s="113"/>
      <c r="H14" s="113"/>
      <c r="I14" s="114"/>
      <c r="J14" s="145"/>
      <c r="K14" s="145"/>
      <c r="L14" s="114"/>
      <c r="M14" s="114"/>
      <c r="N14" s="114"/>
      <c r="O14" s="116"/>
      <c r="P14" s="82"/>
      <c r="Q14" s="117"/>
      <c r="R14" s="84"/>
      <c r="S14" s="117"/>
      <c r="T14" s="117"/>
      <c r="U14" s="118"/>
      <c r="V14" s="118"/>
      <c r="W14" s="118"/>
      <c r="X14" s="118"/>
      <c r="Y14" s="118"/>
      <c r="Z14" s="129"/>
      <c r="AA14" s="117"/>
      <c r="AB14" s="117"/>
      <c r="AC14" s="117"/>
      <c r="AD14" s="117"/>
      <c r="AE14" s="117"/>
      <c r="AF14" s="85"/>
      <c r="AG14" s="118"/>
      <c r="AH14" s="85"/>
      <c r="AI14" s="118"/>
      <c r="AJ14" s="118"/>
      <c r="AK14" s="84"/>
      <c r="AL14" s="117"/>
      <c r="AM14" s="84"/>
      <c r="AN14" s="117"/>
      <c r="AO14" s="117"/>
      <c r="AP14" s="85"/>
      <c r="AQ14" s="118"/>
      <c r="AR14" s="85"/>
      <c r="AS14" s="118"/>
      <c r="AT14" s="118"/>
      <c r="AU14" s="84"/>
      <c r="AV14" s="117"/>
      <c r="AW14" s="84"/>
      <c r="AX14" s="117"/>
      <c r="AY14" s="117"/>
      <c r="AZ14" s="115"/>
      <c r="BA14" s="115"/>
      <c r="BB14" s="115"/>
      <c r="BC14" s="115"/>
      <c r="BD14" s="119"/>
    </row>
    <row r="15" spans="1:56" s="4" customFormat="1" ht="12.75" x14ac:dyDescent="0.2">
      <c r="A15" s="143"/>
      <c r="B15" s="5"/>
      <c r="C15" s="47"/>
      <c r="D15" s="48"/>
      <c r="E15" s="48"/>
      <c r="F15" s="49"/>
      <c r="G15" s="49"/>
      <c r="H15" s="49"/>
      <c r="I15" s="49"/>
      <c r="J15" s="50"/>
      <c r="K15" s="50"/>
      <c r="L15" s="51"/>
      <c r="M15" s="51"/>
      <c r="N15" s="51"/>
      <c r="O15" s="52"/>
      <c r="P15" s="53"/>
      <c r="Q15" s="54"/>
      <c r="R15" s="54"/>
      <c r="S15" s="54"/>
      <c r="T15" s="54"/>
      <c r="U15" s="55"/>
      <c r="V15" s="55"/>
      <c r="W15" s="55"/>
      <c r="X15" s="55"/>
      <c r="Y15" s="55"/>
      <c r="Z15" s="55"/>
      <c r="AA15" s="54"/>
      <c r="AB15" s="54"/>
      <c r="AC15" s="54"/>
      <c r="AD15" s="54"/>
      <c r="AE15" s="54"/>
      <c r="AF15" s="55"/>
      <c r="AG15" s="55"/>
      <c r="AH15" s="118"/>
      <c r="AI15" s="55"/>
      <c r="AJ15" s="55"/>
      <c r="AK15" s="54"/>
      <c r="AL15" s="54"/>
      <c r="AM15" s="54"/>
      <c r="AN15" s="54"/>
      <c r="AO15" s="54"/>
      <c r="AP15" s="55"/>
      <c r="AQ15" s="55"/>
      <c r="AR15" s="118"/>
      <c r="AS15" s="55"/>
      <c r="AT15" s="55"/>
      <c r="AU15" s="54"/>
      <c r="AV15" s="54"/>
      <c r="AW15" s="54"/>
      <c r="AX15" s="54"/>
      <c r="AY15" s="54"/>
      <c r="AZ15" s="50"/>
      <c r="BA15" s="50"/>
      <c r="BB15" s="50"/>
      <c r="BC15" s="50"/>
      <c r="BD15" s="56"/>
    </row>
    <row r="16" spans="1:56" s="4" customFormat="1" ht="12.75" x14ac:dyDescent="0.2">
      <c r="A16" s="167" t="s">
        <v>37</v>
      </c>
      <c r="B16" s="161" t="str">
        <f>IF(ISERROR(SUM(#REF!)),"-",SUM(#REF!))</f>
        <v>-</v>
      </c>
      <c r="C16" s="162"/>
      <c r="D16" s="163" t="str">
        <f>IF(ISERROR(SUM(#REF!)),"-",SUM(#REF!))</f>
        <v>-</v>
      </c>
      <c r="E16" s="164" t="str">
        <f>IF(ISERROR(SUM(#REF!)),"-",SUM(#REF!))</f>
        <v>-</v>
      </c>
      <c r="F16" s="164" t="str">
        <f>IF(ISERROR(SUM(#REF!)),"-",SUM(#REF!))</f>
        <v>-</v>
      </c>
      <c r="G16" s="164" t="str">
        <f>IF(ISERROR(SUM(#REF!)),"-",SUM(#REF!))</f>
        <v>-</v>
      </c>
      <c r="H16" s="164" t="str">
        <f>IF(ISERROR(SUM(#REF!)),"-",SUM(#REF!))</f>
        <v>-</v>
      </c>
      <c r="I16" s="164" t="str">
        <f>IF(ISERROR(SUM(#REF!)),"-",SUM(#REF!))</f>
        <v>-</v>
      </c>
      <c r="J16" s="165" t="str">
        <f>IF(ISERROR(AVERAGE(#REF!)),"-",AVERAGE(#REF!))</f>
        <v>-</v>
      </c>
      <c r="K16" s="165" t="str">
        <f>IF(ISERROR(AVERAGE(#REF!)),"-",AVERAGE(#REF!))</f>
        <v>-</v>
      </c>
      <c r="L16" s="164" t="str">
        <f>IF(ISERROR(SUM(#REF!)),"-",SUM(#REF!))</f>
        <v>-</v>
      </c>
      <c r="M16" s="164" t="str">
        <f>IF(ISERROR(SUM(#REF!)),"-",SUM(#REF!))</f>
        <v>-</v>
      </c>
      <c r="N16" s="164" t="str">
        <f>IF(ISERROR(SUM(#REF!)),"-",SUM(#REF!))</f>
        <v>-</v>
      </c>
      <c r="O16" s="166" t="str">
        <f>IF(ISERROR(SUM(#REF!)),"-",SUM(#REF!))</f>
        <v>-</v>
      </c>
      <c r="P16" s="154" t="str">
        <f>IF(ISERROR(SUM(#REF!)),"-",SUM(#REF!))</f>
        <v>-</v>
      </c>
      <c r="Q16" s="155" t="str">
        <f>IF(ISERROR(R16/12*Occupancy!$B$65),"-",R16/12*Occupancy!$B$65)</f>
        <v>-</v>
      </c>
      <c r="R16" s="155" t="str">
        <f>IF(ISERROR(SUM(#REF!)),"-",SUM(#REF!))</f>
        <v>-</v>
      </c>
      <c r="S16" s="155" t="str">
        <f>IF(ISERROR(IF(P16="","",P16/VLOOKUP(Occupancy!$B$65,Occupancy!$B$68:$B$79,1)*12/$B16)),"-",IF(P16="","",P16/VLOOKUP(Occupancy!$B$65,Occupancy!$B$68:$B$79,1)*12/$B16))</f>
        <v>-</v>
      </c>
      <c r="T16" s="155" t="str">
        <f>IF(ISERROR(IF(Q16="","",Q16/VLOOKUP(Occupancy!$B$65,Occupancy!$B$68:$B$79,1)*12/$B16)),"-",IF(Q16="","",Q16/VLOOKUP(Occupancy!$B$65,Occupancy!$B$68:$B$79,1)*12/$B16))</f>
        <v>-</v>
      </c>
      <c r="U16" s="156" t="str">
        <f>IF(ISERROR(SUM(#REF!)),"-",SUM(#REF!))</f>
        <v>-</v>
      </c>
      <c r="V16" s="156" t="str">
        <f>IF(ISERROR(SUM(#REF!)),"-",SUM(#REF!))</f>
        <v>-</v>
      </c>
      <c r="W16" s="156" t="str">
        <f>IF(ISERROR(SUM(#REF!)),"-",SUM(#REF!))</f>
        <v>-</v>
      </c>
      <c r="X16" s="156" t="str">
        <f>IF(ISERROR(Expenses!BE11),"-",Expenses!BE11)</f>
        <v>-</v>
      </c>
      <c r="Y16" s="156" t="str">
        <f>IF(ISERROR(Expenses!BF11),"-",Expenses!BF11)</f>
        <v>-</v>
      </c>
      <c r="Z16" s="157" t="str">
        <f>IF(ISERROR(U16/P16),"-",U16/P16)</f>
        <v>-</v>
      </c>
      <c r="AA16" s="155" t="str">
        <f>IF(ISERROR(P16-U16),"-",P16-U16)</f>
        <v>-</v>
      </c>
      <c r="AB16" s="155" t="str">
        <f>IF(ISERROR(Q16-V16),"-",Q16-V16)</f>
        <v>-</v>
      </c>
      <c r="AC16" s="155" t="str">
        <f>IF(ISERROR(R16-W16),"-",R16-W16)</f>
        <v>-</v>
      </c>
      <c r="AD16" s="155" t="str">
        <f>IF(ISERROR(S16-X16),"-",S16-X16)</f>
        <v>-</v>
      </c>
      <c r="AE16" s="155" t="str">
        <f>IF(ISERROR(T16-Y16),"-",T16-Y16)</f>
        <v>-</v>
      </c>
      <c r="AF16" s="156" t="str">
        <f>IF(ISERROR(SUM(#REF!)),"-",SUM(#REF!))</f>
        <v>-</v>
      </c>
      <c r="AG16" s="156" t="str">
        <f>IF(ISERROR(SUM(#REF!)),"-",SUM(#REF!))</f>
        <v>-</v>
      </c>
      <c r="AH16" s="169" t="str">
        <f>IF(ISERROR(SUM(#REF!)),"-",SUM(#REF!))</f>
        <v>-</v>
      </c>
      <c r="AI16" s="156" t="str">
        <f>IF(ISERROR(IF(AF16="","",AF16/VLOOKUP(Occupancy!$B$65,Occupancy!$B$68:$B$79,1)*12/$B16)),"-",IF(AF16="","",AF16/VLOOKUP(Occupancy!$B$65,Occupancy!$B$68:$B$79,1)*12/$B16))</f>
        <v>-</v>
      </c>
      <c r="AJ16" s="156" t="str">
        <f>IF(ISERROR(IF(AG16="","",AG16/VLOOKUP(Occupancy!$B$65,Occupancy!$B$68:$B$79,1)*12/$B16)),"-",IF(AG16="","",AG16/VLOOKUP(Occupancy!$B$65,Occupancy!$B$68:$B$79,1)*12/$B16))</f>
        <v>-</v>
      </c>
      <c r="AK16" s="155" t="str">
        <f>IF(ISERROR(SUM(#REF!)),"-",SUM(#REF!))</f>
        <v>-</v>
      </c>
      <c r="AL16" s="155" t="str">
        <f>IF(ISERROR(AM16/12*Occupancy!$B$65),"-",AM16/12*Occupancy!$B$65)</f>
        <v>-</v>
      </c>
      <c r="AM16" s="155" t="str">
        <f>IF(ISERROR(SUM(#REF!)),"-",SUM(#REF!))</f>
        <v>-</v>
      </c>
      <c r="AN16" s="155" t="str">
        <f>IF(ISERROR(IF(AK16="","",AK16/VLOOKUP(Occupancy!$B$65,Occupancy!$B$68:$B$79,1)*12/$B16)),"-",IF(AK16="","",AK16/VLOOKUP(Occupancy!$B$65,Occupancy!$B$68:$B$79,1)*12/$B16))</f>
        <v>-</v>
      </c>
      <c r="AO16" s="155" t="str">
        <f>IF(ISERROR(IF(AL16="","",AL16/VLOOKUP(Occupancy!$B$65,Occupancy!$B$68:$B$79,1)*12/$B16)),"-",IF(AL16="","",AL16/VLOOKUP(Occupancy!$B$65,Occupancy!$B$68:$B$79,1)*12/$B16))</f>
        <v>-</v>
      </c>
      <c r="AP16" s="156" t="str">
        <f>IF(ISERROR(SUM(#REF!)),"-",SUM(#REF!))</f>
        <v>-</v>
      </c>
      <c r="AQ16" s="156" t="str">
        <f>IF(ISERROR(SUM(#REF!)),"-",SUM(#REF!))</f>
        <v>-</v>
      </c>
      <c r="AR16" s="169" t="str">
        <f>IF(ISERROR(SUM(#REF!)),"-",SUM(#REF!))</f>
        <v>-</v>
      </c>
      <c r="AS16" s="156" t="str">
        <f>IF(ISERROR(IF(AP16="","",AP16/VLOOKUP(Occupancy!$B$65,Occupancy!$B$68:$B$79,1)*12/$B16)),"-",IF(AP16="","",AP16/VLOOKUP(Occupancy!$B$65,Occupancy!$B$68:$B$79,1)*12/$B16))</f>
        <v>-</v>
      </c>
      <c r="AT16" s="156" t="str">
        <f>IF(ISERROR(IF(AQ16="","",AQ16/VLOOKUP(Occupancy!$B$65,Occupancy!$B$68:$B$79,1)*12/$B16)),"-",IF(AQ16="","",AQ16/VLOOKUP(Occupancy!$B$65,Occupancy!$B$68:$B$79,1)*12/$B16))</f>
        <v>-</v>
      </c>
      <c r="AU16" s="155" t="str">
        <f>IF(ISERROR(SUM(#REF!)),"-",SUM(#REF!))</f>
        <v>-</v>
      </c>
      <c r="AV16" s="155" t="str">
        <f>IF(ISERROR(SUM(#REF!)),"-",SUM(#REF!))</f>
        <v>-</v>
      </c>
      <c r="AW16" s="155" t="str">
        <f>IF(ISERROR(SUM(#REF!)),"-",SUM(#REF!))</f>
        <v>-</v>
      </c>
      <c r="AX16" s="155" t="str">
        <f>IF(ISERROR(IF(AU16="","",AU16/VLOOKUP(Occupancy!$B$65,Occupancy!$B$68:$B$79,1)*12/$B16)),"-",IF(AU16="","",AU16/VLOOKUP(Occupancy!$B$65,Occupancy!$B$68:$B$79,1)*12/$B16))</f>
        <v>-</v>
      </c>
      <c r="AY16" s="155" t="str">
        <f>IF(ISERROR(IF(AV16="","",AV16/VLOOKUP(Occupancy!$B$65,Occupancy!$B$68:$B$79,1)*12/$B16)),"-",IF(AV16="","",AV16/VLOOKUP(Occupancy!$B$65,Occupancy!$B$68:$B$79,1)*12/$B16))</f>
        <v>-</v>
      </c>
      <c r="AZ16" s="158" t="str">
        <f>IF(ISERROR(SUM(#REF!)),"-",SUM(#REF!))</f>
        <v>-</v>
      </c>
      <c r="BA16" s="158" t="str">
        <f>IF(ISERROR(SUM(#REF!)),"-",SUM(#REF!))</f>
        <v>-</v>
      </c>
      <c r="BB16" s="158" t="str">
        <f>IF(ISERROR(SUM(#REF!)),"-",SUM(#REF!))</f>
        <v>-</v>
      </c>
      <c r="BC16" s="158" t="str">
        <f>IF(ISERROR(IF(AZ16="","",AZ16/VLOOKUP(Occupancy!$B$65,Occupancy!$B$68:$B$79,1)*12/$B16)),"-",IF(AZ16="","",AZ16/VLOOKUP(Occupancy!$B$65,Occupancy!$B$68:$B$79,1)*12/$B16))</f>
        <v>-</v>
      </c>
      <c r="BD16" s="159" t="str">
        <f>IF(ISERROR(IF(BA16="","",BA16/VLOOKUP(Occupancy!$B$65,Occupancy!$B$68:$B$79,1)*12/$B16)),"-",IF(BA16="","",BA16/VLOOKUP(Occupancy!$B$65,Occupancy!$B$68:$B$79,1)*12/$B16))</f>
        <v>-</v>
      </c>
    </row>
    <row r="17" spans="1:56" s="4" customFormat="1" ht="12.75" x14ac:dyDescent="0.2">
      <c r="A17" s="168"/>
      <c r="B17" s="91"/>
      <c r="C17" s="120"/>
      <c r="D17" s="121"/>
      <c r="E17" s="121"/>
      <c r="F17" s="122"/>
      <c r="G17" s="122"/>
      <c r="H17" s="122"/>
      <c r="I17" s="122"/>
      <c r="J17" s="123"/>
      <c r="K17" s="123"/>
      <c r="L17" s="122"/>
      <c r="M17" s="122"/>
      <c r="N17" s="122"/>
      <c r="O17" s="124"/>
      <c r="P17" s="125"/>
      <c r="Q17" s="126"/>
      <c r="R17" s="126"/>
      <c r="S17" s="126"/>
      <c r="T17" s="126"/>
      <c r="U17" s="127"/>
      <c r="V17" s="127"/>
      <c r="W17" s="127"/>
      <c r="X17" s="127"/>
      <c r="Y17" s="127"/>
      <c r="Z17" s="127"/>
      <c r="AA17" s="126"/>
      <c r="AB17" s="126"/>
      <c r="AC17" s="126"/>
      <c r="AD17" s="126"/>
      <c r="AE17" s="126"/>
      <c r="AF17" s="127"/>
      <c r="AG17" s="127"/>
      <c r="AH17" s="118"/>
      <c r="AI17" s="127"/>
      <c r="AJ17" s="127"/>
      <c r="AK17" s="126"/>
      <c r="AL17" s="126"/>
      <c r="AM17" s="126"/>
      <c r="AN17" s="126"/>
      <c r="AO17" s="126"/>
      <c r="AP17" s="127"/>
      <c r="AQ17" s="127"/>
      <c r="AR17" s="118"/>
      <c r="AS17" s="127"/>
      <c r="AT17" s="127"/>
      <c r="AU17" s="126"/>
      <c r="AV17" s="126"/>
      <c r="AW17" s="126"/>
      <c r="AX17" s="126"/>
      <c r="AY17" s="126"/>
      <c r="AZ17" s="123"/>
      <c r="BA17" s="123"/>
      <c r="BB17" s="123"/>
      <c r="BC17" s="123"/>
      <c r="BD17" s="128"/>
    </row>
    <row r="18" spans="1:56" s="4" customFormat="1" ht="12.75" x14ac:dyDescent="0.2">
      <c r="A18" s="139" t="s">
        <v>20</v>
      </c>
      <c r="B18" s="113"/>
      <c r="C18" s="148"/>
      <c r="D18" s="113"/>
      <c r="E18" s="113"/>
      <c r="F18" s="113"/>
      <c r="G18" s="113"/>
      <c r="H18" s="113"/>
      <c r="I18" s="114"/>
      <c r="J18" s="145"/>
      <c r="K18" s="145"/>
      <c r="L18" s="114"/>
      <c r="M18" s="114"/>
      <c r="N18" s="114"/>
      <c r="O18" s="116"/>
      <c r="P18" s="82"/>
      <c r="Q18" s="117"/>
      <c r="R18" s="84"/>
      <c r="S18" s="117"/>
      <c r="T18" s="117"/>
      <c r="U18" s="118"/>
      <c r="V18" s="118"/>
      <c r="W18" s="118"/>
      <c r="X18" s="118"/>
      <c r="Y18" s="118"/>
      <c r="Z18" s="129"/>
      <c r="AA18" s="117"/>
      <c r="AB18" s="117"/>
      <c r="AC18" s="117"/>
      <c r="AD18" s="117"/>
      <c r="AE18" s="117"/>
      <c r="AF18" s="85"/>
      <c r="AG18" s="118"/>
      <c r="AH18" s="85"/>
      <c r="AI18" s="118"/>
      <c r="AJ18" s="118"/>
      <c r="AK18" s="84"/>
      <c r="AL18" s="117"/>
      <c r="AM18" s="84"/>
      <c r="AN18" s="117"/>
      <c r="AO18" s="117"/>
      <c r="AP18" s="85"/>
      <c r="AQ18" s="118"/>
      <c r="AR18" s="85"/>
      <c r="AS18" s="118"/>
      <c r="AT18" s="118"/>
      <c r="AU18" s="84"/>
      <c r="AV18" s="117"/>
      <c r="AW18" s="84"/>
      <c r="AX18" s="117"/>
      <c r="AY18" s="117"/>
      <c r="AZ18" s="115"/>
      <c r="BA18" s="115"/>
      <c r="BB18" s="115"/>
      <c r="BC18" s="115"/>
      <c r="BD18" s="119"/>
    </row>
    <row r="19" spans="1:56" s="4" customFormat="1" ht="12.75" x14ac:dyDescent="0.2">
      <c r="A19" s="143"/>
      <c r="B19" s="5"/>
      <c r="C19" s="47"/>
      <c r="D19" s="48"/>
      <c r="E19" s="48"/>
      <c r="F19" s="49"/>
      <c r="G19" s="49"/>
      <c r="H19" s="49"/>
      <c r="I19" s="49"/>
      <c r="J19" s="50"/>
      <c r="K19" s="50"/>
      <c r="L19" s="51"/>
      <c r="M19" s="51"/>
      <c r="N19" s="51"/>
      <c r="O19" s="52"/>
      <c r="P19" s="53"/>
      <c r="Q19" s="54"/>
      <c r="R19" s="54"/>
      <c r="S19" s="54"/>
      <c r="T19" s="54"/>
      <c r="U19" s="55"/>
      <c r="V19" s="55"/>
      <c r="W19" s="55"/>
      <c r="X19" s="55"/>
      <c r="Y19" s="55"/>
      <c r="Z19" s="55"/>
      <c r="AA19" s="54"/>
      <c r="AB19" s="54"/>
      <c r="AC19" s="54"/>
      <c r="AD19" s="54"/>
      <c r="AE19" s="54"/>
      <c r="AF19" s="55"/>
      <c r="AG19" s="55"/>
      <c r="AH19" s="55"/>
      <c r="AI19" s="55"/>
      <c r="AJ19" s="55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4"/>
      <c r="AV19" s="54"/>
      <c r="AW19" s="54"/>
      <c r="AX19" s="54"/>
      <c r="AY19" s="54"/>
      <c r="AZ19" s="50"/>
      <c r="BA19" s="50"/>
      <c r="BB19" s="50"/>
      <c r="BC19" s="50"/>
      <c r="BD19" s="56"/>
    </row>
    <row r="20" spans="1:56" s="4" customFormat="1" ht="12.75" x14ac:dyDescent="0.2">
      <c r="A20" s="140" t="s">
        <v>79</v>
      </c>
      <c r="B20" s="91" t="str">
        <f>IF(ISERROR(SUM(#REF!)),"-",SUM(#REF!))</f>
        <v>-</v>
      </c>
      <c r="C20" s="120"/>
      <c r="D20" s="121" t="str">
        <f>IF(ISERROR(SUM(#REF!)),"-",SUM(#REF!))</f>
        <v>-</v>
      </c>
      <c r="E20" s="122" t="str">
        <f>IF(ISERROR(SUM(#REF!)),"-",SUM(#REF!))</f>
        <v>-</v>
      </c>
      <c r="F20" s="122" t="str">
        <f>IF(ISERROR(SUM(#REF!)),"-",SUM(#REF!))</f>
        <v>-</v>
      </c>
      <c r="G20" s="122" t="str">
        <f>IF(ISERROR(SUM(#REF!)),"-",SUM(#REF!))</f>
        <v>-</v>
      </c>
      <c r="H20" s="122" t="str">
        <f>IF(ISERROR(SUM(#REF!)),"-",SUM(#REF!))</f>
        <v>-</v>
      </c>
      <c r="I20" s="122" t="str">
        <f>IF(ISERROR(SUM(#REF!)),"-",SUM(#REF!))</f>
        <v>-</v>
      </c>
      <c r="J20" s="146" t="str">
        <f>IF(ISERROR(AVERAGE(#REF!)),"-",AVERAGE(#REF!))</f>
        <v>-</v>
      </c>
      <c r="K20" s="146" t="str">
        <f>IF(ISERROR(AVERAGE(#REF!)),"-",AVERAGE(#REF!))</f>
        <v>-</v>
      </c>
      <c r="L20" s="122" t="str">
        <f>IF(ISERROR(SUM(#REF!)),"-",SUM(#REF!))</f>
        <v>-</v>
      </c>
      <c r="M20" s="122" t="str">
        <f>IF(ISERROR(SUM(#REF!)),"-",SUM(#REF!))</f>
        <v>-</v>
      </c>
      <c r="N20" s="122" t="str">
        <f>IF(ISERROR(SUM(#REF!)),"-",SUM(#REF!))</f>
        <v>-</v>
      </c>
      <c r="O20" s="124" t="str">
        <f>IF(ISERROR(SUM(#REF!)),"-",SUM(#REF!))</f>
        <v>-</v>
      </c>
      <c r="P20" s="125" t="str">
        <f>IF(ISERROR(SUM(#REF!)),"-",SUM(#REF!))</f>
        <v>-</v>
      </c>
      <c r="Q20" s="126" t="str">
        <f>IF(ISERROR(R20/12*Occupancy!$B$65),"-",R20/12*Occupancy!$B$65)</f>
        <v>-</v>
      </c>
      <c r="R20" s="189" t="str">
        <f>IF(ISERROR(SUM(#REF!)),"-",SUM(#REF!))</f>
        <v>-</v>
      </c>
      <c r="S20" s="126" t="str">
        <f>IF(ISERROR(IF(P20="","",P20/VLOOKUP(Occupancy!$B$65,Occupancy!$B$68:$B$79,1)*12/$B20)),"-",IF(P20="","",P20/VLOOKUP(Occupancy!$B$65,Occupancy!$B$68:$B$79,1)*12/$B20))</f>
        <v>-</v>
      </c>
      <c r="T20" s="126" t="str">
        <f>IF(ISERROR(IF(Q20="","",Q20/VLOOKUP(Occupancy!$B$65,Occupancy!$B$68:$B$79,1)*12/$B20)),"-",IF(Q20="","",Q20/VLOOKUP(Occupancy!$B$65,Occupancy!$B$68:$B$79,1)*12/$B20))</f>
        <v>-</v>
      </c>
      <c r="U20" s="127" t="str">
        <f>IF(ISERROR(SUM(#REF!)),"-",SUM(#REF!))</f>
        <v>-</v>
      </c>
      <c r="V20" s="127" t="str">
        <f>IF(ISERROR(SUM(#REF!)),"-",SUM(#REF!))</f>
        <v>-</v>
      </c>
      <c r="W20" s="127" t="str">
        <f>IF(ISERROR(SUM(#REF!)),"-",SUM(#REF!))</f>
        <v>-</v>
      </c>
      <c r="X20" s="127" t="str">
        <f>IF(ISERROR(Expenses!BE15),"-",Expenses!BE15)</f>
        <v>-</v>
      </c>
      <c r="Y20" s="127" t="str">
        <f>IF(ISERROR(Expenses!BF15),"-",Expenses!BF15)</f>
        <v>-</v>
      </c>
      <c r="Z20" s="136" t="str">
        <f>IF(ISERROR(U20/P20),"-",U20/P20)</f>
        <v>-</v>
      </c>
      <c r="AA20" s="126" t="str">
        <f>IF(ISERROR(P20-U20),"-",P20-U20)</f>
        <v>-</v>
      </c>
      <c r="AB20" s="126" t="str">
        <f>IF(ISERROR(Q20-V20),"-",Q20-V20)</f>
        <v>-</v>
      </c>
      <c r="AC20" s="126" t="str">
        <f>IF(ISERROR(R20-W20),"-",R20-W20)</f>
        <v>-</v>
      </c>
      <c r="AD20" s="126" t="str">
        <f>IF(ISERROR(S20-X20),"-",S20-X20)</f>
        <v>-</v>
      </c>
      <c r="AE20" s="126" t="str">
        <f>IF(ISERROR(T20-Y20),"-",T20-Y20)</f>
        <v>-</v>
      </c>
      <c r="AF20" s="127" t="str">
        <f>IF(ISERROR(SUM(#REF!)),"-",SUM(#REF!))</f>
        <v>-</v>
      </c>
      <c r="AG20" s="127" t="str">
        <f>IF(ISERROR(SUM(#REF!)),"-",SUM(#REF!))</f>
        <v>-</v>
      </c>
      <c r="AH20" s="127" t="str">
        <f>IF(ISERROR(SUM(#REF!)),"-",SUM(#REF!))</f>
        <v>-</v>
      </c>
      <c r="AI20" s="127" t="str">
        <f>IF(ISERROR(IF(AF20="","",AF20/VLOOKUP(Occupancy!$B$65,Occupancy!$B$68:$B$79,1)*12/$B20)),"-",IF(AF20="","",AF20/VLOOKUP(Occupancy!$B$65,Occupancy!$B$68:$B$79,1)*12/$B20))</f>
        <v>-</v>
      </c>
      <c r="AJ20" s="127" t="str">
        <f>IF(ISERROR(IF(AG20="","",AG20/VLOOKUP(Occupancy!$B$65,Occupancy!$B$68:$B$79,1)*12/$B20)),"-",IF(AG20="","",AG20/VLOOKUP(Occupancy!$B$65,Occupancy!$B$68:$B$79,1)*12/$B20))</f>
        <v>-</v>
      </c>
      <c r="AK20" s="126" t="str">
        <f>IF(ISERROR(SUM(#REF!)),"-",SUM(#REF!))</f>
        <v>-</v>
      </c>
      <c r="AL20" s="126" t="str">
        <f>IF(ISERROR(AM20/12*Occupancy!$B$65),"-",AM20/12*Occupancy!$B$65)</f>
        <v>-</v>
      </c>
      <c r="AM20" s="126" t="str">
        <f>IF(ISERROR(SUM(#REF!)),"-",SUM(#REF!))</f>
        <v>-</v>
      </c>
      <c r="AN20" s="126" t="str">
        <f>IF(ISERROR(IF(AK20="","",AK20/VLOOKUP(Occupancy!$B$65,Occupancy!$B$68:$B$79,1)*12/$B20)),"-",IF(AK20="","",AK20/VLOOKUP(Occupancy!$B$65,Occupancy!$B$68:$B$79,1)*12/$B20))</f>
        <v>-</v>
      </c>
      <c r="AO20" s="126" t="str">
        <f>IF(ISERROR(IF(AL20="","",AL20/VLOOKUP(Occupancy!$B$65,Occupancy!$B$68:$B$79,1)*12/$B20)),"-",IF(AL20="","",AL20/VLOOKUP(Occupancy!$B$65,Occupancy!$B$68:$B$79,1)*12/$B20))</f>
        <v>-</v>
      </c>
      <c r="AP20" s="127" t="str">
        <f>IF(ISERROR(SUM(#REF!)),"-",SUM(#REF!))</f>
        <v>-</v>
      </c>
      <c r="AQ20" s="127" t="str">
        <f>IF(ISERROR(SUM(#REF!)),"-",SUM(#REF!))</f>
        <v>-</v>
      </c>
      <c r="AR20" s="127" t="str">
        <f>IF(ISERROR(SUM(#REF!)),"-",SUM(#REF!))</f>
        <v>-</v>
      </c>
      <c r="AS20" s="127" t="str">
        <f>IF(ISERROR(IF(AP20="","",AP20/VLOOKUP(Occupancy!$B$65,Occupancy!$B$68:$B$79,1)*12/$B20)),"-",IF(AP20="","",AP20/VLOOKUP(Occupancy!$B$65,Occupancy!$B$68:$B$79,1)*12/$B20))</f>
        <v>-</v>
      </c>
      <c r="AT20" s="127" t="str">
        <f>IF(ISERROR(IF(AQ20="","",AQ20/VLOOKUP(Occupancy!$B$65,Occupancy!$B$68:$B$79,1)*12/$B20)),"-",IF(AQ20="","",AQ20/VLOOKUP(Occupancy!$B$65,Occupancy!$B$68:$B$79,1)*12/$B20))</f>
        <v>-</v>
      </c>
      <c r="AU20" s="126" t="str">
        <f>IF(ISERROR(SUM(#REF!)),"-",SUM(#REF!))</f>
        <v>-</v>
      </c>
      <c r="AV20" s="126" t="str">
        <f>IF(ISERROR(SUM(#REF!)),"-",SUM(#REF!))</f>
        <v>-</v>
      </c>
      <c r="AW20" s="126" t="str">
        <f>IF(ISERROR(SUM(#REF!)),"-",SUM(#REF!))</f>
        <v>-</v>
      </c>
      <c r="AX20" s="126" t="str">
        <f>IF(ISERROR(IF(AU20="","",AU20/VLOOKUP(Occupancy!$B$65,Occupancy!$B$68:$B$79,1)*12/$B20)),"-",IF(AU20="","",AU20/VLOOKUP(Occupancy!$B$65,Occupancy!$B$68:$B$79,1)*12/$B20))</f>
        <v>-</v>
      </c>
      <c r="AY20" s="126" t="str">
        <f>IF(ISERROR(IF(AV20="","",AV20/VLOOKUP(Occupancy!$B$65,Occupancy!$B$68:$B$79,1)*12/$B20)),"-",IF(AV20="","",AV20/VLOOKUP(Occupancy!$B$65,Occupancy!$B$68:$B$79,1)*12/$B20))</f>
        <v>-</v>
      </c>
      <c r="AZ20" s="123" t="str">
        <f>IF(ISERROR(SUM(#REF!)),"-",SUM(#REF!))</f>
        <v>-</v>
      </c>
      <c r="BA20" s="123" t="str">
        <f>IF(ISERROR(SUM(#REF!)),"-",SUM(#REF!))</f>
        <v>-</v>
      </c>
      <c r="BB20" s="123" t="str">
        <f>IF(ISERROR(SUM(#REF!)),"-",SUM(#REF!))</f>
        <v>-</v>
      </c>
      <c r="BC20" s="123" t="str">
        <f>IF(ISERROR(IF(AZ20="","",AZ20/VLOOKUP(Occupancy!$B$65,Occupancy!$B$68:$B$79,1)*12/$B20)),"-",IF(AZ20="","",AZ20/VLOOKUP(Occupancy!$B$65,Occupancy!$B$68:$B$79,1)*12/$B20))</f>
        <v>-</v>
      </c>
      <c r="BD20" s="128" t="str">
        <f>IF(ISERROR(IF(BA20="","",BA20/VLOOKUP(Occupancy!$B$65,Occupancy!$B$68:$B$79,1)*12/$B20)),"-",IF(BA20="","",BA20/VLOOKUP(Occupancy!$B$65,Occupancy!$B$68:$B$79,1)*12/$B20))</f>
        <v>-</v>
      </c>
    </row>
    <row r="21" spans="1:56" s="4" customFormat="1" ht="12.75" x14ac:dyDescent="0.2">
      <c r="A21" s="141"/>
      <c r="B21" s="81"/>
      <c r="C21" s="120"/>
      <c r="D21" s="121"/>
      <c r="E21" s="122"/>
      <c r="F21" s="122"/>
      <c r="G21" s="122"/>
      <c r="H21" s="122"/>
      <c r="I21" s="122"/>
      <c r="J21" s="146"/>
      <c r="K21" s="146"/>
      <c r="L21" s="122"/>
      <c r="M21" s="122"/>
      <c r="N21" s="122"/>
      <c r="O21" s="124"/>
      <c r="P21" s="154"/>
      <c r="Q21" s="155"/>
      <c r="R21" s="155"/>
      <c r="S21" s="155"/>
      <c r="T21" s="155"/>
      <c r="U21" s="156"/>
      <c r="V21" s="156"/>
      <c r="W21" s="156"/>
      <c r="X21" s="156"/>
      <c r="Y21" s="156"/>
      <c r="Z21" s="157"/>
      <c r="AA21" s="155"/>
      <c r="AB21" s="155"/>
      <c r="AC21" s="155"/>
      <c r="AD21" s="155"/>
      <c r="AE21" s="155"/>
      <c r="AF21" s="156"/>
      <c r="AG21" s="156"/>
      <c r="AH21" s="156"/>
      <c r="AI21" s="156"/>
      <c r="AJ21" s="156"/>
      <c r="AK21" s="155"/>
      <c r="AL21" s="155"/>
      <c r="AM21" s="155"/>
      <c r="AN21" s="155"/>
      <c r="AO21" s="155"/>
      <c r="AP21" s="156"/>
      <c r="AQ21" s="156"/>
      <c r="AR21" s="156"/>
      <c r="AS21" s="156"/>
      <c r="AT21" s="156"/>
      <c r="AU21" s="155"/>
      <c r="AV21" s="155"/>
      <c r="AW21" s="155"/>
      <c r="AX21" s="155"/>
      <c r="AY21" s="155"/>
      <c r="AZ21" s="158"/>
      <c r="BA21" s="158"/>
      <c r="BB21" s="158"/>
      <c r="BC21" s="158"/>
      <c r="BD21" s="159"/>
    </row>
    <row r="22" spans="1:56" s="4" customFormat="1" ht="13.5" thickBot="1" x14ac:dyDescent="0.25">
      <c r="A22" s="141" t="s">
        <v>38</v>
      </c>
      <c r="B22" s="81" t="str">
        <f t="shared" ref="B22:I22" si="0">IF(ISERROR(B20+B16+B12),"-",B20+B16+B12)</f>
        <v>-</v>
      </c>
      <c r="C22" s="120">
        <f t="shared" si="0"/>
        <v>0</v>
      </c>
      <c r="D22" s="121" t="str">
        <f t="shared" si="0"/>
        <v>-</v>
      </c>
      <c r="E22" s="122" t="str">
        <f t="shared" si="0"/>
        <v>-</v>
      </c>
      <c r="F22" s="122" t="str">
        <f t="shared" si="0"/>
        <v>-</v>
      </c>
      <c r="G22" s="122" t="str">
        <f t="shared" si="0"/>
        <v>-</v>
      </c>
      <c r="H22" s="122" t="str">
        <f t="shared" si="0"/>
        <v>-</v>
      </c>
      <c r="I22" s="122" t="str">
        <f t="shared" si="0"/>
        <v>-</v>
      </c>
      <c r="J22" s="146" t="str">
        <f>IF(ISERROR(AVERAGE(#REF!,#REF!)),"-",AVERAGE(#REF!,#REF!))</f>
        <v>-</v>
      </c>
      <c r="K22" s="146" t="str">
        <f>IF(ISERROR(AVERAGE(#REF!,#REF!)),"-",AVERAGE(#REF!,#REF!))</f>
        <v>-</v>
      </c>
      <c r="L22" s="122" t="str">
        <f>IF(ISERROR(L20+L16+L12),"-",L20+L16+L12)</f>
        <v>-</v>
      </c>
      <c r="M22" s="122" t="str">
        <f>IF(ISERROR(M20+M16+M12),"-",M20+M16+M12)</f>
        <v>-</v>
      </c>
      <c r="N22" s="122" t="str">
        <f>IF(ISERROR(N20+N16+N12),"-",N20+N16+N12)</f>
        <v>-</v>
      </c>
      <c r="O22" s="124" t="str">
        <f>IF(ISERROR(O20+O16+O12),"-",O20+O16+O12)</f>
        <v>-</v>
      </c>
      <c r="P22" s="131" t="str">
        <f>IF(ISERROR(P20+P16+P12),"-",P20+P16+P12)</f>
        <v>-</v>
      </c>
      <c r="Q22" s="132" t="str">
        <f>IF(ISERROR(R22/12*Occupancy!$B$65),"-",R22/12*Occupancy!$B$65)</f>
        <v>-</v>
      </c>
      <c r="R22" s="132" t="str">
        <f>IF(ISERROR(R20+R16+R12),"-",R20+R16+R12)</f>
        <v>-</v>
      </c>
      <c r="S22" s="132" t="str">
        <f>IF(ISERROR(IF(P22="","",P22/VLOOKUP(Occupancy!$B$65,Occupancy!$B$68:$B$79,1)*12/$B22)),"-",IF(P22="","",P22/VLOOKUP(Occupancy!$B$65,Occupancy!$B$68:$B$79,1)*12/$B22))</f>
        <v>-</v>
      </c>
      <c r="T22" s="132" t="str">
        <f>IF(ISERROR(IF(Q22="","",Q22/VLOOKUP(Occupancy!$B$65,Occupancy!$B$68:$B$79,1)*12/$B22)),"-",IF(Q22="","",Q22/VLOOKUP(Occupancy!$B$65,Occupancy!$B$68:$B$79,1)*12/$B22))</f>
        <v>-</v>
      </c>
      <c r="U22" s="133" t="str">
        <f>IF(ISERROR(U20+U16+U12),"-",U20+U16+U12)</f>
        <v>-</v>
      </c>
      <c r="V22" s="133" t="str">
        <f>IF(ISERROR(V20+V16+V12),"-",V20+V16+V12)</f>
        <v>-</v>
      </c>
      <c r="W22" s="133" t="str">
        <f>IF(ISERROR(W20+W16+W12),"-",W20+W16+W12)</f>
        <v>-</v>
      </c>
      <c r="X22" s="133" t="str">
        <f>IF(ISERROR(IF(ISERROR(Y22/12*Occupancy!$B$65),"-",Y22/12*Occupancy!$B$65)),"-",IF(ISERROR(Y22/12*Occupancy!$B$65),"-",Y22/12*Occupancy!$B$65))</f>
        <v>-</v>
      </c>
      <c r="Y22" s="133" t="str">
        <f>IF(ISERROR(IF(ISERROR(Z22/12*Occupancy!$B$65),"-",Z22/12*Occupancy!$B$65)),"-",IF(ISERROR(Z22/12*Occupancy!$B$65),"-",Z22/12*Occupancy!$B$65))</f>
        <v>-</v>
      </c>
      <c r="Z22" s="137" t="str">
        <f>IF(ISERROR(U22/P22),"-",U22/P22)</f>
        <v>-</v>
      </c>
      <c r="AA22" s="132" t="str">
        <f>IF(ISERROR(P22-U22),"-",P22-U22)</f>
        <v>-</v>
      </c>
      <c r="AB22" s="132" t="str">
        <f>IF(ISERROR(Q22-V22),"-",Q22-V22)</f>
        <v>-</v>
      </c>
      <c r="AC22" s="132" t="str">
        <f>IF(ISERROR(R22-W22),"-",R22-W22)</f>
        <v>-</v>
      </c>
      <c r="AD22" s="132" t="str">
        <f>IF(ISERROR(IF(ISERROR(AE22/12*Occupancy!$B$65),"-",AE22/12*Occupancy!$B$65)),"-",IF(ISERROR(AE22/12*Occupancy!$B$65),"-",AE22/12*Occupancy!$B$65))</f>
        <v>-</v>
      </c>
      <c r="AE22" s="132" t="str">
        <f>IF(ISERROR(T22-Y22),"-",T22-Y22)</f>
        <v>-</v>
      </c>
      <c r="AF22" s="133" t="str">
        <f>IF(ISERROR(AF20+AF16+AF12),"-",AF20+AF16+AF12)</f>
        <v>-</v>
      </c>
      <c r="AG22" s="133" t="str">
        <f>IF(ISERROR(AG20+AG16+AG12),"-",AG20+AG16+AG12)</f>
        <v>-</v>
      </c>
      <c r="AH22" s="133" t="str">
        <f>IF(ISERROR(AH20+AH16+AH12),"-",AH20+AH16+AH12)</f>
        <v>-</v>
      </c>
      <c r="AI22" s="133" t="str">
        <f>IF(ISERROR(IF(AF22="","",AF22/VLOOKUP(Occupancy!$B$65,Occupancy!$B$68:$B$79,1)*12/$B22)),"-",IF(AF22="","",AF22/VLOOKUP(Occupancy!$B$65,Occupancy!$B$68:$B$79,1)*12/$B22))</f>
        <v>-</v>
      </c>
      <c r="AJ22" s="133" t="str">
        <f>IF(ISERROR(IF(AG22="","",AG22/VLOOKUP(Occupancy!$B$65,Occupancy!$B$68:$B$79,1)*12/$B22)),"-",IF(AG22="","",AG22/VLOOKUP(Occupancy!$B$65,Occupancy!$B$68:$B$79,1)*12/$B22))</f>
        <v>-</v>
      </c>
      <c r="AK22" s="132" t="str">
        <f>IF(ISERROR(AK20+AK16+AK12),"-",AK20+AK16+AK12)</f>
        <v>-</v>
      </c>
      <c r="AL22" s="132" t="str">
        <f>IF(ISERROR(AM22/12*Occupancy!$B$65),"-",AM22/12*Occupancy!$B$65)</f>
        <v>-</v>
      </c>
      <c r="AM22" s="132" t="str">
        <f>IF(ISERROR(AM20+AM16+AM12),"-",AM20+AM16+AM12)</f>
        <v>-</v>
      </c>
      <c r="AN22" s="132" t="str">
        <f>IF(ISERROR(IF(AK22="","",AK22/VLOOKUP(Occupancy!$B$65,Occupancy!$B$68:$B$79,1)*12/$B22)),"-",IF(AK22="","",AK22/VLOOKUP(Occupancy!$B$65,Occupancy!$B$68:$B$79,1)*12/$B22))</f>
        <v>-</v>
      </c>
      <c r="AO22" s="132" t="str">
        <f>IF(ISERROR(IF(AL22="","",AL22/VLOOKUP(Occupancy!$B$65,Occupancy!$B$68:$B$79,1)*12/$B22)),"-",IF(AL22="","",AL22/VLOOKUP(Occupancy!$B$65,Occupancy!$B$68:$B$79,1)*12/$B22))</f>
        <v>-</v>
      </c>
      <c r="AP22" s="133" t="str">
        <f>IF(ISERROR(AP20+AP16+AP12),"-",AP20+AP16+AP12)</f>
        <v>-</v>
      </c>
      <c r="AQ22" s="133" t="str">
        <f>IF(ISERROR(AQ20+AQ16+AQ12),"-",AQ20+AQ16+AQ12)</f>
        <v>-</v>
      </c>
      <c r="AR22" s="133" t="str">
        <f>IF(ISERROR(AR20+AR16+AR12),"-",AR20+AR16+AR12)</f>
        <v>-</v>
      </c>
      <c r="AS22" s="133" t="str">
        <f>IF(ISERROR(IF(AP22="","",AP22/VLOOKUP(Occupancy!$B$65,Occupancy!$B$68:$B$79,1)*12/$B22)),"-",IF(AP22="","",AP22/VLOOKUP(Occupancy!$B$65,Occupancy!$B$68:$B$79,1)*12/$B22))</f>
        <v>-</v>
      </c>
      <c r="AT22" s="133" t="str">
        <f>IF(ISERROR(IF(AQ22="","",AQ22/VLOOKUP(Occupancy!$B$65,Occupancy!$B$68:$B$79,1)*12/$B22)),"-",IF(AQ22="","",AQ22/VLOOKUP(Occupancy!$B$65,Occupancy!$B$68:$B$79,1)*12/$B22))</f>
        <v>-</v>
      </c>
      <c r="AU22" s="132" t="str">
        <f>IF(ISERROR(AU20+AU16+AU12),"-",AU20+AU16+AU12)</f>
        <v>-</v>
      </c>
      <c r="AV22" s="132" t="str">
        <f>IF(ISERROR(AV20+AV16+AV12),"-",AV20+AV16+AV12)</f>
        <v>-</v>
      </c>
      <c r="AW22" s="132" t="str">
        <f>IF(ISERROR(AW20+AW16+AW12),"-",AW20+AW16+AW12)</f>
        <v>-</v>
      </c>
      <c r="AX22" s="132" t="str">
        <f>IF(ISERROR(IF(AU22="","",AU22/VLOOKUP(Occupancy!$B$65,Occupancy!$B$68:$B$79,1)*12/$B22)),"-",IF(AU22="","",AU22/VLOOKUP(Occupancy!$B$65,Occupancy!$B$68:$B$79,1)*12/$B22))</f>
        <v>-</v>
      </c>
      <c r="AY22" s="132" t="str">
        <f>IF(ISERROR(IF(AV22="","",AV22/VLOOKUP(Occupancy!$B$65,Occupancy!$B$68:$B$79,1)*12/$B22)),"-",IF(AV22="","",AV22/VLOOKUP(Occupancy!$B$65,Occupancy!$B$68:$B$79,1)*12/$B22))</f>
        <v>-</v>
      </c>
      <c r="AZ22" s="134" t="str">
        <f>IF(ISERROR(AZ20+AZ16+AZ12),"-",AZ20+AZ16+AZ12)</f>
        <v>-</v>
      </c>
      <c r="BA22" s="134" t="str">
        <f>IF(ISERROR(BA20+BA16+BA12),"-",BA20+BA16+BA12)</f>
        <v>-</v>
      </c>
      <c r="BB22" s="134" t="str">
        <f>IF(ISERROR(BB20+BB16+BB12),"-",BB20+BB16+BB12)</f>
        <v>-</v>
      </c>
      <c r="BC22" s="134" t="str">
        <f>IF(ISERROR(IF(AZ22="","",AZ22/VLOOKUP(Occupancy!$B$65,Occupancy!$B$68:$B$79,1)*12/$B22)),"-",IF(AZ22="","",AZ22/VLOOKUP(Occupancy!$B$65,Occupancy!$B$68:$B$79,1)*12/$B22))</f>
        <v>-</v>
      </c>
      <c r="BD22" s="135" t="str">
        <f>IF(ISERROR(IF(BA22="","",BA22/VLOOKUP(Occupancy!$B$65,Occupancy!$B$68:$B$79,1)*12/$B22)),"-",IF(BA22="","",BA22/VLOOKUP(Occupancy!$B$65,Occupancy!$B$68:$B$79,1)*12/$B22))</f>
        <v>-</v>
      </c>
    </row>
    <row r="23" spans="1:56" s="4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</row>
    <row r="24" spans="1:56" s="4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</row>
    <row r="25" spans="1:56" s="4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</row>
    <row r="26" spans="1:56" s="4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</row>
    <row r="27" spans="1:56" s="4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</row>
    <row r="28" spans="1:56" s="4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</row>
    <row r="29" spans="1:56" s="4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</row>
    <row r="30" spans="1:56" s="4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</row>
    <row r="31" spans="1:56" s="4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</row>
    <row r="32" spans="1:56" s="4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</row>
    <row r="33" spans="1:56" s="4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</row>
    <row r="34" spans="1:56" s="4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</row>
    <row r="35" spans="1:56" s="4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</row>
    <row r="36" spans="1:56" s="4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</row>
    <row r="37" spans="1:56" s="4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</row>
    <row r="38" spans="1:56" s="4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</row>
    <row r="39" spans="1:56" s="4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</row>
    <row r="40" spans="1:56" s="4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</row>
    <row r="41" spans="1:56" s="4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</row>
    <row r="42" spans="1:56" s="4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</row>
    <row r="43" spans="1:56" s="4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</row>
    <row r="44" spans="1:56" s="4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</row>
    <row r="45" spans="1:56" s="4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</row>
    <row r="46" spans="1:56" s="4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</row>
    <row r="47" spans="1:56" s="4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</row>
    <row r="48" spans="1:56" s="4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</row>
    <row r="49" spans="1:56" s="4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</row>
    <row r="50" spans="1:56" s="4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</row>
    <row r="51" spans="1:56" s="4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</row>
    <row r="52" spans="1:56" s="4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</row>
    <row r="53" spans="1:56" s="4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</row>
    <row r="54" spans="1:56" s="4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</row>
    <row r="55" spans="1:56" s="4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</row>
    <row r="56" spans="1:56" s="4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</row>
    <row r="57" spans="1:56" s="4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</row>
    <row r="58" spans="1:56" s="4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</row>
    <row r="59" spans="1:56" s="4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</row>
    <row r="60" spans="1:56" s="4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</row>
    <row r="61" spans="1:56" s="4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</row>
    <row r="62" spans="1:56" s="4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</row>
    <row r="63" spans="1:56" s="4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</row>
    <row r="64" spans="1:56" s="4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</row>
    <row r="65" spans="1:56" s="4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</row>
    <row r="66" spans="1:56" s="4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</row>
    <row r="67" spans="1:56" s="4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</row>
    <row r="68" spans="1:56" s="4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</row>
    <row r="69" spans="1:56" s="4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</row>
    <row r="70" spans="1:56" s="4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</row>
    <row r="71" spans="1:56" s="4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</row>
    <row r="72" spans="1:56" s="4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</row>
    <row r="73" spans="1:56" s="4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</row>
    <row r="74" spans="1:56" s="4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1:56" s="4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1:56" s="4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</row>
    <row r="77" spans="1:56" s="4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1:56" s="4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1:56" s="4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1:56" s="4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1:56" s="4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</row>
    <row r="82" spans="1:56" s="4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</row>
    <row r="83" spans="1:56" s="4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</row>
    <row r="84" spans="1:56" s="4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</row>
    <row r="85" spans="1:56" s="4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</row>
    <row r="86" spans="1:56" s="4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</row>
    <row r="87" spans="1:56" s="4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</row>
    <row r="88" spans="1:56" s="4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</row>
    <row r="89" spans="1:56" s="4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</row>
    <row r="90" spans="1:56" s="4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</row>
    <row r="91" spans="1:56" s="4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</row>
    <row r="92" spans="1:56" s="4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</row>
    <row r="93" spans="1:56" s="4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</row>
    <row r="94" spans="1:56" s="4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</row>
    <row r="95" spans="1:56" s="4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</row>
    <row r="96" spans="1:56" s="4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</row>
    <row r="97" spans="1:56" s="4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</row>
    <row r="98" spans="1:56" s="4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</row>
    <row r="99" spans="1:56" s="4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</row>
    <row r="100" spans="1:56" s="4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</row>
    <row r="101" spans="1:56" s="4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</row>
    <row r="102" spans="1:56" s="4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</row>
    <row r="103" spans="1:56" s="4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</row>
    <row r="104" spans="1:56" s="4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56" s="4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</row>
    <row r="106" spans="1:56" s="4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56" s="4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56" s="4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56" s="4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56" s="4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56" s="4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56" s="4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</row>
    <row r="113" spans="1:56" s="4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56" s="4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56" s="4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56" s="4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56" s="4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56" s="4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56" s="4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56" s="4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56" s="4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56" s="4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56" s="4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56" s="4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56" s="4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56" s="4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56" s="4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56" s="4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s="4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s="4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s="4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s="4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s="4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s="4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s="4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s="4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s="4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s="4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s="4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s="4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s="4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s="4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s="4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s="4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s="4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s="4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s="4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s="4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s="4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s="4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s="4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s="4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s="4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s="4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s="4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s="4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s="4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s="4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s="4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s="4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s="4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s="4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s="4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s="4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s="4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s="4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s="4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s="4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s="4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s="4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s="4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s="4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s="4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s="4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s="4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s="4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s="4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s="4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s="4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s="4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s="4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s="4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s="4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s="4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s="4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s="4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s="4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s="4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s="4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s="4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s="4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s="4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s="4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s="4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s="4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s="4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s="4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s="4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s="4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s="4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s="4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s="4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s="4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s="4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s="4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s="4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s="4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s="4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s="4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s="4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s="4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s="4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s="4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s="4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s="4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s="4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s="4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s="4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s="4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s="4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s="4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s="4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s="4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s="4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s="4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s="4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s="4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s="4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s="4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s="4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s="4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s="4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s="4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s="4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s="4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s="4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s="4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</row>
    <row r="238" spans="1:56" s="4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</row>
    <row r="239" spans="1:56" s="4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</row>
    <row r="240" spans="1:56" s="4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</row>
    <row r="241" spans="1:56" s="4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</row>
    <row r="242" spans="1:56" s="4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</row>
    <row r="243" spans="1:56" s="4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</row>
    <row r="244" spans="1:56" s="4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</row>
    <row r="245" spans="1:56" s="4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</row>
    <row r="246" spans="1:56" s="4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</row>
    <row r="247" spans="1:56" s="4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</row>
    <row r="248" spans="1:56" s="4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</row>
    <row r="249" spans="1:56" s="4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</row>
    <row r="250" spans="1:56" s="4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</row>
    <row r="251" spans="1:56" s="4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</row>
    <row r="252" spans="1:56" s="4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</row>
    <row r="253" spans="1:56" s="4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</row>
    <row r="254" spans="1:56" s="4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</row>
    <row r="255" spans="1:56" s="4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</row>
    <row r="256" spans="1:56" s="4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</row>
    <row r="257" spans="1:56" s="4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</row>
    <row r="258" spans="1:56" s="4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</row>
    <row r="259" spans="1:56" s="4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</row>
    <row r="260" spans="1:56" s="4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</row>
    <row r="261" spans="1:56" s="4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</row>
    <row r="262" spans="1:56" s="4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</row>
    <row r="263" spans="1:56" s="4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</row>
    <row r="264" spans="1:56" s="4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</row>
    <row r="265" spans="1:56" s="4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</row>
    <row r="266" spans="1:56" s="4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</row>
    <row r="267" spans="1:56" s="4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</row>
    <row r="268" spans="1:56" s="4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</row>
    <row r="269" spans="1:56" s="4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</row>
    <row r="270" spans="1:56" s="4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</row>
    <row r="271" spans="1:56" s="4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</row>
    <row r="272" spans="1:56" s="4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</row>
    <row r="273" spans="1:56" s="4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</row>
    <row r="274" spans="1:56" s="4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</row>
    <row r="275" spans="1:56" s="4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</row>
    <row r="276" spans="1:56" s="4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</row>
    <row r="277" spans="1:56" s="4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</row>
    <row r="278" spans="1:56" s="4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</row>
    <row r="279" spans="1:56" s="4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</row>
    <row r="280" spans="1:56" s="4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</row>
    <row r="281" spans="1:56" s="4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</row>
    <row r="282" spans="1:56" s="4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</row>
    <row r="283" spans="1:56" s="4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</row>
    <row r="284" spans="1:56" s="4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</row>
    <row r="285" spans="1:56" s="4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</row>
    <row r="286" spans="1:56" s="4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</row>
    <row r="287" spans="1:56" s="4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</row>
    <row r="288" spans="1:56" s="4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</row>
    <row r="289" spans="1:56" s="4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</row>
    <row r="290" spans="1:56" s="4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</row>
    <row r="291" spans="1:56" s="4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</row>
    <row r="292" spans="1:56" s="4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</row>
    <row r="293" spans="1:56" s="4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</row>
    <row r="294" spans="1:56" s="4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</row>
    <row r="295" spans="1:56" s="4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</row>
    <row r="296" spans="1:56" s="4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</row>
    <row r="297" spans="1:56" s="4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</row>
    <row r="298" spans="1:56" s="4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</row>
    <row r="299" spans="1:56" s="4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</row>
    <row r="300" spans="1:56" s="4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</row>
    <row r="301" spans="1:56" s="4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</row>
    <row r="302" spans="1:56" s="4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</row>
    <row r="303" spans="1:56" s="4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</row>
    <row r="304" spans="1:56" s="4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</row>
    <row r="305" spans="1:56" s="4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</row>
    <row r="306" spans="1:56" s="4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</row>
    <row r="307" spans="1:56" s="4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</row>
    <row r="308" spans="1:56" s="4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</row>
    <row r="309" spans="1:56" s="4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</row>
    <row r="310" spans="1:56" s="4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</row>
    <row r="311" spans="1:56" s="4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</row>
    <row r="312" spans="1:56" s="4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</row>
    <row r="313" spans="1:56" s="4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</row>
    <row r="314" spans="1:56" s="4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</row>
    <row r="315" spans="1:56" s="4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</row>
    <row r="316" spans="1:56" s="4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</row>
    <row r="317" spans="1:56" s="4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</row>
    <row r="318" spans="1:56" s="4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</row>
    <row r="319" spans="1:56" s="4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</row>
    <row r="320" spans="1:56" s="4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</row>
    <row r="321" spans="1:56" s="4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</row>
    <row r="322" spans="1:56" s="4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</row>
    <row r="323" spans="1:56" s="4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</row>
    <row r="324" spans="1:56" s="4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</row>
    <row r="325" spans="1:56" s="4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</row>
    <row r="326" spans="1:56" s="4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</row>
    <row r="327" spans="1:56" s="4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</row>
    <row r="328" spans="1:56" s="4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</row>
    <row r="329" spans="1:56" s="4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</row>
    <row r="330" spans="1:56" s="4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</row>
    <row r="331" spans="1:56" s="4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</row>
    <row r="332" spans="1:56" s="4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</row>
    <row r="333" spans="1:56" s="4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</row>
    <row r="334" spans="1:56" s="4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</row>
    <row r="335" spans="1:56" s="4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</row>
    <row r="336" spans="1:56" s="4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</row>
    <row r="337" spans="1:56" s="4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</row>
    <row r="338" spans="1:56" s="4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</row>
    <row r="339" spans="1:56" s="4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</row>
    <row r="340" spans="1:56" s="4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</row>
    <row r="341" spans="1:56" s="4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</row>
    <row r="342" spans="1:56" s="4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</row>
    <row r="343" spans="1:56" s="4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</row>
    <row r="344" spans="1:56" s="4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</row>
    <row r="345" spans="1:56" s="4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</row>
    <row r="346" spans="1:56" s="4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</row>
    <row r="347" spans="1:56" s="4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</row>
    <row r="348" spans="1:56" s="4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</row>
    <row r="349" spans="1:56" s="4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</row>
    <row r="350" spans="1:56" s="4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</row>
    <row r="351" spans="1:56" s="4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</row>
    <row r="352" spans="1:56" s="4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</row>
    <row r="353" spans="1:56" s="4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</row>
    <row r="354" spans="1:56" s="4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</row>
    <row r="355" spans="1:56" s="4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</row>
    <row r="356" spans="1:56" s="4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</row>
    <row r="357" spans="1:56" s="4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</row>
    <row r="358" spans="1:56" s="4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</row>
    <row r="359" spans="1:56" s="4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</row>
    <row r="360" spans="1:56" s="4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</row>
    <row r="361" spans="1:56" s="4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</row>
    <row r="362" spans="1:56" s="4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</row>
    <row r="363" spans="1:56" s="4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</row>
    <row r="364" spans="1:56" s="4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</row>
    <row r="365" spans="1:56" s="4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</row>
    <row r="366" spans="1:56" s="4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</row>
    <row r="367" spans="1:56" s="4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</row>
    <row r="368" spans="1:56" s="4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</row>
    <row r="369" spans="1:56" s="4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</row>
    <row r="370" spans="1:56" s="4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</row>
    <row r="371" spans="1:56" s="4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</row>
    <row r="372" spans="1:56" s="4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</row>
    <row r="373" spans="1:56" s="4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</row>
    <row r="374" spans="1:56" s="4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</row>
    <row r="375" spans="1:56" s="4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</row>
    <row r="376" spans="1:56" s="4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</row>
    <row r="377" spans="1:56" s="4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</row>
    <row r="378" spans="1:56" s="4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</row>
    <row r="379" spans="1:56" s="4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</row>
    <row r="380" spans="1:56" s="4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</row>
    <row r="381" spans="1:56" s="4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</row>
    <row r="382" spans="1:56" s="4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</row>
    <row r="383" spans="1:56" s="4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</row>
    <row r="384" spans="1:56" s="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</row>
    <row r="385" spans="1:56" s="4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</row>
    <row r="386" spans="1:56" s="4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</row>
    <row r="387" spans="1:56" s="4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</row>
    <row r="388" spans="1:56" s="4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</row>
    <row r="389" spans="1:56" s="4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</row>
    <row r="390" spans="1:56" s="4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</row>
    <row r="391" spans="1:56" s="4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</row>
    <row r="392" spans="1:56" s="4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</row>
    <row r="393" spans="1:56" s="4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</row>
    <row r="394" spans="1:56" s="4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</row>
    <row r="395" spans="1:56" s="4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</row>
    <row r="396" spans="1:56" s="4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</row>
    <row r="397" spans="1:56" s="4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</row>
    <row r="398" spans="1:56" s="4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</row>
    <row r="399" spans="1:56" s="4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</row>
    <row r="400" spans="1:56" s="4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</row>
    <row r="401" spans="1:56" s="4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</row>
    <row r="402" spans="1:56" s="4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</row>
    <row r="403" spans="1:56" s="4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</row>
    <row r="404" spans="1:56" s="4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</row>
    <row r="405" spans="1:56" s="4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</row>
    <row r="406" spans="1:56" s="4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</row>
    <row r="407" spans="1:56" s="4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</row>
    <row r="408" spans="1:56" s="4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</row>
    <row r="409" spans="1:56" s="4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</row>
    <row r="410" spans="1:56" s="4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</row>
    <row r="411" spans="1:56" s="4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</row>
    <row r="412" spans="1:56" s="4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</row>
    <row r="413" spans="1:56" s="4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</row>
    <row r="414" spans="1:56" s="4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</row>
    <row r="415" spans="1:56" s="4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</row>
    <row r="416" spans="1:56" s="4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</row>
    <row r="417" spans="1:56" s="4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</row>
    <row r="418" spans="1:56" s="4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</row>
    <row r="419" spans="1:56" s="4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</row>
    <row r="420" spans="1:56" s="4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</row>
    <row r="421" spans="1:56" s="4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</row>
    <row r="422" spans="1:56" s="4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</row>
    <row r="423" spans="1:56" s="4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</row>
    <row r="424" spans="1:56" s="4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</row>
    <row r="425" spans="1:56" s="4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</row>
    <row r="426" spans="1:56" s="4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</row>
    <row r="427" spans="1:56" s="4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</row>
    <row r="428" spans="1:56" s="4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</row>
    <row r="429" spans="1:56" s="4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</row>
    <row r="430" spans="1:56" s="4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</row>
    <row r="431" spans="1:56" s="4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</row>
    <row r="432" spans="1:56" s="4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</row>
    <row r="433" spans="1:56" s="4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</row>
    <row r="434" spans="1:56" s="4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</row>
    <row r="435" spans="1:56" s="4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</row>
    <row r="436" spans="1:56" s="4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</row>
    <row r="437" spans="1:56" s="4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</row>
    <row r="438" spans="1:56" s="4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</row>
    <row r="439" spans="1:56" s="4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</row>
    <row r="440" spans="1:56" s="4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</row>
    <row r="441" spans="1:56" s="4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</row>
    <row r="442" spans="1:56" s="4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</row>
    <row r="443" spans="1:56" s="4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</row>
    <row r="444" spans="1:56" s="4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</row>
    <row r="445" spans="1:56" s="4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</row>
    <row r="446" spans="1:56" s="4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</row>
    <row r="447" spans="1:56" s="4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</row>
    <row r="448" spans="1:56" s="4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</row>
    <row r="449" spans="1:56" s="4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</row>
    <row r="450" spans="1:56" s="4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</row>
    <row r="451" spans="1:56" s="4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</row>
    <row r="452" spans="1:56" s="4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</row>
    <row r="453" spans="1:56" s="4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</row>
    <row r="454" spans="1:56" s="4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</row>
    <row r="455" spans="1:56" s="4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</row>
    <row r="456" spans="1:56" s="4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</row>
    <row r="457" spans="1:56" s="4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</row>
    <row r="458" spans="1:56" s="4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</row>
    <row r="459" spans="1:56" s="4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</row>
    <row r="460" spans="1:56" s="4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</row>
    <row r="461" spans="1:56" s="4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</row>
    <row r="462" spans="1:56" s="4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</row>
    <row r="463" spans="1:56" s="4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</row>
    <row r="464" spans="1:56" s="4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</row>
    <row r="465" spans="1:56" s="4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</row>
    <row r="466" spans="1:56" s="4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</row>
    <row r="467" spans="1:56" s="4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</row>
    <row r="468" spans="1:56" s="4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</row>
    <row r="469" spans="1:56" s="4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</row>
    <row r="470" spans="1:56" s="4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</row>
    <row r="471" spans="1:56" s="4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</row>
    <row r="472" spans="1:56" s="4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</row>
    <row r="473" spans="1:56" s="4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</row>
    <row r="474" spans="1:56" s="4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</row>
    <row r="475" spans="1:56" s="4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</row>
    <row r="476" spans="1:56" s="4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</row>
    <row r="477" spans="1:56" s="4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</row>
    <row r="478" spans="1:56" s="4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</row>
    <row r="479" spans="1:56" s="4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</row>
    <row r="480" spans="1:56" s="4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</row>
    <row r="481" spans="1:56" s="4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</row>
    <row r="482" spans="1:56" s="4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</row>
    <row r="483" spans="1:56" s="4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</row>
    <row r="484" spans="1:56" s="4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</row>
    <row r="485" spans="1:56" s="4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</row>
    <row r="486" spans="1:56" s="4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</row>
    <row r="487" spans="1:56" s="4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</row>
    <row r="488" spans="1:56" s="4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</row>
    <row r="489" spans="1:56" s="4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</row>
    <row r="490" spans="1:56" s="4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</row>
    <row r="491" spans="1:56" s="4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</row>
    <row r="492" spans="1:56" s="4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</row>
    <row r="493" spans="1:56" s="4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</row>
    <row r="494" spans="1:56" s="4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</row>
    <row r="495" spans="1:56" s="4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</row>
    <row r="496" spans="1:56" s="4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</row>
    <row r="497" spans="1:56" s="4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</row>
    <row r="498" spans="1:56" s="4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</row>
    <row r="499" spans="1:56" s="4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</row>
    <row r="500" spans="1:56" s="4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</row>
    <row r="501" spans="1:56" s="4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</row>
    <row r="502" spans="1:56" s="4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</row>
    <row r="503" spans="1:56" s="4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</row>
    <row r="504" spans="1:56" s="4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</row>
    <row r="505" spans="1:56" s="4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</row>
    <row r="506" spans="1:56" s="4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</row>
    <row r="507" spans="1:56" s="4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</row>
    <row r="508" spans="1:56" s="4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</row>
    <row r="509" spans="1:56" s="4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</row>
    <row r="510" spans="1:56" s="4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</row>
    <row r="511" spans="1:56" s="4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</row>
    <row r="512" spans="1:56" s="4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</row>
    <row r="513" spans="1:56" s="4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</row>
    <row r="514" spans="1:56" s="4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</row>
    <row r="515" spans="1:56" s="4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</row>
    <row r="516" spans="1:56" s="4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</row>
    <row r="517" spans="1:56" s="4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</row>
    <row r="518" spans="1:56" s="4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</row>
    <row r="519" spans="1:56" s="4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</row>
    <row r="520" spans="1:56" s="4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</row>
    <row r="521" spans="1:56" s="4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</row>
    <row r="522" spans="1:56" s="4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</row>
    <row r="523" spans="1:56" s="4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</row>
    <row r="524" spans="1:56" s="4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</row>
    <row r="525" spans="1:56" s="4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</row>
    <row r="526" spans="1:56" s="4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</row>
    <row r="527" spans="1:56" s="4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</row>
    <row r="528" spans="1:56" s="4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</row>
    <row r="529" spans="1:56" s="4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</row>
    <row r="530" spans="1:56" s="4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</row>
    <row r="531" spans="1:56" s="4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</row>
    <row r="532" spans="1:56" s="4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</row>
    <row r="533" spans="1:56" s="4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</row>
    <row r="534" spans="1:56" s="4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</row>
    <row r="535" spans="1:56" s="4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</row>
    <row r="536" spans="1:56" s="4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</row>
    <row r="537" spans="1:56" s="4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</row>
    <row r="538" spans="1:56" s="4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</row>
    <row r="539" spans="1:56" s="4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</row>
    <row r="540" spans="1:56" s="4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</row>
    <row r="541" spans="1:56" s="4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</row>
    <row r="542" spans="1:56" s="4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</row>
    <row r="543" spans="1:56" s="4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</row>
    <row r="544" spans="1:56" s="4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</row>
    <row r="545" spans="1:56" s="4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</row>
    <row r="546" spans="1:56" s="4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</row>
    <row r="547" spans="1:56" s="4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</row>
    <row r="548" spans="1:56" s="4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</row>
    <row r="549" spans="1:56" s="4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</row>
    <row r="550" spans="1:56" s="4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</row>
    <row r="551" spans="1:56" s="4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</row>
    <row r="552" spans="1:56" s="4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</row>
    <row r="553" spans="1:56" s="4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</row>
    <row r="554" spans="1:56" s="4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</row>
    <row r="555" spans="1:56" s="4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</row>
    <row r="556" spans="1:56" s="4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</row>
    <row r="557" spans="1:56" s="4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</row>
    <row r="558" spans="1:56" s="4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</row>
    <row r="559" spans="1:56" s="4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</row>
    <row r="560" spans="1:56" s="4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</row>
    <row r="561" spans="1:56" s="4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</row>
    <row r="562" spans="1:56" s="4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</row>
    <row r="563" spans="1:56" s="4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</row>
    <row r="564" spans="1:56" s="4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</row>
    <row r="565" spans="1:56" s="4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</row>
    <row r="566" spans="1:56" s="4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</row>
    <row r="567" spans="1:56" s="4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</row>
    <row r="568" spans="1:56" s="4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</row>
    <row r="569" spans="1:56" s="4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</row>
    <row r="570" spans="1:56" s="4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</row>
    <row r="571" spans="1:56" s="4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</row>
    <row r="572" spans="1:56" s="4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</row>
    <row r="573" spans="1:56" s="4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</row>
    <row r="574" spans="1:56" s="4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</row>
    <row r="575" spans="1:56" s="4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</row>
    <row r="576" spans="1:56" s="4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</row>
    <row r="577" spans="1:56" s="4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</row>
    <row r="578" spans="1:56" s="4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</row>
    <row r="579" spans="1:56" s="4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</row>
    <row r="580" spans="1:56" s="4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</row>
    <row r="581" spans="1:56" s="4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</row>
    <row r="582" spans="1:56" s="4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</row>
    <row r="583" spans="1:56" s="4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</row>
    <row r="584" spans="1:56" s="4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</row>
    <row r="585" spans="1:56" s="4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</row>
    <row r="586" spans="1:56" s="4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</row>
    <row r="587" spans="1:56" s="4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</row>
    <row r="588" spans="1:56" s="4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</row>
    <row r="589" spans="1:56" s="4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</row>
    <row r="590" spans="1:56" s="4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</row>
    <row r="591" spans="1:56" s="4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</row>
    <row r="592" spans="1:56" s="4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</row>
    <row r="593" spans="1:56" s="4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</row>
    <row r="594" spans="1:56" s="4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</row>
    <row r="595" spans="1:56" s="4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</row>
    <row r="596" spans="1:56" s="4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</row>
    <row r="597" spans="1:56" s="4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</row>
    <row r="598" spans="1:56" s="4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</row>
    <row r="599" spans="1:56" s="4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</row>
    <row r="600" spans="1:56" s="4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</row>
    <row r="601" spans="1:56" s="4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</row>
    <row r="602" spans="1:56" s="4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</row>
    <row r="603" spans="1:56" s="4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</row>
    <row r="604" spans="1:56" s="4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</row>
    <row r="605" spans="1:56" s="4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</row>
    <row r="606" spans="1:56" s="4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</row>
    <row r="607" spans="1:56" s="4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</row>
    <row r="608" spans="1:56" s="4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</row>
    <row r="609" spans="1:56" s="4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</row>
    <row r="610" spans="1:56" s="4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</row>
    <row r="611" spans="1:56" s="4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</row>
    <row r="612" spans="1:56" s="4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</row>
    <row r="613" spans="1:56" s="4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</row>
    <row r="614" spans="1:56" s="4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</row>
    <row r="615" spans="1:56" s="4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</row>
    <row r="616" spans="1:56" s="4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</row>
    <row r="617" spans="1:56" s="4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</row>
    <row r="618" spans="1:56" s="4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</row>
    <row r="619" spans="1:56" s="4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</row>
    <row r="620" spans="1:56" s="4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</row>
    <row r="621" spans="1:56" s="4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</row>
    <row r="622" spans="1:56" s="4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</row>
    <row r="623" spans="1:56" s="4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</row>
    <row r="624" spans="1:56" s="4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</row>
    <row r="625" spans="1:56" s="4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</row>
    <row r="626" spans="1:56" s="4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</row>
    <row r="627" spans="1:56" s="4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</row>
    <row r="628" spans="1:56" s="4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</row>
    <row r="629" spans="1:56" s="4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</row>
    <row r="630" spans="1:56" s="4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</row>
    <row r="631" spans="1:56" s="4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</row>
    <row r="632" spans="1:56" s="4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</row>
    <row r="633" spans="1:56" s="4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</row>
    <row r="634" spans="1:56" s="4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</row>
    <row r="635" spans="1:56" s="4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</row>
    <row r="636" spans="1:56" s="4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</row>
    <row r="637" spans="1:56" s="4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</row>
    <row r="638" spans="1:56" s="4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</row>
    <row r="639" spans="1:56" s="4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</row>
    <row r="640" spans="1:56" s="4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</row>
    <row r="641" spans="1:56" s="4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</row>
    <row r="642" spans="1:56" s="4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</row>
    <row r="643" spans="1:56" s="4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</row>
    <row r="644" spans="1:56" s="4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</row>
    <row r="645" spans="1:56" s="4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</row>
    <row r="646" spans="1:56" s="4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</row>
    <row r="647" spans="1:56" s="4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</row>
    <row r="648" spans="1:56" s="4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</row>
    <row r="649" spans="1:56" s="4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</row>
    <row r="650" spans="1:56" s="4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</row>
    <row r="651" spans="1:56" s="4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</row>
    <row r="652" spans="1:56" s="4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</row>
    <row r="653" spans="1:56" s="4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</row>
    <row r="654" spans="1:56" s="4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</row>
    <row r="655" spans="1:56" s="4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</row>
    <row r="656" spans="1:56" s="4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</row>
    <row r="657" spans="1:56" s="4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</row>
    <row r="658" spans="1:56" s="4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</row>
    <row r="659" spans="1:56" s="4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</row>
    <row r="660" spans="1:56" s="4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</row>
    <row r="661" spans="1:56" s="4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</row>
    <row r="662" spans="1:56" s="4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</row>
    <row r="663" spans="1:56" s="4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</row>
    <row r="664" spans="1:56" s="4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</row>
    <row r="665" spans="1:56" s="4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</row>
    <row r="666" spans="1:56" s="4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</row>
    <row r="667" spans="1:56" s="4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</row>
    <row r="668" spans="1:56" s="4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</row>
    <row r="669" spans="1:56" s="4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</row>
    <row r="670" spans="1:56" s="4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</row>
    <row r="671" spans="1:56" s="4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</row>
    <row r="672" spans="1:56" s="4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</row>
    <row r="673" spans="1:56" s="4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</row>
    <row r="674" spans="1:56" s="4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</row>
    <row r="675" spans="1:56" s="4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</row>
    <row r="676" spans="1:56" s="4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</row>
    <row r="677" spans="1:56" s="4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</row>
    <row r="678" spans="1:56" s="4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</row>
    <row r="679" spans="1:56" s="4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</row>
    <row r="680" spans="1:56" s="4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</row>
    <row r="681" spans="1:56" s="4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</row>
    <row r="682" spans="1:56" s="4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</row>
    <row r="683" spans="1:56" s="4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</row>
    <row r="684" spans="1:56" s="4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</row>
    <row r="685" spans="1:56" s="4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</row>
    <row r="686" spans="1:56" s="4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</row>
    <row r="687" spans="1:56" s="4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</row>
    <row r="688" spans="1:56" s="4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</row>
    <row r="689" spans="1:56" s="4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</row>
    <row r="690" spans="1:56" s="4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</row>
    <row r="691" spans="1:56" s="4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</row>
    <row r="692" spans="1:56" s="4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</row>
    <row r="693" spans="1:56" s="4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</row>
    <row r="694" spans="1:56" s="4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</row>
    <row r="695" spans="1:56" s="4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</row>
    <row r="696" spans="1:56" s="4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</row>
    <row r="697" spans="1:56" s="4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</row>
    <row r="698" spans="1:56" s="4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</row>
    <row r="699" spans="1:56" s="4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</row>
    <row r="700" spans="1:56" s="4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</row>
    <row r="701" spans="1:56" s="4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</row>
    <row r="702" spans="1:56" s="4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</row>
    <row r="703" spans="1:56" s="4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</row>
    <row r="704" spans="1:56" s="4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</row>
    <row r="705" spans="1:56" s="4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</row>
    <row r="706" spans="1:56" s="4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</row>
    <row r="707" spans="1:56" s="4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</row>
    <row r="708" spans="1:56" s="4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</row>
    <row r="709" spans="1:56" s="4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</row>
    <row r="710" spans="1:56" s="4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</row>
    <row r="711" spans="1:56" s="4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</row>
    <row r="712" spans="1:56" s="4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</row>
    <row r="713" spans="1:56" s="4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</row>
    <row r="714" spans="1:56" s="4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</row>
    <row r="715" spans="1:56" s="4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</row>
    <row r="716" spans="1:56" s="4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</row>
    <row r="717" spans="1:56" s="4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</row>
    <row r="718" spans="1:56" s="4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</row>
    <row r="719" spans="1:56" s="4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</row>
    <row r="720" spans="1:56" s="4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</row>
    <row r="721" spans="1:56" s="4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</row>
    <row r="722" spans="1:56" s="4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</row>
    <row r="723" spans="1:56" s="4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</row>
    <row r="724" spans="1:56" s="4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</row>
    <row r="725" spans="1:56" s="4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</row>
    <row r="726" spans="1:56" s="4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</row>
    <row r="727" spans="1:56" s="4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</row>
    <row r="728" spans="1:56" s="4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</row>
    <row r="729" spans="1:56" s="4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</row>
    <row r="730" spans="1:56" s="4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</row>
    <row r="731" spans="1:56" s="4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</row>
    <row r="732" spans="1:56" s="4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</row>
    <row r="733" spans="1:56" s="4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</row>
    <row r="734" spans="1:56" s="4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</row>
    <row r="735" spans="1:56" s="4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</row>
    <row r="736" spans="1:56" s="4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</row>
    <row r="737" spans="1:56" s="4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</row>
    <row r="738" spans="1:56" s="4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</row>
    <row r="739" spans="1:56" s="4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</row>
    <row r="740" spans="1:56" s="4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</row>
    <row r="741" spans="1:56" s="4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</row>
    <row r="742" spans="1:56" s="4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</row>
    <row r="743" spans="1:56" s="4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</row>
    <row r="744" spans="1:56" s="4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</row>
    <row r="745" spans="1:56" s="4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</row>
    <row r="746" spans="1:56" s="4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</row>
    <row r="747" spans="1:56" s="4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</row>
    <row r="748" spans="1:56" s="4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</row>
    <row r="749" spans="1:56" s="4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</row>
    <row r="750" spans="1:56" s="4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</row>
    <row r="751" spans="1:56" s="4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</row>
    <row r="752" spans="1:56" s="4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</row>
    <row r="753" spans="1:56" s="4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</row>
    <row r="754" spans="1:56" s="4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</row>
    <row r="755" spans="1:56" s="4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</row>
    <row r="756" spans="1:56" s="4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</row>
    <row r="757" spans="1:56" s="4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</row>
    <row r="758" spans="1:56" s="4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</row>
    <row r="759" spans="1:56" s="4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</row>
    <row r="760" spans="1:56" s="4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</row>
    <row r="761" spans="1:56" s="4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</row>
    <row r="762" spans="1:56" s="4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</row>
    <row r="763" spans="1:56" s="4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</row>
    <row r="764" spans="1:56" s="4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</row>
    <row r="765" spans="1:56" s="4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</row>
    <row r="766" spans="1:56" s="4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</row>
    <row r="767" spans="1:56" s="4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</row>
    <row r="768" spans="1:56" s="4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</row>
    <row r="769" spans="1:56" s="4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</row>
    <row r="770" spans="1:56" s="4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</row>
    <row r="771" spans="1:56" s="4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</row>
    <row r="772" spans="1:56" s="4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</row>
    <row r="773" spans="1:56" s="4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</row>
    <row r="774" spans="1:56" s="4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</row>
    <row r="775" spans="1:56" s="4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</row>
    <row r="776" spans="1:56" s="4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</row>
    <row r="777" spans="1:56" s="4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</row>
    <row r="778" spans="1:56" s="4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</row>
    <row r="779" spans="1:56" s="4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</row>
    <row r="780" spans="1:56" s="4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</row>
    <row r="781" spans="1:56" s="4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</row>
    <row r="782" spans="1:56" s="4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</row>
    <row r="783" spans="1:56" s="4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</row>
    <row r="784" spans="1:56" s="4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</row>
    <row r="785" spans="1:56" s="4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</row>
    <row r="786" spans="1:56" s="4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</row>
    <row r="787" spans="1:56" s="4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</row>
    <row r="788" spans="1:56" s="4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</row>
    <row r="789" spans="1:56" s="4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</row>
    <row r="790" spans="1:56" s="4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</row>
    <row r="791" spans="1:56" s="4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</row>
    <row r="792" spans="1:56" s="4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</row>
    <row r="793" spans="1:56" s="4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</row>
    <row r="794" spans="1:56" s="4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</row>
    <row r="795" spans="1:56" s="4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</row>
    <row r="796" spans="1:56" s="4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</row>
    <row r="797" spans="1:56" s="4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</row>
    <row r="798" spans="1:56" s="4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</row>
    <row r="799" spans="1:56" s="4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</row>
    <row r="800" spans="1:56" s="4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</row>
    <row r="801" spans="1:56" s="4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</row>
    <row r="802" spans="1:56" s="4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</row>
    <row r="803" spans="1:56" s="4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</row>
    <row r="804" spans="1:56" s="4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</row>
    <row r="805" spans="1:56" s="4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</row>
    <row r="806" spans="1:56" s="4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</row>
    <row r="807" spans="1:56" s="4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</row>
    <row r="808" spans="1:56" s="4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</row>
    <row r="809" spans="1:56" s="4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</row>
    <row r="810" spans="1:56" s="4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</row>
    <row r="811" spans="1:56" s="4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</row>
    <row r="812" spans="1:56" s="4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</row>
    <row r="813" spans="1:56" s="4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</row>
    <row r="814" spans="1:56" s="4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</row>
    <row r="815" spans="1:56" s="4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</row>
    <row r="816" spans="1:56" s="4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</row>
    <row r="817" spans="1:56" s="4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</row>
    <row r="818" spans="1:56" s="4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</row>
    <row r="819" spans="1:56" s="4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</row>
    <row r="820" spans="1:56" s="4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</row>
    <row r="821" spans="1:56" s="4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</row>
    <row r="822" spans="1:56" s="4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</row>
    <row r="823" spans="1:56" s="4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</row>
    <row r="824" spans="1:56" s="4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</row>
    <row r="825" spans="1:56" s="4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</row>
    <row r="826" spans="1:56" s="4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</row>
    <row r="827" spans="1:56" s="4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</row>
    <row r="828" spans="1:56" s="4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</row>
    <row r="829" spans="1:56" s="4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</row>
    <row r="830" spans="1:56" s="4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</row>
    <row r="831" spans="1:56" s="4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</row>
    <row r="832" spans="1:56" s="4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</row>
    <row r="833" spans="1:56" s="4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</row>
    <row r="834" spans="1:56" s="4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</row>
    <row r="835" spans="1:56" s="4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</row>
    <row r="836" spans="1:56" s="4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</row>
    <row r="837" spans="1:56" s="4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</row>
    <row r="838" spans="1:56" s="4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</row>
    <row r="839" spans="1:56" s="4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</row>
    <row r="840" spans="1:56" s="4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</row>
    <row r="841" spans="1:56" s="4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</row>
    <row r="842" spans="1:56" s="4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</row>
    <row r="843" spans="1:56" s="4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</row>
    <row r="844" spans="1:56" s="4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</row>
    <row r="845" spans="1:56" s="4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</row>
    <row r="846" spans="1:56" s="4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</row>
    <row r="847" spans="1:56" s="4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</row>
    <row r="848" spans="1:56" s="4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</row>
    <row r="849" spans="1:56" s="4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</row>
    <row r="850" spans="1:56" s="4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</row>
    <row r="851" spans="1:56" s="4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</row>
    <row r="852" spans="1:56" s="4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</row>
    <row r="853" spans="1:56" s="4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</row>
    <row r="854" spans="1:56" s="4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</row>
    <row r="855" spans="1:56" s="4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</row>
    <row r="856" spans="1:56" s="4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</row>
    <row r="857" spans="1:56" s="4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</row>
    <row r="858" spans="1:56" s="4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</row>
    <row r="859" spans="1:56" s="4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</row>
    <row r="860" spans="1:56" s="4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</row>
    <row r="861" spans="1:56" s="4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</row>
    <row r="862" spans="1:56" s="4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</row>
    <row r="863" spans="1:56" s="4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</row>
    <row r="864" spans="1:56" s="4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</row>
    <row r="865" spans="1:56" s="4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</row>
    <row r="866" spans="1:56" s="4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</row>
    <row r="867" spans="1:56" s="4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</row>
    <row r="868" spans="1:56" s="4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</row>
    <row r="869" spans="1:56" s="4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</row>
    <row r="870" spans="1:56" s="4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</row>
    <row r="871" spans="1:56" s="4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</row>
    <row r="872" spans="1:56" s="4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</row>
    <row r="873" spans="1:56" s="4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</row>
    <row r="874" spans="1:56" s="4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</row>
    <row r="875" spans="1:56" s="4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</row>
    <row r="876" spans="1:56" s="4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</row>
    <row r="877" spans="1:56" s="4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</row>
    <row r="878" spans="1:56" s="4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</row>
    <row r="879" spans="1:56" s="4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</row>
    <row r="880" spans="1:56" s="4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</row>
    <row r="881" spans="1:56" s="4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</row>
    <row r="882" spans="1:56" s="4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</row>
    <row r="883" spans="1:56" s="4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</row>
    <row r="884" spans="1:56" s="4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</row>
    <row r="885" spans="1:56" s="4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</row>
    <row r="886" spans="1:56" s="4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</row>
    <row r="887" spans="1:56" s="4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</row>
    <row r="888" spans="1:56" s="4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</row>
    <row r="889" spans="1:56" s="4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</row>
    <row r="890" spans="1:56" s="4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</row>
    <row r="891" spans="1:56" s="4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</row>
    <row r="892" spans="1:56" s="4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</row>
    <row r="893" spans="1:56" s="4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</row>
    <row r="894" spans="1:56" s="4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</row>
    <row r="895" spans="1:56" s="4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</row>
    <row r="896" spans="1:56" s="4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</row>
    <row r="897" spans="1:56" s="4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</row>
    <row r="898" spans="1:56" s="4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</row>
    <row r="899" spans="1:56" s="4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</row>
    <row r="900" spans="1:56" s="4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</row>
    <row r="901" spans="1:56" s="4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</row>
    <row r="902" spans="1:56" s="4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</row>
    <row r="903" spans="1:56" s="4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</row>
    <row r="904" spans="1:56" s="4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</row>
    <row r="905" spans="1:56" s="4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</row>
    <row r="906" spans="1:56" s="4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</row>
    <row r="907" spans="1:56" s="4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</row>
    <row r="908" spans="1:56" s="4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</row>
    <row r="909" spans="1:56" s="4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</row>
    <row r="910" spans="1:56" s="4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</row>
    <row r="911" spans="1:56" s="4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</row>
    <row r="912" spans="1:56" s="4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</row>
    <row r="913" spans="1:56" s="4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</row>
    <row r="914" spans="1:56" s="4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</row>
    <row r="915" spans="1:56" s="4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</row>
    <row r="916" spans="1:56" s="4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</row>
    <row r="917" spans="1:56" s="4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</row>
    <row r="918" spans="1:56" s="4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</row>
    <row r="919" spans="1:56" s="4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</row>
    <row r="920" spans="1:56" s="4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</row>
    <row r="921" spans="1:56" s="4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</row>
    <row r="922" spans="1:56" s="4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</row>
    <row r="923" spans="1:56" s="4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</row>
    <row r="924" spans="1:56" s="4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</row>
    <row r="925" spans="1:56" s="4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</row>
    <row r="926" spans="1:56" s="4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</row>
    <row r="927" spans="1:56" s="4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</row>
    <row r="928" spans="1:56" s="4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</row>
    <row r="929" spans="1:56" s="4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</row>
    <row r="930" spans="1:56" s="4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</row>
    <row r="931" spans="1:56" s="4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</row>
    <row r="932" spans="1:56" s="4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</row>
    <row r="933" spans="1:56" s="4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</row>
    <row r="934" spans="1:56" s="4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</row>
    <row r="935" spans="1:56" s="4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</row>
    <row r="936" spans="1:56" s="4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</row>
    <row r="937" spans="1:56" s="4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</row>
    <row r="938" spans="1:56" s="4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</row>
    <row r="939" spans="1:56" s="4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</row>
    <row r="940" spans="1:56" s="4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</row>
    <row r="941" spans="1:56" s="4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</row>
    <row r="942" spans="1:56" s="4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</row>
    <row r="943" spans="1:56" s="4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</row>
    <row r="944" spans="1:56" s="4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</row>
    <row r="945" spans="1:56" s="4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</row>
    <row r="946" spans="1:56" s="4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</row>
    <row r="947" spans="1:56" s="4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</row>
    <row r="948" spans="1:56" s="4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</row>
    <row r="949" spans="1:56" s="4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</row>
    <row r="950" spans="1:56" s="4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</row>
    <row r="951" spans="1:56" s="4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</row>
    <row r="952" spans="1:56" s="4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</row>
    <row r="953" spans="1:56" s="4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</row>
    <row r="954" spans="1:56" s="4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</row>
    <row r="955" spans="1:56" s="4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</row>
    <row r="956" spans="1:56" s="4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</row>
    <row r="957" spans="1:56" s="4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</row>
    <row r="958" spans="1:56" s="4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</row>
    <row r="959" spans="1:56" s="4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</row>
    <row r="960" spans="1:56" s="4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</row>
    <row r="961" spans="1:56" s="4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</row>
    <row r="962" spans="1:56" s="4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</row>
    <row r="963" spans="1:56" s="4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</row>
    <row r="964" spans="1:56" s="4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</row>
    <row r="965" spans="1:56" s="4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</row>
    <row r="966" spans="1:56" s="4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</row>
    <row r="967" spans="1:56" s="4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</row>
    <row r="968" spans="1:56" s="4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</row>
    <row r="969" spans="1:56" s="4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</row>
    <row r="970" spans="1:56" s="4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</row>
    <row r="971" spans="1:56" s="4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</row>
    <row r="972" spans="1:56" s="4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</row>
    <row r="973" spans="1:56" s="4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</row>
    <row r="974" spans="1:56" s="4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</row>
    <row r="975" spans="1:56" s="4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</row>
    <row r="976" spans="1:56" s="4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</row>
    <row r="977" spans="1:56" s="4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</row>
    <row r="978" spans="1:56" s="4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</row>
    <row r="979" spans="1:56" s="4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</row>
    <row r="980" spans="1:56" s="4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</row>
    <row r="981" spans="1:56" s="4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</row>
    <row r="982" spans="1:56" s="4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</row>
    <row r="983" spans="1:56" s="4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</row>
    <row r="984" spans="1:56" s="4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</row>
    <row r="985" spans="1:56" s="4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</row>
    <row r="986" spans="1:56" s="4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</row>
    <row r="987" spans="1:56" s="4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</row>
    <row r="988" spans="1:56" s="4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</row>
    <row r="989" spans="1:56" s="4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</row>
    <row r="990" spans="1:56" s="4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</row>
    <row r="991" spans="1:56" s="4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</row>
    <row r="992" spans="1:56" s="4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</row>
    <row r="993" spans="1:56" s="4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</row>
    <row r="994" spans="1:56" s="4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</row>
    <row r="995" spans="1:56" s="4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</row>
    <row r="996" spans="1:56" s="4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</row>
    <row r="997" spans="1:56" s="4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</row>
    <row r="998" spans="1:56" s="4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</row>
    <row r="999" spans="1:56" s="4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</row>
    <row r="1000" spans="1:56" s="4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</row>
    <row r="1001" spans="1:56" s="4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</row>
    <row r="1002" spans="1:56" s="4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</row>
    <row r="1003" spans="1:56" s="4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</row>
    <row r="1004" spans="1:56" s="4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</row>
    <row r="1005" spans="1:56" s="4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</row>
    <row r="1006" spans="1:56" s="4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</row>
    <row r="1007" spans="1:56" s="4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</row>
    <row r="1008" spans="1:56" s="4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</row>
    <row r="1009" spans="1:56" s="4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</row>
    <row r="1010" spans="1:56" s="4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</row>
    <row r="1011" spans="1:56" s="4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</row>
    <row r="1012" spans="1:56" s="4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</row>
    <row r="1013" spans="1:56" s="4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</row>
    <row r="1014" spans="1:56" s="4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</row>
    <row r="1015" spans="1:56" s="4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</row>
    <row r="1016" spans="1:56" s="4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</row>
    <row r="1017" spans="1:56" s="4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</row>
    <row r="1018" spans="1:56" s="4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</row>
    <row r="1019" spans="1:56" s="4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</row>
    <row r="1020" spans="1:56" s="4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</row>
    <row r="1021" spans="1:56" s="4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</row>
    <row r="1022" spans="1:56" s="4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</row>
    <row r="1023" spans="1:56" s="4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</row>
    <row r="1024" spans="1:56" s="4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</row>
    <row r="1025" spans="1:56" s="4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</row>
    <row r="1026" spans="1:56" s="4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</row>
    <row r="1027" spans="1:56" s="4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</row>
    <row r="1028" spans="1:56" s="4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</row>
    <row r="1029" spans="1:56" s="4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</row>
    <row r="1030" spans="1:56" s="4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</row>
    <row r="1031" spans="1:56" s="4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</row>
    <row r="1032" spans="1:56" s="4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</row>
    <row r="1033" spans="1:56" s="4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</row>
    <row r="1034" spans="1:56" s="4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</row>
    <row r="1035" spans="1:56" s="4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</row>
    <row r="1036" spans="1:56" s="4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</row>
    <row r="1037" spans="1:56" s="4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</row>
    <row r="1038" spans="1:56" s="4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</row>
    <row r="1039" spans="1:56" s="4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</row>
    <row r="1040" spans="1:56" s="4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</row>
    <row r="1041" spans="1:56" s="4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</row>
    <row r="1042" spans="1:56" s="4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</row>
    <row r="1043" spans="1:56" s="4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</row>
    <row r="1044" spans="1:56" s="4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</row>
    <row r="1045" spans="1:56" s="4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</row>
    <row r="1046" spans="1:56" s="4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</row>
    <row r="1047" spans="1:56" s="4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</row>
    <row r="1048" spans="1:56" s="4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</row>
    <row r="1049" spans="1:56" s="4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</row>
    <row r="1050" spans="1:56" s="4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</row>
    <row r="1051" spans="1:56" s="4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</row>
    <row r="1052" spans="1:56" s="4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</row>
    <row r="1053" spans="1:56" s="4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</row>
    <row r="1054" spans="1:56" s="4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</row>
    <row r="1055" spans="1:56" s="4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</row>
    <row r="1056" spans="1:56" s="4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</row>
    <row r="1057" spans="1:56" s="4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</row>
    <row r="1058" spans="1:56" s="4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</row>
    <row r="1059" spans="1:56" s="4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</row>
    <row r="1060" spans="1:56" s="4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</row>
    <row r="1061" spans="1:56" s="4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</row>
    <row r="1062" spans="1:56" s="4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</row>
    <row r="1063" spans="1:56" s="4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</row>
    <row r="1064" spans="1:56" s="4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</row>
    <row r="1065" spans="1:56" s="4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</row>
    <row r="1066" spans="1:56" s="4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</row>
    <row r="1067" spans="1:56" s="4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</row>
    <row r="1068" spans="1:56" s="4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</row>
    <row r="1069" spans="1:56" s="4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</row>
    <row r="1070" spans="1:56" s="4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</row>
    <row r="1071" spans="1:56" s="4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</row>
    <row r="1072" spans="1:56" s="4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</row>
    <row r="1073" spans="1:56" s="4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</row>
    <row r="1074" spans="1:56" s="4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</row>
    <row r="1075" spans="1:56" s="4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</row>
    <row r="1076" spans="1:56" s="4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</row>
    <row r="1077" spans="1:56" s="4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</row>
    <row r="1078" spans="1:56" s="4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</row>
    <row r="1079" spans="1:56" s="4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</row>
    <row r="1080" spans="1:56" s="4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</row>
    <row r="1081" spans="1:56" s="4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</row>
    <row r="1082" spans="1:56" s="4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</row>
    <row r="1083" spans="1:56" s="4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</row>
    <row r="1084" spans="1:56" s="4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</row>
    <row r="1085" spans="1:56" s="4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</row>
    <row r="1086" spans="1:56" s="4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</row>
    <row r="1087" spans="1:56" s="4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</row>
    <row r="1088" spans="1:56" s="4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</row>
    <row r="1089" spans="1:56" s="4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</row>
    <row r="1090" spans="1:56" s="4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</row>
    <row r="1091" spans="1:56" s="4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</row>
    <row r="1092" spans="1:56" s="4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</row>
    <row r="1093" spans="1:56" s="4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</row>
    <row r="1094" spans="1:56" s="4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</row>
  </sheetData>
  <mergeCells count="12">
    <mergeCell ref="AU6:AY8"/>
    <mergeCell ref="AZ6:BD8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pageMargins left="0.7" right="0.7" top="0.75" bottom="0.75" header="0.3" footer="0.3"/>
  <pageSetup scale="27" orientation="portrait" r:id="rId1"/>
  <colBreaks count="2" manualBreakCount="2">
    <brk id="11" max="1048575" man="1"/>
    <brk id="2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762000</xdr:colOff>
                    <xdr:row>0</xdr:row>
                    <xdr:rowOff>219075</xdr:rowOff>
                  </from>
                  <to>
                    <xdr:col>7</xdr:col>
                    <xdr:colOff>66675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18691"/>
  <sheetViews>
    <sheetView zoomScale="90" zoomScaleNormal="90" zoomScaleSheetLayoutView="55" workbookViewId="0">
      <selection activeCell="AY73" sqref="AY73"/>
    </sheetView>
  </sheetViews>
  <sheetFormatPr defaultRowHeight="15" x14ac:dyDescent="0.25"/>
  <cols>
    <col min="1" max="1" width="38.85546875" bestFit="1" customWidth="1"/>
    <col min="2" max="2" width="7.42578125" customWidth="1"/>
    <col min="3" max="3" width="32.42578125" bestFit="1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8.42578125" bestFit="1" customWidth="1"/>
    <col min="14" max="14" width="11.28515625" bestFit="1" customWidth="1"/>
    <col min="15" max="15" width="10.42578125" customWidth="1"/>
    <col min="16" max="16" width="10.140625" customWidth="1"/>
    <col min="17" max="17" width="8.7109375" bestFit="1" customWidth="1"/>
    <col min="18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11.7109375" bestFit="1" customWidth="1"/>
    <col min="251" max="251" width="26.140625" customWidth="1"/>
    <col min="252" max="252" width="7.42578125" customWidth="1"/>
    <col min="253" max="253" width="15.42578125" customWidth="1"/>
    <col min="254" max="254" width="11.42578125" customWidth="1"/>
    <col min="255" max="255" width="12.85546875" customWidth="1"/>
    <col min="256" max="256" width="13.42578125" customWidth="1"/>
    <col min="257" max="257" width="10.7109375" customWidth="1"/>
    <col min="258" max="258" width="7.85546875" customWidth="1"/>
    <col min="259" max="259" width="12.28515625" customWidth="1"/>
    <col min="260" max="261" width="10.140625" customWidth="1"/>
    <col min="262" max="262" width="9.5703125" customWidth="1"/>
    <col min="263" max="263" width="7.140625" customWidth="1"/>
    <col min="264" max="264" width="9.28515625" customWidth="1"/>
    <col min="265" max="265" width="10.42578125" customWidth="1"/>
    <col min="266" max="266" width="10.140625" customWidth="1"/>
    <col min="267" max="268" width="7.140625" customWidth="1"/>
    <col min="269" max="269" width="13.42578125" customWidth="1"/>
    <col min="270" max="270" width="12" customWidth="1"/>
    <col min="271" max="271" width="11.7109375" customWidth="1"/>
    <col min="272" max="272" width="9.42578125" customWidth="1"/>
    <col min="273" max="273" width="7.42578125" customWidth="1"/>
    <col min="274" max="275" width="11.7109375" customWidth="1"/>
    <col min="276" max="276" width="12.28515625" customWidth="1"/>
    <col min="277" max="277" width="9.42578125" customWidth="1"/>
    <col min="278" max="278" width="8.42578125" customWidth="1"/>
    <col min="279" max="279" width="10.85546875" customWidth="1"/>
    <col min="280" max="280" width="9.7109375" customWidth="1"/>
    <col min="281" max="281" width="11.42578125" customWidth="1"/>
    <col min="282" max="282" width="8.42578125" customWidth="1"/>
    <col min="283" max="283" width="10.28515625" customWidth="1"/>
    <col min="284" max="284" width="12.140625" customWidth="1"/>
    <col min="285" max="285" width="13.42578125" customWidth="1"/>
    <col min="286" max="286" width="12.140625" customWidth="1"/>
    <col min="287" max="287" width="9.42578125" customWidth="1"/>
    <col min="288" max="288" width="7.7109375" customWidth="1"/>
    <col min="289" max="289" width="10.7109375" customWidth="1"/>
    <col min="290" max="290" width="11" customWidth="1"/>
    <col min="291" max="291" width="12" customWidth="1"/>
    <col min="292" max="292" width="9.85546875" customWidth="1"/>
    <col min="293" max="293" width="7.7109375" customWidth="1"/>
    <col min="294" max="294" width="10.5703125" customWidth="1"/>
    <col min="295" max="295" width="12.42578125" customWidth="1"/>
    <col min="296" max="296" width="13.42578125" customWidth="1"/>
    <col min="297" max="297" width="9.42578125" customWidth="1"/>
    <col min="298" max="298" width="8.42578125" customWidth="1"/>
    <col min="299" max="302" width="10" customWidth="1"/>
    <col min="303" max="303" width="7.7109375" customWidth="1"/>
    <col min="304" max="306" width="11.28515625" customWidth="1"/>
    <col min="307" max="307" width="11.85546875" customWidth="1"/>
    <col min="308" max="308" width="9.28515625" bestFit="1" customWidth="1"/>
    <col min="507" max="507" width="26.140625" customWidth="1"/>
    <col min="508" max="508" width="7.42578125" customWidth="1"/>
    <col min="509" max="509" width="15.42578125" customWidth="1"/>
    <col min="510" max="510" width="11.42578125" customWidth="1"/>
    <col min="511" max="511" width="12.85546875" customWidth="1"/>
    <col min="512" max="512" width="13.42578125" customWidth="1"/>
    <col min="513" max="513" width="10.7109375" customWidth="1"/>
    <col min="514" max="514" width="7.85546875" customWidth="1"/>
    <col min="515" max="515" width="12.28515625" customWidth="1"/>
    <col min="516" max="517" width="10.140625" customWidth="1"/>
    <col min="518" max="518" width="9.5703125" customWidth="1"/>
    <col min="519" max="519" width="7.140625" customWidth="1"/>
    <col min="520" max="520" width="9.28515625" customWidth="1"/>
    <col min="521" max="521" width="10.42578125" customWidth="1"/>
    <col min="522" max="522" width="10.140625" customWidth="1"/>
    <col min="523" max="524" width="7.140625" customWidth="1"/>
    <col min="525" max="525" width="13.42578125" customWidth="1"/>
    <col min="526" max="526" width="12" customWidth="1"/>
    <col min="527" max="527" width="11.7109375" customWidth="1"/>
    <col min="528" max="528" width="9.42578125" customWidth="1"/>
    <col min="529" max="529" width="7.42578125" customWidth="1"/>
    <col min="530" max="531" width="11.7109375" customWidth="1"/>
    <col min="532" max="532" width="12.28515625" customWidth="1"/>
    <col min="533" max="533" width="9.42578125" customWidth="1"/>
    <col min="534" max="534" width="8.42578125" customWidth="1"/>
    <col min="535" max="535" width="10.85546875" customWidth="1"/>
    <col min="536" max="536" width="9.7109375" customWidth="1"/>
    <col min="537" max="537" width="11.42578125" customWidth="1"/>
    <col min="538" max="538" width="8.42578125" customWidth="1"/>
    <col min="539" max="539" width="10.28515625" customWidth="1"/>
    <col min="540" max="540" width="12.140625" customWidth="1"/>
    <col min="541" max="541" width="13.42578125" customWidth="1"/>
    <col min="542" max="542" width="12.140625" customWidth="1"/>
    <col min="543" max="543" width="9.42578125" customWidth="1"/>
    <col min="544" max="544" width="7.7109375" customWidth="1"/>
    <col min="545" max="545" width="10.7109375" customWidth="1"/>
    <col min="546" max="546" width="11" customWidth="1"/>
    <col min="547" max="547" width="12" customWidth="1"/>
    <col min="548" max="548" width="9.85546875" customWidth="1"/>
    <col min="549" max="549" width="7.7109375" customWidth="1"/>
    <col min="550" max="550" width="10.5703125" customWidth="1"/>
    <col min="551" max="551" width="12.42578125" customWidth="1"/>
    <col min="552" max="552" width="13.42578125" customWidth="1"/>
    <col min="553" max="553" width="9.42578125" customWidth="1"/>
    <col min="554" max="554" width="8.42578125" customWidth="1"/>
    <col min="555" max="558" width="10" customWidth="1"/>
    <col min="559" max="559" width="7.7109375" customWidth="1"/>
    <col min="560" max="562" width="11.28515625" customWidth="1"/>
    <col min="563" max="563" width="11.85546875" customWidth="1"/>
    <col min="564" max="564" width="9.28515625" bestFit="1" customWidth="1"/>
    <col min="763" max="763" width="26.140625" customWidth="1"/>
    <col min="764" max="764" width="7.42578125" customWidth="1"/>
    <col min="765" max="765" width="15.42578125" customWidth="1"/>
    <col min="766" max="766" width="11.42578125" customWidth="1"/>
    <col min="767" max="767" width="12.85546875" customWidth="1"/>
    <col min="768" max="768" width="13.42578125" customWidth="1"/>
    <col min="769" max="769" width="10.7109375" customWidth="1"/>
    <col min="770" max="770" width="7.85546875" customWidth="1"/>
    <col min="771" max="771" width="12.28515625" customWidth="1"/>
    <col min="772" max="773" width="10.140625" customWidth="1"/>
    <col min="774" max="774" width="9.5703125" customWidth="1"/>
    <col min="775" max="775" width="7.140625" customWidth="1"/>
    <col min="776" max="776" width="9.28515625" customWidth="1"/>
    <col min="777" max="777" width="10.42578125" customWidth="1"/>
    <col min="778" max="778" width="10.140625" customWidth="1"/>
    <col min="779" max="780" width="7.140625" customWidth="1"/>
    <col min="781" max="781" width="13.42578125" customWidth="1"/>
    <col min="782" max="782" width="12" customWidth="1"/>
    <col min="783" max="783" width="11.7109375" customWidth="1"/>
    <col min="784" max="784" width="9.42578125" customWidth="1"/>
    <col min="785" max="785" width="7.42578125" customWidth="1"/>
    <col min="786" max="787" width="11.7109375" customWidth="1"/>
    <col min="788" max="788" width="12.28515625" customWidth="1"/>
    <col min="789" max="789" width="9.42578125" customWidth="1"/>
    <col min="790" max="790" width="8.42578125" customWidth="1"/>
    <col min="791" max="791" width="10.85546875" customWidth="1"/>
    <col min="792" max="792" width="9.7109375" customWidth="1"/>
    <col min="793" max="793" width="11.42578125" customWidth="1"/>
    <col min="794" max="794" width="8.42578125" customWidth="1"/>
    <col min="795" max="795" width="10.28515625" customWidth="1"/>
    <col min="796" max="796" width="12.140625" customWidth="1"/>
    <col min="797" max="797" width="13.42578125" customWidth="1"/>
    <col min="798" max="798" width="12.140625" customWidth="1"/>
    <col min="799" max="799" width="9.42578125" customWidth="1"/>
    <col min="800" max="800" width="7.7109375" customWidth="1"/>
    <col min="801" max="801" width="10.7109375" customWidth="1"/>
    <col min="802" max="802" width="11" customWidth="1"/>
    <col min="803" max="803" width="12" customWidth="1"/>
    <col min="804" max="804" width="9.85546875" customWidth="1"/>
    <col min="805" max="805" width="7.7109375" customWidth="1"/>
    <col min="806" max="806" width="10.5703125" customWidth="1"/>
    <col min="807" max="807" width="12.42578125" customWidth="1"/>
    <col min="808" max="808" width="13.42578125" customWidth="1"/>
    <col min="809" max="809" width="9.42578125" customWidth="1"/>
    <col min="810" max="810" width="8.42578125" customWidth="1"/>
    <col min="811" max="814" width="10" customWidth="1"/>
    <col min="815" max="815" width="7.7109375" customWidth="1"/>
    <col min="816" max="818" width="11.28515625" customWidth="1"/>
    <col min="819" max="819" width="11.85546875" customWidth="1"/>
    <col min="820" max="820" width="9.28515625" bestFit="1" customWidth="1"/>
    <col min="1019" max="1019" width="26.140625" customWidth="1"/>
    <col min="1020" max="1020" width="7.42578125" customWidth="1"/>
    <col min="1021" max="1021" width="15.42578125" customWidth="1"/>
    <col min="1022" max="1022" width="11.42578125" customWidth="1"/>
    <col min="1023" max="1023" width="12.85546875" customWidth="1"/>
    <col min="1024" max="1024" width="13.42578125" customWidth="1"/>
    <col min="1025" max="1025" width="10.7109375" customWidth="1"/>
    <col min="1026" max="1026" width="7.85546875" customWidth="1"/>
    <col min="1027" max="1027" width="12.28515625" customWidth="1"/>
    <col min="1028" max="1029" width="10.140625" customWidth="1"/>
    <col min="1030" max="1030" width="9.5703125" customWidth="1"/>
    <col min="1031" max="1031" width="7.140625" customWidth="1"/>
    <col min="1032" max="1032" width="9.28515625" customWidth="1"/>
    <col min="1033" max="1033" width="10.42578125" customWidth="1"/>
    <col min="1034" max="1034" width="10.140625" customWidth="1"/>
    <col min="1035" max="1036" width="7.140625" customWidth="1"/>
    <col min="1037" max="1037" width="13.42578125" customWidth="1"/>
    <col min="1038" max="1038" width="12" customWidth="1"/>
    <col min="1039" max="1039" width="11.7109375" customWidth="1"/>
    <col min="1040" max="1040" width="9.42578125" customWidth="1"/>
    <col min="1041" max="1041" width="7.42578125" customWidth="1"/>
    <col min="1042" max="1043" width="11.7109375" customWidth="1"/>
    <col min="1044" max="1044" width="12.28515625" customWidth="1"/>
    <col min="1045" max="1045" width="9.42578125" customWidth="1"/>
    <col min="1046" max="1046" width="8.42578125" customWidth="1"/>
    <col min="1047" max="1047" width="10.85546875" customWidth="1"/>
    <col min="1048" max="1048" width="9.7109375" customWidth="1"/>
    <col min="1049" max="1049" width="11.42578125" customWidth="1"/>
    <col min="1050" max="1050" width="8.42578125" customWidth="1"/>
    <col min="1051" max="1051" width="10.28515625" customWidth="1"/>
    <col min="1052" max="1052" width="12.140625" customWidth="1"/>
    <col min="1053" max="1053" width="13.42578125" customWidth="1"/>
    <col min="1054" max="1054" width="12.140625" customWidth="1"/>
    <col min="1055" max="1055" width="9.42578125" customWidth="1"/>
    <col min="1056" max="1056" width="7.7109375" customWidth="1"/>
    <col min="1057" max="1057" width="10.7109375" customWidth="1"/>
    <col min="1058" max="1058" width="11" customWidth="1"/>
    <col min="1059" max="1059" width="12" customWidth="1"/>
    <col min="1060" max="1060" width="9.85546875" customWidth="1"/>
    <col min="1061" max="1061" width="7.7109375" customWidth="1"/>
    <col min="1062" max="1062" width="10.5703125" customWidth="1"/>
    <col min="1063" max="1063" width="12.42578125" customWidth="1"/>
    <col min="1064" max="1064" width="13.42578125" customWidth="1"/>
    <col min="1065" max="1065" width="9.42578125" customWidth="1"/>
    <col min="1066" max="1066" width="8.42578125" customWidth="1"/>
    <col min="1067" max="1070" width="10" customWidth="1"/>
    <col min="1071" max="1071" width="7.7109375" customWidth="1"/>
    <col min="1072" max="1074" width="11.28515625" customWidth="1"/>
    <col min="1075" max="1075" width="11.85546875" customWidth="1"/>
    <col min="1076" max="1076" width="9.28515625" bestFit="1" customWidth="1"/>
    <col min="1275" max="1275" width="26.140625" customWidth="1"/>
    <col min="1276" max="1276" width="7.42578125" customWidth="1"/>
    <col min="1277" max="1277" width="15.42578125" customWidth="1"/>
    <col min="1278" max="1278" width="11.42578125" customWidth="1"/>
    <col min="1279" max="1279" width="12.85546875" customWidth="1"/>
    <col min="1280" max="1280" width="13.42578125" customWidth="1"/>
    <col min="1281" max="1281" width="10.7109375" customWidth="1"/>
    <col min="1282" max="1282" width="7.85546875" customWidth="1"/>
    <col min="1283" max="1283" width="12.28515625" customWidth="1"/>
    <col min="1284" max="1285" width="10.140625" customWidth="1"/>
    <col min="1286" max="1286" width="9.5703125" customWidth="1"/>
    <col min="1287" max="1287" width="7.140625" customWidth="1"/>
    <col min="1288" max="1288" width="9.28515625" customWidth="1"/>
    <col min="1289" max="1289" width="10.42578125" customWidth="1"/>
    <col min="1290" max="1290" width="10.140625" customWidth="1"/>
    <col min="1291" max="1292" width="7.140625" customWidth="1"/>
    <col min="1293" max="1293" width="13.42578125" customWidth="1"/>
    <col min="1294" max="1294" width="12" customWidth="1"/>
    <col min="1295" max="1295" width="11.7109375" customWidth="1"/>
    <col min="1296" max="1296" width="9.42578125" customWidth="1"/>
    <col min="1297" max="1297" width="7.42578125" customWidth="1"/>
    <col min="1298" max="1299" width="11.7109375" customWidth="1"/>
    <col min="1300" max="1300" width="12.28515625" customWidth="1"/>
    <col min="1301" max="1301" width="9.42578125" customWidth="1"/>
    <col min="1302" max="1302" width="8.42578125" customWidth="1"/>
    <col min="1303" max="1303" width="10.85546875" customWidth="1"/>
    <col min="1304" max="1304" width="9.7109375" customWidth="1"/>
    <col min="1305" max="1305" width="11.42578125" customWidth="1"/>
    <col min="1306" max="1306" width="8.42578125" customWidth="1"/>
    <col min="1307" max="1307" width="10.28515625" customWidth="1"/>
    <col min="1308" max="1308" width="12.140625" customWidth="1"/>
    <col min="1309" max="1309" width="13.42578125" customWidth="1"/>
    <col min="1310" max="1310" width="12.140625" customWidth="1"/>
    <col min="1311" max="1311" width="9.42578125" customWidth="1"/>
    <col min="1312" max="1312" width="7.7109375" customWidth="1"/>
    <col min="1313" max="1313" width="10.7109375" customWidth="1"/>
    <col min="1314" max="1314" width="11" customWidth="1"/>
    <col min="1315" max="1315" width="12" customWidth="1"/>
    <col min="1316" max="1316" width="9.85546875" customWidth="1"/>
    <col min="1317" max="1317" width="7.7109375" customWidth="1"/>
    <col min="1318" max="1318" width="10.5703125" customWidth="1"/>
    <col min="1319" max="1319" width="12.42578125" customWidth="1"/>
    <col min="1320" max="1320" width="13.42578125" customWidth="1"/>
    <col min="1321" max="1321" width="9.42578125" customWidth="1"/>
    <col min="1322" max="1322" width="8.42578125" customWidth="1"/>
    <col min="1323" max="1326" width="10" customWidth="1"/>
    <col min="1327" max="1327" width="7.7109375" customWidth="1"/>
    <col min="1328" max="1330" width="11.28515625" customWidth="1"/>
    <col min="1331" max="1331" width="11.85546875" customWidth="1"/>
    <col min="1332" max="1332" width="9.28515625" bestFit="1" customWidth="1"/>
    <col min="1531" max="1531" width="26.140625" customWidth="1"/>
    <col min="1532" max="1532" width="7.42578125" customWidth="1"/>
    <col min="1533" max="1533" width="15.42578125" customWidth="1"/>
    <col min="1534" max="1534" width="11.42578125" customWidth="1"/>
    <col min="1535" max="1535" width="12.85546875" customWidth="1"/>
    <col min="1536" max="1536" width="13.42578125" customWidth="1"/>
    <col min="1537" max="1537" width="10.7109375" customWidth="1"/>
    <col min="1538" max="1538" width="7.85546875" customWidth="1"/>
    <col min="1539" max="1539" width="12.28515625" customWidth="1"/>
    <col min="1540" max="1541" width="10.140625" customWidth="1"/>
    <col min="1542" max="1542" width="9.5703125" customWidth="1"/>
    <col min="1543" max="1543" width="7.140625" customWidth="1"/>
    <col min="1544" max="1544" width="9.28515625" customWidth="1"/>
    <col min="1545" max="1545" width="10.42578125" customWidth="1"/>
    <col min="1546" max="1546" width="10.140625" customWidth="1"/>
    <col min="1547" max="1548" width="7.140625" customWidth="1"/>
    <col min="1549" max="1549" width="13.42578125" customWidth="1"/>
    <col min="1550" max="1550" width="12" customWidth="1"/>
    <col min="1551" max="1551" width="11.7109375" customWidth="1"/>
    <col min="1552" max="1552" width="9.42578125" customWidth="1"/>
    <col min="1553" max="1553" width="7.42578125" customWidth="1"/>
    <col min="1554" max="1555" width="11.7109375" customWidth="1"/>
    <col min="1556" max="1556" width="12.28515625" customWidth="1"/>
    <col min="1557" max="1557" width="9.42578125" customWidth="1"/>
    <col min="1558" max="1558" width="8.42578125" customWidth="1"/>
    <col min="1559" max="1559" width="10.85546875" customWidth="1"/>
    <col min="1560" max="1560" width="9.7109375" customWidth="1"/>
    <col min="1561" max="1561" width="11.42578125" customWidth="1"/>
    <col min="1562" max="1562" width="8.42578125" customWidth="1"/>
    <col min="1563" max="1563" width="10.28515625" customWidth="1"/>
    <col min="1564" max="1564" width="12.140625" customWidth="1"/>
    <col min="1565" max="1565" width="13.42578125" customWidth="1"/>
    <col min="1566" max="1566" width="12.140625" customWidth="1"/>
    <col min="1567" max="1567" width="9.42578125" customWidth="1"/>
    <col min="1568" max="1568" width="7.7109375" customWidth="1"/>
    <col min="1569" max="1569" width="10.7109375" customWidth="1"/>
    <col min="1570" max="1570" width="11" customWidth="1"/>
    <col min="1571" max="1571" width="12" customWidth="1"/>
    <col min="1572" max="1572" width="9.85546875" customWidth="1"/>
    <col min="1573" max="1573" width="7.7109375" customWidth="1"/>
    <col min="1574" max="1574" width="10.5703125" customWidth="1"/>
    <col min="1575" max="1575" width="12.42578125" customWidth="1"/>
    <col min="1576" max="1576" width="13.42578125" customWidth="1"/>
    <col min="1577" max="1577" width="9.42578125" customWidth="1"/>
    <col min="1578" max="1578" width="8.42578125" customWidth="1"/>
    <col min="1579" max="1582" width="10" customWidth="1"/>
    <col min="1583" max="1583" width="7.7109375" customWidth="1"/>
    <col min="1584" max="1586" width="11.28515625" customWidth="1"/>
    <col min="1587" max="1587" width="11.85546875" customWidth="1"/>
    <col min="1588" max="1588" width="9.28515625" bestFit="1" customWidth="1"/>
    <col min="1787" max="1787" width="26.140625" customWidth="1"/>
    <col min="1788" max="1788" width="7.42578125" customWidth="1"/>
    <col min="1789" max="1789" width="15.42578125" customWidth="1"/>
    <col min="1790" max="1790" width="11.42578125" customWidth="1"/>
    <col min="1791" max="1791" width="12.85546875" customWidth="1"/>
    <col min="1792" max="1792" width="13.42578125" customWidth="1"/>
    <col min="1793" max="1793" width="10.7109375" customWidth="1"/>
    <col min="1794" max="1794" width="7.85546875" customWidth="1"/>
    <col min="1795" max="1795" width="12.28515625" customWidth="1"/>
    <col min="1796" max="1797" width="10.140625" customWidth="1"/>
    <col min="1798" max="1798" width="9.5703125" customWidth="1"/>
    <col min="1799" max="1799" width="7.140625" customWidth="1"/>
    <col min="1800" max="1800" width="9.28515625" customWidth="1"/>
    <col min="1801" max="1801" width="10.42578125" customWidth="1"/>
    <col min="1802" max="1802" width="10.140625" customWidth="1"/>
    <col min="1803" max="1804" width="7.140625" customWidth="1"/>
    <col min="1805" max="1805" width="13.42578125" customWidth="1"/>
    <col min="1806" max="1806" width="12" customWidth="1"/>
    <col min="1807" max="1807" width="11.7109375" customWidth="1"/>
    <col min="1808" max="1808" width="9.42578125" customWidth="1"/>
    <col min="1809" max="1809" width="7.42578125" customWidth="1"/>
    <col min="1810" max="1811" width="11.7109375" customWidth="1"/>
    <col min="1812" max="1812" width="12.28515625" customWidth="1"/>
    <col min="1813" max="1813" width="9.42578125" customWidth="1"/>
    <col min="1814" max="1814" width="8.42578125" customWidth="1"/>
    <col min="1815" max="1815" width="10.85546875" customWidth="1"/>
    <col min="1816" max="1816" width="9.7109375" customWidth="1"/>
    <col min="1817" max="1817" width="11.42578125" customWidth="1"/>
    <col min="1818" max="1818" width="8.42578125" customWidth="1"/>
    <col min="1819" max="1819" width="10.28515625" customWidth="1"/>
    <col min="1820" max="1820" width="12.140625" customWidth="1"/>
    <col min="1821" max="1821" width="13.42578125" customWidth="1"/>
    <col min="1822" max="1822" width="12.140625" customWidth="1"/>
    <col min="1823" max="1823" width="9.42578125" customWidth="1"/>
    <col min="1824" max="1824" width="7.7109375" customWidth="1"/>
    <col min="1825" max="1825" width="10.7109375" customWidth="1"/>
    <col min="1826" max="1826" width="11" customWidth="1"/>
    <col min="1827" max="1827" width="12" customWidth="1"/>
    <col min="1828" max="1828" width="9.85546875" customWidth="1"/>
    <col min="1829" max="1829" width="7.7109375" customWidth="1"/>
    <col min="1830" max="1830" width="10.5703125" customWidth="1"/>
    <col min="1831" max="1831" width="12.42578125" customWidth="1"/>
    <col min="1832" max="1832" width="13.42578125" customWidth="1"/>
    <col min="1833" max="1833" width="9.42578125" customWidth="1"/>
    <col min="1834" max="1834" width="8.42578125" customWidth="1"/>
    <col min="1835" max="1838" width="10" customWidth="1"/>
    <col min="1839" max="1839" width="7.7109375" customWidth="1"/>
    <col min="1840" max="1842" width="11.28515625" customWidth="1"/>
    <col min="1843" max="1843" width="11.85546875" customWidth="1"/>
    <col min="1844" max="1844" width="9.28515625" bestFit="1" customWidth="1"/>
    <col min="2043" max="2043" width="26.140625" customWidth="1"/>
    <col min="2044" max="2044" width="7.42578125" customWidth="1"/>
    <col min="2045" max="2045" width="15.42578125" customWidth="1"/>
    <col min="2046" max="2046" width="11.42578125" customWidth="1"/>
    <col min="2047" max="2047" width="12.85546875" customWidth="1"/>
    <col min="2048" max="2048" width="13.42578125" customWidth="1"/>
    <col min="2049" max="2049" width="10.7109375" customWidth="1"/>
    <col min="2050" max="2050" width="7.85546875" customWidth="1"/>
    <col min="2051" max="2051" width="12.28515625" customWidth="1"/>
    <col min="2052" max="2053" width="10.140625" customWidth="1"/>
    <col min="2054" max="2054" width="9.5703125" customWidth="1"/>
    <col min="2055" max="2055" width="7.140625" customWidth="1"/>
    <col min="2056" max="2056" width="9.28515625" customWidth="1"/>
    <col min="2057" max="2057" width="10.42578125" customWidth="1"/>
    <col min="2058" max="2058" width="10.140625" customWidth="1"/>
    <col min="2059" max="2060" width="7.140625" customWidth="1"/>
    <col min="2061" max="2061" width="13.42578125" customWidth="1"/>
    <col min="2062" max="2062" width="12" customWidth="1"/>
    <col min="2063" max="2063" width="11.7109375" customWidth="1"/>
    <col min="2064" max="2064" width="9.42578125" customWidth="1"/>
    <col min="2065" max="2065" width="7.42578125" customWidth="1"/>
    <col min="2066" max="2067" width="11.7109375" customWidth="1"/>
    <col min="2068" max="2068" width="12.28515625" customWidth="1"/>
    <col min="2069" max="2069" width="9.42578125" customWidth="1"/>
    <col min="2070" max="2070" width="8.42578125" customWidth="1"/>
    <col min="2071" max="2071" width="10.85546875" customWidth="1"/>
    <col min="2072" max="2072" width="9.7109375" customWidth="1"/>
    <col min="2073" max="2073" width="11.42578125" customWidth="1"/>
    <col min="2074" max="2074" width="8.42578125" customWidth="1"/>
    <col min="2075" max="2075" width="10.28515625" customWidth="1"/>
    <col min="2076" max="2076" width="12.140625" customWidth="1"/>
    <col min="2077" max="2077" width="13.42578125" customWidth="1"/>
    <col min="2078" max="2078" width="12.140625" customWidth="1"/>
    <col min="2079" max="2079" width="9.42578125" customWidth="1"/>
    <col min="2080" max="2080" width="7.7109375" customWidth="1"/>
    <col min="2081" max="2081" width="10.7109375" customWidth="1"/>
    <col min="2082" max="2082" width="11" customWidth="1"/>
    <col min="2083" max="2083" width="12" customWidth="1"/>
    <col min="2084" max="2084" width="9.85546875" customWidth="1"/>
    <col min="2085" max="2085" width="7.7109375" customWidth="1"/>
    <col min="2086" max="2086" width="10.5703125" customWidth="1"/>
    <col min="2087" max="2087" width="12.42578125" customWidth="1"/>
    <col min="2088" max="2088" width="13.42578125" customWidth="1"/>
    <col min="2089" max="2089" width="9.42578125" customWidth="1"/>
    <col min="2090" max="2090" width="8.42578125" customWidth="1"/>
    <col min="2091" max="2094" width="10" customWidth="1"/>
    <col min="2095" max="2095" width="7.7109375" customWidth="1"/>
    <col min="2096" max="2098" width="11.28515625" customWidth="1"/>
    <col min="2099" max="2099" width="11.85546875" customWidth="1"/>
    <col min="2100" max="2100" width="9.28515625" bestFit="1" customWidth="1"/>
    <col min="2299" max="2299" width="26.140625" customWidth="1"/>
    <col min="2300" max="2300" width="7.42578125" customWidth="1"/>
    <col min="2301" max="2301" width="15.42578125" customWidth="1"/>
    <col min="2302" max="2302" width="11.42578125" customWidth="1"/>
    <col min="2303" max="2303" width="12.85546875" customWidth="1"/>
    <col min="2304" max="2304" width="13.42578125" customWidth="1"/>
    <col min="2305" max="2305" width="10.7109375" customWidth="1"/>
    <col min="2306" max="2306" width="7.85546875" customWidth="1"/>
    <col min="2307" max="2307" width="12.28515625" customWidth="1"/>
    <col min="2308" max="2309" width="10.140625" customWidth="1"/>
    <col min="2310" max="2310" width="9.5703125" customWidth="1"/>
    <col min="2311" max="2311" width="7.140625" customWidth="1"/>
    <col min="2312" max="2312" width="9.28515625" customWidth="1"/>
    <col min="2313" max="2313" width="10.42578125" customWidth="1"/>
    <col min="2314" max="2314" width="10.140625" customWidth="1"/>
    <col min="2315" max="2316" width="7.140625" customWidth="1"/>
    <col min="2317" max="2317" width="13.42578125" customWidth="1"/>
    <col min="2318" max="2318" width="12" customWidth="1"/>
    <col min="2319" max="2319" width="11.7109375" customWidth="1"/>
    <col min="2320" max="2320" width="9.42578125" customWidth="1"/>
    <col min="2321" max="2321" width="7.42578125" customWidth="1"/>
    <col min="2322" max="2323" width="11.7109375" customWidth="1"/>
    <col min="2324" max="2324" width="12.28515625" customWidth="1"/>
    <col min="2325" max="2325" width="9.42578125" customWidth="1"/>
    <col min="2326" max="2326" width="8.42578125" customWidth="1"/>
    <col min="2327" max="2327" width="10.85546875" customWidth="1"/>
    <col min="2328" max="2328" width="9.7109375" customWidth="1"/>
    <col min="2329" max="2329" width="11.42578125" customWidth="1"/>
    <col min="2330" max="2330" width="8.42578125" customWidth="1"/>
    <col min="2331" max="2331" width="10.28515625" customWidth="1"/>
    <col min="2332" max="2332" width="12.140625" customWidth="1"/>
    <col min="2333" max="2333" width="13.42578125" customWidth="1"/>
    <col min="2334" max="2334" width="12.140625" customWidth="1"/>
    <col min="2335" max="2335" width="9.42578125" customWidth="1"/>
    <col min="2336" max="2336" width="7.7109375" customWidth="1"/>
    <col min="2337" max="2337" width="10.7109375" customWidth="1"/>
    <col min="2338" max="2338" width="11" customWidth="1"/>
    <col min="2339" max="2339" width="12" customWidth="1"/>
    <col min="2340" max="2340" width="9.85546875" customWidth="1"/>
    <col min="2341" max="2341" width="7.7109375" customWidth="1"/>
    <col min="2342" max="2342" width="10.5703125" customWidth="1"/>
    <col min="2343" max="2343" width="12.42578125" customWidth="1"/>
    <col min="2344" max="2344" width="13.42578125" customWidth="1"/>
    <col min="2345" max="2345" width="9.42578125" customWidth="1"/>
    <col min="2346" max="2346" width="8.42578125" customWidth="1"/>
    <col min="2347" max="2350" width="10" customWidth="1"/>
    <col min="2351" max="2351" width="7.7109375" customWidth="1"/>
    <col min="2352" max="2354" width="11.28515625" customWidth="1"/>
    <col min="2355" max="2355" width="11.85546875" customWidth="1"/>
    <col min="2356" max="2356" width="9.28515625" bestFit="1" customWidth="1"/>
    <col min="2555" max="2555" width="26.140625" customWidth="1"/>
    <col min="2556" max="2556" width="7.42578125" customWidth="1"/>
    <col min="2557" max="2557" width="15.42578125" customWidth="1"/>
    <col min="2558" max="2558" width="11.42578125" customWidth="1"/>
    <col min="2559" max="2559" width="12.85546875" customWidth="1"/>
    <col min="2560" max="2560" width="13.42578125" customWidth="1"/>
    <col min="2561" max="2561" width="10.7109375" customWidth="1"/>
    <col min="2562" max="2562" width="7.85546875" customWidth="1"/>
    <col min="2563" max="2563" width="12.28515625" customWidth="1"/>
    <col min="2564" max="2565" width="10.140625" customWidth="1"/>
    <col min="2566" max="2566" width="9.5703125" customWidth="1"/>
    <col min="2567" max="2567" width="7.140625" customWidth="1"/>
    <col min="2568" max="2568" width="9.28515625" customWidth="1"/>
    <col min="2569" max="2569" width="10.42578125" customWidth="1"/>
    <col min="2570" max="2570" width="10.140625" customWidth="1"/>
    <col min="2571" max="2572" width="7.140625" customWidth="1"/>
    <col min="2573" max="2573" width="13.42578125" customWidth="1"/>
    <col min="2574" max="2574" width="12" customWidth="1"/>
    <col min="2575" max="2575" width="11.7109375" customWidth="1"/>
    <col min="2576" max="2576" width="9.42578125" customWidth="1"/>
    <col min="2577" max="2577" width="7.42578125" customWidth="1"/>
    <col min="2578" max="2579" width="11.7109375" customWidth="1"/>
    <col min="2580" max="2580" width="12.28515625" customWidth="1"/>
    <col min="2581" max="2581" width="9.42578125" customWidth="1"/>
    <col min="2582" max="2582" width="8.42578125" customWidth="1"/>
    <col min="2583" max="2583" width="10.85546875" customWidth="1"/>
    <col min="2584" max="2584" width="9.7109375" customWidth="1"/>
    <col min="2585" max="2585" width="11.42578125" customWidth="1"/>
    <col min="2586" max="2586" width="8.42578125" customWidth="1"/>
    <col min="2587" max="2587" width="10.28515625" customWidth="1"/>
    <col min="2588" max="2588" width="12.140625" customWidth="1"/>
    <col min="2589" max="2589" width="13.42578125" customWidth="1"/>
    <col min="2590" max="2590" width="12.140625" customWidth="1"/>
    <col min="2591" max="2591" width="9.42578125" customWidth="1"/>
    <col min="2592" max="2592" width="7.7109375" customWidth="1"/>
    <col min="2593" max="2593" width="10.7109375" customWidth="1"/>
    <col min="2594" max="2594" width="11" customWidth="1"/>
    <col min="2595" max="2595" width="12" customWidth="1"/>
    <col min="2596" max="2596" width="9.85546875" customWidth="1"/>
    <col min="2597" max="2597" width="7.7109375" customWidth="1"/>
    <col min="2598" max="2598" width="10.5703125" customWidth="1"/>
    <col min="2599" max="2599" width="12.42578125" customWidth="1"/>
    <col min="2600" max="2600" width="13.42578125" customWidth="1"/>
    <col min="2601" max="2601" width="9.42578125" customWidth="1"/>
    <col min="2602" max="2602" width="8.42578125" customWidth="1"/>
    <col min="2603" max="2606" width="10" customWidth="1"/>
    <col min="2607" max="2607" width="7.7109375" customWidth="1"/>
    <col min="2608" max="2610" width="11.28515625" customWidth="1"/>
    <col min="2611" max="2611" width="11.85546875" customWidth="1"/>
    <col min="2612" max="2612" width="9.28515625" bestFit="1" customWidth="1"/>
    <col min="2811" max="2811" width="26.140625" customWidth="1"/>
    <col min="2812" max="2812" width="7.42578125" customWidth="1"/>
    <col min="2813" max="2813" width="15.42578125" customWidth="1"/>
    <col min="2814" max="2814" width="11.42578125" customWidth="1"/>
    <col min="2815" max="2815" width="12.85546875" customWidth="1"/>
    <col min="2816" max="2816" width="13.42578125" customWidth="1"/>
    <col min="2817" max="2817" width="10.7109375" customWidth="1"/>
    <col min="2818" max="2818" width="7.85546875" customWidth="1"/>
    <col min="2819" max="2819" width="12.28515625" customWidth="1"/>
    <col min="2820" max="2821" width="10.140625" customWidth="1"/>
    <col min="2822" max="2822" width="9.5703125" customWidth="1"/>
    <col min="2823" max="2823" width="7.140625" customWidth="1"/>
    <col min="2824" max="2824" width="9.28515625" customWidth="1"/>
    <col min="2825" max="2825" width="10.42578125" customWidth="1"/>
    <col min="2826" max="2826" width="10.140625" customWidth="1"/>
    <col min="2827" max="2828" width="7.140625" customWidth="1"/>
    <col min="2829" max="2829" width="13.42578125" customWidth="1"/>
    <col min="2830" max="2830" width="12" customWidth="1"/>
    <col min="2831" max="2831" width="11.7109375" customWidth="1"/>
    <col min="2832" max="2832" width="9.42578125" customWidth="1"/>
    <col min="2833" max="2833" width="7.42578125" customWidth="1"/>
    <col min="2834" max="2835" width="11.7109375" customWidth="1"/>
    <col min="2836" max="2836" width="12.28515625" customWidth="1"/>
    <col min="2837" max="2837" width="9.42578125" customWidth="1"/>
    <col min="2838" max="2838" width="8.42578125" customWidth="1"/>
    <col min="2839" max="2839" width="10.85546875" customWidth="1"/>
    <col min="2840" max="2840" width="9.7109375" customWidth="1"/>
    <col min="2841" max="2841" width="11.42578125" customWidth="1"/>
    <col min="2842" max="2842" width="8.42578125" customWidth="1"/>
    <col min="2843" max="2843" width="10.28515625" customWidth="1"/>
    <col min="2844" max="2844" width="12.140625" customWidth="1"/>
    <col min="2845" max="2845" width="13.42578125" customWidth="1"/>
    <col min="2846" max="2846" width="12.140625" customWidth="1"/>
    <col min="2847" max="2847" width="9.42578125" customWidth="1"/>
    <col min="2848" max="2848" width="7.7109375" customWidth="1"/>
    <col min="2849" max="2849" width="10.7109375" customWidth="1"/>
    <col min="2850" max="2850" width="11" customWidth="1"/>
    <col min="2851" max="2851" width="12" customWidth="1"/>
    <col min="2852" max="2852" width="9.85546875" customWidth="1"/>
    <col min="2853" max="2853" width="7.7109375" customWidth="1"/>
    <col min="2854" max="2854" width="10.5703125" customWidth="1"/>
    <col min="2855" max="2855" width="12.42578125" customWidth="1"/>
    <col min="2856" max="2856" width="13.42578125" customWidth="1"/>
    <col min="2857" max="2857" width="9.42578125" customWidth="1"/>
    <col min="2858" max="2858" width="8.42578125" customWidth="1"/>
    <col min="2859" max="2862" width="10" customWidth="1"/>
    <col min="2863" max="2863" width="7.7109375" customWidth="1"/>
    <col min="2864" max="2866" width="11.28515625" customWidth="1"/>
    <col min="2867" max="2867" width="11.85546875" customWidth="1"/>
    <col min="2868" max="2868" width="9.28515625" bestFit="1" customWidth="1"/>
    <col min="3067" max="3067" width="26.140625" customWidth="1"/>
    <col min="3068" max="3068" width="7.42578125" customWidth="1"/>
    <col min="3069" max="3069" width="15.42578125" customWidth="1"/>
    <col min="3070" max="3070" width="11.42578125" customWidth="1"/>
    <col min="3071" max="3071" width="12.85546875" customWidth="1"/>
    <col min="3072" max="3072" width="13.42578125" customWidth="1"/>
    <col min="3073" max="3073" width="10.7109375" customWidth="1"/>
    <col min="3074" max="3074" width="7.85546875" customWidth="1"/>
    <col min="3075" max="3075" width="12.28515625" customWidth="1"/>
    <col min="3076" max="3077" width="10.140625" customWidth="1"/>
    <col min="3078" max="3078" width="9.5703125" customWidth="1"/>
    <col min="3079" max="3079" width="7.140625" customWidth="1"/>
    <col min="3080" max="3080" width="9.28515625" customWidth="1"/>
    <col min="3081" max="3081" width="10.42578125" customWidth="1"/>
    <col min="3082" max="3082" width="10.140625" customWidth="1"/>
    <col min="3083" max="3084" width="7.140625" customWidth="1"/>
    <col min="3085" max="3085" width="13.42578125" customWidth="1"/>
    <col min="3086" max="3086" width="12" customWidth="1"/>
    <col min="3087" max="3087" width="11.7109375" customWidth="1"/>
    <col min="3088" max="3088" width="9.42578125" customWidth="1"/>
    <col min="3089" max="3089" width="7.42578125" customWidth="1"/>
    <col min="3090" max="3091" width="11.7109375" customWidth="1"/>
    <col min="3092" max="3092" width="12.28515625" customWidth="1"/>
    <col min="3093" max="3093" width="9.42578125" customWidth="1"/>
    <col min="3094" max="3094" width="8.42578125" customWidth="1"/>
    <col min="3095" max="3095" width="10.85546875" customWidth="1"/>
    <col min="3096" max="3096" width="9.7109375" customWidth="1"/>
    <col min="3097" max="3097" width="11.42578125" customWidth="1"/>
    <col min="3098" max="3098" width="8.42578125" customWidth="1"/>
    <col min="3099" max="3099" width="10.28515625" customWidth="1"/>
    <col min="3100" max="3100" width="12.140625" customWidth="1"/>
    <col min="3101" max="3101" width="13.42578125" customWidth="1"/>
    <col min="3102" max="3102" width="12.140625" customWidth="1"/>
    <col min="3103" max="3103" width="9.42578125" customWidth="1"/>
    <col min="3104" max="3104" width="7.7109375" customWidth="1"/>
    <col min="3105" max="3105" width="10.7109375" customWidth="1"/>
    <col min="3106" max="3106" width="11" customWidth="1"/>
    <col min="3107" max="3107" width="12" customWidth="1"/>
    <col min="3108" max="3108" width="9.85546875" customWidth="1"/>
    <col min="3109" max="3109" width="7.7109375" customWidth="1"/>
    <col min="3110" max="3110" width="10.5703125" customWidth="1"/>
    <col min="3111" max="3111" width="12.42578125" customWidth="1"/>
    <col min="3112" max="3112" width="13.42578125" customWidth="1"/>
    <col min="3113" max="3113" width="9.42578125" customWidth="1"/>
    <col min="3114" max="3114" width="8.42578125" customWidth="1"/>
    <col min="3115" max="3118" width="10" customWidth="1"/>
    <col min="3119" max="3119" width="7.7109375" customWidth="1"/>
    <col min="3120" max="3122" width="11.28515625" customWidth="1"/>
    <col min="3123" max="3123" width="11.85546875" customWidth="1"/>
    <col min="3124" max="3124" width="9.28515625" bestFit="1" customWidth="1"/>
    <col min="3323" max="3323" width="26.140625" customWidth="1"/>
    <col min="3324" max="3324" width="7.42578125" customWidth="1"/>
    <col min="3325" max="3325" width="15.42578125" customWidth="1"/>
    <col min="3326" max="3326" width="11.42578125" customWidth="1"/>
    <col min="3327" max="3327" width="12.85546875" customWidth="1"/>
    <col min="3328" max="3328" width="13.42578125" customWidth="1"/>
    <col min="3329" max="3329" width="10.7109375" customWidth="1"/>
    <col min="3330" max="3330" width="7.85546875" customWidth="1"/>
    <col min="3331" max="3331" width="12.28515625" customWidth="1"/>
    <col min="3332" max="3333" width="10.140625" customWidth="1"/>
    <col min="3334" max="3334" width="9.5703125" customWidth="1"/>
    <col min="3335" max="3335" width="7.140625" customWidth="1"/>
    <col min="3336" max="3336" width="9.28515625" customWidth="1"/>
    <col min="3337" max="3337" width="10.42578125" customWidth="1"/>
    <col min="3338" max="3338" width="10.140625" customWidth="1"/>
    <col min="3339" max="3340" width="7.140625" customWidth="1"/>
    <col min="3341" max="3341" width="13.42578125" customWidth="1"/>
    <col min="3342" max="3342" width="12" customWidth="1"/>
    <col min="3343" max="3343" width="11.7109375" customWidth="1"/>
    <col min="3344" max="3344" width="9.42578125" customWidth="1"/>
    <col min="3345" max="3345" width="7.42578125" customWidth="1"/>
    <col min="3346" max="3347" width="11.7109375" customWidth="1"/>
    <col min="3348" max="3348" width="12.28515625" customWidth="1"/>
    <col min="3349" max="3349" width="9.42578125" customWidth="1"/>
    <col min="3350" max="3350" width="8.42578125" customWidth="1"/>
    <col min="3351" max="3351" width="10.85546875" customWidth="1"/>
    <col min="3352" max="3352" width="9.7109375" customWidth="1"/>
    <col min="3353" max="3353" width="11.42578125" customWidth="1"/>
    <col min="3354" max="3354" width="8.42578125" customWidth="1"/>
    <col min="3355" max="3355" width="10.28515625" customWidth="1"/>
    <col min="3356" max="3356" width="12.140625" customWidth="1"/>
    <col min="3357" max="3357" width="13.42578125" customWidth="1"/>
    <col min="3358" max="3358" width="12.140625" customWidth="1"/>
    <col min="3359" max="3359" width="9.42578125" customWidth="1"/>
    <col min="3360" max="3360" width="7.7109375" customWidth="1"/>
    <col min="3361" max="3361" width="10.7109375" customWidth="1"/>
    <col min="3362" max="3362" width="11" customWidth="1"/>
    <col min="3363" max="3363" width="12" customWidth="1"/>
    <col min="3364" max="3364" width="9.85546875" customWidth="1"/>
    <col min="3365" max="3365" width="7.7109375" customWidth="1"/>
    <col min="3366" max="3366" width="10.5703125" customWidth="1"/>
    <col min="3367" max="3367" width="12.42578125" customWidth="1"/>
    <col min="3368" max="3368" width="13.42578125" customWidth="1"/>
    <col min="3369" max="3369" width="9.42578125" customWidth="1"/>
    <col min="3370" max="3370" width="8.42578125" customWidth="1"/>
    <col min="3371" max="3374" width="10" customWidth="1"/>
    <col min="3375" max="3375" width="7.7109375" customWidth="1"/>
    <col min="3376" max="3378" width="11.28515625" customWidth="1"/>
    <col min="3379" max="3379" width="11.85546875" customWidth="1"/>
    <col min="3380" max="3380" width="9.28515625" bestFit="1" customWidth="1"/>
    <col min="3579" max="3579" width="26.140625" customWidth="1"/>
    <col min="3580" max="3580" width="7.42578125" customWidth="1"/>
    <col min="3581" max="3581" width="15.42578125" customWidth="1"/>
    <col min="3582" max="3582" width="11.42578125" customWidth="1"/>
    <col min="3583" max="3583" width="12.85546875" customWidth="1"/>
    <col min="3584" max="3584" width="13.42578125" customWidth="1"/>
    <col min="3585" max="3585" width="10.7109375" customWidth="1"/>
    <col min="3586" max="3586" width="7.85546875" customWidth="1"/>
    <col min="3587" max="3587" width="12.28515625" customWidth="1"/>
    <col min="3588" max="3589" width="10.140625" customWidth="1"/>
    <col min="3590" max="3590" width="9.5703125" customWidth="1"/>
    <col min="3591" max="3591" width="7.140625" customWidth="1"/>
    <col min="3592" max="3592" width="9.28515625" customWidth="1"/>
    <col min="3593" max="3593" width="10.42578125" customWidth="1"/>
    <col min="3594" max="3594" width="10.140625" customWidth="1"/>
    <col min="3595" max="3596" width="7.140625" customWidth="1"/>
    <col min="3597" max="3597" width="13.42578125" customWidth="1"/>
    <col min="3598" max="3598" width="12" customWidth="1"/>
    <col min="3599" max="3599" width="11.7109375" customWidth="1"/>
    <col min="3600" max="3600" width="9.42578125" customWidth="1"/>
    <col min="3601" max="3601" width="7.42578125" customWidth="1"/>
    <col min="3602" max="3603" width="11.7109375" customWidth="1"/>
    <col min="3604" max="3604" width="12.28515625" customWidth="1"/>
    <col min="3605" max="3605" width="9.42578125" customWidth="1"/>
    <col min="3606" max="3606" width="8.42578125" customWidth="1"/>
    <col min="3607" max="3607" width="10.85546875" customWidth="1"/>
    <col min="3608" max="3608" width="9.7109375" customWidth="1"/>
    <col min="3609" max="3609" width="11.42578125" customWidth="1"/>
    <col min="3610" max="3610" width="8.42578125" customWidth="1"/>
    <col min="3611" max="3611" width="10.28515625" customWidth="1"/>
    <col min="3612" max="3612" width="12.140625" customWidth="1"/>
    <col min="3613" max="3613" width="13.42578125" customWidth="1"/>
    <col min="3614" max="3614" width="12.140625" customWidth="1"/>
    <col min="3615" max="3615" width="9.42578125" customWidth="1"/>
    <col min="3616" max="3616" width="7.7109375" customWidth="1"/>
    <col min="3617" max="3617" width="10.7109375" customWidth="1"/>
    <col min="3618" max="3618" width="11" customWidth="1"/>
    <col min="3619" max="3619" width="12" customWidth="1"/>
    <col min="3620" max="3620" width="9.85546875" customWidth="1"/>
    <col min="3621" max="3621" width="7.7109375" customWidth="1"/>
    <col min="3622" max="3622" width="10.5703125" customWidth="1"/>
    <col min="3623" max="3623" width="12.42578125" customWidth="1"/>
    <col min="3624" max="3624" width="13.42578125" customWidth="1"/>
    <col min="3625" max="3625" width="9.42578125" customWidth="1"/>
    <col min="3626" max="3626" width="8.42578125" customWidth="1"/>
    <col min="3627" max="3630" width="10" customWidth="1"/>
    <col min="3631" max="3631" width="7.7109375" customWidth="1"/>
    <col min="3632" max="3634" width="11.28515625" customWidth="1"/>
    <col min="3635" max="3635" width="11.85546875" customWidth="1"/>
    <col min="3636" max="3636" width="9.28515625" bestFit="1" customWidth="1"/>
    <col min="3835" max="3835" width="26.140625" customWidth="1"/>
    <col min="3836" max="3836" width="7.42578125" customWidth="1"/>
    <col min="3837" max="3837" width="15.42578125" customWidth="1"/>
    <col min="3838" max="3838" width="11.42578125" customWidth="1"/>
    <col min="3839" max="3839" width="12.85546875" customWidth="1"/>
    <col min="3840" max="3840" width="13.42578125" customWidth="1"/>
    <col min="3841" max="3841" width="10.7109375" customWidth="1"/>
    <col min="3842" max="3842" width="7.85546875" customWidth="1"/>
    <col min="3843" max="3843" width="12.28515625" customWidth="1"/>
    <col min="3844" max="3845" width="10.140625" customWidth="1"/>
    <col min="3846" max="3846" width="9.5703125" customWidth="1"/>
    <col min="3847" max="3847" width="7.140625" customWidth="1"/>
    <col min="3848" max="3848" width="9.28515625" customWidth="1"/>
    <col min="3849" max="3849" width="10.42578125" customWidth="1"/>
    <col min="3850" max="3850" width="10.140625" customWidth="1"/>
    <col min="3851" max="3852" width="7.140625" customWidth="1"/>
    <col min="3853" max="3853" width="13.42578125" customWidth="1"/>
    <col min="3854" max="3854" width="12" customWidth="1"/>
    <col min="3855" max="3855" width="11.7109375" customWidth="1"/>
    <col min="3856" max="3856" width="9.42578125" customWidth="1"/>
    <col min="3857" max="3857" width="7.42578125" customWidth="1"/>
    <col min="3858" max="3859" width="11.7109375" customWidth="1"/>
    <col min="3860" max="3860" width="12.28515625" customWidth="1"/>
    <col min="3861" max="3861" width="9.42578125" customWidth="1"/>
    <col min="3862" max="3862" width="8.42578125" customWidth="1"/>
    <col min="3863" max="3863" width="10.85546875" customWidth="1"/>
    <col min="3864" max="3864" width="9.7109375" customWidth="1"/>
    <col min="3865" max="3865" width="11.42578125" customWidth="1"/>
    <col min="3866" max="3866" width="8.42578125" customWidth="1"/>
    <col min="3867" max="3867" width="10.28515625" customWidth="1"/>
    <col min="3868" max="3868" width="12.140625" customWidth="1"/>
    <col min="3869" max="3869" width="13.42578125" customWidth="1"/>
    <col min="3870" max="3870" width="12.140625" customWidth="1"/>
    <col min="3871" max="3871" width="9.42578125" customWidth="1"/>
    <col min="3872" max="3872" width="7.7109375" customWidth="1"/>
    <col min="3873" max="3873" width="10.7109375" customWidth="1"/>
    <col min="3874" max="3874" width="11" customWidth="1"/>
    <col min="3875" max="3875" width="12" customWidth="1"/>
    <col min="3876" max="3876" width="9.85546875" customWidth="1"/>
    <col min="3877" max="3877" width="7.7109375" customWidth="1"/>
    <col min="3878" max="3878" width="10.5703125" customWidth="1"/>
    <col min="3879" max="3879" width="12.42578125" customWidth="1"/>
    <col min="3880" max="3880" width="13.42578125" customWidth="1"/>
    <col min="3881" max="3881" width="9.42578125" customWidth="1"/>
    <col min="3882" max="3882" width="8.42578125" customWidth="1"/>
    <col min="3883" max="3886" width="10" customWidth="1"/>
    <col min="3887" max="3887" width="7.7109375" customWidth="1"/>
    <col min="3888" max="3890" width="11.28515625" customWidth="1"/>
    <col min="3891" max="3891" width="11.85546875" customWidth="1"/>
    <col min="3892" max="3892" width="9.28515625" bestFit="1" customWidth="1"/>
    <col min="4091" max="4091" width="26.140625" customWidth="1"/>
    <col min="4092" max="4092" width="7.42578125" customWidth="1"/>
    <col min="4093" max="4093" width="15.42578125" customWidth="1"/>
    <col min="4094" max="4094" width="11.42578125" customWidth="1"/>
    <col min="4095" max="4095" width="12.85546875" customWidth="1"/>
    <col min="4096" max="4096" width="13.42578125" customWidth="1"/>
    <col min="4097" max="4097" width="10.7109375" customWidth="1"/>
    <col min="4098" max="4098" width="7.85546875" customWidth="1"/>
    <col min="4099" max="4099" width="12.28515625" customWidth="1"/>
    <col min="4100" max="4101" width="10.140625" customWidth="1"/>
    <col min="4102" max="4102" width="9.5703125" customWidth="1"/>
    <col min="4103" max="4103" width="7.140625" customWidth="1"/>
    <col min="4104" max="4104" width="9.28515625" customWidth="1"/>
    <col min="4105" max="4105" width="10.42578125" customWidth="1"/>
    <col min="4106" max="4106" width="10.140625" customWidth="1"/>
    <col min="4107" max="4108" width="7.140625" customWidth="1"/>
    <col min="4109" max="4109" width="13.42578125" customWidth="1"/>
    <col min="4110" max="4110" width="12" customWidth="1"/>
    <col min="4111" max="4111" width="11.7109375" customWidth="1"/>
    <col min="4112" max="4112" width="9.42578125" customWidth="1"/>
    <col min="4113" max="4113" width="7.42578125" customWidth="1"/>
    <col min="4114" max="4115" width="11.7109375" customWidth="1"/>
    <col min="4116" max="4116" width="12.28515625" customWidth="1"/>
    <col min="4117" max="4117" width="9.42578125" customWidth="1"/>
    <col min="4118" max="4118" width="8.42578125" customWidth="1"/>
    <col min="4119" max="4119" width="10.85546875" customWidth="1"/>
    <col min="4120" max="4120" width="9.7109375" customWidth="1"/>
    <col min="4121" max="4121" width="11.42578125" customWidth="1"/>
    <col min="4122" max="4122" width="8.42578125" customWidth="1"/>
    <col min="4123" max="4123" width="10.28515625" customWidth="1"/>
    <col min="4124" max="4124" width="12.140625" customWidth="1"/>
    <col min="4125" max="4125" width="13.42578125" customWidth="1"/>
    <col min="4126" max="4126" width="12.140625" customWidth="1"/>
    <col min="4127" max="4127" width="9.42578125" customWidth="1"/>
    <col min="4128" max="4128" width="7.7109375" customWidth="1"/>
    <col min="4129" max="4129" width="10.7109375" customWidth="1"/>
    <col min="4130" max="4130" width="11" customWidth="1"/>
    <col min="4131" max="4131" width="12" customWidth="1"/>
    <col min="4132" max="4132" width="9.85546875" customWidth="1"/>
    <col min="4133" max="4133" width="7.7109375" customWidth="1"/>
    <col min="4134" max="4134" width="10.5703125" customWidth="1"/>
    <col min="4135" max="4135" width="12.42578125" customWidth="1"/>
    <col min="4136" max="4136" width="13.42578125" customWidth="1"/>
    <col min="4137" max="4137" width="9.42578125" customWidth="1"/>
    <col min="4138" max="4138" width="8.42578125" customWidth="1"/>
    <col min="4139" max="4142" width="10" customWidth="1"/>
    <col min="4143" max="4143" width="7.7109375" customWidth="1"/>
    <col min="4144" max="4146" width="11.28515625" customWidth="1"/>
    <col min="4147" max="4147" width="11.85546875" customWidth="1"/>
    <col min="4148" max="4148" width="9.28515625" bestFit="1" customWidth="1"/>
    <col min="4347" max="4347" width="26.140625" customWidth="1"/>
    <col min="4348" max="4348" width="7.42578125" customWidth="1"/>
    <col min="4349" max="4349" width="15.42578125" customWidth="1"/>
    <col min="4350" max="4350" width="11.42578125" customWidth="1"/>
    <col min="4351" max="4351" width="12.85546875" customWidth="1"/>
    <col min="4352" max="4352" width="13.42578125" customWidth="1"/>
    <col min="4353" max="4353" width="10.7109375" customWidth="1"/>
    <col min="4354" max="4354" width="7.85546875" customWidth="1"/>
    <col min="4355" max="4355" width="12.28515625" customWidth="1"/>
    <col min="4356" max="4357" width="10.140625" customWidth="1"/>
    <col min="4358" max="4358" width="9.5703125" customWidth="1"/>
    <col min="4359" max="4359" width="7.140625" customWidth="1"/>
    <col min="4360" max="4360" width="9.28515625" customWidth="1"/>
    <col min="4361" max="4361" width="10.42578125" customWidth="1"/>
    <col min="4362" max="4362" width="10.140625" customWidth="1"/>
    <col min="4363" max="4364" width="7.140625" customWidth="1"/>
    <col min="4365" max="4365" width="13.42578125" customWidth="1"/>
    <col min="4366" max="4366" width="12" customWidth="1"/>
    <col min="4367" max="4367" width="11.7109375" customWidth="1"/>
    <col min="4368" max="4368" width="9.42578125" customWidth="1"/>
    <col min="4369" max="4369" width="7.42578125" customWidth="1"/>
    <col min="4370" max="4371" width="11.7109375" customWidth="1"/>
    <col min="4372" max="4372" width="12.28515625" customWidth="1"/>
    <col min="4373" max="4373" width="9.42578125" customWidth="1"/>
    <col min="4374" max="4374" width="8.42578125" customWidth="1"/>
    <col min="4375" max="4375" width="10.85546875" customWidth="1"/>
    <col min="4376" max="4376" width="9.7109375" customWidth="1"/>
    <col min="4377" max="4377" width="11.42578125" customWidth="1"/>
    <col min="4378" max="4378" width="8.42578125" customWidth="1"/>
    <col min="4379" max="4379" width="10.28515625" customWidth="1"/>
    <col min="4380" max="4380" width="12.140625" customWidth="1"/>
    <col min="4381" max="4381" width="13.42578125" customWidth="1"/>
    <col min="4382" max="4382" width="12.140625" customWidth="1"/>
    <col min="4383" max="4383" width="9.42578125" customWidth="1"/>
    <col min="4384" max="4384" width="7.7109375" customWidth="1"/>
    <col min="4385" max="4385" width="10.7109375" customWidth="1"/>
    <col min="4386" max="4386" width="11" customWidth="1"/>
    <col min="4387" max="4387" width="12" customWidth="1"/>
    <col min="4388" max="4388" width="9.85546875" customWidth="1"/>
    <col min="4389" max="4389" width="7.7109375" customWidth="1"/>
    <col min="4390" max="4390" width="10.5703125" customWidth="1"/>
    <col min="4391" max="4391" width="12.42578125" customWidth="1"/>
    <col min="4392" max="4392" width="13.42578125" customWidth="1"/>
    <col min="4393" max="4393" width="9.42578125" customWidth="1"/>
    <col min="4394" max="4394" width="8.42578125" customWidth="1"/>
    <col min="4395" max="4398" width="10" customWidth="1"/>
    <col min="4399" max="4399" width="7.7109375" customWidth="1"/>
    <col min="4400" max="4402" width="11.28515625" customWidth="1"/>
    <col min="4403" max="4403" width="11.85546875" customWidth="1"/>
    <col min="4404" max="4404" width="9.28515625" bestFit="1" customWidth="1"/>
    <col min="4603" max="4603" width="26.140625" customWidth="1"/>
    <col min="4604" max="4604" width="7.42578125" customWidth="1"/>
    <col min="4605" max="4605" width="15.42578125" customWidth="1"/>
    <col min="4606" max="4606" width="11.42578125" customWidth="1"/>
    <col min="4607" max="4607" width="12.85546875" customWidth="1"/>
    <col min="4608" max="4608" width="13.42578125" customWidth="1"/>
    <col min="4609" max="4609" width="10.7109375" customWidth="1"/>
    <col min="4610" max="4610" width="7.85546875" customWidth="1"/>
    <col min="4611" max="4611" width="12.28515625" customWidth="1"/>
    <col min="4612" max="4613" width="10.140625" customWidth="1"/>
    <col min="4614" max="4614" width="9.5703125" customWidth="1"/>
    <col min="4615" max="4615" width="7.140625" customWidth="1"/>
    <col min="4616" max="4616" width="9.28515625" customWidth="1"/>
    <col min="4617" max="4617" width="10.42578125" customWidth="1"/>
    <col min="4618" max="4618" width="10.140625" customWidth="1"/>
    <col min="4619" max="4620" width="7.140625" customWidth="1"/>
    <col min="4621" max="4621" width="13.42578125" customWidth="1"/>
    <col min="4622" max="4622" width="12" customWidth="1"/>
    <col min="4623" max="4623" width="11.7109375" customWidth="1"/>
    <col min="4624" max="4624" width="9.42578125" customWidth="1"/>
    <col min="4625" max="4625" width="7.42578125" customWidth="1"/>
    <col min="4626" max="4627" width="11.7109375" customWidth="1"/>
    <col min="4628" max="4628" width="12.28515625" customWidth="1"/>
    <col min="4629" max="4629" width="9.42578125" customWidth="1"/>
    <col min="4630" max="4630" width="8.42578125" customWidth="1"/>
    <col min="4631" max="4631" width="10.85546875" customWidth="1"/>
    <col min="4632" max="4632" width="9.7109375" customWidth="1"/>
    <col min="4633" max="4633" width="11.42578125" customWidth="1"/>
    <col min="4634" max="4634" width="8.42578125" customWidth="1"/>
    <col min="4635" max="4635" width="10.28515625" customWidth="1"/>
    <col min="4636" max="4636" width="12.140625" customWidth="1"/>
    <col min="4637" max="4637" width="13.42578125" customWidth="1"/>
    <col min="4638" max="4638" width="12.140625" customWidth="1"/>
    <col min="4639" max="4639" width="9.42578125" customWidth="1"/>
    <col min="4640" max="4640" width="7.7109375" customWidth="1"/>
    <col min="4641" max="4641" width="10.7109375" customWidth="1"/>
    <col min="4642" max="4642" width="11" customWidth="1"/>
    <col min="4643" max="4643" width="12" customWidth="1"/>
    <col min="4644" max="4644" width="9.85546875" customWidth="1"/>
    <col min="4645" max="4645" width="7.7109375" customWidth="1"/>
    <col min="4646" max="4646" width="10.5703125" customWidth="1"/>
    <col min="4647" max="4647" width="12.42578125" customWidth="1"/>
    <col min="4648" max="4648" width="13.42578125" customWidth="1"/>
    <col min="4649" max="4649" width="9.42578125" customWidth="1"/>
    <col min="4650" max="4650" width="8.42578125" customWidth="1"/>
    <col min="4651" max="4654" width="10" customWidth="1"/>
    <col min="4655" max="4655" width="7.7109375" customWidth="1"/>
    <col min="4656" max="4658" width="11.28515625" customWidth="1"/>
    <col min="4659" max="4659" width="11.85546875" customWidth="1"/>
    <col min="4660" max="4660" width="9.28515625" bestFit="1" customWidth="1"/>
    <col min="4859" max="4859" width="26.140625" customWidth="1"/>
    <col min="4860" max="4860" width="7.42578125" customWidth="1"/>
    <col min="4861" max="4861" width="15.42578125" customWidth="1"/>
    <col min="4862" max="4862" width="11.42578125" customWidth="1"/>
    <col min="4863" max="4863" width="12.85546875" customWidth="1"/>
    <col min="4864" max="4864" width="13.42578125" customWidth="1"/>
    <col min="4865" max="4865" width="10.7109375" customWidth="1"/>
    <col min="4866" max="4866" width="7.85546875" customWidth="1"/>
    <col min="4867" max="4867" width="12.28515625" customWidth="1"/>
    <col min="4868" max="4869" width="10.140625" customWidth="1"/>
    <col min="4870" max="4870" width="9.5703125" customWidth="1"/>
    <col min="4871" max="4871" width="7.140625" customWidth="1"/>
    <col min="4872" max="4872" width="9.28515625" customWidth="1"/>
    <col min="4873" max="4873" width="10.42578125" customWidth="1"/>
    <col min="4874" max="4874" width="10.140625" customWidth="1"/>
    <col min="4875" max="4876" width="7.140625" customWidth="1"/>
    <col min="4877" max="4877" width="13.42578125" customWidth="1"/>
    <col min="4878" max="4878" width="12" customWidth="1"/>
    <col min="4879" max="4879" width="11.7109375" customWidth="1"/>
    <col min="4880" max="4880" width="9.42578125" customWidth="1"/>
    <col min="4881" max="4881" width="7.42578125" customWidth="1"/>
    <col min="4882" max="4883" width="11.7109375" customWidth="1"/>
    <col min="4884" max="4884" width="12.28515625" customWidth="1"/>
    <col min="4885" max="4885" width="9.42578125" customWidth="1"/>
    <col min="4886" max="4886" width="8.42578125" customWidth="1"/>
    <col min="4887" max="4887" width="10.85546875" customWidth="1"/>
    <col min="4888" max="4888" width="9.7109375" customWidth="1"/>
    <col min="4889" max="4889" width="11.42578125" customWidth="1"/>
    <col min="4890" max="4890" width="8.42578125" customWidth="1"/>
    <col min="4891" max="4891" width="10.28515625" customWidth="1"/>
    <col min="4892" max="4892" width="12.140625" customWidth="1"/>
    <col min="4893" max="4893" width="13.42578125" customWidth="1"/>
    <col min="4894" max="4894" width="12.140625" customWidth="1"/>
    <col min="4895" max="4895" width="9.42578125" customWidth="1"/>
    <col min="4896" max="4896" width="7.7109375" customWidth="1"/>
    <col min="4897" max="4897" width="10.7109375" customWidth="1"/>
    <col min="4898" max="4898" width="11" customWidth="1"/>
    <col min="4899" max="4899" width="12" customWidth="1"/>
    <col min="4900" max="4900" width="9.85546875" customWidth="1"/>
    <col min="4901" max="4901" width="7.7109375" customWidth="1"/>
    <col min="4902" max="4902" width="10.5703125" customWidth="1"/>
    <col min="4903" max="4903" width="12.42578125" customWidth="1"/>
    <col min="4904" max="4904" width="13.42578125" customWidth="1"/>
    <col min="4905" max="4905" width="9.42578125" customWidth="1"/>
    <col min="4906" max="4906" width="8.42578125" customWidth="1"/>
    <col min="4907" max="4910" width="10" customWidth="1"/>
    <col min="4911" max="4911" width="7.7109375" customWidth="1"/>
    <col min="4912" max="4914" width="11.28515625" customWidth="1"/>
    <col min="4915" max="4915" width="11.85546875" customWidth="1"/>
    <col min="4916" max="4916" width="9.28515625" bestFit="1" customWidth="1"/>
    <col min="5115" max="5115" width="26.140625" customWidth="1"/>
    <col min="5116" max="5116" width="7.42578125" customWidth="1"/>
    <col min="5117" max="5117" width="15.42578125" customWidth="1"/>
    <col min="5118" max="5118" width="11.42578125" customWidth="1"/>
    <col min="5119" max="5119" width="12.85546875" customWidth="1"/>
    <col min="5120" max="5120" width="13.42578125" customWidth="1"/>
    <col min="5121" max="5121" width="10.7109375" customWidth="1"/>
    <col min="5122" max="5122" width="7.85546875" customWidth="1"/>
    <col min="5123" max="5123" width="12.28515625" customWidth="1"/>
    <col min="5124" max="5125" width="10.140625" customWidth="1"/>
    <col min="5126" max="5126" width="9.5703125" customWidth="1"/>
    <col min="5127" max="5127" width="7.140625" customWidth="1"/>
    <col min="5128" max="5128" width="9.28515625" customWidth="1"/>
    <col min="5129" max="5129" width="10.42578125" customWidth="1"/>
    <col min="5130" max="5130" width="10.140625" customWidth="1"/>
    <col min="5131" max="5132" width="7.140625" customWidth="1"/>
    <col min="5133" max="5133" width="13.42578125" customWidth="1"/>
    <col min="5134" max="5134" width="12" customWidth="1"/>
    <col min="5135" max="5135" width="11.7109375" customWidth="1"/>
    <col min="5136" max="5136" width="9.42578125" customWidth="1"/>
    <col min="5137" max="5137" width="7.42578125" customWidth="1"/>
    <col min="5138" max="5139" width="11.7109375" customWidth="1"/>
    <col min="5140" max="5140" width="12.28515625" customWidth="1"/>
    <col min="5141" max="5141" width="9.42578125" customWidth="1"/>
    <col min="5142" max="5142" width="8.42578125" customWidth="1"/>
    <col min="5143" max="5143" width="10.85546875" customWidth="1"/>
    <col min="5144" max="5144" width="9.7109375" customWidth="1"/>
    <col min="5145" max="5145" width="11.42578125" customWidth="1"/>
    <col min="5146" max="5146" width="8.42578125" customWidth="1"/>
    <col min="5147" max="5147" width="10.28515625" customWidth="1"/>
    <col min="5148" max="5148" width="12.140625" customWidth="1"/>
    <col min="5149" max="5149" width="13.42578125" customWidth="1"/>
    <col min="5150" max="5150" width="12.140625" customWidth="1"/>
    <col min="5151" max="5151" width="9.42578125" customWidth="1"/>
    <col min="5152" max="5152" width="7.7109375" customWidth="1"/>
    <col min="5153" max="5153" width="10.7109375" customWidth="1"/>
    <col min="5154" max="5154" width="11" customWidth="1"/>
    <col min="5155" max="5155" width="12" customWidth="1"/>
    <col min="5156" max="5156" width="9.85546875" customWidth="1"/>
    <col min="5157" max="5157" width="7.7109375" customWidth="1"/>
    <col min="5158" max="5158" width="10.5703125" customWidth="1"/>
    <col min="5159" max="5159" width="12.42578125" customWidth="1"/>
    <col min="5160" max="5160" width="13.42578125" customWidth="1"/>
    <col min="5161" max="5161" width="9.42578125" customWidth="1"/>
    <col min="5162" max="5162" width="8.42578125" customWidth="1"/>
    <col min="5163" max="5166" width="10" customWidth="1"/>
    <col min="5167" max="5167" width="7.7109375" customWidth="1"/>
    <col min="5168" max="5170" width="11.28515625" customWidth="1"/>
    <col min="5171" max="5171" width="11.85546875" customWidth="1"/>
    <col min="5172" max="5172" width="9.28515625" bestFit="1" customWidth="1"/>
    <col min="5371" max="5371" width="26.140625" customWidth="1"/>
    <col min="5372" max="5372" width="7.42578125" customWidth="1"/>
    <col min="5373" max="5373" width="15.42578125" customWidth="1"/>
    <col min="5374" max="5374" width="11.42578125" customWidth="1"/>
    <col min="5375" max="5375" width="12.85546875" customWidth="1"/>
    <col min="5376" max="5376" width="13.42578125" customWidth="1"/>
    <col min="5377" max="5377" width="10.7109375" customWidth="1"/>
    <col min="5378" max="5378" width="7.85546875" customWidth="1"/>
    <col min="5379" max="5379" width="12.28515625" customWidth="1"/>
    <col min="5380" max="5381" width="10.140625" customWidth="1"/>
    <col min="5382" max="5382" width="9.5703125" customWidth="1"/>
    <col min="5383" max="5383" width="7.140625" customWidth="1"/>
    <col min="5384" max="5384" width="9.28515625" customWidth="1"/>
    <col min="5385" max="5385" width="10.42578125" customWidth="1"/>
    <col min="5386" max="5386" width="10.140625" customWidth="1"/>
    <col min="5387" max="5388" width="7.140625" customWidth="1"/>
    <col min="5389" max="5389" width="13.42578125" customWidth="1"/>
    <col min="5390" max="5390" width="12" customWidth="1"/>
    <col min="5391" max="5391" width="11.7109375" customWidth="1"/>
    <col min="5392" max="5392" width="9.42578125" customWidth="1"/>
    <col min="5393" max="5393" width="7.42578125" customWidth="1"/>
    <col min="5394" max="5395" width="11.7109375" customWidth="1"/>
    <col min="5396" max="5396" width="12.28515625" customWidth="1"/>
    <col min="5397" max="5397" width="9.42578125" customWidth="1"/>
    <col min="5398" max="5398" width="8.42578125" customWidth="1"/>
    <col min="5399" max="5399" width="10.85546875" customWidth="1"/>
    <col min="5400" max="5400" width="9.7109375" customWidth="1"/>
    <col min="5401" max="5401" width="11.42578125" customWidth="1"/>
    <col min="5402" max="5402" width="8.42578125" customWidth="1"/>
    <col min="5403" max="5403" width="10.28515625" customWidth="1"/>
    <col min="5404" max="5404" width="12.140625" customWidth="1"/>
    <col min="5405" max="5405" width="13.42578125" customWidth="1"/>
    <col min="5406" max="5406" width="12.140625" customWidth="1"/>
    <col min="5407" max="5407" width="9.42578125" customWidth="1"/>
    <col min="5408" max="5408" width="7.7109375" customWidth="1"/>
    <col min="5409" max="5409" width="10.7109375" customWidth="1"/>
    <col min="5410" max="5410" width="11" customWidth="1"/>
    <col min="5411" max="5411" width="12" customWidth="1"/>
    <col min="5412" max="5412" width="9.85546875" customWidth="1"/>
    <col min="5413" max="5413" width="7.7109375" customWidth="1"/>
    <col min="5414" max="5414" width="10.5703125" customWidth="1"/>
    <col min="5415" max="5415" width="12.42578125" customWidth="1"/>
    <col min="5416" max="5416" width="13.42578125" customWidth="1"/>
    <col min="5417" max="5417" width="9.42578125" customWidth="1"/>
    <col min="5418" max="5418" width="8.42578125" customWidth="1"/>
    <col min="5419" max="5422" width="10" customWidth="1"/>
    <col min="5423" max="5423" width="7.7109375" customWidth="1"/>
    <col min="5424" max="5426" width="11.28515625" customWidth="1"/>
    <col min="5427" max="5427" width="11.85546875" customWidth="1"/>
    <col min="5428" max="5428" width="9.28515625" bestFit="1" customWidth="1"/>
    <col min="5627" max="5627" width="26.140625" customWidth="1"/>
    <col min="5628" max="5628" width="7.42578125" customWidth="1"/>
    <col min="5629" max="5629" width="15.42578125" customWidth="1"/>
    <col min="5630" max="5630" width="11.42578125" customWidth="1"/>
    <col min="5631" max="5631" width="12.85546875" customWidth="1"/>
    <col min="5632" max="5632" width="13.42578125" customWidth="1"/>
    <col min="5633" max="5633" width="10.7109375" customWidth="1"/>
    <col min="5634" max="5634" width="7.85546875" customWidth="1"/>
    <col min="5635" max="5635" width="12.28515625" customWidth="1"/>
    <col min="5636" max="5637" width="10.140625" customWidth="1"/>
    <col min="5638" max="5638" width="9.5703125" customWidth="1"/>
    <col min="5639" max="5639" width="7.140625" customWidth="1"/>
    <col min="5640" max="5640" width="9.28515625" customWidth="1"/>
    <col min="5641" max="5641" width="10.42578125" customWidth="1"/>
    <col min="5642" max="5642" width="10.140625" customWidth="1"/>
    <col min="5643" max="5644" width="7.140625" customWidth="1"/>
    <col min="5645" max="5645" width="13.42578125" customWidth="1"/>
    <col min="5646" max="5646" width="12" customWidth="1"/>
    <col min="5647" max="5647" width="11.7109375" customWidth="1"/>
    <col min="5648" max="5648" width="9.42578125" customWidth="1"/>
    <col min="5649" max="5649" width="7.42578125" customWidth="1"/>
    <col min="5650" max="5651" width="11.7109375" customWidth="1"/>
    <col min="5652" max="5652" width="12.28515625" customWidth="1"/>
    <col min="5653" max="5653" width="9.42578125" customWidth="1"/>
    <col min="5654" max="5654" width="8.42578125" customWidth="1"/>
    <col min="5655" max="5655" width="10.85546875" customWidth="1"/>
    <col min="5656" max="5656" width="9.7109375" customWidth="1"/>
    <col min="5657" max="5657" width="11.42578125" customWidth="1"/>
    <col min="5658" max="5658" width="8.42578125" customWidth="1"/>
    <col min="5659" max="5659" width="10.28515625" customWidth="1"/>
    <col min="5660" max="5660" width="12.140625" customWidth="1"/>
    <col min="5661" max="5661" width="13.42578125" customWidth="1"/>
    <col min="5662" max="5662" width="12.140625" customWidth="1"/>
    <col min="5663" max="5663" width="9.42578125" customWidth="1"/>
    <col min="5664" max="5664" width="7.7109375" customWidth="1"/>
    <col min="5665" max="5665" width="10.7109375" customWidth="1"/>
    <col min="5666" max="5666" width="11" customWidth="1"/>
    <col min="5667" max="5667" width="12" customWidth="1"/>
    <col min="5668" max="5668" width="9.85546875" customWidth="1"/>
    <col min="5669" max="5669" width="7.7109375" customWidth="1"/>
    <col min="5670" max="5670" width="10.5703125" customWidth="1"/>
    <col min="5671" max="5671" width="12.42578125" customWidth="1"/>
    <col min="5672" max="5672" width="13.42578125" customWidth="1"/>
    <col min="5673" max="5673" width="9.42578125" customWidth="1"/>
    <col min="5674" max="5674" width="8.42578125" customWidth="1"/>
    <col min="5675" max="5678" width="10" customWidth="1"/>
    <col min="5679" max="5679" width="7.7109375" customWidth="1"/>
    <col min="5680" max="5682" width="11.28515625" customWidth="1"/>
    <col min="5683" max="5683" width="11.85546875" customWidth="1"/>
    <col min="5684" max="5684" width="9.28515625" bestFit="1" customWidth="1"/>
    <col min="5883" max="5883" width="26.140625" customWidth="1"/>
    <col min="5884" max="5884" width="7.42578125" customWidth="1"/>
    <col min="5885" max="5885" width="15.42578125" customWidth="1"/>
    <col min="5886" max="5886" width="11.42578125" customWidth="1"/>
    <col min="5887" max="5887" width="12.85546875" customWidth="1"/>
    <col min="5888" max="5888" width="13.42578125" customWidth="1"/>
    <col min="5889" max="5889" width="10.7109375" customWidth="1"/>
    <col min="5890" max="5890" width="7.85546875" customWidth="1"/>
    <col min="5891" max="5891" width="12.28515625" customWidth="1"/>
    <col min="5892" max="5893" width="10.140625" customWidth="1"/>
    <col min="5894" max="5894" width="9.5703125" customWidth="1"/>
    <col min="5895" max="5895" width="7.140625" customWidth="1"/>
    <col min="5896" max="5896" width="9.28515625" customWidth="1"/>
    <col min="5897" max="5897" width="10.42578125" customWidth="1"/>
    <col min="5898" max="5898" width="10.140625" customWidth="1"/>
    <col min="5899" max="5900" width="7.140625" customWidth="1"/>
    <col min="5901" max="5901" width="13.42578125" customWidth="1"/>
    <col min="5902" max="5902" width="12" customWidth="1"/>
    <col min="5903" max="5903" width="11.7109375" customWidth="1"/>
    <col min="5904" max="5904" width="9.42578125" customWidth="1"/>
    <col min="5905" max="5905" width="7.42578125" customWidth="1"/>
    <col min="5906" max="5907" width="11.7109375" customWidth="1"/>
    <col min="5908" max="5908" width="12.28515625" customWidth="1"/>
    <col min="5909" max="5909" width="9.42578125" customWidth="1"/>
    <col min="5910" max="5910" width="8.42578125" customWidth="1"/>
    <col min="5911" max="5911" width="10.85546875" customWidth="1"/>
    <col min="5912" max="5912" width="9.7109375" customWidth="1"/>
    <col min="5913" max="5913" width="11.42578125" customWidth="1"/>
    <col min="5914" max="5914" width="8.42578125" customWidth="1"/>
    <col min="5915" max="5915" width="10.28515625" customWidth="1"/>
    <col min="5916" max="5916" width="12.140625" customWidth="1"/>
    <col min="5917" max="5917" width="13.42578125" customWidth="1"/>
    <col min="5918" max="5918" width="12.140625" customWidth="1"/>
    <col min="5919" max="5919" width="9.42578125" customWidth="1"/>
    <col min="5920" max="5920" width="7.7109375" customWidth="1"/>
    <col min="5921" max="5921" width="10.7109375" customWidth="1"/>
    <col min="5922" max="5922" width="11" customWidth="1"/>
    <col min="5923" max="5923" width="12" customWidth="1"/>
    <col min="5924" max="5924" width="9.85546875" customWidth="1"/>
    <col min="5925" max="5925" width="7.7109375" customWidth="1"/>
    <col min="5926" max="5926" width="10.5703125" customWidth="1"/>
    <col min="5927" max="5927" width="12.42578125" customWidth="1"/>
    <col min="5928" max="5928" width="13.42578125" customWidth="1"/>
    <col min="5929" max="5929" width="9.42578125" customWidth="1"/>
    <col min="5930" max="5930" width="8.42578125" customWidth="1"/>
    <col min="5931" max="5934" width="10" customWidth="1"/>
    <col min="5935" max="5935" width="7.7109375" customWidth="1"/>
    <col min="5936" max="5938" width="11.28515625" customWidth="1"/>
    <col min="5939" max="5939" width="11.85546875" customWidth="1"/>
    <col min="5940" max="5940" width="9.28515625" bestFit="1" customWidth="1"/>
    <col min="6139" max="6139" width="26.140625" customWidth="1"/>
    <col min="6140" max="6140" width="7.42578125" customWidth="1"/>
    <col min="6141" max="6141" width="15.42578125" customWidth="1"/>
    <col min="6142" max="6142" width="11.42578125" customWidth="1"/>
    <col min="6143" max="6143" width="12.85546875" customWidth="1"/>
    <col min="6144" max="6144" width="13.42578125" customWidth="1"/>
    <col min="6145" max="6145" width="10.7109375" customWidth="1"/>
    <col min="6146" max="6146" width="7.85546875" customWidth="1"/>
    <col min="6147" max="6147" width="12.28515625" customWidth="1"/>
    <col min="6148" max="6149" width="10.140625" customWidth="1"/>
    <col min="6150" max="6150" width="9.5703125" customWidth="1"/>
    <col min="6151" max="6151" width="7.140625" customWidth="1"/>
    <col min="6152" max="6152" width="9.28515625" customWidth="1"/>
    <col min="6153" max="6153" width="10.42578125" customWidth="1"/>
    <col min="6154" max="6154" width="10.140625" customWidth="1"/>
    <col min="6155" max="6156" width="7.140625" customWidth="1"/>
    <col min="6157" max="6157" width="13.42578125" customWidth="1"/>
    <col min="6158" max="6158" width="12" customWidth="1"/>
    <col min="6159" max="6159" width="11.7109375" customWidth="1"/>
    <col min="6160" max="6160" width="9.42578125" customWidth="1"/>
    <col min="6161" max="6161" width="7.42578125" customWidth="1"/>
    <col min="6162" max="6163" width="11.7109375" customWidth="1"/>
    <col min="6164" max="6164" width="12.28515625" customWidth="1"/>
    <col min="6165" max="6165" width="9.42578125" customWidth="1"/>
    <col min="6166" max="6166" width="8.42578125" customWidth="1"/>
    <col min="6167" max="6167" width="10.85546875" customWidth="1"/>
    <col min="6168" max="6168" width="9.7109375" customWidth="1"/>
    <col min="6169" max="6169" width="11.42578125" customWidth="1"/>
    <col min="6170" max="6170" width="8.42578125" customWidth="1"/>
    <col min="6171" max="6171" width="10.28515625" customWidth="1"/>
    <col min="6172" max="6172" width="12.140625" customWidth="1"/>
    <col min="6173" max="6173" width="13.42578125" customWidth="1"/>
    <col min="6174" max="6174" width="12.140625" customWidth="1"/>
    <col min="6175" max="6175" width="9.42578125" customWidth="1"/>
    <col min="6176" max="6176" width="7.7109375" customWidth="1"/>
    <col min="6177" max="6177" width="10.7109375" customWidth="1"/>
    <col min="6178" max="6178" width="11" customWidth="1"/>
    <col min="6179" max="6179" width="12" customWidth="1"/>
    <col min="6180" max="6180" width="9.85546875" customWidth="1"/>
    <col min="6181" max="6181" width="7.7109375" customWidth="1"/>
    <col min="6182" max="6182" width="10.5703125" customWidth="1"/>
    <col min="6183" max="6183" width="12.42578125" customWidth="1"/>
    <col min="6184" max="6184" width="13.42578125" customWidth="1"/>
    <col min="6185" max="6185" width="9.42578125" customWidth="1"/>
    <col min="6186" max="6186" width="8.42578125" customWidth="1"/>
    <col min="6187" max="6190" width="10" customWidth="1"/>
    <col min="6191" max="6191" width="7.7109375" customWidth="1"/>
    <col min="6192" max="6194" width="11.28515625" customWidth="1"/>
    <col min="6195" max="6195" width="11.85546875" customWidth="1"/>
    <col min="6196" max="6196" width="9.28515625" bestFit="1" customWidth="1"/>
    <col min="6395" max="6395" width="26.140625" customWidth="1"/>
    <col min="6396" max="6396" width="7.42578125" customWidth="1"/>
    <col min="6397" max="6397" width="15.42578125" customWidth="1"/>
    <col min="6398" max="6398" width="11.42578125" customWidth="1"/>
    <col min="6399" max="6399" width="12.85546875" customWidth="1"/>
    <col min="6400" max="6400" width="13.42578125" customWidth="1"/>
    <col min="6401" max="6401" width="10.7109375" customWidth="1"/>
    <col min="6402" max="6402" width="7.85546875" customWidth="1"/>
    <col min="6403" max="6403" width="12.28515625" customWidth="1"/>
    <col min="6404" max="6405" width="10.140625" customWidth="1"/>
    <col min="6406" max="6406" width="9.5703125" customWidth="1"/>
    <col min="6407" max="6407" width="7.140625" customWidth="1"/>
    <col min="6408" max="6408" width="9.28515625" customWidth="1"/>
    <col min="6409" max="6409" width="10.42578125" customWidth="1"/>
    <col min="6410" max="6410" width="10.140625" customWidth="1"/>
    <col min="6411" max="6412" width="7.140625" customWidth="1"/>
    <col min="6413" max="6413" width="13.42578125" customWidth="1"/>
    <col min="6414" max="6414" width="12" customWidth="1"/>
    <col min="6415" max="6415" width="11.7109375" customWidth="1"/>
    <col min="6416" max="6416" width="9.42578125" customWidth="1"/>
    <col min="6417" max="6417" width="7.42578125" customWidth="1"/>
    <col min="6418" max="6419" width="11.7109375" customWidth="1"/>
    <col min="6420" max="6420" width="12.28515625" customWidth="1"/>
    <col min="6421" max="6421" width="9.42578125" customWidth="1"/>
    <col min="6422" max="6422" width="8.42578125" customWidth="1"/>
    <col min="6423" max="6423" width="10.85546875" customWidth="1"/>
    <col min="6424" max="6424" width="9.7109375" customWidth="1"/>
    <col min="6425" max="6425" width="11.42578125" customWidth="1"/>
    <col min="6426" max="6426" width="8.42578125" customWidth="1"/>
    <col min="6427" max="6427" width="10.28515625" customWidth="1"/>
    <col min="6428" max="6428" width="12.140625" customWidth="1"/>
    <col min="6429" max="6429" width="13.42578125" customWidth="1"/>
    <col min="6430" max="6430" width="12.140625" customWidth="1"/>
    <col min="6431" max="6431" width="9.42578125" customWidth="1"/>
    <col min="6432" max="6432" width="7.7109375" customWidth="1"/>
    <col min="6433" max="6433" width="10.7109375" customWidth="1"/>
    <col min="6434" max="6434" width="11" customWidth="1"/>
    <col min="6435" max="6435" width="12" customWidth="1"/>
    <col min="6436" max="6436" width="9.85546875" customWidth="1"/>
    <col min="6437" max="6437" width="7.7109375" customWidth="1"/>
    <col min="6438" max="6438" width="10.5703125" customWidth="1"/>
    <col min="6439" max="6439" width="12.42578125" customWidth="1"/>
    <col min="6440" max="6440" width="13.42578125" customWidth="1"/>
    <col min="6441" max="6441" width="9.42578125" customWidth="1"/>
    <col min="6442" max="6442" width="8.42578125" customWidth="1"/>
    <col min="6443" max="6446" width="10" customWidth="1"/>
    <col min="6447" max="6447" width="7.7109375" customWidth="1"/>
    <col min="6448" max="6450" width="11.28515625" customWidth="1"/>
    <col min="6451" max="6451" width="11.85546875" customWidth="1"/>
    <col min="6452" max="6452" width="9.28515625" bestFit="1" customWidth="1"/>
    <col min="6651" max="6651" width="26.140625" customWidth="1"/>
    <col min="6652" max="6652" width="7.42578125" customWidth="1"/>
    <col min="6653" max="6653" width="15.42578125" customWidth="1"/>
    <col min="6654" max="6654" width="11.42578125" customWidth="1"/>
    <col min="6655" max="6655" width="12.85546875" customWidth="1"/>
    <col min="6656" max="6656" width="13.42578125" customWidth="1"/>
    <col min="6657" max="6657" width="10.7109375" customWidth="1"/>
    <col min="6658" max="6658" width="7.85546875" customWidth="1"/>
    <col min="6659" max="6659" width="12.28515625" customWidth="1"/>
    <col min="6660" max="6661" width="10.140625" customWidth="1"/>
    <col min="6662" max="6662" width="9.5703125" customWidth="1"/>
    <col min="6663" max="6663" width="7.140625" customWidth="1"/>
    <col min="6664" max="6664" width="9.28515625" customWidth="1"/>
    <col min="6665" max="6665" width="10.42578125" customWidth="1"/>
    <col min="6666" max="6666" width="10.140625" customWidth="1"/>
    <col min="6667" max="6668" width="7.140625" customWidth="1"/>
    <col min="6669" max="6669" width="13.42578125" customWidth="1"/>
    <col min="6670" max="6670" width="12" customWidth="1"/>
    <col min="6671" max="6671" width="11.7109375" customWidth="1"/>
    <col min="6672" max="6672" width="9.42578125" customWidth="1"/>
    <col min="6673" max="6673" width="7.42578125" customWidth="1"/>
    <col min="6674" max="6675" width="11.7109375" customWidth="1"/>
    <col min="6676" max="6676" width="12.28515625" customWidth="1"/>
    <col min="6677" max="6677" width="9.42578125" customWidth="1"/>
    <col min="6678" max="6678" width="8.42578125" customWidth="1"/>
    <col min="6679" max="6679" width="10.85546875" customWidth="1"/>
    <col min="6680" max="6680" width="9.7109375" customWidth="1"/>
    <col min="6681" max="6681" width="11.42578125" customWidth="1"/>
    <col min="6682" max="6682" width="8.42578125" customWidth="1"/>
    <col min="6683" max="6683" width="10.28515625" customWidth="1"/>
    <col min="6684" max="6684" width="12.140625" customWidth="1"/>
    <col min="6685" max="6685" width="13.42578125" customWidth="1"/>
    <col min="6686" max="6686" width="12.140625" customWidth="1"/>
    <col min="6687" max="6687" width="9.42578125" customWidth="1"/>
    <col min="6688" max="6688" width="7.7109375" customWidth="1"/>
    <col min="6689" max="6689" width="10.7109375" customWidth="1"/>
    <col min="6690" max="6690" width="11" customWidth="1"/>
    <col min="6691" max="6691" width="12" customWidth="1"/>
    <col min="6692" max="6692" width="9.85546875" customWidth="1"/>
    <col min="6693" max="6693" width="7.7109375" customWidth="1"/>
    <col min="6694" max="6694" width="10.5703125" customWidth="1"/>
    <col min="6695" max="6695" width="12.42578125" customWidth="1"/>
    <col min="6696" max="6696" width="13.42578125" customWidth="1"/>
    <col min="6697" max="6697" width="9.42578125" customWidth="1"/>
    <col min="6698" max="6698" width="8.42578125" customWidth="1"/>
    <col min="6699" max="6702" width="10" customWidth="1"/>
    <col min="6703" max="6703" width="7.7109375" customWidth="1"/>
    <col min="6704" max="6706" width="11.28515625" customWidth="1"/>
    <col min="6707" max="6707" width="11.85546875" customWidth="1"/>
    <col min="6708" max="6708" width="9.28515625" bestFit="1" customWidth="1"/>
    <col min="6907" max="6907" width="26.140625" customWidth="1"/>
    <col min="6908" max="6908" width="7.42578125" customWidth="1"/>
    <col min="6909" max="6909" width="15.42578125" customWidth="1"/>
    <col min="6910" max="6910" width="11.42578125" customWidth="1"/>
    <col min="6911" max="6911" width="12.85546875" customWidth="1"/>
    <col min="6912" max="6912" width="13.42578125" customWidth="1"/>
    <col min="6913" max="6913" width="10.7109375" customWidth="1"/>
    <col min="6914" max="6914" width="7.85546875" customWidth="1"/>
    <col min="6915" max="6915" width="12.28515625" customWidth="1"/>
    <col min="6916" max="6917" width="10.140625" customWidth="1"/>
    <col min="6918" max="6918" width="9.5703125" customWidth="1"/>
    <col min="6919" max="6919" width="7.140625" customWidth="1"/>
    <col min="6920" max="6920" width="9.28515625" customWidth="1"/>
    <col min="6921" max="6921" width="10.42578125" customWidth="1"/>
    <col min="6922" max="6922" width="10.140625" customWidth="1"/>
    <col min="6923" max="6924" width="7.140625" customWidth="1"/>
    <col min="6925" max="6925" width="13.42578125" customWidth="1"/>
    <col min="6926" max="6926" width="12" customWidth="1"/>
    <col min="6927" max="6927" width="11.7109375" customWidth="1"/>
    <col min="6928" max="6928" width="9.42578125" customWidth="1"/>
    <col min="6929" max="6929" width="7.42578125" customWidth="1"/>
    <col min="6930" max="6931" width="11.7109375" customWidth="1"/>
    <col min="6932" max="6932" width="12.28515625" customWidth="1"/>
    <col min="6933" max="6933" width="9.42578125" customWidth="1"/>
    <col min="6934" max="6934" width="8.42578125" customWidth="1"/>
    <col min="6935" max="6935" width="10.85546875" customWidth="1"/>
    <col min="6936" max="6936" width="9.7109375" customWidth="1"/>
    <col min="6937" max="6937" width="11.42578125" customWidth="1"/>
    <col min="6938" max="6938" width="8.42578125" customWidth="1"/>
    <col min="6939" max="6939" width="10.28515625" customWidth="1"/>
    <col min="6940" max="6940" width="12.140625" customWidth="1"/>
    <col min="6941" max="6941" width="13.42578125" customWidth="1"/>
    <col min="6942" max="6942" width="12.140625" customWidth="1"/>
    <col min="6943" max="6943" width="9.42578125" customWidth="1"/>
    <col min="6944" max="6944" width="7.7109375" customWidth="1"/>
    <col min="6945" max="6945" width="10.7109375" customWidth="1"/>
    <col min="6946" max="6946" width="11" customWidth="1"/>
    <col min="6947" max="6947" width="12" customWidth="1"/>
    <col min="6948" max="6948" width="9.85546875" customWidth="1"/>
    <col min="6949" max="6949" width="7.7109375" customWidth="1"/>
    <col min="6950" max="6950" width="10.5703125" customWidth="1"/>
    <col min="6951" max="6951" width="12.42578125" customWidth="1"/>
    <col min="6952" max="6952" width="13.42578125" customWidth="1"/>
    <col min="6953" max="6953" width="9.42578125" customWidth="1"/>
    <col min="6954" max="6954" width="8.42578125" customWidth="1"/>
    <col min="6955" max="6958" width="10" customWidth="1"/>
    <col min="6959" max="6959" width="7.7109375" customWidth="1"/>
    <col min="6960" max="6962" width="11.28515625" customWidth="1"/>
    <col min="6963" max="6963" width="11.85546875" customWidth="1"/>
    <col min="6964" max="6964" width="9.28515625" bestFit="1" customWidth="1"/>
    <col min="7163" max="7163" width="26.140625" customWidth="1"/>
    <col min="7164" max="7164" width="7.42578125" customWidth="1"/>
    <col min="7165" max="7165" width="15.42578125" customWidth="1"/>
    <col min="7166" max="7166" width="11.42578125" customWidth="1"/>
    <col min="7167" max="7167" width="12.85546875" customWidth="1"/>
    <col min="7168" max="7168" width="13.42578125" customWidth="1"/>
    <col min="7169" max="7169" width="10.7109375" customWidth="1"/>
    <col min="7170" max="7170" width="7.85546875" customWidth="1"/>
    <col min="7171" max="7171" width="12.28515625" customWidth="1"/>
    <col min="7172" max="7173" width="10.140625" customWidth="1"/>
    <col min="7174" max="7174" width="9.5703125" customWidth="1"/>
    <col min="7175" max="7175" width="7.140625" customWidth="1"/>
    <col min="7176" max="7176" width="9.28515625" customWidth="1"/>
    <col min="7177" max="7177" width="10.42578125" customWidth="1"/>
    <col min="7178" max="7178" width="10.140625" customWidth="1"/>
    <col min="7179" max="7180" width="7.140625" customWidth="1"/>
    <col min="7181" max="7181" width="13.42578125" customWidth="1"/>
    <col min="7182" max="7182" width="12" customWidth="1"/>
    <col min="7183" max="7183" width="11.7109375" customWidth="1"/>
    <col min="7184" max="7184" width="9.42578125" customWidth="1"/>
    <col min="7185" max="7185" width="7.42578125" customWidth="1"/>
    <col min="7186" max="7187" width="11.7109375" customWidth="1"/>
    <col min="7188" max="7188" width="12.28515625" customWidth="1"/>
    <col min="7189" max="7189" width="9.42578125" customWidth="1"/>
    <col min="7190" max="7190" width="8.42578125" customWidth="1"/>
    <col min="7191" max="7191" width="10.85546875" customWidth="1"/>
    <col min="7192" max="7192" width="9.7109375" customWidth="1"/>
    <col min="7193" max="7193" width="11.42578125" customWidth="1"/>
    <col min="7194" max="7194" width="8.42578125" customWidth="1"/>
    <col min="7195" max="7195" width="10.28515625" customWidth="1"/>
    <col min="7196" max="7196" width="12.140625" customWidth="1"/>
    <col min="7197" max="7197" width="13.42578125" customWidth="1"/>
    <col min="7198" max="7198" width="12.140625" customWidth="1"/>
    <col min="7199" max="7199" width="9.42578125" customWidth="1"/>
    <col min="7200" max="7200" width="7.7109375" customWidth="1"/>
    <col min="7201" max="7201" width="10.7109375" customWidth="1"/>
    <col min="7202" max="7202" width="11" customWidth="1"/>
    <col min="7203" max="7203" width="12" customWidth="1"/>
    <col min="7204" max="7204" width="9.85546875" customWidth="1"/>
    <col min="7205" max="7205" width="7.7109375" customWidth="1"/>
    <col min="7206" max="7206" width="10.5703125" customWidth="1"/>
    <col min="7207" max="7207" width="12.42578125" customWidth="1"/>
    <col min="7208" max="7208" width="13.42578125" customWidth="1"/>
    <col min="7209" max="7209" width="9.42578125" customWidth="1"/>
    <col min="7210" max="7210" width="8.42578125" customWidth="1"/>
    <col min="7211" max="7214" width="10" customWidth="1"/>
    <col min="7215" max="7215" width="7.7109375" customWidth="1"/>
    <col min="7216" max="7218" width="11.28515625" customWidth="1"/>
    <col min="7219" max="7219" width="11.85546875" customWidth="1"/>
    <col min="7220" max="7220" width="9.28515625" bestFit="1" customWidth="1"/>
    <col min="7419" max="7419" width="26.140625" customWidth="1"/>
    <col min="7420" max="7420" width="7.42578125" customWidth="1"/>
    <col min="7421" max="7421" width="15.42578125" customWidth="1"/>
    <col min="7422" max="7422" width="11.42578125" customWidth="1"/>
    <col min="7423" max="7423" width="12.85546875" customWidth="1"/>
    <col min="7424" max="7424" width="13.42578125" customWidth="1"/>
    <col min="7425" max="7425" width="10.7109375" customWidth="1"/>
    <col min="7426" max="7426" width="7.85546875" customWidth="1"/>
    <col min="7427" max="7427" width="12.28515625" customWidth="1"/>
    <col min="7428" max="7429" width="10.140625" customWidth="1"/>
    <col min="7430" max="7430" width="9.5703125" customWidth="1"/>
    <col min="7431" max="7431" width="7.140625" customWidth="1"/>
    <col min="7432" max="7432" width="9.28515625" customWidth="1"/>
    <col min="7433" max="7433" width="10.42578125" customWidth="1"/>
    <col min="7434" max="7434" width="10.140625" customWidth="1"/>
    <col min="7435" max="7436" width="7.140625" customWidth="1"/>
    <col min="7437" max="7437" width="13.42578125" customWidth="1"/>
    <col min="7438" max="7438" width="12" customWidth="1"/>
    <col min="7439" max="7439" width="11.7109375" customWidth="1"/>
    <col min="7440" max="7440" width="9.42578125" customWidth="1"/>
    <col min="7441" max="7441" width="7.42578125" customWidth="1"/>
    <col min="7442" max="7443" width="11.7109375" customWidth="1"/>
    <col min="7444" max="7444" width="12.28515625" customWidth="1"/>
    <col min="7445" max="7445" width="9.42578125" customWidth="1"/>
    <col min="7446" max="7446" width="8.42578125" customWidth="1"/>
    <col min="7447" max="7447" width="10.85546875" customWidth="1"/>
    <col min="7448" max="7448" width="9.7109375" customWidth="1"/>
    <col min="7449" max="7449" width="11.42578125" customWidth="1"/>
    <col min="7450" max="7450" width="8.42578125" customWidth="1"/>
    <col min="7451" max="7451" width="10.28515625" customWidth="1"/>
    <col min="7452" max="7452" width="12.140625" customWidth="1"/>
    <col min="7453" max="7453" width="13.42578125" customWidth="1"/>
    <col min="7454" max="7454" width="12.140625" customWidth="1"/>
    <col min="7455" max="7455" width="9.42578125" customWidth="1"/>
    <col min="7456" max="7456" width="7.7109375" customWidth="1"/>
    <col min="7457" max="7457" width="10.7109375" customWidth="1"/>
    <col min="7458" max="7458" width="11" customWidth="1"/>
    <col min="7459" max="7459" width="12" customWidth="1"/>
    <col min="7460" max="7460" width="9.85546875" customWidth="1"/>
    <col min="7461" max="7461" width="7.7109375" customWidth="1"/>
    <col min="7462" max="7462" width="10.5703125" customWidth="1"/>
    <col min="7463" max="7463" width="12.42578125" customWidth="1"/>
    <col min="7464" max="7464" width="13.42578125" customWidth="1"/>
    <col min="7465" max="7465" width="9.42578125" customWidth="1"/>
    <col min="7466" max="7466" width="8.42578125" customWidth="1"/>
    <col min="7467" max="7470" width="10" customWidth="1"/>
    <col min="7471" max="7471" width="7.7109375" customWidth="1"/>
    <col min="7472" max="7474" width="11.28515625" customWidth="1"/>
    <col min="7475" max="7475" width="11.85546875" customWidth="1"/>
    <col min="7476" max="7476" width="9.28515625" bestFit="1" customWidth="1"/>
    <col min="7675" max="7675" width="26.140625" customWidth="1"/>
    <col min="7676" max="7676" width="7.42578125" customWidth="1"/>
    <col min="7677" max="7677" width="15.42578125" customWidth="1"/>
    <col min="7678" max="7678" width="11.42578125" customWidth="1"/>
    <col min="7679" max="7679" width="12.85546875" customWidth="1"/>
    <col min="7680" max="7680" width="13.42578125" customWidth="1"/>
    <col min="7681" max="7681" width="10.7109375" customWidth="1"/>
    <col min="7682" max="7682" width="7.85546875" customWidth="1"/>
    <col min="7683" max="7683" width="12.28515625" customWidth="1"/>
    <col min="7684" max="7685" width="10.140625" customWidth="1"/>
    <col min="7686" max="7686" width="9.5703125" customWidth="1"/>
    <col min="7687" max="7687" width="7.140625" customWidth="1"/>
    <col min="7688" max="7688" width="9.28515625" customWidth="1"/>
    <col min="7689" max="7689" width="10.42578125" customWidth="1"/>
    <col min="7690" max="7690" width="10.140625" customWidth="1"/>
    <col min="7691" max="7692" width="7.140625" customWidth="1"/>
    <col min="7693" max="7693" width="13.42578125" customWidth="1"/>
    <col min="7694" max="7694" width="12" customWidth="1"/>
    <col min="7695" max="7695" width="11.7109375" customWidth="1"/>
    <col min="7696" max="7696" width="9.42578125" customWidth="1"/>
    <col min="7697" max="7697" width="7.42578125" customWidth="1"/>
    <col min="7698" max="7699" width="11.7109375" customWidth="1"/>
    <col min="7700" max="7700" width="12.28515625" customWidth="1"/>
    <col min="7701" max="7701" width="9.42578125" customWidth="1"/>
    <col min="7702" max="7702" width="8.42578125" customWidth="1"/>
    <col min="7703" max="7703" width="10.85546875" customWidth="1"/>
    <col min="7704" max="7704" width="9.7109375" customWidth="1"/>
    <col min="7705" max="7705" width="11.42578125" customWidth="1"/>
    <col min="7706" max="7706" width="8.42578125" customWidth="1"/>
    <col min="7707" max="7707" width="10.28515625" customWidth="1"/>
    <col min="7708" max="7708" width="12.140625" customWidth="1"/>
    <col min="7709" max="7709" width="13.42578125" customWidth="1"/>
    <col min="7710" max="7710" width="12.140625" customWidth="1"/>
    <col min="7711" max="7711" width="9.42578125" customWidth="1"/>
    <col min="7712" max="7712" width="7.7109375" customWidth="1"/>
    <col min="7713" max="7713" width="10.7109375" customWidth="1"/>
    <col min="7714" max="7714" width="11" customWidth="1"/>
    <col min="7715" max="7715" width="12" customWidth="1"/>
    <col min="7716" max="7716" width="9.85546875" customWidth="1"/>
    <col min="7717" max="7717" width="7.7109375" customWidth="1"/>
    <col min="7718" max="7718" width="10.5703125" customWidth="1"/>
    <col min="7719" max="7719" width="12.42578125" customWidth="1"/>
    <col min="7720" max="7720" width="13.42578125" customWidth="1"/>
    <col min="7721" max="7721" width="9.42578125" customWidth="1"/>
    <col min="7722" max="7722" width="8.42578125" customWidth="1"/>
    <col min="7723" max="7726" width="10" customWidth="1"/>
    <col min="7727" max="7727" width="7.7109375" customWidth="1"/>
    <col min="7728" max="7730" width="11.28515625" customWidth="1"/>
    <col min="7731" max="7731" width="11.85546875" customWidth="1"/>
    <col min="7732" max="7732" width="9.28515625" bestFit="1" customWidth="1"/>
    <col min="7931" max="7931" width="26.140625" customWidth="1"/>
    <col min="7932" max="7932" width="7.42578125" customWidth="1"/>
    <col min="7933" max="7933" width="15.42578125" customWidth="1"/>
    <col min="7934" max="7934" width="11.42578125" customWidth="1"/>
    <col min="7935" max="7935" width="12.85546875" customWidth="1"/>
    <col min="7936" max="7936" width="13.42578125" customWidth="1"/>
    <col min="7937" max="7937" width="10.7109375" customWidth="1"/>
    <col min="7938" max="7938" width="7.85546875" customWidth="1"/>
    <col min="7939" max="7939" width="12.28515625" customWidth="1"/>
    <col min="7940" max="7941" width="10.140625" customWidth="1"/>
    <col min="7942" max="7942" width="9.5703125" customWidth="1"/>
    <col min="7943" max="7943" width="7.140625" customWidth="1"/>
    <col min="7944" max="7944" width="9.28515625" customWidth="1"/>
    <col min="7945" max="7945" width="10.42578125" customWidth="1"/>
    <col min="7946" max="7946" width="10.140625" customWidth="1"/>
    <col min="7947" max="7948" width="7.140625" customWidth="1"/>
    <col min="7949" max="7949" width="13.42578125" customWidth="1"/>
    <col min="7950" max="7950" width="12" customWidth="1"/>
    <col min="7951" max="7951" width="11.7109375" customWidth="1"/>
    <col min="7952" max="7952" width="9.42578125" customWidth="1"/>
    <col min="7953" max="7953" width="7.42578125" customWidth="1"/>
    <col min="7954" max="7955" width="11.7109375" customWidth="1"/>
    <col min="7956" max="7956" width="12.28515625" customWidth="1"/>
    <col min="7957" max="7957" width="9.42578125" customWidth="1"/>
    <col min="7958" max="7958" width="8.42578125" customWidth="1"/>
    <col min="7959" max="7959" width="10.85546875" customWidth="1"/>
    <col min="7960" max="7960" width="9.7109375" customWidth="1"/>
    <col min="7961" max="7961" width="11.42578125" customWidth="1"/>
    <col min="7962" max="7962" width="8.42578125" customWidth="1"/>
    <col min="7963" max="7963" width="10.28515625" customWidth="1"/>
    <col min="7964" max="7964" width="12.140625" customWidth="1"/>
    <col min="7965" max="7965" width="13.42578125" customWidth="1"/>
    <col min="7966" max="7966" width="12.140625" customWidth="1"/>
    <col min="7967" max="7967" width="9.42578125" customWidth="1"/>
    <col min="7968" max="7968" width="7.7109375" customWidth="1"/>
    <col min="7969" max="7969" width="10.7109375" customWidth="1"/>
    <col min="7970" max="7970" width="11" customWidth="1"/>
    <col min="7971" max="7971" width="12" customWidth="1"/>
    <col min="7972" max="7972" width="9.85546875" customWidth="1"/>
    <col min="7973" max="7973" width="7.7109375" customWidth="1"/>
    <col min="7974" max="7974" width="10.5703125" customWidth="1"/>
    <col min="7975" max="7975" width="12.42578125" customWidth="1"/>
    <col min="7976" max="7976" width="13.42578125" customWidth="1"/>
    <col min="7977" max="7977" width="9.42578125" customWidth="1"/>
    <col min="7978" max="7978" width="8.42578125" customWidth="1"/>
    <col min="7979" max="7982" width="10" customWidth="1"/>
    <col min="7983" max="7983" width="7.7109375" customWidth="1"/>
    <col min="7984" max="7986" width="11.28515625" customWidth="1"/>
    <col min="7987" max="7987" width="11.85546875" customWidth="1"/>
    <col min="7988" max="7988" width="9.28515625" bestFit="1" customWidth="1"/>
    <col min="8187" max="8187" width="26.140625" customWidth="1"/>
    <col min="8188" max="8188" width="7.42578125" customWidth="1"/>
    <col min="8189" max="8189" width="15.42578125" customWidth="1"/>
    <col min="8190" max="8190" width="11.42578125" customWidth="1"/>
    <col min="8191" max="8191" width="12.85546875" customWidth="1"/>
    <col min="8192" max="8192" width="13.42578125" customWidth="1"/>
    <col min="8193" max="8193" width="10.7109375" customWidth="1"/>
    <col min="8194" max="8194" width="7.85546875" customWidth="1"/>
    <col min="8195" max="8195" width="12.28515625" customWidth="1"/>
    <col min="8196" max="8197" width="10.140625" customWidth="1"/>
    <col min="8198" max="8198" width="9.5703125" customWidth="1"/>
    <col min="8199" max="8199" width="7.140625" customWidth="1"/>
    <col min="8200" max="8200" width="9.28515625" customWidth="1"/>
    <col min="8201" max="8201" width="10.42578125" customWidth="1"/>
    <col min="8202" max="8202" width="10.140625" customWidth="1"/>
    <col min="8203" max="8204" width="7.140625" customWidth="1"/>
    <col min="8205" max="8205" width="13.42578125" customWidth="1"/>
    <col min="8206" max="8206" width="12" customWidth="1"/>
    <col min="8207" max="8207" width="11.7109375" customWidth="1"/>
    <col min="8208" max="8208" width="9.42578125" customWidth="1"/>
    <col min="8209" max="8209" width="7.42578125" customWidth="1"/>
    <col min="8210" max="8211" width="11.7109375" customWidth="1"/>
    <col min="8212" max="8212" width="12.28515625" customWidth="1"/>
    <col min="8213" max="8213" width="9.42578125" customWidth="1"/>
    <col min="8214" max="8214" width="8.42578125" customWidth="1"/>
    <col min="8215" max="8215" width="10.85546875" customWidth="1"/>
    <col min="8216" max="8216" width="9.7109375" customWidth="1"/>
    <col min="8217" max="8217" width="11.42578125" customWidth="1"/>
    <col min="8218" max="8218" width="8.42578125" customWidth="1"/>
    <col min="8219" max="8219" width="10.28515625" customWidth="1"/>
    <col min="8220" max="8220" width="12.140625" customWidth="1"/>
    <col min="8221" max="8221" width="13.42578125" customWidth="1"/>
    <col min="8222" max="8222" width="12.140625" customWidth="1"/>
    <col min="8223" max="8223" width="9.42578125" customWidth="1"/>
    <col min="8224" max="8224" width="7.7109375" customWidth="1"/>
    <col min="8225" max="8225" width="10.7109375" customWidth="1"/>
    <col min="8226" max="8226" width="11" customWidth="1"/>
    <col min="8227" max="8227" width="12" customWidth="1"/>
    <col min="8228" max="8228" width="9.85546875" customWidth="1"/>
    <col min="8229" max="8229" width="7.7109375" customWidth="1"/>
    <col min="8230" max="8230" width="10.5703125" customWidth="1"/>
    <col min="8231" max="8231" width="12.42578125" customWidth="1"/>
    <col min="8232" max="8232" width="13.42578125" customWidth="1"/>
    <col min="8233" max="8233" width="9.42578125" customWidth="1"/>
    <col min="8234" max="8234" width="8.42578125" customWidth="1"/>
    <col min="8235" max="8238" width="10" customWidth="1"/>
    <col min="8239" max="8239" width="7.7109375" customWidth="1"/>
    <col min="8240" max="8242" width="11.28515625" customWidth="1"/>
    <col min="8243" max="8243" width="11.85546875" customWidth="1"/>
    <col min="8244" max="8244" width="9.28515625" bestFit="1" customWidth="1"/>
    <col min="8443" max="8443" width="26.140625" customWidth="1"/>
    <col min="8444" max="8444" width="7.42578125" customWidth="1"/>
    <col min="8445" max="8445" width="15.42578125" customWidth="1"/>
    <col min="8446" max="8446" width="11.42578125" customWidth="1"/>
    <col min="8447" max="8447" width="12.85546875" customWidth="1"/>
    <col min="8448" max="8448" width="13.42578125" customWidth="1"/>
    <col min="8449" max="8449" width="10.7109375" customWidth="1"/>
    <col min="8450" max="8450" width="7.85546875" customWidth="1"/>
    <col min="8451" max="8451" width="12.28515625" customWidth="1"/>
    <col min="8452" max="8453" width="10.140625" customWidth="1"/>
    <col min="8454" max="8454" width="9.5703125" customWidth="1"/>
    <col min="8455" max="8455" width="7.140625" customWidth="1"/>
    <col min="8456" max="8456" width="9.28515625" customWidth="1"/>
    <col min="8457" max="8457" width="10.42578125" customWidth="1"/>
    <col min="8458" max="8458" width="10.140625" customWidth="1"/>
    <col min="8459" max="8460" width="7.140625" customWidth="1"/>
    <col min="8461" max="8461" width="13.42578125" customWidth="1"/>
    <col min="8462" max="8462" width="12" customWidth="1"/>
    <col min="8463" max="8463" width="11.7109375" customWidth="1"/>
    <col min="8464" max="8464" width="9.42578125" customWidth="1"/>
    <col min="8465" max="8465" width="7.42578125" customWidth="1"/>
    <col min="8466" max="8467" width="11.7109375" customWidth="1"/>
    <col min="8468" max="8468" width="12.28515625" customWidth="1"/>
    <col min="8469" max="8469" width="9.42578125" customWidth="1"/>
    <col min="8470" max="8470" width="8.42578125" customWidth="1"/>
    <col min="8471" max="8471" width="10.85546875" customWidth="1"/>
    <col min="8472" max="8472" width="9.7109375" customWidth="1"/>
    <col min="8473" max="8473" width="11.42578125" customWidth="1"/>
    <col min="8474" max="8474" width="8.42578125" customWidth="1"/>
    <col min="8475" max="8475" width="10.28515625" customWidth="1"/>
    <col min="8476" max="8476" width="12.140625" customWidth="1"/>
    <col min="8477" max="8477" width="13.42578125" customWidth="1"/>
    <col min="8478" max="8478" width="12.140625" customWidth="1"/>
    <col min="8479" max="8479" width="9.42578125" customWidth="1"/>
    <col min="8480" max="8480" width="7.7109375" customWidth="1"/>
    <col min="8481" max="8481" width="10.7109375" customWidth="1"/>
    <col min="8482" max="8482" width="11" customWidth="1"/>
    <col min="8483" max="8483" width="12" customWidth="1"/>
    <col min="8484" max="8484" width="9.85546875" customWidth="1"/>
    <col min="8485" max="8485" width="7.7109375" customWidth="1"/>
    <col min="8486" max="8486" width="10.5703125" customWidth="1"/>
    <col min="8487" max="8487" width="12.42578125" customWidth="1"/>
    <col min="8488" max="8488" width="13.42578125" customWidth="1"/>
    <col min="8489" max="8489" width="9.42578125" customWidth="1"/>
    <col min="8490" max="8490" width="8.42578125" customWidth="1"/>
    <col min="8491" max="8494" width="10" customWidth="1"/>
    <col min="8495" max="8495" width="7.7109375" customWidth="1"/>
    <col min="8496" max="8498" width="11.28515625" customWidth="1"/>
    <col min="8499" max="8499" width="11.85546875" customWidth="1"/>
    <col min="8500" max="8500" width="9.28515625" bestFit="1" customWidth="1"/>
    <col min="8699" max="8699" width="26.140625" customWidth="1"/>
    <col min="8700" max="8700" width="7.42578125" customWidth="1"/>
    <col min="8701" max="8701" width="15.42578125" customWidth="1"/>
    <col min="8702" max="8702" width="11.42578125" customWidth="1"/>
    <col min="8703" max="8703" width="12.85546875" customWidth="1"/>
    <col min="8704" max="8704" width="13.42578125" customWidth="1"/>
    <col min="8705" max="8705" width="10.7109375" customWidth="1"/>
    <col min="8706" max="8706" width="7.85546875" customWidth="1"/>
    <col min="8707" max="8707" width="12.28515625" customWidth="1"/>
    <col min="8708" max="8709" width="10.140625" customWidth="1"/>
    <col min="8710" max="8710" width="9.5703125" customWidth="1"/>
    <col min="8711" max="8711" width="7.140625" customWidth="1"/>
    <col min="8712" max="8712" width="9.28515625" customWidth="1"/>
    <col min="8713" max="8713" width="10.42578125" customWidth="1"/>
    <col min="8714" max="8714" width="10.140625" customWidth="1"/>
    <col min="8715" max="8716" width="7.140625" customWidth="1"/>
    <col min="8717" max="8717" width="13.42578125" customWidth="1"/>
    <col min="8718" max="8718" width="12" customWidth="1"/>
    <col min="8719" max="8719" width="11.7109375" customWidth="1"/>
    <col min="8720" max="8720" width="9.42578125" customWidth="1"/>
    <col min="8721" max="8721" width="7.42578125" customWidth="1"/>
    <col min="8722" max="8723" width="11.7109375" customWidth="1"/>
    <col min="8724" max="8724" width="12.28515625" customWidth="1"/>
    <col min="8725" max="8725" width="9.42578125" customWidth="1"/>
    <col min="8726" max="8726" width="8.42578125" customWidth="1"/>
    <col min="8727" max="8727" width="10.85546875" customWidth="1"/>
    <col min="8728" max="8728" width="9.7109375" customWidth="1"/>
    <col min="8729" max="8729" width="11.42578125" customWidth="1"/>
    <col min="8730" max="8730" width="8.42578125" customWidth="1"/>
    <col min="8731" max="8731" width="10.28515625" customWidth="1"/>
    <col min="8732" max="8732" width="12.140625" customWidth="1"/>
    <col min="8733" max="8733" width="13.42578125" customWidth="1"/>
    <col min="8734" max="8734" width="12.140625" customWidth="1"/>
    <col min="8735" max="8735" width="9.42578125" customWidth="1"/>
    <col min="8736" max="8736" width="7.7109375" customWidth="1"/>
    <col min="8737" max="8737" width="10.7109375" customWidth="1"/>
    <col min="8738" max="8738" width="11" customWidth="1"/>
    <col min="8739" max="8739" width="12" customWidth="1"/>
    <col min="8740" max="8740" width="9.85546875" customWidth="1"/>
    <col min="8741" max="8741" width="7.7109375" customWidth="1"/>
    <col min="8742" max="8742" width="10.5703125" customWidth="1"/>
    <col min="8743" max="8743" width="12.42578125" customWidth="1"/>
    <col min="8744" max="8744" width="13.42578125" customWidth="1"/>
    <col min="8745" max="8745" width="9.42578125" customWidth="1"/>
    <col min="8746" max="8746" width="8.42578125" customWidth="1"/>
    <col min="8747" max="8750" width="10" customWidth="1"/>
    <col min="8751" max="8751" width="7.7109375" customWidth="1"/>
    <col min="8752" max="8754" width="11.28515625" customWidth="1"/>
    <col min="8755" max="8755" width="11.85546875" customWidth="1"/>
    <col min="8756" max="8756" width="9.28515625" bestFit="1" customWidth="1"/>
    <col min="8955" max="8955" width="26.140625" customWidth="1"/>
    <col min="8956" max="8956" width="7.42578125" customWidth="1"/>
    <col min="8957" max="8957" width="15.42578125" customWidth="1"/>
    <col min="8958" max="8958" width="11.42578125" customWidth="1"/>
    <col min="8959" max="8959" width="12.85546875" customWidth="1"/>
    <col min="8960" max="8960" width="13.42578125" customWidth="1"/>
    <col min="8961" max="8961" width="10.7109375" customWidth="1"/>
    <col min="8962" max="8962" width="7.85546875" customWidth="1"/>
    <col min="8963" max="8963" width="12.28515625" customWidth="1"/>
    <col min="8964" max="8965" width="10.140625" customWidth="1"/>
    <col min="8966" max="8966" width="9.5703125" customWidth="1"/>
    <col min="8967" max="8967" width="7.140625" customWidth="1"/>
    <col min="8968" max="8968" width="9.28515625" customWidth="1"/>
    <col min="8969" max="8969" width="10.42578125" customWidth="1"/>
    <col min="8970" max="8970" width="10.140625" customWidth="1"/>
    <col min="8971" max="8972" width="7.140625" customWidth="1"/>
    <col min="8973" max="8973" width="13.42578125" customWidth="1"/>
    <col min="8974" max="8974" width="12" customWidth="1"/>
    <col min="8975" max="8975" width="11.7109375" customWidth="1"/>
    <col min="8976" max="8976" width="9.42578125" customWidth="1"/>
    <col min="8977" max="8977" width="7.42578125" customWidth="1"/>
    <col min="8978" max="8979" width="11.7109375" customWidth="1"/>
    <col min="8980" max="8980" width="12.28515625" customWidth="1"/>
    <col min="8981" max="8981" width="9.42578125" customWidth="1"/>
    <col min="8982" max="8982" width="8.42578125" customWidth="1"/>
    <col min="8983" max="8983" width="10.85546875" customWidth="1"/>
    <col min="8984" max="8984" width="9.7109375" customWidth="1"/>
    <col min="8985" max="8985" width="11.42578125" customWidth="1"/>
    <col min="8986" max="8986" width="8.42578125" customWidth="1"/>
    <col min="8987" max="8987" width="10.28515625" customWidth="1"/>
    <col min="8988" max="8988" width="12.140625" customWidth="1"/>
    <col min="8989" max="8989" width="13.42578125" customWidth="1"/>
    <col min="8990" max="8990" width="12.140625" customWidth="1"/>
    <col min="8991" max="8991" width="9.42578125" customWidth="1"/>
    <col min="8992" max="8992" width="7.7109375" customWidth="1"/>
    <col min="8993" max="8993" width="10.7109375" customWidth="1"/>
    <col min="8994" max="8994" width="11" customWidth="1"/>
    <col min="8995" max="8995" width="12" customWidth="1"/>
    <col min="8996" max="8996" width="9.85546875" customWidth="1"/>
    <col min="8997" max="8997" width="7.7109375" customWidth="1"/>
    <col min="8998" max="8998" width="10.5703125" customWidth="1"/>
    <col min="8999" max="8999" width="12.42578125" customWidth="1"/>
    <col min="9000" max="9000" width="13.42578125" customWidth="1"/>
    <col min="9001" max="9001" width="9.42578125" customWidth="1"/>
    <col min="9002" max="9002" width="8.42578125" customWidth="1"/>
    <col min="9003" max="9006" width="10" customWidth="1"/>
    <col min="9007" max="9007" width="7.7109375" customWidth="1"/>
    <col min="9008" max="9010" width="11.28515625" customWidth="1"/>
    <col min="9011" max="9011" width="11.85546875" customWidth="1"/>
    <col min="9012" max="9012" width="9.28515625" bestFit="1" customWidth="1"/>
    <col min="9211" max="9211" width="26.140625" customWidth="1"/>
    <col min="9212" max="9212" width="7.42578125" customWidth="1"/>
    <col min="9213" max="9213" width="15.42578125" customWidth="1"/>
    <col min="9214" max="9214" width="11.42578125" customWidth="1"/>
    <col min="9215" max="9215" width="12.85546875" customWidth="1"/>
    <col min="9216" max="9216" width="13.42578125" customWidth="1"/>
    <col min="9217" max="9217" width="10.7109375" customWidth="1"/>
    <col min="9218" max="9218" width="7.85546875" customWidth="1"/>
    <col min="9219" max="9219" width="12.28515625" customWidth="1"/>
    <col min="9220" max="9221" width="10.140625" customWidth="1"/>
    <col min="9222" max="9222" width="9.5703125" customWidth="1"/>
    <col min="9223" max="9223" width="7.140625" customWidth="1"/>
    <col min="9224" max="9224" width="9.28515625" customWidth="1"/>
    <col min="9225" max="9225" width="10.42578125" customWidth="1"/>
    <col min="9226" max="9226" width="10.140625" customWidth="1"/>
    <col min="9227" max="9228" width="7.140625" customWidth="1"/>
    <col min="9229" max="9229" width="13.42578125" customWidth="1"/>
    <col min="9230" max="9230" width="12" customWidth="1"/>
    <col min="9231" max="9231" width="11.7109375" customWidth="1"/>
    <col min="9232" max="9232" width="9.42578125" customWidth="1"/>
    <col min="9233" max="9233" width="7.42578125" customWidth="1"/>
    <col min="9234" max="9235" width="11.7109375" customWidth="1"/>
    <col min="9236" max="9236" width="12.28515625" customWidth="1"/>
    <col min="9237" max="9237" width="9.42578125" customWidth="1"/>
    <col min="9238" max="9238" width="8.42578125" customWidth="1"/>
    <col min="9239" max="9239" width="10.85546875" customWidth="1"/>
    <col min="9240" max="9240" width="9.7109375" customWidth="1"/>
    <col min="9241" max="9241" width="11.42578125" customWidth="1"/>
    <col min="9242" max="9242" width="8.42578125" customWidth="1"/>
    <col min="9243" max="9243" width="10.28515625" customWidth="1"/>
    <col min="9244" max="9244" width="12.140625" customWidth="1"/>
    <col min="9245" max="9245" width="13.42578125" customWidth="1"/>
    <col min="9246" max="9246" width="12.140625" customWidth="1"/>
    <col min="9247" max="9247" width="9.42578125" customWidth="1"/>
    <col min="9248" max="9248" width="7.7109375" customWidth="1"/>
    <col min="9249" max="9249" width="10.7109375" customWidth="1"/>
    <col min="9250" max="9250" width="11" customWidth="1"/>
    <col min="9251" max="9251" width="12" customWidth="1"/>
    <col min="9252" max="9252" width="9.85546875" customWidth="1"/>
    <col min="9253" max="9253" width="7.7109375" customWidth="1"/>
    <col min="9254" max="9254" width="10.5703125" customWidth="1"/>
    <col min="9255" max="9255" width="12.42578125" customWidth="1"/>
    <col min="9256" max="9256" width="13.42578125" customWidth="1"/>
    <col min="9257" max="9257" width="9.42578125" customWidth="1"/>
    <col min="9258" max="9258" width="8.42578125" customWidth="1"/>
    <col min="9259" max="9262" width="10" customWidth="1"/>
    <col min="9263" max="9263" width="7.7109375" customWidth="1"/>
    <col min="9264" max="9266" width="11.28515625" customWidth="1"/>
    <col min="9267" max="9267" width="11.85546875" customWidth="1"/>
    <col min="9268" max="9268" width="9.28515625" bestFit="1" customWidth="1"/>
    <col min="9467" max="9467" width="26.140625" customWidth="1"/>
    <col min="9468" max="9468" width="7.42578125" customWidth="1"/>
    <col min="9469" max="9469" width="15.42578125" customWidth="1"/>
    <col min="9470" max="9470" width="11.42578125" customWidth="1"/>
    <col min="9471" max="9471" width="12.85546875" customWidth="1"/>
    <col min="9472" max="9472" width="13.42578125" customWidth="1"/>
    <col min="9473" max="9473" width="10.7109375" customWidth="1"/>
    <col min="9474" max="9474" width="7.85546875" customWidth="1"/>
    <col min="9475" max="9475" width="12.28515625" customWidth="1"/>
    <col min="9476" max="9477" width="10.140625" customWidth="1"/>
    <col min="9478" max="9478" width="9.5703125" customWidth="1"/>
    <col min="9479" max="9479" width="7.140625" customWidth="1"/>
    <col min="9480" max="9480" width="9.28515625" customWidth="1"/>
    <col min="9481" max="9481" width="10.42578125" customWidth="1"/>
    <col min="9482" max="9482" width="10.140625" customWidth="1"/>
    <col min="9483" max="9484" width="7.140625" customWidth="1"/>
    <col min="9485" max="9485" width="13.42578125" customWidth="1"/>
    <col min="9486" max="9486" width="12" customWidth="1"/>
    <col min="9487" max="9487" width="11.7109375" customWidth="1"/>
    <col min="9488" max="9488" width="9.42578125" customWidth="1"/>
    <col min="9489" max="9489" width="7.42578125" customWidth="1"/>
    <col min="9490" max="9491" width="11.7109375" customWidth="1"/>
    <col min="9492" max="9492" width="12.28515625" customWidth="1"/>
    <col min="9493" max="9493" width="9.42578125" customWidth="1"/>
    <col min="9494" max="9494" width="8.42578125" customWidth="1"/>
    <col min="9495" max="9495" width="10.85546875" customWidth="1"/>
    <col min="9496" max="9496" width="9.7109375" customWidth="1"/>
    <col min="9497" max="9497" width="11.42578125" customWidth="1"/>
    <col min="9498" max="9498" width="8.42578125" customWidth="1"/>
    <col min="9499" max="9499" width="10.28515625" customWidth="1"/>
    <col min="9500" max="9500" width="12.140625" customWidth="1"/>
    <col min="9501" max="9501" width="13.42578125" customWidth="1"/>
    <col min="9502" max="9502" width="12.140625" customWidth="1"/>
    <col min="9503" max="9503" width="9.42578125" customWidth="1"/>
    <col min="9504" max="9504" width="7.7109375" customWidth="1"/>
    <col min="9505" max="9505" width="10.7109375" customWidth="1"/>
    <col min="9506" max="9506" width="11" customWidth="1"/>
    <col min="9507" max="9507" width="12" customWidth="1"/>
    <col min="9508" max="9508" width="9.85546875" customWidth="1"/>
    <col min="9509" max="9509" width="7.7109375" customWidth="1"/>
    <col min="9510" max="9510" width="10.5703125" customWidth="1"/>
    <col min="9511" max="9511" width="12.42578125" customWidth="1"/>
    <col min="9512" max="9512" width="13.42578125" customWidth="1"/>
    <col min="9513" max="9513" width="9.42578125" customWidth="1"/>
    <col min="9514" max="9514" width="8.42578125" customWidth="1"/>
    <col min="9515" max="9518" width="10" customWidth="1"/>
    <col min="9519" max="9519" width="7.7109375" customWidth="1"/>
    <col min="9520" max="9522" width="11.28515625" customWidth="1"/>
    <col min="9523" max="9523" width="11.85546875" customWidth="1"/>
    <col min="9524" max="9524" width="9.28515625" bestFit="1" customWidth="1"/>
    <col min="9723" max="9723" width="26.140625" customWidth="1"/>
    <col min="9724" max="9724" width="7.42578125" customWidth="1"/>
    <col min="9725" max="9725" width="15.42578125" customWidth="1"/>
    <col min="9726" max="9726" width="11.42578125" customWidth="1"/>
    <col min="9727" max="9727" width="12.85546875" customWidth="1"/>
    <col min="9728" max="9728" width="13.42578125" customWidth="1"/>
    <col min="9729" max="9729" width="10.7109375" customWidth="1"/>
    <col min="9730" max="9730" width="7.85546875" customWidth="1"/>
    <col min="9731" max="9731" width="12.28515625" customWidth="1"/>
    <col min="9732" max="9733" width="10.140625" customWidth="1"/>
    <col min="9734" max="9734" width="9.5703125" customWidth="1"/>
    <col min="9735" max="9735" width="7.140625" customWidth="1"/>
    <col min="9736" max="9736" width="9.28515625" customWidth="1"/>
    <col min="9737" max="9737" width="10.42578125" customWidth="1"/>
    <col min="9738" max="9738" width="10.140625" customWidth="1"/>
    <col min="9739" max="9740" width="7.140625" customWidth="1"/>
    <col min="9741" max="9741" width="13.42578125" customWidth="1"/>
    <col min="9742" max="9742" width="12" customWidth="1"/>
    <col min="9743" max="9743" width="11.7109375" customWidth="1"/>
    <col min="9744" max="9744" width="9.42578125" customWidth="1"/>
    <col min="9745" max="9745" width="7.42578125" customWidth="1"/>
    <col min="9746" max="9747" width="11.7109375" customWidth="1"/>
    <col min="9748" max="9748" width="12.28515625" customWidth="1"/>
    <col min="9749" max="9749" width="9.42578125" customWidth="1"/>
    <col min="9750" max="9750" width="8.42578125" customWidth="1"/>
    <col min="9751" max="9751" width="10.85546875" customWidth="1"/>
    <col min="9752" max="9752" width="9.7109375" customWidth="1"/>
    <col min="9753" max="9753" width="11.42578125" customWidth="1"/>
    <col min="9754" max="9754" width="8.42578125" customWidth="1"/>
    <col min="9755" max="9755" width="10.28515625" customWidth="1"/>
    <col min="9756" max="9756" width="12.140625" customWidth="1"/>
    <col min="9757" max="9757" width="13.42578125" customWidth="1"/>
    <col min="9758" max="9758" width="12.140625" customWidth="1"/>
    <col min="9759" max="9759" width="9.42578125" customWidth="1"/>
    <col min="9760" max="9760" width="7.7109375" customWidth="1"/>
    <col min="9761" max="9761" width="10.7109375" customWidth="1"/>
    <col min="9762" max="9762" width="11" customWidth="1"/>
    <col min="9763" max="9763" width="12" customWidth="1"/>
    <col min="9764" max="9764" width="9.85546875" customWidth="1"/>
    <col min="9765" max="9765" width="7.7109375" customWidth="1"/>
    <col min="9766" max="9766" width="10.5703125" customWidth="1"/>
    <col min="9767" max="9767" width="12.42578125" customWidth="1"/>
    <col min="9768" max="9768" width="13.42578125" customWidth="1"/>
    <col min="9769" max="9769" width="9.42578125" customWidth="1"/>
    <col min="9770" max="9770" width="8.42578125" customWidth="1"/>
    <col min="9771" max="9774" width="10" customWidth="1"/>
    <col min="9775" max="9775" width="7.7109375" customWidth="1"/>
    <col min="9776" max="9778" width="11.28515625" customWidth="1"/>
    <col min="9779" max="9779" width="11.85546875" customWidth="1"/>
    <col min="9780" max="9780" width="9.28515625" bestFit="1" customWidth="1"/>
    <col min="9979" max="9979" width="26.140625" customWidth="1"/>
    <col min="9980" max="9980" width="7.42578125" customWidth="1"/>
    <col min="9981" max="9981" width="15.42578125" customWidth="1"/>
    <col min="9982" max="9982" width="11.42578125" customWidth="1"/>
    <col min="9983" max="9983" width="12.85546875" customWidth="1"/>
    <col min="9984" max="9984" width="13.42578125" customWidth="1"/>
    <col min="9985" max="9985" width="10.7109375" customWidth="1"/>
    <col min="9986" max="9986" width="7.85546875" customWidth="1"/>
    <col min="9987" max="9987" width="12.28515625" customWidth="1"/>
    <col min="9988" max="9989" width="10.140625" customWidth="1"/>
    <col min="9990" max="9990" width="9.5703125" customWidth="1"/>
    <col min="9991" max="9991" width="7.140625" customWidth="1"/>
    <col min="9992" max="9992" width="9.28515625" customWidth="1"/>
    <col min="9993" max="9993" width="10.42578125" customWidth="1"/>
    <col min="9994" max="9994" width="10.140625" customWidth="1"/>
    <col min="9995" max="9996" width="7.140625" customWidth="1"/>
    <col min="9997" max="9997" width="13.42578125" customWidth="1"/>
    <col min="9998" max="9998" width="12" customWidth="1"/>
    <col min="9999" max="9999" width="11.7109375" customWidth="1"/>
    <col min="10000" max="10000" width="9.42578125" customWidth="1"/>
    <col min="10001" max="10001" width="7.42578125" customWidth="1"/>
    <col min="10002" max="10003" width="11.7109375" customWidth="1"/>
    <col min="10004" max="10004" width="12.28515625" customWidth="1"/>
    <col min="10005" max="10005" width="9.42578125" customWidth="1"/>
    <col min="10006" max="10006" width="8.42578125" customWidth="1"/>
    <col min="10007" max="10007" width="10.85546875" customWidth="1"/>
    <col min="10008" max="10008" width="9.7109375" customWidth="1"/>
    <col min="10009" max="10009" width="11.42578125" customWidth="1"/>
    <col min="10010" max="10010" width="8.42578125" customWidth="1"/>
    <col min="10011" max="10011" width="10.28515625" customWidth="1"/>
    <col min="10012" max="10012" width="12.140625" customWidth="1"/>
    <col min="10013" max="10013" width="13.42578125" customWidth="1"/>
    <col min="10014" max="10014" width="12.140625" customWidth="1"/>
    <col min="10015" max="10015" width="9.42578125" customWidth="1"/>
    <col min="10016" max="10016" width="7.7109375" customWidth="1"/>
    <col min="10017" max="10017" width="10.7109375" customWidth="1"/>
    <col min="10018" max="10018" width="11" customWidth="1"/>
    <col min="10019" max="10019" width="12" customWidth="1"/>
    <col min="10020" max="10020" width="9.85546875" customWidth="1"/>
    <col min="10021" max="10021" width="7.7109375" customWidth="1"/>
    <col min="10022" max="10022" width="10.5703125" customWidth="1"/>
    <col min="10023" max="10023" width="12.42578125" customWidth="1"/>
    <col min="10024" max="10024" width="13.42578125" customWidth="1"/>
    <col min="10025" max="10025" width="9.42578125" customWidth="1"/>
    <col min="10026" max="10026" width="8.42578125" customWidth="1"/>
    <col min="10027" max="10030" width="10" customWidth="1"/>
    <col min="10031" max="10031" width="7.7109375" customWidth="1"/>
    <col min="10032" max="10034" width="11.28515625" customWidth="1"/>
    <col min="10035" max="10035" width="11.85546875" customWidth="1"/>
    <col min="10036" max="10036" width="9.28515625" bestFit="1" customWidth="1"/>
    <col min="10235" max="10235" width="26.140625" customWidth="1"/>
    <col min="10236" max="10236" width="7.42578125" customWidth="1"/>
    <col min="10237" max="10237" width="15.42578125" customWidth="1"/>
    <col min="10238" max="10238" width="11.42578125" customWidth="1"/>
    <col min="10239" max="10239" width="12.85546875" customWidth="1"/>
    <col min="10240" max="10240" width="13.42578125" customWidth="1"/>
    <col min="10241" max="10241" width="10.7109375" customWidth="1"/>
    <col min="10242" max="10242" width="7.85546875" customWidth="1"/>
    <col min="10243" max="10243" width="12.28515625" customWidth="1"/>
    <col min="10244" max="10245" width="10.140625" customWidth="1"/>
    <col min="10246" max="10246" width="9.5703125" customWidth="1"/>
    <col min="10247" max="10247" width="7.140625" customWidth="1"/>
    <col min="10248" max="10248" width="9.28515625" customWidth="1"/>
    <col min="10249" max="10249" width="10.42578125" customWidth="1"/>
    <col min="10250" max="10250" width="10.140625" customWidth="1"/>
    <col min="10251" max="10252" width="7.140625" customWidth="1"/>
    <col min="10253" max="10253" width="13.42578125" customWidth="1"/>
    <col min="10254" max="10254" width="12" customWidth="1"/>
    <col min="10255" max="10255" width="11.7109375" customWidth="1"/>
    <col min="10256" max="10256" width="9.42578125" customWidth="1"/>
    <col min="10257" max="10257" width="7.42578125" customWidth="1"/>
    <col min="10258" max="10259" width="11.7109375" customWidth="1"/>
    <col min="10260" max="10260" width="12.28515625" customWidth="1"/>
    <col min="10261" max="10261" width="9.42578125" customWidth="1"/>
    <col min="10262" max="10262" width="8.42578125" customWidth="1"/>
    <col min="10263" max="10263" width="10.85546875" customWidth="1"/>
    <col min="10264" max="10264" width="9.7109375" customWidth="1"/>
    <col min="10265" max="10265" width="11.42578125" customWidth="1"/>
    <col min="10266" max="10266" width="8.42578125" customWidth="1"/>
    <col min="10267" max="10267" width="10.28515625" customWidth="1"/>
    <col min="10268" max="10268" width="12.140625" customWidth="1"/>
    <col min="10269" max="10269" width="13.42578125" customWidth="1"/>
    <col min="10270" max="10270" width="12.140625" customWidth="1"/>
    <col min="10271" max="10271" width="9.42578125" customWidth="1"/>
    <col min="10272" max="10272" width="7.7109375" customWidth="1"/>
    <col min="10273" max="10273" width="10.7109375" customWidth="1"/>
    <col min="10274" max="10274" width="11" customWidth="1"/>
    <col min="10275" max="10275" width="12" customWidth="1"/>
    <col min="10276" max="10276" width="9.85546875" customWidth="1"/>
    <col min="10277" max="10277" width="7.7109375" customWidth="1"/>
    <col min="10278" max="10278" width="10.5703125" customWidth="1"/>
    <col min="10279" max="10279" width="12.42578125" customWidth="1"/>
    <col min="10280" max="10280" width="13.42578125" customWidth="1"/>
    <col min="10281" max="10281" width="9.42578125" customWidth="1"/>
    <col min="10282" max="10282" width="8.42578125" customWidth="1"/>
    <col min="10283" max="10286" width="10" customWidth="1"/>
    <col min="10287" max="10287" width="7.7109375" customWidth="1"/>
    <col min="10288" max="10290" width="11.28515625" customWidth="1"/>
    <col min="10291" max="10291" width="11.85546875" customWidth="1"/>
    <col min="10292" max="10292" width="9.28515625" bestFit="1" customWidth="1"/>
    <col min="10491" max="10491" width="26.140625" customWidth="1"/>
    <col min="10492" max="10492" width="7.42578125" customWidth="1"/>
    <col min="10493" max="10493" width="15.42578125" customWidth="1"/>
    <col min="10494" max="10494" width="11.42578125" customWidth="1"/>
    <col min="10495" max="10495" width="12.85546875" customWidth="1"/>
    <col min="10496" max="10496" width="13.42578125" customWidth="1"/>
    <col min="10497" max="10497" width="10.7109375" customWidth="1"/>
    <col min="10498" max="10498" width="7.85546875" customWidth="1"/>
    <col min="10499" max="10499" width="12.28515625" customWidth="1"/>
    <col min="10500" max="10501" width="10.140625" customWidth="1"/>
    <col min="10502" max="10502" width="9.5703125" customWidth="1"/>
    <col min="10503" max="10503" width="7.140625" customWidth="1"/>
    <col min="10504" max="10504" width="9.28515625" customWidth="1"/>
    <col min="10505" max="10505" width="10.42578125" customWidth="1"/>
    <col min="10506" max="10506" width="10.140625" customWidth="1"/>
    <col min="10507" max="10508" width="7.140625" customWidth="1"/>
    <col min="10509" max="10509" width="13.42578125" customWidth="1"/>
    <col min="10510" max="10510" width="12" customWidth="1"/>
    <col min="10511" max="10511" width="11.7109375" customWidth="1"/>
    <col min="10512" max="10512" width="9.42578125" customWidth="1"/>
    <col min="10513" max="10513" width="7.42578125" customWidth="1"/>
    <col min="10514" max="10515" width="11.7109375" customWidth="1"/>
    <col min="10516" max="10516" width="12.28515625" customWidth="1"/>
    <col min="10517" max="10517" width="9.42578125" customWidth="1"/>
    <col min="10518" max="10518" width="8.42578125" customWidth="1"/>
    <col min="10519" max="10519" width="10.85546875" customWidth="1"/>
    <col min="10520" max="10520" width="9.7109375" customWidth="1"/>
    <col min="10521" max="10521" width="11.42578125" customWidth="1"/>
    <col min="10522" max="10522" width="8.42578125" customWidth="1"/>
    <col min="10523" max="10523" width="10.28515625" customWidth="1"/>
    <col min="10524" max="10524" width="12.140625" customWidth="1"/>
    <col min="10525" max="10525" width="13.42578125" customWidth="1"/>
    <col min="10526" max="10526" width="12.140625" customWidth="1"/>
    <col min="10527" max="10527" width="9.42578125" customWidth="1"/>
    <col min="10528" max="10528" width="7.7109375" customWidth="1"/>
    <col min="10529" max="10529" width="10.7109375" customWidth="1"/>
    <col min="10530" max="10530" width="11" customWidth="1"/>
    <col min="10531" max="10531" width="12" customWidth="1"/>
    <col min="10532" max="10532" width="9.85546875" customWidth="1"/>
    <col min="10533" max="10533" width="7.7109375" customWidth="1"/>
    <col min="10534" max="10534" width="10.5703125" customWidth="1"/>
    <col min="10535" max="10535" width="12.42578125" customWidth="1"/>
    <col min="10536" max="10536" width="13.42578125" customWidth="1"/>
    <col min="10537" max="10537" width="9.42578125" customWidth="1"/>
    <col min="10538" max="10538" width="8.42578125" customWidth="1"/>
    <col min="10539" max="10542" width="10" customWidth="1"/>
    <col min="10543" max="10543" width="7.7109375" customWidth="1"/>
    <col min="10544" max="10546" width="11.28515625" customWidth="1"/>
    <col min="10547" max="10547" width="11.85546875" customWidth="1"/>
    <col min="10548" max="10548" width="9.28515625" bestFit="1" customWidth="1"/>
    <col min="10747" max="10747" width="26.140625" customWidth="1"/>
    <col min="10748" max="10748" width="7.42578125" customWidth="1"/>
    <col min="10749" max="10749" width="15.42578125" customWidth="1"/>
    <col min="10750" max="10750" width="11.42578125" customWidth="1"/>
    <col min="10751" max="10751" width="12.85546875" customWidth="1"/>
    <col min="10752" max="10752" width="13.42578125" customWidth="1"/>
    <col min="10753" max="10753" width="10.7109375" customWidth="1"/>
    <col min="10754" max="10754" width="7.85546875" customWidth="1"/>
    <col min="10755" max="10755" width="12.28515625" customWidth="1"/>
    <col min="10756" max="10757" width="10.140625" customWidth="1"/>
    <col min="10758" max="10758" width="9.5703125" customWidth="1"/>
    <col min="10759" max="10759" width="7.140625" customWidth="1"/>
    <col min="10760" max="10760" width="9.28515625" customWidth="1"/>
    <col min="10761" max="10761" width="10.42578125" customWidth="1"/>
    <col min="10762" max="10762" width="10.140625" customWidth="1"/>
    <col min="10763" max="10764" width="7.140625" customWidth="1"/>
    <col min="10765" max="10765" width="13.42578125" customWidth="1"/>
    <col min="10766" max="10766" width="12" customWidth="1"/>
    <col min="10767" max="10767" width="11.7109375" customWidth="1"/>
    <col min="10768" max="10768" width="9.42578125" customWidth="1"/>
    <col min="10769" max="10769" width="7.42578125" customWidth="1"/>
    <col min="10770" max="10771" width="11.7109375" customWidth="1"/>
    <col min="10772" max="10772" width="12.28515625" customWidth="1"/>
    <col min="10773" max="10773" width="9.42578125" customWidth="1"/>
    <col min="10774" max="10774" width="8.42578125" customWidth="1"/>
    <col min="10775" max="10775" width="10.85546875" customWidth="1"/>
    <col min="10776" max="10776" width="9.7109375" customWidth="1"/>
    <col min="10777" max="10777" width="11.42578125" customWidth="1"/>
    <col min="10778" max="10778" width="8.42578125" customWidth="1"/>
    <col min="10779" max="10779" width="10.28515625" customWidth="1"/>
    <col min="10780" max="10780" width="12.140625" customWidth="1"/>
    <col min="10781" max="10781" width="13.42578125" customWidth="1"/>
    <col min="10782" max="10782" width="12.140625" customWidth="1"/>
    <col min="10783" max="10783" width="9.42578125" customWidth="1"/>
    <col min="10784" max="10784" width="7.7109375" customWidth="1"/>
    <col min="10785" max="10785" width="10.7109375" customWidth="1"/>
    <col min="10786" max="10786" width="11" customWidth="1"/>
    <col min="10787" max="10787" width="12" customWidth="1"/>
    <col min="10788" max="10788" width="9.85546875" customWidth="1"/>
    <col min="10789" max="10789" width="7.7109375" customWidth="1"/>
    <col min="10790" max="10790" width="10.5703125" customWidth="1"/>
    <col min="10791" max="10791" width="12.42578125" customWidth="1"/>
    <col min="10792" max="10792" width="13.42578125" customWidth="1"/>
    <col min="10793" max="10793" width="9.42578125" customWidth="1"/>
    <col min="10794" max="10794" width="8.42578125" customWidth="1"/>
    <col min="10795" max="10798" width="10" customWidth="1"/>
    <col min="10799" max="10799" width="7.7109375" customWidth="1"/>
    <col min="10800" max="10802" width="11.28515625" customWidth="1"/>
    <col min="10803" max="10803" width="11.85546875" customWidth="1"/>
    <col min="10804" max="10804" width="9.28515625" bestFit="1" customWidth="1"/>
    <col min="11003" max="11003" width="26.140625" customWidth="1"/>
    <col min="11004" max="11004" width="7.42578125" customWidth="1"/>
    <col min="11005" max="11005" width="15.42578125" customWidth="1"/>
    <col min="11006" max="11006" width="11.42578125" customWidth="1"/>
    <col min="11007" max="11007" width="12.85546875" customWidth="1"/>
    <col min="11008" max="11008" width="13.42578125" customWidth="1"/>
    <col min="11009" max="11009" width="10.7109375" customWidth="1"/>
    <col min="11010" max="11010" width="7.85546875" customWidth="1"/>
    <col min="11011" max="11011" width="12.28515625" customWidth="1"/>
    <col min="11012" max="11013" width="10.140625" customWidth="1"/>
    <col min="11014" max="11014" width="9.5703125" customWidth="1"/>
    <col min="11015" max="11015" width="7.140625" customWidth="1"/>
    <col min="11016" max="11016" width="9.28515625" customWidth="1"/>
    <col min="11017" max="11017" width="10.42578125" customWidth="1"/>
    <col min="11018" max="11018" width="10.140625" customWidth="1"/>
    <col min="11019" max="11020" width="7.140625" customWidth="1"/>
    <col min="11021" max="11021" width="13.42578125" customWidth="1"/>
    <col min="11022" max="11022" width="12" customWidth="1"/>
    <col min="11023" max="11023" width="11.7109375" customWidth="1"/>
    <col min="11024" max="11024" width="9.42578125" customWidth="1"/>
    <col min="11025" max="11025" width="7.42578125" customWidth="1"/>
    <col min="11026" max="11027" width="11.7109375" customWidth="1"/>
    <col min="11028" max="11028" width="12.28515625" customWidth="1"/>
    <col min="11029" max="11029" width="9.42578125" customWidth="1"/>
    <col min="11030" max="11030" width="8.42578125" customWidth="1"/>
    <col min="11031" max="11031" width="10.85546875" customWidth="1"/>
    <col min="11032" max="11032" width="9.7109375" customWidth="1"/>
    <col min="11033" max="11033" width="11.42578125" customWidth="1"/>
    <col min="11034" max="11034" width="8.42578125" customWidth="1"/>
    <col min="11035" max="11035" width="10.28515625" customWidth="1"/>
    <col min="11036" max="11036" width="12.140625" customWidth="1"/>
    <col min="11037" max="11037" width="13.42578125" customWidth="1"/>
    <col min="11038" max="11038" width="12.140625" customWidth="1"/>
    <col min="11039" max="11039" width="9.42578125" customWidth="1"/>
    <col min="11040" max="11040" width="7.7109375" customWidth="1"/>
    <col min="11041" max="11041" width="10.7109375" customWidth="1"/>
    <col min="11042" max="11042" width="11" customWidth="1"/>
    <col min="11043" max="11043" width="12" customWidth="1"/>
    <col min="11044" max="11044" width="9.85546875" customWidth="1"/>
    <col min="11045" max="11045" width="7.7109375" customWidth="1"/>
    <col min="11046" max="11046" width="10.5703125" customWidth="1"/>
    <col min="11047" max="11047" width="12.42578125" customWidth="1"/>
    <col min="11048" max="11048" width="13.42578125" customWidth="1"/>
    <col min="11049" max="11049" width="9.42578125" customWidth="1"/>
    <col min="11050" max="11050" width="8.42578125" customWidth="1"/>
    <col min="11051" max="11054" width="10" customWidth="1"/>
    <col min="11055" max="11055" width="7.7109375" customWidth="1"/>
    <col min="11056" max="11058" width="11.28515625" customWidth="1"/>
    <col min="11059" max="11059" width="11.85546875" customWidth="1"/>
    <col min="11060" max="11060" width="9.28515625" bestFit="1" customWidth="1"/>
    <col min="11259" max="11259" width="26.140625" customWidth="1"/>
    <col min="11260" max="11260" width="7.42578125" customWidth="1"/>
    <col min="11261" max="11261" width="15.42578125" customWidth="1"/>
    <col min="11262" max="11262" width="11.42578125" customWidth="1"/>
    <col min="11263" max="11263" width="12.85546875" customWidth="1"/>
    <col min="11264" max="11264" width="13.42578125" customWidth="1"/>
    <col min="11265" max="11265" width="10.7109375" customWidth="1"/>
    <col min="11266" max="11266" width="7.85546875" customWidth="1"/>
    <col min="11267" max="11267" width="12.28515625" customWidth="1"/>
    <col min="11268" max="11269" width="10.140625" customWidth="1"/>
    <col min="11270" max="11270" width="9.5703125" customWidth="1"/>
    <col min="11271" max="11271" width="7.140625" customWidth="1"/>
    <col min="11272" max="11272" width="9.28515625" customWidth="1"/>
    <col min="11273" max="11273" width="10.42578125" customWidth="1"/>
    <col min="11274" max="11274" width="10.140625" customWidth="1"/>
    <col min="11275" max="11276" width="7.140625" customWidth="1"/>
    <col min="11277" max="11277" width="13.42578125" customWidth="1"/>
    <col min="11278" max="11278" width="12" customWidth="1"/>
    <col min="11279" max="11279" width="11.7109375" customWidth="1"/>
    <col min="11280" max="11280" width="9.42578125" customWidth="1"/>
    <col min="11281" max="11281" width="7.42578125" customWidth="1"/>
    <col min="11282" max="11283" width="11.7109375" customWidth="1"/>
    <col min="11284" max="11284" width="12.28515625" customWidth="1"/>
    <col min="11285" max="11285" width="9.42578125" customWidth="1"/>
    <col min="11286" max="11286" width="8.42578125" customWidth="1"/>
    <col min="11287" max="11287" width="10.85546875" customWidth="1"/>
    <col min="11288" max="11288" width="9.7109375" customWidth="1"/>
    <col min="11289" max="11289" width="11.42578125" customWidth="1"/>
    <col min="11290" max="11290" width="8.42578125" customWidth="1"/>
    <col min="11291" max="11291" width="10.28515625" customWidth="1"/>
    <col min="11292" max="11292" width="12.140625" customWidth="1"/>
    <col min="11293" max="11293" width="13.42578125" customWidth="1"/>
    <col min="11294" max="11294" width="12.140625" customWidth="1"/>
    <col min="11295" max="11295" width="9.42578125" customWidth="1"/>
    <col min="11296" max="11296" width="7.7109375" customWidth="1"/>
    <col min="11297" max="11297" width="10.7109375" customWidth="1"/>
    <col min="11298" max="11298" width="11" customWidth="1"/>
    <col min="11299" max="11299" width="12" customWidth="1"/>
    <col min="11300" max="11300" width="9.85546875" customWidth="1"/>
    <col min="11301" max="11301" width="7.7109375" customWidth="1"/>
    <col min="11302" max="11302" width="10.5703125" customWidth="1"/>
    <col min="11303" max="11303" width="12.42578125" customWidth="1"/>
    <col min="11304" max="11304" width="13.42578125" customWidth="1"/>
    <col min="11305" max="11305" width="9.42578125" customWidth="1"/>
    <col min="11306" max="11306" width="8.42578125" customWidth="1"/>
    <col min="11307" max="11310" width="10" customWidth="1"/>
    <col min="11311" max="11311" width="7.7109375" customWidth="1"/>
    <col min="11312" max="11314" width="11.28515625" customWidth="1"/>
    <col min="11315" max="11315" width="11.85546875" customWidth="1"/>
    <col min="11316" max="11316" width="9.28515625" bestFit="1" customWidth="1"/>
    <col min="11515" max="11515" width="26.140625" customWidth="1"/>
    <col min="11516" max="11516" width="7.42578125" customWidth="1"/>
    <col min="11517" max="11517" width="15.42578125" customWidth="1"/>
    <col min="11518" max="11518" width="11.42578125" customWidth="1"/>
    <col min="11519" max="11519" width="12.85546875" customWidth="1"/>
    <col min="11520" max="11520" width="13.42578125" customWidth="1"/>
    <col min="11521" max="11521" width="10.7109375" customWidth="1"/>
    <col min="11522" max="11522" width="7.85546875" customWidth="1"/>
    <col min="11523" max="11523" width="12.28515625" customWidth="1"/>
    <col min="11524" max="11525" width="10.140625" customWidth="1"/>
    <col min="11526" max="11526" width="9.5703125" customWidth="1"/>
    <col min="11527" max="11527" width="7.140625" customWidth="1"/>
    <col min="11528" max="11528" width="9.28515625" customWidth="1"/>
    <col min="11529" max="11529" width="10.42578125" customWidth="1"/>
    <col min="11530" max="11530" width="10.140625" customWidth="1"/>
    <col min="11531" max="11532" width="7.140625" customWidth="1"/>
    <col min="11533" max="11533" width="13.42578125" customWidth="1"/>
    <col min="11534" max="11534" width="12" customWidth="1"/>
    <col min="11535" max="11535" width="11.7109375" customWidth="1"/>
    <col min="11536" max="11536" width="9.42578125" customWidth="1"/>
    <col min="11537" max="11537" width="7.42578125" customWidth="1"/>
    <col min="11538" max="11539" width="11.7109375" customWidth="1"/>
    <col min="11540" max="11540" width="12.28515625" customWidth="1"/>
    <col min="11541" max="11541" width="9.42578125" customWidth="1"/>
    <col min="11542" max="11542" width="8.42578125" customWidth="1"/>
    <col min="11543" max="11543" width="10.85546875" customWidth="1"/>
    <col min="11544" max="11544" width="9.7109375" customWidth="1"/>
    <col min="11545" max="11545" width="11.42578125" customWidth="1"/>
    <col min="11546" max="11546" width="8.42578125" customWidth="1"/>
    <col min="11547" max="11547" width="10.28515625" customWidth="1"/>
    <col min="11548" max="11548" width="12.140625" customWidth="1"/>
    <col min="11549" max="11549" width="13.42578125" customWidth="1"/>
    <col min="11550" max="11550" width="12.140625" customWidth="1"/>
    <col min="11551" max="11551" width="9.42578125" customWidth="1"/>
    <col min="11552" max="11552" width="7.7109375" customWidth="1"/>
    <col min="11553" max="11553" width="10.7109375" customWidth="1"/>
    <col min="11554" max="11554" width="11" customWidth="1"/>
    <col min="11555" max="11555" width="12" customWidth="1"/>
    <col min="11556" max="11556" width="9.85546875" customWidth="1"/>
    <col min="11557" max="11557" width="7.7109375" customWidth="1"/>
    <col min="11558" max="11558" width="10.5703125" customWidth="1"/>
    <col min="11559" max="11559" width="12.42578125" customWidth="1"/>
    <col min="11560" max="11560" width="13.42578125" customWidth="1"/>
    <col min="11561" max="11561" width="9.42578125" customWidth="1"/>
    <col min="11562" max="11562" width="8.42578125" customWidth="1"/>
    <col min="11563" max="11566" width="10" customWidth="1"/>
    <col min="11567" max="11567" width="7.7109375" customWidth="1"/>
    <col min="11568" max="11570" width="11.28515625" customWidth="1"/>
    <col min="11571" max="11571" width="11.85546875" customWidth="1"/>
    <col min="11572" max="11572" width="9.28515625" bestFit="1" customWidth="1"/>
    <col min="11771" max="11771" width="26.140625" customWidth="1"/>
    <col min="11772" max="11772" width="7.42578125" customWidth="1"/>
    <col min="11773" max="11773" width="15.42578125" customWidth="1"/>
    <col min="11774" max="11774" width="11.42578125" customWidth="1"/>
    <col min="11775" max="11775" width="12.85546875" customWidth="1"/>
    <col min="11776" max="11776" width="13.42578125" customWidth="1"/>
    <col min="11777" max="11777" width="10.7109375" customWidth="1"/>
    <col min="11778" max="11778" width="7.85546875" customWidth="1"/>
    <col min="11779" max="11779" width="12.28515625" customWidth="1"/>
    <col min="11780" max="11781" width="10.140625" customWidth="1"/>
    <col min="11782" max="11782" width="9.5703125" customWidth="1"/>
    <col min="11783" max="11783" width="7.140625" customWidth="1"/>
    <col min="11784" max="11784" width="9.28515625" customWidth="1"/>
    <col min="11785" max="11785" width="10.42578125" customWidth="1"/>
    <col min="11786" max="11786" width="10.140625" customWidth="1"/>
    <col min="11787" max="11788" width="7.140625" customWidth="1"/>
    <col min="11789" max="11789" width="13.42578125" customWidth="1"/>
    <col min="11790" max="11790" width="12" customWidth="1"/>
    <col min="11791" max="11791" width="11.7109375" customWidth="1"/>
    <col min="11792" max="11792" width="9.42578125" customWidth="1"/>
    <col min="11793" max="11793" width="7.42578125" customWidth="1"/>
    <col min="11794" max="11795" width="11.7109375" customWidth="1"/>
    <col min="11796" max="11796" width="12.28515625" customWidth="1"/>
    <col min="11797" max="11797" width="9.42578125" customWidth="1"/>
    <col min="11798" max="11798" width="8.42578125" customWidth="1"/>
    <col min="11799" max="11799" width="10.85546875" customWidth="1"/>
    <col min="11800" max="11800" width="9.7109375" customWidth="1"/>
    <col min="11801" max="11801" width="11.42578125" customWidth="1"/>
    <col min="11802" max="11802" width="8.42578125" customWidth="1"/>
    <col min="11803" max="11803" width="10.28515625" customWidth="1"/>
    <col min="11804" max="11804" width="12.140625" customWidth="1"/>
    <col min="11805" max="11805" width="13.42578125" customWidth="1"/>
    <col min="11806" max="11806" width="12.140625" customWidth="1"/>
    <col min="11807" max="11807" width="9.42578125" customWidth="1"/>
    <col min="11808" max="11808" width="7.7109375" customWidth="1"/>
    <col min="11809" max="11809" width="10.7109375" customWidth="1"/>
    <col min="11810" max="11810" width="11" customWidth="1"/>
    <col min="11811" max="11811" width="12" customWidth="1"/>
    <col min="11812" max="11812" width="9.85546875" customWidth="1"/>
    <col min="11813" max="11813" width="7.7109375" customWidth="1"/>
    <col min="11814" max="11814" width="10.5703125" customWidth="1"/>
    <col min="11815" max="11815" width="12.42578125" customWidth="1"/>
    <col min="11816" max="11816" width="13.42578125" customWidth="1"/>
    <col min="11817" max="11817" width="9.42578125" customWidth="1"/>
    <col min="11818" max="11818" width="8.42578125" customWidth="1"/>
    <col min="11819" max="11822" width="10" customWidth="1"/>
    <col min="11823" max="11823" width="7.7109375" customWidth="1"/>
    <col min="11824" max="11826" width="11.28515625" customWidth="1"/>
    <col min="11827" max="11827" width="11.85546875" customWidth="1"/>
    <col min="11828" max="11828" width="9.28515625" bestFit="1" customWidth="1"/>
    <col min="12027" max="12027" width="26.140625" customWidth="1"/>
    <col min="12028" max="12028" width="7.42578125" customWidth="1"/>
    <col min="12029" max="12029" width="15.42578125" customWidth="1"/>
    <col min="12030" max="12030" width="11.42578125" customWidth="1"/>
    <col min="12031" max="12031" width="12.85546875" customWidth="1"/>
    <col min="12032" max="12032" width="13.42578125" customWidth="1"/>
    <col min="12033" max="12033" width="10.7109375" customWidth="1"/>
    <col min="12034" max="12034" width="7.85546875" customWidth="1"/>
    <col min="12035" max="12035" width="12.28515625" customWidth="1"/>
    <col min="12036" max="12037" width="10.140625" customWidth="1"/>
    <col min="12038" max="12038" width="9.5703125" customWidth="1"/>
    <col min="12039" max="12039" width="7.140625" customWidth="1"/>
    <col min="12040" max="12040" width="9.28515625" customWidth="1"/>
    <col min="12041" max="12041" width="10.42578125" customWidth="1"/>
    <col min="12042" max="12042" width="10.140625" customWidth="1"/>
    <col min="12043" max="12044" width="7.140625" customWidth="1"/>
    <col min="12045" max="12045" width="13.42578125" customWidth="1"/>
    <col min="12046" max="12046" width="12" customWidth="1"/>
    <col min="12047" max="12047" width="11.7109375" customWidth="1"/>
    <col min="12048" max="12048" width="9.42578125" customWidth="1"/>
    <col min="12049" max="12049" width="7.42578125" customWidth="1"/>
    <col min="12050" max="12051" width="11.7109375" customWidth="1"/>
    <col min="12052" max="12052" width="12.28515625" customWidth="1"/>
    <col min="12053" max="12053" width="9.42578125" customWidth="1"/>
    <col min="12054" max="12054" width="8.42578125" customWidth="1"/>
    <col min="12055" max="12055" width="10.85546875" customWidth="1"/>
    <col min="12056" max="12056" width="9.7109375" customWidth="1"/>
    <col min="12057" max="12057" width="11.42578125" customWidth="1"/>
    <col min="12058" max="12058" width="8.42578125" customWidth="1"/>
    <col min="12059" max="12059" width="10.28515625" customWidth="1"/>
    <col min="12060" max="12060" width="12.140625" customWidth="1"/>
    <col min="12061" max="12061" width="13.42578125" customWidth="1"/>
    <col min="12062" max="12062" width="12.140625" customWidth="1"/>
    <col min="12063" max="12063" width="9.42578125" customWidth="1"/>
    <col min="12064" max="12064" width="7.7109375" customWidth="1"/>
    <col min="12065" max="12065" width="10.7109375" customWidth="1"/>
    <col min="12066" max="12066" width="11" customWidth="1"/>
    <col min="12067" max="12067" width="12" customWidth="1"/>
    <col min="12068" max="12068" width="9.85546875" customWidth="1"/>
    <col min="12069" max="12069" width="7.7109375" customWidth="1"/>
    <col min="12070" max="12070" width="10.5703125" customWidth="1"/>
    <col min="12071" max="12071" width="12.42578125" customWidth="1"/>
    <col min="12072" max="12072" width="13.42578125" customWidth="1"/>
    <col min="12073" max="12073" width="9.42578125" customWidth="1"/>
    <col min="12074" max="12074" width="8.42578125" customWidth="1"/>
    <col min="12075" max="12078" width="10" customWidth="1"/>
    <col min="12079" max="12079" width="7.7109375" customWidth="1"/>
    <col min="12080" max="12082" width="11.28515625" customWidth="1"/>
    <col min="12083" max="12083" width="11.85546875" customWidth="1"/>
    <col min="12084" max="12084" width="9.28515625" bestFit="1" customWidth="1"/>
    <col min="12283" max="12283" width="26.140625" customWidth="1"/>
    <col min="12284" max="12284" width="7.42578125" customWidth="1"/>
    <col min="12285" max="12285" width="15.42578125" customWidth="1"/>
    <col min="12286" max="12286" width="11.42578125" customWidth="1"/>
    <col min="12287" max="12287" width="12.85546875" customWidth="1"/>
    <col min="12288" max="12288" width="13.42578125" customWidth="1"/>
    <col min="12289" max="12289" width="10.7109375" customWidth="1"/>
    <col min="12290" max="12290" width="7.85546875" customWidth="1"/>
    <col min="12291" max="12291" width="12.28515625" customWidth="1"/>
    <col min="12292" max="12293" width="10.140625" customWidth="1"/>
    <col min="12294" max="12294" width="9.5703125" customWidth="1"/>
    <col min="12295" max="12295" width="7.140625" customWidth="1"/>
    <col min="12296" max="12296" width="9.28515625" customWidth="1"/>
    <col min="12297" max="12297" width="10.42578125" customWidth="1"/>
    <col min="12298" max="12298" width="10.140625" customWidth="1"/>
    <col min="12299" max="12300" width="7.140625" customWidth="1"/>
    <col min="12301" max="12301" width="13.42578125" customWidth="1"/>
    <col min="12302" max="12302" width="12" customWidth="1"/>
    <col min="12303" max="12303" width="11.7109375" customWidth="1"/>
    <col min="12304" max="12304" width="9.42578125" customWidth="1"/>
    <col min="12305" max="12305" width="7.42578125" customWidth="1"/>
    <col min="12306" max="12307" width="11.7109375" customWidth="1"/>
    <col min="12308" max="12308" width="12.28515625" customWidth="1"/>
    <col min="12309" max="12309" width="9.42578125" customWidth="1"/>
    <col min="12310" max="12310" width="8.42578125" customWidth="1"/>
    <col min="12311" max="12311" width="10.85546875" customWidth="1"/>
    <col min="12312" max="12312" width="9.7109375" customWidth="1"/>
    <col min="12313" max="12313" width="11.42578125" customWidth="1"/>
    <col min="12314" max="12314" width="8.42578125" customWidth="1"/>
    <col min="12315" max="12315" width="10.28515625" customWidth="1"/>
    <col min="12316" max="12316" width="12.140625" customWidth="1"/>
    <col min="12317" max="12317" width="13.42578125" customWidth="1"/>
    <col min="12318" max="12318" width="12.140625" customWidth="1"/>
    <col min="12319" max="12319" width="9.42578125" customWidth="1"/>
    <col min="12320" max="12320" width="7.7109375" customWidth="1"/>
    <col min="12321" max="12321" width="10.7109375" customWidth="1"/>
    <col min="12322" max="12322" width="11" customWidth="1"/>
    <col min="12323" max="12323" width="12" customWidth="1"/>
    <col min="12324" max="12324" width="9.85546875" customWidth="1"/>
    <col min="12325" max="12325" width="7.7109375" customWidth="1"/>
    <col min="12326" max="12326" width="10.5703125" customWidth="1"/>
    <col min="12327" max="12327" width="12.42578125" customWidth="1"/>
    <col min="12328" max="12328" width="13.42578125" customWidth="1"/>
    <col min="12329" max="12329" width="9.42578125" customWidth="1"/>
    <col min="12330" max="12330" width="8.42578125" customWidth="1"/>
    <col min="12331" max="12334" width="10" customWidth="1"/>
    <col min="12335" max="12335" width="7.7109375" customWidth="1"/>
    <col min="12336" max="12338" width="11.28515625" customWidth="1"/>
    <col min="12339" max="12339" width="11.85546875" customWidth="1"/>
    <col min="12340" max="12340" width="9.28515625" bestFit="1" customWidth="1"/>
    <col min="12539" max="12539" width="26.140625" customWidth="1"/>
    <col min="12540" max="12540" width="7.42578125" customWidth="1"/>
    <col min="12541" max="12541" width="15.42578125" customWidth="1"/>
    <col min="12542" max="12542" width="11.42578125" customWidth="1"/>
    <col min="12543" max="12543" width="12.85546875" customWidth="1"/>
    <col min="12544" max="12544" width="13.42578125" customWidth="1"/>
    <col min="12545" max="12545" width="10.7109375" customWidth="1"/>
    <col min="12546" max="12546" width="7.85546875" customWidth="1"/>
    <col min="12547" max="12547" width="12.28515625" customWidth="1"/>
    <col min="12548" max="12549" width="10.140625" customWidth="1"/>
    <col min="12550" max="12550" width="9.5703125" customWidth="1"/>
    <col min="12551" max="12551" width="7.140625" customWidth="1"/>
    <col min="12552" max="12552" width="9.28515625" customWidth="1"/>
    <col min="12553" max="12553" width="10.42578125" customWidth="1"/>
    <col min="12554" max="12554" width="10.140625" customWidth="1"/>
    <col min="12555" max="12556" width="7.140625" customWidth="1"/>
    <col min="12557" max="12557" width="13.42578125" customWidth="1"/>
    <col min="12558" max="12558" width="12" customWidth="1"/>
    <col min="12559" max="12559" width="11.7109375" customWidth="1"/>
    <col min="12560" max="12560" width="9.42578125" customWidth="1"/>
    <col min="12561" max="12561" width="7.42578125" customWidth="1"/>
    <col min="12562" max="12563" width="11.7109375" customWidth="1"/>
    <col min="12564" max="12564" width="12.28515625" customWidth="1"/>
    <col min="12565" max="12565" width="9.42578125" customWidth="1"/>
    <col min="12566" max="12566" width="8.42578125" customWidth="1"/>
    <col min="12567" max="12567" width="10.85546875" customWidth="1"/>
    <col min="12568" max="12568" width="9.7109375" customWidth="1"/>
    <col min="12569" max="12569" width="11.42578125" customWidth="1"/>
    <col min="12570" max="12570" width="8.42578125" customWidth="1"/>
    <col min="12571" max="12571" width="10.28515625" customWidth="1"/>
    <col min="12572" max="12572" width="12.140625" customWidth="1"/>
    <col min="12573" max="12573" width="13.42578125" customWidth="1"/>
    <col min="12574" max="12574" width="12.140625" customWidth="1"/>
    <col min="12575" max="12575" width="9.42578125" customWidth="1"/>
    <col min="12576" max="12576" width="7.7109375" customWidth="1"/>
    <col min="12577" max="12577" width="10.7109375" customWidth="1"/>
    <col min="12578" max="12578" width="11" customWidth="1"/>
    <col min="12579" max="12579" width="12" customWidth="1"/>
    <col min="12580" max="12580" width="9.85546875" customWidth="1"/>
    <col min="12581" max="12581" width="7.7109375" customWidth="1"/>
    <col min="12582" max="12582" width="10.5703125" customWidth="1"/>
    <col min="12583" max="12583" width="12.42578125" customWidth="1"/>
    <col min="12584" max="12584" width="13.42578125" customWidth="1"/>
    <col min="12585" max="12585" width="9.42578125" customWidth="1"/>
    <col min="12586" max="12586" width="8.42578125" customWidth="1"/>
    <col min="12587" max="12590" width="10" customWidth="1"/>
    <col min="12591" max="12591" width="7.7109375" customWidth="1"/>
    <col min="12592" max="12594" width="11.28515625" customWidth="1"/>
    <col min="12595" max="12595" width="11.85546875" customWidth="1"/>
    <col min="12596" max="12596" width="9.28515625" bestFit="1" customWidth="1"/>
    <col min="12795" max="12795" width="26.140625" customWidth="1"/>
    <col min="12796" max="12796" width="7.42578125" customWidth="1"/>
    <col min="12797" max="12797" width="15.42578125" customWidth="1"/>
    <col min="12798" max="12798" width="11.42578125" customWidth="1"/>
    <col min="12799" max="12799" width="12.85546875" customWidth="1"/>
    <col min="12800" max="12800" width="13.42578125" customWidth="1"/>
    <col min="12801" max="12801" width="10.7109375" customWidth="1"/>
    <col min="12802" max="12802" width="7.85546875" customWidth="1"/>
    <col min="12803" max="12803" width="12.28515625" customWidth="1"/>
    <col min="12804" max="12805" width="10.140625" customWidth="1"/>
    <col min="12806" max="12806" width="9.5703125" customWidth="1"/>
    <col min="12807" max="12807" width="7.140625" customWidth="1"/>
    <col min="12808" max="12808" width="9.28515625" customWidth="1"/>
    <col min="12809" max="12809" width="10.42578125" customWidth="1"/>
    <col min="12810" max="12810" width="10.140625" customWidth="1"/>
    <col min="12811" max="12812" width="7.140625" customWidth="1"/>
    <col min="12813" max="12813" width="13.42578125" customWidth="1"/>
    <col min="12814" max="12814" width="12" customWidth="1"/>
    <col min="12815" max="12815" width="11.7109375" customWidth="1"/>
    <col min="12816" max="12816" width="9.42578125" customWidth="1"/>
    <col min="12817" max="12817" width="7.42578125" customWidth="1"/>
    <col min="12818" max="12819" width="11.7109375" customWidth="1"/>
    <col min="12820" max="12820" width="12.28515625" customWidth="1"/>
    <col min="12821" max="12821" width="9.42578125" customWidth="1"/>
    <col min="12822" max="12822" width="8.42578125" customWidth="1"/>
    <col min="12823" max="12823" width="10.85546875" customWidth="1"/>
    <col min="12824" max="12824" width="9.7109375" customWidth="1"/>
    <col min="12825" max="12825" width="11.42578125" customWidth="1"/>
    <col min="12826" max="12826" width="8.42578125" customWidth="1"/>
    <col min="12827" max="12827" width="10.28515625" customWidth="1"/>
    <col min="12828" max="12828" width="12.140625" customWidth="1"/>
    <col min="12829" max="12829" width="13.42578125" customWidth="1"/>
    <col min="12830" max="12830" width="12.140625" customWidth="1"/>
    <col min="12831" max="12831" width="9.42578125" customWidth="1"/>
    <col min="12832" max="12832" width="7.7109375" customWidth="1"/>
    <col min="12833" max="12833" width="10.7109375" customWidth="1"/>
    <col min="12834" max="12834" width="11" customWidth="1"/>
    <col min="12835" max="12835" width="12" customWidth="1"/>
    <col min="12836" max="12836" width="9.85546875" customWidth="1"/>
    <col min="12837" max="12837" width="7.7109375" customWidth="1"/>
    <col min="12838" max="12838" width="10.5703125" customWidth="1"/>
    <col min="12839" max="12839" width="12.42578125" customWidth="1"/>
    <col min="12840" max="12840" width="13.42578125" customWidth="1"/>
    <col min="12841" max="12841" width="9.42578125" customWidth="1"/>
    <col min="12842" max="12842" width="8.42578125" customWidth="1"/>
    <col min="12843" max="12846" width="10" customWidth="1"/>
    <col min="12847" max="12847" width="7.7109375" customWidth="1"/>
    <col min="12848" max="12850" width="11.28515625" customWidth="1"/>
    <col min="12851" max="12851" width="11.85546875" customWidth="1"/>
    <col min="12852" max="12852" width="9.28515625" bestFit="1" customWidth="1"/>
    <col min="13051" max="13051" width="26.140625" customWidth="1"/>
    <col min="13052" max="13052" width="7.42578125" customWidth="1"/>
    <col min="13053" max="13053" width="15.42578125" customWidth="1"/>
    <col min="13054" max="13054" width="11.42578125" customWidth="1"/>
    <col min="13055" max="13055" width="12.85546875" customWidth="1"/>
    <col min="13056" max="13056" width="13.42578125" customWidth="1"/>
    <col min="13057" max="13057" width="10.7109375" customWidth="1"/>
    <col min="13058" max="13058" width="7.85546875" customWidth="1"/>
    <col min="13059" max="13059" width="12.28515625" customWidth="1"/>
    <col min="13060" max="13061" width="10.140625" customWidth="1"/>
    <col min="13062" max="13062" width="9.5703125" customWidth="1"/>
    <col min="13063" max="13063" width="7.140625" customWidth="1"/>
    <col min="13064" max="13064" width="9.28515625" customWidth="1"/>
    <col min="13065" max="13065" width="10.42578125" customWidth="1"/>
    <col min="13066" max="13066" width="10.140625" customWidth="1"/>
    <col min="13067" max="13068" width="7.140625" customWidth="1"/>
    <col min="13069" max="13069" width="13.42578125" customWidth="1"/>
    <col min="13070" max="13070" width="12" customWidth="1"/>
    <col min="13071" max="13071" width="11.7109375" customWidth="1"/>
    <col min="13072" max="13072" width="9.42578125" customWidth="1"/>
    <col min="13073" max="13073" width="7.42578125" customWidth="1"/>
    <col min="13074" max="13075" width="11.7109375" customWidth="1"/>
    <col min="13076" max="13076" width="12.28515625" customWidth="1"/>
    <col min="13077" max="13077" width="9.42578125" customWidth="1"/>
    <col min="13078" max="13078" width="8.42578125" customWidth="1"/>
    <col min="13079" max="13079" width="10.85546875" customWidth="1"/>
    <col min="13080" max="13080" width="9.7109375" customWidth="1"/>
    <col min="13081" max="13081" width="11.42578125" customWidth="1"/>
    <col min="13082" max="13082" width="8.42578125" customWidth="1"/>
    <col min="13083" max="13083" width="10.28515625" customWidth="1"/>
    <col min="13084" max="13084" width="12.140625" customWidth="1"/>
    <col min="13085" max="13085" width="13.42578125" customWidth="1"/>
    <col min="13086" max="13086" width="12.140625" customWidth="1"/>
    <col min="13087" max="13087" width="9.42578125" customWidth="1"/>
    <col min="13088" max="13088" width="7.7109375" customWidth="1"/>
    <col min="13089" max="13089" width="10.7109375" customWidth="1"/>
    <col min="13090" max="13090" width="11" customWidth="1"/>
    <col min="13091" max="13091" width="12" customWidth="1"/>
    <col min="13092" max="13092" width="9.85546875" customWidth="1"/>
    <col min="13093" max="13093" width="7.7109375" customWidth="1"/>
    <col min="13094" max="13094" width="10.5703125" customWidth="1"/>
    <col min="13095" max="13095" width="12.42578125" customWidth="1"/>
    <col min="13096" max="13096" width="13.42578125" customWidth="1"/>
    <col min="13097" max="13097" width="9.42578125" customWidth="1"/>
    <col min="13098" max="13098" width="8.42578125" customWidth="1"/>
    <col min="13099" max="13102" width="10" customWidth="1"/>
    <col min="13103" max="13103" width="7.7109375" customWidth="1"/>
    <col min="13104" max="13106" width="11.28515625" customWidth="1"/>
    <col min="13107" max="13107" width="11.85546875" customWidth="1"/>
    <col min="13108" max="13108" width="9.28515625" bestFit="1" customWidth="1"/>
    <col min="13307" max="13307" width="26.140625" customWidth="1"/>
    <col min="13308" max="13308" width="7.42578125" customWidth="1"/>
    <col min="13309" max="13309" width="15.42578125" customWidth="1"/>
    <col min="13310" max="13310" width="11.42578125" customWidth="1"/>
    <col min="13311" max="13311" width="12.85546875" customWidth="1"/>
    <col min="13312" max="13312" width="13.42578125" customWidth="1"/>
    <col min="13313" max="13313" width="10.7109375" customWidth="1"/>
    <col min="13314" max="13314" width="7.85546875" customWidth="1"/>
    <col min="13315" max="13315" width="12.28515625" customWidth="1"/>
    <col min="13316" max="13317" width="10.140625" customWidth="1"/>
    <col min="13318" max="13318" width="9.5703125" customWidth="1"/>
    <col min="13319" max="13319" width="7.140625" customWidth="1"/>
    <col min="13320" max="13320" width="9.28515625" customWidth="1"/>
    <col min="13321" max="13321" width="10.42578125" customWidth="1"/>
    <col min="13322" max="13322" width="10.140625" customWidth="1"/>
    <col min="13323" max="13324" width="7.140625" customWidth="1"/>
    <col min="13325" max="13325" width="13.42578125" customWidth="1"/>
    <col min="13326" max="13326" width="12" customWidth="1"/>
    <col min="13327" max="13327" width="11.7109375" customWidth="1"/>
    <col min="13328" max="13328" width="9.42578125" customWidth="1"/>
    <col min="13329" max="13329" width="7.42578125" customWidth="1"/>
    <col min="13330" max="13331" width="11.7109375" customWidth="1"/>
    <col min="13332" max="13332" width="12.28515625" customWidth="1"/>
    <col min="13333" max="13333" width="9.42578125" customWidth="1"/>
    <col min="13334" max="13334" width="8.42578125" customWidth="1"/>
    <col min="13335" max="13335" width="10.85546875" customWidth="1"/>
    <col min="13336" max="13336" width="9.7109375" customWidth="1"/>
    <col min="13337" max="13337" width="11.42578125" customWidth="1"/>
    <col min="13338" max="13338" width="8.42578125" customWidth="1"/>
    <col min="13339" max="13339" width="10.28515625" customWidth="1"/>
    <col min="13340" max="13340" width="12.140625" customWidth="1"/>
    <col min="13341" max="13341" width="13.42578125" customWidth="1"/>
    <col min="13342" max="13342" width="12.140625" customWidth="1"/>
    <col min="13343" max="13343" width="9.42578125" customWidth="1"/>
    <col min="13344" max="13344" width="7.7109375" customWidth="1"/>
    <col min="13345" max="13345" width="10.7109375" customWidth="1"/>
    <col min="13346" max="13346" width="11" customWidth="1"/>
    <col min="13347" max="13347" width="12" customWidth="1"/>
    <col min="13348" max="13348" width="9.85546875" customWidth="1"/>
    <col min="13349" max="13349" width="7.7109375" customWidth="1"/>
    <col min="13350" max="13350" width="10.5703125" customWidth="1"/>
    <col min="13351" max="13351" width="12.42578125" customWidth="1"/>
    <col min="13352" max="13352" width="13.42578125" customWidth="1"/>
    <col min="13353" max="13353" width="9.42578125" customWidth="1"/>
    <col min="13354" max="13354" width="8.42578125" customWidth="1"/>
    <col min="13355" max="13358" width="10" customWidth="1"/>
    <col min="13359" max="13359" width="7.7109375" customWidth="1"/>
    <col min="13360" max="13362" width="11.28515625" customWidth="1"/>
    <col min="13363" max="13363" width="11.85546875" customWidth="1"/>
    <col min="13364" max="13364" width="9.28515625" bestFit="1" customWidth="1"/>
    <col min="13563" max="13563" width="26.140625" customWidth="1"/>
    <col min="13564" max="13564" width="7.42578125" customWidth="1"/>
    <col min="13565" max="13565" width="15.42578125" customWidth="1"/>
    <col min="13566" max="13566" width="11.42578125" customWidth="1"/>
    <col min="13567" max="13567" width="12.85546875" customWidth="1"/>
    <col min="13568" max="13568" width="13.42578125" customWidth="1"/>
    <col min="13569" max="13569" width="10.7109375" customWidth="1"/>
    <col min="13570" max="13570" width="7.85546875" customWidth="1"/>
    <col min="13571" max="13571" width="12.28515625" customWidth="1"/>
    <col min="13572" max="13573" width="10.140625" customWidth="1"/>
    <col min="13574" max="13574" width="9.5703125" customWidth="1"/>
    <col min="13575" max="13575" width="7.140625" customWidth="1"/>
    <col min="13576" max="13576" width="9.28515625" customWidth="1"/>
    <col min="13577" max="13577" width="10.42578125" customWidth="1"/>
    <col min="13578" max="13578" width="10.140625" customWidth="1"/>
    <col min="13579" max="13580" width="7.140625" customWidth="1"/>
    <col min="13581" max="13581" width="13.42578125" customWidth="1"/>
    <col min="13582" max="13582" width="12" customWidth="1"/>
    <col min="13583" max="13583" width="11.7109375" customWidth="1"/>
    <col min="13584" max="13584" width="9.42578125" customWidth="1"/>
    <col min="13585" max="13585" width="7.42578125" customWidth="1"/>
    <col min="13586" max="13587" width="11.7109375" customWidth="1"/>
    <col min="13588" max="13588" width="12.28515625" customWidth="1"/>
    <col min="13589" max="13589" width="9.42578125" customWidth="1"/>
    <col min="13590" max="13590" width="8.42578125" customWidth="1"/>
    <col min="13591" max="13591" width="10.85546875" customWidth="1"/>
    <col min="13592" max="13592" width="9.7109375" customWidth="1"/>
    <col min="13593" max="13593" width="11.42578125" customWidth="1"/>
    <col min="13594" max="13594" width="8.42578125" customWidth="1"/>
    <col min="13595" max="13595" width="10.28515625" customWidth="1"/>
    <col min="13596" max="13596" width="12.140625" customWidth="1"/>
    <col min="13597" max="13597" width="13.42578125" customWidth="1"/>
    <col min="13598" max="13598" width="12.140625" customWidth="1"/>
    <col min="13599" max="13599" width="9.42578125" customWidth="1"/>
    <col min="13600" max="13600" width="7.7109375" customWidth="1"/>
    <col min="13601" max="13601" width="10.7109375" customWidth="1"/>
    <col min="13602" max="13602" width="11" customWidth="1"/>
    <col min="13603" max="13603" width="12" customWidth="1"/>
    <col min="13604" max="13604" width="9.85546875" customWidth="1"/>
    <col min="13605" max="13605" width="7.7109375" customWidth="1"/>
    <col min="13606" max="13606" width="10.5703125" customWidth="1"/>
    <col min="13607" max="13607" width="12.42578125" customWidth="1"/>
    <col min="13608" max="13608" width="13.42578125" customWidth="1"/>
    <col min="13609" max="13609" width="9.42578125" customWidth="1"/>
    <col min="13610" max="13610" width="8.42578125" customWidth="1"/>
    <col min="13611" max="13614" width="10" customWidth="1"/>
    <col min="13615" max="13615" width="7.7109375" customWidth="1"/>
    <col min="13616" max="13618" width="11.28515625" customWidth="1"/>
    <col min="13619" max="13619" width="11.85546875" customWidth="1"/>
    <col min="13620" max="13620" width="9.28515625" bestFit="1" customWidth="1"/>
    <col min="13819" max="13819" width="26.140625" customWidth="1"/>
    <col min="13820" max="13820" width="7.42578125" customWidth="1"/>
    <col min="13821" max="13821" width="15.42578125" customWidth="1"/>
    <col min="13822" max="13822" width="11.42578125" customWidth="1"/>
    <col min="13823" max="13823" width="12.85546875" customWidth="1"/>
    <col min="13824" max="13824" width="13.42578125" customWidth="1"/>
    <col min="13825" max="13825" width="10.7109375" customWidth="1"/>
    <col min="13826" max="13826" width="7.85546875" customWidth="1"/>
    <col min="13827" max="13827" width="12.28515625" customWidth="1"/>
    <col min="13828" max="13829" width="10.140625" customWidth="1"/>
    <col min="13830" max="13830" width="9.5703125" customWidth="1"/>
    <col min="13831" max="13831" width="7.140625" customWidth="1"/>
    <col min="13832" max="13832" width="9.28515625" customWidth="1"/>
    <col min="13833" max="13833" width="10.42578125" customWidth="1"/>
    <col min="13834" max="13834" width="10.140625" customWidth="1"/>
    <col min="13835" max="13836" width="7.140625" customWidth="1"/>
    <col min="13837" max="13837" width="13.42578125" customWidth="1"/>
    <col min="13838" max="13838" width="12" customWidth="1"/>
    <col min="13839" max="13839" width="11.7109375" customWidth="1"/>
    <col min="13840" max="13840" width="9.42578125" customWidth="1"/>
    <col min="13841" max="13841" width="7.42578125" customWidth="1"/>
    <col min="13842" max="13843" width="11.7109375" customWidth="1"/>
    <col min="13844" max="13844" width="12.28515625" customWidth="1"/>
    <col min="13845" max="13845" width="9.42578125" customWidth="1"/>
    <col min="13846" max="13846" width="8.42578125" customWidth="1"/>
    <col min="13847" max="13847" width="10.85546875" customWidth="1"/>
    <col min="13848" max="13848" width="9.7109375" customWidth="1"/>
    <col min="13849" max="13849" width="11.42578125" customWidth="1"/>
    <col min="13850" max="13850" width="8.42578125" customWidth="1"/>
    <col min="13851" max="13851" width="10.28515625" customWidth="1"/>
    <col min="13852" max="13852" width="12.140625" customWidth="1"/>
    <col min="13853" max="13853" width="13.42578125" customWidth="1"/>
    <col min="13854" max="13854" width="12.140625" customWidth="1"/>
    <col min="13855" max="13855" width="9.42578125" customWidth="1"/>
    <col min="13856" max="13856" width="7.7109375" customWidth="1"/>
    <col min="13857" max="13857" width="10.7109375" customWidth="1"/>
    <col min="13858" max="13858" width="11" customWidth="1"/>
    <col min="13859" max="13859" width="12" customWidth="1"/>
    <col min="13860" max="13860" width="9.85546875" customWidth="1"/>
    <col min="13861" max="13861" width="7.7109375" customWidth="1"/>
    <col min="13862" max="13862" width="10.5703125" customWidth="1"/>
    <col min="13863" max="13863" width="12.42578125" customWidth="1"/>
    <col min="13864" max="13864" width="13.42578125" customWidth="1"/>
    <col min="13865" max="13865" width="9.42578125" customWidth="1"/>
    <col min="13866" max="13866" width="8.42578125" customWidth="1"/>
    <col min="13867" max="13870" width="10" customWidth="1"/>
    <col min="13871" max="13871" width="7.7109375" customWidth="1"/>
    <col min="13872" max="13874" width="11.28515625" customWidth="1"/>
    <col min="13875" max="13875" width="11.85546875" customWidth="1"/>
    <col min="13876" max="13876" width="9.28515625" bestFit="1" customWidth="1"/>
    <col min="14075" max="14075" width="26.140625" customWidth="1"/>
    <col min="14076" max="14076" width="7.42578125" customWidth="1"/>
    <col min="14077" max="14077" width="15.42578125" customWidth="1"/>
    <col min="14078" max="14078" width="11.42578125" customWidth="1"/>
    <col min="14079" max="14079" width="12.85546875" customWidth="1"/>
    <col min="14080" max="14080" width="13.42578125" customWidth="1"/>
    <col min="14081" max="14081" width="10.7109375" customWidth="1"/>
    <col min="14082" max="14082" width="7.85546875" customWidth="1"/>
    <col min="14083" max="14083" width="12.28515625" customWidth="1"/>
    <col min="14084" max="14085" width="10.140625" customWidth="1"/>
    <col min="14086" max="14086" width="9.5703125" customWidth="1"/>
    <col min="14087" max="14087" width="7.140625" customWidth="1"/>
    <col min="14088" max="14088" width="9.28515625" customWidth="1"/>
    <col min="14089" max="14089" width="10.42578125" customWidth="1"/>
    <col min="14090" max="14090" width="10.140625" customWidth="1"/>
    <col min="14091" max="14092" width="7.140625" customWidth="1"/>
    <col min="14093" max="14093" width="13.42578125" customWidth="1"/>
    <col min="14094" max="14094" width="12" customWidth="1"/>
    <col min="14095" max="14095" width="11.7109375" customWidth="1"/>
    <col min="14096" max="14096" width="9.42578125" customWidth="1"/>
    <col min="14097" max="14097" width="7.42578125" customWidth="1"/>
    <col min="14098" max="14099" width="11.7109375" customWidth="1"/>
    <col min="14100" max="14100" width="12.28515625" customWidth="1"/>
    <col min="14101" max="14101" width="9.42578125" customWidth="1"/>
    <col min="14102" max="14102" width="8.42578125" customWidth="1"/>
    <col min="14103" max="14103" width="10.85546875" customWidth="1"/>
    <col min="14104" max="14104" width="9.7109375" customWidth="1"/>
    <col min="14105" max="14105" width="11.42578125" customWidth="1"/>
    <col min="14106" max="14106" width="8.42578125" customWidth="1"/>
    <col min="14107" max="14107" width="10.28515625" customWidth="1"/>
    <col min="14108" max="14108" width="12.140625" customWidth="1"/>
    <col min="14109" max="14109" width="13.42578125" customWidth="1"/>
    <col min="14110" max="14110" width="12.140625" customWidth="1"/>
    <col min="14111" max="14111" width="9.42578125" customWidth="1"/>
    <col min="14112" max="14112" width="7.7109375" customWidth="1"/>
    <col min="14113" max="14113" width="10.7109375" customWidth="1"/>
    <col min="14114" max="14114" width="11" customWidth="1"/>
    <col min="14115" max="14115" width="12" customWidth="1"/>
    <col min="14116" max="14116" width="9.85546875" customWidth="1"/>
    <col min="14117" max="14117" width="7.7109375" customWidth="1"/>
    <col min="14118" max="14118" width="10.5703125" customWidth="1"/>
    <col min="14119" max="14119" width="12.42578125" customWidth="1"/>
    <col min="14120" max="14120" width="13.42578125" customWidth="1"/>
    <col min="14121" max="14121" width="9.42578125" customWidth="1"/>
    <col min="14122" max="14122" width="8.42578125" customWidth="1"/>
    <col min="14123" max="14126" width="10" customWidth="1"/>
    <col min="14127" max="14127" width="7.7109375" customWidth="1"/>
    <col min="14128" max="14130" width="11.28515625" customWidth="1"/>
    <col min="14131" max="14131" width="11.85546875" customWidth="1"/>
    <col min="14132" max="14132" width="9.28515625" bestFit="1" customWidth="1"/>
    <col min="14331" max="14331" width="26.140625" customWidth="1"/>
    <col min="14332" max="14332" width="7.42578125" customWidth="1"/>
    <col min="14333" max="14333" width="15.42578125" customWidth="1"/>
    <col min="14334" max="14334" width="11.42578125" customWidth="1"/>
    <col min="14335" max="14335" width="12.85546875" customWidth="1"/>
    <col min="14336" max="14336" width="13.42578125" customWidth="1"/>
    <col min="14337" max="14337" width="10.7109375" customWidth="1"/>
    <col min="14338" max="14338" width="7.85546875" customWidth="1"/>
    <col min="14339" max="14339" width="12.28515625" customWidth="1"/>
    <col min="14340" max="14341" width="10.140625" customWidth="1"/>
    <col min="14342" max="14342" width="9.5703125" customWidth="1"/>
    <col min="14343" max="14343" width="7.140625" customWidth="1"/>
    <col min="14344" max="14344" width="9.28515625" customWidth="1"/>
    <col min="14345" max="14345" width="10.42578125" customWidth="1"/>
    <col min="14346" max="14346" width="10.140625" customWidth="1"/>
    <col min="14347" max="14348" width="7.140625" customWidth="1"/>
    <col min="14349" max="14349" width="13.42578125" customWidth="1"/>
    <col min="14350" max="14350" width="12" customWidth="1"/>
    <col min="14351" max="14351" width="11.7109375" customWidth="1"/>
    <col min="14352" max="14352" width="9.42578125" customWidth="1"/>
    <col min="14353" max="14353" width="7.42578125" customWidth="1"/>
    <col min="14354" max="14355" width="11.7109375" customWidth="1"/>
    <col min="14356" max="14356" width="12.28515625" customWidth="1"/>
    <col min="14357" max="14357" width="9.42578125" customWidth="1"/>
    <col min="14358" max="14358" width="8.42578125" customWidth="1"/>
    <col min="14359" max="14359" width="10.85546875" customWidth="1"/>
    <col min="14360" max="14360" width="9.7109375" customWidth="1"/>
    <col min="14361" max="14361" width="11.42578125" customWidth="1"/>
    <col min="14362" max="14362" width="8.42578125" customWidth="1"/>
    <col min="14363" max="14363" width="10.28515625" customWidth="1"/>
    <col min="14364" max="14364" width="12.140625" customWidth="1"/>
    <col min="14365" max="14365" width="13.42578125" customWidth="1"/>
    <col min="14366" max="14366" width="12.140625" customWidth="1"/>
    <col min="14367" max="14367" width="9.42578125" customWidth="1"/>
    <col min="14368" max="14368" width="7.7109375" customWidth="1"/>
    <col min="14369" max="14369" width="10.7109375" customWidth="1"/>
    <col min="14370" max="14370" width="11" customWidth="1"/>
    <col min="14371" max="14371" width="12" customWidth="1"/>
    <col min="14372" max="14372" width="9.85546875" customWidth="1"/>
    <col min="14373" max="14373" width="7.7109375" customWidth="1"/>
    <col min="14374" max="14374" width="10.5703125" customWidth="1"/>
    <col min="14375" max="14375" width="12.42578125" customWidth="1"/>
    <col min="14376" max="14376" width="13.42578125" customWidth="1"/>
    <col min="14377" max="14377" width="9.42578125" customWidth="1"/>
    <col min="14378" max="14378" width="8.42578125" customWidth="1"/>
    <col min="14379" max="14382" width="10" customWidth="1"/>
    <col min="14383" max="14383" width="7.7109375" customWidth="1"/>
    <col min="14384" max="14386" width="11.28515625" customWidth="1"/>
    <col min="14387" max="14387" width="11.85546875" customWidth="1"/>
    <col min="14388" max="14388" width="9.28515625" bestFit="1" customWidth="1"/>
    <col min="14587" max="14587" width="26.140625" customWidth="1"/>
    <col min="14588" max="14588" width="7.42578125" customWidth="1"/>
    <col min="14589" max="14589" width="15.42578125" customWidth="1"/>
    <col min="14590" max="14590" width="11.42578125" customWidth="1"/>
    <col min="14591" max="14591" width="12.85546875" customWidth="1"/>
    <col min="14592" max="14592" width="13.42578125" customWidth="1"/>
    <col min="14593" max="14593" width="10.7109375" customWidth="1"/>
    <col min="14594" max="14594" width="7.85546875" customWidth="1"/>
    <col min="14595" max="14595" width="12.28515625" customWidth="1"/>
    <col min="14596" max="14597" width="10.140625" customWidth="1"/>
    <col min="14598" max="14598" width="9.5703125" customWidth="1"/>
    <col min="14599" max="14599" width="7.140625" customWidth="1"/>
    <col min="14600" max="14600" width="9.28515625" customWidth="1"/>
    <col min="14601" max="14601" width="10.42578125" customWidth="1"/>
    <col min="14602" max="14602" width="10.140625" customWidth="1"/>
    <col min="14603" max="14604" width="7.140625" customWidth="1"/>
    <col min="14605" max="14605" width="13.42578125" customWidth="1"/>
    <col min="14606" max="14606" width="12" customWidth="1"/>
    <col min="14607" max="14607" width="11.7109375" customWidth="1"/>
    <col min="14608" max="14608" width="9.42578125" customWidth="1"/>
    <col min="14609" max="14609" width="7.42578125" customWidth="1"/>
    <col min="14610" max="14611" width="11.7109375" customWidth="1"/>
    <col min="14612" max="14612" width="12.28515625" customWidth="1"/>
    <col min="14613" max="14613" width="9.42578125" customWidth="1"/>
    <col min="14614" max="14614" width="8.42578125" customWidth="1"/>
    <col min="14615" max="14615" width="10.85546875" customWidth="1"/>
    <col min="14616" max="14616" width="9.7109375" customWidth="1"/>
    <col min="14617" max="14617" width="11.42578125" customWidth="1"/>
    <col min="14618" max="14618" width="8.42578125" customWidth="1"/>
    <col min="14619" max="14619" width="10.28515625" customWidth="1"/>
    <col min="14620" max="14620" width="12.140625" customWidth="1"/>
    <col min="14621" max="14621" width="13.42578125" customWidth="1"/>
    <col min="14622" max="14622" width="12.140625" customWidth="1"/>
    <col min="14623" max="14623" width="9.42578125" customWidth="1"/>
    <col min="14624" max="14624" width="7.7109375" customWidth="1"/>
    <col min="14625" max="14625" width="10.7109375" customWidth="1"/>
    <col min="14626" max="14626" width="11" customWidth="1"/>
    <col min="14627" max="14627" width="12" customWidth="1"/>
    <col min="14628" max="14628" width="9.85546875" customWidth="1"/>
    <col min="14629" max="14629" width="7.7109375" customWidth="1"/>
    <col min="14630" max="14630" width="10.5703125" customWidth="1"/>
    <col min="14631" max="14631" width="12.42578125" customWidth="1"/>
    <col min="14632" max="14632" width="13.42578125" customWidth="1"/>
    <col min="14633" max="14633" width="9.42578125" customWidth="1"/>
    <col min="14634" max="14634" width="8.42578125" customWidth="1"/>
    <col min="14635" max="14638" width="10" customWidth="1"/>
    <col min="14639" max="14639" width="7.7109375" customWidth="1"/>
    <col min="14640" max="14642" width="11.28515625" customWidth="1"/>
    <col min="14643" max="14643" width="11.85546875" customWidth="1"/>
    <col min="14644" max="14644" width="9.28515625" bestFit="1" customWidth="1"/>
    <col min="14843" max="14843" width="26.140625" customWidth="1"/>
    <col min="14844" max="14844" width="7.42578125" customWidth="1"/>
    <col min="14845" max="14845" width="15.42578125" customWidth="1"/>
    <col min="14846" max="14846" width="11.42578125" customWidth="1"/>
    <col min="14847" max="14847" width="12.85546875" customWidth="1"/>
    <col min="14848" max="14848" width="13.42578125" customWidth="1"/>
    <col min="14849" max="14849" width="10.7109375" customWidth="1"/>
    <col min="14850" max="14850" width="7.85546875" customWidth="1"/>
    <col min="14851" max="14851" width="12.28515625" customWidth="1"/>
    <col min="14852" max="14853" width="10.140625" customWidth="1"/>
    <col min="14854" max="14854" width="9.5703125" customWidth="1"/>
    <col min="14855" max="14855" width="7.140625" customWidth="1"/>
    <col min="14856" max="14856" width="9.28515625" customWidth="1"/>
    <col min="14857" max="14857" width="10.42578125" customWidth="1"/>
    <col min="14858" max="14858" width="10.140625" customWidth="1"/>
    <col min="14859" max="14860" width="7.140625" customWidth="1"/>
    <col min="14861" max="14861" width="13.42578125" customWidth="1"/>
    <col min="14862" max="14862" width="12" customWidth="1"/>
    <col min="14863" max="14863" width="11.7109375" customWidth="1"/>
    <col min="14864" max="14864" width="9.42578125" customWidth="1"/>
    <col min="14865" max="14865" width="7.42578125" customWidth="1"/>
    <col min="14866" max="14867" width="11.7109375" customWidth="1"/>
    <col min="14868" max="14868" width="12.28515625" customWidth="1"/>
    <col min="14869" max="14869" width="9.42578125" customWidth="1"/>
    <col min="14870" max="14870" width="8.42578125" customWidth="1"/>
    <col min="14871" max="14871" width="10.85546875" customWidth="1"/>
    <col min="14872" max="14872" width="9.7109375" customWidth="1"/>
    <col min="14873" max="14873" width="11.42578125" customWidth="1"/>
    <col min="14874" max="14874" width="8.42578125" customWidth="1"/>
    <col min="14875" max="14875" width="10.28515625" customWidth="1"/>
    <col min="14876" max="14876" width="12.140625" customWidth="1"/>
    <col min="14877" max="14877" width="13.42578125" customWidth="1"/>
    <col min="14878" max="14878" width="12.140625" customWidth="1"/>
    <col min="14879" max="14879" width="9.42578125" customWidth="1"/>
    <col min="14880" max="14880" width="7.7109375" customWidth="1"/>
    <col min="14881" max="14881" width="10.7109375" customWidth="1"/>
    <col min="14882" max="14882" width="11" customWidth="1"/>
    <col min="14883" max="14883" width="12" customWidth="1"/>
    <col min="14884" max="14884" width="9.85546875" customWidth="1"/>
    <col min="14885" max="14885" width="7.7109375" customWidth="1"/>
    <col min="14886" max="14886" width="10.5703125" customWidth="1"/>
    <col min="14887" max="14887" width="12.42578125" customWidth="1"/>
    <col min="14888" max="14888" width="13.42578125" customWidth="1"/>
    <col min="14889" max="14889" width="9.42578125" customWidth="1"/>
    <col min="14890" max="14890" width="8.42578125" customWidth="1"/>
    <col min="14891" max="14894" width="10" customWidth="1"/>
    <col min="14895" max="14895" width="7.7109375" customWidth="1"/>
    <col min="14896" max="14898" width="11.28515625" customWidth="1"/>
    <col min="14899" max="14899" width="11.85546875" customWidth="1"/>
    <col min="14900" max="14900" width="9.28515625" bestFit="1" customWidth="1"/>
    <col min="15099" max="15099" width="26.140625" customWidth="1"/>
    <col min="15100" max="15100" width="7.42578125" customWidth="1"/>
    <col min="15101" max="15101" width="15.42578125" customWidth="1"/>
    <col min="15102" max="15102" width="11.42578125" customWidth="1"/>
    <col min="15103" max="15103" width="12.85546875" customWidth="1"/>
    <col min="15104" max="15104" width="13.42578125" customWidth="1"/>
    <col min="15105" max="15105" width="10.7109375" customWidth="1"/>
    <col min="15106" max="15106" width="7.85546875" customWidth="1"/>
    <col min="15107" max="15107" width="12.28515625" customWidth="1"/>
    <col min="15108" max="15109" width="10.140625" customWidth="1"/>
    <col min="15110" max="15110" width="9.5703125" customWidth="1"/>
    <col min="15111" max="15111" width="7.140625" customWidth="1"/>
    <col min="15112" max="15112" width="9.28515625" customWidth="1"/>
    <col min="15113" max="15113" width="10.42578125" customWidth="1"/>
    <col min="15114" max="15114" width="10.140625" customWidth="1"/>
    <col min="15115" max="15116" width="7.140625" customWidth="1"/>
    <col min="15117" max="15117" width="13.42578125" customWidth="1"/>
    <col min="15118" max="15118" width="12" customWidth="1"/>
    <col min="15119" max="15119" width="11.7109375" customWidth="1"/>
    <col min="15120" max="15120" width="9.42578125" customWidth="1"/>
    <col min="15121" max="15121" width="7.42578125" customWidth="1"/>
    <col min="15122" max="15123" width="11.7109375" customWidth="1"/>
    <col min="15124" max="15124" width="12.28515625" customWidth="1"/>
    <col min="15125" max="15125" width="9.42578125" customWidth="1"/>
    <col min="15126" max="15126" width="8.42578125" customWidth="1"/>
    <col min="15127" max="15127" width="10.85546875" customWidth="1"/>
    <col min="15128" max="15128" width="9.7109375" customWidth="1"/>
    <col min="15129" max="15129" width="11.42578125" customWidth="1"/>
    <col min="15130" max="15130" width="8.42578125" customWidth="1"/>
    <col min="15131" max="15131" width="10.28515625" customWidth="1"/>
    <col min="15132" max="15132" width="12.140625" customWidth="1"/>
    <col min="15133" max="15133" width="13.42578125" customWidth="1"/>
    <col min="15134" max="15134" width="12.140625" customWidth="1"/>
    <col min="15135" max="15135" width="9.42578125" customWidth="1"/>
    <col min="15136" max="15136" width="7.7109375" customWidth="1"/>
    <col min="15137" max="15137" width="10.7109375" customWidth="1"/>
    <col min="15138" max="15138" width="11" customWidth="1"/>
    <col min="15139" max="15139" width="12" customWidth="1"/>
    <col min="15140" max="15140" width="9.85546875" customWidth="1"/>
    <col min="15141" max="15141" width="7.7109375" customWidth="1"/>
    <col min="15142" max="15142" width="10.5703125" customWidth="1"/>
    <col min="15143" max="15143" width="12.42578125" customWidth="1"/>
    <col min="15144" max="15144" width="13.42578125" customWidth="1"/>
    <col min="15145" max="15145" width="9.42578125" customWidth="1"/>
    <col min="15146" max="15146" width="8.42578125" customWidth="1"/>
    <col min="15147" max="15150" width="10" customWidth="1"/>
    <col min="15151" max="15151" width="7.7109375" customWidth="1"/>
    <col min="15152" max="15154" width="11.28515625" customWidth="1"/>
    <col min="15155" max="15155" width="11.85546875" customWidth="1"/>
    <col min="15156" max="15156" width="9.28515625" bestFit="1" customWidth="1"/>
    <col min="15355" max="15355" width="26.140625" customWidth="1"/>
    <col min="15356" max="15356" width="7.42578125" customWidth="1"/>
    <col min="15357" max="15357" width="15.42578125" customWidth="1"/>
    <col min="15358" max="15358" width="11.42578125" customWidth="1"/>
    <col min="15359" max="15359" width="12.85546875" customWidth="1"/>
    <col min="15360" max="15360" width="13.42578125" customWidth="1"/>
    <col min="15361" max="15361" width="10.7109375" customWidth="1"/>
    <col min="15362" max="15362" width="7.85546875" customWidth="1"/>
    <col min="15363" max="15363" width="12.28515625" customWidth="1"/>
    <col min="15364" max="15365" width="10.140625" customWidth="1"/>
    <col min="15366" max="15366" width="9.5703125" customWidth="1"/>
    <col min="15367" max="15367" width="7.140625" customWidth="1"/>
    <col min="15368" max="15368" width="9.28515625" customWidth="1"/>
    <col min="15369" max="15369" width="10.42578125" customWidth="1"/>
    <col min="15370" max="15370" width="10.140625" customWidth="1"/>
    <col min="15371" max="15372" width="7.140625" customWidth="1"/>
    <col min="15373" max="15373" width="13.42578125" customWidth="1"/>
    <col min="15374" max="15374" width="12" customWidth="1"/>
    <col min="15375" max="15375" width="11.7109375" customWidth="1"/>
    <col min="15376" max="15376" width="9.42578125" customWidth="1"/>
    <col min="15377" max="15377" width="7.42578125" customWidth="1"/>
    <col min="15378" max="15379" width="11.7109375" customWidth="1"/>
    <col min="15380" max="15380" width="12.28515625" customWidth="1"/>
    <col min="15381" max="15381" width="9.42578125" customWidth="1"/>
    <col min="15382" max="15382" width="8.42578125" customWidth="1"/>
    <col min="15383" max="15383" width="10.85546875" customWidth="1"/>
    <col min="15384" max="15384" width="9.7109375" customWidth="1"/>
    <col min="15385" max="15385" width="11.42578125" customWidth="1"/>
    <col min="15386" max="15386" width="8.42578125" customWidth="1"/>
    <col min="15387" max="15387" width="10.28515625" customWidth="1"/>
    <col min="15388" max="15388" width="12.140625" customWidth="1"/>
    <col min="15389" max="15389" width="13.42578125" customWidth="1"/>
    <col min="15390" max="15390" width="12.140625" customWidth="1"/>
    <col min="15391" max="15391" width="9.42578125" customWidth="1"/>
    <col min="15392" max="15392" width="7.7109375" customWidth="1"/>
    <col min="15393" max="15393" width="10.7109375" customWidth="1"/>
    <col min="15394" max="15394" width="11" customWidth="1"/>
    <col min="15395" max="15395" width="12" customWidth="1"/>
    <col min="15396" max="15396" width="9.85546875" customWidth="1"/>
    <col min="15397" max="15397" width="7.7109375" customWidth="1"/>
    <col min="15398" max="15398" width="10.5703125" customWidth="1"/>
    <col min="15399" max="15399" width="12.42578125" customWidth="1"/>
    <col min="15400" max="15400" width="13.42578125" customWidth="1"/>
    <col min="15401" max="15401" width="9.42578125" customWidth="1"/>
    <col min="15402" max="15402" width="8.42578125" customWidth="1"/>
    <col min="15403" max="15406" width="10" customWidth="1"/>
    <col min="15407" max="15407" width="7.7109375" customWidth="1"/>
    <col min="15408" max="15410" width="11.28515625" customWidth="1"/>
    <col min="15411" max="15411" width="11.85546875" customWidth="1"/>
    <col min="15412" max="15412" width="9.28515625" bestFit="1" customWidth="1"/>
    <col min="15611" max="15611" width="26.140625" customWidth="1"/>
    <col min="15612" max="15612" width="7.42578125" customWidth="1"/>
    <col min="15613" max="15613" width="15.42578125" customWidth="1"/>
    <col min="15614" max="15614" width="11.42578125" customWidth="1"/>
    <col min="15615" max="15615" width="12.85546875" customWidth="1"/>
    <col min="15616" max="15616" width="13.42578125" customWidth="1"/>
    <col min="15617" max="15617" width="10.7109375" customWidth="1"/>
    <col min="15618" max="15618" width="7.85546875" customWidth="1"/>
    <col min="15619" max="15619" width="12.28515625" customWidth="1"/>
    <col min="15620" max="15621" width="10.140625" customWidth="1"/>
    <col min="15622" max="15622" width="9.5703125" customWidth="1"/>
    <col min="15623" max="15623" width="7.140625" customWidth="1"/>
    <col min="15624" max="15624" width="9.28515625" customWidth="1"/>
    <col min="15625" max="15625" width="10.42578125" customWidth="1"/>
    <col min="15626" max="15626" width="10.140625" customWidth="1"/>
    <col min="15627" max="15628" width="7.140625" customWidth="1"/>
    <col min="15629" max="15629" width="13.42578125" customWidth="1"/>
    <col min="15630" max="15630" width="12" customWidth="1"/>
    <col min="15631" max="15631" width="11.7109375" customWidth="1"/>
    <col min="15632" max="15632" width="9.42578125" customWidth="1"/>
    <col min="15633" max="15633" width="7.42578125" customWidth="1"/>
    <col min="15634" max="15635" width="11.7109375" customWidth="1"/>
    <col min="15636" max="15636" width="12.28515625" customWidth="1"/>
    <col min="15637" max="15637" width="9.42578125" customWidth="1"/>
    <col min="15638" max="15638" width="8.42578125" customWidth="1"/>
    <col min="15639" max="15639" width="10.85546875" customWidth="1"/>
    <col min="15640" max="15640" width="9.7109375" customWidth="1"/>
    <col min="15641" max="15641" width="11.42578125" customWidth="1"/>
    <col min="15642" max="15642" width="8.42578125" customWidth="1"/>
    <col min="15643" max="15643" width="10.28515625" customWidth="1"/>
    <col min="15644" max="15644" width="12.140625" customWidth="1"/>
    <col min="15645" max="15645" width="13.42578125" customWidth="1"/>
    <col min="15646" max="15646" width="12.140625" customWidth="1"/>
    <col min="15647" max="15647" width="9.42578125" customWidth="1"/>
    <col min="15648" max="15648" width="7.7109375" customWidth="1"/>
    <col min="15649" max="15649" width="10.7109375" customWidth="1"/>
    <col min="15650" max="15650" width="11" customWidth="1"/>
    <col min="15651" max="15651" width="12" customWidth="1"/>
    <col min="15652" max="15652" width="9.85546875" customWidth="1"/>
    <col min="15653" max="15653" width="7.7109375" customWidth="1"/>
    <col min="15654" max="15654" width="10.5703125" customWidth="1"/>
    <col min="15655" max="15655" width="12.42578125" customWidth="1"/>
    <col min="15656" max="15656" width="13.42578125" customWidth="1"/>
    <col min="15657" max="15657" width="9.42578125" customWidth="1"/>
    <col min="15658" max="15658" width="8.42578125" customWidth="1"/>
    <col min="15659" max="15662" width="10" customWidth="1"/>
    <col min="15663" max="15663" width="7.7109375" customWidth="1"/>
    <col min="15664" max="15666" width="11.28515625" customWidth="1"/>
    <col min="15667" max="15667" width="11.85546875" customWidth="1"/>
    <col min="15668" max="15668" width="9.28515625" bestFit="1" customWidth="1"/>
    <col min="15867" max="15867" width="26.140625" customWidth="1"/>
    <col min="15868" max="15868" width="7.42578125" customWidth="1"/>
    <col min="15869" max="15869" width="15.42578125" customWidth="1"/>
    <col min="15870" max="15870" width="11.42578125" customWidth="1"/>
    <col min="15871" max="15871" width="12.85546875" customWidth="1"/>
    <col min="15872" max="15872" width="13.42578125" customWidth="1"/>
    <col min="15873" max="15873" width="10.7109375" customWidth="1"/>
    <col min="15874" max="15874" width="7.85546875" customWidth="1"/>
    <col min="15875" max="15875" width="12.28515625" customWidth="1"/>
    <col min="15876" max="15877" width="10.140625" customWidth="1"/>
    <col min="15878" max="15878" width="9.5703125" customWidth="1"/>
    <col min="15879" max="15879" width="7.140625" customWidth="1"/>
    <col min="15880" max="15880" width="9.28515625" customWidth="1"/>
    <col min="15881" max="15881" width="10.42578125" customWidth="1"/>
    <col min="15882" max="15882" width="10.140625" customWidth="1"/>
    <col min="15883" max="15884" width="7.140625" customWidth="1"/>
    <col min="15885" max="15885" width="13.42578125" customWidth="1"/>
    <col min="15886" max="15886" width="12" customWidth="1"/>
    <col min="15887" max="15887" width="11.7109375" customWidth="1"/>
    <col min="15888" max="15888" width="9.42578125" customWidth="1"/>
    <col min="15889" max="15889" width="7.42578125" customWidth="1"/>
    <col min="15890" max="15891" width="11.7109375" customWidth="1"/>
    <col min="15892" max="15892" width="12.28515625" customWidth="1"/>
    <col min="15893" max="15893" width="9.42578125" customWidth="1"/>
    <col min="15894" max="15894" width="8.42578125" customWidth="1"/>
    <col min="15895" max="15895" width="10.85546875" customWidth="1"/>
    <col min="15896" max="15896" width="9.7109375" customWidth="1"/>
    <col min="15897" max="15897" width="11.42578125" customWidth="1"/>
    <col min="15898" max="15898" width="8.42578125" customWidth="1"/>
    <col min="15899" max="15899" width="10.28515625" customWidth="1"/>
    <col min="15900" max="15900" width="12.140625" customWidth="1"/>
    <col min="15901" max="15901" width="13.42578125" customWidth="1"/>
    <col min="15902" max="15902" width="12.140625" customWidth="1"/>
    <col min="15903" max="15903" width="9.42578125" customWidth="1"/>
    <col min="15904" max="15904" width="7.7109375" customWidth="1"/>
    <col min="15905" max="15905" width="10.7109375" customWidth="1"/>
    <col min="15906" max="15906" width="11" customWidth="1"/>
    <col min="15907" max="15907" width="12" customWidth="1"/>
    <col min="15908" max="15908" width="9.85546875" customWidth="1"/>
    <col min="15909" max="15909" width="7.7109375" customWidth="1"/>
    <col min="15910" max="15910" width="10.5703125" customWidth="1"/>
    <col min="15911" max="15911" width="12.42578125" customWidth="1"/>
    <col min="15912" max="15912" width="13.42578125" customWidth="1"/>
    <col min="15913" max="15913" width="9.42578125" customWidth="1"/>
    <col min="15914" max="15914" width="8.42578125" customWidth="1"/>
    <col min="15915" max="15918" width="10" customWidth="1"/>
    <col min="15919" max="15919" width="7.7109375" customWidth="1"/>
    <col min="15920" max="15922" width="11.28515625" customWidth="1"/>
    <col min="15923" max="15923" width="11.85546875" customWidth="1"/>
    <col min="15924" max="15924" width="9.28515625" bestFit="1" customWidth="1"/>
    <col min="16123" max="16123" width="26.140625" customWidth="1"/>
    <col min="16124" max="16124" width="7.42578125" customWidth="1"/>
    <col min="16125" max="16125" width="15.42578125" customWidth="1"/>
    <col min="16126" max="16126" width="11.42578125" customWidth="1"/>
    <col min="16127" max="16127" width="12.85546875" customWidth="1"/>
    <col min="16128" max="16128" width="13.42578125" customWidth="1"/>
    <col min="16129" max="16129" width="10.7109375" customWidth="1"/>
    <col min="16130" max="16130" width="7.85546875" customWidth="1"/>
    <col min="16131" max="16131" width="12.28515625" customWidth="1"/>
    <col min="16132" max="16133" width="10.140625" customWidth="1"/>
    <col min="16134" max="16134" width="9.5703125" customWidth="1"/>
    <col min="16135" max="16135" width="7.140625" customWidth="1"/>
    <col min="16136" max="16136" width="9.28515625" customWidth="1"/>
    <col min="16137" max="16137" width="10.42578125" customWidth="1"/>
    <col min="16138" max="16138" width="10.140625" customWidth="1"/>
    <col min="16139" max="16140" width="7.140625" customWidth="1"/>
    <col min="16141" max="16141" width="13.42578125" customWidth="1"/>
    <col min="16142" max="16142" width="12" customWidth="1"/>
    <col min="16143" max="16143" width="11.7109375" customWidth="1"/>
    <col min="16144" max="16144" width="9.42578125" customWidth="1"/>
    <col min="16145" max="16145" width="7.42578125" customWidth="1"/>
    <col min="16146" max="16147" width="11.7109375" customWidth="1"/>
    <col min="16148" max="16148" width="12.28515625" customWidth="1"/>
    <col min="16149" max="16149" width="9.42578125" customWidth="1"/>
    <col min="16150" max="16150" width="8.42578125" customWidth="1"/>
    <col min="16151" max="16151" width="10.85546875" customWidth="1"/>
    <col min="16152" max="16152" width="9.7109375" customWidth="1"/>
    <col min="16153" max="16153" width="11.42578125" customWidth="1"/>
    <col min="16154" max="16154" width="8.42578125" customWidth="1"/>
    <col min="16155" max="16155" width="10.28515625" customWidth="1"/>
    <col min="16156" max="16156" width="12.140625" customWidth="1"/>
    <col min="16157" max="16157" width="13.42578125" customWidth="1"/>
    <col min="16158" max="16158" width="12.140625" customWidth="1"/>
    <col min="16159" max="16159" width="9.42578125" customWidth="1"/>
    <col min="16160" max="16160" width="7.7109375" customWidth="1"/>
    <col min="16161" max="16161" width="10.7109375" customWidth="1"/>
    <col min="16162" max="16162" width="11" customWidth="1"/>
    <col min="16163" max="16163" width="12" customWidth="1"/>
    <col min="16164" max="16164" width="9.85546875" customWidth="1"/>
    <col min="16165" max="16165" width="7.7109375" customWidth="1"/>
    <col min="16166" max="16166" width="10.5703125" customWidth="1"/>
    <col min="16167" max="16167" width="12.42578125" customWidth="1"/>
    <col min="16168" max="16168" width="13.42578125" customWidth="1"/>
    <col min="16169" max="16169" width="9.42578125" customWidth="1"/>
    <col min="16170" max="16170" width="8.42578125" customWidth="1"/>
    <col min="16171" max="16174" width="10" customWidth="1"/>
    <col min="16175" max="16175" width="7.7109375" customWidth="1"/>
    <col min="16176" max="16178" width="11.28515625" customWidth="1"/>
    <col min="16179" max="16179" width="11.85546875" customWidth="1"/>
    <col min="16180" max="16180" width="9.28515625" bestFit="1" customWidth="1"/>
  </cols>
  <sheetData>
    <row r="1" spans="1:58" x14ac:dyDescent="0.25">
      <c r="A1" t="s">
        <v>82</v>
      </c>
    </row>
    <row r="3" spans="1:58" ht="19.5" customHeight="1" thickBot="1" x14ac:dyDescent="0.3">
      <c r="A3" s="27"/>
      <c r="B3" s="27" t="s">
        <v>4</v>
      </c>
      <c r="C3" s="27"/>
      <c r="D3" s="253" t="s">
        <v>80</v>
      </c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5"/>
      <c r="AC3" s="57"/>
      <c r="AD3" s="57"/>
      <c r="AE3" s="57"/>
      <c r="AF3" s="57"/>
      <c r="AG3" s="57"/>
      <c r="AH3" s="256" t="str">
        <f>D3</f>
        <v>March 2018 YTD Operating and Budgeted Results</v>
      </c>
      <c r="AI3" s="242"/>
      <c r="AJ3" s="242"/>
      <c r="AK3" s="242"/>
      <c r="AL3" s="242"/>
      <c r="AM3" s="242"/>
      <c r="AN3" s="242"/>
      <c r="AO3" s="242"/>
      <c r="AP3" s="242"/>
      <c r="AQ3" s="242"/>
      <c r="AR3" s="242"/>
      <c r="AS3" s="242"/>
      <c r="AT3" s="242"/>
      <c r="AU3" s="242"/>
      <c r="AV3" s="242"/>
      <c r="AW3" s="242"/>
      <c r="AX3" s="242"/>
      <c r="AY3" s="242"/>
      <c r="AZ3" s="242"/>
      <c r="BA3" s="242"/>
      <c r="BB3" s="242"/>
      <c r="BC3" s="242"/>
      <c r="BD3" s="242"/>
      <c r="BE3" s="242"/>
      <c r="BF3" s="257"/>
    </row>
    <row r="4" spans="1:58" x14ac:dyDescent="0.25">
      <c r="A4" s="58"/>
      <c r="B4" s="240" t="s">
        <v>14</v>
      </c>
      <c r="C4" s="242" t="s">
        <v>39</v>
      </c>
      <c r="D4" s="244" t="s">
        <v>40</v>
      </c>
      <c r="E4" s="245"/>
      <c r="F4" s="245"/>
      <c r="G4" s="245"/>
      <c r="H4" s="245"/>
      <c r="I4" s="246" t="s">
        <v>41</v>
      </c>
      <c r="J4" s="247"/>
      <c r="K4" s="247"/>
      <c r="L4" s="247"/>
      <c r="M4" s="248"/>
      <c r="N4" s="249" t="s">
        <v>42</v>
      </c>
      <c r="O4" s="245"/>
      <c r="P4" s="245"/>
      <c r="Q4" s="245"/>
      <c r="R4" s="250"/>
      <c r="S4" s="246" t="s">
        <v>43</v>
      </c>
      <c r="T4" s="247"/>
      <c r="U4" s="247"/>
      <c r="V4" s="247"/>
      <c r="W4" s="248"/>
      <c r="X4" s="249" t="s">
        <v>44</v>
      </c>
      <c r="Y4" s="245"/>
      <c r="Z4" s="245"/>
      <c r="AA4" s="245"/>
      <c r="AB4" s="245"/>
      <c r="AC4" s="59"/>
      <c r="AD4" s="60"/>
      <c r="AE4" s="60" t="s">
        <v>45</v>
      </c>
      <c r="AF4" s="60"/>
      <c r="AG4" s="61"/>
      <c r="AH4" s="250" t="s">
        <v>46</v>
      </c>
      <c r="AI4" s="258"/>
      <c r="AJ4" s="258"/>
      <c r="AK4" s="258"/>
      <c r="AL4" s="249"/>
      <c r="AM4" s="62"/>
      <c r="AN4" s="60"/>
      <c r="AO4" s="60" t="s">
        <v>47</v>
      </c>
      <c r="AP4" s="60"/>
      <c r="AQ4" s="63"/>
      <c r="AR4" s="245" t="s">
        <v>48</v>
      </c>
      <c r="AS4" s="245"/>
      <c r="AT4" s="245"/>
      <c r="AU4" s="245"/>
      <c r="AV4" s="245"/>
      <c r="AW4" s="246" t="s">
        <v>49</v>
      </c>
      <c r="AX4" s="247"/>
      <c r="AY4" s="247"/>
      <c r="AZ4" s="247"/>
      <c r="BA4" s="248"/>
      <c r="BB4" s="251" t="s">
        <v>50</v>
      </c>
      <c r="BC4" s="251"/>
      <c r="BD4" s="251"/>
      <c r="BE4" s="251"/>
      <c r="BF4" s="252"/>
    </row>
    <row r="5" spans="1:58" ht="51.75" x14ac:dyDescent="0.25">
      <c r="A5" s="152" t="s">
        <v>34</v>
      </c>
      <c r="B5" s="241"/>
      <c r="C5" s="243"/>
      <c r="D5" s="98" t="s">
        <v>51</v>
      </c>
      <c r="E5" s="99" t="s">
        <v>52</v>
      </c>
      <c r="F5" s="100" t="s">
        <v>29</v>
      </c>
      <c r="G5" s="99" t="s">
        <v>53</v>
      </c>
      <c r="H5" s="101" t="s">
        <v>54</v>
      </c>
      <c r="I5" s="102" t="s">
        <v>51</v>
      </c>
      <c r="J5" s="102" t="s">
        <v>52</v>
      </c>
      <c r="K5" s="103" t="s">
        <v>29</v>
      </c>
      <c r="L5" s="102" t="s">
        <v>53</v>
      </c>
      <c r="M5" s="102" t="s">
        <v>54</v>
      </c>
      <c r="N5" s="99" t="s">
        <v>51</v>
      </c>
      <c r="O5" s="99" t="s">
        <v>52</v>
      </c>
      <c r="P5" s="100" t="s">
        <v>29</v>
      </c>
      <c r="Q5" s="99" t="s">
        <v>53</v>
      </c>
      <c r="R5" s="99" t="s">
        <v>54</v>
      </c>
      <c r="S5" s="103" t="s">
        <v>51</v>
      </c>
      <c r="T5" s="102" t="s">
        <v>52</v>
      </c>
      <c r="U5" s="103" t="s">
        <v>29</v>
      </c>
      <c r="V5" s="102" t="s">
        <v>53</v>
      </c>
      <c r="W5" s="104" t="s">
        <v>54</v>
      </c>
      <c r="X5" s="99" t="s">
        <v>51</v>
      </c>
      <c r="Y5" s="99" t="s">
        <v>52</v>
      </c>
      <c r="Z5" s="100" t="s">
        <v>29</v>
      </c>
      <c r="AA5" s="99" t="s">
        <v>53</v>
      </c>
      <c r="AB5" s="105" t="s">
        <v>54</v>
      </c>
      <c r="AC5" s="106" t="s">
        <v>51</v>
      </c>
      <c r="AD5" s="102" t="s">
        <v>52</v>
      </c>
      <c r="AE5" s="103" t="s">
        <v>29</v>
      </c>
      <c r="AF5" s="102" t="s">
        <v>53</v>
      </c>
      <c r="AG5" s="107" t="s">
        <v>54</v>
      </c>
      <c r="AH5" s="100" t="s">
        <v>51</v>
      </c>
      <c r="AI5" s="99" t="s">
        <v>52</v>
      </c>
      <c r="AJ5" s="100" t="s">
        <v>29</v>
      </c>
      <c r="AK5" s="99" t="s">
        <v>53</v>
      </c>
      <c r="AL5" s="108" t="s">
        <v>54</v>
      </c>
      <c r="AM5" s="102" t="s">
        <v>51</v>
      </c>
      <c r="AN5" s="102" t="s">
        <v>52</v>
      </c>
      <c r="AO5" s="103" t="s">
        <v>29</v>
      </c>
      <c r="AP5" s="102" t="s">
        <v>53</v>
      </c>
      <c r="AQ5" s="104" t="s">
        <v>54</v>
      </c>
      <c r="AR5" s="109" t="s">
        <v>51</v>
      </c>
      <c r="AS5" s="99" t="s">
        <v>52</v>
      </c>
      <c r="AT5" s="100" t="s">
        <v>29</v>
      </c>
      <c r="AU5" s="99" t="s">
        <v>53</v>
      </c>
      <c r="AV5" s="105" t="s">
        <v>54</v>
      </c>
      <c r="AW5" s="102" t="s">
        <v>51</v>
      </c>
      <c r="AX5" s="102" t="s">
        <v>52</v>
      </c>
      <c r="AY5" s="103" t="s">
        <v>29</v>
      </c>
      <c r="AZ5" s="102" t="s">
        <v>53</v>
      </c>
      <c r="BA5" s="102" t="s">
        <v>54</v>
      </c>
      <c r="BB5" s="110" t="s">
        <v>51</v>
      </c>
      <c r="BC5" s="111" t="s">
        <v>52</v>
      </c>
      <c r="BD5" s="110" t="s">
        <v>29</v>
      </c>
      <c r="BE5" s="111" t="s">
        <v>53</v>
      </c>
      <c r="BF5" s="112" t="s">
        <v>54</v>
      </c>
    </row>
    <row r="6" spans="1:58" x14ac:dyDescent="0.25">
      <c r="A6" s="150"/>
      <c r="B6" s="64"/>
      <c r="C6" s="77"/>
      <c r="D6" s="98"/>
      <c r="E6" s="66"/>
      <c r="F6" s="100"/>
      <c r="G6" s="66"/>
      <c r="H6" s="66"/>
      <c r="I6" s="102"/>
      <c r="J6" s="69"/>
      <c r="K6" s="103"/>
      <c r="L6" s="69"/>
      <c r="M6" s="69"/>
      <c r="N6" s="99"/>
      <c r="O6" s="66"/>
      <c r="P6" s="100"/>
      <c r="Q6" s="66"/>
      <c r="R6" s="66"/>
      <c r="S6" s="103"/>
      <c r="T6" s="69"/>
      <c r="U6" s="103"/>
      <c r="V6" s="69"/>
      <c r="W6" s="69"/>
      <c r="X6" s="99"/>
      <c r="Y6" s="66"/>
      <c r="Z6" s="100"/>
      <c r="AA6" s="66"/>
      <c r="AB6" s="70"/>
      <c r="AC6" s="103"/>
      <c r="AD6" s="69"/>
      <c r="AE6" s="103"/>
      <c r="AF6" s="69"/>
      <c r="AG6" s="72"/>
      <c r="AH6" s="100"/>
      <c r="AI6" s="66"/>
      <c r="AJ6" s="100"/>
      <c r="AK6" s="66"/>
      <c r="AL6" s="70"/>
      <c r="AM6" s="102"/>
      <c r="AN6" s="69"/>
      <c r="AO6" s="103"/>
      <c r="AP6" s="69"/>
      <c r="AQ6" s="69"/>
      <c r="AR6" s="109"/>
      <c r="AS6" s="66"/>
      <c r="AT6" s="100">
        <f>SUMIFS(AnnualFinancialData!$L$2:$L$6366,AnnualFinancialData!$B$2:$B$6366,$A6,AnnualFinancialData!$K$2:$K$6366,"55301")</f>
        <v>0</v>
      </c>
      <c r="AU6" s="66"/>
      <c r="AV6" s="66"/>
      <c r="AW6" s="102"/>
      <c r="AX6" s="69"/>
      <c r="AY6" s="103"/>
      <c r="AZ6" s="69"/>
      <c r="BA6" s="69"/>
      <c r="BB6" s="75"/>
      <c r="BC6" s="75"/>
      <c r="BD6" s="75"/>
      <c r="BE6" s="75"/>
      <c r="BF6" s="76"/>
    </row>
    <row r="7" spans="1:58" x14ac:dyDescent="0.25">
      <c r="A7" s="170" t="s">
        <v>55</v>
      </c>
      <c r="B7" s="161" t="str">
        <f>IF(ISERROR(SUM(#REF!)),"-",SUM(#REF!))</f>
        <v>-</v>
      </c>
      <c r="C7" s="171"/>
      <c r="D7" s="98" t="str">
        <f>IF(ISERROR(SUM(#REF!)),"-",SUM(#REF!))</f>
        <v>-</v>
      </c>
      <c r="E7" s="172" t="str">
        <f>IF(ISERROR(F7/12*Occupancy!$B$65),"-",F7/12*Occupancy!$B$65)</f>
        <v>-</v>
      </c>
      <c r="F7" s="100" t="str">
        <f>IF(ISERROR(SUM(#REF!)),"-",SUM(#REF!))</f>
        <v>-</v>
      </c>
      <c r="G7" s="172" t="str">
        <f>IF(ISERROR(D7/$B7/VLOOKUP(Occupancy!$B$65,Occupancy!$B$68:'Occupancy'!$B$79,1)*12),"-",D7/$B7/VLOOKUP(Occupancy!$B$65,Occupancy!$B$68:'Occupancy'!$B$79,1)*12)</f>
        <v>-</v>
      </c>
      <c r="H7" s="172" t="str">
        <f>IF(ISERROR(E7/$B7/VLOOKUP(Occupancy!$B$65,Occupancy!$B$68:'Occupancy'!$B$79,1)*12),"-",E7/$B7/VLOOKUP(Occupancy!$B$65,Occupancy!$B$68:'Occupancy'!$B$79,1)*12)</f>
        <v>-</v>
      </c>
      <c r="I7" s="102" t="str">
        <f>IF(ISERROR(SUM(#REF!)),"-",SUM(#REF!))</f>
        <v>-</v>
      </c>
      <c r="J7" s="173" t="str">
        <f>IF(ISERROR(K7/12*Occupancy!$B$65),"-",K7/12*Occupancy!$B$65)</f>
        <v>-</v>
      </c>
      <c r="K7" s="103" t="str">
        <f>IF(ISERROR(SUM(#REF!)),"-",SUM(#REF!))</f>
        <v>-</v>
      </c>
      <c r="L7" s="173" t="str">
        <f>IF(ISERROR(I7/$B7/VLOOKUP(Occupancy!$B$65,Occupancy!$B$68:'Occupancy'!$B$79,1)*12),"-",I7/$B7/VLOOKUP(Occupancy!$B$65,Occupancy!$B$68:'Occupancy'!$B$79,1)*12)</f>
        <v>-</v>
      </c>
      <c r="M7" s="173" t="str">
        <f>IF(ISERROR(J7/$B7/VLOOKUP(Occupancy!$B$65,Occupancy!$B$68:'Occupancy'!$B$79,1)*12),"-",J7/$B7/VLOOKUP(Occupancy!$B$65,Occupancy!$B$68:'Occupancy'!$B$79,1)*12)</f>
        <v>-</v>
      </c>
      <c r="N7" s="99" t="str">
        <f>IF(ISERROR(SUM(#REF!)),"-",SUM(#REF!))</f>
        <v>-</v>
      </c>
      <c r="O7" s="172" t="str">
        <f>IF(ISERROR(P7/12*Occupancy!$B$65),"-",P7/12*Occupancy!$B$65)</f>
        <v>-</v>
      </c>
      <c r="P7" s="100" t="str">
        <f>IF(ISERROR(SUM(#REF!)),"-",SUM(#REF!))</f>
        <v>-</v>
      </c>
      <c r="Q7" s="172" t="str">
        <f>IF(ISERROR(N7/$B7/VLOOKUP(Occupancy!$B$65,Occupancy!$B$68:'Occupancy'!$B$79,1)*12),"-",N7/$B7/VLOOKUP(Occupancy!$B$65,Occupancy!$B$68:'Occupancy'!$B$79,1)*12)</f>
        <v>-</v>
      </c>
      <c r="R7" s="172" t="str">
        <f>IF(ISERROR(O7/$B7/VLOOKUP(Occupancy!$B$65,Occupancy!$B$68:'Occupancy'!$B$79,1)*12),"-",O7/$B7/VLOOKUP(Occupancy!$B$65,Occupancy!$B$68:'Occupancy'!$B$79,1)*12)</f>
        <v>-</v>
      </c>
      <c r="S7" s="103" t="str">
        <f>IF(ISERROR(SUM(#REF!)),"-",SUM(#REF!))</f>
        <v>-</v>
      </c>
      <c r="T7" s="173" t="str">
        <f>IF(ISERROR(U7/12*Occupancy!$B$65),"-",U7/12*Occupancy!$B$65)</f>
        <v>-</v>
      </c>
      <c r="U7" s="103" t="str">
        <f>IF(ISERROR(SUM(#REF!)),"-",SUM(#REF!))</f>
        <v>-</v>
      </c>
      <c r="V7" s="173" t="str">
        <f>IF(ISERROR(S7/$B7/VLOOKUP(Occupancy!$B$65,Occupancy!$B$68:'Occupancy'!$B$79,1)*12),"-",S7/$B7/VLOOKUP(Occupancy!$B$65,Occupancy!$B$68:'Occupancy'!$B$79,1)*12)</f>
        <v>-</v>
      </c>
      <c r="W7" s="173" t="str">
        <f>IF(ISERROR(T7/$B7/VLOOKUP(Occupancy!$B$65,Occupancy!$B$68:'Occupancy'!$B$79,1)*12),"-",T7/$B7/VLOOKUP(Occupancy!$B$65,Occupancy!$B$68:'Occupancy'!$B$79,1)*12)</f>
        <v>-</v>
      </c>
      <c r="X7" s="99" t="str">
        <f>IF(ISERROR(SUM(#REF!)),"-",SUM(#REF!))</f>
        <v>-</v>
      </c>
      <c r="Y7" s="172" t="str">
        <f>IF(ISERROR(Z7/12*Occupancy!$B$65),"-",Z7/12*Occupancy!$B$65)</f>
        <v>-</v>
      </c>
      <c r="Z7" s="100" t="str">
        <f>IF(ISERROR(SUM(#REF!)),"-",SUM(#REF!))</f>
        <v>-</v>
      </c>
      <c r="AA7" s="172" t="str">
        <f>IF(ISERROR(X7/$B7/VLOOKUP(Occupancy!$B$65,Occupancy!$B$68:'Occupancy'!$B$79,1)*12),"-",X7/$B7/VLOOKUP(Occupancy!$B$65,Occupancy!$B$68:'Occupancy'!$B$79,1)*12)</f>
        <v>-</v>
      </c>
      <c r="AB7" s="174" t="str">
        <f>IF(ISERROR(Y7/$B7/VLOOKUP(Occupancy!$B$65,Occupancy!$B$68:'Occupancy'!$B$79,1)*12),"-",Y7/$B7/VLOOKUP(Occupancy!$B$65,Occupancy!$B$68:'Occupancy'!$B$79,1)*12)</f>
        <v>-</v>
      </c>
      <c r="AC7" s="103" t="str">
        <f>IF(ISERROR(SUM(#REF!)),"-",SUM(#REF!))</f>
        <v>-</v>
      </c>
      <c r="AD7" s="173" t="str">
        <f>IF(ISERROR(AE7/12*Occupancy!$B$65),"-",AE7/12*Occupancy!$B$65)</f>
        <v>-</v>
      </c>
      <c r="AE7" s="103" t="str">
        <f>IF(ISERROR(SUM(#REF!)),"-",SUM(#REF!))</f>
        <v>-</v>
      </c>
      <c r="AF7" s="173" t="str">
        <f>IF(ISERROR(AC7/$B7/VLOOKUP(Occupancy!$B$65,Occupancy!$B$68:'Occupancy'!$B$79,1)*12),"-",AC7/$B7/VLOOKUP(Occupancy!$B$65,Occupancy!$B$68:'Occupancy'!$B$79,1)*12)</f>
        <v>-</v>
      </c>
      <c r="AG7" s="175" t="str">
        <f>IF(ISERROR(AD7/$B7/VLOOKUP(Occupancy!$B$65,Occupancy!$B$68:'Occupancy'!$B$79,1)*12),"-",AD7/$B7/VLOOKUP(Occupancy!$B$65,Occupancy!$B$68:'Occupancy'!$B$79,1)*12)</f>
        <v>-</v>
      </c>
      <c r="AH7" s="100" t="str">
        <f>IF(ISERROR(SUM(#REF!)),"-",SUM(#REF!))</f>
        <v>-</v>
      </c>
      <c r="AI7" s="172" t="str">
        <f>IF(ISERROR(AJ7/12*Occupancy!$B$65),"-",AJ7/12*Occupancy!$B$65)</f>
        <v>-</v>
      </c>
      <c r="AJ7" s="100" t="str">
        <f>IF(ISERROR(SUM(#REF!)),"-",SUM(#REF!))</f>
        <v>-</v>
      </c>
      <c r="AK7" s="172" t="str">
        <f>IF(ISERROR(AH7/$B7/VLOOKUP(Occupancy!$B$65,Occupancy!$B$68:'Occupancy'!$B$79,1)*12),"-",AH7/$B7/VLOOKUP(Occupancy!$B$65,Occupancy!$B$68:'Occupancy'!$B$79,1)*12)</f>
        <v>-</v>
      </c>
      <c r="AL7" s="174" t="str">
        <f>IF(ISERROR(AI7/$B7/VLOOKUP(Occupancy!$B$65,Occupancy!$B$68:'Occupancy'!$B$79,1)*12),"-",AI7/$B7/VLOOKUP(Occupancy!$B$65,Occupancy!$B$68:'Occupancy'!$B$79,1)*12)</f>
        <v>-</v>
      </c>
      <c r="AM7" s="102" t="str">
        <f>IF(ISERROR(SUM(#REF!)),"-",SUM(#REF!))</f>
        <v>-</v>
      </c>
      <c r="AN7" s="173" t="str">
        <f>IF(ISERROR(AO7/12*Occupancy!$B$65),"-",AO7/12*Occupancy!$B$65)</f>
        <v>-</v>
      </c>
      <c r="AO7" s="103" t="str">
        <f>IF(ISERROR(SUM(#REF!)),"-",SUM(#REF!))</f>
        <v>-</v>
      </c>
      <c r="AP7" s="173" t="str">
        <f>IF(ISERROR(AM7/$B7/VLOOKUP(Occupancy!$B$65,Occupancy!$B$68:'Occupancy'!$B$79,1)*12),"-",AM7/$B7/VLOOKUP(Occupancy!$B$65,Occupancy!$B$68:'Occupancy'!$B$79,1)*12)</f>
        <v>-</v>
      </c>
      <c r="AQ7" s="173" t="str">
        <f>IF(ISERROR(AN7/$B7/VLOOKUP(Occupancy!$B$65,Occupancy!$B$68:'Occupancy'!$B$79,1)*12),"-",AN7/$B7/VLOOKUP(Occupancy!$B$65,Occupancy!$B$68:'Occupancy'!$B$79,1)*12)</f>
        <v>-</v>
      </c>
      <c r="AR7" s="109" t="str">
        <f>IF(ISERROR(SUM(#REF!)),"-",SUM(#REF!))</f>
        <v>-</v>
      </c>
      <c r="AS7" s="172" t="str">
        <f>IF(ISERROR(AT7/12*Occupancy!$B$65),"-",AT7/12*Occupancy!$B$65)</f>
        <v>-</v>
      </c>
      <c r="AT7" s="100" t="str">
        <f>IF(ISERROR(SUM(#REF!)),"-",SUM(#REF!))</f>
        <v>-</v>
      </c>
      <c r="AU7" s="172" t="str">
        <f>IF(ISERROR(AR7/$B7/VLOOKUP(Occupancy!$B$65,Occupancy!$B$68:'Occupancy'!$B$79,1)*12),"-",AR7/$B7/VLOOKUP(Occupancy!$B$65,Occupancy!$B$68:'Occupancy'!$B$79,1)*12)</f>
        <v>-</v>
      </c>
      <c r="AV7" s="172" t="str">
        <f>IF(ISERROR(AS7/$B7/VLOOKUP(Occupancy!$B$65,Occupancy!$B$68:'Occupancy'!$B$79,1)*12),"-",AS7/$B7/VLOOKUP(Occupancy!$B$65,Occupancy!$B$68:'Occupancy'!$B$79,1)*12)</f>
        <v>-</v>
      </c>
      <c r="AW7" s="102" t="str">
        <f>IF(ISERROR(SUM(#REF!)),"-",SUM(#REF!))</f>
        <v>-</v>
      </c>
      <c r="AX7" s="173" t="str">
        <f>IF(ISERROR(AY7/12*Occupancy!$B$65),"-",AY7/12*Occupancy!$B$65)</f>
        <v>-</v>
      </c>
      <c r="AY7" s="103" t="str">
        <f>IF(ISERROR(SUM(#REF!)),"-",SUM(#REF!))</f>
        <v>-</v>
      </c>
      <c r="AZ7" s="173" t="str">
        <f>IF(ISERROR(AW7/$B7/VLOOKUP(Occupancy!$B$65,Occupancy!$B$68:'Occupancy'!$B$79,1)*12),"-",AW7/$B7/VLOOKUP(Occupancy!$B$65,Occupancy!$B$68:'Occupancy'!$B$79,1)*12)</f>
        <v>-</v>
      </c>
      <c r="BA7" s="173" t="str">
        <f>IF(ISERROR(AX7/$B7/VLOOKUP(Occupancy!$B$65,Occupancy!$B$68:'Occupancy'!$B$79,1)*12),"-",AX7/$B7/VLOOKUP(Occupancy!$B$65,Occupancy!$B$68:'Occupancy'!$B$79,1)*12)</f>
        <v>-</v>
      </c>
      <c r="BB7" s="176" t="str">
        <f>IF(ISERROR(SUM(#REF!)),"-",SUM(#REF!))</f>
        <v>-</v>
      </c>
      <c r="BC7" s="176" t="str">
        <f>IF(ISERROR(SUM(#REF!)),"-",SUM(#REF!))</f>
        <v>-</v>
      </c>
      <c r="BD7" s="176" t="str">
        <f>IF(ISERROR(SUM(#REF!)),"-",SUM(#REF!))</f>
        <v>-</v>
      </c>
      <c r="BE7" s="176" t="str">
        <f>IF(ISERROR(BB7/$B7/VLOOKUP(Occupancy!$B$65,Occupancy!$B$68:'Occupancy'!$B$79,1)*12),"-",BB7/$B7/VLOOKUP(Occupancy!$B$65,Occupancy!$B$68:'Occupancy'!$B$79,1)*12)</f>
        <v>-</v>
      </c>
      <c r="BF7" s="177" t="str">
        <f>IF(ISERROR(BC7/$B7/VLOOKUP(Occupancy!$B$65,Occupancy!$B$68:'Occupancy'!$B$79,1)*12),"-",BC7/$B7/VLOOKUP(Occupancy!$B$65,Occupancy!$B$68:'Occupancy'!$B$79,1)*12)</f>
        <v>-</v>
      </c>
    </row>
    <row r="8" spans="1:58" x14ac:dyDescent="0.25">
      <c r="A8" s="178"/>
      <c r="B8" s="17"/>
      <c r="C8" s="179"/>
      <c r="D8" s="98"/>
      <c r="E8" s="180"/>
      <c r="F8" s="100"/>
      <c r="G8" s="181"/>
      <c r="H8" s="181"/>
      <c r="I8" s="102"/>
      <c r="J8" s="182"/>
      <c r="K8" s="103"/>
      <c r="L8" s="183"/>
      <c r="M8" s="183"/>
      <c r="N8" s="99"/>
      <c r="O8" s="180"/>
      <c r="P8" s="100"/>
      <c r="Q8" s="181"/>
      <c r="R8" s="181"/>
      <c r="S8" s="103"/>
      <c r="T8" s="182"/>
      <c r="U8" s="103"/>
      <c r="V8" s="183"/>
      <c r="W8" s="183"/>
      <c r="X8" s="99"/>
      <c r="Y8" s="180"/>
      <c r="Z8" s="100"/>
      <c r="AA8" s="181"/>
      <c r="AB8" s="184"/>
      <c r="AC8" s="103"/>
      <c r="AD8" s="182"/>
      <c r="AE8" s="103"/>
      <c r="AF8" s="183"/>
      <c r="AG8" s="185"/>
      <c r="AH8" s="100"/>
      <c r="AI8" s="180"/>
      <c r="AJ8" s="100"/>
      <c r="AK8" s="181"/>
      <c r="AL8" s="184"/>
      <c r="AM8" s="102"/>
      <c r="AN8" s="182"/>
      <c r="AO8" s="103"/>
      <c r="AP8" s="183"/>
      <c r="AQ8" s="183"/>
      <c r="AR8" s="109"/>
      <c r="AS8" s="180"/>
      <c r="AT8" s="100">
        <f>SUMIFS(AnnualFinancialData!$L$2:$L$6366,AnnualFinancialData!$B$2:$B$6366,$A8,AnnualFinancialData!$K$2:$K$6366,"55301")</f>
        <v>0</v>
      </c>
      <c r="AU8" s="181"/>
      <c r="AV8" s="181"/>
      <c r="AW8" s="102"/>
      <c r="AX8" s="182"/>
      <c r="AY8" s="103"/>
      <c r="AZ8" s="183"/>
      <c r="BA8" s="183"/>
      <c r="BB8" s="186"/>
      <c r="BC8" s="186"/>
      <c r="BD8" s="186"/>
      <c r="BE8" s="187"/>
      <c r="BF8" s="188"/>
    </row>
    <row r="9" spans="1:58" x14ac:dyDescent="0.25">
      <c r="A9" s="13" t="s">
        <v>36</v>
      </c>
      <c r="B9" s="26"/>
      <c r="C9" s="149"/>
      <c r="D9" s="98"/>
      <c r="E9" s="83"/>
      <c r="F9" s="100"/>
      <c r="G9" s="83"/>
      <c r="H9" s="83"/>
      <c r="I9" s="102"/>
      <c r="J9" s="86"/>
      <c r="K9" s="103"/>
      <c r="L9" s="86"/>
      <c r="M9" s="86"/>
      <c r="N9" s="99"/>
      <c r="O9" s="83"/>
      <c r="P9" s="100"/>
      <c r="Q9" s="83"/>
      <c r="R9" s="83"/>
      <c r="S9" s="103"/>
      <c r="T9" s="86"/>
      <c r="U9" s="103"/>
      <c r="V9" s="86"/>
      <c r="W9" s="86"/>
      <c r="X9" s="99"/>
      <c r="Y9" s="83"/>
      <c r="Z9" s="100"/>
      <c r="AA9" s="83"/>
      <c r="AB9" s="87"/>
      <c r="AC9" s="103"/>
      <c r="AD9" s="86"/>
      <c r="AE9" s="103"/>
      <c r="AF9" s="86"/>
      <c r="AG9" s="88"/>
      <c r="AH9" s="100"/>
      <c r="AI9" s="83"/>
      <c r="AJ9" s="100"/>
      <c r="AK9" s="83"/>
      <c r="AL9" s="87"/>
      <c r="AM9" s="102"/>
      <c r="AN9" s="86"/>
      <c r="AO9" s="103"/>
      <c r="AP9" s="86"/>
      <c r="AQ9" s="86"/>
      <c r="AR9" s="109"/>
      <c r="AS9" s="83"/>
      <c r="AT9" s="100">
        <f>SUMIFS(AnnualFinancialData!$L$2:$L$6366,AnnualFinancialData!$B$2:$B$6366,$A9,AnnualFinancialData!$K$2:$K$6366,"55301")</f>
        <v>0</v>
      </c>
      <c r="AU9" s="83"/>
      <c r="AV9" s="83"/>
      <c r="AW9" s="102"/>
      <c r="AX9" s="86"/>
      <c r="AY9" s="103"/>
      <c r="AZ9" s="86"/>
      <c r="BA9" s="86"/>
      <c r="BB9" s="89"/>
      <c r="BC9" s="89"/>
      <c r="BD9" s="89"/>
      <c r="BE9" s="89"/>
      <c r="BF9" s="90"/>
    </row>
    <row r="10" spans="1:58" x14ac:dyDescent="0.25">
      <c r="A10" s="150"/>
      <c r="B10" s="17"/>
      <c r="C10" s="17"/>
      <c r="D10" s="98"/>
      <c r="E10" s="66"/>
      <c r="F10" s="100"/>
      <c r="G10" s="66"/>
      <c r="H10" s="66"/>
      <c r="I10" s="102"/>
      <c r="J10" s="69"/>
      <c r="K10" s="103"/>
      <c r="L10" s="69"/>
      <c r="M10" s="69"/>
      <c r="N10" s="99"/>
      <c r="O10" s="66"/>
      <c r="P10" s="100"/>
      <c r="Q10" s="66"/>
      <c r="R10" s="66"/>
      <c r="S10" s="103"/>
      <c r="T10" s="69"/>
      <c r="U10" s="103"/>
      <c r="V10" s="69"/>
      <c r="W10" s="69"/>
      <c r="X10" s="99"/>
      <c r="Y10" s="66"/>
      <c r="Z10" s="100"/>
      <c r="AA10" s="66"/>
      <c r="AB10" s="70"/>
      <c r="AC10" s="103"/>
      <c r="AD10" s="69"/>
      <c r="AE10" s="103"/>
      <c r="AF10" s="69"/>
      <c r="AG10" s="72"/>
      <c r="AH10" s="100"/>
      <c r="AI10" s="66"/>
      <c r="AJ10" s="100"/>
      <c r="AK10" s="66"/>
      <c r="AL10" s="70"/>
      <c r="AM10" s="102"/>
      <c r="AN10" s="69"/>
      <c r="AO10" s="103"/>
      <c r="AP10" s="69"/>
      <c r="AQ10" s="69"/>
      <c r="AR10" s="109"/>
      <c r="AS10" s="66"/>
      <c r="AT10" s="100">
        <f>SUMIFS(AnnualFinancialData!$L$2:$L$6366,AnnualFinancialData!$B$2:$B$6366,$A10,AnnualFinancialData!$K$2:$K$6366,"55301")</f>
        <v>0</v>
      </c>
      <c r="AU10" s="66"/>
      <c r="AV10" s="66"/>
      <c r="AW10" s="102"/>
      <c r="AX10" s="69"/>
      <c r="AY10" s="103"/>
      <c r="AZ10" s="69"/>
      <c r="BA10" s="69"/>
      <c r="BB10" s="75"/>
      <c r="BC10" s="75"/>
      <c r="BD10" s="75"/>
      <c r="BE10" s="75"/>
      <c r="BF10" s="76"/>
    </row>
    <row r="11" spans="1:58" x14ac:dyDescent="0.25">
      <c r="A11" s="170" t="s">
        <v>37</v>
      </c>
      <c r="B11" s="161" t="str">
        <f>IF(ISERROR(SUM(#REF!)),"-",SUM(#REF!))</f>
        <v>-</v>
      </c>
      <c r="C11" s="161"/>
      <c r="D11" s="98" t="str">
        <f>IF(ISERROR(SUM(#REF!)),"-",SUM(#REF!))</f>
        <v>-</v>
      </c>
      <c r="E11" s="172" t="str">
        <f>IF(ISERROR(F11/12*Occupancy!$B$65),"-",F11/12*Occupancy!$B$65)</f>
        <v>-</v>
      </c>
      <c r="F11" s="100" t="str">
        <f>IF(ISERROR(SUM(#REF!)),"-",SUM(#REF!))</f>
        <v>-</v>
      </c>
      <c r="G11" s="172" t="str">
        <f>IF(ISERROR(D11/$B11/VLOOKUP(Occupancy!$B$65,Occupancy!$B$68:'Occupancy'!$B$79,1)*12),"-",D11/$B11/VLOOKUP(Occupancy!$B$65,Occupancy!$B$68:'Occupancy'!$B$79,1)*12)</f>
        <v>-</v>
      </c>
      <c r="H11" s="172" t="str">
        <f>IF(ISERROR(E11/$B11/VLOOKUP(Occupancy!$B$65,Occupancy!$B$68:'Occupancy'!$B$79,1)*12),"-",E11/$B11/VLOOKUP(Occupancy!$B$65,Occupancy!$B$68:'Occupancy'!$B$79,1)*12)</f>
        <v>-</v>
      </c>
      <c r="I11" s="102" t="str">
        <f>IF(ISERROR(SUM(#REF!)),"-",SUM(#REF!))</f>
        <v>-</v>
      </c>
      <c r="J11" s="173" t="str">
        <f>IF(ISERROR(K11/12*Occupancy!$B$65),"-",K11/12*Occupancy!$B$65)</f>
        <v>-</v>
      </c>
      <c r="K11" s="103" t="str">
        <f>IF(ISERROR(SUM(#REF!)),"-",SUM(#REF!))</f>
        <v>-</v>
      </c>
      <c r="L11" s="173" t="str">
        <f>IF(ISERROR(I11/$B11/VLOOKUP(Occupancy!$B$65,Occupancy!$B$68:'Occupancy'!$B$79,1)*12),"-",I11/$B11/VLOOKUP(Occupancy!$B$65,Occupancy!$B$68:'Occupancy'!$B$79,1)*12)</f>
        <v>-</v>
      </c>
      <c r="M11" s="173" t="str">
        <f>IF(ISERROR(J11/$B11/VLOOKUP(Occupancy!$B$65,Occupancy!$B$68:'Occupancy'!$B$79,1)*12),"-",J11/$B11/VLOOKUP(Occupancy!$B$65,Occupancy!$B$68:'Occupancy'!$B$79,1)*12)</f>
        <v>-</v>
      </c>
      <c r="N11" s="99" t="str">
        <f>IF(ISERROR(SUM(#REF!)),"-",SUM(#REF!))</f>
        <v>-</v>
      </c>
      <c r="O11" s="172" t="str">
        <f>IF(ISERROR(P11/12*Occupancy!$B$65),"-",P11/12*Occupancy!$B$65)</f>
        <v>-</v>
      </c>
      <c r="P11" s="100" t="str">
        <f>IF(ISERROR(SUM(#REF!)),"-",SUM(#REF!))</f>
        <v>-</v>
      </c>
      <c r="Q11" s="172" t="str">
        <f>IF(ISERROR(N11/$B11/VLOOKUP(Occupancy!$B$65,Occupancy!$B$68:'Occupancy'!$B$79,1)*12),"-",N11/$B11/VLOOKUP(Occupancy!$B$65,Occupancy!$B$68:'Occupancy'!$B$79,1)*12)</f>
        <v>-</v>
      </c>
      <c r="R11" s="172" t="str">
        <f>IF(ISERROR(O11/$B11/VLOOKUP(Occupancy!$B$65,Occupancy!$B$68:'Occupancy'!$B$79,1)*12),"-",O11/$B11/VLOOKUP(Occupancy!$B$65,Occupancy!$B$68:'Occupancy'!$B$79,1)*12)</f>
        <v>-</v>
      </c>
      <c r="S11" s="103" t="str">
        <f>IF(ISERROR(SUM(#REF!)),"-",SUM(#REF!))</f>
        <v>-</v>
      </c>
      <c r="T11" s="173" t="str">
        <f>IF(ISERROR(U11/12*Occupancy!$B$65),"-",U11/12*Occupancy!$B$65)</f>
        <v>-</v>
      </c>
      <c r="U11" s="103" t="str">
        <f>IF(ISERROR(SUM(#REF!)),"-",SUM(#REF!))</f>
        <v>-</v>
      </c>
      <c r="V11" s="173" t="str">
        <f>IF(ISERROR(S11/$B11/VLOOKUP(Occupancy!$B$65,Occupancy!$B$68:'Occupancy'!$B$79,1)*12),"-",S11/$B11/VLOOKUP(Occupancy!$B$65,Occupancy!$B$68:'Occupancy'!$B$79,1)*12)</f>
        <v>-</v>
      </c>
      <c r="W11" s="173" t="str">
        <f>IF(ISERROR(T11/$B11/VLOOKUP(Occupancy!$B$65,Occupancy!$B$68:'Occupancy'!$B$79,1)*12),"-",T11/$B11/VLOOKUP(Occupancy!$B$65,Occupancy!$B$68:'Occupancy'!$B$79,1)*12)</f>
        <v>-</v>
      </c>
      <c r="X11" s="99" t="str">
        <f>IF(ISERROR(SUM(#REF!)),"-",SUM(#REF!))</f>
        <v>-</v>
      </c>
      <c r="Y11" s="172" t="str">
        <f>IF(ISERROR(Z11/12*Occupancy!$B$65),"-",Z11/12*Occupancy!$B$65)</f>
        <v>-</v>
      </c>
      <c r="Z11" s="100" t="str">
        <f>IF(ISERROR(SUM(#REF!)),"-",SUM(#REF!))</f>
        <v>-</v>
      </c>
      <c r="AA11" s="172" t="str">
        <f>IF(ISERROR(X11/$B11/VLOOKUP(Occupancy!$B$65,Occupancy!$B$68:'Occupancy'!$B$79,1)*12),"-",X11/$B11/VLOOKUP(Occupancy!$B$65,Occupancy!$B$68:'Occupancy'!$B$79,1)*12)</f>
        <v>-</v>
      </c>
      <c r="AB11" s="174" t="str">
        <f>IF(ISERROR(Y11/$B11/VLOOKUP(Occupancy!$B$65,Occupancy!$B$68:'Occupancy'!$B$79,1)*12),"-",Y11/$B11/VLOOKUP(Occupancy!$B$65,Occupancy!$B$68:'Occupancy'!$B$79,1)*12)</f>
        <v>-</v>
      </c>
      <c r="AC11" s="103" t="str">
        <f>IF(ISERROR(SUM(#REF!)),"-",SUM(#REF!))</f>
        <v>-</v>
      </c>
      <c r="AD11" s="173" t="str">
        <f>IF(ISERROR(AE11/12*Occupancy!$B$65),"-",AE11/12*Occupancy!$B$65)</f>
        <v>-</v>
      </c>
      <c r="AE11" s="103" t="str">
        <f>IF(ISERROR(SUM(#REF!)),"-",SUM(#REF!))</f>
        <v>-</v>
      </c>
      <c r="AF11" s="173" t="str">
        <f>IF(ISERROR(AC11/$B11/VLOOKUP(Occupancy!$B$65,Occupancy!$B$68:'Occupancy'!$B$79,1)*12),"-",AC11/$B11/VLOOKUP(Occupancy!$B$65,Occupancy!$B$68:'Occupancy'!$B$79,1)*12)</f>
        <v>-</v>
      </c>
      <c r="AG11" s="175" t="str">
        <f>IF(ISERROR(AD11/$B11/VLOOKUP(Occupancy!$B$65,Occupancy!$B$68:'Occupancy'!$B$79,1)*12),"-",AD11/$B11/VLOOKUP(Occupancy!$B$65,Occupancy!$B$68:'Occupancy'!$B$79,1)*12)</f>
        <v>-</v>
      </c>
      <c r="AH11" s="100" t="str">
        <f>IF(ISERROR(SUM(#REF!)),"-",SUM(#REF!))</f>
        <v>-</v>
      </c>
      <c r="AI11" s="172" t="str">
        <f>IF(ISERROR(AJ11/12*Occupancy!$B$65),"-",AJ11/12*Occupancy!$B$65)</f>
        <v>-</v>
      </c>
      <c r="AJ11" s="100" t="str">
        <f>IF(ISERROR(SUM(#REF!)),"-",SUM(#REF!))</f>
        <v>-</v>
      </c>
      <c r="AK11" s="172" t="str">
        <f>IF(ISERROR(AH11/$B11/VLOOKUP(Occupancy!$B$65,Occupancy!$B$68:'Occupancy'!$B$79,1)*12),"-",AH11/$B11/VLOOKUP(Occupancy!$B$65,Occupancy!$B$68:'Occupancy'!$B$79,1)*12)</f>
        <v>-</v>
      </c>
      <c r="AL11" s="174" t="str">
        <f>IF(ISERROR(AI11/$B11/VLOOKUP(Occupancy!$B$65,Occupancy!$B$68:'Occupancy'!$B$79,1)*12),"-",AI11/$B11/VLOOKUP(Occupancy!$B$65,Occupancy!$B$68:'Occupancy'!$B$79,1)*12)</f>
        <v>-</v>
      </c>
      <c r="AM11" s="102" t="str">
        <f>IF(ISERROR(SUM(#REF!)),"-",SUM(#REF!))</f>
        <v>-</v>
      </c>
      <c r="AN11" s="173" t="str">
        <f>IF(ISERROR(AO11/12*Occupancy!$B$65),"-",AO11/12*Occupancy!$B$65)</f>
        <v>-</v>
      </c>
      <c r="AO11" s="103" t="str">
        <f>IF(ISERROR(SUM(#REF!)),"-",SUM(#REF!))</f>
        <v>-</v>
      </c>
      <c r="AP11" s="173" t="str">
        <f>IF(ISERROR(AM11/$B11/VLOOKUP(Occupancy!$B$65,Occupancy!$B$68:'Occupancy'!$B$79,1)*12),"-",AM11/$B11/VLOOKUP(Occupancy!$B$65,Occupancy!$B$68:'Occupancy'!$B$79,1)*12)</f>
        <v>-</v>
      </c>
      <c r="AQ11" s="173" t="str">
        <f>IF(ISERROR(AN11/$B11/VLOOKUP(Occupancy!$B$65,Occupancy!$B$68:'Occupancy'!$B$79,1)*12),"-",AN11/$B11/VLOOKUP(Occupancy!$B$65,Occupancy!$B$68:'Occupancy'!$B$79,1)*12)</f>
        <v>-</v>
      </c>
      <c r="AR11" s="109" t="str">
        <f>IF(ISERROR(SUM(#REF!)),"-",SUM(#REF!))</f>
        <v>-</v>
      </c>
      <c r="AS11" s="172" t="str">
        <f>IF(ISERROR(AT11/12*Occupancy!$B$65),"-",AT11/12*Occupancy!$B$65)</f>
        <v>-</v>
      </c>
      <c r="AT11" s="100" t="str">
        <f>IF(ISERROR(SUM(#REF!)),"-",SUM(#REF!))</f>
        <v>-</v>
      </c>
      <c r="AU11" s="172" t="str">
        <f>IF(ISERROR(AR11/$B11/VLOOKUP(Occupancy!$B$65,Occupancy!$B$68:'Occupancy'!$B$79,1)*12),"-",AR11/$B11/VLOOKUP(Occupancy!$B$65,Occupancy!$B$68:'Occupancy'!$B$79,1)*12)</f>
        <v>-</v>
      </c>
      <c r="AV11" s="172" t="str">
        <f>IF(ISERROR(AS11/$B11/VLOOKUP(Occupancy!$B$65,Occupancy!$B$68:'Occupancy'!$B$79,1)*12),"-",AS11/$B11/VLOOKUP(Occupancy!$B$65,Occupancy!$B$68:'Occupancy'!$B$79,1)*12)</f>
        <v>-</v>
      </c>
      <c r="AW11" s="102" t="str">
        <f>IF(ISERROR(SUM(#REF!)),"-",SUM(#REF!))</f>
        <v>-</v>
      </c>
      <c r="AX11" s="173" t="str">
        <f>IF(ISERROR(AY11/12*Occupancy!$B$65),"-",AY11/12*Occupancy!$B$65)</f>
        <v>-</v>
      </c>
      <c r="AY11" s="103" t="str">
        <f>IF(ISERROR(SUM(#REF!)),"-",SUM(#REF!))</f>
        <v>-</v>
      </c>
      <c r="AZ11" s="173" t="str">
        <f>IF(ISERROR(AW11/$B11/VLOOKUP(Occupancy!$B$65,Occupancy!$B$68:'Occupancy'!$B$79,1)*12),"-",AW11/$B11/VLOOKUP(Occupancy!$B$65,Occupancy!$B$68:'Occupancy'!$B$79,1)*12)</f>
        <v>-</v>
      </c>
      <c r="BA11" s="173" t="str">
        <f>IF(ISERROR(AX11/$B11/VLOOKUP(Occupancy!$B$65,Occupancy!$B$68:'Occupancy'!$B$79,1)*12),"-",AX11/$B11/VLOOKUP(Occupancy!$B$65,Occupancy!$B$68:'Occupancy'!$B$79,1)*12)</f>
        <v>-</v>
      </c>
      <c r="BB11" s="176" t="str">
        <f>IF(ISERROR(SUM(#REF!)),"-",SUM(#REF!))</f>
        <v>-</v>
      </c>
      <c r="BC11" s="176" t="str">
        <f>IF(ISERROR(SUM(#REF!)),"-",SUM(#REF!))</f>
        <v>-</v>
      </c>
      <c r="BD11" s="176" t="str">
        <f>IF(ISERROR(SUM(#REF!)),"-",SUM(#REF!))</f>
        <v>-</v>
      </c>
      <c r="BE11" s="176" t="str">
        <f>IF(ISERROR(BB11/$B11/VLOOKUP(Occupancy!$B$65,Occupancy!$B$68:'Occupancy'!$B$79,1)*12),"-",BB11/$B11/VLOOKUP(Occupancy!$B$65,Occupancy!$B$68:'Occupancy'!$B$79,1)*12)</f>
        <v>-</v>
      </c>
      <c r="BF11" s="177" t="str">
        <f>IF(ISERROR(BC11/$B11/VLOOKUP(Occupancy!$B$65,Occupancy!$B$68:'Occupancy'!$B$79,1)*12),"-",BC11/$B11/VLOOKUP(Occupancy!$B$65,Occupancy!$B$68:'Occupancy'!$B$79,1)*12)</f>
        <v>-</v>
      </c>
    </row>
    <row r="12" spans="1:58" x14ac:dyDescent="0.25">
      <c r="A12" s="178"/>
      <c r="B12" s="17"/>
      <c r="C12" s="179"/>
      <c r="D12" s="98"/>
      <c r="E12" s="180"/>
      <c r="F12" s="100"/>
      <c r="G12" s="181"/>
      <c r="H12" s="181"/>
      <c r="I12" s="102"/>
      <c r="J12" s="182"/>
      <c r="K12" s="103"/>
      <c r="L12" s="183"/>
      <c r="M12" s="183"/>
      <c r="N12" s="99"/>
      <c r="O12" s="180"/>
      <c r="P12" s="100"/>
      <c r="Q12" s="181"/>
      <c r="R12" s="181"/>
      <c r="S12" s="103"/>
      <c r="T12" s="182"/>
      <c r="U12" s="103"/>
      <c r="V12" s="183"/>
      <c r="W12" s="183"/>
      <c r="X12" s="99"/>
      <c r="Y12" s="180"/>
      <c r="Z12" s="100"/>
      <c r="AA12" s="181"/>
      <c r="AB12" s="184"/>
      <c r="AC12" s="103"/>
      <c r="AD12" s="182"/>
      <c r="AE12" s="103"/>
      <c r="AF12" s="183"/>
      <c r="AG12" s="185"/>
      <c r="AH12" s="100"/>
      <c r="AI12" s="180"/>
      <c r="AJ12" s="100"/>
      <c r="AK12" s="181"/>
      <c r="AL12" s="184"/>
      <c r="AM12" s="102"/>
      <c r="AN12" s="182"/>
      <c r="AO12" s="103"/>
      <c r="AP12" s="183"/>
      <c r="AQ12" s="183"/>
      <c r="AR12" s="109"/>
      <c r="AS12" s="180"/>
      <c r="AT12" s="100">
        <f>SUMIFS(AnnualFinancialData!$L$2:$L$6366,AnnualFinancialData!$B$2:$B$6366,$A12,AnnualFinancialData!$K$2:$K$6366,"55301")</f>
        <v>0</v>
      </c>
      <c r="AU12" s="181"/>
      <c r="AV12" s="181"/>
      <c r="AW12" s="102"/>
      <c r="AX12" s="182"/>
      <c r="AY12" s="103"/>
      <c r="AZ12" s="183"/>
      <c r="BA12" s="183"/>
      <c r="BB12" s="186"/>
      <c r="BC12" s="186"/>
      <c r="BD12" s="186"/>
      <c r="BE12" s="187"/>
      <c r="BF12" s="188"/>
    </row>
    <row r="13" spans="1:58" x14ac:dyDescent="0.25">
      <c r="A13" s="151" t="s">
        <v>20</v>
      </c>
      <c r="B13" s="153"/>
      <c r="C13" s="149"/>
      <c r="D13" s="98"/>
      <c r="E13" s="83"/>
      <c r="F13" s="100"/>
      <c r="G13" s="83"/>
      <c r="H13" s="83"/>
      <c r="I13" s="102"/>
      <c r="J13" s="86"/>
      <c r="K13" s="103"/>
      <c r="L13" s="86"/>
      <c r="M13" s="86"/>
      <c r="N13" s="99"/>
      <c r="O13" s="83"/>
      <c r="P13" s="100"/>
      <c r="Q13" s="83"/>
      <c r="R13" s="83"/>
      <c r="S13" s="103"/>
      <c r="T13" s="86"/>
      <c r="U13" s="103"/>
      <c r="V13" s="86"/>
      <c r="W13" s="86"/>
      <c r="X13" s="99"/>
      <c r="Y13" s="83"/>
      <c r="Z13" s="100"/>
      <c r="AA13" s="83"/>
      <c r="AB13" s="87"/>
      <c r="AC13" s="103"/>
      <c r="AD13" s="86"/>
      <c r="AE13" s="103"/>
      <c r="AF13" s="86"/>
      <c r="AG13" s="88"/>
      <c r="AH13" s="100"/>
      <c r="AI13" s="83"/>
      <c r="AJ13" s="100"/>
      <c r="AK13" s="83"/>
      <c r="AL13" s="87"/>
      <c r="AM13" s="102"/>
      <c r="AN13" s="86"/>
      <c r="AO13" s="103"/>
      <c r="AP13" s="86"/>
      <c r="AQ13" s="86"/>
      <c r="AR13" s="109"/>
      <c r="AS13" s="83"/>
      <c r="AT13" s="100">
        <f>SUMIFS(AnnualFinancialData!$L$2:$L$6366,AnnualFinancialData!$B$2:$B$6366,$A13,AnnualFinancialData!$K$2:$K$6366,"55301")</f>
        <v>0</v>
      </c>
      <c r="AU13" s="83"/>
      <c r="AV13" s="83"/>
      <c r="AW13" s="102"/>
      <c r="AX13" s="86"/>
      <c r="AY13" s="103"/>
      <c r="AZ13" s="86"/>
      <c r="BA13" s="86"/>
      <c r="BB13" s="89"/>
      <c r="BC13" s="89"/>
      <c r="BD13" s="89"/>
      <c r="BE13" s="89"/>
      <c r="BF13" s="90"/>
    </row>
    <row r="14" spans="1:58" x14ac:dyDescent="0.25">
      <c r="A14" s="150"/>
      <c r="B14" s="17"/>
      <c r="C14" s="17"/>
      <c r="D14" s="65"/>
      <c r="E14" s="66"/>
      <c r="F14" s="67"/>
      <c r="G14" s="66"/>
      <c r="H14" s="66"/>
      <c r="I14" s="68"/>
      <c r="J14" s="69"/>
      <c r="K14" s="68"/>
      <c r="L14" s="69"/>
      <c r="M14" s="69"/>
      <c r="N14" s="67"/>
      <c r="O14" s="66"/>
      <c r="P14" s="67"/>
      <c r="Q14" s="66"/>
      <c r="R14" s="66"/>
      <c r="S14" s="68"/>
      <c r="T14" s="69"/>
      <c r="U14" s="68"/>
      <c r="V14" s="69"/>
      <c r="W14" s="69"/>
      <c r="X14" s="67"/>
      <c r="Y14" s="66"/>
      <c r="Z14" s="67"/>
      <c r="AA14" s="66"/>
      <c r="AB14" s="70"/>
      <c r="AC14" s="71"/>
      <c r="AD14" s="69"/>
      <c r="AE14" s="71"/>
      <c r="AF14" s="69"/>
      <c r="AG14" s="72"/>
      <c r="AH14" s="73"/>
      <c r="AI14" s="66"/>
      <c r="AJ14" s="67"/>
      <c r="AK14" s="66"/>
      <c r="AL14" s="70"/>
      <c r="AM14" s="74"/>
      <c r="AN14" s="69"/>
      <c r="AO14" s="74"/>
      <c r="AP14" s="69"/>
      <c r="AQ14" s="69"/>
      <c r="AR14" s="73"/>
      <c r="AS14" s="66"/>
      <c r="AT14" s="67"/>
      <c r="AU14" s="66"/>
      <c r="AV14" s="66"/>
      <c r="AW14" s="68"/>
      <c r="AX14" s="69"/>
      <c r="AY14" s="68"/>
      <c r="AZ14" s="69"/>
      <c r="BA14" s="69"/>
      <c r="BB14" s="75"/>
      <c r="BC14" s="75"/>
      <c r="BD14" s="75"/>
      <c r="BE14" s="75"/>
      <c r="BF14" s="76"/>
    </row>
    <row r="15" spans="1:58" x14ac:dyDescent="0.25">
      <c r="A15" s="144" t="s">
        <v>79</v>
      </c>
      <c r="B15" s="91" t="str">
        <f>IF(ISERROR(SUM(#REF!)),"-",SUM(#REF!))</f>
        <v>-</v>
      </c>
      <c r="C15" s="91"/>
      <c r="D15" s="92" t="str">
        <f>IF(ISERROR(SUM(#REF!)),"-",SUM(#REF!))</f>
        <v>-</v>
      </c>
      <c r="E15" s="92" t="str">
        <f>IF(ISERROR(F15/12*Occupancy!$B$65),"-",F15/12*Occupancy!$B$65)</f>
        <v>-</v>
      </c>
      <c r="F15" s="92" t="str">
        <f>IF(ISERROR(SUM(#REF!)),"-",SUM(#REF!))</f>
        <v>-</v>
      </c>
      <c r="G15" s="92" t="str">
        <f>IF(ISERROR(D15/$B15/VLOOKUP(Occupancy!$B$65,Occupancy!$B$68:'Occupancy'!$B$79,1)*12),"-",D15/$B15/VLOOKUP(Occupancy!$B$65,Occupancy!$B$68:'Occupancy'!$B$79,1)*12)</f>
        <v>-</v>
      </c>
      <c r="H15" s="92" t="str">
        <f>IF(ISERROR(E15/$B15/VLOOKUP(Occupancy!$B$65,Occupancy!$B$68:'Occupancy'!$B$79,1)*12),"-",E15/$B15/VLOOKUP(Occupancy!$B$65,Occupancy!$B$68:'Occupancy'!$B$79,1)*12)</f>
        <v>-</v>
      </c>
      <c r="I15" s="93" t="str">
        <f>IF(ISERROR(SUM(#REF!)),"-",SUM(#REF!))</f>
        <v>-</v>
      </c>
      <c r="J15" s="93" t="str">
        <f>IF(ISERROR(K15/12*Occupancy!$B$65),"-",K15/12*Occupancy!$B$65)</f>
        <v>-</v>
      </c>
      <c r="K15" s="93" t="str">
        <f>IF(ISERROR(SUM(#REF!)),"-",SUM(#REF!))</f>
        <v>-</v>
      </c>
      <c r="L15" s="93" t="str">
        <f>IF(ISERROR(I15/$B15/VLOOKUP(Occupancy!$B$65,Occupancy!$B$68:'Occupancy'!$B$79,1)*12),"-",I15/$B15/VLOOKUP(Occupancy!$B$65,Occupancy!$B$68:'Occupancy'!$B$79,1)*12)</f>
        <v>-</v>
      </c>
      <c r="M15" s="93" t="str">
        <f>IF(ISERROR(J15/$B15/VLOOKUP(Occupancy!$B$65,Occupancy!$B$68:'Occupancy'!$B$79,1)*12),"-",J15/$B15/VLOOKUP(Occupancy!$B$65,Occupancy!$B$68:'Occupancy'!$B$79,1)*12)</f>
        <v>-</v>
      </c>
      <c r="N15" s="92" t="str">
        <f>IF(ISERROR(SUM(#REF!)),"-",SUM(#REF!))</f>
        <v>-</v>
      </c>
      <c r="O15" s="92" t="str">
        <f>IF(ISERROR(P15/12*Occupancy!$B$65),"-",P15/12*Occupancy!$B$65)</f>
        <v>-</v>
      </c>
      <c r="P15" s="92" t="str">
        <f>IF(ISERROR(SUM(#REF!)),"-",SUM(#REF!))</f>
        <v>-</v>
      </c>
      <c r="Q15" s="92" t="str">
        <f>IF(ISERROR(N15/$B15/VLOOKUP(Occupancy!$B$65,Occupancy!$B$68:'Occupancy'!$B$79,1)*12),"-",N15/$B15/VLOOKUP(Occupancy!$B$65,Occupancy!$B$68:'Occupancy'!$B$79,1)*12)</f>
        <v>-</v>
      </c>
      <c r="R15" s="92" t="str">
        <f>IF(ISERROR(O15/$B15/VLOOKUP(Occupancy!$B$65,Occupancy!$B$68:'Occupancy'!$B$79,1)*12),"-",O15/$B15/VLOOKUP(Occupancy!$B$65,Occupancy!$B$68:'Occupancy'!$B$79,1)*12)</f>
        <v>-</v>
      </c>
      <c r="S15" s="93" t="str">
        <f>IF(ISERROR(SUM(#REF!)),"-",SUM(#REF!))</f>
        <v>-</v>
      </c>
      <c r="T15" s="93" t="str">
        <f>IF(ISERROR(U15/12*Occupancy!$B$65),"-",U15/12*Occupancy!$B$65)</f>
        <v>-</v>
      </c>
      <c r="U15" s="93" t="str">
        <f>IF(ISERROR(SUM(#REF!)),"-",SUM(#REF!))</f>
        <v>-</v>
      </c>
      <c r="V15" s="93" t="str">
        <f>IF(ISERROR(S15/$B15/VLOOKUP(Occupancy!$B$65,Occupancy!$B$68:'Occupancy'!$B$79,1)*12),"-",S15/$B15/VLOOKUP(Occupancy!$B$65,Occupancy!$B$68:'Occupancy'!$B$79,1)*12)</f>
        <v>-</v>
      </c>
      <c r="W15" s="93" t="str">
        <f>IF(ISERROR(T15/$B15/VLOOKUP(Occupancy!$B$65,Occupancy!$B$68:'Occupancy'!$B$79,1)*12),"-",T15/$B15/VLOOKUP(Occupancy!$B$65,Occupancy!$B$68:'Occupancy'!$B$79,1)*12)</f>
        <v>-</v>
      </c>
      <c r="X15" s="92" t="str">
        <f>IF(ISERROR(SUM(#REF!)),"-",SUM(#REF!))</f>
        <v>-</v>
      </c>
      <c r="Y15" s="92" t="str">
        <f>IF(ISERROR(Z15/12*Occupancy!$B$65),"-",Z15/12*Occupancy!$B$65)</f>
        <v>-</v>
      </c>
      <c r="Z15" s="92" t="str">
        <f>IF(ISERROR(SUM(#REF!)),"-",SUM(#REF!))</f>
        <v>-</v>
      </c>
      <c r="AA15" s="92" t="str">
        <f>IF(ISERROR(X15/$B15/VLOOKUP(Occupancy!$B$65,Occupancy!$B$68:'Occupancy'!$B$79,1)*12),"-",X15/$B15/VLOOKUP(Occupancy!$B$65,Occupancy!$B$68:'Occupancy'!$B$79,1)*12)</f>
        <v>-</v>
      </c>
      <c r="AB15" s="94" t="str">
        <f>IF(ISERROR(Y15/$B15/VLOOKUP(Occupancy!$B$65,Occupancy!$B$68:'Occupancy'!$B$79,1)*12),"-",Y15/$B15/VLOOKUP(Occupancy!$B$65,Occupancy!$B$68:'Occupancy'!$B$79,1)*12)</f>
        <v>-</v>
      </c>
      <c r="AC15" s="93" t="str">
        <f>IF(ISERROR(SUM(#REF!)),"-",SUM(#REF!))</f>
        <v>-</v>
      </c>
      <c r="AD15" s="93" t="str">
        <f>IF(ISERROR(AE15/12*Occupancy!$B$65),"-",AE15/12*Occupancy!$B$65)</f>
        <v>-</v>
      </c>
      <c r="AE15" s="93" t="str">
        <f>IF(ISERROR(SUM(#REF!)),"-",SUM(#REF!))</f>
        <v>-</v>
      </c>
      <c r="AF15" s="93" t="str">
        <f>IF(ISERROR(AC15/$B15/VLOOKUP(Occupancy!$B$65,Occupancy!$B$68:'Occupancy'!$B$79,1)*12),"-",AC15/$B15/VLOOKUP(Occupancy!$B$65,Occupancy!$B$68:'Occupancy'!$B$79,1)*12)</f>
        <v>-</v>
      </c>
      <c r="AG15" s="95" t="str">
        <f>IF(ISERROR(AD15/$B15/VLOOKUP(Occupancy!$B$65,Occupancy!$B$68:'Occupancy'!$B$79,1)*12),"-",AD15/$B15/VLOOKUP(Occupancy!$B$65,Occupancy!$B$68:'Occupancy'!$B$79,1)*12)</f>
        <v>-</v>
      </c>
      <c r="AH15" s="92" t="str">
        <f>IF(ISERROR(SUM(#REF!)),"-",SUM(#REF!))</f>
        <v>-</v>
      </c>
      <c r="AI15" s="92" t="str">
        <f>IF(ISERROR(AJ15/12*Occupancy!$B$65),"-",AJ15/12*Occupancy!$B$65)</f>
        <v>-</v>
      </c>
      <c r="AJ15" s="92" t="str">
        <f>IF(ISERROR(SUM(#REF!)),"-",SUM(#REF!))</f>
        <v>-</v>
      </c>
      <c r="AK15" s="92" t="str">
        <f>IF(ISERROR(AH15/$B15/VLOOKUP(Occupancy!$B$65,Occupancy!$B$68:'Occupancy'!$B$79,1)*12),"-",AH15/$B15/VLOOKUP(Occupancy!$B$65,Occupancy!$B$68:'Occupancy'!$B$79,1)*12)</f>
        <v>-</v>
      </c>
      <c r="AL15" s="94" t="str">
        <f>IF(ISERROR(AI15/$B15/VLOOKUP(Occupancy!$B$65,Occupancy!$B$68:'Occupancy'!$B$79,1)*12),"-",AI15/$B15/VLOOKUP(Occupancy!$B$65,Occupancy!$B$68:'Occupancy'!$B$79,1)*12)</f>
        <v>-</v>
      </c>
      <c r="AM15" s="93" t="str">
        <f>IF(ISERROR(SUM(#REF!)),"-",SUM(#REF!))</f>
        <v>-</v>
      </c>
      <c r="AN15" s="93" t="str">
        <f>IF(ISERROR(AO15/12*Occupancy!$B$65),"-",AO15/12*Occupancy!$B$65)</f>
        <v>-</v>
      </c>
      <c r="AO15" s="93" t="str">
        <f>IF(ISERROR(SUM(#REF!)),"-",SUM(#REF!))</f>
        <v>-</v>
      </c>
      <c r="AP15" s="93" t="str">
        <f>IF(ISERROR(AM15/$B15/VLOOKUP(Occupancy!$B$65,Occupancy!$B$68:'Occupancy'!$B$79,1)*12),"-",AM15/$B15/VLOOKUP(Occupancy!$B$65,Occupancy!$B$68:'Occupancy'!$B$79,1)*12)</f>
        <v>-</v>
      </c>
      <c r="AQ15" s="93" t="str">
        <f>IF(ISERROR(AN15/$B15/VLOOKUP(Occupancy!$B$65,Occupancy!$B$68:'Occupancy'!$B$79,1)*12),"-",AN15/$B15/VLOOKUP(Occupancy!$B$65,Occupancy!$B$68:'Occupancy'!$B$79,1)*12)</f>
        <v>-</v>
      </c>
      <c r="AR15" s="92" t="str">
        <f>IF(ISERROR(SUM(#REF!)),"-",SUM(#REF!))</f>
        <v>-</v>
      </c>
      <c r="AS15" s="92" t="str">
        <f>IF(ISERROR(AT15/12*Occupancy!$B$65),"-",AT15/12*Occupancy!$B$65)</f>
        <v>-</v>
      </c>
      <c r="AT15" s="92" t="str">
        <f>IF(ISERROR(SUM(#REF!)),"-",SUM(#REF!))</f>
        <v>-</v>
      </c>
      <c r="AU15" s="92" t="str">
        <f>IF(ISERROR(AR15/$B15/VLOOKUP(Occupancy!$B$65,Occupancy!$B$68:'Occupancy'!$B$79,1)*12),"-",AR15/$B15/VLOOKUP(Occupancy!$B$65,Occupancy!$B$68:'Occupancy'!$B$79,1)*12)</f>
        <v>-</v>
      </c>
      <c r="AV15" s="92" t="str">
        <f>IF(ISERROR(AS15/$B15/VLOOKUP(Occupancy!$B$65,Occupancy!$B$68:'Occupancy'!$B$79,1)*12),"-",AS15/$B15/VLOOKUP(Occupancy!$B$65,Occupancy!$B$68:'Occupancy'!$B$79,1)*12)</f>
        <v>-</v>
      </c>
      <c r="AW15" s="93" t="str">
        <f>IF(ISERROR(SUM(#REF!)),"-",SUM(#REF!))</f>
        <v>-</v>
      </c>
      <c r="AX15" s="93" t="str">
        <f>IF(ISERROR(AY15/12*Occupancy!$B$65),"-",AY15/12*Occupancy!$B$65)</f>
        <v>-</v>
      </c>
      <c r="AY15" s="93" t="str">
        <f>IF(ISERROR(SUM(#REF!)),"-",SUM(#REF!))</f>
        <v>-</v>
      </c>
      <c r="AZ15" s="93" t="str">
        <f>IF(ISERROR(AW15/$B15/VLOOKUP(Occupancy!$B$65,Occupancy!$B$68:'Occupancy'!$B$79,1)*12),"-",AW15/$B15/VLOOKUP(Occupancy!$B$65,Occupancy!$B$68:'Occupancy'!$B$79,1)*12)</f>
        <v>-</v>
      </c>
      <c r="BA15" s="93" t="str">
        <f>IF(ISERROR(AX15/$B15/VLOOKUP(Occupancy!$B$65,Occupancy!$B$68:'Occupancy'!$B$79,1)*12),"-",AX15/$B15/VLOOKUP(Occupancy!$B$65,Occupancy!$B$68:'Occupancy'!$B$79,1)*12)</f>
        <v>-</v>
      </c>
      <c r="BB15" s="96" t="str">
        <f>IF(ISERROR(SUM(#REF!)),"-",SUM(#REF!))</f>
        <v>-</v>
      </c>
      <c r="BC15" s="96" t="str">
        <f>IF(ISERROR(SUM(#REF!)),"-",SUM(#REF!))</f>
        <v>-</v>
      </c>
      <c r="BD15" s="96" t="str">
        <f>IF(ISERROR(SUM(#REF!)),"-",SUM(#REF!))</f>
        <v>-</v>
      </c>
      <c r="BE15" s="96" t="str">
        <f>IF(ISERROR(BB15/$B15/VLOOKUP(Occupancy!$B$65,Occupancy!$B$68:'Occupancy'!$B$79,1)*12),"-",BB15/$B15/VLOOKUP(Occupancy!$B$65,Occupancy!$B$68:'Occupancy'!$B$79,1)*12)</f>
        <v>-</v>
      </c>
      <c r="BF15" s="97" t="str">
        <f>IF(ISERROR(BC15/$B15/VLOOKUP(Occupancy!$B$65,Occupancy!$B$68:'Occupancy'!$B$79,1)*12),"-",BC15/$B15/VLOOKUP(Occupancy!$B$65,Occupancy!$B$68:'Occupancy'!$B$79,1)*12)</f>
        <v>-</v>
      </c>
    </row>
    <row r="136" spans="5:58" x14ac:dyDescent="0.25">
      <c r="E136">
        <f>IF(ISERROR(F136/12*Occupancy!$B$65),"-",F136/12*Occupancy!$B$65)</f>
        <v>0</v>
      </c>
      <c r="G136" t="str">
        <f>IF(ISERROR(D136/$B136/VLOOKUP(Occupancy!$B$65,Occupancy!$B$68:'Occupancy'!$B$79,1)*12),"-",D136/$B136/VLOOKUP(Occupancy!$B$65,Occupancy!$B$68:'Occupancy'!$B$79,1)*12)</f>
        <v>-</v>
      </c>
      <c r="H136" t="str">
        <f>IF(ISERROR(E136/$B136/VLOOKUP(Occupancy!$B$65,Occupancy!$B$68:'Occupancy'!$B$79,1)*12),"-",E136/$B136/VLOOKUP(Occupancy!$B$65,Occupancy!$B$68:'Occupancy'!$B$79,1)*12)</f>
        <v>-</v>
      </c>
      <c r="J136">
        <f>IF(ISERROR(K136/12*Occupancy!$B$65),"-",K136/12*Occupancy!$B$65)</f>
        <v>0</v>
      </c>
      <c r="L136" t="str">
        <f>IF(ISERROR(I136/$B136/VLOOKUP(Occupancy!$B$65,Occupancy!$B$68:'Occupancy'!$B$79,1)*12),"-",I136/$B136/VLOOKUP(Occupancy!$B$65,Occupancy!$B$68:'Occupancy'!$B$79,1)*12)</f>
        <v>-</v>
      </c>
      <c r="M136" t="str">
        <f>IF(ISERROR(J136/$B136/VLOOKUP(Occupancy!$B$65,Occupancy!$B$68:'Occupancy'!$B$79,1)*12),"-",J136/$B136/VLOOKUP(Occupancy!$B$65,Occupancy!$B$68:'Occupancy'!$B$79,1)*12)</f>
        <v>-</v>
      </c>
      <c r="O136">
        <f>IF(ISERROR(P136/12*Occupancy!$B$65),"-",P136/12*Occupancy!$B$65)</f>
        <v>0</v>
      </c>
      <c r="Q136" t="str">
        <f>IF(ISERROR(N136/$B136/VLOOKUP(Occupancy!$B$65,Occupancy!$B$68:'Occupancy'!$B$79,1)*12),"-",N136/$B136/VLOOKUP(Occupancy!$B$65,Occupancy!$B$68:'Occupancy'!$B$79,1)*12)</f>
        <v>-</v>
      </c>
      <c r="R136" t="str">
        <f>IF(ISERROR(O136/$B136/VLOOKUP(Occupancy!$B$65,Occupancy!$B$68:'Occupancy'!$B$79,1)*12),"-",O136/$B136/VLOOKUP(Occupancy!$B$65,Occupancy!$B$68:'Occupancy'!$B$79,1)*12)</f>
        <v>-</v>
      </c>
      <c r="T136">
        <f>IF(ISERROR(U136/12*Occupancy!$B$65),"-",U136/12*Occupancy!$B$65)</f>
        <v>0</v>
      </c>
      <c r="V136" t="str">
        <f>IF(ISERROR(S136/$B136/VLOOKUP(Occupancy!$B$65,Occupancy!$B$68:'Occupancy'!$B$79,1)*12),"-",S136/$B136/VLOOKUP(Occupancy!$B$65,Occupancy!$B$68:'Occupancy'!$B$79,1)*12)</f>
        <v>-</v>
      </c>
      <c r="W136" t="str">
        <f>IF(ISERROR(T136/$B136/VLOOKUP(Occupancy!$B$65,Occupancy!$B$68:'Occupancy'!$B$79,1)*12),"-",T136/$B136/VLOOKUP(Occupancy!$B$65,Occupancy!$B$68:'Occupancy'!$B$79,1)*12)</f>
        <v>-</v>
      </c>
      <c r="Y136">
        <f>IF(ISERROR(Z136/12*Occupancy!$B$65),"-",Z136/12*Occupancy!$B$65)</f>
        <v>0</v>
      </c>
      <c r="AA136" t="str">
        <f>IF(ISERROR(X136/$B136/VLOOKUP(Occupancy!$B$65,Occupancy!$B$68:'Occupancy'!$B$79,1)*12),"-",X136/$B136/VLOOKUP(Occupancy!$B$65,Occupancy!$B$68:'Occupancy'!$B$79,1)*12)</f>
        <v>-</v>
      </c>
      <c r="AB136" t="str">
        <f>IF(ISERROR(Y136/$B136/VLOOKUP(Occupancy!$B$65,Occupancy!$B$68:'Occupancy'!$B$79,1)*12),"-",Y136/$B136/VLOOKUP(Occupancy!$B$65,Occupancy!$B$68:'Occupancy'!$B$79,1)*12)</f>
        <v>-</v>
      </c>
      <c r="AD136">
        <f>IF(ISERROR(AE136/12*Occupancy!$B$65),"-",AE136/12*Occupancy!$B$65)</f>
        <v>0</v>
      </c>
      <c r="AF136" t="str">
        <f>IF(ISERROR(AC136/$B136/VLOOKUP(Occupancy!$B$65,Occupancy!$B$68:'Occupancy'!$B$79,1)*12),"-",AC136/$B136/VLOOKUP(Occupancy!$B$65,Occupancy!$B$68:'Occupancy'!$B$79,1)*12)</f>
        <v>-</v>
      </c>
      <c r="AG136" t="str">
        <f>IF(ISERROR(AD136/$B136/VLOOKUP(Occupancy!$B$65,Occupancy!$B$68:'Occupancy'!$B$79,1)*12),"-",AD136/$B136/VLOOKUP(Occupancy!$B$65,Occupancy!$B$68:'Occupancy'!$B$79,1)*12)</f>
        <v>-</v>
      </c>
      <c r="AI136">
        <f>IF(ISERROR(AJ136/12*Occupancy!$B$65),"-",AJ136/12*Occupancy!$B$65)</f>
        <v>0</v>
      </c>
      <c r="AK136" t="str">
        <f>IF(ISERROR(AH136/$B136/VLOOKUP(Occupancy!$B$65,Occupancy!$B$68:'Occupancy'!$B$79,1)*12),"-",AH136/$B136/VLOOKUP(Occupancy!$B$65,Occupancy!$B$68:'Occupancy'!$B$79,1)*12)</f>
        <v>-</v>
      </c>
      <c r="AL136" t="str">
        <f>IF(ISERROR(AI136/$B136/VLOOKUP(Occupancy!$B$65,Occupancy!$B$68:'Occupancy'!$B$79,1)*12),"-",AI136/$B136/VLOOKUP(Occupancy!$B$65,Occupancy!$B$68:'Occupancy'!$B$79,1)*12)</f>
        <v>-</v>
      </c>
      <c r="AN136">
        <f>IF(ISERROR(AO136/12*Occupancy!$B$65),"-",AO136/12*Occupancy!$B$65)</f>
        <v>0</v>
      </c>
      <c r="AP136" t="str">
        <f>IF(ISERROR(AM136/$B136/VLOOKUP(Occupancy!$B$65,Occupancy!$B$68:'Occupancy'!$B$79,1)*12),"-",AM136/$B136/VLOOKUP(Occupancy!$B$65,Occupancy!$B$68:'Occupancy'!$B$79,1)*12)</f>
        <v>-</v>
      </c>
      <c r="AQ136" t="str">
        <f>IF(ISERROR(AN136/$B136/VLOOKUP(Occupancy!$B$65,Occupancy!$B$68:'Occupancy'!$B$79,1)*12),"-",AN136/$B136/VLOOKUP(Occupancy!$B$65,Occupancy!$B$68:'Occupancy'!$B$79,1)*12)</f>
        <v>-</v>
      </c>
      <c r="AS136">
        <f>IF(ISERROR(AT136/12*Occupancy!$B$65),"-",AT136/12*Occupancy!$B$65)</f>
        <v>0</v>
      </c>
      <c r="AU136" t="str">
        <f>IF(ISERROR(AR136/$B136/VLOOKUP(Occupancy!$B$65,Occupancy!$B$68:'Occupancy'!$B$79,1)*12),"-",AR136/$B136/VLOOKUP(Occupancy!$B$65,Occupancy!$B$68:'Occupancy'!$B$79,1)*12)</f>
        <v>-</v>
      </c>
      <c r="AV136" t="str">
        <f>IF(ISERROR(AS136/$B136/VLOOKUP(Occupancy!$B$65,Occupancy!$B$68:'Occupancy'!$B$79,1)*12),"-",AS136/$B136/VLOOKUP(Occupancy!$B$65,Occupancy!$B$68:'Occupancy'!$B$79,1)*12)</f>
        <v>-</v>
      </c>
      <c r="AX136">
        <f>IF(ISERROR(AY136/12*Occupancy!$B$65),"-",AY136/12*Occupancy!$B$65)</f>
        <v>0</v>
      </c>
      <c r="AZ136" t="str">
        <f>IF(ISERROR(AW136/$B136/VLOOKUP(Occupancy!$B$65,Occupancy!$B$68:'Occupancy'!$B$79,1)*12),"-",AW136/$B136/VLOOKUP(Occupancy!$B$65,Occupancy!$B$68:'Occupancy'!$B$79,1)*12)</f>
        <v>-</v>
      </c>
      <c r="BA136" t="str">
        <f>IF(ISERROR(AX136/$B136/VLOOKUP(Occupancy!$B$65,Occupancy!$B$68:'Occupancy'!$B$79,1)*12),"-",AX136/$B136/VLOOKUP(Occupancy!$B$65,Occupancy!$B$68:'Occupancy'!$B$79,1)*12)</f>
        <v>-</v>
      </c>
      <c r="BE136" t="str">
        <f>IF(ISERROR(BB136/$B136/VLOOKUP(Occupancy!$B$65,Occupancy!$B$68:'Occupancy'!$B$79,1)*12),"-",BB136/$B136/VLOOKUP(Occupancy!$B$65,Occupancy!$B$68:'Occupancy'!$B$79,1)*12)</f>
        <v>-</v>
      </c>
      <c r="BF136" t="str">
        <f>IF(ISERROR(BC136/$B136/VLOOKUP(Occupancy!$B$65,Occupancy!$B$68:'Occupancy'!$B$79,1)*12),"-",BC136/$B136/VLOOKUP(Occupancy!$B$65,Occupancy!$B$68:'Occupancy'!$B$79,1)*12)</f>
        <v>-</v>
      </c>
    </row>
    <row r="18683" spans="1:58" s="6" customFormat="1" ht="22.5" customHeight="1" x14ac:dyDescent="0.25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  <c r="P18683"/>
      <c r="Q18683"/>
      <c r="R18683"/>
      <c r="S18683"/>
      <c r="T18683"/>
      <c r="U18683"/>
      <c r="V18683"/>
      <c r="W18683"/>
      <c r="X18683"/>
      <c r="Y18683"/>
      <c r="Z18683"/>
      <c r="AA18683"/>
      <c r="AB18683"/>
      <c r="AC18683"/>
      <c r="AD18683"/>
      <c r="AE18683"/>
      <c r="AF18683"/>
      <c r="AG18683"/>
      <c r="AH18683"/>
      <c r="AI18683"/>
      <c r="AJ18683"/>
      <c r="AK18683"/>
      <c r="AL18683"/>
      <c r="AM18683"/>
      <c r="AN18683"/>
      <c r="AO18683"/>
      <c r="AP18683"/>
      <c r="AQ18683"/>
      <c r="AR18683"/>
      <c r="AS18683"/>
      <c r="AT18683"/>
      <c r="AU18683"/>
      <c r="AV18683"/>
      <c r="AW18683"/>
      <c r="AX18683"/>
      <c r="AY18683"/>
      <c r="AZ18683"/>
      <c r="BA18683"/>
      <c r="BB18683"/>
      <c r="BC18683"/>
      <c r="BD18683"/>
      <c r="BE18683"/>
      <c r="BF18683"/>
    </row>
    <row r="18684" spans="1:58" s="16" customFormat="1" x14ac:dyDescent="0.25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  <c r="P18684"/>
      <c r="Q18684"/>
      <c r="R18684"/>
      <c r="S18684"/>
      <c r="T18684"/>
      <c r="U18684"/>
      <c r="V18684"/>
      <c r="W18684"/>
      <c r="X18684"/>
      <c r="Y18684"/>
      <c r="Z18684"/>
      <c r="AA18684"/>
      <c r="AB18684"/>
      <c r="AC18684"/>
      <c r="AD18684"/>
      <c r="AE18684"/>
      <c r="AF18684"/>
      <c r="AG18684"/>
      <c r="AH18684"/>
      <c r="AI18684"/>
      <c r="AJ18684"/>
      <c r="AK18684"/>
      <c r="AL18684"/>
      <c r="AM18684"/>
      <c r="AN18684"/>
      <c r="AO18684"/>
      <c r="AP18684"/>
      <c r="AQ18684"/>
      <c r="AR18684"/>
      <c r="AS18684"/>
      <c r="AT18684"/>
      <c r="AU18684"/>
      <c r="AV18684"/>
      <c r="AW18684"/>
      <c r="AX18684"/>
      <c r="AY18684"/>
      <c r="AZ18684"/>
      <c r="BA18684"/>
      <c r="BB18684"/>
      <c r="BC18684"/>
      <c r="BD18684"/>
      <c r="BE18684"/>
      <c r="BF18684"/>
    </row>
    <row r="18685" spans="1:58" ht="16.5" customHeight="1" x14ac:dyDescent="0.25"/>
    <row r="18686" spans="1:58" ht="16.5" customHeight="1" x14ac:dyDescent="0.25"/>
    <row r="18687" spans="1:58" ht="16.5" customHeight="1" x14ac:dyDescent="0.25"/>
    <row r="18688" spans="1:58" ht="16.5" customHeight="1" x14ac:dyDescent="0.25"/>
    <row r="18689" spans="1:58" ht="16.5" customHeight="1" x14ac:dyDescent="0.25"/>
    <row r="18691" spans="1:58" s="6" customFormat="1" ht="20.25" customHeight="1" x14ac:dyDescent="0.25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  <c r="P18691"/>
      <c r="Q18691"/>
      <c r="R18691"/>
      <c r="S18691"/>
      <c r="T18691"/>
      <c r="U18691"/>
      <c r="V18691"/>
      <c r="W18691"/>
      <c r="X18691"/>
      <c r="Y18691"/>
      <c r="Z18691"/>
      <c r="AA18691"/>
      <c r="AB18691"/>
      <c r="AC18691"/>
      <c r="AD18691"/>
      <c r="AE18691"/>
      <c r="AF18691"/>
      <c r="AG18691"/>
      <c r="AH18691"/>
      <c r="AI18691"/>
      <c r="AJ18691"/>
      <c r="AK18691"/>
      <c r="AL18691"/>
      <c r="AM18691"/>
      <c r="AN18691"/>
      <c r="AO18691"/>
      <c r="AP18691"/>
      <c r="AQ18691"/>
      <c r="AR18691"/>
      <c r="AS18691"/>
      <c r="AT18691"/>
      <c r="AU18691"/>
      <c r="AV18691"/>
      <c r="AW18691"/>
      <c r="AX18691"/>
      <c r="AY18691"/>
      <c r="AZ18691"/>
      <c r="BA18691"/>
      <c r="BB18691"/>
      <c r="BC18691"/>
      <c r="BD18691"/>
      <c r="BE18691"/>
      <c r="BF18691"/>
    </row>
  </sheetData>
  <mergeCells count="13">
    <mergeCell ref="AR4:AV4"/>
    <mergeCell ref="AW4:BA4"/>
    <mergeCell ref="BB4:BF4"/>
    <mergeCell ref="D3:AB3"/>
    <mergeCell ref="AH3:BF3"/>
    <mergeCell ref="S4:W4"/>
    <mergeCell ref="X4:AB4"/>
    <mergeCell ref="AH4:AL4"/>
    <mergeCell ref="B4:B5"/>
    <mergeCell ref="C4:C5"/>
    <mergeCell ref="D4:H4"/>
    <mergeCell ref="I4:M4"/>
    <mergeCell ref="N4:R4"/>
  </mergeCells>
  <pageMargins left="0.7" right="0.7" top="0.75" bottom="0.75" header="0.3" footer="0.3"/>
  <pageSetup scale="67" orientation="portrait" r:id="rId1"/>
  <rowBreaks count="1" manualBreakCount="1">
    <brk id="18188" max="16383" man="1"/>
  </rowBreaks>
  <colBreaks count="6" manualBreakCount="6">
    <brk id="8" max="1048575" man="1"/>
    <brk id="18" max="1048575" man="1"/>
    <brk id="28" max="1048575" man="1"/>
    <brk id="38" max="1048575" man="1"/>
    <brk id="48" max="1048575" man="1"/>
    <brk id="58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topLeftCell="EC19" zoomScale="60" zoomScaleNormal="60" workbookViewId="0">
      <selection activeCell="C57" sqref="C57:EY57"/>
    </sheetView>
  </sheetViews>
  <sheetFormatPr defaultRowHeight="15" x14ac:dyDescent="0.25"/>
  <cols>
    <col min="1" max="1" width="21.85546875" bestFit="1" customWidth="1"/>
    <col min="2" max="2" width="13" customWidth="1"/>
  </cols>
  <sheetData>
    <row r="1" spans="1:4" x14ac:dyDescent="0.25">
      <c r="A1" s="8" t="s">
        <v>0</v>
      </c>
      <c r="B1" s="9"/>
    </row>
    <row r="2" spans="1:4" x14ac:dyDescent="0.25">
      <c r="A2" s="8" t="s">
        <v>72</v>
      </c>
      <c r="B2" s="9"/>
    </row>
    <row r="3" spans="1:4" x14ac:dyDescent="0.25">
      <c r="B3" s="9"/>
    </row>
    <row r="4" spans="1:4" ht="36" customHeight="1" x14ac:dyDescent="0.25">
      <c r="A4" s="23"/>
      <c r="B4" s="25"/>
      <c r="C4" s="22" t="s">
        <v>75</v>
      </c>
      <c r="D4" s="22" t="s">
        <v>76</v>
      </c>
    </row>
    <row r="5" spans="1:4" x14ac:dyDescent="0.25">
      <c r="A5" s="18"/>
      <c r="B5" s="78"/>
      <c r="C5" s="20"/>
      <c r="D5" s="21"/>
    </row>
    <row r="6" spans="1:4" x14ac:dyDescent="0.25">
      <c r="A6" s="18"/>
      <c r="B6" s="79"/>
      <c r="C6" s="20"/>
      <c r="D6" s="21"/>
    </row>
    <row r="7" spans="1:4" x14ac:dyDescent="0.25">
      <c r="A7" s="18"/>
      <c r="B7" s="78"/>
      <c r="C7" s="20"/>
      <c r="D7" s="21"/>
    </row>
    <row r="8" spans="1:4" x14ac:dyDescent="0.25">
      <c r="A8" s="18"/>
      <c r="B8" s="79"/>
      <c r="C8" s="20"/>
      <c r="D8" s="21"/>
    </row>
    <row r="9" spans="1:4" x14ac:dyDescent="0.25">
      <c r="A9" s="18"/>
      <c r="B9" s="78"/>
      <c r="C9" s="20"/>
      <c r="D9" s="21"/>
    </row>
    <row r="10" spans="1:4" x14ac:dyDescent="0.25">
      <c r="A10" s="18"/>
      <c r="B10" s="79"/>
      <c r="C10" s="20"/>
      <c r="D10" s="21"/>
    </row>
    <row r="11" spans="1:4" x14ac:dyDescent="0.25">
      <c r="A11" s="18"/>
      <c r="B11" s="78"/>
      <c r="C11" s="20"/>
      <c r="D11" s="21"/>
    </row>
    <row r="12" spans="1:4" x14ac:dyDescent="0.25">
      <c r="A12" s="18"/>
      <c r="B12" s="79"/>
      <c r="C12" s="20"/>
      <c r="D12" s="21"/>
    </row>
    <row r="13" spans="1:4" x14ac:dyDescent="0.25">
      <c r="A13" s="18"/>
      <c r="B13" s="78"/>
      <c r="C13" s="20"/>
      <c r="D13" s="21"/>
    </row>
    <row r="14" spans="1:4" x14ac:dyDescent="0.25">
      <c r="A14" s="18"/>
      <c r="B14" s="79"/>
      <c r="C14" s="20"/>
      <c r="D14" s="21"/>
    </row>
    <row r="15" spans="1:4" x14ac:dyDescent="0.25">
      <c r="A15" s="18"/>
      <c r="B15" s="78"/>
      <c r="C15" s="20"/>
      <c r="D15" s="21"/>
    </row>
    <row r="16" spans="1:4" x14ac:dyDescent="0.25">
      <c r="A16" s="18"/>
      <c r="B16" s="79"/>
      <c r="C16" s="20"/>
      <c r="D16" s="21"/>
    </row>
    <row r="17" spans="1:4" x14ac:dyDescent="0.25">
      <c r="A17" s="18"/>
      <c r="B17" s="78"/>
      <c r="C17" s="20"/>
      <c r="D17" s="21"/>
    </row>
    <row r="18" spans="1:4" x14ac:dyDescent="0.25">
      <c r="A18" s="18"/>
      <c r="B18" s="79"/>
      <c r="C18" s="20"/>
      <c r="D18" s="21"/>
    </row>
    <row r="19" spans="1:4" x14ac:dyDescent="0.25">
      <c r="A19" s="18"/>
      <c r="B19" s="78"/>
      <c r="C19" s="20"/>
      <c r="D19" s="21"/>
    </row>
    <row r="20" spans="1:4" x14ac:dyDescent="0.25">
      <c r="A20" s="18"/>
      <c r="B20" s="79"/>
      <c r="C20" s="20"/>
      <c r="D20" s="21"/>
    </row>
    <row r="21" spans="1:4" x14ac:dyDescent="0.25">
      <c r="A21" s="18"/>
      <c r="B21" s="78"/>
      <c r="C21" s="20"/>
      <c r="D21" s="21"/>
    </row>
    <row r="22" spans="1:4" x14ac:dyDescent="0.25">
      <c r="A22" s="18"/>
      <c r="B22" s="79"/>
      <c r="C22" s="20"/>
      <c r="D22" s="21"/>
    </row>
    <row r="23" spans="1:4" x14ac:dyDescent="0.25">
      <c r="A23" s="18"/>
      <c r="B23" s="78"/>
      <c r="C23" s="20"/>
      <c r="D23" s="21"/>
    </row>
    <row r="24" spans="1:4" x14ac:dyDescent="0.25">
      <c r="A24" s="18"/>
      <c r="B24" s="79"/>
      <c r="C24" s="20"/>
      <c r="D24" s="21"/>
    </row>
    <row r="25" spans="1:4" x14ac:dyDescent="0.25">
      <c r="A25" s="18"/>
      <c r="B25" s="78"/>
      <c r="C25" s="20"/>
      <c r="D25" s="21"/>
    </row>
    <row r="26" spans="1:4" x14ac:dyDescent="0.25">
      <c r="A26" s="18"/>
      <c r="B26" s="79"/>
      <c r="C26" s="20"/>
      <c r="D26" s="21"/>
    </row>
    <row r="27" spans="1:4" x14ac:dyDescent="0.25">
      <c r="A27" s="18"/>
      <c r="B27" s="78"/>
      <c r="C27" s="20"/>
      <c r="D27" s="21"/>
    </row>
    <row r="28" spans="1:4" x14ac:dyDescent="0.25">
      <c r="A28" s="18"/>
      <c r="B28" s="79"/>
      <c r="C28" s="20"/>
      <c r="D28" s="21"/>
    </row>
    <row r="29" spans="1:4" x14ac:dyDescent="0.25">
      <c r="A29" s="18"/>
      <c r="B29" s="78"/>
      <c r="C29" s="20"/>
      <c r="D29" s="21"/>
    </row>
    <row r="30" spans="1:4" x14ac:dyDescent="0.25">
      <c r="A30" s="18"/>
      <c r="B30" s="79"/>
      <c r="C30" s="20"/>
      <c r="D30" s="21"/>
    </row>
    <row r="31" spans="1:4" x14ac:dyDescent="0.25">
      <c r="A31" s="18"/>
      <c r="B31" s="78"/>
      <c r="C31" s="20"/>
      <c r="D31" s="21"/>
    </row>
    <row r="32" spans="1:4" x14ac:dyDescent="0.25">
      <c r="A32" s="18"/>
      <c r="B32" s="79"/>
      <c r="C32" s="20"/>
      <c r="D32" s="21"/>
    </row>
    <row r="33" spans="1:4" x14ac:dyDescent="0.25">
      <c r="A33" s="18"/>
      <c r="B33" s="78"/>
      <c r="C33" s="20"/>
      <c r="D33" s="21"/>
    </row>
    <row r="34" spans="1:4" x14ac:dyDescent="0.25">
      <c r="A34" s="18"/>
      <c r="B34" s="79"/>
      <c r="C34" s="20"/>
      <c r="D34" s="21"/>
    </row>
    <row r="35" spans="1:4" x14ac:dyDescent="0.25">
      <c r="A35" s="18"/>
      <c r="B35" s="78"/>
      <c r="C35" s="20"/>
      <c r="D35" s="21"/>
    </row>
    <row r="36" spans="1:4" x14ac:dyDescent="0.25">
      <c r="A36" s="18"/>
      <c r="B36" s="79"/>
      <c r="C36" s="20"/>
      <c r="D36" s="21"/>
    </row>
    <row r="37" spans="1:4" x14ac:dyDescent="0.25">
      <c r="A37" s="18"/>
      <c r="B37" s="78"/>
      <c r="C37" s="20"/>
      <c r="D37" s="21"/>
    </row>
    <row r="38" spans="1:4" x14ac:dyDescent="0.25">
      <c r="A38" s="18"/>
      <c r="B38" s="79"/>
      <c r="C38" s="20"/>
      <c r="D38" s="21"/>
    </row>
    <row r="39" spans="1:4" x14ac:dyDescent="0.25">
      <c r="A39" s="10"/>
      <c r="B39" s="78"/>
      <c r="C39" s="20"/>
      <c r="D39" s="21"/>
    </row>
    <row r="40" spans="1:4" x14ac:dyDescent="0.25">
      <c r="A40" s="10"/>
      <c r="B40" s="79"/>
      <c r="C40" s="20"/>
      <c r="D40" s="21"/>
    </row>
    <row r="41" spans="1:4" x14ac:dyDescent="0.25">
      <c r="A41" s="10"/>
      <c r="B41" s="78"/>
      <c r="C41" s="20"/>
      <c r="D41" s="21"/>
    </row>
    <row r="42" spans="1:4" x14ac:dyDescent="0.25">
      <c r="A42" s="10"/>
      <c r="B42" s="79"/>
      <c r="C42" s="20"/>
      <c r="D42" s="21"/>
    </row>
    <row r="43" spans="1:4" x14ac:dyDescent="0.25">
      <c r="A43" s="10"/>
      <c r="B43" s="78"/>
      <c r="C43" s="20"/>
      <c r="D43" s="21"/>
    </row>
    <row r="44" spans="1:4" x14ac:dyDescent="0.25">
      <c r="A44" s="10"/>
      <c r="B44" s="79"/>
      <c r="C44" s="20"/>
      <c r="D44" s="21"/>
    </row>
    <row r="45" spans="1:4" x14ac:dyDescent="0.25">
      <c r="A45" s="10"/>
      <c r="B45" s="78"/>
      <c r="C45" s="20"/>
      <c r="D45" s="21"/>
    </row>
    <row r="46" spans="1:4" x14ac:dyDescent="0.25">
      <c r="A46" s="10"/>
      <c r="B46" s="79"/>
      <c r="C46" s="20"/>
      <c r="D46" s="21"/>
    </row>
    <row r="47" spans="1:4" x14ac:dyDescent="0.25">
      <c r="A47" s="10"/>
      <c r="B47" s="78"/>
      <c r="C47" s="20"/>
      <c r="D47" s="21"/>
    </row>
    <row r="48" spans="1:4" x14ac:dyDescent="0.25">
      <c r="A48" s="10"/>
      <c r="B48" s="79"/>
      <c r="C48" s="20"/>
      <c r="D48" s="21"/>
    </row>
    <row r="49" spans="1:4" x14ac:dyDescent="0.25">
      <c r="A49" s="10"/>
      <c r="B49" s="78"/>
      <c r="C49" s="20"/>
      <c r="D49" s="21"/>
    </row>
    <row r="50" spans="1:4" x14ac:dyDescent="0.25">
      <c r="A50" s="10"/>
      <c r="B50" s="79"/>
      <c r="C50" s="20"/>
      <c r="D50" s="21"/>
    </row>
    <row r="51" spans="1:4" x14ac:dyDescent="0.25">
      <c r="A51" s="10"/>
      <c r="B51" s="78"/>
      <c r="C51" s="20"/>
      <c r="D51" s="21"/>
    </row>
    <row r="52" spans="1:4" x14ac:dyDescent="0.25">
      <c r="A52" s="10"/>
      <c r="B52" s="79"/>
      <c r="C52" s="20"/>
      <c r="D52" s="21"/>
    </row>
    <row r="53" spans="1:4" x14ac:dyDescent="0.25">
      <c r="A53" s="10"/>
      <c r="B53" s="78"/>
      <c r="C53" s="20"/>
      <c r="D53" s="21"/>
    </row>
    <row r="54" spans="1:4" x14ac:dyDescent="0.25">
      <c r="A54" s="10"/>
      <c r="B54" s="79"/>
      <c r="C54" s="20"/>
      <c r="D54" s="21"/>
    </row>
    <row r="55" spans="1:4" x14ac:dyDescent="0.25">
      <c r="A55" s="10"/>
      <c r="B55" s="78"/>
      <c r="C55" s="20"/>
      <c r="D55" s="21"/>
    </row>
    <row r="56" spans="1:4" x14ac:dyDescent="0.25">
      <c r="A56" s="10"/>
      <c r="B56" s="79"/>
      <c r="C56" s="20"/>
      <c r="D56" s="21"/>
    </row>
    <row r="57" spans="1:4" x14ac:dyDescent="0.25">
      <c r="A57" s="11"/>
      <c r="B57" s="19" t="str">
        <f>IF(ISERROR(AVERAGE(B5:B56)),"-",AVERAGE(B5:B56))</f>
        <v>-</v>
      </c>
      <c r="C57" s="12"/>
      <c r="D57" s="9"/>
    </row>
    <row r="58" spans="1:4" x14ac:dyDescent="0.25">
      <c r="A58" s="11"/>
      <c r="B58" s="12"/>
      <c r="C58" s="12"/>
      <c r="D58" s="9"/>
    </row>
    <row r="59" spans="1:4" x14ac:dyDescent="0.25">
      <c r="A59" s="15"/>
    </row>
    <row r="60" spans="1:4" x14ac:dyDescent="0.25">
      <c r="A60" s="15"/>
    </row>
    <row r="61" spans="1:4" x14ac:dyDescent="0.25">
      <c r="A61" s="15"/>
    </row>
    <row r="62" spans="1:4" x14ac:dyDescent="0.25">
      <c r="A62" s="15"/>
    </row>
    <row r="63" spans="1:4" x14ac:dyDescent="0.25">
      <c r="A63" s="15"/>
    </row>
    <row r="64" spans="1:4" ht="15.75" thickBot="1" x14ac:dyDescent="0.3">
      <c r="A64" s="15"/>
    </row>
    <row r="65" spans="1:2" ht="15.75" thickBot="1" x14ac:dyDescent="0.3">
      <c r="A65" s="15"/>
      <c r="B65" s="24">
        <v>5</v>
      </c>
    </row>
    <row r="66" spans="1:2" ht="15.75" thickBot="1" x14ac:dyDescent="0.3">
      <c r="A66" s="15"/>
    </row>
    <row r="67" spans="1:2" ht="15.75" thickBot="1" x14ac:dyDescent="0.3">
      <c r="A67" s="15"/>
      <c r="B67" s="7" t="s">
        <v>56</v>
      </c>
    </row>
    <row r="68" spans="1:2" ht="15.75" thickBot="1" x14ac:dyDescent="0.3">
      <c r="A68" s="15"/>
      <c r="B68" s="7">
        <v>1</v>
      </c>
    </row>
    <row r="69" spans="1:2" ht="15.75" thickBot="1" x14ac:dyDescent="0.3">
      <c r="B69" s="7">
        <v>2</v>
      </c>
    </row>
    <row r="70" spans="1:2" ht="15.75" thickBot="1" x14ac:dyDescent="0.3">
      <c r="B70" s="7">
        <v>3</v>
      </c>
    </row>
    <row r="71" spans="1:2" ht="15.75" thickBot="1" x14ac:dyDescent="0.3">
      <c r="B71" s="7">
        <v>4</v>
      </c>
    </row>
    <row r="72" spans="1:2" ht="15.75" thickBot="1" x14ac:dyDescent="0.3">
      <c r="B72" s="7">
        <v>5</v>
      </c>
    </row>
    <row r="73" spans="1:2" ht="15.75" thickBot="1" x14ac:dyDescent="0.3">
      <c r="B73" s="7">
        <v>6</v>
      </c>
    </row>
    <row r="74" spans="1:2" ht="15.75" thickBot="1" x14ac:dyDescent="0.3">
      <c r="B74" s="7">
        <v>7</v>
      </c>
    </row>
    <row r="75" spans="1:2" ht="15.75" thickBot="1" x14ac:dyDescent="0.3">
      <c r="B75" s="7">
        <v>8</v>
      </c>
    </row>
    <row r="76" spans="1:2" ht="15.75" thickBot="1" x14ac:dyDescent="0.3">
      <c r="B76" s="7">
        <v>9</v>
      </c>
    </row>
    <row r="77" spans="1:2" ht="15.75" thickBot="1" x14ac:dyDescent="0.3">
      <c r="B77" s="7">
        <v>10</v>
      </c>
    </row>
    <row r="78" spans="1:2" ht="15.75" thickBot="1" x14ac:dyDescent="0.3">
      <c r="B78" s="7">
        <v>11</v>
      </c>
    </row>
    <row r="79" spans="1:2" ht="15.75" thickBot="1" x14ac:dyDescent="0.3">
      <c r="B79" s="24">
        <v>12</v>
      </c>
    </row>
  </sheetData>
  <pageMargins left="0.7" right="0.7" top="0.75" bottom="0.75" header="0.3" footer="0.3"/>
  <pageSetup scale="80" orientation="portrait" r:id="rId1"/>
  <rowBreaks count="1" manualBreakCount="1">
    <brk id="57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sqref="A1:XFD1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66</v>
      </c>
      <c r="I1" t="s">
        <v>61</v>
      </c>
      <c r="J1" t="s">
        <v>65</v>
      </c>
      <c r="K1" t="s">
        <v>62</v>
      </c>
      <c r="L1" t="s">
        <v>63</v>
      </c>
      <c r="M1" t="s">
        <v>73</v>
      </c>
      <c r="N1" t="s">
        <v>41</v>
      </c>
      <c r="O1" t="s">
        <v>46</v>
      </c>
      <c r="P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"/>
  <sheetViews>
    <sheetView workbookViewId="0">
      <selection activeCell="B6" sqref="B6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5" x14ac:dyDescent="0.25">
      <c r="A1" t="s">
        <v>57</v>
      </c>
      <c r="B1" t="s">
        <v>70</v>
      </c>
      <c r="C1" t="s">
        <v>71</v>
      </c>
      <c r="D1" t="s">
        <v>15</v>
      </c>
      <c r="E1" t="s">
        <v>14</v>
      </c>
    </row>
  </sheetData>
  <autoFilter ref="A1:E59">
    <sortState ref="A2:E60">
      <sortCondition ref="C1:C3"/>
    </sortState>
  </autoFilter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workbookViewId="0">
      <selection activeCell="I1" sqref="I1:I104857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topLeftCell="A4906" workbookViewId="0">
      <selection activeCell="J1" sqref="J1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73</v>
      </c>
      <c r="L1" t="s">
        <v>41</v>
      </c>
      <c r="M1" t="s">
        <v>46</v>
      </c>
      <c r="N1" t="s">
        <v>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workbookViewId="0">
      <selection activeCell="G2" sqref="G2:G4967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67</v>
      </c>
      <c r="B1" s="15" t="s">
        <v>58</v>
      </c>
      <c r="C1" s="15" t="s">
        <v>68</v>
      </c>
      <c r="D1" t="s">
        <v>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workbookViewId="0">
      <selection activeCell="A6" sqref="A6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77</v>
      </c>
      <c r="B1" t="s">
        <v>58</v>
      </c>
      <c r="C1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357</vt:i4>
      </vt:variant>
    </vt:vector>
  </HeadingPairs>
  <TitlesOfParts>
    <vt:vector size="360" baseType="lpstr">
      <vt:lpstr>Operating</vt:lpstr>
      <vt:lpstr>Expenses</vt:lpstr>
      <vt:lpstr>Occupancy</vt:lpstr>
      <vt:lpstr>Acf_ab_cell</vt:lpstr>
      <vt:lpstr>Acf_ab_cell1</vt:lpstr>
      <vt:lpstr>Acf_ab_cell2</vt:lpstr>
      <vt:lpstr>Acf_ytd_cell</vt:lpstr>
      <vt:lpstr>Acf_ytd_cell1</vt:lpstr>
      <vt:lpstr>Acf_ytd_cell2</vt:lpstr>
      <vt:lpstr>Acf_ytda_cell</vt:lpstr>
      <vt:lpstr>Acf_ytda_cell1</vt:lpstr>
      <vt:lpstr>Acf_ytda_cell2</vt:lpstr>
      <vt:lpstr>Acf_ytdau_cell</vt:lpstr>
      <vt:lpstr>Acf_ytdau_cell1</vt:lpstr>
      <vt:lpstr>Acf_ytdau_cell2</vt:lpstr>
      <vt:lpstr>Acf_ytdbu_cell</vt:lpstr>
      <vt:lpstr>Acf_ytdbu_cell1</vt:lpstr>
      <vt:lpstr>Acf_ytdbu_cell2</vt:lpstr>
      <vt:lpstr>Adm_ytda_cell</vt:lpstr>
      <vt:lpstr>Adm_ytda_cell1</vt:lpstr>
      <vt:lpstr>Adm_ytda_cell2</vt:lpstr>
      <vt:lpstr>Adm_ytdab_cell</vt:lpstr>
      <vt:lpstr>Adm_ytdab_cell1</vt:lpstr>
      <vt:lpstr>Adm_ytdab_cell2</vt:lpstr>
      <vt:lpstr>Adm_ytdau_cell</vt:lpstr>
      <vt:lpstr>Adm_ytdau_cell1</vt:lpstr>
      <vt:lpstr>Adm_ytdau_cell2</vt:lpstr>
      <vt:lpstr>Adm_ytdb_cell</vt:lpstr>
      <vt:lpstr>Adm_ytdb_cell1</vt:lpstr>
      <vt:lpstr>Adm_ytdb_cell2</vt:lpstr>
      <vt:lpstr>Adm_ytdbu_cell</vt:lpstr>
      <vt:lpstr>Adm_ytdbu_cell1</vt:lpstr>
      <vt:lpstr>Adm_ytdbu_cell2</vt:lpstr>
      <vt:lpstr>Amf_ytd_cell</vt:lpstr>
      <vt:lpstr>Amf_ytd_cell1</vt:lpstr>
      <vt:lpstr>Amf_ytd_cell2</vt:lpstr>
      <vt:lpstr>Amf_ytda_cell</vt:lpstr>
      <vt:lpstr>Amf_ytda_cell1</vt:lpstr>
      <vt:lpstr>Amf_ytda_cell2</vt:lpstr>
      <vt:lpstr>Amf_ytdau_cell</vt:lpstr>
      <vt:lpstr>Amf_ytdau_cell1</vt:lpstr>
      <vt:lpstr>Amf_ytdau_cell2</vt:lpstr>
      <vt:lpstr>Amf_ytdb_cell</vt:lpstr>
      <vt:lpstr>Amf_ytdb_cell1</vt:lpstr>
      <vt:lpstr>Amf_ytdb_cell2</vt:lpstr>
      <vt:lpstr>Amf_ytdbu_cell</vt:lpstr>
      <vt:lpstr>Amf_ytdbu_cell1</vt:lpstr>
      <vt:lpstr>Amf_ytdbu_cell2</vt:lpstr>
      <vt:lpstr>Bd_ytda_cell</vt:lpstr>
      <vt:lpstr>Bd_ytda_cell1</vt:lpstr>
      <vt:lpstr>Bd_ytda_cell2</vt:lpstr>
      <vt:lpstr>Bd_ytdab_cell</vt:lpstr>
      <vt:lpstr>Bd_ytdab_cell1</vt:lpstr>
      <vt:lpstr>Bd_ytdab_cell2</vt:lpstr>
      <vt:lpstr>Bd_ytdau_cell</vt:lpstr>
      <vt:lpstr>Bd_ytdau_cell1</vt:lpstr>
      <vt:lpstr>Bd_ytdau_cell2</vt:lpstr>
      <vt:lpstr>Bd_ytdb_cell</vt:lpstr>
      <vt:lpstr>Bd_ytdb_cell1</vt:lpstr>
      <vt:lpstr>Bd_ytdb_cell2</vt:lpstr>
      <vt:lpstr>Bd_ytdbu_cell</vt:lpstr>
      <vt:lpstr>Bd_ytdbu_cell1</vt:lpstr>
      <vt:lpstr>Bd_ytdbu_cell2</vt:lpstr>
      <vt:lpstr>Cap_ytd_cell</vt:lpstr>
      <vt:lpstr>Cap_ytd_cell1</vt:lpstr>
      <vt:lpstr>Cap_ytd_cell2</vt:lpstr>
      <vt:lpstr>Cap_ytda_cell</vt:lpstr>
      <vt:lpstr>Cap_ytda_cell1</vt:lpstr>
      <vt:lpstr>Cap_ytda_cell2</vt:lpstr>
      <vt:lpstr>Cap_ytdau_cell</vt:lpstr>
      <vt:lpstr>Cap_ytdau_cell1</vt:lpstr>
      <vt:lpstr>Cap_ytdau_cell2</vt:lpstr>
      <vt:lpstr>Cap_ytdb_cell</vt:lpstr>
      <vt:lpstr>Cap_ytdb_cell1</vt:lpstr>
      <vt:lpstr>Cap_ytdb_cell2</vt:lpstr>
      <vt:lpstr>Cap_ytdb_cell3</vt:lpstr>
      <vt:lpstr>Cap_ytdbu_cell</vt:lpstr>
      <vt:lpstr>Cap_ytdbu_cell1</vt:lpstr>
      <vt:lpstr>Cap_ytdbu_cell2</vt:lpstr>
      <vt:lpstr>Cf_ytd_cell</vt:lpstr>
      <vt:lpstr>Cf_ytd_cell1</vt:lpstr>
      <vt:lpstr>Dev_cell</vt:lpstr>
      <vt:lpstr>Dev_cell_end</vt:lpstr>
      <vt:lpstr>Dev_cell_start</vt:lpstr>
      <vt:lpstr>Dev_exp</vt:lpstr>
      <vt:lpstr>Dev_exp_end</vt:lpstr>
      <vt:lpstr>Dev_exp_start</vt:lpstr>
      <vt:lpstr>Exp_Units_cell</vt:lpstr>
      <vt:lpstr>Exp_Units_cell1</vt:lpstr>
      <vt:lpstr>Exp_Units_cell2</vt:lpstr>
      <vt:lpstr>Exp_Units_cell3</vt:lpstr>
      <vt:lpstr>Exp_Units_cell4</vt:lpstr>
      <vt:lpstr>Fm_ytd_cell</vt:lpstr>
      <vt:lpstr>Fm_ytd_cell1</vt:lpstr>
      <vt:lpstr>Fm_ytd_cell2</vt:lpstr>
      <vt:lpstr>Fm_ytda_cell</vt:lpstr>
      <vt:lpstr>Fm_ytda_cell1</vt:lpstr>
      <vt:lpstr>Fm_ytda_cell2</vt:lpstr>
      <vt:lpstr>Fm_ytdau_cell</vt:lpstr>
      <vt:lpstr>Fm_ytdau_cell1</vt:lpstr>
      <vt:lpstr>Fm_ytdau_cell2</vt:lpstr>
      <vt:lpstr>Fm_ytdb_cell</vt:lpstr>
      <vt:lpstr>Fm_ytdb_cell1</vt:lpstr>
      <vt:lpstr>Fm_ytdb_cell2</vt:lpstr>
      <vt:lpstr>Fm_ytdb_cell3</vt:lpstr>
      <vt:lpstr>Fm_ytdbu_cell</vt:lpstr>
      <vt:lpstr>Fm_ytdbu_cell1</vt:lpstr>
      <vt:lpstr>Fm_ytdbu_cell2</vt:lpstr>
      <vt:lpstr>Ins_ytda_cell</vt:lpstr>
      <vt:lpstr>Ins_ytda_cell1</vt:lpstr>
      <vt:lpstr>Ins_ytda_cell2</vt:lpstr>
      <vt:lpstr>Ins_ytdab_cell</vt:lpstr>
      <vt:lpstr>Ins_ytdab_cell1</vt:lpstr>
      <vt:lpstr>Ins_ytdab_cell2</vt:lpstr>
      <vt:lpstr>Ins_ytdau_cell</vt:lpstr>
      <vt:lpstr>Ins_ytdau_cell1</vt:lpstr>
      <vt:lpstr>Ins_ytdau_cell2</vt:lpstr>
      <vt:lpstr>Ins_ytdb_cell</vt:lpstr>
      <vt:lpstr>Ins_ytdb_cell1</vt:lpstr>
      <vt:lpstr>Ins_ytdb_cell2</vt:lpstr>
      <vt:lpstr>Ins_ytdbu_cell</vt:lpstr>
      <vt:lpstr>Ins_ytdbu_cell1</vt:lpstr>
      <vt:lpstr>Ins_ytdbu_cell2</vt:lpstr>
      <vt:lpstr>Mf_ytda_cell</vt:lpstr>
      <vt:lpstr>Mf_ytda_cell1</vt:lpstr>
      <vt:lpstr>Mf_ytda_cell2</vt:lpstr>
      <vt:lpstr>Mf_ytdab_cell</vt:lpstr>
      <vt:lpstr>Mf_ytdab_cell1</vt:lpstr>
      <vt:lpstr>Mf_ytdab_cell2</vt:lpstr>
      <vt:lpstr>Mf_ytdau_cell</vt:lpstr>
      <vt:lpstr>Mf_ytdau_cell1</vt:lpstr>
      <vt:lpstr>Mf_ytdau_cell2</vt:lpstr>
      <vt:lpstr>Mf_ytdb_cell</vt:lpstr>
      <vt:lpstr>Mf_ytdb_cell1</vt:lpstr>
      <vt:lpstr>Mf_ytdb_cell2</vt:lpstr>
      <vt:lpstr>Mf_ytdbu_cell</vt:lpstr>
      <vt:lpstr>Mf_ytdbu_cell1</vt:lpstr>
      <vt:lpstr>Mf_ytdbu_cell2</vt:lpstr>
      <vt:lpstr>Mgmt_comp_cell</vt:lpstr>
      <vt:lpstr>Mgmt_comp_cell1</vt:lpstr>
      <vt:lpstr>Mgmt_comp_cell2</vt:lpstr>
      <vt:lpstr>Noi_ab_cell</vt:lpstr>
      <vt:lpstr>Noi_ab_cell1</vt:lpstr>
      <vt:lpstr>Noi_ab_cell2</vt:lpstr>
      <vt:lpstr>Noi_ytd_cell</vt:lpstr>
      <vt:lpstr>Noi_ytd_cell1</vt:lpstr>
      <vt:lpstr>Noi_ytd_cell2</vt:lpstr>
      <vt:lpstr>Noi_ytda_cell</vt:lpstr>
      <vt:lpstr>Noi_ytda_cell1</vt:lpstr>
      <vt:lpstr>Noi_ytda_cell2</vt:lpstr>
      <vt:lpstr>Noi_ytdau_cell</vt:lpstr>
      <vt:lpstr>Noi_ytdau_cell1</vt:lpstr>
      <vt:lpstr>Noi_ytdau_cell2</vt:lpstr>
      <vt:lpstr>Noi_ytdb_cell</vt:lpstr>
      <vt:lpstr>Noi_ytdbu_cell</vt:lpstr>
      <vt:lpstr>Noi_ytdbu_cell1</vt:lpstr>
      <vt:lpstr>Noi_ytdbu_cell2</vt:lpstr>
      <vt:lpstr>Oc_ab_cell</vt:lpstr>
      <vt:lpstr>Oc_ab_cell1</vt:lpstr>
      <vt:lpstr>Oc_ab_cell2</vt:lpstr>
      <vt:lpstr>Oc_ytd_cell</vt:lpstr>
      <vt:lpstr>Oc_ytd_cell1</vt:lpstr>
      <vt:lpstr>Oc_ytd_cell2</vt:lpstr>
      <vt:lpstr>Oc_ytda_cell</vt:lpstr>
      <vt:lpstr>Oc_ytda_cell1</vt:lpstr>
      <vt:lpstr>Oc_ytda_cell2</vt:lpstr>
      <vt:lpstr>Oc_ytdaer_cell</vt:lpstr>
      <vt:lpstr>Oc_ytdaer_cell1</vt:lpstr>
      <vt:lpstr>Oc_ytdaer_cell2</vt:lpstr>
      <vt:lpstr>Oc_ytdau_cell</vt:lpstr>
      <vt:lpstr>Oc_ytdau_cell1</vt:lpstr>
      <vt:lpstr>Oc_ytdau_cell2</vt:lpstr>
      <vt:lpstr>Oc_ytdbu_cell</vt:lpstr>
      <vt:lpstr>Oc_ytdbu_cell1</vt:lpstr>
      <vt:lpstr>Oc_ytdbu_cell2</vt:lpstr>
      <vt:lpstr>Occu_proj_cell</vt:lpstr>
      <vt:lpstr>Occu_proj_end</vt:lpstr>
      <vt:lpstr>Occupancy_cell</vt:lpstr>
      <vt:lpstr>Occupancy_cell1</vt:lpstr>
      <vt:lpstr>Occupancy_cell2</vt:lpstr>
      <vt:lpstr>Ocytd_cell</vt:lpstr>
      <vt:lpstr>Ocytd_cell1</vt:lpstr>
      <vt:lpstr>Oper_cash_cell</vt:lpstr>
      <vt:lpstr>Oper_cash_cell1</vt:lpstr>
      <vt:lpstr>Oper_cash_cell2</vt:lpstr>
      <vt:lpstr>Oper_other_cell</vt:lpstr>
      <vt:lpstr>Oper_other_cell1</vt:lpstr>
      <vt:lpstr>Oper_other_cell2</vt:lpstr>
      <vt:lpstr>Operating_cell</vt:lpstr>
      <vt:lpstr>Operating_cell1</vt:lpstr>
      <vt:lpstr>Operating_cell2</vt:lpstr>
      <vt:lpstr>Other_cell</vt:lpstr>
      <vt:lpstr>Other_cell_end</vt:lpstr>
      <vt:lpstr>Other_cell_start</vt:lpstr>
      <vt:lpstr>Other_exp</vt:lpstr>
      <vt:lpstr>Other_exp_end</vt:lpstr>
      <vt:lpstr>Other_exp_start</vt:lpstr>
      <vt:lpstr>Pay_ytd_cell</vt:lpstr>
      <vt:lpstr>Pay_ytd_cell1</vt:lpstr>
      <vt:lpstr>Pay_ytd_cell2</vt:lpstr>
      <vt:lpstr>Pay_ytda_cell</vt:lpstr>
      <vt:lpstr>Pay_ytda_cell1</vt:lpstr>
      <vt:lpstr>Pay_ytda_cell2</vt:lpstr>
      <vt:lpstr>Pay_ytdab_cell</vt:lpstr>
      <vt:lpstr>Pay_ytdab_cell1</vt:lpstr>
      <vt:lpstr>Pay_ytdab_cell2</vt:lpstr>
      <vt:lpstr>Pay_ytdau_cell</vt:lpstr>
      <vt:lpstr>Pay_ytdau_cell1</vt:lpstr>
      <vt:lpstr>Pay_ytdau_cell2</vt:lpstr>
      <vt:lpstr>Pay_ytdb_cell</vt:lpstr>
      <vt:lpstr>Pay_ytdbu_cell</vt:lpstr>
      <vt:lpstr>Pay_ytdbu_cell1</vt:lpstr>
      <vt:lpstr>Pay_ytdbu_cell2</vt:lpstr>
      <vt:lpstr>Expenses!Print_Area</vt:lpstr>
      <vt:lpstr>Occupancy!Print_Area</vt:lpstr>
      <vt:lpstr>Operating!Print_Area</vt:lpstr>
      <vt:lpstr>Rehab_cell</vt:lpstr>
      <vt:lpstr>Rehab_cell_end</vt:lpstr>
      <vt:lpstr>Rehab_cell_start</vt:lpstr>
      <vt:lpstr>Rehab_exp</vt:lpstr>
      <vt:lpstr>Rehab_exp_end</vt:lpstr>
      <vt:lpstr>Rehab_exp_start</vt:lpstr>
      <vt:lpstr>Replac_cell</vt:lpstr>
      <vt:lpstr>Replac_cell1</vt:lpstr>
      <vt:lpstr>Replac_cell2</vt:lpstr>
      <vt:lpstr>Res_ab_cell</vt:lpstr>
      <vt:lpstr>Res_ab_cell1</vt:lpstr>
      <vt:lpstr>Res_ab_cell2</vt:lpstr>
      <vt:lpstr>Res_ytd_cell</vt:lpstr>
      <vt:lpstr>Res_ytd_cell1</vt:lpstr>
      <vt:lpstr>Res_ytd_cell2</vt:lpstr>
      <vt:lpstr>Res_ytda_cell</vt:lpstr>
      <vt:lpstr>Res_ytda_cell1</vt:lpstr>
      <vt:lpstr>Res_ytda_cell2</vt:lpstr>
      <vt:lpstr>Res_ytdau_cell</vt:lpstr>
      <vt:lpstr>Res_ytdau_cell1</vt:lpstr>
      <vt:lpstr>Res_ytdau_cell2</vt:lpstr>
      <vt:lpstr>Res_ytdbu_cell</vt:lpstr>
      <vt:lpstr>Res_ytdbu_cell1</vt:lpstr>
      <vt:lpstr>Res_ytdbu_cell2</vt:lpstr>
      <vt:lpstr>Rm_ytda_cell</vt:lpstr>
      <vt:lpstr>Rm_ytda_cell1</vt:lpstr>
      <vt:lpstr>Rm_ytda_cell2</vt:lpstr>
      <vt:lpstr>Rm_ytdab_cell</vt:lpstr>
      <vt:lpstr>Rm_ytdab_cell1</vt:lpstr>
      <vt:lpstr>Rm_ytdab_cell2</vt:lpstr>
      <vt:lpstr>Rm_ytdau_cell</vt:lpstr>
      <vt:lpstr>Rm_ytdau_cell1</vt:lpstr>
      <vt:lpstr>Rm_ytdau_cell2</vt:lpstr>
      <vt:lpstr>Rm_ytdb_cell</vt:lpstr>
      <vt:lpstr>Rm_ytdb_cell1</vt:lpstr>
      <vt:lpstr>Rm_ytdb_cell2</vt:lpstr>
      <vt:lpstr>Rm_ytdbu_cell</vt:lpstr>
      <vt:lpstr>Rm_ytdbu_cell1</vt:lpstr>
      <vt:lpstr>Rm_ytdbu_cell2</vt:lpstr>
      <vt:lpstr>Rytd_cell</vt:lpstr>
      <vt:lpstr>Rytd_cell1</vt:lpstr>
      <vt:lpstr>Rytd_cell2</vt:lpstr>
      <vt:lpstr>Rytd_cells</vt:lpstr>
      <vt:lpstr>Rytda_cell</vt:lpstr>
      <vt:lpstr>Rytda_cell1</vt:lpstr>
      <vt:lpstr>Rytda_cell2</vt:lpstr>
      <vt:lpstr>Rytdau_cell</vt:lpstr>
      <vt:lpstr>Rytdau_cell1</vt:lpstr>
      <vt:lpstr>Rytdau_cell2</vt:lpstr>
      <vt:lpstr>Rytdb_cell</vt:lpstr>
      <vt:lpstr>Rytdb_cell1</vt:lpstr>
      <vt:lpstr>Rytdb_cell2</vt:lpstr>
      <vt:lpstr>Rytdbu_cell</vt:lpstr>
      <vt:lpstr>Rytdbu_cell1</vt:lpstr>
      <vt:lpstr>Rytdbu_cell2</vt:lpstr>
      <vt:lpstr>Sec_ytda_cell</vt:lpstr>
      <vt:lpstr>Sec_ytda_cell1</vt:lpstr>
      <vt:lpstr>Sec_ytda_cell2</vt:lpstr>
      <vt:lpstr>Sec_ytdab_cell</vt:lpstr>
      <vt:lpstr>Sec_ytdab_cell1</vt:lpstr>
      <vt:lpstr>Sec_ytdab_cell2</vt:lpstr>
      <vt:lpstr>Sec_ytdau_cell</vt:lpstr>
      <vt:lpstr>Sec_ytdau_cell1</vt:lpstr>
      <vt:lpstr>Sec_ytdau_cell2</vt:lpstr>
      <vt:lpstr>Sec_ytdb_cell</vt:lpstr>
      <vt:lpstr>Sec_ytdb_cell1</vt:lpstr>
      <vt:lpstr>Sec_ytdb_cell2</vt:lpstr>
      <vt:lpstr>Sec_ytdbu_cell</vt:lpstr>
      <vt:lpstr>Sec_ytdbu_cell1</vt:lpstr>
      <vt:lpstr>Sec_ytdbu_cell2</vt:lpstr>
      <vt:lpstr>Status_cell</vt:lpstr>
      <vt:lpstr>Status_cell1</vt:lpstr>
      <vt:lpstr>Status_cell2</vt:lpstr>
      <vt:lpstr>Tax_ytda_cell</vt:lpstr>
      <vt:lpstr>Tax_ytda_cell1</vt:lpstr>
      <vt:lpstr>Tax_ytda_cell2</vt:lpstr>
      <vt:lpstr>Tax_ytdab_cell</vt:lpstr>
      <vt:lpstr>Tax_ytdab_cell1</vt:lpstr>
      <vt:lpstr>Tax_ytdab_cell2</vt:lpstr>
      <vt:lpstr>Tax_ytdau_cell</vt:lpstr>
      <vt:lpstr>Tax_ytdau_cell1</vt:lpstr>
      <vt:lpstr>Tax_ytdau_cell2</vt:lpstr>
      <vt:lpstr>Tax_ytdb_cell</vt:lpstr>
      <vt:lpstr>Tax_ytdb_cell1</vt:lpstr>
      <vt:lpstr>Tax_ytdb_cell2</vt:lpstr>
      <vt:lpstr>Tax_ytdbu_cell</vt:lpstr>
      <vt:lpstr>Tax_ytdbu_cell1</vt:lpstr>
      <vt:lpstr>Tax_ytdbu_cell2</vt:lpstr>
      <vt:lpstr>Toe_ytda_cell</vt:lpstr>
      <vt:lpstr>Toe_ytda_cell1</vt:lpstr>
      <vt:lpstr>Toe_ytda_cell2</vt:lpstr>
      <vt:lpstr>Toe_ytdab_cell</vt:lpstr>
      <vt:lpstr>Toe_ytdab_cell1</vt:lpstr>
      <vt:lpstr>Toe_ytdab_cell2</vt:lpstr>
      <vt:lpstr>Toe_ytdau_cell</vt:lpstr>
      <vt:lpstr>Toe_ytdau_cell1</vt:lpstr>
      <vt:lpstr>Toe_ytdau_cell2</vt:lpstr>
      <vt:lpstr>Toe_ytdb_cell</vt:lpstr>
      <vt:lpstr>Toe_ytdb_cell1</vt:lpstr>
      <vt:lpstr>Toe_ytdb_cell2</vt:lpstr>
      <vt:lpstr>Toe_ytdbu_cell</vt:lpstr>
      <vt:lpstr>Toe_ytdbu_cell1</vt:lpstr>
      <vt:lpstr>Toe_ytdbu_cell2</vt:lpstr>
      <vt:lpstr>Total_cell</vt:lpstr>
      <vt:lpstr>Total_cell1</vt:lpstr>
      <vt:lpstr>Total_cell2</vt:lpstr>
      <vt:lpstr>Units_cell</vt:lpstr>
      <vt:lpstr>Units_cell1</vt:lpstr>
      <vt:lpstr>Units_cell2</vt:lpstr>
      <vt:lpstr>Units_cell3</vt:lpstr>
      <vt:lpstr>Util_ytda_cell</vt:lpstr>
      <vt:lpstr>Util_ytda_cell1</vt:lpstr>
      <vt:lpstr>Util_ytda_cell2</vt:lpstr>
      <vt:lpstr>Util_ytdab_cell</vt:lpstr>
      <vt:lpstr>Util_ytdab_cell1</vt:lpstr>
      <vt:lpstr>Util_ytdab_cell2</vt:lpstr>
      <vt:lpstr>Util_ytdau_cell</vt:lpstr>
      <vt:lpstr>Util_ytdau_cell1</vt:lpstr>
      <vt:lpstr>Util_ytdau_cell2</vt:lpstr>
      <vt:lpstr>Util_ytdb_cell</vt:lpstr>
      <vt:lpstr>Util_ytdb_cell1</vt:lpstr>
      <vt:lpstr>Util_ytdb_cell2</vt:lpstr>
      <vt:lpstr>Util_ytdbu_cell</vt:lpstr>
      <vt:lpstr>Util_ytdbu_cell1</vt:lpstr>
      <vt:lpstr>Util_ytdbu_cell2</vt:lpstr>
      <vt:lpstr>Ws_ytda_cell</vt:lpstr>
      <vt:lpstr>Ws_ytda_cell1</vt:lpstr>
      <vt:lpstr>Ws_ytda_cell2</vt:lpstr>
      <vt:lpstr>Ws_ytdab_cell</vt:lpstr>
      <vt:lpstr>Ws_ytdab_cell1</vt:lpstr>
      <vt:lpstr>Ws_ytdab_cell2</vt:lpstr>
      <vt:lpstr>Ws_ytdau_cell</vt:lpstr>
      <vt:lpstr>Ws_ytdau_cell1</vt:lpstr>
      <vt:lpstr>Ws_ytdau_cell2</vt:lpstr>
      <vt:lpstr>Ws_ytdb_cell</vt:lpstr>
      <vt:lpstr>Ws_ytdb_cell1</vt:lpstr>
      <vt:lpstr>Ws_ytdb_cell2</vt:lpstr>
      <vt:lpstr>Ws_ytdbu_cell</vt:lpstr>
      <vt:lpstr>Ws_ytdbu_cell1</vt:lpstr>
      <vt:lpstr>Ws_ytdbu_cell2</vt:lpstr>
      <vt:lpstr>YTD_Budget</vt:lpstr>
      <vt:lpstr>YtdOccupancy_cell</vt:lpstr>
      <vt:lpstr>YtdOccupancy_cell1</vt:lpstr>
      <vt:lpstr>YtdOccupancy_cell2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2018-06-11T06:08:44Z</dcterms:modified>
</cp:coreProperties>
</file>